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limLux เลื่อน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FFFFFF"/>
      <sz val="13"/>
    </font>
    <font>
      <name val="Tahoma"/>
      <charset val="1"/>
      <family val="0"/>
      <b val="1"/>
      <sz val="10"/>
    </font>
    <font>
      <name val="Tahoma"/>
      <charset val="1"/>
      <family val="0"/>
      <b val="1"/>
      <color rgb="FFFFFFFF"/>
      <sz val="11"/>
    </font>
    <font>
      <name val="Tahoma"/>
      <charset val="1"/>
      <family val="0"/>
      <sz val="10"/>
    </font>
    <font>
      <name val="Tahoma"/>
      <charset val="1"/>
      <family val="0"/>
      <color rgb="FF808080"/>
      <sz val="8"/>
    </font>
    <font>
      <name val="Tahoma"/>
      <charset val="1"/>
      <family val="0"/>
      <sz val="9"/>
    </font>
    <font>
      <name val="Tahoma"/>
      <b val="1"/>
      <color rgb="00FFFFFF"/>
    </font>
    <font>
      <name val="Tahoma"/>
      <b val="1"/>
      <sz val="10"/>
    </font>
    <font>
      <name val="Tahoma"/>
      <color rgb="00808080"/>
      <sz val="8"/>
    </font>
    <font>
      <name val="Tahoma"/>
      <sz val="10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EEBF7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EDEDED"/>
      </patternFill>
    </fill>
    <fill>
      <patternFill patternType="solid">
        <fgColor rgb="FF7F77DD"/>
        <bgColor rgb="FF808080"/>
      </patternFill>
    </fill>
    <fill>
      <patternFill patternType="solid">
        <fgColor rgb="007F77DD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" fontId="5" fillId="9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1" fillId="13" borderId="6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10" fillId="14" borderId="6" applyAlignment="1" pivotButton="0" quotePrefix="0" xfId="0">
      <alignment horizontal="center"/>
    </xf>
    <xf numFmtId="164" fontId="10" fillId="14" borderId="6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13" fillId="0" borderId="6" applyAlignment="1" pivotButton="0" quotePrefix="0" xfId="0">
      <alignment horizontal="left"/>
    </xf>
    <xf numFmtId="0" fontId="13" fillId="0" borderId="6" applyAlignment="1" pivotButton="0" quotePrefix="0" xfId="0">
      <alignment horizontal="center"/>
    </xf>
    <xf numFmtId="164" fontId="13" fillId="7" borderId="6" applyAlignment="1" pivotButton="0" quotePrefix="0" xfId="0">
      <alignment horizontal="center"/>
    </xf>
    <xf numFmtId="0" fontId="12" fillId="7" borderId="6" applyAlignment="1" pivotButton="0" quotePrefix="0" xfId="0">
      <alignment horizontal="left"/>
    </xf>
    <xf numFmtId="0" fontId="6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" fontId="5" fillId="9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13" fillId="15" borderId="6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18</row>
      <rowOff>0</rowOff>
    </from>
    <to>
      <col>3</col>
      <colOff>875880</colOff>
      <row>18</row>
      <rowOff>437760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5160" y="398916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19</row>
      <rowOff>0</rowOff>
    </from>
    <to>
      <col>3</col>
      <colOff>875880</colOff>
      <row>19</row>
      <rowOff>437760</rowOff>
    </to>
    <pic>
      <nvPicPr>
        <cNvPr id="1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65160" y="459864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21</row>
      <rowOff>0</rowOff>
    </from>
    <to>
      <col>3</col>
      <colOff>875880</colOff>
      <row>21</row>
      <rowOff>437760</rowOff>
    </to>
    <pic>
      <nvPicPr>
        <cNvPr id="2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65160" y="581796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22</row>
      <rowOff>0</rowOff>
    </from>
    <to>
      <col>3</col>
      <colOff>875880</colOff>
      <row>22</row>
      <rowOff>437760</rowOff>
    </to>
    <pic>
      <nvPicPr>
        <cNvPr id="3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665160" y="642744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23</row>
      <rowOff>0</rowOff>
    </from>
    <to>
      <col>3</col>
      <colOff>875880</colOff>
      <row>23</row>
      <rowOff>437760</rowOff>
    </to>
    <pic>
      <nvPicPr>
        <cNvPr id="4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665160" y="703692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24</row>
      <rowOff>0</rowOff>
    </from>
    <to>
      <col>3</col>
      <colOff>875880</colOff>
      <row>24</row>
      <rowOff>437760</rowOff>
    </to>
    <pic>
      <nvPicPr>
        <cNvPr id="5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665160" y="764676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25</row>
      <rowOff>0</rowOff>
    </from>
    <to>
      <col>3</col>
      <colOff>875880</colOff>
      <row>25</row>
      <rowOff>437760</rowOff>
    </to>
    <pic>
      <nvPicPr>
        <cNvPr id="6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665160" y="825624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28</row>
      <rowOff>0</rowOff>
    </from>
    <to>
      <col>3</col>
      <colOff>875880</colOff>
      <row>28</row>
      <rowOff>437760</rowOff>
    </to>
    <pic>
      <nvPicPr>
        <cNvPr id="7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665160" y="1008504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</col>
      <colOff>0</colOff>
      <row>29</row>
      <rowOff>0</rowOff>
    </from>
    <to>
      <col>3</col>
      <colOff>875880</colOff>
      <row>29</row>
      <rowOff>437760</rowOff>
    </to>
    <pic>
      <nvPicPr>
        <cNvPr id="8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665160" y="10694520"/>
          <a:ext cx="87588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8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5" min="1" max="1"/>
    <col width="30" customWidth="1" style="25" min="2" max="2"/>
    <col width="18" customWidth="1" style="25" min="3" max="3"/>
    <col width="15" customWidth="1" style="25" min="4" max="4"/>
    <col width="11" customWidth="1" style="25" min="5" max="5"/>
    <col width="9" customWidth="1" style="25" min="6" max="6"/>
    <col width="8" customWidth="1" style="25" min="7" max="7"/>
    <col width="11" customWidth="1" style="25" min="8" max="8"/>
    <col width="9" customWidth="1" style="25" min="9" max="9"/>
    <col width="11" customWidth="1" style="25" min="10" max="10"/>
    <col width="30" customWidth="1" style="25" min="11" max="11"/>
  </cols>
  <sheetData>
    <row r="1" ht="15" customHeight="1" s="26">
      <c r="A1" s="27" t="inlineStr">
        <is>
          <t>JR ALUMINIUM &amp; GLASS   —   ใบตัดบาน SlimLux (บานเลื่อนรางบน)   ·   หน่วย: ซม.</t>
        </is>
      </c>
    </row>
    <row r="2" ht="15" customHeight="1" s="26"/>
    <row r="3" ht="15" customHeight="1" s="26">
      <c r="B3" s="28" t="inlineStr">
        <is>
          <t>① กรอกข้อมูลช่อง (ช่องเหลือง)</t>
        </is>
      </c>
    </row>
    <row r="4" ht="15" customHeight="1" s="26">
      <c r="B4" s="29" t="inlineStr">
        <is>
          <t>กว้างช่องปูน (ช่อง)</t>
        </is>
      </c>
      <c r="C4" s="30" t="n">
        <v>300</v>
      </c>
    </row>
    <row r="5" ht="15" customHeight="1" s="26">
      <c r="B5" s="29" t="inlineStr">
        <is>
          <t>สูงช่องปูน</t>
        </is>
      </c>
      <c r="C5" s="30" t="n">
        <v>240</v>
      </c>
    </row>
    <row r="6" ht="15" customHeight="1" s="26">
      <c r="B6" s="29" t="inlineStr">
        <is>
          <t>จำนวนบาน</t>
        </is>
      </c>
      <c r="C6" s="30" t="n">
        <v>3</v>
      </c>
    </row>
    <row r="7" ht="15" customHeight="1" s="26">
      <c r="B7" s="29" t="inlineStr">
        <is>
          <t>คาน (เลือกกล่อง)</t>
        </is>
      </c>
      <c r="C7" s="30" t="inlineStr">
        <is>
          <t>1×4</t>
        </is>
      </c>
    </row>
    <row r="8" ht="15" customHeight="1" s="26">
      <c r="B8" s="29" t="inlineStr">
        <is>
          <t>รูปแบบช่องปูน</t>
        </is>
      </c>
      <c r="C8" s="30" t="inlineStr">
        <is>
          <t>ยัดในช่อง</t>
        </is>
      </c>
    </row>
    <row r="9" ht="15" customHeight="1" s="26">
      <c r="B9" s="29" t="inlineStr">
        <is>
          <t>รูปแบบบาน</t>
        </is>
      </c>
      <c r="C9" s="30" t="inlineStr">
        <is>
          <t>อิสระ</t>
        </is>
      </c>
    </row>
    <row r="10" ht="15" customHeight="1" s="26">
      <c r="B10" s="29" t="inlineStr">
        <is>
          <t>มือจับ</t>
        </is>
      </c>
      <c r="C10" s="30" t="inlineStr">
        <is>
          <t>X-J</t>
        </is>
      </c>
    </row>
    <row r="11" ht="15" customHeight="1" s="26">
      <c r="B11" s="28" t="inlineStr">
        <is>
          <t>② ค่าที่คำนวณอัตโนมัติ (ห้ามแก้)</t>
        </is>
      </c>
    </row>
    <row r="12" ht="15" customHeight="1" s="26">
      <c r="B12" s="31" t="inlineStr">
        <is>
          <t>ขนาดคานที่หัก (ซม.)</t>
        </is>
      </c>
      <c r="C12" s="32">
        <f>VLOOKUP($C$7,$B$77:$C$83,2,FALSE())</f>
        <v/>
      </c>
    </row>
    <row r="13" ht="15" customHeight="1" s="26">
      <c r="B13" s="31" t="inlineStr">
        <is>
          <t>บานตาย</t>
        </is>
      </c>
      <c r="C13" s="33">
        <f>IF($C$9="อิสระ",0,IF($C$9="ลากจูง",1,2))</f>
        <v/>
      </c>
    </row>
    <row r="14" ht="15" customHeight="1" s="26">
      <c r="B14" s="31" t="inlineStr">
        <is>
          <t>บานเลื่อน</t>
        </is>
      </c>
      <c r="C14" s="33">
        <f>$C$6-$C$13</f>
        <v/>
      </c>
    </row>
    <row r="15" ht="15" customHeight="1" s="26">
      <c r="B15" s="31" t="inlineStr">
        <is>
          <t>จำนวนเสารับ (ฝั่ง)</t>
        </is>
      </c>
      <c r="C15" s="33">
        <f>IF($C$8="แปะนอก",1,2)</f>
        <v/>
      </c>
    </row>
    <row r="16" ht="20" customHeight="1" s="26">
      <c r="B16" s="29" t="inlineStr">
        <is>
          <t>เสารับบาน (เลือกกล่อง)</t>
        </is>
      </c>
      <c r="C16" s="30" t="inlineStr">
        <is>
          <t>1×4+1×4</t>
        </is>
      </c>
      <c r="D16" s="64" t="inlineStr">
        <is>
          <t>← เลือกเอง (แทนออโต้เดิม)</t>
        </is>
      </c>
    </row>
    <row r="17" ht="26.1" customHeight="1" s="26">
      <c r="A17" s="34" t="inlineStr">
        <is>
          <t>#</t>
        </is>
      </c>
      <c r="B17" s="34" t="inlineStr">
        <is>
          <t>โปรไฟล์</t>
        </is>
      </c>
      <c r="C17" s="34" t="inlineStr">
        <is>
          <t>รหัส</t>
        </is>
      </c>
      <c r="D17" s="34" t="inlineStr">
        <is>
          <t>รูป</t>
        </is>
      </c>
      <c r="E17" s="34" t="inlineStr">
        <is>
          <t>ยาวตัด (ซม.)</t>
        </is>
      </c>
      <c r="F17" s="34" t="inlineStr">
        <is>
          <t>จำนวน</t>
        </is>
      </c>
      <c r="G17" s="34" t="inlineStr">
        <is>
          <t>หมายเหตุ</t>
        </is>
      </c>
    </row>
    <row r="18" ht="48" customHeight="1" s="26">
      <c r="A18" s="35" t="n">
        <v>1</v>
      </c>
      <c r="B18" s="36" t="inlineStr">
        <is>
          <t>คาน</t>
        </is>
      </c>
      <c r="C18" s="37" t="inlineStr">
        <is>
          <t>กล่องคาน</t>
        </is>
      </c>
      <c r="D18" s="37" t="n"/>
      <c r="E18" s="38">
        <f>IF($C$8="ยัดในช่อง",$C$4,$C$4*$I$43)</f>
        <v/>
      </c>
      <c r="F18" s="39">
        <f>$F$60</f>
        <v/>
      </c>
      <c r="G18" s="40" t="inlineStr">
        <is>
          <t>ยัด=ช่อง / แปะนอก=ช่อง×2</t>
        </is>
      </c>
    </row>
    <row r="19" ht="48" customHeight="1" s="26">
      <c r="A19" s="35" t="n">
        <v>2</v>
      </c>
      <c r="B19" s="36" t="inlineStr">
        <is>
          <t>รางบน (รางแขวน)</t>
        </is>
      </c>
      <c r="C19" s="37" t="inlineStr">
        <is>
          <t>XSW40008</t>
        </is>
      </c>
      <c r="D19" s="37" t="n"/>
      <c r="E19" s="38">
        <f>IF($C$8="ยัดในช่อง",$C$4-$F$44,$C$4*$I$44)</f>
        <v/>
      </c>
      <c r="F19" s="39">
        <f>$C$14</f>
        <v/>
      </c>
      <c r="G19" s="40" t="inlineStr">
        <is>
          <t>จำนวน=บานเลื่อน</t>
        </is>
      </c>
    </row>
    <row r="20" ht="48" customHeight="1" s="26">
      <c r="A20" s="35" t="n">
        <v>3</v>
      </c>
      <c r="B20" s="36" t="inlineStr">
        <is>
          <t>เสารับบาน</t>
        </is>
      </c>
      <c r="C20" s="37">
        <f>$C$16</f>
        <v/>
      </c>
      <c r="D20" s="37" t="n"/>
      <c r="E20" s="38">
        <f>$C$5-$C$12</f>
        <v/>
      </c>
      <c r="F20" s="39">
        <f>((LEN($C$16)-LEN(SUBSTITUTE($C$16,"+","")))+1)*$C$15</f>
        <v/>
      </c>
      <c r="G20" s="40" t="inlineStr">
        <is>
          <t>จำนวน=กล่อง×ฝั่ง · แยกขนาด ดู ⑦</t>
        </is>
      </c>
    </row>
    <row r="21" ht="48" customHeight="1" s="26">
      <c r="A21" s="35" t="n">
        <v>4</v>
      </c>
      <c r="B21" s="36" t="inlineStr">
        <is>
          <t>บังใบ 4 หุน</t>
        </is>
      </c>
      <c r="C21" s="37" t="inlineStr">
        <is>
          <t>—</t>
        </is>
      </c>
      <c r="D21" s="37" t="n"/>
      <c r="E21" s="38">
        <f>($C$5-$C$12)-$F$46</f>
        <v/>
      </c>
      <c r="F21" s="39">
        <f>$F$61</f>
        <v/>
      </c>
      <c r="G21" s="40" t="inlineStr">
        <is>
          <t>เสารับ−3.6</t>
        </is>
      </c>
    </row>
    <row r="22" ht="48" customHeight="1" s="26">
      <c r="A22" s="35" t="n">
        <v>5</v>
      </c>
      <c r="B22" s="36" t="inlineStr">
        <is>
          <t>ขวางบน-ล่าง</t>
        </is>
      </c>
      <c r="C22" s="37" t="inlineStr">
        <is>
          <t>OPK-A201</t>
        </is>
      </c>
      <c r="D22" s="37" t="n"/>
      <c r="E22" s="38">
        <f>IF($C$8="ยัดในช่อง",($C$4-$F$47)/$C$6+$C$6*$I$47,(($C$4+$G$48-$F$48)/$C$6)+$C$6*$I$48)</f>
        <v/>
      </c>
      <c r="F22" s="39">
        <f>$F$62*$C$6</f>
        <v/>
      </c>
      <c r="G22" s="40" t="inlineStr">
        <is>
          <t>บานละ 2</t>
        </is>
      </c>
    </row>
    <row r="23" ht="48" customHeight="1" s="26">
      <c r="A23" s="35" t="n">
        <v>6</v>
      </c>
      <c r="B23" s="36" t="inlineStr">
        <is>
          <t>เสากุญแจ</t>
        </is>
      </c>
      <c r="C23" s="37" t="inlineStr">
        <is>
          <t>OPK-A202</t>
        </is>
      </c>
      <c r="D23" s="37" t="n"/>
      <c r="E23" s="38">
        <f>($C$5-$C$12)-$F$49</f>
        <v/>
      </c>
      <c r="F23" s="39">
        <f>$F$63*$C$6</f>
        <v/>
      </c>
      <c r="G23" s="40" t="inlineStr">
        <is>
          <t>บานละ 2 ท่อน</t>
        </is>
      </c>
    </row>
    <row r="24" ht="48" customHeight="1" s="26">
      <c r="A24" s="35" t="n">
        <v>7</v>
      </c>
      <c r="B24" s="36" t="inlineStr">
        <is>
          <t>ตบเรียบหน้าเสากุญแจ (บานเลื่อน)</t>
        </is>
      </c>
      <c r="C24" s="37" t="inlineStr">
        <is>
          <t>OPK-A203</t>
        </is>
      </c>
      <c r="D24" s="37" t="n"/>
      <c r="E24" s="38">
        <f>($C$5-$C$12)-$F$50</f>
        <v/>
      </c>
      <c r="F24" s="39">
        <f>IF($C$8="แปะนอก",$F$65,$F$64)</f>
        <v/>
      </c>
      <c r="G24" s="40" t="inlineStr">
        <is>
          <t>แปะนอก−1</t>
        </is>
      </c>
    </row>
    <row r="25" ht="48" customHeight="1" s="26">
      <c r="A25" s="35" t="n">
        <v>8</v>
      </c>
      <c r="B25" s="36" t="inlineStr">
        <is>
          <t>ตบเรียบหน้าเสากุญแจ (บานตาย)</t>
        </is>
      </c>
      <c r="C25" s="37" t="inlineStr">
        <is>
          <t>OPK-A203</t>
        </is>
      </c>
      <c r="D25" s="37" t="n"/>
      <c r="E25" s="38">
        <f>($C$5-$C$12)</f>
        <v/>
      </c>
      <c r="F25" s="39">
        <f>$F$66</f>
        <v/>
      </c>
      <c r="G25" s="40" t="inlineStr">
        <is>
          <t>ถ้ามีบานตาย</t>
        </is>
      </c>
    </row>
    <row r="26" ht="48" customHeight="1" s="26">
      <c r="A26" s="35" t="n">
        <v>9</v>
      </c>
      <c r="B26" s="36" t="inlineStr">
        <is>
          <t>ตบเกี่ยวใส่สักหลาด</t>
        </is>
      </c>
      <c r="C26" s="37" t="inlineStr">
        <is>
          <t>OPK-A204</t>
        </is>
      </c>
      <c r="D26" s="37" t="n"/>
      <c r="E26" s="38">
        <f>($C$5-$C$12)-$F$52</f>
        <v/>
      </c>
      <c r="F26" s="39">
        <f>$C$14+$F$67+IF($C$8="แปะนอก",$F$68,0)</f>
        <v/>
      </c>
      <c r="G26" s="40" t="inlineStr">
        <is>
          <t>บานเลื่อน+1</t>
        </is>
      </c>
    </row>
    <row r="27" ht="48" customHeight="1" s="26">
      <c r="A27" s="35" t="n">
        <v>10</v>
      </c>
      <c r="B27" s="36" t="inlineStr">
        <is>
          <t>มือจับ X-J</t>
        </is>
      </c>
      <c r="C27" s="37">
        <f>IF($C$10="X-J","เสามือจับ","")</f>
        <v/>
      </c>
      <c r="D27" s="37" t="n"/>
      <c r="E27" s="38">
        <f>IF($C$10="X-J",$E$23,"")</f>
        <v/>
      </c>
      <c r="F27" s="39">
        <f>IF($C$10="X-J",IF($C$9="เปิดคู่กลาง",$F$70,$F$69),"")</f>
        <v/>
      </c>
      <c r="G27" s="40" t="inlineStr">
        <is>
          <t>เท่าเสากุญแจ</t>
        </is>
      </c>
    </row>
    <row r="28" ht="48" customHeight="1" s="26">
      <c r="A28" s="35" t="n">
        <v>11</v>
      </c>
      <c r="B28" s="36" t="inlineStr">
        <is>
          <t>ฉากปิดราง 2"</t>
        </is>
      </c>
      <c r="C28" s="37" t="inlineStr">
        <is>
          <t>ฉากปิดราง</t>
        </is>
      </c>
      <c r="D28" s="37" t="n"/>
      <c r="E28" s="38">
        <f>$C$4</f>
        <v/>
      </c>
      <c r="F28" s="39">
        <f>$F$71</f>
        <v/>
      </c>
      <c r="G28" s="40" t="inlineStr">
        <is>
          <t>เท่าช่องปูน</t>
        </is>
      </c>
    </row>
    <row r="29" ht="48" customHeight="1" s="26">
      <c r="A29" s="35" t="n">
        <v>12</v>
      </c>
      <c r="B29" s="36" t="inlineStr">
        <is>
          <t>ตบปิดใต้รางริม</t>
        </is>
      </c>
      <c r="C29" s="37" t="inlineStr">
        <is>
          <t>WM-K20</t>
        </is>
      </c>
      <c r="D29" s="37" t="n"/>
      <c r="E29" s="38">
        <f>$E$19</f>
        <v/>
      </c>
      <c r="F29" s="39">
        <f>$F$72</f>
        <v/>
      </c>
      <c r="G29" s="40" t="inlineStr">
        <is>
          <t>เท่ารางบน</t>
        </is>
      </c>
    </row>
    <row r="30" ht="48" customHeight="1" s="26">
      <c r="A30" s="35" t="n">
        <v>13</v>
      </c>
      <c r="B30" s="36" t="inlineStr">
        <is>
          <t>ตบปิดใต้รางกลาง</t>
        </is>
      </c>
      <c r="C30" s="37" t="inlineStr">
        <is>
          <t>WM-K20</t>
        </is>
      </c>
      <c r="D30" s="37" t="n"/>
      <c r="E30" s="38">
        <f>$E$19</f>
        <v/>
      </c>
      <c r="F30" s="39">
        <f>$C$14-$F$73</f>
        <v/>
      </c>
      <c r="G30" s="40" t="inlineStr">
        <is>
          <t>ราง−1</t>
        </is>
      </c>
    </row>
    <row r="31" ht="48" customHeight="1" s="26">
      <c r="A31" s="35" t="n"/>
      <c r="B31" s="36" t="n"/>
      <c r="C31" s="37" t="n"/>
      <c r="D31" s="37" t="n"/>
      <c r="E31" s="38" t="n"/>
      <c r="F31" s="39" t="n"/>
      <c r="G31" s="40" t="n"/>
    </row>
    <row r="32" ht="48" customHeight="1" s="26">
      <c r="A32" s="35" t="n"/>
      <c r="B32" s="41" t="inlineStr">
        <is>
          <t>⑥ อุปกรณ์ (กล่อง+ล้อ ต่อบาน · จำนวนลิงก์อัตโนมัติ)</t>
        </is>
      </c>
      <c r="C32" s="37" t="n"/>
      <c r="D32" s="37" t="n"/>
      <c r="E32" s="38" t="n"/>
      <c r="F32" s="39" t="n"/>
      <c r="G32" s="40" t="n"/>
    </row>
    <row r="33" ht="48" customHeight="1" s="26">
      <c r="A33" s="35" t="n"/>
      <c r="B33" s="42" t="inlineStr">
        <is>
          <t>กล่องสั้น (บานกลาง) ด้าน →</t>
        </is>
      </c>
      <c r="C33" s="43" t="inlineStr">
        <is>
          <t>ซ้าย</t>
        </is>
      </c>
      <c r="D33" s="44" t="inlineStr">
        <is>
          <t>เลือกทั้งชุด ซ้ายหมด/ขวาหมด</t>
        </is>
      </c>
      <c r="E33" s="38" t="n"/>
      <c r="F33" s="39" t="n"/>
      <c r="G33" s="40" t="n"/>
    </row>
    <row r="34" ht="48" customHeight="1" s="26">
      <c r="A34" s="45" t="inlineStr">
        <is>
          <t>#</t>
        </is>
      </c>
      <c r="B34" s="45" t="inlineStr">
        <is>
          <t>อุปกรณ์</t>
        </is>
      </c>
      <c r="C34" s="45" t="inlineStr">
        <is>
          <t>รหัส SKU</t>
        </is>
      </c>
      <c r="D34" s="45" t="inlineStr">
        <is>
          <t>จำนวน</t>
        </is>
      </c>
      <c r="E34" s="46" t="inlineStr">
        <is>
          <t>หน่วย</t>
        </is>
      </c>
      <c r="F34" s="45" t="inlineStr">
        <is>
          <t>หมายเหตุ</t>
        </is>
      </c>
      <c r="G34" s="40" t="n"/>
    </row>
    <row r="35" ht="48" customHeight="1" s="26">
      <c r="A35" s="47" t="n">
        <v>1</v>
      </c>
      <c r="B35" s="48" t="inlineStr">
        <is>
          <t>กล่องยาว (หัว+ท้ายบาน)</t>
        </is>
      </c>
      <c r="C35" s="49" t="inlineStr">
        <is>
          <t>JR00573</t>
        </is>
      </c>
      <c r="D35" s="49">
        <f>IF($C$6&lt;=1,1,2)</f>
        <v/>
      </c>
      <c r="E35" s="50" t="inlineStr">
        <is>
          <t>กล่อง</t>
        </is>
      </c>
      <c r="F35" s="51" t="inlineStr">
        <is>
          <t>บานแรก + บานสุดท้าย</t>
        </is>
      </c>
      <c r="G35" s="40" t="n"/>
    </row>
    <row r="36" ht="48" customHeight="1" s="26">
      <c r="A36" s="47" t="n">
        <v>2</v>
      </c>
      <c r="B36" s="48" t="inlineStr">
        <is>
          <t>กล่องสั้น ซ้าย (บานกลาง)</t>
        </is>
      </c>
      <c r="C36" s="49" t="inlineStr">
        <is>
          <t>JR00575</t>
        </is>
      </c>
      <c r="D36" s="49">
        <f>IF($C$33="ซ้าย",MAX($C$6-2,0),0)</f>
        <v/>
      </c>
      <c r="E36" s="50" t="inlineStr">
        <is>
          <t>กล่อง</t>
        </is>
      </c>
      <c r="F36" s="51" t="inlineStr">
        <is>
          <t>ใช้เมื่อเลือกด้าน=ซ้าย</t>
        </is>
      </c>
      <c r="G36" s="40" t="n"/>
    </row>
    <row r="37" ht="48" customHeight="1" s="26">
      <c r="A37" s="47" t="n">
        <v>3</v>
      </c>
      <c r="B37" s="48" t="inlineStr">
        <is>
          <t>กล่องสั้น ขวา (บานกลาง)</t>
        </is>
      </c>
      <c r="C37" s="49" t="inlineStr">
        <is>
          <t>JR00574</t>
        </is>
      </c>
      <c r="D37" s="49">
        <f>IF($C$33="ขวา",MAX($C$6-2,0),0)</f>
        <v/>
      </c>
      <c r="E37" s="50" t="inlineStr">
        <is>
          <t>กล่อง</t>
        </is>
      </c>
      <c r="F37" s="51" t="inlineStr">
        <is>
          <t>ใช้เมื่อเลือกด้าน=ขวา</t>
        </is>
      </c>
      <c r="G37" s="40" t="n"/>
    </row>
    <row r="38" ht="48" customHeight="1" s="26">
      <c r="A38" s="47" t="n">
        <v>4</v>
      </c>
      <c r="B38" s="48" t="inlineStr">
        <is>
          <t>ล้อล่าง</t>
        </is>
      </c>
      <c r="C38" s="49" t="inlineStr">
        <is>
          <t>JR00572</t>
        </is>
      </c>
      <c r="D38" s="49">
        <f>2*$C$14</f>
        <v/>
      </c>
      <c r="E38" s="50" t="inlineStr">
        <is>
          <t>ตัว</t>
        </is>
      </c>
      <c r="F38" s="51" t="inlineStr">
        <is>
          <t>บานเลื่อนละ 2 ตัวเสมอ</t>
        </is>
      </c>
      <c r="G38" s="40" t="n"/>
    </row>
    <row r="39" ht="48" customHeight="1" s="26">
      <c r="A39" s="35" t="n"/>
      <c r="B39" s="36" t="n"/>
      <c r="C39" s="37" t="n"/>
      <c r="D39" s="37" t="n"/>
      <c r="E39" s="38" t="n"/>
      <c r="F39" s="39" t="n"/>
      <c r="G39" s="40" t="n"/>
    </row>
    <row r="41" ht="15" customHeight="1" s="26">
      <c r="B41" s="52" t="inlineStr">
        <is>
          <t>③ กระดานคำนวณความยาว (แตกทีละขั้น) — อ่านซ้าย→ขวา · ช่องเหลือง=แก้ได้ · ช่องฟ้า=ค่าคำนวณสด</t>
        </is>
      </c>
    </row>
    <row r="42" ht="26.1" customHeight="1" s="26">
      <c r="B42" s="34" t="inlineStr">
        <is>
          <t>โปรไฟล์</t>
        </is>
      </c>
      <c r="C42" s="34" t="inlineStr">
        <is>
          <t>ฐาน (จาก)</t>
        </is>
      </c>
      <c r="D42" s="34" t="inlineStr">
        <is>
          <t>ค่า</t>
        </is>
      </c>
      <c r="E42" s="34" t="inlineStr">
        <is>
          <t>− ขนาดคาน</t>
        </is>
      </c>
      <c r="F42" s="34" t="inlineStr">
        <is>
          <t>− ตัวลบ</t>
        </is>
      </c>
      <c r="G42" s="34" t="inlineStr">
        <is>
          <t>+ ปรับ</t>
        </is>
      </c>
      <c r="H42" s="34" t="inlineStr">
        <is>
          <t>÷ จำนวนบาน</t>
        </is>
      </c>
      <c r="I42" s="34" t="inlineStr">
        <is>
          <t>× ตัวคูณ</t>
        </is>
      </c>
      <c r="J42" s="34" t="inlineStr">
        <is>
          <t>ยาวตัด (ซม.)</t>
        </is>
      </c>
      <c r="K42" s="34" t="inlineStr">
        <is>
          <t>หมายเหตุ / เงื่อนไข</t>
        </is>
      </c>
    </row>
    <row r="43" ht="24" customHeight="1" s="26">
      <c r="B43" s="53" t="inlineStr">
        <is>
          <t>คาน</t>
        </is>
      </c>
      <c r="C43" s="54" t="inlineStr">
        <is>
          <t>ความกว้างช่อง</t>
        </is>
      </c>
      <c r="D43" s="55">
        <f>$C$4</f>
        <v/>
      </c>
      <c r="E43" s="56" t="n"/>
      <c r="F43" s="57" t="n"/>
      <c r="G43" s="57" t="n"/>
      <c r="H43" s="58" t="n"/>
      <c r="I43" s="59" t="n">
        <v>2</v>
      </c>
      <c r="J43" s="32">
        <f>$E$18</f>
        <v/>
      </c>
      <c r="K43" s="40" t="inlineStr">
        <is>
          <t>ยัด=ฐาน / แปะนอก=ฐาน×ตัวคูณ · 1 เส้น</t>
        </is>
      </c>
    </row>
    <row r="44" ht="24" customHeight="1" s="26">
      <c r="B44" s="53" t="inlineStr">
        <is>
          <t>รางบน (รางแขวน)</t>
        </is>
      </c>
      <c r="C44" s="54" t="inlineStr">
        <is>
          <t>ความกว้างช่อง</t>
        </is>
      </c>
      <c r="D44" s="55">
        <f>$C$4</f>
        <v/>
      </c>
      <c r="E44" s="56" t="n"/>
      <c r="F44" s="59" t="n">
        <v>5</v>
      </c>
      <c r="G44" s="57" t="n"/>
      <c r="H44" s="58" t="n"/>
      <c r="I44" s="59" t="n">
        <v>2</v>
      </c>
      <c r="J44" s="32">
        <f>$E$19</f>
        <v/>
      </c>
      <c r="K44" s="40" t="inlineStr">
        <is>
          <t>ยัด=ฐาน−ตัวลบ / แปะนอก=ฐาน×ตัวคูณ · จำนวน=บานเลื่อน</t>
        </is>
      </c>
    </row>
    <row r="45" ht="24" customHeight="1" s="26">
      <c r="B45" s="53" t="inlineStr">
        <is>
          <t>เสารับบาน</t>
        </is>
      </c>
      <c r="C45" s="54" t="inlineStr">
        <is>
          <t>ความสูงช่อง</t>
        </is>
      </c>
      <c r="D45" s="55">
        <f>$C$5</f>
        <v/>
      </c>
      <c r="E45" s="55">
        <f>$C$12</f>
        <v/>
      </c>
      <c r="F45" s="57" t="n"/>
      <c r="G45" s="57" t="n"/>
      <c r="H45" s="58" t="n"/>
      <c r="I45" s="57" t="n"/>
      <c r="J45" s="32">
        <f>$E$20</f>
        <v/>
      </c>
      <c r="K45" s="40" t="inlineStr">
        <is>
          <t>จำนวน=ฝั่ง(แปะนอก1/ยัด2) · กล่องเลือกที่ C16</t>
        </is>
      </c>
    </row>
    <row r="46" ht="24" customHeight="1" s="26">
      <c r="B46" s="53" t="inlineStr">
        <is>
          <t>บังใบ 4 หุน</t>
        </is>
      </c>
      <c r="C46" s="54" t="inlineStr">
        <is>
          <t>ความยาวเสารับ</t>
        </is>
      </c>
      <c r="D46" s="55">
        <f>$E$20</f>
        <v/>
      </c>
      <c r="E46" s="56" t="n"/>
      <c r="F46" s="59" t="n">
        <v>3.6</v>
      </c>
      <c r="G46" s="57" t="n"/>
      <c r="H46" s="58" t="n"/>
      <c r="I46" s="57" t="n"/>
      <c r="J46" s="32">
        <f>$E$21</f>
        <v/>
      </c>
      <c r="K46" s="40" t="inlineStr">
        <is>
          <t>ใช้ 2 อัน</t>
        </is>
      </c>
    </row>
    <row r="47" ht="24" customHeight="1" s="26">
      <c r="B47" s="53" t="inlineStr">
        <is>
          <t>ขวางบน-ล่าง (ยัดในช่อง)</t>
        </is>
      </c>
      <c r="C47" s="54" t="inlineStr">
        <is>
          <t>ความกว้างช่อง</t>
        </is>
      </c>
      <c r="D47" s="55">
        <f>$C$4</f>
        <v/>
      </c>
      <c r="E47" s="56" t="n"/>
      <c r="F47" s="59" t="n">
        <v>5</v>
      </c>
      <c r="G47" s="57" t="n"/>
      <c r="H47" s="60">
        <f>$C$6</f>
        <v/>
      </c>
      <c r="I47" s="59" t="n">
        <v>0.2</v>
      </c>
      <c r="J47" s="32">
        <f>$E$22</f>
        <v/>
      </c>
      <c r="K47" s="40" t="inlineStr">
        <is>
          <t>แบบยัดในช่อง: (ฐาน−ตัวลบ)÷บาน + บาน×ตัวคูณ</t>
        </is>
      </c>
    </row>
    <row r="48" ht="24" customHeight="1" s="26">
      <c r="B48" s="53" t="inlineStr">
        <is>
          <t>ขวางบน-ล่าง (แปะนอก)</t>
        </is>
      </c>
      <c r="C48" s="54" t="inlineStr">
        <is>
          <t>ความกว้างช่อง</t>
        </is>
      </c>
      <c r="D48" s="55">
        <f>$C$4</f>
        <v/>
      </c>
      <c r="E48" s="56" t="n"/>
      <c r="F48" s="59" t="n">
        <v>2.5</v>
      </c>
      <c r="G48" s="59" t="n">
        <v>1.7</v>
      </c>
      <c r="H48" s="60">
        <f>$C$6</f>
        <v/>
      </c>
      <c r="I48" s="59" t="n">
        <v>0.2</v>
      </c>
      <c r="J48" s="32">
        <f>$E$22</f>
        <v/>
      </c>
      <c r="K48" s="40" t="inlineStr">
        <is>
          <t>แบบแปะนอก: (ฐาน+ปรับ−ตัวลบ)÷บาน + บาน×ตัวคูณ</t>
        </is>
      </c>
    </row>
    <row r="49" ht="24" customHeight="1" s="26">
      <c r="B49" s="53" t="inlineStr">
        <is>
          <t>เสากุญแจ</t>
        </is>
      </c>
      <c r="C49" s="54" t="inlineStr">
        <is>
          <t>ความสูงช่อง</t>
        </is>
      </c>
      <c r="D49" s="55">
        <f>$C$5</f>
        <v/>
      </c>
      <c r="E49" s="55">
        <f>$C$12</f>
        <v/>
      </c>
      <c r="F49" s="59" t="n">
        <v>12.1</v>
      </c>
      <c r="G49" s="57" t="n"/>
      <c r="H49" s="58" t="n"/>
      <c r="I49" s="57" t="n"/>
      <c r="J49" s="32">
        <f>$E$23</f>
        <v/>
      </c>
      <c r="K49" s="40" t="inlineStr">
        <is>
          <t>บานละ 2 ท่อน</t>
        </is>
      </c>
    </row>
    <row r="50" ht="24" customHeight="1" s="26">
      <c r="B50" s="53" t="inlineStr">
        <is>
          <t>ตบเรียบ (บานเลื่อน)</t>
        </is>
      </c>
      <c r="C50" s="54" t="inlineStr">
        <is>
          <t>ความสูงช่อง</t>
        </is>
      </c>
      <c r="D50" s="55">
        <f>$C$5</f>
        <v/>
      </c>
      <c r="E50" s="55">
        <f>$C$12</f>
        <v/>
      </c>
      <c r="F50" s="59" t="n">
        <v>5.1</v>
      </c>
      <c r="G50" s="57" t="n"/>
      <c r="H50" s="58" t="n"/>
      <c r="I50" s="57" t="n"/>
      <c r="J50" s="32">
        <f>$E$24</f>
        <v/>
      </c>
      <c r="K50" s="40" t="n"/>
    </row>
    <row r="51" ht="24" customHeight="1" s="26">
      <c r="B51" s="53" t="inlineStr">
        <is>
          <t>ตบเรียบ (บานตาย)</t>
        </is>
      </c>
      <c r="C51" s="54" t="inlineStr">
        <is>
          <t>ความสูงช่อง</t>
        </is>
      </c>
      <c r="D51" s="55">
        <f>$C$5</f>
        <v/>
      </c>
      <c r="E51" s="55">
        <f>$C$12</f>
        <v/>
      </c>
      <c r="F51" s="57" t="n"/>
      <c r="G51" s="57" t="n"/>
      <c r="H51" s="58" t="n"/>
      <c r="I51" s="57" t="n"/>
      <c r="J51" s="32">
        <f>$E$25</f>
        <v/>
      </c>
      <c r="K51" s="40" t="inlineStr">
        <is>
          <t>ไม่ลบตัวลบ</t>
        </is>
      </c>
    </row>
    <row r="52" ht="24" customHeight="1" s="26">
      <c r="B52" s="53" t="inlineStr">
        <is>
          <t>ตบเกี่ยวสักหลาด</t>
        </is>
      </c>
      <c r="C52" s="54" t="inlineStr">
        <is>
          <t>ความสูงช่อง</t>
        </is>
      </c>
      <c r="D52" s="55">
        <f>$C$5</f>
        <v/>
      </c>
      <c r="E52" s="55">
        <f>$C$12</f>
        <v/>
      </c>
      <c r="F52" s="59" t="n">
        <v>5.1</v>
      </c>
      <c r="G52" s="57" t="n"/>
      <c r="H52" s="58" t="n"/>
      <c r="I52" s="57" t="n"/>
      <c r="J52" s="32">
        <f>$E$26</f>
        <v/>
      </c>
      <c r="K52" s="40" t="inlineStr">
        <is>
          <t>จำนวน=บานเลื่อน+1</t>
        </is>
      </c>
    </row>
    <row r="53" ht="24" customHeight="1" s="26">
      <c r="B53" s="53" t="inlineStr">
        <is>
          <t>มือจับ X-J</t>
        </is>
      </c>
      <c r="C53" s="54" t="inlineStr">
        <is>
          <t>เท่าเสากุญแจ</t>
        </is>
      </c>
      <c r="D53" s="55">
        <f>$E$23</f>
        <v/>
      </c>
      <c r="E53" s="56" t="n"/>
      <c r="F53" s="57" t="n"/>
      <c r="G53" s="57" t="n"/>
      <c r="H53" s="58" t="n"/>
      <c r="I53" s="57" t="n"/>
      <c r="J53" s="32">
        <f>$E$27</f>
        <v/>
      </c>
      <c r="K53" s="40" t="inlineStr">
        <is>
          <t>1 ชุด 2 อัน (คู่กลาง 4)</t>
        </is>
      </c>
    </row>
    <row r="54" ht="24" customHeight="1" s="26">
      <c r="B54" s="53" t="inlineStr">
        <is>
          <t>ฉากปิดราง 2"</t>
        </is>
      </c>
      <c r="C54" s="54" t="inlineStr">
        <is>
          <t>เท่าความกว้างช่องปูน</t>
        </is>
      </c>
      <c r="D54" s="55">
        <f>$C$4</f>
        <v/>
      </c>
      <c r="E54" s="56" t="n"/>
      <c r="F54" s="57" t="n"/>
      <c r="G54" s="57" t="n"/>
      <c r="H54" s="58" t="n"/>
      <c r="I54" s="57" t="n"/>
      <c r="J54" s="32">
        <f>$E$28</f>
        <v/>
      </c>
      <c r="K54" s="40" t="inlineStr">
        <is>
          <t>1 ชุด 2 อัน</t>
        </is>
      </c>
    </row>
    <row r="55" ht="24" customHeight="1" s="26">
      <c r="B55" s="53" t="inlineStr">
        <is>
          <t>ตบปิดใต้รางริม</t>
        </is>
      </c>
      <c r="C55" s="54" t="inlineStr">
        <is>
          <t>เท่ารางบน</t>
        </is>
      </c>
      <c r="D55" s="55">
        <f>$E$19</f>
        <v/>
      </c>
      <c r="E55" s="56" t="n"/>
      <c r="F55" s="57" t="n"/>
      <c r="G55" s="57" t="n"/>
      <c r="H55" s="58" t="n"/>
      <c r="I55" s="57" t="n"/>
      <c r="J55" s="32">
        <f>$E$29</f>
        <v/>
      </c>
      <c r="K55" s="40" t="inlineStr">
        <is>
          <t>1 ชุด 2 อัน</t>
        </is>
      </c>
    </row>
    <row r="56" ht="24" customHeight="1" s="26">
      <c r="B56" s="53" t="inlineStr">
        <is>
          <t>ตบปิดใต้รางกลาง</t>
        </is>
      </c>
      <c r="C56" s="54" t="inlineStr">
        <is>
          <t>เท่ารางบน</t>
        </is>
      </c>
      <c r="D56" s="55">
        <f>$E$19</f>
        <v/>
      </c>
      <c r="E56" s="56" t="n"/>
      <c r="F56" s="57" t="n"/>
      <c r="G56" s="57" t="n"/>
      <c r="H56" s="58" t="n"/>
      <c r="I56" s="57" t="n"/>
      <c r="J56" s="32">
        <f>$E$30</f>
        <v/>
      </c>
      <c r="K56" s="40" t="inlineStr">
        <is>
          <t>จำนวน = ราง − 1</t>
        </is>
      </c>
    </row>
    <row r="58" ht="15" customHeight="1" s="26">
      <c r="B58" s="61" t="inlineStr">
        <is>
          <t>④ ตัวเลข 'จำนวน' ที่แก้ได้ — จำนวนชิ้นต่อบาน/ต่องาน</t>
        </is>
      </c>
    </row>
    <row r="59" ht="15" customHeight="1" s="26">
      <c r="B59" s="29" t="inlineStr">
        <is>
          <t>ความหมาย (จำนวนของโปรไฟล์อะไร)</t>
        </is>
      </c>
      <c r="C59" s="62" t="n"/>
      <c r="D59" s="62" t="n"/>
      <c r="E59" s="63" t="n"/>
      <c r="F59" s="34" t="inlineStr">
        <is>
          <t>ค่า</t>
        </is>
      </c>
      <c r="G59" s="62" t="n"/>
      <c r="H59" s="62" t="n"/>
      <c r="I59" s="62" t="n"/>
      <c r="J59" s="62" t="n"/>
      <c r="K59" s="63" t="n"/>
    </row>
    <row r="60" ht="18.75" customHeight="1" s="26">
      <c r="B60" s="36" t="inlineStr">
        <is>
          <t>คาน — จำนวนเส้น</t>
        </is>
      </c>
      <c r="C60" s="62" t="n"/>
      <c r="D60" s="62" t="n"/>
      <c r="E60" s="63" t="n"/>
      <c r="F60" s="30" t="n">
        <v>1</v>
      </c>
      <c r="G60" s="62" t="n"/>
      <c r="H60" s="62" t="n"/>
      <c r="I60" s="62" t="n"/>
      <c r="J60" s="62" t="n"/>
      <c r="K60" s="63" t="n"/>
    </row>
    <row r="61" ht="18.75" customHeight="1" s="26">
      <c r="B61" s="36" t="inlineStr">
        <is>
          <t>บังใบ 4 หุน — จำนวนอัน</t>
        </is>
      </c>
      <c r="C61" s="62" t="n"/>
      <c r="D61" s="62" t="n"/>
      <c r="E61" s="63" t="n"/>
      <c r="F61" s="30" t="n">
        <v>2</v>
      </c>
      <c r="G61" s="62" t="n"/>
      <c r="H61" s="62" t="n"/>
      <c r="I61" s="62" t="n"/>
      <c r="J61" s="62" t="n"/>
      <c r="K61" s="63" t="n"/>
    </row>
    <row r="62" ht="18.75" customHeight="1" s="26">
      <c r="B62" s="36" t="inlineStr">
        <is>
          <t>ขวางบน-ล่าง — จำนวนต่อบาน (บน+ล่าง)</t>
        </is>
      </c>
      <c r="C62" s="62" t="n"/>
      <c r="D62" s="62" t="n"/>
      <c r="E62" s="63" t="n"/>
      <c r="F62" s="30" t="n">
        <v>2</v>
      </c>
      <c r="G62" s="62" t="n"/>
      <c r="H62" s="62" t="n"/>
      <c r="I62" s="62" t="n"/>
      <c r="J62" s="62" t="n"/>
      <c r="K62" s="63" t="n"/>
    </row>
    <row r="63" ht="18.75" customHeight="1" s="26">
      <c r="B63" s="36" t="inlineStr">
        <is>
          <t>เสากุญแจ — จำนวนท่อนต่อบาน</t>
        </is>
      </c>
      <c r="C63" s="62" t="n"/>
      <c r="D63" s="62" t="n"/>
      <c r="E63" s="63" t="n"/>
      <c r="F63" s="30" t="n">
        <v>2</v>
      </c>
      <c r="G63" s="62" t="n"/>
      <c r="H63" s="62" t="n"/>
      <c r="I63" s="62" t="n"/>
      <c r="J63" s="62" t="n"/>
      <c r="K63" s="63" t="n"/>
    </row>
    <row r="64" ht="18.75" customHeight="1" s="26">
      <c r="B64" s="36" t="inlineStr">
        <is>
          <t>ตบเรียบหน้าเสากุญแจ — จำนวน (แบบ 'ยัดในช่อง')</t>
        </is>
      </c>
      <c r="C64" s="62" t="n"/>
      <c r="D64" s="62" t="n"/>
      <c r="E64" s="63" t="n"/>
      <c r="F64" s="30" t="n">
        <v>2</v>
      </c>
      <c r="G64" s="62" t="n"/>
      <c r="H64" s="62" t="n"/>
      <c r="I64" s="62" t="n"/>
      <c r="J64" s="62" t="n"/>
      <c r="K64" s="63" t="n"/>
    </row>
    <row r="65" ht="18.75" customHeight="1" s="26">
      <c r="B65" s="36" t="inlineStr">
        <is>
          <t>ตบเรียบหน้าเสากุญแจ — จำนวน (แบบ 'แปะนอก')</t>
        </is>
      </c>
      <c r="C65" s="62" t="n"/>
      <c r="D65" s="62" t="n"/>
      <c r="E65" s="63" t="n"/>
      <c r="F65" s="30" t="n">
        <v>1</v>
      </c>
      <c r="G65" s="62" t="n"/>
      <c r="H65" s="62" t="n"/>
      <c r="I65" s="62" t="n"/>
      <c r="J65" s="62" t="n"/>
      <c r="K65" s="63" t="n"/>
    </row>
    <row r="66" ht="18.75" customHeight="1" s="26">
      <c r="B66" s="36" t="inlineStr">
        <is>
          <t>ตบเรียบ (บานตาย) — จำนวน</t>
        </is>
      </c>
      <c r="C66" s="62" t="n"/>
      <c r="D66" s="62" t="n"/>
      <c r="E66" s="63" t="n"/>
      <c r="F66" s="30" t="n">
        <v>0</v>
      </c>
      <c r="G66" s="62" t="n"/>
      <c r="H66" s="62" t="n"/>
      <c r="I66" s="62" t="n"/>
      <c r="J66" s="62" t="n"/>
      <c r="K66" s="63" t="n"/>
    </row>
    <row r="67" ht="18.75" customHeight="1" s="26">
      <c r="B67" s="36" t="inlineStr">
        <is>
          <t>ตบเกี่ยวสักหลาด — บวกเพิ่มเสมอ</t>
        </is>
      </c>
      <c r="C67" s="62" t="n"/>
      <c r="D67" s="62" t="n"/>
      <c r="E67" s="63" t="n"/>
      <c r="F67" s="30" t="n">
        <v>1</v>
      </c>
      <c r="G67" s="62" t="n"/>
      <c r="H67" s="62" t="n"/>
      <c r="I67" s="62" t="n"/>
      <c r="J67" s="62" t="n"/>
      <c r="K67" s="63" t="n"/>
    </row>
    <row r="68" ht="18.75" customHeight="1" s="26">
      <c r="B68" s="36" t="inlineStr">
        <is>
          <t>ตบเกี่ยวสักหลาด — บวกเพิ่มถ้า 'แปะนอก'</t>
        </is>
      </c>
      <c r="C68" s="62" t="n"/>
      <c r="D68" s="62" t="n"/>
      <c r="E68" s="63" t="n"/>
      <c r="F68" s="30" t="n">
        <v>1</v>
      </c>
      <c r="G68" s="62" t="n"/>
      <c r="H68" s="62" t="n"/>
      <c r="I68" s="62" t="n"/>
      <c r="J68" s="62" t="n"/>
      <c r="K68" s="63" t="n"/>
    </row>
    <row r="69" ht="18.75" customHeight="1" s="26">
      <c r="B69" s="36" t="inlineStr">
        <is>
          <t>มือจับ X-J — จำนวนปกติ (1 ชุด)</t>
        </is>
      </c>
      <c r="C69" s="62" t="n"/>
      <c r="D69" s="62" t="n"/>
      <c r="E69" s="63" t="n"/>
      <c r="F69" s="30" t="n">
        <v>2</v>
      </c>
      <c r="G69" s="62" t="n"/>
      <c r="H69" s="62" t="n"/>
      <c r="I69" s="62" t="n"/>
      <c r="J69" s="62" t="n"/>
      <c r="K69" s="63" t="n"/>
    </row>
    <row r="70" ht="18.75" customHeight="1" s="26">
      <c r="B70" s="36" t="inlineStr">
        <is>
          <t>มือจับ X-J — จำนวนเมื่อ 'เปิดคู่กลาง'</t>
        </is>
      </c>
      <c r="C70" s="62" t="n"/>
      <c r="D70" s="62" t="n"/>
      <c r="E70" s="63" t="n"/>
      <c r="F70" s="30" t="n">
        <v>4</v>
      </c>
      <c r="G70" s="62" t="n"/>
      <c r="H70" s="62" t="n"/>
      <c r="I70" s="62" t="n"/>
      <c r="J70" s="62" t="n"/>
      <c r="K70" s="63" t="n"/>
    </row>
    <row r="71" ht="18.75" customHeight="1" s="26">
      <c r="B71" s="36" t="inlineStr">
        <is>
          <t>ฉากปิดราง 2" — จำนวนอัน</t>
        </is>
      </c>
      <c r="C71" s="62" t="n"/>
      <c r="D71" s="62" t="n"/>
      <c r="E71" s="63" t="n"/>
      <c r="F71" s="30" t="n">
        <v>2</v>
      </c>
      <c r="G71" s="62" t="n"/>
      <c r="H71" s="62" t="n"/>
      <c r="I71" s="62" t="n"/>
      <c r="J71" s="62" t="n"/>
      <c r="K71" s="63" t="n"/>
    </row>
    <row r="72" ht="18.75" customHeight="1" s="26">
      <c r="B72" s="36" t="inlineStr">
        <is>
          <t>ตบปิดใต้รางริม — จำนวนอัน</t>
        </is>
      </c>
      <c r="C72" s="62" t="n"/>
      <c r="D72" s="62" t="n"/>
      <c r="E72" s="63" t="n"/>
      <c r="F72" s="30" t="n">
        <v>2</v>
      </c>
      <c r="G72" s="62" t="n"/>
      <c r="H72" s="62" t="n"/>
      <c r="I72" s="62" t="n"/>
      <c r="J72" s="62" t="n"/>
      <c r="K72" s="63" t="n"/>
    </row>
    <row r="73" ht="18.75" customHeight="1" s="26">
      <c r="B73" s="36" t="inlineStr">
        <is>
          <t>ตบปิดใต้รางกลาง — เอา 'ราง' ลบด้วย</t>
        </is>
      </c>
      <c r="C73" s="62" t="n"/>
      <c r="D73" s="62" t="n"/>
      <c r="E73" s="63" t="n"/>
      <c r="F73" s="30" t="n">
        <v>1</v>
      </c>
      <c r="G73" s="62" t="n"/>
      <c r="H73" s="62" t="n"/>
      <c r="I73" s="62" t="n"/>
      <c r="J73" s="62" t="n"/>
      <c r="K73" s="63" t="n"/>
    </row>
    <row r="75" ht="26.1" customHeight="1" s="26">
      <c r="B75" s="61" t="inlineStr">
        <is>
          <t>⑤ ตารางคาน (ดรอปดาว) — แก้ขนาดที่หักของแต่ละกล่อง</t>
        </is>
      </c>
    </row>
    <row r="76" ht="15" customHeight="1" s="26">
      <c r="B76" s="34" t="inlineStr">
        <is>
          <t>คาน</t>
        </is>
      </c>
      <c r="C76" s="34" t="inlineStr">
        <is>
          <t>ลบความสูง (ซม.)</t>
        </is>
      </c>
    </row>
    <row r="77" ht="15" customHeight="1" s="26">
      <c r="B77" s="35" t="inlineStr">
        <is>
          <t>1×2</t>
        </is>
      </c>
      <c r="C77" s="59" t="n">
        <v>2.5</v>
      </c>
    </row>
    <row r="78" ht="15" customHeight="1" s="26">
      <c r="B78" s="35" t="inlineStr">
        <is>
          <t>2×2</t>
        </is>
      </c>
      <c r="C78" s="59" t="n">
        <v>5</v>
      </c>
    </row>
    <row r="79" ht="15" customHeight="1" s="26">
      <c r="B79" s="35" t="inlineStr">
        <is>
          <t>1×4</t>
        </is>
      </c>
      <c r="C79" s="59" t="n">
        <v>2.5</v>
      </c>
    </row>
    <row r="80" ht="15" customHeight="1" s="26">
      <c r="B80" s="35" t="inlineStr">
        <is>
          <t>2×4</t>
        </is>
      </c>
      <c r="C80" s="59" t="n">
        <v>5</v>
      </c>
    </row>
    <row r="81" ht="15" customHeight="1" s="26">
      <c r="B81" s="35" t="inlineStr">
        <is>
          <t>1×4+1×1.6</t>
        </is>
      </c>
      <c r="C81" s="59" t="n">
        <v>2.5</v>
      </c>
    </row>
    <row r="82" ht="15" customHeight="1" s="26">
      <c r="B82" s="35" t="inlineStr">
        <is>
          <t>2×4+4×4</t>
        </is>
      </c>
      <c r="C82" s="59" t="n">
        <v>10.2</v>
      </c>
    </row>
    <row r="83" ht="15" customHeight="1" s="26">
      <c r="B83" s="35" t="inlineStr">
        <is>
          <t>4×4</t>
        </is>
      </c>
      <c r="C83" s="59" t="n">
        <v>10.2</v>
      </c>
    </row>
    <row r="85">
      <c r="B85" s="61" t="inlineStr">
        <is>
          <t>⑦ เสารับบาน — แตกกล่องหักสต็อค (เว้นรหัส · กรอกตอนเข้าเว็บ)</t>
        </is>
      </c>
    </row>
    <row r="86">
      <c r="A86" s="45" t="inlineStr">
        <is>
          <t>#</t>
        </is>
      </c>
      <c r="B86" s="45" t="inlineStr">
        <is>
          <t>กล่อง</t>
        </is>
      </c>
      <c r="C86" s="45" t="inlineStr">
        <is>
          <t>รหัส SKU</t>
        </is>
      </c>
      <c r="D86" s="45" t="inlineStr">
        <is>
          <t>ยาวตัด (ซม.)</t>
        </is>
      </c>
      <c r="E86" s="46" t="inlineStr">
        <is>
          <t>จำนวนท่อน</t>
        </is>
      </c>
      <c r="F86" s="45" t="inlineStr">
        <is>
          <t>หน่วย</t>
        </is>
      </c>
      <c r="G86" s="45" t="inlineStr">
        <is>
          <t>หมายเหตุ</t>
        </is>
      </c>
    </row>
    <row r="87">
      <c r="A87" s="47" t="n">
        <v>1</v>
      </c>
      <c r="B87" s="48" t="inlineStr">
        <is>
          <t>กล่อง 1×1.6</t>
        </is>
      </c>
      <c r="C87" s="65" t="n"/>
      <c r="D87" s="49">
        <f>$E$20</f>
        <v/>
      </c>
      <c r="E87" s="49">
        <f>((LEN($C$16)-LEN(SUBSTITUTE($C$16,"1×1.6","")))/5)*$C$15</f>
        <v/>
      </c>
      <c r="F87" s="48" t="inlineStr">
        <is>
          <t>ท่อน</t>
        </is>
      </c>
      <c r="G87" s="48" t="inlineStr">
        <is>
          <t>ยาวเท่ากันทุกท่อน</t>
        </is>
      </c>
    </row>
    <row r="88">
      <c r="A88" s="47" t="n">
        <v>2</v>
      </c>
      <c r="B88" s="48" t="inlineStr">
        <is>
          <t>กล่อง 1×4</t>
        </is>
      </c>
      <c r="C88" s="65" t="n"/>
      <c r="D88" s="49">
        <f>$E$20</f>
        <v/>
      </c>
      <c r="E88" s="49">
        <f>((LEN($C$16)-LEN(SUBSTITUTE($C$16,"1×4","")))/3)*$C$15</f>
        <v/>
      </c>
      <c r="F88" s="48" t="inlineStr">
        <is>
          <t>ท่อน</t>
        </is>
      </c>
      <c r="G88" s="48" t="inlineStr">
        <is>
          <t>ยาวเท่ากันทุกท่อน</t>
        </is>
      </c>
    </row>
    <row r="89">
      <c r="A89" s="47" t="n">
        <v>3</v>
      </c>
      <c r="B89" s="48" t="inlineStr">
        <is>
          <t>กล่อง 1×3</t>
        </is>
      </c>
      <c r="C89" s="65" t="n"/>
      <c r="D89" s="49">
        <f>$E$20</f>
        <v/>
      </c>
      <c r="E89" s="49">
        <f>((LEN($C$16)-LEN(SUBSTITUTE($C$16,"1×3","")))/3)*$C$15</f>
        <v/>
      </c>
      <c r="F89" s="48" t="inlineStr">
        <is>
          <t>ท่อน</t>
        </is>
      </c>
      <c r="G89" s="48" t="inlineStr">
        <is>
          <t>ยาวเท่ากันทุกท่อน</t>
        </is>
      </c>
    </row>
  </sheetData>
  <mergeCells count="37">
    <mergeCell ref="B65:E65"/>
    <mergeCell ref="B3:C3"/>
    <mergeCell ref="B68:E68"/>
    <mergeCell ref="B64:E64"/>
    <mergeCell ref="F70:K70"/>
    <mergeCell ref="F66:K66"/>
    <mergeCell ref="F62:K62"/>
    <mergeCell ref="F72:K72"/>
    <mergeCell ref="B63:E63"/>
    <mergeCell ref="B41:K41"/>
    <mergeCell ref="B11:C11"/>
    <mergeCell ref="B62:E62"/>
    <mergeCell ref="F71:K71"/>
    <mergeCell ref="B72:E72"/>
    <mergeCell ref="F67:K67"/>
    <mergeCell ref="B59:E59"/>
    <mergeCell ref="F61:K61"/>
    <mergeCell ref="B66:E66"/>
    <mergeCell ref="B71:E71"/>
    <mergeCell ref="B85:G85"/>
    <mergeCell ref="F59:K59"/>
    <mergeCell ref="B58:K58"/>
    <mergeCell ref="F60:K60"/>
    <mergeCell ref="B70:E70"/>
    <mergeCell ref="F73:K73"/>
    <mergeCell ref="F69:K69"/>
    <mergeCell ref="F64:K64"/>
    <mergeCell ref="A1:K2"/>
    <mergeCell ref="B60:E60"/>
    <mergeCell ref="B67:E67"/>
    <mergeCell ref="B61:E61"/>
    <mergeCell ref="F63:K63"/>
    <mergeCell ref="F65:K65"/>
    <mergeCell ref="F68:K68"/>
    <mergeCell ref="B73:E73"/>
    <mergeCell ref="B69:E69"/>
    <mergeCell ref="B75:C75"/>
  </mergeCells>
  <dataValidations count="2">
    <dataValidation sqref="C33" showDropDown="0" showInputMessage="0" showErrorMessage="0" allowBlank="0" type="list">
      <formula1>"ซ้าย,ขวา"</formula1>
    </dataValidation>
    <dataValidation sqref="C16" showDropDown="0" showInputMessage="0" showErrorMessage="1" allowBlank="0" errorTitle="เสารับบาน" error="เลือกจากรายการเท่านั้น" type="list">
      <formula1>"1×1.6,1×4,1×3+1×3,1×4+1×4,1×4+1×4+1×1.6,1×4+1×4+1×4"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2026-07-01T03:07:17Z</dcterms:created>
  <dcterms:modified xmlns:dcterms="http://purl.org/dc/terms/" xmlns:xsi="http://www.w3.org/2001/XMLSchema-instance" xsi:type="dcterms:W3CDTF">2026-07-23T10:26:05Z</dcterms:modified>
  <cp:revision>1</cp:revision>
</cp:coreProperties>
</file>