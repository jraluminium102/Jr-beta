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imLux เลื่อ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Tahoma"/>
      <b val="1"/>
      <color rgb="00FFFFFF"/>
      <sz val="13"/>
    </font>
    <font>
      <name val="Tahoma"/>
      <b val="1"/>
      <sz val="10"/>
    </font>
    <font>
      <name val="Tahoma"/>
      <b val="1"/>
      <color rgb="00FFFFFF"/>
    </font>
    <font>
      <name val="Tahoma"/>
      <sz val="10"/>
    </font>
    <font>
      <name val="Tahoma"/>
      <color rgb="00808080"/>
      <sz val="8"/>
    </font>
    <font>
      <name val="Tahoma"/>
      <sz val="9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F8CBAD"/>
      </patternFill>
    </fill>
    <fill>
      <patternFill patternType="solid">
        <fgColor rgb="00548235"/>
      </patternFill>
    </fill>
    <fill>
      <patternFill patternType="solid">
        <fgColor rgb="00EDEDED"/>
      </patternFill>
    </fill>
    <fill>
      <patternFill patternType="solid">
        <fgColor rgb="00DEEBF7"/>
      </patternFill>
    </fill>
    <fill>
      <patternFill patternType="solid">
        <fgColor rgb="007F77DD"/>
      </patternFill>
    </fill>
  </fills>
  <borders count="6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1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164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164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3" fillId="8" borderId="0" applyAlignment="1" pivotButton="0" quotePrefix="0" xfId="0">
      <alignment horizontal="left" vertical="center" wrapText="1"/>
    </xf>
    <xf numFmtId="0" fontId="0" fillId="8" borderId="0" pivotButton="0" quotePrefix="0" xfId="0"/>
    <xf numFmtId="0" fontId="2" fillId="9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164" fontId="2" fillId="10" borderId="1" applyAlignment="1" pivotButton="0" quotePrefix="0" xfId="0">
      <alignment horizontal="center" vertical="center" wrapText="1"/>
    </xf>
    <xf numFmtId="164" fontId="2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1" fontId="2" fillId="9" borderId="1" applyAlignment="1" pivotButton="0" quotePrefix="0" xfId="0">
      <alignment horizontal="center" vertical="center" wrapText="1"/>
    </xf>
    <xf numFmtId="164" fontId="2" fillId="5" borderId="1" applyAlignment="1" pivotButton="0" quotePrefix="0" xfId="0">
      <alignment horizontal="center" vertical="center" wrapText="1"/>
    </xf>
    <xf numFmtId="1" fontId="2" fillId="10" borderId="1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left" vertical="center" wrapText="1"/>
    </xf>
    <xf numFmtId="0" fontId="0" fillId="11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/Relationships>
</file>

<file path=xl/drawings/drawing1.xml><?xml version="1.0" encoding="utf-8"?>
<wsDr xmlns="http://schemas.openxmlformats.org/drawingml/2006/spreadsheetDrawing">
  <oneCellAnchor>
    <from>
      <col>3</col>
      <colOff>0</colOff>
      <row>18</row>
      <rowOff>0</rowOff>
    </from>
    <ext cx="876300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19</row>
      <rowOff>0</rowOff>
    </from>
    <ext cx="876300" cy="4381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21</row>
      <rowOff>0</rowOff>
    </from>
    <ext cx="876300" cy="4381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22</row>
      <rowOff>0</rowOff>
    </from>
    <ext cx="876300" cy="4381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23</row>
      <rowOff>0</rowOff>
    </from>
    <ext cx="876300" cy="4381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24</row>
      <rowOff>0</rowOff>
    </from>
    <ext cx="876300" cy="4381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25</row>
      <rowOff>0</rowOff>
    </from>
    <ext cx="876300" cy="4381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28</row>
      <rowOff>0</rowOff>
    </from>
    <ext cx="876300" cy="4381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29</row>
      <rowOff>0</rowOff>
    </from>
    <ext cx="876300" cy="4381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8" customWidth="1" min="3" max="3"/>
    <col width="15" customWidth="1" min="4" max="4"/>
    <col width="11" customWidth="1" min="5" max="5"/>
    <col width="9" customWidth="1" min="6" max="6"/>
    <col width="8" customWidth="1" min="7" max="7"/>
    <col width="11" customWidth="1" min="8" max="8"/>
    <col width="9" customWidth="1" min="9" max="9"/>
    <col width="11" customWidth="1" min="10" max="10"/>
    <col width="30" customWidth="1" min="11" max="11"/>
  </cols>
  <sheetData>
    <row r="1">
      <c r="A1" s="1" t="inlineStr">
        <is>
          <t>JR ALUMINIUM &amp; GLASS   —   ใบตัดบาน SlimLux (บานเลื่อนรางบน)   ·   หน่วย: ซม.</t>
        </is>
      </c>
    </row>
    <row r="2"/>
    <row r="3">
      <c r="B3" s="3" t="inlineStr">
        <is>
          <t>① กรอกข้อมูลช่อง (ช่องเหลือง)</t>
        </is>
      </c>
    </row>
    <row r="4">
      <c r="B4" s="4" t="inlineStr">
        <is>
          <t>กว้างช่องปูน (ช่อง)</t>
        </is>
      </c>
      <c r="C4" s="5" t="n">
        <v>300</v>
      </c>
    </row>
    <row r="5">
      <c r="B5" s="4" t="inlineStr">
        <is>
          <t>สูงช่องปูน</t>
        </is>
      </c>
      <c r="C5" s="5" t="n">
        <v>240</v>
      </c>
    </row>
    <row r="6">
      <c r="B6" s="4" t="inlineStr">
        <is>
          <t>จำนวนบาน</t>
        </is>
      </c>
      <c r="C6" s="5" t="n">
        <v>3</v>
      </c>
    </row>
    <row r="7">
      <c r="B7" s="4" t="inlineStr">
        <is>
          <t>คาน (เลือกกล่อง)</t>
        </is>
      </c>
      <c r="C7" s="6" t="inlineStr">
        <is>
          <t>1×4</t>
        </is>
      </c>
    </row>
    <row r="8">
      <c r="B8" s="4" t="inlineStr">
        <is>
          <t>รูปแบบช่องปูน</t>
        </is>
      </c>
      <c r="C8" s="6" t="inlineStr">
        <is>
          <t>ยัดในช่อง</t>
        </is>
      </c>
    </row>
    <row r="9">
      <c r="B9" s="4" t="inlineStr">
        <is>
          <t>รูปแบบบาน</t>
        </is>
      </c>
      <c r="C9" s="6" t="inlineStr">
        <is>
          <t>อิสระ</t>
        </is>
      </c>
    </row>
    <row r="10">
      <c r="B10" s="4" t="inlineStr">
        <is>
          <t>มือจับ</t>
        </is>
      </c>
      <c r="C10" s="6" t="inlineStr">
        <is>
          <t>X-J</t>
        </is>
      </c>
    </row>
    <row r="11">
      <c r="B11" s="3" t="inlineStr">
        <is>
          <t>② ค่าที่คำนวณอัตโนมัติ (ห้ามแก้)</t>
        </is>
      </c>
    </row>
    <row r="12">
      <c r="B12" s="7" t="inlineStr">
        <is>
          <t>ขนาดคานที่หัก (ซม.)</t>
        </is>
      </c>
      <c r="C12" s="8">
        <f>VLOOKUP($C$7,$B$68:$C$74,2,FALSE)</f>
        <v/>
      </c>
    </row>
    <row r="13">
      <c r="B13" s="7" t="inlineStr">
        <is>
          <t>บานตาย</t>
        </is>
      </c>
      <c r="C13" s="9">
        <f>IF($C$9="อิสระ",0,IF($C$9="ลากจูง",1,2))</f>
        <v/>
      </c>
    </row>
    <row r="14">
      <c r="B14" s="7" t="inlineStr">
        <is>
          <t>บานเลื่อน</t>
        </is>
      </c>
      <c r="C14" s="9">
        <f>$C$6-$C$13</f>
        <v/>
      </c>
    </row>
    <row r="15">
      <c r="B15" s="7" t="inlineStr">
        <is>
          <t>จำนวนเสารับ (ฝั่ง)</t>
        </is>
      </c>
      <c r="C15" s="9">
        <f>IF($C$8="แปะนอก",1,2)</f>
        <v/>
      </c>
    </row>
    <row r="17">
      <c r="A17" s="10" t="inlineStr">
        <is>
          <t>#</t>
        </is>
      </c>
      <c r="B17" s="10" t="inlineStr">
        <is>
          <t>โปรไฟล์</t>
        </is>
      </c>
      <c r="C17" s="10" t="inlineStr">
        <is>
          <t>รหัส</t>
        </is>
      </c>
      <c r="D17" s="10" t="inlineStr">
        <is>
          <t>รูป</t>
        </is>
      </c>
      <c r="E17" s="10" t="inlineStr">
        <is>
          <t>ยาวตัด (ซม.)</t>
        </is>
      </c>
      <c r="F17" s="10" t="inlineStr">
        <is>
          <t>จำนวน</t>
        </is>
      </c>
      <c r="G17" s="10" t="inlineStr">
        <is>
          <t>หมายเหตุ</t>
        </is>
      </c>
    </row>
    <row r="18" ht="48" customHeight="1">
      <c r="A18" s="11" t="n">
        <v>1</v>
      </c>
      <c r="B18" s="12" t="inlineStr">
        <is>
          <t>คาน</t>
        </is>
      </c>
      <c r="C18" s="13" t="inlineStr">
        <is>
          <t>กล่องคาน</t>
        </is>
      </c>
      <c r="D18" s="13" t="n"/>
      <c r="E18" s="14">
        <f>IF($C$8="ยัดในช่อง",$C$4,$C$4*$I$34)</f>
        <v/>
      </c>
      <c r="F18" s="15">
        <f>$F$51</f>
        <v/>
      </c>
      <c r="G18" s="16" t="inlineStr">
        <is>
          <t>ยัด=ช่อง / แปะนอก=ช่อง×2</t>
        </is>
      </c>
    </row>
    <row r="19" ht="48" customHeight="1">
      <c r="A19" s="11" t="n">
        <v>2</v>
      </c>
      <c r="B19" s="12" t="inlineStr">
        <is>
          <t>รางบน (รางแขวน)</t>
        </is>
      </c>
      <c r="C19" s="13" t="inlineStr">
        <is>
          <t>XSW40008</t>
        </is>
      </c>
      <c r="D19" s="13" t="n"/>
      <c r="E19" s="14">
        <f>IF($C$8="ยัดในช่อง",$C$4-$F$35,$C$4*$I$35)</f>
        <v/>
      </c>
      <c r="F19" s="15">
        <f>$C$14</f>
        <v/>
      </c>
      <c r="G19" s="16" t="inlineStr">
        <is>
          <t>จำนวน=บานเลื่อน</t>
        </is>
      </c>
    </row>
    <row r="20" ht="48" customHeight="1">
      <c r="A20" s="11" t="n">
        <v>3</v>
      </c>
      <c r="B20" s="12" t="inlineStr">
        <is>
          <t>เสารับบาน</t>
        </is>
      </c>
      <c r="C20" s="13">
        <f>IF($C$6=1,"1×2",IF($C$6=2,"1×4","1×3"))</f>
        <v/>
      </c>
      <c r="D20" s="13" t="n"/>
      <c r="E20" s="14">
        <f>$C$5-$C$12</f>
        <v/>
      </c>
      <c r="F20" s="15">
        <f>$C$15</f>
        <v/>
      </c>
      <c r="G20" s="16" t="inlineStr">
        <is>
          <t>จำนวน=ฝั่ง</t>
        </is>
      </c>
    </row>
    <row r="21" ht="48" customHeight="1">
      <c r="A21" s="11" t="n">
        <v>4</v>
      </c>
      <c r="B21" s="12" t="inlineStr">
        <is>
          <t>บังใบ 4 หุน</t>
        </is>
      </c>
      <c r="C21" s="13" t="inlineStr">
        <is>
          <t>—</t>
        </is>
      </c>
      <c r="D21" s="13" t="n"/>
      <c r="E21" s="14">
        <f>($C$5-$C$12)-$F$37</f>
        <v/>
      </c>
      <c r="F21" s="15">
        <f>$F$52</f>
        <v/>
      </c>
      <c r="G21" s="16" t="inlineStr">
        <is>
          <t>เสารับ−3.6</t>
        </is>
      </c>
    </row>
    <row r="22" ht="48" customHeight="1">
      <c r="A22" s="11" t="n">
        <v>5</v>
      </c>
      <c r="B22" s="12" t="inlineStr">
        <is>
          <t>ขวางบน-ล่าง</t>
        </is>
      </c>
      <c r="C22" s="13" t="inlineStr">
        <is>
          <t>OPK-A201</t>
        </is>
      </c>
      <c r="D22" s="13" t="n"/>
      <c r="E22" s="14">
        <f>IF($C$8="ยัดในช่อง",($C$4-$F$38)/$C$6+$C$6*$I$38,(($C$4+$G$39-$F$39)/$C$6)+$C$6*$I$39)</f>
        <v/>
      </c>
      <c r="F22" s="15">
        <f>$F$53*$C$6</f>
        <v/>
      </c>
      <c r="G22" s="16" t="inlineStr">
        <is>
          <t>บานละ 2</t>
        </is>
      </c>
    </row>
    <row r="23" ht="48" customHeight="1">
      <c r="A23" s="11" t="n">
        <v>6</v>
      </c>
      <c r="B23" s="12" t="inlineStr">
        <is>
          <t>เสากุญแจ</t>
        </is>
      </c>
      <c r="C23" s="13" t="inlineStr">
        <is>
          <t>OPK-A202</t>
        </is>
      </c>
      <c r="D23" s="13" t="n"/>
      <c r="E23" s="14">
        <f>($C$5-$C$12)-$F$40</f>
        <v/>
      </c>
      <c r="F23" s="15">
        <f>$F$54*$C$6</f>
        <v/>
      </c>
      <c r="G23" s="16" t="inlineStr">
        <is>
          <t>บานละ 2 ท่อน</t>
        </is>
      </c>
    </row>
    <row r="24" ht="48" customHeight="1">
      <c r="A24" s="11" t="n">
        <v>7</v>
      </c>
      <c r="B24" s="12" t="inlineStr">
        <is>
          <t>ตบเรียบหน้าเสากุญแจ (บานเลื่อน)</t>
        </is>
      </c>
      <c r="C24" s="13" t="inlineStr">
        <is>
          <t>OPK-A203</t>
        </is>
      </c>
      <c r="D24" s="13" t="n"/>
      <c r="E24" s="14">
        <f>($C$5-$C$12)-$F$41</f>
        <v/>
      </c>
      <c r="F24" s="15">
        <f>IF($C$8="แปะนอก",$F$56,$F$55)</f>
        <v/>
      </c>
      <c r="G24" s="16" t="inlineStr">
        <is>
          <t>แปะนอก−1</t>
        </is>
      </c>
    </row>
    <row r="25" ht="48" customHeight="1">
      <c r="A25" s="11" t="n">
        <v>8</v>
      </c>
      <c r="B25" s="12" t="inlineStr">
        <is>
          <t>ตบเรียบหน้าเสากุญแจ (บานตาย)</t>
        </is>
      </c>
      <c r="C25" s="13" t="inlineStr">
        <is>
          <t>OPK-A203</t>
        </is>
      </c>
      <c r="D25" s="13" t="n"/>
      <c r="E25" s="14">
        <f>($C$5-$C$12)</f>
        <v/>
      </c>
      <c r="F25" s="15">
        <f>$F$57</f>
        <v/>
      </c>
      <c r="G25" s="16" t="inlineStr">
        <is>
          <t>ถ้ามีบานตาย</t>
        </is>
      </c>
    </row>
    <row r="26" ht="48" customHeight="1">
      <c r="A26" s="11" t="n">
        <v>9</v>
      </c>
      <c r="B26" s="12" t="inlineStr">
        <is>
          <t>ตบเกี่ยวใส่สักหลาด</t>
        </is>
      </c>
      <c r="C26" s="13" t="inlineStr">
        <is>
          <t>OPK-A204</t>
        </is>
      </c>
      <c r="D26" s="13" t="n"/>
      <c r="E26" s="14">
        <f>($C$5-$C$12)-$F$43</f>
        <v/>
      </c>
      <c r="F26" s="15">
        <f>$C$14+$F$58+IF($C$8="แปะนอก",$F$59,0)</f>
        <v/>
      </c>
      <c r="G26" s="16" t="inlineStr">
        <is>
          <t>บานเลื่อน+1</t>
        </is>
      </c>
    </row>
    <row r="27" ht="48" customHeight="1">
      <c r="A27" s="11" t="n">
        <v>10</v>
      </c>
      <c r="B27" s="12" t="inlineStr">
        <is>
          <t>มือจับ X-J</t>
        </is>
      </c>
      <c r="C27" s="13">
        <f>IF($C$10="X-J","เสามือจับ","")</f>
        <v/>
      </c>
      <c r="D27" s="13" t="n"/>
      <c r="E27" s="14">
        <f>IF($C$10="X-J",$E$23,"")</f>
        <v/>
      </c>
      <c r="F27" s="15">
        <f>IF($C$10="X-J",IF($C$9="เปิดคู่กลาง",$F$61,$F$60),"")</f>
        <v/>
      </c>
      <c r="G27" s="16" t="inlineStr">
        <is>
          <t>เท่าเสากุญแจ</t>
        </is>
      </c>
    </row>
    <row r="28" ht="48" customHeight="1">
      <c r="A28" s="11" t="n">
        <v>11</v>
      </c>
      <c r="B28" s="12" t="inlineStr">
        <is>
          <t>ฉากปิดราง 2"</t>
        </is>
      </c>
      <c r="C28" s="13" t="inlineStr">
        <is>
          <t>ฉากปิดราง</t>
        </is>
      </c>
      <c r="D28" s="13" t="n"/>
      <c r="E28" s="14">
        <f>$C$4</f>
        <v/>
      </c>
      <c r="F28" s="15">
        <f>$F$62</f>
        <v/>
      </c>
      <c r="G28" s="16" t="inlineStr">
        <is>
          <t>เท่าช่องปูน</t>
        </is>
      </c>
    </row>
    <row r="29" ht="48" customHeight="1">
      <c r="A29" s="11" t="n">
        <v>12</v>
      </c>
      <c r="B29" s="12" t="inlineStr">
        <is>
          <t>ตบปิดใต้รางริม</t>
        </is>
      </c>
      <c r="C29" s="13" t="inlineStr">
        <is>
          <t>WM-K20</t>
        </is>
      </c>
      <c r="D29" s="13" t="n"/>
      <c r="E29" s="14">
        <f>$E$19</f>
        <v/>
      </c>
      <c r="F29" s="15">
        <f>$F$63</f>
        <v/>
      </c>
      <c r="G29" s="16" t="inlineStr">
        <is>
          <t>เท่ารางบน</t>
        </is>
      </c>
    </row>
    <row r="30" ht="48" customHeight="1">
      <c r="A30" s="11" t="n">
        <v>13</v>
      </c>
      <c r="B30" s="12" t="inlineStr">
        <is>
          <t>ตบปิดใต้รางกลาง</t>
        </is>
      </c>
      <c r="C30" s="13" t="inlineStr">
        <is>
          <t>WM-K20</t>
        </is>
      </c>
      <c r="D30" s="13" t="n"/>
      <c r="E30" s="14">
        <f>$E$19</f>
        <v/>
      </c>
      <c r="F30" s="15">
        <f>$C$14-$F$64</f>
        <v/>
      </c>
      <c r="G30" s="16" t="inlineStr">
        <is>
          <t>ราง−1</t>
        </is>
      </c>
    </row>
    <row r="32">
      <c r="B32" s="17" t="inlineStr">
        <is>
          <t>③ กระดานคำนวณความยาว (แตกทีละขั้น) — อ่านซ้าย→ขวา · ช่องเหลือง=แก้ได้ · ช่องฟ้า=ค่าคำนวณสด</t>
        </is>
      </c>
    </row>
    <row r="33">
      <c r="B33" s="10" t="inlineStr">
        <is>
          <t>โปรไฟล์</t>
        </is>
      </c>
      <c r="C33" s="10" t="inlineStr">
        <is>
          <t>ฐาน (จาก)</t>
        </is>
      </c>
      <c r="D33" s="10" t="inlineStr">
        <is>
          <t>ค่า</t>
        </is>
      </c>
      <c r="E33" s="10" t="inlineStr">
        <is>
          <t>− ขนาดคาน</t>
        </is>
      </c>
      <c r="F33" s="10" t="inlineStr">
        <is>
          <t>− ตัวลบ</t>
        </is>
      </c>
      <c r="G33" s="10" t="inlineStr">
        <is>
          <t>+ ปรับ</t>
        </is>
      </c>
      <c r="H33" s="10" t="inlineStr">
        <is>
          <t>÷ จำนวนบาน</t>
        </is>
      </c>
      <c r="I33" s="10" t="inlineStr">
        <is>
          <t>× ตัวคูณ</t>
        </is>
      </c>
      <c r="J33" s="10" t="inlineStr">
        <is>
          <t>ยาวตัด (ซม.)</t>
        </is>
      </c>
      <c r="K33" s="10" t="inlineStr">
        <is>
          <t>หมายเหตุ / เงื่อนไข</t>
        </is>
      </c>
    </row>
    <row r="34" ht="24" customHeight="1">
      <c r="B34" s="19" t="inlineStr">
        <is>
          <t>คาน</t>
        </is>
      </c>
      <c r="C34" s="20" t="inlineStr">
        <is>
          <t>ความกว้างช่อง</t>
        </is>
      </c>
      <c r="D34" s="21">
        <f>$C$4</f>
        <v/>
      </c>
      <c r="E34" s="22" t="n"/>
      <c r="F34" s="23" t="n"/>
      <c r="G34" s="23" t="n"/>
      <c r="H34" s="24" t="n"/>
      <c r="I34" s="25" t="n">
        <v>2</v>
      </c>
      <c r="J34" s="8">
        <f>$E$18</f>
        <v/>
      </c>
      <c r="K34" s="16" t="inlineStr">
        <is>
          <t>ยัด=ฐาน / แปะนอก=ฐาน×ตัวคูณ · 1 เส้น</t>
        </is>
      </c>
    </row>
    <row r="35" ht="24" customHeight="1">
      <c r="B35" s="19" t="inlineStr">
        <is>
          <t>รางบน (รางแขวน)</t>
        </is>
      </c>
      <c r="C35" s="20" t="inlineStr">
        <is>
          <t>ความกว้างช่อง</t>
        </is>
      </c>
      <c r="D35" s="21">
        <f>$C$4</f>
        <v/>
      </c>
      <c r="E35" s="22" t="n"/>
      <c r="F35" s="25" t="n">
        <v>5</v>
      </c>
      <c r="G35" s="23" t="n"/>
      <c r="H35" s="24" t="n"/>
      <c r="I35" s="25" t="n">
        <v>2</v>
      </c>
      <c r="J35" s="8">
        <f>$E$19</f>
        <v/>
      </c>
      <c r="K35" s="16" t="inlineStr">
        <is>
          <t>ยัด=ฐาน−ตัวลบ / แปะนอก=ฐาน×ตัวคูณ · จำนวน=บานเลื่อน</t>
        </is>
      </c>
    </row>
    <row r="36" ht="24" customHeight="1">
      <c r="B36" s="19" t="inlineStr">
        <is>
          <t>เสารับบาน</t>
        </is>
      </c>
      <c r="C36" s="20" t="inlineStr">
        <is>
          <t>ความสูงช่อง</t>
        </is>
      </c>
      <c r="D36" s="21">
        <f>$C$5</f>
        <v/>
      </c>
      <c r="E36" s="21">
        <f>$C$12</f>
        <v/>
      </c>
      <c r="F36" s="23" t="n"/>
      <c r="G36" s="23" t="n"/>
      <c r="H36" s="24" t="n"/>
      <c r="I36" s="23" t="n"/>
      <c r="J36" s="8">
        <f>$E$20</f>
        <v/>
      </c>
      <c r="K36" s="16" t="inlineStr">
        <is>
          <t>จำนวน=ฝั่ง(แปะนอก1/ยัด2)</t>
        </is>
      </c>
    </row>
    <row r="37" ht="24" customHeight="1">
      <c r="B37" s="19" t="inlineStr">
        <is>
          <t>บังใบ 4 หุน</t>
        </is>
      </c>
      <c r="C37" s="20" t="inlineStr">
        <is>
          <t>ความยาวเสารับ</t>
        </is>
      </c>
      <c r="D37" s="21">
        <f>$E$20</f>
        <v/>
      </c>
      <c r="E37" s="22" t="n"/>
      <c r="F37" s="25" t="n">
        <v>3.6</v>
      </c>
      <c r="G37" s="23" t="n"/>
      <c r="H37" s="24" t="n"/>
      <c r="I37" s="23" t="n"/>
      <c r="J37" s="8">
        <f>$E$21</f>
        <v/>
      </c>
      <c r="K37" s="16" t="inlineStr">
        <is>
          <t>ใช้ 2 อัน</t>
        </is>
      </c>
    </row>
    <row r="38" ht="24" customHeight="1">
      <c r="B38" s="19" t="inlineStr">
        <is>
          <t>ขวางบน-ล่าง (ยัดในช่อง)</t>
        </is>
      </c>
      <c r="C38" s="20" t="inlineStr">
        <is>
          <t>ความกว้างช่อง</t>
        </is>
      </c>
      <c r="D38" s="21">
        <f>$C$4</f>
        <v/>
      </c>
      <c r="E38" s="22" t="n"/>
      <c r="F38" s="25" t="n">
        <v>5</v>
      </c>
      <c r="G38" s="23" t="n"/>
      <c r="H38" s="26">
        <f>$C$6</f>
        <v/>
      </c>
      <c r="I38" s="25" t="n">
        <v>0.2</v>
      </c>
      <c r="J38" s="8">
        <f>$E$22</f>
        <v/>
      </c>
      <c r="K38" s="16" t="inlineStr">
        <is>
          <t>แบบยัดในช่อง: (ฐาน−ตัวลบ)÷บาน + บาน×ตัวคูณ</t>
        </is>
      </c>
    </row>
    <row r="39" ht="24" customHeight="1">
      <c r="B39" s="19" t="inlineStr">
        <is>
          <t>ขวางบน-ล่าง (แปะนอก)</t>
        </is>
      </c>
      <c r="C39" s="20" t="inlineStr">
        <is>
          <t>ความกว้างช่อง</t>
        </is>
      </c>
      <c r="D39" s="21">
        <f>$C$4</f>
        <v/>
      </c>
      <c r="E39" s="22" t="n"/>
      <c r="F39" s="25" t="n">
        <v>2.5</v>
      </c>
      <c r="G39" s="25" t="n">
        <v>1.7</v>
      </c>
      <c r="H39" s="26">
        <f>$C$6</f>
        <v/>
      </c>
      <c r="I39" s="25" t="n">
        <v>0.2</v>
      </c>
      <c r="J39" s="8">
        <f>$E$22</f>
        <v/>
      </c>
      <c r="K39" s="16" t="inlineStr">
        <is>
          <t>แบบแปะนอก: (ฐาน+ปรับ−ตัวลบ)÷บาน + บาน×ตัวคูณ</t>
        </is>
      </c>
    </row>
    <row r="40" ht="24" customHeight="1">
      <c r="B40" s="19" t="inlineStr">
        <is>
          <t>เสากุญแจ</t>
        </is>
      </c>
      <c r="C40" s="20" t="inlineStr">
        <is>
          <t>ความสูงช่อง</t>
        </is>
      </c>
      <c r="D40" s="21">
        <f>$C$5</f>
        <v/>
      </c>
      <c r="E40" s="21">
        <f>$C$12</f>
        <v/>
      </c>
      <c r="F40" s="25" t="n">
        <v>12.1</v>
      </c>
      <c r="G40" s="23" t="n"/>
      <c r="H40" s="24" t="n"/>
      <c r="I40" s="23" t="n"/>
      <c r="J40" s="8">
        <f>$E$23</f>
        <v/>
      </c>
      <c r="K40" s="16" t="inlineStr">
        <is>
          <t>บานละ 2 ท่อน</t>
        </is>
      </c>
    </row>
    <row r="41" ht="24" customHeight="1">
      <c r="B41" s="19" t="inlineStr">
        <is>
          <t>ตบเรียบ (บานเลื่อน)</t>
        </is>
      </c>
      <c r="C41" s="20" t="inlineStr">
        <is>
          <t>ความสูงช่อง</t>
        </is>
      </c>
      <c r="D41" s="21">
        <f>$C$5</f>
        <v/>
      </c>
      <c r="E41" s="21">
        <f>$C$12</f>
        <v/>
      </c>
      <c r="F41" s="25" t="n">
        <v>5.1</v>
      </c>
      <c r="G41" s="23" t="n"/>
      <c r="H41" s="24" t="n"/>
      <c r="I41" s="23" t="n"/>
      <c r="J41" s="8">
        <f>$E$24</f>
        <v/>
      </c>
      <c r="K41" s="16" t="inlineStr"/>
    </row>
    <row r="42" ht="24" customHeight="1">
      <c r="B42" s="19" t="inlineStr">
        <is>
          <t>ตบเรียบ (บานตาย)</t>
        </is>
      </c>
      <c r="C42" s="20" t="inlineStr">
        <is>
          <t>ความสูงช่อง</t>
        </is>
      </c>
      <c r="D42" s="21">
        <f>$C$5</f>
        <v/>
      </c>
      <c r="E42" s="21">
        <f>$C$12</f>
        <v/>
      </c>
      <c r="F42" s="23" t="n"/>
      <c r="G42" s="23" t="n"/>
      <c r="H42" s="24" t="n"/>
      <c r="I42" s="23" t="n"/>
      <c r="J42" s="8">
        <f>$E$25</f>
        <v/>
      </c>
      <c r="K42" s="16" t="inlineStr">
        <is>
          <t>ไม่ลบตัวลบ</t>
        </is>
      </c>
    </row>
    <row r="43" ht="24" customHeight="1">
      <c r="B43" s="19" t="inlineStr">
        <is>
          <t>ตบเกี่ยวสักหลาด</t>
        </is>
      </c>
      <c r="C43" s="20" t="inlineStr">
        <is>
          <t>ความสูงช่อง</t>
        </is>
      </c>
      <c r="D43" s="21">
        <f>$C$5</f>
        <v/>
      </c>
      <c r="E43" s="21">
        <f>$C$12</f>
        <v/>
      </c>
      <c r="F43" s="25" t="n">
        <v>5.1</v>
      </c>
      <c r="G43" s="23" t="n"/>
      <c r="H43" s="24" t="n"/>
      <c r="I43" s="23" t="n"/>
      <c r="J43" s="8">
        <f>$E$26</f>
        <v/>
      </c>
      <c r="K43" s="16" t="inlineStr">
        <is>
          <t>จำนวน=บานเลื่อน+1</t>
        </is>
      </c>
    </row>
    <row r="44" ht="24" customHeight="1">
      <c r="B44" s="19" t="inlineStr">
        <is>
          <t>มือจับ X-J</t>
        </is>
      </c>
      <c r="C44" s="20" t="inlineStr">
        <is>
          <t>เท่าเสากุญแจ</t>
        </is>
      </c>
      <c r="D44" s="21">
        <f>$E$23</f>
        <v/>
      </c>
      <c r="E44" s="22" t="n"/>
      <c r="F44" s="23" t="n"/>
      <c r="G44" s="23" t="n"/>
      <c r="H44" s="24" t="n"/>
      <c r="I44" s="23" t="n"/>
      <c r="J44" s="8">
        <f>$E$27</f>
        <v/>
      </c>
      <c r="K44" s="16" t="inlineStr">
        <is>
          <t>1 ชุด 2 อัน (คู่กลาง 4)</t>
        </is>
      </c>
    </row>
    <row r="45" ht="24" customHeight="1">
      <c r="B45" s="19" t="inlineStr">
        <is>
          <t>ฉากปิดราง 2"</t>
        </is>
      </c>
      <c r="C45" s="20" t="inlineStr">
        <is>
          <t>เท่าความกว้างช่องปูน</t>
        </is>
      </c>
      <c r="D45" s="21">
        <f>$C$4</f>
        <v/>
      </c>
      <c r="E45" s="22" t="n"/>
      <c r="F45" s="23" t="n"/>
      <c r="G45" s="23" t="n"/>
      <c r="H45" s="24" t="n"/>
      <c r="I45" s="23" t="n"/>
      <c r="J45" s="8">
        <f>$E$28</f>
        <v/>
      </c>
      <c r="K45" s="16" t="inlineStr">
        <is>
          <t>1 ชุด 2 อัน</t>
        </is>
      </c>
    </row>
    <row r="46" ht="24" customHeight="1">
      <c r="B46" s="19" t="inlineStr">
        <is>
          <t>ตบปิดใต้รางริม</t>
        </is>
      </c>
      <c r="C46" s="20" t="inlineStr">
        <is>
          <t>เท่ารางบน</t>
        </is>
      </c>
      <c r="D46" s="21">
        <f>$E$19</f>
        <v/>
      </c>
      <c r="E46" s="22" t="n"/>
      <c r="F46" s="23" t="n"/>
      <c r="G46" s="23" t="n"/>
      <c r="H46" s="24" t="n"/>
      <c r="I46" s="23" t="n"/>
      <c r="J46" s="8">
        <f>$E$29</f>
        <v/>
      </c>
      <c r="K46" s="16" t="inlineStr">
        <is>
          <t>1 ชุด 2 อัน</t>
        </is>
      </c>
    </row>
    <row r="47" ht="24" customHeight="1">
      <c r="B47" s="19" t="inlineStr">
        <is>
          <t>ตบปิดใต้รางกลาง</t>
        </is>
      </c>
      <c r="C47" s="20" t="inlineStr">
        <is>
          <t>เท่ารางบน</t>
        </is>
      </c>
      <c r="D47" s="21">
        <f>$E$19</f>
        <v/>
      </c>
      <c r="E47" s="22" t="n"/>
      <c r="F47" s="23" t="n"/>
      <c r="G47" s="23" t="n"/>
      <c r="H47" s="24" t="n"/>
      <c r="I47" s="23" t="n"/>
      <c r="J47" s="8">
        <f>$E$30</f>
        <v/>
      </c>
      <c r="K47" s="16" t="inlineStr">
        <is>
          <t>จำนวน = ราง − 1</t>
        </is>
      </c>
    </row>
    <row r="49">
      <c r="B49" s="27" t="inlineStr">
        <is>
          <t>④ ตัวเลข 'จำนวน' ที่แก้ได้ — จำนวนชิ้นต่อบาน/ต่องาน</t>
        </is>
      </c>
    </row>
    <row r="50">
      <c r="B50" s="4" t="inlineStr">
        <is>
          <t>ความหมาย (จำนวนของโปรไฟล์อะไร)</t>
        </is>
      </c>
      <c r="C50" s="29" t="n"/>
      <c r="D50" s="29" t="n"/>
      <c r="E50" s="30" t="n"/>
      <c r="F50" s="10" t="inlineStr">
        <is>
          <t>ค่า</t>
        </is>
      </c>
      <c r="G50" s="29" t="n"/>
      <c r="H50" s="29" t="n"/>
      <c r="I50" s="29" t="n"/>
      <c r="J50" s="29" t="n"/>
      <c r="K50" s="30" t="n"/>
    </row>
    <row r="51" ht="19" customHeight="1">
      <c r="B51" s="12" t="inlineStr">
        <is>
          <t>คาน — จำนวนเส้น</t>
        </is>
      </c>
      <c r="C51" s="29" t="n"/>
      <c r="D51" s="29" t="n"/>
      <c r="E51" s="30" t="n"/>
      <c r="F51" s="5" t="n">
        <v>1</v>
      </c>
      <c r="G51" s="29" t="n"/>
      <c r="H51" s="29" t="n"/>
      <c r="I51" s="29" t="n"/>
      <c r="J51" s="29" t="n"/>
      <c r="K51" s="30" t="n"/>
    </row>
    <row r="52" ht="19" customHeight="1">
      <c r="B52" s="12" t="inlineStr">
        <is>
          <t>บังใบ 4 หุน — จำนวนอัน</t>
        </is>
      </c>
      <c r="C52" s="29" t="n"/>
      <c r="D52" s="29" t="n"/>
      <c r="E52" s="30" t="n"/>
      <c r="F52" s="5" t="n">
        <v>2</v>
      </c>
      <c r="G52" s="29" t="n"/>
      <c r="H52" s="29" t="n"/>
      <c r="I52" s="29" t="n"/>
      <c r="J52" s="29" t="n"/>
      <c r="K52" s="30" t="n"/>
    </row>
    <row r="53" ht="19" customHeight="1">
      <c r="B53" s="12" t="inlineStr">
        <is>
          <t>ขวางบน-ล่าง — จำนวนต่อบาน (บน+ล่าง)</t>
        </is>
      </c>
      <c r="C53" s="29" t="n"/>
      <c r="D53" s="29" t="n"/>
      <c r="E53" s="30" t="n"/>
      <c r="F53" s="5" t="n">
        <v>2</v>
      </c>
      <c r="G53" s="29" t="n"/>
      <c r="H53" s="29" t="n"/>
      <c r="I53" s="29" t="n"/>
      <c r="J53" s="29" t="n"/>
      <c r="K53" s="30" t="n"/>
    </row>
    <row r="54" ht="19" customHeight="1">
      <c r="B54" s="12" t="inlineStr">
        <is>
          <t>เสากุญแจ — จำนวนท่อนต่อบาน</t>
        </is>
      </c>
      <c r="C54" s="29" t="n"/>
      <c r="D54" s="29" t="n"/>
      <c r="E54" s="30" t="n"/>
      <c r="F54" s="5" t="n">
        <v>2</v>
      </c>
      <c r="G54" s="29" t="n"/>
      <c r="H54" s="29" t="n"/>
      <c r="I54" s="29" t="n"/>
      <c r="J54" s="29" t="n"/>
      <c r="K54" s="30" t="n"/>
    </row>
    <row r="55" ht="19" customHeight="1">
      <c r="B55" s="12" t="inlineStr">
        <is>
          <t>ตบเรียบหน้าเสากุญแจ — จำนวน (แบบ 'ยัดในช่อง')</t>
        </is>
      </c>
      <c r="C55" s="29" t="n"/>
      <c r="D55" s="29" t="n"/>
      <c r="E55" s="30" t="n"/>
      <c r="F55" s="5" t="n">
        <v>2</v>
      </c>
      <c r="G55" s="29" t="n"/>
      <c r="H55" s="29" t="n"/>
      <c r="I55" s="29" t="n"/>
      <c r="J55" s="29" t="n"/>
      <c r="K55" s="30" t="n"/>
    </row>
    <row r="56" ht="19" customHeight="1">
      <c r="B56" s="12" t="inlineStr">
        <is>
          <t>ตบเรียบหน้าเสากุญแจ — จำนวน (แบบ 'แปะนอก')</t>
        </is>
      </c>
      <c r="C56" s="29" t="n"/>
      <c r="D56" s="29" t="n"/>
      <c r="E56" s="30" t="n"/>
      <c r="F56" s="5" t="n">
        <v>1</v>
      </c>
      <c r="G56" s="29" t="n"/>
      <c r="H56" s="29" t="n"/>
      <c r="I56" s="29" t="n"/>
      <c r="J56" s="29" t="n"/>
      <c r="K56" s="30" t="n"/>
    </row>
    <row r="57" ht="19" customHeight="1">
      <c r="B57" s="12" t="inlineStr">
        <is>
          <t>ตบเรียบ (บานตาย) — จำนวน</t>
        </is>
      </c>
      <c r="C57" s="29" t="n"/>
      <c r="D57" s="29" t="n"/>
      <c r="E57" s="30" t="n"/>
      <c r="F57" s="5" t="n">
        <v>0</v>
      </c>
      <c r="G57" s="29" t="n"/>
      <c r="H57" s="29" t="n"/>
      <c r="I57" s="29" t="n"/>
      <c r="J57" s="29" t="n"/>
      <c r="K57" s="30" t="n"/>
    </row>
    <row r="58" ht="19" customHeight="1">
      <c r="B58" s="12" t="inlineStr">
        <is>
          <t>ตบเกี่ยวสักหลาด — บวกเพิ่มเสมอ</t>
        </is>
      </c>
      <c r="C58" s="29" t="n"/>
      <c r="D58" s="29" t="n"/>
      <c r="E58" s="30" t="n"/>
      <c r="F58" s="5" t="n">
        <v>1</v>
      </c>
      <c r="G58" s="29" t="n"/>
      <c r="H58" s="29" t="n"/>
      <c r="I58" s="29" t="n"/>
      <c r="J58" s="29" t="n"/>
      <c r="K58" s="30" t="n"/>
    </row>
    <row r="59" ht="19" customHeight="1">
      <c r="B59" s="12" t="inlineStr">
        <is>
          <t>ตบเกี่ยวสักหลาด — บวกเพิ่มถ้า 'แปะนอก'</t>
        </is>
      </c>
      <c r="C59" s="29" t="n"/>
      <c r="D59" s="29" t="n"/>
      <c r="E59" s="30" t="n"/>
      <c r="F59" s="5" t="n">
        <v>1</v>
      </c>
      <c r="G59" s="29" t="n"/>
      <c r="H59" s="29" t="n"/>
      <c r="I59" s="29" t="n"/>
      <c r="J59" s="29" t="n"/>
      <c r="K59" s="30" t="n"/>
    </row>
    <row r="60" ht="19" customHeight="1">
      <c r="B60" s="12" t="inlineStr">
        <is>
          <t>มือจับ X-J — จำนวนปกติ (1 ชุด)</t>
        </is>
      </c>
      <c r="C60" s="29" t="n"/>
      <c r="D60" s="29" t="n"/>
      <c r="E60" s="30" t="n"/>
      <c r="F60" s="5" t="n">
        <v>2</v>
      </c>
      <c r="G60" s="29" t="n"/>
      <c r="H60" s="29" t="n"/>
      <c r="I60" s="29" t="n"/>
      <c r="J60" s="29" t="n"/>
      <c r="K60" s="30" t="n"/>
    </row>
    <row r="61" ht="19" customHeight="1">
      <c r="B61" s="12" t="inlineStr">
        <is>
          <t>มือจับ X-J — จำนวนเมื่อ 'เปิดคู่กลาง'</t>
        </is>
      </c>
      <c r="C61" s="29" t="n"/>
      <c r="D61" s="29" t="n"/>
      <c r="E61" s="30" t="n"/>
      <c r="F61" s="5" t="n">
        <v>4</v>
      </c>
      <c r="G61" s="29" t="n"/>
      <c r="H61" s="29" t="n"/>
      <c r="I61" s="29" t="n"/>
      <c r="J61" s="29" t="n"/>
      <c r="K61" s="30" t="n"/>
    </row>
    <row r="62" ht="19" customHeight="1">
      <c r="B62" s="12" t="inlineStr">
        <is>
          <t>ฉากปิดราง 2" — จำนวนอัน</t>
        </is>
      </c>
      <c r="C62" s="29" t="n"/>
      <c r="D62" s="29" t="n"/>
      <c r="E62" s="30" t="n"/>
      <c r="F62" s="5" t="n">
        <v>2</v>
      </c>
      <c r="G62" s="29" t="n"/>
      <c r="H62" s="29" t="n"/>
      <c r="I62" s="29" t="n"/>
      <c r="J62" s="29" t="n"/>
      <c r="K62" s="30" t="n"/>
    </row>
    <row r="63" ht="19" customHeight="1">
      <c r="B63" s="12" t="inlineStr">
        <is>
          <t>ตบปิดใต้รางริม — จำนวนอัน</t>
        </is>
      </c>
      <c r="C63" s="29" t="n"/>
      <c r="D63" s="29" t="n"/>
      <c r="E63" s="30" t="n"/>
      <c r="F63" s="5" t="n">
        <v>2</v>
      </c>
      <c r="G63" s="29" t="n"/>
      <c r="H63" s="29" t="n"/>
      <c r="I63" s="29" t="n"/>
      <c r="J63" s="29" t="n"/>
      <c r="K63" s="30" t="n"/>
    </row>
    <row r="64" ht="19" customHeight="1">
      <c r="B64" s="12" t="inlineStr">
        <is>
          <t>ตบปิดใต้รางกลาง — เอา 'ราง' ลบด้วย</t>
        </is>
      </c>
      <c r="C64" s="29" t="n"/>
      <c r="D64" s="29" t="n"/>
      <c r="E64" s="30" t="n"/>
      <c r="F64" s="5" t="n">
        <v>1</v>
      </c>
      <c r="G64" s="29" t="n"/>
      <c r="H64" s="29" t="n"/>
      <c r="I64" s="29" t="n"/>
      <c r="J64" s="29" t="n"/>
      <c r="K64" s="30" t="n"/>
    </row>
    <row r="66">
      <c r="B66" s="27" t="inlineStr">
        <is>
          <t>⑤ ตารางคาน (ดรอปดาว) — แก้ขนาดที่หักของแต่ละกล่อง</t>
        </is>
      </c>
    </row>
    <row r="67">
      <c r="B67" s="10" t="inlineStr">
        <is>
          <t>คาน</t>
        </is>
      </c>
      <c r="C67" s="10" t="inlineStr">
        <is>
          <t>ลบความสูง (ซม.)</t>
        </is>
      </c>
    </row>
    <row r="68">
      <c r="B68" s="11" t="inlineStr">
        <is>
          <t>1×2</t>
        </is>
      </c>
      <c r="C68" s="25" t="n">
        <v>2.5</v>
      </c>
    </row>
    <row r="69">
      <c r="B69" s="11" t="inlineStr">
        <is>
          <t>2×2</t>
        </is>
      </c>
      <c r="C69" s="25" t="n">
        <v>5</v>
      </c>
    </row>
    <row r="70">
      <c r="B70" s="11" t="inlineStr">
        <is>
          <t>1×4</t>
        </is>
      </c>
      <c r="C70" s="25" t="n">
        <v>2.5</v>
      </c>
    </row>
    <row r="71">
      <c r="B71" s="11" t="inlineStr">
        <is>
          <t>2×4</t>
        </is>
      </c>
      <c r="C71" s="25" t="n">
        <v>5</v>
      </c>
    </row>
    <row r="72">
      <c r="B72" s="11" t="inlineStr">
        <is>
          <t>1×4+1×1.6</t>
        </is>
      </c>
      <c r="C72" s="25" t="n">
        <v>2.5</v>
      </c>
    </row>
    <row r="73">
      <c r="B73" s="11" t="inlineStr">
        <is>
          <t>2×4+4×4</t>
        </is>
      </c>
      <c r="C73" s="25" t="n">
        <v>10.2</v>
      </c>
    </row>
    <row r="74">
      <c r="B74" s="11" t="inlineStr">
        <is>
          <t>4×4</t>
        </is>
      </c>
      <c r="C74" s="25" t="n">
        <v>10.2</v>
      </c>
    </row>
  </sheetData>
  <mergeCells count="36">
    <mergeCell ref="F55:K55"/>
    <mergeCell ref="F51:K51"/>
    <mergeCell ref="B49:K49"/>
    <mergeCell ref="B3:C3"/>
    <mergeCell ref="B64:E64"/>
    <mergeCell ref="B55:E55"/>
    <mergeCell ref="F50:K50"/>
    <mergeCell ref="B66:C66"/>
    <mergeCell ref="B51:E51"/>
    <mergeCell ref="F62:K62"/>
    <mergeCell ref="B63:E63"/>
    <mergeCell ref="B32:K32"/>
    <mergeCell ref="B11:C11"/>
    <mergeCell ref="B50:E50"/>
    <mergeCell ref="B54:E54"/>
    <mergeCell ref="F56:K56"/>
    <mergeCell ref="B62:E62"/>
    <mergeCell ref="B59:E59"/>
    <mergeCell ref="F61:K61"/>
    <mergeCell ref="F58:K58"/>
    <mergeCell ref="F52:K52"/>
    <mergeCell ref="B56:E56"/>
    <mergeCell ref="B58:E58"/>
    <mergeCell ref="F60:K60"/>
    <mergeCell ref="B52:E52"/>
    <mergeCell ref="F57:K57"/>
    <mergeCell ref="F53:K53"/>
    <mergeCell ref="F64:K64"/>
    <mergeCell ref="A1:K2"/>
    <mergeCell ref="B60:E60"/>
    <mergeCell ref="B61:E61"/>
    <mergeCell ref="F63:K63"/>
    <mergeCell ref="B57:E57"/>
    <mergeCell ref="F54:K54"/>
    <mergeCell ref="B53:E53"/>
    <mergeCell ref="F59:K59"/>
  </mergeCells>
  <dataValidations count="4">
    <dataValidation sqref="C7" showDropDown="0" showInputMessage="0" showErrorMessage="0" allowBlank="0" type="list">
      <formula1>$B$68:$B$74</formula1>
    </dataValidation>
    <dataValidation sqref="C8" showDropDown="0" showInputMessage="0" showErrorMessage="0" allowBlank="0" type="list">
      <formula1>"แปะนอก,ยัดในช่อง"</formula1>
    </dataValidation>
    <dataValidation sqref="C9" showDropDown="0" showInputMessage="0" showErrorMessage="0" allowBlank="0" type="list">
      <formula1>"อิสระ,ลากจูง,เปิดคู่กลาง"</formula1>
    </dataValidation>
    <dataValidation sqref="C10" showDropDown="0" showInputMessage="0" showErrorMessage="0" allowBlank="0" type="list">
      <formula1>"X-J,ลูกค้าเตรียม,มือจับล็อค"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2026-07-01T03:07:17Z</dcterms:created>
  <dcterms:modified xmlns:dcterms="http://purl.org/dc/terms/" xmlns:xsi="http://www.w3.org/2001/XMLSchema-instance" xsi:type="dcterms:W3CDTF">2026-07-01T07:31:18Z</dcterms:modified>
</cp:coreProperties>
</file>