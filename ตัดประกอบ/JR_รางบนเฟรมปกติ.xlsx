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งบนเฟรมปกต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b val="1"/>
      <sz val="10"/>
    </font>
    <font>
      <name val="Tahoma"/>
      <b val="1"/>
      <color rgb="00FFFFFF"/>
    </font>
    <font>
      <name val="Tahoma"/>
      <sz val="10"/>
    </font>
    <font>
      <name val="Tahoma"/>
      <sz val="9"/>
    </font>
    <font>
      <name val="Tahoma"/>
    </font>
    <font>
      <name val="Tahoma"/>
      <b val="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EEBF7"/>
      </patternFill>
    </fill>
    <fill>
      <patternFill patternType="solid">
        <fgColor rgb="007F77DD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1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 wrapText="1"/>
    </xf>
    <xf numFmtId="1" fontId="2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1" fontId="2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2" fillId="9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2" fillId="10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1" fontId="2" fillId="9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" fontId="2" fillId="10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4" borderId="6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164" fontId="7" fillId="12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9" customWidth="1" min="4" max="4"/>
    <col width="9" customWidth="1" min="5" max="5"/>
    <col width="9" customWidth="1" min="6" max="6"/>
    <col width="8" customWidth="1" min="7" max="7"/>
    <col width="12" customWidth="1" min="8" max="8"/>
    <col width="7" customWidth="1" min="9" max="9"/>
    <col width="9" customWidth="1" min="10" max="10"/>
    <col width="38" customWidth="1" min="11" max="11"/>
  </cols>
  <sheetData>
    <row r="1">
      <c r="A1" s="1" t="inlineStr">
        <is>
          <t>JR ALUMINIUM &amp; GLASS   —   ใบตัดบาน รางบนเฟรมปกติ (Hafele · SMS / ยูโร)   ·   หน่วย: ซม.</t>
        </is>
      </c>
    </row>
    <row r="2"/>
    <row r="3">
      <c r="B3" s="3" t="inlineStr">
        <is>
          <t>① กรอก + เลือกดรอปดาว (ช่องเหลือง)</t>
        </is>
      </c>
    </row>
    <row r="4">
      <c r="B4" s="4" t="inlineStr">
        <is>
          <t>กว้างช่องปูน (ช่อง)</t>
        </is>
      </c>
      <c r="C4" s="5" t="n">
        <v>360</v>
      </c>
    </row>
    <row r="5">
      <c r="B5" s="4" t="inlineStr">
        <is>
          <t>สูงช่องปูน</t>
        </is>
      </c>
      <c r="C5" s="5" t="n">
        <v>240</v>
      </c>
    </row>
    <row r="6">
      <c r="B6" s="4" t="inlineStr">
        <is>
          <t>จำนวนบาน</t>
        </is>
      </c>
      <c r="C6" s="5" t="n">
        <v>2</v>
      </c>
    </row>
    <row r="7">
      <c r="B7" s="4" t="inlineStr">
        <is>
          <t>ระบบ</t>
        </is>
      </c>
      <c r="C7" s="6" t="inlineStr">
        <is>
          <t>SMS</t>
        </is>
      </c>
    </row>
    <row r="8">
      <c r="B8" s="4" t="inlineStr">
        <is>
          <t>รูปแบบบาน</t>
        </is>
      </c>
      <c r="C8" s="6" t="inlineStr">
        <is>
          <t>อิสระ</t>
        </is>
      </c>
    </row>
    <row r="9">
      <c r="B9" s="4" t="inlineStr">
        <is>
          <t>ช่องปูน</t>
        </is>
      </c>
      <c r="C9" s="6" t="inlineStr">
        <is>
          <t>ยัดในช่อง</t>
        </is>
      </c>
    </row>
    <row r="10">
      <c r="B10" s="4" t="inlineStr">
        <is>
          <t>มือจับ (เฉพาะ SMS+ไปต่อ)</t>
        </is>
      </c>
      <c r="C10" s="6" t="inlineStr">
        <is>
          <t>ฝัง</t>
        </is>
      </c>
    </row>
    <row r="11">
      <c r="B11" s="4" t="inlineStr">
        <is>
          <t>คาน (เลือกกล่อง)</t>
        </is>
      </c>
      <c r="C11" s="6" t="inlineStr">
        <is>
          <t>2×4</t>
        </is>
      </c>
    </row>
    <row r="12">
      <c r="B12" s="4" t="inlineStr">
        <is>
          <t>เสารับบาน</t>
        </is>
      </c>
      <c r="C12" s="6" t="inlineStr">
        <is>
          <t>กล่อง 1×4+ชนกลาง</t>
        </is>
      </c>
    </row>
    <row r="13">
      <c r="B13" s="3" t="inlineStr">
        <is>
          <t>② ค่าที่คำนวณอัตโนมัติ (ห้ามแก้)</t>
        </is>
      </c>
    </row>
    <row r="14">
      <c r="B14" s="7" t="inlineStr">
        <is>
          <t>ขนาดคานที่หัก</t>
        </is>
      </c>
      <c r="C14" s="8">
        <f>VLOOKUP($C$11,$B$69:$C$74,2,FALSE)</f>
        <v/>
      </c>
    </row>
    <row r="15">
      <c r="B15" s="7" t="inlineStr">
        <is>
          <t>บานตาย</t>
        </is>
      </c>
      <c r="C15" s="9">
        <f>IF($C$8="อิสระ",0,IF($C$8="ลากจูง",1,2))</f>
        <v/>
      </c>
    </row>
    <row r="16">
      <c r="B16" s="7" t="inlineStr">
        <is>
          <t>บานเลื่อน</t>
        </is>
      </c>
      <c r="C16" s="9">
        <f>$C$6-$C$15</f>
        <v/>
      </c>
    </row>
    <row r="17">
      <c r="B17" s="7" t="inlineStr">
        <is>
          <t>แปะนอก? (1=ใช่)</t>
        </is>
      </c>
      <c r="C17" s="9">
        <f>IF(OR($C$9="แปะนอกชนผนัง",$C$9="แปะนอกไปต่อ"),1,0)</f>
        <v/>
      </c>
    </row>
    <row r="18">
      <c r="B18" s="7" t="inlineStr">
        <is>
          <t>จำนวนเสากุญแจ</t>
        </is>
      </c>
      <c r="C18" s="9">
        <f>IF($C$6=1,1,IF($C$17=1,1,2))</f>
        <v/>
      </c>
    </row>
    <row r="19">
      <c r="B19" s="7" t="inlineStr">
        <is>
          <t>จำนวนเสาเกี่ยว</t>
        </is>
      </c>
      <c r="C19" s="9">
        <f>IF($C$6=1,1,$C$16+$C$17)</f>
        <v/>
      </c>
    </row>
    <row r="20">
      <c r="B20" s="7" t="inlineStr">
        <is>
          <t>รอยซ้อน</t>
        </is>
      </c>
      <c r="C20" s="9">
        <f>MAX(1,$C$6-1)</f>
        <v/>
      </c>
    </row>
    <row r="21">
      <c r="B21" s="7" t="inlineStr">
        <is>
          <t>ค่า C ขวาง — SMS</t>
        </is>
      </c>
      <c r="C21" s="8">
        <f>IF($C$9="ยัดในช่อง",$F$59,IF($C$9="แปะนอกชนผนัง",$F$60,IF($C$10="ฝัง",$F$61,$F$62)))</f>
        <v/>
      </c>
    </row>
    <row r="22">
      <c r="B22" s="7" t="inlineStr">
        <is>
          <t>ค่า C ขวาง — ยูโร</t>
        </is>
      </c>
      <c r="C22" s="8">
        <f>IF($C$9="ยัดในช่อง",$F$63,IF($C$9="แปะนอกชนผนัง",$F$64,$F$65))</f>
        <v/>
      </c>
    </row>
    <row r="23">
      <c r="A23" s="10" t="inlineStr">
        <is>
          <t>#</t>
        </is>
      </c>
      <c r="B23" s="10" t="inlineStr">
        <is>
          <t>โปรไฟล์</t>
        </is>
      </c>
      <c r="C23" s="10" t="inlineStr">
        <is>
          <t>รหัส</t>
        </is>
      </c>
      <c r="D23" s="10" t="inlineStr">
        <is>
          <t>ยาวตัด (ซม.)</t>
        </is>
      </c>
      <c r="E23" s="10" t="inlineStr">
        <is>
          <t>จำนวน</t>
        </is>
      </c>
    </row>
    <row r="24" ht="22" customHeight="1">
      <c r="A24" s="11" t="n">
        <v>1</v>
      </c>
      <c r="B24" s="12" t="inlineStr">
        <is>
          <t>คานรับราง</t>
        </is>
      </c>
      <c r="C24" s="13" t="inlineStr">
        <is>
          <t>คาน</t>
        </is>
      </c>
      <c r="D24" s="14">
        <f>$C$4</f>
        <v/>
      </c>
      <c r="E24" s="15" t="inlineStr">
        <is>
          <t>1</t>
        </is>
      </c>
    </row>
    <row r="25" ht="22" customHeight="1">
      <c r="A25" s="11" t="n">
        <v>2</v>
      </c>
      <c r="B25" s="12" t="inlineStr">
        <is>
          <t>เสารับบาน (กล่อง)</t>
        </is>
      </c>
      <c r="C25" s="13" t="inlineStr">
        <is>
          <t>—</t>
        </is>
      </c>
      <c r="D25" s="14">
        <f>$C$5-$C$14</f>
        <v/>
      </c>
      <c r="E25" s="15">
        <f>IF($C$17=1,1,2)</f>
        <v/>
      </c>
    </row>
    <row r="26" ht="22" customHeight="1">
      <c r="A26" s="11" t="n">
        <v>3</v>
      </c>
      <c r="B26" s="12" t="inlineStr">
        <is>
          <t>ชนกลางรับบาน</t>
        </is>
      </c>
      <c r="C26" s="13" t="inlineStr">
        <is>
          <t>—</t>
        </is>
      </c>
      <c r="D26" s="14">
        <f>$C$5-$C$14</f>
        <v/>
      </c>
      <c r="E26" s="15" t="inlineStr">
        <is>
          <t>1</t>
        </is>
      </c>
    </row>
    <row r="27" ht="22" customHeight="1">
      <c r="A27" s="11" t="n">
        <v>4</v>
      </c>
      <c r="B27" s="12" t="inlineStr">
        <is>
          <t>รางบน Hafele</t>
        </is>
      </c>
      <c r="C27" s="13" t="inlineStr">
        <is>
          <t>—</t>
        </is>
      </c>
      <c r="D27" s="14">
        <f>IF($C$9="ยัดในช่อง",$C$4-$F$52,$C$4*$F$53)</f>
        <v/>
      </c>
      <c r="E27" s="15">
        <f>$C$16</f>
        <v/>
      </c>
    </row>
    <row r="28" ht="22" customHeight="1">
      <c r="A28" s="11" t="n">
        <v>5</v>
      </c>
      <c r="B28" s="12" t="inlineStr">
        <is>
          <t>ฉาก 4" ปิดราง</t>
        </is>
      </c>
      <c r="C28" s="13" t="inlineStr">
        <is>
          <t>—</t>
        </is>
      </c>
      <c r="D28" s="14">
        <f>$C$4</f>
        <v/>
      </c>
      <c r="E28" s="15" t="inlineStr">
        <is>
          <t>2</t>
        </is>
      </c>
    </row>
    <row r="29" ht="22" customHeight="1">
      <c r="A29" s="11" t="n">
        <v>6</v>
      </c>
      <c r="B29" s="12" t="inlineStr">
        <is>
          <t>เสากุญแจ 20051 (SMS·ตั้ง)</t>
        </is>
      </c>
      <c r="C29" s="13" t="inlineStr">
        <is>
          <t>20051</t>
        </is>
      </c>
      <c r="D29" s="14">
        <f>$C$5-$C$14-$F$43</f>
        <v/>
      </c>
      <c r="E29" s="15">
        <f>IF($C$7="SMS",$C$18,0)</f>
        <v/>
      </c>
    </row>
    <row r="30" ht="22" customHeight="1">
      <c r="A30" s="11" t="n">
        <v>7</v>
      </c>
      <c r="B30" s="12" t="inlineStr">
        <is>
          <t>เสาเกี่ยว 20009 (SMS·ตั้ง)</t>
        </is>
      </c>
      <c r="C30" s="13" t="inlineStr">
        <is>
          <t>20009</t>
        </is>
      </c>
      <c r="D30" s="14">
        <f>$C$5-$C$14-$F$44</f>
        <v/>
      </c>
      <c r="E30" s="15">
        <f>IF($C$7="SMS",$C$19,0)</f>
        <v/>
      </c>
    </row>
    <row r="31" ht="22" customHeight="1">
      <c r="A31" s="11" t="n">
        <v>8</v>
      </c>
      <c r="B31" s="12" t="inlineStr">
        <is>
          <t>ขวางบน/ล่าง 20054 (SMS·นอน)</t>
        </is>
      </c>
      <c r="C31" s="13" t="inlineStr">
        <is>
          <t>20054</t>
        </is>
      </c>
      <c r="D31" s="14">
        <f>(($C$4-$C$21)-$C$20*$F$54)/$C$6</f>
        <v/>
      </c>
      <c r="E31" s="15">
        <f>IF($C$7="SMS",2*$C$6,0)</f>
        <v/>
      </c>
    </row>
    <row r="32" ht="22" customHeight="1">
      <c r="A32" s="11" t="n">
        <v>9</v>
      </c>
      <c r="B32" s="12" t="inlineStr">
        <is>
          <t>เสากุญแจยูโร ตั้ง</t>
        </is>
      </c>
      <c r="C32" s="13" t="inlineStr">
        <is>
          <t>ยูโร</t>
        </is>
      </c>
      <c r="D32" s="14">
        <f>$C$5-$C$14-$F$46</f>
        <v/>
      </c>
      <c r="E32" s="15">
        <f>IF($C$7="ยูโร",$C$18,0)</f>
        <v/>
      </c>
    </row>
    <row r="33" ht="22" customHeight="1">
      <c r="A33" s="11" t="n">
        <v>10</v>
      </c>
      <c r="B33" s="12" t="inlineStr">
        <is>
          <t>เสากุญแจยูโร นอน</t>
        </is>
      </c>
      <c r="C33" s="13" t="inlineStr">
        <is>
          <t>ยูโร</t>
        </is>
      </c>
      <c r="D33" s="14">
        <f>(($C$4-$C$22)+$C$20*$F$55)/$C$6</f>
        <v/>
      </c>
      <c r="E33" s="15">
        <f>IF($C$7="ยูโร",2*$C$6,0)</f>
        <v/>
      </c>
    </row>
    <row r="34" ht="22" customHeight="1">
      <c r="A34" s="11" t="n">
        <v>11</v>
      </c>
      <c r="B34" s="12" t="inlineStr">
        <is>
          <t>ตบเกี่ยวยูโร</t>
        </is>
      </c>
      <c r="C34" s="13" t="inlineStr">
        <is>
          <t>ยูโร</t>
        </is>
      </c>
      <c r="D34" s="14">
        <f>$C$5-$C$14-$F$48</f>
        <v/>
      </c>
      <c r="E34" s="15">
        <f>IF($C$7="ยูโร",$C$19,0)</f>
        <v/>
      </c>
    </row>
    <row r="35"/>
    <row r="36">
      <c r="B36" s="16" t="inlineStr">
        <is>
          <t>③ กระดานคำนวณความยาว (แตกทีละขั้น) — อ่านซ้าย→ขวา · ฟ้า=ค่าสด · เหลือง=แก้ได้ · เขียว=ผล</t>
        </is>
      </c>
    </row>
    <row r="37">
      <c r="B37" s="10" t="inlineStr">
        <is>
          <t>โปรไฟล์</t>
        </is>
      </c>
      <c r="C37" s="10" t="inlineStr">
        <is>
          <t>ฐาน (จาก)</t>
        </is>
      </c>
      <c r="D37" s="10" t="inlineStr">
        <is>
          <t>ค่า</t>
        </is>
      </c>
      <c r="E37" s="10" t="inlineStr">
        <is>
          <t>− ขนาดคาน</t>
        </is>
      </c>
      <c r="F37" s="10" t="inlineStr">
        <is>
          <t>− ตัวลบ</t>
        </is>
      </c>
      <c r="G37" s="10" t="inlineStr">
        <is>
          <t>− C</t>
        </is>
      </c>
      <c r="H37" s="10" t="inlineStr">
        <is>
          <t>− รอยซ้อนรวม</t>
        </is>
      </c>
      <c r="I37" s="10" t="inlineStr">
        <is>
          <t>÷ บาน</t>
        </is>
      </c>
      <c r="J37" s="10" t="inlineStr">
        <is>
          <t>ยาวตัด</t>
        </is>
      </c>
      <c r="K37" s="10" t="inlineStr">
        <is>
          <t>หมายเหตุ / สูตร</t>
        </is>
      </c>
    </row>
    <row r="38" ht="24" customHeight="1">
      <c r="B38" s="18" t="inlineStr">
        <is>
          <t>คานรับราง</t>
        </is>
      </c>
      <c r="C38" s="19" t="inlineStr">
        <is>
          <t>ความกว้างช่อง</t>
        </is>
      </c>
      <c r="D38" s="20">
        <f>$C$4</f>
        <v/>
      </c>
      <c r="E38" s="21" t="n"/>
      <c r="F38" s="21" t="n"/>
      <c r="G38" s="21" t="n"/>
      <c r="H38" s="21" t="n"/>
      <c r="I38" s="22" t="n"/>
      <c r="J38" s="8">
        <f>$D$24</f>
        <v/>
      </c>
      <c r="K38" s="19" t="inlineStr">
        <is>
          <t>ตัดเท่าช่อง · 1 เส้น</t>
        </is>
      </c>
    </row>
    <row r="39" ht="24" customHeight="1">
      <c r="B39" s="18" t="inlineStr">
        <is>
          <t>เสารับบาน</t>
        </is>
      </c>
      <c r="C39" s="19" t="inlineStr">
        <is>
          <t>ความสูงช่อง</t>
        </is>
      </c>
      <c r="D39" s="20">
        <f>$C$5</f>
        <v/>
      </c>
      <c r="E39" s="20">
        <f>$C$14</f>
        <v/>
      </c>
      <c r="F39" s="21" t="n"/>
      <c r="G39" s="21" t="n"/>
      <c r="H39" s="21" t="n"/>
      <c r="I39" s="22" t="n"/>
      <c r="J39" s="8">
        <f>$D$25</f>
        <v/>
      </c>
      <c r="K39" s="19" t="inlineStr">
        <is>
          <t>สูง − ขนาดคาน · จำนวน ยัด2/แปะ1</t>
        </is>
      </c>
    </row>
    <row r="40" ht="24" customHeight="1">
      <c r="B40" s="18" t="inlineStr">
        <is>
          <t>ชนกลางรับบาน</t>
        </is>
      </c>
      <c r="C40" s="19" t="inlineStr">
        <is>
          <t>ความสูงช่อง</t>
        </is>
      </c>
      <c r="D40" s="20">
        <f>$C$5</f>
        <v/>
      </c>
      <c r="E40" s="20">
        <f>$C$14</f>
        <v/>
      </c>
      <c r="F40" s="21" t="n"/>
      <c r="G40" s="21" t="n"/>
      <c r="H40" s="21" t="n"/>
      <c r="I40" s="22" t="n"/>
      <c r="J40" s="8">
        <f>$D$26</f>
        <v/>
      </c>
      <c r="K40" s="19" t="inlineStr">
        <is>
          <t>สูง − ขนาดคาน · 1 ท่อน</t>
        </is>
      </c>
    </row>
    <row r="41" ht="24" customHeight="1">
      <c r="B41" s="18" t="inlineStr">
        <is>
          <t>รางบน Hafele</t>
        </is>
      </c>
      <c r="C41" s="19" t="inlineStr">
        <is>
          <t>ความกว้างช่อง</t>
        </is>
      </c>
      <c r="D41" s="20">
        <f>$C$4</f>
        <v/>
      </c>
      <c r="E41" s="21" t="n"/>
      <c r="F41" s="21" t="n"/>
      <c r="G41" s="21" t="n"/>
      <c r="H41" s="21" t="n"/>
      <c r="I41" s="22" t="n"/>
      <c r="J41" s="8">
        <f>$D$27</f>
        <v/>
      </c>
      <c r="K41" s="19" t="inlineStr">
        <is>
          <t>ยัด: −5 / แปะนอก: ×2 (แก้ที่ ④) · จำนวน=บานเลื่อน</t>
        </is>
      </c>
    </row>
    <row r="42" ht="24" customHeight="1">
      <c r="B42" s="18" t="inlineStr">
        <is>
          <t>ฉาก 4" ปิดราง</t>
        </is>
      </c>
      <c r="C42" s="19" t="inlineStr">
        <is>
          <t>ความกว้างช่อง</t>
        </is>
      </c>
      <c r="D42" s="20">
        <f>$C$4</f>
        <v/>
      </c>
      <c r="E42" s="21" t="n"/>
      <c r="F42" s="21" t="n"/>
      <c r="G42" s="21" t="n"/>
      <c r="H42" s="21" t="n"/>
      <c r="I42" s="22" t="n"/>
      <c r="J42" s="8">
        <f>$D$28</f>
        <v/>
      </c>
      <c r="K42" s="19" t="inlineStr">
        <is>
          <t>เท่าช่อง · 2 อัน</t>
        </is>
      </c>
    </row>
    <row r="43" ht="24" customHeight="1">
      <c r="B43" s="18" t="inlineStr">
        <is>
          <t>เสากุญแจ 20051 (SMS)</t>
        </is>
      </c>
      <c r="C43" s="19" t="inlineStr">
        <is>
          <t>ความสูงช่อง</t>
        </is>
      </c>
      <c r="D43" s="20">
        <f>$C$5</f>
        <v/>
      </c>
      <c r="E43" s="20">
        <f>$C$14</f>
        <v/>
      </c>
      <c r="F43" s="23" t="n">
        <v>5.1</v>
      </c>
      <c r="G43" s="21" t="n"/>
      <c r="H43" s="21" t="n"/>
      <c r="I43" s="22" t="n"/>
      <c r="J43" s="8">
        <f>$D$29</f>
        <v/>
      </c>
      <c r="K43" s="19" t="inlineStr">
        <is>
          <t>สูง − ขนาดคาน − ตัวลบ</t>
        </is>
      </c>
    </row>
    <row r="44" ht="24" customHeight="1">
      <c r="B44" s="18" t="inlineStr">
        <is>
          <t>เสาเกี่ยว 20009 (SMS)</t>
        </is>
      </c>
      <c r="C44" s="19" t="inlineStr">
        <is>
          <t>ความสูงช่อง</t>
        </is>
      </c>
      <c r="D44" s="20">
        <f>$C$5</f>
        <v/>
      </c>
      <c r="E44" s="20">
        <f>$C$14</f>
        <v/>
      </c>
      <c r="F44" s="23" t="n">
        <v>5.1</v>
      </c>
      <c r="G44" s="21" t="n"/>
      <c r="H44" s="21" t="n"/>
      <c r="I44" s="22" t="n"/>
      <c r="J44" s="8">
        <f>$D$30</f>
        <v/>
      </c>
      <c r="K44" s="19" t="inlineStr">
        <is>
          <t>สูง − ขนาดคาน − ตัวลบ</t>
        </is>
      </c>
    </row>
    <row r="45" ht="24" customHeight="1">
      <c r="B45" s="18" t="inlineStr">
        <is>
          <t>ขวาง 20054 (SMS·นอน)</t>
        </is>
      </c>
      <c r="C45" s="19" t="inlineStr">
        <is>
          <t>ความกว้างช่อง</t>
        </is>
      </c>
      <c r="D45" s="20">
        <f>$C$4</f>
        <v/>
      </c>
      <c r="E45" s="21" t="n"/>
      <c r="F45" s="21" t="n"/>
      <c r="G45" s="20">
        <f>$C$21</f>
        <v/>
      </c>
      <c r="H45" s="20">
        <f>$C$20*$F$54</f>
        <v/>
      </c>
      <c r="I45" s="24">
        <f>$C$6</f>
        <v/>
      </c>
      <c r="J45" s="8">
        <f>$D$31</f>
        <v/>
      </c>
      <c r="K45" s="19" t="inlineStr">
        <is>
          <t>SMS: (ช่อง − C − รอยซ้อน×4) ÷ บาน · C แก้ที่ ⑤</t>
        </is>
      </c>
    </row>
    <row r="46" ht="24" customHeight="1">
      <c r="B46" s="18" t="inlineStr">
        <is>
          <t>เสากุญแจยูโร ตั้ง</t>
        </is>
      </c>
      <c r="C46" s="19" t="inlineStr">
        <is>
          <t>ความสูงช่อง</t>
        </is>
      </c>
      <c r="D46" s="20">
        <f>$C$5</f>
        <v/>
      </c>
      <c r="E46" s="20">
        <f>$C$14</f>
        <v/>
      </c>
      <c r="F46" s="23" t="n">
        <v>5.1</v>
      </c>
      <c r="G46" s="21" t="n"/>
      <c r="H46" s="21" t="n"/>
      <c r="I46" s="22" t="n"/>
      <c r="J46" s="8">
        <f>$D$32</f>
        <v/>
      </c>
      <c r="K46" s="19" t="inlineStr">
        <is>
          <t>สูง − ขนาดคาน − ตัวลบ</t>
        </is>
      </c>
    </row>
    <row r="47" ht="24" customHeight="1">
      <c r="B47" s="18" t="inlineStr">
        <is>
          <t>เสากุญแจยูโร นอน</t>
        </is>
      </c>
      <c r="C47" s="19" t="inlineStr">
        <is>
          <t>ความกว้างช่อง</t>
        </is>
      </c>
      <c r="D47" s="20">
        <f>$C$4</f>
        <v/>
      </c>
      <c r="E47" s="21" t="n"/>
      <c r="F47" s="21" t="n"/>
      <c r="G47" s="20">
        <f>$C$22</f>
        <v/>
      </c>
      <c r="H47" s="20">
        <f>$C$20*$F$55</f>
        <v/>
      </c>
      <c r="I47" s="24">
        <f>$C$6</f>
        <v/>
      </c>
      <c r="J47" s="8">
        <f>$D$33</f>
        <v/>
      </c>
      <c r="K47" s="19" t="inlineStr">
        <is>
          <t>ยูโร 45° เต็มบาน: (ช่อง − C + รอยซ้อน×8) ÷ บาน</t>
        </is>
      </c>
    </row>
    <row r="48" ht="24" customHeight="1">
      <c r="B48" s="18" t="inlineStr">
        <is>
          <t>ตบเกี่ยวยูโร</t>
        </is>
      </c>
      <c r="C48" s="19" t="inlineStr">
        <is>
          <t>ความสูงช่อง</t>
        </is>
      </c>
      <c r="D48" s="20">
        <f>$C$5</f>
        <v/>
      </c>
      <c r="E48" s="20">
        <f>$C$14</f>
        <v/>
      </c>
      <c r="F48" s="23" t="n">
        <v>5.1</v>
      </c>
      <c r="G48" s="21" t="n"/>
      <c r="H48" s="21" t="n"/>
      <c r="I48" s="22" t="n"/>
      <c r="J48" s="8">
        <f>$D$34</f>
        <v/>
      </c>
      <c r="K48" s="19" t="inlineStr">
        <is>
          <t>สูง − ขนาดคาน − ตัวลบ</t>
        </is>
      </c>
    </row>
    <row r="49"/>
    <row r="50">
      <c r="B50" s="25" t="inlineStr">
        <is>
          <t>④ ตัวเลข 'ราง + ระยะซ้อน' ที่แก้ได้</t>
        </is>
      </c>
    </row>
    <row r="51">
      <c r="B51" s="4" t="inlineStr">
        <is>
          <t>ความหมาย</t>
        </is>
      </c>
      <c r="C51" s="27" t="n"/>
      <c r="D51" s="27" t="n"/>
      <c r="E51" s="28" t="n"/>
      <c r="F51" s="10" t="inlineStr">
        <is>
          <t>ค่า</t>
        </is>
      </c>
    </row>
    <row r="52" ht="19" customHeight="1">
      <c r="B52" s="12" t="inlineStr">
        <is>
          <t>ราง/คานรับราง — ยัดในช่อง หัก</t>
        </is>
      </c>
      <c r="C52" s="27" t="n"/>
      <c r="D52" s="27" t="n"/>
      <c r="E52" s="28" t="n"/>
      <c r="F52" s="23" t="n">
        <v>5</v>
      </c>
    </row>
    <row r="53" ht="19" customHeight="1">
      <c r="B53" s="12" t="inlineStr">
        <is>
          <t>ราง — แปะนอก คูณ</t>
        </is>
      </c>
      <c r="C53" s="27" t="n"/>
      <c r="D53" s="27" t="n"/>
      <c r="E53" s="28" t="n"/>
      <c r="F53" s="23" t="n">
        <v>2</v>
      </c>
    </row>
    <row r="54" ht="19" customHeight="1">
      <c r="B54" s="12" t="inlineStr">
        <is>
          <t>ระยะซ้อน — ระบบ SMS</t>
        </is>
      </c>
      <c r="C54" s="27" t="n"/>
      <c r="D54" s="27" t="n"/>
      <c r="E54" s="28" t="n"/>
      <c r="F54" s="23" t="n">
        <v>4</v>
      </c>
    </row>
    <row r="55" ht="19" customHeight="1">
      <c r="B55" s="12" t="inlineStr">
        <is>
          <t>ระยะซ้อน — ระบบ ยูโร</t>
        </is>
      </c>
      <c r="C55" s="27" t="n"/>
      <c r="D55" s="27" t="n"/>
      <c r="E55" s="28" t="n"/>
      <c r="F55" s="23" t="n">
        <v>8</v>
      </c>
    </row>
    <row r="56"/>
    <row r="57">
      <c r="B57" s="25" t="inlineStr">
        <is>
          <t>⑤ ค่า C (หัก) — SMS=เสารับ+เสากุญแจ+เสาเกี่ยว+กรอบ (90°) · ยูโร=เสารับอย่างเดียว (45° เต็มบาน)</t>
        </is>
      </c>
    </row>
    <row r="58">
      <c r="B58" s="4" t="inlineStr">
        <is>
          <t>กรณี</t>
        </is>
      </c>
      <c r="C58" s="27" t="n"/>
      <c r="D58" s="27" t="n"/>
      <c r="E58" s="28" t="n"/>
      <c r="F58" s="10" t="inlineStr">
        <is>
          <t>ค่า C</t>
        </is>
      </c>
    </row>
    <row r="59" ht="19" customHeight="1">
      <c r="B59" s="12" t="inlineStr">
        <is>
          <t>SMS — ยัดในช่อง</t>
        </is>
      </c>
      <c r="C59" s="27" t="n"/>
      <c r="D59" s="27" t="n"/>
      <c r="E59" s="28" t="n"/>
      <c r="F59" s="23" t="n">
        <v>16.8</v>
      </c>
    </row>
    <row r="60" ht="19" customHeight="1">
      <c r="B60" s="12" t="inlineStr">
        <is>
          <t>SMS — แปะนอกชนผนัง</t>
        </is>
      </c>
      <c r="C60" s="27" t="n"/>
      <c r="D60" s="27" t="n"/>
      <c r="E60" s="28" t="n"/>
      <c r="F60" s="23" t="n">
        <v>8.4</v>
      </c>
    </row>
    <row r="61" ht="19" customHeight="1">
      <c r="B61" s="12" t="inlineStr">
        <is>
          <t>SMS — แปะนอกไปต่อ (มือจับฝัง)</t>
        </is>
      </c>
      <c r="C61" s="27" t="n"/>
      <c r="D61" s="27" t="n"/>
      <c r="E61" s="28" t="n"/>
      <c r="F61" s="23" t="n">
        <v>4.3</v>
      </c>
    </row>
    <row r="62" ht="19" customHeight="1">
      <c r="B62" s="12" t="inlineStr">
        <is>
          <t>SMS — แปะนอกไปต่อ (มือจับเมโทร)</t>
        </is>
      </c>
      <c r="C62" s="27" t="n"/>
      <c r="D62" s="27" t="n"/>
      <c r="E62" s="28" t="n"/>
      <c r="F62" s="23" t="n">
        <v>5.9</v>
      </c>
    </row>
    <row r="63" ht="19" customHeight="1">
      <c r="B63" s="12" t="inlineStr">
        <is>
          <t>ยูโร — ยัดในช่อง (เสารับ 2 ข้าง)</t>
        </is>
      </c>
      <c r="C63" s="27" t="n"/>
      <c r="D63" s="27" t="n"/>
      <c r="E63" s="28" t="n"/>
      <c r="F63" s="23" t="n">
        <v>5</v>
      </c>
    </row>
    <row r="64" ht="19" customHeight="1">
      <c r="B64" s="12" t="inlineStr">
        <is>
          <t>ยูโร — แปะนอกชนผนัง (เสารับ 1 ข้าง)</t>
        </is>
      </c>
      <c r="C64" s="27" t="n"/>
      <c r="D64" s="27" t="n"/>
      <c r="E64" s="28" t="n"/>
      <c r="F64" s="23" t="n">
        <v>2.5</v>
      </c>
    </row>
    <row r="65" ht="19" customHeight="1">
      <c r="B65" s="12" t="inlineStr">
        <is>
          <t>ยูโร — แปะนอกไปต่อ (เสารับเสมอปูน = ไม่ลบ)</t>
        </is>
      </c>
      <c r="C65" s="27" t="n"/>
      <c r="D65" s="27" t="n"/>
      <c r="E65" s="28" t="n"/>
      <c r="F65" s="23" t="n">
        <v>0</v>
      </c>
    </row>
    <row r="66"/>
    <row r="67">
      <c r="B67" s="25" t="inlineStr">
        <is>
          <t>⑥ ตารางคาน (ดรอปดาว) — แก้ขนาดที่หัก</t>
        </is>
      </c>
    </row>
    <row r="68">
      <c r="B68" s="10" t="inlineStr">
        <is>
          <t>คาน</t>
        </is>
      </c>
      <c r="C68" s="10" t="inlineStr">
        <is>
          <t>ลบความสูง (ซม.)</t>
        </is>
      </c>
    </row>
    <row r="69">
      <c r="B69" s="11" t="inlineStr">
        <is>
          <t>1×1.6</t>
        </is>
      </c>
      <c r="C69" s="23" t="n">
        <v>2.5</v>
      </c>
    </row>
    <row r="70">
      <c r="B70" s="11" t="inlineStr">
        <is>
          <t>1.6×1.6</t>
        </is>
      </c>
      <c r="C70" s="23" t="n">
        <v>4.5</v>
      </c>
    </row>
    <row r="71">
      <c r="B71" s="11" t="inlineStr">
        <is>
          <t>1×3</t>
        </is>
      </c>
      <c r="C71" s="23" t="n">
        <v>2.5</v>
      </c>
    </row>
    <row r="72">
      <c r="B72" s="11" t="inlineStr">
        <is>
          <t>2×4</t>
        </is>
      </c>
      <c r="C72" s="23" t="n">
        <v>5</v>
      </c>
    </row>
    <row r="73">
      <c r="B73" s="11" t="inlineStr">
        <is>
          <t>4×4</t>
        </is>
      </c>
      <c r="C73" s="23" t="n">
        <v>10.2</v>
      </c>
    </row>
    <row r="74">
      <c r="B74" s="11" t="inlineStr">
        <is>
          <t>2×4+4×4</t>
        </is>
      </c>
      <c r="C74" s="23" t="n">
        <v>10.2</v>
      </c>
    </row>
    <row r="76">
      <c r="A76" s="30" t="n"/>
      <c r="B76" s="31" t="inlineStr">
        <is>
          <t>⑥ อุปกรณ์ (จำนวน/ชุด) — บานเลื่อนรางบน Hafele</t>
        </is>
      </c>
      <c r="F76" s="32" t="inlineStr">
        <is>
          <t>จำนวน</t>
        </is>
      </c>
    </row>
    <row r="77">
      <c r="A77" s="33" t="n">
        <v>1</v>
      </c>
      <c r="B77" s="34" t="inlineStr">
        <is>
          <t>ล้อ Hafele (1 กล่อง/บาน)</t>
        </is>
      </c>
      <c r="C77" s="35" t="n"/>
      <c r="D77" s="35" t="n"/>
      <c r="E77" s="35" t="n"/>
      <c r="F77" s="36">
        <f>C6</f>
        <v/>
      </c>
    </row>
    <row r="78">
      <c r="A78" s="33" t="n">
        <v>2</v>
      </c>
      <c r="B78" s="34" t="inlineStr">
        <is>
          <t>มือจับ Align (2/บาน)</t>
        </is>
      </c>
      <c r="C78" s="35" t="n"/>
      <c r="D78" s="35" t="n"/>
      <c r="E78" s="35" t="n"/>
      <c r="F78" s="36">
        <f>2*C6</f>
        <v/>
      </c>
    </row>
    <row r="79">
      <c r="A79" s="33" t="n">
        <v>3</v>
      </c>
      <c r="B79" s="34" t="inlineStr">
        <is>
          <t>ชุดล็อค (1/บาน)</t>
        </is>
      </c>
      <c r="C79" s="35" t="n"/>
      <c r="D79" s="35" t="n"/>
      <c r="E79" s="35" t="n"/>
      <c r="F79" s="36">
        <f>C6</f>
        <v/>
      </c>
    </row>
    <row r="80">
      <c r="A80" s="33" t="n">
        <v>4</v>
      </c>
      <c r="B80" s="34" t="inlineStr">
        <is>
          <t>ซิลิโคน ใน+นอก (หลอด)</t>
        </is>
      </c>
      <c r="C80" s="35" t="n"/>
      <c r="D80" s="35" t="n"/>
      <c r="E80" s="35" t="n"/>
      <c r="F80" s="36">
        <f>ROUNDUP(2*(C4+C5)/100*2/12.5,0)</f>
        <v/>
      </c>
    </row>
  </sheetData>
  <mergeCells count="25">
    <mergeCell ref="B65:E65"/>
    <mergeCell ref="B3:C3"/>
    <mergeCell ref="B64:E64"/>
    <mergeCell ref="B55:E55"/>
    <mergeCell ref="B51:E51"/>
    <mergeCell ref="B80:E80"/>
    <mergeCell ref="B36:K36"/>
    <mergeCell ref="B76:E76"/>
    <mergeCell ref="B63:E63"/>
    <mergeCell ref="B79:E79"/>
    <mergeCell ref="B67:C67"/>
    <mergeCell ref="B54:E54"/>
    <mergeCell ref="B62:E62"/>
    <mergeCell ref="B59:E59"/>
    <mergeCell ref="B57:F57"/>
    <mergeCell ref="B13:C13"/>
    <mergeCell ref="B58:E58"/>
    <mergeCell ref="B52:E52"/>
    <mergeCell ref="B77:E77"/>
    <mergeCell ref="A1:K2"/>
    <mergeCell ref="B60:E60"/>
    <mergeCell ref="B61:E61"/>
    <mergeCell ref="B53:E53"/>
    <mergeCell ref="B78:E78"/>
    <mergeCell ref="B50:F50"/>
  </mergeCells>
  <dataValidations count="6">
    <dataValidation sqref="C7" showDropDown="0" showInputMessage="0" showErrorMessage="0" allowBlank="0" type="list">
      <formula1>"SMS,ยูโร"</formula1>
    </dataValidation>
    <dataValidation sqref="C8" showDropDown="0" showInputMessage="0" showErrorMessage="0" allowBlank="0" type="list">
      <formula1>"อิสระ,ลากจูง,เปิดคู่กลาง"</formula1>
    </dataValidation>
    <dataValidation sqref="C9" showDropDown="0" showInputMessage="0" showErrorMessage="0" allowBlank="0" type="list">
      <formula1>"ยัดในช่อง,แปะนอกชนผนัง,แปะนอกไปต่อ"</formula1>
    </dataValidation>
    <dataValidation sqref="C10" showDropDown="0" showInputMessage="0" showErrorMessage="0" allowBlank="0" type="list">
      <formula1>"ฝัง,เมโทร"</formula1>
    </dataValidation>
    <dataValidation sqref="C11" showDropDown="0" showInputMessage="0" showErrorMessage="0" allowBlank="0" type="list">
      <formula1>$B$69:$B$74</formula1>
    </dataValidation>
    <dataValidation sqref="C12" showDropDown="0" showInputMessage="0" showErrorMessage="0" allowBlank="0" type="list">
      <formula1>"กล่อง 1×1.6+ชนกลาง,กล่อง 1×3+ชนกลาง,กล่อง 1×4+ชนกลาง"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2026-07-02T02:38:31Z</dcterms:created>
  <dcterms:modified xmlns:dcterms="http://purl.org/dc/terms/" xmlns:xsi="http://www.w3.org/2001/XMLSchema-instance" xsi:type="dcterms:W3CDTF">2026-07-04T04:34:09Z</dcterms:modified>
</cp:coreProperties>
</file>