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ralu\OneDrive\Desktop\"/>
    </mc:Choice>
  </mc:AlternateContent>
  <xr:revisionPtr revIDLastSave="0" documentId="8_{6231F199-5C58-4BCD-BAB1-A3E62CF8968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อิสระ+สลับ" sheetId="1" r:id="rId1"/>
    <sheet name="เปิดคู่กลาง" sheetId="2" r:id="rId2"/>
    <sheet name="ลากจูง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" i="3" l="1"/>
  <c r="D69" i="3"/>
  <c r="D67" i="3"/>
  <c r="D66" i="3"/>
  <c r="D65" i="3"/>
  <c r="D64" i="3"/>
  <c r="D63" i="3"/>
  <c r="D71" i="3" s="1"/>
  <c r="D62" i="3"/>
  <c r="D61" i="3"/>
  <c r="D60" i="3"/>
  <c r="D59" i="3"/>
  <c r="C59" i="3"/>
  <c r="B59" i="3"/>
  <c r="D58" i="3"/>
  <c r="C58" i="3"/>
  <c r="B58" i="3"/>
  <c r="D57" i="3"/>
  <c r="C57" i="3"/>
  <c r="B57" i="3"/>
  <c r="D56" i="3"/>
  <c r="E22" i="3"/>
  <c r="F22" i="3" s="1"/>
  <c r="D22" i="3"/>
  <c r="D21" i="3"/>
  <c r="F21" i="3" s="1"/>
  <c r="D20" i="3"/>
  <c r="F20" i="3" s="1"/>
  <c r="F19" i="3"/>
  <c r="D19" i="3"/>
  <c r="E18" i="3"/>
  <c r="F18" i="3" s="1"/>
  <c r="D18" i="3"/>
  <c r="E17" i="3"/>
  <c r="F17" i="3" s="1"/>
  <c r="D17" i="3"/>
  <c r="E16" i="3"/>
  <c r="F16" i="3" s="1"/>
  <c r="D16" i="3"/>
  <c r="E15" i="3"/>
  <c r="F15" i="3" s="1"/>
  <c r="D15" i="3"/>
  <c r="D14" i="3"/>
  <c r="F14" i="3" s="1"/>
  <c r="F13" i="3"/>
  <c r="D13" i="3"/>
  <c r="D12" i="3"/>
  <c r="F12" i="3" s="1"/>
  <c r="D11" i="3"/>
  <c r="F11" i="3" s="1"/>
  <c r="C11" i="3"/>
  <c r="Z4" i="3"/>
  <c r="E4" i="3"/>
  <c r="D68" i="3" s="1"/>
  <c r="Z3" i="3"/>
  <c r="Z2" i="3"/>
  <c r="Z1" i="3"/>
  <c r="D71" i="2"/>
  <c r="D70" i="2"/>
  <c r="D69" i="2"/>
  <c r="D67" i="2"/>
  <c r="D66" i="2"/>
  <c r="D65" i="2"/>
  <c r="D64" i="2"/>
  <c r="D63" i="2"/>
  <c r="D62" i="2"/>
  <c r="D61" i="2"/>
  <c r="D60" i="2"/>
  <c r="D59" i="2"/>
  <c r="C59" i="2"/>
  <c r="B59" i="2"/>
  <c r="D58" i="2"/>
  <c r="C58" i="2"/>
  <c r="B58" i="2"/>
  <c r="D57" i="2"/>
  <c r="C57" i="2"/>
  <c r="B57" i="2"/>
  <c r="D56" i="2"/>
  <c r="E23" i="2"/>
  <c r="F23" i="2" s="1"/>
  <c r="D23" i="2"/>
  <c r="D21" i="2"/>
  <c r="F21" i="2" s="1"/>
  <c r="D20" i="2"/>
  <c r="F20" i="2" s="1"/>
  <c r="D19" i="2"/>
  <c r="F19" i="2" s="1"/>
  <c r="D18" i="2"/>
  <c r="F18" i="2" s="1"/>
  <c r="D17" i="2"/>
  <c r="F17" i="2" s="1"/>
  <c r="F16" i="2"/>
  <c r="E16" i="2"/>
  <c r="D16" i="2"/>
  <c r="E15" i="2"/>
  <c r="D15" i="2"/>
  <c r="F15" i="2" s="1"/>
  <c r="D14" i="2"/>
  <c r="F14" i="2" s="1"/>
  <c r="D13" i="2"/>
  <c r="F13" i="2" s="1"/>
  <c r="D12" i="2"/>
  <c r="F12" i="2" s="1"/>
  <c r="D11" i="2"/>
  <c r="D22" i="2" s="1"/>
  <c r="D10" i="2"/>
  <c r="F10" i="2" s="1"/>
  <c r="C10" i="2"/>
  <c r="Z4" i="2"/>
  <c r="Z3" i="2"/>
  <c r="E3" i="2"/>
  <c r="Z2" i="2"/>
  <c r="Z1" i="2"/>
  <c r="D71" i="1"/>
  <c r="D70" i="1"/>
  <c r="D69" i="1"/>
  <c r="D67" i="1"/>
  <c r="D66" i="1"/>
  <c r="D65" i="1"/>
  <c r="D64" i="1"/>
  <c r="D63" i="1"/>
  <c r="D62" i="1"/>
  <c r="D61" i="1"/>
  <c r="D60" i="1"/>
  <c r="D59" i="1"/>
  <c r="C59" i="1"/>
  <c r="B59" i="1"/>
  <c r="D58" i="1"/>
  <c r="C58" i="1"/>
  <c r="B58" i="1"/>
  <c r="D57" i="1"/>
  <c r="C57" i="1"/>
  <c r="B57" i="1"/>
  <c r="D56" i="1"/>
  <c r="E21" i="1"/>
  <c r="F21" i="1" s="1"/>
  <c r="D21" i="1"/>
  <c r="E20" i="1"/>
  <c r="F20" i="1" s="1"/>
  <c r="D20" i="1"/>
  <c r="D19" i="1"/>
  <c r="F19" i="1" s="1"/>
  <c r="E18" i="1"/>
  <c r="F18" i="1" s="1"/>
  <c r="D18" i="1"/>
  <c r="F17" i="1"/>
  <c r="E17" i="1"/>
  <c r="D68" i="1" s="1"/>
  <c r="D17" i="1"/>
  <c r="E16" i="1"/>
  <c r="F16" i="1" s="1"/>
  <c r="D16" i="1"/>
  <c r="F15" i="1"/>
  <c r="E15" i="1"/>
  <c r="D15" i="1"/>
  <c r="F14" i="1"/>
  <c r="D14" i="1"/>
  <c r="D13" i="1"/>
  <c r="F13" i="1" s="1"/>
  <c r="D12" i="1"/>
  <c r="F12" i="1" s="1"/>
  <c r="D11" i="1"/>
  <c r="F11" i="1" s="1"/>
  <c r="C11" i="1"/>
  <c r="Z4" i="1"/>
  <c r="E4" i="1"/>
  <c r="Z3" i="1"/>
  <c r="Z2" i="1"/>
  <c r="Z1" i="1"/>
  <c r="Y1" i="1"/>
  <c r="D68" i="2" l="1"/>
  <c r="F11" i="2"/>
</calcChain>
</file>

<file path=xl/sharedStrings.xml><?xml version="1.0" encoding="utf-8"?>
<sst xmlns="http://schemas.openxmlformats.org/spreadsheetml/2006/main" count="441" uniqueCount="145">
  <si>
    <t>JR — ใบตัด SMS เลื่อนอิสระ/สลับ (จำนวนบาน N · รวมราง+โหนก) · ซม.</t>
  </si>
  <si>
    <t>เมโทรกุญแจอบขาว</t>
  </si>
  <si>
    <t>JR00368</t>
  </si>
  <si>
    <t>① กรอก (เหลือง)</t>
  </si>
  <si>
    <t>เมโทรกุญแจดำ</t>
  </si>
  <si>
    <t>JR00371</t>
  </si>
  <si>
    <t>กว้างช่อง W →</t>
  </si>
  <si>
    <t>N=3 อิสระ · N=2 สลับ</t>
  </si>
  <si>
    <t>เมโทรล็อคอบขาว</t>
  </si>
  <si>
    <t>JR00369</t>
  </si>
  <si>
    <t>สูงช่อง H →</t>
  </si>
  <si>
    <t>ขวางบน =(W−4.2N−11.2)/N</t>
  </si>
  <si>
    <t>เมโทรล็อคดำ</t>
  </si>
  <si>
    <t>JR00372</t>
  </si>
  <si>
    <t>ราง →</t>
  </si>
  <si>
    <t>3รางเสียบ</t>
  </si>
  <si>
    <t>เมโทรดัมมี่อบขาว</t>
  </si>
  <si>
    <t>JR00370</t>
  </si>
  <si>
    <t>โหนก →</t>
  </si>
  <si>
    <t>ไม่มี</t>
  </si>
  <si>
    <t>เมโทรดัมมี่ดำ</t>
  </si>
  <si>
    <t>JR00373</t>
  </si>
  <si>
    <t>จำนวนบาน N →</t>
  </si>
  <si>
    <t>Alignกุญแจอบขาว</t>
  </si>
  <si>
    <t>JR00377</t>
  </si>
  <si>
    <t>Alignล็อคอบขาว</t>
  </si>
  <si>
    <t>JR00378</t>
  </si>
  <si>
    <t>④ ใบตัดอลู · ยาว=ฐาน−⑦</t>
  </si>
  <si>
    <t>Alignดัมมี่อบขาว</t>
  </si>
  <si>
    <t>JR00379</t>
  </si>
  <si>
    <t>#</t>
  </si>
  <si>
    <t>โปรไฟล์</t>
  </si>
  <si>
    <t>รหัส</t>
  </si>
  <si>
    <t>ยาวตัด (ซม.)</t>
  </si>
  <si>
    <t>จำนวน</t>
  </si>
  <si>
    <t>เส้น6.4ม.</t>
  </si>
  <si>
    <t>Alignกุญแจดำ</t>
  </si>
  <si>
    <t>JR00374</t>
  </si>
  <si>
    <t>เฟรมล่าง</t>
  </si>
  <si>
    <t>1</t>
  </si>
  <si>
    <t>Alignล็อคดำ</t>
  </si>
  <si>
    <t>JR00375</t>
  </si>
  <si>
    <t>เฟรมบน</t>
  </si>
  <si>
    <t>B20001</t>
  </si>
  <si>
    <t>Alignดัมมี่ดำ</t>
  </si>
  <si>
    <t>JR00376</t>
  </si>
  <si>
    <t>เฟรมข้าง</t>
  </si>
  <si>
    <t>B20003</t>
  </si>
  <si>
    <t>2</t>
  </si>
  <si>
    <t>เสากุญแจ ML</t>
  </si>
  <si>
    <t>20051</t>
  </si>
  <si>
    <t>เสาเกี่ยว</t>
  </si>
  <si>
    <t>B20009</t>
  </si>
  <si>
    <t>เสาเกี่ยวโหนก</t>
  </si>
  <si>
    <t>B20010</t>
  </si>
  <si>
    <t>ขวางบน</t>
  </si>
  <si>
    <t>B20054</t>
  </si>
  <si>
    <t>ขวางล่าง</t>
  </si>
  <si>
    <t>ฝาปิดเฟรมข้าง</t>
  </si>
  <si>
    <t>B20019</t>
  </si>
  <si>
    <t>4</t>
  </si>
  <si>
    <t>ตบเฟรมบน/ล่าง ร่องใน</t>
  </si>
  <si>
    <t>-</t>
  </si>
  <si>
    <t>เบรคบาน ธรณี</t>
  </si>
  <si>
    <t>B20050</t>
  </si>
  <si>
    <t>⑦ แผงค่าหัก (เหลือง · แก้เตี้ย2.3)</t>
  </si>
  <si>
    <t>เฟรม (2.2×2)</t>
  </si>
  <si>
    <t>เสากุญแจ เสียบ (6.1)</t>
  </si>
  <si>
    <t>เสากุญแจ เตี้ย (3)</t>
  </si>
  <si>
    <t>ฝาปิดข้าง เสียบ (5)</t>
  </si>
  <si>
    <t>ฝาปิดข้าง เตี้ย (2.3)</t>
  </si>
  <si>
    <t>ขวางบน สปส.N (4.2)</t>
  </si>
  <si>
    <t>ขวางบน คงที่ (11.2)</t>
  </si>
  <si>
    <t>ตบร่องใน (3.5×2)</t>
  </si>
  <si>
    <t>⑤ อุปกรณ์ (รหัสเว้นว่าง รอพี่เติม · จำนวนลิงก์อัตโนมัติ)</t>
  </si>
  <si>
    <t>ประเภทบาน →</t>
  </si>
  <si>
    <t>ประตู</t>
  </si>
  <si>
    <t>ยี่ห้อมือจับ →</t>
  </si>
  <si>
    <t>เมโทร</t>
  </si>
  <si>
    <t>มือจับ ซ้าย →</t>
  </si>
  <si>
    <t>กุญแจ+ล็อค</t>
  </si>
  <si>
    <t>สีมือจับ →</t>
  </si>
  <si>
    <t>อบขาว</t>
  </si>
  <si>
    <t>มือจับ ขวา →</t>
  </si>
  <si>
    <t>ล็อค+ดัมมี่</t>
  </si>
  <si>
    <t>อุปกรณ์</t>
  </si>
  <si>
    <t>รหัส SKU</t>
  </si>
  <si>
    <t>หน่วย</t>
  </si>
  <si>
    <t>หมายเหตุ</t>
  </si>
  <si>
    <t>ล้อ 27</t>
  </si>
  <si>
    <t>JR00576</t>
  </si>
  <si>
    <t>ตัว</t>
  </si>
  <si>
    <t>ชุด</t>
  </si>
  <si>
    <t>Digital lock (ซื้อแยก)</t>
  </si>
  <si>
    <t>ไม่ตัดสต็อก · ไม่มีมือจับ</t>
  </si>
  <si>
    <t>แกนมือจับ A</t>
  </si>
  <si>
    <t>JR00478</t>
  </si>
  <si>
    <t>อัน</t>
  </si>
  <si>
    <t>แกนมือจับ B</t>
  </si>
  <si>
    <t>JR00479</t>
  </si>
  <si>
    <t>สูง&gt;140→1 &gt;280→2</t>
  </si>
  <si>
    <t>ปลายมือจับ ดำ</t>
  </si>
  <si>
    <t>JR00476</t>
  </si>
  <si>
    <t>ตัวที เงิน</t>
  </si>
  <si>
    <t>JR00475</t>
  </si>
  <si>
    <t>น็อต 1" (ประกอบบาน)</t>
  </si>
  <si>
    <t>JR00864</t>
  </si>
  <si>
    <t>น็อต 1" (ประกอบเฟรม)</t>
  </si>
  <si>
    <t>น็อต 6 หุน (ยึดล้อ)</t>
  </si>
  <si>
    <t>JR00863</t>
  </si>
  <si>
    <t>สักหลาด 5×3 (รวม)</t>
  </si>
  <si>
    <t>JR00794</t>
  </si>
  <si>
    <t>ม.</t>
  </si>
  <si>
    <t>ม้วนละ 250ม. · เก็บเป็นเมตร ระบบสะสมครบม้วนค่อยตัดสต็อก</t>
  </si>
  <si>
    <t>ยางรูน้ำลง</t>
  </si>
  <si>
    <t>JR00589</t>
  </si>
  <si>
    <t>2 + เฟรมล่าง&gt;150 เพิ่มทุก 50ซม.</t>
  </si>
  <si>
    <t>วาวรูน้ำออก</t>
  </si>
  <si>
    <t>JR00485</t>
  </si>
  <si>
    <t>ก้ามปูรับล็อค</t>
  </si>
  <si>
    <t>JR00477</t>
  </si>
  <si>
    <t>เท่าปลายดำ</t>
  </si>
  <si>
    <t>JR — ใบตัด SMS เปิดคู่กลาง (รวมราง+โหนก) · หน่วย ซม.</t>
  </si>
  <si>
    <t>ขวางบน =(W−35.3)/4</t>
  </si>
  <si>
    <t>เสากุญแจมัลติพ้อย</t>
  </si>
  <si>
    <t>B20051</t>
  </si>
  <si>
    <t>เสากุญแจบานตาย</t>
  </si>
  <si>
    <t>ชนกลาง</t>
  </si>
  <si>
    <t>B20046</t>
  </si>
  <si>
    <t>ตบเฟรมบน/ล่าง ร่องกลาง</t>
  </si>
  <si>
    <t>เฟรมบน − 2×(ขวางล่าง+9.7)</t>
  </si>
  <si>
    <t>⑦ แผงค่าหัก (จากชีทเดิม+แก้เตี้ย2.3 · เหลือง)</t>
  </si>
  <si>
    <t>เสากุญแจ เตี้ย (3.2)</t>
  </si>
  <si>
    <t>ตบร่องกลาง +เพิ่ม (11.5)</t>
  </si>
  <si>
    <t>ขวางบน หัก (35.3)</t>
  </si>
  <si>
    <t>ขวางบน หาร (4)</t>
  </si>
  <si>
    <t>JR — ใบตัด SMS ลากจูง (บานลากกองข้างเดียว · รวมราง+โหนก) · ซม.</t>
  </si>
  <si>
    <t>N=3 ลากจูง · N=2 เลื่อนเดี่ยว</t>
  </si>
  <si>
    <t>ร่องกลาง: 3+บาน=ขวางบน+4.7 · 2บาน=ขวางบน+4.7−0.4</t>
  </si>
  <si>
    <t>ร่องใน: 2บาน=ช่อง−7 · 3+บาน=(ช่อง−เฟรม)−[⑦หัก]−ขวางบน−[⑦/บาน]×(บาน−2)</t>
  </si>
  <si>
    <t>⑦ แผงค่าหัก (เหลือง)</t>
  </si>
  <si>
    <t>ตบร่องกลาง +overlap (4.7)</t>
  </si>
  <si>
    <t>ตบร่องใน หัก (1.3)</t>
  </si>
  <si>
    <t>ตบร่องใน /บาน (9.7)</t>
  </si>
  <si>
    <t>มือจับ (1 ชุด) 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</si>
</sst>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8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b/>
      <sz val="11"/>
      <name val="Tahoma"/>
    </font>
    <font>
      <sz val="11"/>
      <name val="Tahoma"/>
    </font>
    <font>
      <b/>
      <sz val="10"/>
      <name val="Tahoma"/>
    </font>
    <font>
      <sz val="10"/>
      <name val="Tahoma"/>
    </font>
    <font>
      <b/>
      <sz val="10"/>
      <color rgb="FFFFFFFF"/>
      <name val="Tahoma"/>
    </font>
    <font>
      <i/>
      <sz val="9"/>
      <name val="Tahoma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87" fontId="2" fillId="6" borderId="1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187" fontId="2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2" fontId="2" fillId="5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4" borderId="1" xfId="0" applyFill="1" applyBorder="1"/>
    <xf numFmtId="0" fontId="6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0" fillId="6" borderId="1" xfId="0" applyFill="1" applyBorder="1" applyAlignment="1">
      <alignment horizontal="center"/>
    </xf>
    <xf numFmtId="0" fontId="7" fillId="0" borderId="0" xfId="0" applyFont="1"/>
    <xf numFmtId="0" fontId="5" fillId="0" borderId="1" xfId="0" applyFont="1" applyBorder="1" applyAlignment="1">
      <alignment horizontal="left" vertical="center"/>
    </xf>
    <xf numFmtId="187" fontId="7" fillId="4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1" xfId="0" applyFill="1" applyBorder="1"/>
    <xf numFmtId="0" fontId="1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1"/>
  <sheetViews>
    <sheetView tabSelected="1" workbookViewId="0">
      <selection sqref="A1:F1"/>
    </sheetView>
  </sheetViews>
  <sheetFormatPr defaultRowHeight="13.8" x14ac:dyDescent="0.25"/>
  <cols>
    <col min="1" max="1" width="5" customWidth="1"/>
    <col min="2" max="2" width="22" customWidth="1"/>
    <col min="3" max="3" width="10" customWidth="1"/>
    <col min="4" max="6" width="13" customWidth="1"/>
    <col min="25" max="28" width="13" hidden="1" customWidth="1"/>
  </cols>
  <sheetData>
    <row r="1" spans="1:28" x14ac:dyDescent="0.25">
      <c r="A1" s="29" t="s">
        <v>0</v>
      </c>
      <c r="B1" s="27"/>
      <c r="C1" s="27"/>
      <c r="D1" s="27"/>
      <c r="E1" s="27"/>
      <c r="F1" s="28"/>
      <c r="Y1">
        <f>(COUNTIF($B$25:$B$26,"กุญแจ+ล็อค")+COUNTIF($B$25:$B$26,"ล็อค+ดัมมี่")+COUNTIF($B$25:$B$26,"ล็อค"))</f>
        <v>0</v>
      </c>
      <c r="Z1" t="str">
        <f>IF($B$52="ประตู","กุญแจ+ล็อค","ล็อค")</f>
        <v>กุญแจ+ล็อค</v>
      </c>
      <c r="AA1" t="s">
        <v>1</v>
      </c>
      <c r="AB1" t="s">
        <v>2</v>
      </c>
    </row>
    <row r="2" spans="1:28" x14ac:dyDescent="0.25">
      <c r="A2" s="26" t="s">
        <v>3</v>
      </c>
      <c r="B2" s="27"/>
      <c r="C2" s="27"/>
      <c r="D2" s="27"/>
      <c r="E2" s="27"/>
      <c r="F2" s="28"/>
      <c r="Z2" t="str">
        <f>IF($B$52="ประตู","ล็อค+ดัมมี่","ดัมมี่")</f>
        <v>ล็อค+ดัมมี่</v>
      </c>
      <c r="AA2" t="s">
        <v>4</v>
      </c>
      <c r="AB2" t="s">
        <v>5</v>
      </c>
    </row>
    <row r="3" spans="1:28" x14ac:dyDescent="0.25">
      <c r="A3" s="3" t="s">
        <v>6</v>
      </c>
      <c r="B3" s="4">
        <v>350</v>
      </c>
      <c r="D3" s="6" t="s">
        <v>7</v>
      </c>
      <c r="Z3" t="str">
        <f>IF($B$52="ประตู","ดัมมี่+ดัมมี่","")</f>
        <v>ดัมมี่+ดัมมี่</v>
      </c>
      <c r="AA3" t="s">
        <v>8</v>
      </c>
      <c r="AB3" t="s">
        <v>9</v>
      </c>
    </row>
    <row r="4" spans="1:28" x14ac:dyDescent="0.25">
      <c r="A4" s="3" t="s">
        <v>10</v>
      </c>
      <c r="B4" s="4">
        <v>159</v>
      </c>
      <c r="D4" s="10" t="s">
        <v>11</v>
      </c>
      <c r="E4" s="11">
        <f>(B3-$F$46*B7-$F$47)/B7</f>
        <v>108.73333333333333</v>
      </c>
      <c r="Z4" t="str">
        <f>IF($B$52="ประตู","Digital lock","")</f>
        <v>Digital lock</v>
      </c>
      <c r="AA4" t="s">
        <v>12</v>
      </c>
      <c r="AB4" t="s">
        <v>13</v>
      </c>
    </row>
    <row r="5" spans="1:28" x14ac:dyDescent="0.25">
      <c r="A5" s="3" t="s">
        <v>14</v>
      </c>
      <c r="B5" s="4" t="s">
        <v>15</v>
      </c>
      <c r="AA5" t="s">
        <v>16</v>
      </c>
      <c r="AB5" t="s">
        <v>17</v>
      </c>
    </row>
    <row r="6" spans="1:28" x14ac:dyDescent="0.25">
      <c r="A6" s="3" t="s">
        <v>18</v>
      </c>
      <c r="B6" s="4" t="s">
        <v>19</v>
      </c>
      <c r="AA6" t="s">
        <v>20</v>
      </c>
      <c r="AB6" t="s">
        <v>21</v>
      </c>
    </row>
    <row r="7" spans="1:28" x14ac:dyDescent="0.25">
      <c r="A7" s="3" t="s">
        <v>22</v>
      </c>
      <c r="B7" s="4">
        <v>3</v>
      </c>
      <c r="AA7" t="s">
        <v>23</v>
      </c>
      <c r="AB7" t="s">
        <v>24</v>
      </c>
    </row>
    <row r="8" spans="1:28" x14ac:dyDescent="0.25">
      <c r="AA8" t="s">
        <v>25</v>
      </c>
      <c r="AB8" t="s">
        <v>26</v>
      </c>
    </row>
    <row r="9" spans="1:28" x14ac:dyDescent="0.25">
      <c r="A9" s="26" t="s">
        <v>27</v>
      </c>
      <c r="B9" s="27"/>
      <c r="C9" s="27"/>
      <c r="D9" s="27"/>
      <c r="E9" s="27"/>
      <c r="F9" s="28"/>
      <c r="AA9" t="s">
        <v>28</v>
      </c>
      <c r="AB9" t="s">
        <v>29</v>
      </c>
    </row>
    <row r="10" spans="1:28" x14ac:dyDescent="0.25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34</v>
      </c>
      <c r="F10" s="1" t="s">
        <v>35</v>
      </c>
      <c r="AA10" t="s">
        <v>36</v>
      </c>
      <c r="AB10" t="s">
        <v>37</v>
      </c>
    </row>
    <row r="11" spans="1:28" x14ac:dyDescent="0.25">
      <c r="A11" s="5">
        <v>1</v>
      </c>
      <c r="B11" s="6" t="s">
        <v>38</v>
      </c>
      <c r="C11" s="5" t="str">
        <f>IF(B5="3รางเสียบ","B20041","B20046")</f>
        <v>B20041</v>
      </c>
      <c r="D11" s="7">
        <f>B3-$F$41</f>
        <v>345.6</v>
      </c>
      <c r="E11" s="8" t="s">
        <v>39</v>
      </c>
      <c r="F11" s="5">
        <f t="shared" ref="F11:F21" si="0">IF(E11=0,"-",ROUNDUP(D11*E11/640,0))</f>
        <v>1</v>
      </c>
      <c r="AA11" t="s">
        <v>40</v>
      </c>
      <c r="AB11" t="s">
        <v>41</v>
      </c>
    </row>
    <row r="12" spans="1:28" x14ac:dyDescent="0.25">
      <c r="A12" s="5">
        <v>2</v>
      </c>
      <c r="B12" s="6" t="s">
        <v>42</v>
      </c>
      <c r="C12" s="5" t="s">
        <v>43</v>
      </c>
      <c r="D12" s="7">
        <f>B3-$F$41</f>
        <v>345.6</v>
      </c>
      <c r="E12" s="8" t="s">
        <v>39</v>
      </c>
      <c r="F12" s="5">
        <f t="shared" si="0"/>
        <v>1</v>
      </c>
      <c r="AA12" t="s">
        <v>44</v>
      </c>
      <c r="AB12" t="s">
        <v>45</v>
      </c>
    </row>
    <row r="13" spans="1:28" x14ac:dyDescent="0.25">
      <c r="A13" s="5">
        <v>3</v>
      </c>
      <c r="B13" s="6" t="s">
        <v>46</v>
      </c>
      <c r="C13" s="5" t="s">
        <v>47</v>
      </c>
      <c r="D13" s="7">
        <f>B4</f>
        <v>159</v>
      </c>
      <c r="E13" s="8" t="s">
        <v>48</v>
      </c>
      <c r="F13" s="5">
        <f t="shared" si="0"/>
        <v>1</v>
      </c>
    </row>
    <row r="14" spans="1:28" x14ac:dyDescent="0.25">
      <c r="A14" s="5">
        <v>4</v>
      </c>
      <c r="B14" s="6" t="s">
        <v>49</v>
      </c>
      <c r="C14" s="5" t="s">
        <v>50</v>
      </c>
      <c r="D14" s="7">
        <f>B4-IF(B5="3รางเสียบ",$F$42,$F$43)</f>
        <v>152.9</v>
      </c>
      <c r="E14" s="8" t="s">
        <v>48</v>
      </c>
      <c r="F14" s="5">
        <f t="shared" si="0"/>
        <v>1</v>
      </c>
    </row>
    <row r="15" spans="1:28" x14ac:dyDescent="0.25">
      <c r="A15" s="5">
        <v>5</v>
      </c>
      <c r="B15" s="6" t="s">
        <v>51</v>
      </c>
      <c r="C15" s="5" t="s">
        <v>52</v>
      </c>
      <c r="D15" s="7">
        <f>B4-IF(B5="3รางเสียบ",$F$42,$F$43)</f>
        <v>152.9</v>
      </c>
      <c r="E15" s="8">
        <f>IF(B6="มี",B7-1,2*(B7-1))</f>
        <v>4</v>
      </c>
      <c r="F15" s="5">
        <f t="shared" si="0"/>
        <v>1</v>
      </c>
    </row>
    <row r="16" spans="1:28" x14ac:dyDescent="0.25">
      <c r="A16" s="5">
        <v>6</v>
      </c>
      <c r="B16" s="6" t="s">
        <v>53</v>
      </c>
      <c r="C16" s="5" t="s">
        <v>54</v>
      </c>
      <c r="D16" s="7">
        <f>B4-IF(B5="3รางเสียบ",$F$42,$F$43)</f>
        <v>152.9</v>
      </c>
      <c r="E16" s="8">
        <f>IF(B6="มี",B7-1,0)</f>
        <v>0</v>
      </c>
      <c r="F16" s="5" t="str">
        <f t="shared" si="0"/>
        <v>-</v>
      </c>
    </row>
    <row r="17" spans="1:6" x14ac:dyDescent="0.25">
      <c r="A17" s="5">
        <v>7</v>
      </c>
      <c r="B17" s="6" t="s">
        <v>55</v>
      </c>
      <c r="C17" s="5" t="s">
        <v>56</v>
      </c>
      <c r="D17" s="7">
        <f>(B3-$F$46*B7-$F$47)/B7</f>
        <v>108.73333333333333</v>
      </c>
      <c r="E17" s="8">
        <f>B7</f>
        <v>3</v>
      </c>
      <c r="F17" s="5">
        <f t="shared" si="0"/>
        <v>1</v>
      </c>
    </row>
    <row r="18" spans="1:6" x14ac:dyDescent="0.25">
      <c r="A18" s="5">
        <v>8</v>
      </c>
      <c r="B18" s="6" t="s">
        <v>57</v>
      </c>
      <c r="C18" s="5" t="s">
        <v>56</v>
      </c>
      <c r="D18" s="7">
        <f>(B3-$F$46*B7-$F$47)/B7</f>
        <v>108.73333333333333</v>
      </c>
      <c r="E18" s="8">
        <f>B7</f>
        <v>3</v>
      </c>
      <c r="F18" s="5">
        <f t="shared" si="0"/>
        <v>1</v>
      </c>
    </row>
    <row r="19" spans="1:6" x14ac:dyDescent="0.25">
      <c r="A19" s="5">
        <v>9</v>
      </c>
      <c r="B19" s="6" t="s">
        <v>58</v>
      </c>
      <c r="C19" s="5" t="s">
        <v>59</v>
      </c>
      <c r="D19" s="7">
        <f>B4-IF(B5="3รางเสียบ",$F$44,$F$45)</f>
        <v>154</v>
      </c>
      <c r="E19" s="8" t="s">
        <v>60</v>
      </c>
      <c r="F19" s="5">
        <f t="shared" si="0"/>
        <v>1</v>
      </c>
    </row>
    <row r="20" spans="1:6" x14ac:dyDescent="0.25">
      <c r="A20" s="5">
        <v>10</v>
      </c>
      <c r="B20" s="6" t="s">
        <v>61</v>
      </c>
      <c r="C20" s="5" t="s">
        <v>62</v>
      </c>
      <c r="D20" s="7">
        <f>B3-$F$48</f>
        <v>343</v>
      </c>
      <c r="E20" s="8">
        <f>MAX(3-B7,0)*2</f>
        <v>0</v>
      </c>
      <c r="F20" s="5" t="str">
        <f t="shared" si="0"/>
        <v>-</v>
      </c>
    </row>
    <row r="21" spans="1:6" x14ac:dyDescent="0.25">
      <c r="A21" s="5">
        <v>11</v>
      </c>
      <c r="B21" s="6" t="s">
        <v>63</v>
      </c>
      <c r="C21" s="5" t="s">
        <v>64</v>
      </c>
      <c r="D21" s="7">
        <f>B3-$F$41</f>
        <v>345.6</v>
      </c>
      <c r="E21" s="8">
        <f>IF(B5="รางเตี้ย7มม",2,0)</f>
        <v>0</v>
      </c>
      <c r="F21" s="5" t="str">
        <f t="shared" si="0"/>
        <v>-</v>
      </c>
    </row>
    <row r="23" spans="1:6" x14ac:dyDescent="0.25">
      <c r="A23" s="12"/>
    </row>
    <row r="24" spans="1:6" x14ac:dyDescent="0.25">
      <c r="A24" s="13"/>
      <c r="B24" s="22"/>
    </row>
    <row r="25" spans="1:6" x14ac:dyDescent="0.25">
      <c r="A25" s="13"/>
      <c r="B25" s="22"/>
    </row>
    <row r="26" spans="1:6" x14ac:dyDescent="0.25">
      <c r="A26" s="13"/>
      <c r="B26" s="22"/>
    </row>
    <row r="27" spans="1:6" x14ac:dyDescent="0.25">
      <c r="A27" s="23"/>
      <c r="B27" s="23"/>
      <c r="C27" s="23"/>
      <c r="D27" s="23"/>
      <c r="E27" s="23"/>
      <c r="F27" s="23"/>
    </row>
    <row r="28" spans="1:6" x14ac:dyDescent="0.25">
      <c r="A28" s="16"/>
      <c r="B28" s="17"/>
      <c r="C28" s="22"/>
      <c r="D28" s="24"/>
      <c r="E28" s="16"/>
      <c r="F28" s="19"/>
    </row>
    <row r="29" spans="1:6" x14ac:dyDescent="0.25">
      <c r="A29" s="16"/>
      <c r="B29" s="17"/>
      <c r="C29" s="22"/>
      <c r="D29" s="24"/>
      <c r="E29" s="16"/>
      <c r="F29" s="19"/>
    </row>
    <row r="30" spans="1:6" x14ac:dyDescent="0.25">
      <c r="A30" s="16"/>
      <c r="B30" s="17"/>
      <c r="C30" s="22"/>
      <c r="D30" s="24"/>
      <c r="E30" s="16"/>
      <c r="F30" s="19"/>
    </row>
    <row r="31" spans="1:6" x14ac:dyDescent="0.25">
      <c r="A31" s="16"/>
      <c r="B31" s="17"/>
      <c r="C31" s="22"/>
      <c r="D31" s="24"/>
      <c r="E31" s="16"/>
      <c r="F31" s="19"/>
    </row>
    <row r="32" spans="1:6" x14ac:dyDescent="0.25">
      <c r="A32" s="16"/>
      <c r="B32" s="17"/>
      <c r="C32" s="22"/>
      <c r="D32" s="24"/>
      <c r="E32" s="16"/>
      <c r="F32" s="19"/>
    </row>
    <row r="33" spans="1:6" x14ac:dyDescent="0.25">
      <c r="A33" s="16"/>
      <c r="B33" s="17"/>
      <c r="C33" s="22"/>
      <c r="D33" s="24"/>
      <c r="E33" s="16"/>
      <c r="F33" s="19"/>
    </row>
    <row r="34" spans="1:6" x14ac:dyDescent="0.25">
      <c r="A34" s="16"/>
      <c r="B34" s="17"/>
      <c r="C34" s="22"/>
      <c r="D34" s="24"/>
      <c r="E34" s="16"/>
      <c r="F34" s="19"/>
    </row>
    <row r="35" spans="1:6" x14ac:dyDescent="0.25">
      <c r="A35" s="16"/>
      <c r="B35" s="17"/>
      <c r="C35" s="22"/>
      <c r="D35" s="24"/>
      <c r="E35" s="16"/>
      <c r="F35" s="19"/>
    </row>
    <row r="36" spans="1:6" x14ac:dyDescent="0.25">
      <c r="A36" s="16"/>
      <c r="B36" s="17"/>
      <c r="C36" s="22"/>
      <c r="D36" s="24"/>
      <c r="E36" s="16"/>
      <c r="F36" s="19"/>
    </row>
    <row r="37" spans="1:6" x14ac:dyDescent="0.25">
      <c r="A37" s="16"/>
      <c r="B37" s="17"/>
      <c r="C37" s="22"/>
      <c r="D37" s="24"/>
      <c r="E37" s="16"/>
      <c r="F37" s="19"/>
    </row>
    <row r="38" spans="1:6" x14ac:dyDescent="0.25">
      <c r="A38" s="16"/>
      <c r="B38" s="17"/>
      <c r="C38" s="22"/>
      <c r="D38" s="24"/>
      <c r="E38" s="16"/>
      <c r="F38" s="19"/>
    </row>
    <row r="39" spans="1:6" x14ac:dyDescent="0.25">
      <c r="A39" s="16"/>
      <c r="B39" s="17"/>
      <c r="C39" s="22"/>
      <c r="D39" s="24"/>
      <c r="E39" s="16"/>
      <c r="F39" s="19"/>
    </row>
    <row r="40" spans="1:6" x14ac:dyDescent="0.25">
      <c r="A40" s="2" t="s">
        <v>65</v>
      </c>
    </row>
    <row r="41" spans="1:6" x14ac:dyDescent="0.25">
      <c r="B41" s="6" t="s">
        <v>66</v>
      </c>
      <c r="F41" s="9">
        <v>4.4000000000000004</v>
      </c>
    </row>
    <row r="42" spans="1:6" x14ac:dyDescent="0.25">
      <c r="B42" s="6" t="s">
        <v>67</v>
      </c>
      <c r="F42" s="9">
        <v>6.1</v>
      </c>
    </row>
    <row r="43" spans="1:6" x14ac:dyDescent="0.25">
      <c r="B43" s="6" t="s">
        <v>68</v>
      </c>
      <c r="F43" s="9">
        <v>3</v>
      </c>
    </row>
    <row r="44" spans="1:6" x14ac:dyDescent="0.25">
      <c r="B44" s="6" t="s">
        <v>69</v>
      </c>
      <c r="F44" s="9">
        <v>5</v>
      </c>
    </row>
    <row r="45" spans="1:6" x14ac:dyDescent="0.25">
      <c r="B45" s="6" t="s">
        <v>70</v>
      </c>
      <c r="F45" s="9">
        <v>2.2999999999999998</v>
      </c>
    </row>
    <row r="46" spans="1:6" x14ac:dyDescent="0.25">
      <c r="B46" s="6" t="s">
        <v>71</v>
      </c>
      <c r="F46" s="9">
        <v>4.2</v>
      </c>
    </row>
    <row r="47" spans="1:6" x14ac:dyDescent="0.25">
      <c r="B47" s="6" t="s">
        <v>72</v>
      </c>
      <c r="F47" s="9">
        <v>11.2</v>
      </c>
    </row>
    <row r="48" spans="1:6" x14ac:dyDescent="0.25">
      <c r="B48" s="6" t="s">
        <v>73</v>
      </c>
      <c r="F48" s="9">
        <v>7</v>
      </c>
    </row>
    <row r="51" spans="1:6" x14ac:dyDescent="0.25">
      <c r="A51" s="12" t="s">
        <v>74</v>
      </c>
    </row>
    <row r="52" spans="1:6" x14ac:dyDescent="0.25">
      <c r="A52" s="13" t="s">
        <v>75</v>
      </c>
      <c r="B52" s="14" t="s">
        <v>76</v>
      </c>
      <c r="D52" s="13" t="s">
        <v>77</v>
      </c>
      <c r="E52" s="14" t="s">
        <v>78</v>
      </c>
    </row>
    <row r="53" spans="1:6" x14ac:dyDescent="0.25">
      <c r="A53" s="13" t="s">
        <v>79</v>
      </c>
      <c r="B53" s="14" t="s">
        <v>80</v>
      </c>
      <c r="D53" s="13" t="s">
        <v>81</v>
      </c>
      <c r="E53" s="14" t="s">
        <v>82</v>
      </c>
    </row>
    <row r="54" spans="1:6" x14ac:dyDescent="0.25">
      <c r="A54" s="13" t="s">
        <v>83</v>
      </c>
      <c r="B54" s="14" t="s">
        <v>84</v>
      </c>
    </row>
    <row r="55" spans="1:6" x14ac:dyDescent="0.25">
      <c r="A55" s="15" t="s">
        <v>30</v>
      </c>
      <c r="B55" s="15" t="s">
        <v>85</v>
      </c>
      <c r="C55" s="15" t="s">
        <v>86</v>
      </c>
      <c r="D55" s="15" t="s">
        <v>34</v>
      </c>
      <c r="E55" s="15" t="s">
        <v>87</v>
      </c>
      <c r="F55" s="15" t="s">
        <v>88</v>
      </c>
    </row>
    <row r="56" spans="1:6" x14ac:dyDescent="0.25">
      <c r="A56" s="16">
        <v>1</v>
      </c>
      <c r="B56" s="17" t="s">
        <v>89</v>
      </c>
      <c r="C56" s="14" t="s">
        <v>90</v>
      </c>
      <c r="D56" s="18">
        <f>2*$B$7</f>
        <v>6</v>
      </c>
      <c r="E56" s="16" t="s">
        <v>91</v>
      </c>
      <c r="F56" s="19"/>
    </row>
    <row r="57" spans="1:6" x14ac:dyDescent="0.25">
      <c r="A57" s="16">
        <v>2</v>
      </c>
      <c r="B57" s="17" t="str">
        <f>"มือจับ กุญแจ ("&amp;$E$52&amp;")"</f>
        <v>มือจับ กุญแจ (เมโทร)</v>
      </c>
      <c r="C57" s="25" t="str">
        <f>VLOOKUP($E$52&amp;"กุญแจ"&amp;$E$53,$AA$1:$AB$12,2,0)</f>
        <v>JR00368</v>
      </c>
      <c r="D57" s="18">
        <f>COUNTIF($B$53:$B$54,"กุญแจ+ล็อค")</f>
        <v>1</v>
      </c>
      <c r="E57" s="16" t="s">
        <v>92</v>
      </c>
      <c r="F57" s="19"/>
    </row>
    <row r="58" spans="1:6" x14ac:dyDescent="0.25">
      <c r="A58" s="16">
        <v>3</v>
      </c>
      <c r="B58" s="17" t="str">
        <f>"มือจับ ล็อค ("&amp;$E$52&amp;")"</f>
        <v>มือจับ ล็อค (เมโทร)</v>
      </c>
      <c r="C58" s="25" t="str">
        <f>VLOOKUP($E$52&amp;"ล็อค"&amp;$E$53,$AA$1:$AB$12,2,0)</f>
        <v>JR00369</v>
      </c>
      <c r="D58" s="18">
        <f>(COUNTIF($B$53:$B$54,"กุญแจ+ล็อค")+COUNTIF($B$53:$B$54,"ล็อค+ดัมมี่")+COUNTIF($B$53:$B$54,"ล็อค"))</f>
        <v>2</v>
      </c>
      <c r="E58" s="16" t="s">
        <v>92</v>
      </c>
      <c r="F58" s="19"/>
    </row>
    <row r="59" spans="1:6" x14ac:dyDescent="0.25">
      <c r="A59" s="16">
        <v>4</v>
      </c>
      <c r="B59" s="17" t="str">
        <f>"มือจับ ดัมมี่ ("&amp;$E$52&amp;")"</f>
        <v>มือจับ ดัมมี่ (เมโทร)</v>
      </c>
      <c r="C59" s="25" t="str">
        <f>VLOOKUP($E$52&amp;"ดัมมี่"&amp;$E$53,$AA$1:$AB$12,2,0)</f>
        <v>JR00370</v>
      </c>
      <c r="D59" s="18">
        <f>(COUNTIF($B$53:$B$54,"ล็อค+ดัมมี่")+2*COUNTIF($B$53:$B$54,"ดัมมี่+ดัมมี่")+COUNTIF($B$53:$B$54,"ดัมมี่"))</f>
        <v>1</v>
      </c>
      <c r="E59" s="16" t="s">
        <v>92</v>
      </c>
      <c r="F59" s="19"/>
    </row>
    <row r="60" spans="1:6" x14ac:dyDescent="0.25">
      <c r="A60" s="16">
        <v>5</v>
      </c>
      <c r="B60" s="17" t="s">
        <v>93</v>
      </c>
      <c r="C60" s="14"/>
      <c r="D60" s="18">
        <f>COUNTIF($B$53:$B$54,"Digital lock")</f>
        <v>0</v>
      </c>
      <c r="E60" s="16" t="s">
        <v>92</v>
      </c>
      <c r="F60" s="19" t="s">
        <v>94</v>
      </c>
    </row>
    <row r="61" spans="1:6" x14ac:dyDescent="0.25">
      <c r="A61" s="16">
        <v>6</v>
      </c>
      <c r="B61" s="17" t="s">
        <v>95</v>
      </c>
      <c r="C61" s="14" t="s">
        <v>96</v>
      </c>
      <c r="D61" s="18">
        <f>2*(COUNTIF($B$53:$B$54,"กุญแจ+ล็อค")+COUNTIF($B$53:$B$54,"ล็อค+ดัมมี่")+COUNTIF($B$53:$B$54,"ล็อค"))</f>
        <v>4</v>
      </c>
      <c r="E61" s="16" t="s">
        <v>97</v>
      </c>
      <c r="F61" s="19"/>
    </row>
    <row r="62" spans="1:6" x14ac:dyDescent="0.25">
      <c r="A62" s="16">
        <v>7</v>
      </c>
      <c r="B62" s="17" t="s">
        <v>98</v>
      </c>
      <c r="C62" s="14" t="s">
        <v>99</v>
      </c>
      <c r="D62" s="18">
        <f>IF($B$4&gt;280,2,IF($B$4&gt;140,1,0))*(COUNTIF($B$53:$B$54,"กุญแจ+ล็อค")+COUNTIF($B$53:$B$54,"ล็อค+ดัมมี่")+COUNTIF($B$53:$B$54,"ล็อค"))</f>
        <v>2</v>
      </c>
      <c r="E62" s="16" t="s">
        <v>97</v>
      </c>
      <c r="F62" s="19" t="s">
        <v>100</v>
      </c>
    </row>
    <row r="63" spans="1:6" x14ac:dyDescent="0.25">
      <c r="A63" s="16">
        <v>8</v>
      </c>
      <c r="B63" s="17" t="s">
        <v>101</v>
      </c>
      <c r="C63" s="14" t="s">
        <v>102</v>
      </c>
      <c r="D63" s="18">
        <f>2*(COUNTIF($B$53:$B$54,"กุญแจ+ล็อค")+COUNTIF($B$53:$B$54,"ล็อค+ดัมมี่")+COUNTIF($B$53:$B$54,"ล็อค"))</f>
        <v>4</v>
      </c>
      <c r="E63" s="16" t="s">
        <v>97</v>
      </c>
      <c r="F63" s="19"/>
    </row>
    <row r="64" spans="1:6" x14ac:dyDescent="0.25">
      <c r="A64" s="16">
        <v>9</v>
      </c>
      <c r="B64" s="17" t="s">
        <v>103</v>
      </c>
      <c r="C64" s="14" t="s">
        <v>104</v>
      </c>
      <c r="D64" s="18">
        <f>1*(COUNTIF($B$53:$B$54,"กุญแจ+ล็อค")+COUNTIF($B$53:$B$54,"ล็อค+ดัมมี่")+COUNTIF($B$53:$B$54,"ล็อค"))</f>
        <v>2</v>
      </c>
      <c r="E64" s="16" t="s">
        <v>97</v>
      </c>
      <c r="F64" s="19"/>
    </row>
    <row r="65" spans="1:6" x14ac:dyDescent="0.25">
      <c r="A65" s="16">
        <v>10</v>
      </c>
      <c r="B65" s="17" t="s">
        <v>105</v>
      </c>
      <c r="C65" s="14" t="s">
        <v>106</v>
      </c>
      <c r="D65" s="18">
        <f>4*$B$7</f>
        <v>12</v>
      </c>
      <c r="E65" s="16" t="s">
        <v>91</v>
      </c>
      <c r="F65" s="19"/>
    </row>
    <row r="66" spans="1:6" x14ac:dyDescent="0.25">
      <c r="A66" s="16">
        <v>11</v>
      </c>
      <c r="B66" s="17" t="s">
        <v>107</v>
      </c>
      <c r="C66" s="14" t="s">
        <v>106</v>
      </c>
      <c r="D66" s="18">
        <f>8</f>
        <v>8</v>
      </c>
      <c r="E66" s="16" t="s">
        <v>91</v>
      </c>
      <c r="F66" s="19"/>
    </row>
    <row r="67" spans="1:6" x14ac:dyDescent="0.25">
      <c r="A67" s="16">
        <v>12</v>
      </c>
      <c r="B67" s="17" t="s">
        <v>108</v>
      </c>
      <c r="C67" s="14" t="s">
        <v>109</v>
      </c>
      <c r="D67" s="18">
        <f>4*$B$7</f>
        <v>12</v>
      </c>
      <c r="E67" s="16" t="s">
        <v>91</v>
      </c>
      <c r="F67" s="19"/>
    </row>
    <row r="68" spans="1:6" x14ac:dyDescent="0.25">
      <c r="A68" s="16">
        <v>13</v>
      </c>
      <c r="B68" s="17" t="s">
        <v>110</v>
      </c>
      <c r="C68" s="14" t="s">
        <v>111</v>
      </c>
      <c r="D68" s="18">
        <f>ROUND((2*2*($E$17+$D$14)*$B$7 + 2*$B$7*$D$12 + IF($B$5="รางเตี้ย7มม",0,2*$B$7*$D$11) + $D$13)/100,1)</f>
        <v>61.8</v>
      </c>
      <c r="E68" s="16" t="s">
        <v>112</v>
      </c>
      <c r="F68" s="19" t="s">
        <v>113</v>
      </c>
    </row>
    <row r="69" spans="1:6" x14ac:dyDescent="0.25">
      <c r="A69" s="16">
        <v>14</v>
      </c>
      <c r="B69" s="17" t="s">
        <v>114</v>
      </c>
      <c r="C69" s="14" t="s">
        <v>115</v>
      </c>
      <c r="D69" s="18">
        <f>2+MAX(0,ROUNDUP((($B$3-$F$41)-150)/50,0))</f>
        <v>6</v>
      </c>
      <c r="E69" s="16" t="s">
        <v>97</v>
      </c>
      <c r="F69" s="19" t="s">
        <v>116</v>
      </c>
    </row>
    <row r="70" spans="1:6" x14ac:dyDescent="0.25">
      <c r="A70" s="16">
        <v>15</v>
      </c>
      <c r="B70" s="17" t="s">
        <v>117</v>
      </c>
      <c r="C70" s="14" t="s">
        <v>118</v>
      </c>
      <c r="D70" s="18">
        <f>2+MAX(0,ROUNDUP((($B$3-$F$41)-150)/50,0))</f>
        <v>6</v>
      </c>
      <c r="E70" s="16" t="s">
        <v>97</v>
      </c>
      <c r="F70" s="19" t="s">
        <v>116</v>
      </c>
    </row>
    <row r="71" spans="1:6" x14ac:dyDescent="0.25">
      <c r="A71" s="16">
        <v>16</v>
      </c>
      <c r="B71" s="17" t="s">
        <v>119</v>
      </c>
      <c r="C71" s="14" t="s">
        <v>120</v>
      </c>
      <c r="D71" s="18">
        <f>D63</f>
        <v>4</v>
      </c>
      <c r="E71" s="16" t="s">
        <v>97</v>
      </c>
      <c r="F71" s="19" t="s">
        <v>121</v>
      </c>
    </row>
  </sheetData>
  <mergeCells count="3">
    <mergeCell ref="A2:F2"/>
    <mergeCell ref="A1:F1"/>
    <mergeCell ref="A9:F9"/>
  </mergeCells>
  <dataValidations count="6">
    <dataValidation type="list" sqref="B5" xr:uid="{00000000-0002-0000-0000-000000000000}">
      <formula1>"3รางเสียบ,รางเตี้ย7มม"</formula1>
    </dataValidation>
    <dataValidation type="list" sqref="B6" xr:uid="{00000000-0002-0000-0000-000001000000}">
      <formula1>"ไม่มี,มี"</formula1>
    </dataValidation>
    <dataValidation type="list" allowBlank="1" sqref="B52" xr:uid="{00000000-0002-0000-0000-000002000000}">
      <formula1>"ประตู,หน้าต่าง"</formula1>
    </dataValidation>
    <dataValidation type="list" allowBlank="1" sqref="B53:B54" xr:uid="{00000000-0002-0000-0000-000003000000}">
      <formula1>$Z$1:$Z$4</formula1>
    </dataValidation>
    <dataValidation type="list" allowBlank="1" sqref="E52" xr:uid="{00000000-0002-0000-0000-000005000000}">
      <formula1>"เมโทร,Align"</formula1>
    </dataValidation>
    <dataValidation type="list" allowBlank="1" sqref="E53" xr:uid="{00000000-0002-0000-0000-000006000000}">
      <formula1>"อบขาว,ดำ"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1"/>
  <sheetViews>
    <sheetView workbookViewId="0"/>
  </sheetViews>
  <sheetFormatPr defaultRowHeight="13.8" x14ac:dyDescent="0.25"/>
  <cols>
    <col min="1" max="1" width="5" customWidth="1"/>
    <col min="2" max="2" width="24" customWidth="1"/>
    <col min="3" max="3" width="10" customWidth="1"/>
    <col min="4" max="6" width="13" customWidth="1"/>
    <col min="26" max="28" width="13" hidden="1" customWidth="1"/>
  </cols>
  <sheetData>
    <row r="1" spans="1:28" x14ac:dyDescent="0.25">
      <c r="A1" s="29" t="s">
        <v>122</v>
      </c>
      <c r="B1" s="27"/>
      <c r="C1" s="27"/>
      <c r="D1" s="27"/>
      <c r="E1" s="27"/>
      <c r="F1" s="28"/>
      <c r="Z1" t="str">
        <f>IF($B$52="ประตู","กุญแจ+ล็อค","ล็อค")</f>
        <v>กุญแจ+ล็อค</v>
      </c>
      <c r="AA1" t="s">
        <v>1</v>
      </c>
      <c r="AB1" t="s">
        <v>2</v>
      </c>
    </row>
    <row r="2" spans="1:28" x14ac:dyDescent="0.25">
      <c r="A2" s="26" t="s">
        <v>3</v>
      </c>
      <c r="B2" s="27"/>
      <c r="C2" s="27"/>
      <c r="D2" s="27"/>
      <c r="E2" s="27"/>
      <c r="F2" s="28"/>
      <c r="Z2" t="str">
        <f>IF($B$52="ประตู","ล็อค+ดัมมี่","ดัมมี่")</f>
        <v>ล็อค+ดัมมี่</v>
      </c>
      <c r="AA2" t="s">
        <v>4</v>
      </c>
      <c r="AB2" t="s">
        <v>5</v>
      </c>
    </row>
    <row r="3" spans="1:28" x14ac:dyDescent="0.25">
      <c r="A3" s="3" t="s">
        <v>6</v>
      </c>
      <c r="B3" s="4">
        <v>350</v>
      </c>
      <c r="D3" s="10" t="s">
        <v>123</v>
      </c>
      <c r="E3" s="11">
        <f>(B3-$F$48)/$F$49</f>
        <v>78.674999999999997</v>
      </c>
      <c r="Z3" t="str">
        <f>IF($B$52="ประตู","ดัมมี่+ดัมมี่","")</f>
        <v>ดัมมี่+ดัมมี่</v>
      </c>
      <c r="AA3" t="s">
        <v>8</v>
      </c>
      <c r="AB3" t="s">
        <v>9</v>
      </c>
    </row>
    <row r="4" spans="1:28" x14ac:dyDescent="0.25">
      <c r="A4" s="3" t="s">
        <v>10</v>
      </c>
      <c r="B4" s="4">
        <v>159</v>
      </c>
      <c r="Z4" t="str">
        <f>IF($B$52="ประตู","Digital lock","")</f>
        <v>Digital lock</v>
      </c>
      <c r="AA4" t="s">
        <v>12</v>
      </c>
      <c r="AB4" t="s">
        <v>13</v>
      </c>
    </row>
    <row r="5" spans="1:28" x14ac:dyDescent="0.25">
      <c r="A5" s="3" t="s">
        <v>14</v>
      </c>
      <c r="B5" s="4" t="s">
        <v>15</v>
      </c>
      <c r="AA5" t="s">
        <v>16</v>
      </c>
      <c r="AB5" t="s">
        <v>17</v>
      </c>
    </row>
    <row r="6" spans="1:28" x14ac:dyDescent="0.25">
      <c r="A6" s="3" t="s">
        <v>18</v>
      </c>
      <c r="B6" s="4" t="s">
        <v>19</v>
      </c>
      <c r="AA6" t="s">
        <v>20</v>
      </c>
      <c r="AB6" t="s">
        <v>21</v>
      </c>
    </row>
    <row r="7" spans="1:28" x14ac:dyDescent="0.25">
      <c r="AA7" t="s">
        <v>23</v>
      </c>
      <c r="AB7" t="s">
        <v>24</v>
      </c>
    </row>
    <row r="8" spans="1:28" x14ac:dyDescent="0.25">
      <c r="A8" s="26" t="s">
        <v>27</v>
      </c>
      <c r="B8" s="27"/>
      <c r="C8" s="27"/>
      <c r="D8" s="27"/>
      <c r="E8" s="27"/>
      <c r="F8" s="28"/>
      <c r="AA8" t="s">
        <v>25</v>
      </c>
      <c r="AB8" t="s">
        <v>26</v>
      </c>
    </row>
    <row r="9" spans="1:28" x14ac:dyDescent="0.25">
      <c r="A9" s="1" t="s">
        <v>30</v>
      </c>
      <c r="B9" s="1" t="s">
        <v>31</v>
      </c>
      <c r="C9" s="1" t="s">
        <v>32</v>
      </c>
      <c r="D9" s="1" t="s">
        <v>33</v>
      </c>
      <c r="E9" s="1" t="s">
        <v>34</v>
      </c>
      <c r="F9" s="1" t="s">
        <v>35</v>
      </c>
      <c r="AA9" t="s">
        <v>28</v>
      </c>
      <c r="AB9" t="s">
        <v>29</v>
      </c>
    </row>
    <row r="10" spans="1:28" x14ac:dyDescent="0.25">
      <c r="A10" s="5">
        <v>1</v>
      </c>
      <c r="B10" s="6" t="s">
        <v>38</v>
      </c>
      <c r="C10" s="5" t="str">
        <f>IF(B5="3รางเสียบ","B20041","B20046")</f>
        <v>B20041</v>
      </c>
      <c r="D10" s="7">
        <f>B3-$F$41</f>
        <v>345.6</v>
      </c>
      <c r="E10" s="8" t="s">
        <v>39</v>
      </c>
      <c r="F10" s="5">
        <f t="shared" ref="F10:F21" si="0">IF(E10=0,"-",ROUNDUP(D10*E10/640,0))</f>
        <v>1</v>
      </c>
      <c r="AA10" t="s">
        <v>36</v>
      </c>
      <c r="AB10" t="s">
        <v>37</v>
      </c>
    </row>
    <row r="11" spans="1:28" x14ac:dyDescent="0.25">
      <c r="A11" s="5">
        <v>2</v>
      </c>
      <c r="B11" s="6" t="s">
        <v>42</v>
      </c>
      <c r="C11" s="5" t="s">
        <v>43</v>
      </c>
      <c r="D11" s="7">
        <f>B3-$F$41</f>
        <v>345.6</v>
      </c>
      <c r="E11" s="8" t="s">
        <v>39</v>
      </c>
      <c r="F11" s="5">
        <f t="shared" si="0"/>
        <v>1</v>
      </c>
      <c r="AA11" t="s">
        <v>40</v>
      </c>
      <c r="AB11" t="s">
        <v>41</v>
      </c>
    </row>
    <row r="12" spans="1:28" x14ac:dyDescent="0.25">
      <c r="A12" s="5">
        <v>3</v>
      </c>
      <c r="B12" s="6" t="s">
        <v>46</v>
      </c>
      <c r="C12" s="5" t="s">
        <v>47</v>
      </c>
      <c r="D12" s="7">
        <f>B4</f>
        <v>159</v>
      </c>
      <c r="E12" s="8" t="s">
        <v>48</v>
      </c>
      <c r="F12" s="5">
        <f t="shared" si="0"/>
        <v>1</v>
      </c>
      <c r="AA12" t="s">
        <v>44</v>
      </c>
      <c r="AB12" t="s">
        <v>45</v>
      </c>
    </row>
    <row r="13" spans="1:28" x14ac:dyDescent="0.25">
      <c r="A13" s="5">
        <v>4</v>
      </c>
      <c r="B13" s="6" t="s">
        <v>124</v>
      </c>
      <c r="C13" s="5" t="s">
        <v>125</v>
      </c>
      <c r="D13" s="7">
        <f>B4-IF(B5="3รางเสียบ",$F$42,$F$43)</f>
        <v>152.9</v>
      </c>
      <c r="E13" s="8" t="s">
        <v>48</v>
      </c>
      <c r="F13" s="5">
        <f t="shared" si="0"/>
        <v>1</v>
      </c>
    </row>
    <row r="14" spans="1:28" x14ac:dyDescent="0.25">
      <c r="A14" s="5">
        <v>5</v>
      </c>
      <c r="B14" s="6" t="s">
        <v>126</v>
      </c>
      <c r="C14" s="5" t="s">
        <v>125</v>
      </c>
      <c r="D14" s="7">
        <f>B4-IF(B5="3รางเสียบ",$F$42,$F$43)</f>
        <v>152.9</v>
      </c>
      <c r="E14" s="8" t="s">
        <v>48</v>
      </c>
      <c r="F14" s="5">
        <f t="shared" si="0"/>
        <v>1</v>
      </c>
    </row>
    <row r="15" spans="1:28" x14ac:dyDescent="0.25">
      <c r="A15" s="5">
        <v>6</v>
      </c>
      <c r="B15" s="6" t="s">
        <v>51</v>
      </c>
      <c r="C15" s="5" t="s">
        <v>52</v>
      </c>
      <c r="D15" s="7">
        <f>B4-IF(B5="3รางเสียบ",$F$42,$F$43)</f>
        <v>152.9</v>
      </c>
      <c r="E15" s="8">
        <f>IF(B6="มี",2,4)</f>
        <v>4</v>
      </c>
      <c r="F15" s="5">
        <f t="shared" si="0"/>
        <v>1</v>
      </c>
    </row>
    <row r="16" spans="1:28" x14ac:dyDescent="0.25">
      <c r="A16" s="5">
        <v>7</v>
      </c>
      <c r="B16" s="6" t="s">
        <v>53</v>
      </c>
      <c r="C16" s="5" t="s">
        <v>54</v>
      </c>
      <c r="D16" s="7">
        <f>B4-IF(B5="3รางเสียบ",$F$42,$F$43)</f>
        <v>152.9</v>
      </c>
      <c r="E16" s="8">
        <f>IF(B6="มี",2,0)</f>
        <v>0</v>
      </c>
      <c r="F16" s="5" t="str">
        <f t="shared" si="0"/>
        <v>-</v>
      </c>
    </row>
    <row r="17" spans="1:6" x14ac:dyDescent="0.25">
      <c r="A17" s="5">
        <v>8</v>
      </c>
      <c r="B17" s="6" t="s">
        <v>127</v>
      </c>
      <c r="C17" s="5" t="s">
        <v>128</v>
      </c>
      <c r="D17" s="7">
        <f>B4-IF(B5="3รางเสียบ",$F$42,$F$43)</f>
        <v>152.9</v>
      </c>
      <c r="E17" s="8" t="s">
        <v>39</v>
      </c>
      <c r="F17" s="5">
        <f t="shared" si="0"/>
        <v>1</v>
      </c>
    </row>
    <row r="18" spans="1:6" x14ac:dyDescent="0.25">
      <c r="A18" s="5">
        <v>9</v>
      </c>
      <c r="B18" s="6" t="s">
        <v>55</v>
      </c>
      <c r="C18" s="5" t="s">
        <v>56</v>
      </c>
      <c r="D18" s="7">
        <f>(B3-$F$48)/$F$49</f>
        <v>78.674999999999997</v>
      </c>
      <c r="E18" s="8" t="s">
        <v>60</v>
      </c>
      <c r="F18" s="5">
        <f t="shared" si="0"/>
        <v>1</v>
      </c>
    </row>
    <row r="19" spans="1:6" x14ac:dyDescent="0.25">
      <c r="A19" s="5">
        <v>10</v>
      </c>
      <c r="B19" s="6" t="s">
        <v>57</v>
      </c>
      <c r="C19" s="5" t="s">
        <v>56</v>
      </c>
      <c r="D19" s="7">
        <f>(B3-$F$48)/$F$49</f>
        <v>78.674999999999997</v>
      </c>
      <c r="E19" s="8" t="s">
        <v>60</v>
      </c>
      <c r="F19" s="5">
        <f t="shared" si="0"/>
        <v>1</v>
      </c>
    </row>
    <row r="20" spans="1:6" x14ac:dyDescent="0.25">
      <c r="A20" s="5">
        <v>11</v>
      </c>
      <c r="B20" s="6" t="s">
        <v>58</v>
      </c>
      <c r="C20" s="5" t="s">
        <v>59</v>
      </c>
      <c r="D20" s="7">
        <f>B4-IF(B5="3รางเสียบ",$F$44,$F$45)</f>
        <v>154</v>
      </c>
      <c r="E20" s="8" t="s">
        <v>60</v>
      </c>
      <c r="F20" s="5">
        <f t="shared" si="0"/>
        <v>1</v>
      </c>
    </row>
    <row r="21" spans="1:6" x14ac:dyDescent="0.25">
      <c r="A21" s="5">
        <v>12</v>
      </c>
      <c r="B21" s="6" t="s">
        <v>61</v>
      </c>
      <c r="C21" s="5" t="s">
        <v>62</v>
      </c>
      <c r="D21" s="7">
        <f>B3-$F$46</f>
        <v>343</v>
      </c>
      <c r="E21" s="8" t="s">
        <v>48</v>
      </c>
      <c r="F21" s="5">
        <f t="shared" si="0"/>
        <v>2</v>
      </c>
    </row>
    <row r="22" spans="1:6" x14ac:dyDescent="0.25">
      <c r="A22" s="5">
        <v>13</v>
      </c>
      <c r="B22" s="6" t="s">
        <v>129</v>
      </c>
      <c r="C22" s="5" t="s">
        <v>62</v>
      </c>
      <c r="D22" s="7">
        <f>D11-2*(D19+9.7)</f>
        <v>168.85000000000002</v>
      </c>
      <c r="E22" s="8" t="s">
        <v>48</v>
      </c>
      <c r="F22" s="5" t="s">
        <v>130</v>
      </c>
    </row>
    <row r="23" spans="1:6" x14ac:dyDescent="0.25">
      <c r="A23" s="5">
        <v>14</v>
      </c>
      <c r="B23" s="6" t="s">
        <v>63</v>
      </c>
      <c r="C23" s="5" t="s">
        <v>64</v>
      </c>
      <c r="D23" s="7">
        <f>B3-$F$41</f>
        <v>345.6</v>
      </c>
      <c r="E23" s="8">
        <f>IF(B5="รางเตี้ย7มม",2,0)</f>
        <v>0</v>
      </c>
      <c r="F23" s="5" t="str">
        <f>IF(E23=0,"-",ROUNDUP(D23*E23/640,0))</f>
        <v>-</v>
      </c>
    </row>
    <row r="25" spans="1:6" x14ac:dyDescent="0.25">
      <c r="A25" s="12"/>
    </row>
    <row r="26" spans="1:6" x14ac:dyDescent="0.25">
      <c r="A26" s="13"/>
      <c r="B26" s="22"/>
    </row>
    <row r="27" spans="1:6" x14ac:dyDescent="0.25">
      <c r="A27" s="13"/>
      <c r="B27" s="22"/>
    </row>
    <row r="28" spans="1:6" x14ac:dyDescent="0.25">
      <c r="A28" s="13"/>
      <c r="B28" s="22"/>
    </row>
    <row r="29" spans="1:6" x14ac:dyDescent="0.25">
      <c r="A29" s="23"/>
      <c r="B29" s="23"/>
      <c r="C29" s="23"/>
      <c r="D29" s="23"/>
      <c r="E29" s="23"/>
      <c r="F29" s="23"/>
    </row>
    <row r="30" spans="1:6" x14ac:dyDescent="0.25">
      <c r="A30" s="16"/>
      <c r="B30" s="17"/>
      <c r="C30" s="22"/>
      <c r="D30" s="24"/>
      <c r="E30" s="16"/>
      <c r="F30" s="19"/>
    </row>
    <row r="31" spans="1:6" x14ac:dyDescent="0.25">
      <c r="A31" s="16"/>
      <c r="B31" s="17"/>
      <c r="C31" s="22"/>
      <c r="D31" s="24"/>
      <c r="E31" s="16"/>
      <c r="F31" s="19"/>
    </row>
    <row r="32" spans="1:6" x14ac:dyDescent="0.25">
      <c r="A32" s="16"/>
      <c r="B32" s="17"/>
      <c r="C32" s="22"/>
      <c r="D32" s="24"/>
      <c r="E32" s="16"/>
      <c r="F32" s="19"/>
    </row>
    <row r="33" spans="1:6" x14ac:dyDescent="0.25">
      <c r="A33" s="16"/>
      <c r="B33" s="17"/>
      <c r="C33" s="22"/>
      <c r="D33" s="24"/>
      <c r="E33" s="16"/>
      <c r="F33" s="19"/>
    </row>
    <row r="34" spans="1:6" x14ac:dyDescent="0.25">
      <c r="A34" s="16"/>
      <c r="B34" s="17"/>
      <c r="C34" s="22"/>
      <c r="D34" s="24"/>
      <c r="E34" s="16"/>
      <c r="F34" s="19"/>
    </row>
    <row r="35" spans="1:6" x14ac:dyDescent="0.25">
      <c r="A35" s="16"/>
      <c r="B35" s="17"/>
      <c r="C35" s="22"/>
      <c r="D35" s="24"/>
      <c r="E35" s="16"/>
      <c r="F35" s="19"/>
    </row>
    <row r="36" spans="1:6" x14ac:dyDescent="0.25">
      <c r="A36" s="16"/>
      <c r="B36" s="17"/>
      <c r="C36" s="22"/>
      <c r="D36" s="24"/>
      <c r="E36" s="16"/>
      <c r="F36" s="19"/>
    </row>
    <row r="37" spans="1:6" x14ac:dyDescent="0.25">
      <c r="A37" s="16"/>
      <c r="B37" s="17"/>
      <c r="C37" s="22"/>
      <c r="D37" s="24"/>
      <c r="E37" s="16"/>
      <c r="F37" s="19"/>
    </row>
    <row r="38" spans="1:6" x14ac:dyDescent="0.25">
      <c r="A38" s="16"/>
      <c r="B38" s="17"/>
      <c r="C38" s="22"/>
      <c r="D38" s="24"/>
      <c r="E38" s="16"/>
      <c r="F38" s="19"/>
    </row>
    <row r="39" spans="1:6" x14ac:dyDescent="0.25">
      <c r="A39" s="16"/>
      <c r="B39" s="17"/>
      <c r="C39" s="22"/>
      <c r="D39" s="24"/>
      <c r="E39" s="16"/>
      <c r="F39" s="19"/>
    </row>
    <row r="40" spans="1:6" x14ac:dyDescent="0.25">
      <c r="A40" s="16" t="s">
        <v>131</v>
      </c>
      <c r="B40" s="17"/>
      <c r="C40" s="22"/>
      <c r="D40" s="24"/>
      <c r="E40" s="16"/>
      <c r="F40" s="19"/>
    </row>
    <row r="41" spans="1:6" x14ac:dyDescent="0.25">
      <c r="A41" s="16"/>
      <c r="B41" s="20" t="s">
        <v>66</v>
      </c>
      <c r="C41" s="22"/>
      <c r="D41" s="24"/>
      <c r="E41" s="16"/>
      <c r="F41" s="21">
        <v>4.4000000000000004</v>
      </c>
    </row>
    <row r="42" spans="1:6" x14ac:dyDescent="0.25">
      <c r="B42" s="6" t="s">
        <v>67</v>
      </c>
      <c r="F42" s="9">
        <v>6.1</v>
      </c>
    </row>
    <row r="43" spans="1:6" x14ac:dyDescent="0.25">
      <c r="B43" s="6" t="s">
        <v>132</v>
      </c>
      <c r="F43" s="9">
        <v>3.2</v>
      </c>
    </row>
    <row r="44" spans="1:6" x14ac:dyDescent="0.25">
      <c r="B44" s="6" t="s">
        <v>69</v>
      </c>
      <c r="F44" s="9">
        <v>5</v>
      </c>
    </row>
    <row r="45" spans="1:6" x14ac:dyDescent="0.25">
      <c r="B45" s="6" t="s">
        <v>70</v>
      </c>
      <c r="F45" s="9">
        <v>2.2999999999999998</v>
      </c>
    </row>
    <row r="46" spans="1:6" x14ac:dyDescent="0.25">
      <c r="B46" s="6" t="s">
        <v>73</v>
      </c>
      <c r="F46" s="9">
        <v>7</v>
      </c>
    </row>
    <row r="47" spans="1:6" x14ac:dyDescent="0.25">
      <c r="B47" s="6" t="s">
        <v>133</v>
      </c>
      <c r="F47" s="9">
        <v>11.5</v>
      </c>
    </row>
    <row r="48" spans="1:6" x14ac:dyDescent="0.25">
      <c r="B48" s="6" t="s">
        <v>134</v>
      </c>
      <c r="F48" s="9">
        <v>35.299999999999997</v>
      </c>
    </row>
    <row r="49" spans="1:6" x14ac:dyDescent="0.25">
      <c r="B49" s="6" t="s">
        <v>135</v>
      </c>
      <c r="F49" s="9">
        <v>4</v>
      </c>
    </row>
    <row r="51" spans="1:6" x14ac:dyDescent="0.25">
      <c r="A51" s="12" t="s">
        <v>74</v>
      </c>
    </row>
    <row r="52" spans="1:6" x14ac:dyDescent="0.25">
      <c r="A52" s="13" t="s">
        <v>75</v>
      </c>
      <c r="B52" s="14" t="s">
        <v>76</v>
      </c>
      <c r="D52" s="13" t="s">
        <v>77</v>
      </c>
      <c r="E52" s="14" t="s">
        <v>78</v>
      </c>
    </row>
    <row r="53" spans="1:6" x14ac:dyDescent="0.25">
      <c r="A53" s="13" t="s">
        <v>79</v>
      </c>
      <c r="B53" s="14" t="s">
        <v>80</v>
      </c>
      <c r="D53" s="13" t="s">
        <v>81</v>
      </c>
      <c r="E53" s="14" t="s">
        <v>82</v>
      </c>
    </row>
    <row r="54" spans="1:6" x14ac:dyDescent="0.25">
      <c r="A54" s="13" t="s">
        <v>83</v>
      </c>
      <c r="B54" s="14" t="s">
        <v>84</v>
      </c>
    </row>
    <row r="55" spans="1:6" x14ac:dyDescent="0.25">
      <c r="A55" s="15" t="s">
        <v>30</v>
      </c>
      <c r="B55" s="15" t="s">
        <v>85</v>
      </c>
      <c r="C55" s="15" t="s">
        <v>86</v>
      </c>
      <c r="D55" s="15" t="s">
        <v>34</v>
      </c>
      <c r="E55" s="15" t="s">
        <v>87</v>
      </c>
      <c r="F55" s="15" t="s">
        <v>88</v>
      </c>
    </row>
    <row r="56" spans="1:6" x14ac:dyDescent="0.25">
      <c r="A56" s="16">
        <v>1</v>
      </c>
      <c r="B56" s="17" t="s">
        <v>89</v>
      </c>
      <c r="C56" s="14" t="s">
        <v>90</v>
      </c>
      <c r="D56" s="18">
        <f>2*2</f>
        <v>4</v>
      </c>
      <c r="E56" s="16" t="s">
        <v>91</v>
      </c>
      <c r="F56" s="19"/>
    </row>
    <row r="57" spans="1:6" x14ac:dyDescent="0.25">
      <c r="A57" s="16">
        <v>2</v>
      </c>
      <c r="B57" s="17" t="str">
        <f>"มือจับ กุญแจ ("&amp;$E$52&amp;")"</f>
        <v>มือจับ กุญแจ (เมโทร)</v>
      </c>
      <c r="C57" s="25" t="str">
        <f>VLOOKUP($E$52&amp;"กุญแจ"&amp;$E$53,$AA$1:$AB$12,2,0)</f>
        <v>JR00368</v>
      </c>
      <c r="D57" s="18">
        <f>COUNTIF($B$53:$B$54,"กุญแจ+ล็อค")</f>
        <v>1</v>
      </c>
      <c r="E57" s="16" t="s">
        <v>92</v>
      </c>
      <c r="F57" s="19"/>
    </row>
    <row r="58" spans="1:6" x14ac:dyDescent="0.25">
      <c r="A58" s="16">
        <v>3</v>
      </c>
      <c r="B58" s="17" t="str">
        <f>"มือจับ ล็อค ("&amp;$E$52&amp;")"</f>
        <v>มือจับ ล็อค (เมโทร)</v>
      </c>
      <c r="C58" s="25" t="str">
        <f>VLOOKUP($E$52&amp;"ล็อค"&amp;$E$53,$AA$1:$AB$12,2,0)</f>
        <v>JR00369</v>
      </c>
      <c r="D58" s="18">
        <f>(COUNTIF($B$53:$B$54,"กุญแจ+ล็อค")+COUNTIF($B$53:$B$54,"ล็อค+ดัมมี่")+COUNTIF($B$53:$B$54,"ล็อค"))</f>
        <v>2</v>
      </c>
      <c r="E58" s="16" t="s">
        <v>92</v>
      </c>
      <c r="F58" s="19"/>
    </row>
    <row r="59" spans="1:6" x14ac:dyDescent="0.25">
      <c r="A59" s="16">
        <v>4</v>
      </c>
      <c r="B59" s="17" t="str">
        <f>"มือจับ ดัมมี่ ("&amp;$E$52&amp;")"</f>
        <v>มือจับ ดัมมี่ (เมโทร)</v>
      </c>
      <c r="C59" s="25" t="str">
        <f>VLOOKUP($E$52&amp;"ดัมมี่"&amp;$E$53,$AA$1:$AB$12,2,0)</f>
        <v>JR00370</v>
      </c>
      <c r="D59" s="18">
        <f>(COUNTIF($B$53:$B$54,"ล็อค+ดัมมี่")+2*COUNTIF($B$53:$B$54,"ดัมมี่+ดัมมี่")+COUNTIF($B$53:$B$54,"ดัมมี่"))</f>
        <v>1</v>
      </c>
      <c r="E59" s="16" t="s">
        <v>92</v>
      </c>
      <c r="F59" s="19"/>
    </row>
    <row r="60" spans="1:6" x14ac:dyDescent="0.25">
      <c r="A60" s="16">
        <v>5</v>
      </c>
      <c r="B60" s="17" t="s">
        <v>93</v>
      </c>
      <c r="C60" s="14"/>
      <c r="D60" s="18">
        <f>COUNTIF($B$53:$B$54,"Digital lock")</f>
        <v>0</v>
      </c>
      <c r="E60" s="16" t="s">
        <v>92</v>
      </c>
      <c r="F60" s="19" t="s">
        <v>94</v>
      </c>
    </row>
    <row r="61" spans="1:6" x14ac:dyDescent="0.25">
      <c r="A61" s="16">
        <v>6</v>
      </c>
      <c r="B61" s="17" t="s">
        <v>95</v>
      </c>
      <c r="C61" s="14" t="s">
        <v>96</v>
      </c>
      <c r="D61" s="18">
        <f>2*(COUNTIF($B$53:$B$54,"กุญแจ+ล็อค")+COUNTIF($B$53:$B$54,"ล็อค+ดัมมี่")+COUNTIF($B$53:$B$54,"ล็อค"))</f>
        <v>4</v>
      </c>
      <c r="E61" s="16" t="s">
        <v>97</v>
      </c>
      <c r="F61" s="19"/>
    </row>
    <row r="62" spans="1:6" x14ac:dyDescent="0.25">
      <c r="A62" s="16">
        <v>7</v>
      </c>
      <c r="B62" s="17" t="s">
        <v>98</v>
      </c>
      <c r="C62" s="14" t="s">
        <v>99</v>
      </c>
      <c r="D62" s="18">
        <f>IF($B$4&gt;280,2,IF($B$4&gt;140,1,0))*(COUNTIF($B$53:$B$54,"กุญแจ+ล็อค")+COUNTIF($B$53:$B$54,"ล็อค+ดัมมี่")+COUNTIF($B$53:$B$54,"ล็อค"))</f>
        <v>2</v>
      </c>
      <c r="E62" s="16" t="s">
        <v>97</v>
      </c>
      <c r="F62" s="19" t="s">
        <v>100</v>
      </c>
    </row>
    <row r="63" spans="1:6" x14ac:dyDescent="0.25">
      <c r="A63" s="16">
        <v>8</v>
      </c>
      <c r="B63" s="17" t="s">
        <v>101</v>
      </c>
      <c r="C63" s="14" t="s">
        <v>102</v>
      </c>
      <c r="D63" s="18">
        <f>2*(COUNTIF($B$53:$B$54,"กุญแจ+ล็อค")+COUNTIF($B$53:$B$54,"ล็อค+ดัมมี่")+COUNTIF($B$53:$B$54,"ล็อค"))</f>
        <v>4</v>
      </c>
      <c r="E63" s="16" t="s">
        <v>97</v>
      </c>
      <c r="F63" s="19"/>
    </row>
    <row r="64" spans="1:6" x14ac:dyDescent="0.25">
      <c r="A64" s="16">
        <v>9</v>
      </c>
      <c r="B64" s="17" t="s">
        <v>103</v>
      </c>
      <c r="C64" s="14" t="s">
        <v>104</v>
      </c>
      <c r="D64" s="18">
        <f>1*(COUNTIF($B$53:$B$54,"กุญแจ+ล็อค")+COUNTIF($B$53:$B$54,"ล็อค+ดัมมี่")+COUNTIF($B$53:$B$54,"ล็อค"))</f>
        <v>2</v>
      </c>
      <c r="E64" s="16" t="s">
        <v>97</v>
      </c>
      <c r="F64" s="19"/>
    </row>
    <row r="65" spans="1:6" x14ac:dyDescent="0.25">
      <c r="A65" s="16">
        <v>10</v>
      </c>
      <c r="B65" s="17" t="s">
        <v>105</v>
      </c>
      <c r="C65" s="14" t="s">
        <v>106</v>
      </c>
      <c r="D65" s="18">
        <f>4*2</f>
        <v>8</v>
      </c>
      <c r="E65" s="16" t="s">
        <v>91</v>
      </c>
      <c r="F65" s="19"/>
    </row>
    <row r="66" spans="1:6" x14ac:dyDescent="0.25">
      <c r="A66" s="16">
        <v>11</v>
      </c>
      <c r="B66" s="17" t="s">
        <v>107</v>
      </c>
      <c r="C66" s="14" t="s">
        <v>106</v>
      </c>
      <c r="D66" s="18">
        <f>8</f>
        <v>8</v>
      </c>
      <c r="E66" s="16" t="s">
        <v>91</v>
      </c>
      <c r="F66" s="19"/>
    </row>
    <row r="67" spans="1:6" x14ac:dyDescent="0.25">
      <c r="A67" s="16">
        <v>12</v>
      </c>
      <c r="B67" s="17" t="s">
        <v>108</v>
      </c>
      <c r="C67" s="14" t="s">
        <v>109</v>
      </c>
      <c r="D67" s="18">
        <f>4*2</f>
        <v>8</v>
      </c>
      <c r="E67" s="16" t="s">
        <v>91</v>
      </c>
      <c r="F67" s="19"/>
    </row>
    <row r="68" spans="1:6" x14ac:dyDescent="0.25">
      <c r="A68" s="16">
        <v>13</v>
      </c>
      <c r="B68" s="17" t="s">
        <v>110</v>
      </c>
      <c r="C68" s="14" t="s">
        <v>111</v>
      </c>
      <c r="D68" s="18">
        <f>ROUND((2*2*($D$18+$D$13)*2 + 2*2*$D$11 + IF($B$5="รางเตี้ย7มม",0,2*2*$D$10) + $D$12)/100,1)</f>
        <v>47.8</v>
      </c>
      <c r="E68" s="16" t="s">
        <v>112</v>
      </c>
      <c r="F68" s="19" t="s">
        <v>113</v>
      </c>
    </row>
    <row r="69" spans="1:6" x14ac:dyDescent="0.25">
      <c r="A69" s="16">
        <v>14</v>
      </c>
      <c r="B69" s="17" t="s">
        <v>114</v>
      </c>
      <c r="C69" s="14" t="s">
        <v>115</v>
      </c>
      <c r="D69" s="18">
        <f>2+MAX(0,ROUNDUP((($B$3-$F$41)-150)/50,0))</f>
        <v>6</v>
      </c>
      <c r="E69" s="16" t="s">
        <v>97</v>
      </c>
      <c r="F69" s="19" t="s">
        <v>116</v>
      </c>
    </row>
    <row r="70" spans="1:6" x14ac:dyDescent="0.25">
      <c r="A70" s="16">
        <v>15</v>
      </c>
      <c r="B70" s="17" t="s">
        <v>117</v>
      </c>
      <c r="C70" s="14" t="s">
        <v>118</v>
      </c>
      <c r="D70" s="18">
        <f>2+MAX(0,ROUNDUP((($B$3-$F$41)-150)/50,0))</f>
        <v>6</v>
      </c>
      <c r="E70" s="16" t="s">
        <v>97</v>
      </c>
      <c r="F70" s="19" t="s">
        <v>116</v>
      </c>
    </row>
    <row r="71" spans="1:6" x14ac:dyDescent="0.25">
      <c r="A71" s="16">
        <v>16</v>
      </c>
      <c r="B71" s="17" t="s">
        <v>119</v>
      </c>
      <c r="C71" s="14" t="s">
        <v>120</v>
      </c>
      <c r="D71" s="18">
        <f>D63</f>
        <v>4</v>
      </c>
      <c r="E71" s="16" t="s">
        <v>97</v>
      </c>
      <c r="F71" s="19" t="s">
        <v>121</v>
      </c>
    </row>
  </sheetData>
  <mergeCells count="3">
    <mergeCell ref="A8:F8"/>
    <mergeCell ref="A2:F2"/>
    <mergeCell ref="A1:F1"/>
  </mergeCells>
  <dataValidations count="6">
    <dataValidation type="list" sqref="B5" xr:uid="{00000000-0002-0000-0100-000000000000}">
      <formula1>"3รางเสียบ,รางเตี้ย7มม"</formula1>
    </dataValidation>
    <dataValidation type="list" sqref="B6" xr:uid="{00000000-0002-0000-0100-000001000000}">
      <formula1>"ไม่มี,มี"</formula1>
    </dataValidation>
    <dataValidation type="list" allowBlank="1" sqref="B52" xr:uid="{00000000-0002-0000-0100-000002000000}">
      <formula1>"ประตู,หน้าต่าง"</formula1>
    </dataValidation>
    <dataValidation type="list" allowBlank="1" sqref="B53:B54" xr:uid="{00000000-0002-0000-0100-000003000000}">
      <formula1>$Z$1:$Z$4</formula1>
    </dataValidation>
    <dataValidation type="list" allowBlank="1" sqref="E52" xr:uid="{00000000-0002-0000-0100-000005000000}">
      <formula1>"เมโทร,Align"</formula1>
    </dataValidation>
    <dataValidation type="list" allowBlank="1" sqref="E53" xr:uid="{00000000-0002-0000-0100-000006000000}">
      <formula1>"อบขาว,ดำ"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71"/>
  <sheetViews>
    <sheetView workbookViewId="0"/>
  </sheetViews>
  <sheetFormatPr defaultRowHeight="13.8" x14ac:dyDescent="0.25"/>
  <cols>
    <col min="1" max="1" width="5" customWidth="1"/>
    <col min="2" max="2" width="22" customWidth="1"/>
    <col min="3" max="3" width="10" customWidth="1"/>
    <col min="4" max="6" width="13" customWidth="1"/>
    <col min="26" max="28" width="13" hidden="1" customWidth="1"/>
  </cols>
  <sheetData>
    <row r="1" spans="1:28" x14ac:dyDescent="0.25">
      <c r="A1" s="29" t="s">
        <v>136</v>
      </c>
      <c r="B1" s="27"/>
      <c r="C1" s="27"/>
      <c r="D1" s="27"/>
      <c r="E1" s="27"/>
      <c r="F1" s="28"/>
      <c r="Z1" t="str">
        <f>IF($B$52="ประตู","กุญแจ+ล็อค","ล็อค")</f>
        <v>กุญแจ+ล็อค</v>
      </c>
      <c r="AA1" t="s">
        <v>1</v>
      </c>
      <c r="AB1" t="s">
        <v>2</v>
      </c>
    </row>
    <row r="2" spans="1:28" x14ac:dyDescent="0.25">
      <c r="A2" s="26" t="s">
        <v>3</v>
      </c>
      <c r="B2" s="27"/>
      <c r="C2" s="27"/>
      <c r="D2" s="27"/>
      <c r="E2" s="27"/>
      <c r="F2" s="28"/>
      <c r="Z2" t="str">
        <f>IF($B$52="ประตู","ล็อค+ดัมมี่","ดัมมี่")</f>
        <v>ล็อค+ดัมมี่</v>
      </c>
      <c r="AA2" t="s">
        <v>4</v>
      </c>
      <c r="AB2" t="s">
        <v>5</v>
      </c>
    </row>
    <row r="3" spans="1:28" x14ac:dyDescent="0.25">
      <c r="A3" s="3" t="s">
        <v>6</v>
      </c>
      <c r="B3" s="4">
        <v>200</v>
      </c>
      <c r="D3" t="s">
        <v>137</v>
      </c>
      <c r="Z3" t="str">
        <f>IF($B$52="ประตู","ดัมมี่+ดัมมี่","")</f>
        <v>ดัมมี่+ดัมมี่</v>
      </c>
      <c r="AA3" t="s">
        <v>8</v>
      </c>
      <c r="AB3" t="s">
        <v>9</v>
      </c>
    </row>
    <row r="4" spans="1:28" x14ac:dyDescent="0.25">
      <c r="A4" s="3" t="s">
        <v>10</v>
      </c>
      <c r="B4" s="4">
        <v>240</v>
      </c>
      <c r="D4" s="10" t="s">
        <v>11</v>
      </c>
      <c r="E4" s="11">
        <f>(B3-$F$46*B7-$F$47)/B7</f>
        <v>58.733333333333341</v>
      </c>
      <c r="Z4" t="str">
        <f>IF($B$52="ประตู","Digital lock","")</f>
        <v>Digital lock</v>
      </c>
      <c r="AA4" t="s">
        <v>12</v>
      </c>
      <c r="AB4" t="s">
        <v>13</v>
      </c>
    </row>
    <row r="5" spans="1:28" x14ac:dyDescent="0.25">
      <c r="A5" s="3" t="s">
        <v>14</v>
      </c>
      <c r="B5" s="4" t="s">
        <v>15</v>
      </c>
      <c r="AA5" t="s">
        <v>16</v>
      </c>
      <c r="AB5" t="s">
        <v>17</v>
      </c>
    </row>
    <row r="6" spans="1:28" x14ac:dyDescent="0.25">
      <c r="A6" s="3" t="s">
        <v>18</v>
      </c>
      <c r="B6" s="4" t="s">
        <v>19</v>
      </c>
      <c r="AA6" t="s">
        <v>20</v>
      </c>
      <c r="AB6" t="s">
        <v>21</v>
      </c>
    </row>
    <row r="7" spans="1:28" x14ac:dyDescent="0.25">
      <c r="A7" s="3" t="s">
        <v>22</v>
      </c>
      <c r="B7" s="4">
        <v>3</v>
      </c>
      <c r="AA7" t="s">
        <v>23</v>
      </c>
      <c r="AB7" t="s">
        <v>24</v>
      </c>
    </row>
    <row r="8" spans="1:28" x14ac:dyDescent="0.25">
      <c r="AA8" t="s">
        <v>25</v>
      </c>
      <c r="AB8" t="s">
        <v>26</v>
      </c>
    </row>
    <row r="9" spans="1:28" x14ac:dyDescent="0.25">
      <c r="A9" s="26" t="s">
        <v>27</v>
      </c>
      <c r="B9" s="27"/>
      <c r="C9" s="27"/>
      <c r="D9" s="27"/>
      <c r="E9" s="27"/>
      <c r="F9" s="28"/>
      <c r="AA9" t="s">
        <v>28</v>
      </c>
      <c r="AB9" t="s">
        <v>29</v>
      </c>
    </row>
    <row r="10" spans="1:28" x14ac:dyDescent="0.25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34</v>
      </c>
      <c r="F10" s="1" t="s">
        <v>35</v>
      </c>
      <c r="AA10" t="s">
        <v>36</v>
      </c>
      <c r="AB10" t="s">
        <v>37</v>
      </c>
    </row>
    <row r="11" spans="1:28" x14ac:dyDescent="0.25">
      <c r="A11" s="5">
        <v>1</v>
      </c>
      <c r="B11" s="6" t="s">
        <v>38</v>
      </c>
      <c r="C11" s="5" t="str">
        <f>IF(B5="3รางเสียบ","B20041","B20046")</f>
        <v>B20041</v>
      </c>
      <c r="D11" s="7">
        <f>B3-$F$41</f>
        <v>195.6</v>
      </c>
      <c r="E11" s="8" t="s">
        <v>39</v>
      </c>
      <c r="F11" s="5">
        <f t="shared" ref="F11:F22" si="0">IF(E11=0,"-",ROUNDUP(D11*E11/640,0))</f>
        <v>1</v>
      </c>
      <c r="AA11" t="s">
        <v>40</v>
      </c>
      <c r="AB11" t="s">
        <v>41</v>
      </c>
    </row>
    <row r="12" spans="1:28" x14ac:dyDescent="0.25">
      <c r="A12" s="5">
        <v>2</v>
      </c>
      <c r="B12" s="6" t="s">
        <v>42</v>
      </c>
      <c r="C12" s="5" t="s">
        <v>43</v>
      </c>
      <c r="D12" s="7">
        <f>B3-$F$41</f>
        <v>195.6</v>
      </c>
      <c r="E12" s="8" t="s">
        <v>39</v>
      </c>
      <c r="F12" s="5">
        <f t="shared" si="0"/>
        <v>1</v>
      </c>
      <c r="AA12" t="s">
        <v>44</v>
      </c>
      <c r="AB12" t="s">
        <v>45</v>
      </c>
    </row>
    <row r="13" spans="1:28" x14ac:dyDescent="0.25">
      <c r="A13" s="5">
        <v>3</v>
      </c>
      <c r="B13" s="6" t="s">
        <v>46</v>
      </c>
      <c r="C13" s="5" t="s">
        <v>47</v>
      </c>
      <c r="D13" s="7">
        <f>B4</f>
        <v>240</v>
      </c>
      <c r="E13" s="8" t="s">
        <v>48</v>
      </c>
      <c r="F13" s="5">
        <f t="shared" si="0"/>
        <v>1</v>
      </c>
    </row>
    <row r="14" spans="1:28" x14ac:dyDescent="0.25">
      <c r="A14" s="5">
        <v>4</v>
      </c>
      <c r="B14" s="6" t="s">
        <v>49</v>
      </c>
      <c r="C14" s="5" t="s">
        <v>50</v>
      </c>
      <c r="D14" s="7">
        <f>B4-IF(B5="3รางเสียบ",$F$42,$F$43)</f>
        <v>233.9</v>
      </c>
      <c r="E14" s="8" t="s">
        <v>48</v>
      </c>
      <c r="F14" s="5">
        <f t="shared" si="0"/>
        <v>1</v>
      </c>
    </row>
    <row r="15" spans="1:28" x14ac:dyDescent="0.25">
      <c r="A15" s="5">
        <v>5</v>
      </c>
      <c r="B15" s="6" t="s">
        <v>51</v>
      </c>
      <c r="C15" s="5" t="s">
        <v>52</v>
      </c>
      <c r="D15" s="7">
        <f>B4-IF(B5="3รางเสียบ",$F$42,$F$43)</f>
        <v>233.9</v>
      </c>
      <c r="E15" s="8">
        <f>IF(B6="มี",B7-1,2*(B7-1))</f>
        <v>4</v>
      </c>
      <c r="F15" s="5">
        <f t="shared" si="0"/>
        <v>2</v>
      </c>
    </row>
    <row r="16" spans="1:28" x14ac:dyDescent="0.25">
      <c r="A16" s="5">
        <v>6</v>
      </c>
      <c r="B16" s="6" t="s">
        <v>53</v>
      </c>
      <c r="C16" s="5" t="s">
        <v>54</v>
      </c>
      <c r="D16" s="7">
        <f>B4-IF(B5="3รางเสียบ",$F$42,$F$43)</f>
        <v>233.9</v>
      </c>
      <c r="E16" s="8">
        <f>IF(B6="มี",B7-1,0)</f>
        <v>0</v>
      </c>
      <c r="F16" s="5" t="str">
        <f t="shared" si="0"/>
        <v>-</v>
      </c>
    </row>
    <row r="17" spans="1:8" x14ac:dyDescent="0.25">
      <c r="A17" s="5">
        <v>7</v>
      </c>
      <c r="B17" s="6" t="s">
        <v>55</v>
      </c>
      <c r="C17" s="5" t="s">
        <v>56</v>
      </c>
      <c r="D17" s="7">
        <f>(B3-$F$46*B7-$F$47)/B7</f>
        <v>58.733333333333341</v>
      </c>
      <c r="E17" s="8">
        <f>B7</f>
        <v>3</v>
      </c>
      <c r="F17" s="5">
        <f t="shared" si="0"/>
        <v>1</v>
      </c>
    </row>
    <row r="18" spans="1:8" x14ac:dyDescent="0.25">
      <c r="A18" s="5">
        <v>8</v>
      </c>
      <c r="B18" s="6" t="s">
        <v>57</v>
      </c>
      <c r="C18" s="5" t="s">
        <v>56</v>
      </c>
      <c r="D18" s="7">
        <f>(B3-$F$46*B7-$F$47)/B7</f>
        <v>58.733333333333341</v>
      </c>
      <c r="E18" s="8">
        <f>B7</f>
        <v>3</v>
      </c>
      <c r="F18" s="5">
        <f t="shared" si="0"/>
        <v>1</v>
      </c>
    </row>
    <row r="19" spans="1:8" x14ac:dyDescent="0.25">
      <c r="A19" s="5">
        <v>9</v>
      </c>
      <c r="B19" s="6" t="s">
        <v>58</v>
      </c>
      <c r="C19" s="5" t="s">
        <v>59</v>
      </c>
      <c r="D19" s="7">
        <f>B4-IF(B5="3รางเสียบ",$F$44,$F$45)</f>
        <v>235</v>
      </c>
      <c r="E19" s="8" t="s">
        <v>60</v>
      </c>
      <c r="F19" s="5">
        <f t="shared" si="0"/>
        <v>2</v>
      </c>
    </row>
    <row r="20" spans="1:8" x14ac:dyDescent="0.25">
      <c r="A20" s="5">
        <v>10</v>
      </c>
      <c r="B20" s="6" t="s">
        <v>129</v>
      </c>
      <c r="C20" s="5" t="s">
        <v>62</v>
      </c>
      <c r="D20" s="7">
        <f>IF($B$7&lt;=2,$E$4+$F$48-0.4,$E$4+$F$48)</f>
        <v>63.433333333333344</v>
      </c>
      <c r="E20" s="8" t="s">
        <v>48</v>
      </c>
      <c r="F20" s="5">
        <f t="shared" si="0"/>
        <v>1</v>
      </c>
      <c r="H20" t="s">
        <v>138</v>
      </c>
    </row>
    <row r="21" spans="1:8" x14ac:dyDescent="0.25">
      <c r="A21" s="5">
        <v>11</v>
      </c>
      <c r="B21" s="6" t="s">
        <v>61</v>
      </c>
      <c r="C21" s="5" t="s">
        <v>62</v>
      </c>
      <c r="D21" s="7">
        <f>IF($B$7&lt;=2,$B$3-7,($B$3-$F$41)-$F$49-$E$4-$F$50*($B$7-2))</f>
        <v>125.86666666666663</v>
      </c>
      <c r="E21" s="8" t="s">
        <v>48</v>
      </c>
      <c r="F21" s="5">
        <f t="shared" si="0"/>
        <v>1</v>
      </c>
      <c r="H21" t="s">
        <v>139</v>
      </c>
    </row>
    <row r="22" spans="1:8" x14ac:dyDescent="0.25">
      <c r="A22" s="5">
        <v>12</v>
      </c>
      <c r="B22" s="6" t="s">
        <v>63</v>
      </c>
      <c r="C22" s="5" t="s">
        <v>64</v>
      </c>
      <c r="D22" s="7">
        <f>B3-$F$41</f>
        <v>195.6</v>
      </c>
      <c r="E22" s="8">
        <f>IF(B5="รางเตี้ย7มม",2,0)</f>
        <v>0</v>
      </c>
      <c r="F22" s="5" t="str">
        <f t="shared" si="0"/>
        <v>-</v>
      </c>
    </row>
    <row r="40" spans="1:6" x14ac:dyDescent="0.25">
      <c r="A40" s="2" t="s">
        <v>140</v>
      </c>
    </row>
    <row r="41" spans="1:6" x14ac:dyDescent="0.25">
      <c r="B41" s="6" t="s">
        <v>66</v>
      </c>
      <c r="F41" s="9">
        <v>4.4000000000000004</v>
      </c>
    </row>
    <row r="42" spans="1:6" x14ac:dyDescent="0.25">
      <c r="B42" s="6" t="s">
        <v>67</v>
      </c>
      <c r="F42" s="9">
        <v>6.1</v>
      </c>
    </row>
    <row r="43" spans="1:6" x14ac:dyDescent="0.25">
      <c r="B43" s="6" t="s">
        <v>68</v>
      </c>
      <c r="F43" s="9">
        <v>3</v>
      </c>
    </row>
    <row r="44" spans="1:6" x14ac:dyDescent="0.25">
      <c r="B44" s="6" t="s">
        <v>69</v>
      </c>
      <c r="F44" s="9">
        <v>5</v>
      </c>
    </row>
    <row r="45" spans="1:6" x14ac:dyDescent="0.25">
      <c r="B45" s="6" t="s">
        <v>70</v>
      </c>
      <c r="F45" s="9">
        <v>2.2999999999999998</v>
      </c>
    </row>
    <row r="46" spans="1:6" x14ac:dyDescent="0.25">
      <c r="B46" s="6" t="s">
        <v>71</v>
      </c>
      <c r="F46" s="9">
        <v>4.2</v>
      </c>
    </row>
    <row r="47" spans="1:6" x14ac:dyDescent="0.25">
      <c r="B47" s="6" t="s">
        <v>72</v>
      </c>
      <c r="F47" s="9">
        <v>11.2</v>
      </c>
    </row>
    <row r="48" spans="1:6" x14ac:dyDescent="0.25">
      <c r="B48" s="6" t="s">
        <v>141</v>
      </c>
      <c r="F48" s="9">
        <v>4.7</v>
      </c>
    </row>
    <row r="49" spans="1:6" x14ac:dyDescent="0.25">
      <c r="B49" s="6" t="s">
        <v>142</v>
      </c>
      <c r="F49" s="9">
        <v>1.3</v>
      </c>
    </row>
    <row r="50" spans="1:6" x14ac:dyDescent="0.25">
      <c r="B50" s="6" t="s">
        <v>143</v>
      </c>
      <c r="F50" s="9">
        <v>9.6999999999999993</v>
      </c>
    </row>
    <row r="51" spans="1:6" x14ac:dyDescent="0.25">
      <c r="A51" s="12" t="s">
        <v>74</v>
      </c>
    </row>
    <row r="52" spans="1:6" x14ac:dyDescent="0.25">
      <c r="A52" s="13" t="s">
        <v>75</v>
      </c>
      <c r="B52" s="14" t="s">
        <v>76</v>
      </c>
      <c r="D52" s="13" t="s">
        <v>77</v>
      </c>
      <c r="E52" s="14" t="s">
        <v>78</v>
      </c>
    </row>
    <row r="53" spans="1:6" x14ac:dyDescent="0.25">
      <c r="A53" s="13" t="s">
        <v>144</v>
      </c>
      <c r="B53" s="14" t="s">
        <v>80</v>
      </c>
      <c r="D53" s="13" t="s">
        <v>81</v>
      </c>
      <c r="E53" s="14" t="s">
        <v>82</v>
      </c>
    </row>
    <row r="55" spans="1:6" x14ac:dyDescent="0.25">
      <c r="A55" s="15" t="s">
        <v>30</v>
      </c>
      <c r="B55" s="15" t="s">
        <v>85</v>
      </c>
      <c r="C55" s="15" t="s">
        <v>86</v>
      </c>
      <c r="D55" s="15" t="s">
        <v>34</v>
      </c>
      <c r="E55" s="15" t="s">
        <v>87</v>
      </c>
      <c r="F55" s="15" t="s">
        <v>88</v>
      </c>
    </row>
    <row r="56" spans="1:6" x14ac:dyDescent="0.25">
      <c r="A56" s="16">
        <v>1</v>
      </c>
      <c r="B56" s="17" t="s">
        <v>89</v>
      </c>
      <c r="C56" s="14" t="s">
        <v>90</v>
      </c>
      <c r="D56" s="18">
        <f>2*($B$7-1)</f>
        <v>4</v>
      </c>
      <c r="E56" s="16" t="s">
        <v>91</v>
      </c>
      <c r="F56" s="19"/>
    </row>
    <row r="57" spans="1:6" x14ac:dyDescent="0.25">
      <c r="A57" s="16">
        <v>2</v>
      </c>
      <c r="B57" s="17" t="str">
        <f>"มือจับ กุญแจ ("&amp;$E$52&amp;")"</f>
        <v>มือจับ กุญแจ (เมโทร)</v>
      </c>
      <c r="C57" s="25" t="str">
        <f>VLOOKUP($E$52&amp;"กุญแจ"&amp;$E$53,$AA$1:$AB$12,2,0)</f>
        <v>JR00368</v>
      </c>
      <c r="D57" s="18">
        <f>COUNTIF($B$53:$B$53,"กุญแจ+ล็อค")</f>
        <v>1</v>
      </c>
      <c r="E57" s="16" t="s">
        <v>92</v>
      </c>
      <c r="F57" s="19"/>
    </row>
    <row r="58" spans="1:6" x14ac:dyDescent="0.25">
      <c r="A58" s="16">
        <v>3</v>
      </c>
      <c r="B58" s="17" t="str">
        <f>"มือจับ ล็อค ("&amp;$E$52&amp;")"</f>
        <v>มือจับ ล็อค (เมโทร)</v>
      </c>
      <c r="C58" s="25" t="str">
        <f>VLOOKUP($E$52&amp;"ล็อค"&amp;$E$53,$AA$1:$AB$12,2,0)</f>
        <v>JR00369</v>
      </c>
      <c r="D58" s="18">
        <f>(COUNTIF($B$53:$B$53,"กุญแจ+ล็อค")+COUNTIF($B$53:$B$53,"ล็อค+ดัมมี่")+COUNTIF($B$53:$B$53,"ล็อค"))</f>
        <v>1</v>
      </c>
      <c r="E58" s="16" t="s">
        <v>92</v>
      </c>
      <c r="F58" s="19"/>
    </row>
    <row r="59" spans="1:6" x14ac:dyDescent="0.25">
      <c r="A59" s="16">
        <v>4</v>
      </c>
      <c r="B59" s="17" t="str">
        <f>"มือจับ ดัมมี่ ("&amp;$E$52&amp;")"</f>
        <v>มือจับ ดัมมี่ (เมโทร)</v>
      </c>
      <c r="C59" s="25" t="str">
        <f>VLOOKUP($E$52&amp;"ดัมมี่"&amp;$E$53,$AA$1:$AB$12,2,0)</f>
        <v>JR00370</v>
      </c>
      <c r="D59" s="18">
        <f>(COUNTIF($B$53:$B$53,"ล็อค+ดัมมี่")+2*COUNTIF($B$53:$B$53,"ดัมมี่+ดัมมี่")+COUNTIF($B$53:$B$53,"ดัมมี่"))</f>
        <v>0</v>
      </c>
      <c r="E59" s="16" t="s">
        <v>92</v>
      </c>
      <c r="F59" s="19"/>
    </row>
    <row r="60" spans="1:6" x14ac:dyDescent="0.25">
      <c r="A60" s="16">
        <v>5</v>
      </c>
      <c r="B60" s="17" t="s">
        <v>93</v>
      </c>
      <c r="C60" s="14"/>
      <c r="D60" s="18">
        <f>COUNTIF($B$53:$B$53,"Digital lock")</f>
        <v>0</v>
      </c>
      <c r="E60" s="16" t="s">
        <v>92</v>
      </c>
      <c r="F60" s="19" t="s">
        <v>94</v>
      </c>
    </row>
    <row r="61" spans="1:6" x14ac:dyDescent="0.25">
      <c r="A61" s="16">
        <v>6</v>
      </c>
      <c r="B61" s="17" t="s">
        <v>95</v>
      </c>
      <c r="C61" s="14" t="s">
        <v>96</v>
      </c>
      <c r="D61" s="18">
        <f>2*(COUNTIF($B$53:$B$53,"กุญแจ+ล็อค")+COUNTIF($B$53:$B$53,"ล็อค+ดัมมี่")+COUNTIF($B$53:$B$53,"ล็อค"))</f>
        <v>2</v>
      </c>
      <c r="E61" s="16" t="s">
        <v>97</v>
      </c>
      <c r="F61" s="19"/>
    </row>
    <row r="62" spans="1:6" x14ac:dyDescent="0.25">
      <c r="A62" s="16">
        <v>7</v>
      </c>
      <c r="B62" s="17" t="s">
        <v>98</v>
      </c>
      <c r="C62" s="14" t="s">
        <v>99</v>
      </c>
      <c r="D62" s="18">
        <f>IF($B$4&gt;280,2,IF($B$4&gt;140,1,0))*(COUNTIF($B$53:$B$53,"กุญแจ+ล็อค")+COUNTIF($B$53:$B$53,"ล็อค+ดัมมี่")+COUNTIF($B$53:$B$53,"ล็อค"))</f>
        <v>1</v>
      </c>
      <c r="E62" s="16" t="s">
        <v>97</v>
      </c>
      <c r="F62" s="19" t="s">
        <v>100</v>
      </c>
    </row>
    <row r="63" spans="1:6" x14ac:dyDescent="0.25">
      <c r="A63" s="16">
        <v>8</v>
      </c>
      <c r="B63" s="17" t="s">
        <v>101</v>
      </c>
      <c r="C63" s="14" t="s">
        <v>102</v>
      </c>
      <c r="D63" s="18">
        <f>2*(COUNTIF($B$53:$B$53,"กุญแจ+ล็อค")+COUNTIF($B$53:$B$53,"ล็อค+ดัมมี่")+COUNTIF($B$53:$B$53,"ล็อค"))</f>
        <v>2</v>
      </c>
      <c r="E63" s="16" t="s">
        <v>97</v>
      </c>
      <c r="F63" s="19"/>
    </row>
    <row r="64" spans="1:6" x14ac:dyDescent="0.25">
      <c r="A64" s="16">
        <v>9</v>
      </c>
      <c r="B64" s="17" t="s">
        <v>103</v>
      </c>
      <c r="C64" s="14" t="s">
        <v>104</v>
      </c>
      <c r="D64" s="18">
        <f>1*(COUNTIF($B$53:$B$53,"กุญแจ+ล็อค")+COUNTIF($B$53:$B$53,"ล็อค+ดัมมี่")+COUNTIF($B$53:$B$53,"ล็อค"))</f>
        <v>1</v>
      </c>
      <c r="E64" s="16" t="s">
        <v>97</v>
      </c>
      <c r="F64" s="19"/>
    </row>
    <row r="65" spans="1:6" x14ac:dyDescent="0.25">
      <c r="A65" s="16">
        <v>10</v>
      </c>
      <c r="B65" s="17" t="s">
        <v>105</v>
      </c>
      <c r="C65" s="14" t="s">
        <v>106</v>
      </c>
      <c r="D65" s="18">
        <f>4*($B$7-1)</f>
        <v>8</v>
      </c>
      <c r="E65" s="16" t="s">
        <v>91</v>
      </c>
      <c r="F65" s="19"/>
    </row>
    <row r="66" spans="1:6" x14ac:dyDescent="0.25">
      <c r="A66" s="16">
        <v>11</v>
      </c>
      <c r="B66" s="17" t="s">
        <v>107</v>
      </c>
      <c r="C66" s="14" t="s">
        <v>106</v>
      </c>
      <c r="D66" s="18">
        <f>8</f>
        <v>8</v>
      </c>
      <c r="E66" s="16" t="s">
        <v>91</v>
      </c>
      <c r="F66" s="19"/>
    </row>
    <row r="67" spans="1:6" x14ac:dyDescent="0.25">
      <c r="A67" s="16">
        <v>12</v>
      </c>
      <c r="B67" s="17" t="s">
        <v>108</v>
      </c>
      <c r="C67" s="14" t="s">
        <v>109</v>
      </c>
      <c r="D67" s="18">
        <f>4*($B$7-1)</f>
        <v>8</v>
      </c>
      <c r="E67" s="16" t="s">
        <v>91</v>
      </c>
      <c r="F67" s="19"/>
    </row>
    <row r="68" spans="1:6" x14ac:dyDescent="0.25">
      <c r="A68" s="16">
        <v>13</v>
      </c>
      <c r="B68" s="17" t="s">
        <v>110</v>
      </c>
      <c r="C68" s="14" t="s">
        <v>111</v>
      </c>
      <c r="D68" s="18">
        <f>ROUND((2*2*($E$4+$D$14)*($B$7-1) + 2*($B$7-1)*$D$12 + IF($B$5="รางเตี้ย7มม",0,2*($B$7-1)*$D$11) + $D$13)/100,1)</f>
        <v>41.5</v>
      </c>
      <c r="E68" s="16" t="s">
        <v>112</v>
      </c>
      <c r="F68" s="19" t="s">
        <v>113</v>
      </c>
    </row>
    <row r="69" spans="1:6" x14ac:dyDescent="0.25">
      <c r="A69" s="16">
        <v>14</v>
      </c>
      <c r="B69" s="17" t="s">
        <v>114</v>
      </c>
      <c r="C69" s="14" t="s">
        <v>115</v>
      </c>
      <c r="D69" s="18">
        <f>2+MAX(0,ROUNDUP((($B$3-$F$41)-150)/50,0))</f>
        <v>3</v>
      </c>
      <c r="E69" s="16" t="s">
        <v>97</v>
      </c>
      <c r="F69" s="19" t="s">
        <v>116</v>
      </c>
    </row>
    <row r="70" spans="1:6" x14ac:dyDescent="0.25">
      <c r="A70" s="16">
        <v>15</v>
      </c>
      <c r="B70" s="17" t="s">
        <v>117</v>
      </c>
      <c r="C70" s="14" t="s">
        <v>118</v>
      </c>
      <c r="D70" s="18">
        <f>2+MAX(0,ROUNDUP((($B$3-$F$41)-150)/50,0))</f>
        <v>3</v>
      </c>
      <c r="E70" s="16" t="s">
        <v>97</v>
      </c>
      <c r="F70" s="19" t="s">
        <v>116</v>
      </c>
    </row>
    <row r="71" spans="1:6" x14ac:dyDescent="0.25">
      <c r="A71" s="16">
        <v>16</v>
      </c>
      <c r="B71" s="17" t="s">
        <v>119</v>
      </c>
      <c r="C71" s="14" t="s">
        <v>120</v>
      </c>
      <c r="D71" s="18">
        <f>D63</f>
        <v>2</v>
      </c>
      <c r="E71" s="16" t="s">
        <v>97</v>
      </c>
      <c r="F71" s="19" t="s">
        <v>121</v>
      </c>
    </row>
  </sheetData>
  <mergeCells count="3">
    <mergeCell ref="A2:F2"/>
    <mergeCell ref="A1:F1"/>
    <mergeCell ref="A9:F9"/>
  </mergeCells>
  <dataValidations count="6">
    <dataValidation type="list" sqref="B5" xr:uid="{00000000-0002-0000-0200-000000000000}">
      <formula1>"3รางเสียบ,รางเตี้ย7มม"</formula1>
    </dataValidation>
    <dataValidation type="list" sqref="B6" xr:uid="{00000000-0002-0000-0200-000001000000}">
      <formula1>"ไม่มี,มี"</formula1>
    </dataValidation>
    <dataValidation type="list" allowBlank="1" sqref="B52" xr:uid="{00000000-0002-0000-0200-000002000000}">
      <formula1>"ประตู,หน้าต่าง"</formula1>
    </dataValidation>
    <dataValidation type="list" allowBlank="1" sqref="B53" xr:uid="{00000000-0002-0000-0200-000003000000}">
      <formula1>$Z$1:$Z$4</formula1>
    </dataValidation>
    <dataValidation type="list" allowBlank="1" sqref="E52" xr:uid="{00000000-0002-0000-0200-000004000000}">
      <formula1>"เมโทร,Align"</formula1>
    </dataValidation>
    <dataValidation type="list" allowBlank="1" sqref="E53" xr:uid="{00000000-0002-0000-0200-000005000000}">
      <formula1>"อบขาว,ดำ"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อิสระ+สลับ</vt:lpstr>
      <vt:lpstr>เปิดคู่กลาง</vt:lpstr>
      <vt:lpstr>ลากจูง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JR Aluminium</cp:lastModifiedBy>
  <dcterms:created xsi:type="dcterms:W3CDTF">2026-07-07T02:39:00Z</dcterms:created>
  <dcterms:modified xsi:type="dcterms:W3CDTF">2026-07-24T08:54:22Z</dcterms:modified>
</cp:coreProperties>
</file>