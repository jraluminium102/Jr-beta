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ิสระ+สลับ" sheetId="1" state="visible" r:id="rId1"/>
    <sheet xmlns:r="http://schemas.openxmlformats.org/officeDocument/2006/relationships" name="เปิดคู่กลาง" sheetId="2" state="visible" r:id="rId2"/>
    <sheet xmlns:r="http://schemas.openxmlformats.org/officeDocument/2006/relationships" name="ลากจู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b val="1"/>
    </font>
    <font>
      <name val="Tahoma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164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1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/>
    </xf>
    <xf numFmtId="2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JR — ใบตัด SMS เลื่อนอิสระ/สลับ (จำนวนบาน N · รวมราง+โหนก) · ซม.</t>
        </is>
      </c>
      <c r="B1" s="3" t="n"/>
      <c r="C1" s="3" t="n"/>
      <c r="D1" s="3" t="n"/>
      <c r="E1" s="3" t="n"/>
      <c r="F1" s="4" t="n"/>
    </row>
    <row r="2">
      <c r="A2" s="2" t="inlineStr">
        <is>
          <t>① กรอก (เหลือง)</t>
        </is>
      </c>
      <c r="B2" s="3" t="n"/>
      <c r="C2" s="3" t="n"/>
      <c r="D2" s="3" t="n"/>
      <c r="E2" s="3" t="n"/>
      <c r="F2" s="4" t="n"/>
    </row>
    <row r="3">
      <c r="A3" s="5" t="inlineStr">
        <is>
          <t>กว้างช่อง W →</t>
        </is>
      </c>
      <c r="B3" s="6" t="n">
        <v>350</v>
      </c>
      <c r="D3" s="10" t="inlineStr">
        <is>
          <t>N=3 อิสระ · N=2 สลับ</t>
        </is>
      </c>
    </row>
    <row r="4">
      <c r="A4" s="5" t="inlineStr">
        <is>
          <t>สูงช่อง H →</t>
        </is>
      </c>
      <c r="B4" s="6" t="n">
        <v>159</v>
      </c>
      <c r="D4" s="16" t="inlineStr">
        <is>
          <t>ขวางบน =(W−4.2N−11.2)/N</t>
        </is>
      </c>
      <c r="E4" s="17">
        <f>(B3-$F$46*B7-$F$47)/B7</f>
        <v/>
      </c>
    </row>
    <row r="5">
      <c r="A5" s="5" t="inlineStr">
        <is>
          <t>ราง →</t>
        </is>
      </c>
      <c r="B5" s="6" t="inlineStr">
        <is>
          <t>3รางเสียบ</t>
        </is>
      </c>
    </row>
    <row r="6">
      <c r="A6" s="5" t="inlineStr">
        <is>
          <t>โหนก →</t>
        </is>
      </c>
      <c r="B6" s="6" t="inlineStr">
        <is>
          <t>ไม่มี</t>
        </is>
      </c>
    </row>
    <row r="7">
      <c r="A7" s="5" t="inlineStr">
        <is>
          <t>จำนวนบาน N →</t>
        </is>
      </c>
      <c r="B7" s="6" t="n">
        <v>3</v>
      </c>
    </row>
    <row r="9">
      <c r="A9" s="2" t="inlineStr">
        <is>
          <t>④ ใบตัดอลู · ยาว=ฐาน−⑦</t>
        </is>
      </c>
      <c r="B9" s="3" t="n"/>
      <c r="C9" s="3" t="n"/>
      <c r="D9" s="3" t="n"/>
      <c r="E9" s="3" t="n"/>
      <c r="F9" s="4" t="n"/>
    </row>
    <row r="10">
      <c r="A10" s="1" t="inlineStr">
        <is>
          <t>#</t>
        </is>
      </c>
      <c r="B10" s="1" t="inlineStr">
        <is>
          <t>โปรไฟล์</t>
        </is>
      </c>
      <c r="C10" s="1" t="inlineStr">
        <is>
          <t>รหัส</t>
        </is>
      </c>
      <c r="D10" s="1" t="inlineStr">
        <is>
          <t>ยาวตัด (ซม.)</t>
        </is>
      </c>
      <c r="E10" s="1" t="inlineStr">
        <is>
          <t>จำนวน</t>
        </is>
      </c>
      <c r="F10" s="1" t="inlineStr">
        <is>
          <t>เส้น6.4ม.</t>
        </is>
      </c>
    </row>
    <row r="11">
      <c r="A11" s="9" t="n">
        <v>1</v>
      </c>
      <c r="B11" s="10" t="inlineStr">
        <is>
          <t>เฟรมล่าง</t>
        </is>
      </c>
      <c r="C11" s="9">
        <f>IF(B5="3รางเสียบ","B20041","B20046")</f>
        <v/>
      </c>
      <c r="D11" s="11">
        <f>B3-$F$41</f>
        <v/>
      </c>
      <c r="E11" s="12" t="inlineStr">
        <is>
          <t>1</t>
        </is>
      </c>
      <c r="F11" s="9">
        <f>IF(E11=0,"-",ROUNDUP(D11*E11/640,0))</f>
        <v/>
      </c>
    </row>
    <row r="12">
      <c r="A12" s="9" t="n">
        <v>2</v>
      </c>
      <c r="B12" s="10" t="inlineStr">
        <is>
          <t>เฟรมบน</t>
        </is>
      </c>
      <c r="C12" s="9" t="inlineStr">
        <is>
          <t>B20001</t>
        </is>
      </c>
      <c r="D12" s="11">
        <f>B3-$F$41</f>
        <v/>
      </c>
      <c r="E12" s="12" t="inlineStr">
        <is>
          <t>1</t>
        </is>
      </c>
      <c r="F12" s="9">
        <f>IF(E12=0,"-",ROUNDUP(D12*E12/640,0))</f>
        <v/>
      </c>
    </row>
    <row r="13">
      <c r="A13" s="9" t="n">
        <v>3</v>
      </c>
      <c r="B13" s="10" t="inlineStr">
        <is>
          <t>เฟรมข้าง</t>
        </is>
      </c>
      <c r="C13" s="9" t="inlineStr">
        <is>
          <t>B20003</t>
        </is>
      </c>
      <c r="D13" s="11">
        <f>B4</f>
        <v/>
      </c>
      <c r="E13" s="12" t="inlineStr">
        <is>
          <t>2</t>
        </is>
      </c>
      <c r="F13" s="9">
        <f>IF(E13=0,"-",ROUNDUP(D13*E13/640,0))</f>
        <v/>
      </c>
    </row>
    <row r="14">
      <c r="A14" s="9" t="n">
        <v>4</v>
      </c>
      <c r="B14" s="10" t="inlineStr">
        <is>
          <t>เสากุญแจ ML</t>
        </is>
      </c>
      <c r="C14" s="9" t="inlineStr">
        <is>
          <t>20051</t>
        </is>
      </c>
      <c r="D14" s="11">
        <f>B4-IF(B5="3รางเสียบ",$F$42,$F$43)</f>
        <v/>
      </c>
      <c r="E14" s="12" t="inlineStr">
        <is>
          <t>2</t>
        </is>
      </c>
      <c r="F14" s="9">
        <f>IF(E14=0,"-",ROUNDUP(D14*E14/640,0))</f>
        <v/>
      </c>
    </row>
    <row r="15">
      <c r="A15" s="9" t="n">
        <v>5</v>
      </c>
      <c r="B15" s="10" t="inlineStr">
        <is>
          <t>เสาเกี่ยว</t>
        </is>
      </c>
      <c r="C15" s="9" t="inlineStr">
        <is>
          <t>B20009</t>
        </is>
      </c>
      <c r="D15" s="11">
        <f>B4-IF(B5="3รางเสียบ",$F$42,$F$43)</f>
        <v/>
      </c>
      <c r="E15" s="12">
        <f>IF(B6="มี",B7-1,2*(B7-1))</f>
        <v/>
      </c>
      <c r="F15" s="9">
        <f>IF(E15=0,"-",ROUNDUP(D15*E15/640,0))</f>
        <v/>
      </c>
    </row>
    <row r="16">
      <c r="A16" s="9" t="n">
        <v>6</v>
      </c>
      <c r="B16" s="10" t="inlineStr">
        <is>
          <t>เสาเกี่ยวโหนก</t>
        </is>
      </c>
      <c r="C16" s="9" t="inlineStr">
        <is>
          <t>B20010</t>
        </is>
      </c>
      <c r="D16" s="11">
        <f>B4-IF(B5="3รางเสียบ",$F$42,$F$43)</f>
        <v/>
      </c>
      <c r="E16" s="12">
        <f>IF(B6="มี",B7-1,0)</f>
        <v/>
      </c>
      <c r="F16" s="9">
        <f>IF(E16=0,"-",ROUNDUP(D16*E16/640,0))</f>
        <v/>
      </c>
    </row>
    <row r="17">
      <c r="A17" s="9" t="n">
        <v>7</v>
      </c>
      <c r="B17" s="10" t="inlineStr">
        <is>
          <t>ขวางบน</t>
        </is>
      </c>
      <c r="C17" s="9" t="inlineStr">
        <is>
          <t>B20054</t>
        </is>
      </c>
      <c r="D17" s="11">
        <f>(B3-$F$46*B7-$F$47)/B7</f>
        <v/>
      </c>
      <c r="E17" s="12">
        <f>B7</f>
        <v/>
      </c>
      <c r="F17" s="9">
        <f>IF(E17=0,"-",ROUNDUP(D17*E17/640,0))</f>
        <v/>
      </c>
    </row>
    <row r="18">
      <c r="A18" s="9" t="n">
        <v>8</v>
      </c>
      <c r="B18" s="10" t="inlineStr">
        <is>
          <t>ขวางล่าง</t>
        </is>
      </c>
      <c r="C18" s="9" t="inlineStr">
        <is>
          <t>B20054</t>
        </is>
      </c>
      <c r="D18" s="11">
        <f>(B3-$F$46*B7-$F$47)/B7</f>
        <v/>
      </c>
      <c r="E18" s="12">
        <f>B7</f>
        <v/>
      </c>
      <c r="F18" s="9">
        <f>IF(E18=0,"-",ROUNDUP(D18*E18/640,0))</f>
        <v/>
      </c>
    </row>
    <row r="19">
      <c r="A19" s="9" t="n">
        <v>9</v>
      </c>
      <c r="B19" s="10" t="inlineStr">
        <is>
          <t>ฝาปิดเฟรมข้าง</t>
        </is>
      </c>
      <c r="C19" s="9" t="inlineStr">
        <is>
          <t>B20019</t>
        </is>
      </c>
      <c r="D19" s="11">
        <f>B4-IF(B5="3รางเสียบ",$F$44,$F$45)</f>
        <v/>
      </c>
      <c r="E19" s="12" t="inlineStr">
        <is>
          <t>4</t>
        </is>
      </c>
      <c r="F19" s="9">
        <f>IF(E19=0,"-",ROUNDUP(D19*E19/640,0))</f>
        <v/>
      </c>
    </row>
    <row r="20">
      <c r="A20" s="9" t="n">
        <v>10</v>
      </c>
      <c r="B20" s="10" t="inlineStr">
        <is>
          <t>ตบเฟรมบน/ล่าง ร่องใน</t>
        </is>
      </c>
      <c r="C20" s="9" t="inlineStr">
        <is>
          <t>-</t>
        </is>
      </c>
      <c r="D20" s="11">
        <f>B3-$F$48</f>
        <v/>
      </c>
      <c r="E20" s="12">
        <f>MAX(3-B7,0)*2</f>
        <v/>
      </c>
      <c r="F20" s="9">
        <f>IF(E20=0,"-",ROUNDUP(D20*E20/640,0))</f>
        <v/>
      </c>
    </row>
    <row r="21">
      <c r="A21" s="9" t="n">
        <v>11</v>
      </c>
      <c r="B21" s="10" t="inlineStr">
        <is>
          <t>เบรคบาน ธรณี</t>
        </is>
      </c>
      <c r="C21" s="9" t="inlineStr">
        <is>
          <t>B20050</t>
        </is>
      </c>
      <c r="D21" s="11">
        <f>B3-$F$41</f>
        <v/>
      </c>
      <c r="E21" s="12">
        <f>IF(B5="รางเตี้ย7มม",2,0)</f>
        <v/>
      </c>
      <c r="F21" s="9">
        <f>IF(E21=0,"-",ROUNDUP(D21*E21/640,0))</f>
        <v/>
      </c>
    </row>
    <row r="40">
      <c r="A40" s="2" t="inlineStr">
        <is>
          <t>⑦ แผงค่าหัก (เหลือง · แก้เตี้ย2.3)</t>
        </is>
      </c>
      <c r="B40" s="3" t="n"/>
      <c r="C40" s="3" t="n"/>
      <c r="D40" s="3" t="n"/>
      <c r="E40" s="3" t="n"/>
      <c r="F40" s="4" t="n"/>
    </row>
    <row r="41">
      <c r="B41" s="10" t="inlineStr">
        <is>
          <t>เฟรม (2.2×2)</t>
        </is>
      </c>
      <c r="F41" s="15" t="n">
        <v>4.4</v>
      </c>
    </row>
    <row r="42">
      <c r="B42" s="10" t="inlineStr">
        <is>
          <t>เสากุญแจ เสียบ (6.1)</t>
        </is>
      </c>
      <c r="F42" s="15" t="n">
        <v>6.1</v>
      </c>
    </row>
    <row r="43">
      <c r="B43" s="10" t="inlineStr">
        <is>
          <t>เสากุญแจ เตี้ย (3)</t>
        </is>
      </c>
      <c r="F43" s="15" t="n">
        <v>3</v>
      </c>
    </row>
    <row r="44">
      <c r="B44" s="10" t="inlineStr">
        <is>
          <t>ฝาปิดข้าง เสียบ (5)</t>
        </is>
      </c>
      <c r="F44" s="15" t="n">
        <v>5</v>
      </c>
    </row>
    <row r="45">
      <c r="B45" s="10" t="inlineStr">
        <is>
          <t>ฝาปิดข้าง เตี้ย (2.3)</t>
        </is>
      </c>
      <c r="F45" s="15" t="n">
        <v>2.3</v>
      </c>
    </row>
    <row r="46">
      <c r="B46" s="10" t="inlineStr">
        <is>
          <t>ขวางบน สปส.N (4.2)</t>
        </is>
      </c>
      <c r="F46" s="15" t="n">
        <v>4.2</v>
      </c>
    </row>
    <row r="47">
      <c r="B47" s="10" t="inlineStr">
        <is>
          <t>ขวางบน คงที่ (11.2)</t>
        </is>
      </c>
      <c r="F47" s="15" t="n">
        <v>11.2</v>
      </c>
    </row>
    <row r="48">
      <c r="B48" s="10" t="inlineStr">
        <is>
          <t>ตบร่องใน (3.5×2)</t>
        </is>
      </c>
      <c r="F48" s="15" t="n">
        <v>7</v>
      </c>
    </row>
  </sheetData>
  <mergeCells count="4">
    <mergeCell ref="A2:F2"/>
    <mergeCell ref="A1:F1"/>
    <mergeCell ref="A9:F9"/>
    <mergeCell ref="A40:F40"/>
  </mergeCells>
  <dataValidations count="2">
    <dataValidation sqref="B5" showDropDown="0" showInputMessage="0" showErrorMessage="0" allowBlank="0" type="list">
      <formula1>"3รางเสียบ,รางเตี้ย7มม"</formula1>
    </dataValidation>
    <dataValidation sqref="B6" showDropDown="0" showInputMessage="0" showErrorMessage="0" allowBlank="0" type="list">
      <formula1>"ไม่มี,มี"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JR — ใบตัด SMS เปิดคู่กลาง (รวมราง+โหนก) · หน่วย ซม.</t>
        </is>
      </c>
      <c r="B1" s="3" t="n"/>
      <c r="C1" s="3" t="n"/>
      <c r="D1" s="3" t="n"/>
      <c r="E1" s="3" t="n"/>
      <c r="F1" s="4" t="n"/>
    </row>
    <row r="2">
      <c r="A2" s="2" t="inlineStr">
        <is>
          <t>① กรอก (เหลือง)</t>
        </is>
      </c>
      <c r="B2" s="3" t="n"/>
      <c r="C2" s="3" t="n"/>
      <c r="D2" s="3" t="n"/>
      <c r="E2" s="3" t="n"/>
      <c r="F2" s="4" t="n"/>
    </row>
    <row r="3">
      <c r="A3" s="5" t="inlineStr">
        <is>
          <t>กว้างช่อง W →</t>
        </is>
      </c>
      <c r="B3" s="6" t="n">
        <v>350</v>
      </c>
      <c r="D3" s="16" t="inlineStr">
        <is>
          <t>ขวางบน =(W−35.3)/4</t>
        </is>
      </c>
      <c r="E3" s="17">
        <f>(B3-$F$48)/$F$49</f>
        <v/>
      </c>
    </row>
    <row r="4">
      <c r="A4" s="5" t="inlineStr">
        <is>
          <t>สูงช่อง H →</t>
        </is>
      </c>
      <c r="B4" s="6" t="n">
        <v>159</v>
      </c>
    </row>
    <row r="5">
      <c r="A5" s="5" t="inlineStr">
        <is>
          <t>ราง →</t>
        </is>
      </c>
      <c r="B5" s="6" t="inlineStr">
        <is>
          <t>3รางเสียบ</t>
        </is>
      </c>
    </row>
    <row r="6">
      <c r="A6" s="5" t="inlineStr">
        <is>
          <t>โหนก →</t>
        </is>
      </c>
      <c r="B6" s="6" t="inlineStr">
        <is>
          <t>ไม่มี</t>
        </is>
      </c>
    </row>
    <row r="8">
      <c r="A8" s="2" t="inlineStr">
        <is>
          <t>④ ใบตัดอลู · ยาว=ฐาน−⑦</t>
        </is>
      </c>
      <c r="B8" s="3" t="n"/>
      <c r="C8" s="3" t="n"/>
      <c r="D8" s="3" t="n"/>
      <c r="E8" s="3" t="n"/>
      <c r="F8" s="4" t="n"/>
    </row>
    <row r="9">
      <c r="A9" s="1" t="inlineStr">
        <is>
          <t>#</t>
        </is>
      </c>
      <c r="B9" s="1" t="inlineStr">
        <is>
          <t>โปรไฟล์</t>
        </is>
      </c>
      <c r="C9" s="1" t="inlineStr">
        <is>
          <t>รหัส</t>
        </is>
      </c>
      <c r="D9" s="1" t="inlineStr">
        <is>
          <t>ยาวตัด (ซม.)</t>
        </is>
      </c>
      <c r="E9" s="1" t="inlineStr">
        <is>
          <t>จำนวน</t>
        </is>
      </c>
      <c r="F9" s="1" t="inlineStr">
        <is>
          <t>เส้น6.4ม.</t>
        </is>
      </c>
    </row>
    <row r="10">
      <c r="A10" s="9" t="n">
        <v>1</v>
      </c>
      <c r="B10" s="10" t="inlineStr">
        <is>
          <t>เฟรมล่าง</t>
        </is>
      </c>
      <c r="C10" s="9">
        <f>IF(B5="3รางเสียบ","B20041","B20046")</f>
        <v/>
      </c>
      <c r="D10" s="11">
        <f>B3-$F$41</f>
        <v/>
      </c>
      <c r="E10" s="12" t="inlineStr">
        <is>
          <t>1</t>
        </is>
      </c>
      <c r="F10" s="9">
        <f>IF(E10=0,"-",ROUNDUP(D10*E10/640,0))</f>
        <v/>
      </c>
    </row>
    <row r="11">
      <c r="A11" s="9" t="n">
        <v>2</v>
      </c>
      <c r="B11" s="10" t="inlineStr">
        <is>
          <t>เฟรมบน</t>
        </is>
      </c>
      <c r="C11" s="9" t="inlineStr">
        <is>
          <t>B20001</t>
        </is>
      </c>
      <c r="D11" s="11">
        <f>B3-$F$41</f>
        <v/>
      </c>
      <c r="E11" s="12" t="inlineStr">
        <is>
          <t>1</t>
        </is>
      </c>
      <c r="F11" s="9">
        <f>IF(E11=0,"-",ROUNDUP(D11*E11/640,0))</f>
        <v/>
      </c>
    </row>
    <row r="12">
      <c r="A12" s="9" t="n">
        <v>3</v>
      </c>
      <c r="B12" s="10" t="inlineStr">
        <is>
          <t>เฟรมข้าง</t>
        </is>
      </c>
      <c r="C12" s="9" t="inlineStr">
        <is>
          <t>B20003</t>
        </is>
      </c>
      <c r="D12" s="11">
        <f>B4</f>
        <v/>
      </c>
      <c r="E12" s="12" t="inlineStr">
        <is>
          <t>2</t>
        </is>
      </c>
      <c r="F12" s="9">
        <f>IF(E12=0,"-",ROUNDUP(D12*E12/640,0))</f>
        <v/>
      </c>
    </row>
    <row r="13">
      <c r="A13" s="9" t="n">
        <v>4</v>
      </c>
      <c r="B13" s="10" t="inlineStr">
        <is>
          <t>เสากุญแจมัลติพ้อย</t>
        </is>
      </c>
      <c r="C13" s="9" t="inlineStr">
        <is>
          <t>B20051</t>
        </is>
      </c>
      <c r="D13" s="11">
        <f>B4-IF(B5="3รางเสียบ",$F$42,$F$43)</f>
        <v/>
      </c>
      <c r="E13" s="12" t="inlineStr">
        <is>
          <t>2</t>
        </is>
      </c>
      <c r="F13" s="9">
        <f>IF(E13=0,"-",ROUNDUP(D13*E13/640,0))</f>
        <v/>
      </c>
    </row>
    <row r="14">
      <c r="A14" s="9" t="n">
        <v>5</v>
      </c>
      <c r="B14" s="10" t="inlineStr">
        <is>
          <t>เสากุญแจบานตาย</t>
        </is>
      </c>
      <c r="C14" s="9" t="inlineStr">
        <is>
          <t>B20051</t>
        </is>
      </c>
      <c r="D14" s="11">
        <f>B4-IF(B5="3รางเสียบ",$F$42,$F$43)</f>
        <v/>
      </c>
      <c r="E14" s="12" t="inlineStr">
        <is>
          <t>2</t>
        </is>
      </c>
      <c r="F14" s="9">
        <f>IF(E14=0,"-",ROUNDUP(D14*E14/640,0))</f>
        <v/>
      </c>
    </row>
    <row r="15">
      <c r="A15" s="9" t="n">
        <v>6</v>
      </c>
      <c r="B15" s="10" t="inlineStr">
        <is>
          <t>เสาเกี่ยว</t>
        </is>
      </c>
      <c r="C15" s="9" t="inlineStr">
        <is>
          <t>B20009</t>
        </is>
      </c>
      <c r="D15" s="11">
        <f>B4-IF(B5="3รางเสียบ",$F$42,$F$43)</f>
        <v/>
      </c>
      <c r="E15" s="12">
        <f>IF(B6="มี",2,4)</f>
        <v/>
      </c>
      <c r="F15" s="9">
        <f>IF(E15=0,"-",ROUNDUP(D15*E15/640,0))</f>
        <v/>
      </c>
    </row>
    <row r="16">
      <c r="A16" s="9" t="n">
        <v>7</v>
      </c>
      <c r="B16" s="10" t="inlineStr">
        <is>
          <t>เสาเกี่ยวโหนก</t>
        </is>
      </c>
      <c r="C16" s="9" t="inlineStr">
        <is>
          <t>B20010</t>
        </is>
      </c>
      <c r="D16" s="11">
        <f>B4-IF(B5="3รางเสียบ",$F$42,$F$43)</f>
        <v/>
      </c>
      <c r="E16" s="12">
        <f>IF(B6="มี",2,0)</f>
        <v/>
      </c>
      <c r="F16" s="9">
        <f>IF(E16=0,"-",ROUNDUP(D16*E16/640,0))</f>
        <v/>
      </c>
    </row>
    <row r="17">
      <c r="A17" s="9" t="n">
        <v>8</v>
      </c>
      <c r="B17" s="10" t="inlineStr">
        <is>
          <t>ชนกลาง</t>
        </is>
      </c>
      <c r="C17" s="9" t="inlineStr">
        <is>
          <t>B20046</t>
        </is>
      </c>
      <c r="D17" s="11">
        <f>B4-IF(B5="3รางเสียบ",$F$42,$F$43)</f>
        <v/>
      </c>
      <c r="E17" s="12" t="inlineStr">
        <is>
          <t>1</t>
        </is>
      </c>
      <c r="F17" s="9">
        <f>IF(E17=0,"-",ROUNDUP(D17*E17/640,0))</f>
        <v/>
      </c>
    </row>
    <row r="18">
      <c r="A18" s="9" t="n">
        <v>9</v>
      </c>
      <c r="B18" s="10" t="inlineStr">
        <is>
          <t>ขวางบน</t>
        </is>
      </c>
      <c r="C18" s="9" t="inlineStr">
        <is>
          <t>B20054</t>
        </is>
      </c>
      <c r="D18" s="11">
        <f>(B3-$F$48)/$F$49</f>
        <v/>
      </c>
      <c r="E18" s="12" t="inlineStr">
        <is>
          <t>4</t>
        </is>
      </c>
      <c r="F18" s="9">
        <f>IF(E18=0,"-",ROUNDUP(D18*E18/640,0))</f>
        <v/>
      </c>
    </row>
    <row r="19">
      <c r="A19" s="9" t="n">
        <v>10</v>
      </c>
      <c r="B19" s="10" t="inlineStr">
        <is>
          <t>ขวางล่าง</t>
        </is>
      </c>
      <c r="C19" s="9" t="inlineStr">
        <is>
          <t>B20054</t>
        </is>
      </c>
      <c r="D19" s="11">
        <f>(B3-$F$48)/$F$49</f>
        <v/>
      </c>
      <c r="E19" s="12" t="inlineStr">
        <is>
          <t>4</t>
        </is>
      </c>
      <c r="F19" s="9">
        <f>IF(E19=0,"-",ROUNDUP(D19*E19/640,0))</f>
        <v/>
      </c>
    </row>
    <row r="20">
      <c r="A20" s="9" t="n">
        <v>11</v>
      </c>
      <c r="B20" s="10" t="inlineStr">
        <is>
          <t>ฝาปิดเฟรมข้าง</t>
        </is>
      </c>
      <c r="C20" s="9" t="inlineStr">
        <is>
          <t>B20019</t>
        </is>
      </c>
      <c r="D20" s="11">
        <f>B4-IF(B5="3รางเสียบ",$F$44,$F$45)</f>
        <v/>
      </c>
      <c r="E20" s="12" t="inlineStr">
        <is>
          <t>4</t>
        </is>
      </c>
      <c r="F20" s="9">
        <f>IF(E20=0,"-",ROUNDUP(D20*E20/640,0))</f>
        <v/>
      </c>
    </row>
    <row r="21">
      <c r="A21" s="9" t="n">
        <v>12</v>
      </c>
      <c r="B21" s="10" t="inlineStr">
        <is>
          <t>ตบเฟรมบน/ล่าง ร่องใน</t>
        </is>
      </c>
      <c r="C21" s="9" t="inlineStr">
        <is>
          <t>-</t>
        </is>
      </c>
      <c r="D21" s="11">
        <f>B3-$F$46</f>
        <v/>
      </c>
      <c r="E21" s="12" t="inlineStr">
        <is>
          <t>2</t>
        </is>
      </c>
      <c r="F21" s="9">
        <f>IF(E21=0,"-",ROUNDUP(D21*E21/640,0))</f>
        <v/>
      </c>
    </row>
    <row r="22">
      <c r="A22" s="9" t="n">
        <v>13</v>
      </c>
      <c r="B22" s="10" t="inlineStr">
        <is>
          <t>ตบเฟรมบน/ล่าง ร่องกลาง</t>
        </is>
      </c>
      <c r="C22" s="9" t="inlineStr">
        <is>
          <t>-</t>
        </is>
      </c>
      <c r="D22" s="11">
        <f>D11-2*(D19+9.7)</f>
        <v/>
      </c>
      <c r="E22" s="12" t="inlineStr">
        <is>
          <t>2</t>
        </is>
      </c>
      <c r="F22" s="9" t="inlineStr">
        <is>
          <t>เฟรมบน − 2×(ขวางล่าง+9.7)</t>
        </is>
      </c>
    </row>
    <row r="23">
      <c r="A23" s="9" t="n">
        <v>14</v>
      </c>
      <c r="B23" s="10" t="inlineStr">
        <is>
          <t>เบรคบาน ธรณี</t>
        </is>
      </c>
      <c r="C23" s="9" t="inlineStr">
        <is>
          <t>B20050</t>
        </is>
      </c>
      <c r="D23" s="11">
        <f>B3-$F$41</f>
        <v/>
      </c>
      <c r="E23" s="12">
        <f>IF(B5="รางเตี้ย7มม",2,0)</f>
        <v/>
      </c>
      <c r="F23" s="9">
        <f>IF(E23=0,"-",ROUNDUP(D23*E23/640,0))</f>
        <v/>
      </c>
    </row>
    <row r="40">
      <c r="A40" s="2" t="inlineStr">
        <is>
          <t>⑦ แผงค่าหัก (จากชีทเดิม+แก้เตี้ย2.3 · เหลือง)</t>
        </is>
      </c>
      <c r="B40" s="3" t="n"/>
      <c r="C40" s="3" t="n"/>
      <c r="D40" s="3" t="n"/>
      <c r="E40" s="3" t="n"/>
      <c r="F40" s="4" t="n"/>
    </row>
    <row r="41">
      <c r="B41" s="10" t="inlineStr">
        <is>
          <t>เฟรม (2.2×2)</t>
        </is>
      </c>
      <c r="F41" s="15" t="n">
        <v>4.4</v>
      </c>
    </row>
    <row r="42">
      <c r="B42" s="10" t="inlineStr">
        <is>
          <t>เสากุญแจ เสียบ (6.1)</t>
        </is>
      </c>
      <c r="F42" s="15" t="n">
        <v>6.1</v>
      </c>
    </row>
    <row r="43">
      <c r="B43" s="10" t="inlineStr">
        <is>
          <t>เสากุญแจ เตี้ย (3.2)</t>
        </is>
      </c>
      <c r="F43" s="15" t="n">
        <v>3.2</v>
      </c>
    </row>
    <row r="44">
      <c r="B44" s="10" t="inlineStr">
        <is>
          <t>ฝาปิดข้าง เสียบ (5)</t>
        </is>
      </c>
      <c r="F44" s="15" t="n">
        <v>5</v>
      </c>
    </row>
    <row r="45">
      <c r="B45" s="10" t="inlineStr">
        <is>
          <t>ฝาปิดข้าง เตี้ย (2.3)</t>
        </is>
      </c>
      <c r="F45" s="15" t="n">
        <v>2.3</v>
      </c>
    </row>
    <row r="46">
      <c r="B46" s="10" t="inlineStr">
        <is>
          <t>ตบร่องใน (3.5×2)</t>
        </is>
      </c>
      <c r="F46" s="15" t="n">
        <v>7</v>
      </c>
    </row>
    <row r="47">
      <c r="B47" s="10" t="inlineStr">
        <is>
          <t>ตบร่องกลาง +เพิ่ม (11.5)</t>
        </is>
      </c>
      <c r="F47" s="15" t="n">
        <v>11.5</v>
      </c>
    </row>
    <row r="48">
      <c r="B48" s="10" t="inlineStr">
        <is>
          <t>ขวางบน หัก (35.3)</t>
        </is>
      </c>
      <c r="F48" s="15" t="n">
        <v>35.3</v>
      </c>
    </row>
    <row r="49">
      <c r="B49" s="10" t="inlineStr">
        <is>
          <t>ขวางบน หาร (4)</t>
        </is>
      </c>
      <c r="F49" s="15" t="n">
        <v>4</v>
      </c>
    </row>
  </sheetData>
  <mergeCells count="4">
    <mergeCell ref="A8:F8"/>
    <mergeCell ref="A2:F2"/>
    <mergeCell ref="A1:F1"/>
    <mergeCell ref="A40:F40"/>
  </mergeCells>
  <dataValidations count="2">
    <dataValidation sqref="B5" showDropDown="0" showInputMessage="0" showErrorMessage="0" allowBlank="0" type="list">
      <formula1>"3รางเสียบ,รางเตี้ย7มม"</formula1>
    </dataValidation>
    <dataValidation sqref="B6" showDropDown="0" showInputMessage="0" showErrorMessage="0" allowBlank="0" type="list">
      <formula1>"ไม่มี,มี"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JR — ใบตัด SMS ลากจูง (บานลากกองข้างเดียว · รวมราง+โหนก) · ซม.</t>
        </is>
      </c>
      <c r="B1" s="3" t="n"/>
      <c r="C1" s="3" t="n"/>
      <c r="D1" s="3" t="n"/>
      <c r="E1" s="3" t="n"/>
      <c r="F1" s="4" t="n"/>
    </row>
    <row r="2">
      <c r="A2" s="2" t="inlineStr">
        <is>
          <t>① กรอก (เหลือง)</t>
        </is>
      </c>
      <c r="B2" s="3" t="n"/>
      <c r="C2" s="3" t="n"/>
      <c r="D2" s="3" t="n"/>
      <c r="E2" s="3" t="n"/>
      <c r="F2" s="4" t="n"/>
    </row>
    <row r="3">
      <c r="A3" s="5" t="inlineStr">
        <is>
          <t>กว้างช่อง W →</t>
        </is>
      </c>
      <c r="B3" s="6" t="n">
        <v>200</v>
      </c>
      <c r="D3" t="inlineStr">
        <is>
          <t>N=3 ลากจูง · N=2 เลื่อนเดี่ยว</t>
        </is>
      </c>
    </row>
    <row r="4">
      <c r="A4" s="5" t="inlineStr">
        <is>
          <t>สูงช่อง H →</t>
        </is>
      </c>
      <c r="B4" s="6" t="n">
        <v>240</v>
      </c>
      <c r="D4" s="16" t="inlineStr">
        <is>
          <t>ขวางบน =(W−4.2N−11.2)/N</t>
        </is>
      </c>
      <c r="E4" s="17">
        <f>(B3-$F$46*B7-$F$47)/B7</f>
        <v/>
      </c>
    </row>
    <row r="5">
      <c r="A5" s="5" t="inlineStr">
        <is>
          <t>ราง →</t>
        </is>
      </c>
      <c r="B5" s="6" t="inlineStr">
        <is>
          <t>3รางเสียบ</t>
        </is>
      </c>
    </row>
    <row r="6">
      <c r="A6" s="5" t="inlineStr">
        <is>
          <t>โหนก →</t>
        </is>
      </c>
      <c r="B6" s="6" t="inlineStr">
        <is>
          <t>ไม่มี</t>
        </is>
      </c>
    </row>
    <row r="7">
      <c r="A7" s="5" t="inlineStr">
        <is>
          <t>จำนวนบาน N →</t>
        </is>
      </c>
      <c r="B7" s="6" t="n">
        <v>3</v>
      </c>
    </row>
    <row r="9">
      <c r="A9" s="2" t="inlineStr">
        <is>
          <t>④ ใบตัดอลู · ยาว=ฐาน−⑦</t>
        </is>
      </c>
      <c r="B9" s="3" t="n"/>
      <c r="C9" s="3" t="n"/>
      <c r="D9" s="3" t="n"/>
      <c r="E9" s="3" t="n"/>
      <c r="F9" s="4" t="n"/>
    </row>
    <row r="10">
      <c r="A10" s="1" t="inlineStr">
        <is>
          <t>#</t>
        </is>
      </c>
      <c r="B10" s="1" t="inlineStr">
        <is>
          <t>โปรไฟล์</t>
        </is>
      </c>
      <c r="C10" s="1" t="inlineStr">
        <is>
          <t>รหัส</t>
        </is>
      </c>
      <c r="D10" s="1" t="inlineStr">
        <is>
          <t>ยาวตัด (ซม.)</t>
        </is>
      </c>
      <c r="E10" s="1" t="inlineStr">
        <is>
          <t>จำนวน</t>
        </is>
      </c>
      <c r="F10" s="1" t="inlineStr">
        <is>
          <t>เส้น6.4ม.</t>
        </is>
      </c>
    </row>
    <row r="11">
      <c r="A11" s="9" t="n">
        <v>1</v>
      </c>
      <c r="B11" s="10" t="inlineStr">
        <is>
          <t>เฟรมล่าง</t>
        </is>
      </c>
      <c r="C11" s="9">
        <f>IF(B5="3รางเสียบ","B20041","B20046")</f>
        <v/>
      </c>
      <c r="D11" s="11">
        <f>B3-$F$41</f>
        <v/>
      </c>
      <c r="E11" s="12" t="inlineStr">
        <is>
          <t>1</t>
        </is>
      </c>
      <c r="F11" s="9">
        <f>IF(E11=0,"-",ROUNDUP(D11*E11/640,0))</f>
        <v/>
      </c>
    </row>
    <row r="12">
      <c r="A12" s="9" t="n">
        <v>2</v>
      </c>
      <c r="B12" s="10" t="inlineStr">
        <is>
          <t>เฟรมบน</t>
        </is>
      </c>
      <c r="C12" s="9" t="inlineStr">
        <is>
          <t>B20001</t>
        </is>
      </c>
      <c r="D12" s="11">
        <f>B3-$F$41</f>
        <v/>
      </c>
      <c r="E12" s="12" t="inlineStr">
        <is>
          <t>1</t>
        </is>
      </c>
      <c r="F12" s="9">
        <f>IF(E12=0,"-",ROUNDUP(D12*E12/640,0))</f>
        <v/>
      </c>
    </row>
    <row r="13">
      <c r="A13" s="9" t="n">
        <v>3</v>
      </c>
      <c r="B13" s="10" t="inlineStr">
        <is>
          <t>เฟรมข้าง</t>
        </is>
      </c>
      <c r="C13" s="9" t="inlineStr">
        <is>
          <t>B20003</t>
        </is>
      </c>
      <c r="D13" s="11">
        <f>B4</f>
        <v/>
      </c>
      <c r="E13" s="12" t="inlineStr">
        <is>
          <t>2</t>
        </is>
      </c>
      <c r="F13" s="9">
        <f>IF(E13=0,"-",ROUNDUP(D13*E13/640,0))</f>
        <v/>
      </c>
    </row>
    <row r="14">
      <c r="A14" s="9" t="n">
        <v>4</v>
      </c>
      <c r="B14" s="10" t="inlineStr">
        <is>
          <t>เสากุญแจ ML</t>
        </is>
      </c>
      <c r="C14" s="9" t="inlineStr">
        <is>
          <t>20051</t>
        </is>
      </c>
      <c r="D14" s="11">
        <f>B4-IF(B5="3รางเสียบ",$F$42,$F$43)</f>
        <v/>
      </c>
      <c r="E14" s="12" t="inlineStr">
        <is>
          <t>2</t>
        </is>
      </c>
      <c r="F14" s="9">
        <f>IF(E14=0,"-",ROUNDUP(D14*E14/640,0))</f>
        <v/>
      </c>
    </row>
    <row r="15">
      <c r="A15" s="9" t="n">
        <v>5</v>
      </c>
      <c r="B15" s="10" t="inlineStr">
        <is>
          <t>เสาเกี่ยว</t>
        </is>
      </c>
      <c r="C15" s="9" t="inlineStr">
        <is>
          <t>B20009</t>
        </is>
      </c>
      <c r="D15" s="11">
        <f>B4-IF(B5="3รางเสียบ",$F$42,$F$43)</f>
        <v/>
      </c>
      <c r="E15" s="12">
        <f>IF(B6="มี",B7-1,2*(B7-1))</f>
        <v/>
      </c>
      <c r="F15" s="9">
        <f>IF(E15=0,"-",ROUNDUP(D15*E15/640,0))</f>
        <v/>
      </c>
    </row>
    <row r="16">
      <c r="A16" s="9" t="n">
        <v>6</v>
      </c>
      <c r="B16" s="10" t="inlineStr">
        <is>
          <t>เสาเกี่ยวโหนก</t>
        </is>
      </c>
      <c r="C16" s="9" t="inlineStr">
        <is>
          <t>B20010</t>
        </is>
      </c>
      <c r="D16" s="11">
        <f>B4-IF(B5="3รางเสียบ",$F$42,$F$43)</f>
        <v/>
      </c>
      <c r="E16" s="12">
        <f>IF(B6="มี",B7-1,0)</f>
        <v/>
      </c>
      <c r="F16" s="9">
        <f>IF(E16=0,"-",ROUNDUP(D16*E16/640,0))</f>
        <v/>
      </c>
    </row>
    <row r="17">
      <c r="A17" s="9" t="n">
        <v>7</v>
      </c>
      <c r="B17" s="10" t="inlineStr">
        <is>
          <t>ขวางบน</t>
        </is>
      </c>
      <c r="C17" s="9" t="inlineStr">
        <is>
          <t>B20054</t>
        </is>
      </c>
      <c r="D17" s="11">
        <f>(B3-$F$46*B7-$F$47)/B7</f>
        <v/>
      </c>
      <c r="E17" s="12">
        <f>B7</f>
        <v/>
      </c>
      <c r="F17" s="9">
        <f>IF(E17=0,"-",ROUNDUP(D17*E17/640,0))</f>
        <v/>
      </c>
    </row>
    <row r="18">
      <c r="A18" s="9" t="n">
        <v>8</v>
      </c>
      <c r="B18" s="10" t="inlineStr">
        <is>
          <t>ขวางล่าง</t>
        </is>
      </c>
      <c r="C18" s="9" t="inlineStr">
        <is>
          <t>B20054</t>
        </is>
      </c>
      <c r="D18" s="11">
        <f>(B3-$F$46*B7-$F$47)/B7</f>
        <v/>
      </c>
      <c r="E18" s="12">
        <f>B7</f>
        <v/>
      </c>
      <c r="F18" s="9">
        <f>IF(E18=0,"-",ROUNDUP(D18*E18/640,0))</f>
        <v/>
      </c>
    </row>
    <row r="19">
      <c r="A19" s="9" t="n">
        <v>9</v>
      </c>
      <c r="B19" s="10" t="inlineStr">
        <is>
          <t>ฝาปิดเฟรมข้าง</t>
        </is>
      </c>
      <c r="C19" s="9" t="inlineStr">
        <is>
          <t>B20019</t>
        </is>
      </c>
      <c r="D19" s="11">
        <f>B4-IF(B5="3รางเสียบ",$F$44,$F$45)</f>
        <v/>
      </c>
      <c r="E19" s="12" t="inlineStr">
        <is>
          <t>4</t>
        </is>
      </c>
      <c r="F19" s="9">
        <f>IF(E19=0,"-",ROUNDUP(D19*E19/640,0))</f>
        <v/>
      </c>
    </row>
    <row r="20">
      <c r="A20" s="9" t="n">
        <v>10</v>
      </c>
      <c r="B20" s="10" t="inlineStr">
        <is>
          <t>ตบร่องบานเลื่อน</t>
        </is>
      </c>
      <c r="C20" s="9" t="inlineStr">
        <is>
          <t>-</t>
        </is>
      </c>
      <c r="D20" s="11">
        <f>E4+$F$48</f>
        <v/>
      </c>
      <c r="E20" s="12" t="inlineStr">
        <is>
          <t>2</t>
        </is>
      </c>
      <c r="F20" s="9">
        <f>IF(E20=0,"-",ROUNDUP(D20*E20/640,0))</f>
        <v/>
      </c>
    </row>
    <row r="21">
      <c r="A21" s="9" t="n">
        <v>11</v>
      </c>
      <c r="B21" s="10" t="inlineStr">
        <is>
          <t>ตบร่องบานตาย</t>
        </is>
      </c>
      <c r="C21" s="9" t="inlineStr">
        <is>
          <t>-</t>
        </is>
      </c>
      <c r="D21" s="11">
        <f>(B3-$F$41)-E4-$F$49</f>
        <v/>
      </c>
      <c r="E21" s="12" t="inlineStr">
        <is>
          <t>2</t>
        </is>
      </c>
      <c r="F21" s="9">
        <f>IF(E21=0,"-",ROUNDUP(D21*E21/640,0))</f>
        <v/>
      </c>
    </row>
    <row r="22">
      <c r="A22" s="9" t="n">
        <v>12</v>
      </c>
      <c r="B22" s="10" t="inlineStr">
        <is>
          <t>เบรคบาน ธรณี</t>
        </is>
      </c>
      <c r="C22" s="9" t="inlineStr">
        <is>
          <t>B20050</t>
        </is>
      </c>
      <c r="D22" s="11">
        <f>B3-$F$41</f>
        <v/>
      </c>
      <c r="E22" s="12">
        <f>IF(B5="รางเตี้ย7มม",2,0)</f>
        <v/>
      </c>
      <c r="F22" s="9">
        <f>IF(E22=0,"-",ROUNDUP(D22*E22/640,0))</f>
        <v/>
      </c>
    </row>
    <row r="40">
      <c r="A40" s="2" t="inlineStr">
        <is>
          <t>⑦ แผงค่าหัก (เหลือง)</t>
        </is>
      </c>
      <c r="B40" s="3" t="n"/>
      <c r="C40" s="3" t="n"/>
      <c r="D40" s="3" t="n"/>
      <c r="E40" s="3" t="n"/>
      <c r="F40" s="4" t="n"/>
    </row>
    <row r="41">
      <c r="B41" s="10" t="inlineStr">
        <is>
          <t>เฟรม (2.2×2)</t>
        </is>
      </c>
      <c r="F41" s="15" t="n">
        <v>4.4</v>
      </c>
    </row>
    <row r="42">
      <c r="B42" s="10" t="inlineStr">
        <is>
          <t>เสากุญแจ เสียบ (6.1)</t>
        </is>
      </c>
      <c r="F42" s="15" t="n">
        <v>6.1</v>
      </c>
    </row>
    <row r="43">
      <c r="B43" s="10" t="inlineStr">
        <is>
          <t>เสากุญแจ เตี้ย (3)</t>
        </is>
      </c>
      <c r="F43" s="15" t="n">
        <v>3</v>
      </c>
    </row>
    <row r="44">
      <c r="B44" s="10" t="inlineStr">
        <is>
          <t>ฝาปิดข้าง เสียบ (5)</t>
        </is>
      </c>
      <c r="F44" s="15" t="n">
        <v>5</v>
      </c>
    </row>
    <row r="45">
      <c r="B45" s="10" t="inlineStr">
        <is>
          <t>ฝาปิดข้าง เตี้ย (2.3)</t>
        </is>
      </c>
      <c r="F45" s="15" t="n">
        <v>2.3</v>
      </c>
    </row>
    <row r="46">
      <c r="B46" s="10" t="inlineStr">
        <is>
          <t>ขวางบน สปส.N (4.2)</t>
        </is>
      </c>
      <c r="F46" s="15" t="n">
        <v>4.2</v>
      </c>
    </row>
    <row r="47">
      <c r="B47" s="10" t="inlineStr">
        <is>
          <t>ขวางบน คงที่ (11.2)</t>
        </is>
      </c>
      <c r="F47" s="15" t="n">
        <v>11.2</v>
      </c>
    </row>
    <row r="48">
      <c r="B48" s="10" t="inlineStr">
        <is>
          <t>ตบร่องเลื่อน +4.7</t>
        </is>
      </c>
      <c r="F48" s="15" t="n">
        <v>4.7</v>
      </c>
    </row>
    <row r="49">
      <c r="B49" s="10" t="inlineStr">
        <is>
          <t>ตบร่องตาย −11</t>
        </is>
      </c>
      <c r="F49" s="15" t="n">
        <v>11</v>
      </c>
    </row>
  </sheetData>
  <mergeCells count="4">
    <mergeCell ref="A2:F2"/>
    <mergeCell ref="A1:F1"/>
    <mergeCell ref="A9:F9"/>
    <mergeCell ref="A40:F40"/>
  </mergeCells>
  <dataValidations count="2">
    <dataValidation sqref="B5" showDropDown="0" showInputMessage="0" showErrorMessage="0" allowBlank="0" type="list">
      <formula1>"3รางเสียบ,รางเตี้ย7มม"</formula1>
    </dataValidation>
    <dataValidation sqref="B6" showDropDown="0" showInputMessage="0" showErrorMessage="0" allowBlank="0" type="list">
      <formula1>"ไม่มี,มี"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2026-07-07T02:39:00Z</dcterms:created>
  <dcterms:modified xmlns:dcterms="http://purl.org/dc/terms/" xmlns:xsi="http://www.w3.org/2001/XMLSchema-instance" xsi:type="dcterms:W3CDTF">2026-07-07T10:16:32Z</dcterms:modified>
</cp:coreProperties>
</file>