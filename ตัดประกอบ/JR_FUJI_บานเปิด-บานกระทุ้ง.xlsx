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ประตูเดี่ยว มีธรณี" sheetId="2" state="visible" r:id="rId2"/>
    <sheet xmlns:r="http://schemas.openxmlformats.org/officeDocument/2006/relationships" name="ประตูเดี่ยว ไม่มีธรณี" sheetId="3" state="visible" r:id="rId3"/>
    <sheet xmlns:r="http://schemas.openxmlformats.org/officeDocument/2006/relationships" name="ประตูคู่ มีธรณี" sheetId="4" state="visible" r:id="rId4"/>
    <sheet xmlns:r="http://schemas.openxmlformats.org/officeDocument/2006/relationships" name="ประตูคู่ ไม่มีธรณี" sheetId="5" state="visible" r:id="rId5"/>
    <sheet xmlns:r="http://schemas.openxmlformats.org/officeDocument/2006/relationships" name="ประตูคู่+ช่องแสงข้าง มีธรณี" sheetId="6" state="visible" r:id="rId6"/>
    <sheet xmlns:r="http://schemas.openxmlformats.org/officeDocument/2006/relationships" name="ประตูคู่+ช่องแสงข้าง ไม่มีธรณี" sheetId="7" state="visible" r:id="rId7"/>
    <sheet xmlns:r="http://schemas.openxmlformats.org/officeDocument/2006/relationships" name="บานเปิด" sheetId="8" state="visible" r:id="rId8"/>
    <sheet xmlns:r="http://schemas.openxmlformats.org/officeDocument/2006/relationships" name="บานเปิดคู่" sheetId="9" state="visible" r:id="rId9"/>
    <sheet xmlns:r="http://schemas.openxmlformats.org/officeDocument/2006/relationships" name="บานเปิด+มุ้ง" sheetId="10" state="visible" r:id="rId10"/>
    <sheet xmlns:r="http://schemas.openxmlformats.org/officeDocument/2006/relationships" name="บานเปิด+ช่องแสงล่าง" sheetId="11" state="visible" r:id="rId11"/>
    <sheet xmlns:r="http://schemas.openxmlformats.org/officeDocument/2006/relationships" name="บานเปิดคู่+ช่องแสงล่าง" sheetId="12" state="visible" r:id="rId12"/>
    <sheet xmlns:r="http://schemas.openxmlformats.org/officeDocument/2006/relationships" name="Fix1" sheetId="13" state="visible" r:id="rId13"/>
    <sheet xmlns:r="http://schemas.openxmlformats.org/officeDocument/2006/relationships" name="Fix2" sheetId="14" state="visible" r:id="rId14"/>
    <sheet xmlns:r="http://schemas.openxmlformats.org/officeDocument/2006/relationships" name="Fix3" sheetId="15" state="visible" r:id="rId15"/>
    <sheet xmlns:r="http://schemas.openxmlformats.org/officeDocument/2006/relationships" name="Fix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\ &quot;mm&quot;"/>
    <numFmt numFmtId="165" formatCode="#,##0\ &quot;mm&quot;"/>
    <numFmt numFmtId="166" formatCode="0.0"/>
  </numFmts>
  <fonts count="31">
    <font>
      <name val="Calibri"/>
      <family val="2"/>
      <color theme="1"/>
      <sz val="11"/>
      <scheme val="minor"/>
    </font>
    <font>
      <name val="Tahoma"/>
      <b val="1"/>
      <color rgb="001F4E78"/>
      <sz val="12"/>
    </font>
    <font>
      <name val="Microsoft Sans Serif"/>
      <family val="2"/>
      <b val="1"/>
      <color theme="1"/>
      <sz val="22"/>
    </font>
    <font>
      <name val="Microsoft Sans Serif"/>
      <family val="2"/>
      <color theme="1"/>
      <sz val="11"/>
    </font>
    <font>
      <name val="Microsoft Sans Serif"/>
      <family val="2"/>
      <b val="1"/>
      <color theme="1"/>
      <sz val="16"/>
    </font>
    <font>
      <name val="Microsoft Sans Serif"/>
      <family val="2"/>
      <color theme="1"/>
      <sz val="12"/>
    </font>
    <font>
      <name val="Microsoft Sans Serif"/>
      <family val="2"/>
      <color theme="1"/>
      <sz val="16"/>
    </font>
    <font>
      <name val="Tahoma"/>
      <charset val="222"/>
      <family val="2"/>
      <color theme="1"/>
      <sz val="11"/>
      <scheme val="minor"/>
    </font>
    <font>
      <name val="Microsoft Sans Serif"/>
      <family val="2"/>
      <color theme="1"/>
      <sz val="18"/>
    </font>
    <font>
      <name val="Microsoft Sans Serif"/>
      <family val="2"/>
      <color theme="1"/>
      <sz val="14"/>
    </font>
    <font>
      <name val="Microsoft Sans Serif"/>
      <family val="2"/>
      <sz val="16"/>
    </font>
    <font>
      <name val="Tahoma"/>
      <charset val="222"/>
      <family val="2"/>
      <sz val="11"/>
      <scheme val="minor"/>
    </font>
    <font>
      <name val="Tahoma"/>
      <charset val="222"/>
      <family val="2"/>
      <color theme="1"/>
      <sz val="18"/>
      <scheme val="minor"/>
    </font>
    <font>
      <name val="Tahoma"/>
      <b val="1"/>
      <color rgb="00C00000"/>
      <sz val="9"/>
    </font>
    <font>
      <name val="Tahoma"/>
      <b val="1"/>
      <color rgb="00FFFFFF"/>
      <sz val="11"/>
    </font>
    <font>
      <name val="Tahoma"/>
      <b val="1"/>
      <color rgb="00FFFFFF"/>
    </font>
    <font>
      <name val="Tahoma"/>
      <sz val="10"/>
    </font>
    <font>
      <name val="Tahoma"/>
      <b val="1"/>
      <sz val="10"/>
    </font>
    <font>
      <name val="Microsoft Sans Serif"/>
      <family val="2"/>
      <color theme="1"/>
      <sz val="36"/>
    </font>
    <font>
      <name val="Microsoft Sans Serif"/>
      <family val="2"/>
      <color theme="1"/>
      <sz val="20"/>
    </font>
    <font>
      <name val="Tahoma"/>
      <charset val="222"/>
      <family val="2"/>
      <sz val="20"/>
      <scheme val="minor"/>
    </font>
    <font>
      <name val="Tahoma"/>
      <charset val="222"/>
      <family val="2"/>
      <color theme="1"/>
      <sz val="20"/>
      <scheme val="minor"/>
    </font>
    <font>
      <name val="Tahoma"/>
      <charset val="222"/>
      <family val="2"/>
      <color theme="1"/>
      <sz val="16"/>
      <scheme val="minor"/>
    </font>
    <font>
      <name val="Microsoft Sans Serif"/>
      <family val="2"/>
      <color theme="1"/>
      <sz val="24"/>
    </font>
    <font>
      <name val="Tahoma"/>
      <family val="2"/>
      <color theme="1"/>
      <sz val="24"/>
      <scheme val="major"/>
    </font>
    <font>
      <name val="Tahoma"/>
      <b val="1"/>
      <color rgb="00C00000"/>
      <sz val="11"/>
    </font>
    <font>
      <name val="Tahoma"/>
      <b val="1"/>
      <sz val="11"/>
    </font>
    <font>
      <name val="Tahoma"/>
      <i val="1"/>
      <color rgb="00808080"/>
      <sz val="8"/>
    </font>
    <font>
      <name val="Tahoma"/>
    </font>
    <font>
      <name val="Tahoma"/>
      <b val="1"/>
    </font>
    <font>
      <name val="Tahoma"/>
      <i val="1"/>
      <sz val="9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7F77DD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8" fillId="3" borderId="9" applyAlignment="1" pivotButton="0" quotePrefix="0" xfId="0">
      <alignment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vertical="center"/>
    </xf>
    <xf numFmtId="0" fontId="6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6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16" applyAlignment="1" pivotButton="0" quotePrefix="0" xfId="0">
      <alignment horizontal="center" vertical="center"/>
    </xf>
    <xf numFmtId="0" fontId="8" fillId="2" borderId="17" applyAlignment="1" pivotButton="0" quotePrefix="0" xfId="0">
      <alignment vertical="center"/>
    </xf>
    <xf numFmtId="0" fontId="8" fillId="2" borderId="7" applyAlignment="1" pivotButton="0" quotePrefix="0" xfId="0">
      <alignment horizontal="center" vertical="center"/>
    </xf>
    <xf numFmtId="0" fontId="8" fillId="2" borderId="18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6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6" fillId="0" borderId="22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165" fontId="9" fillId="2" borderId="18" applyAlignment="1" pivotButton="0" quotePrefix="0" xfId="0">
      <alignment vertical="center"/>
    </xf>
    <xf numFmtId="0" fontId="10" fillId="2" borderId="24" applyAlignment="1" pivotButton="0" quotePrefix="0" xfId="0">
      <alignment horizontal="center" vertical="center" wrapText="1"/>
    </xf>
    <xf numFmtId="0" fontId="10" fillId="2" borderId="25" applyAlignment="1" pivotButton="0" quotePrefix="0" xfId="0">
      <alignment horizontal="center" vertical="center" wrapText="1"/>
    </xf>
    <xf numFmtId="0" fontId="10" fillId="2" borderId="26" applyAlignment="1" pivotButton="0" quotePrefix="0" xfId="0">
      <alignment horizontal="center" vertical="center"/>
    </xf>
    <xf numFmtId="0" fontId="10" fillId="2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1" fontId="6" fillId="5" borderId="27" applyAlignment="1" pivotButton="0" quotePrefix="0" xfId="0">
      <alignment horizontal="center" vertical="center"/>
    </xf>
    <xf numFmtId="1" fontId="6" fillId="5" borderId="26" applyAlignment="1" pivotButton="0" quotePrefix="0" xfId="0">
      <alignment horizontal="center" vertical="center"/>
    </xf>
    <xf numFmtId="0" fontId="10" fillId="6" borderId="28" applyAlignment="1" pivotButton="0" quotePrefix="0" xfId="0">
      <alignment horizontal="center" vertical="center"/>
    </xf>
    <xf numFmtId="0" fontId="10" fillId="6" borderId="25" applyAlignment="1" pivotButton="0" quotePrefix="0" xfId="0">
      <alignment horizontal="center" vertical="center"/>
    </xf>
    <xf numFmtId="0" fontId="10" fillId="6" borderId="26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166" fontId="8" fillId="0" borderId="33" applyAlignment="1" pivotButton="0" quotePrefix="0" xfId="0">
      <alignment horizontal="center" vertical="center"/>
    </xf>
    <xf numFmtId="1" fontId="8" fillId="7" borderId="33" applyAlignment="1" pivotButton="0" quotePrefix="0" xfId="0">
      <alignment horizontal="center" vertical="center"/>
    </xf>
    <xf numFmtId="1" fontId="8" fillId="7" borderId="30" applyAlignment="1" pivotButton="0" quotePrefix="0" xfId="0">
      <alignment horizontal="center" vertical="center"/>
    </xf>
    <xf numFmtId="0" fontId="8" fillId="7" borderId="31" applyAlignment="1" pivotButton="0" quotePrefix="0" xfId="0">
      <alignment horizontal="center" vertical="center"/>
    </xf>
    <xf numFmtId="166" fontId="8" fillId="8" borderId="33" applyAlignment="1" pivotButton="0" quotePrefix="0" xfId="0">
      <alignment horizontal="center" vertical="center"/>
    </xf>
    <xf numFmtId="0" fontId="8" fillId="8" borderId="3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7" fillId="0" borderId="6" pivotButton="0" quotePrefix="0" xfId="0"/>
    <xf numFmtId="0" fontId="7" fillId="0" borderId="0" applyAlignment="1" pivotButton="0" quotePrefix="0" xfId="0">
      <alignment horizontal="center"/>
    </xf>
    <xf numFmtId="0" fontId="14" fillId="9" borderId="40" pivotButton="0" quotePrefix="0" xfId="0"/>
    <xf numFmtId="0" fontId="0" fillId="9" borderId="40" pivotButton="0" quotePrefix="0" xfId="0"/>
    <xf numFmtId="0" fontId="15" fillId="10" borderId="40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16" fillId="0" borderId="40" pivotButton="0" quotePrefix="0" xfId="0"/>
    <xf numFmtId="0" fontId="16" fillId="0" borderId="40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left" vertical="center" wrapText="1"/>
    </xf>
    <xf numFmtId="0" fontId="0" fillId="0" borderId="40" pivotButton="0" quotePrefix="0" xfId="0"/>
    <xf numFmtId="0" fontId="17" fillId="11" borderId="40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4" fontId="18" fillId="2" borderId="0" applyAlignment="1" pivotButton="0" quotePrefix="0" xfId="0">
      <alignment vertical="center"/>
    </xf>
    <xf numFmtId="164" fontId="5" fillId="2" borderId="0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4" borderId="41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10" fillId="12" borderId="26" applyAlignment="1" pivotButton="0" quotePrefix="0" xfId="0">
      <alignment horizontal="center" vertical="center"/>
    </xf>
    <xf numFmtId="0" fontId="8" fillId="12" borderId="31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6" fillId="0" borderId="42" applyAlignment="1" pivotButton="0" quotePrefix="0" xfId="0">
      <alignment horizontal="center" vertical="top" wrapText="1"/>
    </xf>
    <xf numFmtId="0" fontId="8" fillId="3" borderId="10" applyAlignment="1" pivotButton="0" quotePrefix="0" xfId="0">
      <alignment vertical="center"/>
    </xf>
    <xf numFmtId="0" fontId="10" fillId="2" borderId="25" applyAlignment="1" pivotButton="0" quotePrefix="0" xfId="0">
      <alignment horizontal="center" vertical="center"/>
    </xf>
    <xf numFmtId="0" fontId="10" fillId="12" borderId="25" applyAlignment="1" pivotButton="0" quotePrefix="0" xfId="0">
      <alignment horizontal="center" vertical="center"/>
    </xf>
    <xf numFmtId="0" fontId="19" fillId="0" borderId="29" applyAlignment="1" pivotButton="0" quotePrefix="0" xfId="0">
      <alignment horizontal="center" vertical="center"/>
    </xf>
    <xf numFmtId="0" fontId="19" fillId="0" borderId="30" applyAlignment="1" pivotButton="0" quotePrefix="0" xfId="0">
      <alignment horizontal="center" vertical="center"/>
    </xf>
    <xf numFmtId="0" fontId="19" fillId="12" borderId="30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166" fontId="19" fillId="0" borderId="33" applyAlignment="1" pivotButton="0" quotePrefix="0" xfId="0">
      <alignment horizontal="center" vertical="center"/>
    </xf>
    <xf numFmtId="1" fontId="19" fillId="7" borderId="33" applyAlignment="1" pivotButton="0" quotePrefix="0" xfId="0">
      <alignment horizontal="center" vertical="center"/>
    </xf>
    <xf numFmtId="1" fontId="19" fillId="7" borderId="30" applyAlignment="1" pivotButton="0" quotePrefix="0" xfId="0">
      <alignment horizontal="center" vertical="center"/>
    </xf>
    <xf numFmtId="0" fontId="19" fillId="7" borderId="31" applyAlignment="1" pivotButton="0" quotePrefix="0" xfId="0">
      <alignment horizontal="center" vertical="center"/>
    </xf>
    <xf numFmtId="166" fontId="19" fillId="8" borderId="33" applyAlignment="1" pivotButton="0" quotePrefix="0" xfId="0">
      <alignment horizontal="center" vertical="center"/>
    </xf>
    <xf numFmtId="0" fontId="19" fillId="8" borderId="31" applyAlignment="1" pivotButton="0" quotePrefix="0" xfId="0">
      <alignment horizontal="center" vertical="center"/>
    </xf>
    <xf numFmtId="0" fontId="20" fillId="0" borderId="0" pivotButton="0" quotePrefix="0" xfId="0"/>
    <xf numFmtId="166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4" fontId="5" fillId="13" borderId="0" applyAlignment="1" pivotButton="0" quotePrefix="0" xfId="0">
      <alignment vertical="center"/>
    </xf>
    <xf numFmtId="0" fontId="3" fillId="14" borderId="0" pivotButton="0" quotePrefix="0" xfId="0"/>
    <xf numFmtId="0" fontId="8" fillId="13" borderId="29" applyAlignment="1" pivotButton="0" quotePrefix="0" xfId="0">
      <alignment horizontal="center" vertical="center"/>
    </xf>
    <xf numFmtId="0" fontId="8" fillId="14" borderId="29" applyAlignment="1" pivotButton="0" quotePrefix="0" xfId="0">
      <alignment horizontal="center" vertical="center"/>
    </xf>
    <xf numFmtId="0" fontId="3" fillId="13" borderId="0" applyAlignment="1" pivotButton="0" quotePrefix="0" xfId="0">
      <alignment horizontal="right"/>
    </xf>
    <xf numFmtId="166" fontId="6" fillId="0" borderId="33" applyAlignment="1" pivotButton="0" quotePrefix="0" xfId="0">
      <alignment horizontal="center" vertical="center"/>
    </xf>
    <xf numFmtId="1" fontId="6" fillId="7" borderId="33" applyAlignment="1" pivotButton="0" quotePrefix="0" xfId="0">
      <alignment horizontal="center" vertical="center"/>
    </xf>
    <xf numFmtId="1" fontId="6" fillId="7" borderId="30" applyAlignment="1" pivotButton="0" quotePrefix="0" xfId="0">
      <alignment horizontal="center" vertical="center"/>
    </xf>
    <xf numFmtId="0" fontId="6" fillId="7" borderId="31" applyAlignment="1" pivotButton="0" quotePrefix="0" xfId="0">
      <alignment horizontal="center" vertical="center"/>
    </xf>
    <xf numFmtId="0" fontId="6" fillId="13" borderId="29" applyAlignment="1" pivotButton="0" quotePrefix="0" xfId="0">
      <alignment horizontal="center" vertical="center"/>
    </xf>
    <xf numFmtId="166" fontId="6" fillId="8" borderId="33" applyAlignment="1" pivotButton="0" quotePrefix="0" xfId="0">
      <alignment horizontal="center" vertical="center"/>
    </xf>
    <xf numFmtId="0" fontId="6" fillId="8" borderId="31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164" fontId="19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center" vertical="center"/>
    </xf>
    <xf numFmtId="0" fontId="0" fillId="0" borderId="34" pivotButton="0" quotePrefix="0" xfId="0"/>
    <xf numFmtId="0" fontId="8" fillId="0" borderId="13" applyAlignment="1" pivotButton="0" quotePrefix="0" xfId="0">
      <alignment horizontal="center" vertical="center"/>
    </xf>
    <xf numFmtId="0" fontId="10" fillId="2" borderId="43" applyAlignment="1" pivotButton="0" quotePrefix="0" xfId="0">
      <alignment horizontal="center" vertical="center" wrapText="1"/>
    </xf>
    <xf numFmtId="0" fontId="10" fillId="15" borderId="43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6" fillId="15" borderId="44" applyAlignment="1" pivotButton="0" quotePrefix="0" xfId="0">
      <alignment horizontal="center" vertical="center"/>
    </xf>
    <xf numFmtId="0" fontId="6" fillId="0" borderId="42" applyAlignment="1" pivotButton="0" quotePrefix="0" xfId="0">
      <alignment vertical="center" wrapText="1"/>
    </xf>
    <xf numFmtId="164" fontId="5" fillId="8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4" fontId="23" fillId="2" borderId="0" applyAlignment="1" pivotButton="0" quotePrefix="0" xfId="0">
      <alignment vertical="center"/>
    </xf>
    <xf numFmtId="0" fontId="6" fillId="8" borderId="29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6" fillId="13" borderId="30" applyAlignment="1" pivotButton="0" quotePrefix="0" xfId="0">
      <alignment horizontal="center" vertical="center"/>
    </xf>
    <xf numFmtId="0" fontId="6" fillId="13" borderId="31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8" applyAlignment="1" pivotButton="0" quotePrefix="0" xfId="0">
      <alignment vertical="center"/>
    </xf>
    <xf numFmtId="164" fontId="25" fillId="0" borderId="0" applyAlignment="1" pivotButton="0" quotePrefix="0" xfId="0">
      <alignment vertical="center"/>
    </xf>
    <xf numFmtId="164" fontId="26" fillId="11" borderId="40" applyAlignment="1" pivotButton="0" quotePrefix="0" xfId="0">
      <alignment horizontal="center" vertical="center"/>
    </xf>
    <xf numFmtId="164" fontId="27" fillId="0" borderId="0" applyAlignment="1" pivotButton="0" quotePrefix="0" xfId="0">
      <alignment vertical="center"/>
    </xf>
    <xf numFmtId="0" fontId="15" fillId="10" borderId="45" applyAlignment="1" pivotButton="0" quotePrefix="0" xfId="0">
      <alignment horizontal="left" vertical="center"/>
    </xf>
    <xf numFmtId="0" fontId="15" fillId="1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0" fontId="29" fillId="16" borderId="45" applyAlignment="1" pivotButton="0" quotePrefix="0" xfId="0">
      <alignment horizontal="center" vertical="center"/>
    </xf>
    <xf numFmtId="0" fontId="30" fillId="17" borderId="4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Relationship Type="http://schemas.openxmlformats.org/officeDocument/2006/relationships/image" Target="/xl/media/image19.png" Id="rId4"/><Relationship Type="http://schemas.openxmlformats.org/officeDocument/2006/relationships/image" Target="/xl/media/image20.png" Id="rId5"/><Relationship Type="http://schemas.openxmlformats.org/officeDocument/2006/relationships/image" Target="/xl/media/image21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Relationship Type="http://schemas.openxmlformats.org/officeDocument/2006/relationships/image" Target="/xl/media/image29.png" Id="rId3"/><Relationship Type="http://schemas.openxmlformats.org/officeDocument/2006/relationships/image" Target="/xl/media/image30.png" Id="rId4"/><Relationship Type="http://schemas.openxmlformats.org/officeDocument/2006/relationships/image" Target="/xl/media/image31.png" Id="rId5"/><Relationship Type="http://schemas.openxmlformats.org/officeDocument/2006/relationships/image" Target="/xl/media/image32.png" Id="rId6"/><Relationship Type="http://schemas.openxmlformats.org/officeDocument/2006/relationships/image" Target="/xl/media/image33.png" Id="rId7"/></Relationships>
</file>

<file path=xl/drawings/_rels/drawing5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Relationship Type="http://schemas.openxmlformats.org/officeDocument/2006/relationships/image" Target="/xl/media/image37.png" Id="rId4"/><Relationship Type="http://schemas.openxmlformats.org/officeDocument/2006/relationships/image" Target="/xl/media/image38.png" Id="rId5"/><Relationship Type="http://schemas.openxmlformats.org/officeDocument/2006/relationships/image" Target="/xl/media/image39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Relationship Type="http://schemas.openxmlformats.org/officeDocument/2006/relationships/image" Target="/xl/media/image43.png" Id="rId4"/><Relationship Type="http://schemas.openxmlformats.org/officeDocument/2006/relationships/image" Target="/xl/media/image44.png" Id="rId5"/><Relationship Type="http://schemas.openxmlformats.org/officeDocument/2006/relationships/image" Target="/xl/media/image45.png" Id="rId6"/><Relationship Type="http://schemas.openxmlformats.org/officeDocument/2006/relationships/image" Target="/xl/media/image46.png" Id="rId7"/><Relationship Type="http://schemas.openxmlformats.org/officeDocument/2006/relationships/image" Target="/xl/media/image47.png" Id="rId8"/><Relationship Type="http://schemas.openxmlformats.org/officeDocument/2006/relationships/image" Target="/xl/media/image48.png" Id="rId9"/><Relationship Type="http://schemas.openxmlformats.org/officeDocument/2006/relationships/image" Target="/xl/media/image49.png" Id="rId10"/><Relationship Type="http://schemas.openxmlformats.org/officeDocument/2006/relationships/image" Target="/xl/media/image50.png" Id="rId11"/></Relationships>
</file>

<file path=xl/drawings/_rels/drawing7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/Relationships>
</file>

<file path=xl/drawings/_rels/drawing8.xml.rels><Relationships xmlns="http://schemas.openxmlformats.org/package/2006/relationships"><Relationship Type="http://schemas.openxmlformats.org/officeDocument/2006/relationships/image" Target="/xl/media/image60.png" Id="rId1"/><Relationship Type="http://schemas.openxmlformats.org/officeDocument/2006/relationships/image" Target="/xl/media/image61.png" Id="rId2"/><Relationship Type="http://schemas.openxmlformats.org/officeDocument/2006/relationships/image" Target="/xl/media/image62.png" Id="rId3"/><Relationship Type="http://schemas.openxmlformats.org/officeDocument/2006/relationships/image" Target="/xl/media/image63.png" Id="rId4"/><Relationship Type="http://schemas.openxmlformats.org/officeDocument/2006/relationships/image" Target="/xl/media/image64.png" Id="rId5"/><Relationship Type="http://schemas.openxmlformats.org/officeDocument/2006/relationships/image" Target="/xl/media/image65.png" Id="rId6"/><Relationship Type="http://schemas.openxmlformats.org/officeDocument/2006/relationships/image" Target="/xl/media/image66.png" Id="rId7"/></Relationships>
</file>

<file path=xl/drawings/_rels/drawing9.xml.rels><Relationships xmlns="http://schemas.openxmlformats.org/package/2006/relationships"><Relationship Type="http://schemas.openxmlformats.org/officeDocument/2006/relationships/image" Target="/xl/media/image67.png" Id="rId1"/><Relationship Type="http://schemas.openxmlformats.org/officeDocument/2006/relationships/image" Target="/xl/media/image68.png" Id="rId2"/><Relationship Type="http://schemas.openxmlformats.org/officeDocument/2006/relationships/image" Target="/xl/media/image69.png" Id="rId3"/><Relationship Type="http://schemas.openxmlformats.org/officeDocument/2006/relationships/image" Target="/xl/media/image70.png" Id="rId4"/><Relationship Type="http://schemas.openxmlformats.org/officeDocument/2006/relationships/image" Target="/xl/media/image71.png" Id="rId5"/><Relationship Type="http://schemas.openxmlformats.org/officeDocument/2006/relationships/image" Target="/xl/media/image72.png" Id="rId6"/></Relationships>
</file>

<file path=xl/drawings/_rels/drawing10.xml.rels><Relationships xmlns="http://schemas.openxmlformats.org/package/2006/relationships"><Relationship Type="http://schemas.openxmlformats.org/officeDocument/2006/relationships/image" Target="/xl/media/image73.png" Id="rId1"/><Relationship Type="http://schemas.openxmlformats.org/officeDocument/2006/relationships/image" Target="/xl/media/image74.png" Id="rId2"/><Relationship Type="http://schemas.openxmlformats.org/officeDocument/2006/relationships/image" Target="/xl/media/image75.png" Id="rId3"/><Relationship Type="http://schemas.openxmlformats.org/officeDocument/2006/relationships/image" Target="/xl/media/image76.png" Id="rId4"/><Relationship Type="http://schemas.openxmlformats.org/officeDocument/2006/relationships/image" Target="/xl/media/image77.png" Id="rId5"/><Relationship Type="http://schemas.openxmlformats.org/officeDocument/2006/relationships/image" Target="/xl/media/image78.png" Id="rId6"/><Relationship Type="http://schemas.openxmlformats.org/officeDocument/2006/relationships/image" Target="/xl/media/image79.png" Id="rId7"/><Relationship Type="http://schemas.openxmlformats.org/officeDocument/2006/relationships/image" Target="/xl/media/image80.png" Id="rId8"/></Relationships>
</file>

<file path=xl/drawings/_rels/drawing11.xml.rels><Relationships xmlns="http://schemas.openxmlformats.org/package/2006/relationships"><Relationship Type="http://schemas.openxmlformats.org/officeDocument/2006/relationships/image" Target="/xl/media/image81.png" Id="rId1"/><Relationship Type="http://schemas.openxmlformats.org/officeDocument/2006/relationships/image" Target="/xl/media/image82.png" Id="rId2"/><Relationship Type="http://schemas.openxmlformats.org/officeDocument/2006/relationships/image" Target="/xl/media/image83.png" Id="rId3"/><Relationship Type="http://schemas.openxmlformats.org/officeDocument/2006/relationships/image" Target="/xl/media/image84.png" Id="rId4"/><Relationship Type="http://schemas.openxmlformats.org/officeDocument/2006/relationships/image" Target="/xl/media/image85.png" Id="rId5"/><Relationship Type="http://schemas.openxmlformats.org/officeDocument/2006/relationships/image" Target="/xl/media/image86.png" Id="rId6"/></Relationships>
</file>

<file path=xl/drawings/_rels/drawing12.xml.rels><Relationships xmlns="http://schemas.openxmlformats.org/package/2006/relationships"><Relationship Type="http://schemas.openxmlformats.org/officeDocument/2006/relationships/image" Target="/xl/media/image87.png" Id="rId1"/><Relationship Type="http://schemas.openxmlformats.org/officeDocument/2006/relationships/image" Target="/xl/media/image88.png" Id="rId2"/><Relationship Type="http://schemas.openxmlformats.org/officeDocument/2006/relationships/image" Target="/xl/media/image89.png" Id="rId3"/><Relationship Type="http://schemas.openxmlformats.org/officeDocument/2006/relationships/image" Target="/xl/media/image90.png" Id="rId4"/><Relationship Type="http://schemas.openxmlformats.org/officeDocument/2006/relationships/image" Target="/xl/media/image91.png" Id="rId5"/><Relationship Type="http://schemas.openxmlformats.org/officeDocument/2006/relationships/image" Target="/xl/media/image92.png" Id="rId6"/><Relationship Type="http://schemas.openxmlformats.org/officeDocument/2006/relationships/image" Target="/xl/media/image93.png" Id="rId7"/><Relationship Type="http://schemas.openxmlformats.org/officeDocument/2006/relationships/image" Target="/xl/media/image94.png" Id="rId8"/></Relationships>
</file>

<file path=xl/drawings/_rels/drawing13.xml.rels><Relationships xmlns="http://schemas.openxmlformats.org/package/2006/relationships"><Relationship Type="http://schemas.openxmlformats.org/officeDocument/2006/relationships/image" Target="/xl/media/image95.png" Id="rId1"/><Relationship Type="http://schemas.openxmlformats.org/officeDocument/2006/relationships/image" Target="/xl/media/image96.png" Id="rId2"/><Relationship Type="http://schemas.openxmlformats.org/officeDocument/2006/relationships/image" Target="/xl/media/image97.png" Id="rId3"/><Relationship Type="http://schemas.openxmlformats.org/officeDocument/2006/relationships/image" Target="/xl/media/image98.png" Id="rId4"/></Relationships>
</file>

<file path=xl/drawings/_rels/drawing14.xml.rels><Relationships xmlns="http://schemas.openxmlformats.org/package/2006/relationships"><Relationship Type="http://schemas.openxmlformats.org/officeDocument/2006/relationships/image" Target="/xl/media/image99.png" Id="rId1"/><Relationship Type="http://schemas.openxmlformats.org/officeDocument/2006/relationships/image" Target="/xl/media/image100.png" Id="rId2"/><Relationship Type="http://schemas.openxmlformats.org/officeDocument/2006/relationships/image" Target="/xl/media/image101.png" Id="rId3"/><Relationship Type="http://schemas.openxmlformats.org/officeDocument/2006/relationships/image" Target="/xl/media/image102.png" Id="rId4"/><Relationship Type="http://schemas.openxmlformats.org/officeDocument/2006/relationships/image" Target="/xl/media/image103.png" Id="rId5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04.png" Id="rId1"/><Relationship Type="http://schemas.openxmlformats.org/officeDocument/2006/relationships/image" Target="/xl/media/image105.png" Id="rId2"/><Relationship Type="http://schemas.openxmlformats.org/officeDocument/2006/relationships/image" Target="/xl/media/image106.png" Id="rId3"/><Relationship Type="http://schemas.openxmlformats.org/officeDocument/2006/relationships/image" Target="/xl/media/image107.png" Id="rId4"/><Relationship Type="http://schemas.openxmlformats.org/officeDocument/2006/relationships/image" Target="/xl/media/image108.png" Id="rId5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09.png" Id="rId1"/><Relationship Type="http://schemas.openxmlformats.org/officeDocument/2006/relationships/image" Target="/xl/media/image110.png" Id="rId2"/><Relationship Type="http://schemas.openxmlformats.org/officeDocument/2006/relationships/image" Target="/xl/media/image111.png" Id="rId3"/><Relationship Type="http://schemas.openxmlformats.org/officeDocument/2006/relationships/image" Target="/xl/media/image112.png" Id="rId4"/><Relationship Type="http://schemas.openxmlformats.org/officeDocument/2006/relationships/image" Target="/xl/media/image113.png" Id="rId5"/></Relationships>
</file>

<file path=xl/drawings/drawing1.xml><?xml version="1.0" encoding="utf-8"?>
<wsDr xmlns="http://schemas.openxmlformats.org/drawingml/2006/spreadsheetDrawing">
  <twoCellAnchor editAs="oneCell">
    <from>
      <col>0</col>
      <colOff>415634</colOff>
      <row>6</row>
      <rowOff>55418</rowOff>
    </from>
    <to>
      <col>3</col>
      <colOff>540325</colOff>
      <row>24</row>
      <rowOff>41563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5</col>
      <colOff>55415</colOff>
      <row>6</row>
      <rowOff>55418</rowOff>
    </from>
    <to>
      <col>8</col>
      <colOff>318655</colOff>
      <row>24</row>
      <rowOff>59450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484906</colOff>
      <row>54</row>
      <rowOff>152400</rowOff>
    </from>
    <to>
      <col>4</col>
      <colOff>138545</colOff>
      <row>72</row>
      <rowOff>130925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17</col>
      <colOff>554178</colOff>
      <row>6</row>
      <rowOff>69272</rowOff>
    </from>
    <to>
      <col>22</col>
      <colOff>165622</colOff>
      <row>24</row>
      <rowOff>27710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498758</colOff>
      <row>6</row>
      <rowOff>69272</rowOff>
    </from>
    <to>
      <col>15</col>
      <colOff>67294</colOff>
      <row>24</row>
      <rowOff>13855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457197</colOff>
      <row>28</row>
      <rowOff>152400</rowOff>
    </from>
    <to>
      <col>6</col>
      <colOff>659307</colOff>
      <row>44</row>
      <rowOff>152400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526469</colOff>
      <row>28</row>
      <rowOff>152400</rowOff>
    </from>
    <to>
      <col>16</col>
      <colOff>96981</colOff>
      <row>44</row>
      <rowOff>126081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457197</colOff>
      <row>84</row>
      <rowOff>55420</rowOff>
    </from>
    <to>
      <col>3</col>
      <colOff>55418</colOff>
      <row>101</row>
      <rowOff>152242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526469</colOff>
      <row>84</row>
      <rowOff>55420</rowOff>
    </from>
    <to>
      <col>9</col>
      <colOff>158518</colOff>
      <row>101</row>
      <rowOff>124691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554183</colOff>
      <row>84</row>
      <rowOff>55420</rowOff>
    </from>
    <to>
      <col>17</col>
      <colOff>221672</colOff>
      <row>101</row>
      <rowOff>152400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138542</colOff>
      <row>84</row>
      <rowOff>55420</rowOff>
    </from>
    <to>
      <col>28</col>
      <colOff>76911</colOff>
      <row>102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5</col>
      <colOff>193960</colOff>
      <row>54</row>
      <rowOff>152400</rowOff>
    </from>
    <to>
      <col>9</col>
      <colOff>138545</colOff>
      <row>72</row>
      <rowOff>124692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471050</colOff>
      <row>53</row>
      <rowOff>166255</rowOff>
    </from>
    <to>
      <col>12</col>
      <colOff>609600</colOff>
      <row>72</row>
      <rowOff>138546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193963</colOff>
      <row>54</row>
      <rowOff>96982</rowOff>
    </from>
    <to>
      <col>18</col>
      <colOff>458191</colOff>
      <row>72</row>
      <rowOff>110838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277087</colOff>
      <row>55</row>
      <rowOff>3</rowOff>
    </from>
    <to>
      <col>24</col>
      <colOff>221673</colOff>
      <row>72</row>
      <rowOff>111295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15</col>
      <colOff>117765</colOff>
      <row>6</row>
      <rowOff>422565</rowOff>
    </from>
    <to>
      <col>16</col>
      <colOff>263241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498764</colOff>
      <row>0</row>
      <rowOff>0</rowOff>
    </from>
    <to>
      <col>12</col>
      <colOff>596264</colOff>
      <row>4</row>
      <rowOff>401781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914400</colOff>
      <row>6</row>
      <rowOff>401781</rowOff>
    </from>
    <to>
      <col>6</col>
      <colOff>559171</colOff>
      <row>7</row>
      <rowOff>401781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799635</colOff>
      <row>6</row>
      <rowOff>350293</rowOff>
    </from>
    <to>
      <col>12</col>
      <colOff>549667</colOff>
      <row>7</row>
      <rowOff>471059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96983</colOff>
      <row>6</row>
      <rowOff>360220</rowOff>
    </from>
    <to>
      <col>9</col>
      <colOff>323691</colOff>
      <row>7</row>
      <rowOff>387927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221672</colOff>
      <row>6</row>
      <rowOff>443346</rowOff>
    </from>
    <to>
      <col>19</col>
      <colOff>277091</colOff>
      <row>7</row>
      <rowOff>418268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13</col>
      <colOff>117765</colOff>
      <row>6</row>
      <rowOff>422565</rowOff>
    </from>
    <to>
      <col>14</col>
      <colOff>263241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83123</colOff>
      <row>0</row>
      <rowOff>0</rowOff>
    </from>
    <to>
      <col>10</col>
      <colOff>180623</colOff>
      <row>4</row>
      <rowOff>401782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914400</colOff>
      <row>6</row>
      <rowOff>401781</rowOff>
    </from>
    <to>
      <col>6</col>
      <colOff>559171</colOff>
      <row>7</row>
      <rowOff>401781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799635</colOff>
      <row>6</row>
      <rowOff>350293</rowOff>
    </from>
    <to>
      <col>10</col>
      <colOff>549668</colOff>
      <row>7</row>
      <rowOff>471059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277092</colOff>
      <row>6</row>
      <rowOff>471054</rowOff>
    </from>
    <to>
      <col>17</col>
      <colOff>263237</colOff>
      <row>7</row>
      <rowOff>439025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20</col>
      <colOff>408711</colOff>
      <row>6</row>
      <rowOff>422565</rowOff>
    </from>
    <to>
      <col>21</col>
      <colOff>96987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914400</colOff>
      <row>6</row>
      <rowOff>401781</rowOff>
    </from>
    <to>
      <col>8</col>
      <colOff>559170</colOff>
      <row>7</row>
      <rowOff>401781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134616</colOff>
      <row>6</row>
      <rowOff>350294</rowOff>
    </from>
    <to>
      <col>15</col>
      <colOff>397267</colOff>
      <row>7</row>
      <rowOff>471060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401782</colOff>
      <row>6</row>
      <rowOff>304799</rowOff>
    </from>
    <to>
      <col>27</col>
      <colOff>69274</colOff>
      <row>7</row>
      <rowOff>476390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221672</colOff>
      <row>6</row>
      <rowOff>443346</rowOff>
    </from>
    <to>
      <col>25</col>
      <colOff>277092</colOff>
      <row>7</row>
      <rowOff>418268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96983</colOff>
      <row>6</row>
      <rowOff>360220</rowOff>
    </from>
    <to>
      <col>11</col>
      <colOff>323691</colOff>
      <row>7</row>
      <rowOff>387927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429489</colOff>
      <row>0</row>
      <rowOff>0</rowOff>
    </from>
    <to>
      <col>12</col>
      <colOff>803563</colOff>
      <row>4</row>
      <rowOff>397415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18</col>
      <colOff>408711</colOff>
      <row>6</row>
      <rowOff>422565</rowOff>
    </from>
    <to>
      <col>19</col>
      <colOff>96987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914400</colOff>
      <row>6</row>
      <rowOff>401781</rowOff>
    </from>
    <to>
      <col>8</col>
      <colOff>559170</colOff>
      <row>7</row>
      <rowOff>401781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134616</colOff>
      <row>6</row>
      <rowOff>350294</rowOff>
    </from>
    <to>
      <col>13</col>
      <colOff>397267</colOff>
      <row>7</row>
      <rowOff>471060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277092</colOff>
      <row>6</row>
      <rowOff>471054</rowOff>
    </from>
    <to>
      <col>23</col>
      <colOff>263236</colOff>
      <row>7</row>
      <rowOff>439025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498764</colOff>
      <row>0</row>
      <rowOff>0</rowOff>
    </from>
    <to>
      <col>12</col>
      <colOff>907677</colOff>
      <row>4</row>
      <rowOff>374072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401782</colOff>
      <row>6</row>
      <rowOff>304799</rowOff>
    </from>
    <to>
      <col>25</col>
      <colOff>69274</colOff>
      <row>7</row>
      <rowOff>476390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31</col>
      <colOff>367149</colOff>
      <row>6</row>
      <rowOff>422565</rowOff>
    </from>
    <to>
      <col>32</col>
      <colOff>55425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23</col>
      <colOff>134616</colOff>
      <row>6</row>
      <rowOff>350294</rowOff>
    </from>
    <to>
      <col>24</col>
      <colOff>397267</colOff>
      <row>7</row>
      <rowOff>471060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41</col>
      <colOff>401782</colOff>
      <row>6</row>
      <rowOff>304799</rowOff>
    </from>
    <to>
      <col>42</col>
      <colOff>69274</colOff>
      <row>7</row>
      <rowOff>476390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37</col>
      <colOff>955963</colOff>
      <row>6</row>
      <rowOff>443346</rowOff>
    </from>
    <to>
      <col>39</col>
      <colOff>498765</colOff>
      <row>7</row>
      <rowOff>418268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845129</colOff>
      <row>6</row>
      <rowOff>360220</rowOff>
    </from>
    <to>
      <col>15</col>
      <colOff>559219</colOff>
      <row>7</row>
      <rowOff>387927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374073</colOff>
      <row>0</row>
      <rowOff>0</rowOff>
    </from>
    <to>
      <col>15</col>
      <colOff>411643</colOff>
      <row>4</row>
      <rowOff>429490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248663</colOff>
      <row>6</row>
      <rowOff>360939</rowOff>
    </from>
    <to>
      <col>8</col>
      <colOff>303450</colOff>
      <row>7</row>
      <rowOff>429490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11</col>
      <colOff>193964</colOff>
      <row>6</row>
      <rowOff>387928</rowOff>
    </from>
    <to>
      <col>12</col>
      <colOff>351352</colOff>
      <row>7</row>
      <rowOff>387928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228601</colOff>
      <row>7</row>
      <rowOff>62345</rowOff>
    </from>
    <to>
      <col>10</col>
      <colOff>235527</colOff>
      <row>7</row>
      <rowOff>397229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17</col>
      <colOff>706581</colOff>
      <row>6</row>
      <rowOff>332509</rowOff>
    </from>
    <to>
      <col>19</col>
      <colOff>463912</colOff>
      <row>7</row>
      <rowOff>387927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43</col>
      <colOff>304801</colOff>
      <row>6</row>
      <rowOff>443346</rowOff>
    </from>
    <to>
      <col>44</col>
      <colOff>180109</colOff>
      <row>7</row>
      <rowOff>438902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27</col>
      <colOff>367149</colOff>
      <row>6</row>
      <rowOff>422565</rowOff>
    </from>
    <to>
      <col>28</col>
      <colOff>55425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134616</colOff>
      <row>6</row>
      <rowOff>350294</rowOff>
    </from>
    <to>
      <col>20</col>
      <colOff>397267</colOff>
      <row>7</row>
      <rowOff>471060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33</col>
      <colOff>401782</colOff>
      <row>6</row>
      <rowOff>304799</rowOff>
    </from>
    <to>
      <col>34</col>
      <colOff>69273</colOff>
      <row>7</row>
      <rowOff>476390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248663</colOff>
      <row>6</row>
      <rowOff>360939</rowOff>
    </from>
    <to>
      <col>8</col>
      <colOff>303450</colOff>
      <row>7</row>
      <rowOff>429490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11</col>
      <colOff>193964</colOff>
      <row>6</row>
      <rowOff>387928</rowOff>
    </from>
    <to>
      <col>12</col>
      <colOff>351352</colOff>
      <row>7</row>
      <rowOff>387928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228601</colOff>
      <row>7</row>
      <rowOff>62345</rowOff>
    </from>
    <to>
      <col>10</col>
      <colOff>235527</colOff>
      <row>7</row>
      <rowOff>397229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706581</colOff>
      <row>6</row>
      <rowOff>332509</rowOff>
    </from>
    <to>
      <col>15</col>
      <colOff>463913</colOff>
      <row>7</row>
      <rowOff>387927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817418</colOff>
      <row>0</row>
      <rowOff>0</rowOff>
    </from>
    <to>
      <col>19</col>
      <colOff>138546</colOff>
      <row>4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96983</colOff>
      <row>6</row>
      <rowOff>471054</rowOff>
    </from>
    <to>
      <col>37</col>
      <colOff>540328</colOff>
      <row>7</row>
      <rowOff>439025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15</col>
      <colOff>117765</colOff>
      <row>6</row>
      <rowOff>422565</rowOff>
    </from>
    <to>
      <col>16</col>
      <colOff>263241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148716</colOff>
      <row>6</row>
      <rowOff>370121</rowOff>
    </from>
    <to>
      <col>9</col>
      <colOff>374073</colOff>
      <row>7</row>
      <rowOff>401780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872836</colOff>
      <row>0</row>
      <rowOff>0</rowOff>
    </from>
    <to>
      <col>11</col>
      <colOff>519</colOff>
      <row>4</row>
      <rowOff>401781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914400</colOff>
      <row>6</row>
      <rowOff>401781</rowOff>
    </from>
    <to>
      <col>6</col>
      <colOff>559171</colOff>
      <row>7</row>
      <rowOff>401781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221671</colOff>
      <row>0</row>
      <rowOff>0</rowOff>
    </from>
    <to>
      <col>15</col>
      <colOff>319172</colOff>
      <row>4</row>
      <rowOff>401781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290945</colOff>
      <row>0</row>
      <rowOff>0</rowOff>
    </from>
    <to>
      <col>21</col>
      <colOff>360218</colOff>
      <row>4</row>
      <rowOff>379530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512619</colOff>
      <row>6</row>
      <rowOff>96982</rowOff>
    </from>
    <to>
      <col>11</col>
      <colOff>71793</colOff>
      <row>7</row>
      <rowOff>429490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15</col>
      <colOff>117765</colOff>
      <row>6</row>
      <rowOff>422565</rowOff>
    </from>
    <to>
      <col>16</col>
      <colOff>263241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148716</colOff>
      <row>6</row>
      <rowOff>370121</rowOff>
    </from>
    <to>
      <col>9</col>
      <colOff>374073</colOff>
      <row>7</row>
      <rowOff>401780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914400</colOff>
      <row>6</row>
      <rowOff>401781</rowOff>
    </from>
    <to>
      <col>6</col>
      <colOff>559171</colOff>
      <row>7</row>
      <rowOff>401781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27709</colOff>
      <row>0</row>
      <rowOff>0</rowOff>
    </from>
    <to>
      <col>13</col>
      <colOff>96982</colOff>
      <row>4</row>
      <rowOff>343089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415637</colOff>
      <row>6</row>
      <rowOff>124692</rowOff>
    </from>
    <to>
      <col>10</col>
      <colOff>944629</colOff>
      <row>7</row>
      <rowOff>457200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290946</rowOff>
    </from>
    <to>
      <col>19</col>
      <colOff>13855</colOff>
      <row>7</row>
      <rowOff>462537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13</col>
      <colOff>117765</colOff>
      <row>6</row>
      <rowOff>422565</rowOff>
    </from>
    <to>
      <col>14</col>
      <colOff>263241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249381</colOff>
      <row>6</row>
      <rowOff>332511</rowOff>
    </from>
    <to>
      <col>25</col>
      <colOff>110836</colOff>
      <row>8</row>
      <rowOff>12652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890413</colOff>
      <row>6</row>
      <rowOff>411914</rowOff>
    </from>
    <to>
      <col>18</col>
      <colOff>641031</colOff>
      <row>7</row>
      <rowOff>433215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193963</colOff>
      <row>6</row>
      <rowOff>374072</rowOff>
    </from>
    <to>
      <col>22</col>
      <colOff>195100</colOff>
      <row>7</row>
      <rowOff>415635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498763</colOff>
      <row>0</row>
      <rowOff>0</rowOff>
    </from>
    <to>
      <col>12</col>
      <colOff>83645</colOff>
      <row>4</row>
      <rowOff>401781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180110</colOff>
      <row>0</row>
      <rowOff>0</rowOff>
    </from>
    <to>
      <col>17</col>
      <colOff>277611</colOff>
      <row>4</row>
      <rowOff>401781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374072</colOff>
      <row>6</row>
      <rowOff>96982</rowOff>
    </from>
    <to>
      <col>8</col>
      <colOff>903064</colOff>
      <row>7</row>
      <rowOff>429490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762000</colOff>
      <row>6</row>
      <rowOff>318655</rowOff>
    </from>
    <to>
      <col>6</col>
      <colOff>678874</colOff>
      <row>7</row>
      <rowOff>435587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18</col>
      <colOff>353293</colOff>
      <row>6</row>
      <rowOff>422565</rowOff>
    </from>
    <to>
      <col>19</col>
      <colOff>41569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789710</colOff>
      <row>0</row>
      <rowOff>0</rowOff>
    </from>
    <to>
      <col>13</col>
      <colOff>416827</colOff>
      <row>4</row>
      <rowOff>443345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110837</colOff>
      <row>6</row>
      <rowOff>235530</rowOff>
    </from>
    <to>
      <col>11</col>
      <colOff>309173</colOff>
      <row>7</row>
      <rowOff>484909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233967</colOff>
      <row>0</row>
      <rowOff>0</rowOff>
    </from>
    <to>
      <col>19</col>
      <colOff>101899</colOff>
      <row>4</row>
      <rowOff>415636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471054</colOff>
      <row>6</row>
      <rowOff>55418</rowOff>
    </from>
    <to>
      <col>13</col>
      <colOff>30228</colOff>
      <row>7</row>
      <rowOff>387926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304801</colOff>
      <row>6</row>
      <rowOff>443346</rowOff>
    </from>
    <to>
      <col>23</col>
      <colOff>180108</colOff>
      <row>7</row>
      <rowOff>438902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20</col>
      <colOff>353293</colOff>
      <row>6</row>
      <rowOff>422565</rowOff>
    </from>
    <to>
      <col>21</col>
      <colOff>41569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152400</colOff>
      <row>6</row>
      <rowOff>235530</rowOff>
    </from>
    <to>
      <col>13</col>
      <colOff>350736</colOff>
      <row>7</row>
      <rowOff>484909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914400</colOff>
      <row>6</row>
      <rowOff>401781</rowOff>
    </from>
    <to>
      <col>8</col>
      <colOff>559171</colOff>
      <row>7</row>
      <rowOff>401781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512619</colOff>
      <row>6</row>
      <rowOff>124692</rowOff>
    </from>
    <to>
      <col>15</col>
      <colOff>71793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207818</colOff>
      <row>6</row>
      <rowOff>374074</rowOff>
    </from>
    <to>
      <col>11</col>
      <colOff>395052</colOff>
      <row>7</row>
      <rowOff>387928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304801</colOff>
      <row>6</row>
      <rowOff>443346</rowOff>
    </from>
    <to>
      <col>25</col>
      <colOff>180110</colOff>
      <row>7</row>
      <rowOff>438902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277092</colOff>
      <row>0</row>
      <rowOff>0</rowOff>
    </from>
    <to>
      <col>13</col>
      <colOff>0</colOff>
      <row>4</row>
      <rowOff>432583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401782</colOff>
      <row>6</row>
      <rowOff>304799</rowOff>
    </from>
    <to>
      <col>27</col>
      <colOff>69274</colOff>
      <row>7</row>
      <rowOff>476390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11</col>
      <colOff>117765</colOff>
      <row>6</row>
      <rowOff>422565</rowOff>
    </from>
    <to>
      <col>12</col>
      <colOff>263240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665019</colOff>
      <row>6</row>
      <rowOff>290947</rowOff>
    </from>
    <to>
      <col>6</col>
      <colOff>637311</colOff>
      <row>7</row>
      <rowOff>442453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41563</colOff>
      <row>6</row>
      <rowOff>318657</rowOff>
    </from>
    <to>
      <col>9</col>
      <colOff>457200</colOff>
      <row>7</row>
      <rowOff>463139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11</col>
      <colOff>55419</colOff>
      <row>0</row>
      <rowOff>0</rowOff>
    </from>
    <to>
      <col>13</col>
      <colOff>235527</colOff>
      <row>4</row>
      <rowOff>402103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11</col>
      <colOff>117765</colOff>
      <row>6</row>
      <rowOff>422565</rowOff>
    </from>
    <to>
      <col>12</col>
      <colOff>263240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665019</colOff>
      <row>6</row>
      <rowOff>290947</rowOff>
    </from>
    <to>
      <col>6</col>
      <colOff>637311</colOff>
      <row>7</row>
      <rowOff>442453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41563</colOff>
      <row>6</row>
      <rowOff>318657</rowOff>
    </from>
    <to>
      <col>9</col>
      <colOff>457200</colOff>
      <row>7</row>
      <rowOff>463139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803564</colOff>
      <row>0</row>
      <rowOff>1</rowOff>
    </from>
    <to>
      <col>12</col>
      <colOff>526472</colOff>
      <row>4</row>
      <rowOff>366936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167531</colOff>
      <row>6</row>
      <rowOff>137274</rowOff>
    </from>
    <to>
      <col>15</col>
      <colOff>457201</colOff>
      <row>7</row>
      <rowOff>448181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11</col>
      <colOff>117765</colOff>
      <row>6</row>
      <rowOff>422565</rowOff>
    </from>
    <to>
      <col>12</col>
      <colOff>263240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665019</colOff>
      <row>6</row>
      <rowOff>290947</rowOff>
    </from>
    <to>
      <col>6</col>
      <colOff>637311</colOff>
      <row>7</row>
      <rowOff>442453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41563</colOff>
      <row>6</row>
      <rowOff>318657</rowOff>
    </from>
    <to>
      <col>9</col>
      <colOff>457200</colOff>
      <row>7</row>
      <rowOff>463139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167531</colOff>
      <row>6</row>
      <rowOff>137274</rowOff>
    </from>
    <to>
      <col>15</col>
      <colOff>457201</colOff>
      <row>7</row>
      <rowOff>448181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484909</colOff>
      <row>0</row>
      <rowOff>1</rowOff>
    </from>
    <to>
      <col>12</col>
      <colOff>789710</colOff>
      <row>4</row>
      <rowOff>426028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11</col>
      <colOff>117765</colOff>
      <row>6</row>
      <rowOff>422565</rowOff>
    </from>
    <to>
      <col>12</col>
      <colOff>263240</colOff>
      <row>7</row>
      <rowOff>443776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665019</colOff>
      <row>6</row>
      <rowOff>290947</rowOff>
    </from>
    <to>
      <col>6</col>
      <colOff>637311</colOff>
      <row>7</row>
      <rowOff>442453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41563</colOff>
      <row>6</row>
      <rowOff>318657</rowOff>
    </from>
    <to>
      <col>9</col>
      <colOff>457200</colOff>
      <row>7</row>
      <rowOff>463139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167531</colOff>
      <row>6</row>
      <rowOff>137274</rowOff>
    </from>
    <to>
      <col>15</col>
      <colOff>457201</colOff>
      <row>7</row>
      <rowOff>448181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568037</colOff>
      <row>0</row>
      <rowOff>0</rowOff>
    </from>
    <to>
      <col>12</col>
      <colOff>788756</colOff>
      <row>4</row>
      <rowOff>387925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8.8984375" customWidth="1" min="1" max="1"/>
  </cols>
  <sheetData>
    <row r="1">
      <c r="A1" s="1" t="inlineStr">
        <is>
          <t>JR ALUMINIUM &amp; GLASS  —  ใบรายการตัด · FUJI Index   (หน่วย: มม.)</t>
        </is>
      </c>
    </row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12.69921875" customWidth="1" min="30" max="30"/>
    <col width="8.69921875" customWidth="1" min="31" max="31"/>
    <col width="8.8984375" customWidth="1" min="32" max="32"/>
  </cols>
  <sheetData>
    <row r="1" ht="40.2" customHeight="1">
      <c r="A1" s="2" t="inlineStr">
        <is>
          <t>JR ALUMINIUM &amp; GLASS  —  ใบรายการตัด · FUJI ประตูเดี่ยว มีธรณี   (หน่วย: มม.)</t>
        </is>
      </c>
      <c r="B1" s="3" t="n"/>
      <c r="D1" s="4" t="n"/>
      <c r="E1" s="5" t="n"/>
      <c r="F1" s="4" t="n"/>
      <c r="G1" s="6" t="n"/>
      <c r="H1" s="6" t="n"/>
      <c r="I1" s="7" t="n"/>
      <c r="J1" s="7" t="n"/>
      <c r="K1" s="4" t="n"/>
      <c r="L1" s="4" t="n"/>
      <c r="M1" s="6" t="n"/>
      <c r="N1" s="6" t="n"/>
      <c r="O1" s="7" t="n"/>
      <c r="P1" s="7" t="n"/>
      <c r="Q1" s="4" t="n"/>
      <c r="R1" s="8" t="n"/>
      <c r="S1" s="4" t="n"/>
      <c r="T1" s="4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t="40.2" customHeight="1">
      <c r="A2" s="6" t="n"/>
      <c r="B2" s="6" t="n"/>
      <c r="C2" s="6" t="n"/>
      <c r="D2" s="6" t="n"/>
      <c r="E2" s="9" t="n"/>
      <c r="F2" s="6" t="n"/>
      <c r="G2" s="10" t="n"/>
      <c r="H2" s="10" t="n"/>
      <c r="I2" s="10" t="n"/>
      <c r="J2" s="10" t="n"/>
      <c r="K2" s="6" t="n"/>
      <c r="L2" s="6" t="n"/>
      <c r="M2" s="6" t="n"/>
      <c r="N2" s="6" t="n"/>
      <c r="O2" s="10" t="n"/>
      <c r="P2" s="10" t="n"/>
      <c r="Q2" s="6" t="n"/>
      <c r="R2" s="6" t="n"/>
      <c r="S2" s="6" t="n"/>
      <c r="T2" s="6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40.2" customHeight="1">
      <c r="A3" s="6" t="n"/>
      <c r="B3" s="6" t="n"/>
      <c r="C3" s="6" t="n"/>
      <c r="D3" s="6" t="n"/>
      <c r="E3" s="9" t="n"/>
      <c r="F3" s="6" t="n"/>
      <c r="I3" s="11" t="n"/>
      <c r="J3" s="11" t="n"/>
      <c r="K3" s="6" t="n"/>
      <c r="L3" s="6" t="n"/>
      <c r="M3" s="6" t="n"/>
      <c r="N3" s="6" t="n"/>
      <c r="O3" s="11" t="n"/>
      <c r="P3" s="11" t="n"/>
      <c r="Q3" s="6" t="n"/>
      <c r="R3" s="6" t="n"/>
      <c r="S3" s="6" t="n"/>
      <c r="T3" s="6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40.2" customHeight="1">
      <c r="A4" s="149" t="inlineStr">
        <is>
          <t>เลือกกรอบบาน →</t>
        </is>
      </c>
      <c r="B4" s="6" t="n"/>
      <c r="C4" s="6" t="n"/>
      <c r="D4" s="150" t="inlineStr">
        <is>
          <t>10 cm · 7864</t>
        </is>
      </c>
      <c r="F4" s="6" t="n"/>
      <c r="K4" s="6" t="n"/>
      <c r="L4" s="6" t="n"/>
      <c r="M4" s="6" t="n"/>
      <c r="N4" s="6" t="n"/>
      <c r="Q4" s="6" t="n"/>
      <c r="R4" s="6" t="n"/>
      <c r="S4" s="6" t="n"/>
      <c r="T4" s="6" t="n"/>
    </row>
    <row r="5" ht="40.2" customHeight="1">
      <c r="A5" s="151" t="inlineStr">
        <is>
          <t>(8cm→ลดคิ้วตั้ง80/ขวาง60 · 10cm→100/80)</t>
        </is>
      </c>
      <c r="B5" s="6" t="n"/>
      <c r="C5" s="6" t="n"/>
      <c r="D5" s="6" t="n"/>
      <c r="E5" s="9" t="n"/>
      <c r="F5" s="6" t="n"/>
      <c r="K5" s="6" t="n"/>
      <c r="L5" s="6" t="n"/>
      <c r="N5" s="6" t="n"/>
      <c r="Q5" s="6" t="n"/>
      <c r="R5" s="6" t="n"/>
      <c r="S5" s="6" t="n"/>
      <c r="T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สูง-18.5-18.5</t>
        </is>
      </c>
      <c r="L6" s="16" t="n"/>
      <c r="M6" s="15" t="inlineStr">
        <is>
          <t>กว้าง-18.5-18.5</t>
        </is>
      </c>
      <c r="N6" s="16" t="n"/>
      <c r="O6" s="15" t="inlineStr">
        <is>
          <t>เสา-100-100</t>
        </is>
      </c>
      <c r="P6" s="16" t="n"/>
      <c r="Q6" s="15" t="inlineStr">
        <is>
          <t>ขวาง-80-80</t>
        </is>
      </c>
      <c r="R6" s="16" t="n"/>
      <c r="S6" s="15" t="inlineStr">
        <is>
          <t>เท่าเฟรมล่าง</t>
        </is>
      </c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7" t="n"/>
      <c r="AD6" s="17" t="n"/>
      <c r="AE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F7859</t>
        </is>
      </c>
      <c r="F7" s="13" t="n"/>
      <c r="G7" s="13" t="n"/>
      <c r="H7" s="14" t="n"/>
      <c r="I7" s="21" t="inlineStr">
        <is>
          <t>F7938</t>
        </is>
      </c>
      <c r="J7" s="14" t="n"/>
      <c r="K7" s="21" t="inlineStr">
        <is>
          <t>F7864</t>
        </is>
      </c>
      <c r="L7" s="13" t="n"/>
      <c r="M7" s="13" t="n"/>
      <c r="N7" s="14" t="n"/>
      <c r="O7" s="21" t="inlineStr">
        <is>
          <t>F7935</t>
        </is>
      </c>
      <c r="P7" s="13" t="n"/>
      <c r="Q7" s="13" t="n"/>
      <c r="R7" s="14" t="n"/>
      <c r="S7" s="22" t="inlineStr">
        <is>
          <t>F7960</t>
        </is>
      </c>
      <c r="T7" s="14" t="n"/>
      <c r="U7" s="23" t="n"/>
      <c r="V7" s="13" t="n"/>
      <c r="W7" s="13" t="n"/>
      <c r="X7" s="14" t="n"/>
      <c r="Y7" s="23" t="n"/>
      <c r="Z7" s="14" t="n"/>
      <c r="AA7" s="24" t="n"/>
      <c r="AB7" s="14" t="n"/>
      <c r="AC7" s="25" t="n"/>
      <c r="AD7" s="26" t="inlineStr">
        <is>
          <t>ขนาดกระจก</t>
        </is>
      </c>
      <c r="AE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5" t="n"/>
      <c r="J8" s="34" t="n"/>
      <c r="K8" s="31" t="n"/>
      <c r="L8" s="32" t="n"/>
      <c r="M8" s="33" t="n"/>
      <c r="N8" s="34" t="n"/>
      <c r="O8" s="31" t="n"/>
      <c r="P8" s="32" t="n"/>
      <c r="Q8" s="33" t="n"/>
      <c r="R8" s="34" t="n"/>
      <c r="S8" s="33" t="n"/>
      <c r="T8" s="34" t="n"/>
      <c r="U8" s="31" t="n"/>
      <c r="V8" s="32" t="n"/>
      <c r="W8" s="33" t="n"/>
      <c r="X8" s="34" t="n"/>
      <c r="Y8" s="35" t="n"/>
      <c r="Z8" s="34" t="n"/>
      <c r="AA8" s="33" t="n"/>
      <c r="AB8" s="34" t="n"/>
      <c r="AC8" s="36" t="n"/>
      <c r="AD8" s="37" t="inlineStr">
        <is>
          <t>กรอบบาน</t>
        </is>
      </c>
      <c r="AE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 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ตบธรณี</t>
        </is>
      </c>
      <c r="T9" s="43" t="n"/>
      <c r="U9" s="42" t="n"/>
      <c r="V9" s="43" t="n"/>
      <c r="W9" s="42" t="n"/>
      <c r="X9" s="43" t="n"/>
      <c r="Y9" s="44" t="n"/>
      <c r="Z9" s="43" t="n"/>
      <c r="AA9" s="42" t="n"/>
      <c r="AB9" s="43" t="n"/>
      <c r="AC9" s="45" t="inlineStr">
        <is>
          <t>SH-87-87</t>
        </is>
      </c>
      <c r="AD9" s="46" t="inlineStr">
        <is>
          <t>SW-87-87</t>
        </is>
      </c>
      <c r="AE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5" t="inlineStr">
        <is>
          <t>H</t>
        </is>
      </c>
      <c r="AD10" s="56" t="inlineStr">
        <is>
          <t>W</t>
        </is>
      </c>
      <c r="AE10" s="57" t="inlineStr">
        <is>
          <t>จำนวน</t>
        </is>
      </c>
    </row>
    <row r="11" ht="40.2" customHeight="1">
      <c r="A11" s="58" t="inlineStr">
        <is>
          <t>D1</t>
        </is>
      </c>
      <c r="B11" s="59" t="n">
        <v>2700</v>
      </c>
      <c r="C11" s="60" t="n">
        <v>600</v>
      </c>
      <c r="D11" s="61" t="n">
        <v>15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IF($A11="","",$G11)</f>
        <v/>
      </c>
      <c r="J11" s="60">
        <f>IF($A11="","",$L$56*$D11)</f>
        <v/>
      </c>
      <c r="K11" s="62">
        <f>IF($A11="","",$B11-$E$57-$F$57)</f>
        <v/>
      </c>
      <c r="L11" s="60">
        <f>IF($A11="","",$L$57*$D11)</f>
        <v/>
      </c>
      <c r="M11" s="62">
        <f>IF($A11="","",(($C11-$E$58-$F$58)))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IF($A11="","",$M11-$E$60-$F$60)</f>
        <v/>
      </c>
      <c r="R11" s="60">
        <f>IF($A11="","",$L$60*$D11)</f>
        <v/>
      </c>
      <c r="S11" s="62">
        <f>IF($A11="","",$G11)</f>
        <v/>
      </c>
      <c r="T11" s="60">
        <f>IF($A11="","",$L$61*$D11)</f>
        <v/>
      </c>
      <c r="U11" s="62" t="n"/>
      <c r="V11" s="60" t="n"/>
      <c r="W11" s="62" t="n"/>
      <c r="X11" s="60" t="n"/>
      <c r="Y11" s="62" t="n"/>
      <c r="Z11" s="60" t="n"/>
      <c r="AA11" s="62" t="n"/>
      <c r="AB11" s="60" t="n"/>
      <c r="AC11" s="63">
        <f>IF($A11="","",$K11-87-87)</f>
        <v/>
      </c>
      <c r="AD11" s="64">
        <f>IF($A11="","",$M11-87-87)</f>
        <v/>
      </c>
      <c r="AE11" s="65">
        <f>IF($A11="","",1*$D11)</f>
        <v/>
      </c>
    </row>
    <row r="12" ht="40.2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IF($A12="","",$G12)</f>
        <v/>
      </c>
      <c r="J12" s="67">
        <f>IF($A12="","",$L$56*$D12)</f>
        <v/>
      </c>
      <c r="K12" s="66">
        <f>IF($A12="","",$B12-$E$57-$F$57)</f>
        <v/>
      </c>
      <c r="L12" s="67">
        <f>IF($A12="","",$L$57*$D12)</f>
        <v/>
      </c>
      <c r="M12" s="66">
        <f>IF($A12="","",(($C12-$E$58-$F$58)))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IF($A12="","",$M12-$E$60-$F$60)</f>
        <v/>
      </c>
      <c r="R12" s="67">
        <f>IF($A12="","",$L$60*$D12)</f>
        <v/>
      </c>
      <c r="S12" s="66">
        <f>IF($A12="","",$G12)</f>
        <v/>
      </c>
      <c r="T12" s="67">
        <f>IF($A12="","",$L$61*$D12)</f>
        <v/>
      </c>
      <c r="U12" s="66" t="n"/>
      <c r="V12" s="67" t="n"/>
      <c r="W12" s="66" t="n"/>
      <c r="X12" s="67" t="n"/>
      <c r="Y12" s="66" t="n"/>
      <c r="Z12" s="67" t="n"/>
      <c r="AA12" s="66" t="n"/>
      <c r="AB12" s="67" t="n"/>
      <c r="AC12" s="63">
        <f>IF($A12="","",$K12-87-87)</f>
        <v/>
      </c>
      <c r="AD12" s="64">
        <f>IF($A12="","",$M12-87-87)</f>
        <v/>
      </c>
      <c r="AE12" s="65">
        <f>IF($A12="","",1*$D12)</f>
        <v/>
      </c>
    </row>
    <row r="13" ht="40.2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IF($A13="","",$G13)</f>
        <v/>
      </c>
      <c r="J13" s="60">
        <f>IF($A13="","",$L$56*$D13)</f>
        <v/>
      </c>
      <c r="K13" s="62">
        <f>IF($A13="","",$B13-$E$57-$F$57)</f>
        <v/>
      </c>
      <c r="L13" s="60">
        <f>IF($A13="","",$L$57*$D13)</f>
        <v/>
      </c>
      <c r="M13" s="62">
        <f>IF($A13="","",(($C13-$E$58-$F$58)))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IF($A13="","",$M13-$E$60-$F$60)</f>
        <v/>
      </c>
      <c r="R13" s="60">
        <f>IF($A13="","",$L$60*$D13)</f>
        <v/>
      </c>
      <c r="S13" s="62">
        <f>IF($A13="","",$G13)</f>
        <v/>
      </c>
      <c r="T13" s="60">
        <f>IF($A13="","",$L$61*$D13)</f>
        <v/>
      </c>
      <c r="U13" s="62" t="n"/>
      <c r="V13" s="60" t="n"/>
      <c r="W13" s="62" t="n"/>
      <c r="X13" s="60" t="n"/>
      <c r="Y13" s="62" t="n"/>
      <c r="Z13" s="60" t="n"/>
      <c r="AA13" s="62" t="n"/>
      <c r="AB13" s="60" t="n"/>
      <c r="AC13" s="63">
        <f>IF($A13="","",$K13-87-87)</f>
        <v/>
      </c>
      <c r="AD13" s="64">
        <f>IF($A13="","",$M13-87-87)</f>
        <v/>
      </c>
      <c r="AE13" s="65">
        <f>IF($A13="","",1*$D13)</f>
        <v/>
      </c>
    </row>
    <row r="14" ht="40.2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IF($A14="","",$G14)</f>
        <v/>
      </c>
      <c r="J14" s="67">
        <f>IF($A14="","",$L$56*$D14)</f>
        <v/>
      </c>
      <c r="K14" s="66">
        <f>IF($A14="","",$B14-$E$57-$F$57)</f>
        <v/>
      </c>
      <c r="L14" s="67">
        <f>IF($A14="","",$L$57*$D14)</f>
        <v/>
      </c>
      <c r="M14" s="66">
        <f>IF($A14="","",(($C14-$E$58-$F$58)))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IF($A14="","",$M14-$E$60-$F$60)</f>
        <v/>
      </c>
      <c r="R14" s="67">
        <f>IF($A14="","",$L$60*$D14)</f>
        <v/>
      </c>
      <c r="S14" s="66">
        <f>IF($A14="","",$G14)</f>
        <v/>
      </c>
      <c r="T14" s="67">
        <f>IF($A14="","",$L$61*$D14)</f>
        <v/>
      </c>
      <c r="U14" s="66" t="n"/>
      <c r="V14" s="67" t="n"/>
      <c r="W14" s="66" t="n"/>
      <c r="X14" s="67" t="n"/>
      <c r="Y14" s="66" t="n"/>
      <c r="Z14" s="67" t="n"/>
      <c r="AA14" s="66" t="n"/>
      <c r="AB14" s="67" t="n"/>
      <c r="AC14" s="63">
        <f>IF($A14="","",$K14-87-87)</f>
        <v/>
      </c>
      <c r="AD14" s="64">
        <f>IF($A14="","",$M14-87-87)</f>
        <v/>
      </c>
      <c r="AE14" s="65">
        <f>IF($A14="","",1*$D14)</f>
        <v/>
      </c>
    </row>
    <row r="15" ht="40.2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IF($A15="","",$G15)</f>
        <v/>
      </c>
      <c r="J15" s="60">
        <f>IF($A15="","",$L$56*$D15)</f>
        <v/>
      </c>
      <c r="K15" s="62">
        <f>IF($A15="","",$B15-$E$57-$F$57)</f>
        <v/>
      </c>
      <c r="L15" s="60">
        <f>IF($A15="","",$L$57*$D15)</f>
        <v/>
      </c>
      <c r="M15" s="62">
        <f>IF($A15="","",(($C15-$E$58-$F$58)))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IF($A15="","",$M15-$E$60-$F$60)</f>
        <v/>
      </c>
      <c r="R15" s="60">
        <f>IF($A15="","",$L$60*$D15)</f>
        <v/>
      </c>
      <c r="S15" s="62">
        <f>IF($A15="","",$G15)</f>
        <v/>
      </c>
      <c r="T15" s="60">
        <f>IF($A15="","",$L$61*$D15)</f>
        <v/>
      </c>
      <c r="U15" s="62" t="n"/>
      <c r="V15" s="60" t="n"/>
      <c r="W15" s="62" t="n"/>
      <c r="X15" s="60" t="n"/>
      <c r="Y15" s="62" t="n"/>
      <c r="Z15" s="60" t="n"/>
      <c r="AA15" s="62" t="n"/>
      <c r="AB15" s="60" t="n"/>
      <c r="AC15" s="63">
        <f>IF($A15="","",$K15-87-87)</f>
        <v/>
      </c>
      <c r="AD15" s="64">
        <f>IF($A15="","",$M15-87-87)</f>
        <v/>
      </c>
      <c r="AE15" s="65">
        <f>IF($A15="","",1*$D15)</f>
        <v/>
      </c>
    </row>
    <row r="16" ht="40.2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IF($A16="","",$G16)</f>
        <v/>
      </c>
      <c r="J16" s="67">
        <f>IF($A16="","",$L$56*$D16)</f>
        <v/>
      </c>
      <c r="K16" s="66">
        <f>IF($A16="","",$B16-$E$57-$F$57)</f>
        <v/>
      </c>
      <c r="L16" s="67">
        <f>IF($A16="","",$L$57*$D16)</f>
        <v/>
      </c>
      <c r="M16" s="66">
        <f>IF($A16="","",(($C16-$E$58-$F$58)))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IF($A16="","",$M16-$E$60-$F$60)</f>
        <v/>
      </c>
      <c r="R16" s="67">
        <f>IF($A16="","",$L$60*$D16)</f>
        <v/>
      </c>
      <c r="S16" s="66">
        <f>IF($A16="","",$G16)</f>
        <v/>
      </c>
      <c r="T16" s="67">
        <f>IF($A16="","",$L$61*$D16)</f>
        <v/>
      </c>
      <c r="U16" s="66" t="n"/>
      <c r="V16" s="67" t="n"/>
      <c r="W16" s="66" t="n"/>
      <c r="X16" s="67" t="n"/>
      <c r="Y16" s="66" t="n"/>
      <c r="Z16" s="67" t="n"/>
      <c r="AA16" s="66" t="n"/>
      <c r="AB16" s="67" t="n"/>
      <c r="AC16" s="63">
        <f>IF($A16="","",$K16-87-87)</f>
        <v/>
      </c>
      <c r="AD16" s="64">
        <f>IF($A16="","",$M16-87-87)</f>
        <v/>
      </c>
      <c r="AE16" s="65">
        <f>IF($A16="","",1*$D16)</f>
        <v/>
      </c>
    </row>
    <row r="17" ht="40.2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IF($A17="","",$G17)</f>
        <v/>
      </c>
      <c r="J17" s="60">
        <f>IF($A17="","",$L$56*$D17)</f>
        <v/>
      </c>
      <c r="K17" s="62">
        <f>IF($A17="","",$B17-$E$57-$F$57)</f>
        <v/>
      </c>
      <c r="L17" s="60">
        <f>IF($A17="","",$L$57*$D17)</f>
        <v/>
      </c>
      <c r="M17" s="62">
        <f>IF($A17="","",(($C17-$E$58-$F$58)))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IF($A17="","",$M17-$E$60-$F$60)</f>
        <v/>
      </c>
      <c r="R17" s="60">
        <f>IF($A17="","",$L$60*$D17)</f>
        <v/>
      </c>
      <c r="S17" s="62">
        <f>IF($A17="","",$G17)</f>
        <v/>
      </c>
      <c r="T17" s="60">
        <f>IF($A17="","",$L$61*$D17)</f>
        <v/>
      </c>
      <c r="U17" s="62" t="n"/>
      <c r="V17" s="60" t="n"/>
      <c r="W17" s="62" t="n"/>
      <c r="X17" s="60" t="n"/>
      <c r="Y17" s="62" t="n"/>
      <c r="Z17" s="60" t="n"/>
      <c r="AA17" s="62" t="n"/>
      <c r="AB17" s="60" t="n"/>
      <c r="AC17" s="63">
        <f>IF($A17="","",$K17-87-87)</f>
        <v/>
      </c>
      <c r="AD17" s="64">
        <f>IF($A17="","",$M17-87-87)</f>
        <v/>
      </c>
      <c r="AE17" s="65">
        <f>IF($A17="","",1*$D17)</f>
        <v/>
      </c>
    </row>
    <row r="18" ht="40.2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IF($A18="","",$G18)</f>
        <v/>
      </c>
      <c r="J18" s="67">
        <f>IF($A18="","",$L$56*$D18)</f>
        <v/>
      </c>
      <c r="K18" s="66">
        <f>IF($A18="","",$B18-$E$57-$F$57)</f>
        <v/>
      </c>
      <c r="L18" s="67">
        <f>IF($A18="","",$L$57*$D18)</f>
        <v/>
      </c>
      <c r="M18" s="66">
        <f>IF($A18="","",(($C18-$E$58-$F$58)))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IF($A18="","",$M18-$E$60-$F$60)</f>
        <v/>
      </c>
      <c r="R18" s="67">
        <f>IF($A18="","",$L$60*$D18)</f>
        <v/>
      </c>
      <c r="S18" s="66">
        <f>IF($A18="","",$G18)</f>
        <v/>
      </c>
      <c r="T18" s="67">
        <f>IF($A18="","",$L$61*$D18)</f>
        <v/>
      </c>
      <c r="U18" s="66" t="n"/>
      <c r="V18" s="67" t="n"/>
      <c r="W18" s="66" t="n"/>
      <c r="X18" s="67" t="n"/>
      <c r="Y18" s="66" t="n"/>
      <c r="Z18" s="67" t="n"/>
      <c r="AA18" s="66" t="n"/>
      <c r="AB18" s="67" t="n"/>
      <c r="AC18" s="63">
        <f>IF($A18="","",$K18-87-87)</f>
        <v/>
      </c>
      <c r="AD18" s="64">
        <f>IF($A18="","",$M18-87-87)</f>
        <v/>
      </c>
      <c r="AE18" s="65">
        <f>IF($A18="","",1*$D18)</f>
        <v/>
      </c>
    </row>
    <row r="19" ht="40.2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IF($A19="","",$G19)</f>
        <v/>
      </c>
      <c r="J19" s="60">
        <f>IF($A19="","",$L$56*$D19)</f>
        <v/>
      </c>
      <c r="K19" s="62">
        <f>IF($A19="","",$B19-$E$57-$F$57)</f>
        <v/>
      </c>
      <c r="L19" s="60">
        <f>IF($A19="","",$L$57*$D19)</f>
        <v/>
      </c>
      <c r="M19" s="62">
        <f>IF($A19="","",(($C19-$E$58-$F$58)))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IF($A19="","",$M19-$E$60-$F$60)</f>
        <v/>
      </c>
      <c r="R19" s="60">
        <f>IF($A19="","",$L$60*$D19)</f>
        <v/>
      </c>
      <c r="S19" s="62">
        <f>IF($A19="","",$G19)</f>
        <v/>
      </c>
      <c r="T19" s="60">
        <f>IF($A19="","",$L$61*$D19)</f>
        <v/>
      </c>
      <c r="U19" s="62" t="n"/>
      <c r="V19" s="60" t="n"/>
      <c r="W19" s="62" t="n"/>
      <c r="X19" s="60" t="n"/>
      <c r="Y19" s="62" t="n"/>
      <c r="Z19" s="60" t="n"/>
      <c r="AA19" s="62" t="n"/>
      <c r="AB19" s="60" t="n"/>
      <c r="AC19" s="63">
        <f>IF($A19="","",$K19-87-87)</f>
        <v/>
      </c>
      <c r="AD19" s="64">
        <f>IF($A19="","",$M19-87-87)</f>
        <v/>
      </c>
      <c r="AE19" s="65">
        <f>IF($A19="","",1*$D19)</f>
        <v/>
      </c>
    </row>
    <row r="20" ht="40.2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IF($A20="","",$G20)</f>
        <v/>
      </c>
      <c r="J20" s="67">
        <f>IF($A20="","",$L$56*$D20)</f>
        <v/>
      </c>
      <c r="K20" s="66">
        <f>IF($A20="","",$B20-$E$57-$F$57)</f>
        <v/>
      </c>
      <c r="L20" s="67">
        <f>IF($A20="","",$L$57*$D20)</f>
        <v/>
      </c>
      <c r="M20" s="66">
        <f>IF($A20="","",(($C20-$E$58-$F$58)))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IF($A20="","",$M20-$E$60-$F$60)</f>
        <v/>
      </c>
      <c r="R20" s="67">
        <f>IF($A20="","",$L$60*$D20)</f>
        <v/>
      </c>
      <c r="S20" s="66">
        <f>IF($A20="","",$G20)</f>
        <v/>
      </c>
      <c r="T20" s="67">
        <f>IF($A20="","",$L$61*$D20)</f>
        <v/>
      </c>
      <c r="U20" s="66" t="n"/>
      <c r="V20" s="67" t="n"/>
      <c r="W20" s="66" t="n"/>
      <c r="X20" s="67" t="n"/>
      <c r="Y20" s="66" t="n"/>
      <c r="Z20" s="67" t="n"/>
      <c r="AA20" s="66" t="n"/>
      <c r="AB20" s="67" t="n"/>
      <c r="AC20" s="63">
        <f>IF($A20="","",$K20-87-87)</f>
        <v/>
      </c>
      <c r="AD20" s="64">
        <f>IF($A20="","",$M20-87-87)</f>
        <v/>
      </c>
      <c r="AE20" s="65">
        <f>IF($A20="","",1*$D20)</f>
        <v/>
      </c>
    </row>
    <row r="21" ht="40.2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IF($A21="","",$G21)</f>
        <v/>
      </c>
      <c r="J21" s="60">
        <f>IF($A21="","",$L$56*$D21)</f>
        <v/>
      </c>
      <c r="K21" s="62">
        <f>IF($A21="","",$B21-$E$57-$F$57)</f>
        <v/>
      </c>
      <c r="L21" s="60">
        <f>IF($A21="","",$L$57*$D21)</f>
        <v/>
      </c>
      <c r="M21" s="62">
        <f>IF($A21="","",(($C21-$E$58-$F$58)))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IF($A21="","",$M21-$E$60-$F$60)</f>
        <v/>
      </c>
      <c r="R21" s="60">
        <f>IF($A21="","",$L$60*$D21)</f>
        <v/>
      </c>
      <c r="S21" s="62">
        <f>IF($A21="","",$G21)</f>
        <v/>
      </c>
      <c r="T21" s="60">
        <f>IF($A21="","",$L$61*$D21)</f>
        <v/>
      </c>
      <c r="U21" s="62" t="n"/>
      <c r="V21" s="60" t="n"/>
      <c r="W21" s="62" t="n"/>
      <c r="X21" s="60" t="n"/>
      <c r="Y21" s="62" t="n"/>
      <c r="Z21" s="60" t="n"/>
      <c r="AA21" s="62" t="n"/>
      <c r="AB21" s="60" t="n"/>
      <c r="AC21" s="63">
        <f>IF($A21="","",$K21-87-87)</f>
        <v/>
      </c>
      <c r="AD21" s="64">
        <f>IF($A21="","",$M21-87-87)</f>
        <v/>
      </c>
      <c r="AE21" s="65">
        <f>IF($A21="","",1*$D21)</f>
        <v/>
      </c>
    </row>
    <row r="22" ht="40.2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IF($A22="","",$G22)</f>
        <v/>
      </c>
      <c r="J22" s="67">
        <f>IF($A22="","",$L$56*$D22)</f>
        <v/>
      </c>
      <c r="K22" s="66">
        <f>IF($A22="","",$B22-$E$57-$F$57)</f>
        <v/>
      </c>
      <c r="L22" s="67">
        <f>IF($A22="","",$L$57*$D22)</f>
        <v/>
      </c>
      <c r="M22" s="66">
        <f>IF($A22="","",(($C22-$E$58-$F$58)))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IF($A22="","",$M22-$E$60-$F$60)</f>
        <v/>
      </c>
      <c r="R22" s="67">
        <f>IF($A22="","",$L$60*$D22)</f>
        <v/>
      </c>
      <c r="S22" s="66">
        <f>IF($A22="","",$G22)</f>
        <v/>
      </c>
      <c r="T22" s="67">
        <f>IF($A22="","",$L$61*$D22)</f>
        <v/>
      </c>
      <c r="U22" s="66" t="n"/>
      <c r="V22" s="67" t="n"/>
      <c r="W22" s="66" t="n"/>
      <c r="X22" s="67" t="n"/>
      <c r="Y22" s="66" t="n"/>
      <c r="Z22" s="67" t="n"/>
      <c r="AA22" s="66" t="n"/>
      <c r="AB22" s="67" t="n"/>
      <c r="AC22" s="63">
        <f>IF($A22="","",$K22-87-87)</f>
        <v/>
      </c>
      <c r="AD22" s="64">
        <f>IF($A22="","",$M22-87-87)</f>
        <v/>
      </c>
      <c r="AE22" s="65">
        <f>IF($A22="","",1*$D22)</f>
        <v/>
      </c>
    </row>
    <row r="23" ht="40.2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IF($A23="","",$G23)</f>
        <v/>
      </c>
      <c r="J23" s="60">
        <f>IF($A23="","",$L$56*$D23)</f>
        <v/>
      </c>
      <c r="K23" s="62">
        <f>IF($A23="","",$B23-$E$57-$F$57)</f>
        <v/>
      </c>
      <c r="L23" s="60">
        <f>IF($A23="","",$L$57*$D23)</f>
        <v/>
      </c>
      <c r="M23" s="62">
        <f>IF($A23="","",(($C23-$E$58-$F$58)))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IF($A23="","",$M23-$E$60-$F$60)</f>
        <v/>
      </c>
      <c r="R23" s="60">
        <f>IF($A23="","",$L$60*$D23)</f>
        <v/>
      </c>
      <c r="S23" s="62">
        <f>IF($A23="","",$G23)</f>
        <v/>
      </c>
      <c r="T23" s="60">
        <f>IF($A23="","",$L$61*$D23)</f>
        <v/>
      </c>
      <c r="U23" s="62" t="n"/>
      <c r="V23" s="60" t="n"/>
      <c r="W23" s="62" t="n"/>
      <c r="X23" s="60" t="n"/>
      <c r="Y23" s="62" t="n"/>
      <c r="Z23" s="60" t="n"/>
      <c r="AA23" s="62" t="n"/>
      <c r="AB23" s="60" t="n"/>
      <c r="AC23" s="63">
        <f>IF($A23="","",$K23-87-87)</f>
        <v/>
      </c>
      <c r="AD23" s="64">
        <f>IF($A23="","",$M23-87-87)</f>
        <v/>
      </c>
      <c r="AE23" s="65">
        <f>IF($A23="","",1*$D23)</f>
        <v/>
      </c>
    </row>
    <row r="24" ht="40.2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IF($A24="","",$G24)</f>
        <v/>
      </c>
      <c r="J24" s="67">
        <f>IF($A24="","",$L$56*$D24)</f>
        <v/>
      </c>
      <c r="K24" s="66">
        <f>IF($A24="","",$B24-$E$57-$F$57)</f>
        <v/>
      </c>
      <c r="L24" s="67">
        <f>IF($A24="","",$L$57*$D24)</f>
        <v/>
      </c>
      <c r="M24" s="66">
        <f>IF($A24="","",(($C24-$E$58-$F$58)))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IF($A24="","",$M24-$E$60-$F$60)</f>
        <v/>
      </c>
      <c r="R24" s="67">
        <f>IF($A24="","",$L$60*$D24)</f>
        <v/>
      </c>
      <c r="S24" s="66">
        <f>IF($A24="","",$G24)</f>
        <v/>
      </c>
      <c r="T24" s="67">
        <f>IF($A24="","",$L$61*$D24)</f>
        <v/>
      </c>
      <c r="U24" s="66" t="n"/>
      <c r="V24" s="67" t="n"/>
      <c r="W24" s="66" t="n"/>
      <c r="X24" s="67" t="n"/>
      <c r="Y24" s="66" t="n"/>
      <c r="Z24" s="67" t="n"/>
      <c r="AA24" s="66" t="n"/>
      <c r="AB24" s="67" t="n"/>
      <c r="AC24" s="63">
        <f>IF($A24="","",$K24-87-87)</f>
        <v/>
      </c>
      <c r="AD24" s="64">
        <f>IF($A24="","",$M24-87-87)</f>
        <v/>
      </c>
      <c r="AE24" s="65">
        <f>IF($A24="","",1*$D24)</f>
        <v/>
      </c>
    </row>
    <row r="25" ht="40.2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IF($A25="","",$G25)</f>
        <v/>
      </c>
      <c r="J25" s="60">
        <f>IF($A25="","",$L$56*$D25)</f>
        <v/>
      </c>
      <c r="K25" s="62">
        <f>IF($A25="","",$B25-$E$57-$F$57)</f>
        <v/>
      </c>
      <c r="L25" s="60">
        <f>IF($A25="","",$L$57*$D25)</f>
        <v/>
      </c>
      <c r="M25" s="62">
        <f>IF($A25="","",(($C25-$E$58-$F$58)))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IF($A25="","",$M25-$E$60-$F$60)</f>
        <v/>
      </c>
      <c r="R25" s="60">
        <f>IF($A25="","",$L$60*$D25)</f>
        <v/>
      </c>
      <c r="S25" s="62">
        <f>IF($A25="","",$G25)</f>
        <v/>
      </c>
      <c r="T25" s="60">
        <f>IF($A25="","",$L$61*$D25)</f>
        <v/>
      </c>
      <c r="U25" s="62" t="n"/>
      <c r="V25" s="60" t="n"/>
      <c r="W25" s="62" t="n"/>
      <c r="X25" s="60" t="n"/>
      <c r="Y25" s="62" t="n"/>
      <c r="Z25" s="60" t="n"/>
      <c r="AA25" s="62" t="n"/>
      <c r="AB25" s="60" t="n"/>
      <c r="AC25" s="63">
        <f>IF($A25="","",$K25-87-87)</f>
        <v/>
      </c>
      <c r="AD25" s="64">
        <f>IF($A25="","",$M25-87-87)</f>
        <v/>
      </c>
      <c r="AE25" s="65">
        <f>IF($A25="","",1*$D25)</f>
        <v/>
      </c>
    </row>
    <row r="26" ht="40.2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IF($A26="","",$G26)</f>
        <v/>
      </c>
      <c r="J26" s="67">
        <f>IF($A26="","",$L$56*$D26)</f>
        <v/>
      </c>
      <c r="K26" s="66">
        <f>IF($A26="","",$B26-$E$57-$F$57)</f>
        <v/>
      </c>
      <c r="L26" s="67">
        <f>IF($A26="","",$L$57*$D26)</f>
        <v/>
      </c>
      <c r="M26" s="66">
        <f>IF($A26="","",(($C26-$E$58-$F$58)))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IF($A26="","",$M26-$E$60-$F$60)</f>
        <v/>
      </c>
      <c r="R26" s="67">
        <f>IF($A26="","",$L$60*$D26)</f>
        <v/>
      </c>
      <c r="S26" s="66">
        <f>IF($A26="","",$G26)</f>
        <v/>
      </c>
      <c r="T26" s="67">
        <f>IF($A26="","",$L$61*$D26)</f>
        <v/>
      </c>
      <c r="U26" s="66" t="n"/>
      <c r="V26" s="67" t="n"/>
      <c r="W26" s="66" t="n"/>
      <c r="X26" s="67" t="n"/>
      <c r="Y26" s="66" t="n"/>
      <c r="Z26" s="67" t="n"/>
      <c r="AA26" s="66" t="n"/>
      <c r="AB26" s="67" t="n"/>
      <c r="AC26" s="63">
        <f>IF($A26="","",$K26-87-87)</f>
        <v/>
      </c>
      <c r="AD26" s="64">
        <f>IF($A26="","",$M26-87-87)</f>
        <v/>
      </c>
      <c r="AE26" s="65">
        <f>IF($A26="","",1*$D26)</f>
        <v/>
      </c>
    </row>
    <row r="27" ht="40.2" customHeight="1">
      <c r="A27" s="58" t="n"/>
      <c r="B27" s="59" t="n"/>
      <c r="C27" s="60" t="n"/>
      <c r="D27" s="61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IF($A27="","",$G27)</f>
        <v/>
      </c>
      <c r="J27" s="60">
        <f>IF($A27="","",$L$56*$D27)</f>
        <v/>
      </c>
      <c r="K27" s="62">
        <f>IF($A27="","",$B27-$E$57-$F$57)</f>
        <v/>
      </c>
      <c r="L27" s="60">
        <f>IF($A27="","",$L$57*$D27)</f>
        <v/>
      </c>
      <c r="M27" s="62">
        <f>IF($A27="","",(($C27-$E$58-$F$58)))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IF($A27="","",$M27-$E$60-$F$60)</f>
        <v/>
      </c>
      <c r="R27" s="60">
        <f>IF($A27="","",$L$60*$D27)</f>
        <v/>
      </c>
      <c r="S27" s="62">
        <f>IF($A27="","",$G27)</f>
        <v/>
      </c>
      <c r="T27" s="60">
        <f>IF($A27="","",$L$61*$D27)</f>
        <v/>
      </c>
      <c r="U27" s="62" t="n"/>
      <c r="V27" s="60" t="n"/>
      <c r="W27" s="62" t="n"/>
      <c r="X27" s="60" t="n"/>
      <c r="Y27" s="62" t="n"/>
      <c r="Z27" s="60" t="n"/>
      <c r="AA27" s="62" t="n"/>
      <c r="AB27" s="60" t="n"/>
      <c r="AC27" s="63">
        <f>IF($A27="","",$K27-87-87)</f>
        <v/>
      </c>
      <c r="AD27" s="64">
        <f>IF($A27="","",$M27-87-87)</f>
        <v/>
      </c>
      <c r="AE27" s="65">
        <f>IF($A27="","",1*$D27)</f>
        <v/>
      </c>
    </row>
    <row r="28" ht="40.2" customHeight="1">
      <c r="A28" s="58" t="n"/>
      <c r="B28" s="59" t="n"/>
      <c r="C28" s="60" t="n"/>
      <c r="D28" s="61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IF($A28="","",$G28)</f>
        <v/>
      </c>
      <c r="J28" s="67">
        <f>IF($A28="","",$L$56*$D28)</f>
        <v/>
      </c>
      <c r="K28" s="66">
        <f>IF($A28="","",$B28-$E$57-$F$57)</f>
        <v/>
      </c>
      <c r="L28" s="67">
        <f>IF($A28="","",$L$57*$D28)</f>
        <v/>
      </c>
      <c r="M28" s="66">
        <f>IF($A28="","",(($C28-$E$58-$F$58)))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IF($A28="","",$M28-$E$60-$F$60)</f>
        <v/>
      </c>
      <c r="R28" s="67">
        <f>IF($A28="","",$L$60*$D28)</f>
        <v/>
      </c>
      <c r="S28" s="66">
        <f>IF($A28="","",$G28)</f>
        <v/>
      </c>
      <c r="T28" s="67">
        <f>IF($A28="","",$L$61*$D28)</f>
        <v/>
      </c>
      <c r="U28" s="66" t="n"/>
      <c r="V28" s="67" t="n"/>
      <c r="W28" s="66" t="n"/>
      <c r="X28" s="67" t="n"/>
      <c r="Y28" s="66" t="n"/>
      <c r="Z28" s="67" t="n"/>
      <c r="AA28" s="66" t="n"/>
      <c r="AB28" s="67" t="n"/>
      <c r="AC28" s="63">
        <f>IF($A28="","",$K28-87-87)</f>
        <v/>
      </c>
      <c r="AD28" s="64">
        <f>IF($A28="","",$M28-87-87)</f>
        <v/>
      </c>
      <c r="AE28" s="65">
        <f>IF($A28="","",1*$D28)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71">
        <f>E$7</f>
        <v/>
      </c>
      <c r="F30" s="19" t="n"/>
      <c r="G30" s="20" t="n"/>
      <c r="H30" s="71">
        <f>(ROUNDUP(SUM(F49:H49)/6400,0))</f>
        <v/>
      </c>
      <c r="I30" s="71">
        <f>I$7</f>
        <v/>
      </c>
      <c r="J30" s="71">
        <f>(ROUNDUP(J49/6400,0))</f>
        <v/>
      </c>
      <c r="K30" s="71">
        <f>K$7</f>
        <v/>
      </c>
      <c r="L30" s="19" t="n"/>
      <c r="M30" s="20" t="n"/>
      <c r="N30" s="71">
        <f>(ROUNDUP(SUM(L49:N49)/6400,0))</f>
        <v/>
      </c>
      <c r="O30" s="71">
        <f>O$7</f>
        <v/>
      </c>
      <c r="P30" s="19" t="n"/>
      <c r="Q30" s="20" t="n"/>
      <c r="R30" s="71">
        <f>(ROUNDUP(SUM(P49:R49)/6400,0))</f>
        <v/>
      </c>
      <c r="S30" s="71">
        <f>S$7</f>
        <v/>
      </c>
      <c r="T30" s="71">
        <f>(ROUNDUP(T49/6400,0))</f>
        <v/>
      </c>
      <c r="U30" s="71">
        <f>U$7</f>
        <v/>
      </c>
      <c r="V30" s="19" t="n"/>
      <c r="W30" s="20" t="n"/>
      <c r="X30" s="71">
        <f>(ROUNDUP(SUM(V49:X49)/6400,0))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71">
        <f>(ROUNDUP(AB49/6400,0))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P49" s="73">
        <f>SUMIF(P31:P48,"&gt;0")</f>
        <v/>
      </c>
      <c r="Q49" s="73" t="n"/>
      <c r="R49" s="73">
        <f>SUMIF(R31:R48,"&gt;0")</f>
        <v/>
      </c>
      <c r="S49" s="73" t="n"/>
      <c r="T49" s="73">
        <f>SUMIF(T31:T48,"&gt;0")</f>
        <v/>
      </c>
      <c r="U49" s="73" t="n"/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B49" s="73">
        <f>SUMIF(AB31:AB48,"&gt;0")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 ล่าง</t>
        </is>
      </c>
      <c r="C56" s="79" t="inlineStr">
        <is>
          <t>F7938</t>
        </is>
      </c>
      <c r="D56" s="80" t="inlineStr">
        <is>
          <t>กว้าง-25-25</t>
        </is>
      </c>
      <c r="E56" s="81" t="n"/>
      <c r="F56" s="81" t="n"/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เสา</t>
        </is>
      </c>
      <c r="C57" s="79">
        <f>IF($D$4="8 cm · 7943B","7943B","7864")</f>
        <v/>
      </c>
      <c r="D57" s="80" t="inlineStr">
        <is>
          <t>สูง-18.5-18.5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>
        <v>2</v>
      </c>
    </row>
    <row r="58" ht="15" customHeight="1">
      <c r="A58" s="77" t="n">
        <v>5</v>
      </c>
      <c r="B58" s="78" t="inlineStr">
        <is>
          <t>ขวาง</t>
        </is>
      </c>
      <c r="C58" s="79" t="inlineStr">
        <is>
          <t>-</t>
        </is>
      </c>
      <c r="D58" s="80" t="inlineStr">
        <is>
          <t>กว้าง-18.5-18.5</t>
        </is>
      </c>
      <c r="E58" s="82" t="n">
        <v>18.5</v>
      </c>
      <c r="F58" s="82" t="n">
        <v>18.5</v>
      </c>
      <c r="G58" s="81" t="n"/>
      <c r="H58" s="81" t="n"/>
      <c r="I58" s="81" t="n"/>
      <c r="J58" s="81" t="n"/>
      <c r="K58" s="81" t="n"/>
      <c r="L58" s="82" t="n">
        <v>2</v>
      </c>
    </row>
    <row r="59" ht="15" customHeight="1">
      <c r="A59" s="77" t="n">
        <v>6</v>
      </c>
      <c r="B59" s="78" t="inlineStr">
        <is>
          <t>คิ้ว ตั้ง</t>
        </is>
      </c>
      <c r="C59" s="79" t="inlineStr">
        <is>
          <t>F7935</t>
        </is>
      </c>
      <c r="D59" s="80" t="inlineStr">
        <is>
          <t>เสา-100-100</t>
        </is>
      </c>
      <c r="E59" s="82">
        <f>IF($D$4="8 cm · 7943B",80,100)</f>
        <v/>
      </c>
      <c r="F59" s="82">
        <f>IF($D$4="8 cm · 7943B",80,100)</f>
        <v/>
      </c>
      <c r="G59" s="81" t="n"/>
      <c r="H59" s="81" t="n"/>
      <c r="I59" s="81" t="n"/>
      <c r="J59" s="81" t="n"/>
      <c r="K59" s="81" t="n"/>
      <c r="L59" s="82" t="n">
        <v>2</v>
      </c>
    </row>
    <row r="60" ht="15" customHeight="1">
      <c r="A60" s="77" t="n">
        <v>7</v>
      </c>
      <c r="B60" s="78" t="inlineStr">
        <is>
          <t>คิ้ว ขวาง</t>
        </is>
      </c>
      <c r="C60" s="79" t="inlineStr">
        <is>
          <t>-</t>
        </is>
      </c>
      <c r="D60" s="80" t="inlineStr">
        <is>
          <t>ขวาง-80-80</t>
        </is>
      </c>
      <c r="E60" s="82">
        <f>IF($D$4="8 cm · 7943B",60,80)</f>
        <v/>
      </c>
      <c r="F60" s="82">
        <f>IF($D$4="8 cm · 7943B",60,80)</f>
        <v/>
      </c>
      <c r="G60" s="81" t="n"/>
      <c r="H60" s="81" t="n"/>
      <c r="I60" s="81" t="n"/>
      <c r="J60" s="81" t="n"/>
      <c r="K60" s="81" t="n"/>
      <c r="L60" s="82" t="n">
        <v>2</v>
      </c>
    </row>
    <row r="61" ht="15" customHeight="1">
      <c r="A61" s="77" t="n">
        <v>8</v>
      </c>
      <c r="B61" s="78" t="inlineStr">
        <is>
          <t>ตบธรณี</t>
        </is>
      </c>
      <c r="C61" s="79" t="inlineStr">
        <is>
          <t>F7960</t>
        </is>
      </c>
      <c r="D61" s="80" t="inlineStr">
        <is>
          <t>เท่าเฟรมล่าง</t>
        </is>
      </c>
      <c r="E61" s="81" t="n"/>
      <c r="F61" s="81" t="n"/>
      <c r="G61" s="81" t="n"/>
      <c r="H61" s="81" t="n"/>
      <c r="I61" s="81" t="n"/>
      <c r="J61" s="81" t="n"/>
      <c r="K61" s="81" t="n"/>
      <c r="L61" s="82" t="n">
        <v>1</v>
      </c>
    </row>
    <row r="63">
      <c r="A63" s="152" t="inlineStr">
        <is>
          <t>⑥ อุปกรณ์ ต่อ 1 บาน — คูณจำนวนบานที่ผลิต</t>
        </is>
      </c>
      <c r="F63" s="153" t="inlineStr">
        <is>
          <t>ต่อบาน</t>
        </is>
      </c>
    </row>
    <row r="64">
      <c r="A64" s="154" t="inlineStr">
        <is>
          <t>1. บานพับ hyda (สูง&gt;3ม./บานกว้าง&gt;1.2ม.=5)</t>
        </is>
      </c>
      <c r="F64" s="155" t="n">
        <v>4</v>
      </c>
    </row>
    <row r="65">
      <c r="A65" s="154" t="inlineStr">
        <is>
          <t>2. มือจับ + ล็อค</t>
        </is>
      </c>
      <c r="F65" s="155" t="n">
        <v>1</v>
      </c>
    </row>
    <row r="66">
      <c r="A66" s="154" t="inlineStr">
        <is>
          <t>3. กลอน (ใบลอง)</t>
        </is>
      </c>
      <c r="F66" s="155" t="n">
        <v>1</v>
      </c>
    </row>
    <row r="67">
      <c r="A67" s="154" t="inlineStr">
        <is>
          <t>4. น็อตเฟรม (มีธรณี8/ไม่มี6)</t>
        </is>
      </c>
      <c r="F67" s="155" t="n">
        <v>8</v>
      </c>
    </row>
    <row r="68">
      <c r="A68" s="156" t="inlineStr">
        <is>
          <t>+ ยาง/ซิลิโคน = ตามขนาด (ดูชีทคิดทุน)</t>
        </is>
      </c>
    </row>
  </sheetData>
  <mergeCells count="60">
    <mergeCell ref="U9:V9"/>
    <mergeCell ref="I6:J6"/>
    <mergeCell ref="A64:E64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Y9:Z9"/>
    <mergeCell ref="E8:F8"/>
    <mergeCell ref="Q8:R8"/>
    <mergeCell ref="AA9:AB9"/>
    <mergeCell ref="S8:T8"/>
    <mergeCell ref="A65:E65"/>
    <mergeCell ref="AA6:AB6"/>
    <mergeCell ref="S7:T7"/>
    <mergeCell ref="I7:J7"/>
    <mergeCell ref="O7:R7"/>
    <mergeCell ref="A30:D30"/>
    <mergeCell ref="G6:H6"/>
    <mergeCell ref="A66:E66"/>
    <mergeCell ref="E9:F9"/>
    <mergeCell ref="A8:A9"/>
    <mergeCell ref="Y7:Z7"/>
    <mergeCell ref="E6:F6"/>
    <mergeCell ref="AA7:AB7"/>
    <mergeCell ref="A6:D6"/>
    <mergeCell ref="K8:L8"/>
    <mergeCell ref="M6:N6"/>
    <mergeCell ref="A68:F68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M8:N8"/>
    <mergeCell ref="O8:P8"/>
    <mergeCell ref="U8:V8"/>
    <mergeCell ref="W8:X8"/>
    <mergeCell ref="B8:C9"/>
    <mergeCell ref="A63:E63"/>
    <mergeCell ref="U7:X7"/>
    <mergeCell ref="O30:Q30"/>
    <mergeCell ref="U30:W30"/>
    <mergeCell ref="Y8:Z8"/>
    <mergeCell ref="K6:L6"/>
    <mergeCell ref="G9:H9"/>
    <mergeCell ref="AA8:AB8"/>
    <mergeCell ref="I9:J9"/>
    <mergeCell ref="A67:E67"/>
  </mergeCells>
  <dataValidations count="1">
    <dataValidation sqref="D4" showDropDown="0" showInputMessage="0" showErrorMessage="0" allowBlank="0" type="list">
      <formula1>"10 cm · 7864,8 cm · 7943B"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7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12.69921875" customWidth="1" min="30" max="30"/>
    <col width="8.69921875" customWidth="1" min="31" max="31"/>
    <col width="8.8984375" customWidth="1" min="32" max="32"/>
  </cols>
  <sheetData>
    <row r="1" ht="40.2" customHeight="1">
      <c r="A1" s="2" t="inlineStr">
        <is>
          <t>JR ALUMINIUM &amp; GLASS  —  ใบรายการตัด · FUJI ประตูเดี่ยว ไม่มีธรณี   (หน่วย: มม.)</t>
        </is>
      </c>
      <c r="B1" s="3" t="n"/>
      <c r="D1" s="4" t="n"/>
      <c r="E1" s="5" t="n"/>
      <c r="F1" s="4" t="n"/>
      <c r="G1" s="6" t="n"/>
      <c r="H1" s="6" t="n"/>
      <c r="I1" s="4" t="n"/>
      <c r="J1" s="4" t="n"/>
      <c r="K1" s="6" t="n"/>
      <c r="L1" s="6" t="n"/>
      <c r="M1" s="7" t="n"/>
      <c r="N1" s="7" t="n"/>
      <c r="O1" s="4" t="n"/>
      <c r="P1" s="8" t="n"/>
      <c r="Q1" s="4" t="n"/>
      <c r="R1" s="4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t="40.2" customHeight="1">
      <c r="A2" s="6" t="n"/>
      <c r="B2" s="6" t="n"/>
      <c r="C2" s="6" t="n"/>
      <c r="D2" s="6" t="n"/>
      <c r="E2" s="9" t="n"/>
      <c r="F2" s="6" t="n"/>
      <c r="G2" s="10" t="n"/>
      <c r="H2" s="10" t="n"/>
      <c r="I2" s="6" t="n"/>
      <c r="J2" s="6" t="n"/>
      <c r="K2" s="6" t="n"/>
      <c r="L2" s="6" t="n"/>
      <c r="M2" s="10" t="n"/>
      <c r="N2" s="10" t="n"/>
      <c r="O2" s="6" t="n"/>
      <c r="P2" s="6" t="n"/>
      <c r="Q2" s="6" t="n"/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40.2" customHeight="1">
      <c r="A3" s="6" t="n"/>
      <c r="B3" s="6" t="n"/>
      <c r="C3" s="6" t="n"/>
      <c r="D3" s="6" t="n"/>
      <c r="E3" s="9" t="n"/>
      <c r="F3" s="6" t="n"/>
      <c r="I3" s="6" t="n"/>
      <c r="J3" s="6" t="n"/>
      <c r="K3" s="6" t="n"/>
      <c r="L3" s="6" t="n"/>
      <c r="M3" s="11" t="n"/>
      <c r="N3" s="11" t="n"/>
      <c r="O3" s="6" t="n"/>
      <c r="P3" s="6" t="n"/>
      <c r="Q3" s="6" t="n"/>
      <c r="R3" s="6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40.2" customHeight="1">
      <c r="A4" s="149" t="inlineStr">
        <is>
          <t>เลือกกรอบบาน →</t>
        </is>
      </c>
      <c r="B4" s="6" t="n"/>
      <c r="C4" s="6" t="n"/>
      <c r="D4" s="150" t="inlineStr">
        <is>
          <t>10 cm · 7864</t>
        </is>
      </c>
      <c r="F4" s="6" t="n"/>
      <c r="I4" s="6" t="n"/>
      <c r="J4" s="6" t="n"/>
      <c r="K4" s="6" t="n"/>
      <c r="L4" s="6" t="n"/>
      <c r="O4" s="6" t="n"/>
      <c r="P4" s="6" t="n"/>
      <c r="Q4" s="6" t="n"/>
      <c r="R4" s="6" t="n"/>
    </row>
    <row r="5" ht="40.2" customHeight="1">
      <c r="A5" s="151" t="inlineStr">
        <is>
          <t>(8cm→ลดคิ้วตั้ง80/ขวาง60 · 10cm→100/80)</t>
        </is>
      </c>
      <c r="B5" s="6" t="n"/>
      <c r="C5" s="6" t="n"/>
      <c r="D5" s="6" t="n"/>
      <c r="E5" s="9" t="n"/>
      <c r="F5" s="6" t="n"/>
      <c r="I5" s="6" t="n"/>
      <c r="J5" s="6" t="n"/>
      <c r="L5" s="6" t="n"/>
      <c r="O5" s="6" t="n"/>
      <c r="P5" s="6" t="n"/>
      <c r="Q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สูง-18.5-7</t>
        </is>
      </c>
      <c r="J6" s="16" t="n"/>
      <c r="K6" s="15" t="inlineStr">
        <is>
          <t>กว้าง-18.5-18.5</t>
        </is>
      </c>
      <c r="L6" s="16" t="n"/>
      <c r="M6" s="15" t="inlineStr">
        <is>
          <t>เสา-100-100</t>
        </is>
      </c>
      <c r="N6" s="16" t="n"/>
      <c r="O6" s="15" t="inlineStr">
        <is>
          <t>ขวาง-80-80</t>
        </is>
      </c>
      <c r="P6" s="16" t="n"/>
      <c r="Q6" s="15" t="inlineStr">
        <is>
          <t>เท่าขวาง</t>
        </is>
      </c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7" t="n"/>
      <c r="AD6" s="17" t="n"/>
      <c r="AE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F7859</t>
        </is>
      </c>
      <c r="F7" s="13" t="n"/>
      <c r="G7" s="13" t="n"/>
      <c r="H7" s="14" t="n"/>
      <c r="I7" s="21" t="inlineStr">
        <is>
          <t>F7864</t>
        </is>
      </c>
      <c r="J7" s="13" t="n"/>
      <c r="K7" s="13" t="n"/>
      <c r="L7" s="14" t="n"/>
      <c r="M7" s="21" t="inlineStr">
        <is>
          <t>F7935</t>
        </is>
      </c>
      <c r="N7" s="13" t="n"/>
      <c r="O7" s="13" t="n"/>
      <c r="P7" s="14" t="n"/>
      <c r="Q7" s="22" t="inlineStr">
        <is>
          <t>F7863</t>
        </is>
      </c>
      <c r="R7" s="14" t="n"/>
      <c r="S7" s="23" t="n"/>
      <c r="T7" s="13" t="n"/>
      <c r="U7" s="13" t="n"/>
      <c r="V7" s="14" t="n"/>
      <c r="W7" s="21" t="n"/>
      <c r="X7" s="14" t="n"/>
      <c r="Y7" s="23" t="n"/>
      <c r="Z7" s="14" t="n"/>
      <c r="AA7" s="24" t="n"/>
      <c r="AB7" s="14" t="n"/>
      <c r="AC7" s="25" t="n"/>
      <c r="AD7" s="26" t="inlineStr">
        <is>
          <t>ขนาดกระจก</t>
        </is>
      </c>
      <c r="AE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1" t="n"/>
      <c r="J8" s="32" t="n"/>
      <c r="K8" s="33" t="n"/>
      <c r="L8" s="34" t="n"/>
      <c r="M8" s="31" t="n"/>
      <c r="N8" s="32" t="n"/>
      <c r="O8" s="33" t="n"/>
      <c r="P8" s="34" t="n"/>
      <c r="Q8" s="33" t="n"/>
      <c r="R8" s="34" t="n"/>
      <c r="S8" s="31" t="n"/>
      <c r="T8" s="32" t="n"/>
      <c r="U8" s="33" t="n"/>
      <c r="V8" s="34" t="n"/>
      <c r="W8" s="35" t="n"/>
      <c r="X8" s="34" t="n"/>
      <c r="Y8" s="35" t="n"/>
      <c r="Z8" s="34" t="n"/>
      <c r="AA8" s="33" t="n"/>
      <c r="AB8" s="34" t="n"/>
      <c r="AC8" s="36" t="n"/>
      <c r="AD8" s="37" t="inlineStr">
        <is>
          <t>กรอบบาน</t>
        </is>
      </c>
      <c r="AE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ชายล่าง</t>
        </is>
      </c>
      <c r="R9" s="43" t="n"/>
      <c r="S9" s="42" t="n"/>
      <c r="T9" s="43" t="n"/>
      <c r="U9" s="42" t="n"/>
      <c r="V9" s="43" t="n"/>
      <c r="W9" s="42" t="n"/>
      <c r="X9" s="43" t="n"/>
      <c r="Y9" s="44" t="n"/>
      <c r="Z9" s="43" t="n"/>
      <c r="AA9" s="42" t="n"/>
      <c r="AB9" s="43" t="n"/>
      <c r="AC9" s="45" t="inlineStr">
        <is>
          <t>SH-87-87</t>
        </is>
      </c>
      <c r="AD9" s="46" t="inlineStr">
        <is>
          <t>SW-67-67</t>
        </is>
      </c>
      <c r="AE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5" t="inlineStr">
        <is>
          <t>H</t>
        </is>
      </c>
      <c r="AD10" s="56" t="inlineStr">
        <is>
          <t>W</t>
        </is>
      </c>
      <c r="AE10" s="57" t="inlineStr">
        <is>
          <t>จำนวน</t>
        </is>
      </c>
    </row>
    <row r="11" ht="40.2" customHeight="1">
      <c r="A11" s="58" t="inlineStr">
        <is>
          <t>D1</t>
        </is>
      </c>
      <c r="B11" s="59" t="n">
        <v>400</v>
      </c>
      <c r="C11" s="60" t="n">
        <v>600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IF($A11="","",$B11-$E$56-$F$56)</f>
        <v/>
      </c>
      <c r="J11" s="60">
        <f>IF($A11="","",$L$56*$D11)</f>
        <v/>
      </c>
      <c r="K11" s="62">
        <f>IF($A11="","",(($C11-$E$57-$F$57)))</f>
        <v/>
      </c>
      <c r="L11" s="60">
        <f>IF($A11="","",$L$57*$D11)</f>
        <v/>
      </c>
      <c r="M11" s="62">
        <f>IF($A11="","",$I11-$E$58-$F$58)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IF($A11="","",$K11)</f>
        <v/>
      </c>
      <c r="R11" s="60">
        <f>IF($A11="","",$L$60*$D11)</f>
        <v/>
      </c>
      <c r="S11" s="62" t="n"/>
      <c r="T11" s="60" t="n"/>
      <c r="U11" s="62" t="n"/>
      <c r="V11" s="60" t="n"/>
      <c r="W11" s="62" t="n"/>
      <c r="X11" s="60" t="n"/>
      <c r="Y11" s="62" t="n"/>
      <c r="Z11" s="60" t="n"/>
      <c r="AA11" s="62" t="n"/>
      <c r="AB11" s="60" t="n"/>
      <c r="AC11" s="63">
        <f>IF($A11="","",$I11-87-87)</f>
        <v/>
      </c>
      <c r="AD11" s="64">
        <f>IF($A11="","",$K11-87-87)</f>
        <v/>
      </c>
      <c r="AE11" s="65">
        <f>IF($A11="","",1*$D11)</f>
        <v/>
      </c>
    </row>
    <row r="12" ht="40.2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IF($A12="","",$B12-$E$56-$F$56)</f>
        <v/>
      </c>
      <c r="J12" s="67">
        <f>IF($A12="","",$L$56*$D12)</f>
        <v/>
      </c>
      <c r="K12" s="66">
        <f>IF($A12="","",(($C12-$E$57-$F$57)))</f>
        <v/>
      </c>
      <c r="L12" s="67">
        <f>IF($A12="","",$L$57*$D12)</f>
        <v/>
      </c>
      <c r="M12" s="66">
        <f>IF($A12="","",$I12-$E$58-$F$58)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IF($A12="","",$K12)</f>
        <v/>
      </c>
      <c r="R12" s="67">
        <f>IF($A12="","",$L$60*$D12)</f>
        <v/>
      </c>
      <c r="S12" s="66" t="n"/>
      <c r="T12" s="67" t="n"/>
      <c r="U12" s="66" t="n"/>
      <c r="V12" s="67" t="n"/>
      <c r="W12" s="66" t="n"/>
      <c r="X12" s="67" t="n"/>
      <c r="Y12" s="66" t="n"/>
      <c r="Z12" s="67" t="n"/>
      <c r="AA12" s="66" t="n"/>
      <c r="AB12" s="67" t="n"/>
      <c r="AC12" s="63">
        <f>IF($A12="","",$I12-87-87)</f>
        <v/>
      </c>
      <c r="AD12" s="64">
        <f>IF($A12="","",$K12-87-87)</f>
        <v/>
      </c>
      <c r="AE12" s="65">
        <f>IF($A12="","",1*$D12)</f>
        <v/>
      </c>
    </row>
    <row r="13" ht="40.2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IF($A13="","",$B13-$E$56-$F$56)</f>
        <v/>
      </c>
      <c r="J13" s="60">
        <f>IF($A13="","",$L$56*$D13)</f>
        <v/>
      </c>
      <c r="K13" s="62">
        <f>IF($A13="","",(($C13-$E$57-$F$57)))</f>
        <v/>
      </c>
      <c r="L13" s="60">
        <f>IF($A13="","",$L$57*$D13)</f>
        <v/>
      </c>
      <c r="M13" s="62">
        <f>IF($A13="","",$I13-$E$58-$F$58)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IF($A13="","",$K13)</f>
        <v/>
      </c>
      <c r="R13" s="60">
        <f>IF($A13="","",$L$60*$D13)</f>
        <v/>
      </c>
      <c r="S13" s="62" t="n"/>
      <c r="T13" s="60" t="n"/>
      <c r="U13" s="62" t="n"/>
      <c r="V13" s="60" t="n"/>
      <c r="W13" s="62" t="n"/>
      <c r="X13" s="60" t="n"/>
      <c r="Y13" s="62" t="n"/>
      <c r="Z13" s="60" t="n"/>
      <c r="AA13" s="62" t="n"/>
      <c r="AB13" s="60" t="n"/>
      <c r="AC13" s="63">
        <f>IF($A13="","",$I13-87-87)</f>
        <v/>
      </c>
      <c r="AD13" s="64">
        <f>IF($A13="","",$K13-87-87)</f>
        <v/>
      </c>
      <c r="AE13" s="65">
        <f>IF($A13="","",1*$D13)</f>
        <v/>
      </c>
    </row>
    <row r="14" ht="40.2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IF($A14="","",$B14-$E$56-$F$56)</f>
        <v/>
      </c>
      <c r="J14" s="67">
        <f>IF($A14="","",$L$56*$D14)</f>
        <v/>
      </c>
      <c r="K14" s="66">
        <f>IF($A14="","",(($C14-$E$57-$F$57)))</f>
        <v/>
      </c>
      <c r="L14" s="67">
        <f>IF($A14="","",$L$57*$D14)</f>
        <v/>
      </c>
      <c r="M14" s="66">
        <f>IF($A14="","",$I14-$E$58-$F$58)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IF($A14="","",$K14)</f>
        <v/>
      </c>
      <c r="R14" s="67">
        <f>IF($A14="","",$L$60*$D14)</f>
        <v/>
      </c>
      <c r="S14" s="66" t="n"/>
      <c r="T14" s="67" t="n"/>
      <c r="U14" s="66" t="n"/>
      <c r="V14" s="67" t="n"/>
      <c r="W14" s="66" t="n"/>
      <c r="X14" s="67" t="n"/>
      <c r="Y14" s="66" t="n"/>
      <c r="Z14" s="67" t="n"/>
      <c r="AA14" s="66" t="n"/>
      <c r="AB14" s="67" t="n"/>
      <c r="AC14" s="63">
        <f>IF($A14="","",$I14-87-87)</f>
        <v/>
      </c>
      <c r="AD14" s="64">
        <f>IF($A14="","",$K14-87-87)</f>
        <v/>
      </c>
      <c r="AE14" s="65">
        <f>IF($A14="","",1*$D14)</f>
        <v/>
      </c>
    </row>
    <row r="15" ht="40.2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IF($A15="","",$B15-$E$56-$F$56)</f>
        <v/>
      </c>
      <c r="J15" s="60">
        <f>IF($A15="","",$L$56*$D15)</f>
        <v/>
      </c>
      <c r="K15" s="62">
        <f>IF($A15="","",(($C15-$E$57-$F$57)))</f>
        <v/>
      </c>
      <c r="L15" s="60">
        <f>IF($A15="","",$L$57*$D15)</f>
        <v/>
      </c>
      <c r="M15" s="62">
        <f>IF($A15="","",$I15-$E$58-$F$58)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IF($A15="","",$K15)</f>
        <v/>
      </c>
      <c r="R15" s="60">
        <f>IF($A15="","",$L$60*$D15)</f>
        <v/>
      </c>
      <c r="S15" s="62" t="n"/>
      <c r="T15" s="60" t="n"/>
      <c r="U15" s="62" t="n"/>
      <c r="V15" s="60" t="n"/>
      <c r="W15" s="62" t="n"/>
      <c r="X15" s="60" t="n"/>
      <c r="Y15" s="62" t="n"/>
      <c r="Z15" s="60" t="n"/>
      <c r="AA15" s="62" t="n"/>
      <c r="AB15" s="60" t="n"/>
      <c r="AC15" s="63">
        <f>IF($A15="","",$I15-87-87)</f>
        <v/>
      </c>
      <c r="AD15" s="64">
        <f>IF($A15="","",$K15-87-87)</f>
        <v/>
      </c>
      <c r="AE15" s="65">
        <f>IF($A15="","",1*$D15)</f>
        <v/>
      </c>
    </row>
    <row r="16" ht="40.2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IF($A16="","",$B16-$E$56-$F$56)</f>
        <v/>
      </c>
      <c r="J16" s="67">
        <f>IF($A16="","",$L$56*$D16)</f>
        <v/>
      </c>
      <c r="K16" s="66">
        <f>IF($A16="","",(($C16-$E$57-$F$57)))</f>
        <v/>
      </c>
      <c r="L16" s="67">
        <f>IF($A16="","",$L$57*$D16)</f>
        <v/>
      </c>
      <c r="M16" s="66">
        <f>IF($A16="","",$I16-$E$58-$F$58)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IF($A16="","",$K16)</f>
        <v/>
      </c>
      <c r="R16" s="67">
        <f>IF($A16="","",$L$60*$D16)</f>
        <v/>
      </c>
      <c r="S16" s="66" t="n"/>
      <c r="T16" s="67" t="n"/>
      <c r="U16" s="66" t="n"/>
      <c r="V16" s="67" t="n"/>
      <c r="W16" s="66" t="n"/>
      <c r="X16" s="67" t="n"/>
      <c r="Y16" s="66" t="n"/>
      <c r="Z16" s="67" t="n"/>
      <c r="AA16" s="66" t="n"/>
      <c r="AB16" s="67" t="n"/>
      <c r="AC16" s="63">
        <f>IF($A16="","",$I16-87-87)</f>
        <v/>
      </c>
      <c r="AD16" s="64">
        <f>IF($A16="","",$K16-87-87)</f>
        <v/>
      </c>
      <c r="AE16" s="65">
        <f>IF($A16="","",1*$D16)</f>
        <v/>
      </c>
    </row>
    <row r="17" ht="40.2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IF($A17="","",$B17-$E$56-$F$56)</f>
        <v/>
      </c>
      <c r="J17" s="60">
        <f>IF($A17="","",$L$56*$D17)</f>
        <v/>
      </c>
      <c r="K17" s="62">
        <f>IF($A17="","",(($C17-$E$57-$F$57)))</f>
        <v/>
      </c>
      <c r="L17" s="60">
        <f>IF($A17="","",$L$57*$D17)</f>
        <v/>
      </c>
      <c r="M17" s="62">
        <f>IF($A17="","",$I17-$E$58-$F$58)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IF($A17="","",$K17)</f>
        <v/>
      </c>
      <c r="R17" s="60">
        <f>IF($A17="","",$L$60*$D17)</f>
        <v/>
      </c>
      <c r="S17" s="62" t="n"/>
      <c r="T17" s="60" t="n"/>
      <c r="U17" s="62" t="n"/>
      <c r="V17" s="60" t="n"/>
      <c r="W17" s="62" t="n"/>
      <c r="X17" s="60" t="n"/>
      <c r="Y17" s="62" t="n"/>
      <c r="Z17" s="60" t="n"/>
      <c r="AA17" s="62" t="n"/>
      <c r="AB17" s="60" t="n"/>
      <c r="AC17" s="63">
        <f>IF($A17="","",$I17-87-87)</f>
        <v/>
      </c>
      <c r="AD17" s="64">
        <f>IF($A17="","",$K17-87-87)</f>
        <v/>
      </c>
      <c r="AE17" s="65">
        <f>IF($A17="","",1*$D17)</f>
        <v/>
      </c>
    </row>
    <row r="18" ht="40.2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IF($A18="","",$B18-$E$56-$F$56)</f>
        <v/>
      </c>
      <c r="J18" s="67">
        <f>IF($A18="","",$L$56*$D18)</f>
        <v/>
      </c>
      <c r="K18" s="66">
        <f>IF($A18="","",(($C18-$E$57-$F$57)))</f>
        <v/>
      </c>
      <c r="L18" s="67">
        <f>IF($A18="","",$L$57*$D18)</f>
        <v/>
      </c>
      <c r="M18" s="66">
        <f>IF($A18="","",$I18-$E$58-$F$58)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IF($A18="","",$K18)</f>
        <v/>
      </c>
      <c r="R18" s="67">
        <f>IF($A18="","",$L$60*$D18)</f>
        <v/>
      </c>
      <c r="S18" s="66" t="n"/>
      <c r="T18" s="67" t="n"/>
      <c r="U18" s="66" t="n"/>
      <c r="V18" s="67" t="n"/>
      <c r="W18" s="66" t="n"/>
      <c r="X18" s="67" t="n"/>
      <c r="Y18" s="66" t="n"/>
      <c r="Z18" s="67" t="n"/>
      <c r="AA18" s="66" t="n"/>
      <c r="AB18" s="67" t="n"/>
      <c r="AC18" s="63">
        <f>IF($A18="","",$I18-87-87)</f>
        <v/>
      </c>
      <c r="AD18" s="64">
        <f>IF($A18="","",$K18-87-87)</f>
        <v/>
      </c>
      <c r="AE18" s="65">
        <f>IF($A18="","",1*$D18)</f>
        <v/>
      </c>
    </row>
    <row r="19" ht="40.2" customHeight="1">
      <c r="A19" s="83" t="n"/>
      <c r="B19" s="84" t="n"/>
      <c r="C19" s="85" t="n"/>
      <c r="D19" s="86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IF($A19="","",$B19-$E$56-$F$56)</f>
        <v/>
      </c>
      <c r="J19" s="60">
        <f>IF($A19="","",$L$56*$D19)</f>
        <v/>
      </c>
      <c r="K19" s="62">
        <f>IF($A19="","",(($C19-$E$57-$F$57)))</f>
        <v/>
      </c>
      <c r="L19" s="60">
        <f>IF($A19="","",$L$57*$D19)</f>
        <v/>
      </c>
      <c r="M19" s="62">
        <f>IF($A19="","",$I19-$E$58-$F$58)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IF($A19="","",$K19)</f>
        <v/>
      </c>
      <c r="R19" s="60">
        <f>IF($A19="","",$L$60*$D19)</f>
        <v/>
      </c>
      <c r="S19" s="62" t="n"/>
      <c r="T19" s="60" t="n"/>
      <c r="U19" s="62" t="n"/>
      <c r="V19" s="60" t="n"/>
      <c r="W19" s="62" t="n"/>
      <c r="X19" s="60" t="n"/>
      <c r="Y19" s="62" t="n"/>
      <c r="Z19" s="60" t="n"/>
      <c r="AA19" s="62" t="n"/>
      <c r="AB19" s="60" t="n"/>
      <c r="AC19" s="63">
        <f>IF($A19="","",$I19-87-87)</f>
        <v/>
      </c>
      <c r="AD19" s="64">
        <f>IF($A19="","",$K19-87-87)</f>
        <v/>
      </c>
      <c r="AE19" s="65">
        <f>IF($A19="","",1*$D19)</f>
        <v/>
      </c>
    </row>
    <row r="20" ht="40.2" customHeight="1">
      <c r="A20" s="83" t="n"/>
      <c r="B20" s="84" t="n"/>
      <c r="C20" s="85" t="n"/>
      <c r="D20" s="86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IF($A20="","",$B20-$E$56-$F$56)</f>
        <v/>
      </c>
      <c r="J20" s="67">
        <f>IF($A20="","",$L$56*$D20)</f>
        <v/>
      </c>
      <c r="K20" s="66">
        <f>IF($A20="","",(($C20-$E$57-$F$57)))</f>
        <v/>
      </c>
      <c r="L20" s="67">
        <f>IF($A20="","",$L$57*$D20)</f>
        <v/>
      </c>
      <c r="M20" s="66">
        <f>IF($A20="","",$I20-$E$58-$F$58)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IF($A20="","",$K20)</f>
        <v/>
      </c>
      <c r="R20" s="67">
        <f>IF($A20="","",$L$60*$D20)</f>
        <v/>
      </c>
      <c r="S20" s="66" t="n"/>
      <c r="T20" s="67" t="n"/>
      <c r="U20" s="66" t="n"/>
      <c r="V20" s="67" t="n"/>
      <c r="W20" s="66" t="n"/>
      <c r="X20" s="67" t="n"/>
      <c r="Y20" s="66" t="n"/>
      <c r="Z20" s="67" t="n"/>
      <c r="AA20" s="66" t="n"/>
      <c r="AB20" s="67" t="n"/>
      <c r="AC20" s="63">
        <f>IF($A20="","",$I20-87-87)</f>
        <v/>
      </c>
      <c r="AD20" s="64">
        <f>IF($A20="","",$K20-87-87)</f>
        <v/>
      </c>
      <c r="AE20" s="65">
        <f>IF($A20="","",1*$D20)</f>
        <v/>
      </c>
    </row>
    <row r="21" ht="40.2" customHeight="1">
      <c r="A21" s="83" t="n"/>
      <c r="B21" s="84" t="n"/>
      <c r="C21" s="85" t="n"/>
      <c r="D21" s="86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IF($A21="","",$B21-$E$56-$F$56)</f>
        <v/>
      </c>
      <c r="J21" s="60">
        <f>IF($A21="","",$L$56*$D21)</f>
        <v/>
      </c>
      <c r="K21" s="62">
        <f>IF($A21="","",(($C21-$E$57-$F$57)))</f>
        <v/>
      </c>
      <c r="L21" s="60">
        <f>IF($A21="","",$L$57*$D21)</f>
        <v/>
      </c>
      <c r="M21" s="62">
        <f>IF($A21="","",$I21-$E$58-$F$58)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IF($A21="","",$K21)</f>
        <v/>
      </c>
      <c r="R21" s="60">
        <f>IF($A21="","",$L$60*$D21)</f>
        <v/>
      </c>
      <c r="S21" s="62" t="n"/>
      <c r="T21" s="60" t="n"/>
      <c r="U21" s="62" t="n"/>
      <c r="V21" s="60" t="n"/>
      <c r="W21" s="62" t="n"/>
      <c r="X21" s="60" t="n"/>
      <c r="Y21" s="62" t="n"/>
      <c r="Z21" s="60" t="n"/>
      <c r="AA21" s="62" t="n"/>
      <c r="AB21" s="60" t="n"/>
      <c r="AC21" s="63">
        <f>IF($A21="","",$I21-87-87)</f>
        <v/>
      </c>
      <c r="AD21" s="64">
        <f>IF($A21="","",$K21-87-87)</f>
        <v/>
      </c>
      <c r="AE21" s="65">
        <f>IF($A21="","",1*$D21)</f>
        <v/>
      </c>
    </row>
    <row r="22" ht="40.2" customHeight="1">
      <c r="A22" s="83" t="n"/>
      <c r="B22" s="84" t="n"/>
      <c r="C22" s="85" t="n"/>
      <c r="D22" s="86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IF($A22="","",$B22-$E$56-$F$56)</f>
        <v/>
      </c>
      <c r="J22" s="67">
        <f>IF($A22="","",$L$56*$D22)</f>
        <v/>
      </c>
      <c r="K22" s="66">
        <f>IF($A22="","",(($C22-$E$57-$F$57)))</f>
        <v/>
      </c>
      <c r="L22" s="67">
        <f>IF($A22="","",$L$57*$D22)</f>
        <v/>
      </c>
      <c r="M22" s="66">
        <f>IF($A22="","",$I22-$E$58-$F$58)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IF($A22="","",$K22)</f>
        <v/>
      </c>
      <c r="R22" s="67">
        <f>IF($A22="","",$L$60*$D22)</f>
        <v/>
      </c>
      <c r="S22" s="66" t="n"/>
      <c r="T22" s="67" t="n"/>
      <c r="U22" s="66" t="n"/>
      <c r="V22" s="67" t="n"/>
      <c r="W22" s="66" t="n"/>
      <c r="X22" s="67" t="n"/>
      <c r="Y22" s="66" t="n"/>
      <c r="Z22" s="67" t="n"/>
      <c r="AA22" s="66" t="n"/>
      <c r="AB22" s="67" t="n"/>
      <c r="AC22" s="63">
        <f>IF($A22="","",$I22-87-87)</f>
        <v/>
      </c>
      <c r="AD22" s="64">
        <f>IF($A22="","",$K22-87-87)</f>
        <v/>
      </c>
      <c r="AE22" s="65">
        <f>IF($A22="","",1*$D22)</f>
        <v/>
      </c>
    </row>
    <row r="23" ht="40.2" customHeight="1">
      <c r="A23" s="83" t="n"/>
      <c r="B23" s="84" t="n"/>
      <c r="C23" s="85" t="n"/>
      <c r="D23" s="86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IF($A23="","",$B23-$E$56-$F$56)</f>
        <v/>
      </c>
      <c r="J23" s="60">
        <f>IF($A23="","",$L$56*$D23)</f>
        <v/>
      </c>
      <c r="K23" s="62">
        <f>IF($A23="","",(($C23-$E$57-$F$57)))</f>
        <v/>
      </c>
      <c r="L23" s="60">
        <f>IF($A23="","",$L$57*$D23)</f>
        <v/>
      </c>
      <c r="M23" s="62">
        <f>IF($A23="","",$I23-$E$58-$F$58)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IF($A23="","",$K23)</f>
        <v/>
      </c>
      <c r="R23" s="60">
        <f>IF($A23="","",$L$60*$D23)</f>
        <v/>
      </c>
      <c r="S23" s="62" t="n"/>
      <c r="T23" s="60" t="n"/>
      <c r="U23" s="62" t="n"/>
      <c r="V23" s="60" t="n"/>
      <c r="W23" s="62" t="n"/>
      <c r="X23" s="60" t="n"/>
      <c r="Y23" s="62" t="n"/>
      <c r="Z23" s="60" t="n"/>
      <c r="AA23" s="62" t="n"/>
      <c r="AB23" s="60" t="n"/>
      <c r="AC23" s="63">
        <f>IF($A23="","",$I23-87-87)</f>
        <v/>
      </c>
      <c r="AD23" s="64">
        <f>IF($A23="","",$K23-87-87)</f>
        <v/>
      </c>
      <c r="AE23" s="65">
        <f>IF($A23="","",1*$D23)</f>
        <v/>
      </c>
    </row>
    <row r="24" ht="40.2" customHeight="1">
      <c r="A24" s="83" t="n"/>
      <c r="B24" s="84" t="n"/>
      <c r="C24" s="85" t="n"/>
      <c r="D24" s="86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IF($A24="","",$B24-$E$56-$F$56)</f>
        <v/>
      </c>
      <c r="J24" s="67">
        <f>IF($A24="","",$L$56*$D24)</f>
        <v/>
      </c>
      <c r="K24" s="66">
        <f>IF($A24="","",(($C24-$E$57-$F$57)))</f>
        <v/>
      </c>
      <c r="L24" s="67">
        <f>IF($A24="","",$L$57*$D24)</f>
        <v/>
      </c>
      <c r="M24" s="66">
        <f>IF($A24="","",$I24-$E$58-$F$58)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IF($A24="","",$K24)</f>
        <v/>
      </c>
      <c r="R24" s="67">
        <f>IF($A24="","",$L$60*$D24)</f>
        <v/>
      </c>
      <c r="S24" s="66" t="n"/>
      <c r="T24" s="67" t="n"/>
      <c r="U24" s="66" t="n"/>
      <c r="V24" s="67" t="n"/>
      <c r="W24" s="66" t="n"/>
      <c r="X24" s="67" t="n"/>
      <c r="Y24" s="66" t="n"/>
      <c r="Z24" s="67" t="n"/>
      <c r="AA24" s="66" t="n"/>
      <c r="AB24" s="67" t="n"/>
      <c r="AC24" s="63">
        <f>IF($A24="","",$I24-87-87)</f>
        <v/>
      </c>
      <c r="AD24" s="64">
        <f>IF($A24="","",$K24-87-87)</f>
        <v/>
      </c>
      <c r="AE24" s="65">
        <f>IF($A24="","",1*$D24)</f>
        <v/>
      </c>
    </row>
    <row r="25" ht="40.2" customHeight="1">
      <c r="A25" s="83" t="n"/>
      <c r="B25" s="84" t="n"/>
      <c r="C25" s="85" t="n"/>
      <c r="D25" s="86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IF($A25="","",$B25-$E$56-$F$56)</f>
        <v/>
      </c>
      <c r="J25" s="60">
        <f>IF($A25="","",$L$56*$D25)</f>
        <v/>
      </c>
      <c r="K25" s="62">
        <f>IF($A25="","",(($C25-$E$57-$F$57)))</f>
        <v/>
      </c>
      <c r="L25" s="60">
        <f>IF($A25="","",$L$57*$D25)</f>
        <v/>
      </c>
      <c r="M25" s="62">
        <f>IF($A25="","",$I25-$E$58-$F$58)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IF($A25="","",$K25)</f>
        <v/>
      </c>
      <c r="R25" s="60">
        <f>IF($A25="","",$L$60*$D25)</f>
        <v/>
      </c>
      <c r="S25" s="62" t="n"/>
      <c r="T25" s="60" t="n"/>
      <c r="U25" s="62" t="n"/>
      <c r="V25" s="60" t="n"/>
      <c r="W25" s="62" t="n"/>
      <c r="X25" s="60" t="n"/>
      <c r="Y25" s="62" t="n"/>
      <c r="Z25" s="60" t="n"/>
      <c r="AA25" s="62" t="n"/>
      <c r="AB25" s="60" t="n"/>
      <c r="AC25" s="63">
        <f>IF($A25="","",$I25-87-87)</f>
        <v/>
      </c>
      <c r="AD25" s="64">
        <f>IF($A25="","",$K25-87-87)</f>
        <v/>
      </c>
      <c r="AE25" s="65">
        <f>IF($A25="","",1*$D25)</f>
        <v/>
      </c>
    </row>
    <row r="26" ht="40.2" customHeight="1">
      <c r="A26" s="83" t="n"/>
      <c r="B26" s="84" t="n"/>
      <c r="C26" s="85" t="n"/>
      <c r="D26" s="86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IF($A26="","",$B26-$E$56-$F$56)</f>
        <v/>
      </c>
      <c r="J26" s="67">
        <f>IF($A26="","",$L$56*$D26)</f>
        <v/>
      </c>
      <c r="K26" s="66">
        <f>IF($A26="","",(($C26-$E$57-$F$57)))</f>
        <v/>
      </c>
      <c r="L26" s="67">
        <f>IF($A26="","",$L$57*$D26)</f>
        <v/>
      </c>
      <c r="M26" s="66">
        <f>IF($A26="","",$I26-$E$58-$F$58)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IF($A26="","",$K26)</f>
        <v/>
      </c>
      <c r="R26" s="67">
        <f>IF($A26="","",$L$60*$D26)</f>
        <v/>
      </c>
      <c r="S26" s="66" t="n"/>
      <c r="T26" s="67" t="n"/>
      <c r="U26" s="66" t="n"/>
      <c r="V26" s="67" t="n"/>
      <c r="W26" s="66" t="n"/>
      <c r="X26" s="67" t="n"/>
      <c r="Y26" s="66" t="n"/>
      <c r="Z26" s="67" t="n"/>
      <c r="AA26" s="66" t="n"/>
      <c r="AB26" s="67" t="n"/>
      <c r="AC26" s="63">
        <f>IF($A26="","",$I26-87-87)</f>
        <v/>
      </c>
      <c r="AD26" s="64">
        <f>IF($A26="","",$K26-87-87)</f>
        <v/>
      </c>
      <c r="AE26" s="65">
        <f>IF($A26="","",1*$D26)</f>
        <v/>
      </c>
    </row>
    <row r="27" ht="40.2" customHeight="1">
      <c r="A27" s="83" t="n"/>
      <c r="B27" s="84" t="n"/>
      <c r="C27" s="85" t="n"/>
      <c r="D27" s="86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IF($A27="","",$B27-$E$56-$F$56)</f>
        <v/>
      </c>
      <c r="J27" s="60">
        <f>IF($A27="","",$L$56*$D27)</f>
        <v/>
      </c>
      <c r="K27" s="62">
        <f>IF($A27="","",(($C27-$E$57-$F$57)))</f>
        <v/>
      </c>
      <c r="L27" s="60">
        <f>IF($A27="","",$L$57*$D27)</f>
        <v/>
      </c>
      <c r="M27" s="62">
        <f>IF($A27="","",$I27-$E$58-$F$58)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IF($A27="","",$K27)</f>
        <v/>
      </c>
      <c r="R27" s="60">
        <f>IF($A27="","",$L$60*$D27)</f>
        <v/>
      </c>
      <c r="S27" s="62" t="n"/>
      <c r="T27" s="60" t="n"/>
      <c r="U27" s="62" t="n"/>
      <c r="V27" s="60" t="n"/>
      <c r="W27" s="62" t="n"/>
      <c r="X27" s="60" t="n"/>
      <c r="Y27" s="62" t="n"/>
      <c r="Z27" s="60" t="n"/>
      <c r="AA27" s="62" t="n"/>
      <c r="AB27" s="60" t="n"/>
      <c r="AC27" s="63">
        <f>IF($A27="","",$I27-87-87)</f>
        <v/>
      </c>
      <c r="AD27" s="64">
        <f>IF($A27="","",$K27-87-87)</f>
        <v/>
      </c>
      <c r="AE27" s="65">
        <f>IF($A27="","",1*$D27)</f>
        <v/>
      </c>
    </row>
    <row r="28" ht="40.2" customHeight="1">
      <c r="A28" s="83" t="n"/>
      <c r="B28" s="84" t="n"/>
      <c r="C28" s="85" t="n"/>
      <c r="D28" s="86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IF($A28="","",$B28-$E$56-$F$56)</f>
        <v/>
      </c>
      <c r="J28" s="67">
        <f>IF($A28="","",$L$56*$D28)</f>
        <v/>
      </c>
      <c r="K28" s="66">
        <f>IF($A28="","",(($C28-$E$57-$F$57)))</f>
        <v/>
      </c>
      <c r="L28" s="67">
        <f>IF($A28="","",$L$57*$D28)</f>
        <v/>
      </c>
      <c r="M28" s="66">
        <f>IF($A28="","",$I28-$E$58-$F$58)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IF($A28="","",$K28)</f>
        <v/>
      </c>
      <c r="R28" s="67">
        <f>IF($A28="","",$L$60*$D28)</f>
        <v/>
      </c>
      <c r="S28" s="66" t="n"/>
      <c r="T28" s="67" t="n"/>
      <c r="U28" s="66" t="n"/>
      <c r="V28" s="67" t="n"/>
      <c r="W28" s="66" t="n"/>
      <c r="X28" s="67" t="n"/>
      <c r="Y28" s="66" t="n"/>
      <c r="Z28" s="67" t="n"/>
      <c r="AA28" s="66" t="n"/>
      <c r="AB28" s="67" t="n"/>
      <c r="AC28" s="63">
        <f>IF($A28="","",$I28-87-87)</f>
        <v/>
      </c>
      <c r="AD28" s="64">
        <f>IF($A28="","",$K28-87-87)</f>
        <v/>
      </c>
      <c r="AE28" s="65">
        <f>IF($A28="","",1*$D28)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71">
        <f>E$7</f>
        <v/>
      </c>
      <c r="F30" s="19" t="n"/>
      <c r="G30" s="20" t="n"/>
      <c r="H30" s="71">
        <f>(ROUNDUP(SUM(F49:H49)/6400,0))</f>
        <v/>
      </c>
      <c r="I30" s="71">
        <f>I$7</f>
        <v/>
      </c>
      <c r="J30" s="19" t="n"/>
      <c r="K30" s="20" t="n"/>
      <c r="L30" s="71">
        <f>(ROUNDUP(SUM(J49:L49)/6400,0))</f>
        <v/>
      </c>
      <c r="M30" s="71">
        <f>M$7</f>
        <v/>
      </c>
      <c r="N30" s="19" t="n"/>
      <c r="O30" s="20" t="n"/>
      <c r="P30" s="71">
        <f>(ROUNDUP(SUM(N49:P49)/6400,0))</f>
        <v/>
      </c>
      <c r="Q30" s="71">
        <f>Q$7</f>
        <v/>
      </c>
      <c r="R30" s="71">
        <f>(ROUNDUP(R49/6400,0))</f>
        <v/>
      </c>
      <c r="S30" s="71">
        <f>S$7</f>
        <v/>
      </c>
      <c r="T30" s="19" t="n"/>
      <c r="U30" s="20" t="n"/>
      <c r="V30" s="71">
        <f>(ROUNDUP(SUM(T49:V49)/6400,0))</f>
        <v/>
      </c>
      <c r="W30" s="71">
        <f>W$7</f>
        <v/>
      </c>
      <c r="X30" s="71">
        <f>(ROUNDUP(X49/6400,0))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71">
        <f>(ROUNDUP(AB49/6400,0))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S49" s="73" t="n"/>
      <c r="T49" s="73">
        <f>SUMIF(T31:T48,"&gt;0")</f>
        <v/>
      </c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B49" s="73">
        <f>SUMIF(AB31:AB48,"&gt;0")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เสา</t>
        </is>
      </c>
      <c r="C56" s="79">
        <f>IF($D$4="8 cm · 7943B","7943B","7864")</f>
        <v/>
      </c>
      <c r="D56" s="80" t="inlineStr">
        <is>
          <t>สูง-18.5-7</t>
        </is>
      </c>
      <c r="E56" s="82" t="n">
        <v>18.5</v>
      </c>
      <c r="F56" s="82" t="n">
        <v>7</v>
      </c>
      <c r="G56" s="81" t="n"/>
      <c r="H56" s="81" t="n"/>
      <c r="I56" s="81" t="n"/>
      <c r="J56" s="81" t="n"/>
      <c r="K56" s="81" t="n"/>
      <c r="L56" s="82" t="n">
        <v>2</v>
      </c>
    </row>
    <row r="57" ht="15" customHeight="1">
      <c r="A57" s="77" t="n">
        <v>4</v>
      </c>
      <c r="B57" s="78" t="inlineStr">
        <is>
          <t>ขวาง</t>
        </is>
      </c>
      <c r="C57" s="79" t="inlineStr">
        <is>
          <t>-</t>
        </is>
      </c>
      <c r="D57" s="80" t="inlineStr">
        <is>
          <t>กว้าง-18.5-18.5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>
        <v>2</v>
      </c>
    </row>
    <row r="58" ht="15" customHeight="1">
      <c r="A58" s="77" t="n">
        <v>5</v>
      </c>
      <c r="B58" s="78" t="inlineStr">
        <is>
          <t>คิ้ว ตั้ง</t>
        </is>
      </c>
      <c r="C58" s="79" t="inlineStr">
        <is>
          <t>F7935</t>
        </is>
      </c>
      <c r="D58" s="80" t="inlineStr">
        <is>
          <t>เสา-100-100</t>
        </is>
      </c>
      <c r="E58" s="82">
        <f>IF($D$4="8 cm · 7943B",80,100)</f>
        <v/>
      </c>
      <c r="F58" s="82">
        <f>IF($D$4="8 cm · 7943B",80,100)</f>
        <v/>
      </c>
      <c r="G58" s="81" t="n"/>
      <c r="H58" s="81" t="n"/>
      <c r="I58" s="81" t="n"/>
      <c r="J58" s="81" t="n"/>
      <c r="K58" s="81" t="n"/>
      <c r="L58" s="82" t="n">
        <v>2</v>
      </c>
    </row>
    <row r="59" ht="15" customHeight="1">
      <c r="A59" s="77" t="n">
        <v>6</v>
      </c>
      <c r="B59" s="78" t="inlineStr">
        <is>
          <t>คิ้ว ขวาง</t>
        </is>
      </c>
      <c r="C59" s="79" t="inlineStr">
        <is>
          <t>-</t>
        </is>
      </c>
      <c r="D59" s="80" t="inlineStr">
        <is>
          <t>ขวาง-80-80</t>
        </is>
      </c>
      <c r="E59" s="82">
        <f>IF($D$4="8 cm · 7943B",60,80)</f>
        <v/>
      </c>
      <c r="F59" s="82">
        <f>IF($D$4="8 cm · 7943B",60,80)</f>
        <v/>
      </c>
      <c r="G59" s="81" t="n"/>
      <c r="H59" s="81" t="n"/>
      <c r="I59" s="81" t="n"/>
      <c r="J59" s="81" t="n"/>
      <c r="K59" s="81" t="n"/>
      <c r="L59" s="82" t="n">
        <v>2</v>
      </c>
    </row>
    <row r="60" ht="15" customHeight="1">
      <c r="A60" s="77" t="n">
        <v>7</v>
      </c>
      <c r="B60" s="78" t="inlineStr">
        <is>
          <t>ชายล่าง</t>
        </is>
      </c>
      <c r="C60" s="79" t="inlineStr">
        <is>
          <t>F7863</t>
        </is>
      </c>
      <c r="D60" s="80" t="inlineStr">
        <is>
          <t>เท่าขวาง</t>
        </is>
      </c>
      <c r="E60" s="81" t="n"/>
      <c r="F60" s="81" t="n"/>
      <c r="G60" s="81" t="n"/>
      <c r="H60" s="81" t="n"/>
      <c r="I60" s="81" t="n"/>
      <c r="J60" s="81" t="n"/>
      <c r="K60" s="81" t="n"/>
      <c r="L60" s="82" t="n">
        <v>1</v>
      </c>
    </row>
    <row r="62">
      <c r="A62" s="152" t="inlineStr">
        <is>
          <t>⑥ อุปกรณ์ ต่อ 1 บาน — คูณจำนวนบานที่ผลิต</t>
        </is>
      </c>
      <c r="F62" s="153" t="inlineStr">
        <is>
          <t>ต่อบาน</t>
        </is>
      </c>
    </row>
    <row r="63">
      <c r="A63" s="154" t="inlineStr">
        <is>
          <t>1. บานพับ hyda (สูง&gt;3ม./บานกว้าง&gt;1.2ม.=5)</t>
        </is>
      </c>
      <c r="F63" s="155" t="n">
        <v>4</v>
      </c>
    </row>
    <row r="64">
      <c r="A64" s="154" t="inlineStr">
        <is>
          <t>2. มือจับ + ล็อค</t>
        </is>
      </c>
      <c r="F64" s="155" t="n">
        <v>1</v>
      </c>
    </row>
    <row r="65">
      <c r="A65" s="154" t="inlineStr">
        <is>
          <t>3. กลอน (ใบลอง)</t>
        </is>
      </c>
      <c r="F65" s="155" t="n">
        <v>1</v>
      </c>
    </row>
    <row r="66">
      <c r="A66" s="154" t="inlineStr">
        <is>
          <t>4. น็อตเฟรม (มีธรณี8/ไม่มี6)</t>
        </is>
      </c>
      <c r="F66" s="155" t="n">
        <v>8</v>
      </c>
    </row>
    <row r="67">
      <c r="A67" s="156" t="inlineStr">
        <is>
          <t>+ ยาง/ซิลิโคน = ตามขนาด (ดูชีทคิดทุน)</t>
        </is>
      </c>
    </row>
  </sheetData>
  <mergeCells count="60">
    <mergeCell ref="Q7:R7"/>
    <mergeCell ref="U9:V9"/>
    <mergeCell ref="I6:J6"/>
    <mergeCell ref="A64:E64"/>
    <mergeCell ref="O6:P6"/>
    <mergeCell ref="U6:V6"/>
    <mergeCell ref="K9:L9"/>
    <mergeCell ref="W6:X6"/>
    <mergeCell ref="M9:N9"/>
    <mergeCell ref="E7:H7"/>
    <mergeCell ref="O9:P9"/>
    <mergeCell ref="E30:G30"/>
    <mergeCell ref="G8:H8"/>
    <mergeCell ref="M30:O30"/>
    <mergeCell ref="Y9:Z9"/>
    <mergeCell ref="E8:F8"/>
    <mergeCell ref="Q8:R8"/>
    <mergeCell ref="AA9:AB9"/>
    <mergeCell ref="S8:T8"/>
    <mergeCell ref="A65:E65"/>
    <mergeCell ref="AA6:AB6"/>
    <mergeCell ref="A30:D30"/>
    <mergeCell ref="S30:U30"/>
    <mergeCell ref="G6:H6"/>
    <mergeCell ref="A66:E66"/>
    <mergeCell ref="E9:F9"/>
    <mergeCell ref="W7:X7"/>
    <mergeCell ref="A8:A9"/>
    <mergeCell ref="Y7:Z7"/>
    <mergeCell ref="E6:F6"/>
    <mergeCell ref="AA7:AB7"/>
    <mergeCell ref="M6:N6"/>
    <mergeCell ref="K8:L8"/>
    <mergeCell ref="A6:D6"/>
    <mergeCell ref="Q6:R6"/>
    <mergeCell ref="A67:F67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S7:V7"/>
    <mergeCell ref="M8:N8"/>
    <mergeCell ref="W9:X9"/>
    <mergeCell ref="O8:P8"/>
    <mergeCell ref="U8:V8"/>
    <mergeCell ref="W8:X8"/>
    <mergeCell ref="B8:C9"/>
    <mergeCell ref="A62:E62"/>
    <mergeCell ref="M7:P7"/>
    <mergeCell ref="A63:E63"/>
    <mergeCell ref="Y8:Z8"/>
    <mergeCell ref="K6:L6"/>
    <mergeCell ref="G9:H9"/>
    <mergeCell ref="AA8:AB8"/>
    <mergeCell ref="I9:J9"/>
  </mergeCells>
  <dataValidations count="1">
    <dataValidation sqref="D4" showDropDown="0" showInputMessage="0" showErrorMessage="0" allowBlank="0" type="list">
      <formula1>"10 cm · 7864,8 cm · 7943B"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1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12.69921875" customWidth="1" min="34" max="34"/>
    <col width="12.69921875" customWidth="1" min="35" max="35"/>
    <col width="8.69921875" customWidth="1" min="36" max="36"/>
    <col width="8.8984375" customWidth="1" min="37" max="37"/>
  </cols>
  <sheetData>
    <row r="1" ht="40.2" customHeight="1">
      <c r="A1" s="2" t="inlineStr">
        <is>
          <t>JR ALUMINIUM &amp; GLASS  —  ใบรายการตัด · FUJI ประตูคู่ มีธรณี   (หน่วย: มม.)</t>
        </is>
      </c>
      <c r="B1" s="3" t="n"/>
      <c r="F1" s="4" t="n"/>
      <c r="G1" s="5" t="n"/>
      <c r="H1" s="4" t="n"/>
      <c r="I1" s="6" t="n"/>
      <c r="J1" s="6" t="n"/>
      <c r="K1" s="7" t="n"/>
      <c r="L1" s="7" t="n"/>
      <c r="M1" s="4" t="n"/>
      <c r="N1" s="4" t="n"/>
      <c r="O1" s="6" t="n"/>
      <c r="P1" s="6" t="n"/>
      <c r="Q1" s="7" t="n"/>
      <c r="R1" s="7" t="n"/>
      <c r="S1" s="7" t="n"/>
      <c r="T1" s="7" t="n"/>
      <c r="U1" s="4" t="n"/>
      <c r="V1" s="8" t="n"/>
      <c r="W1" s="7" t="n"/>
      <c r="X1" s="7" t="n"/>
      <c r="Y1" s="4" t="n"/>
      <c r="Z1" s="4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</row>
    <row r="2" ht="40.2" customHeight="1">
      <c r="A2" s="6" t="n"/>
      <c r="B2" s="6" t="n"/>
      <c r="C2" s="6" t="n"/>
      <c r="D2" s="6" t="n"/>
      <c r="E2" s="6" t="n"/>
      <c r="F2" s="6" t="n"/>
      <c r="G2" s="9" t="n"/>
      <c r="H2" s="6" t="n"/>
      <c r="I2" s="10" t="n"/>
      <c r="J2" s="10" t="n"/>
      <c r="K2" s="10" t="n"/>
      <c r="L2" s="10" t="n"/>
      <c r="M2" s="6" t="n"/>
      <c r="N2" s="6" t="n"/>
      <c r="O2" s="6" t="n"/>
      <c r="P2" s="6" t="n"/>
      <c r="Q2" s="10" t="n"/>
      <c r="R2" s="10" t="n"/>
      <c r="S2" s="10" t="n"/>
      <c r="T2" s="10" t="n"/>
      <c r="U2" s="6" t="n"/>
      <c r="V2" s="6" t="n"/>
      <c r="W2" s="10" t="n"/>
      <c r="X2" s="10" t="n"/>
      <c r="Y2" s="6" t="n"/>
      <c r="Z2" s="6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</row>
    <row r="3" ht="40.2" customHeight="1">
      <c r="A3" s="6" t="n"/>
      <c r="B3" s="87" t="inlineStr">
        <is>
          <t>บูทขอนแก่น</t>
        </is>
      </c>
      <c r="C3" s="88" t="n"/>
      <c r="D3" s="88" t="n"/>
      <c r="E3" s="88" t="n"/>
      <c r="F3" s="6" t="n"/>
      <c r="G3" s="9" t="n"/>
      <c r="H3" s="6" t="n"/>
      <c r="K3" s="11" t="n"/>
      <c r="L3" s="11" t="n"/>
      <c r="M3" s="6" t="n"/>
      <c r="N3" s="6" t="n"/>
      <c r="O3" s="6" t="n"/>
      <c r="P3" s="6" t="n"/>
      <c r="Q3" s="11" t="n"/>
      <c r="R3" s="11" t="n"/>
      <c r="S3" s="11" t="n"/>
      <c r="T3" s="11" t="n"/>
      <c r="U3" s="6" t="n"/>
      <c r="V3" s="6" t="n"/>
      <c r="W3" s="11" t="n"/>
      <c r="X3" s="11" t="n"/>
      <c r="Y3" s="6" t="n"/>
      <c r="Z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</row>
    <row r="4" ht="40.2" customHeight="1">
      <c r="A4" s="149" t="inlineStr">
        <is>
          <t>เลือกกรอบบาน →</t>
        </is>
      </c>
      <c r="B4" s="6" t="n"/>
      <c r="C4" s="6" t="n"/>
      <c r="D4" s="150" t="inlineStr">
        <is>
          <t>10 cm · 7864</t>
        </is>
      </c>
      <c r="E4" s="6" t="n"/>
      <c r="F4" s="6" t="n"/>
      <c r="H4" s="6" t="n"/>
      <c r="M4" s="6" t="n"/>
      <c r="N4" s="6" t="n"/>
      <c r="O4" s="6" t="n"/>
      <c r="P4" s="6" t="n"/>
      <c r="U4" s="6" t="n"/>
      <c r="V4" s="6" t="n"/>
      <c r="Y4" s="6" t="n"/>
      <c r="Z4" s="6" t="n"/>
    </row>
    <row r="5" ht="40.2" customHeight="1">
      <c r="A5" s="151" t="inlineStr">
        <is>
          <t>(8cm→ลดคิ้วตั้ง80/ขวาง60 · 10cm→100/80)</t>
        </is>
      </c>
      <c r="B5" s="6" t="n"/>
      <c r="C5" s="6" t="n"/>
      <c r="D5" s="6" t="n"/>
      <c r="E5" s="6" t="n"/>
      <c r="F5" s="6" t="n"/>
      <c r="G5" s="9" t="n"/>
      <c r="H5" s="6" t="n"/>
      <c r="M5" s="6" t="n"/>
      <c r="N5" s="6" t="n"/>
      <c r="P5" s="6" t="n"/>
      <c r="U5" s="6" t="n"/>
      <c r="V5" s="6" t="n"/>
      <c r="Y5" s="6" t="n"/>
      <c r="Z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4" t="n"/>
      <c r="G6" s="15" t="inlineStr">
        <is>
          <t>สูง</t>
        </is>
      </c>
      <c r="H6" s="16" t="n"/>
      <c r="I6" s="15" t="inlineStr">
        <is>
          <t>กว้าง-25-25</t>
        </is>
      </c>
      <c r="J6" s="16" t="n"/>
      <c r="K6" s="15" t="inlineStr">
        <is>
          <t>กว้าง-25-25</t>
        </is>
      </c>
      <c r="L6" s="16" t="n"/>
      <c r="M6" s="15" t="inlineStr">
        <is>
          <t>สูง-18.5-18.5</t>
        </is>
      </c>
      <c r="N6" s="16" t="n"/>
      <c r="O6" s="15" t="inlineStr">
        <is>
          <t>(กว้าง1-18.5-1)</t>
        </is>
      </c>
      <c r="P6" s="16" t="n"/>
      <c r="Q6" s="15" t="inlineStr">
        <is>
          <t>(กว้าง2-18.5-1)</t>
        </is>
      </c>
      <c r="R6" s="16" t="n"/>
      <c r="S6" s="15" t="inlineStr">
        <is>
          <t>เสา-100-100</t>
        </is>
      </c>
      <c r="T6" s="16" t="n"/>
      <c r="U6" s="15" t="inlineStr">
        <is>
          <t>กว้าง1
ขวาง-80-80</t>
        </is>
      </c>
      <c r="V6" s="16" t="n"/>
      <c r="W6" s="15" t="inlineStr">
        <is>
          <t>กว้าง2
ขวาง-80-80</t>
        </is>
      </c>
      <c r="X6" s="16" t="n"/>
      <c r="Y6" s="15" t="inlineStr">
        <is>
          <t>เท่าเฟรมล่าง</t>
        </is>
      </c>
      <c r="Z6" s="16" t="n"/>
      <c r="AA6" s="15" t="inlineStr">
        <is>
          <t>สูง-27-27</t>
        </is>
      </c>
      <c r="AB6" s="16" t="n"/>
      <c r="AC6" s="15" t="n"/>
      <c r="AD6" s="16" t="n"/>
      <c r="AE6" s="17" t="n"/>
      <c r="AF6" s="17" t="n"/>
      <c r="AG6" s="17" t="n"/>
      <c r="AH6" s="17" t="n"/>
      <c r="AI6" s="17" t="n"/>
      <c r="AJ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20" t="n"/>
      <c r="G7" s="21" t="inlineStr">
        <is>
          <t>F7859</t>
        </is>
      </c>
      <c r="H7" s="13" t="n"/>
      <c r="I7" s="13" t="n"/>
      <c r="J7" s="14" t="n"/>
      <c r="K7" s="21" t="inlineStr">
        <is>
          <t>F7938</t>
        </is>
      </c>
      <c r="L7" s="14" t="n"/>
      <c r="M7" s="21" t="inlineStr">
        <is>
          <t>F7864</t>
        </is>
      </c>
      <c r="N7" s="13" t="n"/>
      <c r="O7" s="13" t="n"/>
      <c r="P7" s="13" t="n"/>
      <c r="Q7" s="13" t="n"/>
      <c r="R7" s="14" t="n"/>
      <c r="S7" s="21" t="inlineStr">
        <is>
          <t>F7935</t>
        </is>
      </c>
      <c r="T7" s="13" t="n"/>
      <c r="U7" s="13" t="n"/>
      <c r="V7" s="13" t="n"/>
      <c r="W7" s="13" t="n"/>
      <c r="X7" s="14" t="n"/>
      <c r="Y7" s="22" t="inlineStr">
        <is>
          <t>F7960</t>
        </is>
      </c>
      <c r="Z7" s="14" t="n"/>
      <c r="AA7" s="21" t="inlineStr">
        <is>
          <t>F7945</t>
        </is>
      </c>
      <c r="AB7" s="14" t="n"/>
      <c r="AC7" s="89" t="n"/>
      <c r="AD7" s="90" t="n"/>
      <c r="AE7" s="25" t="n"/>
      <c r="AF7" s="26" t="inlineStr">
        <is>
          <t>ขนาดกระจก</t>
        </is>
      </c>
      <c r="AG7" s="27" t="n"/>
      <c r="AH7" s="25" t="n"/>
      <c r="AI7" s="26" t="inlineStr">
        <is>
          <t>ขนาดกระจก</t>
        </is>
      </c>
      <c r="AJ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91" t="n"/>
      <c r="E8" s="91" t="n"/>
      <c r="F8" s="28" t="inlineStr">
        <is>
          <t>Set</t>
        </is>
      </c>
      <c r="G8" s="31" t="n"/>
      <c r="H8" s="32" t="n"/>
      <c r="I8" s="33" t="n"/>
      <c r="J8" s="34" t="n"/>
      <c r="K8" s="35" t="n"/>
      <c r="L8" s="34" t="n"/>
      <c r="M8" s="31" t="n"/>
      <c r="N8" s="32" t="n"/>
      <c r="O8" s="92" t="n"/>
      <c r="P8" s="32" t="n"/>
      <c r="Q8" s="33" t="n"/>
      <c r="R8" s="34" t="n"/>
      <c r="S8" s="31" t="n"/>
      <c r="T8" s="32" t="n"/>
      <c r="U8" s="92" t="n"/>
      <c r="V8" s="32" t="n"/>
      <c r="W8" s="33" t="n"/>
      <c r="X8" s="34" t="n"/>
      <c r="Y8" s="33" t="n"/>
      <c r="Z8" s="34" t="n"/>
      <c r="AA8" s="35" t="n"/>
      <c r="AB8" s="34" t="n"/>
      <c r="AC8" s="33" t="n"/>
      <c r="AD8" s="34" t="n"/>
      <c r="AE8" s="36" t="n"/>
      <c r="AF8" s="37" t="inlineStr">
        <is>
          <t>W1</t>
        </is>
      </c>
      <c r="AG8" s="38" t="n"/>
      <c r="AH8" s="36" t="n"/>
      <c r="AI8" s="37" t="inlineStr">
        <is>
          <t>W2</t>
        </is>
      </c>
      <c r="AJ8" s="38" t="n"/>
    </row>
    <row r="9" ht="40.2" customHeight="1">
      <c r="A9" s="39" t="n"/>
      <c r="B9" s="40" t="n"/>
      <c r="C9" s="41" t="n"/>
      <c r="D9" s="93" t="n"/>
      <c r="E9" s="93" t="n"/>
      <c r="F9" s="39" t="n"/>
      <c r="G9" s="42" t="inlineStr">
        <is>
          <t>เฟรมข้าง</t>
        </is>
      </c>
      <c r="H9" s="43" t="n"/>
      <c r="I9" s="42" t="inlineStr">
        <is>
          <t>เฟรม บน</t>
        </is>
      </c>
      <c r="J9" s="43" t="n"/>
      <c r="K9" s="42" t="inlineStr">
        <is>
          <t>เฟรม ล่าง</t>
        </is>
      </c>
      <c r="L9" s="43" t="n"/>
      <c r="M9" s="42" t="inlineStr">
        <is>
          <t>เสา</t>
        </is>
      </c>
      <c r="N9" s="43" t="n"/>
      <c r="O9" s="42" t="inlineStr">
        <is>
          <t>ขวาง W1</t>
        </is>
      </c>
      <c r="P9" s="43" t="n"/>
      <c r="Q9" s="42" t="inlineStr">
        <is>
          <t>ขวาง W2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ขวางW1</t>
        </is>
      </c>
      <c r="V9" s="43" t="n"/>
      <c r="W9" s="42" t="inlineStr">
        <is>
          <t>คิ้ว ขวางW2</t>
        </is>
      </c>
      <c r="X9" s="43" t="n"/>
      <c r="Y9" s="42" t="inlineStr">
        <is>
          <t>ตบธรณี</t>
        </is>
      </c>
      <c r="Z9" s="43" t="n"/>
      <c r="AA9" s="42" t="inlineStr">
        <is>
          <t>ชนกลาง</t>
        </is>
      </c>
      <c r="AB9" s="43" t="n"/>
      <c r="AC9" s="42" t="n"/>
      <c r="AD9" s="43" t="n"/>
      <c r="AE9" s="45" t="inlineStr">
        <is>
          <t>SH-87-87</t>
        </is>
      </c>
      <c r="AF9" s="46" t="inlineStr">
        <is>
          <t>SW1-87-87</t>
        </is>
      </c>
      <c r="AG9" s="47" t="n"/>
      <c r="AH9" s="45" t="inlineStr">
        <is>
          <t>SH-87-87</t>
        </is>
      </c>
      <c r="AI9" s="46" t="inlineStr">
        <is>
          <t>SW2-87-87</t>
        </is>
      </c>
      <c r="AJ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94" t="inlineStr">
        <is>
          <t>กว้าง</t>
        </is>
      </c>
      <c r="D10" s="51" t="inlineStr">
        <is>
          <t>W1</t>
        </is>
      </c>
      <c r="E10" s="51" t="inlineStr">
        <is>
          <t>W2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  <c r="AH10" s="55" t="inlineStr">
        <is>
          <t>H</t>
        </is>
      </c>
      <c r="AI10" s="56" t="inlineStr">
        <is>
          <t>W</t>
        </is>
      </c>
      <c r="AJ10" s="57" t="inlineStr">
        <is>
          <t>จำนวน</t>
        </is>
      </c>
    </row>
    <row r="11" ht="40.2" customHeight="1">
      <c r="A11" s="58" t="inlineStr">
        <is>
          <t>D1</t>
        </is>
      </c>
      <c r="B11" s="59" t="n">
        <v>2790</v>
      </c>
      <c r="C11" s="95">
        <f>IF($A11="","",$D11+$E11)</f>
        <v/>
      </c>
      <c r="D11" s="61" t="n">
        <v>800</v>
      </c>
      <c r="E11" s="61" t="n">
        <v>400</v>
      </c>
      <c r="F11" s="61" t="n">
        <v>1</v>
      </c>
      <c r="G11" s="62">
        <f>IF($A11="","",$B11)</f>
        <v/>
      </c>
      <c r="H11" s="60">
        <f>IF($A11="","",2*$F11)</f>
        <v/>
      </c>
      <c r="I11" s="62">
        <f>IF($A11="","",$C11-$E$55-$F$55)</f>
        <v/>
      </c>
      <c r="J11" s="60">
        <f>IF($A11="","",1*$F11)</f>
        <v/>
      </c>
      <c r="K11" s="62">
        <f>IF($A11="","",$I11)</f>
        <v/>
      </c>
      <c r="L11" s="60">
        <f>IF($A11="","",1*$F11)</f>
        <v/>
      </c>
      <c r="M11" s="62">
        <f>IF($A11="","",$B11-$E$57-$F$57)</f>
        <v/>
      </c>
      <c r="N11" s="60">
        <f>IF($A11="","",4*$F11)</f>
        <v/>
      </c>
      <c r="O11" s="62">
        <f>IF($A11="","",(($D11-$E$58-$F$58)))</f>
        <v/>
      </c>
      <c r="P11" s="60">
        <f>IF($A11="","",2*$F11)</f>
        <v/>
      </c>
      <c r="Q11" s="62">
        <f>IF($A11="","",(($E11-$E$59-$F$59)))</f>
        <v/>
      </c>
      <c r="R11" s="60">
        <f>IF($A11="","",2*$F11)</f>
        <v/>
      </c>
      <c r="S11" s="62">
        <f>IF($A11="","",$M11-$E$60-$F$60)</f>
        <v/>
      </c>
      <c r="T11" s="60">
        <f>IF($A11="","",4*$F11)</f>
        <v/>
      </c>
      <c r="U11" s="62">
        <f>IF($A11="","",$O11-$E$61-$F$61)</f>
        <v/>
      </c>
      <c r="V11" s="60">
        <f>IF($A11="","",2*$F11)</f>
        <v/>
      </c>
      <c r="W11" s="62">
        <f>IF($A11="","",$Q11-$E$62-$F$62)</f>
        <v/>
      </c>
      <c r="X11" s="60">
        <f>IF($A11="","",2*$F11)</f>
        <v/>
      </c>
      <c r="Y11" s="62">
        <f>IF($A11="","",$I11)</f>
        <v/>
      </c>
      <c r="Z11" s="60">
        <f>IF($A11="","",1*$F11)</f>
        <v/>
      </c>
      <c r="AA11" s="62">
        <f>IF($A11="","",$B11-$E$64-$F$64)</f>
        <v/>
      </c>
      <c r="AB11" s="60">
        <f>IF($A11="","",1*$F11)</f>
        <v/>
      </c>
      <c r="AC11" s="62" t="n"/>
      <c r="AD11" s="60" t="n"/>
      <c r="AE11" s="63">
        <f>IF($A11="","",$M11-87-87)</f>
        <v/>
      </c>
      <c r="AF11" s="64">
        <f>IF($A11="","",$O11-87-87)</f>
        <v/>
      </c>
      <c r="AG11" s="65">
        <f>IF($A11="","",1*$F11)</f>
        <v/>
      </c>
      <c r="AH11" s="63">
        <f>IF($A11="","",$M11-87-87)</f>
        <v/>
      </c>
      <c r="AI11" s="64">
        <f>IF($A11="","",$Q11-87-87)</f>
        <v/>
      </c>
      <c r="AJ11" s="65">
        <f>IF($A11="","",1*$F11)</f>
        <v/>
      </c>
    </row>
    <row r="12" ht="40.2" customHeight="1">
      <c r="A12" s="58" t="n"/>
      <c r="B12" s="59" t="n"/>
      <c r="C12" s="95">
        <f>IF($A12="","",$D12+$E12)</f>
        <v/>
      </c>
      <c r="D12" s="61" t="n"/>
      <c r="E12" s="61" t="n"/>
      <c r="F12" s="61" t="n"/>
      <c r="G12" s="66">
        <f>IF($A12="","",$B12)</f>
        <v/>
      </c>
      <c r="H12" s="67">
        <f>IF($A12="","",2*$F12)</f>
        <v/>
      </c>
      <c r="I12" s="66">
        <f>IF($A12="","",$C12-$E$55-$F$55)</f>
        <v/>
      </c>
      <c r="J12" s="67">
        <f>IF($A12="","",1*$F12)</f>
        <v/>
      </c>
      <c r="K12" s="66">
        <f>IF($A12="","",$I12)</f>
        <v/>
      </c>
      <c r="L12" s="67">
        <f>IF($A12="","",1*$F12)</f>
        <v/>
      </c>
      <c r="M12" s="66">
        <f>IF($A12="","",$B12-$E$57-$F$57)</f>
        <v/>
      </c>
      <c r="N12" s="67">
        <f>IF($A12="","",4*$F12)</f>
        <v/>
      </c>
      <c r="O12" s="66">
        <f>IF($A12="","",(($D12-$E$58-$F$58)))</f>
        <v/>
      </c>
      <c r="P12" s="67">
        <f>IF($A12="","",2*$F12)</f>
        <v/>
      </c>
      <c r="Q12" s="66">
        <f>IF($A12="","",(($E12-$E$59-$F$59)))</f>
        <v/>
      </c>
      <c r="R12" s="67">
        <f>IF($A12="","",2*$F12)</f>
        <v/>
      </c>
      <c r="S12" s="66">
        <f>IF($A12="","",$M12-$E$60-$F$60)</f>
        <v/>
      </c>
      <c r="T12" s="67">
        <f>IF($A12="","",4*$F12)</f>
        <v/>
      </c>
      <c r="U12" s="66">
        <f>IF($A12="","",$O12-$E$61-$F$61)</f>
        <v/>
      </c>
      <c r="V12" s="67">
        <f>IF($A12="","",2*$F12)</f>
        <v/>
      </c>
      <c r="W12" s="66">
        <f>IF($A12="","",$Q12-$E$62-$F$62)</f>
        <v/>
      </c>
      <c r="X12" s="67">
        <f>IF($A12="","",2*$F12)</f>
        <v/>
      </c>
      <c r="Y12" s="66">
        <f>IF($A12="","",$I12)</f>
        <v/>
      </c>
      <c r="Z12" s="67">
        <f>IF($A12="","",1*$F12)</f>
        <v/>
      </c>
      <c r="AA12" s="66">
        <f>IF($A12="","",$B12-$E$64-$F$64)</f>
        <v/>
      </c>
      <c r="AB12" s="67">
        <f>IF($A12="","",1*$F12)</f>
        <v/>
      </c>
      <c r="AC12" s="66" t="n"/>
      <c r="AD12" s="67" t="n"/>
      <c r="AE12" s="63">
        <f>IF($A12="","",$M12-87-87)</f>
        <v/>
      </c>
      <c r="AF12" s="64">
        <f>IF($A12="","",$O12-87-87)</f>
        <v/>
      </c>
      <c r="AG12" s="65">
        <f>IF($A12="","",1*$F12)</f>
        <v/>
      </c>
      <c r="AH12" s="63">
        <f>IF($A12="","",$M12-87-87)</f>
        <v/>
      </c>
      <c r="AI12" s="64">
        <f>IF($A12="","",$Q12-87-87)</f>
        <v/>
      </c>
      <c r="AJ12" s="65">
        <f>IF($A12="","",1*$F12)</f>
        <v/>
      </c>
    </row>
    <row r="13" ht="40.2" customHeight="1">
      <c r="A13" s="58" t="n"/>
      <c r="B13" s="59" t="n"/>
      <c r="C13" s="95">
        <f>IF($A13="","",$D13+$E13)</f>
        <v/>
      </c>
      <c r="D13" s="61" t="n"/>
      <c r="E13" s="61" t="n"/>
      <c r="F13" s="61" t="n"/>
      <c r="G13" s="62">
        <f>IF($A13="","",$B13)</f>
        <v/>
      </c>
      <c r="H13" s="60">
        <f>IF($A13="","",2*$F13)</f>
        <v/>
      </c>
      <c r="I13" s="62">
        <f>IF($A13="","",$C13-$E$55-$F$55)</f>
        <v/>
      </c>
      <c r="J13" s="60">
        <f>IF($A13="","",1*$F13)</f>
        <v/>
      </c>
      <c r="K13" s="62">
        <f>IF($A13="","",$I13)</f>
        <v/>
      </c>
      <c r="L13" s="60">
        <f>IF($A13="","",1*$F13)</f>
        <v/>
      </c>
      <c r="M13" s="62">
        <f>IF($A13="","",$B13-$E$57-$F$57)</f>
        <v/>
      </c>
      <c r="N13" s="60">
        <f>IF($A13="","",4*$F13)</f>
        <v/>
      </c>
      <c r="O13" s="62">
        <f>IF($A13="","",(($D13-$E$58-$F$58)))</f>
        <v/>
      </c>
      <c r="P13" s="60">
        <f>IF($A13="","",2*$F13)</f>
        <v/>
      </c>
      <c r="Q13" s="62">
        <f>IF($A13="","",(($E13-$E$59-$F$59)))</f>
        <v/>
      </c>
      <c r="R13" s="60">
        <f>IF($A13="","",2*$F13)</f>
        <v/>
      </c>
      <c r="S13" s="62">
        <f>IF($A13="","",$M13-$E$60-$F$60)</f>
        <v/>
      </c>
      <c r="T13" s="60">
        <f>IF($A13="","",4*$F13)</f>
        <v/>
      </c>
      <c r="U13" s="62">
        <f>IF($A13="","",$O13-$E$61-$F$61)</f>
        <v/>
      </c>
      <c r="V13" s="60">
        <f>IF($A13="","",2*$F13)</f>
        <v/>
      </c>
      <c r="W13" s="62">
        <f>IF($A13="","",$Q13-$E$62-$F$62)</f>
        <v/>
      </c>
      <c r="X13" s="60">
        <f>IF($A13="","",2*$F13)</f>
        <v/>
      </c>
      <c r="Y13" s="62">
        <f>IF($A13="","",$I13)</f>
        <v/>
      </c>
      <c r="Z13" s="60">
        <f>IF($A13="","",1*$F13)</f>
        <v/>
      </c>
      <c r="AA13" s="62">
        <f>IF($A13="","",$B13-$E$64-$F$64)</f>
        <v/>
      </c>
      <c r="AB13" s="60">
        <f>IF($A13="","",1*$F13)</f>
        <v/>
      </c>
      <c r="AC13" s="62" t="n"/>
      <c r="AD13" s="60" t="n"/>
      <c r="AE13" s="63">
        <f>IF($A13="","",$M13-87-87)</f>
        <v/>
      </c>
      <c r="AF13" s="64">
        <f>IF($A13="","",$O13-87-87)</f>
        <v/>
      </c>
      <c r="AG13" s="65">
        <f>IF($A13="","",1*$F13)</f>
        <v/>
      </c>
      <c r="AH13" s="63">
        <f>IF($A13="","",$M13-87-87)</f>
        <v/>
      </c>
      <c r="AI13" s="64">
        <f>IF($A13="","",$Q13-87-87)</f>
        <v/>
      </c>
      <c r="AJ13" s="65">
        <f>IF($A13="","",1*$F13)</f>
        <v/>
      </c>
    </row>
    <row r="14" ht="40.2" customHeight="1">
      <c r="A14" s="58" t="n"/>
      <c r="B14" s="59" t="n"/>
      <c r="C14" s="95">
        <f>IF($A14="","",$D14+$E14)</f>
        <v/>
      </c>
      <c r="D14" s="61" t="n"/>
      <c r="E14" s="61" t="n"/>
      <c r="F14" s="61" t="n"/>
      <c r="G14" s="66">
        <f>IF($A14="","",$B14)</f>
        <v/>
      </c>
      <c r="H14" s="67">
        <f>IF($A14="","",2*$F14)</f>
        <v/>
      </c>
      <c r="I14" s="66">
        <f>IF($A14="","",$C14-$E$55-$F$55)</f>
        <v/>
      </c>
      <c r="J14" s="67">
        <f>IF($A14="","",1*$F14)</f>
        <v/>
      </c>
      <c r="K14" s="66">
        <f>IF($A14="","",$I14)</f>
        <v/>
      </c>
      <c r="L14" s="67">
        <f>IF($A14="","",1*$F14)</f>
        <v/>
      </c>
      <c r="M14" s="66">
        <f>IF($A14="","",$B14-$E$57-$F$57)</f>
        <v/>
      </c>
      <c r="N14" s="67">
        <f>IF($A14="","",4*$F14)</f>
        <v/>
      </c>
      <c r="O14" s="66">
        <f>IF($A14="","",(($D14-$E$58-$F$58)))</f>
        <v/>
      </c>
      <c r="P14" s="67">
        <f>IF($A14="","",2*$F14)</f>
        <v/>
      </c>
      <c r="Q14" s="66">
        <f>IF($A14="","",(($E14-$E$59-$F$59)))</f>
        <v/>
      </c>
      <c r="R14" s="67">
        <f>IF($A14="","",2*$F14)</f>
        <v/>
      </c>
      <c r="S14" s="66">
        <f>IF($A14="","",$M14-$E$60-$F$60)</f>
        <v/>
      </c>
      <c r="T14" s="67">
        <f>IF($A14="","",4*$F14)</f>
        <v/>
      </c>
      <c r="U14" s="66">
        <f>IF($A14="","",$O14-$E$61-$F$61)</f>
        <v/>
      </c>
      <c r="V14" s="67">
        <f>IF($A14="","",2*$F14)</f>
        <v/>
      </c>
      <c r="W14" s="66">
        <f>IF($A14="","",$Q14-$E$62-$F$62)</f>
        <v/>
      </c>
      <c r="X14" s="67">
        <f>IF($A14="","",2*$F14)</f>
        <v/>
      </c>
      <c r="Y14" s="66">
        <f>IF($A14="","",$I14)</f>
        <v/>
      </c>
      <c r="Z14" s="67">
        <f>IF($A14="","",1*$F14)</f>
        <v/>
      </c>
      <c r="AA14" s="66">
        <f>IF($A14="","",$B14-$E$64-$F$64)</f>
        <v/>
      </c>
      <c r="AB14" s="67">
        <f>IF($A14="","",1*$F14)</f>
        <v/>
      </c>
      <c r="AC14" s="66" t="n"/>
      <c r="AD14" s="67" t="n"/>
      <c r="AE14" s="63">
        <f>IF($A14="","",$M14-87-87)</f>
        <v/>
      </c>
      <c r="AF14" s="64">
        <f>IF($A14="","",$O14-87-87)</f>
        <v/>
      </c>
      <c r="AG14" s="65">
        <f>IF($A14="","",1*$F14)</f>
        <v/>
      </c>
      <c r="AH14" s="63">
        <f>IF($A14="","",$M14-87-87)</f>
        <v/>
      </c>
      <c r="AI14" s="64">
        <f>IF($A14="","",$Q14-87-87)</f>
        <v/>
      </c>
      <c r="AJ14" s="65">
        <f>IF($A14="","",1*$F14)</f>
        <v/>
      </c>
    </row>
    <row r="15" ht="40.2" customHeight="1">
      <c r="A15" s="58" t="n"/>
      <c r="B15" s="59" t="n"/>
      <c r="C15" s="95">
        <f>IF($A15="","",$D15+$E15)</f>
        <v/>
      </c>
      <c r="D15" s="61" t="n"/>
      <c r="E15" s="61" t="n"/>
      <c r="F15" s="61" t="n"/>
      <c r="G15" s="62">
        <f>IF($A15="","",$B15)</f>
        <v/>
      </c>
      <c r="H15" s="60">
        <f>IF($A15="","",2*$F15)</f>
        <v/>
      </c>
      <c r="I15" s="62">
        <f>IF($A15="","",$C15-$E$55-$F$55)</f>
        <v/>
      </c>
      <c r="J15" s="60">
        <f>IF($A15="","",1*$F15)</f>
        <v/>
      </c>
      <c r="K15" s="62">
        <f>IF($A15="","",$I15)</f>
        <v/>
      </c>
      <c r="L15" s="60">
        <f>IF($A15="","",1*$F15)</f>
        <v/>
      </c>
      <c r="M15" s="62">
        <f>IF($A15="","",$B15-$E$57-$F$57)</f>
        <v/>
      </c>
      <c r="N15" s="60">
        <f>IF($A15="","",4*$F15)</f>
        <v/>
      </c>
      <c r="O15" s="62">
        <f>IF($A15="","",(($D15-$E$58-$F$58)))</f>
        <v/>
      </c>
      <c r="P15" s="60">
        <f>IF($A15="","",2*$F15)</f>
        <v/>
      </c>
      <c r="Q15" s="62">
        <f>IF($A15="","",(($E15-$E$59-$F$59)))</f>
        <v/>
      </c>
      <c r="R15" s="60">
        <f>IF($A15="","",2*$F15)</f>
        <v/>
      </c>
      <c r="S15" s="62">
        <f>IF($A15="","",$M15-$E$60-$F$60)</f>
        <v/>
      </c>
      <c r="T15" s="60">
        <f>IF($A15="","",4*$F15)</f>
        <v/>
      </c>
      <c r="U15" s="62">
        <f>IF($A15="","",$O15-$E$61-$F$61)</f>
        <v/>
      </c>
      <c r="V15" s="60">
        <f>IF($A15="","",2*$F15)</f>
        <v/>
      </c>
      <c r="W15" s="62">
        <f>IF($A15="","",$Q15-$E$62-$F$62)</f>
        <v/>
      </c>
      <c r="X15" s="60">
        <f>IF($A15="","",2*$F15)</f>
        <v/>
      </c>
      <c r="Y15" s="62">
        <f>IF($A15="","",$I15)</f>
        <v/>
      </c>
      <c r="Z15" s="60">
        <f>IF($A15="","",1*$F15)</f>
        <v/>
      </c>
      <c r="AA15" s="62">
        <f>IF($A15="","",$B15-$E$64-$F$64)</f>
        <v/>
      </c>
      <c r="AB15" s="60">
        <f>IF($A15="","",1*$F15)</f>
        <v/>
      </c>
      <c r="AC15" s="62" t="n"/>
      <c r="AD15" s="60" t="n"/>
      <c r="AE15" s="63">
        <f>IF($A15="","",$M15-87-87)</f>
        <v/>
      </c>
      <c r="AF15" s="64">
        <f>IF($A15="","",$O15-87-87)</f>
        <v/>
      </c>
      <c r="AG15" s="65">
        <f>IF($A15="","",1*$F15)</f>
        <v/>
      </c>
      <c r="AH15" s="63">
        <f>IF($A15="","",$M15-87-87)</f>
        <v/>
      </c>
      <c r="AI15" s="64">
        <f>IF($A15="","",$Q15-87-87)</f>
        <v/>
      </c>
      <c r="AJ15" s="65">
        <f>IF($A15="","",1*$F15)</f>
        <v/>
      </c>
    </row>
    <row r="16" ht="40.2" customHeight="1">
      <c r="A16" s="58" t="n"/>
      <c r="B16" s="59" t="n"/>
      <c r="C16" s="95">
        <f>IF($A16="","",$D16+$E16)</f>
        <v/>
      </c>
      <c r="D16" s="61" t="n"/>
      <c r="E16" s="61" t="n"/>
      <c r="F16" s="61" t="n"/>
      <c r="G16" s="66">
        <f>IF($A16="","",$B16)</f>
        <v/>
      </c>
      <c r="H16" s="67">
        <f>IF($A16="","",2*$F16)</f>
        <v/>
      </c>
      <c r="I16" s="66">
        <f>IF($A16="","",$C16-$E$55-$F$55)</f>
        <v/>
      </c>
      <c r="J16" s="67">
        <f>IF($A16="","",1*$F16)</f>
        <v/>
      </c>
      <c r="K16" s="66">
        <f>IF($A16="","",$I16)</f>
        <v/>
      </c>
      <c r="L16" s="67">
        <f>IF($A16="","",1*$F16)</f>
        <v/>
      </c>
      <c r="M16" s="66">
        <f>IF($A16="","",$B16-$E$57-$F$57)</f>
        <v/>
      </c>
      <c r="N16" s="67">
        <f>IF($A16="","",4*$F16)</f>
        <v/>
      </c>
      <c r="O16" s="66">
        <f>IF($A16="","",(($D16-$E$58-$F$58)))</f>
        <v/>
      </c>
      <c r="P16" s="67">
        <f>IF($A16="","",2*$F16)</f>
        <v/>
      </c>
      <c r="Q16" s="66">
        <f>IF($A16="","",(($E16-$E$59-$F$59)))</f>
        <v/>
      </c>
      <c r="R16" s="67">
        <f>IF($A16="","",2*$F16)</f>
        <v/>
      </c>
      <c r="S16" s="66">
        <f>IF($A16="","",$M16-$E$60-$F$60)</f>
        <v/>
      </c>
      <c r="T16" s="67">
        <f>IF($A16="","",4*$F16)</f>
        <v/>
      </c>
      <c r="U16" s="66">
        <f>IF($A16="","",$O16-$E$61-$F$61)</f>
        <v/>
      </c>
      <c r="V16" s="67">
        <f>IF($A16="","",2*$F16)</f>
        <v/>
      </c>
      <c r="W16" s="66">
        <f>IF($A16="","",$Q16-$E$62-$F$62)</f>
        <v/>
      </c>
      <c r="X16" s="67">
        <f>IF($A16="","",2*$F16)</f>
        <v/>
      </c>
      <c r="Y16" s="66">
        <f>IF($A16="","",$I16)</f>
        <v/>
      </c>
      <c r="Z16" s="67">
        <f>IF($A16="","",1*$F16)</f>
        <v/>
      </c>
      <c r="AA16" s="66">
        <f>IF($A16="","",$B16-$E$64-$F$64)</f>
        <v/>
      </c>
      <c r="AB16" s="67">
        <f>IF($A16="","",1*$F16)</f>
        <v/>
      </c>
      <c r="AC16" s="66" t="n"/>
      <c r="AD16" s="67" t="n"/>
      <c r="AE16" s="63">
        <f>IF($A16="","",$M16-87-87)</f>
        <v/>
      </c>
      <c r="AF16" s="64">
        <f>IF($A16="","",$O16-87-87)</f>
        <v/>
      </c>
      <c r="AG16" s="65">
        <f>IF($A16="","",1*$F16)</f>
        <v/>
      </c>
      <c r="AH16" s="63">
        <f>IF($A16="","",$M16-87-87)</f>
        <v/>
      </c>
      <c r="AI16" s="64">
        <f>IF($A16="","",$Q16-87-87)</f>
        <v/>
      </c>
      <c r="AJ16" s="65">
        <f>IF($A16="","",1*$F16)</f>
        <v/>
      </c>
    </row>
    <row r="17" ht="40.2" customHeight="1">
      <c r="A17" s="58" t="n"/>
      <c r="B17" s="59" t="n"/>
      <c r="C17" s="95">
        <f>IF($A17="","",$D17+$E17)</f>
        <v/>
      </c>
      <c r="D17" s="61" t="n"/>
      <c r="E17" s="61" t="n"/>
      <c r="F17" s="61" t="n"/>
      <c r="G17" s="62">
        <f>IF($A17="","",$B17)</f>
        <v/>
      </c>
      <c r="H17" s="60">
        <f>IF($A17="","",2*$F17)</f>
        <v/>
      </c>
      <c r="I17" s="62">
        <f>IF($A17="","",$C17-$E$55-$F$55)</f>
        <v/>
      </c>
      <c r="J17" s="60">
        <f>IF($A17="","",1*$F17)</f>
        <v/>
      </c>
      <c r="K17" s="62">
        <f>IF($A17="","",$I17)</f>
        <v/>
      </c>
      <c r="L17" s="60">
        <f>IF($A17="","",1*$F17)</f>
        <v/>
      </c>
      <c r="M17" s="62">
        <f>IF($A17="","",$B17-$E$57-$F$57)</f>
        <v/>
      </c>
      <c r="N17" s="60">
        <f>IF($A17="","",4*$F17)</f>
        <v/>
      </c>
      <c r="O17" s="62">
        <f>IF($A17="","",(($D17-$E$58-$F$58)))</f>
        <v/>
      </c>
      <c r="P17" s="60">
        <f>IF($A17="","",2*$F17)</f>
        <v/>
      </c>
      <c r="Q17" s="62">
        <f>IF($A17="","",(($E17-$E$59-$F$59)))</f>
        <v/>
      </c>
      <c r="R17" s="60">
        <f>IF($A17="","",2*$F17)</f>
        <v/>
      </c>
      <c r="S17" s="62">
        <f>IF($A17="","",$M17-$E$60-$F$60)</f>
        <v/>
      </c>
      <c r="T17" s="60">
        <f>IF($A17="","",4*$F17)</f>
        <v/>
      </c>
      <c r="U17" s="62">
        <f>IF($A17="","",$O17-$E$61-$F$61)</f>
        <v/>
      </c>
      <c r="V17" s="60">
        <f>IF($A17="","",2*$F17)</f>
        <v/>
      </c>
      <c r="W17" s="62">
        <f>IF($A17="","",$Q17-$E$62-$F$62)</f>
        <v/>
      </c>
      <c r="X17" s="60">
        <f>IF($A17="","",2*$F17)</f>
        <v/>
      </c>
      <c r="Y17" s="62">
        <f>IF($A17="","",$I17)</f>
        <v/>
      </c>
      <c r="Z17" s="60">
        <f>IF($A17="","",1*$F17)</f>
        <v/>
      </c>
      <c r="AA17" s="62">
        <f>IF($A17="","",$B17-$E$64-$F$64)</f>
        <v/>
      </c>
      <c r="AB17" s="60">
        <f>IF($A17="","",1*$F17)</f>
        <v/>
      </c>
      <c r="AC17" s="62" t="n"/>
      <c r="AD17" s="60" t="n"/>
      <c r="AE17" s="63">
        <f>IF($A17="","",$M17-87-87)</f>
        <v/>
      </c>
      <c r="AF17" s="64">
        <f>IF($A17="","",$O17-87-87)</f>
        <v/>
      </c>
      <c r="AG17" s="65">
        <f>IF($A17="","",1*$F17)</f>
        <v/>
      </c>
      <c r="AH17" s="63">
        <f>IF($A17="","",$M17-87-87)</f>
        <v/>
      </c>
      <c r="AI17" s="64">
        <f>IF($A17="","",$Q17-87-87)</f>
        <v/>
      </c>
      <c r="AJ17" s="65">
        <f>IF($A17="","",1*$F17)</f>
        <v/>
      </c>
    </row>
    <row r="18" ht="40.2" customHeight="1">
      <c r="A18" s="58" t="n"/>
      <c r="B18" s="59" t="n"/>
      <c r="C18" s="95">
        <f>IF($A18="","",$D18+$E18)</f>
        <v/>
      </c>
      <c r="D18" s="61" t="n"/>
      <c r="E18" s="61" t="n"/>
      <c r="F18" s="61" t="n"/>
      <c r="G18" s="66">
        <f>IF($A18="","",$B18)</f>
        <v/>
      </c>
      <c r="H18" s="67">
        <f>IF($A18="","",2*$F18)</f>
        <v/>
      </c>
      <c r="I18" s="66">
        <f>IF($A18="","",$C18-$E$55-$F$55)</f>
        <v/>
      </c>
      <c r="J18" s="67">
        <f>IF($A18="","",1*$F18)</f>
        <v/>
      </c>
      <c r="K18" s="66">
        <f>IF($A18="","",$I18)</f>
        <v/>
      </c>
      <c r="L18" s="67">
        <f>IF($A18="","",1*$F18)</f>
        <v/>
      </c>
      <c r="M18" s="66">
        <f>IF($A18="","",$B18-$E$57-$F$57)</f>
        <v/>
      </c>
      <c r="N18" s="67">
        <f>IF($A18="","",4*$F18)</f>
        <v/>
      </c>
      <c r="O18" s="66">
        <f>IF($A18="","",(($D18-$E$58-$F$58)))</f>
        <v/>
      </c>
      <c r="P18" s="67">
        <f>IF($A18="","",2*$F18)</f>
        <v/>
      </c>
      <c r="Q18" s="66">
        <f>IF($A18="","",(($E18-$E$59-$F$59)))</f>
        <v/>
      </c>
      <c r="R18" s="67">
        <f>IF($A18="","",2*$F18)</f>
        <v/>
      </c>
      <c r="S18" s="66">
        <f>IF($A18="","",$M18-$E$60-$F$60)</f>
        <v/>
      </c>
      <c r="T18" s="67">
        <f>IF($A18="","",4*$F18)</f>
        <v/>
      </c>
      <c r="U18" s="66">
        <f>IF($A18="","",$O18-$E$61-$F$61)</f>
        <v/>
      </c>
      <c r="V18" s="67">
        <f>IF($A18="","",2*$F18)</f>
        <v/>
      </c>
      <c r="W18" s="66">
        <f>IF($A18="","",$Q18-$E$62-$F$62)</f>
        <v/>
      </c>
      <c r="X18" s="67">
        <f>IF($A18="","",2*$F18)</f>
        <v/>
      </c>
      <c r="Y18" s="66">
        <f>IF($A18="","",$I18)</f>
        <v/>
      </c>
      <c r="Z18" s="67">
        <f>IF($A18="","",1*$F18)</f>
        <v/>
      </c>
      <c r="AA18" s="66">
        <f>IF($A18="","",$B18-$E$64-$F$64)</f>
        <v/>
      </c>
      <c r="AB18" s="67">
        <f>IF($A18="","",1*$F18)</f>
        <v/>
      </c>
      <c r="AC18" s="66" t="n"/>
      <c r="AD18" s="67" t="n"/>
      <c r="AE18" s="63">
        <f>IF($A18="","",$M18-87-87)</f>
        <v/>
      </c>
      <c r="AF18" s="64">
        <f>IF($A18="","",$O18-87-87)</f>
        <v/>
      </c>
      <c r="AG18" s="65">
        <f>IF($A18="","",1*$F18)</f>
        <v/>
      </c>
      <c r="AH18" s="63">
        <f>IF($A18="","",$M18-87-87)</f>
        <v/>
      </c>
      <c r="AI18" s="64">
        <f>IF($A18="","",$Q18-87-87)</f>
        <v/>
      </c>
      <c r="AJ18" s="65">
        <f>IF($A18="","",1*$F18)</f>
        <v/>
      </c>
    </row>
    <row r="19" ht="40.2" customHeight="1">
      <c r="A19" s="83" t="n"/>
      <c r="B19" s="84" t="n"/>
      <c r="C19" s="95">
        <f>IF($A19="","",$D19+$E19)</f>
        <v/>
      </c>
      <c r="D19" s="86" t="n"/>
      <c r="E19" s="86" t="n"/>
      <c r="F19" s="86" t="n"/>
      <c r="G19" s="62">
        <f>IF($A19="","",$B19)</f>
        <v/>
      </c>
      <c r="H19" s="60">
        <f>IF($A19="","",2*$F19)</f>
        <v/>
      </c>
      <c r="I19" s="62">
        <f>IF($A19="","",$C19-$E$55-$F$55)</f>
        <v/>
      </c>
      <c r="J19" s="60">
        <f>IF($A19="","",1*$F19)</f>
        <v/>
      </c>
      <c r="K19" s="62">
        <f>IF($A19="","",$I19)</f>
        <v/>
      </c>
      <c r="L19" s="60">
        <f>IF($A19="","",1*$F19)</f>
        <v/>
      </c>
      <c r="M19" s="62">
        <f>IF($A19="","",$B19-$E$57-$F$57)</f>
        <v/>
      </c>
      <c r="N19" s="60">
        <f>IF($A19="","",4*$F19)</f>
        <v/>
      </c>
      <c r="O19" s="62">
        <f>IF($A19="","",(($D19-$E$58-$F$58)))</f>
        <v/>
      </c>
      <c r="P19" s="60">
        <f>IF($A19="","",2*$F19)</f>
        <v/>
      </c>
      <c r="Q19" s="62">
        <f>IF($A19="","",(($E19-$E$59-$F$59)))</f>
        <v/>
      </c>
      <c r="R19" s="60">
        <f>IF($A19="","",2*$F19)</f>
        <v/>
      </c>
      <c r="S19" s="62">
        <f>IF($A19="","",$M19-$E$60-$F$60)</f>
        <v/>
      </c>
      <c r="T19" s="60">
        <f>IF($A19="","",4*$F19)</f>
        <v/>
      </c>
      <c r="U19" s="62">
        <f>IF($A19="","",$O19-$E$61-$F$61)</f>
        <v/>
      </c>
      <c r="V19" s="60">
        <f>IF($A19="","",2*$F19)</f>
        <v/>
      </c>
      <c r="W19" s="62">
        <f>IF($A19="","",$Q19-$E$62-$F$62)</f>
        <v/>
      </c>
      <c r="X19" s="60">
        <f>IF($A19="","",2*$F19)</f>
        <v/>
      </c>
      <c r="Y19" s="62">
        <f>IF($A19="","",$I19)</f>
        <v/>
      </c>
      <c r="Z19" s="60">
        <f>IF($A19="","",1*$F19)</f>
        <v/>
      </c>
      <c r="AA19" s="62">
        <f>IF($A19="","",$B19-$E$64-$F$64)</f>
        <v/>
      </c>
      <c r="AB19" s="60">
        <f>IF($A19="","",1*$F19)</f>
        <v/>
      </c>
      <c r="AC19" s="62" t="n"/>
      <c r="AD19" s="60" t="n"/>
      <c r="AE19" s="63">
        <f>IF($A19="","",$M19-87-87)</f>
        <v/>
      </c>
      <c r="AF19" s="64">
        <f>IF($A19="","",$O19-87-87)</f>
        <v/>
      </c>
      <c r="AG19" s="65">
        <f>IF($A19="","",1*$F19)</f>
        <v/>
      </c>
      <c r="AH19" s="63">
        <f>IF($A19="","",$M19-87-87)</f>
        <v/>
      </c>
      <c r="AI19" s="64">
        <f>IF($A19="","",$Q19-87-87)</f>
        <v/>
      </c>
      <c r="AJ19" s="65">
        <f>IF($A19="","",1*$F19)</f>
        <v/>
      </c>
    </row>
    <row r="20" ht="40.2" customHeight="1">
      <c r="A20" s="83" t="n"/>
      <c r="B20" s="84" t="n"/>
      <c r="C20" s="95">
        <f>IF($A20="","",$D20+$E20)</f>
        <v/>
      </c>
      <c r="D20" s="86" t="n"/>
      <c r="E20" s="86" t="n"/>
      <c r="F20" s="86" t="n"/>
      <c r="G20" s="66">
        <f>IF($A20="","",$B20)</f>
        <v/>
      </c>
      <c r="H20" s="67">
        <f>IF($A20="","",2*$F20)</f>
        <v/>
      </c>
      <c r="I20" s="66">
        <f>IF($A20="","",$C20-$E$55-$F$55)</f>
        <v/>
      </c>
      <c r="J20" s="67">
        <f>IF($A20="","",1*$F20)</f>
        <v/>
      </c>
      <c r="K20" s="66">
        <f>IF($A20="","",$I20)</f>
        <v/>
      </c>
      <c r="L20" s="67">
        <f>IF($A20="","",1*$F20)</f>
        <v/>
      </c>
      <c r="M20" s="66">
        <f>IF($A20="","",$B20-$E$57-$F$57)</f>
        <v/>
      </c>
      <c r="N20" s="67">
        <f>IF($A20="","",4*$F20)</f>
        <v/>
      </c>
      <c r="O20" s="66">
        <f>IF($A20="","",(($D20-$E$58-$F$58)))</f>
        <v/>
      </c>
      <c r="P20" s="67">
        <f>IF($A20="","",2*$F20)</f>
        <v/>
      </c>
      <c r="Q20" s="66">
        <f>IF($A20="","",(($E20-$E$59-$F$59)))</f>
        <v/>
      </c>
      <c r="R20" s="67">
        <f>IF($A20="","",2*$F20)</f>
        <v/>
      </c>
      <c r="S20" s="66">
        <f>IF($A20="","",$M20-$E$60-$F$60)</f>
        <v/>
      </c>
      <c r="T20" s="67">
        <f>IF($A20="","",4*$F20)</f>
        <v/>
      </c>
      <c r="U20" s="66">
        <f>IF($A20="","",$O20-$E$61-$F$61)</f>
        <v/>
      </c>
      <c r="V20" s="67">
        <f>IF($A20="","",2*$F20)</f>
        <v/>
      </c>
      <c r="W20" s="66">
        <f>IF($A20="","",$Q20-$E$62-$F$62)</f>
        <v/>
      </c>
      <c r="X20" s="67">
        <f>IF($A20="","",2*$F20)</f>
        <v/>
      </c>
      <c r="Y20" s="66">
        <f>IF($A20="","",$I20)</f>
        <v/>
      </c>
      <c r="Z20" s="67">
        <f>IF($A20="","",1*$F20)</f>
        <v/>
      </c>
      <c r="AA20" s="66">
        <f>IF($A20="","",$B20-$E$64-$F$64)</f>
        <v/>
      </c>
      <c r="AB20" s="67">
        <f>IF($A20="","",1*$F20)</f>
        <v/>
      </c>
      <c r="AC20" s="66" t="n"/>
      <c r="AD20" s="67" t="n"/>
      <c r="AE20" s="63">
        <f>IF($A20="","",$M20-87-87)</f>
        <v/>
      </c>
      <c r="AF20" s="64">
        <f>IF($A20="","",$O20-87-87)</f>
        <v/>
      </c>
      <c r="AG20" s="65">
        <f>IF($A20="","",1*$F20)</f>
        <v/>
      </c>
      <c r="AH20" s="63">
        <f>IF($A20="","",$M20-87-87)</f>
        <v/>
      </c>
      <c r="AI20" s="64">
        <f>IF($A20="","",$Q20-87-87)</f>
        <v/>
      </c>
      <c r="AJ20" s="65">
        <f>IF($A20="","",1*$F20)</f>
        <v/>
      </c>
    </row>
    <row r="21" ht="40.2" customHeight="1">
      <c r="A21" s="83" t="n"/>
      <c r="B21" s="84" t="n"/>
      <c r="C21" s="95">
        <f>IF($A21="","",$D21+$E21)</f>
        <v/>
      </c>
      <c r="D21" s="86" t="n"/>
      <c r="E21" s="86" t="n"/>
      <c r="F21" s="86" t="n"/>
      <c r="G21" s="62">
        <f>IF($A21="","",$B21)</f>
        <v/>
      </c>
      <c r="H21" s="60">
        <f>IF($A21="","",2*$F21)</f>
        <v/>
      </c>
      <c r="I21" s="62">
        <f>IF($A21="","",$C21-$E$55-$F$55)</f>
        <v/>
      </c>
      <c r="J21" s="60">
        <f>IF($A21="","",1*$F21)</f>
        <v/>
      </c>
      <c r="K21" s="62">
        <f>IF($A21="","",$I21)</f>
        <v/>
      </c>
      <c r="L21" s="60">
        <f>IF($A21="","",1*$F21)</f>
        <v/>
      </c>
      <c r="M21" s="62">
        <f>IF($A21="","",$B21-$E$57-$F$57)</f>
        <v/>
      </c>
      <c r="N21" s="60">
        <f>IF($A21="","",4*$F21)</f>
        <v/>
      </c>
      <c r="O21" s="62">
        <f>IF($A21="","",(($D21-$E$58-$F$58)))</f>
        <v/>
      </c>
      <c r="P21" s="60">
        <f>IF($A21="","",2*$F21)</f>
        <v/>
      </c>
      <c r="Q21" s="62">
        <f>IF($A21="","",(($E21-$E$59-$F$59)))</f>
        <v/>
      </c>
      <c r="R21" s="60">
        <f>IF($A21="","",2*$F21)</f>
        <v/>
      </c>
      <c r="S21" s="62">
        <f>IF($A21="","",$M21-$E$60-$F$60)</f>
        <v/>
      </c>
      <c r="T21" s="60">
        <f>IF($A21="","",4*$F21)</f>
        <v/>
      </c>
      <c r="U21" s="62">
        <f>IF($A21="","",$O21-$E$61-$F$61)</f>
        <v/>
      </c>
      <c r="V21" s="60">
        <f>IF($A21="","",2*$F21)</f>
        <v/>
      </c>
      <c r="W21" s="62">
        <f>IF($A21="","",$Q21-$E$62-$F$62)</f>
        <v/>
      </c>
      <c r="X21" s="60">
        <f>IF($A21="","",2*$F21)</f>
        <v/>
      </c>
      <c r="Y21" s="62">
        <f>IF($A21="","",$I21)</f>
        <v/>
      </c>
      <c r="Z21" s="60">
        <f>IF($A21="","",1*$F21)</f>
        <v/>
      </c>
      <c r="AA21" s="62">
        <f>IF($A21="","",$B21-$E$64-$F$64)</f>
        <v/>
      </c>
      <c r="AB21" s="60">
        <f>IF($A21="","",1*$F21)</f>
        <v/>
      </c>
      <c r="AC21" s="62" t="n"/>
      <c r="AD21" s="60" t="n"/>
      <c r="AE21" s="63">
        <f>IF($A21="","",$M21-87-87)</f>
        <v/>
      </c>
      <c r="AF21" s="64">
        <f>IF($A21="","",$O21-87-87)</f>
        <v/>
      </c>
      <c r="AG21" s="65">
        <f>IF($A21="","",1*$F21)</f>
        <v/>
      </c>
      <c r="AH21" s="63">
        <f>IF($A21="","",$M21-87-87)</f>
        <v/>
      </c>
      <c r="AI21" s="64">
        <f>IF($A21="","",$Q21-87-87)</f>
        <v/>
      </c>
      <c r="AJ21" s="65">
        <f>IF($A21="","",1*$F21)</f>
        <v/>
      </c>
    </row>
    <row r="22" ht="40.2" customHeight="1">
      <c r="A22" s="83" t="n"/>
      <c r="B22" s="84" t="n"/>
      <c r="C22" s="95">
        <f>IF($A22="","",$D22+$E22)</f>
        <v/>
      </c>
      <c r="D22" s="86" t="n"/>
      <c r="E22" s="86" t="n"/>
      <c r="F22" s="86" t="n"/>
      <c r="G22" s="66">
        <f>IF($A22="","",$B22)</f>
        <v/>
      </c>
      <c r="H22" s="67">
        <f>IF($A22="","",2*$F22)</f>
        <v/>
      </c>
      <c r="I22" s="66">
        <f>IF($A22="","",$C22-$E$55-$F$55)</f>
        <v/>
      </c>
      <c r="J22" s="67">
        <f>IF($A22="","",1*$F22)</f>
        <v/>
      </c>
      <c r="K22" s="66">
        <f>IF($A22="","",$I22)</f>
        <v/>
      </c>
      <c r="L22" s="67">
        <f>IF($A22="","",1*$F22)</f>
        <v/>
      </c>
      <c r="M22" s="66">
        <f>IF($A22="","",$B22-$E$57-$F$57)</f>
        <v/>
      </c>
      <c r="N22" s="67">
        <f>IF($A22="","",4*$F22)</f>
        <v/>
      </c>
      <c r="O22" s="66">
        <f>IF($A22="","",(($D22-$E$58-$F$58)))</f>
        <v/>
      </c>
      <c r="P22" s="67">
        <f>IF($A22="","",2*$F22)</f>
        <v/>
      </c>
      <c r="Q22" s="66">
        <f>IF($A22="","",(($E22-$E$59-$F$59)))</f>
        <v/>
      </c>
      <c r="R22" s="67">
        <f>IF($A22="","",2*$F22)</f>
        <v/>
      </c>
      <c r="S22" s="66">
        <f>IF($A22="","",$M22-$E$60-$F$60)</f>
        <v/>
      </c>
      <c r="T22" s="67">
        <f>IF($A22="","",4*$F22)</f>
        <v/>
      </c>
      <c r="U22" s="66">
        <f>IF($A22="","",$O22-$E$61-$F$61)</f>
        <v/>
      </c>
      <c r="V22" s="67">
        <f>IF($A22="","",2*$F22)</f>
        <v/>
      </c>
      <c r="W22" s="66">
        <f>IF($A22="","",$Q22-$E$62-$F$62)</f>
        <v/>
      </c>
      <c r="X22" s="67">
        <f>IF($A22="","",2*$F22)</f>
        <v/>
      </c>
      <c r="Y22" s="66">
        <f>IF($A22="","",$I22)</f>
        <v/>
      </c>
      <c r="Z22" s="67">
        <f>IF($A22="","",1*$F22)</f>
        <v/>
      </c>
      <c r="AA22" s="66">
        <f>IF($A22="","",$B22-$E$64-$F$64)</f>
        <v/>
      </c>
      <c r="AB22" s="67">
        <f>IF($A22="","",1*$F22)</f>
        <v/>
      </c>
      <c r="AC22" s="66" t="n"/>
      <c r="AD22" s="67" t="n"/>
      <c r="AE22" s="63">
        <f>IF($A22="","",$M22-87-87)</f>
        <v/>
      </c>
      <c r="AF22" s="64">
        <f>IF($A22="","",$O22-87-87)</f>
        <v/>
      </c>
      <c r="AG22" s="65">
        <f>IF($A22="","",1*$F22)</f>
        <v/>
      </c>
      <c r="AH22" s="63">
        <f>IF($A22="","",$M22-87-87)</f>
        <v/>
      </c>
      <c r="AI22" s="64">
        <f>IF($A22="","",$Q22-87-87)</f>
        <v/>
      </c>
      <c r="AJ22" s="65">
        <f>IF($A22="","",1*$F22)</f>
        <v/>
      </c>
    </row>
    <row r="23" ht="40.2" customHeight="1">
      <c r="A23" s="83" t="n"/>
      <c r="B23" s="84" t="n"/>
      <c r="C23" s="95">
        <f>IF($A23="","",$D23+$E23)</f>
        <v/>
      </c>
      <c r="D23" s="86" t="n"/>
      <c r="E23" s="86" t="n"/>
      <c r="F23" s="86" t="n"/>
      <c r="G23" s="62">
        <f>IF($A23="","",$B23)</f>
        <v/>
      </c>
      <c r="H23" s="60">
        <f>IF($A23="","",2*$F23)</f>
        <v/>
      </c>
      <c r="I23" s="62">
        <f>IF($A23="","",$C23-$E$55-$F$55)</f>
        <v/>
      </c>
      <c r="J23" s="60">
        <f>IF($A23="","",1*$F23)</f>
        <v/>
      </c>
      <c r="K23" s="62">
        <f>IF($A23="","",$I23)</f>
        <v/>
      </c>
      <c r="L23" s="60">
        <f>IF($A23="","",1*$F23)</f>
        <v/>
      </c>
      <c r="M23" s="62">
        <f>IF($A23="","",$B23-$E$57-$F$57)</f>
        <v/>
      </c>
      <c r="N23" s="60">
        <f>IF($A23="","",4*$F23)</f>
        <v/>
      </c>
      <c r="O23" s="62">
        <f>IF($A23="","",(($D23-$E$58-$F$58)))</f>
        <v/>
      </c>
      <c r="P23" s="60">
        <f>IF($A23="","",2*$F23)</f>
        <v/>
      </c>
      <c r="Q23" s="62">
        <f>IF($A23="","",(($E23-$E$59-$F$59)))</f>
        <v/>
      </c>
      <c r="R23" s="60">
        <f>IF($A23="","",2*$F23)</f>
        <v/>
      </c>
      <c r="S23" s="62">
        <f>IF($A23="","",$M23-$E$60-$F$60)</f>
        <v/>
      </c>
      <c r="T23" s="60">
        <f>IF($A23="","",4*$F23)</f>
        <v/>
      </c>
      <c r="U23" s="62">
        <f>IF($A23="","",$O23-$E$61-$F$61)</f>
        <v/>
      </c>
      <c r="V23" s="60">
        <f>IF($A23="","",2*$F23)</f>
        <v/>
      </c>
      <c r="W23" s="62">
        <f>IF($A23="","",$Q23-$E$62-$F$62)</f>
        <v/>
      </c>
      <c r="X23" s="60">
        <f>IF($A23="","",2*$F23)</f>
        <v/>
      </c>
      <c r="Y23" s="62">
        <f>IF($A23="","",$I23)</f>
        <v/>
      </c>
      <c r="Z23" s="60">
        <f>IF($A23="","",1*$F23)</f>
        <v/>
      </c>
      <c r="AA23" s="62">
        <f>IF($A23="","",$B23-$E$64-$F$64)</f>
        <v/>
      </c>
      <c r="AB23" s="60">
        <f>IF($A23="","",1*$F23)</f>
        <v/>
      </c>
      <c r="AC23" s="62" t="n"/>
      <c r="AD23" s="60" t="n"/>
      <c r="AE23" s="63">
        <f>IF($A23="","",$M23-87-87)</f>
        <v/>
      </c>
      <c r="AF23" s="64">
        <f>IF($A23="","",$O23-87-87)</f>
        <v/>
      </c>
      <c r="AG23" s="65">
        <f>IF($A23="","",1*$F23)</f>
        <v/>
      </c>
      <c r="AH23" s="63">
        <f>IF($A23="","",$M23-87-87)</f>
        <v/>
      </c>
      <c r="AI23" s="64">
        <f>IF($A23="","",$Q23-87-87)</f>
        <v/>
      </c>
      <c r="AJ23" s="65">
        <f>IF($A23="","",1*$F23)</f>
        <v/>
      </c>
    </row>
    <row r="24" ht="40.2" customHeight="1">
      <c r="A24" s="83" t="n"/>
      <c r="B24" s="84" t="n"/>
      <c r="C24" s="95">
        <f>IF($A24="","",$D24+$E24)</f>
        <v/>
      </c>
      <c r="D24" s="86" t="n"/>
      <c r="E24" s="86" t="n"/>
      <c r="F24" s="86" t="n"/>
      <c r="G24" s="66">
        <f>IF($A24="","",$B24)</f>
        <v/>
      </c>
      <c r="H24" s="67">
        <f>IF($A24="","",2*$F24)</f>
        <v/>
      </c>
      <c r="I24" s="66">
        <f>IF($A24="","",$C24-$E$55-$F$55)</f>
        <v/>
      </c>
      <c r="J24" s="67">
        <f>IF($A24="","",1*$F24)</f>
        <v/>
      </c>
      <c r="K24" s="66">
        <f>IF($A24="","",$I24)</f>
        <v/>
      </c>
      <c r="L24" s="67">
        <f>IF($A24="","",1*$F24)</f>
        <v/>
      </c>
      <c r="M24" s="66">
        <f>IF($A24="","",$B24-$E$57-$F$57)</f>
        <v/>
      </c>
      <c r="N24" s="67">
        <f>IF($A24="","",4*$F24)</f>
        <v/>
      </c>
      <c r="O24" s="66">
        <f>IF($A24="","",(($D24-$E$58-$F$58)))</f>
        <v/>
      </c>
      <c r="P24" s="67">
        <f>IF($A24="","",2*$F24)</f>
        <v/>
      </c>
      <c r="Q24" s="66">
        <f>IF($A24="","",(($E24-$E$59-$F$59)))</f>
        <v/>
      </c>
      <c r="R24" s="67">
        <f>IF($A24="","",2*$F24)</f>
        <v/>
      </c>
      <c r="S24" s="66">
        <f>IF($A24="","",$M24-$E$60-$F$60)</f>
        <v/>
      </c>
      <c r="T24" s="67">
        <f>IF($A24="","",4*$F24)</f>
        <v/>
      </c>
      <c r="U24" s="66">
        <f>IF($A24="","",$O24-$E$61-$F$61)</f>
        <v/>
      </c>
      <c r="V24" s="67">
        <f>IF($A24="","",2*$F24)</f>
        <v/>
      </c>
      <c r="W24" s="66">
        <f>IF($A24="","",$Q24-$E$62-$F$62)</f>
        <v/>
      </c>
      <c r="X24" s="67">
        <f>IF($A24="","",2*$F24)</f>
        <v/>
      </c>
      <c r="Y24" s="66">
        <f>IF($A24="","",$I24)</f>
        <v/>
      </c>
      <c r="Z24" s="67">
        <f>IF($A24="","",1*$F24)</f>
        <v/>
      </c>
      <c r="AA24" s="66">
        <f>IF($A24="","",$B24-$E$64-$F$64)</f>
        <v/>
      </c>
      <c r="AB24" s="67">
        <f>IF($A24="","",1*$F24)</f>
        <v/>
      </c>
      <c r="AC24" s="66" t="n"/>
      <c r="AD24" s="67" t="n"/>
      <c r="AE24" s="63">
        <f>IF($A24="","",$M24-87-87)</f>
        <v/>
      </c>
      <c r="AF24" s="64">
        <f>IF($A24="","",$O24-87-87)</f>
        <v/>
      </c>
      <c r="AG24" s="65">
        <f>IF($A24="","",1*$F24)</f>
        <v/>
      </c>
      <c r="AH24" s="63">
        <f>IF($A24="","",$M24-87-87)</f>
        <v/>
      </c>
      <c r="AI24" s="64">
        <f>IF($A24="","",$Q24-87-87)</f>
        <v/>
      </c>
      <c r="AJ24" s="65">
        <f>IF($A24="","",1*$F24)</f>
        <v/>
      </c>
    </row>
    <row r="25" ht="40.2" customHeight="1">
      <c r="A25" s="83" t="n"/>
      <c r="B25" s="84" t="n"/>
      <c r="C25" s="95">
        <f>IF($A25="","",$D25+$E25)</f>
        <v/>
      </c>
      <c r="D25" s="86" t="n"/>
      <c r="E25" s="86" t="n"/>
      <c r="F25" s="86" t="n"/>
      <c r="G25" s="62">
        <f>IF($A25="","",$B25)</f>
        <v/>
      </c>
      <c r="H25" s="60">
        <f>IF($A25="","",2*$F25)</f>
        <v/>
      </c>
      <c r="I25" s="62">
        <f>IF($A25="","",$C25-$E$55-$F$55)</f>
        <v/>
      </c>
      <c r="J25" s="60">
        <f>IF($A25="","",1*$F25)</f>
        <v/>
      </c>
      <c r="K25" s="62">
        <f>IF($A25="","",$I25)</f>
        <v/>
      </c>
      <c r="L25" s="60">
        <f>IF($A25="","",1*$F25)</f>
        <v/>
      </c>
      <c r="M25" s="62">
        <f>IF($A25="","",$B25-$E$57-$F$57)</f>
        <v/>
      </c>
      <c r="N25" s="60">
        <f>IF($A25="","",4*$F25)</f>
        <v/>
      </c>
      <c r="O25" s="62">
        <f>IF($A25="","",(($D25-$E$58-$F$58)))</f>
        <v/>
      </c>
      <c r="P25" s="60">
        <f>IF($A25="","",2*$F25)</f>
        <v/>
      </c>
      <c r="Q25" s="62">
        <f>IF($A25="","",(($E25-$E$59-$F$59)))</f>
        <v/>
      </c>
      <c r="R25" s="60">
        <f>IF($A25="","",2*$F25)</f>
        <v/>
      </c>
      <c r="S25" s="62">
        <f>IF($A25="","",$M25-$E$60-$F$60)</f>
        <v/>
      </c>
      <c r="T25" s="60">
        <f>IF($A25="","",4*$F25)</f>
        <v/>
      </c>
      <c r="U25" s="62">
        <f>IF($A25="","",$O25-$E$61-$F$61)</f>
        <v/>
      </c>
      <c r="V25" s="60">
        <f>IF($A25="","",2*$F25)</f>
        <v/>
      </c>
      <c r="W25" s="62">
        <f>IF($A25="","",$Q25-$E$62-$F$62)</f>
        <v/>
      </c>
      <c r="X25" s="60">
        <f>IF($A25="","",2*$F25)</f>
        <v/>
      </c>
      <c r="Y25" s="62">
        <f>IF($A25="","",$I25)</f>
        <v/>
      </c>
      <c r="Z25" s="60">
        <f>IF($A25="","",1*$F25)</f>
        <v/>
      </c>
      <c r="AA25" s="62">
        <f>IF($A25="","",$B25-$E$64-$F$64)</f>
        <v/>
      </c>
      <c r="AB25" s="60">
        <f>IF($A25="","",1*$F25)</f>
        <v/>
      </c>
      <c r="AC25" s="62" t="n"/>
      <c r="AD25" s="60" t="n"/>
      <c r="AE25" s="63">
        <f>IF($A25="","",$M25-87-87)</f>
        <v/>
      </c>
      <c r="AF25" s="64">
        <f>IF($A25="","",$O25-87-87)</f>
        <v/>
      </c>
      <c r="AG25" s="65">
        <f>IF($A25="","",1*$F25)</f>
        <v/>
      </c>
      <c r="AH25" s="63">
        <f>IF($A25="","",$M25-87-87)</f>
        <v/>
      </c>
      <c r="AI25" s="64">
        <f>IF($A25="","",$Q25-87-87)</f>
        <v/>
      </c>
      <c r="AJ25" s="65">
        <f>IF($A25="","",1*$F25)</f>
        <v/>
      </c>
    </row>
    <row r="26" ht="40.2" customHeight="1">
      <c r="A26" s="83" t="n"/>
      <c r="B26" s="84" t="n"/>
      <c r="C26" s="95">
        <f>IF($A26="","",$D26+$E26)</f>
        <v/>
      </c>
      <c r="D26" s="86" t="n"/>
      <c r="E26" s="86" t="n"/>
      <c r="F26" s="86" t="n"/>
      <c r="G26" s="66">
        <f>IF($A26="","",$B26)</f>
        <v/>
      </c>
      <c r="H26" s="67">
        <f>IF($A26="","",2*$F26)</f>
        <v/>
      </c>
      <c r="I26" s="66">
        <f>IF($A26="","",$C26-$E$55-$F$55)</f>
        <v/>
      </c>
      <c r="J26" s="67">
        <f>IF($A26="","",1*$F26)</f>
        <v/>
      </c>
      <c r="K26" s="66">
        <f>IF($A26="","",$I26)</f>
        <v/>
      </c>
      <c r="L26" s="67">
        <f>IF($A26="","",1*$F26)</f>
        <v/>
      </c>
      <c r="M26" s="66">
        <f>IF($A26="","",$B26-$E$57-$F$57)</f>
        <v/>
      </c>
      <c r="N26" s="67">
        <f>IF($A26="","",4*$F26)</f>
        <v/>
      </c>
      <c r="O26" s="66">
        <f>IF($A26="","",(($D26-$E$58-$F$58)))</f>
        <v/>
      </c>
      <c r="P26" s="67">
        <f>IF($A26="","",2*$F26)</f>
        <v/>
      </c>
      <c r="Q26" s="66">
        <f>IF($A26="","",(($E26-$E$59-$F$59)))</f>
        <v/>
      </c>
      <c r="R26" s="67">
        <f>IF($A26="","",2*$F26)</f>
        <v/>
      </c>
      <c r="S26" s="66">
        <f>IF($A26="","",$M26-$E$60-$F$60)</f>
        <v/>
      </c>
      <c r="T26" s="67">
        <f>IF($A26="","",4*$F26)</f>
        <v/>
      </c>
      <c r="U26" s="66">
        <f>IF($A26="","",$O26-$E$61-$F$61)</f>
        <v/>
      </c>
      <c r="V26" s="67">
        <f>IF($A26="","",2*$F26)</f>
        <v/>
      </c>
      <c r="W26" s="66">
        <f>IF($A26="","",$Q26-$E$62-$F$62)</f>
        <v/>
      </c>
      <c r="X26" s="67">
        <f>IF($A26="","",2*$F26)</f>
        <v/>
      </c>
      <c r="Y26" s="66">
        <f>IF($A26="","",$I26)</f>
        <v/>
      </c>
      <c r="Z26" s="67">
        <f>IF($A26="","",1*$F26)</f>
        <v/>
      </c>
      <c r="AA26" s="66">
        <f>IF($A26="","",$B26-$E$64-$F$64)</f>
        <v/>
      </c>
      <c r="AB26" s="67">
        <f>IF($A26="","",1*$F26)</f>
        <v/>
      </c>
      <c r="AC26" s="66" t="n"/>
      <c r="AD26" s="67" t="n"/>
      <c r="AE26" s="63">
        <f>IF($A26="","",$M26-87-87)</f>
        <v/>
      </c>
      <c r="AF26" s="64">
        <f>IF($A26="","",$O26-87-87)</f>
        <v/>
      </c>
      <c r="AG26" s="65">
        <f>IF($A26="","",1*$F26)</f>
        <v/>
      </c>
      <c r="AH26" s="63">
        <f>IF($A26="","",$M26-87-87)</f>
        <v/>
      </c>
      <c r="AI26" s="64">
        <f>IF($A26="","",$Q26-87-87)</f>
        <v/>
      </c>
      <c r="AJ26" s="65">
        <f>IF($A26="","",1*$F26)</f>
        <v/>
      </c>
    </row>
    <row r="27" ht="40.2" customHeight="1">
      <c r="A27" s="83" t="n"/>
      <c r="B27" s="84" t="n"/>
      <c r="C27" s="95">
        <f>IF($A27="","",$D27+$E27)</f>
        <v/>
      </c>
      <c r="D27" s="86" t="n"/>
      <c r="E27" s="86" t="n"/>
      <c r="F27" s="86" t="n"/>
      <c r="G27" s="62">
        <f>IF($A27="","",$B27)</f>
        <v/>
      </c>
      <c r="H27" s="60">
        <f>IF($A27="","",2*$F27)</f>
        <v/>
      </c>
      <c r="I27" s="62">
        <f>IF($A27="","",$C27-$E$55-$F$55)</f>
        <v/>
      </c>
      <c r="J27" s="60">
        <f>IF($A27="","",1*$F27)</f>
        <v/>
      </c>
      <c r="K27" s="62">
        <f>IF($A27="","",$I27)</f>
        <v/>
      </c>
      <c r="L27" s="60">
        <f>IF($A27="","",1*$F27)</f>
        <v/>
      </c>
      <c r="M27" s="62">
        <f>IF($A27="","",$B27-$E$57-$F$57)</f>
        <v/>
      </c>
      <c r="N27" s="60">
        <f>IF($A27="","",4*$F27)</f>
        <v/>
      </c>
      <c r="O27" s="62">
        <f>IF($A27="","",(($D27-$E$58-$F$58)))</f>
        <v/>
      </c>
      <c r="P27" s="60">
        <f>IF($A27="","",2*$F27)</f>
        <v/>
      </c>
      <c r="Q27" s="62">
        <f>IF($A27="","",(($E27-$E$59-$F$59)))</f>
        <v/>
      </c>
      <c r="R27" s="60">
        <f>IF($A27="","",2*$F27)</f>
        <v/>
      </c>
      <c r="S27" s="62">
        <f>IF($A27="","",$M27-$E$60-$F$60)</f>
        <v/>
      </c>
      <c r="T27" s="60">
        <f>IF($A27="","",4*$F27)</f>
        <v/>
      </c>
      <c r="U27" s="62">
        <f>IF($A27="","",$O27-$E$61-$F$61)</f>
        <v/>
      </c>
      <c r="V27" s="60">
        <f>IF($A27="","",2*$F27)</f>
        <v/>
      </c>
      <c r="W27" s="62">
        <f>IF($A27="","",$Q27-$E$62-$F$62)</f>
        <v/>
      </c>
      <c r="X27" s="60">
        <f>IF($A27="","",2*$F27)</f>
        <v/>
      </c>
      <c r="Y27" s="62">
        <f>IF($A27="","",$I27)</f>
        <v/>
      </c>
      <c r="Z27" s="60">
        <f>IF($A27="","",1*$F27)</f>
        <v/>
      </c>
      <c r="AA27" s="62">
        <f>IF($A27="","",$B27-$E$64-$F$64)</f>
        <v/>
      </c>
      <c r="AB27" s="60">
        <f>IF($A27="","",1*$F27)</f>
        <v/>
      </c>
      <c r="AC27" s="62" t="n"/>
      <c r="AD27" s="60" t="n"/>
      <c r="AE27" s="63">
        <f>IF($A27="","",$M27-87-87)</f>
        <v/>
      </c>
      <c r="AF27" s="64">
        <f>IF($A27="","",$O27-87-87)</f>
        <v/>
      </c>
      <c r="AG27" s="65">
        <f>IF($A27="","",1*$F27)</f>
        <v/>
      </c>
      <c r="AH27" s="63">
        <f>IF($A27="","",$M27-87-87)</f>
        <v/>
      </c>
      <c r="AI27" s="64">
        <f>IF($A27="","",$Q27-87-87)</f>
        <v/>
      </c>
      <c r="AJ27" s="65">
        <f>IF($A27="","",1*$F27)</f>
        <v/>
      </c>
    </row>
    <row r="28" ht="40.2" customHeight="1">
      <c r="A28" s="83" t="n"/>
      <c r="B28" s="84" t="n"/>
      <c r="C28" s="95">
        <f>IF($A28="","",$D28+$E28)</f>
        <v/>
      </c>
      <c r="D28" s="86" t="n"/>
      <c r="E28" s="86" t="n"/>
      <c r="F28" s="86" t="n"/>
      <c r="G28" s="66">
        <f>IF($A28="","",$B28)</f>
        <v/>
      </c>
      <c r="H28" s="67">
        <f>IF($A28="","",2*$F28)</f>
        <v/>
      </c>
      <c r="I28" s="66">
        <f>IF($A28="","",$C28-$E$55-$F$55)</f>
        <v/>
      </c>
      <c r="J28" s="67">
        <f>IF($A28="","",1*$F28)</f>
        <v/>
      </c>
      <c r="K28" s="66">
        <f>IF($A28="","",$I28)</f>
        <v/>
      </c>
      <c r="L28" s="67">
        <f>IF($A28="","",1*$F28)</f>
        <v/>
      </c>
      <c r="M28" s="66">
        <f>IF($A28="","",$B28-$E$57-$F$57)</f>
        <v/>
      </c>
      <c r="N28" s="67">
        <f>IF($A28="","",4*$F28)</f>
        <v/>
      </c>
      <c r="O28" s="66">
        <f>IF($A28="","",(($D28-$E$58-$F$58)))</f>
        <v/>
      </c>
      <c r="P28" s="67">
        <f>IF($A28="","",2*$F28)</f>
        <v/>
      </c>
      <c r="Q28" s="66">
        <f>IF($A28="","",(($E28-$E$59-$F$59)))</f>
        <v/>
      </c>
      <c r="R28" s="67">
        <f>IF($A28="","",2*$F28)</f>
        <v/>
      </c>
      <c r="S28" s="66">
        <f>IF($A28="","",$M28-$E$60-$F$60)</f>
        <v/>
      </c>
      <c r="T28" s="67">
        <f>IF($A28="","",4*$F28)</f>
        <v/>
      </c>
      <c r="U28" s="66">
        <f>IF($A28="","",$O28-$E$61-$F$61)</f>
        <v/>
      </c>
      <c r="V28" s="67">
        <f>IF($A28="","",2*$F28)</f>
        <v/>
      </c>
      <c r="W28" s="66">
        <f>IF($A28="","",$Q28-$E$62-$F$62)</f>
        <v/>
      </c>
      <c r="X28" s="67">
        <f>IF($A28="","",2*$F28)</f>
        <v/>
      </c>
      <c r="Y28" s="66">
        <f>IF($A28="","",$I28)</f>
        <v/>
      </c>
      <c r="Z28" s="67">
        <f>IF($A28="","",1*$F28)</f>
        <v/>
      </c>
      <c r="AA28" s="66">
        <f>IF($A28="","",$B28-$E$64-$F$64)</f>
        <v/>
      </c>
      <c r="AB28" s="67">
        <f>IF($A28="","",1*$F28)</f>
        <v/>
      </c>
      <c r="AC28" s="66" t="n"/>
      <c r="AD28" s="67" t="n"/>
      <c r="AE28" s="63">
        <f>IF($A28="","",$M28-87-87)</f>
        <v/>
      </c>
      <c r="AF28" s="64">
        <f>IF($A28="","",$O28-87-87)</f>
        <v/>
      </c>
      <c r="AG28" s="65">
        <f>IF($A28="","",1*$F28)</f>
        <v/>
      </c>
      <c r="AH28" s="63">
        <f>IF($A28="","",$M28-87-87)</f>
        <v/>
      </c>
      <c r="AI28" s="64">
        <f>IF($A28="","",$Q28-87-87)</f>
        <v/>
      </c>
      <c r="AJ28" s="65">
        <f>IF($A28="","",1*$F28)</f>
        <v/>
      </c>
    </row>
    <row r="29" ht="40.2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  <c r="AH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20" t="n"/>
      <c r="G30" s="71">
        <f>G$7</f>
        <v/>
      </c>
      <c r="H30" s="19" t="n"/>
      <c r="I30" s="20" t="n"/>
      <c r="J30" s="71">
        <f>(ROUNDUP(SUM(H49:J49)/6400,0))</f>
        <v/>
      </c>
      <c r="K30" s="96">
        <f>K$7</f>
        <v/>
      </c>
      <c r="L30" s="97" t="n"/>
      <c r="M30" s="71">
        <f>M$7</f>
        <v/>
      </c>
      <c r="N30" s="19" t="n"/>
      <c r="O30" s="19" t="n"/>
      <c r="P30" s="19" t="n"/>
      <c r="Q30" s="20" t="n"/>
      <c r="R30" s="71">
        <f>(ROUNDUP(SUM(N49:R49)/6400,0))</f>
        <v/>
      </c>
      <c r="S30" s="71">
        <f>S$7</f>
        <v/>
      </c>
      <c r="T30" s="19" t="n"/>
      <c r="U30" s="19" t="n"/>
      <c r="V30" s="19" t="n"/>
      <c r="W30" s="20" t="n"/>
      <c r="X30" s="71">
        <f>(ROUNDUP(SUM(T49:X49)/6400,0))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71">
        <f>(ROUNDUP(AB49/6400,0))</f>
        <v/>
      </c>
      <c r="AC30" s="98" t="n"/>
      <c r="AD30" s="71">
        <f>(ROUNDUP(SUM(L49:AD49)/6400,0))</f>
        <v/>
      </c>
    </row>
    <row r="31" hidden="1" ht="40.2" customHeight="1"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B49" s="73">
        <f>SUMIF(AB31:AB48,"&gt;0")</f>
        <v/>
      </c>
      <c r="AD49" s="73">
        <f>SUMIF(AD31:AD48,"&gt;0")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เฟรม ล่าง</t>
        </is>
      </c>
      <c r="C56" s="79" t="inlineStr">
        <is>
          <t>F7938</t>
        </is>
      </c>
      <c r="D56" s="80" t="inlineStr">
        <is>
          <t>กว้าง-25-25</t>
        </is>
      </c>
      <c r="E56" s="81" t="n"/>
      <c r="F56" s="81" t="n"/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เสา</t>
        </is>
      </c>
      <c r="C57" s="79">
        <f>IF($D$4="8 cm · 7943B","7943B","7864")</f>
        <v/>
      </c>
      <c r="D57" s="80" t="inlineStr">
        <is>
          <t>สูง-18.5-18.5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ขวาง W1</t>
        </is>
      </c>
      <c r="C58" s="79" t="inlineStr">
        <is>
          <t>-</t>
        </is>
      </c>
      <c r="D58" s="80" t="inlineStr">
        <is>
          <t>(กว้าง1-18.5-1)</t>
        </is>
      </c>
      <c r="E58" s="82" t="n">
        <v>18.5</v>
      </c>
      <c r="F58" s="82" t="n">
        <v>1</v>
      </c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ขวาง W2</t>
        </is>
      </c>
      <c r="C59" s="79" t="inlineStr">
        <is>
          <t>-</t>
        </is>
      </c>
      <c r="D59" s="80" t="inlineStr">
        <is>
          <t>(กว้าง2-18.5-1)</t>
        </is>
      </c>
      <c r="E59" s="82" t="n">
        <v>18.5</v>
      </c>
      <c r="F59" s="82" t="n">
        <v>1</v>
      </c>
      <c r="G59" s="81" t="n"/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คิ้ว ตั้ง</t>
        </is>
      </c>
      <c r="C60" s="79" t="inlineStr">
        <is>
          <t>F7935</t>
        </is>
      </c>
      <c r="D60" s="80" t="inlineStr">
        <is>
          <t>เสา-100-100</t>
        </is>
      </c>
      <c r="E60" s="82">
        <f>IF($D$4="8 cm · 7943B",80,100)</f>
        <v/>
      </c>
      <c r="F60" s="82">
        <f>IF($D$4="8 cm · 7943B",80,100)</f>
        <v/>
      </c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คิ้ว ขวางW1</t>
        </is>
      </c>
      <c r="C61" s="79" t="inlineStr">
        <is>
          <t>-</t>
        </is>
      </c>
      <c r="D61" s="80" t="inlineStr">
        <is>
          <t>กว้าง1
ขวาง-80-80</t>
        </is>
      </c>
      <c r="E61" s="82">
        <f>IF($D$4="8 cm · 7943B",60,80)</f>
        <v/>
      </c>
      <c r="F61" s="82">
        <f>IF($D$4="8 cm · 7943B",60,80)</f>
        <v/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คิ้ว ขวางW2</t>
        </is>
      </c>
      <c r="C62" s="79" t="inlineStr">
        <is>
          <t>-</t>
        </is>
      </c>
      <c r="D62" s="80" t="inlineStr">
        <is>
          <t>กว้าง2
ขวาง-80-80</t>
        </is>
      </c>
      <c r="E62" s="82">
        <f>IF($D$4="8 cm · 7943B",60,80)</f>
        <v/>
      </c>
      <c r="F62" s="82">
        <f>IF($D$4="8 cm · 7943B",60,80)</f>
        <v/>
      </c>
      <c r="G62" s="81" t="n"/>
      <c r="H62" s="81" t="n"/>
      <c r="I62" s="81" t="n"/>
      <c r="J62" s="81" t="n"/>
      <c r="K62" s="81" t="n"/>
      <c r="L62" s="82" t="n"/>
    </row>
    <row r="63" ht="15" customHeight="1">
      <c r="A63" s="77" t="n">
        <v>10</v>
      </c>
      <c r="B63" s="78" t="inlineStr">
        <is>
          <t>ตบธรณี</t>
        </is>
      </c>
      <c r="C63" s="79" t="inlineStr">
        <is>
          <t>F7960</t>
        </is>
      </c>
      <c r="D63" s="80" t="inlineStr">
        <is>
          <t>เท่าเฟรมล่าง</t>
        </is>
      </c>
      <c r="E63" s="81" t="n"/>
      <c r="F63" s="81" t="n"/>
      <c r="G63" s="81" t="n"/>
      <c r="H63" s="81" t="n"/>
      <c r="I63" s="81" t="n"/>
      <c r="J63" s="81" t="n"/>
      <c r="K63" s="81" t="n"/>
      <c r="L63" s="82" t="n"/>
    </row>
    <row r="64" ht="15" customHeight="1">
      <c r="A64" s="77" t="n">
        <v>11</v>
      </c>
      <c r="B64" s="78" t="inlineStr">
        <is>
          <t>ชนกลาง</t>
        </is>
      </c>
      <c r="C64" s="79" t="inlineStr">
        <is>
          <t>F7945</t>
        </is>
      </c>
      <c r="D64" s="80" t="inlineStr">
        <is>
          <t>สูง-27-27</t>
        </is>
      </c>
      <c r="E64" s="82" t="n">
        <v>27</v>
      </c>
      <c r="F64" s="82" t="n">
        <v>27</v>
      </c>
      <c r="G64" s="81" t="n"/>
      <c r="H64" s="81" t="n"/>
      <c r="I64" s="81" t="n"/>
      <c r="J64" s="81" t="n"/>
      <c r="K64" s="81" t="n"/>
      <c r="L64" s="82" t="n"/>
    </row>
    <row r="66">
      <c r="A66" s="152" t="inlineStr">
        <is>
          <t>⑥ อุปกรณ์ ต่อ 1 บาน — คูณจำนวนบานที่ผลิต</t>
        </is>
      </c>
      <c r="F66" s="153" t="inlineStr">
        <is>
          <t>ต่อบาน</t>
        </is>
      </c>
    </row>
    <row r="67">
      <c r="A67" s="154" t="inlineStr">
        <is>
          <t>1. บานพับ hyda (สูง&gt;3ม./บานกว้าง&gt;1.2ม.=5)</t>
        </is>
      </c>
      <c r="F67" s="155" t="n">
        <v>4</v>
      </c>
    </row>
    <row r="68">
      <c r="A68" s="154" t="inlineStr">
        <is>
          <t>2. มือจับ + ล็อค</t>
        </is>
      </c>
      <c r="F68" s="155" t="n">
        <v>1</v>
      </c>
    </row>
    <row r="69">
      <c r="A69" s="154" t="inlineStr">
        <is>
          <t>3. กลอน (ใบลอง)</t>
        </is>
      </c>
      <c r="F69" s="155" t="n">
        <v>1</v>
      </c>
    </row>
    <row r="70">
      <c r="A70" s="154" t="inlineStr">
        <is>
          <t>4. น็อตเฟรม (มีธรณี8/ไม่มี6)</t>
        </is>
      </c>
      <c r="F70" s="155" t="n">
        <v>8</v>
      </c>
    </row>
    <row r="71">
      <c r="A71" s="156" t="inlineStr">
        <is>
          <t>+ ยาง/ซิลิโคน = ตามขนาด (ดูชีทคิดทุน)</t>
        </is>
      </c>
    </row>
  </sheetData>
  <mergeCells count="57">
    <mergeCell ref="U9:V9"/>
    <mergeCell ref="I6:J6"/>
    <mergeCell ref="S7:X7"/>
    <mergeCell ref="O6:P6"/>
    <mergeCell ref="U6:V6"/>
    <mergeCell ref="K9:L9"/>
    <mergeCell ref="W6:X6"/>
    <mergeCell ref="M9:N9"/>
    <mergeCell ref="O9:P9"/>
    <mergeCell ref="G8:H8"/>
    <mergeCell ref="M7:R7"/>
    <mergeCell ref="G30:I30"/>
    <mergeCell ref="Y9:Z9"/>
    <mergeCell ref="A70:E70"/>
    <mergeCell ref="Q8:R8"/>
    <mergeCell ref="AA9:AB9"/>
    <mergeCell ref="S8:T8"/>
    <mergeCell ref="A69:E69"/>
    <mergeCell ref="A71:F71"/>
    <mergeCell ref="F8:F9"/>
    <mergeCell ref="AA6:AB6"/>
    <mergeCell ref="G6:H6"/>
    <mergeCell ref="A66:E66"/>
    <mergeCell ref="AC8:AD8"/>
    <mergeCell ref="A8:A9"/>
    <mergeCell ref="Y7:Z7"/>
    <mergeCell ref="M30:Q30"/>
    <mergeCell ref="AA7:AB7"/>
    <mergeCell ref="M6:N6"/>
    <mergeCell ref="K8:L8"/>
    <mergeCell ref="Q6:R6"/>
    <mergeCell ref="S6:T6"/>
    <mergeCell ref="Y6:Z6"/>
    <mergeCell ref="G7:J7"/>
    <mergeCell ref="Q9:R9"/>
    <mergeCell ref="A67:E67"/>
    <mergeCell ref="I8:J8"/>
    <mergeCell ref="S9:T9"/>
    <mergeCell ref="A30:F30"/>
    <mergeCell ref="M8:N8"/>
    <mergeCell ref="W9:X9"/>
    <mergeCell ref="AC9:AD9"/>
    <mergeCell ref="O8:P8"/>
    <mergeCell ref="S30:W30"/>
    <mergeCell ref="U8:V8"/>
    <mergeCell ref="W8:X8"/>
    <mergeCell ref="B8:C9"/>
    <mergeCell ref="K7:L7"/>
    <mergeCell ref="AC6:AD6"/>
    <mergeCell ref="A68:E68"/>
    <mergeCell ref="A6:F6"/>
    <mergeCell ref="Y8:Z8"/>
    <mergeCell ref="K6:L6"/>
    <mergeCell ref="G9:H9"/>
    <mergeCell ref="AA8:AB8"/>
    <mergeCell ref="I9:J9"/>
    <mergeCell ref="A7:F7"/>
  </mergeCells>
  <dataValidations count="1">
    <dataValidation sqref="D4" showDropDown="0" showInputMessage="0" showErrorMessage="0" allowBlank="0" type="list">
      <formula1>"10 cm · 7864,8 cm · 7943B"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70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12.69921875" customWidth="1" min="34" max="34"/>
    <col width="12.69921875" customWidth="1" min="35" max="35"/>
    <col width="8.69921875" customWidth="1" min="36" max="36"/>
    <col width="8.8984375" customWidth="1" min="37" max="37"/>
  </cols>
  <sheetData>
    <row r="1" ht="40.2" customHeight="1">
      <c r="A1" s="2" t="inlineStr">
        <is>
          <t>JR ALUMINIUM &amp; GLASS  —  ใบรายการตัด · FUJI ประตูคู่ ไม่มีธรณี   (หน่วย: มม.)</t>
        </is>
      </c>
      <c r="B1" s="3" t="n"/>
      <c r="F1" s="4" t="n"/>
      <c r="G1" s="5" t="n"/>
      <c r="H1" s="4" t="n"/>
      <c r="I1" s="6" t="n"/>
      <c r="J1" s="6" t="n"/>
      <c r="K1" s="4" t="n"/>
      <c r="L1" s="4" t="n"/>
      <c r="M1" s="6" t="n"/>
      <c r="N1" s="6" t="n"/>
      <c r="O1" s="7" t="n"/>
      <c r="P1" s="7" t="n"/>
      <c r="Q1" s="7" t="n"/>
      <c r="R1" s="7" t="n"/>
      <c r="S1" s="4" t="n"/>
      <c r="T1" s="8" t="n"/>
      <c r="U1" s="7" t="n"/>
      <c r="V1" s="7" t="n"/>
      <c r="W1" s="4" t="n"/>
      <c r="X1" s="4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</row>
    <row r="2" ht="40.2" customHeight="1">
      <c r="A2" s="6" t="n"/>
      <c r="B2" s="6" t="n"/>
      <c r="C2" s="6" t="n"/>
      <c r="D2" s="6" t="n"/>
      <c r="E2" s="6" t="n"/>
      <c r="F2" s="6" t="n"/>
      <c r="G2" s="9" t="n"/>
      <c r="H2" s="6" t="n"/>
      <c r="I2" s="10" t="n"/>
      <c r="J2" s="10" t="n"/>
      <c r="K2" s="6" t="n"/>
      <c r="L2" s="6" t="n"/>
      <c r="M2" s="6" t="n"/>
      <c r="N2" s="6" t="n"/>
      <c r="O2" s="10" t="n"/>
      <c r="P2" s="10" t="n"/>
      <c r="Q2" s="10" t="n"/>
      <c r="R2" s="10" t="n"/>
      <c r="S2" s="6" t="n"/>
      <c r="T2" s="6" t="n"/>
      <c r="U2" s="10" t="n"/>
      <c r="V2" s="10" t="n"/>
      <c r="W2" s="6" t="n"/>
      <c r="X2" s="6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</row>
    <row r="3" ht="40.2" customHeight="1">
      <c r="A3" s="6" t="n"/>
      <c r="B3" s="6" t="n"/>
      <c r="C3" s="6" t="n"/>
      <c r="D3" s="6" t="n"/>
      <c r="E3" s="6" t="n"/>
      <c r="F3" s="6" t="n"/>
      <c r="G3" s="9" t="n"/>
      <c r="H3" s="6" t="n"/>
      <c r="K3" s="6" t="n"/>
      <c r="L3" s="6" t="n"/>
      <c r="M3" s="6" t="n"/>
      <c r="N3" s="6" t="n"/>
      <c r="O3" s="11" t="n"/>
      <c r="P3" s="11" t="n"/>
      <c r="Q3" s="11" t="n"/>
      <c r="R3" s="11" t="n"/>
      <c r="S3" s="6" t="n"/>
      <c r="T3" s="6" t="n"/>
      <c r="U3" s="11" t="n"/>
      <c r="V3" s="11" t="n"/>
      <c r="W3" s="6" t="n"/>
      <c r="X3" s="6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</row>
    <row r="4" ht="40.2" customHeight="1">
      <c r="A4" s="149" t="inlineStr">
        <is>
          <t>เลือกกรอบบาน →</t>
        </is>
      </c>
      <c r="B4" s="6" t="n"/>
      <c r="C4" s="6" t="n"/>
      <c r="D4" s="150" t="inlineStr">
        <is>
          <t>10 cm · 7864</t>
        </is>
      </c>
      <c r="E4" s="6" t="n"/>
      <c r="F4" s="6" t="n"/>
      <c r="H4" s="6" t="n"/>
      <c r="K4" s="6" t="n"/>
      <c r="L4" s="6" t="n"/>
      <c r="M4" s="6" t="n"/>
      <c r="N4" s="6" t="n"/>
      <c r="S4" s="6" t="n"/>
      <c r="T4" s="6" t="n"/>
      <c r="W4" s="6" t="n"/>
      <c r="X4" s="6" t="n"/>
    </row>
    <row r="5" ht="40.2" customHeight="1">
      <c r="A5" s="151" t="inlineStr">
        <is>
          <t>(8cm→ลดคิ้วตั้ง80/ขวาง60 · 10cm→100/80)</t>
        </is>
      </c>
      <c r="B5" s="6" t="n"/>
      <c r="C5" s="6" t="n"/>
      <c r="D5" s="6" t="n"/>
      <c r="E5" s="6" t="n"/>
      <c r="F5" s="6" t="n"/>
      <c r="G5" s="9" t="n"/>
      <c r="H5" s="6" t="n"/>
      <c r="K5" s="6" t="n"/>
      <c r="L5" s="6" t="n"/>
      <c r="N5" s="6" t="n"/>
      <c r="S5" s="6" t="n"/>
      <c r="T5" s="6" t="n"/>
      <c r="W5" s="6" t="n"/>
      <c r="X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4" t="n"/>
      <c r="G6" s="15" t="inlineStr">
        <is>
          <t>สูง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สูง-18.5-7</t>
        </is>
      </c>
      <c r="L6" s="16" t="n"/>
      <c r="M6" s="15" t="inlineStr">
        <is>
          <t>(กว้าง1-18.5-1)</t>
        </is>
      </c>
      <c r="N6" s="16" t="n"/>
      <c r="O6" s="15" t="inlineStr">
        <is>
          <t>(กว้าง2-18.5-1)</t>
        </is>
      </c>
      <c r="P6" s="16" t="n"/>
      <c r="Q6" s="15" t="inlineStr">
        <is>
          <t>เสา-100-100</t>
        </is>
      </c>
      <c r="R6" s="16" t="n"/>
      <c r="S6" s="15" t="inlineStr">
        <is>
          <t>กว้าง1
ขวาง-80-80</t>
        </is>
      </c>
      <c r="T6" s="16" t="n"/>
      <c r="U6" s="15" t="inlineStr">
        <is>
          <t>กว้าง2
ขวาง-80-80</t>
        </is>
      </c>
      <c r="V6" s="16" t="n"/>
      <c r="W6" s="15" t="inlineStr">
        <is>
          <t>เท่าขวาง</t>
        </is>
      </c>
      <c r="X6" s="16" t="n"/>
      <c r="Y6" s="15" t="inlineStr">
        <is>
          <t>เสา-8.5</t>
        </is>
      </c>
      <c r="Z6" s="16" t="n"/>
      <c r="AA6" s="15" t="n"/>
      <c r="AB6" s="16" t="n"/>
      <c r="AC6" s="15" t="n"/>
      <c r="AD6" s="16" t="n"/>
      <c r="AE6" s="17" t="n"/>
      <c r="AF6" s="17" t="n"/>
      <c r="AG6" s="17" t="n"/>
      <c r="AH6" s="17" t="n"/>
      <c r="AI6" s="17" t="n"/>
      <c r="AJ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20" t="n"/>
      <c r="G7" s="21" t="inlineStr">
        <is>
          <t>F7859</t>
        </is>
      </c>
      <c r="H7" s="13" t="n"/>
      <c r="I7" s="13" t="n"/>
      <c r="J7" s="14" t="n"/>
      <c r="K7" s="21" t="inlineStr">
        <is>
          <t>F7864</t>
        </is>
      </c>
      <c r="L7" s="13" t="n"/>
      <c r="M7" s="13" t="n"/>
      <c r="N7" s="13" t="n"/>
      <c r="O7" s="13" t="n"/>
      <c r="P7" s="14" t="n"/>
      <c r="Q7" s="21" t="inlineStr">
        <is>
          <t>F7935</t>
        </is>
      </c>
      <c r="R7" s="13" t="n"/>
      <c r="S7" s="13" t="n"/>
      <c r="T7" s="13" t="n"/>
      <c r="U7" s="13" t="n"/>
      <c r="V7" s="14" t="n"/>
      <c r="W7" s="22" t="inlineStr">
        <is>
          <t>F7863</t>
        </is>
      </c>
      <c r="X7" s="14" t="n"/>
      <c r="Y7" s="21" t="inlineStr">
        <is>
          <t>F7945</t>
        </is>
      </c>
      <c r="Z7" s="14" t="n"/>
      <c r="AA7" s="23" t="n"/>
      <c r="AB7" s="13" t="n"/>
      <c r="AC7" s="13" t="n"/>
      <c r="AD7" s="14" t="n"/>
      <c r="AE7" s="25" t="n"/>
      <c r="AF7" s="26" t="inlineStr">
        <is>
          <t>ขนาดกระจก</t>
        </is>
      </c>
      <c r="AG7" s="27" t="n"/>
      <c r="AH7" s="25" t="n"/>
      <c r="AI7" s="26" t="inlineStr">
        <is>
          <t>ขนาดกระจก</t>
        </is>
      </c>
      <c r="AJ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91" t="n"/>
      <c r="E8" s="91" t="n"/>
      <c r="F8" s="28" t="inlineStr">
        <is>
          <t>Set</t>
        </is>
      </c>
      <c r="G8" s="31" t="n"/>
      <c r="H8" s="32" t="n"/>
      <c r="I8" s="33" t="n"/>
      <c r="J8" s="34" t="n"/>
      <c r="K8" s="31" t="n"/>
      <c r="L8" s="32" t="n"/>
      <c r="M8" s="92" t="n"/>
      <c r="N8" s="32" t="n"/>
      <c r="O8" s="33" t="n"/>
      <c r="P8" s="34" t="n"/>
      <c r="Q8" s="31" t="n"/>
      <c r="R8" s="32" t="n"/>
      <c r="S8" s="92" t="n"/>
      <c r="T8" s="32" t="n"/>
      <c r="U8" s="33" t="n"/>
      <c r="V8" s="34" t="n"/>
      <c r="W8" s="33" t="n"/>
      <c r="X8" s="34" t="n"/>
      <c r="Y8" s="35" t="n"/>
      <c r="Z8" s="34" t="n"/>
      <c r="AA8" s="31" t="n"/>
      <c r="AB8" s="32" t="n"/>
      <c r="AC8" s="33" t="n"/>
      <c r="AD8" s="34" t="n"/>
      <c r="AE8" s="36" t="n"/>
      <c r="AF8" s="37" t="inlineStr">
        <is>
          <t>W1</t>
        </is>
      </c>
      <c r="AG8" s="38" t="n"/>
      <c r="AH8" s="36" t="n"/>
      <c r="AI8" s="37" t="inlineStr">
        <is>
          <t>W2</t>
        </is>
      </c>
      <c r="AJ8" s="38" t="n"/>
    </row>
    <row r="9" ht="40.2" customHeight="1">
      <c r="A9" s="39" t="n"/>
      <c r="B9" s="40" t="n"/>
      <c r="C9" s="41" t="n"/>
      <c r="D9" s="93" t="n"/>
      <c r="E9" s="93" t="n"/>
      <c r="F9" s="39" t="n"/>
      <c r="G9" s="42" t="inlineStr">
        <is>
          <t>เฟรมข้าง</t>
        </is>
      </c>
      <c r="H9" s="43" t="n"/>
      <c r="I9" s="42" t="inlineStr">
        <is>
          <t>เฟรม บน</t>
        </is>
      </c>
      <c r="J9" s="43" t="n"/>
      <c r="K9" s="42" t="inlineStr">
        <is>
          <t>เสา</t>
        </is>
      </c>
      <c r="L9" s="43" t="n"/>
      <c r="M9" s="42" t="inlineStr">
        <is>
          <t>ขวาง W1</t>
        </is>
      </c>
      <c r="N9" s="43" t="n"/>
      <c r="O9" s="42" t="inlineStr">
        <is>
          <t>ขวาง W2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ขวางW1</t>
        </is>
      </c>
      <c r="T9" s="43" t="n"/>
      <c r="U9" s="42" t="inlineStr">
        <is>
          <t>คิ้ว ขวางW2</t>
        </is>
      </c>
      <c r="V9" s="43" t="n"/>
      <c r="W9" s="42" t="inlineStr">
        <is>
          <t>ชายล่าง</t>
        </is>
      </c>
      <c r="X9" s="43" t="n"/>
      <c r="Y9" s="42" t="inlineStr">
        <is>
          <t>ชนกลาง</t>
        </is>
      </c>
      <c r="Z9" s="43" t="n"/>
      <c r="AA9" s="42" t="n"/>
      <c r="AB9" s="43" t="n"/>
      <c r="AC9" s="42" t="n"/>
      <c r="AD9" s="43" t="n"/>
      <c r="AE9" s="45" t="inlineStr">
        <is>
          <t>SH-87-87</t>
        </is>
      </c>
      <c r="AF9" s="46" t="inlineStr">
        <is>
          <t>SW1-67-67</t>
        </is>
      </c>
      <c r="AG9" s="47" t="n"/>
      <c r="AH9" s="45" t="inlineStr">
        <is>
          <t>SH-87-87</t>
        </is>
      </c>
      <c r="AI9" s="46" t="inlineStr">
        <is>
          <t>SW2-67-67</t>
        </is>
      </c>
      <c r="AJ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94" t="inlineStr">
        <is>
          <t>กว้าง</t>
        </is>
      </c>
      <c r="D10" s="51" t="inlineStr">
        <is>
          <t>W1</t>
        </is>
      </c>
      <c r="E10" s="51" t="inlineStr">
        <is>
          <t>W2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  <c r="AH10" s="55" t="inlineStr">
        <is>
          <t>H</t>
        </is>
      </c>
      <c r="AI10" s="56" t="inlineStr">
        <is>
          <t>W</t>
        </is>
      </c>
      <c r="AJ10" s="57" t="inlineStr">
        <is>
          <t>จำนวน</t>
        </is>
      </c>
    </row>
    <row r="11" ht="40.2" customHeight="1">
      <c r="A11" s="58" t="inlineStr">
        <is>
          <t>D1</t>
        </is>
      </c>
      <c r="B11" s="59" t="n">
        <v>400</v>
      </c>
      <c r="C11" s="95">
        <f>IF($A11="","",$D11+$E11)</f>
        <v/>
      </c>
      <c r="D11" s="61" t="n">
        <v>250</v>
      </c>
      <c r="E11" s="61" t="n">
        <v>350</v>
      </c>
      <c r="F11" s="61" t="n">
        <v>1</v>
      </c>
      <c r="G11" s="62">
        <f>IF($A11="","",$B11)</f>
        <v/>
      </c>
      <c r="H11" s="60">
        <f>IF($A11="","",2*$F11)</f>
        <v/>
      </c>
      <c r="I11" s="62">
        <f>IF($A11="","",$C11-$E$55-$F$55)</f>
        <v/>
      </c>
      <c r="J11" s="60">
        <f>IF($A11="","",1*$F11)</f>
        <v/>
      </c>
      <c r="K11" s="62">
        <f>IF($A11="","",$B11-$E$56-$F$56)</f>
        <v/>
      </c>
      <c r="L11" s="60">
        <f>IF($A11="","",4*$F11)</f>
        <v/>
      </c>
      <c r="M11" s="62">
        <f>IF($A11="","",(($D11-$E$57-$F$57)))</f>
        <v/>
      </c>
      <c r="N11" s="60">
        <f>IF($A11="","",2*$F11)</f>
        <v/>
      </c>
      <c r="O11" s="62">
        <f>IF($A11="","",(($E11-$E$58-$F$58)))</f>
        <v/>
      </c>
      <c r="P11" s="60">
        <f>IF($A11="","",2*$F11)</f>
        <v/>
      </c>
      <c r="Q11" s="62">
        <f>IF($A11="","",$K11-$E$59-$F$59)</f>
        <v/>
      </c>
      <c r="R11" s="60">
        <f>IF($A11="","",4*$F11)</f>
        <v/>
      </c>
      <c r="S11" s="62">
        <f>IF($A11="","",$M11-$E$60-$F$60)</f>
        <v/>
      </c>
      <c r="T11" s="60">
        <f>IF($A11="","",2*$F11)</f>
        <v/>
      </c>
      <c r="U11" s="62">
        <f>IF($A11="","",$O11-$E$61-$F$61)</f>
        <v/>
      </c>
      <c r="V11" s="60">
        <f>IF($A11="","",2*$F11)</f>
        <v/>
      </c>
      <c r="W11" s="62">
        <f>IF($A11="","",$M11)</f>
        <v/>
      </c>
      <c r="X11" s="60">
        <f>IF($A11="","",2*$F11)</f>
        <v/>
      </c>
      <c r="Y11" s="62">
        <f>IF($A11="","",$K11-$E$63)</f>
        <v/>
      </c>
      <c r="Z11" s="60">
        <f>IF($A11="","",1*$F11)</f>
        <v/>
      </c>
      <c r="AA11" s="62" t="n"/>
      <c r="AB11" s="60" t="n"/>
      <c r="AC11" s="62" t="n"/>
      <c r="AD11" s="60" t="n"/>
      <c r="AE11" s="63">
        <f>IF($A11="","",$K11-87-87)</f>
        <v/>
      </c>
      <c r="AF11" s="64">
        <f>IF($A11="","",$M11-87-87)</f>
        <v/>
      </c>
      <c r="AG11" s="65">
        <f>IF($A11="","",1*$F11)</f>
        <v/>
      </c>
      <c r="AH11" s="63">
        <f>IF($A11="","",$K11-87-87)</f>
        <v/>
      </c>
      <c r="AI11" s="64">
        <f>IF($A11="","",$O11-87-87)</f>
        <v/>
      </c>
      <c r="AJ11" s="65">
        <f>IF($A11="","",1*$F11)</f>
        <v/>
      </c>
    </row>
    <row r="12" ht="40.2" customHeight="1">
      <c r="A12" s="58" t="n"/>
      <c r="B12" s="59" t="n"/>
      <c r="C12" s="95">
        <f>IF($A12="","",$D12+$E12)</f>
        <v/>
      </c>
      <c r="D12" s="61" t="n"/>
      <c r="E12" s="61" t="n"/>
      <c r="F12" s="61" t="n"/>
      <c r="G12" s="66">
        <f>IF($A12="","",$B12)</f>
        <v/>
      </c>
      <c r="H12" s="67">
        <f>IF($A12="","",2*$F12)</f>
        <v/>
      </c>
      <c r="I12" s="66">
        <f>IF($A12="","",$C12-$E$55-$F$55)</f>
        <v/>
      </c>
      <c r="J12" s="67">
        <f>IF($A12="","",1*$F12)</f>
        <v/>
      </c>
      <c r="K12" s="66">
        <f>IF($A12="","",$B12-$E$56-$F$56)</f>
        <v/>
      </c>
      <c r="L12" s="67">
        <f>IF($A12="","",4*$F12)</f>
        <v/>
      </c>
      <c r="M12" s="66">
        <f>IF($A12="","",(($D12-$E$57-$F$57)))</f>
        <v/>
      </c>
      <c r="N12" s="67">
        <f>IF($A12="","",2*$F12)</f>
        <v/>
      </c>
      <c r="O12" s="66">
        <f>IF($A12="","",(($E12-$E$58-$F$58)))</f>
        <v/>
      </c>
      <c r="P12" s="67">
        <f>IF($A12="","",2*$F12)</f>
        <v/>
      </c>
      <c r="Q12" s="66">
        <f>IF($A12="","",$K12-$E$59-$F$59)</f>
        <v/>
      </c>
      <c r="R12" s="67">
        <f>IF($A12="","",4*$F12)</f>
        <v/>
      </c>
      <c r="S12" s="66">
        <f>IF($A12="","",$M12-$E$60-$F$60)</f>
        <v/>
      </c>
      <c r="T12" s="67">
        <f>IF($A12="","",2*$F12)</f>
        <v/>
      </c>
      <c r="U12" s="66">
        <f>IF($A12="","",$O12-$E$61-$F$61)</f>
        <v/>
      </c>
      <c r="V12" s="67">
        <f>IF($A12="","",2*$F12)</f>
        <v/>
      </c>
      <c r="W12" s="66">
        <f>IF($A12="","",$M12)</f>
        <v/>
      </c>
      <c r="X12" s="67">
        <f>IF($A12="","",2*$F12)</f>
        <v/>
      </c>
      <c r="Y12" s="66">
        <f>IF($A12="","",$K12-$E$63)</f>
        <v/>
      </c>
      <c r="Z12" s="67">
        <f>IF($A12="","",1*$F12)</f>
        <v/>
      </c>
      <c r="AA12" s="66" t="n"/>
      <c r="AB12" s="67" t="n"/>
      <c r="AC12" s="66" t="n"/>
      <c r="AD12" s="67" t="n"/>
      <c r="AE12" s="63">
        <f>IF($A12="","",$K12-87-87)</f>
        <v/>
      </c>
      <c r="AF12" s="64">
        <f>IF($A12="","",$M12-87-87)</f>
        <v/>
      </c>
      <c r="AG12" s="65">
        <f>IF($A12="","",1*$F12)</f>
        <v/>
      </c>
      <c r="AH12" s="63">
        <f>IF($A12="","",$K12-87-87)</f>
        <v/>
      </c>
      <c r="AI12" s="64">
        <f>IF($A12="","",$O12-87-87)</f>
        <v/>
      </c>
      <c r="AJ12" s="65">
        <f>IF($A12="","",1*$F12)</f>
        <v/>
      </c>
    </row>
    <row r="13" ht="40.2" customHeight="1">
      <c r="A13" s="58" t="n"/>
      <c r="B13" s="59" t="n"/>
      <c r="C13" s="95">
        <f>IF($A13="","",$D13+$E13)</f>
        <v/>
      </c>
      <c r="D13" s="61" t="n"/>
      <c r="E13" s="61" t="n"/>
      <c r="F13" s="61" t="n"/>
      <c r="G13" s="62">
        <f>IF($A13="","",$B13)</f>
        <v/>
      </c>
      <c r="H13" s="60">
        <f>IF($A13="","",2*$F13)</f>
        <v/>
      </c>
      <c r="I13" s="62">
        <f>IF($A13="","",$C13-$E$55-$F$55)</f>
        <v/>
      </c>
      <c r="J13" s="60">
        <f>IF($A13="","",1*$F13)</f>
        <v/>
      </c>
      <c r="K13" s="62">
        <f>IF($A13="","",$B13-$E$56-$F$56)</f>
        <v/>
      </c>
      <c r="L13" s="60">
        <f>IF($A13="","",4*$F13)</f>
        <v/>
      </c>
      <c r="M13" s="62">
        <f>IF($A13="","",(($D13-$E$57-$F$57)))</f>
        <v/>
      </c>
      <c r="N13" s="60">
        <f>IF($A13="","",2*$F13)</f>
        <v/>
      </c>
      <c r="O13" s="62">
        <f>IF($A13="","",(($E13-$E$58-$F$58)))</f>
        <v/>
      </c>
      <c r="P13" s="60">
        <f>IF($A13="","",2*$F13)</f>
        <v/>
      </c>
      <c r="Q13" s="62">
        <f>IF($A13="","",$K13-$E$59-$F$59)</f>
        <v/>
      </c>
      <c r="R13" s="60">
        <f>IF($A13="","",4*$F13)</f>
        <v/>
      </c>
      <c r="S13" s="62">
        <f>IF($A13="","",$M13-$E$60-$F$60)</f>
        <v/>
      </c>
      <c r="T13" s="60">
        <f>IF($A13="","",2*$F13)</f>
        <v/>
      </c>
      <c r="U13" s="62">
        <f>IF($A13="","",$O13-$E$61-$F$61)</f>
        <v/>
      </c>
      <c r="V13" s="60">
        <f>IF($A13="","",2*$F13)</f>
        <v/>
      </c>
      <c r="W13" s="62">
        <f>IF($A13="","",$M13)</f>
        <v/>
      </c>
      <c r="X13" s="60">
        <f>IF($A13="","",2*$F13)</f>
        <v/>
      </c>
      <c r="Y13" s="62">
        <f>IF($A13="","",$K13-$E$63)</f>
        <v/>
      </c>
      <c r="Z13" s="60">
        <f>IF($A13="","",1*$F13)</f>
        <v/>
      </c>
      <c r="AA13" s="62" t="n"/>
      <c r="AB13" s="60" t="n"/>
      <c r="AC13" s="62" t="n"/>
      <c r="AD13" s="60" t="n"/>
      <c r="AE13" s="63">
        <f>IF($A13="","",$K13-87-87)</f>
        <v/>
      </c>
      <c r="AF13" s="64">
        <f>IF($A13="","",$M13-87-87)</f>
        <v/>
      </c>
      <c r="AG13" s="65">
        <f>IF($A13="","",1*$F13)</f>
        <v/>
      </c>
      <c r="AH13" s="63">
        <f>IF($A13="","",$K13-87-87)</f>
        <v/>
      </c>
      <c r="AI13" s="64">
        <f>IF($A13="","",$O13-87-87)</f>
        <v/>
      </c>
      <c r="AJ13" s="65">
        <f>IF($A13="","",1*$F13)</f>
        <v/>
      </c>
    </row>
    <row r="14" ht="40.2" customHeight="1">
      <c r="A14" s="58" t="n"/>
      <c r="B14" s="59" t="n"/>
      <c r="C14" s="95">
        <f>IF($A14="","",$D14+$E14)</f>
        <v/>
      </c>
      <c r="D14" s="61" t="n"/>
      <c r="E14" s="61" t="n"/>
      <c r="F14" s="61" t="n"/>
      <c r="G14" s="66">
        <f>IF($A14="","",$B14)</f>
        <v/>
      </c>
      <c r="H14" s="67">
        <f>IF($A14="","",2*$F14)</f>
        <v/>
      </c>
      <c r="I14" s="66">
        <f>IF($A14="","",$C14-$E$55-$F$55)</f>
        <v/>
      </c>
      <c r="J14" s="67">
        <f>IF($A14="","",1*$F14)</f>
        <v/>
      </c>
      <c r="K14" s="66">
        <f>IF($A14="","",$B14-$E$56-$F$56)</f>
        <v/>
      </c>
      <c r="L14" s="67">
        <f>IF($A14="","",4*$F14)</f>
        <v/>
      </c>
      <c r="M14" s="66">
        <f>IF($A14="","",(($D14-$E$57-$F$57)))</f>
        <v/>
      </c>
      <c r="N14" s="67">
        <f>IF($A14="","",2*$F14)</f>
        <v/>
      </c>
      <c r="O14" s="66">
        <f>IF($A14="","",(($E14-$E$58-$F$58)))</f>
        <v/>
      </c>
      <c r="P14" s="67">
        <f>IF($A14="","",2*$F14)</f>
        <v/>
      </c>
      <c r="Q14" s="66">
        <f>IF($A14="","",$K14-$E$59-$F$59)</f>
        <v/>
      </c>
      <c r="R14" s="67">
        <f>IF($A14="","",4*$F14)</f>
        <v/>
      </c>
      <c r="S14" s="66">
        <f>IF($A14="","",$M14-$E$60-$F$60)</f>
        <v/>
      </c>
      <c r="T14" s="67">
        <f>IF($A14="","",2*$F14)</f>
        <v/>
      </c>
      <c r="U14" s="66">
        <f>IF($A14="","",$O14-$E$61-$F$61)</f>
        <v/>
      </c>
      <c r="V14" s="67">
        <f>IF($A14="","",2*$F14)</f>
        <v/>
      </c>
      <c r="W14" s="66">
        <f>IF($A14="","",$M14)</f>
        <v/>
      </c>
      <c r="X14" s="67">
        <f>IF($A14="","",2*$F14)</f>
        <v/>
      </c>
      <c r="Y14" s="66">
        <f>IF($A14="","",$K14-$E$63)</f>
        <v/>
      </c>
      <c r="Z14" s="67">
        <f>IF($A14="","",1*$F14)</f>
        <v/>
      </c>
      <c r="AA14" s="66" t="n"/>
      <c r="AB14" s="67" t="n"/>
      <c r="AC14" s="66" t="n"/>
      <c r="AD14" s="67" t="n"/>
      <c r="AE14" s="63">
        <f>IF($A14="","",$K14-87-87)</f>
        <v/>
      </c>
      <c r="AF14" s="64">
        <f>IF($A14="","",$M14-87-87)</f>
        <v/>
      </c>
      <c r="AG14" s="65">
        <f>IF($A14="","",1*$F14)</f>
        <v/>
      </c>
      <c r="AH14" s="63">
        <f>IF($A14="","",$K14-87-87)</f>
        <v/>
      </c>
      <c r="AI14" s="64">
        <f>IF($A14="","",$O14-87-87)</f>
        <v/>
      </c>
      <c r="AJ14" s="65">
        <f>IF($A14="","",1*$F14)</f>
        <v/>
      </c>
    </row>
    <row r="15" ht="40.2" customHeight="1">
      <c r="A15" s="58" t="n"/>
      <c r="B15" s="59" t="n"/>
      <c r="C15" s="95">
        <f>IF($A15="","",$D15+$E15)</f>
        <v/>
      </c>
      <c r="D15" s="61" t="n"/>
      <c r="E15" s="61" t="n"/>
      <c r="F15" s="61" t="n"/>
      <c r="G15" s="62">
        <f>IF($A15="","",$B15)</f>
        <v/>
      </c>
      <c r="H15" s="60">
        <f>IF($A15="","",2*$F15)</f>
        <v/>
      </c>
      <c r="I15" s="62">
        <f>IF($A15="","",$C15-$E$55-$F$55)</f>
        <v/>
      </c>
      <c r="J15" s="60">
        <f>IF($A15="","",1*$F15)</f>
        <v/>
      </c>
      <c r="K15" s="62">
        <f>IF($A15="","",$B15-$E$56-$F$56)</f>
        <v/>
      </c>
      <c r="L15" s="60">
        <f>IF($A15="","",4*$F15)</f>
        <v/>
      </c>
      <c r="M15" s="62">
        <f>IF($A15="","",(($D15-$E$57-$F$57)))</f>
        <v/>
      </c>
      <c r="N15" s="60">
        <f>IF($A15="","",2*$F15)</f>
        <v/>
      </c>
      <c r="O15" s="62">
        <f>IF($A15="","",(($E15-$E$58-$F$58)))</f>
        <v/>
      </c>
      <c r="P15" s="60">
        <f>IF($A15="","",2*$F15)</f>
        <v/>
      </c>
      <c r="Q15" s="62">
        <f>IF($A15="","",$K15-$E$59-$F$59)</f>
        <v/>
      </c>
      <c r="R15" s="60">
        <f>IF($A15="","",4*$F15)</f>
        <v/>
      </c>
      <c r="S15" s="62">
        <f>IF($A15="","",$M15-$E$60-$F$60)</f>
        <v/>
      </c>
      <c r="T15" s="60">
        <f>IF($A15="","",2*$F15)</f>
        <v/>
      </c>
      <c r="U15" s="62">
        <f>IF($A15="","",$O15-$E$61-$F$61)</f>
        <v/>
      </c>
      <c r="V15" s="60">
        <f>IF($A15="","",2*$F15)</f>
        <v/>
      </c>
      <c r="W15" s="62">
        <f>IF($A15="","",$M15)</f>
        <v/>
      </c>
      <c r="X15" s="60">
        <f>IF($A15="","",2*$F15)</f>
        <v/>
      </c>
      <c r="Y15" s="62">
        <f>IF($A15="","",$K15-$E$63)</f>
        <v/>
      </c>
      <c r="Z15" s="60">
        <f>IF($A15="","",1*$F15)</f>
        <v/>
      </c>
      <c r="AA15" s="62" t="n"/>
      <c r="AB15" s="60" t="n"/>
      <c r="AC15" s="62" t="n"/>
      <c r="AD15" s="60" t="n"/>
      <c r="AE15" s="63">
        <f>IF($A15="","",$K15-87-87)</f>
        <v/>
      </c>
      <c r="AF15" s="64">
        <f>IF($A15="","",$M15-87-87)</f>
        <v/>
      </c>
      <c r="AG15" s="65">
        <f>IF($A15="","",1*$F15)</f>
        <v/>
      </c>
      <c r="AH15" s="63">
        <f>IF($A15="","",$K15-87-87)</f>
        <v/>
      </c>
      <c r="AI15" s="64">
        <f>IF($A15="","",$O15-87-87)</f>
        <v/>
      </c>
      <c r="AJ15" s="65">
        <f>IF($A15="","",1*$F15)</f>
        <v/>
      </c>
    </row>
    <row r="16" ht="40.2" customHeight="1">
      <c r="A16" s="58" t="n"/>
      <c r="B16" s="59" t="n"/>
      <c r="C16" s="95">
        <f>IF($A16="","",$D16+$E16)</f>
        <v/>
      </c>
      <c r="D16" s="61" t="n"/>
      <c r="E16" s="61" t="n"/>
      <c r="F16" s="61" t="n"/>
      <c r="G16" s="66">
        <f>IF($A16="","",$B16)</f>
        <v/>
      </c>
      <c r="H16" s="67">
        <f>IF($A16="","",2*$F16)</f>
        <v/>
      </c>
      <c r="I16" s="66">
        <f>IF($A16="","",$C16-$E$55-$F$55)</f>
        <v/>
      </c>
      <c r="J16" s="67">
        <f>IF($A16="","",1*$F16)</f>
        <v/>
      </c>
      <c r="K16" s="66">
        <f>IF($A16="","",$B16-$E$56-$F$56)</f>
        <v/>
      </c>
      <c r="L16" s="67">
        <f>IF($A16="","",4*$F16)</f>
        <v/>
      </c>
      <c r="M16" s="66">
        <f>IF($A16="","",(($D16-$E$57-$F$57)))</f>
        <v/>
      </c>
      <c r="N16" s="67">
        <f>IF($A16="","",2*$F16)</f>
        <v/>
      </c>
      <c r="O16" s="66">
        <f>IF($A16="","",(($E16-$E$58-$F$58)))</f>
        <v/>
      </c>
      <c r="P16" s="67">
        <f>IF($A16="","",2*$F16)</f>
        <v/>
      </c>
      <c r="Q16" s="66">
        <f>IF($A16="","",$K16-$E$59-$F$59)</f>
        <v/>
      </c>
      <c r="R16" s="67">
        <f>IF($A16="","",4*$F16)</f>
        <v/>
      </c>
      <c r="S16" s="66">
        <f>IF($A16="","",$M16-$E$60-$F$60)</f>
        <v/>
      </c>
      <c r="T16" s="67">
        <f>IF($A16="","",2*$F16)</f>
        <v/>
      </c>
      <c r="U16" s="66">
        <f>IF($A16="","",$O16-$E$61-$F$61)</f>
        <v/>
      </c>
      <c r="V16" s="67">
        <f>IF($A16="","",2*$F16)</f>
        <v/>
      </c>
      <c r="W16" s="66">
        <f>IF($A16="","",$M16)</f>
        <v/>
      </c>
      <c r="X16" s="67">
        <f>IF($A16="","",2*$F16)</f>
        <v/>
      </c>
      <c r="Y16" s="66">
        <f>IF($A16="","",$K16-$E$63)</f>
        <v/>
      </c>
      <c r="Z16" s="67">
        <f>IF($A16="","",1*$F16)</f>
        <v/>
      </c>
      <c r="AA16" s="66" t="n"/>
      <c r="AB16" s="67" t="n"/>
      <c r="AC16" s="66" t="n"/>
      <c r="AD16" s="67" t="n"/>
      <c r="AE16" s="63">
        <f>IF($A16="","",$K16-87-87)</f>
        <v/>
      </c>
      <c r="AF16" s="64">
        <f>IF($A16="","",$M16-87-87)</f>
        <v/>
      </c>
      <c r="AG16" s="65">
        <f>IF($A16="","",1*$F16)</f>
        <v/>
      </c>
      <c r="AH16" s="63">
        <f>IF($A16="","",$K16-87-87)</f>
        <v/>
      </c>
      <c r="AI16" s="64">
        <f>IF($A16="","",$O16-87-87)</f>
        <v/>
      </c>
      <c r="AJ16" s="65">
        <f>IF($A16="","",1*$F16)</f>
        <v/>
      </c>
    </row>
    <row r="17" ht="40.2" customHeight="1">
      <c r="A17" s="58" t="n"/>
      <c r="B17" s="59" t="n"/>
      <c r="C17" s="95">
        <f>IF($A17="","",$D17+$E17)</f>
        <v/>
      </c>
      <c r="D17" s="61" t="n"/>
      <c r="E17" s="61" t="n"/>
      <c r="F17" s="61" t="n"/>
      <c r="G17" s="62">
        <f>IF($A17="","",$B17)</f>
        <v/>
      </c>
      <c r="H17" s="60">
        <f>IF($A17="","",2*$F17)</f>
        <v/>
      </c>
      <c r="I17" s="62">
        <f>IF($A17="","",$C17-$E$55-$F$55)</f>
        <v/>
      </c>
      <c r="J17" s="60">
        <f>IF($A17="","",1*$F17)</f>
        <v/>
      </c>
      <c r="K17" s="62">
        <f>IF($A17="","",$B17-$E$56-$F$56)</f>
        <v/>
      </c>
      <c r="L17" s="60">
        <f>IF($A17="","",4*$F17)</f>
        <v/>
      </c>
      <c r="M17" s="62">
        <f>IF($A17="","",(($D17-$E$57-$F$57)))</f>
        <v/>
      </c>
      <c r="N17" s="60">
        <f>IF($A17="","",2*$F17)</f>
        <v/>
      </c>
      <c r="O17" s="62">
        <f>IF($A17="","",(($E17-$E$58-$F$58)))</f>
        <v/>
      </c>
      <c r="P17" s="60">
        <f>IF($A17="","",2*$F17)</f>
        <v/>
      </c>
      <c r="Q17" s="62">
        <f>IF($A17="","",$K17-$E$59-$F$59)</f>
        <v/>
      </c>
      <c r="R17" s="60">
        <f>IF($A17="","",4*$F17)</f>
        <v/>
      </c>
      <c r="S17" s="62">
        <f>IF($A17="","",$M17-$E$60-$F$60)</f>
        <v/>
      </c>
      <c r="T17" s="60">
        <f>IF($A17="","",2*$F17)</f>
        <v/>
      </c>
      <c r="U17" s="62">
        <f>IF($A17="","",$O17-$E$61-$F$61)</f>
        <v/>
      </c>
      <c r="V17" s="60">
        <f>IF($A17="","",2*$F17)</f>
        <v/>
      </c>
      <c r="W17" s="62">
        <f>IF($A17="","",$M17)</f>
        <v/>
      </c>
      <c r="X17" s="60">
        <f>IF($A17="","",2*$F17)</f>
        <v/>
      </c>
      <c r="Y17" s="62">
        <f>IF($A17="","",$K17-$E$63)</f>
        <v/>
      </c>
      <c r="Z17" s="60">
        <f>IF($A17="","",1*$F17)</f>
        <v/>
      </c>
      <c r="AA17" s="62" t="n"/>
      <c r="AB17" s="60" t="n"/>
      <c r="AC17" s="62" t="n"/>
      <c r="AD17" s="60" t="n"/>
      <c r="AE17" s="63">
        <f>IF($A17="","",$K17-87-87)</f>
        <v/>
      </c>
      <c r="AF17" s="64">
        <f>IF($A17="","",$M17-87-87)</f>
        <v/>
      </c>
      <c r="AG17" s="65">
        <f>IF($A17="","",1*$F17)</f>
        <v/>
      </c>
      <c r="AH17" s="63">
        <f>IF($A17="","",$K17-87-87)</f>
        <v/>
      </c>
      <c r="AI17" s="64">
        <f>IF($A17="","",$O17-87-87)</f>
        <v/>
      </c>
      <c r="AJ17" s="65">
        <f>IF($A17="","",1*$F17)</f>
        <v/>
      </c>
    </row>
    <row r="18" ht="40.2" customHeight="1">
      <c r="A18" s="58" t="n"/>
      <c r="B18" s="59" t="n"/>
      <c r="C18" s="95">
        <f>IF($A18="","",$D18+$E18)</f>
        <v/>
      </c>
      <c r="D18" s="61" t="n"/>
      <c r="E18" s="61" t="n"/>
      <c r="F18" s="61" t="n"/>
      <c r="G18" s="66">
        <f>IF($A18="","",$B18)</f>
        <v/>
      </c>
      <c r="H18" s="67">
        <f>IF($A18="","",2*$F18)</f>
        <v/>
      </c>
      <c r="I18" s="66">
        <f>IF($A18="","",$C18-$E$55-$F$55)</f>
        <v/>
      </c>
      <c r="J18" s="67">
        <f>IF($A18="","",1*$F18)</f>
        <v/>
      </c>
      <c r="K18" s="66">
        <f>IF($A18="","",$B18-$E$56-$F$56)</f>
        <v/>
      </c>
      <c r="L18" s="67">
        <f>IF($A18="","",4*$F18)</f>
        <v/>
      </c>
      <c r="M18" s="66">
        <f>IF($A18="","",(($D18-$E$57-$F$57)))</f>
        <v/>
      </c>
      <c r="N18" s="67">
        <f>IF($A18="","",2*$F18)</f>
        <v/>
      </c>
      <c r="O18" s="66">
        <f>IF($A18="","",(($E18-$E$58-$F$58)))</f>
        <v/>
      </c>
      <c r="P18" s="67">
        <f>IF($A18="","",2*$F18)</f>
        <v/>
      </c>
      <c r="Q18" s="66">
        <f>IF($A18="","",$K18-$E$59-$F$59)</f>
        <v/>
      </c>
      <c r="R18" s="67">
        <f>IF($A18="","",4*$F18)</f>
        <v/>
      </c>
      <c r="S18" s="66">
        <f>IF($A18="","",$M18-$E$60-$F$60)</f>
        <v/>
      </c>
      <c r="T18" s="67">
        <f>IF($A18="","",2*$F18)</f>
        <v/>
      </c>
      <c r="U18" s="66">
        <f>IF($A18="","",$O18-$E$61-$F$61)</f>
        <v/>
      </c>
      <c r="V18" s="67">
        <f>IF($A18="","",2*$F18)</f>
        <v/>
      </c>
      <c r="W18" s="66">
        <f>IF($A18="","",$M18)</f>
        <v/>
      </c>
      <c r="X18" s="67">
        <f>IF($A18="","",2*$F18)</f>
        <v/>
      </c>
      <c r="Y18" s="66">
        <f>IF($A18="","",$K18-$E$63)</f>
        <v/>
      </c>
      <c r="Z18" s="67">
        <f>IF($A18="","",1*$F18)</f>
        <v/>
      </c>
      <c r="AA18" s="66" t="n"/>
      <c r="AB18" s="67" t="n"/>
      <c r="AC18" s="66" t="n"/>
      <c r="AD18" s="67" t="n"/>
      <c r="AE18" s="63">
        <f>IF($A18="","",$K18-87-87)</f>
        <v/>
      </c>
      <c r="AF18" s="64">
        <f>IF($A18="","",$M18-87-87)</f>
        <v/>
      </c>
      <c r="AG18" s="65">
        <f>IF($A18="","",1*$F18)</f>
        <v/>
      </c>
      <c r="AH18" s="63">
        <f>IF($A18="","",$K18-87-87)</f>
        <v/>
      </c>
      <c r="AI18" s="64">
        <f>IF($A18="","",$O18-87-87)</f>
        <v/>
      </c>
      <c r="AJ18" s="65">
        <f>IF($A18="","",1*$F18)</f>
        <v/>
      </c>
    </row>
    <row r="19" ht="40.2" customHeight="1">
      <c r="A19" s="83" t="n"/>
      <c r="B19" s="84" t="n"/>
      <c r="C19" s="95">
        <f>IF($A19="","",$D19+$E19)</f>
        <v/>
      </c>
      <c r="D19" s="86" t="n"/>
      <c r="E19" s="86" t="n"/>
      <c r="F19" s="86" t="n"/>
      <c r="G19" s="62">
        <f>IF($A19="","",$B19)</f>
        <v/>
      </c>
      <c r="H19" s="60">
        <f>IF($A19="","",2*$F19)</f>
        <v/>
      </c>
      <c r="I19" s="62">
        <f>IF($A19="","",$C19-$E$55-$F$55)</f>
        <v/>
      </c>
      <c r="J19" s="60">
        <f>IF($A19="","",1*$F19)</f>
        <v/>
      </c>
      <c r="K19" s="62">
        <f>IF($A19="","",$B19-$E$56-$F$56)</f>
        <v/>
      </c>
      <c r="L19" s="60">
        <f>IF($A19="","",4*$F19)</f>
        <v/>
      </c>
      <c r="M19" s="62">
        <f>IF($A19="","",(($D19-$E$57-$F$57)))</f>
        <v/>
      </c>
      <c r="N19" s="60">
        <f>IF($A19="","",2*$F19)</f>
        <v/>
      </c>
      <c r="O19" s="62">
        <f>IF($A19="","",(($E19-$E$58-$F$58)))</f>
        <v/>
      </c>
      <c r="P19" s="60">
        <f>IF($A19="","",2*$F19)</f>
        <v/>
      </c>
      <c r="Q19" s="62">
        <f>IF($A19="","",$K19-$E$59-$F$59)</f>
        <v/>
      </c>
      <c r="R19" s="60">
        <f>IF($A19="","",4*$F19)</f>
        <v/>
      </c>
      <c r="S19" s="62">
        <f>IF($A19="","",$M19-$E$60-$F$60)</f>
        <v/>
      </c>
      <c r="T19" s="60">
        <f>IF($A19="","",2*$F19)</f>
        <v/>
      </c>
      <c r="U19" s="62">
        <f>IF($A19="","",$O19-$E$61-$F$61)</f>
        <v/>
      </c>
      <c r="V19" s="60">
        <f>IF($A19="","",2*$F19)</f>
        <v/>
      </c>
      <c r="W19" s="62">
        <f>IF($A19="","",$M19)</f>
        <v/>
      </c>
      <c r="X19" s="60">
        <f>IF($A19="","",2*$F19)</f>
        <v/>
      </c>
      <c r="Y19" s="62">
        <f>IF($A19="","",$K19-$E$63)</f>
        <v/>
      </c>
      <c r="Z19" s="60">
        <f>IF($A19="","",1*$F19)</f>
        <v/>
      </c>
      <c r="AA19" s="62" t="n"/>
      <c r="AB19" s="60" t="n"/>
      <c r="AC19" s="62" t="n"/>
      <c r="AD19" s="60" t="n"/>
      <c r="AE19" s="63">
        <f>IF($A19="","",$K19-87-87)</f>
        <v/>
      </c>
      <c r="AF19" s="64">
        <f>IF($A19="","",$M19-87-87)</f>
        <v/>
      </c>
      <c r="AG19" s="65">
        <f>IF($A19="","",1*$F19)</f>
        <v/>
      </c>
      <c r="AH19" s="63">
        <f>IF($A19="","",$K19-87-87)</f>
        <v/>
      </c>
      <c r="AI19" s="64">
        <f>IF($A19="","",$O19-87-87)</f>
        <v/>
      </c>
      <c r="AJ19" s="65">
        <f>IF($A19="","",1*$F19)</f>
        <v/>
      </c>
    </row>
    <row r="20" ht="40.2" customHeight="1">
      <c r="A20" s="83" t="n"/>
      <c r="B20" s="84" t="n"/>
      <c r="C20" s="95">
        <f>IF($A20="","",$D20+$E20)</f>
        <v/>
      </c>
      <c r="D20" s="86" t="n"/>
      <c r="E20" s="86" t="n"/>
      <c r="F20" s="86" t="n"/>
      <c r="G20" s="66">
        <f>IF($A20="","",$B20)</f>
        <v/>
      </c>
      <c r="H20" s="67">
        <f>IF($A20="","",2*$F20)</f>
        <v/>
      </c>
      <c r="I20" s="66">
        <f>IF($A20="","",$C20-$E$55-$F$55)</f>
        <v/>
      </c>
      <c r="J20" s="67">
        <f>IF($A20="","",1*$F20)</f>
        <v/>
      </c>
      <c r="K20" s="66">
        <f>IF($A20="","",$B20-$E$56-$F$56)</f>
        <v/>
      </c>
      <c r="L20" s="67">
        <f>IF($A20="","",4*$F20)</f>
        <v/>
      </c>
      <c r="M20" s="66">
        <f>IF($A20="","",(($D20-$E$57-$F$57)))</f>
        <v/>
      </c>
      <c r="N20" s="67">
        <f>IF($A20="","",2*$F20)</f>
        <v/>
      </c>
      <c r="O20" s="66">
        <f>IF($A20="","",(($E20-$E$58-$F$58)))</f>
        <v/>
      </c>
      <c r="P20" s="67">
        <f>IF($A20="","",2*$F20)</f>
        <v/>
      </c>
      <c r="Q20" s="66">
        <f>IF($A20="","",$K20-$E$59-$F$59)</f>
        <v/>
      </c>
      <c r="R20" s="67">
        <f>IF($A20="","",4*$F20)</f>
        <v/>
      </c>
      <c r="S20" s="66">
        <f>IF($A20="","",$M20-$E$60-$F$60)</f>
        <v/>
      </c>
      <c r="T20" s="67">
        <f>IF($A20="","",2*$F20)</f>
        <v/>
      </c>
      <c r="U20" s="66">
        <f>IF($A20="","",$O20-$E$61-$F$61)</f>
        <v/>
      </c>
      <c r="V20" s="67">
        <f>IF($A20="","",2*$F20)</f>
        <v/>
      </c>
      <c r="W20" s="66">
        <f>IF($A20="","",$M20)</f>
        <v/>
      </c>
      <c r="X20" s="67">
        <f>IF($A20="","",2*$F20)</f>
        <v/>
      </c>
      <c r="Y20" s="66">
        <f>IF($A20="","",$K20-$E$63)</f>
        <v/>
      </c>
      <c r="Z20" s="67">
        <f>IF($A20="","",1*$F20)</f>
        <v/>
      </c>
      <c r="AA20" s="66" t="n"/>
      <c r="AB20" s="67" t="n"/>
      <c r="AC20" s="66" t="n"/>
      <c r="AD20" s="67" t="n"/>
      <c r="AE20" s="63">
        <f>IF($A20="","",$K20-87-87)</f>
        <v/>
      </c>
      <c r="AF20" s="64">
        <f>IF($A20="","",$M20-87-87)</f>
        <v/>
      </c>
      <c r="AG20" s="65">
        <f>IF($A20="","",1*$F20)</f>
        <v/>
      </c>
      <c r="AH20" s="63">
        <f>IF($A20="","",$K20-87-87)</f>
        <v/>
      </c>
      <c r="AI20" s="64">
        <f>IF($A20="","",$O20-87-87)</f>
        <v/>
      </c>
      <c r="AJ20" s="65">
        <f>IF($A20="","",1*$F20)</f>
        <v/>
      </c>
    </row>
    <row r="21" ht="40.2" customHeight="1">
      <c r="A21" s="83" t="n"/>
      <c r="B21" s="84" t="n"/>
      <c r="C21" s="95">
        <f>IF($A21="","",$D21+$E21)</f>
        <v/>
      </c>
      <c r="D21" s="86" t="n"/>
      <c r="E21" s="86" t="n"/>
      <c r="F21" s="86" t="n"/>
      <c r="G21" s="62">
        <f>IF($A21="","",$B21)</f>
        <v/>
      </c>
      <c r="H21" s="60">
        <f>IF($A21="","",2*$F21)</f>
        <v/>
      </c>
      <c r="I21" s="62">
        <f>IF($A21="","",$C21-$E$55-$F$55)</f>
        <v/>
      </c>
      <c r="J21" s="60">
        <f>IF($A21="","",1*$F21)</f>
        <v/>
      </c>
      <c r="K21" s="62">
        <f>IF($A21="","",$B21-$E$56-$F$56)</f>
        <v/>
      </c>
      <c r="L21" s="60">
        <f>IF($A21="","",4*$F21)</f>
        <v/>
      </c>
      <c r="M21" s="62">
        <f>IF($A21="","",(($D21-$E$57-$F$57)))</f>
        <v/>
      </c>
      <c r="N21" s="60">
        <f>IF($A21="","",2*$F21)</f>
        <v/>
      </c>
      <c r="O21" s="62">
        <f>IF($A21="","",(($E21-$E$58-$F$58)))</f>
        <v/>
      </c>
      <c r="P21" s="60">
        <f>IF($A21="","",2*$F21)</f>
        <v/>
      </c>
      <c r="Q21" s="62">
        <f>IF($A21="","",$K21-$E$59-$F$59)</f>
        <v/>
      </c>
      <c r="R21" s="60">
        <f>IF($A21="","",4*$F21)</f>
        <v/>
      </c>
      <c r="S21" s="62">
        <f>IF($A21="","",$M21-$E$60-$F$60)</f>
        <v/>
      </c>
      <c r="T21" s="60">
        <f>IF($A21="","",2*$F21)</f>
        <v/>
      </c>
      <c r="U21" s="62">
        <f>IF($A21="","",$O21-$E$61-$F$61)</f>
        <v/>
      </c>
      <c r="V21" s="60">
        <f>IF($A21="","",2*$F21)</f>
        <v/>
      </c>
      <c r="W21" s="62">
        <f>IF($A21="","",$M21)</f>
        <v/>
      </c>
      <c r="X21" s="60">
        <f>IF($A21="","",2*$F21)</f>
        <v/>
      </c>
      <c r="Y21" s="62">
        <f>IF($A21="","",$K21-$E$63)</f>
        <v/>
      </c>
      <c r="Z21" s="60">
        <f>IF($A21="","",1*$F21)</f>
        <v/>
      </c>
      <c r="AA21" s="62" t="n"/>
      <c r="AB21" s="60" t="n"/>
      <c r="AC21" s="62" t="n"/>
      <c r="AD21" s="60" t="n"/>
      <c r="AE21" s="63">
        <f>IF($A21="","",$K21-87-87)</f>
        <v/>
      </c>
      <c r="AF21" s="64">
        <f>IF($A21="","",$M21-87-87)</f>
        <v/>
      </c>
      <c r="AG21" s="65">
        <f>IF($A21="","",1*$F21)</f>
        <v/>
      </c>
      <c r="AH21" s="63">
        <f>IF($A21="","",$K21-87-87)</f>
        <v/>
      </c>
      <c r="AI21" s="64">
        <f>IF($A21="","",$O21-87-87)</f>
        <v/>
      </c>
      <c r="AJ21" s="65">
        <f>IF($A21="","",1*$F21)</f>
        <v/>
      </c>
    </row>
    <row r="22" ht="40.2" customHeight="1">
      <c r="A22" s="83" t="n"/>
      <c r="B22" s="84" t="n"/>
      <c r="C22" s="95">
        <f>IF($A22="","",$D22+$E22)</f>
        <v/>
      </c>
      <c r="D22" s="86" t="n"/>
      <c r="E22" s="86" t="n"/>
      <c r="F22" s="86" t="n"/>
      <c r="G22" s="66">
        <f>IF($A22="","",$B22)</f>
        <v/>
      </c>
      <c r="H22" s="67">
        <f>IF($A22="","",2*$F22)</f>
        <v/>
      </c>
      <c r="I22" s="66">
        <f>IF($A22="","",$C22-$E$55-$F$55)</f>
        <v/>
      </c>
      <c r="J22" s="67">
        <f>IF($A22="","",1*$F22)</f>
        <v/>
      </c>
      <c r="K22" s="66">
        <f>IF($A22="","",$B22-$E$56-$F$56)</f>
        <v/>
      </c>
      <c r="L22" s="67">
        <f>IF($A22="","",4*$F22)</f>
        <v/>
      </c>
      <c r="M22" s="66">
        <f>IF($A22="","",(($D22-$E$57-$F$57)))</f>
        <v/>
      </c>
      <c r="N22" s="67">
        <f>IF($A22="","",2*$F22)</f>
        <v/>
      </c>
      <c r="O22" s="66">
        <f>IF($A22="","",(($E22-$E$58-$F$58)))</f>
        <v/>
      </c>
      <c r="P22" s="67">
        <f>IF($A22="","",2*$F22)</f>
        <v/>
      </c>
      <c r="Q22" s="66">
        <f>IF($A22="","",$K22-$E$59-$F$59)</f>
        <v/>
      </c>
      <c r="R22" s="67">
        <f>IF($A22="","",4*$F22)</f>
        <v/>
      </c>
      <c r="S22" s="66">
        <f>IF($A22="","",$M22-$E$60-$F$60)</f>
        <v/>
      </c>
      <c r="T22" s="67">
        <f>IF($A22="","",2*$F22)</f>
        <v/>
      </c>
      <c r="U22" s="66">
        <f>IF($A22="","",$O22-$E$61-$F$61)</f>
        <v/>
      </c>
      <c r="V22" s="67">
        <f>IF($A22="","",2*$F22)</f>
        <v/>
      </c>
      <c r="W22" s="66">
        <f>IF($A22="","",$M22)</f>
        <v/>
      </c>
      <c r="X22" s="67">
        <f>IF($A22="","",2*$F22)</f>
        <v/>
      </c>
      <c r="Y22" s="66">
        <f>IF($A22="","",$K22-$E$63)</f>
        <v/>
      </c>
      <c r="Z22" s="67">
        <f>IF($A22="","",1*$F22)</f>
        <v/>
      </c>
      <c r="AA22" s="66" t="n"/>
      <c r="AB22" s="67" t="n"/>
      <c r="AC22" s="66" t="n"/>
      <c r="AD22" s="67" t="n"/>
      <c r="AE22" s="63">
        <f>IF($A22="","",$K22-87-87)</f>
        <v/>
      </c>
      <c r="AF22" s="64">
        <f>IF($A22="","",$M22-87-87)</f>
        <v/>
      </c>
      <c r="AG22" s="65">
        <f>IF($A22="","",1*$F22)</f>
        <v/>
      </c>
      <c r="AH22" s="63">
        <f>IF($A22="","",$K22-87-87)</f>
        <v/>
      </c>
      <c r="AI22" s="64">
        <f>IF($A22="","",$O22-87-87)</f>
        <v/>
      </c>
      <c r="AJ22" s="65">
        <f>IF($A22="","",1*$F22)</f>
        <v/>
      </c>
    </row>
    <row r="23" ht="40.2" customHeight="1">
      <c r="A23" s="83" t="n"/>
      <c r="B23" s="84" t="n"/>
      <c r="C23" s="95">
        <f>IF($A23="","",$D23+$E23)</f>
        <v/>
      </c>
      <c r="D23" s="86" t="n"/>
      <c r="E23" s="86" t="n"/>
      <c r="F23" s="86" t="n"/>
      <c r="G23" s="62">
        <f>IF($A23="","",$B23)</f>
        <v/>
      </c>
      <c r="H23" s="60">
        <f>IF($A23="","",2*$F23)</f>
        <v/>
      </c>
      <c r="I23" s="62">
        <f>IF($A23="","",$C23-$E$55-$F$55)</f>
        <v/>
      </c>
      <c r="J23" s="60">
        <f>IF($A23="","",1*$F23)</f>
        <v/>
      </c>
      <c r="K23" s="62">
        <f>IF($A23="","",$B23-$E$56-$F$56)</f>
        <v/>
      </c>
      <c r="L23" s="60">
        <f>IF($A23="","",4*$F23)</f>
        <v/>
      </c>
      <c r="M23" s="62">
        <f>IF($A23="","",(($D23-$E$57-$F$57)))</f>
        <v/>
      </c>
      <c r="N23" s="60">
        <f>IF($A23="","",2*$F23)</f>
        <v/>
      </c>
      <c r="O23" s="62">
        <f>IF($A23="","",(($E23-$E$58-$F$58)))</f>
        <v/>
      </c>
      <c r="P23" s="60">
        <f>IF($A23="","",2*$F23)</f>
        <v/>
      </c>
      <c r="Q23" s="62">
        <f>IF($A23="","",$K23-$E$59-$F$59)</f>
        <v/>
      </c>
      <c r="R23" s="60">
        <f>IF($A23="","",4*$F23)</f>
        <v/>
      </c>
      <c r="S23" s="62">
        <f>IF($A23="","",$M23-$E$60-$F$60)</f>
        <v/>
      </c>
      <c r="T23" s="60">
        <f>IF($A23="","",2*$F23)</f>
        <v/>
      </c>
      <c r="U23" s="62">
        <f>IF($A23="","",$O23-$E$61-$F$61)</f>
        <v/>
      </c>
      <c r="V23" s="60">
        <f>IF($A23="","",2*$F23)</f>
        <v/>
      </c>
      <c r="W23" s="62">
        <f>IF($A23="","",$M23)</f>
        <v/>
      </c>
      <c r="X23" s="60">
        <f>IF($A23="","",2*$F23)</f>
        <v/>
      </c>
      <c r="Y23" s="62">
        <f>IF($A23="","",$K23-$E$63)</f>
        <v/>
      </c>
      <c r="Z23" s="60">
        <f>IF($A23="","",1*$F23)</f>
        <v/>
      </c>
      <c r="AA23" s="62" t="n"/>
      <c r="AB23" s="60" t="n"/>
      <c r="AC23" s="62" t="n"/>
      <c r="AD23" s="60" t="n"/>
      <c r="AE23" s="63">
        <f>IF($A23="","",$K23-87-87)</f>
        <v/>
      </c>
      <c r="AF23" s="64">
        <f>IF($A23="","",$M23-87-87)</f>
        <v/>
      </c>
      <c r="AG23" s="65">
        <f>IF($A23="","",1*$F23)</f>
        <v/>
      </c>
      <c r="AH23" s="63">
        <f>IF($A23="","",$K23-87-87)</f>
        <v/>
      </c>
      <c r="AI23" s="64">
        <f>IF($A23="","",$O23-87-87)</f>
        <v/>
      </c>
      <c r="AJ23" s="65">
        <f>IF($A23="","",1*$F23)</f>
        <v/>
      </c>
    </row>
    <row r="24" ht="40.2" customHeight="1">
      <c r="A24" s="83" t="n"/>
      <c r="B24" s="84" t="n"/>
      <c r="C24" s="95">
        <f>IF($A24="","",$D24+$E24)</f>
        <v/>
      </c>
      <c r="D24" s="86" t="n"/>
      <c r="E24" s="86" t="n"/>
      <c r="F24" s="86" t="n"/>
      <c r="G24" s="66">
        <f>IF($A24="","",$B24)</f>
        <v/>
      </c>
      <c r="H24" s="67">
        <f>IF($A24="","",2*$F24)</f>
        <v/>
      </c>
      <c r="I24" s="66">
        <f>IF($A24="","",$C24-$E$55-$F$55)</f>
        <v/>
      </c>
      <c r="J24" s="67">
        <f>IF($A24="","",1*$F24)</f>
        <v/>
      </c>
      <c r="K24" s="66">
        <f>IF($A24="","",$B24-$E$56-$F$56)</f>
        <v/>
      </c>
      <c r="L24" s="67">
        <f>IF($A24="","",4*$F24)</f>
        <v/>
      </c>
      <c r="M24" s="66">
        <f>IF($A24="","",(($D24-$E$57-$F$57)))</f>
        <v/>
      </c>
      <c r="N24" s="67">
        <f>IF($A24="","",2*$F24)</f>
        <v/>
      </c>
      <c r="O24" s="66">
        <f>IF($A24="","",(($E24-$E$58-$F$58)))</f>
        <v/>
      </c>
      <c r="P24" s="67">
        <f>IF($A24="","",2*$F24)</f>
        <v/>
      </c>
      <c r="Q24" s="66">
        <f>IF($A24="","",$K24-$E$59-$F$59)</f>
        <v/>
      </c>
      <c r="R24" s="67">
        <f>IF($A24="","",4*$F24)</f>
        <v/>
      </c>
      <c r="S24" s="66">
        <f>IF($A24="","",$M24-$E$60-$F$60)</f>
        <v/>
      </c>
      <c r="T24" s="67">
        <f>IF($A24="","",2*$F24)</f>
        <v/>
      </c>
      <c r="U24" s="66">
        <f>IF($A24="","",$O24-$E$61-$F$61)</f>
        <v/>
      </c>
      <c r="V24" s="67">
        <f>IF($A24="","",2*$F24)</f>
        <v/>
      </c>
      <c r="W24" s="66">
        <f>IF($A24="","",$M24)</f>
        <v/>
      </c>
      <c r="X24" s="67">
        <f>IF($A24="","",2*$F24)</f>
        <v/>
      </c>
      <c r="Y24" s="66">
        <f>IF($A24="","",$K24-$E$63)</f>
        <v/>
      </c>
      <c r="Z24" s="67">
        <f>IF($A24="","",1*$F24)</f>
        <v/>
      </c>
      <c r="AA24" s="66" t="n"/>
      <c r="AB24" s="67" t="n"/>
      <c r="AC24" s="66" t="n"/>
      <c r="AD24" s="67" t="n"/>
      <c r="AE24" s="63">
        <f>IF($A24="","",$K24-87-87)</f>
        <v/>
      </c>
      <c r="AF24" s="64">
        <f>IF($A24="","",$M24-87-87)</f>
        <v/>
      </c>
      <c r="AG24" s="65">
        <f>IF($A24="","",1*$F24)</f>
        <v/>
      </c>
      <c r="AH24" s="63">
        <f>IF($A24="","",$K24-87-87)</f>
        <v/>
      </c>
      <c r="AI24" s="64">
        <f>IF($A24="","",$O24-87-87)</f>
        <v/>
      </c>
      <c r="AJ24" s="65">
        <f>IF($A24="","",1*$F24)</f>
        <v/>
      </c>
    </row>
    <row r="25" ht="40.2" customHeight="1">
      <c r="A25" s="83" t="n"/>
      <c r="B25" s="84" t="n"/>
      <c r="C25" s="95">
        <f>IF($A25="","",$D25+$E25)</f>
        <v/>
      </c>
      <c r="D25" s="86" t="n"/>
      <c r="E25" s="86" t="n"/>
      <c r="F25" s="86" t="n"/>
      <c r="G25" s="62">
        <f>IF($A25="","",$B25)</f>
        <v/>
      </c>
      <c r="H25" s="60">
        <f>IF($A25="","",2*$F25)</f>
        <v/>
      </c>
      <c r="I25" s="62">
        <f>IF($A25="","",$C25-$E$55-$F$55)</f>
        <v/>
      </c>
      <c r="J25" s="60">
        <f>IF($A25="","",1*$F25)</f>
        <v/>
      </c>
      <c r="K25" s="62">
        <f>IF($A25="","",$B25-$E$56-$F$56)</f>
        <v/>
      </c>
      <c r="L25" s="60">
        <f>IF($A25="","",4*$F25)</f>
        <v/>
      </c>
      <c r="M25" s="62">
        <f>IF($A25="","",(($D25-$E$57-$F$57)))</f>
        <v/>
      </c>
      <c r="N25" s="60">
        <f>IF($A25="","",2*$F25)</f>
        <v/>
      </c>
      <c r="O25" s="62">
        <f>IF($A25="","",(($E25-$E$58-$F$58)))</f>
        <v/>
      </c>
      <c r="P25" s="60">
        <f>IF($A25="","",2*$F25)</f>
        <v/>
      </c>
      <c r="Q25" s="62">
        <f>IF($A25="","",$K25-$E$59-$F$59)</f>
        <v/>
      </c>
      <c r="R25" s="60">
        <f>IF($A25="","",4*$F25)</f>
        <v/>
      </c>
      <c r="S25" s="62">
        <f>IF($A25="","",$M25-$E$60-$F$60)</f>
        <v/>
      </c>
      <c r="T25" s="60">
        <f>IF($A25="","",2*$F25)</f>
        <v/>
      </c>
      <c r="U25" s="62">
        <f>IF($A25="","",$O25-$E$61-$F$61)</f>
        <v/>
      </c>
      <c r="V25" s="60">
        <f>IF($A25="","",2*$F25)</f>
        <v/>
      </c>
      <c r="W25" s="62">
        <f>IF($A25="","",$M25)</f>
        <v/>
      </c>
      <c r="X25" s="60">
        <f>IF($A25="","",2*$F25)</f>
        <v/>
      </c>
      <c r="Y25" s="62">
        <f>IF($A25="","",$K25-$E$63)</f>
        <v/>
      </c>
      <c r="Z25" s="60">
        <f>IF($A25="","",1*$F25)</f>
        <v/>
      </c>
      <c r="AA25" s="62" t="n"/>
      <c r="AB25" s="60" t="n"/>
      <c r="AC25" s="62" t="n"/>
      <c r="AD25" s="60" t="n"/>
      <c r="AE25" s="63">
        <f>IF($A25="","",$K25-87-87)</f>
        <v/>
      </c>
      <c r="AF25" s="64">
        <f>IF($A25="","",$M25-87-87)</f>
        <v/>
      </c>
      <c r="AG25" s="65">
        <f>IF($A25="","",1*$F25)</f>
        <v/>
      </c>
      <c r="AH25" s="63">
        <f>IF($A25="","",$K25-87-87)</f>
        <v/>
      </c>
      <c r="AI25" s="64">
        <f>IF($A25="","",$O25-87-87)</f>
        <v/>
      </c>
      <c r="AJ25" s="65">
        <f>IF($A25="","",1*$F25)</f>
        <v/>
      </c>
    </row>
    <row r="26" ht="40.2" customHeight="1">
      <c r="A26" s="83" t="n"/>
      <c r="B26" s="84" t="n"/>
      <c r="C26" s="95">
        <f>IF($A26="","",$D26+$E26)</f>
        <v/>
      </c>
      <c r="D26" s="86" t="n"/>
      <c r="E26" s="86" t="n"/>
      <c r="F26" s="86" t="n"/>
      <c r="G26" s="66">
        <f>IF($A26="","",$B26)</f>
        <v/>
      </c>
      <c r="H26" s="67">
        <f>IF($A26="","",2*$F26)</f>
        <v/>
      </c>
      <c r="I26" s="66">
        <f>IF($A26="","",$C26-$E$55-$F$55)</f>
        <v/>
      </c>
      <c r="J26" s="67">
        <f>IF($A26="","",1*$F26)</f>
        <v/>
      </c>
      <c r="K26" s="66">
        <f>IF($A26="","",$B26-$E$56-$F$56)</f>
        <v/>
      </c>
      <c r="L26" s="67">
        <f>IF($A26="","",4*$F26)</f>
        <v/>
      </c>
      <c r="M26" s="66">
        <f>IF($A26="","",(($D26-$E$57-$F$57)))</f>
        <v/>
      </c>
      <c r="N26" s="67">
        <f>IF($A26="","",2*$F26)</f>
        <v/>
      </c>
      <c r="O26" s="66">
        <f>IF($A26="","",(($E26-$E$58-$F$58)))</f>
        <v/>
      </c>
      <c r="P26" s="67">
        <f>IF($A26="","",2*$F26)</f>
        <v/>
      </c>
      <c r="Q26" s="66">
        <f>IF($A26="","",$K26-$E$59-$F$59)</f>
        <v/>
      </c>
      <c r="R26" s="67">
        <f>IF($A26="","",4*$F26)</f>
        <v/>
      </c>
      <c r="S26" s="66">
        <f>IF($A26="","",$M26-$E$60-$F$60)</f>
        <v/>
      </c>
      <c r="T26" s="67">
        <f>IF($A26="","",2*$F26)</f>
        <v/>
      </c>
      <c r="U26" s="66">
        <f>IF($A26="","",$O26-$E$61-$F$61)</f>
        <v/>
      </c>
      <c r="V26" s="67">
        <f>IF($A26="","",2*$F26)</f>
        <v/>
      </c>
      <c r="W26" s="66">
        <f>IF($A26="","",$M26)</f>
        <v/>
      </c>
      <c r="X26" s="67">
        <f>IF($A26="","",2*$F26)</f>
        <v/>
      </c>
      <c r="Y26" s="66">
        <f>IF($A26="","",$K26-$E$63)</f>
        <v/>
      </c>
      <c r="Z26" s="67">
        <f>IF($A26="","",1*$F26)</f>
        <v/>
      </c>
      <c r="AA26" s="66" t="n"/>
      <c r="AB26" s="67" t="n"/>
      <c r="AC26" s="66" t="n"/>
      <c r="AD26" s="67" t="n"/>
      <c r="AE26" s="63">
        <f>IF($A26="","",$K26-87-87)</f>
        <v/>
      </c>
      <c r="AF26" s="64">
        <f>IF($A26="","",$M26-87-87)</f>
        <v/>
      </c>
      <c r="AG26" s="65">
        <f>IF($A26="","",1*$F26)</f>
        <v/>
      </c>
      <c r="AH26" s="63">
        <f>IF($A26="","",$K26-87-87)</f>
        <v/>
      </c>
      <c r="AI26" s="64">
        <f>IF($A26="","",$O26-87-87)</f>
        <v/>
      </c>
      <c r="AJ26" s="65">
        <f>IF($A26="","",1*$F26)</f>
        <v/>
      </c>
    </row>
    <row r="27" ht="40.2" customHeight="1">
      <c r="A27" s="83" t="n"/>
      <c r="B27" s="84" t="n"/>
      <c r="C27" s="95">
        <f>IF($A27="","",$D27+$E27)</f>
        <v/>
      </c>
      <c r="D27" s="86" t="n"/>
      <c r="E27" s="86" t="n"/>
      <c r="F27" s="86" t="n"/>
      <c r="G27" s="62">
        <f>IF($A27="","",$B27)</f>
        <v/>
      </c>
      <c r="H27" s="60">
        <f>IF($A27="","",2*$F27)</f>
        <v/>
      </c>
      <c r="I27" s="62">
        <f>IF($A27="","",$C27-$E$55-$F$55)</f>
        <v/>
      </c>
      <c r="J27" s="60">
        <f>IF($A27="","",1*$F27)</f>
        <v/>
      </c>
      <c r="K27" s="62">
        <f>IF($A27="","",$B27-$E$56-$F$56)</f>
        <v/>
      </c>
      <c r="L27" s="60">
        <f>IF($A27="","",4*$F27)</f>
        <v/>
      </c>
      <c r="M27" s="62">
        <f>IF($A27="","",(($D27-$E$57-$F$57)))</f>
        <v/>
      </c>
      <c r="N27" s="60">
        <f>IF($A27="","",2*$F27)</f>
        <v/>
      </c>
      <c r="O27" s="62">
        <f>IF($A27="","",(($E27-$E$58-$F$58)))</f>
        <v/>
      </c>
      <c r="P27" s="60">
        <f>IF($A27="","",2*$F27)</f>
        <v/>
      </c>
      <c r="Q27" s="62">
        <f>IF($A27="","",$K27-$E$59-$F$59)</f>
        <v/>
      </c>
      <c r="R27" s="60">
        <f>IF($A27="","",4*$F27)</f>
        <v/>
      </c>
      <c r="S27" s="62">
        <f>IF($A27="","",$M27-$E$60-$F$60)</f>
        <v/>
      </c>
      <c r="T27" s="60">
        <f>IF($A27="","",2*$F27)</f>
        <v/>
      </c>
      <c r="U27" s="62">
        <f>IF($A27="","",$O27-$E$61-$F$61)</f>
        <v/>
      </c>
      <c r="V27" s="60">
        <f>IF($A27="","",2*$F27)</f>
        <v/>
      </c>
      <c r="W27" s="62">
        <f>IF($A27="","",$M27)</f>
        <v/>
      </c>
      <c r="X27" s="60">
        <f>IF($A27="","",2*$F27)</f>
        <v/>
      </c>
      <c r="Y27" s="62">
        <f>IF($A27="","",$K27-$E$63)</f>
        <v/>
      </c>
      <c r="Z27" s="60">
        <f>IF($A27="","",1*$F27)</f>
        <v/>
      </c>
      <c r="AA27" s="62" t="n"/>
      <c r="AB27" s="60" t="n"/>
      <c r="AC27" s="62" t="n"/>
      <c r="AD27" s="60" t="n"/>
      <c r="AE27" s="63">
        <f>IF($A27="","",$K27-87-87)</f>
        <v/>
      </c>
      <c r="AF27" s="64">
        <f>IF($A27="","",$M27-87-87)</f>
        <v/>
      </c>
      <c r="AG27" s="65">
        <f>IF($A27="","",1*$F27)</f>
        <v/>
      </c>
      <c r="AH27" s="63">
        <f>IF($A27="","",$K27-87-87)</f>
        <v/>
      </c>
      <c r="AI27" s="64">
        <f>IF($A27="","",$O27-87-87)</f>
        <v/>
      </c>
      <c r="AJ27" s="65">
        <f>IF($A27="","",1*$F27)</f>
        <v/>
      </c>
    </row>
    <row r="28" ht="40.2" customHeight="1">
      <c r="A28" s="83" t="n"/>
      <c r="B28" s="84" t="n"/>
      <c r="C28" s="95">
        <f>IF($A28="","",$D28+$E28)</f>
        <v/>
      </c>
      <c r="D28" s="86" t="n"/>
      <c r="E28" s="86" t="n"/>
      <c r="F28" s="86" t="n"/>
      <c r="G28" s="66">
        <f>IF($A28="","",$B28)</f>
        <v/>
      </c>
      <c r="H28" s="67">
        <f>IF($A28="","",2*$F28)</f>
        <v/>
      </c>
      <c r="I28" s="66">
        <f>IF($A28="","",$C28-$E$55-$F$55)</f>
        <v/>
      </c>
      <c r="J28" s="67">
        <f>IF($A28="","",1*$F28)</f>
        <v/>
      </c>
      <c r="K28" s="66">
        <f>IF($A28="","",$B28-$E$56-$F$56)</f>
        <v/>
      </c>
      <c r="L28" s="67">
        <f>IF($A28="","",4*$F28)</f>
        <v/>
      </c>
      <c r="M28" s="66">
        <f>IF($A28="","",(($D28-$E$57-$F$57)))</f>
        <v/>
      </c>
      <c r="N28" s="67">
        <f>IF($A28="","",2*$F28)</f>
        <v/>
      </c>
      <c r="O28" s="66">
        <f>IF($A28="","",(($E28-$E$58-$F$58)))</f>
        <v/>
      </c>
      <c r="P28" s="67">
        <f>IF($A28="","",2*$F28)</f>
        <v/>
      </c>
      <c r="Q28" s="66">
        <f>IF($A28="","",$K28-$E$59-$F$59)</f>
        <v/>
      </c>
      <c r="R28" s="67">
        <f>IF($A28="","",4*$F28)</f>
        <v/>
      </c>
      <c r="S28" s="66">
        <f>IF($A28="","",$M28-$E$60-$F$60)</f>
        <v/>
      </c>
      <c r="T28" s="67">
        <f>IF($A28="","",2*$F28)</f>
        <v/>
      </c>
      <c r="U28" s="66">
        <f>IF($A28="","",$O28-$E$61-$F$61)</f>
        <v/>
      </c>
      <c r="V28" s="67">
        <f>IF($A28="","",2*$F28)</f>
        <v/>
      </c>
      <c r="W28" s="66">
        <f>IF($A28="","",$M28)</f>
        <v/>
      </c>
      <c r="X28" s="67">
        <f>IF($A28="","",2*$F28)</f>
        <v/>
      </c>
      <c r="Y28" s="66">
        <f>IF($A28="","",$K28-$E$63)</f>
        <v/>
      </c>
      <c r="Z28" s="67">
        <f>IF($A28="","",1*$F28)</f>
        <v/>
      </c>
      <c r="AA28" s="66" t="n"/>
      <c r="AB28" s="67" t="n"/>
      <c r="AC28" s="66" t="n"/>
      <c r="AD28" s="67" t="n"/>
      <c r="AE28" s="63">
        <f>IF($A28="","",$K28-87-87)</f>
        <v/>
      </c>
      <c r="AF28" s="64">
        <f>IF($A28="","",$M28-87-87)</f>
        <v/>
      </c>
      <c r="AG28" s="65">
        <f>IF($A28="","",1*$F28)</f>
        <v/>
      </c>
      <c r="AH28" s="63">
        <f>IF($A28="","",$K28-87-87)</f>
        <v/>
      </c>
      <c r="AI28" s="64">
        <f>IF($A28="","",$O28-87-87)</f>
        <v/>
      </c>
      <c r="AJ28" s="65">
        <f>IF($A28="","",1*$F28)</f>
        <v/>
      </c>
    </row>
    <row r="29" ht="40.2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  <c r="AH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20" t="n"/>
      <c r="G30" s="71">
        <f>G$7</f>
        <v/>
      </c>
      <c r="H30" s="19" t="n"/>
      <c r="I30" s="20" t="n"/>
      <c r="J30" s="71">
        <f>(ROUNDUP(SUM(H49:J49)/6400,0))</f>
        <v/>
      </c>
      <c r="K30" s="71">
        <f>K$7</f>
        <v/>
      </c>
      <c r="L30" s="19" t="n"/>
      <c r="M30" s="19" t="n"/>
      <c r="N30" s="19" t="n"/>
      <c r="O30" s="20" t="n"/>
      <c r="P30" s="71">
        <f>(ROUNDUP(SUM(L49:P49)/6400,0))</f>
        <v/>
      </c>
      <c r="Q30" s="71">
        <f>Q$7</f>
        <v/>
      </c>
      <c r="R30" s="19" t="n"/>
      <c r="S30" s="19" t="n"/>
      <c r="T30" s="19" t="n"/>
      <c r="U30" s="20" t="n"/>
      <c r="V30" s="71">
        <f>(ROUNDUP(SUM(R49:V49)/6400,0))</f>
        <v/>
      </c>
      <c r="W30" s="71">
        <f>W$7</f>
        <v/>
      </c>
      <c r="X30" s="71">
        <f>(ROUNDUP(X49/6400,0))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19" t="n"/>
      <c r="AC30" s="20" t="n"/>
      <c r="AD30" s="71">
        <f>(ROUNDUP(SUM(AB49:AD49)/6400,0))</f>
        <v/>
      </c>
    </row>
    <row r="31" hidden="1" ht="40.2" customHeight="1"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R49" s="73">
        <f>SUMIF(R31:R48,"&gt;0")</f>
        <v/>
      </c>
      <c r="S49" s="73" t="n"/>
      <c r="T49" s="73">
        <f>SUMIF(T31:T48,"&gt;0")</f>
        <v/>
      </c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เสา</t>
        </is>
      </c>
      <c r="C56" s="79">
        <f>IF($D$4="8 cm · 7943B","7943B","7864")</f>
        <v/>
      </c>
      <c r="D56" s="80" t="inlineStr">
        <is>
          <t>สูง-18.5-7</t>
        </is>
      </c>
      <c r="E56" s="82" t="n">
        <v>18.5</v>
      </c>
      <c r="F56" s="82" t="n">
        <v>7</v>
      </c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ขวาง W1</t>
        </is>
      </c>
      <c r="C57" s="79" t="inlineStr">
        <is>
          <t>-</t>
        </is>
      </c>
      <c r="D57" s="80" t="inlineStr">
        <is>
          <t>(กว้าง1-18.5-1)</t>
        </is>
      </c>
      <c r="E57" s="82" t="n">
        <v>18.5</v>
      </c>
      <c r="F57" s="82" t="n">
        <v>1</v>
      </c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ขวาง W2</t>
        </is>
      </c>
      <c r="C58" s="79" t="inlineStr">
        <is>
          <t>-</t>
        </is>
      </c>
      <c r="D58" s="80" t="inlineStr">
        <is>
          <t>(กว้าง2-18.5-1)</t>
        </is>
      </c>
      <c r="E58" s="82" t="n">
        <v>18.5</v>
      </c>
      <c r="F58" s="82" t="n">
        <v>1</v>
      </c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คิ้ว ตั้ง</t>
        </is>
      </c>
      <c r="C59" s="79" t="inlineStr">
        <is>
          <t>F7935</t>
        </is>
      </c>
      <c r="D59" s="80" t="inlineStr">
        <is>
          <t>เสา-100-100</t>
        </is>
      </c>
      <c r="E59" s="82">
        <f>IF($D$4="8 cm · 7943B",80,100)</f>
        <v/>
      </c>
      <c r="F59" s="82">
        <f>IF($D$4="8 cm · 7943B",80,100)</f>
        <v/>
      </c>
      <c r="G59" s="81" t="n"/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คิ้ว ขวางW1</t>
        </is>
      </c>
      <c r="C60" s="79" t="inlineStr">
        <is>
          <t>-</t>
        </is>
      </c>
      <c r="D60" s="80" t="inlineStr">
        <is>
          <t>กว้าง1
ขวาง-80-80</t>
        </is>
      </c>
      <c r="E60" s="82">
        <f>IF($D$4="8 cm · 7943B",60,80)</f>
        <v/>
      </c>
      <c r="F60" s="82">
        <f>IF($D$4="8 cm · 7943B",60,80)</f>
        <v/>
      </c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คิ้ว ขวางW2</t>
        </is>
      </c>
      <c r="C61" s="79" t="inlineStr">
        <is>
          <t>-</t>
        </is>
      </c>
      <c r="D61" s="80" t="inlineStr">
        <is>
          <t>กว้าง2
ขวาง-80-80</t>
        </is>
      </c>
      <c r="E61" s="82">
        <f>IF($D$4="8 cm · 7943B",60,80)</f>
        <v/>
      </c>
      <c r="F61" s="82">
        <f>IF($D$4="8 cm · 7943B",60,80)</f>
        <v/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ชายล่าง</t>
        </is>
      </c>
      <c r="C62" s="79" t="inlineStr">
        <is>
          <t>F7863</t>
        </is>
      </c>
      <c r="D62" s="80" t="inlineStr">
        <is>
          <t>เท่าขวาง</t>
        </is>
      </c>
      <c r="E62" s="81" t="n"/>
      <c r="F62" s="81" t="n"/>
      <c r="G62" s="81" t="n"/>
      <c r="H62" s="81" t="n"/>
      <c r="I62" s="81" t="n"/>
      <c r="J62" s="81" t="n"/>
      <c r="K62" s="81" t="n"/>
      <c r="L62" s="82" t="n"/>
    </row>
    <row r="63" ht="15" customHeight="1">
      <c r="A63" s="77" t="n">
        <v>10</v>
      </c>
      <c r="B63" s="78" t="inlineStr">
        <is>
          <t>ชนกลาง</t>
        </is>
      </c>
      <c r="C63" s="79" t="inlineStr">
        <is>
          <t>F7945</t>
        </is>
      </c>
      <c r="D63" s="80" t="inlineStr">
        <is>
          <t>เสา-8.5</t>
        </is>
      </c>
      <c r="E63" s="82" t="n">
        <v>8.5</v>
      </c>
      <c r="F63" s="81" t="n"/>
      <c r="G63" s="81" t="n"/>
      <c r="H63" s="81" t="n"/>
      <c r="I63" s="81" t="n"/>
      <c r="J63" s="81" t="n"/>
      <c r="K63" s="81" t="n"/>
      <c r="L63" s="82" t="n"/>
    </row>
    <row r="65">
      <c r="A65" s="152" t="inlineStr">
        <is>
          <t>⑥ อุปกรณ์ ต่อ 1 บาน — คูณจำนวนบานที่ผลิต</t>
        </is>
      </c>
      <c r="F65" s="153" t="inlineStr">
        <is>
          <t>ต่อบาน</t>
        </is>
      </c>
    </row>
    <row r="66">
      <c r="A66" s="154" t="inlineStr">
        <is>
          <t>1. บานพับ hyda (สูง&gt;3ม./บานกว้าง&gt;1.2ม.=5)</t>
        </is>
      </c>
      <c r="F66" s="155" t="n">
        <v>4</v>
      </c>
    </row>
    <row r="67">
      <c r="A67" s="154" t="inlineStr">
        <is>
          <t>2. มือจับ + ล็อค</t>
        </is>
      </c>
      <c r="F67" s="155" t="n">
        <v>1</v>
      </c>
    </row>
    <row r="68">
      <c r="A68" s="154" t="inlineStr">
        <is>
          <t>3. กลอน (ใบลอง)</t>
        </is>
      </c>
      <c r="F68" s="155" t="n">
        <v>1</v>
      </c>
    </row>
    <row r="69">
      <c r="A69" s="154" t="inlineStr">
        <is>
          <t>4. น็อตเฟรม (มีธรณี8/ไม่มี6)</t>
        </is>
      </c>
      <c r="F69" s="155" t="n">
        <v>8</v>
      </c>
    </row>
    <row r="70">
      <c r="A70" s="156" t="inlineStr">
        <is>
          <t>+ ยาง/ซิลิโคน = ตามขนาด (ดูชีทคิดทุน)</t>
        </is>
      </c>
    </row>
  </sheetData>
  <mergeCells count="58">
    <mergeCell ref="U9:V9"/>
    <mergeCell ref="I6:J6"/>
    <mergeCell ref="K30:O30"/>
    <mergeCell ref="AA30:AC30"/>
    <mergeCell ref="O6:P6"/>
    <mergeCell ref="U6:V6"/>
    <mergeCell ref="K9:L9"/>
    <mergeCell ref="W6:X6"/>
    <mergeCell ref="M9:N9"/>
    <mergeCell ref="O9:P9"/>
    <mergeCell ref="G8:H8"/>
    <mergeCell ref="G30:I30"/>
    <mergeCell ref="Y9:Z9"/>
    <mergeCell ref="Q8:R8"/>
    <mergeCell ref="AA9:AB9"/>
    <mergeCell ref="S8:T8"/>
    <mergeCell ref="A69:E69"/>
    <mergeCell ref="A65:E65"/>
    <mergeCell ref="F8:F9"/>
    <mergeCell ref="AA6:AB6"/>
    <mergeCell ref="G6:H6"/>
    <mergeCell ref="A66:E66"/>
    <mergeCell ref="AC8:AD8"/>
    <mergeCell ref="K7:P7"/>
    <mergeCell ref="W7:X7"/>
    <mergeCell ref="A8:A9"/>
    <mergeCell ref="Y7:Z7"/>
    <mergeCell ref="M6:N6"/>
    <mergeCell ref="K8:L8"/>
    <mergeCell ref="Q6:R6"/>
    <mergeCell ref="S6:T6"/>
    <mergeCell ref="Y6:Z6"/>
    <mergeCell ref="G7:J7"/>
    <mergeCell ref="Q9:R9"/>
    <mergeCell ref="A67:E67"/>
    <mergeCell ref="I8:J8"/>
    <mergeCell ref="S9:T9"/>
    <mergeCell ref="A30:F30"/>
    <mergeCell ref="Q7:V7"/>
    <mergeCell ref="M8:N8"/>
    <mergeCell ref="Q30:U30"/>
    <mergeCell ref="W9:X9"/>
    <mergeCell ref="AC9:AD9"/>
    <mergeCell ref="O8:P8"/>
    <mergeCell ref="U8:V8"/>
    <mergeCell ref="W8:X8"/>
    <mergeCell ref="B8:C9"/>
    <mergeCell ref="AC6:AD6"/>
    <mergeCell ref="A70:F70"/>
    <mergeCell ref="A68:E68"/>
    <mergeCell ref="A6:F6"/>
    <mergeCell ref="AA7:AD7"/>
    <mergeCell ref="Y8:Z8"/>
    <mergeCell ref="K6:L6"/>
    <mergeCell ref="G9:H9"/>
    <mergeCell ref="AA8:AB8"/>
    <mergeCell ref="I9:J9"/>
    <mergeCell ref="A7:F7"/>
  </mergeCells>
  <dataValidations count="1">
    <dataValidation sqref="D4" showDropDown="0" showInputMessage="0" showErrorMessage="0" allowBlank="0" type="list">
      <formula1>"10 cm · 7864,8 cm · 7943B"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79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7" max="7"/>
    <col width="12.69921875" customWidth="1" min="8" max="8"/>
    <col width="6.69921875" customWidth="1" min="9" max="9"/>
    <col width="12.69921875" customWidth="1" min="10" max="10"/>
    <col width="6.69921875" customWidth="1" min="11" max="11"/>
    <col width="12.69921875" customWidth="1" min="12" max="12"/>
    <col width="6.69921875" customWidth="1" min="13" max="13"/>
    <col width="12.69921875" customWidth="1" min="14" max="14"/>
    <col width="6.69921875" customWidth="1" min="15" max="15"/>
    <col width="12.69921875" customWidth="1" min="16" max="16"/>
    <col width="6.69921875" customWidth="1" min="17" max="17"/>
    <col width="12.69921875" customWidth="1" min="18" max="18"/>
    <col width="6.69921875" customWidth="1" min="19" max="19"/>
    <col width="12.69921875" customWidth="1" min="20" max="20"/>
    <col width="6.69921875" customWidth="1" min="21" max="21"/>
    <col width="12.69921875" customWidth="1" min="22" max="22"/>
    <col width="6.69921875" customWidth="1" min="23" max="23"/>
    <col width="12.69921875" customWidth="1" min="24" max="24"/>
    <col width="6.69921875" customWidth="1" min="25" max="25"/>
    <col width="12.69921875" customWidth="1" min="26" max="26"/>
    <col width="6.69921875" customWidth="1" min="27" max="27"/>
    <col width="12.69921875" customWidth="1" min="28" max="28"/>
    <col width="6.69921875" customWidth="1" min="29" max="29"/>
    <col width="12.69921875" customWidth="1" min="30" max="30"/>
    <col width="6.69921875" customWidth="1" min="31" max="31"/>
    <col width="12.69921875" customWidth="1" min="32" max="32"/>
    <col width="6.69921875" customWidth="1" min="33" max="33"/>
    <col width="12.69921875" customWidth="1" min="34" max="34"/>
    <col width="6.69921875" customWidth="1" min="35" max="35"/>
    <col width="12.69921875" customWidth="1" min="36" max="36"/>
    <col width="6.69921875" customWidth="1" min="37" max="37"/>
    <col width="12.69921875" customWidth="1" min="38" max="38"/>
    <col width="6.69921875" customWidth="1" min="39" max="39"/>
    <col width="12.69921875" customWidth="1" min="40" max="40"/>
    <col width="6.69921875" customWidth="1" min="41" max="41"/>
    <col width="12.69921875" customWidth="1" min="42" max="42"/>
    <col width="6.69921875" customWidth="1" min="43" max="43"/>
    <col width="12.69921875" customWidth="1" min="44" max="44"/>
    <col width="6.69921875" customWidth="1" min="45" max="45"/>
    <col width="10.69921875" customWidth="1" min="46" max="46"/>
    <col width="10.69921875" customWidth="1" min="47" max="47"/>
    <col width="8.69921875" customWidth="1" min="48" max="48"/>
    <col width="10.69921875" customWidth="1" min="49" max="49"/>
    <col width="10.69921875" customWidth="1" min="50" max="50"/>
    <col width="8.69921875" customWidth="1" min="51" max="51"/>
    <col width="10.69921875" customWidth="1" min="52" max="52"/>
    <col width="10.69921875" customWidth="1" min="53" max="53"/>
    <col width="8.69921875" customWidth="1" min="54" max="54"/>
    <col width="8.8984375" customWidth="1" min="55" max="55"/>
  </cols>
  <sheetData>
    <row r="1" ht="40.2" customHeight="1">
      <c r="A1" s="2" t="inlineStr">
        <is>
          <t>JR ALUMINIUM &amp; GLASS  —  ใบรายการตัด · FUJI ประตูคู่+ช่องแสงข้าง มีธรณี   (หน่วย: มม.)</t>
        </is>
      </c>
      <c r="B1" s="3" t="n"/>
      <c r="G1" s="4" t="n"/>
      <c r="H1" s="5" t="n"/>
      <c r="I1" s="4" t="n"/>
      <c r="J1" s="7" t="n"/>
      <c r="K1" s="7" t="n"/>
      <c r="L1" s="6" t="n"/>
      <c r="M1" s="6" t="n"/>
      <c r="N1" s="7" t="n"/>
      <c r="O1" s="7" t="n"/>
      <c r="P1" s="7" t="n"/>
      <c r="Q1" s="7" t="n"/>
      <c r="R1" s="7" t="n"/>
      <c r="S1" s="7" t="n"/>
      <c r="T1" s="7" t="n"/>
      <c r="U1" s="7" t="n"/>
      <c r="V1" s="4" t="n"/>
      <c r="W1" s="4" t="n"/>
      <c r="X1" s="6" t="n"/>
      <c r="Y1" s="6" t="n"/>
      <c r="Z1" s="7" t="n"/>
      <c r="AA1" s="7" t="n"/>
      <c r="AB1" s="7" t="n"/>
      <c r="AC1" s="7" t="n"/>
      <c r="AD1" s="4" t="n"/>
      <c r="AE1" s="8" t="n"/>
      <c r="AF1" s="7" t="n"/>
      <c r="AG1" s="7" t="n"/>
      <c r="AH1" s="7" t="n"/>
      <c r="AI1" s="7" t="n"/>
      <c r="AJ1" s="7" t="n"/>
      <c r="AK1" s="7" t="n"/>
      <c r="AL1" s="4" t="n"/>
      <c r="AM1" s="4" t="n"/>
      <c r="AN1" s="4" t="n"/>
      <c r="AO1" s="4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</row>
    <row r="2" ht="40.2" customHeight="1">
      <c r="A2" s="6" t="n"/>
      <c r="B2" s="6" t="n"/>
      <c r="C2" s="6" t="n"/>
      <c r="D2" s="6" t="n"/>
      <c r="E2" s="6" t="n"/>
      <c r="F2" s="6" t="n"/>
      <c r="G2" s="6" t="n"/>
      <c r="H2" s="9" t="n"/>
      <c r="I2" s="6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6" t="n"/>
      <c r="W2" s="6" t="n"/>
      <c r="X2" s="6" t="n"/>
      <c r="Y2" s="6" t="n"/>
      <c r="Z2" s="10" t="n"/>
      <c r="AA2" s="10" t="n"/>
      <c r="AB2" s="10" t="n"/>
      <c r="AC2" s="10" t="n"/>
      <c r="AD2" s="6" t="n"/>
      <c r="AE2" s="6" t="n"/>
      <c r="AF2" s="10" t="n"/>
      <c r="AG2" s="10" t="n"/>
      <c r="AH2" s="10" t="n"/>
      <c r="AI2" s="10" t="n"/>
      <c r="AJ2" s="10" t="n"/>
      <c r="AK2" s="10" t="n"/>
      <c r="AL2" s="6" t="n"/>
      <c r="AM2" s="6" t="n"/>
      <c r="AN2" s="6" t="n"/>
      <c r="AO2" s="6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</row>
    <row r="3" ht="40.2" customHeight="1">
      <c r="A3" s="6" t="n"/>
      <c r="B3" s="6" t="n"/>
      <c r="C3" s="6" t="n"/>
      <c r="D3" s="6" t="n"/>
      <c r="E3" s="6" t="n"/>
      <c r="F3" s="6" t="n"/>
      <c r="G3" s="6" t="n"/>
      <c r="H3" s="9" t="n"/>
      <c r="I3" s="6" t="n"/>
      <c r="J3" s="11" t="n"/>
      <c r="K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6" t="n"/>
      <c r="W3" s="6" t="n"/>
      <c r="X3" s="6" t="n"/>
      <c r="Y3" s="6" t="n"/>
      <c r="Z3" s="11" t="n"/>
      <c r="AA3" s="11" t="n"/>
      <c r="AB3" s="11" t="n"/>
      <c r="AC3" s="11" t="n"/>
      <c r="AD3" s="6" t="n"/>
      <c r="AE3" s="6" t="n"/>
      <c r="AF3" s="11" t="n"/>
      <c r="AG3" s="11" t="n"/>
      <c r="AH3" s="11" t="n"/>
      <c r="AI3" s="11" t="n"/>
      <c r="AJ3" s="11" t="n"/>
      <c r="AK3" s="11" t="n"/>
      <c r="AL3" s="6" t="n"/>
      <c r="AM3" s="6" t="n"/>
      <c r="AN3" s="6" t="n"/>
      <c r="AO3" s="6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</row>
    <row r="4" ht="40.2" customHeight="1">
      <c r="A4" s="6" t="n"/>
      <c r="B4" s="6" t="n"/>
      <c r="C4" s="6" t="n"/>
      <c r="D4" s="6" t="n"/>
      <c r="E4" s="6" t="n"/>
      <c r="F4" s="6" t="n"/>
      <c r="G4" s="6" t="n"/>
      <c r="I4" s="6" t="n"/>
      <c r="V4" s="6" t="n"/>
      <c r="W4" s="6" t="n"/>
      <c r="X4" s="6" t="n"/>
      <c r="Y4" s="6" t="n"/>
      <c r="AD4" s="6" t="n"/>
      <c r="AE4" s="6" t="n"/>
      <c r="AL4" s="6" t="n"/>
      <c r="AM4" s="6" t="n"/>
      <c r="AN4" s="6" t="n"/>
      <c r="AO4" s="6" t="n"/>
    </row>
    <row r="5" ht="40.2" customHeight="1">
      <c r="A5" s="6" t="n"/>
      <c r="B5" s="6" t="n"/>
      <c r="C5" s="6" t="n"/>
      <c r="D5" s="6" t="n"/>
      <c r="E5" s="6" t="n"/>
      <c r="F5" s="6" t="n"/>
      <c r="G5" s="6" t="n"/>
      <c r="H5" s="9" t="n"/>
      <c r="I5" s="6" t="n"/>
      <c r="V5" s="6" t="n"/>
      <c r="W5" s="6" t="n"/>
      <c r="Y5" s="6" t="n"/>
      <c r="AD5" s="6" t="n"/>
      <c r="AE5" s="6" t="n"/>
      <c r="AL5" s="6" t="n"/>
      <c r="AM5" s="6" t="n"/>
      <c r="AN5" s="6" t="n"/>
      <c r="AO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3" t="n"/>
      <c r="G6" s="14" t="n"/>
      <c r="H6" s="15" t="inlineStr">
        <is>
          <t>สูง</t>
        </is>
      </c>
      <c r="I6" s="16" t="n"/>
      <c r="J6" s="15" t="inlineStr">
        <is>
          <t>สูง</t>
        </is>
      </c>
      <c r="K6" s="16" t="n"/>
      <c r="L6" s="15" t="inlineStr">
        <is>
          <t>กว้าง-กว้าง3-กว้าง3
-35-35</t>
        </is>
      </c>
      <c r="M6" s="16" t="n"/>
      <c r="N6" s="15" t="inlineStr">
        <is>
          <t>กว้าง-กว้าง3-กว้าง3
-35-35</t>
        </is>
      </c>
      <c r="O6" s="16" t="n"/>
      <c r="P6" s="15" t="inlineStr">
        <is>
          <t>กว้าง3-25</t>
        </is>
      </c>
      <c r="Q6" s="16" t="n"/>
      <c r="R6" s="15" t="inlineStr">
        <is>
          <t>สูง</t>
        </is>
      </c>
      <c r="S6" s="16" t="n"/>
      <c r="T6" s="15" t="inlineStr">
        <is>
          <t>กว้าง3-25</t>
        </is>
      </c>
      <c r="U6" s="16" t="n"/>
      <c r="V6" s="15" t="inlineStr">
        <is>
          <t>สูง-18.5-18.5</t>
        </is>
      </c>
      <c r="W6" s="16" t="n"/>
      <c r="X6" s="15" t="inlineStr">
        <is>
          <t>กว้าง1-28.5-1</t>
        </is>
      </c>
      <c r="Y6" s="16" t="n"/>
      <c r="Z6" s="15" t="inlineStr">
        <is>
          <t>กว้าง2-28.5-1</t>
        </is>
      </c>
      <c r="AA6" s="16" t="n"/>
      <c r="AB6" s="15" t="inlineStr">
        <is>
          <t>เสา-100-100</t>
        </is>
      </c>
      <c r="AC6" s="16" t="n"/>
      <c r="AD6" s="15" t="inlineStr">
        <is>
          <t>กว้าง1
ขวาง-80-80</t>
        </is>
      </c>
      <c r="AE6" s="16" t="n"/>
      <c r="AF6" s="15" t="inlineStr">
        <is>
          <t>กว้าง2
ขวาง-80-80</t>
        </is>
      </c>
      <c r="AG6" s="16" t="n"/>
      <c r="AH6" s="15" t="inlineStr">
        <is>
          <t>กว้าง3-25</t>
        </is>
      </c>
      <c r="AI6" s="16" t="n"/>
      <c r="AJ6" s="15" t="inlineStr">
        <is>
          <t>สูง-45-45</t>
        </is>
      </c>
      <c r="AK6" s="16" t="n"/>
      <c r="AL6" s="15" t="inlineStr">
        <is>
          <t>กว้าง-กว้าง3-กว้าง3
-35-35</t>
        </is>
      </c>
      <c r="AM6" s="16" t="n"/>
      <c r="AN6" s="15" t="inlineStr">
        <is>
          <t>กว้าง3-25</t>
        </is>
      </c>
      <c r="AO6" s="16" t="n"/>
      <c r="AP6" s="15" t="inlineStr">
        <is>
          <t>สูง-27-27</t>
        </is>
      </c>
      <c r="AQ6" s="16" t="n"/>
      <c r="AR6" s="15" t="inlineStr">
        <is>
          <t>กว้าง3-25</t>
        </is>
      </c>
      <c r="AS6" s="16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19" t="n"/>
      <c r="G7" s="20" t="n"/>
      <c r="H7" s="99" t="inlineStr">
        <is>
          <t>F7854</t>
        </is>
      </c>
      <c r="I7" s="13" t="n"/>
      <c r="J7" s="21" t="inlineStr">
        <is>
          <t>F7852</t>
        </is>
      </c>
      <c r="K7" s="14" t="n"/>
      <c r="L7" s="21" t="inlineStr">
        <is>
          <t>F7859</t>
        </is>
      </c>
      <c r="M7" s="14" t="n"/>
      <c r="N7" s="21" t="inlineStr">
        <is>
          <t>F7938</t>
        </is>
      </c>
      <c r="O7" s="13" t="n"/>
      <c r="P7" s="13" t="n"/>
      <c r="Q7" s="14" t="n"/>
      <c r="R7" s="23" t="inlineStr">
        <is>
          <t>F7937</t>
        </is>
      </c>
      <c r="S7" s="13" t="n"/>
      <c r="T7" s="13" t="n"/>
      <c r="U7" s="14" t="n"/>
      <c r="V7" s="21" t="inlineStr">
        <is>
          <t>F7864</t>
        </is>
      </c>
      <c r="W7" s="13" t="n"/>
      <c r="X7" s="13" t="n"/>
      <c r="Y7" s="13" t="n"/>
      <c r="Z7" s="13" t="n"/>
      <c r="AA7" s="14" t="n"/>
      <c r="AB7" s="21" t="inlineStr">
        <is>
          <t>F7935</t>
        </is>
      </c>
      <c r="AC7" s="13" t="n"/>
      <c r="AD7" s="13" t="n"/>
      <c r="AE7" s="13" t="n"/>
      <c r="AF7" s="13" t="n"/>
      <c r="AG7" s="13" t="n"/>
      <c r="AH7" s="13" t="n"/>
      <c r="AI7" s="13" t="n"/>
      <c r="AJ7" s="13" t="n"/>
      <c r="AK7" s="14" t="n"/>
      <c r="AL7" s="21" t="inlineStr">
        <is>
          <t>F7960</t>
        </is>
      </c>
      <c r="AM7" s="13" t="n"/>
      <c r="AN7" s="13" t="n"/>
      <c r="AO7" s="14" t="n"/>
      <c r="AP7" s="21" t="inlineStr">
        <is>
          <t>F7945</t>
        </is>
      </c>
      <c r="AQ7" s="14" t="n"/>
      <c r="AR7" s="21" t="inlineStr">
        <is>
          <t>F7860</t>
        </is>
      </c>
      <c r="AS7" s="14" t="n"/>
      <c r="AT7" s="25" t="n"/>
      <c r="AU7" s="26" t="n"/>
      <c r="AV7" s="100" t="inlineStr">
        <is>
          <t>กรอบบาน</t>
        </is>
      </c>
      <c r="AW7" s="100" t="n"/>
      <c r="AX7" s="26" t="n"/>
      <c r="AY7" s="27" t="n"/>
      <c r="AZ7" s="100" t="n"/>
      <c r="BA7" s="26" t="inlineStr">
        <is>
          <t>ช่องแสง</t>
        </is>
      </c>
      <c r="BB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91" t="n"/>
      <c r="E8" s="91" t="n"/>
      <c r="F8" s="91" t="n"/>
      <c r="G8" s="28" t="inlineStr">
        <is>
          <t>Set</t>
        </is>
      </c>
      <c r="H8" s="31" t="n"/>
      <c r="I8" s="32" t="n"/>
      <c r="J8" s="35" t="n"/>
      <c r="K8" s="34" t="n"/>
      <c r="L8" s="35" t="n"/>
      <c r="M8" s="34" t="n"/>
      <c r="N8" s="31" t="n"/>
      <c r="O8" s="32" t="n"/>
      <c r="P8" s="33" t="n"/>
      <c r="Q8" s="34" t="n"/>
      <c r="R8" s="31" t="n"/>
      <c r="S8" s="32" t="n"/>
      <c r="T8" s="33" t="n"/>
      <c r="U8" s="34" t="n"/>
      <c r="V8" s="31" t="n"/>
      <c r="W8" s="32" t="n"/>
      <c r="X8" s="92" t="n"/>
      <c r="Y8" s="32" t="n"/>
      <c r="Z8" s="33" t="n"/>
      <c r="AA8" s="34" t="n"/>
      <c r="AB8" s="31" t="n"/>
      <c r="AC8" s="32" t="n"/>
      <c r="AD8" s="92" t="n"/>
      <c r="AE8" s="32" t="n"/>
      <c r="AF8" s="92" t="n"/>
      <c r="AG8" s="32" t="n"/>
      <c r="AH8" s="92" t="n"/>
      <c r="AI8" s="32" t="n"/>
      <c r="AJ8" s="33" t="n"/>
      <c r="AK8" s="34" t="n"/>
      <c r="AL8" s="31" t="n"/>
      <c r="AM8" s="32" t="n"/>
      <c r="AN8" s="33" t="n"/>
      <c r="AO8" s="34" t="n"/>
      <c r="AP8" s="35" t="n"/>
      <c r="AQ8" s="34" t="n"/>
      <c r="AR8" s="35" t="n"/>
      <c r="AS8" s="34" t="n"/>
      <c r="AT8" s="36" t="n"/>
      <c r="AU8" s="37" t="inlineStr">
        <is>
          <t>W1</t>
        </is>
      </c>
      <c r="AV8" s="38" t="n"/>
      <c r="AW8" s="36" t="n"/>
      <c r="AX8" s="37" t="inlineStr">
        <is>
          <t>W2</t>
        </is>
      </c>
      <c r="AY8" s="38" t="n"/>
      <c r="AZ8" s="36" t="n"/>
      <c r="BA8" s="37" t="inlineStr">
        <is>
          <t>W3</t>
        </is>
      </c>
      <c r="BB8" s="38" t="n"/>
    </row>
    <row r="9" ht="40.2" customHeight="1">
      <c r="A9" s="39" t="n"/>
      <c r="B9" s="40" t="n"/>
      <c r="C9" s="41" t="n"/>
      <c r="D9" s="93" t="n"/>
      <c r="E9" s="93" t="n"/>
      <c r="F9" s="93" t="n"/>
      <c r="G9" s="39" t="n"/>
      <c r="H9" s="42" t="inlineStr">
        <is>
          <t>เฟรมแบ่งบาน</t>
        </is>
      </c>
      <c r="I9" s="43" t="n"/>
      <c r="J9" s="42" t="inlineStr">
        <is>
          <t>ตบเฟรมแบ่งบาน</t>
        </is>
      </c>
      <c r="K9" s="43" t="n"/>
      <c r="L9" s="42" t="inlineStr">
        <is>
          <t>เฟรม บน W1-2</t>
        </is>
      </c>
      <c r="M9" s="43" t="n"/>
      <c r="N9" s="42" t="inlineStr">
        <is>
          <t>เฟรม ล่าง W1-2</t>
        </is>
      </c>
      <c r="O9" s="43" t="n"/>
      <c r="P9" s="42" t="inlineStr">
        <is>
          <t>เฟรม ล่าง W3</t>
        </is>
      </c>
      <c r="Q9" s="43" t="n"/>
      <c r="R9" s="42" t="inlineStr">
        <is>
          <t>เฟรมข้าง W3</t>
        </is>
      </c>
      <c r="S9" s="43" t="n"/>
      <c r="T9" s="42" t="inlineStr">
        <is>
          <t>เฟรมบน W3</t>
        </is>
      </c>
      <c r="U9" s="43" t="n"/>
      <c r="V9" s="42" t="inlineStr">
        <is>
          <t>เสา</t>
        </is>
      </c>
      <c r="W9" s="43" t="n"/>
      <c r="X9" s="42" t="inlineStr">
        <is>
          <t>ขวาง W1</t>
        </is>
      </c>
      <c r="Y9" s="43" t="n"/>
      <c r="Z9" s="42" t="inlineStr">
        <is>
          <t>ขวาง W2</t>
        </is>
      </c>
      <c r="AA9" s="43" t="n"/>
      <c r="AB9" s="42" t="inlineStr">
        <is>
          <t>คิ้ว ตั้ง</t>
        </is>
      </c>
      <c r="AC9" s="43" t="n"/>
      <c r="AD9" s="42" t="inlineStr">
        <is>
          <t>คิ้ว ขวางW1</t>
        </is>
      </c>
      <c r="AE9" s="43" t="n"/>
      <c r="AF9" s="42" t="inlineStr">
        <is>
          <t>คิ้ว ขวางW2</t>
        </is>
      </c>
      <c r="AG9" s="43" t="n"/>
      <c r="AH9" s="42" t="inlineStr">
        <is>
          <t>คิ้ว ขวาง W3</t>
        </is>
      </c>
      <c r="AI9" s="43" t="n"/>
      <c r="AJ9" s="42" t="inlineStr">
        <is>
          <t>คิ้ว ตั้ง W3</t>
        </is>
      </c>
      <c r="AK9" s="43" t="n"/>
      <c r="AL9" s="42" t="inlineStr">
        <is>
          <t>ตบธรณี</t>
        </is>
      </c>
      <c r="AM9" s="43" t="n"/>
      <c r="AN9" s="42" t="inlineStr">
        <is>
          <t>ตบธรณี</t>
        </is>
      </c>
      <c r="AO9" s="43" t="n"/>
      <c r="AP9" s="42" t="inlineStr">
        <is>
          <t>ชนกลาง</t>
        </is>
      </c>
      <c r="AQ9" s="43" t="n"/>
      <c r="AR9" s="42" t="inlineStr">
        <is>
          <t>ตบนอกในบานตาย</t>
        </is>
      </c>
      <c r="AS9" s="43" t="n"/>
      <c r="AT9" s="45" t="inlineStr">
        <is>
          <t>SH-87-87</t>
        </is>
      </c>
      <c r="AU9" s="46" t="inlineStr">
        <is>
          <t>SW1-87-87</t>
        </is>
      </c>
      <c r="AV9" s="47" t="n"/>
      <c r="AW9" s="45" t="inlineStr">
        <is>
          <t>SH-87-87</t>
        </is>
      </c>
      <c r="AX9" s="46" t="inlineStr">
        <is>
          <t>SW2-87-87</t>
        </is>
      </c>
      <c r="AY9" s="47" t="n"/>
      <c r="AZ9" s="45" t="inlineStr">
        <is>
          <t>H-35-35</t>
        </is>
      </c>
      <c r="BA9" s="46" t="inlineStr">
        <is>
          <t>W3-35-10</t>
        </is>
      </c>
      <c r="BB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101" t="inlineStr">
        <is>
          <t>กว้าง</t>
        </is>
      </c>
      <c r="D10" s="101" t="inlineStr">
        <is>
          <t>W1</t>
        </is>
      </c>
      <c r="E10" s="101" t="inlineStr">
        <is>
          <t>W2</t>
        </is>
      </c>
      <c r="F10" s="102" t="inlineStr">
        <is>
          <t>W3</t>
        </is>
      </c>
      <c r="G10" s="50" t="inlineStr">
        <is>
          <t>จำนวนชุด</t>
        </is>
      </c>
      <c r="H10" s="52" t="inlineStr">
        <is>
          <t>ยาว</t>
        </is>
      </c>
      <c r="I10" s="53" t="inlineStr">
        <is>
          <t>จำนวน</t>
        </is>
      </c>
      <c r="J10" s="52" t="inlineStr">
        <is>
          <t>ยาว</t>
        </is>
      </c>
      <c r="K10" s="54" t="inlineStr">
        <is>
          <t>จำนวน</t>
        </is>
      </c>
      <c r="L10" s="52" t="inlineStr">
        <is>
          <t>ยาว</t>
        </is>
      </c>
      <c r="M10" s="53" t="inlineStr">
        <is>
          <t>จำนวน</t>
        </is>
      </c>
      <c r="N10" s="52" t="inlineStr">
        <is>
          <t>ยาว</t>
        </is>
      </c>
      <c r="O10" s="54" t="inlineStr">
        <is>
          <t>จำนวน</t>
        </is>
      </c>
      <c r="P10" s="52" t="inlineStr">
        <is>
          <t>ยาว</t>
        </is>
      </c>
      <c r="Q10" s="54" t="inlineStr">
        <is>
          <t>จำนวน</t>
        </is>
      </c>
      <c r="R10" s="52" t="inlineStr">
        <is>
          <t>ยาว</t>
        </is>
      </c>
      <c r="S10" s="54" t="inlineStr">
        <is>
          <t>จำนวน</t>
        </is>
      </c>
      <c r="T10" s="52" t="inlineStr">
        <is>
          <t>ยาว</t>
        </is>
      </c>
      <c r="U10" s="54" t="inlineStr">
        <is>
          <t>จำนวน</t>
        </is>
      </c>
      <c r="V10" s="52" t="inlineStr">
        <is>
          <t>ยาว</t>
        </is>
      </c>
      <c r="W10" s="54" t="inlineStr">
        <is>
          <t>จำนวน</t>
        </is>
      </c>
      <c r="X10" s="52" t="inlineStr">
        <is>
          <t>ยาว</t>
        </is>
      </c>
      <c r="Y10" s="54" t="inlineStr">
        <is>
          <t>จำนวน</t>
        </is>
      </c>
      <c r="Z10" s="52" t="inlineStr">
        <is>
          <t>ยาว</t>
        </is>
      </c>
      <c r="AA10" s="54" t="inlineStr">
        <is>
          <t>จำนวน</t>
        </is>
      </c>
      <c r="AB10" s="52" t="inlineStr">
        <is>
          <t>ยาว</t>
        </is>
      </c>
      <c r="AC10" s="54" t="inlineStr">
        <is>
          <t>จำนวน</t>
        </is>
      </c>
      <c r="AD10" s="52" t="inlineStr">
        <is>
          <t>ยาว</t>
        </is>
      </c>
      <c r="AE10" s="54" t="inlineStr">
        <is>
          <t>จำนวน</t>
        </is>
      </c>
      <c r="AF10" s="52" t="inlineStr">
        <is>
          <t>ยาว</t>
        </is>
      </c>
      <c r="AG10" s="54" t="inlineStr">
        <is>
          <t>จำนวน</t>
        </is>
      </c>
      <c r="AH10" s="52" t="inlineStr">
        <is>
          <t>ยาว</t>
        </is>
      </c>
      <c r="AI10" s="54" t="inlineStr">
        <is>
          <t>จำนวน</t>
        </is>
      </c>
      <c r="AJ10" s="52" t="inlineStr">
        <is>
          <t>ยาว</t>
        </is>
      </c>
      <c r="AK10" s="54" t="inlineStr">
        <is>
          <t>จำนวน</t>
        </is>
      </c>
      <c r="AL10" s="52" t="inlineStr">
        <is>
          <t>ยาว</t>
        </is>
      </c>
      <c r="AM10" s="53" t="inlineStr">
        <is>
          <t>จำนวน</t>
        </is>
      </c>
      <c r="AN10" s="52" t="inlineStr">
        <is>
          <t>ยาว</t>
        </is>
      </c>
      <c r="AO10" s="53" t="inlineStr">
        <is>
          <t>จำนวน</t>
        </is>
      </c>
      <c r="AP10" s="52" t="inlineStr">
        <is>
          <t>ยาว</t>
        </is>
      </c>
      <c r="AQ10" s="53" t="inlineStr">
        <is>
          <t>จำนวน</t>
        </is>
      </c>
      <c r="AR10" s="52" t="inlineStr">
        <is>
          <t>ยาว</t>
        </is>
      </c>
      <c r="AS10" s="54" t="inlineStr">
        <is>
          <t>จำนวน</t>
        </is>
      </c>
      <c r="AT10" s="55" t="inlineStr">
        <is>
          <t>H</t>
        </is>
      </c>
      <c r="AU10" s="56" t="inlineStr">
        <is>
          <t>W</t>
        </is>
      </c>
      <c r="AV10" s="57" t="inlineStr">
        <is>
          <t>จำนวน</t>
        </is>
      </c>
      <c r="AW10" s="55" t="inlineStr">
        <is>
          <t>H</t>
        </is>
      </c>
      <c r="AX10" s="56" t="inlineStr">
        <is>
          <t>W</t>
        </is>
      </c>
      <c r="AY10" s="57" t="inlineStr">
        <is>
          <t>จำนวน</t>
        </is>
      </c>
      <c r="AZ10" s="55" t="inlineStr">
        <is>
          <t>H</t>
        </is>
      </c>
      <c r="BA10" s="56" t="inlineStr">
        <is>
          <t>W</t>
        </is>
      </c>
      <c r="BB10" s="57" t="inlineStr">
        <is>
          <t>จำนวน</t>
        </is>
      </c>
    </row>
    <row r="11" ht="40.2" customHeight="1">
      <c r="A11" s="103" t="inlineStr">
        <is>
          <t>D1</t>
        </is>
      </c>
      <c r="B11" s="104" t="n">
        <v>400</v>
      </c>
      <c r="C11" s="104" t="n">
        <v>700</v>
      </c>
      <c r="D11" s="104" t="n">
        <v>260</v>
      </c>
      <c r="E11" s="104" t="n">
        <v>240</v>
      </c>
      <c r="F11" s="105">
        <f>IF($A11="","",(($C11-$D11-$E11)/2))</f>
        <v/>
      </c>
      <c r="G11" s="106" t="n">
        <v>1</v>
      </c>
      <c r="H11" s="107">
        <f>IF($A11="","",$B11)</f>
        <v/>
      </c>
      <c r="I11" s="106">
        <f>IF($A11="","",2*$G11)</f>
        <v/>
      </c>
      <c r="J11" s="107">
        <f>IF($A11="","",$H11)</f>
        <v/>
      </c>
      <c r="K11" s="106">
        <f>IF($A11="","",2*$G11)</f>
        <v/>
      </c>
      <c r="L11" s="107">
        <f>IF($A11="","",$C11-$F11-$F11-$E$56-$F$56)</f>
        <v/>
      </c>
      <c r="M11" s="106">
        <f>IF($A11="","",1*$G11)</f>
        <v/>
      </c>
      <c r="N11" s="107">
        <f>IF($A11="","",$L11)</f>
        <v/>
      </c>
      <c r="O11" s="106">
        <f>IF($A11="","",1*$G11)</f>
        <v/>
      </c>
      <c r="P11" s="107">
        <f>IF($A11="","",$F11-$E$58)</f>
        <v/>
      </c>
      <c r="Q11" s="106">
        <f>IF($A11="","",2*$G11)</f>
        <v/>
      </c>
      <c r="R11" s="107">
        <f>IF($A11="","",$H11)</f>
        <v/>
      </c>
      <c r="S11" s="106">
        <f>IF($A11="","",2*$G11)</f>
        <v/>
      </c>
      <c r="T11" s="107">
        <f>IF($A11="","",$P11)</f>
        <v/>
      </c>
      <c r="U11" s="106">
        <f>IF($A11="","",2*$G11)</f>
        <v/>
      </c>
      <c r="V11" s="107">
        <f>IF($A11="","",$B11-$E$61-$F$61)</f>
        <v/>
      </c>
      <c r="W11" s="106">
        <f>IF($A11="","",4*$G11)</f>
        <v/>
      </c>
      <c r="X11" s="107">
        <f>IF($A11="","",$D11-$E$62-$F$62)</f>
        <v/>
      </c>
      <c r="Y11" s="106">
        <f>IF($A11="","",2*$G11)</f>
        <v/>
      </c>
      <c r="Z11" s="107">
        <f>IF($A11="","",$E11-$E$63-$F$63)</f>
        <v/>
      </c>
      <c r="AA11" s="106">
        <f>IF($A11="","",2*$G11)</f>
        <v/>
      </c>
      <c r="AB11" s="107">
        <f>IF($A11="","",$V11-$E$64-$F$64)</f>
        <v/>
      </c>
      <c r="AC11" s="106">
        <f>IF($A11="","",4*$G11)</f>
        <v/>
      </c>
      <c r="AD11" s="107">
        <f>IF($A11="","",$X11-$E$65-$F$65)</f>
        <v/>
      </c>
      <c r="AE11" s="106">
        <f>IF($A11="","",2*$G11)</f>
        <v/>
      </c>
      <c r="AF11" s="107">
        <f>IF($A11="","",$Z11-$E$66-$F$66)</f>
        <v/>
      </c>
      <c r="AG11" s="106">
        <f>IF($A11="","",2*$G11)</f>
        <v/>
      </c>
      <c r="AH11" s="107">
        <f>IF($A11="","",$F11-$E$67)</f>
        <v/>
      </c>
      <c r="AI11" s="106">
        <f>IF($A11="","",2*$G11)</f>
        <v/>
      </c>
      <c r="AJ11" s="107">
        <f>IF($A11="","",$B11-$E$68-$F$68)</f>
        <v/>
      </c>
      <c r="AK11" s="106">
        <f>IF($A11="","",4*$G11)</f>
        <v/>
      </c>
      <c r="AL11" s="107">
        <f>IF($A11="","",$L11)</f>
        <v/>
      </c>
      <c r="AM11" s="106">
        <f>IF($A11="","",1*$G11)</f>
        <v/>
      </c>
      <c r="AN11" s="107">
        <f>IF($A11="","",$P11)</f>
        <v/>
      </c>
      <c r="AO11" s="106">
        <f>IF($A11="","",2*$G11)</f>
        <v/>
      </c>
      <c r="AP11" s="107">
        <f>IF($A11="","",$B11-$E$71-$F$71)</f>
        <v/>
      </c>
      <c r="AQ11" s="106">
        <f>IF($A11="","",1*$G11)</f>
        <v/>
      </c>
      <c r="AR11" s="107">
        <f>IF($A11="","",$P11)</f>
        <v/>
      </c>
      <c r="AS11" s="106">
        <f>IF($A11="","",2*$G11)</f>
        <v/>
      </c>
      <c r="AT11" s="108">
        <f>IF($A11="","",$V11-87-87)</f>
        <v/>
      </c>
      <c r="AU11" s="109">
        <f>IF($A11="","",$X11-87-87)</f>
        <v/>
      </c>
      <c r="AV11" s="110">
        <f>IF($A11="","",1*$G11)</f>
        <v/>
      </c>
      <c r="AW11" s="108">
        <f>IF($A11="","",$V11-87-87)</f>
        <v/>
      </c>
      <c r="AX11" s="109">
        <f>IF($A11="","",$Z11-87-87)</f>
        <v/>
      </c>
      <c r="AY11" s="110">
        <f>IF($A11="","",1*$G11)</f>
        <v/>
      </c>
      <c r="AZ11" s="108">
        <f>IF($A11="","",$B11-35-35)</f>
        <v/>
      </c>
      <c r="BA11" s="109">
        <f>IF($A11="","",$F11-35-10)</f>
        <v/>
      </c>
      <c r="BB11" s="110">
        <f>IF($A11="","",2*$G11)</f>
        <v/>
      </c>
    </row>
    <row r="12" ht="40.2" customHeight="1">
      <c r="A12" s="103" t="n"/>
      <c r="B12" s="104" t="n"/>
      <c r="C12" s="104">
        <f>IF($A12="","",$D12+$E12)</f>
        <v/>
      </c>
      <c r="D12" s="104" t="n"/>
      <c r="E12" s="104" t="n"/>
      <c r="F12" s="105">
        <f>IF($A12="","",(($C12-$D12-$E12)/2))</f>
        <v/>
      </c>
      <c r="G12" s="106" t="n"/>
      <c r="H12" s="111">
        <f>IF($A12="","",$B12)</f>
        <v/>
      </c>
      <c r="I12" s="112">
        <f>IF($A12="","",2*$G12)</f>
        <v/>
      </c>
      <c r="J12" s="111">
        <f>IF($A12="","",$H12)</f>
        <v/>
      </c>
      <c r="K12" s="112">
        <f>IF($A12="","",2*$G12)</f>
        <v/>
      </c>
      <c r="L12" s="111">
        <f>IF($A12="","",$C12-$F12-$F12-$E$56-$F$56)</f>
        <v/>
      </c>
      <c r="M12" s="112">
        <f>IF($A12="","",1*$G12)</f>
        <v/>
      </c>
      <c r="N12" s="111">
        <f>IF($A12="","",$L12)</f>
        <v/>
      </c>
      <c r="O12" s="112">
        <f>IF($A12="","",1*$G12)</f>
        <v/>
      </c>
      <c r="P12" s="111">
        <f>IF($A12="","",$F12-$E$58)</f>
        <v/>
      </c>
      <c r="Q12" s="112">
        <f>IF($A12="","",2*$G12)</f>
        <v/>
      </c>
      <c r="R12" s="111">
        <f>IF($A12="","",$H12)</f>
        <v/>
      </c>
      <c r="S12" s="112">
        <f>IF($A12="","",2*$G12)</f>
        <v/>
      </c>
      <c r="T12" s="111">
        <f>IF($A12="","",$P12)</f>
        <v/>
      </c>
      <c r="U12" s="112">
        <f>IF($A12="","",2*$G12)</f>
        <v/>
      </c>
      <c r="V12" s="111">
        <f>IF($A12="","",$B12-$E$61-$F$61)</f>
        <v/>
      </c>
      <c r="W12" s="112">
        <f>IF($A12="","",4*$G12)</f>
        <v/>
      </c>
      <c r="X12" s="111">
        <f>IF($A12="","",$D12-$E$62-$F$62)</f>
        <v/>
      </c>
      <c r="Y12" s="112">
        <f>IF($A12="","",2*$G12)</f>
        <v/>
      </c>
      <c r="Z12" s="111">
        <f>IF($A12="","",$E12-$E$63-$F$63)</f>
        <v/>
      </c>
      <c r="AA12" s="112">
        <f>IF($A12="","",2*$G12)</f>
        <v/>
      </c>
      <c r="AB12" s="111">
        <f>IF($A12="","",$V12-$E$64-$F$64)</f>
        <v/>
      </c>
      <c r="AC12" s="112">
        <f>IF($A12="","",4*$G12)</f>
        <v/>
      </c>
      <c r="AD12" s="111">
        <f>IF($A12="","",$X12-$E$65-$F$65)</f>
        <v/>
      </c>
      <c r="AE12" s="112">
        <f>IF($A12="","",2*$G12)</f>
        <v/>
      </c>
      <c r="AF12" s="111">
        <f>IF($A12="","",$Z12-$E$66-$F$66)</f>
        <v/>
      </c>
      <c r="AG12" s="112">
        <f>IF($A12="","",2*$G12)</f>
        <v/>
      </c>
      <c r="AH12" s="111">
        <f>IF($A12="","",$F12-$E$67)</f>
        <v/>
      </c>
      <c r="AI12" s="112">
        <f>IF($A12="","",2*$G12)</f>
        <v/>
      </c>
      <c r="AJ12" s="111">
        <f>IF($A12="","",$B12-$E$68-$F$68)</f>
        <v/>
      </c>
      <c r="AK12" s="112">
        <f>IF($A12="","",4*$G12)</f>
        <v/>
      </c>
      <c r="AL12" s="111">
        <f>IF($A12="","",$L12)</f>
        <v/>
      </c>
      <c r="AM12" s="112">
        <f>IF($A12="","",1*$G12)</f>
        <v/>
      </c>
      <c r="AN12" s="111">
        <f>IF($A12="","",$P12)</f>
        <v/>
      </c>
      <c r="AO12" s="112">
        <f>IF($A12="","",2*$G12)</f>
        <v/>
      </c>
      <c r="AP12" s="111">
        <f>IF($A12="","",$B12-$E$71-$F$71)</f>
        <v/>
      </c>
      <c r="AQ12" s="112">
        <f>IF($A12="","",1*$G12)</f>
        <v/>
      </c>
      <c r="AR12" s="111">
        <f>IF($A12="","",$P12)</f>
        <v/>
      </c>
      <c r="AS12" s="112">
        <f>IF($A12="","",2*$G12)</f>
        <v/>
      </c>
      <c r="AT12" s="108">
        <f>IF($A12="","",$V12-87-87)</f>
        <v/>
      </c>
      <c r="AU12" s="109">
        <f>IF($A12="","",$X12-87-87)</f>
        <v/>
      </c>
      <c r="AV12" s="110">
        <f>IF($A12="","",1*$G12)</f>
        <v/>
      </c>
      <c r="AW12" s="108">
        <f>IF($A12="","",$V12-87-87)</f>
        <v/>
      </c>
      <c r="AX12" s="109">
        <f>IF($A12="","",$Z12-87-87)</f>
        <v/>
      </c>
      <c r="AY12" s="110">
        <f>IF($A12="","",1*$G12)</f>
        <v/>
      </c>
      <c r="AZ12" s="108">
        <f>IF($A12="","",$B12-35-35)</f>
        <v/>
      </c>
      <c r="BA12" s="109">
        <f>IF($A12="","",$F12-35-10)</f>
        <v/>
      </c>
      <c r="BB12" s="110">
        <f>IF($A12="","",2*$G12)</f>
        <v/>
      </c>
    </row>
    <row r="13" ht="40.2" customHeight="1">
      <c r="A13" s="103" t="n"/>
      <c r="B13" s="104" t="n"/>
      <c r="C13" s="104">
        <f>IF($A13="","",$D13+$E13)</f>
        <v/>
      </c>
      <c r="D13" s="104" t="n"/>
      <c r="E13" s="104" t="n"/>
      <c r="F13" s="105">
        <f>IF($A13="","",(($C13-$D13-$E13)/2))</f>
        <v/>
      </c>
      <c r="G13" s="106" t="n"/>
      <c r="H13" s="107">
        <f>IF($A13="","",$B13)</f>
        <v/>
      </c>
      <c r="I13" s="106">
        <f>IF($A13="","",2*$G13)</f>
        <v/>
      </c>
      <c r="J13" s="107">
        <f>IF($A13="","",$H13)</f>
        <v/>
      </c>
      <c r="K13" s="106">
        <f>IF($A13="","",2*$G13)</f>
        <v/>
      </c>
      <c r="L13" s="107">
        <f>IF($A13="","",$C13-$F13-$F13-$E$56-$F$56)</f>
        <v/>
      </c>
      <c r="M13" s="106">
        <f>IF($A13="","",1*$G13)</f>
        <v/>
      </c>
      <c r="N13" s="107">
        <f>IF($A13="","",$L13)</f>
        <v/>
      </c>
      <c r="O13" s="106">
        <f>IF($A13="","",1*$G13)</f>
        <v/>
      </c>
      <c r="P13" s="107">
        <f>IF($A13="","",$F13-$E$58)</f>
        <v/>
      </c>
      <c r="Q13" s="106">
        <f>IF($A13="","",2*$G13)</f>
        <v/>
      </c>
      <c r="R13" s="107">
        <f>IF($A13="","",$H13)</f>
        <v/>
      </c>
      <c r="S13" s="106">
        <f>IF($A13="","",2*$G13)</f>
        <v/>
      </c>
      <c r="T13" s="107">
        <f>IF($A13="","",$P13)</f>
        <v/>
      </c>
      <c r="U13" s="106">
        <f>IF($A13="","",2*$G13)</f>
        <v/>
      </c>
      <c r="V13" s="107">
        <f>IF($A13="","",$B13-$E$61-$F$61)</f>
        <v/>
      </c>
      <c r="W13" s="106">
        <f>IF($A13="","",4*$G13)</f>
        <v/>
      </c>
      <c r="X13" s="107">
        <f>IF($A13="","",$D13-$E$62-$F$62)</f>
        <v/>
      </c>
      <c r="Y13" s="106">
        <f>IF($A13="","",2*$G13)</f>
        <v/>
      </c>
      <c r="Z13" s="107">
        <f>IF($A13="","",$E13-$E$63-$F$63)</f>
        <v/>
      </c>
      <c r="AA13" s="106">
        <f>IF($A13="","",2*$G13)</f>
        <v/>
      </c>
      <c r="AB13" s="107">
        <f>IF($A13="","",$V13-$E$64-$F$64)</f>
        <v/>
      </c>
      <c r="AC13" s="106">
        <f>IF($A13="","",4*$G13)</f>
        <v/>
      </c>
      <c r="AD13" s="107">
        <f>IF($A13="","",$X13-$E$65-$F$65)</f>
        <v/>
      </c>
      <c r="AE13" s="106">
        <f>IF($A13="","",2*$G13)</f>
        <v/>
      </c>
      <c r="AF13" s="107">
        <f>IF($A13="","",$Z13-$E$66-$F$66)</f>
        <v/>
      </c>
      <c r="AG13" s="106">
        <f>IF($A13="","",2*$G13)</f>
        <v/>
      </c>
      <c r="AH13" s="107">
        <f>IF($A13="","",$F13-$E$67)</f>
        <v/>
      </c>
      <c r="AI13" s="106">
        <f>IF($A13="","",2*$G13)</f>
        <v/>
      </c>
      <c r="AJ13" s="107">
        <f>IF($A13="","",$B13-$E$68-$F$68)</f>
        <v/>
      </c>
      <c r="AK13" s="106">
        <f>IF($A13="","",4*$G13)</f>
        <v/>
      </c>
      <c r="AL13" s="107">
        <f>IF($A13="","",$L13)</f>
        <v/>
      </c>
      <c r="AM13" s="106">
        <f>IF($A13="","",1*$G13)</f>
        <v/>
      </c>
      <c r="AN13" s="107">
        <f>IF($A13="","",$P13)</f>
        <v/>
      </c>
      <c r="AO13" s="106">
        <f>IF($A13="","",2*$G13)</f>
        <v/>
      </c>
      <c r="AP13" s="107">
        <f>IF($A13="","",$B13-$E$71-$F$71)</f>
        <v/>
      </c>
      <c r="AQ13" s="106">
        <f>IF($A13="","",1*$G13)</f>
        <v/>
      </c>
      <c r="AR13" s="107">
        <f>IF($A13="","",$P13)</f>
        <v/>
      </c>
      <c r="AS13" s="106">
        <f>IF($A13="","",2*$G13)</f>
        <v/>
      </c>
      <c r="AT13" s="108">
        <f>IF($A13="","",$V13-87-87)</f>
        <v/>
      </c>
      <c r="AU13" s="109">
        <f>IF($A13="","",$X13-87-87)</f>
        <v/>
      </c>
      <c r="AV13" s="110">
        <f>IF($A13="","",1*$G13)</f>
        <v/>
      </c>
      <c r="AW13" s="108">
        <f>IF($A13="","",$V13-87-87)</f>
        <v/>
      </c>
      <c r="AX13" s="109">
        <f>IF($A13="","",$Z13-87-87)</f>
        <v/>
      </c>
      <c r="AY13" s="110">
        <f>IF($A13="","",1*$G13)</f>
        <v/>
      </c>
      <c r="AZ13" s="108">
        <f>IF($A13="","",$B13-35-35)</f>
        <v/>
      </c>
      <c r="BA13" s="109">
        <f>IF($A13="","",$F13-35-10)</f>
        <v/>
      </c>
      <c r="BB13" s="110">
        <f>IF($A13="","",2*$G13)</f>
        <v/>
      </c>
    </row>
    <row r="14" ht="40.2" customHeight="1">
      <c r="A14" s="103" t="n"/>
      <c r="B14" s="104" t="n"/>
      <c r="C14" s="104">
        <f>IF($A14="","",$D14+$E14)</f>
        <v/>
      </c>
      <c r="D14" s="104" t="n"/>
      <c r="E14" s="104" t="n"/>
      <c r="F14" s="105">
        <f>IF($A14="","",(($C14-$D14-$E14)/2))</f>
        <v/>
      </c>
      <c r="G14" s="106" t="n"/>
      <c r="H14" s="111">
        <f>IF($A14="","",$B14)</f>
        <v/>
      </c>
      <c r="I14" s="112">
        <f>IF($A14="","",2*$G14)</f>
        <v/>
      </c>
      <c r="J14" s="111">
        <f>IF($A14="","",$H14)</f>
        <v/>
      </c>
      <c r="K14" s="112">
        <f>IF($A14="","",2*$G14)</f>
        <v/>
      </c>
      <c r="L14" s="111">
        <f>IF($A14="","",$C14-$F14-$F14-$E$56-$F$56)</f>
        <v/>
      </c>
      <c r="M14" s="112">
        <f>IF($A14="","",1*$G14)</f>
        <v/>
      </c>
      <c r="N14" s="111">
        <f>IF($A14="","",$L14)</f>
        <v/>
      </c>
      <c r="O14" s="112">
        <f>IF($A14="","",1*$G14)</f>
        <v/>
      </c>
      <c r="P14" s="111">
        <f>IF($A14="","",$F14-$E$58)</f>
        <v/>
      </c>
      <c r="Q14" s="112">
        <f>IF($A14="","",2*$G14)</f>
        <v/>
      </c>
      <c r="R14" s="111">
        <f>IF($A14="","",$H14)</f>
        <v/>
      </c>
      <c r="S14" s="112">
        <f>IF($A14="","",2*$G14)</f>
        <v/>
      </c>
      <c r="T14" s="111">
        <f>IF($A14="","",$P14)</f>
        <v/>
      </c>
      <c r="U14" s="112">
        <f>IF($A14="","",2*$G14)</f>
        <v/>
      </c>
      <c r="V14" s="111">
        <f>IF($A14="","",$B14-$E$61-$F$61)</f>
        <v/>
      </c>
      <c r="W14" s="112">
        <f>IF($A14="","",4*$G14)</f>
        <v/>
      </c>
      <c r="X14" s="111">
        <f>IF($A14="","",$D14-$E$62-$F$62)</f>
        <v/>
      </c>
      <c r="Y14" s="112">
        <f>IF($A14="","",2*$G14)</f>
        <v/>
      </c>
      <c r="Z14" s="111">
        <f>IF($A14="","",$E14-$E$63-$F$63)</f>
        <v/>
      </c>
      <c r="AA14" s="112">
        <f>IF($A14="","",2*$G14)</f>
        <v/>
      </c>
      <c r="AB14" s="111">
        <f>IF($A14="","",$V14-$E$64-$F$64)</f>
        <v/>
      </c>
      <c r="AC14" s="112">
        <f>IF($A14="","",4*$G14)</f>
        <v/>
      </c>
      <c r="AD14" s="111">
        <f>IF($A14="","",$X14-$E$65-$F$65)</f>
        <v/>
      </c>
      <c r="AE14" s="112">
        <f>IF($A14="","",2*$G14)</f>
        <v/>
      </c>
      <c r="AF14" s="111">
        <f>IF($A14="","",$Z14-$E$66-$F$66)</f>
        <v/>
      </c>
      <c r="AG14" s="112">
        <f>IF($A14="","",2*$G14)</f>
        <v/>
      </c>
      <c r="AH14" s="111">
        <f>IF($A14="","",$F14-$E$67)</f>
        <v/>
      </c>
      <c r="AI14" s="112">
        <f>IF($A14="","",2*$G14)</f>
        <v/>
      </c>
      <c r="AJ14" s="111">
        <f>IF($A14="","",$B14-$E$68-$F$68)</f>
        <v/>
      </c>
      <c r="AK14" s="112">
        <f>IF($A14="","",4*$G14)</f>
        <v/>
      </c>
      <c r="AL14" s="111">
        <f>IF($A14="","",$L14)</f>
        <v/>
      </c>
      <c r="AM14" s="112">
        <f>IF($A14="","",1*$G14)</f>
        <v/>
      </c>
      <c r="AN14" s="111">
        <f>IF($A14="","",$P14)</f>
        <v/>
      </c>
      <c r="AO14" s="112">
        <f>IF($A14="","",2*$G14)</f>
        <v/>
      </c>
      <c r="AP14" s="111">
        <f>IF($A14="","",$B14-$E$71-$F$71)</f>
        <v/>
      </c>
      <c r="AQ14" s="112">
        <f>IF($A14="","",1*$G14)</f>
        <v/>
      </c>
      <c r="AR14" s="111">
        <f>IF($A14="","",$P14)</f>
        <v/>
      </c>
      <c r="AS14" s="112">
        <f>IF($A14="","",2*$G14)</f>
        <v/>
      </c>
      <c r="AT14" s="108">
        <f>IF($A14="","",$V14-87-87)</f>
        <v/>
      </c>
      <c r="AU14" s="109">
        <f>IF($A14="","",$X14-87-87)</f>
        <v/>
      </c>
      <c r="AV14" s="110">
        <f>IF($A14="","",1*$G14)</f>
        <v/>
      </c>
      <c r="AW14" s="108">
        <f>IF($A14="","",$V14-87-87)</f>
        <v/>
      </c>
      <c r="AX14" s="109">
        <f>IF($A14="","",$Z14-87-87)</f>
        <v/>
      </c>
      <c r="AY14" s="110">
        <f>IF($A14="","",1*$G14)</f>
        <v/>
      </c>
      <c r="AZ14" s="108">
        <f>IF($A14="","",$B14-35-35)</f>
        <v/>
      </c>
      <c r="BA14" s="109">
        <f>IF($A14="","",$F14-35-10)</f>
        <v/>
      </c>
      <c r="BB14" s="110">
        <f>IF($A14="","",2*$G14)</f>
        <v/>
      </c>
    </row>
    <row r="15" ht="40.2" customHeight="1">
      <c r="A15" s="103" t="n"/>
      <c r="B15" s="104" t="n"/>
      <c r="C15" s="104">
        <f>IF($A15="","",$D15+$E15)</f>
        <v/>
      </c>
      <c r="D15" s="104" t="n"/>
      <c r="E15" s="104" t="n"/>
      <c r="F15" s="105">
        <f>IF($A15="","",(($C15-$D15-$E15)/2))</f>
        <v/>
      </c>
      <c r="G15" s="106" t="n"/>
      <c r="H15" s="107">
        <f>IF($A15="","",$B15)</f>
        <v/>
      </c>
      <c r="I15" s="106">
        <f>IF($A15="","",2*$G15)</f>
        <v/>
      </c>
      <c r="J15" s="107">
        <f>IF($A15="","",$H15)</f>
        <v/>
      </c>
      <c r="K15" s="106">
        <f>IF($A15="","",2*$G15)</f>
        <v/>
      </c>
      <c r="L15" s="107">
        <f>IF($A15="","",$C15-$F15-$F15-$E$56-$F$56)</f>
        <v/>
      </c>
      <c r="M15" s="106">
        <f>IF($A15="","",1*$G15)</f>
        <v/>
      </c>
      <c r="N15" s="107">
        <f>IF($A15="","",$L15)</f>
        <v/>
      </c>
      <c r="O15" s="106">
        <f>IF($A15="","",1*$G15)</f>
        <v/>
      </c>
      <c r="P15" s="107">
        <f>IF($A15="","",$F15-$E$58)</f>
        <v/>
      </c>
      <c r="Q15" s="106">
        <f>IF($A15="","",2*$G15)</f>
        <v/>
      </c>
      <c r="R15" s="107">
        <f>IF($A15="","",$H15)</f>
        <v/>
      </c>
      <c r="S15" s="106">
        <f>IF($A15="","",2*$G15)</f>
        <v/>
      </c>
      <c r="T15" s="107">
        <f>IF($A15="","",$P15)</f>
        <v/>
      </c>
      <c r="U15" s="106">
        <f>IF($A15="","",2*$G15)</f>
        <v/>
      </c>
      <c r="V15" s="107">
        <f>IF($A15="","",$B15-$E$61-$F$61)</f>
        <v/>
      </c>
      <c r="W15" s="106">
        <f>IF($A15="","",4*$G15)</f>
        <v/>
      </c>
      <c r="X15" s="107">
        <f>IF($A15="","",$D15-$E$62-$F$62)</f>
        <v/>
      </c>
      <c r="Y15" s="106">
        <f>IF($A15="","",2*$G15)</f>
        <v/>
      </c>
      <c r="Z15" s="107">
        <f>IF($A15="","",$E15-$E$63-$F$63)</f>
        <v/>
      </c>
      <c r="AA15" s="106">
        <f>IF($A15="","",2*$G15)</f>
        <v/>
      </c>
      <c r="AB15" s="107">
        <f>IF($A15="","",$V15-$E$64-$F$64)</f>
        <v/>
      </c>
      <c r="AC15" s="106">
        <f>IF($A15="","",4*$G15)</f>
        <v/>
      </c>
      <c r="AD15" s="107">
        <f>IF($A15="","",$X15-$E$65-$F$65)</f>
        <v/>
      </c>
      <c r="AE15" s="106">
        <f>IF($A15="","",2*$G15)</f>
        <v/>
      </c>
      <c r="AF15" s="107">
        <f>IF($A15="","",$Z15-$E$66-$F$66)</f>
        <v/>
      </c>
      <c r="AG15" s="106">
        <f>IF($A15="","",2*$G15)</f>
        <v/>
      </c>
      <c r="AH15" s="107">
        <f>IF($A15="","",$F15-$E$67)</f>
        <v/>
      </c>
      <c r="AI15" s="106">
        <f>IF($A15="","",2*$G15)</f>
        <v/>
      </c>
      <c r="AJ15" s="107">
        <f>IF($A15="","",$B15-$E$68-$F$68)</f>
        <v/>
      </c>
      <c r="AK15" s="106">
        <f>IF($A15="","",4*$G15)</f>
        <v/>
      </c>
      <c r="AL15" s="107">
        <f>IF($A15="","",$L15)</f>
        <v/>
      </c>
      <c r="AM15" s="106">
        <f>IF($A15="","",1*$G15)</f>
        <v/>
      </c>
      <c r="AN15" s="107">
        <f>IF($A15="","",$P15)</f>
        <v/>
      </c>
      <c r="AO15" s="106">
        <f>IF($A15="","",2*$G15)</f>
        <v/>
      </c>
      <c r="AP15" s="107">
        <f>IF($A15="","",$B15-$E$71-$F$71)</f>
        <v/>
      </c>
      <c r="AQ15" s="106">
        <f>IF($A15="","",1*$G15)</f>
        <v/>
      </c>
      <c r="AR15" s="107">
        <f>IF($A15="","",$P15)</f>
        <v/>
      </c>
      <c r="AS15" s="106">
        <f>IF($A15="","",2*$G15)</f>
        <v/>
      </c>
      <c r="AT15" s="108">
        <f>IF($A15="","",$V15-87-87)</f>
        <v/>
      </c>
      <c r="AU15" s="109">
        <f>IF($A15="","",$X15-87-87)</f>
        <v/>
      </c>
      <c r="AV15" s="110">
        <f>IF($A15="","",1*$G15)</f>
        <v/>
      </c>
      <c r="AW15" s="108">
        <f>IF($A15="","",$V15-87-87)</f>
        <v/>
      </c>
      <c r="AX15" s="109">
        <f>IF($A15="","",$Z15-87-87)</f>
        <v/>
      </c>
      <c r="AY15" s="110">
        <f>IF($A15="","",1*$G15)</f>
        <v/>
      </c>
      <c r="AZ15" s="108">
        <f>IF($A15="","",$B15-35-35)</f>
        <v/>
      </c>
      <c r="BA15" s="109">
        <f>IF($A15="","",$F15-35-10)</f>
        <v/>
      </c>
      <c r="BB15" s="110">
        <f>IF($A15="","",2*$G15)</f>
        <v/>
      </c>
    </row>
    <row r="16" ht="40.2" customHeight="1">
      <c r="A16" s="103" t="n"/>
      <c r="B16" s="104" t="n"/>
      <c r="C16" s="104">
        <f>IF($A16="","",$D16+$E16)</f>
        <v/>
      </c>
      <c r="D16" s="104" t="n"/>
      <c r="E16" s="104" t="n"/>
      <c r="F16" s="105">
        <f>IF($A16="","",(($C16-$D16-$E16)/2))</f>
        <v/>
      </c>
      <c r="G16" s="106" t="n"/>
      <c r="H16" s="111">
        <f>IF($A16="","",$B16)</f>
        <v/>
      </c>
      <c r="I16" s="112">
        <f>IF($A16="","",2*$G16)</f>
        <v/>
      </c>
      <c r="J16" s="111">
        <f>IF($A16="","",$H16)</f>
        <v/>
      </c>
      <c r="K16" s="112">
        <f>IF($A16="","",2*$G16)</f>
        <v/>
      </c>
      <c r="L16" s="111">
        <f>IF($A16="","",$C16-$F16-$F16-$E$56-$F$56)</f>
        <v/>
      </c>
      <c r="M16" s="112">
        <f>IF($A16="","",1*$G16)</f>
        <v/>
      </c>
      <c r="N16" s="111">
        <f>IF($A16="","",$L16)</f>
        <v/>
      </c>
      <c r="O16" s="112">
        <f>IF($A16="","",1*$G16)</f>
        <v/>
      </c>
      <c r="P16" s="111">
        <f>IF($A16="","",$F16-$E$58)</f>
        <v/>
      </c>
      <c r="Q16" s="112">
        <f>IF($A16="","",2*$G16)</f>
        <v/>
      </c>
      <c r="R16" s="111">
        <f>IF($A16="","",$H16)</f>
        <v/>
      </c>
      <c r="S16" s="112">
        <f>IF($A16="","",2*$G16)</f>
        <v/>
      </c>
      <c r="T16" s="111">
        <f>IF($A16="","",$P16)</f>
        <v/>
      </c>
      <c r="U16" s="112">
        <f>IF($A16="","",2*$G16)</f>
        <v/>
      </c>
      <c r="V16" s="111">
        <f>IF($A16="","",$B16-$E$61-$F$61)</f>
        <v/>
      </c>
      <c r="W16" s="112">
        <f>IF($A16="","",4*$G16)</f>
        <v/>
      </c>
      <c r="X16" s="111">
        <f>IF($A16="","",$D16-$E$62-$F$62)</f>
        <v/>
      </c>
      <c r="Y16" s="112">
        <f>IF($A16="","",2*$G16)</f>
        <v/>
      </c>
      <c r="Z16" s="111">
        <f>IF($A16="","",$E16-$E$63-$F$63)</f>
        <v/>
      </c>
      <c r="AA16" s="112">
        <f>IF($A16="","",2*$G16)</f>
        <v/>
      </c>
      <c r="AB16" s="111">
        <f>IF($A16="","",$V16-$E$64-$F$64)</f>
        <v/>
      </c>
      <c r="AC16" s="112">
        <f>IF($A16="","",4*$G16)</f>
        <v/>
      </c>
      <c r="AD16" s="111">
        <f>IF($A16="","",$X16-$E$65-$F$65)</f>
        <v/>
      </c>
      <c r="AE16" s="112">
        <f>IF($A16="","",2*$G16)</f>
        <v/>
      </c>
      <c r="AF16" s="111">
        <f>IF($A16="","",$Z16-$E$66-$F$66)</f>
        <v/>
      </c>
      <c r="AG16" s="112">
        <f>IF($A16="","",2*$G16)</f>
        <v/>
      </c>
      <c r="AH16" s="111">
        <f>IF($A16="","",$F16-$E$67)</f>
        <v/>
      </c>
      <c r="AI16" s="112">
        <f>IF($A16="","",2*$G16)</f>
        <v/>
      </c>
      <c r="AJ16" s="111">
        <f>IF($A16="","",$B16-$E$68-$F$68)</f>
        <v/>
      </c>
      <c r="AK16" s="112">
        <f>IF($A16="","",4*$G16)</f>
        <v/>
      </c>
      <c r="AL16" s="111">
        <f>IF($A16="","",$L16)</f>
        <v/>
      </c>
      <c r="AM16" s="112">
        <f>IF($A16="","",1*$G16)</f>
        <v/>
      </c>
      <c r="AN16" s="111">
        <f>IF($A16="","",$P16)</f>
        <v/>
      </c>
      <c r="AO16" s="112">
        <f>IF($A16="","",2*$G16)</f>
        <v/>
      </c>
      <c r="AP16" s="111">
        <f>IF($A16="","",$B16-$E$71-$F$71)</f>
        <v/>
      </c>
      <c r="AQ16" s="112">
        <f>IF($A16="","",1*$G16)</f>
        <v/>
      </c>
      <c r="AR16" s="111">
        <f>IF($A16="","",$P16)</f>
        <v/>
      </c>
      <c r="AS16" s="112">
        <f>IF($A16="","",2*$G16)</f>
        <v/>
      </c>
      <c r="AT16" s="108">
        <f>IF($A16="","",$V16-87-87)</f>
        <v/>
      </c>
      <c r="AU16" s="109">
        <f>IF($A16="","",$X16-87-87)</f>
        <v/>
      </c>
      <c r="AV16" s="110">
        <f>IF($A16="","",1*$G16)</f>
        <v/>
      </c>
      <c r="AW16" s="108">
        <f>IF($A16="","",$V16-87-87)</f>
        <v/>
      </c>
      <c r="AX16" s="109">
        <f>IF($A16="","",$Z16-87-87)</f>
        <v/>
      </c>
      <c r="AY16" s="110">
        <f>IF($A16="","",1*$G16)</f>
        <v/>
      </c>
      <c r="AZ16" s="108">
        <f>IF($A16="","",$B16-35-35)</f>
        <v/>
      </c>
      <c r="BA16" s="109">
        <f>IF($A16="","",$F16-35-10)</f>
        <v/>
      </c>
      <c r="BB16" s="110">
        <f>IF($A16="","",2*$G16)</f>
        <v/>
      </c>
    </row>
    <row r="17" ht="40.2" customHeight="1">
      <c r="A17" s="103" t="n"/>
      <c r="B17" s="104" t="n"/>
      <c r="C17" s="104">
        <f>IF($A17="","",$D17+$E17)</f>
        <v/>
      </c>
      <c r="D17" s="104" t="n"/>
      <c r="E17" s="104" t="n"/>
      <c r="F17" s="105">
        <f>IF($A17="","",(($C17-$D17-$E17)/2))</f>
        <v/>
      </c>
      <c r="G17" s="106" t="n"/>
      <c r="H17" s="107">
        <f>IF($A17="","",$B17)</f>
        <v/>
      </c>
      <c r="I17" s="106">
        <f>IF($A17="","",2*$G17)</f>
        <v/>
      </c>
      <c r="J17" s="107">
        <f>IF($A17="","",$H17)</f>
        <v/>
      </c>
      <c r="K17" s="106">
        <f>IF($A17="","",2*$G17)</f>
        <v/>
      </c>
      <c r="L17" s="107">
        <f>IF($A17="","",$C17-$F17-$F17-$E$56-$F$56)</f>
        <v/>
      </c>
      <c r="M17" s="106">
        <f>IF($A17="","",1*$G17)</f>
        <v/>
      </c>
      <c r="N17" s="107">
        <f>IF($A17="","",$L17)</f>
        <v/>
      </c>
      <c r="O17" s="106">
        <f>IF($A17="","",1*$G17)</f>
        <v/>
      </c>
      <c r="P17" s="107">
        <f>IF($A17="","",$F17-$E$58)</f>
        <v/>
      </c>
      <c r="Q17" s="106">
        <f>IF($A17="","",2*$G17)</f>
        <v/>
      </c>
      <c r="R17" s="107">
        <f>IF($A17="","",$H17)</f>
        <v/>
      </c>
      <c r="S17" s="106">
        <f>IF($A17="","",2*$G17)</f>
        <v/>
      </c>
      <c r="T17" s="107">
        <f>IF($A17="","",$P17)</f>
        <v/>
      </c>
      <c r="U17" s="106">
        <f>IF($A17="","",2*$G17)</f>
        <v/>
      </c>
      <c r="V17" s="107">
        <f>IF($A17="","",$B17-$E$61-$F$61)</f>
        <v/>
      </c>
      <c r="W17" s="106">
        <f>IF($A17="","",4*$G17)</f>
        <v/>
      </c>
      <c r="X17" s="107">
        <f>IF($A17="","",$D17-$E$62-$F$62)</f>
        <v/>
      </c>
      <c r="Y17" s="106">
        <f>IF($A17="","",2*$G17)</f>
        <v/>
      </c>
      <c r="Z17" s="107">
        <f>IF($A17="","",$E17-$E$63-$F$63)</f>
        <v/>
      </c>
      <c r="AA17" s="106">
        <f>IF($A17="","",2*$G17)</f>
        <v/>
      </c>
      <c r="AB17" s="107">
        <f>IF($A17="","",$V17-$E$64-$F$64)</f>
        <v/>
      </c>
      <c r="AC17" s="106">
        <f>IF($A17="","",4*$G17)</f>
        <v/>
      </c>
      <c r="AD17" s="107">
        <f>IF($A17="","",$X17-$E$65-$F$65)</f>
        <v/>
      </c>
      <c r="AE17" s="106">
        <f>IF($A17="","",2*$G17)</f>
        <v/>
      </c>
      <c r="AF17" s="107">
        <f>IF($A17="","",$Z17-$E$66-$F$66)</f>
        <v/>
      </c>
      <c r="AG17" s="106">
        <f>IF($A17="","",2*$G17)</f>
        <v/>
      </c>
      <c r="AH17" s="107">
        <f>IF($A17="","",$F17-$E$67)</f>
        <v/>
      </c>
      <c r="AI17" s="106">
        <f>IF($A17="","",2*$G17)</f>
        <v/>
      </c>
      <c r="AJ17" s="107">
        <f>IF($A17="","",$B17-$E$68-$F$68)</f>
        <v/>
      </c>
      <c r="AK17" s="106">
        <f>IF($A17="","",4*$G17)</f>
        <v/>
      </c>
      <c r="AL17" s="107">
        <f>IF($A17="","",$L17)</f>
        <v/>
      </c>
      <c r="AM17" s="106">
        <f>IF($A17="","",1*$G17)</f>
        <v/>
      </c>
      <c r="AN17" s="107">
        <f>IF($A17="","",$P17)</f>
        <v/>
      </c>
      <c r="AO17" s="106">
        <f>IF($A17="","",2*$G17)</f>
        <v/>
      </c>
      <c r="AP17" s="107">
        <f>IF($A17="","",$B17-$E$71-$F$71)</f>
        <v/>
      </c>
      <c r="AQ17" s="106">
        <f>IF($A17="","",1*$G17)</f>
        <v/>
      </c>
      <c r="AR17" s="107">
        <f>IF($A17="","",$P17)</f>
        <v/>
      </c>
      <c r="AS17" s="106">
        <f>IF($A17="","",2*$G17)</f>
        <v/>
      </c>
      <c r="AT17" s="108">
        <f>IF($A17="","",$V17-87-87)</f>
        <v/>
      </c>
      <c r="AU17" s="109">
        <f>IF($A17="","",$X17-87-87)</f>
        <v/>
      </c>
      <c r="AV17" s="110">
        <f>IF($A17="","",1*$G17)</f>
        <v/>
      </c>
      <c r="AW17" s="108">
        <f>IF($A17="","",$V17-87-87)</f>
        <v/>
      </c>
      <c r="AX17" s="109">
        <f>IF($A17="","",$Z17-87-87)</f>
        <v/>
      </c>
      <c r="AY17" s="110">
        <f>IF($A17="","",1*$G17)</f>
        <v/>
      </c>
      <c r="AZ17" s="108">
        <f>IF($A17="","",$B17-35-35)</f>
        <v/>
      </c>
      <c r="BA17" s="109">
        <f>IF($A17="","",$F17-35-10)</f>
        <v/>
      </c>
      <c r="BB17" s="110">
        <f>IF($A17="","",2*$G17)</f>
        <v/>
      </c>
    </row>
    <row r="18" ht="40.2" customHeight="1">
      <c r="A18" s="103" t="n"/>
      <c r="B18" s="104" t="n"/>
      <c r="C18" s="104">
        <f>IF($A18="","",$D18+$E18)</f>
        <v/>
      </c>
      <c r="D18" s="104" t="n"/>
      <c r="E18" s="104" t="n"/>
      <c r="F18" s="105">
        <f>IF($A18="","",(($C18-$D18-$E18)/2))</f>
        <v/>
      </c>
      <c r="G18" s="106" t="n"/>
      <c r="H18" s="111">
        <f>IF($A18="","",$B18)</f>
        <v/>
      </c>
      <c r="I18" s="112">
        <f>IF($A18="","",2*$G18)</f>
        <v/>
      </c>
      <c r="J18" s="111">
        <f>IF($A18="","",$H18)</f>
        <v/>
      </c>
      <c r="K18" s="112">
        <f>IF($A18="","",2*$G18)</f>
        <v/>
      </c>
      <c r="L18" s="111">
        <f>IF($A18="","",$C18-$F18-$F18-$E$56-$F$56)</f>
        <v/>
      </c>
      <c r="M18" s="112">
        <f>IF($A18="","",1*$G18)</f>
        <v/>
      </c>
      <c r="N18" s="111">
        <f>IF($A18="","",$L18)</f>
        <v/>
      </c>
      <c r="O18" s="112">
        <f>IF($A18="","",1*$G18)</f>
        <v/>
      </c>
      <c r="P18" s="111">
        <f>IF($A18="","",$F18-$E$58)</f>
        <v/>
      </c>
      <c r="Q18" s="112">
        <f>IF($A18="","",2*$G18)</f>
        <v/>
      </c>
      <c r="R18" s="111">
        <f>IF($A18="","",$H18)</f>
        <v/>
      </c>
      <c r="S18" s="112">
        <f>IF($A18="","",2*$G18)</f>
        <v/>
      </c>
      <c r="T18" s="111">
        <f>IF($A18="","",$P18)</f>
        <v/>
      </c>
      <c r="U18" s="112">
        <f>IF($A18="","",2*$G18)</f>
        <v/>
      </c>
      <c r="V18" s="111">
        <f>IF($A18="","",$B18-$E$61-$F$61)</f>
        <v/>
      </c>
      <c r="W18" s="112">
        <f>IF($A18="","",4*$G18)</f>
        <v/>
      </c>
      <c r="X18" s="111">
        <f>IF($A18="","",$D18-$E$62-$F$62)</f>
        <v/>
      </c>
      <c r="Y18" s="112">
        <f>IF($A18="","",2*$G18)</f>
        <v/>
      </c>
      <c r="Z18" s="111">
        <f>IF($A18="","",$E18-$E$63-$F$63)</f>
        <v/>
      </c>
      <c r="AA18" s="112">
        <f>IF($A18="","",2*$G18)</f>
        <v/>
      </c>
      <c r="AB18" s="111">
        <f>IF($A18="","",$V18-$E$64-$F$64)</f>
        <v/>
      </c>
      <c r="AC18" s="112">
        <f>IF($A18="","",4*$G18)</f>
        <v/>
      </c>
      <c r="AD18" s="111">
        <f>IF($A18="","",$X18-$E$65-$F$65)</f>
        <v/>
      </c>
      <c r="AE18" s="112">
        <f>IF($A18="","",2*$G18)</f>
        <v/>
      </c>
      <c r="AF18" s="111">
        <f>IF($A18="","",$Z18-$E$66-$F$66)</f>
        <v/>
      </c>
      <c r="AG18" s="112">
        <f>IF($A18="","",2*$G18)</f>
        <v/>
      </c>
      <c r="AH18" s="111">
        <f>IF($A18="","",$F18-$E$67)</f>
        <v/>
      </c>
      <c r="AI18" s="112">
        <f>IF($A18="","",2*$G18)</f>
        <v/>
      </c>
      <c r="AJ18" s="111">
        <f>IF($A18="","",$B18-$E$68-$F$68)</f>
        <v/>
      </c>
      <c r="AK18" s="112">
        <f>IF($A18="","",4*$G18)</f>
        <v/>
      </c>
      <c r="AL18" s="111">
        <f>IF($A18="","",$L18)</f>
        <v/>
      </c>
      <c r="AM18" s="112">
        <f>IF($A18="","",1*$G18)</f>
        <v/>
      </c>
      <c r="AN18" s="111">
        <f>IF($A18="","",$P18)</f>
        <v/>
      </c>
      <c r="AO18" s="112">
        <f>IF($A18="","",2*$G18)</f>
        <v/>
      </c>
      <c r="AP18" s="111">
        <f>IF($A18="","",$B18-$E$71-$F$71)</f>
        <v/>
      </c>
      <c r="AQ18" s="112">
        <f>IF($A18="","",1*$G18)</f>
        <v/>
      </c>
      <c r="AR18" s="111">
        <f>IF($A18="","",$P18)</f>
        <v/>
      </c>
      <c r="AS18" s="112">
        <f>IF($A18="","",2*$G18)</f>
        <v/>
      </c>
      <c r="AT18" s="108">
        <f>IF($A18="","",$V18-87-87)</f>
        <v/>
      </c>
      <c r="AU18" s="109">
        <f>IF($A18="","",$X18-87-87)</f>
        <v/>
      </c>
      <c r="AV18" s="110">
        <f>IF($A18="","",1*$G18)</f>
        <v/>
      </c>
      <c r="AW18" s="108">
        <f>IF($A18="","",$V18-87-87)</f>
        <v/>
      </c>
      <c r="AX18" s="109">
        <f>IF($A18="","",$Z18-87-87)</f>
        <v/>
      </c>
      <c r="AY18" s="110">
        <f>IF($A18="","",1*$G18)</f>
        <v/>
      </c>
      <c r="AZ18" s="108">
        <f>IF($A18="","",$B18-35-35)</f>
        <v/>
      </c>
      <c r="BA18" s="109">
        <f>IF($A18="","",$F18-35-10)</f>
        <v/>
      </c>
      <c r="BB18" s="110">
        <f>IF($A18="","",2*$G18)</f>
        <v/>
      </c>
    </row>
    <row r="19" ht="40.2" customHeight="1">
      <c r="A19" s="103" t="n"/>
      <c r="B19" s="104" t="n"/>
      <c r="C19" s="104">
        <f>IF($A19="","",$D19+$E19)</f>
        <v/>
      </c>
      <c r="D19" s="104" t="n"/>
      <c r="E19" s="104" t="n"/>
      <c r="F19" s="105">
        <f>IF($A19="","",(($C19-$D19-$E19)/2))</f>
        <v/>
      </c>
      <c r="G19" s="106" t="n"/>
      <c r="H19" s="107">
        <f>IF($A19="","",$B19)</f>
        <v/>
      </c>
      <c r="I19" s="106">
        <f>IF($A19="","",2*$G19)</f>
        <v/>
      </c>
      <c r="J19" s="107">
        <f>IF($A19="","",$H19)</f>
        <v/>
      </c>
      <c r="K19" s="106">
        <f>IF($A19="","",2*$G19)</f>
        <v/>
      </c>
      <c r="L19" s="107">
        <f>IF($A19="","",$C19-$F19-$F19-$E$56-$F$56)</f>
        <v/>
      </c>
      <c r="M19" s="106">
        <f>IF($A19="","",1*$G19)</f>
        <v/>
      </c>
      <c r="N19" s="107">
        <f>IF($A19="","",$L19)</f>
        <v/>
      </c>
      <c r="O19" s="106">
        <f>IF($A19="","",1*$G19)</f>
        <v/>
      </c>
      <c r="P19" s="107">
        <f>IF($A19="","",$F19-$E$58)</f>
        <v/>
      </c>
      <c r="Q19" s="106">
        <f>IF($A19="","",2*$G19)</f>
        <v/>
      </c>
      <c r="R19" s="107">
        <f>IF($A19="","",$H19)</f>
        <v/>
      </c>
      <c r="S19" s="106">
        <f>IF($A19="","",2*$G19)</f>
        <v/>
      </c>
      <c r="T19" s="107">
        <f>IF($A19="","",$P19)</f>
        <v/>
      </c>
      <c r="U19" s="106">
        <f>IF($A19="","",2*$G19)</f>
        <v/>
      </c>
      <c r="V19" s="107">
        <f>IF($A19="","",$B19-$E$61-$F$61)</f>
        <v/>
      </c>
      <c r="W19" s="106">
        <f>IF($A19="","",4*$G19)</f>
        <v/>
      </c>
      <c r="X19" s="107">
        <f>IF($A19="","",$D19-$E$62-$F$62)</f>
        <v/>
      </c>
      <c r="Y19" s="106">
        <f>IF($A19="","",2*$G19)</f>
        <v/>
      </c>
      <c r="Z19" s="107">
        <f>IF($A19="","",$E19-$E$63-$F$63)</f>
        <v/>
      </c>
      <c r="AA19" s="106">
        <f>IF($A19="","",2*$G19)</f>
        <v/>
      </c>
      <c r="AB19" s="107">
        <f>IF($A19="","",$V19-$E$64-$F$64)</f>
        <v/>
      </c>
      <c r="AC19" s="106">
        <f>IF($A19="","",4*$G19)</f>
        <v/>
      </c>
      <c r="AD19" s="107">
        <f>IF($A19="","",$X19-$E$65-$F$65)</f>
        <v/>
      </c>
      <c r="AE19" s="106">
        <f>IF($A19="","",2*$G19)</f>
        <v/>
      </c>
      <c r="AF19" s="107">
        <f>IF($A19="","",$Z19-$E$66-$F$66)</f>
        <v/>
      </c>
      <c r="AG19" s="106">
        <f>IF($A19="","",2*$G19)</f>
        <v/>
      </c>
      <c r="AH19" s="107">
        <f>IF($A19="","",$F19-$E$67)</f>
        <v/>
      </c>
      <c r="AI19" s="106">
        <f>IF($A19="","",2*$G19)</f>
        <v/>
      </c>
      <c r="AJ19" s="107">
        <f>IF($A19="","",$B19-$E$68-$F$68)</f>
        <v/>
      </c>
      <c r="AK19" s="106">
        <f>IF($A19="","",4*$G19)</f>
        <v/>
      </c>
      <c r="AL19" s="107">
        <f>IF($A19="","",$L19)</f>
        <v/>
      </c>
      <c r="AM19" s="106">
        <f>IF($A19="","",1*$G19)</f>
        <v/>
      </c>
      <c r="AN19" s="107">
        <f>IF($A19="","",$P19)</f>
        <v/>
      </c>
      <c r="AO19" s="106">
        <f>IF($A19="","",2*$G19)</f>
        <v/>
      </c>
      <c r="AP19" s="107">
        <f>IF($A19="","",$B19-$E$71-$F$71)</f>
        <v/>
      </c>
      <c r="AQ19" s="106">
        <f>IF($A19="","",1*$G19)</f>
        <v/>
      </c>
      <c r="AR19" s="107">
        <f>IF($A19="","",$P19)</f>
        <v/>
      </c>
      <c r="AS19" s="106">
        <f>IF($A19="","",2*$G19)</f>
        <v/>
      </c>
      <c r="AT19" s="108">
        <f>IF($A19="","",$V19-87-87)</f>
        <v/>
      </c>
      <c r="AU19" s="109">
        <f>IF($A19="","",$X19-87-87)</f>
        <v/>
      </c>
      <c r="AV19" s="110">
        <f>IF($A19="","",1*$G19)</f>
        <v/>
      </c>
      <c r="AW19" s="108">
        <f>IF($A19="","",$V19-87-87)</f>
        <v/>
      </c>
      <c r="AX19" s="109">
        <f>IF($A19="","",$Z19-87-87)</f>
        <v/>
      </c>
      <c r="AY19" s="110">
        <f>IF($A19="","",1*$G19)</f>
        <v/>
      </c>
      <c r="AZ19" s="108">
        <f>IF($A19="","",$B19-35-35)</f>
        <v/>
      </c>
      <c r="BA19" s="109">
        <f>IF($A19="","",$F19-35-10)</f>
        <v/>
      </c>
      <c r="BB19" s="110">
        <f>IF($A19="","",2*$G19)</f>
        <v/>
      </c>
    </row>
    <row r="20" ht="40.2" customHeight="1">
      <c r="A20" s="103" t="n"/>
      <c r="B20" s="104" t="n"/>
      <c r="C20" s="104">
        <f>IF($A20="","",$D20+$E20)</f>
        <v/>
      </c>
      <c r="D20" s="104" t="n"/>
      <c r="E20" s="104" t="n"/>
      <c r="F20" s="105">
        <f>IF($A20="","",(($C20-$D20-$E20)/2))</f>
        <v/>
      </c>
      <c r="G20" s="106" t="n"/>
      <c r="H20" s="111">
        <f>IF($A20="","",$B20)</f>
        <v/>
      </c>
      <c r="I20" s="112">
        <f>IF($A20="","",2*$G20)</f>
        <v/>
      </c>
      <c r="J20" s="111">
        <f>IF($A20="","",$H20)</f>
        <v/>
      </c>
      <c r="K20" s="112">
        <f>IF($A20="","",2*$G20)</f>
        <v/>
      </c>
      <c r="L20" s="111">
        <f>IF($A20="","",$C20-$F20-$F20-$E$56-$F$56)</f>
        <v/>
      </c>
      <c r="M20" s="112">
        <f>IF($A20="","",1*$G20)</f>
        <v/>
      </c>
      <c r="N20" s="111">
        <f>IF($A20="","",$L20)</f>
        <v/>
      </c>
      <c r="O20" s="112">
        <f>IF($A20="","",1*$G20)</f>
        <v/>
      </c>
      <c r="P20" s="111">
        <f>IF($A20="","",$F20-$E$58)</f>
        <v/>
      </c>
      <c r="Q20" s="112">
        <f>IF($A20="","",2*$G20)</f>
        <v/>
      </c>
      <c r="R20" s="111">
        <f>IF($A20="","",$H20)</f>
        <v/>
      </c>
      <c r="S20" s="112">
        <f>IF($A20="","",2*$G20)</f>
        <v/>
      </c>
      <c r="T20" s="111">
        <f>IF($A20="","",$P20)</f>
        <v/>
      </c>
      <c r="U20" s="112">
        <f>IF($A20="","",2*$G20)</f>
        <v/>
      </c>
      <c r="V20" s="111">
        <f>IF($A20="","",$B20-$E$61-$F$61)</f>
        <v/>
      </c>
      <c r="W20" s="112">
        <f>IF($A20="","",4*$G20)</f>
        <v/>
      </c>
      <c r="X20" s="111">
        <f>IF($A20="","",$D20-$E$62-$F$62)</f>
        <v/>
      </c>
      <c r="Y20" s="112">
        <f>IF($A20="","",2*$G20)</f>
        <v/>
      </c>
      <c r="Z20" s="111">
        <f>IF($A20="","",$E20-$E$63-$F$63)</f>
        <v/>
      </c>
      <c r="AA20" s="112">
        <f>IF($A20="","",2*$G20)</f>
        <v/>
      </c>
      <c r="AB20" s="111">
        <f>IF($A20="","",$V20-$E$64-$F$64)</f>
        <v/>
      </c>
      <c r="AC20" s="112">
        <f>IF($A20="","",4*$G20)</f>
        <v/>
      </c>
      <c r="AD20" s="111">
        <f>IF($A20="","",$X20-$E$65-$F$65)</f>
        <v/>
      </c>
      <c r="AE20" s="112">
        <f>IF($A20="","",2*$G20)</f>
        <v/>
      </c>
      <c r="AF20" s="111">
        <f>IF($A20="","",$Z20-$E$66-$F$66)</f>
        <v/>
      </c>
      <c r="AG20" s="112">
        <f>IF($A20="","",2*$G20)</f>
        <v/>
      </c>
      <c r="AH20" s="111">
        <f>IF($A20="","",$F20-$E$67)</f>
        <v/>
      </c>
      <c r="AI20" s="112">
        <f>IF($A20="","",2*$G20)</f>
        <v/>
      </c>
      <c r="AJ20" s="111">
        <f>IF($A20="","",$B20-$E$68-$F$68)</f>
        <v/>
      </c>
      <c r="AK20" s="112">
        <f>IF($A20="","",4*$G20)</f>
        <v/>
      </c>
      <c r="AL20" s="111">
        <f>IF($A20="","",$L20)</f>
        <v/>
      </c>
      <c r="AM20" s="112">
        <f>IF($A20="","",1*$G20)</f>
        <v/>
      </c>
      <c r="AN20" s="111">
        <f>IF($A20="","",$P20)</f>
        <v/>
      </c>
      <c r="AO20" s="112">
        <f>IF($A20="","",2*$G20)</f>
        <v/>
      </c>
      <c r="AP20" s="111">
        <f>IF($A20="","",$B20-$E$71-$F$71)</f>
        <v/>
      </c>
      <c r="AQ20" s="112">
        <f>IF($A20="","",1*$G20)</f>
        <v/>
      </c>
      <c r="AR20" s="111">
        <f>IF($A20="","",$P20)</f>
        <v/>
      </c>
      <c r="AS20" s="112">
        <f>IF($A20="","",2*$G20)</f>
        <v/>
      </c>
      <c r="AT20" s="108">
        <f>IF($A20="","",$V20-87-87)</f>
        <v/>
      </c>
      <c r="AU20" s="109">
        <f>IF($A20="","",$X20-87-87)</f>
        <v/>
      </c>
      <c r="AV20" s="110">
        <f>IF($A20="","",1*$G20)</f>
        <v/>
      </c>
      <c r="AW20" s="108">
        <f>IF($A20="","",$V20-87-87)</f>
        <v/>
      </c>
      <c r="AX20" s="109">
        <f>IF($A20="","",$Z20-87-87)</f>
        <v/>
      </c>
      <c r="AY20" s="110">
        <f>IF($A20="","",1*$G20)</f>
        <v/>
      </c>
      <c r="AZ20" s="108">
        <f>IF($A20="","",$B20-35-35)</f>
        <v/>
      </c>
      <c r="BA20" s="109">
        <f>IF($A20="","",$F20-35-10)</f>
        <v/>
      </c>
      <c r="BB20" s="110">
        <f>IF($A20="","",2*$G20)</f>
        <v/>
      </c>
    </row>
    <row r="21" ht="40.2" customHeight="1">
      <c r="A21" s="103" t="n"/>
      <c r="B21" s="104" t="n"/>
      <c r="C21" s="104">
        <f>IF($A21="","",$D21+$E21)</f>
        <v/>
      </c>
      <c r="D21" s="104" t="n"/>
      <c r="E21" s="104" t="n"/>
      <c r="F21" s="105">
        <f>IF($A21="","",(($C21-$D21-$E21)/2))</f>
        <v/>
      </c>
      <c r="G21" s="106" t="n"/>
      <c r="H21" s="107">
        <f>IF($A21="","",$B21)</f>
        <v/>
      </c>
      <c r="I21" s="106">
        <f>IF($A21="","",2*$G21)</f>
        <v/>
      </c>
      <c r="J21" s="107">
        <f>IF($A21="","",$H21)</f>
        <v/>
      </c>
      <c r="K21" s="106">
        <f>IF($A21="","",2*$G21)</f>
        <v/>
      </c>
      <c r="L21" s="107">
        <f>IF($A21="","",$C21-$F21-$F21-$E$56-$F$56)</f>
        <v/>
      </c>
      <c r="M21" s="106">
        <f>IF($A21="","",1*$G21)</f>
        <v/>
      </c>
      <c r="N21" s="107">
        <f>IF($A21="","",$L21)</f>
        <v/>
      </c>
      <c r="O21" s="106">
        <f>IF($A21="","",1*$G21)</f>
        <v/>
      </c>
      <c r="P21" s="107">
        <f>IF($A21="","",$F21-$E$58)</f>
        <v/>
      </c>
      <c r="Q21" s="106">
        <f>IF($A21="","",2*$G21)</f>
        <v/>
      </c>
      <c r="R21" s="107">
        <f>IF($A21="","",$H21)</f>
        <v/>
      </c>
      <c r="S21" s="106">
        <f>IF($A21="","",2*$G21)</f>
        <v/>
      </c>
      <c r="T21" s="107">
        <f>IF($A21="","",$P21)</f>
        <v/>
      </c>
      <c r="U21" s="106">
        <f>IF($A21="","",2*$G21)</f>
        <v/>
      </c>
      <c r="V21" s="107">
        <f>IF($A21="","",$B21-$E$61-$F$61)</f>
        <v/>
      </c>
      <c r="W21" s="106">
        <f>IF($A21="","",4*$G21)</f>
        <v/>
      </c>
      <c r="X21" s="107">
        <f>IF($A21="","",$D21-$E$62-$F$62)</f>
        <v/>
      </c>
      <c r="Y21" s="106">
        <f>IF($A21="","",2*$G21)</f>
        <v/>
      </c>
      <c r="Z21" s="107">
        <f>IF($A21="","",$E21-$E$63-$F$63)</f>
        <v/>
      </c>
      <c r="AA21" s="106">
        <f>IF($A21="","",2*$G21)</f>
        <v/>
      </c>
      <c r="AB21" s="107">
        <f>IF($A21="","",$V21-$E$64-$F$64)</f>
        <v/>
      </c>
      <c r="AC21" s="106">
        <f>IF($A21="","",4*$G21)</f>
        <v/>
      </c>
      <c r="AD21" s="107">
        <f>IF($A21="","",$X21-$E$65-$F$65)</f>
        <v/>
      </c>
      <c r="AE21" s="106">
        <f>IF($A21="","",2*$G21)</f>
        <v/>
      </c>
      <c r="AF21" s="107">
        <f>IF($A21="","",$Z21-$E$66-$F$66)</f>
        <v/>
      </c>
      <c r="AG21" s="106">
        <f>IF($A21="","",2*$G21)</f>
        <v/>
      </c>
      <c r="AH21" s="107">
        <f>IF($A21="","",$F21-$E$67)</f>
        <v/>
      </c>
      <c r="AI21" s="106">
        <f>IF($A21="","",2*$G21)</f>
        <v/>
      </c>
      <c r="AJ21" s="107">
        <f>IF($A21="","",$B21-$E$68-$F$68)</f>
        <v/>
      </c>
      <c r="AK21" s="106">
        <f>IF($A21="","",4*$G21)</f>
        <v/>
      </c>
      <c r="AL21" s="107">
        <f>IF($A21="","",$L21)</f>
        <v/>
      </c>
      <c r="AM21" s="106">
        <f>IF($A21="","",1*$G21)</f>
        <v/>
      </c>
      <c r="AN21" s="107">
        <f>IF($A21="","",$P21)</f>
        <v/>
      </c>
      <c r="AO21" s="106">
        <f>IF($A21="","",2*$G21)</f>
        <v/>
      </c>
      <c r="AP21" s="107">
        <f>IF($A21="","",$B21-$E$71-$F$71)</f>
        <v/>
      </c>
      <c r="AQ21" s="106">
        <f>IF($A21="","",1*$G21)</f>
        <v/>
      </c>
      <c r="AR21" s="107">
        <f>IF($A21="","",$P21)</f>
        <v/>
      </c>
      <c r="AS21" s="106">
        <f>IF($A21="","",2*$G21)</f>
        <v/>
      </c>
      <c r="AT21" s="108">
        <f>IF($A21="","",$V21-87-87)</f>
        <v/>
      </c>
      <c r="AU21" s="109">
        <f>IF($A21="","",$X21-87-87)</f>
        <v/>
      </c>
      <c r="AV21" s="110">
        <f>IF($A21="","",1*$G21)</f>
        <v/>
      </c>
      <c r="AW21" s="108">
        <f>IF($A21="","",$V21-87-87)</f>
        <v/>
      </c>
      <c r="AX21" s="109">
        <f>IF($A21="","",$Z21-87-87)</f>
        <v/>
      </c>
      <c r="AY21" s="110">
        <f>IF($A21="","",1*$G21)</f>
        <v/>
      </c>
      <c r="AZ21" s="108">
        <f>IF($A21="","",$B21-35-35)</f>
        <v/>
      </c>
      <c r="BA21" s="109">
        <f>IF($A21="","",$F21-35-10)</f>
        <v/>
      </c>
      <c r="BB21" s="110">
        <f>IF($A21="","",2*$G21)</f>
        <v/>
      </c>
    </row>
    <row r="22" ht="40.2" customHeight="1">
      <c r="A22" s="103" t="n"/>
      <c r="B22" s="104" t="n"/>
      <c r="C22" s="104">
        <f>IF($A22="","",$D22+$E22)</f>
        <v/>
      </c>
      <c r="D22" s="104" t="n"/>
      <c r="E22" s="104" t="n"/>
      <c r="F22" s="105">
        <f>IF($A22="","",(($C22-$D22-$E22)/2))</f>
        <v/>
      </c>
      <c r="G22" s="106" t="n"/>
      <c r="H22" s="111">
        <f>IF($A22="","",$B22)</f>
        <v/>
      </c>
      <c r="I22" s="112">
        <f>IF($A22="","",2*$G22)</f>
        <v/>
      </c>
      <c r="J22" s="111">
        <f>IF($A22="","",$H22)</f>
        <v/>
      </c>
      <c r="K22" s="112">
        <f>IF($A22="","",2*$G22)</f>
        <v/>
      </c>
      <c r="L22" s="111">
        <f>IF($A22="","",$C22-$F22-$F22-$E$56-$F$56)</f>
        <v/>
      </c>
      <c r="M22" s="112">
        <f>IF($A22="","",1*$G22)</f>
        <v/>
      </c>
      <c r="N22" s="111">
        <f>IF($A22="","",$L22)</f>
        <v/>
      </c>
      <c r="O22" s="112">
        <f>IF($A22="","",1*$G22)</f>
        <v/>
      </c>
      <c r="P22" s="111">
        <f>IF($A22="","",$F22-$E$58)</f>
        <v/>
      </c>
      <c r="Q22" s="112">
        <f>IF($A22="","",2*$G22)</f>
        <v/>
      </c>
      <c r="R22" s="111">
        <f>IF($A22="","",$H22)</f>
        <v/>
      </c>
      <c r="S22" s="112">
        <f>IF($A22="","",2*$G22)</f>
        <v/>
      </c>
      <c r="T22" s="111">
        <f>IF($A22="","",$P22)</f>
        <v/>
      </c>
      <c r="U22" s="112">
        <f>IF($A22="","",2*$G22)</f>
        <v/>
      </c>
      <c r="V22" s="111">
        <f>IF($A22="","",$B22-$E$61-$F$61)</f>
        <v/>
      </c>
      <c r="W22" s="112">
        <f>IF($A22="","",4*$G22)</f>
        <v/>
      </c>
      <c r="X22" s="111">
        <f>IF($A22="","",$D22-$E$62-$F$62)</f>
        <v/>
      </c>
      <c r="Y22" s="112">
        <f>IF($A22="","",2*$G22)</f>
        <v/>
      </c>
      <c r="Z22" s="111">
        <f>IF($A22="","",$E22-$E$63-$F$63)</f>
        <v/>
      </c>
      <c r="AA22" s="112">
        <f>IF($A22="","",2*$G22)</f>
        <v/>
      </c>
      <c r="AB22" s="111">
        <f>IF($A22="","",$V22-$E$64-$F$64)</f>
        <v/>
      </c>
      <c r="AC22" s="112">
        <f>IF($A22="","",4*$G22)</f>
        <v/>
      </c>
      <c r="AD22" s="111">
        <f>IF($A22="","",$X22-$E$65-$F$65)</f>
        <v/>
      </c>
      <c r="AE22" s="112">
        <f>IF($A22="","",2*$G22)</f>
        <v/>
      </c>
      <c r="AF22" s="111">
        <f>IF($A22="","",$Z22-$E$66-$F$66)</f>
        <v/>
      </c>
      <c r="AG22" s="112">
        <f>IF($A22="","",2*$G22)</f>
        <v/>
      </c>
      <c r="AH22" s="111">
        <f>IF($A22="","",$F22-$E$67)</f>
        <v/>
      </c>
      <c r="AI22" s="112">
        <f>IF($A22="","",2*$G22)</f>
        <v/>
      </c>
      <c r="AJ22" s="111">
        <f>IF($A22="","",$B22-$E$68-$F$68)</f>
        <v/>
      </c>
      <c r="AK22" s="112">
        <f>IF($A22="","",4*$G22)</f>
        <v/>
      </c>
      <c r="AL22" s="111">
        <f>IF($A22="","",$L22)</f>
        <v/>
      </c>
      <c r="AM22" s="112">
        <f>IF($A22="","",1*$G22)</f>
        <v/>
      </c>
      <c r="AN22" s="111">
        <f>IF($A22="","",$P22)</f>
        <v/>
      </c>
      <c r="AO22" s="112">
        <f>IF($A22="","",2*$G22)</f>
        <v/>
      </c>
      <c r="AP22" s="111">
        <f>IF($A22="","",$B22-$E$71-$F$71)</f>
        <v/>
      </c>
      <c r="AQ22" s="112">
        <f>IF($A22="","",1*$G22)</f>
        <v/>
      </c>
      <c r="AR22" s="111">
        <f>IF($A22="","",$P22)</f>
        <v/>
      </c>
      <c r="AS22" s="112">
        <f>IF($A22="","",2*$G22)</f>
        <v/>
      </c>
      <c r="AT22" s="108">
        <f>IF($A22="","",$V22-87-87)</f>
        <v/>
      </c>
      <c r="AU22" s="109">
        <f>IF($A22="","",$X22-87-87)</f>
        <v/>
      </c>
      <c r="AV22" s="110">
        <f>IF($A22="","",1*$G22)</f>
        <v/>
      </c>
      <c r="AW22" s="108">
        <f>IF($A22="","",$V22-87-87)</f>
        <v/>
      </c>
      <c r="AX22" s="109">
        <f>IF($A22="","",$Z22-87-87)</f>
        <v/>
      </c>
      <c r="AY22" s="110">
        <f>IF($A22="","",1*$G22)</f>
        <v/>
      </c>
      <c r="AZ22" s="108">
        <f>IF($A22="","",$B22-35-35)</f>
        <v/>
      </c>
      <c r="BA22" s="109">
        <f>IF($A22="","",$F22-35-10)</f>
        <v/>
      </c>
      <c r="BB22" s="110">
        <f>IF($A22="","",2*$G22)</f>
        <v/>
      </c>
    </row>
    <row r="23" ht="40.2" customHeight="1">
      <c r="A23" s="103" t="n"/>
      <c r="B23" s="104" t="n"/>
      <c r="C23" s="104">
        <f>IF($A23="","",$D23+$E23)</f>
        <v/>
      </c>
      <c r="D23" s="104" t="n"/>
      <c r="E23" s="104" t="n"/>
      <c r="F23" s="105">
        <f>IF($A23="","",(($C23-$D23-$E23)/2))</f>
        <v/>
      </c>
      <c r="G23" s="106" t="n"/>
      <c r="H23" s="107">
        <f>IF($A23="","",$B23)</f>
        <v/>
      </c>
      <c r="I23" s="106">
        <f>IF($A23="","",2*$G23)</f>
        <v/>
      </c>
      <c r="J23" s="107">
        <f>IF($A23="","",$H23)</f>
        <v/>
      </c>
      <c r="K23" s="106">
        <f>IF($A23="","",2*$G23)</f>
        <v/>
      </c>
      <c r="L23" s="107">
        <f>IF($A23="","",$C23-$F23-$F23-$E$56-$F$56)</f>
        <v/>
      </c>
      <c r="M23" s="106">
        <f>IF($A23="","",1*$G23)</f>
        <v/>
      </c>
      <c r="N23" s="107">
        <f>IF($A23="","",$L23)</f>
        <v/>
      </c>
      <c r="O23" s="106">
        <f>IF($A23="","",1*$G23)</f>
        <v/>
      </c>
      <c r="P23" s="107">
        <f>IF($A23="","",$F23-$E$58)</f>
        <v/>
      </c>
      <c r="Q23" s="106">
        <f>IF($A23="","",2*$G23)</f>
        <v/>
      </c>
      <c r="R23" s="107">
        <f>IF($A23="","",$H23)</f>
        <v/>
      </c>
      <c r="S23" s="106">
        <f>IF($A23="","",2*$G23)</f>
        <v/>
      </c>
      <c r="T23" s="107">
        <f>IF($A23="","",$P23)</f>
        <v/>
      </c>
      <c r="U23" s="106">
        <f>IF($A23="","",2*$G23)</f>
        <v/>
      </c>
      <c r="V23" s="107">
        <f>IF($A23="","",$B23-$E$61-$F$61)</f>
        <v/>
      </c>
      <c r="W23" s="106">
        <f>IF($A23="","",4*$G23)</f>
        <v/>
      </c>
      <c r="X23" s="107">
        <f>IF($A23="","",$D23-$E$62-$F$62)</f>
        <v/>
      </c>
      <c r="Y23" s="106">
        <f>IF($A23="","",2*$G23)</f>
        <v/>
      </c>
      <c r="Z23" s="107">
        <f>IF($A23="","",$E23-$E$63-$F$63)</f>
        <v/>
      </c>
      <c r="AA23" s="106">
        <f>IF($A23="","",2*$G23)</f>
        <v/>
      </c>
      <c r="AB23" s="107">
        <f>IF($A23="","",$V23-$E$64-$F$64)</f>
        <v/>
      </c>
      <c r="AC23" s="106">
        <f>IF($A23="","",4*$G23)</f>
        <v/>
      </c>
      <c r="AD23" s="107">
        <f>IF($A23="","",$X23-$E$65-$F$65)</f>
        <v/>
      </c>
      <c r="AE23" s="106">
        <f>IF($A23="","",2*$G23)</f>
        <v/>
      </c>
      <c r="AF23" s="107">
        <f>IF($A23="","",$Z23-$E$66-$F$66)</f>
        <v/>
      </c>
      <c r="AG23" s="106">
        <f>IF($A23="","",2*$G23)</f>
        <v/>
      </c>
      <c r="AH23" s="107">
        <f>IF($A23="","",$F23-$E$67)</f>
        <v/>
      </c>
      <c r="AI23" s="106">
        <f>IF($A23="","",2*$G23)</f>
        <v/>
      </c>
      <c r="AJ23" s="107">
        <f>IF($A23="","",$B23-$E$68-$F$68)</f>
        <v/>
      </c>
      <c r="AK23" s="106">
        <f>IF($A23="","",4*$G23)</f>
        <v/>
      </c>
      <c r="AL23" s="107">
        <f>IF($A23="","",$L23)</f>
        <v/>
      </c>
      <c r="AM23" s="106">
        <f>IF($A23="","",1*$G23)</f>
        <v/>
      </c>
      <c r="AN23" s="107">
        <f>IF($A23="","",$P23)</f>
        <v/>
      </c>
      <c r="AO23" s="106">
        <f>IF($A23="","",2*$G23)</f>
        <v/>
      </c>
      <c r="AP23" s="107">
        <f>IF($A23="","",$B23-$E$71-$F$71)</f>
        <v/>
      </c>
      <c r="AQ23" s="106">
        <f>IF($A23="","",1*$G23)</f>
        <v/>
      </c>
      <c r="AR23" s="107">
        <f>IF($A23="","",$P23)</f>
        <v/>
      </c>
      <c r="AS23" s="106">
        <f>IF($A23="","",2*$G23)</f>
        <v/>
      </c>
      <c r="AT23" s="108">
        <f>IF($A23="","",$V23-87-87)</f>
        <v/>
      </c>
      <c r="AU23" s="109">
        <f>IF($A23="","",$X23-87-87)</f>
        <v/>
      </c>
      <c r="AV23" s="110">
        <f>IF($A23="","",1*$G23)</f>
        <v/>
      </c>
      <c r="AW23" s="108">
        <f>IF($A23="","",$V23-87-87)</f>
        <v/>
      </c>
      <c r="AX23" s="109">
        <f>IF($A23="","",$Z23-87-87)</f>
        <v/>
      </c>
      <c r="AY23" s="110">
        <f>IF($A23="","",1*$G23)</f>
        <v/>
      </c>
      <c r="AZ23" s="108">
        <f>IF($A23="","",$B23-35-35)</f>
        <v/>
      </c>
      <c r="BA23" s="109">
        <f>IF($A23="","",$F23-35-10)</f>
        <v/>
      </c>
      <c r="BB23" s="110">
        <f>IF($A23="","",2*$G23)</f>
        <v/>
      </c>
    </row>
    <row r="24" ht="40.2" customHeight="1">
      <c r="A24" s="103" t="n"/>
      <c r="B24" s="104" t="n"/>
      <c r="C24" s="104">
        <f>IF($A24="","",$D24+$E24)</f>
        <v/>
      </c>
      <c r="D24" s="104" t="n"/>
      <c r="E24" s="104" t="n"/>
      <c r="F24" s="105">
        <f>IF($A24="","",(($C24-$D24-$E24)/2))</f>
        <v/>
      </c>
      <c r="G24" s="106" t="n"/>
      <c r="H24" s="111">
        <f>IF($A24="","",$B24)</f>
        <v/>
      </c>
      <c r="I24" s="112">
        <f>IF($A24="","",2*$G24)</f>
        <v/>
      </c>
      <c r="J24" s="111">
        <f>IF($A24="","",$H24)</f>
        <v/>
      </c>
      <c r="K24" s="112">
        <f>IF($A24="","",2*$G24)</f>
        <v/>
      </c>
      <c r="L24" s="111">
        <f>IF($A24="","",$C24-$F24-$F24-$E$56-$F$56)</f>
        <v/>
      </c>
      <c r="M24" s="112">
        <f>IF($A24="","",1*$G24)</f>
        <v/>
      </c>
      <c r="N24" s="111">
        <f>IF($A24="","",$L24)</f>
        <v/>
      </c>
      <c r="O24" s="112">
        <f>IF($A24="","",1*$G24)</f>
        <v/>
      </c>
      <c r="P24" s="111">
        <f>IF($A24="","",$F24-$E$58)</f>
        <v/>
      </c>
      <c r="Q24" s="112">
        <f>IF($A24="","",2*$G24)</f>
        <v/>
      </c>
      <c r="R24" s="111">
        <f>IF($A24="","",$H24)</f>
        <v/>
      </c>
      <c r="S24" s="112">
        <f>IF($A24="","",2*$G24)</f>
        <v/>
      </c>
      <c r="T24" s="111">
        <f>IF($A24="","",$P24)</f>
        <v/>
      </c>
      <c r="U24" s="112">
        <f>IF($A24="","",2*$G24)</f>
        <v/>
      </c>
      <c r="V24" s="111">
        <f>IF($A24="","",$B24-$E$61-$F$61)</f>
        <v/>
      </c>
      <c r="W24" s="112">
        <f>IF($A24="","",4*$G24)</f>
        <v/>
      </c>
      <c r="X24" s="111">
        <f>IF($A24="","",$D24-$E$62-$F$62)</f>
        <v/>
      </c>
      <c r="Y24" s="112">
        <f>IF($A24="","",2*$G24)</f>
        <v/>
      </c>
      <c r="Z24" s="111">
        <f>IF($A24="","",$E24-$E$63-$F$63)</f>
        <v/>
      </c>
      <c r="AA24" s="112">
        <f>IF($A24="","",2*$G24)</f>
        <v/>
      </c>
      <c r="AB24" s="111">
        <f>IF($A24="","",$V24-$E$64-$F$64)</f>
        <v/>
      </c>
      <c r="AC24" s="112">
        <f>IF($A24="","",4*$G24)</f>
        <v/>
      </c>
      <c r="AD24" s="111">
        <f>IF($A24="","",$X24-$E$65-$F$65)</f>
        <v/>
      </c>
      <c r="AE24" s="112">
        <f>IF($A24="","",2*$G24)</f>
        <v/>
      </c>
      <c r="AF24" s="111">
        <f>IF($A24="","",$Z24-$E$66-$F$66)</f>
        <v/>
      </c>
      <c r="AG24" s="112">
        <f>IF($A24="","",2*$G24)</f>
        <v/>
      </c>
      <c r="AH24" s="111">
        <f>IF($A24="","",$F24-$E$67)</f>
        <v/>
      </c>
      <c r="AI24" s="112">
        <f>IF($A24="","",2*$G24)</f>
        <v/>
      </c>
      <c r="AJ24" s="111">
        <f>IF($A24="","",$B24-$E$68-$F$68)</f>
        <v/>
      </c>
      <c r="AK24" s="112">
        <f>IF($A24="","",4*$G24)</f>
        <v/>
      </c>
      <c r="AL24" s="111">
        <f>IF($A24="","",$L24)</f>
        <v/>
      </c>
      <c r="AM24" s="112">
        <f>IF($A24="","",1*$G24)</f>
        <v/>
      </c>
      <c r="AN24" s="111">
        <f>IF($A24="","",$P24)</f>
        <v/>
      </c>
      <c r="AO24" s="112">
        <f>IF($A24="","",2*$G24)</f>
        <v/>
      </c>
      <c r="AP24" s="111">
        <f>IF($A24="","",$B24-$E$71-$F$71)</f>
        <v/>
      </c>
      <c r="AQ24" s="112">
        <f>IF($A24="","",1*$G24)</f>
        <v/>
      </c>
      <c r="AR24" s="111">
        <f>IF($A24="","",$P24)</f>
        <v/>
      </c>
      <c r="AS24" s="112">
        <f>IF($A24="","",2*$G24)</f>
        <v/>
      </c>
      <c r="AT24" s="108">
        <f>IF($A24="","",$V24-87-87)</f>
        <v/>
      </c>
      <c r="AU24" s="109">
        <f>IF($A24="","",$X24-87-87)</f>
        <v/>
      </c>
      <c r="AV24" s="110">
        <f>IF($A24="","",1*$G24)</f>
        <v/>
      </c>
      <c r="AW24" s="108">
        <f>IF($A24="","",$V24-87-87)</f>
        <v/>
      </c>
      <c r="AX24" s="109">
        <f>IF($A24="","",$Z24-87-87)</f>
        <v/>
      </c>
      <c r="AY24" s="110">
        <f>IF($A24="","",1*$G24)</f>
        <v/>
      </c>
      <c r="AZ24" s="108">
        <f>IF($A24="","",$B24-35-35)</f>
        <v/>
      </c>
      <c r="BA24" s="109">
        <f>IF($A24="","",$F24-35-10)</f>
        <v/>
      </c>
      <c r="BB24" s="110">
        <f>IF($A24="","",2*$G24)</f>
        <v/>
      </c>
    </row>
    <row r="25" ht="40.2" customHeight="1">
      <c r="A25" s="103" t="n"/>
      <c r="B25" s="104" t="n"/>
      <c r="C25" s="104">
        <f>IF($A25="","",$D25+$E25)</f>
        <v/>
      </c>
      <c r="D25" s="104" t="n"/>
      <c r="E25" s="104" t="n"/>
      <c r="F25" s="105">
        <f>IF($A25="","",(($C25-$D25-$E25)/2))</f>
        <v/>
      </c>
      <c r="G25" s="106" t="n"/>
      <c r="H25" s="107">
        <f>IF($A25="","",$B25)</f>
        <v/>
      </c>
      <c r="I25" s="106">
        <f>IF($A25="","",2*$G25)</f>
        <v/>
      </c>
      <c r="J25" s="107">
        <f>IF($A25="","",$H25)</f>
        <v/>
      </c>
      <c r="K25" s="106">
        <f>IF($A25="","",2*$G25)</f>
        <v/>
      </c>
      <c r="L25" s="107">
        <f>IF($A25="","",$C25-$F25-$F25-$E$56-$F$56)</f>
        <v/>
      </c>
      <c r="M25" s="106">
        <f>IF($A25="","",1*$G25)</f>
        <v/>
      </c>
      <c r="N25" s="107">
        <f>IF($A25="","",$L25)</f>
        <v/>
      </c>
      <c r="O25" s="106">
        <f>IF($A25="","",1*$G25)</f>
        <v/>
      </c>
      <c r="P25" s="107">
        <f>IF($A25="","",$F25-$E$58)</f>
        <v/>
      </c>
      <c r="Q25" s="106">
        <f>IF($A25="","",2*$G25)</f>
        <v/>
      </c>
      <c r="R25" s="107">
        <f>IF($A25="","",$H25)</f>
        <v/>
      </c>
      <c r="S25" s="106">
        <f>IF($A25="","",2*$G25)</f>
        <v/>
      </c>
      <c r="T25" s="107">
        <f>IF($A25="","",$P25)</f>
        <v/>
      </c>
      <c r="U25" s="106">
        <f>IF($A25="","",2*$G25)</f>
        <v/>
      </c>
      <c r="V25" s="107">
        <f>IF($A25="","",$B25-$E$61-$F$61)</f>
        <v/>
      </c>
      <c r="W25" s="106">
        <f>IF($A25="","",4*$G25)</f>
        <v/>
      </c>
      <c r="X25" s="107">
        <f>IF($A25="","",$D25-$E$62-$F$62)</f>
        <v/>
      </c>
      <c r="Y25" s="106">
        <f>IF($A25="","",2*$G25)</f>
        <v/>
      </c>
      <c r="Z25" s="107">
        <f>IF($A25="","",$E25-$E$63-$F$63)</f>
        <v/>
      </c>
      <c r="AA25" s="106">
        <f>IF($A25="","",2*$G25)</f>
        <v/>
      </c>
      <c r="AB25" s="107">
        <f>IF($A25="","",$V25-$E$64-$F$64)</f>
        <v/>
      </c>
      <c r="AC25" s="106">
        <f>IF($A25="","",4*$G25)</f>
        <v/>
      </c>
      <c r="AD25" s="107">
        <f>IF($A25="","",$X25-$E$65-$F$65)</f>
        <v/>
      </c>
      <c r="AE25" s="106">
        <f>IF($A25="","",2*$G25)</f>
        <v/>
      </c>
      <c r="AF25" s="107">
        <f>IF($A25="","",$Z25-$E$66-$F$66)</f>
        <v/>
      </c>
      <c r="AG25" s="106">
        <f>IF($A25="","",2*$G25)</f>
        <v/>
      </c>
      <c r="AH25" s="107">
        <f>IF($A25="","",$F25-$E$67)</f>
        <v/>
      </c>
      <c r="AI25" s="106">
        <f>IF($A25="","",2*$G25)</f>
        <v/>
      </c>
      <c r="AJ25" s="107">
        <f>IF($A25="","",$B25-$E$68-$F$68)</f>
        <v/>
      </c>
      <c r="AK25" s="106">
        <f>IF($A25="","",4*$G25)</f>
        <v/>
      </c>
      <c r="AL25" s="107">
        <f>IF($A25="","",$L25)</f>
        <v/>
      </c>
      <c r="AM25" s="106">
        <f>IF($A25="","",1*$G25)</f>
        <v/>
      </c>
      <c r="AN25" s="107">
        <f>IF($A25="","",$P25)</f>
        <v/>
      </c>
      <c r="AO25" s="106">
        <f>IF($A25="","",2*$G25)</f>
        <v/>
      </c>
      <c r="AP25" s="107">
        <f>IF($A25="","",$B25-$E$71-$F$71)</f>
        <v/>
      </c>
      <c r="AQ25" s="106">
        <f>IF($A25="","",1*$G25)</f>
        <v/>
      </c>
      <c r="AR25" s="107">
        <f>IF($A25="","",$P25)</f>
        <v/>
      </c>
      <c r="AS25" s="106">
        <f>IF($A25="","",2*$G25)</f>
        <v/>
      </c>
      <c r="AT25" s="108">
        <f>IF($A25="","",$V25-87-87)</f>
        <v/>
      </c>
      <c r="AU25" s="109">
        <f>IF($A25="","",$X25-87-87)</f>
        <v/>
      </c>
      <c r="AV25" s="110">
        <f>IF($A25="","",1*$G25)</f>
        <v/>
      </c>
      <c r="AW25" s="108">
        <f>IF($A25="","",$V25-87-87)</f>
        <v/>
      </c>
      <c r="AX25" s="109">
        <f>IF($A25="","",$Z25-87-87)</f>
        <v/>
      </c>
      <c r="AY25" s="110">
        <f>IF($A25="","",1*$G25)</f>
        <v/>
      </c>
      <c r="AZ25" s="108">
        <f>IF($A25="","",$B25-35-35)</f>
        <v/>
      </c>
      <c r="BA25" s="109">
        <f>IF($A25="","",$F25-35-10)</f>
        <v/>
      </c>
      <c r="BB25" s="110">
        <f>IF($A25="","",2*$G25)</f>
        <v/>
      </c>
    </row>
    <row r="26" ht="40.2" customHeight="1">
      <c r="A26" s="103" t="n"/>
      <c r="B26" s="104" t="n"/>
      <c r="C26" s="104">
        <f>IF($A26="","",$D26+$E26)</f>
        <v/>
      </c>
      <c r="D26" s="104" t="n"/>
      <c r="E26" s="104" t="n"/>
      <c r="F26" s="105">
        <f>IF($A26="","",(($C26-$D26-$E26)/2))</f>
        <v/>
      </c>
      <c r="G26" s="106" t="n"/>
      <c r="H26" s="111">
        <f>IF($A26="","",$B26)</f>
        <v/>
      </c>
      <c r="I26" s="112">
        <f>IF($A26="","",2*$G26)</f>
        <v/>
      </c>
      <c r="J26" s="111">
        <f>IF($A26="","",$H26)</f>
        <v/>
      </c>
      <c r="K26" s="112">
        <f>IF($A26="","",2*$G26)</f>
        <v/>
      </c>
      <c r="L26" s="111">
        <f>IF($A26="","",$C26-$F26-$F26-$E$56-$F$56)</f>
        <v/>
      </c>
      <c r="M26" s="112">
        <f>IF($A26="","",1*$G26)</f>
        <v/>
      </c>
      <c r="N26" s="111">
        <f>IF($A26="","",$L26)</f>
        <v/>
      </c>
      <c r="O26" s="112">
        <f>IF($A26="","",1*$G26)</f>
        <v/>
      </c>
      <c r="P26" s="111">
        <f>IF($A26="","",$F26-$E$58)</f>
        <v/>
      </c>
      <c r="Q26" s="112">
        <f>IF($A26="","",2*$G26)</f>
        <v/>
      </c>
      <c r="R26" s="111">
        <f>IF($A26="","",$H26)</f>
        <v/>
      </c>
      <c r="S26" s="112">
        <f>IF($A26="","",2*$G26)</f>
        <v/>
      </c>
      <c r="T26" s="111">
        <f>IF($A26="","",$P26)</f>
        <v/>
      </c>
      <c r="U26" s="112">
        <f>IF($A26="","",2*$G26)</f>
        <v/>
      </c>
      <c r="V26" s="111">
        <f>IF($A26="","",$B26-$E$61-$F$61)</f>
        <v/>
      </c>
      <c r="W26" s="112">
        <f>IF($A26="","",4*$G26)</f>
        <v/>
      </c>
      <c r="X26" s="111">
        <f>IF($A26="","",$D26-$E$62-$F$62)</f>
        <v/>
      </c>
      <c r="Y26" s="112">
        <f>IF($A26="","",2*$G26)</f>
        <v/>
      </c>
      <c r="Z26" s="111">
        <f>IF($A26="","",$E26-$E$63-$F$63)</f>
        <v/>
      </c>
      <c r="AA26" s="112">
        <f>IF($A26="","",2*$G26)</f>
        <v/>
      </c>
      <c r="AB26" s="111">
        <f>IF($A26="","",$V26-$E$64-$F$64)</f>
        <v/>
      </c>
      <c r="AC26" s="112">
        <f>IF($A26="","",4*$G26)</f>
        <v/>
      </c>
      <c r="AD26" s="111">
        <f>IF($A26="","",$X26-$E$65-$F$65)</f>
        <v/>
      </c>
      <c r="AE26" s="112">
        <f>IF($A26="","",2*$G26)</f>
        <v/>
      </c>
      <c r="AF26" s="111">
        <f>IF($A26="","",$Z26-$E$66-$F$66)</f>
        <v/>
      </c>
      <c r="AG26" s="112">
        <f>IF($A26="","",2*$G26)</f>
        <v/>
      </c>
      <c r="AH26" s="111">
        <f>IF($A26="","",$F26-$E$67)</f>
        <v/>
      </c>
      <c r="AI26" s="112">
        <f>IF($A26="","",2*$G26)</f>
        <v/>
      </c>
      <c r="AJ26" s="111">
        <f>IF($A26="","",$B26-$E$68-$F$68)</f>
        <v/>
      </c>
      <c r="AK26" s="112">
        <f>IF($A26="","",4*$G26)</f>
        <v/>
      </c>
      <c r="AL26" s="111">
        <f>IF($A26="","",$L26)</f>
        <v/>
      </c>
      <c r="AM26" s="112">
        <f>IF($A26="","",1*$G26)</f>
        <v/>
      </c>
      <c r="AN26" s="111">
        <f>IF($A26="","",$P26)</f>
        <v/>
      </c>
      <c r="AO26" s="112">
        <f>IF($A26="","",2*$G26)</f>
        <v/>
      </c>
      <c r="AP26" s="111">
        <f>IF($A26="","",$B26-$E$71-$F$71)</f>
        <v/>
      </c>
      <c r="AQ26" s="112">
        <f>IF($A26="","",1*$G26)</f>
        <v/>
      </c>
      <c r="AR26" s="111">
        <f>IF($A26="","",$P26)</f>
        <v/>
      </c>
      <c r="AS26" s="112">
        <f>IF($A26="","",2*$G26)</f>
        <v/>
      </c>
      <c r="AT26" s="108">
        <f>IF($A26="","",$V26-87-87)</f>
        <v/>
      </c>
      <c r="AU26" s="109">
        <f>IF($A26="","",$X26-87-87)</f>
        <v/>
      </c>
      <c r="AV26" s="110">
        <f>IF($A26="","",1*$G26)</f>
        <v/>
      </c>
      <c r="AW26" s="108">
        <f>IF($A26="","",$V26-87-87)</f>
        <v/>
      </c>
      <c r="AX26" s="109">
        <f>IF($A26="","",$Z26-87-87)</f>
        <v/>
      </c>
      <c r="AY26" s="110">
        <f>IF($A26="","",1*$G26)</f>
        <v/>
      </c>
      <c r="AZ26" s="108">
        <f>IF($A26="","",$B26-35-35)</f>
        <v/>
      </c>
      <c r="BA26" s="109">
        <f>IF($A26="","",$F26-35-10)</f>
        <v/>
      </c>
      <c r="BB26" s="110">
        <f>IF($A26="","",2*$G26)</f>
        <v/>
      </c>
    </row>
    <row r="27" ht="40.2" customHeight="1">
      <c r="A27" s="103" t="n"/>
      <c r="B27" s="104" t="n"/>
      <c r="C27" s="104">
        <f>IF($A27="","",$D27+$E27)</f>
        <v/>
      </c>
      <c r="D27" s="104" t="n"/>
      <c r="E27" s="104" t="n"/>
      <c r="F27" s="105">
        <f>IF($A27="","",(($C27-$D27-$E27)/2))</f>
        <v/>
      </c>
      <c r="G27" s="106" t="n"/>
      <c r="H27" s="107">
        <f>IF($A27="","",$B27)</f>
        <v/>
      </c>
      <c r="I27" s="106">
        <f>IF($A27="","",2*$G27)</f>
        <v/>
      </c>
      <c r="J27" s="107">
        <f>IF($A27="","",$H27)</f>
        <v/>
      </c>
      <c r="K27" s="106">
        <f>IF($A27="","",2*$G27)</f>
        <v/>
      </c>
      <c r="L27" s="107">
        <f>IF($A27="","",$C27-$F27-$F27-$E$56-$F$56)</f>
        <v/>
      </c>
      <c r="M27" s="106">
        <f>IF($A27="","",1*$G27)</f>
        <v/>
      </c>
      <c r="N27" s="107">
        <f>IF($A27="","",$L27)</f>
        <v/>
      </c>
      <c r="O27" s="106">
        <f>IF($A27="","",1*$G27)</f>
        <v/>
      </c>
      <c r="P27" s="107">
        <f>IF($A27="","",$F27-$E$58)</f>
        <v/>
      </c>
      <c r="Q27" s="106">
        <f>IF($A27="","",2*$G27)</f>
        <v/>
      </c>
      <c r="R27" s="107">
        <f>IF($A27="","",$H27)</f>
        <v/>
      </c>
      <c r="S27" s="106">
        <f>IF($A27="","",2*$G27)</f>
        <v/>
      </c>
      <c r="T27" s="107">
        <f>IF($A27="","",$P27)</f>
        <v/>
      </c>
      <c r="U27" s="106">
        <f>IF($A27="","",2*$G27)</f>
        <v/>
      </c>
      <c r="V27" s="107">
        <f>IF($A27="","",$B27-$E$61-$F$61)</f>
        <v/>
      </c>
      <c r="W27" s="106">
        <f>IF($A27="","",4*$G27)</f>
        <v/>
      </c>
      <c r="X27" s="107">
        <f>IF($A27="","",$D27-$E$62-$F$62)</f>
        <v/>
      </c>
      <c r="Y27" s="106">
        <f>IF($A27="","",2*$G27)</f>
        <v/>
      </c>
      <c r="Z27" s="107">
        <f>IF($A27="","",$E27-$E$63-$F$63)</f>
        <v/>
      </c>
      <c r="AA27" s="106">
        <f>IF($A27="","",2*$G27)</f>
        <v/>
      </c>
      <c r="AB27" s="107">
        <f>IF($A27="","",$V27-$E$64-$F$64)</f>
        <v/>
      </c>
      <c r="AC27" s="106">
        <f>IF($A27="","",4*$G27)</f>
        <v/>
      </c>
      <c r="AD27" s="107">
        <f>IF($A27="","",$X27-$E$65-$F$65)</f>
        <v/>
      </c>
      <c r="AE27" s="106">
        <f>IF($A27="","",2*$G27)</f>
        <v/>
      </c>
      <c r="AF27" s="107">
        <f>IF($A27="","",$Z27-$E$66-$F$66)</f>
        <v/>
      </c>
      <c r="AG27" s="106">
        <f>IF($A27="","",2*$G27)</f>
        <v/>
      </c>
      <c r="AH27" s="107">
        <f>IF($A27="","",$F27-$E$67)</f>
        <v/>
      </c>
      <c r="AI27" s="106">
        <f>IF($A27="","",2*$G27)</f>
        <v/>
      </c>
      <c r="AJ27" s="107">
        <f>IF($A27="","",$B27-$E$68-$F$68)</f>
        <v/>
      </c>
      <c r="AK27" s="106">
        <f>IF($A27="","",4*$G27)</f>
        <v/>
      </c>
      <c r="AL27" s="107">
        <f>IF($A27="","",$L27)</f>
        <v/>
      </c>
      <c r="AM27" s="106">
        <f>IF($A27="","",1*$G27)</f>
        <v/>
      </c>
      <c r="AN27" s="107">
        <f>IF($A27="","",$P27)</f>
        <v/>
      </c>
      <c r="AO27" s="106">
        <f>IF($A27="","",2*$G27)</f>
        <v/>
      </c>
      <c r="AP27" s="107">
        <f>IF($A27="","",$B27-$E$71-$F$71)</f>
        <v/>
      </c>
      <c r="AQ27" s="106">
        <f>IF($A27="","",1*$G27)</f>
        <v/>
      </c>
      <c r="AR27" s="107">
        <f>IF($A27="","",$P27)</f>
        <v/>
      </c>
      <c r="AS27" s="106">
        <f>IF($A27="","",2*$G27)</f>
        <v/>
      </c>
      <c r="AT27" s="108">
        <f>IF($A27="","",$V27-87-87)</f>
        <v/>
      </c>
      <c r="AU27" s="109">
        <f>IF($A27="","",$X27-87-87)</f>
        <v/>
      </c>
      <c r="AV27" s="110">
        <f>IF($A27="","",1*$G27)</f>
        <v/>
      </c>
      <c r="AW27" s="108">
        <f>IF($A27="","",$V27-87-87)</f>
        <v/>
      </c>
      <c r="AX27" s="109">
        <f>IF($A27="","",$Z27-87-87)</f>
        <v/>
      </c>
      <c r="AY27" s="110">
        <f>IF($A27="","",1*$G27)</f>
        <v/>
      </c>
      <c r="AZ27" s="108">
        <f>IF($A27="","",$B27-35-35)</f>
        <v/>
      </c>
      <c r="BA27" s="109">
        <f>IF($A27="","",$F27-35-10)</f>
        <v/>
      </c>
      <c r="BB27" s="110">
        <f>IF($A27="","",2*$G27)</f>
        <v/>
      </c>
    </row>
    <row r="28" ht="40.2" customHeight="1">
      <c r="A28" s="103" t="n"/>
      <c r="B28" s="104" t="n"/>
      <c r="C28" s="104">
        <f>IF($A28="","",$D28+$E28)</f>
        <v/>
      </c>
      <c r="D28" s="104" t="n"/>
      <c r="E28" s="104" t="n"/>
      <c r="F28" s="105">
        <f>IF($A28="","",(($C28-$D28-$E28)/2))</f>
        <v/>
      </c>
      <c r="G28" s="106" t="n"/>
      <c r="H28" s="111">
        <f>IF($A28="","",$B28)</f>
        <v/>
      </c>
      <c r="I28" s="112">
        <f>IF($A28="","",2*$G28)</f>
        <v/>
      </c>
      <c r="J28" s="111">
        <f>IF($A28="","",$H28)</f>
        <v/>
      </c>
      <c r="K28" s="112">
        <f>IF($A28="","",2*$G28)</f>
        <v/>
      </c>
      <c r="L28" s="111">
        <f>IF($A28="","",$C28-$F28-$F28-$E$56-$F$56)</f>
        <v/>
      </c>
      <c r="M28" s="112">
        <f>IF($A28="","",1*$G28)</f>
        <v/>
      </c>
      <c r="N28" s="111">
        <f>IF($A28="","",$L28)</f>
        <v/>
      </c>
      <c r="O28" s="112">
        <f>IF($A28="","",1*$G28)</f>
        <v/>
      </c>
      <c r="P28" s="111">
        <f>IF($A28="","",$F28-$E$58)</f>
        <v/>
      </c>
      <c r="Q28" s="112">
        <f>IF($A28="","",2*$G28)</f>
        <v/>
      </c>
      <c r="R28" s="111">
        <f>IF($A28="","",$H28)</f>
        <v/>
      </c>
      <c r="S28" s="112">
        <f>IF($A28="","",2*$G28)</f>
        <v/>
      </c>
      <c r="T28" s="111">
        <f>IF($A28="","",$P28)</f>
        <v/>
      </c>
      <c r="U28" s="112">
        <f>IF($A28="","",2*$G28)</f>
        <v/>
      </c>
      <c r="V28" s="111">
        <f>IF($A28="","",$B28-$E$61-$F$61)</f>
        <v/>
      </c>
      <c r="W28" s="112">
        <f>IF($A28="","",4*$G28)</f>
        <v/>
      </c>
      <c r="X28" s="111">
        <f>IF($A28="","",$D28-$E$62-$F$62)</f>
        <v/>
      </c>
      <c r="Y28" s="112">
        <f>IF($A28="","",2*$G28)</f>
        <v/>
      </c>
      <c r="Z28" s="111">
        <f>IF($A28="","",$E28-$E$63-$F$63)</f>
        <v/>
      </c>
      <c r="AA28" s="112">
        <f>IF($A28="","",2*$G28)</f>
        <v/>
      </c>
      <c r="AB28" s="111">
        <f>IF($A28="","",$V28-$E$64-$F$64)</f>
        <v/>
      </c>
      <c r="AC28" s="112">
        <f>IF($A28="","",4*$G28)</f>
        <v/>
      </c>
      <c r="AD28" s="111">
        <f>IF($A28="","",$X28-$E$65-$F$65)</f>
        <v/>
      </c>
      <c r="AE28" s="112">
        <f>IF($A28="","",2*$G28)</f>
        <v/>
      </c>
      <c r="AF28" s="111">
        <f>IF($A28="","",$Z28-$E$66-$F$66)</f>
        <v/>
      </c>
      <c r="AG28" s="112">
        <f>IF($A28="","",2*$G28)</f>
        <v/>
      </c>
      <c r="AH28" s="111">
        <f>IF($A28="","",$F28-$E$67)</f>
        <v/>
      </c>
      <c r="AI28" s="112">
        <f>IF($A28="","",2*$G28)</f>
        <v/>
      </c>
      <c r="AJ28" s="111">
        <f>IF($A28="","",$B28-$E$68-$F$68)</f>
        <v/>
      </c>
      <c r="AK28" s="112">
        <f>IF($A28="","",4*$G28)</f>
        <v/>
      </c>
      <c r="AL28" s="111">
        <f>IF($A28="","",$L28)</f>
        <v/>
      </c>
      <c r="AM28" s="112">
        <f>IF($A28="","",1*$G28)</f>
        <v/>
      </c>
      <c r="AN28" s="111">
        <f>IF($A28="","",$P28)</f>
        <v/>
      </c>
      <c r="AO28" s="112">
        <f>IF($A28="","",2*$G28)</f>
        <v/>
      </c>
      <c r="AP28" s="111">
        <f>IF($A28="","",$B28-$E$71-$F$71)</f>
        <v/>
      </c>
      <c r="AQ28" s="112">
        <f>IF($A28="","",1*$G28)</f>
        <v/>
      </c>
      <c r="AR28" s="111">
        <f>IF($A28="","",$P28)</f>
        <v/>
      </c>
      <c r="AS28" s="112">
        <f>IF($A28="","",2*$G28)</f>
        <v/>
      </c>
      <c r="AT28" s="108">
        <f>IF($A28="","",$V28-87-87)</f>
        <v/>
      </c>
      <c r="AU28" s="109">
        <f>IF($A28="","",$X28-87-87)</f>
        <v/>
      </c>
      <c r="AV28" s="110">
        <f>IF($A28="","",1*$G28)</f>
        <v/>
      </c>
      <c r="AW28" s="108">
        <f>IF($A28="","",$V28-87-87)</f>
        <v/>
      </c>
      <c r="AX28" s="109">
        <f>IF($A28="","",$Z28-87-87)</f>
        <v/>
      </c>
      <c r="AY28" s="110">
        <f>IF($A28="","",1*$G28)</f>
        <v/>
      </c>
      <c r="AZ28" s="108">
        <f>IF($A28="","",$B28-35-35)</f>
        <v/>
      </c>
      <c r="BA28" s="109">
        <f>IF($A28="","",$F28-35-10)</f>
        <v/>
      </c>
      <c r="BB28" s="110">
        <f>IF($A28="","",2*$G28)</f>
        <v/>
      </c>
    </row>
    <row r="29" ht="40.2" customHeight="1">
      <c r="A29" s="113" t="n"/>
      <c r="B29" s="113" t="n"/>
      <c r="C29" s="113" t="n"/>
      <c r="D29" s="113" t="n"/>
      <c r="E29" s="113" t="n"/>
      <c r="F29" s="113" t="n"/>
      <c r="G29" s="113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  <c r="AH29" s="114" t="n"/>
      <c r="AI29" s="114" t="n"/>
      <c r="AJ29" s="114" t="n"/>
      <c r="AK29" s="114" t="n"/>
      <c r="AL29" s="114" t="n"/>
      <c r="AM29" s="114" t="n"/>
      <c r="AN29" s="114" t="n"/>
      <c r="AO29" s="114" t="n"/>
      <c r="AP29" s="114" t="n"/>
      <c r="AQ29" s="114" t="n"/>
      <c r="AR29" s="114" t="n"/>
      <c r="AS29" s="114" t="n"/>
      <c r="AT29" s="115" t="n"/>
      <c r="AU29" s="113" t="n"/>
      <c r="AV29" s="113" t="n"/>
      <c r="AW29" s="115" t="n"/>
      <c r="AX29" s="113" t="n"/>
      <c r="AY29" s="113" t="n"/>
      <c r="AZ29" s="115" t="n"/>
      <c r="BA29" s="113" t="n"/>
      <c r="BB29" s="113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19" t="n"/>
      <c r="G30" s="20" t="n"/>
      <c r="H30" s="116">
        <f>H$7</f>
        <v/>
      </c>
      <c r="I30" s="116">
        <f>(ROUNDUP(I49/6400,0))</f>
        <v/>
      </c>
      <c r="J30" s="116">
        <f>J$7</f>
        <v/>
      </c>
      <c r="K30" s="116">
        <f>(ROUNDUP(K49/6400,0))</f>
        <v/>
      </c>
      <c r="L30" s="116">
        <f>L$7</f>
        <v/>
      </c>
      <c r="M30" s="116">
        <f>(ROUNDUP(M49/6400,0))</f>
        <v/>
      </c>
      <c r="N30" s="116">
        <f>N$7</f>
        <v/>
      </c>
      <c r="O30" s="19" t="n"/>
      <c r="P30" s="20" t="n"/>
      <c r="Q30" s="116">
        <f>(ROUNDUP(SUM(O49:Q49)/6400,0))</f>
        <v/>
      </c>
      <c r="R30" s="116">
        <f>R$7</f>
        <v/>
      </c>
      <c r="S30" s="19" t="n"/>
      <c r="T30" s="20" t="n"/>
      <c r="U30" s="116">
        <f>(ROUNDUP(SUM(S49:U49)/6400,0))</f>
        <v/>
      </c>
      <c r="V30" s="116">
        <f>V$7</f>
        <v/>
      </c>
      <c r="W30" s="19" t="n"/>
      <c r="X30" s="19" t="n"/>
      <c r="Y30" s="19" t="n"/>
      <c r="Z30" s="20" t="n"/>
      <c r="AA30" s="116">
        <f>(ROUNDUP(SUM(W49:AA49)/6400,0))</f>
        <v/>
      </c>
      <c r="AB30" s="116">
        <f>AB$7</f>
        <v/>
      </c>
      <c r="AC30" s="19" t="n"/>
      <c r="AD30" s="19" t="n"/>
      <c r="AE30" s="19" t="n"/>
      <c r="AF30" s="19" t="n"/>
      <c r="AG30" s="19" t="n"/>
      <c r="AH30" s="19" t="n"/>
      <c r="AI30" s="19" t="n"/>
      <c r="AJ30" s="20" t="n"/>
      <c r="AK30" s="116">
        <f>(ROUNDUP(SUM(AC49:AK49)/6400,0))</f>
        <v/>
      </c>
      <c r="AL30" s="116">
        <f>AL$7</f>
        <v/>
      </c>
      <c r="AM30" s="19" t="n"/>
      <c r="AN30" s="20" t="n"/>
      <c r="AO30" s="116">
        <f>(ROUNDUP(SUM(AM49:AO49)/6400,0))</f>
        <v/>
      </c>
      <c r="AP30" s="116">
        <f>AP$7</f>
        <v/>
      </c>
      <c r="AQ30" s="116">
        <f>(ROUNDUP(AQ49/6400,0))</f>
        <v/>
      </c>
      <c r="AR30" s="116">
        <f>AR$7</f>
        <v/>
      </c>
      <c r="AS30" s="116">
        <f>(ROUNDUP(AS49/6400,0))</f>
        <v/>
      </c>
      <c r="AT30" s="117" t="n"/>
      <c r="AU30" s="117" t="n"/>
      <c r="AV30" s="117" t="n"/>
      <c r="AW30" s="117" t="n"/>
      <c r="AX30" s="117" t="n"/>
      <c r="AY30" s="117" t="n"/>
      <c r="AZ30" s="117" t="n"/>
      <c r="BA30" s="117" t="n"/>
      <c r="BB30" s="117" t="n"/>
    </row>
    <row r="31" hidden="1" ht="40.2" customHeight="1">
      <c r="I31" s="72">
        <f>IF($A11="","",I11*H11)</f>
        <v/>
      </c>
      <c r="J31" s="72" t="n"/>
      <c r="K31" s="72">
        <f>IF($A11="","",K11*J11)</f>
        <v/>
      </c>
      <c r="L31" s="72" t="n"/>
      <c r="M31" s="72">
        <f>IF($A11="","",M11*L11)</f>
        <v/>
      </c>
      <c r="N31" s="72" t="n"/>
      <c r="O31" s="72">
        <f>IF($A11="","",O11*N11)</f>
        <v/>
      </c>
      <c r="P31" s="72" t="n"/>
      <c r="Q31" s="72">
        <f>IF($A11="","",Q11*P11)</f>
        <v/>
      </c>
      <c r="R31" s="72" t="n"/>
      <c r="S31" s="72">
        <f>IF($A11="","",S11*R11)</f>
        <v/>
      </c>
      <c r="T31" s="72" t="n"/>
      <c r="U31" s="72">
        <f>IF($A11="","",U11*T11)</f>
        <v/>
      </c>
      <c r="V31" s="72" t="n"/>
      <c r="W31" s="72">
        <f>IF($A11="","",W11*V11)</f>
        <v/>
      </c>
      <c r="X31" s="72" t="n"/>
      <c r="Y31" s="72">
        <f>IF($A11="","",Y11*X11)</f>
        <v/>
      </c>
      <c r="Z31" s="72" t="n"/>
      <c r="AA31" s="72">
        <f>IF($A11="","",AA11*Z11)</f>
        <v/>
      </c>
      <c r="AB31" s="72" t="n"/>
      <c r="AC31" s="72">
        <f>IF($A11="","",AC11*AB11)</f>
        <v/>
      </c>
      <c r="AD31" s="72" t="n"/>
      <c r="AE31" s="72">
        <f>IF($A11="","",AE11*AD11)</f>
        <v/>
      </c>
      <c r="AF31" s="72" t="n"/>
      <c r="AG31" s="72">
        <f>IF($A11="","",AG11*AF11)</f>
        <v/>
      </c>
      <c r="AH31" s="72" t="n"/>
      <c r="AI31" s="72">
        <f>IF($A11="","",AI11*AH11)</f>
        <v/>
      </c>
      <c r="AJ31" s="72" t="n"/>
      <c r="AK31" s="72">
        <f>IF($A11="","",AK11*AJ11)</f>
        <v/>
      </c>
      <c r="AL31" s="72" t="n"/>
      <c r="AM31" s="72">
        <f>IF($A11="","",AM11*AL11)</f>
        <v/>
      </c>
      <c r="AN31" s="72" t="n"/>
      <c r="AO31" s="72">
        <f>IF($A11="","",AO11*AN11)</f>
        <v/>
      </c>
      <c r="AP31" s="72" t="n"/>
      <c r="AQ31" s="72">
        <f>IF($A11="","",AQ11*AP11)</f>
        <v/>
      </c>
      <c r="AR31" s="72" t="n"/>
      <c r="AS31" s="72">
        <f>IF($A11="","",AS11*AR11)</f>
        <v/>
      </c>
    </row>
    <row r="32" hidden="1" ht="40.2" customHeight="1">
      <c r="I32" s="72">
        <f>IF($A12="","",I12*H12)</f>
        <v/>
      </c>
      <c r="J32" s="72" t="n"/>
      <c r="K32" s="72">
        <f>IF($A12="","",K12*J12)</f>
        <v/>
      </c>
      <c r="L32" s="72" t="n"/>
      <c r="M32" s="72">
        <f>IF($A12="","",M12*L12)</f>
        <v/>
      </c>
      <c r="N32" s="72" t="n"/>
      <c r="O32" s="72">
        <f>IF($A12="","",O12*N12)</f>
        <v/>
      </c>
      <c r="P32" s="72" t="n"/>
      <c r="Q32" s="72">
        <f>IF($A12="","",Q12*P12)</f>
        <v/>
      </c>
      <c r="R32" s="72" t="n"/>
      <c r="S32" s="72">
        <f>IF($A12="","",S12*R12)</f>
        <v/>
      </c>
      <c r="T32" s="72" t="n"/>
      <c r="U32" s="72">
        <f>IF($A12="","",U12*T12)</f>
        <v/>
      </c>
      <c r="V32" s="72" t="n"/>
      <c r="W32" s="72">
        <f>IF($A12="","",W12*V12)</f>
        <v/>
      </c>
      <c r="X32" s="72" t="n"/>
      <c r="Y32" s="72">
        <f>IF($A12="","",Y12*X12)</f>
        <v/>
      </c>
      <c r="Z32" s="72" t="n"/>
      <c r="AA32" s="72">
        <f>IF($A12="","",AA12*Z12)</f>
        <v/>
      </c>
      <c r="AB32" s="72" t="n"/>
      <c r="AC32" s="72">
        <f>IF($A12="","",AC12*AB12)</f>
        <v/>
      </c>
      <c r="AD32" s="72" t="n"/>
      <c r="AE32" s="72">
        <f>IF($A12="","",AE12*AD12)</f>
        <v/>
      </c>
      <c r="AF32" s="72" t="n"/>
      <c r="AG32" s="72">
        <f>IF($A12="","",AG12*AF12)</f>
        <v/>
      </c>
      <c r="AH32" s="72" t="n"/>
      <c r="AI32" s="72">
        <f>IF($A12="","",AI12*AH12)</f>
        <v/>
      </c>
      <c r="AJ32" s="72" t="n"/>
      <c r="AK32" s="72">
        <f>IF($A12="","",AK12*AJ12)</f>
        <v/>
      </c>
      <c r="AL32" s="72" t="n"/>
      <c r="AM32" s="72">
        <f>IF($A12="","",AM12*AL12)</f>
        <v/>
      </c>
      <c r="AN32" s="72" t="n"/>
      <c r="AO32" s="72">
        <f>IF($A12="","",AO12*AN12)</f>
        <v/>
      </c>
      <c r="AP32" s="72" t="n"/>
      <c r="AQ32" s="72">
        <f>IF($A12="","",AQ12*AP12)</f>
        <v/>
      </c>
      <c r="AR32" s="72" t="n"/>
      <c r="AS32" s="72">
        <f>IF($A12="","",AS12*AR12)</f>
        <v/>
      </c>
    </row>
    <row r="33" hidden="1" ht="40.2" customHeight="1">
      <c r="I33" s="72">
        <f>IF($A13="","",I13*H13)</f>
        <v/>
      </c>
      <c r="J33" s="72" t="n"/>
      <c r="K33" s="72">
        <f>IF($A13="","",K13*J13)</f>
        <v/>
      </c>
      <c r="L33" s="72" t="n"/>
      <c r="M33" s="72">
        <f>IF($A13="","",M13*L13)</f>
        <v/>
      </c>
      <c r="N33" s="72" t="n"/>
      <c r="O33" s="72">
        <f>IF($A13="","",O13*N13)</f>
        <v/>
      </c>
      <c r="P33" s="72" t="n"/>
      <c r="Q33" s="72">
        <f>IF($A13="","",Q13*P13)</f>
        <v/>
      </c>
      <c r="R33" s="72" t="n"/>
      <c r="S33" s="72">
        <f>IF($A13="","",S13*R13)</f>
        <v/>
      </c>
      <c r="T33" s="72" t="n"/>
      <c r="U33" s="72">
        <f>IF($A13="","",U13*T13)</f>
        <v/>
      </c>
      <c r="V33" s="72" t="n"/>
      <c r="W33" s="72">
        <f>IF($A13="","",W13*V13)</f>
        <v/>
      </c>
      <c r="X33" s="72" t="n"/>
      <c r="Y33" s="72">
        <f>IF($A13="","",Y13*X13)</f>
        <v/>
      </c>
      <c r="Z33" s="72" t="n"/>
      <c r="AA33" s="72">
        <f>IF($A13="","",AA13*Z13)</f>
        <v/>
      </c>
      <c r="AB33" s="72" t="n"/>
      <c r="AC33" s="72">
        <f>IF($A13="","",AC13*AB13)</f>
        <v/>
      </c>
      <c r="AD33" s="72" t="n"/>
      <c r="AE33" s="72">
        <f>IF($A13="","",AE13*AD13)</f>
        <v/>
      </c>
      <c r="AF33" s="72" t="n"/>
      <c r="AG33" s="72">
        <f>IF($A13="","",AG13*AF13)</f>
        <v/>
      </c>
      <c r="AH33" s="72" t="n"/>
      <c r="AI33" s="72">
        <f>IF($A13="","",AI13*AH13)</f>
        <v/>
      </c>
      <c r="AJ33" s="72" t="n"/>
      <c r="AK33" s="72">
        <f>IF($A13="","",AK13*AJ13)</f>
        <v/>
      </c>
      <c r="AL33" s="72" t="n"/>
      <c r="AM33" s="72">
        <f>IF($A13="","",AM13*AL13)</f>
        <v/>
      </c>
      <c r="AN33" s="72" t="n"/>
      <c r="AO33" s="72">
        <f>IF($A13="","",AO13*AN13)</f>
        <v/>
      </c>
      <c r="AP33" s="72" t="n"/>
      <c r="AQ33" s="72">
        <f>IF($A13="","",AQ13*AP13)</f>
        <v/>
      </c>
      <c r="AR33" s="72" t="n"/>
      <c r="AS33" s="72">
        <f>IF($A13="","",AS13*AR13)</f>
        <v/>
      </c>
    </row>
    <row r="34" hidden="1" ht="40.2" customHeight="1">
      <c r="I34" s="72">
        <f>IF($A14="","",I14*H14)</f>
        <v/>
      </c>
      <c r="J34" s="72" t="n"/>
      <c r="K34" s="72">
        <f>IF($A14="","",K14*J14)</f>
        <v/>
      </c>
      <c r="L34" s="72" t="n"/>
      <c r="M34" s="72">
        <f>IF($A14="","",M14*L14)</f>
        <v/>
      </c>
      <c r="N34" s="72" t="n"/>
      <c r="O34" s="72">
        <f>IF($A14="","",O14*N14)</f>
        <v/>
      </c>
      <c r="P34" s="72" t="n"/>
      <c r="Q34" s="72">
        <f>IF($A14="","",Q14*P14)</f>
        <v/>
      </c>
      <c r="R34" s="72" t="n"/>
      <c r="S34" s="72">
        <f>IF($A14="","",S14*R14)</f>
        <v/>
      </c>
      <c r="T34" s="72" t="n"/>
      <c r="U34" s="72">
        <f>IF($A14="","",U14*T14)</f>
        <v/>
      </c>
      <c r="V34" s="72" t="n"/>
      <c r="W34" s="72">
        <f>IF($A14="","",W14*V14)</f>
        <v/>
      </c>
      <c r="X34" s="72" t="n"/>
      <c r="Y34" s="72">
        <f>IF($A14="","",Y14*X14)</f>
        <v/>
      </c>
      <c r="Z34" s="72" t="n"/>
      <c r="AA34" s="72">
        <f>IF($A14="","",AA14*Z14)</f>
        <v/>
      </c>
      <c r="AB34" s="72" t="n"/>
      <c r="AC34" s="72">
        <f>IF($A14="","",AC14*AB14)</f>
        <v/>
      </c>
      <c r="AD34" s="72" t="n"/>
      <c r="AE34" s="72">
        <f>IF($A14="","",AE14*AD14)</f>
        <v/>
      </c>
      <c r="AF34" s="72" t="n"/>
      <c r="AG34" s="72">
        <f>IF($A14="","",AG14*AF14)</f>
        <v/>
      </c>
      <c r="AH34" s="72" t="n"/>
      <c r="AI34" s="72">
        <f>IF($A14="","",AI14*AH14)</f>
        <v/>
      </c>
      <c r="AJ34" s="72" t="n"/>
      <c r="AK34" s="72">
        <f>IF($A14="","",AK14*AJ14)</f>
        <v/>
      </c>
      <c r="AL34" s="72" t="n"/>
      <c r="AM34" s="72">
        <f>IF($A14="","",AM14*AL14)</f>
        <v/>
      </c>
      <c r="AN34" s="72" t="n"/>
      <c r="AO34" s="72">
        <f>IF($A14="","",AO14*AN14)</f>
        <v/>
      </c>
      <c r="AP34" s="72" t="n"/>
      <c r="AQ34" s="72">
        <f>IF($A14="","",AQ14*AP14)</f>
        <v/>
      </c>
      <c r="AR34" s="72" t="n"/>
      <c r="AS34" s="72">
        <f>IF($A14="","",AS14*AR14)</f>
        <v/>
      </c>
    </row>
    <row r="35" hidden="1" ht="40.2" customHeight="1">
      <c r="I35" s="72">
        <f>IF($A15="","",I15*H15)</f>
        <v/>
      </c>
      <c r="J35" s="72" t="n"/>
      <c r="K35" s="72">
        <f>IF($A15="","",K15*J15)</f>
        <v/>
      </c>
      <c r="L35" s="72" t="n"/>
      <c r="M35" s="72">
        <f>IF($A15="","",M15*L15)</f>
        <v/>
      </c>
      <c r="N35" s="72" t="n"/>
      <c r="O35" s="72">
        <f>IF($A15="","",O15*N15)</f>
        <v/>
      </c>
      <c r="P35" s="72" t="n"/>
      <c r="Q35" s="72">
        <f>IF($A15="","",Q15*P15)</f>
        <v/>
      </c>
      <c r="R35" s="72" t="n"/>
      <c r="S35" s="72">
        <f>IF($A15="","",S15*R15)</f>
        <v/>
      </c>
      <c r="T35" s="72" t="n"/>
      <c r="U35" s="72">
        <f>IF($A15="","",U15*T15)</f>
        <v/>
      </c>
      <c r="V35" s="72" t="n"/>
      <c r="W35" s="72">
        <f>IF($A15="","",W15*V15)</f>
        <v/>
      </c>
      <c r="X35" s="72" t="n"/>
      <c r="Y35" s="72">
        <f>IF($A15="","",Y15*X15)</f>
        <v/>
      </c>
      <c r="Z35" s="72" t="n"/>
      <c r="AA35" s="72">
        <f>IF($A15="","",AA15*Z15)</f>
        <v/>
      </c>
      <c r="AB35" s="72" t="n"/>
      <c r="AC35" s="72">
        <f>IF($A15="","",AC15*AB15)</f>
        <v/>
      </c>
      <c r="AD35" s="72" t="n"/>
      <c r="AE35" s="72">
        <f>IF($A15="","",AE15*AD15)</f>
        <v/>
      </c>
      <c r="AF35" s="72" t="n"/>
      <c r="AG35" s="72">
        <f>IF($A15="","",AG15*AF15)</f>
        <v/>
      </c>
      <c r="AH35" s="72" t="n"/>
      <c r="AI35" s="72">
        <f>IF($A15="","",AI15*AH15)</f>
        <v/>
      </c>
      <c r="AJ35" s="72" t="n"/>
      <c r="AK35" s="72">
        <f>IF($A15="","",AK15*AJ15)</f>
        <v/>
      </c>
      <c r="AL35" s="72" t="n"/>
      <c r="AM35" s="72">
        <f>IF($A15="","",AM15*AL15)</f>
        <v/>
      </c>
      <c r="AN35" s="72" t="n"/>
      <c r="AO35" s="72">
        <f>IF($A15="","",AO15*AN15)</f>
        <v/>
      </c>
      <c r="AP35" s="72" t="n"/>
      <c r="AQ35" s="72">
        <f>IF($A15="","",AQ15*AP15)</f>
        <v/>
      </c>
      <c r="AR35" s="72" t="n"/>
      <c r="AS35" s="72">
        <f>IF($A15="","",AS15*AR15)</f>
        <v/>
      </c>
    </row>
    <row r="36" hidden="1">
      <c r="I36" s="72">
        <f>IF($A16="","",I16*H16)</f>
        <v/>
      </c>
      <c r="J36" s="72" t="n"/>
      <c r="K36" s="72">
        <f>IF($A16="","",K16*J16)</f>
        <v/>
      </c>
      <c r="L36" s="72" t="n"/>
      <c r="M36" s="72">
        <f>IF($A16="","",M16*L16)</f>
        <v/>
      </c>
      <c r="N36" s="72" t="n"/>
      <c r="O36" s="72">
        <f>IF($A16="","",O16*N16)</f>
        <v/>
      </c>
      <c r="P36" s="72" t="n"/>
      <c r="Q36" s="72">
        <f>IF($A16="","",Q16*P16)</f>
        <v/>
      </c>
      <c r="R36" s="72" t="n"/>
      <c r="S36" s="72">
        <f>IF($A16="","",S16*R16)</f>
        <v/>
      </c>
      <c r="T36" s="72" t="n"/>
      <c r="U36" s="72">
        <f>IF($A16="","",U16*T16)</f>
        <v/>
      </c>
      <c r="V36" s="72" t="n"/>
      <c r="W36" s="72">
        <f>IF($A16="","",W16*V16)</f>
        <v/>
      </c>
      <c r="X36" s="72" t="n"/>
      <c r="Y36" s="72">
        <f>IF($A16="","",Y16*X16)</f>
        <v/>
      </c>
      <c r="Z36" s="72" t="n"/>
      <c r="AA36" s="72">
        <f>IF($A16="","",AA16*Z16)</f>
        <v/>
      </c>
      <c r="AB36" s="72" t="n"/>
      <c r="AC36" s="72">
        <f>IF($A16="","",AC16*AB16)</f>
        <v/>
      </c>
      <c r="AD36" s="72" t="n"/>
      <c r="AE36" s="72">
        <f>IF($A16="","",AE16*AD16)</f>
        <v/>
      </c>
      <c r="AF36" s="72" t="n"/>
      <c r="AG36" s="72">
        <f>IF($A16="","",AG16*AF16)</f>
        <v/>
      </c>
      <c r="AH36" s="72" t="n"/>
      <c r="AI36" s="72">
        <f>IF($A16="","",AI16*AH16)</f>
        <v/>
      </c>
      <c r="AJ36" s="72" t="n"/>
      <c r="AK36" s="72">
        <f>IF($A16="","",AK16*AJ16)</f>
        <v/>
      </c>
      <c r="AL36" s="72" t="n"/>
      <c r="AM36" s="72">
        <f>IF($A16="","",AM16*AL16)</f>
        <v/>
      </c>
      <c r="AN36" s="72" t="n"/>
      <c r="AO36" s="72">
        <f>IF($A16="","",AO16*AN16)</f>
        <v/>
      </c>
      <c r="AP36" s="72" t="n"/>
      <c r="AQ36" s="72">
        <f>IF($A16="","",AQ16*AP16)</f>
        <v/>
      </c>
      <c r="AR36" s="72" t="n"/>
      <c r="AS36" s="72">
        <f>IF($A16="","",AS16*AR16)</f>
        <v/>
      </c>
    </row>
    <row r="37" hidden="1">
      <c r="I37" s="72">
        <f>IF($A17="","",I17*H17)</f>
        <v/>
      </c>
      <c r="J37" s="72" t="n"/>
      <c r="K37" s="72">
        <f>IF($A17="","",K17*J17)</f>
        <v/>
      </c>
      <c r="L37" s="72" t="n"/>
      <c r="M37" s="72">
        <f>IF($A17="","",M17*L17)</f>
        <v/>
      </c>
      <c r="N37" s="72" t="n"/>
      <c r="O37" s="72">
        <f>IF($A17="","",O17*N17)</f>
        <v/>
      </c>
      <c r="P37" s="72" t="n"/>
      <c r="Q37" s="72">
        <f>IF($A17="","",Q17*P17)</f>
        <v/>
      </c>
      <c r="R37" s="72" t="n"/>
      <c r="S37" s="72">
        <f>IF($A17="","",S17*R17)</f>
        <v/>
      </c>
      <c r="T37" s="72" t="n"/>
      <c r="U37" s="72">
        <f>IF($A17="","",U17*T17)</f>
        <v/>
      </c>
      <c r="V37" s="72" t="n"/>
      <c r="W37" s="72">
        <f>IF($A17="","",W17*V17)</f>
        <v/>
      </c>
      <c r="X37" s="72" t="n"/>
      <c r="Y37" s="72">
        <f>IF($A17="","",Y17*X17)</f>
        <v/>
      </c>
      <c r="Z37" s="72" t="n"/>
      <c r="AA37" s="72">
        <f>IF($A17="","",AA17*Z17)</f>
        <v/>
      </c>
      <c r="AB37" s="72" t="n"/>
      <c r="AC37" s="72">
        <f>IF($A17="","",AC17*AB17)</f>
        <v/>
      </c>
      <c r="AD37" s="72" t="n"/>
      <c r="AE37" s="72">
        <f>IF($A17="","",AE17*AD17)</f>
        <v/>
      </c>
      <c r="AF37" s="72" t="n"/>
      <c r="AG37" s="72">
        <f>IF($A17="","",AG17*AF17)</f>
        <v/>
      </c>
      <c r="AH37" s="72" t="n"/>
      <c r="AI37" s="72">
        <f>IF($A17="","",AI17*AH17)</f>
        <v/>
      </c>
      <c r="AJ37" s="72" t="n"/>
      <c r="AK37" s="72">
        <f>IF($A17="","",AK17*AJ17)</f>
        <v/>
      </c>
      <c r="AL37" s="72" t="n"/>
      <c r="AM37" s="72">
        <f>IF($A17="","",AM17*AL17)</f>
        <v/>
      </c>
      <c r="AN37" s="72" t="n"/>
      <c r="AO37" s="72">
        <f>IF($A17="","",AO17*AN17)</f>
        <v/>
      </c>
      <c r="AP37" s="72" t="n"/>
      <c r="AQ37" s="72">
        <f>IF($A17="","",AQ17*AP17)</f>
        <v/>
      </c>
      <c r="AR37" s="72" t="n"/>
      <c r="AS37" s="72">
        <f>IF($A17="","",AS17*AR17)</f>
        <v/>
      </c>
    </row>
    <row r="38" hidden="1">
      <c r="I38" s="72">
        <f>IF($A18="","",I18*H18)</f>
        <v/>
      </c>
      <c r="J38" s="72" t="n"/>
      <c r="K38" s="72">
        <f>IF($A18="","",K18*J18)</f>
        <v/>
      </c>
      <c r="L38" s="72" t="n"/>
      <c r="M38" s="72">
        <f>IF($A18="","",M18*L18)</f>
        <v/>
      </c>
      <c r="N38" s="72" t="n"/>
      <c r="O38" s="72">
        <f>IF($A18="","",O18*N18)</f>
        <v/>
      </c>
      <c r="P38" s="72" t="n"/>
      <c r="Q38" s="72">
        <f>IF($A18="","",Q18*P18)</f>
        <v/>
      </c>
      <c r="R38" s="72" t="n"/>
      <c r="S38" s="72">
        <f>IF($A18="","",S18*R18)</f>
        <v/>
      </c>
      <c r="T38" s="72" t="n"/>
      <c r="U38" s="72">
        <f>IF($A18="","",U18*T18)</f>
        <v/>
      </c>
      <c r="V38" s="72" t="n"/>
      <c r="W38" s="72">
        <f>IF($A18="","",W18*V18)</f>
        <v/>
      </c>
      <c r="X38" s="72" t="n"/>
      <c r="Y38" s="72">
        <f>IF($A18="","",Y18*X18)</f>
        <v/>
      </c>
      <c r="Z38" s="72" t="n"/>
      <c r="AA38" s="72">
        <f>IF($A18="","",AA18*Z18)</f>
        <v/>
      </c>
      <c r="AB38" s="72" t="n"/>
      <c r="AC38" s="72">
        <f>IF($A18="","",AC18*AB18)</f>
        <v/>
      </c>
      <c r="AD38" s="72" t="n"/>
      <c r="AE38" s="72">
        <f>IF($A18="","",AE18*AD18)</f>
        <v/>
      </c>
      <c r="AF38" s="72" t="n"/>
      <c r="AG38" s="72">
        <f>IF($A18="","",AG18*AF18)</f>
        <v/>
      </c>
      <c r="AH38" s="72" t="n"/>
      <c r="AI38" s="72">
        <f>IF($A18="","",AI18*AH18)</f>
        <v/>
      </c>
      <c r="AJ38" s="72" t="n"/>
      <c r="AK38" s="72">
        <f>IF($A18="","",AK18*AJ18)</f>
        <v/>
      </c>
      <c r="AL38" s="72" t="n"/>
      <c r="AM38" s="72">
        <f>IF($A18="","",AM18*AL18)</f>
        <v/>
      </c>
      <c r="AN38" s="72" t="n"/>
      <c r="AO38" s="72">
        <f>IF($A18="","",AO18*AN18)</f>
        <v/>
      </c>
      <c r="AP38" s="72" t="n"/>
      <c r="AQ38" s="72">
        <f>IF($A18="","",AQ18*AP18)</f>
        <v/>
      </c>
      <c r="AR38" s="72" t="n"/>
      <c r="AS38" s="72">
        <f>IF($A18="","",AS18*AR18)</f>
        <v/>
      </c>
    </row>
    <row r="39" hidden="1">
      <c r="I39" s="72">
        <f>IF($A19="","",I19*H19)</f>
        <v/>
      </c>
      <c r="J39" s="72" t="n"/>
      <c r="K39" s="72">
        <f>IF($A19="","",K19*J19)</f>
        <v/>
      </c>
      <c r="L39" s="72" t="n"/>
      <c r="M39" s="72">
        <f>IF($A19="","",M19*L19)</f>
        <v/>
      </c>
      <c r="N39" s="72" t="n"/>
      <c r="O39" s="72">
        <f>IF($A19="","",O19*N19)</f>
        <v/>
      </c>
      <c r="P39" s="72" t="n"/>
      <c r="Q39" s="72">
        <f>IF($A19="","",Q19*P19)</f>
        <v/>
      </c>
      <c r="R39" s="72" t="n"/>
      <c r="S39" s="72">
        <f>IF($A19="","",S19*R19)</f>
        <v/>
      </c>
      <c r="T39" s="72" t="n"/>
      <c r="U39" s="72">
        <f>IF($A19="","",U19*T19)</f>
        <v/>
      </c>
      <c r="V39" s="72" t="n"/>
      <c r="W39" s="72">
        <f>IF($A19="","",W19*V19)</f>
        <v/>
      </c>
      <c r="X39" s="72" t="n"/>
      <c r="Y39" s="72">
        <f>IF($A19="","",Y19*X19)</f>
        <v/>
      </c>
      <c r="Z39" s="72" t="n"/>
      <c r="AA39" s="72">
        <f>IF($A19="","",AA19*Z19)</f>
        <v/>
      </c>
      <c r="AB39" s="72" t="n"/>
      <c r="AC39" s="72">
        <f>IF($A19="","",AC19*AB19)</f>
        <v/>
      </c>
      <c r="AD39" s="72" t="n"/>
      <c r="AE39" s="72">
        <f>IF($A19="","",AE19*AD19)</f>
        <v/>
      </c>
      <c r="AF39" s="72" t="n"/>
      <c r="AG39" s="72">
        <f>IF($A19="","",AG19*AF19)</f>
        <v/>
      </c>
      <c r="AH39" s="72" t="n"/>
      <c r="AI39" s="72">
        <f>IF($A19="","",AI19*AH19)</f>
        <v/>
      </c>
      <c r="AJ39" s="72" t="n"/>
      <c r="AK39" s="72">
        <f>IF($A19="","",AK19*AJ19)</f>
        <v/>
      </c>
      <c r="AL39" s="72" t="n"/>
      <c r="AM39" s="72">
        <f>IF($A19="","",AM19*AL19)</f>
        <v/>
      </c>
      <c r="AN39" s="72" t="n"/>
      <c r="AO39" s="72">
        <f>IF($A19="","",AO19*AN19)</f>
        <v/>
      </c>
      <c r="AP39" s="72" t="n"/>
      <c r="AQ39" s="72">
        <f>IF($A19="","",AQ19*AP19)</f>
        <v/>
      </c>
      <c r="AR39" s="72" t="n"/>
      <c r="AS39" s="72">
        <f>IF($A19="","",AS19*AR19)</f>
        <v/>
      </c>
    </row>
    <row r="40" hidden="1">
      <c r="I40" s="72">
        <f>IF($A20="","",I20*H20)</f>
        <v/>
      </c>
      <c r="J40" s="72" t="n"/>
      <c r="K40" s="72">
        <f>IF($A20="","",K20*J20)</f>
        <v/>
      </c>
      <c r="L40" s="72" t="n"/>
      <c r="M40" s="72">
        <f>IF($A20="","",M20*L20)</f>
        <v/>
      </c>
      <c r="N40" s="72" t="n"/>
      <c r="O40" s="72">
        <f>IF($A20="","",O20*N20)</f>
        <v/>
      </c>
      <c r="P40" s="72" t="n"/>
      <c r="Q40" s="72">
        <f>IF($A20="","",Q20*P20)</f>
        <v/>
      </c>
      <c r="R40" s="72" t="n"/>
      <c r="S40" s="72">
        <f>IF($A20="","",S20*R20)</f>
        <v/>
      </c>
      <c r="T40" s="72" t="n"/>
      <c r="U40" s="72">
        <f>IF($A20="","",U20*T20)</f>
        <v/>
      </c>
      <c r="V40" s="72" t="n"/>
      <c r="W40" s="72">
        <f>IF($A20="","",W20*V20)</f>
        <v/>
      </c>
      <c r="X40" s="72" t="n"/>
      <c r="Y40" s="72">
        <f>IF($A20="","",Y20*X20)</f>
        <v/>
      </c>
      <c r="Z40" s="72" t="n"/>
      <c r="AA40" s="72">
        <f>IF($A20="","",AA20*Z20)</f>
        <v/>
      </c>
      <c r="AB40" s="72" t="n"/>
      <c r="AC40" s="72">
        <f>IF($A20="","",AC20*AB20)</f>
        <v/>
      </c>
      <c r="AD40" s="72" t="n"/>
      <c r="AE40" s="72">
        <f>IF($A20="","",AE20*AD20)</f>
        <v/>
      </c>
      <c r="AF40" s="72" t="n"/>
      <c r="AG40" s="72">
        <f>IF($A20="","",AG20*AF20)</f>
        <v/>
      </c>
      <c r="AH40" s="72" t="n"/>
      <c r="AI40" s="72">
        <f>IF($A20="","",AI20*AH20)</f>
        <v/>
      </c>
      <c r="AJ40" s="72" t="n"/>
      <c r="AK40" s="72">
        <f>IF($A20="","",AK20*AJ20)</f>
        <v/>
      </c>
      <c r="AL40" s="72" t="n"/>
      <c r="AM40" s="72">
        <f>IF($A20="","",AM20*AL20)</f>
        <v/>
      </c>
      <c r="AN40" s="72" t="n"/>
      <c r="AO40" s="72">
        <f>IF($A20="","",AO20*AN20)</f>
        <v/>
      </c>
      <c r="AP40" s="72" t="n"/>
      <c r="AQ40" s="72">
        <f>IF($A20="","",AQ20*AP20)</f>
        <v/>
      </c>
      <c r="AR40" s="72" t="n"/>
      <c r="AS40" s="72">
        <f>IF($A20="","",AS20*AR20)</f>
        <v/>
      </c>
    </row>
    <row r="41" hidden="1">
      <c r="I41" s="72">
        <f>IF($A21="","",I21*H21)</f>
        <v/>
      </c>
      <c r="J41" s="72" t="n"/>
      <c r="K41" s="72">
        <f>IF($A21="","",K21*J21)</f>
        <v/>
      </c>
      <c r="L41" s="72" t="n"/>
      <c r="M41" s="72">
        <f>IF($A21="","",M21*L21)</f>
        <v/>
      </c>
      <c r="N41" s="72" t="n"/>
      <c r="O41" s="72">
        <f>IF($A21="","",O21*N21)</f>
        <v/>
      </c>
      <c r="P41" s="72" t="n"/>
      <c r="Q41" s="72">
        <f>IF($A21="","",Q21*P21)</f>
        <v/>
      </c>
      <c r="R41" s="72" t="n"/>
      <c r="S41" s="72">
        <f>IF($A21="","",S21*R21)</f>
        <v/>
      </c>
      <c r="T41" s="72" t="n"/>
      <c r="U41" s="72">
        <f>IF($A21="","",U21*T21)</f>
        <v/>
      </c>
      <c r="V41" s="72" t="n"/>
      <c r="W41" s="72">
        <f>IF($A21="","",W21*V21)</f>
        <v/>
      </c>
      <c r="X41" s="72" t="n"/>
      <c r="Y41" s="72">
        <f>IF($A21="","",Y21*X21)</f>
        <v/>
      </c>
      <c r="Z41" s="72" t="n"/>
      <c r="AA41" s="72">
        <f>IF($A21="","",AA21*Z21)</f>
        <v/>
      </c>
      <c r="AB41" s="72" t="n"/>
      <c r="AC41" s="72">
        <f>IF($A21="","",AC21*AB21)</f>
        <v/>
      </c>
      <c r="AD41" s="72" t="n"/>
      <c r="AE41" s="72">
        <f>IF($A21="","",AE21*AD21)</f>
        <v/>
      </c>
      <c r="AF41" s="72" t="n"/>
      <c r="AG41" s="72">
        <f>IF($A21="","",AG21*AF21)</f>
        <v/>
      </c>
      <c r="AH41" s="72" t="n"/>
      <c r="AI41" s="72">
        <f>IF($A21="","",AI21*AH21)</f>
        <v/>
      </c>
      <c r="AJ41" s="72" t="n"/>
      <c r="AK41" s="72">
        <f>IF($A21="","",AK21*AJ21)</f>
        <v/>
      </c>
      <c r="AL41" s="72" t="n"/>
      <c r="AM41" s="72">
        <f>IF($A21="","",AM21*AL21)</f>
        <v/>
      </c>
      <c r="AN41" s="72" t="n"/>
      <c r="AO41" s="72">
        <f>IF($A21="","",AO21*AN21)</f>
        <v/>
      </c>
      <c r="AP41" s="72" t="n"/>
      <c r="AQ41" s="72">
        <f>IF($A21="","",AQ21*AP21)</f>
        <v/>
      </c>
      <c r="AR41" s="72" t="n"/>
      <c r="AS41" s="72">
        <f>IF($A21="","",AS21*AR21)</f>
        <v/>
      </c>
    </row>
    <row r="42" hidden="1">
      <c r="I42" s="72">
        <f>IF($A22="","",I22*H22)</f>
        <v/>
      </c>
      <c r="J42" s="72" t="n"/>
      <c r="K42" s="72">
        <f>IF($A22="","",K22*J22)</f>
        <v/>
      </c>
      <c r="L42" s="72" t="n"/>
      <c r="M42" s="72">
        <f>IF($A22="","",M22*L22)</f>
        <v/>
      </c>
      <c r="N42" s="72" t="n"/>
      <c r="O42" s="72">
        <f>IF($A22="","",O22*N22)</f>
        <v/>
      </c>
      <c r="P42" s="72" t="n"/>
      <c r="Q42" s="72">
        <f>IF($A22="","",Q22*P22)</f>
        <v/>
      </c>
      <c r="R42" s="72" t="n"/>
      <c r="S42" s="72">
        <f>IF($A22="","",S22*R22)</f>
        <v/>
      </c>
      <c r="T42" s="72" t="n"/>
      <c r="U42" s="72">
        <f>IF($A22="","",U22*T22)</f>
        <v/>
      </c>
      <c r="V42" s="72" t="n"/>
      <c r="W42" s="72">
        <f>IF($A22="","",W22*V22)</f>
        <v/>
      </c>
      <c r="X42" s="72" t="n"/>
      <c r="Y42" s="72">
        <f>IF($A22="","",Y22*X22)</f>
        <v/>
      </c>
      <c r="Z42" s="72" t="n"/>
      <c r="AA42" s="72">
        <f>IF($A22="","",AA22*Z22)</f>
        <v/>
      </c>
      <c r="AB42" s="72" t="n"/>
      <c r="AC42" s="72">
        <f>IF($A22="","",AC22*AB22)</f>
        <v/>
      </c>
      <c r="AD42" s="72" t="n"/>
      <c r="AE42" s="72">
        <f>IF($A22="","",AE22*AD22)</f>
        <v/>
      </c>
      <c r="AF42" s="72" t="n"/>
      <c r="AG42" s="72">
        <f>IF($A22="","",AG22*AF22)</f>
        <v/>
      </c>
      <c r="AH42" s="72" t="n"/>
      <c r="AI42" s="72">
        <f>IF($A22="","",AI22*AH22)</f>
        <v/>
      </c>
      <c r="AJ42" s="72" t="n"/>
      <c r="AK42" s="72">
        <f>IF($A22="","",AK22*AJ22)</f>
        <v/>
      </c>
      <c r="AL42" s="72" t="n"/>
      <c r="AM42" s="72">
        <f>IF($A22="","",AM22*AL22)</f>
        <v/>
      </c>
      <c r="AN42" s="72" t="n"/>
      <c r="AO42" s="72">
        <f>IF($A22="","",AO22*AN22)</f>
        <v/>
      </c>
      <c r="AP42" s="72" t="n"/>
      <c r="AQ42" s="72">
        <f>IF($A22="","",AQ22*AP22)</f>
        <v/>
      </c>
      <c r="AR42" s="72" t="n"/>
      <c r="AS42" s="72">
        <f>IF($A22="","",AS22*AR22)</f>
        <v/>
      </c>
    </row>
    <row r="43" hidden="1">
      <c r="I43" s="72">
        <f>IF($A23="","",I23*H23)</f>
        <v/>
      </c>
      <c r="J43" s="72" t="n"/>
      <c r="K43" s="72">
        <f>IF($A23="","",K23*J23)</f>
        <v/>
      </c>
      <c r="L43" s="72" t="n"/>
      <c r="M43" s="72">
        <f>IF($A23="","",M23*L23)</f>
        <v/>
      </c>
      <c r="N43" s="72" t="n"/>
      <c r="O43" s="72">
        <f>IF($A23="","",O23*N23)</f>
        <v/>
      </c>
      <c r="P43" s="72" t="n"/>
      <c r="Q43" s="72">
        <f>IF($A23="","",Q23*P23)</f>
        <v/>
      </c>
      <c r="R43" s="72" t="n"/>
      <c r="S43" s="72">
        <f>IF($A23="","",S23*R23)</f>
        <v/>
      </c>
      <c r="T43" s="72" t="n"/>
      <c r="U43" s="72">
        <f>IF($A23="","",U23*T23)</f>
        <v/>
      </c>
      <c r="V43" s="72" t="n"/>
      <c r="W43" s="72">
        <f>IF($A23="","",W23*V23)</f>
        <v/>
      </c>
      <c r="X43" s="72" t="n"/>
      <c r="Y43" s="72">
        <f>IF($A23="","",Y23*X23)</f>
        <v/>
      </c>
      <c r="Z43" s="72" t="n"/>
      <c r="AA43" s="72">
        <f>IF($A23="","",AA23*Z23)</f>
        <v/>
      </c>
      <c r="AB43" s="72" t="n"/>
      <c r="AC43" s="72">
        <f>IF($A23="","",AC23*AB23)</f>
        <v/>
      </c>
      <c r="AD43" s="72" t="n"/>
      <c r="AE43" s="72">
        <f>IF($A23="","",AE23*AD23)</f>
        <v/>
      </c>
      <c r="AF43" s="72" t="n"/>
      <c r="AG43" s="72">
        <f>IF($A23="","",AG23*AF23)</f>
        <v/>
      </c>
      <c r="AH43" s="72" t="n"/>
      <c r="AI43" s="72">
        <f>IF($A23="","",AI23*AH23)</f>
        <v/>
      </c>
      <c r="AJ43" s="72" t="n"/>
      <c r="AK43" s="72">
        <f>IF($A23="","",AK23*AJ23)</f>
        <v/>
      </c>
      <c r="AL43" s="72" t="n"/>
      <c r="AM43" s="72">
        <f>IF($A23="","",AM23*AL23)</f>
        <v/>
      </c>
      <c r="AN43" s="72" t="n"/>
      <c r="AO43" s="72">
        <f>IF($A23="","",AO23*AN23)</f>
        <v/>
      </c>
      <c r="AP43" s="72" t="n"/>
      <c r="AQ43" s="72">
        <f>IF($A23="","",AQ23*AP23)</f>
        <v/>
      </c>
      <c r="AR43" s="72" t="n"/>
      <c r="AS43" s="72">
        <f>IF($A23="","",AS23*AR23)</f>
        <v/>
      </c>
    </row>
    <row r="44" hidden="1">
      <c r="I44" s="72">
        <f>IF($A24="","",I24*H24)</f>
        <v/>
      </c>
      <c r="J44" s="72" t="n"/>
      <c r="K44" s="72">
        <f>IF($A24="","",K24*J24)</f>
        <v/>
      </c>
      <c r="L44" s="72" t="n"/>
      <c r="M44" s="72">
        <f>IF($A24="","",M24*L24)</f>
        <v/>
      </c>
      <c r="N44" s="72" t="n"/>
      <c r="O44" s="72">
        <f>IF($A24="","",O24*N24)</f>
        <v/>
      </c>
      <c r="P44" s="72" t="n"/>
      <c r="Q44" s="72">
        <f>IF($A24="","",Q24*P24)</f>
        <v/>
      </c>
      <c r="R44" s="72" t="n"/>
      <c r="S44" s="72">
        <f>IF($A24="","",S24*R24)</f>
        <v/>
      </c>
      <c r="T44" s="72" t="n"/>
      <c r="U44" s="72">
        <f>IF($A24="","",U24*T24)</f>
        <v/>
      </c>
      <c r="V44" s="72" t="n"/>
      <c r="W44" s="72">
        <f>IF($A24="","",W24*V24)</f>
        <v/>
      </c>
      <c r="X44" s="72" t="n"/>
      <c r="Y44" s="72">
        <f>IF($A24="","",Y24*X24)</f>
        <v/>
      </c>
      <c r="Z44" s="72" t="n"/>
      <c r="AA44" s="72">
        <f>IF($A24="","",AA24*Z24)</f>
        <v/>
      </c>
      <c r="AB44" s="72" t="n"/>
      <c r="AC44" s="72">
        <f>IF($A24="","",AC24*AB24)</f>
        <v/>
      </c>
      <c r="AD44" s="72" t="n"/>
      <c r="AE44" s="72">
        <f>IF($A24="","",AE24*AD24)</f>
        <v/>
      </c>
      <c r="AF44" s="72" t="n"/>
      <c r="AG44" s="72">
        <f>IF($A24="","",AG24*AF24)</f>
        <v/>
      </c>
      <c r="AH44" s="72" t="n"/>
      <c r="AI44" s="72">
        <f>IF($A24="","",AI24*AH24)</f>
        <v/>
      </c>
      <c r="AJ44" s="72" t="n"/>
      <c r="AK44" s="72">
        <f>IF($A24="","",AK24*AJ24)</f>
        <v/>
      </c>
      <c r="AL44" s="72" t="n"/>
      <c r="AM44" s="72">
        <f>IF($A24="","",AM24*AL24)</f>
        <v/>
      </c>
      <c r="AN44" s="72" t="n"/>
      <c r="AO44" s="72">
        <f>IF($A24="","",AO24*AN24)</f>
        <v/>
      </c>
      <c r="AP44" s="72" t="n"/>
      <c r="AQ44" s="72">
        <f>IF($A24="","",AQ24*AP24)</f>
        <v/>
      </c>
      <c r="AR44" s="72" t="n"/>
      <c r="AS44" s="72">
        <f>IF($A24="","",AS24*AR24)</f>
        <v/>
      </c>
    </row>
    <row r="45" hidden="1">
      <c r="I45" s="72">
        <f>IF($A25="","",I25*H25)</f>
        <v/>
      </c>
      <c r="J45" s="72" t="n"/>
      <c r="K45" s="72">
        <f>IF($A25="","",K25*J25)</f>
        <v/>
      </c>
      <c r="L45" s="72" t="n"/>
      <c r="M45" s="72">
        <f>IF($A25="","",M25*L25)</f>
        <v/>
      </c>
      <c r="N45" s="72" t="n"/>
      <c r="O45" s="72">
        <f>IF($A25="","",O25*N25)</f>
        <v/>
      </c>
      <c r="P45" s="72" t="n"/>
      <c r="Q45" s="72">
        <f>IF($A25="","",Q25*P25)</f>
        <v/>
      </c>
      <c r="R45" s="72" t="n"/>
      <c r="S45" s="72">
        <f>IF($A25="","",S25*R25)</f>
        <v/>
      </c>
      <c r="T45" s="72" t="n"/>
      <c r="U45" s="72">
        <f>IF($A25="","",U25*T25)</f>
        <v/>
      </c>
      <c r="V45" s="72" t="n"/>
      <c r="W45" s="72">
        <f>IF($A25="","",W25*V25)</f>
        <v/>
      </c>
      <c r="X45" s="72" t="n"/>
      <c r="Y45" s="72">
        <f>IF($A25="","",Y25*X25)</f>
        <v/>
      </c>
      <c r="Z45" s="72" t="n"/>
      <c r="AA45" s="72">
        <f>IF($A25="","",AA25*Z25)</f>
        <v/>
      </c>
      <c r="AB45" s="72" t="n"/>
      <c r="AC45" s="72">
        <f>IF($A25="","",AC25*AB25)</f>
        <v/>
      </c>
      <c r="AD45" s="72" t="n"/>
      <c r="AE45" s="72">
        <f>IF($A25="","",AE25*AD25)</f>
        <v/>
      </c>
      <c r="AF45" s="72" t="n"/>
      <c r="AG45" s="72">
        <f>IF($A25="","",AG25*AF25)</f>
        <v/>
      </c>
      <c r="AH45" s="72" t="n"/>
      <c r="AI45" s="72">
        <f>IF($A25="","",AI25*AH25)</f>
        <v/>
      </c>
      <c r="AJ45" s="72" t="n"/>
      <c r="AK45" s="72">
        <f>IF($A25="","",AK25*AJ25)</f>
        <v/>
      </c>
      <c r="AL45" s="72" t="n"/>
      <c r="AM45" s="72">
        <f>IF($A25="","",AM25*AL25)</f>
        <v/>
      </c>
      <c r="AN45" s="72" t="n"/>
      <c r="AO45" s="72">
        <f>IF($A25="","",AO25*AN25)</f>
        <v/>
      </c>
      <c r="AP45" s="72" t="n"/>
      <c r="AQ45" s="72">
        <f>IF($A25="","",AQ25*AP25)</f>
        <v/>
      </c>
      <c r="AR45" s="72" t="n"/>
      <c r="AS45" s="72">
        <f>IF($A25="","",AS25*AR25)</f>
        <v/>
      </c>
    </row>
    <row r="46" hidden="1">
      <c r="I46" s="72">
        <f>IF($A26="","",I26*H26)</f>
        <v/>
      </c>
      <c r="J46" s="72" t="n"/>
      <c r="K46" s="72">
        <f>IF($A26="","",K26*J26)</f>
        <v/>
      </c>
      <c r="L46" s="72" t="n"/>
      <c r="M46" s="72">
        <f>IF($A26="","",M26*L26)</f>
        <v/>
      </c>
      <c r="N46" s="72" t="n"/>
      <c r="O46" s="72">
        <f>IF($A26="","",O26*N26)</f>
        <v/>
      </c>
      <c r="P46" s="72" t="n"/>
      <c r="Q46" s="72">
        <f>IF($A26="","",Q26*P26)</f>
        <v/>
      </c>
      <c r="R46" s="72" t="n"/>
      <c r="S46" s="72">
        <f>IF($A26="","",S26*R26)</f>
        <v/>
      </c>
      <c r="T46" s="72" t="n"/>
      <c r="U46" s="72">
        <f>IF($A26="","",U26*T26)</f>
        <v/>
      </c>
      <c r="V46" s="72" t="n"/>
      <c r="W46" s="72">
        <f>IF($A26="","",W26*V26)</f>
        <v/>
      </c>
      <c r="X46" s="72" t="n"/>
      <c r="Y46" s="72">
        <f>IF($A26="","",Y26*X26)</f>
        <v/>
      </c>
      <c r="Z46" s="72" t="n"/>
      <c r="AA46" s="72">
        <f>IF($A26="","",AA26*Z26)</f>
        <v/>
      </c>
      <c r="AB46" s="72" t="n"/>
      <c r="AC46" s="72">
        <f>IF($A26="","",AC26*AB26)</f>
        <v/>
      </c>
      <c r="AD46" s="72" t="n"/>
      <c r="AE46" s="72">
        <f>IF($A26="","",AE26*AD26)</f>
        <v/>
      </c>
      <c r="AF46" s="72" t="n"/>
      <c r="AG46" s="72">
        <f>IF($A26="","",AG26*AF26)</f>
        <v/>
      </c>
      <c r="AH46" s="72" t="n"/>
      <c r="AI46" s="72">
        <f>IF($A26="","",AI26*AH26)</f>
        <v/>
      </c>
      <c r="AJ46" s="72" t="n"/>
      <c r="AK46" s="72">
        <f>IF($A26="","",AK26*AJ26)</f>
        <v/>
      </c>
      <c r="AL46" s="72" t="n"/>
      <c r="AM46" s="72">
        <f>IF($A26="","",AM26*AL26)</f>
        <v/>
      </c>
      <c r="AN46" s="72" t="n"/>
      <c r="AO46" s="72">
        <f>IF($A26="","",AO26*AN26)</f>
        <v/>
      </c>
      <c r="AP46" s="72" t="n"/>
      <c r="AQ46" s="72">
        <f>IF($A26="","",AQ26*AP26)</f>
        <v/>
      </c>
      <c r="AR46" s="72" t="n"/>
      <c r="AS46" s="72">
        <f>IF($A26="","",AS26*AR26)</f>
        <v/>
      </c>
    </row>
    <row r="47" hidden="1">
      <c r="I47" s="72">
        <f>IF($A27="","",I27*H27)</f>
        <v/>
      </c>
      <c r="J47" s="72" t="n"/>
      <c r="K47" s="72">
        <f>IF($A27="","",K27*J27)</f>
        <v/>
      </c>
      <c r="L47" s="72" t="n"/>
      <c r="M47" s="72">
        <f>IF($A27="","",M27*L27)</f>
        <v/>
      </c>
      <c r="N47" s="72" t="n"/>
      <c r="O47" s="72">
        <f>IF($A27="","",O27*N27)</f>
        <v/>
      </c>
      <c r="P47" s="72" t="n"/>
      <c r="Q47" s="72">
        <f>IF($A27="","",Q27*P27)</f>
        <v/>
      </c>
      <c r="R47" s="72" t="n"/>
      <c r="S47" s="72">
        <f>IF($A27="","",S27*R27)</f>
        <v/>
      </c>
      <c r="T47" s="72" t="n"/>
      <c r="U47" s="72">
        <f>IF($A27="","",U27*T27)</f>
        <v/>
      </c>
      <c r="V47" s="72" t="n"/>
      <c r="W47" s="72">
        <f>IF($A27="","",W27*V27)</f>
        <v/>
      </c>
      <c r="X47" s="72" t="n"/>
      <c r="Y47" s="72">
        <f>IF($A27="","",Y27*X27)</f>
        <v/>
      </c>
      <c r="Z47" s="72" t="n"/>
      <c r="AA47" s="72">
        <f>IF($A27="","",AA27*Z27)</f>
        <v/>
      </c>
      <c r="AB47" s="72" t="n"/>
      <c r="AC47" s="72">
        <f>IF($A27="","",AC27*AB27)</f>
        <v/>
      </c>
      <c r="AD47" s="72" t="n"/>
      <c r="AE47" s="72">
        <f>IF($A27="","",AE27*AD27)</f>
        <v/>
      </c>
      <c r="AF47" s="72" t="n"/>
      <c r="AG47" s="72">
        <f>IF($A27="","",AG27*AF27)</f>
        <v/>
      </c>
      <c r="AH47" s="72" t="n"/>
      <c r="AI47" s="72">
        <f>IF($A27="","",AI27*AH27)</f>
        <v/>
      </c>
      <c r="AJ47" s="72" t="n"/>
      <c r="AK47" s="72">
        <f>IF($A27="","",AK27*AJ27)</f>
        <v/>
      </c>
      <c r="AL47" s="72" t="n"/>
      <c r="AM47" s="72">
        <f>IF($A27="","",AM27*AL27)</f>
        <v/>
      </c>
      <c r="AN47" s="72" t="n"/>
      <c r="AO47" s="72">
        <f>IF($A27="","",AO27*AN27)</f>
        <v/>
      </c>
      <c r="AP47" s="72" t="n"/>
      <c r="AQ47" s="72">
        <f>IF($A27="","",AQ27*AP27)</f>
        <v/>
      </c>
      <c r="AR47" s="72" t="n"/>
      <c r="AS47" s="72">
        <f>IF($A27="","",AS27*AR27)</f>
        <v/>
      </c>
    </row>
    <row r="48" hidden="1">
      <c r="I48" s="72">
        <f>IF($A28="","",I28*H28)</f>
        <v/>
      </c>
      <c r="J48" s="72" t="n"/>
      <c r="K48" s="72">
        <f>IF($A28="","",K28*J28)</f>
        <v/>
      </c>
      <c r="L48" s="72" t="n"/>
      <c r="M48" s="72">
        <f>IF($A28="","",M28*L28)</f>
        <v/>
      </c>
      <c r="N48" s="72" t="n"/>
      <c r="O48" s="72">
        <f>IF($A28="","",O28*N28)</f>
        <v/>
      </c>
      <c r="P48" s="72" t="n"/>
      <c r="Q48" s="72">
        <f>IF($A28="","",Q28*P28)</f>
        <v/>
      </c>
      <c r="R48" s="72" t="n"/>
      <c r="S48" s="72">
        <f>IF($A28="","",S28*R28)</f>
        <v/>
      </c>
      <c r="T48" s="72" t="n"/>
      <c r="U48" s="72">
        <f>IF($A28="","",U28*T28)</f>
        <v/>
      </c>
      <c r="V48" s="72" t="n"/>
      <c r="W48" s="72">
        <f>IF($A28="","",W28*V28)</f>
        <v/>
      </c>
      <c r="X48" s="72" t="n"/>
      <c r="Y48" s="72">
        <f>IF($A28="","",Y28*X28)</f>
        <v/>
      </c>
      <c r="Z48" s="72" t="n"/>
      <c r="AA48" s="72">
        <f>IF($A28="","",AA28*Z28)</f>
        <v/>
      </c>
      <c r="AB48" s="72" t="n"/>
      <c r="AC48" s="72">
        <f>IF($A28="","",AC28*AB28)</f>
        <v/>
      </c>
      <c r="AD48" s="72" t="n"/>
      <c r="AE48" s="72">
        <f>IF($A28="","",AE28*AD28)</f>
        <v/>
      </c>
      <c r="AF48" s="72" t="n"/>
      <c r="AG48" s="72">
        <f>IF($A28="","",AG28*AF28)</f>
        <v/>
      </c>
      <c r="AH48" s="72" t="n"/>
      <c r="AI48" s="72">
        <f>IF($A28="","",AI28*AH28)</f>
        <v/>
      </c>
      <c r="AJ48" s="72" t="n"/>
      <c r="AK48" s="72">
        <f>IF($A28="","",AK28*AJ28)</f>
        <v/>
      </c>
      <c r="AL48" s="72" t="n"/>
      <c r="AM48" s="72">
        <f>IF($A28="","",AM28*AL28)</f>
        <v/>
      </c>
      <c r="AN48" s="72" t="n"/>
      <c r="AO48" s="72">
        <f>IF($A28="","",AO28*AN28)</f>
        <v/>
      </c>
      <c r="AP48" s="72" t="n"/>
      <c r="AQ48" s="72">
        <f>IF($A28="","",AQ28*AP28)</f>
        <v/>
      </c>
      <c r="AR48" s="72" t="n"/>
      <c r="AS48" s="72">
        <f>IF($A28="","",AS28*AR28)</f>
        <v/>
      </c>
    </row>
    <row r="49" hidden="1">
      <c r="I49" s="73">
        <f>SUMIF(I31:I48,"&gt;0")</f>
        <v/>
      </c>
      <c r="K49" s="73">
        <f>SUMIF(K31:K48,"&gt;0")</f>
        <v/>
      </c>
      <c r="L49" s="73" t="n"/>
      <c r="M49" s="73">
        <f>SUMIF(M31:M48,"&gt;0")</f>
        <v/>
      </c>
      <c r="N49" s="73" t="n"/>
      <c r="O49" s="73">
        <f>SUMIF(O31:O48,"&gt;0")</f>
        <v/>
      </c>
      <c r="Q49" s="73">
        <f>SUMIF(Q31:Q48,"&gt;0")</f>
        <v/>
      </c>
      <c r="S49" s="73">
        <f>SUMIF(S31:S48,"&gt;0")</f>
        <v/>
      </c>
      <c r="U49" s="73">
        <f>SUMIF(U31:U48,"&gt;0")</f>
        <v/>
      </c>
      <c r="V49" s="73" t="n"/>
      <c r="W49" s="73">
        <f>SUMIF(W31:W48,"&gt;0")</f>
        <v/>
      </c>
      <c r="X49" s="73" t="n"/>
      <c r="Y49" s="73">
        <f>SUMIF(Y31:Y48,"&gt;0")</f>
        <v/>
      </c>
      <c r="Z49" s="73" t="n"/>
      <c r="AA49" s="73">
        <f>SUMIF(AA31:AA48,"&gt;0")</f>
        <v/>
      </c>
      <c r="AC49" s="73">
        <f>SUMIF(AC31:AC48,"&gt;0")</f>
        <v/>
      </c>
      <c r="AD49" s="73" t="n"/>
      <c r="AE49" s="73">
        <f>SUMIF(AE31:AE48,"&gt;0")</f>
        <v/>
      </c>
      <c r="AG49" s="73">
        <f>SUMIF(AG31:AG48,"&gt;0")</f>
        <v/>
      </c>
      <c r="AI49" s="73">
        <f>SUMIF(AI31:AI48,"&gt;0")</f>
        <v/>
      </c>
      <c r="AK49" s="73">
        <f>SUMIF(AK31:AK48,"&gt;0")</f>
        <v/>
      </c>
      <c r="AL49" s="73" t="n"/>
      <c r="AM49" s="73">
        <f>SUMIF(AM31:AM48,"&gt;0")</f>
        <v/>
      </c>
      <c r="AN49" s="73" t="n"/>
      <c r="AO49" s="73">
        <f>SUMIF(AO31:AO48,"&gt;0")</f>
        <v/>
      </c>
      <c r="AQ49" s="73">
        <f>SUMIF(AQ31:AQ48,"&gt;0")</f>
        <v/>
      </c>
      <c r="AS49" s="73">
        <f>SUMIF(AS31:AS48,"&gt;0")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เฟรมแบ่งบาน</t>
        </is>
      </c>
      <c r="C54" s="79" t="inlineStr">
        <is>
          <t>F7854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ตบเฟรมแบ่งบาน</t>
        </is>
      </c>
      <c r="C55" s="79" t="inlineStr">
        <is>
          <t>F7852</t>
        </is>
      </c>
      <c r="D55" s="80" t="inlineStr">
        <is>
          <t>สูง</t>
        </is>
      </c>
      <c r="E55" s="81" t="n"/>
      <c r="F55" s="81" t="n"/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เฟรม บน W1-2</t>
        </is>
      </c>
      <c r="C56" s="79" t="inlineStr">
        <is>
          <t>F7859</t>
        </is>
      </c>
      <c r="D56" s="80" t="inlineStr">
        <is>
          <t>กว้าง-กว้าง3-กว้าง3
-35-35</t>
        </is>
      </c>
      <c r="E56" s="82" t="n">
        <v>35</v>
      </c>
      <c r="F56" s="82" t="n">
        <v>35</v>
      </c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เฟรม ล่าง W1-2</t>
        </is>
      </c>
      <c r="C57" s="79" t="inlineStr">
        <is>
          <t>F7938</t>
        </is>
      </c>
      <c r="D57" s="80" t="inlineStr">
        <is>
          <t>กว้าง-กว้าง3-กว้าง3
-35-35</t>
        </is>
      </c>
      <c r="E57" s="81" t="n"/>
      <c r="F57" s="81" t="n"/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เฟรม ล่าง W3</t>
        </is>
      </c>
      <c r="C58" s="79" t="inlineStr">
        <is>
          <t>-</t>
        </is>
      </c>
      <c r="D58" s="80" t="inlineStr">
        <is>
          <t>กว้าง3-25</t>
        </is>
      </c>
      <c r="E58" s="82" t="n">
        <v>25</v>
      </c>
      <c r="F58" s="81" t="n"/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เฟรมข้าง W3</t>
        </is>
      </c>
      <c r="C59" s="79" t="inlineStr">
        <is>
          <t>F7937</t>
        </is>
      </c>
      <c r="D59" s="80" t="inlineStr">
        <is>
          <t>สูง</t>
        </is>
      </c>
      <c r="E59" s="81" t="n"/>
      <c r="F59" s="81" t="n"/>
      <c r="G59" s="81" t="n"/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เฟรมบน W3</t>
        </is>
      </c>
      <c r="C60" s="79" t="inlineStr">
        <is>
          <t>-</t>
        </is>
      </c>
      <c r="D60" s="80" t="inlineStr">
        <is>
          <t>กว้าง3-25</t>
        </is>
      </c>
      <c r="E60" s="81" t="n"/>
      <c r="F60" s="81" t="n"/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เสา</t>
        </is>
      </c>
      <c r="C61" s="79" t="inlineStr">
        <is>
          <t>F7864</t>
        </is>
      </c>
      <c r="D61" s="80" t="inlineStr">
        <is>
          <t>สูง-18.5-18.5</t>
        </is>
      </c>
      <c r="E61" s="82" t="n">
        <v>18.5</v>
      </c>
      <c r="F61" s="82" t="n">
        <v>18.5</v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ขวาง W1</t>
        </is>
      </c>
      <c r="C62" s="79" t="inlineStr">
        <is>
          <t>-</t>
        </is>
      </c>
      <c r="D62" s="80" t="inlineStr">
        <is>
          <t>กว้าง1-28.5-1</t>
        </is>
      </c>
      <c r="E62" s="82" t="n">
        <v>28.5</v>
      </c>
      <c r="F62" s="82" t="n">
        <v>1</v>
      </c>
      <c r="G62" s="81" t="n"/>
      <c r="H62" s="81" t="n"/>
      <c r="I62" s="81" t="n"/>
      <c r="J62" s="81" t="n"/>
      <c r="K62" s="81" t="n"/>
      <c r="L62" s="82" t="n"/>
    </row>
    <row r="63" ht="15" customHeight="1">
      <c r="A63" s="77" t="n">
        <v>10</v>
      </c>
      <c r="B63" s="78" t="inlineStr">
        <is>
          <t>ขวาง W2</t>
        </is>
      </c>
      <c r="C63" s="79" t="inlineStr">
        <is>
          <t>-</t>
        </is>
      </c>
      <c r="D63" s="80" t="inlineStr">
        <is>
          <t>กว้าง2-28.5-1</t>
        </is>
      </c>
      <c r="E63" s="82" t="n">
        <v>28.5</v>
      </c>
      <c r="F63" s="82" t="n">
        <v>1</v>
      </c>
      <c r="G63" s="81" t="n"/>
      <c r="H63" s="81" t="n"/>
      <c r="I63" s="81" t="n"/>
      <c r="J63" s="81" t="n"/>
      <c r="K63" s="81" t="n"/>
      <c r="L63" s="82" t="n"/>
    </row>
    <row r="64" ht="15" customHeight="1">
      <c r="A64" s="77" t="n">
        <v>11</v>
      </c>
      <c r="B64" s="78" t="inlineStr">
        <is>
          <t>คิ้ว ตั้ง</t>
        </is>
      </c>
      <c r="C64" s="79" t="inlineStr">
        <is>
          <t>F7935</t>
        </is>
      </c>
      <c r="D64" s="80" t="inlineStr">
        <is>
          <t>เสา-100-100</t>
        </is>
      </c>
      <c r="E64" s="82" t="n">
        <v>100</v>
      </c>
      <c r="F64" s="82" t="n">
        <v>100</v>
      </c>
      <c r="G64" s="81" t="n"/>
      <c r="H64" s="81" t="n"/>
      <c r="I64" s="81" t="n"/>
      <c r="J64" s="81" t="n"/>
      <c r="K64" s="81" t="n"/>
      <c r="L64" s="82" t="n"/>
    </row>
    <row r="65" ht="15" customHeight="1">
      <c r="A65" s="77" t="n">
        <v>12</v>
      </c>
      <c r="B65" s="78" t="inlineStr">
        <is>
          <t>คิ้ว ขวางW1</t>
        </is>
      </c>
      <c r="C65" s="79" t="inlineStr">
        <is>
          <t>-</t>
        </is>
      </c>
      <c r="D65" s="80" t="inlineStr">
        <is>
          <t>กว้าง1
ขวาง-80-80</t>
        </is>
      </c>
      <c r="E65" s="82" t="n">
        <v>80</v>
      </c>
      <c r="F65" s="82" t="n">
        <v>80</v>
      </c>
      <c r="G65" s="81" t="n"/>
      <c r="H65" s="81" t="n"/>
      <c r="I65" s="81" t="n"/>
      <c r="J65" s="81" t="n"/>
      <c r="K65" s="81" t="n"/>
      <c r="L65" s="82" t="n"/>
    </row>
    <row r="66" ht="15" customHeight="1">
      <c r="A66" s="77" t="n">
        <v>13</v>
      </c>
      <c r="B66" s="78" t="inlineStr">
        <is>
          <t>คิ้ว ขวางW2</t>
        </is>
      </c>
      <c r="C66" s="79" t="inlineStr">
        <is>
          <t>-</t>
        </is>
      </c>
      <c r="D66" s="80" t="inlineStr">
        <is>
          <t>กว้าง2
ขวาง-80-80</t>
        </is>
      </c>
      <c r="E66" s="82" t="n">
        <v>80</v>
      </c>
      <c r="F66" s="82" t="n">
        <v>80</v>
      </c>
      <c r="G66" s="81" t="n"/>
      <c r="H66" s="81" t="n"/>
      <c r="I66" s="81" t="n"/>
      <c r="J66" s="81" t="n"/>
      <c r="K66" s="81" t="n"/>
      <c r="L66" s="82" t="n"/>
    </row>
    <row r="67" ht="15" customHeight="1">
      <c r="A67" s="77" t="n">
        <v>14</v>
      </c>
      <c r="B67" s="78" t="inlineStr">
        <is>
          <t>คิ้ว ขวาง W3</t>
        </is>
      </c>
      <c r="C67" s="79" t="inlineStr">
        <is>
          <t>-</t>
        </is>
      </c>
      <c r="D67" s="80" t="inlineStr">
        <is>
          <t>กว้าง3-25</t>
        </is>
      </c>
      <c r="E67" s="82" t="n">
        <v>25</v>
      </c>
      <c r="F67" s="81" t="n"/>
      <c r="G67" s="81" t="n"/>
      <c r="H67" s="81" t="n"/>
      <c r="I67" s="81" t="n"/>
      <c r="J67" s="81" t="n"/>
      <c r="K67" s="81" t="n"/>
      <c r="L67" s="82" t="n"/>
    </row>
    <row r="68" ht="15" customHeight="1">
      <c r="A68" s="77" t="n">
        <v>15</v>
      </c>
      <c r="B68" s="78" t="inlineStr">
        <is>
          <t>คิ้ว ตั้ง W3</t>
        </is>
      </c>
      <c r="C68" s="79" t="inlineStr">
        <is>
          <t>-</t>
        </is>
      </c>
      <c r="D68" s="80" t="inlineStr">
        <is>
          <t>สูง-45-45</t>
        </is>
      </c>
      <c r="E68" s="82" t="n">
        <v>45</v>
      </c>
      <c r="F68" s="82" t="n">
        <v>45</v>
      </c>
      <c r="G68" s="81" t="n"/>
      <c r="H68" s="81" t="n"/>
      <c r="I68" s="81" t="n"/>
      <c r="J68" s="81" t="n"/>
      <c r="K68" s="81" t="n"/>
      <c r="L68" s="82" t="n"/>
    </row>
    <row r="69" ht="15" customHeight="1">
      <c r="A69" s="77" t="n">
        <v>16</v>
      </c>
      <c r="B69" s="78" t="inlineStr">
        <is>
          <t>ตบธรณี</t>
        </is>
      </c>
      <c r="C69" s="79" t="inlineStr">
        <is>
          <t>F7960</t>
        </is>
      </c>
      <c r="D69" s="80" t="inlineStr">
        <is>
          <t>กว้าง-กว้าง3-กว้าง3
-35-35</t>
        </is>
      </c>
      <c r="E69" s="81" t="n"/>
      <c r="F69" s="81" t="n"/>
      <c r="G69" s="81" t="n"/>
      <c r="H69" s="81" t="n"/>
      <c r="I69" s="81" t="n"/>
      <c r="J69" s="81" t="n"/>
      <c r="K69" s="81" t="n"/>
      <c r="L69" s="82" t="n"/>
    </row>
    <row r="70" ht="15" customHeight="1">
      <c r="A70" s="77" t="n">
        <v>17</v>
      </c>
      <c r="B70" s="78" t="inlineStr">
        <is>
          <t>ตบธรณี</t>
        </is>
      </c>
      <c r="C70" s="79" t="inlineStr">
        <is>
          <t>-</t>
        </is>
      </c>
      <c r="D70" s="80" t="inlineStr">
        <is>
          <t>กว้าง3-25</t>
        </is>
      </c>
      <c r="E70" s="81" t="n"/>
      <c r="F70" s="81" t="n"/>
      <c r="G70" s="81" t="n"/>
      <c r="H70" s="81" t="n"/>
      <c r="I70" s="81" t="n"/>
      <c r="J70" s="81" t="n"/>
      <c r="K70" s="81" t="n"/>
      <c r="L70" s="82" t="n"/>
    </row>
    <row r="71" ht="15" customHeight="1">
      <c r="A71" s="77" t="n">
        <v>18</v>
      </c>
      <c r="B71" s="78" t="inlineStr">
        <is>
          <t>ชนกลาง</t>
        </is>
      </c>
      <c r="C71" s="79" t="inlineStr">
        <is>
          <t>F7945</t>
        </is>
      </c>
      <c r="D71" s="80" t="inlineStr">
        <is>
          <t>สูง-27-27</t>
        </is>
      </c>
      <c r="E71" s="82" t="n">
        <v>27</v>
      </c>
      <c r="F71" s="82" t="n">
        <v>27</v>
      </c>
      <c r="G71" s="81" t="n"/>
      <c r="H71" s="81" t="n"/>
      <c r="I71" s="81" t="n"/>
      <c r="J71" s="81" t="n"/>
      <c r="K71" s="81" t="n"/>
      <c r="L71" s="82" t="n"/>
    </row>
    <row r="72" ht="15" customHeight="1">
      <c r="A72" s="77" t="n">
        <v>19</v>
      </c>
      <c r="B72" s="78" t="inlineStr">
        <is>
          <t>ตบนอกในบานตาย</t>
        </is>
      </c>
      <c r="C72" s="79" t="inlineStr">
        <is>
          <t>F7860</t>
        </is>
      </c>
      <c r="D72" s="80" t="inlineStr">
        <is>
          <t>กว้าง3-25</t>
        </is>
      </c>
      <c r="E72" s="81" t="n"/>
      <c r="F72" s="81" t="n"/>
      <c r="G72" s="81" t="n"/>
      <c r="H72" s="81" t="n"/>
      <c r="I72" s="81" t="n"/>
      <c r="J72" s="81" t="n"/>
      <c r="K72" s="81" t="n"/>
      <c r="L72" s="82" t="n"/>
    </row>
    <row r="74">
      <c r="A74" s="152" t="inlineStr">
        <is>
          <t>⑥ อุปกรณ์ ต่อ 1 บาน — คูณจำนวนบานที่ผลิต</t>
        </is>
      </c>
      <c r="F74" s="153" t="inlineStr">
        <is>
          <t>ต่อบาน</t>
        </is>
      </c>
    </row>
    <row r="75">
      <c r="A75" s="154" t="inlineStr">
        <is>
          <t>1. บานพับ hyda (สูง&gt;3ม./บานกว้าง&gt;1.2ม.=5)</t>
        </is>
      </c>
      <c r="F75" s="155" t="n">
        <v>4</v>
      </c>
    </row>
    <row r="76">
      <c r="A76" s="154" t="inlineStr">
        <is>
          <t>2. มือจับ + ล็อค</t>
        </is>
      </c>
      <c r="F76" s="155" t="n">
        <v>1</v>
      </c>
    </row>
    <row r="77">
      <c r="A77" s="154" t="inlineStr">
        <is>
          <t>3. กลอน (ใบลอง)</t>
        </is>
      </c>
      <c r="F77" s="155" t="n">
        <v>1</v>
      </c>
    </row>
    <row r="78">
      <c r="A78" s="154" t="inlineStr">
        <is>
          <t>4. น็อตเฟรม (มีธรณี8/ไม่มี6)</t>
        </is>
      </c>
      <c r="F78" s="155" t="n">
        <v>8</v>
      </c>
    </row>
    <row r="79">
      <c r="A79" s="156" t="inlineStr">
        <is>
          <t>+ ยาง/ซิลิโคน = ตามขนาด (ดูชีทคิดทุน)</t>
        </is>
      </c>
    </row>
  </sheetData>
  <mergeCells count="84">
    <mergeCell ref="G8:G9"/>
    <mergeCell ref="H9:I9"/>
    <mergeCell ref="AP9:AQ9"/>
    <mergeCell ref="J9:K9"/>
    <mergeCell ref="AR9:AS9"/>
    <mergeCell ref="P6:Q6"/>
    <mergeCell ref="R6:S6"/>
    <mergeCell ref="A30:G30"/>
    <mergeCell ref="N30:P30"/>
    <mergeCell ref="V6:W6"/>
    <mergeCell ref="X6:Y6"/>
    <mergeCell ref="AP6:AQ6"/>
    <mergeCell ref="AH6:AI6"/>
    <mergeCell ref="AR6:AS6"/>
    <mergeCell ref="AJ6:AK6"/>
    <mergeCell ref="AP7:AQ7"/>
    <mergeCell ref="R8:S8"/>
    <mergeCell ref="A77:E77"/>
    <mergeCell ref="AR7:AS7"/>
    <mergeCell ref="L7:M7"/>
    <mergeCell ref="AD8:AE8"/>
    <mergeCell ref="V8:W8"/>
    <mergeCell ref="X8:Y8"/>
    <mergeCell ref="AH8:AI8"/>
    <mergeCell ref="P9:Q9"/>
    <mergeCell ref="AJ8:AK8"/>
    <mergeCell ref="A78:E78"/>
    <mergeCell ref="AF6:AG6"/>
    <mergeCell ref="A75:E75"/>
    <mergeCell ref="T9:U9"/>
    <mergeCell ref="V9:W9"/>
    <mergeCell ref="V7:AA7"/>
    <mergeCell ref="AF9:AG9"/>
    <mergeCell ref="AH9:AI9"/>
    <mergeCell ref="A8:A9"/>
    <mergeCell ref="AL30:AN30"/>
    <mergeCell ref="L6:M6"/>
    <mergeCell ref="N6:O6"/>
    <mergeCell ref="A79:F79"/>
    <mergeCell ref="AN6:AO6"/>
    <mergeCell ref="AP8:AQ8"/>
    <mergeCell ref="AR8:AS8"/>
    <mergeCell ref="L8:M8"/>
    <mergeCell ref="N7:Q7"/>
    <mergeCell ref="N8:O8"/>
    <mergeCell ref="AB9:AC9"/>
    <mergeCell ref="Z8:AA8"/>
    <mergeCell ref="A6:G6"/>
    <mergeCell ref="R7:U7"/>
    <mergeCell ref="T8:U8"/>
    <mergeCell ref="AL7:AO7"/>
    <mergeCell ref="AB30:AJ30"/>
    <mergeCell ref="L9:M9"/>
    <mergeCell ref="AF8:AG8"/>
    <mergeCell ref="N9:O9"/>
    <mergeCell ref="T6:U6"/>
    <mergeCell ref="R9:S9"/>
    <mergeCell ref="AJ9:AK9"/>
    <mergeCell ref="AL9:AM9"/>
    <mergeCell ref="R30:T30"/>
    <mergeCell ref="AN9:AO9"/>
    <mergeCell ref="AD9:AE9"/>
    <mergeCell ref="Z6:AA6"/>
    <mergeCell ref="AB6:AC6"/>
    <mergeCell ref="AL6:AM6"/>
    <mergeCell ref="AB7:AK7"/>
    <mergeCell ref="H6:I6"/>
    <mergeCell ref="J6:K6"/>
    <mergeCell ref="P8:Q8"/>
    <mergeCell ref="AD6:AE6"/>
    <mergeCell ref="A74:E74"/>
    <mergeCell ref="V30:Z30"/>
    <mergeCell ref="H7:I7"/>
    <mergeCell ref="J7:K7"/>
    <mergeCell ref="A76:E76"/>
    <mergeCell ref="A7:G7"/>
    <mergeCell ref="AB8:AC8"/>
    <mergeCell ref="AL8:AM8"/>
    <mergeCell ref="AN8:AO8"/>
    <mergeCell ref="B8:C9"/>
    <mergeCell ref="H8:I8"/>
    <mergeCell ref="X9:Y9"/>
    <mergeCell ref="J8:K8"/>
    <mergeCell ref="Z9:AA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76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7" max="7"/>
    <col width="12.69921875" customWidth="1" min="8" max="8"/>
    <col width="6.69921875" customWidth="1" min="9" max="9"/>
    <col width="12.69921875" customWidth="1" min="10" max="10"/>
    <col width="6.69921875" customWidth="1" min="11" max="11"/>
    <col width="12.69921875" customWidth="1" min="12" max="12"/>
    <col width="6.69921875" customWidth="1" min="13" max="13"/>
    <col width="12.69921875" customWidth="1" min="14" max="14"/>
    <col width="6.69921875" customWidth="1" min="15" max="15"/>
    <col width="12.69921875" customWidth="1" min="16" max="16"/>
    <col width="6.69921875" customWidth="1" min="17" max="17"/>
    <col width="12.69921875" customWidth="1" min="18" max="18"/>
    <col width="6.69921875" customWidth="1" min="19" max="19"/>
    <col width="12.69921875" customWidth="1" min="20" max="20"/>
    <col width="6.69921875" customWidth="1" min="21" max="21"/>
    <col width="12.69921875" customWidth="1" min="22" max="22"/>
    <col width="6.69921875" customWidth="1" min="23" max="23"/>
    <col width="12.69921875" customWidth="1" min="24" max="24"/>
    <col width="6.69921875" customWidth="1" min="25" max="25"/>
    <col width="12.69921875" customWidth="1" min="26" max="26"/>
    <col width="6.69921875" customWidth="1" min="27" max="27"/>
    <col width="12.69921875" customWidth="1" min="28" max="28"/>
    <col width="6.69921875" customWidth="1" min="29" max="29"/>
    <col width="12.69921875" customWidth="1" min="30" max="30"/>
    <col width="6.69921875" customWidth="1" min="31" max="31"/>
    <col width="12.69921875" customWidth="1" min="32" max="32"/>
    <col width="6.69921875" customWidth="1" min="33" max="33"/>
    <col width="12.69921875" customWidth="1" min="34" max="34"/>
    <col width="6.69921875" customWidth="1" min="35" max="35"/>
    <col width="12.69921875" customWidth="1" min="36" max="36"/>
    <col width="6.69921875" customWidth="1" min="37" max="37"/>
    <col width="12.69921875" customWidth="1" min="38" max="38"/>
    <col width="6.69921875" customWidth="1" min="39" max="39"/>
    <col width="10.69921875" customWidth="1" min="40" max="40"/>
    <col width="10.69921875" customWidth="1" min="41" max="41"/>
    <col width="8.69921875" customWidth="1" min="42" max="42"/>
    <col width="10.69921875" customWidth="1" min="43" max="43"/>
    <col width="10.69921875" customWidth="1" min="44" max="44"/>
    <col width="8.69921875" customWidth="1" min="45" max="45"/>
    <col width="10.69921875" customWidth="1" min="46" max="46"/>
    <col width="10.69921875" customWidth="1" min="47" max="47"/>
    <col width="8.69921875" customWidth="1" min="48" max="48"/>
    <col width="8.8984375" customWidth="1" min="49" max="49"/>
  </cols>
  <sheetData>
    <row r="1" ht="40.2" customHeight="1">
      <c r="A1" s="2" t="inlineStr">
        <is>
          <t>JR ALUMINIUM &amp; GLASS  —  ใบรายการตัด · FUJI ประตูคู่+ช่องแสงข้าง ไม่มีธรณี   (หน่วย: มม.)</t>
        </is>
      </c>
      <c r="B1" s="3" t="n"/>
      <c r="G1" s="4" t="n"/>
      <c r="H1" s="5" t="n"/>
      <c r="I1" s="4" t="n"/>
      <c r="J1" s="7" t="n"/>
      <c r="K1" s="7" t="n"/>
      <c r="L1" s="6" t="n"/>
      <c r="M1" s="6" t="n"/>
      <c r="N1" s="7" t="n"/>
      <c r="O1" s="7" t="n"/>
      <c r="P1" s="7" t="n"/>
      <c r="Q1" s="7" t="n"/>
      <c r="R1" s="4" t="n"/>
      <c r="S1" s="4" t="n"/>
      <c r="T1" s="6" t="n"/>
      <c r="U1" s="6" t="n"/>
      <c r="V1" s="7" t="n"/>
      <c r="W1" s="7" t="n"/>
      <c r="X1" s="7" t="n"/>
      <c r="Y1" s="7" t="n"/>
      <c r="Z1" s="4" t="n"/>
      <c r="AA1" s="8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</row>
    <row r="2" ht="40.2" customHeight="1">
      <c r="A2" s="6" t="n"/>
      <c r="B2" s="6" t="n"/>
      <c r="C2" s="6" t="n"/>
      <c r="D2" s="6" t="n"/>
      <c r="E2" s="6" t="n"/>
      <c r="F2" s="6" t="n"/>
      <c r="G2" s="6" t="n"/>
      <c r="H2" s="9" t="n"/>
      <c r="I2" s="6" t="n"/>
      <c r="J2" s="10" t="n"/>
      <c r="K2" s="10" t="n"/>
      <c r="L2" s="10" t="n"/>
      <c r="M2" s="10" t="n"/>
      <c r="N2" s="10" t="n"/>
      <c r="O2" s="10" t="n"/>
      <c r="P2" s="10" t="n"/>
      <c r="Q2" s="10" t="n"/>
      <c r="R2" s="6" t="n"/>
      <c r="S2" s="6" t="n"/>
      <c r="T2" s="6" t="n"/>
      <c r="U2" s="6" t="n"/>
      <c r="V2" s="10" t="n"/>
      <c r="W2" s="10" t="n"/>
      <c r="X2" s="10" t="n"/>
      <c r="Y2" s="10" t="n"/>
      <c r="Z2" s="6" t="n"/>
      <c r="AA2" s="6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</row>
    <row r="3" ht="40.2" customHeight="1">
      <c r="A3" s="6" t="n"/>
      <c r="B3" s="6" t="n"/>
      <c r="C3" s="6" t="n"/>
      <c r="D3" s="6" t="n"/>
      <c r="E3" s="6" t="n"/>
      <c r="F3" s="6" t="n"/>
      <c r="G3" s="6" t="n"/>
      <c r="H3" s="9" t="n"/>
      <c r="I3" s="6" t="n"/>
      <c r="J3" s="11" t="n"/>
      <c r="K3" s="11" t="n"/>
      <c r="N3" s="11" t="n"/>
      <c r="O3" s="11" t="n"/>
      <c r="P3" s="11" t="n"/>
      <c r="Q3" s="11" t="n"/>
      <c r="R3" s="6" t="n"/>
      <c r="S3" s="6" t="n"/>
      <c r="T3" s="6" t="n"/>
      <c r="U3" s="6" t="n"/>
      <c r="V3" s="11" t="n"/>
      <c r="W3" s="11" t="n"/>
      <c r="X3" s="11" t="n"/>
      <c r="Y3" s="11" t="n"/>
      <c r="Z3" s="6" t="n"/>
      <c r="AA3" s="6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</row>
    <row r="4" ht="40.2" customHeight="1">
      <c r="A4" s="6" t="n"/>
      <c r="B4" s="6" t="n"/>
      <c r="C4" s="6" t="n"/>
      <c r="D4" s="6" t="n"/>
      <c r="E4" s="6" t="n"/>
      <c r="F4" s="6" t="n"/>
      <c r="G4" s="6" t="n"/>
      <c r="I4" s="6" t="n"/>
      <c r="R4" s="6" t="n"/>
      <c r="S4" s="6" t="n"/>
      <c r="T4" s="6" t="n"/>
      <c r="U4" s="6" t="n"/>
      <c r="Z4" s="6" t="n"/>
      <c r="AA4" s="6" t="n"/>
    </row>
    <row r="5" ht="40.2" customHeight="1">
      <c r="A5" s="6" t="n"/>
      <c r="B5" s="6" t="n"/>
      <c r="C5" s="6" t="n"/>
      <c r="D5" s="6" t="n"/>
      <c r="E5" s="6" t="n"/>
      <c r="F5" s="6" t="n"/>
      <c r="G5" s="6" t="n"/>
      <c r="H5" s="9" t="n"/>
      <c r="I5" s="6" t="n"/>
      <c r="R5" s="6" t="n"/>
      <c r="S5" s="6" t="n"/>
      <c r="U5" s="6" t="n"/>
      <c r="Z5" s="6" t="n"/>
      <c r="AA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3" t="n"/>
      <c r="G6" s="14" t="n"/>
      <c r="H6" s="15" t="inlineStr">
        <is>
          <t>สูง</t>
        </is>
      </c>
      <c r="I6" s="16" t="n"/>
      <c r="J6" s="15" t="inlineStr">
        <is>
          <t>สูง</t>
        </is>
      </c>
      <c r="K6" s="16" t="n"/>
      <c r="L6" s="15" t="inlineStr">
        <is>
          <t>กว้าง-กว้าง3-กว้าง3
-35-35</t>
        </is>
      </c>
      <c r="M6" s="16" t="n"/>
      <c r="N6" s="15" t="inlineStr">
        <is>
          <t>สูง</t>
        </is>
      </c>
      <c r="O6" s="16" t="n"/>
      <c r="P6" s="15" t="inlineStr">
        <is>
          <t>กว้าง3-25</t>
        </is>
      </c>
      <c r="Q6" s="16" t="n"/>
      <c r="R6" s="15" t="inlineStr">
        <is>
          <t>สูง-18.5-7</t>
        </is>
      </c>
      <c r="S6" s="16" t="n"/>
      <c r="T6" s="15" t="inlineStr">
        <is>
          <t>กว้าง1-28.5-1</t>
        </is>
      </c>
      <c r="U6" s="16" t="n"/>
      <c r="V6" s="15" t="inlineStr">
        <is>
          <t>กว้าง2-28.5-1</t>
        </is>
      </c>
      <c r="W6" s="16" t="n"/>
      <c r="X6" s="15" t="inlineStr">
        <is>
          <t>เสา-100-100</t>
        </is>
      </c>
      <c r="Y6" s="16" t="n"/>
      <c r="Z6" s="15" t="inlineStr">
        <is>
          <t>กว้าง1
ขวาง-80-80</t>
        </is>
      </c>
      <c r="AA6" s="16" t="n"/>
      <c r="AB6" s="15" t="inlineStr">
        <is>
          <t>กว้าง2
ขวาง-80-80</t>
        </is>
      </c>
      <c r="AC6" s="16" t="n"/>
      <c r="AD6" s="15" t="inlineStr">
        <is>
          <t>กว้าง3-25</t>
        </is>
      </c>
      <c r="AE6" s="16" t="n"/>
      <c r="AF6" s="15" t="inlineStr">
        <is>
          <t>สูง-45-45</t>
        </is>
      </c>
      <c r="AG6" s="16" t="n"/>
      <c r="AH6" s="15" t="inlineStr">
        <is>
          <t>สูง-27-7</t>
        </is>
      </c>
      <c r="AI6" s="16" t="n"/>
      <c r="AJ6" s="15" t="inlineStr">
        <is>
          <t>เท่าขวาง กว้าง1</t>
        </is>
      </c>
      <c r="AK6" s="16" t="n"/>
      <c r="AL6" s="15" t="inlineStr">
        <is>
          <t>เท่าขวาง กว้าง2</t>
        </is>
      </c>
      <c r="AM6" s="16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19" t="n"/>
      <c r="G7" s="20" t="n"/>
      <c r="H7" s="99" t="inlineStr">
        <is>
          <t>F7854</t>
        </is>
      </c>
      <c r="I7" s="13" t="n"/>
      <c r="J7" s="21" t="inlineStr">
        <is>
          <t>F7852</t>
        </is>
      </c>
      <c r="K7" s="14" t="n"/>
      <c r="L7" s="21" t="inlineStr">
        <is>
          <t>F7859</t>
        </is>
      </c>
      <c r="M7" s="14" t="n"/>
      <c r="N7" s="23" t="inlineStr">
        <is>
          <t>F7937</t>
        </is>
      </c>
      <c r="O7" s="13" t="n"/>
      <c r="P7" s="13" t="n"/>
      <c r="Q7" s="14" t="n"/>
      <c r="R7" s="21" t="inlineStr">
        <is>
          <t>F7864</t>
        </is>
      </c>
      <c r="S7" s="13" t="n"/>
      <c r="T7" s="13" t="n"/>
      <c r="U7" s="13" t="n"/>
      <c r="V7" s="13" t="n"/>
      <c r="W7" s="14" t="n"/>
      <c r="X7" s="21" t="inlineStr">
        <is>
          <t>F7935</t>
        </is>
      </c>
      <c r="Y7" s="13" t="n"/>
      <c r="Z7" s="13" t="n"/>
      <c r="AA7" s="13" t="n"/>
      <c r="AB7" s="13" t="n"/>
      <c r="AC7" s="13" t="n"/>
      <c r="AD7" s="13" t="n"/>
      <c r="AE7" s="13" t="n"/>
      <c r="AF7" s="13" t="n"/>
      <c r="AG7" s="14" t="n"/>
      <c r="AH7" s="21" t="inlineStr">
        <is>
          <t>F7945</t>
        </is>
      </c>
      <c r="AI7" s="14" t="n"/>
      <c r="AJ7" s="21" t="inlineStr">
        <is>
          <t>F7863</t>
        </is>
      </c>
      <c r="AK7" s="13" t="n"/>
      <c r="AL7" s="13" t="n"/>
      <c r="AM7" s="14" t="n"/>
      <c r="AN7" s="25" t="n"/>
      <c r="AO7" s="26" t="n"/>
      <c r="AP7" s="100" t="inlineStr">
        <is>
          <t>กรอบบาน</t>
        </is>
      </c>
      <c r="AQ7" s="100" t="n"/>
      <c r="AR7" s="26" t="n"/>
      <c r="AS7" s="27" t="n"/>
      <c r="AT7" s="100" t="n"/>
      <c r="AU7" s="26" t="inlineStr">
        <is>
          <t>ช่องแสง</t>
        </is>
      </c>
      <c r="AV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91" t="n"/>
      <c r="E8" s="91" t="n"/>
      <c r="F8" s="91" t="n"/>
      <c r="G8" s="28" t="inlineStr">
        <is>
          <t>Set</t>
        </is>
      </c>
      <c r="H8" s="31" t="n"/>
      <c r="I8" s="32" t="n"/>
      <c r="J8" s="35" t="n"/>
      <c r="K8" s="34" t="n"/>
      <c r="L8" s="35" t="n"/>
      <c r="M8" s="34" t="n"/>
      <c r="N8" s="31" t="n"/>
      <c r="O8" s="32" t="n"/>
      <c r="P8" s="33" t="n"/>
      <c r="Q8" s="34" t="n"/>
      <c r="R8" s="31" t="n"/>
      <c r="S8" s="32" t="n"/>
      <c r="T8" s="92" t="n"/>
      <c r="U8" s="32" t="n"/>
      <c r="V8" s="33" t="n"/>
      <c r="W8" s="34" t="n"/>
      <c r="X8" s="31" t="n"/>
      <c r="Y8" s="32" t="n"/>
      <c r="Z8" s="92" t="n"/>
      <c r="AA8" s="32" t="n"/>
      <c r="AB8" s="92" t="n"/>
      <c r="AC8" s="32" t="n"/>
      <c r="AD8" s="92" t="n"/>
      <c r="AE8" s="32" t="n"/>
      <c r="AF8" s="33" t="n"/>
      <c r="AG8" s="34" t="n"/>
      <c r="AH8" s="35" t="n"/>
      <c r="AI8" s="34" t="n"/>
      <c r="AJ8" s="31" t="n"/>
      <c r="AK8" s="32" t="n"/>
      <c r="AL8" s="33" t="n"/>
      <c r="AM8" s="34" t="n"/>
      <c r="AN8" s="36" t="n"/>
      <c r="AO8" s="37" t="inlineStr">
        <is>
          <t>W1</t>
        </is>
      </c>
      <c r="AP8" s="38" t="n"/>
      <c r="AQ8" s="36" t="n"/>
      <c r="AR8" s="37" t="inlineStr">
        <is>
          <t>W2</t>
        </is>
      </c>
      <c r="AS8" s="38" t="n"/>
      <c r="AT8" s="36" t="n"/>
      <c r="AU8" s="37" t="inlineStr">
        <is>
          <t>W3</t>
        </is>
      </c>
      <c r="AV8" s="38" t="n"/>
    </row>
    <row r="9" ht="40.2" customHeight="1">
      <c r="A9" s="39" t="n"/>
      <c r="B9" s="40" t="n"/>
      <c r="C9" s="41" t="n"/>
      <c r="D9" s="93" t="n"/>
      <c r="E9" s="93" t="n"/>
      <c r="F9" s="93" t="n"/>
      <c r="G9" s="39" t="n"/>
      <c r="H9" s="42" t="inlineStr">
        <is>
          <t>เฟรมแบ่งบาน</t>
        </is>
      </c>
      <c r="I9" s="43" t="n"/>
      <c r="J9" s="42" t="inlineStr">
        <is>
          <t>ตบเฟรมแบ่งบาน</t>
        </is>
      </c>
      <c r="K9" s="43" t="n"/>
      <c r="L9" s="42" t="inlineStr">
        <is>
          <t>เฟรม บน W1-2</t>
        </is>
      </c>
      <c r="M9" s="43" t="n"/>
      <c r="N9" s="42" t="inlineStr">
        <is>
          <t>เฟรมข้าง W3</t>
        </is>
      </c>
      <c r="O9" s="43" t="n"/>
      <c r="P9" s="42" t="inlineStr">
        <is>
          <t>เฟรมบน W3</t>
        </is>
      </c>
      <c r="Q9" s="43" t="n"/>
      <c r="R9" s="42" t="inlineStr">
        <is>
          <t>เสา</t>
        </is>
      </c>
      <c r="S9" s="43" t="n"/>
      <c r="T9" s="42" t="inlineStr">
        <is>
          <t>ขวาง W1</t>
        </is>
      </c>
      <c r="U9" s="43" t="n"/>
      <c r="V9" s="42" t="inlineStr">
        <is>
          <t>ขวาง W2</t>
        </is>
      </c>
      <c r="W9" s="43" t="n"/>
      <c r="X9" s="42" t="inlineStr">
        <is>
          <t>คิ้ว ตั้ง</t>
        </is>
      </c>
      <c r="Y9" s="43" t="n"/>
      <c r="Z9" s="42" t="inlineStr">
        <is>
          <t>คิ้ว ขวางW1</t>
        </is>
      </c>
      <c r="AA9" s="43" t="n"/>
      <c r="AB9" s="42" t="inlineStr">
        <is>
          <t>คิ้ว ขวางW2</t>
        </is>
      </c>
      <c r="AC9" s="43" t="n"/>
      <c r="AD9" s="42" t="inlineStr">
        <is>
          <t>คิ้ว ขวาง W3</t>
        </is>
      </c>
      <c r="AE9" s="43" t="n"/>
      <c r="AF9" s="42" t="inlineStr">
        <is>
          <t>คิ้ว ตั้ง W3</t>
        </is>
      </c>
      <c r="AG9" s="43" t="n"/>
      <c r="AH9" s="42" t="inlineStr">
        <is>
          <t>ชนกลาง</t>
        </is>
      </c>
      <c r="AI9" s="43" t="n"/>
      <c r="AJ9" s="42" t="inlineStr">
        <is>
          <t>ชายล่าง W1</t>
        </is>
      </c>
      <c r="AK9" s="43" t="n"/>
      <c r="AL9" s="42" t="inlineStr">
        <is>
          <t>ชายล่าง W2</t>
        </is>
      </c>
      <c r="AM9" s="43" t="n"/>
      <c r="AN9" s="45" t="inlineStr">
        <is>
          <t>SH-87-87</t>
        </is>
      </c>
      <c r="AO9" s="46" t="inlineStr">
        <is>
          <t>SW1-87-87</t>
        </is>
      </c>
      <c r="AP9" s="47" t="n"/>
      <c r="AQ9" s="45" t="inlineStr">
        <is>
          <t>SH-87-87</t>
        </is>
      </c>
      <c r="AR9" s="46" t="inlineStr">
        <is>
          <t>SW2-87-87</t>
        </is>
      </c>
      <c r="AS9" s="47" t="n"/>
      <c r="AT9" s="45" t="inlineStr">
        <is>
          <t>H-35-35</t>
        </is>
      </c>
      <c r="AU9" s="46" t="inlineStr">
        <is>
          <t>W3-35-10</t>
        </is>
      </c>
      <c r="AV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101" t="inlineStr">
        <is>
          <t>กว้าง</t>
        </is>
      </c>
      <c r="D10" s="101" t="inlineStr">
        <is>
          <t>W1</t>
        </is>
      </c>
      <c r="E10" s="101" t="inlineStr">
        <is>
          <t>W2</t>
        </is>
      </c>
      <c r="F10" s="102" t="inlineStr">
        <is>
          <t>W3</t>
        </is>
      </c>
      <c r="G10" s="50" t="inlineStr">
        <is>
          <t>จำนวนชุด</t>
        </is>
      </c>
      <c r="H10" s="52" t="inlineStr">
        <is>
          <t>ยาว</t>
        </is>
      </c>
      <c r="I10" s="53" t="inlineStr">
        <is>
          <t>จำนวน</t>
        </is>
      </c>
      <c r="J10" s="52" t="inlineStr">
        <is>
          <t>ยาว</t>
        </is>
      </c>
      <c r="K10" s="54" t="inlineStr">
        <is>
          <t>จำนวน</t>
        </is>
      </c>
      <c r="L10" s="52" t="inlineStr">
        <is>
          <t>ยาว</t>
        </is>
      </c>
      <c r="M10" s="53" t="inlineStr">
        <is>
          <t>จำนวน</t>
        </is>
      </c>
      <c r="N10" s="52" t="inlineStr">
        <is>
          <t>ยาว</t>
        </is>
      </c>
      <c r="O10" s="54" t="inlineStr">
        <is>
          <t>จำนวน</t>
        </is>
      </c>
      <c r="P10" s="52" t="inlineStr">
        <is>
          <t>ยาว</t>
        </is>
      </c>
      <c r="Q10" s="54" t="inlineStr">
        <is>
          <t>จำนวน</t>
        </is>
      </c>
      <c r="R10" s="52" t="inlineStr">
        <is>
          <t>ยาว</t>
        </is>
      </c>
      <c r="S10" s="54" t="inlineStr">
        <is>
          <t>จำนวน</t>
        </is>
      </c>
      <c r="T10" s="52" t="inlineStr">
        <is>
          <t>ยาว</t>
        </is>
      </c>
      <c r="U10" s="54" t="inlineStr">
        <is>
          <t>จำนวน</t>
        </is>
      </c>
      <c r="V10" s="52" t="inlineStr">
        <is>
          <t>ยาว</t>
        </is>
      </c>
      <c r="W10" s="54" t="inlineStr">
        <is>
          <t>จำนวน</t>
        </is>
      </c>
      <c r="X10" s="52" t="inlineStr">
        <is>
          <t>ยาว</t>
        </is>
      </c>
      <c r="Y10" s="54" t="inlineStr">
        <is>
          <t>จำนวน</t>
        </is>
      </c>
      <c r="Z10" s="52" t="inlineStr">
        <is>
          <t>ยาว</t>
        </is>
      </c>
      <c r="AA10" s="54" t="inlineStr">
        <is>
          <t>จำนวน</t>
        </is>
      </c>
      <c r="AB10" s="52" t="inlineStr">
        <is>
          <t>ยาว</t>
        </is>
      </c>
      <c r="AC10" s="54" t="inlineStr">
        <is>
          <t>จำนวน</t>
        </is>
      </c>
      <c r="AD10" s="52" t="inlineStr">
        <is>
          <t>ยาว</t>
        </is>
      </c>
      <c r="AE10" s="54" t="inlineStr">
        <is>
          <t>จำนวน</t>
        </is>
      </c>
      <c r="AF10" s="52" t="inlineStr">
        <is>
          <t>ยาว</t>
        </is>
      </c>
      <c r="AG10" s="54" t="inlineStr">
        <is>
          <t>จำนวน</t>
        </is>
      </c>
      <c r="AH10" s="52" t="inlineStr">
        <is>
          <t>ยาว</t>
        </is>
      </c>
      <c r="AI10" s="53" t="inlineStr">
        <is>
          <t>จำนวน</t>
        </is>
      </c>
      <c r="AJ10" s="52" t="inlineStr">
        <is>
          <t>ยาว</t>
        </is>
      </c>
      <c r="AK10" s="54" t="inlineStr">
        <is>
          <t>จำนวน</t>
        </is>
      </c>
      <c r="AL10" s="52" t="inlineStr">
        <is>
          <t>ยาว</t>
        </is>
      </c>
      <c r="AM10" s="54" t="inlineStr">
        <is>
          <t>จำนวน</t>
        </is>
      </c>
      <c r="AN10" s="55" t="inlineStr">
        <is>
          <t>H</t>
        </is>
      </c>
      <c r="AO10" s="56" t="inlineStr">
        <is>
          <t>W</t>
        </is>
      </c>
      <c r="AP10" s="57" t="inlineStr">
        <is>
          <t>จำนวน</t>
        </is>
      </c>
      <c r="AQ10" s="55" t="inlineStr">
        <is>
          <t>H</t>
        </is>
      </c>
      <c r="AR10" s="56" t="inlineStr">
        <is>
          <t>W</t>
        </is>
      </c>
      <c r="AS10" s="57" t="inlineStr">
        <is>
          <t>จำนวน</t>
        </is>
      </c>
      <c r="AT10" s="55" t="inlineStr">
        <is>
          <t>H</t>
        </is>
      </c>
      <c r="AU10" s="56" t="inlineStr">
        <is>
          <t>W</t>
        </is>
      </c>
      <c r="AV10" s="57" t="inlineStr">
        <is>
          <t>จำนวน</t>
        </is>
      </c>
    </row>
    <row r="11" ht="40.2" customHeight="1">
      <c r="A11" s="103" t="inlineStr">
        <is>
          <t>D1</t>
        </is>
      </c>
      <c r="B11" s="104" t="n">
        <v>2500</v>
      </c>
      <c r="C11" s="104" t="n">
        <v>3000</v>
      </c>
      <c r="D11" s="104" t="n">
        <v>800</v>
      </c>
      <c r="E11" s="104" t="n">
        <v>800</v>
      </c>
      <c r="F11" s="105">
        <f>IF($A11="","",(($C11-$D11-$E11)/2))</f>
        <v/>
      </c>
      <c r="G11" s="106" t="n">
        <v>1</v>
      </c>
      <c r="H11" s="107">
        <f>IF($A11="","",$B11)</f>
        <v/>
      </c>
      <c r="I11" s="106">
        <f>IF($A11="","",2*$G11)</f>
        <v/>
      </c>
      <c r="J11" s="107">
        <f>IF($A11="","",$H11)</f>
        <v/>
      </c>
      <c r="K11" s="106">
        <f>IF($A11="","",2*$G11)</f>
        <v/>
      </c>
      <c r="L11" s="107">
        <f>IF($A11="","",$C11-$F11-$F11-$E$56-$F$56)</f>
        <v/>
      </c>
      <c r="M11" s="106">
        <f>IF($A11="","",1*$G11)</f>
        <v/>
      </c>
      <c r="N11" s="107">
        <f>IF($A11="","",$H11)</f>
        <v/>
      </c>
      <c r="O11" s="106">
        <f>IF($A11="","",2*$G11)</f>
        <v/>
      </c>
      <c r="P11" s="107">
        <f>IF($A11="","",$F11-$E$58)</f>
        <v/>
      </c>
      <c r="Q11" s="106">
        <f>IF($A11="","",4*$G11)</f>
        <v/>
      </c>
      <c r="R11" s="107">
        <f>IF($A11="","",$B11-$E$59-$F$59)</f>
        <v/>
      </c>
      <c r="S11" s="106">
        <f>IF($A11="","",4*$G11)</f>
        <v/>
      </c>
      <c r="T11" s="107">
        <f>IF($A11="","",$D11-$E$60-$F$60)</f>
        <v/>
      </c>
      <c r="U11" s="106">
        <f>IF($A11="","",2*$G11)</f>
        <v/>
      </c>
      <c r="V11" s="107">
        <f>IF($A11="","",$E11-$E$61-$F$61)</f>
        <v/>
      </c>
      <c r="W11" s="106">
        <f>IF($A11="","",2*$G11)</f>
        <v/>
      </c>
      <c r="X11" s="107">
        <f>IF($A11="","",$R11-$E$62-$F$62)</f>
        <v/>
      </c>
      <c r="Y11" s="106">
        <f>IF($A11="","",4*$G11)</f>
        <v/>
      </c>
      <c r="Z11" s="107">
        <f>IF($A11="","",$T11-$E$63-$F$63)</f>
        <v/>
      </c>
      <c r="AA11" s="106">
        <f>IF($A11="","",2*$G11)</f>
        <v/>
      </c>
      <c r="AB11" s="107">
        <f>IF($A11="","",$V11-$E$64-$F$64)</f>
        <v/>
      </c>
      <c r="AC11" s="106">
        <f>IF($A11="","",2*$G11)</f>
        <v/>
      </c>
      <c r="AD11" s="107">
        <f>IF($A11="","",$F11-$E$65)</f>
        <v/>
      </c>
      <c r="AE11" s="106">
        <f>IF($A11="","",4*$G11)</f>
        <v/>
      </c>
      <c r="AF11" s="107">
        <f>IF($A11="","",$B11-$E$66-$F$66)</f>
        <v/>
      </c>
      <c r="AG11" s="106">
        <f>IF($A11="","",4*$G11)</f>
        <v/>
      </c>
      <c r="AH11" s="107">
        <f>IF($A11="","",$B11-$E$67-$F$67)</f>
        <v/>
      </c>
      <c r="AI11" s="106">
        <f>IF($A11="","",1*$G11)</f>
        <v/>
      </c>
      <c r="AJ11" s="107">
        <f>IF($A11="","",$T11)</f>
        <v/>
      </c>
      <c r="AK11" s="106">
        <f>IF($A11="","",2*$G11)</f>
        <v/>
      </c>
      <c r="AL11" s="107">
        <f>IF($A11="","",$V11)</f>
        <v/>
      </c>
      <c r="AM11" s="106">
        <f>IF($A11="","",2*$G11)</f>
        <v/>
      </c>
      <c r="AN11" s="108">
        <f>IF($A11="","",$R11-87-87)</f>
        <v/>
      </c>
      <c r="AO11" s="109">
        <f>IF($A11="","",$T11-87-87)</f>
        <v/>
      </c>
      <c r="AP11" s="110">
        <f>IF($A11="","",1*$G11)</f>
        <v/>
      </c>
      <c r="AQ11" s="108">
        <f>IF($A11="","",$R11-87-87)</f>
        <v/>
      </c>
      <c r="AR11" s="109">
        <f>IF($A11="","",$V11-87-87)</f>
        <v/>
      </c>
      <c r="AS11" s="110">
        <f>IF($A11="","",1*$G11)</f>
        <v/>
      </c>
      <c r="AT11" s="108">
        <f>IF($A11="","",$B11-35-35)</f>
        <v/>
      </c>
      <c r="AU11" s="109">
        <f>IF($A11="","",$F11-35-10)</f>
        <v/>
      </c>
      <c r="AV11" s="110">
        <f>IF($A11="","",2*$G11)</f>
        <v/>
      </c>
    </row>
    <row r="12" ht="40.2" customHeight="1">
      <c r="A12" s="103" t="n"/>
      <c r="B12" s="104" t="n"/>
      <c r="C12" s="104">
        <f>IF($A12="","",$D12+$E12)</f>
        <v/>
      </c>
      <c r="D12" s="104" t="n"/>
      <c r="E12" s="104" t="n"/>
      <c r="F12" s="105">
        <f>IF($A12="","",(($C12-$D12-$E12)/2))</f>
        <v/>
      </c>
      <c r="G12" s="106" t="n"/>
      <c r="H12" s="111">
        <f>IF($A12="","",$B12)</f>
        <v/>
      </c>
      <c r="I12" s="112">
        <f>IF($A12="","",2*$G12)</f>
        <v/>
      </c>
      <c r="J12" s="111">
        <f>IF($A12="","",$H12)</f>
        <v/>
      </c>
      <c r="K12" s="112">
        <f>IF($A12="","",2*$G12)</f>
        <v/>
      </c>
      <c r="L12" s="111">
        <f>IF($A12="","",$C12-$F12-$F12-$E$56-$F$56)</f>
        <v/>
      </c>
      <c r="M12" s="112">
        <f>IF($A12="","",1*$G12)</f>
        <v/>
      </c>
      <c r="N12" s="111">
        <f>IF($A12="","",$H12)</f>
        <v/>
      </c>
      <c r="O12" s="112">
        <f>IF($A12="","",2*$G12)</f>
        <v/>
      </c>
      <c r="P12" s="111">
        <f>IF($A12="","",$F12-$E$58)</f>
        <v/>
      </c>
      <c r="Q12" s="112">
        <f>IF($A12="","",4*$G12)</f>
        <v/>
      </c>
      <c r="R12" s="111">
        <f>IF($A12="","",$B12-$E$59-$F$59)</f>
        <v/>
      </c>
      <c r="S12" s="112">
        <f>IF($A12="","",4*$G12)</f>
        <v/>
      </c>
      <c r="T12" s="111">
        <f>IF($A12="","",$D12-$E$60-$F$60)</f>
        <v/>
      </c>
      <c r="U12" s="112">
        <f>IF($A12="","",2*$G12)</f>
        <v/>
      </c>
      <c r="V12" s="111">
        <f>IF($A12="","",$E12-$E$61-$F$61)</f>
        <v/>
      </c>
      <c r="W12" s="112">
        <f>IF($A12="","",2*$G12)</f>
        <v/>
      </c>
      <c r="X12" s="111">
        <f>IF($A12="","",$R12-$E$62-$F$62)</f>
        <v/>
      </c>
      <c r="Y12" s="112">
        <f>IF($A12="","",4*$G12)</f>
        <v/>
      </c>
      <c r="Z12" s="111">
        <f>IF($A12="","",$T12-$E$63-$F$63)</f>
        <v/>
      </c>
      <c r="AA12" s="112">
        <f>IF($A12="","",2*$G12)</f>
        <v/>
      </c>
      <c r="AB12" s="111">
        <f>IF($A12="","",$V12-$E$64-$F$64)</f>
        <v/>
      </c>
      <c r="AC12" s="112">
        <f>IF($A12="","",2*$G12)</f>
        <v/>
      </c>
      <c r="AD12" s="111">
        <f>IF($A12="","",$F12-$E$65)</f>
        <v/>
      </c>
      <c r="AE12" s="112">
        <f>IF($A12="","",4*$G12)</f>
        <v/>
      </c>
      <c r="AF12" s="111">
        <f>IF($A12="","",$B12-$E$66-$F$66)</f>
        <v/>
      </c>
      <c r="AG12" s="112">
        <f>IF($A12="","",4*$G12)</f>
        <v/>
      </c>
      <c r="AH12" s="111">
        <f>IF($A12="","",$B12-$E$67-$F$67)</f>
        <v/>
      </c>
      <c r="AI12" s="112">
        <f>IF($A12="","",1*$G12)</f>
        <v/>
      </c>
      <c r="AJ12" s="111">
        <f>IF($A12="","",$T12)</f>
        <v/>
      </c>
      <c r="AK12" s="112">
        <f>IF($A12="","",2*$G12)</f>
        <v/>
      </c>
      <c r="AL12" s="111">
        <f>IF($A12="","",$V12)</f>
        <v/>
      </c>
      <c r="AM12" s="112">
        <f>IF($A12="","",2*$G12)</f>
        <v/>
      </c>
      <c r="AN12" s="108">
        <f>IF($A12="","",$R12-87-87)</f>
        <v/>
      </c>
      <c r="AO12" s="109">
        <f>IF($A12="","",$T12-87-87)</f>
        <v/>
      </c>
      <c r="AP12" s="110">
        <f>IF($A12="","",1*$G12)</f>
        <v/>
      </c>
      <c r="AQ12" s="108">
        <f>IF($A12="","",$R12-87-87)</f>
        <v/>
      </c>
      <c r="AR12" s="109">
        <f>IF($A12="","",$V12-87-87)</f>
        <v/>
      </c>
      <c r="AS12" s="110">
        <f>IF($A12="","",1*$G12)</f>
        <v/>
      </c>
      <c r="AT12" s="108">
        <f>IF($A12="","",$B12-35-35)</f>
        <v/>
      </c>
      <c r="AU12" s="109">
        <f>IF($A12="","",$F12-35-10)</f>
        <v/>
      </c>
      <c r="AV12" s="110">
        <f>IF($A12="","",2*$G12)</f>
        <v/>
      </c>
    </row>
    <row r="13" ht="40.2" customHeight="1">
      <c r="A13" s="103" t="n"/>
      <c r="B13" s="104" t="n"/>
      <c r="C13" s="104">
        <f>IF($A13="","",$D13+$E13)</f>
        <v/>
      </c>
      <c r="D13" s="104" t="n"/>
      <c r="E13" s="104" t="n"/>
      <c r="F13" s="105">
        <f>IF($A13="","",(($C13-$D13-$E13)/2))</f>
        <v/>
      </c>
      <c r="G13" s="106" t="n"/>
      <c r="H13" s="107">
        <f>IF($A13="","",$B13)</f>
        <v/>
      </c>
      <c r="I13" s="106">
        <f>IF($A13="","",2*$G13)</f>
        <v/>
      </c>
      <c r="J13" s="107">
        <f>IF($A13="","",$H13)</f>
        <v/>
      </c>
      <c r="K13" s="106">
        <f>IF($A13="","",2*$G13)</f>
        <v/>
      </c>
      <c r="L13" s="107">
        <f>IF($A13="","",$C13-$F13-$F13-$E$56-$F$56)</f>
        <v/>
      </c>
      <c r="M13" s="106">
        <f>IF($A13="","",1*$G13)</f>
        <v/>
      </c>
      <c r="N13" s="107">
        <f>IF($A13="","",$H13)</f>
        <v/>
      </c>
      <c r="O13" s="106">
        <f>IF($A13="","",2*$G13)</f>
        <v/>
      </c>
      <c r="P13" s="107">
        <f>IF($A13="","",$F13-$E$58)</f>
        <v/>
      </c>
      <c r="Q13" s="106">
        <f>IF($A13="","",4*$G13)</f>
        <v/>
      </c>
      <c r="R13" s="107">
        <f>IF($A13="","",$B13-$E$59-$F$59)</f>
        <v/>
      </c>
      <c r="S13" s="106">
        <f>IF($A13="","",4*$G13)</f>
        <v/>
      </c>
      <c r="T13" s="107">
        <f>IF($A13="","",$D13-$E$60-$F$60)</f>
        <v/>
      </c>
      <c r="U13" s="106">
        <f>IF($A13="","",2*$G13)</f>
        <v/>
      </c>
      <c r="V13" s="107">
        <f>IF($A13="","",$E13-$E$61-$F$61)</f>
        <v/>
      </c>
      <c r="W13" s="106">
        <f>IF($A13="","",2*$G13)</f>
        <v/>
      </c>
      <c r="X13" s="107">
        <f>IF($A13="","",$R13-$E$62-$F$62)</f>
        <v/>
      </c>
      <c r="Y13" s="106">
        <f>IF($A13="","",4*$G13)</f>
        <v/>
      </c>
      <c r="Z13" s="107">
        <f>IF($A13="","",$T13-$E$63-$F$63)</f>
        <v/>
      </c>
      <c r="AA13" s="106">
        <f>IF($A13="","",2*$G13)</f>
        <v/>
      </c>
      <c r="AB13" s="107">
        <f>IF($A13="","",$V13-$E$64-$F$64)</f>
        <v/>
      </c>
      <c r="AC13" s="106">
        <f>IF($A13="","",2*$G13)</f>
        <v/>
      </c>
      <c r="AD13" s="107">
        <f>IF($A13="","",$F13-$E$65)</f>
        <v/>
      </c>
      <c r="AE13" s="106">
        <f>IF($A13="","",4*$G13)</f>
        <v/>
      </c>
      <c r="AF13" s="107">
        <f>IF($A13="","",$B13-$E$66-$F$66)</f>
        <v/>
      </c>
      <c r="AG13" s="106">
        <f>IF($A13="","",4*$G13)</f>
        <v/>
      </c>
      <c r="AH13" s="107">
        <f>IF($A13="","",$B13-$E$67-$F$67)</f>
        <v/>
      </c>
      <c r="AI13" s="106">
        <f>IF($A13="","",1*$G13)</f>
        <v/>
      </c>
      <c r="AJ13" s="107">
        <f>IF($A13="","",$T13)</f>
        <v/>
      </c>
      <c r="AK13" s="106">
        <f>IF($A13="","",2*$G13)</f>
        <v/>
      </c>
      <c r="AL13" s="107">
        <f>IF($A13="","",$V13)</f>
        <v/>
      </c>
      <c r="AM13" s="106">
        <f>IF($A13="","",2*$G13)</f>
        <v/>
      </c>
      <c r="AN13" s="108">
        <f>IF($A13="","",$R13-87-87)</f>
        <v/>
      </c>
      <c r="AO13" s="109">
        <f>IF($A13="","",$T13-87-87)</f>
        <v/>
      </c>
      <c r="AP13" s="110">
        <f>IF($A13="","",1*$G13)</f>
        <v/>
      </c>
      <c r="AQ13" s="108">
        <f>IF($A13="","",$R13-87-87)</f>
        <v/>
      </c>
      <c r="AR13" s="109">
        <f>IF($A13="","",$V13-87-87)</f>
        <v/>
      </c>
      <c r="AS13" s="110">
        <f>IF($A13="","",1*$G13)</f>
        <v/>
      </c>
      <c r="AT13" s="108">
        <f>IF($A13="","",$B13-35-35)</f>
        <v/>
      </c>
      <c r="AU13" s="109">
        <f>IF($A13="","",$F13-35-10)</f>
        <v/>
      </c>
      <c r="AV13" s="110">
        <f>IF($A13="","",2*$G13)</f>
        <v/>
      </c>
    </row>
    <row r="14" ht="40.2" customHeight="1">
      <c r="A14" s="103" t="n"/>
      <c r="B14" s="104" t="n"/>
      <c r="C14" s="104">
        <f>IF($A14="","",$D14+$E14)</f>
        <v/>
      </c>
      <c r="D14" s="104" t="n"/>
      <c r="E14" s="104" t="n"/>
      <c r="F14" s="105">
        <f>IF($A14="","",(($C14-$D14-$E14)/2))</f>
        <v/>
      </c>
      <c r="G14" s="106" t="n"/>
      <c r="H14" s="111">
        <f>IF($A14="","",$B14)</f>
        <v/>
      </c>
      <c r="I14" s="112">
        <f>IF($A14="","",2*$G14)</f>
        <v/>
      </c>
      <c r="J14" s="111">
        <f>IF($A14="","",$H14)</f>
        <v/>
      </c>
      <c r="K14" s="112">
        <f>IF($A14="","",2*$G14)</f>
        <v/>
      </c>
      <c r="L14" s="111">
        <f>IF($A14="","",$C14-$F14-$F14-$E$56-$F$56)</f>
        <v/>
      </c>
      <c r="M14" s="112">
        <f>IF($A14="","",1*$G14)</f>
        <v/>
      </c>
      <c r="N14" s="111">
        <f>IF($A14="","",$H14)</f>
        <v/>
      </c>
      <c r="O14" s="112">
        <f>IF($A14="","",2*$G14)</f>
        <v/>
      </c>
      <c r="P14" s="111">
        <f>IF($A14="","",$F14-$E$58)</f>
        <v/>
      </c>
      <c r="Q14" s="112">
        <f>IF($A14="","",4*$G14)</f>
        <v/>
      </c>
      <c r="R14" s="111">
        <f>IF($A14="","",$B14-$E$59-$F$59)</f>
        <v/>
      </c>
      <c r="S14" s="112">
        <f>IF($A14="","",4*$G14)</f>
        <v/>
      </c>
      <c r="T14" s="111">
        <f>IF($A14="","",$D14-$E$60-$F$60)</f>
        <v/>
      </c>
      <c r="U14" s="112">
        <f>IF($A14="","",2*$G14)</f>
        <v/>
      </c>
      <c r="V14" s="111">
        <f>IF($A14="","",$E14-$E$61-$F$61)</f>
        <v/>
      </c>
      <c r="W14" s="112">
        <f>IF($A14="","",2*$G14)</f>
        <v/>
      </c>
      <c r="X14" s="111">
        <f>IF($A14="","",$R14-$E$62-$F$62)</f>
        <v/>
      </c>
      <c r="Y14" s="112">
        <f>IF($A14="","",4*$G14)</f>
        <v/>
      </c>
      <c r="Z14" s="111">
        <f>IF($A14="","",$T14-$E$63-$F$63)</f>
        <v/>
      </c>
      <c r="AA14" s="112">
        <f>IF($A14="","",2*$G14)</f>
        <v/>
      </c>
      <c r="AB14" s="111">
        <f>IF($A14="","",$V14-$E$64-$F$64)</f>
        <v/>
      </c>
      <c r="AC14" s="112">
        <f>IF($A14="","",2*$G14)</f>
        <v/>
      </c>
      <c r="AD14" s="111">
        <f>IF($A14="","",$F14-$E$65)</f>
        <v/>
      </c>
      <c r="AE14" s="112">
        <f>IF($A14="","",4*$G14)</f>
        <v/>
      </c>
      <c r="AF14" s="111">
        <f>IF($A14="","",$B14-$E$66-$F$66)</f>
        <v/>
      </c>
      <c r="AG14" s="112">
        <f>IF($A14="","",4*$G14)</f>
        <v/>
      </c>
      <c r="AH14" s="111">
        <f>IF($A14="","",$B14-$E$67-$F$67)</f>
        <v/>
      </c>
      <c r="AI14" s="112">
        <f>IF($A14="","",1*$G14)</f>
        <v/>
      </c>
      <c r="AJ14" s="111">
        <f>IF($A14="","",$T14)</f>
        <v/>
      </c>
      <c r="AK14" s="112">
        <f>IF($A14="","",2*$G14)</f>
        <v/>
      </c>
      <c r="AL14" s="111">
        <f>IF($A14="","",$V14)</f>
        <v/>
      </c>
      <c r="AM14" s="112">
        <f>IF($A14="","",2*$G14)</f>
        <v/>
      </c>
      <c r="AN14" s="108">
        <f>IF($A14="","",$R14-87-87)</f>
        <v/>
      </c>
      <c r="AO14" s="109">
        <f>IF($A14="","",$T14-87-87)</f>
        <v/>
      </c>
      <c r="AP14" s="110">
        <f>IF($A14="","",1*$G14)</f>
        <v/>
      </c>
      <c r="AQ14" s="108">
        <f>IF($A14="","",$R14-87-87)</f>
        <v/>
      </c>
      <c r="AR14" s="109">
        <f>IF($A14="","",$V14-87-87)</f>
        <v/>
      </c>
      <c r="AS14" s="110">
        <f>IF($A14="","",1*$G14)</f>
        <v/>
      </c>
      <c r="AT14" s="108">
        <f>IF($A14="","",$B14-35-35)</f>
        <v/>
      </c>
      <c r="AU14" s="109">
        <f>IF($A14="","",$F14-35-10)</f>
        <v/>
      </c>
      <c r="AV14" s="110">
        <f>IF($A14="","",2*$G14)</f>
        <v/>
      </c>
    </row>
    <row r="15" ht="40.2" customHeight="1">
      <c r="A15" s="103" t="n"/>
      <c r="B15" s="104" t="n"/>
      <c r="C15" s="104">
        <f>IF($A15="","",$D15+$E15)</f>
        <v/>
      </c>
      <c r="D15" s="104" t="n"/>
      <c r="E15" s="104" t="n"/>
      <c r="F15" s="105">
        <f>IF($A15="","",(($C15-$D15-$E15)/2))</f>
        <v/>
      </c>
      <c r="G15" s="106" t="n"/>
      <c r="H15" s="107">
        <f>IF($A15="","",$B15)</f>
        <v/>
      </c>
      <c r="I15" s="106">
        <f>IF($A15="","",2*$G15)</f>
        <v/>
      </c>
      <c r="J15" s="107">
        <f>IF($A15="","",$H15)</f>
        <v/>
      </c>
      <c r="K15" s="106">
        <f>IF($A15="","",2*$G15)</f>
        <v/>
      </c>
      <c r="L15" s="107">
        <f>IF($A15="","",$C15-$F15-$F15-$E$56-$F$56)</f>
        <v/>
      </c>
      <c r="M15" s="106">
        <f>IF($A15="","",1*$G15)</f>
        <v/>
      </c>
      <c r="N15" s="107">
        <f>IF($A15="","",$H15)</f>
        <v/>
      </c>
      <c r="O15" s="106">
        <f>IF($A15="","",2*$G15)</f>
        <v/>
      </c>
      <c r="P15" s="107">
        <f>IF($A15="","",$F15-$E$58)</f>
        <v/>
      </c>
      <c r="Q15" s="106">
        <f>IF($A15="","",4*$G15)</f>
        <v/>
      </c>
      <c r="R15" s="107">
        <f>IF($A15="","",$B15-$E$59-$F$59)</f>
        <v/>
      </c>
      <c r="S15" s="106">
        <f>IF($A15="","",4*$G15)</f>
        <v/>
      </c>
      <c r="T15" s="107">
        <f>IF($A15="","",$D15-$E$60-$F$60)</f>
        <v/>
      </c>
      <c r="U15" s="106">
        <f>IF($A15="","",2*$G15)</f>
        <v/>
      </c>
      <c r="V15" s="107">
        <f>IF($A15="","",$E15-$E$61-$F$61)</f>
        <v/>
      </c>
      <c r="W15" s="106">
        <f>IF($A15="","",2*$G15)</f>
        <v/>
      </c>
      <c r="X15" s="107">
        <f>IF($A15="","",$R15-$E$62-$F$62)</f>
        <v/>
      </c>
      <c r="Y15" s="106">
        <f>IF($A15="","",4*$G15)</f>
        <v/>
      </c>
      <c r="Z15" s="107">
        <f>IF($A15="","",$T15-$E$63-$F$63)</f>
        <v/>
      </c>
      <c r="AA15" s="106">
        <f>IF($A15="","",2*$G15)</f>
        <v/>
      </c>
      <c r="AB15" s="107">
        <f>IF($A15="","",$V15-$E$64-$F$64)</f>
        <v/>
      </c>
      <c r="AC15" s="106">
        <f>IF($A15="","",2*$G15)</f>
        <v/>
      </c>
      <c r="AD15" s="107">
        <f>IF($A15="","",$F15-$E$65)</f>
        <v/>
      </c>
      <c r="AE15" s="106">
        <f>IF($A15="","",4*$G15)</f>
        <v/>
      </c>
      <c r="AF15" s="107">
        <f>IF($A15="","",$B15-$E$66-$F$66)</f>
        <v/>
      </c>
      <c r="AG15" s="106">
        <f>IF($A15="","",4*$G15)</f>
        <v/>
      </c>
      <c r="AH15" s="107">
        <f>IF($A15="","",$B15-$E$67-$F$67)</f>
        <v/>
      </c>
      <c r="AI15" s="106">
        <f>IF($A15="","",1*$G15)</f>
        <v/>
      </c>
      <c r="AJ15" s="107">
        <f>IF($A15="","",$T15)</f>
        <v/>
      </c>
      <c r="AK15" s="106">
        <f>IF($A15="","",2*$G15)</f>
        <v/>
      </c>
      <c r="AL15" s="107">
        <f>IF($A15="","",$V15)</f>
        <v/>
      </c>
      <c r="AM15" s="106">
        <f>IF($A15="","",2*$G15)</f>
        <v/>
      </c>
      <c r="AN15" s="108">
        <f>IF($A15="","",$R15-87-87)</f>
        <v/>
      </c>
      <c r="AO15" s="109">
        <f>IF($A15="","",$T15-87-87)</f>
        <v/>
      </c>
      <c r="AP15" s="110">
        <f>IF($A15="","",1*$G15)</f>
        <v/>
      </c>
      <c r="AQ15" s="108">
        <f>IF($A15="","",$R15-87-87)</f>
        <v/>
      </c>
      <c r="AR15" s="109">
        <f>IF($A15="","",$V15-87-87)</f>
        <v/>
      </c>
      <c r="AS15" s="110">
        <f>IF($A15="","",1*$G15)</f>
        <v/>
      </c>
      <c r="AT15" s="108">
        <f>IF($A15="","",$B15-35-35)</f>
        <v/>
      </c>
      <c r="AU15" s="109">
        <f>IF($A15="","",$F15-35-10)</f>
        <v/>
      </c>
      <c r="AV15" s="110">
        <f>IF($A15="","",2*$G15)</f>
        <v/>
      </c>
    </row>
    <row r="16" ht="40.2" customHeight="1">
      <c r="A16" s="103" t="n"/>
      <c r="B16" s="104" t="n"/>
      <c r="C16" s="104">
        <f>IF($A16="","",$D16+$E16)</f>
        <v/>
      </c>
      <c r="D16" s="104" t="n"/>
      <c r="E16" s="104" t="n"/>
      <c r="F16" s="105">
        <f>IF($A16="","",(($C16-$D16-$E16)/2))</f>
        <v/>
      </c>
      <c r="G16" s="106" t="n"/>
      <c r="H16" s="111">
        <f>IF($A16="","",$B16)</f>
        <v/>
      </c>
      <c r="I16" s="112">
        <f>IF($A16="","",2*$G16)</f>
        <v/>
      </c>
      <c r="J16" s="111">
        <f>IF($A16="","",$H16)</f>
        <v/>
      </c>
      <c r="K16" s="112">
        <f>IF($A16="","",2*$G16)</f>
        <v/>
      </c>
      <c r="L16" s="111">
        <f>IF($A16="","",$C16-$F16-$F16-$E$56-$F$56)</f>
        <v/>
      </c>
      <c r="M16" s="112">
        <f>IF($A16="","",1*$G16)</f>
        <v/>
      </c>
      <c r="N16" s="111">
        <f>IF($A16="","",$H16)</f>
        <v/>
      </c>
      <c r="O16" s="112">
        <f>IF($A16="","",2*$G16)</f>
        <v/>
      </c>
      <c r="P16" s="111">
        <f>IF($A16="","",$F16-$E$58)</f>
        <v/>
      </c>
      <c r="Q16" s="112">
        <f>IF($A16="","",4*$G16)</f>
        <v/>
      </c>
      <c r="R16" s="111">
        <f>IF($A16="","",$B16-$E$59-$F$59)</f>
        <v/>
      </c>
      <c r="S16" s="112">
        <f>IF($A16="","",4*$G16)</f>
        <v/>
      </c>
      <c r="T16" s="111">
        <f>IF($A16="","",$D16-$E$60-$F$60)</f>
        <v/>
      </c>
      <c r="U16" s="112">
        <f>IF($A16="","",2*$G16)</f>
        <v/>
      </c>
      <c r="V16" s="111">
        <f>IF($A16="","",$E16-$E$61-$F$61)</f>
        <v/>
      </c>
      <c r="W16" s="112">
        <f>IF($A16="","",2*$G16)</f>
        <v/>
      </c>
      <c r="X16" s="111">
        <f>IF($A16="","",$R16-$E$62-$F$62)</f>
        <v/>
      </c>
      <c r="Y16" s="112">
        <f>IF($A16="","",4*$G16)</f>
        <v/>
      </c>
      <c r="Z16" s="111">
        <f>IF($A16="","",$T16-$E$63-$F$63)</f>
        <v/>
      </c>
      <c r="AA16" s="112">
        <f>IF($A16="","",2*$G16)</f>
        <v/>
      </c>
      <c r="AB16" s="111">
        <f>IF($A16="","",$V16-$E$64-$F$64)</f>
        <v/>
      </c>
      <c r="AC16" s="112">
        <f>IF($A16="","",2*$G16)</f>
        <v/>
      </c>
      <c r="AD16" s="111">
        <f>IF($A16="","",$F16-$E$65)</f>
        <v/>
      </c>
      <c r="AE16" s="112">
        <f>IF($A16="","",4*$G16)</f>
        <v/>
      </c>
      <c r="AF16" s="111">
        <f>IF($A16="","",$B16-$E$66-$F$66)</f>
        <v/>
      </c>
      <c r="AG16" s="112">
        <f>IF($A16="","",4*$G16)</f>
        <v/>
      </c>
      <c r="AH16" s="111">
        <f>IF($A16="","",$B16-$E$67-$F$67)</f>
        <v/>
      </c>
      <c r="AI16" s="112">
        <f>IF($A16="","",1*$G16)</f>
        <v/>
      </c>
      <c r="AJ16" s="111">
        <f>IF($A16="","",$T16)</f>
        <v/>
      </c>
      <c r="AK16" s="112">
        <f>IF($A16="","",2*$G16)</f>
        <v/>
      </c>
      <c r="AL16" s="111">
        <f>IF($A16="","",$V16)</f>
        <v/>
      </c>
      <c r="AM16" s="112">
        <f>IF($A16="","",2*$G16)</f>
        <v/>
      </c>
      <c r="AN16" s="108">
        <f>IF($A16="","",$R16-87-87)</f>
        <v/>
      </c>
      <c r="AO16" s="109">
        <f>IF($A16="","",$T16-87-87)</f>
        <v/>
      </c>
      <c r="AP16" s="110">
        <f>IF($A16="","",1*$G16)</f>
        <v/>
      </c>
      <c r="AQ16" s="108">
        <f>IF($A16="","",$R16-87-87)</f>
        <v/>
      </c>
      <c r="AR16" s="109">
        <f>IF($A16="","",$V16-87-87)</f>
        <v/>
      </c>
      <c r="AS16" s="110">
        <f>IF($A16="","",1*$G16)</f>
        <v/>
      </c>
      <c r="AT16" s="108">
        <f>IF($A16="","",$B16-35-35)</f>
        <v/>
      </c>
      <c r="AU16" s="109">
        <f>IF($A16="","",$F16-35-10)</f>
        <v/>
      </c>
      <c r="AV16" s="110">
        <f>IF($A16="","",2*$G16)</f>
        <v/>
      </c>
    </row>
    <row r="17" ht="40.2" customHeight="1">
      <c r="A17" s="103" t="n"/>
      <c r="B17" s="104" t="n"/>
      <c r="C17" s="104">
        <f>IF($A17="","",$D17+$E17)</f>
        <v/>
      </c>
      <c r="D17" s="104" t="n"/>
      <c r="E17" s="104" t="n"/>
      <c r="F17" s="105">
        <f>IF($A17="","",(($C17-$D17-$E17)/2))</f>
        <v/>
      </c>
      <c r="G17" s="106" t="n"/>
      <c r="H17" s="107">
        <f>IF($A17="","",$B17)</f>
        <v/>
      </c>
      <c r="I17" s="106">
        <f>IF($A17="","",2*$G17)</f>
        <v/>
      </c>
      <c r="J17" s="107">
        <f>IF($A17="","",$H17)</f>
        <v/>
      </c>
      <c r="K17" s="106">
        <f>IF($A17="","",2*$G17)</f>
        <v/>
      </c>
      <c r="L17" s="107">
        <f>IF($A17="","",$C17-$F17-$F17-$E$56-$F$56)</f>
        <v/>
      </c>
      <c r="M17" s="106">
        <f>IF($A17="","",1*$G17)</f>
        <v/>
      </c>
      <c r="N17" s="107">
        <f>IF($A17="","",$H17)</f>
        <v/>
      </c>
      <c r="O17" s="106">
        <f>IF($A17="","",2*$G17)</f>
        <v/>
      </c>
      <c r="P17" s="107">
        <f>IF($A17="","",$F17-$E$58)</f>
        <v/>
      </c>
      <c r="Q17" s="106">
        <f>IF($A17="","",4*$G17)</f>
        <v/>
      </c>
      <c r="R17" s="107">
        <f>IF($A17="","",$B17-$E$59-$F$59)</f>
        <v/>
      </c>
      <c r="S17" s="106">
        <f>IF($A17="","",4*$G17)</f>
        <v/>
      </c>
      <c r="T17" s="107">
        <f>IF($A17="","",$D17-$E$60-$F$60)</f>
        <v/>
      </c>
      <c r="U17" s="106">
        <f>IF($A17="","",2*$G17)</f>
        <v/>
      </c>
      <c r="V17" s="107">
        <f>IF($A17="","",$E17-$E$61-$F$61)</f>
        <v/>
      </c>
      <c r="W17" s="106">
        <f>IF($A17="","",2*$G17)</f>
        <v/>
      </c>
      <c r="X17" s="107">
        <f>IF($A17="","",$R17-$E$62-$F$62)</f>
        <v/>
      </c>
      <c r="Y17" s="106">
        <f>IF($A17="","",4*$G17)</f>
        <v/>
      </c>
      <c r="Z17" s="107">
        <f>IF($A17="","",$T17-$E$63-$F$63)</f>
        <v/>
      </c>
      <c r="AA17" s="106">
        <f>IF($A17="","",2*$G17)</f>
        <v/>
      </c>
      <c r="AB17" s="107">
        <f>IF($A17="","",$V17-$E$64-$F$64)</f>
        <v/>
      </c>
      <c r="AC17" s="106">
        <f>IF($A17="","",2*$G17)</f>
        <v/>
      </c>
      <c r="AD17" s="107">
        <f>IF($A17="","",$F17-$E$65)</f>
        <v/>
      </c>
      <c r="AE17" s="106">
        <f>IF($A17="","",4*$G17)</f>
        <v/>
      </c>
      <c r="AF17" s="107">
        <f>IF($A17="","",$B17-$E$66-$F$66)</f>
        <v/>
      </c>
      <c r="AG17" s="106">
        <f>IF($A17="","",4*$G17)</f>
        <v/>
      </c>
      <c r="AH17" s="107">
        <f>IF($A17="","",$B17-$E$67-$F$67)</f>
        <v/>
      </c>
      <c r="AI17" s="106">
        <f>IF($A17="","",1*$G17)</f>
        <v/>
      </c>
      <c r="AJ17" s="107">
        <f>IF($A17="","",$T17)</f>
        <v/>
      </c>
      <c r="AK17" s="106">
        <f>IF($A17="","",2*$G17)</f>
        <v/>
      </c>
      <c r="AL17" s="107">
        <f>IF($A17="","",$V17)</f>
        <v/>
      </c>
      <c r="AM17" s="106">
        <f>IF($A17="","",2*$G17)</f>
        <v/>
      </c>
      <c r="AN17" s="108">
        <f>IF($A17="","",$R17-87-87)</f>
        <v/>
      </c>
      <c r="AO17" s="109">
        <f>IF($A17="","",$T17-87-87)</f>
        <v/>
      </c>
      <c r="AP17" s="110">
        <f>IF($A17="","",1*$G17)</f>
        <v/>
      </c>
      <c r="AQ17" s="108">
        <f>IF($A17="","",$R17-87-87)</f>
        <v/>
      </c>
      <c r="AR17" s="109">
        <f>IF($A17="","",$V17-87-87)</f>
        <v/>
      </c>
      <c r="AS17" s="110">
        <f>IF($A17="","",1*$G17)</f>
        <v/>
      </c>
      <c r="AT17" s="108">
        <f>IF($A17="","",$B17-35-35)</f>
        <v/>
      </c>
      <c r="AU17" s="109">
        <f>IF($A17="","",$F17-35-10)</f>
        <v/>
      </c>
      <c r="AV17" s="110">
        <f>IF($A17="","",2*$G17)</f>
        <v/>
      </c>
    </row>
    <row r="18" ht="40.2" customHeight="1">
      <c r="A18" s="103" t="n"/>
      <c r="B18" s="104" t="n"/>
      <c r="C18" s="104">
        <f>IF($A18="","",$D18+$E18)</f>
        <v/>
      </c>
      <c r="D18" s="104" t="n"/>
      <c r="E18" s="104" t="n"/>
      <c r="F18" s="105">
        <f>IF($A18="","",(($C18-$D18-$E18)/2))</f>
        <v/>
      </c>
      <c r="G18" s="106" t="n"/>
      <c r="H18" s="111">
        <f>IF($A18="","",$B18)</f>
        <v/>
      </c>
      <c r="I18" s="112">
        <f>IF($A18="","",2*$G18)</f>
        <v/>
      </c>
      <c r="J18" s="111">
        <f>IF($A18="","",$H18)</f>
        <v/>
      </c>
      <c r="K18" s="112">
        <f>IF($A18="","",2*$G18)</f>
        <v/>
      </c>
      <c r="L18" s="111">
        <f>IF($A18="","",$C18-$F18-$F18-$E$56-$F$56)</f>
        <v/>
      </c>
      <c r="M18" s="112">
        <f>IF($A18="","",1*$G18)</f>
        <v/>
      </c>
      <c r="N18" s="111">
        <f>IF($A18="","",$H18)</f>
        <v/>
      </c>
      <c r="O18" s="112">
        <f>IF($A18="","",2*$G18)</f>
        <v/>
      </c>
      <c r="P18" s="111">
        <f>IF($A18="","",$F18-$E$58)</f>
        <v/>
      </c>
      <c r="Q18" s="112">
        <f>IF($A18="","",4*$G18)</f>
        <v/>
      </c>
      <c r="R18" s="111">
        <f>IF($A18="","",$B18-$E$59-$F$59)</f>
        <v/>
      </c>
      <c r="S18" s="112">
        <f>IF($A18="","",4*$G18)</f>
        <v/>
      </c>
      <c r="T18" s="111">
        <f>IF($A18="","",$D18-$E$60-$F$60)</f>
        <v/>
      </c>
      <c r="U18" s="112">
        <f>IF($A18="","",2*$G18)</f>
        <v/>
      </c>
      <c r="V18" s="111">
        <f>IF($A18="","",$E18-$E$61-$F$61)</f>
        <v/>
      </c>
      <c r="W18" s="112">
        <f>IF($A18="","",2*$G18)</f>
        <v/>
      </c>
      <c r="X18" s="111">
        <f>IF($A18="","",$R18-$E$62-$F$62)</f>
        <v/>
      </c>
      <c r="Y18" s="112">
        <f>IF($A18="","",4*$G18)</f>
        <v/>
      </c>
      <c r="Z18" s="111">
        <f>IF($A18="","",$T18-$E$63-$F$63)</f>
        <v/>
      </c>
      <c r="AA18" s="112">
        <f>IF($A18="","",2*$G18)</f>
        <v/>
      </c>
      <c r="AB18" s="111">
        <f>IF($A18="","",$V18-$E$64-$F$64)</f>
        <v/>
      </c>
      <c r="AC18" s="112">
        <f>IF($A18="","",2*$G18)</f>
        <v/>
      </c>
      <c r="AD18" s="111">
        <f>IF($A18="","",$F18-$E$65)</f>
        <v/>
      </c>
      <c r="AE18" s="112">
        <f>IF($A18="","",4*$G18)</f>
        <v/>
      </c>
      <c r="AF18" s="111">
        <f>IF($A18="","",$B18-$E$66-$F$66)</f>
        <v/>
      </c>
      <c r="AG18" s="112">
        <f>IF($A18="","",4*$G18)</f>
        <v/>
      </c>
      <c r="AH18" s="111">
        <f>IF($A18="","",$B18-$E$67-$F$67)</f>
        <v/>
      </c>
      <c r="AI18" s="112">
        <f>IF($A18="","",1*$G18)</f>
        <v/>
      </c>
      <c r="AJ18" s="111">
        <f>IF($A18="","",$T18)</f>
        <v/>
      </c>
      <c r="AK18" s="112">
        <f>IF($A18="","",2*$G18)</f>
        <v/>
      </c>
      <c r="AL18" s="111">
        <f>IF($A18="","",$V18)</f>
        <v/>
      </c>
      <c r="AM18" s="112">
        <f>IF($A18="","",2*$G18)</f>
        <v/>
      </c>
      <c r="AN18" s="108">
        <f>IF($A18="","",$R18-87-87)</f>
        <v/>
      </c>
      <c r="AO18" s="109">
        <f>IF($A18="","",$T18-87-87)</f>
        <v/>
      </c>
      <c r="AP18" s="110">
        <f>IF($A18="","",1*$G18)</f>
        <v/>
      </c>
      <c r="AQ18" s="108">
        <f>IF($A18="","",$R18-87-87)</f>
        <v/>
      </c>
      <c r="AR18" s="109">
        <f>IF($A18="","",$V18-87-87)</f>
        <v/>
      </c>
      <c r="AS18" s="110">
        <f>IF($A18="","",1*$G18)</f>
        <v/>
      </c>
      <c r="AT18" s="108">
        <f>IF($A18="","",$B18-35-35)</f>
        <v/>
      </c>
      <c r="AU18" s="109">
        <f>IF($A18="","",$F18-35-10)</f>
        <v/>
      </c>
      <c r="AV18" s="110">
        <f>IF($A18="","",2*$G18)</f>
        <v/>
      </c>
    </row>
    <row r="19" ht="40.2" customHeight="1">
      <c r="A19" s="103" t="n"/>
      <c r="B19" s="104" t="n"/>
      <c r="C19" s="104">
        <f>IF($A19="","",$D19+$E19)</f>
        <v/>
      </c>
      <c r="D19" s="104" t="n"/>
      <c r="E19" s="104" t="n"/>
      <c r="F19" s="105">
        <f>IF($A19="","",(($C19-$D19-$E19)/2))</f>
        <v/>
      </c>
      <c r="G19" s="106" t="n"/>
      <c r="H19" s="107">
        <f>IF($A19="","",$B19)</f>
        <v/>
      </c>
      <c r="I19" s="106">
        <f>IF($A19="","",2*$G19)</f>
        <v/>
      </c>
      <c r="J19" s="107">
        <f>IF($A19="","",$H19)</f>
        <v/>
      </c>
      <c r="K19" s="106">
        <f>IF($A19="","",2*$G19)</f>
        <v/>
      </c>
      <c r="L19" s="107">
        <f>IF($A19="","",$C19-$F19-$F19-$E$56-$F$56)</f>
        <v/>
      </c>
      <c r="M19" s="106">
        <f>IF($A19="","",1*$G19)</f>
        <v/>
      </c>
      <c r="N19" s="107">
        <f>IF($A19="","",$H19)</f>
        <v/>
      </c>
      <c r="O19" s="106">
        <f>IF($A19="","",2*$G19)</f>
        <v/>
      </c>
      <c r="P19" s="107">
        <f>IF($A19="","",$F19-$E$58)</f>
        <v/>
      </c>
      <c r="Q19" s="106">
        <f>IF($A19="","",4*$G19)</f>
        <v/>
      </c>
      <c r="R19" s="107">
        <f>IF($A19="","",$B19-$E$59-$F$59)</f>
        <v/>
      </c>
      <c r="S19" s="106">
        <f>IF($A19="","",4*$G19)</f>
        <v/>
      </c>
      <c r="T19" s="107">
        <f>IF($A19="","",$D19-$E$60-$F$60)</f>
        <v/>
      </c>
      <c r="U19" s="106">
        <f>IF($A19="","",2*$G19)</f>
        <v/>
      </c>
      <c r="V19" s="107">
        <f>IF($A19="","",$E19-$E$61-$F$61)</f>
        <v/>
      </c>
      <c r="W19" s="106">
        <f>IF($A19="","",2*$G19)</f>
        <v/>
      </c>
      <c r="X19" s="107">
        <f>IF($A19="","",$R19-$E$62-$F$62)</f>
        <v/>
      </c>
      <c r="Y19" s="106">
        <f>IF($A19="","",4*$G19)</f>
        <v/>
      </c>
      <c r="Z19" s="107">
        <f>IF($A19="","",$T19-$E$63-$F$63)</f>
        <v/>
      </c>
      <c r="AA19" s="106">
        <f>IF($A19="","",2*$G19)</f>
        <v/>
      </c>
      <c r="AB19" s="107">
        <f>IF($A19="","",$V19-$E$64-$F$64)</f>
        <v/>
      </c>
      <c r="AC19" s="106">
        <f>IF($A19="","",2*$G19)</f>
        <v/>
      </c>
      <c r="AD19" s="107">
        <f>IF($A19="","",$F19-$E$65)</f>
        <v/>
      </c>
      <c r="AE19" s="106">
        <f>IF($A19="","",4*$G19)</f>
        <v/>
      </c>
      <c r="AF19" s="107">
        <f>IF($A19="","",$B19-$E$66-$F$66)</f>
        <v/>
      </c>
      <c r="AG19" s="106">
        <f>IF($A19="","",4*$G19)</f>
        <v/>
      </c>
      <c r="AH19" s="107">
        <f>IF($A19="","",$B19-$E$67-$F$67)</f>
        <v/>
      </c>
      <c r="AI19" s="106">
        <f>IF($A19="","",1*$G19)</f>
        <v/>
      </c>
      <c r="AJ19" s="107">
        <f>IF($A19="","",$T19)</f>
        <v/>
      </c>
      <c r="AK19" s="106">
        <f>IF($A19="","",2*$G19)</f>
        <v/>
      </c>
      <c r="AL19" s="107">
        <f>IF($A19="","",$V19)</f>
        <v/>
      </c>
      <c r="AM19" s="106">
        <f>IF($A19="","",2*$G19)</f>
        <v/>
      </c>
      <c r="AN19" s="108">
        <f>IF($A19="","",$R19-87-87)</f>
        <v/>
      </c>
      <c r="AO19" s="109">
        <f>IF($A19="","",$T19-87-87)</f>
        <v/>
      </c>
      <c r="AP19" s="110">
        <f>IF($A19="","",1*$G19)</f>
        <v/>
      </c>
      <c r="AQ19" s="108">
        <f>IF($A19="","",$R19-87-87)</f>
        <v/>
      </c>
      <c r="AR19" s="109">
        <f>IF($A19="","",$V19-87-87)</f>
        <v/>
      </c>
      <c r="AS19" s="110">
        <f>IF($A19="","",1*$G19)</f>
        <v/>
      </c>
      <c r="AT19" s="108">
        <f>IF($A19="","",$B19-35-35)</f>
        <v/>
      </c>
      <c r="AU19" s="109">
        <f>IF($A19="","",$F19-35-10)</f>
        <v/>
      </c>
      <c r="AV19" s="110">
        <f>IF($A19="","",2*$G19)</f>
        <v/>
      </c>
    </row>
    <row r="20" ht="40.2" customHeight="1">
      <c r="A20" s="103" t="n"/>
      <c r="B20" s="104" t="n"/>
      <c r="C20" s="104">
        <f>IF($A20="","",$D20+$E20)</f>
        <v/>
      </c>
      <c r="D20" s="104" t="n"/>
      <c r="E20" s="104" t="n"/>
      <c r="F20" s="105">
        <f>IF($A20="","",(($C20-$D20-$E20)/2))</f>
        <v/>
      </c>
      <c r="G20" s="106" t="n"/>
      <c r="H20" s="111">
        <f>IF($A20="","",$B20)</f>
        <v/>
      </c>
      <c r="I20" s="112">
        <f>IF($A20="","",2*$G20)</f>
        <v/>
      </c>
      <c r="J20" s="111">
        <f>IF($A20="","",$H20)</f>
        <v/>
      </c>
      <c r="K20" s="112">
        <f>IF($A20="","",2*$G20)</f>
        <v/>
      </c>
      <c r="L20" s="111">
        <f>IF($A20="","",$C20-$F20-$F20-$E$56-$F$56)</f>
        <v/>
      </c>
      <c r="M20" s="112">
        <f>IF($A20="","",1*$G20)</f>
        <v/>
      </c>
      <c r="N20" s="111">
        <f>IF($A20="","",$H20)</f>
        <v/>
      </c>
      <c r="O20" s="112">
        <f>IF($A20="","",2*$G20)</f>
        <v/>
      </c>
      <c r="P20" s="111">
        <f>IF($A20="","",$F20-$E$58)</f>
        <v/>
      </c>
      <c r="Q20" s="112">
        <f>IF($A20="","",4*$G20)</f>
        <v/>
      </c>
      <c r="R20" s="111">
        <f>IF($A20="","",$B20-$E$59-$F$59)</f>
        <v/>
      </c>
      <c r="S20" s="112">
        <f>IF($A20="","",4*$G20)</f>
        <v/>
      </c>
      <c r="T20" s="111">
        <f>IF($A20="","",$D20-$E$60-$F$60)</f>
        <v/>
      </c>
      <c r="U20" s="112">
        <f>IF($A20="","",2*$G20)</f>
        <v/>
      </c>
      <c r="V20" s="111">
        <f>IF($A20="","",$E20-$E$61-$F$61)</f>
        <v/>
      </c>
      <c r="W20" s="112">
        <f>IF($A20="","",2*$G20)</f>
        <v/>
      </c>
      <c r="X20" s="111">
        <f>IF($A20="","",$R20-$E$62-$F$62)</f>
        <v/>
      </c>
      <c r="Y20" s="112">
        <f>IF($A20="","",4*$G20)</f>
        <v/>
      </c>
      <c r="Z20" s="111">
        <f>IF($A20="","",$T20-$E$63-$F$63)</f>
        <v/>
      </c>
      <c r="AA20" s="112">
        <f>IF($A20="","",2*$G20)</f>
        <v/>
      </c>
      <c r="AB20" s="111">
        <f>IF($A20="","",$V20-$E$64-$F$64)</f>
        <v/>
      </c>
      <c r="AC20" s="112">
        <f>IF($A20="","",2*$G20)</f>
        <v/>
      </c>
      <c r="AD20" s="111">
        <f>IF($A20="","",$F20-$E$65)</f>
        <v/>
      </c>
      <c r="AE20" s="112">
        <f>IF($A20="","",4*$G20)</f>
        <v/>
      </c>
      <c r="AF20" s="111">
        <f>IF($A20="","",$B20-$E$66-$F$66)</f>
        <v/>
      </c>
      <c r="AG20" s="112">
        <f>IF($A20="","",4*$G20)</f>
        <v/>
      </c>
      <c r="AH20" s="111">
        <f>IF($A20="","",$B20-$E$67-$F$67)</f>
        <v/>
      </c>
      <c r="AI20" s="112">
        <f>IF($A20="","",1*$G20)</f>
        <v/>
      </c>
      <c r="AJ20" s="111">
        <f>IF($A20="","",$T20)</f>
        <v/>
      </c>
      <c r="AK20" s="112">
        <f>IF($A20="","",2*$G20)</f>
        <v/>
      </c>
      <c r="AL20" s="111">
        <f>IF($A20="","",$V20)</f>
        <v/>
      </c>
      <c r="AM20" s="112">
        <f>IF($A20="","",2*$G20)</f>
        <v/>
      </c>
      <c r="AN20" s="108">
        <f>IF($A20="","",$R20-87-87)</f>
        <v/>
      </c>
      <c r="AO20" s="109">
        <f>IF($A20="","",$T20-87-87)</f>
        <v/>
      </c>
      <c r="AP20" s="110">
        <f>IF($A20="","",1*$G20)</f>
        <v/>
      </c>
      <c r="AQ20" s="108">
        <f>IF($A20="","",$R20-87-87)</f>
        <v/>
      </c>
      <c r="AR20" s="109">
        <f>IF($A20="","",$V20-87-87)</f>
        <v/>
      </c>
      <c r="AS20" s="110">
        <f>IF($A20="","",1*$G20)</f>
        <v/>
      </c>
      <c r="AT20" s="108">
        <f>IF($A20="","",$B20-35-35)</f>
        <v/>
      </c>
      <c r="AU20" s="109">
        <f>IF($A20="","",$F20-35-10)</f>
        <v/>
      </c>
      <c r="AV20" s="110">
        <f>IF($A20="","",2*$G20)</f>
        <v/>
      </c>
    </row>
    <row r="21" ht="40.2" customHeight="1">
      <c r="A21" s="103" t="n"/>
      <c r="B21" s="104" t="n"/>
      <c r="C21" s="104">
        <f>IF($A21="","",$D21+$E21)</f>
        <v/>
      </c>
      <c r="D21" s="104" t="n"/>
      <c r="E21" s="104" t="n"/>
      <c r="F21" s="105">
        <f>IF($A21="","",(($C21-$D21-$E21)/2))</f>
        <v/>
      </c>
      <c r="G21" s="106" t="n"/>
      <c r="H21" s="107">
        <f>IF($A21="","",$B21)</f>
        <v/>
      </c>
      <c r="I21" s="106">
        <f>IF($A21="","",2*$G21)</f>
        <v/>
      </c>
      <c r="J21" s="107">
        <f>IF($A21="","",$H21)</f>
        <v/>
      </c>
      <c r="K21" s="106">
        <f>IF($A21="","",2*$G21)</f>
        <v/>
      </c>
      <c r="L21" s="107">
        <f>IF($A21="","",$C21-$F21-$F21-$E$56-$F$56)</f>
        <v/>
      </c>
      <c r="M21" s="106">
        <f>IF($A21="","",1*$G21)</f>
        <v/>
      </c>
      <c r="N21" s="107">
        <f>IF($A21="","",$H21)</f>
        <v/>
      </c>
      <c r="O21" s="106">
        <f>IF($A21="","",2*$G21)</f>
        <v/>
      </c>
      <c r="P21" s="107">
        <f>IF($A21="","",$F21-$E$58)</f>
        <v/>
      </c>
      <c r="Q21" s="106">
        <f>IF($A21="","",4*$G21)</f>
        <v/>
      </c>
      <c r="R21" s="107">
        <f>IF($A21="","",$B21-$E$59-$F$59)</f>
        <v/>
      </c>
      <c r="S21" s="106">
        <f>IF($A21="","",4*$G21)</f>
        <v/>
      </c>
      <c r="T21" s="107">
        <f>IF($A21="","",$D21-$E$60-$F$60)</f>
        <v/>
      </c>
      <c r="U21" s="106">
        <f>IF($A21="","",2*$G21)</f>
        <v/>
      </c>
      <c r="V21" s="107">
        <f>IF($A21="","",$E21-$E$61-$F$61)</f>
        <v/>
      </c>
      <c r="W21" s="106">
        <f>IF($A21="","",2*$G21)</f>
        <v/>
      </c>
      <c r="X21" s="107">
        <f>IF($A21="","",$R21-$E$62-$F$62)</f>
        <v/>
      </c>
      <c r="Y21" s="106">
        <f>IF($A21="","",4*$G21)</f>
        <v/>
      </c>
      <c r="Z21" s="107">
        <f>IF($A21="","",$T21-$E$63-$F$63)</f>
        <v/>
      </c>
      <c r="AA21" s="106">
        <f>IF($A21="","",2*$G21)</f>
        <v/>
      </c>
      <c r="AB21" s="107">
        <f>IF($A21="","",$V21-$E$64-$F$64)</f>
        <v/>
      </c>
      <c r="AC21" s="106">
        <f>IF($A21="","",2*$G21)</f>
        <v/>
      </c>
      <c r="AD21" s="107">
        <f>IF($A21="","",$F21-$E$65)</f>
        <v/>
      </c>
      <c r="AE21" s="106">
        <f>IF($A21="","",4*$G21)</f>
        <v/>
      </c>
      <c r="AF21" s="107">
        <f>IF($A21="","",$B21-$E$66-$F$66)</f>
        <v/>
      </c>
      <c r="AG21" s="106">
        <f>IF($A21="","",4*$G21)</f>
        <v/>
      </c>
      <c r="AH21" s="107">
        <f>IF($A21="","",$B21-$E$67-$F$67)</f>
        <v/>
      </c>
      <c r="AI21" s="106">
        <f>IF($A21="","",1*$G21)</f>
        <v/>
      </c>
      <c r="AJ21" s="107">
        <f>IF($A21="","",$T21)</f>
        <v/>
      </c>
      <c r="AK21" s="106">
        <f>IF($A21="","",2*$G21)</f>
        <v/>
      </c>
      <c r="AL21" s="107">
        <f>IF($A21="","",$V21)</f>
        <v/>
      </c>
      <c r="AM21" s="106">
        <f>IF($A21="","",2*$G21)</f>
        <v/>
      </c>
      <c r="AN21" s="108">
        <f>IF($A21="","",$R21-87-87)</f>
        <v/>
      </c>
      <c r="AO21" s="109">
        <f>IF($A21="","",$T21-87-87)</f>
        <v/>
      </c>
      <c r="AP21" s="110">
        <f>IF($A21="","",1*$G21)</f>
        <v/>
      </c>
      <c r="AQ21" s="108">
        <f>IF($A21="","",$R21-87-87)</f>
        <v/>
      </c>
      <c r="AR21" s="109">
        <f>IF($A21="","",$V21-87-87)</f>
        <v/>
      </c>
      <c r="AS21" s="110">
        <f>IF($A21="","",1*$G21)</f>
        <v/>
      </c>
      <c r="AT21" s="108">
        <f>IF($A21="","",$B21-35-35)</f>
        <v/>
      </c>
      <c r="AU21" s="109">
        <f>IF($A21="","",$F21-35-10)</f>
        <v/>
      </c>
      <c r="AV21" s="110">
        <f>IF($A21="","",2*$G21)</f>
        <v/>
      </c>
    </row>
    <row r="22" ht="40.2" customHeight="1">
      <c r="A22" s="103" t="n"/>
      <c r="B22" s="104" t="n"/>
      <c r="C22" s="104">
        <f>IF($A22="","",$D22+$E22)</f>
        <v/>
      </c>
      <c r="D22" s="104" t="n"/>
      <c r="E22" s="104" t="n"/>
      <c r="F22" s="105">
        <f>IF($A22="","",(($C22-$D22-$E22)/2))</f>
        <v/>
      </c>
      <c r="G22" s="106" t="n"/>
      <c r="H22" s="111">
        <f>IF($A22="","",$B22)</f>
        <v/>
      </c>
      <c r="I22" s="112">
        <f>IF($A22="","",2*$G22)</f>
        <v/>
      </c>
      <c r="J22" s="111">
        <f>IF($A22="","",$H22)</f>
        <v/>
      </c>
      <c r="K22" s="112">
        <f>IF($A22="","",2*$G22)</f>
        <v/>
      </c>
      <c r="L22" s="111">
        <f>IF($A22="","",$C22-$F22-$F22-$E$56-$F$56)</f>
        <v/>
      </c>
      <c r="M22" s="112">
        <f>IF($A22="","",1*$G22)</f>
        <v/>
      </c>
      <c r="N22" s="111">
        <f>IF($A22="","",$H22)</f>
        <v/>
      </c>
      <c r="O22" s="112">
        <f>IF($A22="","",2*$G22)</f>
        <v/>
      </c>
      <c r="P22" s="111">
        <f>IF($A22="","",$F22-$E$58)</f>
        <v/>
      </c>
      <c r="Q22" s="112">
        <f>IF($A22="","",4*$G22)</f>
        <v/>
      </c>
      <c r="R22" s="111">
        <f>IF($A22="","",$B22-$E$59-$F$59)</f>
        <v/>
      </c>
      <c r="S22" s="112">
        <f>IF($A22="","",4*$G22)</f>
        <v/>
      </c>
      <c r="T22" s="111">
        <f>IF($A22="","",$D22-$E$60-$F$60)</f>
        <v/>
      </c>
      <c r="U22" s="112">
        <f>IF($A22="","",2*$G22)</f>
        <v/>
      </c>
      <c r="V22" s="111">
        <f>IF($A22="","",$E22-$E$61-$F$61)</f>
        <v/>
      </c>
      <c r="W22" s="112">
        <f>IF($A22="","",2*$G22)</f>
        <v/>
      </c>
      <c r="X22" s="111">
        <f>IF($A22="","",$R22-$E$62-$F$62)</f>
        <v/>
      </c>
      <c r="Y22" s="112">
        <f>IF($A22="","",4*$G22)</f>
        <v/>
      </c>
      <c r="Z22" s="111">
        <f>IF($A22="","",$T22-$E$63-$F$63)</f>
        <v/>
      </c>
      <c r="AA22" s="112">
        <f>IF($A22="","",2*$G22)</f>
        <v/>
      </c>
      <c r="AB22" s="111">
        <f>IF($A22="","",$V22-$E$64-$F$64)</f>
        <v/>
      </c>
      <c r="AC22" s="112">
        <f>IF($A22="","",2*$G22)</f>
        <v/>
      </c>
      <c r="AD22" s="111">
        <f>IF($A22="","",$F22-$E$65)</f>
        <v/>
      </c>
      <c r="AE22" s="112">
        <f>IF($A22="","",4*$G22)</f>
        <v/>
      </c>
      <c r="AF22" s="111">
        <f>IF($A22="","",$B22-$E$66-$F$66)</f>
        <v/>
      </c>
      <c r="AG22" s="112">
        <f>IF($A22="","",4*$G22)</f>
        <v/>
      </c>
      <c r="AH22" s="111">
        <f>IF($A22="","",$B22-$E$67-$F$67)</f>
        <v/>
      </c>
      <c r="AI22" s="112">
        <f>IF($A22="","",1*$G22)</f>
        <v/>
      </c>
      <c r="AJ22" s="111">
        <f>IF($A22="","",$T22)</f>
        <v/>
      </c>
      <c r="AK22" s="112">
        <f>IF($A22="","",2*$G22)</f>
        <v/>
      </c>
      <c r="AL22" s="111">
        <f>IF($A22="","",$V22)</f>
        <v/>
      </c>
      <c r="AM22" s="112">
        <f>IF($A22="","",2*$G22)</f>
        <v/>
      </c>
      <c r="AN22" s="108">
        <f>IF($A22="","",$R22-87-87)</f>
        <v/>
      </c>
      <c r="AO22" s="109">
        <f>IF($A22="","",$T22-87-87)</f>
        <v/>
      </c>
      <c r="AP22" s="110">
        <f>IF($A22="","",1*$G22)</f>
        <v/>
      </c>
      <c r="AQ22" s="108">
        <f>IF($A22="","",$R22-87-87)</f>
        <v/>
      </c>
      <c r="AR22" s="109">
        <f>IF($A22="","",$V22-87-87)</f>
        <v/>
      </c>
      <c r="AS22" s="110">
        <f>IF($A22="","",1*$G22)</f>
        <v/>
      </c>
      <c r="AT22" s="108">
        <f>IF($A22="","",$B22-35-35)</f>
        <v/>
      </c>
      <c r="AU22" s="109">
        <f>IF($A22="","",$F22-35-10)</f>
        <v/>
      </c>
      <c r="AV22" s="110">
        <f>IF($A22="","",2*$G22)</f>
        <v/>
      </c>
    </row>
    <row r="23" ht="40.2" customHeight="1">
      <c r="A23" s="103" t="n"/>
      <c r="B23" s="104" t="n"/>
      <c r="C23" s="104">
        <f>IF($A23="","",$D23+$E23)</f>
        <v/>
      </c>
      <c r="D23" s="104" t="n"/>
      <c r="E23" s="104" t="n"/>
      <c r="F23" s="105">
        <f>IF($A23="","",(($C23-$D23-$E23)/2))</f>
        <v/>
      </c>
      <c r="G23" s="106" t="n"/>
      <c r="H23" s="107">
        <f>IF($A23="","",$B23)</f>
        <v/>
      </c>
      <c r="I23" s="106">
        <f>IF($A23="","",2*$G23)</f>
        <v/>
      </c>
      <c r="J23" s="107">
        <f>IF($A23="","",$H23)</f>
        <v/>
      </c>
      <c r="K23" s="106">
        <f>IF($A23="","",2*$G23)</f>
        <v/>
      </c>
      <c r="L23" s="107">
        <f>IF($A23="","",$C23-$F23-$F23-$E$56-$F$56)</f>
        <v/>
      </c>
      <c r="M23" s="106">
        <f>IF($A23="","",1*$G23)</f>
        <v/>
      </c>
      <c r="N23" s="107">
        <f>IF($A23="","",$H23)</f>
        <v/>
      </c>
      <c r="O23" s="106">
        <f>IF($A23="","",2*$G23)</f>
        <v/>
      </c>
      <c r="P23" s="107">
        <f>IF($A23="","",$F23-$E$58)</f>
        <v/>
      </c>
      <c r="Q23" s="106">
        <f>IF($A23="","",4*$G23)</f>
        <v/>
      </c>
      <c r="R23" s="107">
        <f>IF($A23="","",$B23-$E$59-$F$59)</f>
        <v/>
      </c>
      <c r="S23" s="106">
        <f>IF($A23="","",4*$G23)</f>
        <v/>
      </c>
      <c r="T23" s="107">
        <f>IF($A23="","",$D23-$E$60-$F$60)</f>
        <v/>
      </c>
      <c r="U23" s="106">
        <f>IF($A23="","",2*$G23)</f>
        <v/>
      </c>
      <c r="V23" s="107">
        <f>IF($A23="","",$E23-$E$61-$F$61)</f>
        <v/>
      </c>
      <c r="W23" s="106">
        <f>IF($A23="","",2*$G23)</f>
        <v/>
      </c>
      <c r="X23" s="107">
        <f>IF($A23="","",$R23-$E$62-$F$62)</f>
        <v/>
      </c>
      <c r="Y23" s="106">
        <f>IF($A23="","",4*$G23)</f>
        <v/>
      </c>
      <c r="Z23" s="107">
        <f>IF($A23="","",$T23-$E$63-$F$63)</f>
        <v/>
      </c>
      <c r="AA23" s="106">
        <f>IF($A23="","",2*$G23)</f>
        <v/>
      </c>
      <c r="AB23" s="107">
        <f>IF($A23="","",$V23-$E$64-$F$64)</f>
        <v/>
      </c>
      <c r="AC23" s="106">
        <f>IF($A23="","",2*$G23)</f>
        <v/>
      </c>
      <c r="AD23" s="107">
        <f>IF($A23="","",$F23-$E$65)</f>
        <v/>
      </c>
      <c r="AE23" s="106">
        <f>IF($A23="","",4*$G23)</f>
        <v/>
      </c>
      <c r="AF23" s="107">
        <f>IF($A23="","",$B23-$E$66-$F$66)</f>
        <v/>
      </c>
      <c r="AG23" s="106">
        <f>IF($A23="","",4*$G23)</f>
        <v/>
      </c>
      <c r="AH23" s="107">
        <f>IF($A23="","",$B23-$E$67-$F$67)</f>
        <v/>
      </c>
      <c r="AI23" s="106">
        <f>IF($A23="","",1*$G23)</f>
        <v/>
      </c>
      <c r="AJ23" s="107">
        <f>IF($A23="","",$T23)</f>
        <v/>
      </c>
      <c r="AK23" s="106">
        <f>IF($A23="","",2*$G23)</f>
        <v/>
      </c>
      <c r="AL23" s="107">
        <f>IF($A23="","",$V23)</f>
        <v/>
      </c>
      <c r="AM23" s="106">
        <f>IF($A23="","",2*$G23)</f>
        <v/>
      </c>
      <c r="AN23" s="108">
        <f>IF($A23="","",$R23-87-87)</f>
        <v/>
      </c>
      <c r="AO23" s="109">
        <f>IF($A23="","",$T23-87-87)</f>
        <v/>
      </c>
      <c r="AP23" s="110">
        <f>IF($A23="","",1*$G23)</f>
        <v/>
      </c>
      <c r="AQ23" s="108">
        <f>IF($A23="","",$R23-87-87)</f>
        <v/>
      </c>
      <c r="AR23" s="109">
        <f>IF($A23="","",$V23-87-87)</f>
        <v/>
      </c>
      <c r="AS23" s="110">
        <f>IF($A23="","",1*$G23)</f>
        <v/>
      </c>
      <c r="AT23" s="108">
        <f>IF($A23="","",$B23-35-35)</f>
        <v/>
      </c>
      <c r="AU23" s="109">
        <f>IF($A23="","",$F23-35-10)</f>
        <v/>
      </c>
      <c r="AV23" s="110">
        <f>IF($A23="","",2*$G23)</f>
        <v/>
      </c>
    </row>
    <row r="24" ht="40.2" customHeight="1">
      <c r="A24" s="103" t="n"/>
      <c r="B24" s="104" t="n"/>
      <c r="C24" s="104">
        <f>IF($A24="","",$D24+$E24)</f>
        <v/>
      </c>
      <c r="D24" s="104" t="n"/>
      <c r="E24" s="104" t="n"/>
      <c r="F24" s="105">
        <f>IF($A24="","",(($C24-$D24-$E24)/2))</f>
        <v/>
      </c>
      <c r="G24" s="106" t="n"/>
      <c r="H24" s="111">
        <f>IF($A24="","",$B24)</f>
        <v/>
      </c>
      <c r="I24" s="112">
        <f>IF($A24="","",2*$G24)</f>
        <v/>
      </c>
      <c r="J24" s="111">
        <f>IF($A24="","",$H24)</f>
        <v/>
      </c>
      <c r="K24" s="112">
        <f>IF($A24="","",2*$G24)</f>
        <v/>
      </c>
      <c r="L24" s="111">
        <f>IF($A24="","",$C24-$F24-$F24-$E$56-$F$56)</f>
        <v/>
      </c>
      <c r="M24" s="112">
        <f>IF($A24="","",1*$G24)</f>
        <v/>
      </c>
      <c r="N24" s="111">
        <f>IF($A24="","",$H24)</f>
        <v/>
      </c>
      <c r="O24" s="112">
        <f>IF($A24="","",2*$G24)</f>
        <v/>
      </c>
      <c r="P24" s="111">
        <f>IF($A24="","",$F24-$E$58)</f>
        <v/>
      </c>
      <c r="Q24" s="112">
        <f>IF($A24="","",4*$G24)</f>
        <v/>
      </c>
      <c r="R24" s="111">
        <f>IF($A24="","",$B24-$E$59-$F$59)</f>
        <v/>
      </c>
      <c r="S24" s="112">
        <f>IF($A24="","",4*$G24)</f>
        <v/>
      </c>
      <c r="T24" s="111">
        <f>IF($A24="","",$D24-$E$60-$F$60)</f>
        <v/>
      </c>
      <c r="U24" s="112">
        <f>IF($A24="","",2*$G24)</f>
        <v/>
      </c>
      <c r="V24" s="111">
        <f>IF($A24="","",$E24-$E$61-$F$61)</f>
        <v/>
      </c>
      <c r="W24" s="112">
        <f>IF($A24="","",2*$G24)</f>
        <v/>
      </c>
      <c r="X24" s="111">
        <f>IF($A24="","",$R24-$E$62-$F$62)</f>
        <v/>
      </c>
      <c r="Y24" s="112">
        <f>IF($A24="","",4*$G24)</f>
        <v/>
      </c>
      <c r="Z24" s="111">
        <f>IF($A24="","",$T24-$E$63-$F$63)</f>
        <v/>
      </c>
      <c r="AA24" s="112">
        <f>IF($A24="","",2*$G24)</f>
        <v/>
      </c>
      <c r="AB24" s="111">
        <f>IF($A24="","",$V24-$E$64-$F$64)</f>
        <v/>
      </c>
      <c r="AC24" s="112">
        <f>IF($A24="","",2*$G24)</f>
        <v/>
      </c>
      <c r="AD24" s="111">
        <f>IF($A24="","",$F24-$E$65)</f>
        <v/>
      </c>
      <c r="AE24" s="112">
        <f>IF($A24="","",4*$G24)</f>
        <v/>
      </c>
      <c r="AF24" s="111">
        <f>IF($A24="","",$B24-$E$66-$F$66)</f>
        <v/>
      </c>
      <c r="AG24" s="112">
        <f>IF($A24="","",4*$G24)</f>
        <v/>
      </c>
      <c r="AH24" s="111">
        <f>IF($A24="","",$B24-$E$67-$F$67)</f>
        <v/>
      </c>
      <c r="AI24" s="112">
        <f>IF($A24="","",1*$G24)</f>
        <v/>
      </c>
      <c r="AJ24" s="111">
        <f>IF($A24="","",$T24)</f>
        <v/>
      </c>
      <c r="AK24" s="112">
        <f>IF($A24="","",2*$G24)</f>
        <v/>
      </c>
      <c r="AL24" s="111">
        <f>IF($A24="","",$V24)</f>
        <v/>
      </c>
      <c r="AM24" s="112">
        <f>IF($A24="","",2*$G24)</f>
        <v/>
      </c>
      <c r="AN24" s="108">
        <f>IF($A24="","",$R24-87-87)</f>
        <v/>
      </c>
      <c r="AO24" s="109">
        <f>IF($A24="","",$T24-87-87)</f>
        <v/>
      </c>
      <c r="AP24" s="110">
        <f>IF($A24="","",1*$G24)</f>
        <v/>
      </c>
      <c r="AQ24" s="108">
        <f>IF($A24="","",$R24-87-87)</f>
        <v/>
      </c>
      <c r="AR24" s="109">
        <f>IF($A24="","",$V24-87-87)</f>
        <v/>
      </c>
      <c r="AS24" s="110">
        <f>IF($A24="","",1*$G24)</f>
        <v/>
      </c>
      <c r="AT24" s="108">
        <f>IF($A24="","",$B24-35-35)</f>
        <v/>
      </c>
      <c r="AU24" s="109">
        <f>IF($A24="","",$F24-35-10)</f>
        <v/>
      </c>
      <c r="AV24" s="110">
        <f>IF($A24="","",2*$G24)</f>
        <v/>
      </c>
    </row>
    <row r="25" ht="40.2" customHeight="1">
      <c r="A25" s="103" t="n"/>
      <c r="B25" s="104" t="n"/>
      <c r="C25" s="104">
        <f>IF($A25="","",$D25+$E25)</f>
        <v/>
      </c>
      <c r="D25" s="104" t="n"/>
      <c r="E25" s="104" t="n"/>
      <c r="F25" s="105">
        <f>IF($A25="","",(($C25-$D25-$E25)/2))</f>
        <v/>
      </c>
      <c r="G25" s="106" t="n"/>
      <c r="H25" s="107">
        <f>IF($A25="","",$B25)</f>
        <v/>
      </c>
      <c r="I25" s="106">
        <f>IF($A25="","",2*$G25)</f>
        <v/>
      </c>
      <c r="J25" s="107">
        <f>IF($A25="","",$H25)</f>
        <v/>
      </c>
      <c r="K25" s="106">
        <f>IF($A25="","",2*$G25)</f>
        <v/>
      </c>
      <c r="L25" s="107">
        <f>IF($A25="","",$C25-$F25-$F25-$E$56-$F$56)</f>
        <v/>
      </c>
      <c r="M25" s="106">
        <f>IF($A25="","",1*$G25)</f>
        <v/>
      </c>
      <c r="N25" s="107">
        <f>IF($A25="","",$H25)</f>
        <v/>
      </c>
      <c r="O25" s="106">
        <f>IF($A25="","",2*$G25)</f>
        <v/>
      </c>
      <c r="P25" s="107">
        <f>IF($A25="","",$F25-$E$58)</f>
        <v/>
      </c>
      <c r="Q25" s="106">
        <f>IF($A25="","",4*$G25)</f>
        <v/>
      </c>
      <c r="R25" s="107">
        <f>IF($A25="","",$B25-$E$59-$F$59)</f>
        <v/>
      </c>
      <c r="S25" s="106">
        <f>IF($A25="","",4*$G25)</f>
        <v/>
      </c>
      <c r="T25" s="107">
        <f>IF($A25="","",$D25-$E$60-$F$60)</f>
        <v/>
      </c>
      <c r="U25" s="106">
        <f>IF($A25="","",2*$G25)</f>
        <v/>
      </c>
      <c r="V25" s="107">
        <f>IF($A25="","",$E25-$E$61-$F$61)</f>
        <v/>
      </c>
      <c r="W25" s="106">
        <f>IF($A25="","",2*$G25)</f>
        <v/>
      </c>
      <c r="X25" s="107">
        <f>IF($A25="","",$R25-$E$62-$F$62)</f>
        <v/>
      </c>
      <c r="Y25" s="106">
        <f>IF($A25="","",4*$G25)</f>
        <v/>
      </c>
      <c r="Z25" s="107">
        <f>IF($A25="","",$T25-$E$63-$F$63)</f>
        <v/>
      </c>
      <c r="AA25" s="106">
        <f>IF($A25="","",2*$G25)</f>
        <v/>
      </c>
      <c r="AB25" s="107">
        <f>IF($A25="","",$V25-$E$64-$F$64)</f>
        <v/>
      </c>
      <c r="AC25" s="106">
        <f>IF($A25="","",2*$G25)</f>
        <v/>
      </c>
      <c r="AD25" s="107">
        <f>IF($A25="","",$F25-$E$65)</f>
        <v/>
      </c>
      <c r="AE25" s="106">
        <f>IF($A25="","",4*$G25)</f>
        <v/>
      </c>
      <c r="AF25" s="107">
        <f>IF($A25="","",$B25-$E$66-$F$66)</f>
        <v/>
      </c>
      <c r="AG25" s="106">
        <f>IF($A25="","",4*$G25)</f>
        <v/>
      </c>
      <c r="AH25" s="107">
        <f>IF($A25="","",$B25-$E$67-$F$67)</f>
        <v/>
      </c>
      <c r="AI25" s="106">
        <f>IF($A25="","",1*$G25)</f>
        <v/>
      </c>
      <c r="AJ25" s="107">
        <f>IF($A25="","",$T25)</f>
        <v/>
      </c>
      <c r="AK25" s="106">
        <f>IF($A25="","",2*$G25)</f>
        <v/>
      </c>
      <c r="AL25" s="107">
        <f>IF($A25="","",$V25)</f>
        <v/>
      </c>
      <c r="AM25" s="106">
        <f>IF($A25="","",2*$G25)</f>
        <v/>
      </c>
      <c r="AN25" s="108">
        <f>IF($A25="","",$R25-87-87)</f>
        <v/>
      </c>
      <c r="AO25" s="109">
        <f>IF($A25="","",$T25-87-87)</f>
        <v/>
      </c>
      <c r="AP25" s="110">
        <f>IF($A25="","",1*$G25)</f>
        <v/>
      </c>
      <c r="AQ25" s="108">
        <f>IF($A25="","",$R25-87-87)</f>
        <v/>
      </c>
      <c r="AR25" s="109">
        <f>IF($A25="","",$V25-87-87)</f>
        <v/>
      </c>
      <c r="AS25" s="110">
        <f>IF($A25="","",1*$G25)</f>
        <v/>
      </c>
      <c r="AT25" s="108">
        <f>IF($A25="","",$B25-35-35)</f>
        <v/>
      </c>
      <c r="AU25" s="109">
        <f>IF($A25="","",$F25-35-10)</f>
        <v/>
      </c>
      <c r="AV25" s="110">
        <f>IF($A25="","",2*$G25)</f>
        <v/>
      </c>
    </row>
    <row r="26" ht="40.2" customHeight="1">
      <c r="A26" s="103" t="n"/>
      <c r="B26" s="104" t="n"/>
      <c r="C26" s="104">
        <f>IF($A26="","",$D26+$E26)</f>
        <v/>
      </c>
      <c r="D26" s="104" t="n"/>
      <c r="E26" s="104" t="n"/>
      <c r="F26" s="105">
        <f>IF($A26="","",(($C26-$D26-$E26)/2))</f>
        <v/>
      </c>
      <c r="G26" s="106" t="n"/>
      <c r="H26" s="111">
        <f>IF($A26="","",$B26)</f>
        <v/>
      </c>
      <c r="I26" s="112">
        <f>IF($A26="","",2*$G26)</f>
        <v/>
      </c>
      <c r="J26" s="111">
        <f>IF($A26="","",$H26)</f>
        <v/>
      </c>
      <c r="K26" s="112">
        <f>IF($A26="","",2*$G26)</f>
        <v/>
      </c>
      <c r="L26" s="111">
        <f>IF($A26="","",$C26-$F26-$F26-$E$56-$F$56)</f>
        <v/>
      </c>
      <c r="M26" s="112">
        <f>IF($A26="","",1*$G26)</f>
        <v/>
      </c>
      <c r="N26" s="111">
        <f>IF($A26="","",$H26)</f>
        <v/>
      </c>
      <c r="O26" s="112">
        <f>IF($A26="","",2*$G26)</f>
        <v/>
      </c>
      <c r="P26" s="111">
        <f>IF($A26="","",$F26-$E$58)</f>
        <v/>
      </c>
      <c r="Q26" s="112">
        <f>IF($A26="","",4*$G26)</f>
        <v/>
      </c>
      <c r="R26" s="111">
        <f>IF($A26="","",$B26-$E$59-$F$59)</f>
        <v/>
      </c>
      <c r="S26" s="112">
        <f>IF($A26="","",4*$G26)</f>
        <v/>
      </c>
      <c r="T26" s="111">
        <f>IF($A26="","",$D26-$E$60-$F$60)</f>
        <v/>
      </c>
      <c r="U26" s="112">
        <f>IF($A26="","",2*$G26)</f>
        <v/>
      </c>
      <c r="V26" s="111">
        <f>IF($A26="","",$E26-$E$61-$F$61)</f>
        <v/>
      </c>
      <c r="W26" s="112">
        <f>IF($A26="","",2*$G26)</f>
        <v/>
      </c>
      <c r="X26" s="111">
        <f>IF($A26="","",$R26-$E$62-$F$62)</f>
        <v/>
      </c>
      <c r="Y26" s="112">
        <f>IF($A26="","",4*$G26)</f>
        <v/>
      </c>
      <c r="Z26" s="111">
        <f>IF($A26="","",$T26-$E$63-$F$63)</f>
        <v/>
      </c>
      <c r="AA26" s="112">
        <f>IF($A26="","",2*$G26)</f>
        <v/>
      </c>
      <c r="AB26" s="111">
        <f>IF($A26="","",$V26-$E$64-$F$64)</f>
        <v/>
      </c>
      <c r="AC26" s="112">
        <f>IF($A26="","",2*$G26)</f>
        <v/>
      </c>
      <c r="AD26" s="111">
        <f>IF($A26="","",$F26-$E$65)</f>
        <v/>
      </c>
      <c r="AE26" s="112">
        <f>IF($A26="","",4*$G26)</f>
        <v/>
      </c>
      <c r="AF26" s="111">
        <f>IF($A26="","",$B26-$E$66-$F$66)</f>
        <v/>
      </c>
      <c r="AG26" s="112">
        <f>IF($A26="","",4*$G26)</f>
        <v/>
      </c>
      <c r="AH26" s="111">
        <f>IF($A26="","",$B26-$E$67-$F$67)</f>
        <v/>
      </c>
      <c r="AI26" s="112">
        <f>IF($A26="","",1*$G26)</f>
        <v/>
      </c>
      <c r="AJ26" s="111">
        <f>IF($A26="","",$T26)</f>
        <v/>
      </c>
      <c r="AK26" s="112">
        <f>IF($A26="","",2*$G26)</f>
        <v/>
      </c>
      <c r="AL26" s="111">
        <f>IF($A26="","",$V26)</f>
        <v/>
      </c>
      <c r="AM26" s="112">
        <f>IF($A26="","",2*$G26)</f>
        <v/>
      </c>
      <c r="AN26" s="108">
        <f>IF($A26="","",$R26-87-87)</f>
        <v/>
      </c>
      <c r="AO26" s="109">
        <f>IF($A26="","",$T26-87-87)</f>
        <v/>
      </c>
      <c r="AP26" s="110">
        <f>IF($A26="","",1*$G26)</f>
        <v/>
      </c>
      <c r="AQ26" s="108">
        <f>IF($A26="","",$R26-87-87)</f>
        <v/>
      </c>
      <c r="AR26" s="109">
        <f>IF($A26="","",$V26-87-87)</f>
        <v/>
      </c>
      <c r="AS26" s="110">
        <f>IF($A26="","",1*$G26)</f>
        <v/>
      </c>
      <c r="AT26" s="108">
        <f>IF($A26="","",$B26-35-35)</f>
        <v/>
      </c>
      <c r="AU26" s="109">
        <f>IF($A26="","",$F26-35-10)</f>
        <v/>
      </c>
      <c r="AV26" s="110">
        <f>IF($A26="","",2*$G26)</f>
        <v/>
      </c>
    </row>
    <row r="27" ht="40.2" customHeight="1">
      <c r="A27" s="103" t="n"/>
      <c r="B27" s="104" t="n"/>
      <c r="C27" s="104">
        <f>IF($A27="","",$D27+$E27)</f>
        <v/>
      </c>
      <c r="D27" s="104" t="n"/>
      <c r="E27" s="104" t="n"/>
      <c r="F27" s="105">
        <f>IF($A27="","",(($C27-$D27-$E27)/2))</f>
        <v/>
      </c>
      <c r="G27" s="106" t="n"/>
      <c r="H27" s="107">
        <f>IF($A27="","",$B27)</f>
        <v/>
      </c>
      <c r="I27" s="106">
        <f>IF($A27="","",2*$G27)</f>
        <v/>
      </c>
      <c r="J27" s="107">
        <f>IF($A27="","",$H27)</f>
        <v/>
      </c>
      <c r="K27" s="106">
        <f>IF($A27="","",2*$G27)</f>
        <v/>
      </c>
      <c r="L27" s="107">
        <f>IF($A27="","",$C27-$F27-$F27-$E$56-$F$56)</f>
        <v/>
      </c>
      <c r="M27" s="106">
        <f>IF($A27="","",1*$G27)</f>
        <v/>
      </c>
      <c r="N27" s="107">
        <f>IF($A27="","",$H27)</f>
        <v/>
      </c>
      <c r="O27" s="106">
        <f>IF($A27="","",2*$G27)</f>
        <v/>
      </c>
      <c r="P27" s="107">
        <f>IF($A27="","",$F27-$E$58)</f>
        <v/>
      </c>
      <c r="Q27" s="106">
        <f>IF($A27="","",4*$G27)</f>
        <v/>
      </c>
      <c r="R27" s="107">
        <f>IF($A27="","",$B27-$E$59-$F$59)</f>
        <v/>
      </c>
      <c r="S27" s="106">
        <f>IF($A27="","",4*$G27)</f>
        <v/>
      </c>
      <c r="T27" s="107">
        <f>IF($A27="","",$D27-$E$60-$F$60)</f>
        <v/>
      </c>
      <c r="U27" s="106">
        <f>IF($A27="","",2*$G27)</f>
        <v/>
      </c>
      <c r="V27" s="107">
        <f>IF($A27="","",$E27-$E$61-$F$61)</f>
        <v/>
      </c>
      <c r="W27" s="106">
        <f>IF($A27="","",2*$G27)</f>
        <v/>
      </c>
      <c r="X27" s="107">
        <f>IF($A27="","",$R27-$E$62-$F$62)</f>
        <v/>
      </c>
      <c r="Y27" s="106">
        <f>IF($A27="","",4*$G27)</f>
        <v/>
      </c>
      <c r="Z27" s="107">
        <f>IF($A27="","",$T27-$E$63-$F$63)</f>
        <v/>
      </c>
      <c r="AA27" s="106">
        <f>IF($A27="","",2*$G27)</f>
        <v/>
      </c>
      <c r="AB27" s="107">
        <f>IF($A27="","",$V27-$E$64-$F$64)</f>
        <v/>
      </c>
      <c r="AC27" s="106">
        <f>IF($A27="","",2*$G27)</f>
        <v/>
      </c>
      <c r="AD27" s="107">
        <f>IF($A27="","",$F27-$E$65)</f>
        <v/>
      </c>
      <c r="AE27" s="106">
        <f>IF($A27="","",4*$G27)</f>
        <v/>
      </c>
      <c r="AF27" s="107">
        <f>IF($A27="","",$B27-$E$66-$F$66)</f>
        <v/>
      </c>
      <c r="AG27" s="106">
        <f>IF($A27="","",4*$G27)</f>
        <v/>
      </c>
      <c r="AH27" s="107">
        <f>IF($A27="","",$B27-$E$67-$F$67)</f>
        <v/>
      </c>
      <c r="AI27" s="106">
        <f>IF($A27="","",1*$G27)</f>
        <v/>
      </c>
      <c r="AJ27" s="107">
        <f>IF($A27="","",$T27)</f>
        <v/>
      </c>
      <c r="AK27" s="106">
        <f>IF($A27="","",2*$G27)</f>
        <v/>
      </c>
      <c r="AL27" s="107">
        <f>IF($A27="","",$V27)</f>
        <v/>
      </c>
      <c r="AM27" s="106">
        <f>IF($A27="","",2*$G27)</f>
        <v/>
      </c>
      <c r="AN27" s="108">
        <f>IF($A27="","",$R27-87-87)</f>
        <v/>
      </c>
      <c r="AO27" s="109">
        <f>IF($A27="","",$T27-87-87)</f>
        <v/>
      </c>
      <c r="AP27" s="110">
        <f>IF($A27="","",1*$G27)</f>
        <v/>
      </c>
      <c r="AQ27" s="108">
        <f>IF($A27="","",$R27-87-87)</f>
        <v/>
      </c>
      <c r="AR27" s="109">
        <f>IF($A27="","",$V27-87-87)</f>
        <v/>
      </c>
      <c r="AS27" s="110">
        <f>IF($A27="","",1*$G27)</f>
        <v/>
      </c>
      <c r="AT27" s="108">
        <f>IF($A27="","",$B27-35-35)</f>
        <v/>
      </c>
      <c r="AU27" s="109">
        <f>IF($A27="","",$F27-35-10)</f>
        <v/>
      </c>
      <c r="AV27" s="110">
        <f>IF($A27="","",2*$G27)</f>
        <v/>
      </c>
    </row>
    <row r="28" ht="40.2" customHeight="1">
      <c r="A28" s="103" t="n"/>
      <c r="B28" s="104" t="n"/>
      <c r="C28" s="104">
        <f>IF($A28="","",$D28+$E28)</f>
        <v/>
      </c>
      <c r="D28" s="104" t="n"/>
      <c r="E28" s="104" t="n"/>
      <c r="F28" s="105">
        <f>IF($A28="","",(($C28-$D28-$E28)/2))</f>
        <v/>
      </c>
      <c r="G28" s="106" t="n"/>
      <c r="H28" s="111">
        <f>IF($A28="","",$B28)</f>
        <v/>
      </c>
      <c r="I28" s="112">
        <f>IF($A28="","",2*$G28)</f>
        <v/>
      </c>
      <c r="J28" s="111">
        <f>IF($A28="","",$H28)</f>
        <v/>
      </c>
      <c r="K28" s="112">
        <f>IF($A28="","",2*$G28)</f>
        <v/>
      </c>
      <c r="L28" s="111">
        <f>IF($A28="","",$C28-$F28-$F28-$E$56-$F$56)</f>
        <v/>
      </c>
      <c r="M28" s="112">
        <f>IF($A28="","",1*$G28)</f>
        <v/>
      </c>
      <c r="N28" s="111">
        <f>IF($A28="","",$H28)</f>
        <v/>
      </c>
      <c r="O28" s="112">
        <f>IF($A28="","",2*$G28)</f>
        <v/>
      </c>
      <c r="P28" s="111">
        <f>IF($A28="","",$F28-$E$58)</f>
        <v/>
      </c>
      <c r="Q28" s="112">
        <f>IF($A28="","",4*$G28)</f>
        <v/>
      </c>
      <c r="R28" s="111">
        <f>IF($A28="","",$B28-$E$59-$F$59)</f>
        <v/>
      </c>
      <c r="S28" s="112">
        <f>IF($A28="","",4*$G28)</f>
        <v/>
      </c>
      <c r="T28" s="111">
        <f>IF($A28="","",$D28-$E$60-$F$60)</f>
        <v/>
      </c>
      <c r="U28" s="112">
        <f>IF($A28="","",2*$G28)</f>
        <v/>
      </c>
      <c r="V28" s="111">
        <f>IF($A28="","",$E28-$E$61-$F$61)</f>
        <v/>
      </c>
      <c r="W28" s="112">
        <f>IF($A28="","",2*$G28)</f>
        <v/>
      </c>
      <c r="X28" s="111">
        <f>IF($A28="","",$R28-$E$62-$F$62)</f>
        <v/>
      </c>
      <c r="Y28" s="112">
        <f>IF($A28="","",4*$G28)</f>
        <v/>
      </c>
      <c r="Z28" s="111">
        <f>IF($A28="","",$T28-$E$63-$F$63)</f>
        <v/>
      </c>
      <c r="AA28" s="112">
        <f>IF($A28="","",2*$G28)</f>
        <v/>
      </c>
      <c r="AB28" s="111">
        <f>IF($A28="","",$V28-$E$64-$F$64)</f>
        <v/>
      </c>
      <c r="AC28" s="112">
        <f>IF($A28="","",2*$G28)</f>
        <v/>
      </c>
      <c r="AD28" s="111">
        <f>IF($A28="","",$F28-$E$65)</f>
        <v/>
      </c>
      <c r="AE28" s="112">
        <f>IF($A28="","",4*$G28)</f>
        <v/>
      </c>
      <c r="AF28" s="111">
        <f>IF($A28="","",$B28-$E$66-$F$66)</f>
        <v/>
      </c>
      <c r="AG28" s="112">
        <f>IF($A28="","",4*$G28)</f>
        <v/>
      </c>
      <c r="AH28" s="111">
        <f>IF($A28="","",$B28-$E$67-$F$67)</f>
        <v/>
      </c>
      <c r="AI28" s="112">
        <f>IF($A28="","",1*$G28)</f>
        <v/>
      </c>
      <c r="AJ28" s="111">
        <f>IF($A28="","",$T28)</f>
        <v/>
      </c>
      <c r="AK28" s="112">
        <f>IF($A28="","",2*$G28)</f>
        <v/>
      </c>
      <c r="AL28" s="111">
        <f>IF($A28="","",$V28)</f>
        <v/>
      </c>
      <c r="AM28" s="112">
        <f>IF($A28="","",2*$G28)</f>
        <v/>
      </c>
      <c r="AN28" s="108">
        <f>IF($A28="","",$R28-87-87)</f>
        <v/>
      </c>
      <c r="AO28" s="109">
        <f>IF($A28="","",$T28-87-87)</f>
        <v/>
      </c>
      <c r="AP28" s="110">
        <f>IF($A28="","",1*$G28)</f>
        <v/>
      </c>
      <c r="AQ28" s="108">
        <f>IF($A28="","",$R28-87-87)</f>
        <v/>
      </c>
      <c r="AR28" s="109">
        <f>IF($A28="","",$V28-87-87)</f>
        <v/>
      </c>
      <c r="AS28" s="110">
        <f>IF($A28="","",1*$G28)</f>
        <v/>
      </c>
      <c r="AT28" s="108">
        <f>IF($A28="","",$B28-35-35)</f>
        <v/>
      </c>
      <c r="AU28" s="109">
        <f>IF($A28="","",$F28-35-10)</f>
        <v/>
      </c>
      <c r="AV28" s="110">
        <f>IF($A28="","",2*$G28)</f>
        <v/>
      </c>
    </row>
    <row r="29" ht="40.2" customHeight="1">
      <c r="A29" s="113" t="n"/>
      <c r="B29" s="113" t="n"/>
      <c r="C29" s="113" t="n"/>
      <c r="D29" s="113" t="n"/>
      <c r="E29" s="113" t="n"/>
      <c r="F29" s="113" t="n"/>
      <c r="G29" s="113" t="n"/>
      <c r="H29" s="114" t="n"/>
      <c r="I29" s="114" t="n"/>
      <c r="J29" s="114" t="n"/>
      <c r="K29" s="114" t="n"/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  <c r="AH29" s="114" t="n"/>
      <c r="AI29" s="114" t="n"/>
      <c r="AJ29" s="114" t="n"/>
      <c r="AK29" s="114" t="n"/>
      <c r="AL29" s="114" t="n"/>
      <c r="AM29" s="114" t="n"/>
      <c r="AN29" s="115" t="n"/>
      <c r="AO29" s="113" t="n"/>
      <c r="AP29" s="113" t="n"/>
      <c r="AQ29" s="115" t="n"/>
      <c r="AR29" s="113" t="n"/>
      <c r="AS29" s="113" t="n"/>
      <c r="AT29" s="115" t="n"/>
      <c r="AU29" s="113" t="n"/>
      <c r="AV29" s="113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19" t="n"/>
      <c r="G30" s="20" t="n"/>
      <c r="H30" s="116">
        <f>H$7</f>
        <v/>
      </c>
      <c r="I30" s="116">
        <f>(ROUNDUP(I49/6400,0))</f>
        <v/>
      </c>
      <c r="J30" s="116">
        <f>J$7</f>
        <v/>
      </c>
      <c r="K30" s="116">
        <f>(ROUNDUP(K49/6400,0))</f>
        <v/>
      </c>
      <c r="L30" s="116">
        <f>L$7</f>
        <v/>
      </c>
      <c r="M30" s="116">
        <f>(ROUNDUP(M49/6400,0))</f>
        <v/>
      </c>
      <c r="N30" s="116">
        <f>N$7</f>
        <v/>
      </c>
      <c r="O30" s="19" t="n"/>
      <c r="P30" s="20" t="n"/>
      <c r="Q30" s="116">
        <f>(ROUNDUP(SUM(O49:Q49)/6400,0))</f>
        <v/>
      </c>
      <c r="R30" s="116">
        <f>R$7</f>
        <v/>
      </c>
      <c r="S30" s="19" t="n"/>
      <c r="T30" s="19" t="n"/>
      <c r="U30" s="19" t="n"/>
      <c r="V30" s="20" t="n"/>
      <c r="W30" s="116">
        <f>(ROUNDUP(SUM(S49:W49)/6400,0))</f>
        <v/>
      </c>
      <c r="X30" s="116">
        <f>X$7</f>
        <v/>
      </c>
      <c r="Y30" s="19" t="n"/>
      <c r="Z30" s="19" t="n"/>
      <c r="AA30" s="19" t="n"/>
      <c r="AB30" s="19" t="n"/>
      <c r="AC30" s="19" t="n"/>
      <c r="AD30" s="19" t="n"/>
      <c r="AE30" s="19" t="n"/>
      <c r="AF30" s="20" t="n"/>
      <c r="AG30" s="116">
        <f>(ROUNDUP(SUM(Y49:AG49)/6400,0))</f>
        <v/>
      </c>
      <c r="AH30" s="116">
        <f>AH$7</f>
        <v/>
      </c>
      <c r="AI30" s="116">
        <f>(ROUNDUP(AI49/6400,0))</f>
        <v/>
      </c>
      <c r="AJ30" s="116">
        <f>AJ$7</f>
        <v/>
      </c>
      <c r="AK30" s="19" t="n"/>
      <c r="AL30" s="20" t="n"/>
      <c r="AM30" s="116">
        <f>(ROUNDUP(SUM(AK49:AM49)/6400,0))</f>
        <v/>
      </c>
      <c r="AN30" s="117" t="n"/>
      <c r="AO30" s="117" t="n"/>
      <c r="AP30" s="117" t="n"/>
      <c r="AQ30" s="117" t="n"/>
      <c r="AR30" s="117" t="n"/>
      <c r="AS30" s="117" t="n"/>
      <c r="AT30" s="117" t="n"/>
      <c r="AU30" s="117" t="n"/>
      <c r="AV30" s="117" t="n"/>
    </row>
    <row r="31" hidden="1" ht="40.2" customHeight="1">
      <c r="I31" s="72">
        <f>IF($A11="","",I11*H11)</f>
        <v/>
      </c>
      <c r="J31" s="72" t="n"/>
      <c r="K31" s="72">
        <f>IF($A11="","",K11*J11)</f>
        <v/>
      </c>
      <c r="L31" s="72" t="n"/>
      <c r="M31" s="72">
        <f>IF($A11="","",M11*L11)</f>
        <v/>
      </c>
      <c r="N31" s="72" t="n"/>
      <c r="O31" s="72">
        <f>IF($A11="","",O11*N11)</f>
        <v/>
      </c>
      <c r="P31" s="72" t="n"/>
      <c r="Q31" s="72">
        <f>IF($A11="","",Q11*P11)</f>
        <v/>
      </c>
      <c r="R31" s="72" t="n"/>
      <c r="S31" s="72">
        <f>IF($A11="","",S11*R11)</f>
        <v/>
      </c>
      <c r="T31" s="72" t="n"/>
      <c r="U31" s="72">
        <f>IF($A11="","",U11*T11)</f>
        <v/>
      </c>
      <c r="V31" s="72" t="n"/>
      <c r="W31" s="72">
        <f>IF($A11="","",W11*V11)</f>
        <v/>
      </c>
      <c r="X31" s="72" t="n"/>
      <c r="Y31" s="72">
        <f>IF($A11="","",Y11*X11)</f>
        <v/>
      </c>
      <c r="Z31" s="72" t="n"/>
      <c r="AA31" s="72">
        <f>IF($A11="","",AA11*Z11)</f>
        <v/>
      </c>
      <c r="AB31" s="72" t="n"/>
      <c r="AC31" s="72">
        <f>IF($A11="","",AC11*AB11)</f>
        <v/>
      </c>
      <c r="AD31" s="72" t="n"/>
      <c r="AE31" s="72">
        <f>IF($A11="","",AE11*AD11)</f>
        <v/>
      </c>
      <c r="AF31" s="72" t="n"/>
      <c r="AG31" s="72">
        <f>IF($A11="","",AG11*AF11)</f>
        <v/>
      </c>
      <c r="AH31" s="72" t="n"/>
      <c r="AI31" s="72">
        <f>IF($A11="","",AI11*AH11)</f>
        <v/>
      </c>
      <c r="AJ31" s="72" t="n"/>
      <c r="AK31" s="72">
        <f>IF($A11="","",AK11*AJ11)</f>
        <v/>
      </c>
      <c r="AL31" s="72" t="n"/>
      <c r="AM31" s="72">
        <f>IF($A11="","",AM11*AL11)</f>
        <v/>
      </c>
    </row>
    <row r="32" hidden="1" ht="40.2" customHeight="1">
      <c r="I32" s="72">
        <f>IF($A12="","",I12*H12)</f>
        <v/>
      </c>
      <c r="J32" s="72" t="n"/>
      <c r="K32" s="72">
        <f>IF($A12="","",K12*J12)</f>
        <v/>
      </c>
      <c r="L32" s="72" t="n"/>
      <c r="M32" s="72">
        <f>IF($A12="","",M12*L12)</f>
        <v/>
      </c>
      <c r="N32" s="72" t="n"/>
      <c r="O32" s="72">
        <f>IF($A12="","",O12*N12)</f>
        <v/>
      </c>
      <c r="P32" s="72" t="n"/>
      <c r="Q32" s="72">
        <f>IF($A12="","",Q12*P12)</f>
        <v/>
      </c>
      <c r="R32" s="72" t="n"/>
      <c r="S32" s="72">
        <f>IF($A12="","",S12*R12)</f>
        <v/>
      </c>
      <c r="T32" s="72" t="n"/>
      <c r="U32" s="72">
        <f>IF($A12="","",U12*T12)</f>
        <v/>
      </c>
      <c r="V32" s="72" t="n"/>
      <c r="W32" s="72">
        <f>IF($A12="","",W12*V12)</f>
        <v/>
      </c>
      <c r="X32" s="72" t="n"/>
      <c r="Y32" s="72">
        <f>IF($A12="","",Y12*X12)</f>
        <v/>
      </c>
      <c r="Z32" s="72" t="n"/>
      <c r="AA32" s="72">
        <f>IF($A12="","",AA12*Z12)</f>
        <v/>
      </c>
      <c r="AB32" s="72" t="n"/>
      <c r="AC32" s="72">
        <f>IF($A12="","",AC12*AB12)</f>
        <v/>
      </c>
      <c r="AD32" s="72" t="n"/>
      <c r="AE32" s="72">
        <f>IF($A12="","",AE12*AD12)</f>
        <v/>
      </c>
      <c r="AF32" s="72" t="n"/>
      <c r="AG32" s="72">
        <f>IF($A12="","",AG12*AF12)</f>
        <v/>
      </c>
      <c r="AH32" s="72" t="n"/>
      <c r="AI32" s="72">
        <f>IF($A12="","",AI12*AH12)</f>
        <v/>
      </c>
      <c r="AJ32" s="72" t="n"/>
      <c r="AK32" s="72">
        <f>IF($A12="","",AK12*AJ12)</f>
        <v/>
      </c>
      <c r="AL32" s="72" t="n"/>
      <c r="AM32" s="72">
        <f>IF($A12="","",AM12*AL12)</f>
        <v/>
      </c>
    </row>
    <row r="33" hidden="1" ht="40.2" customHeight="1">
      <c r="I33" s="72">
        <f>IF($A13="","",I13*H13)</f>
        <v/>
      </c>
      <c r="J33" s="72" t="n"/>
      <c r="K33" s="72">
        <f>IF($A13="","",K13*J13)</f>
        <v/>
      </c>
      <c r="L33" s="72" t="n"/>
      <c r="M33" s="72">
        <f>IF($A13="","",M13*L13)</f>
        <v/>
      </c>
      <c r="N33" s="72" t="n"/>
      <c r="O33" s="72">
        <f>IF($A13="","",O13*N13)</f>
        <v/>
      </c>
      <c r="P33" s="72" t="n"/>
      <c r="Q33" s="72">
        <f>IF($A13="","",Q13*P13)</f>
        <v/>
      </c>
      <c r="R33" s="72" t="n"/>
      <c r="S33" s="72">
        <f>IF($A13="","",S13*R13)</f>
        <v/>
      </c>
      <c r="T33" s="72" t="n"/>
      <c r="U33" s="72">
        <f>IF($A13="","",U13*T13)</f>
        <v/>
      </c>
      <c r="V33" s="72" t="n"/>
      <c r="W33" s="72">
        <f>IF($A13="","",W13*V13)</f>
        <v/>
      </c>
      <c r="X33" s="72" t="n"/>
      <c r="Y33" s="72">
        <f>IF($A13="","",Y13*X13)</f>
        <v/>
      </c>
      <c r="Z33" s="72" t="n"/>
      <c r="AA33" s="72">
        <f>IF($A13="","",AA13*Z13)</f>
        <v/>
      </c>
      <c r="AB33" s="72" t="n"/>
      <c r="AC33" s="72">
        <f>IF($A13="","",AC13*AB13)</f>
        <v/>
      </c>
      <c r="AD33" s="72" t="n"/>
      <c r="AE33" s="72">
        <f>IF($A13="","",AE13*AD13)</f>
        <v/>
      </c>
      <c r="AF33" s="72" t="n"/>
      <c r="AG33" s="72">
        <f>IF($A13="","",AG13*AF13)</f>
        <v/>
      </c>
      <c r="AH33" s="72" t="n"/>
      <c r="AI33" s="72">
        <f>IF($A13="","",AI13*AH13)</f>
        <v/>
      </c>
      <c r="AJ33" s="72" t="n"/>
      <c r="AK33" s="72">
        <f>IF($A13="","",AK13*AJ13)</f>
        <v/>
      </c>
      <c r="AL33" s="72" t="n"/>
      <c r="AM33" s="72">
        <f>IF($A13="","",AM13*AL13)</f>
        <v/>
      </c>
    </row>
    <row r="34" hidden="1" ht="40.2" customHeight="1">
      <c r="I34" s="72">
        <f>IF($A14="","",I14*H14)</f>
        <v/>
      </c>
      <c r="J34" s="72" t="n"/>
      <c r="K34" s="72">
        <f>IF($A14="","",K14*J14)</f>
        <v/>
      </c>
      <c r="L34" s="72" t="n"/>
      <c r="M34" s="72">
        <f>IF($A14="","",M14*L14)</f>
        <v/>
      </c>
      <c r="N34" s="72" t="n"/>
      <c r="O34" s="72">
        <f>IF($A14="","",O14*N14)</f>
        <v/>
      </c>
      <c r="P34" s="72" t="n"/>
      <c r="Q34" s="72">
        <f>IF($A14="","",Q14*P14)</f>
        <v/>
      </c>
      <c r="R34" s="72" t="n"/>
      <c r="S34" s="72">
        <f>IF($A14="","",S14*R14)</f>
        <v/>
      </c>
      <c r="T34" s="72" t="n"/>
      <c r="U34" s="72">
        <f>IF($A14="","",U14*T14)</f>
        <v/>
      </c>
      <c r="V34" s="72" t="n"/>
      <c r="W34" s="72">
        <f>IF($A14="","",W14*V14)</f>
        <v/>
      </c>
      <c r="X34" s="72" t="n"/>
      <c r="Y34" s="72">
        <f>IF($A14="","",Y14*X14)</f>
        <v/>
      </c>
      <c r="Z34" s="72" t="n"/>
      <c r="AA34" s="72">
        <f>IF($A14="","",AA14*Z14)</f>
        <v/>
      </c>
      <c r="AB34" s="72" t="n"/>
      <c r="AC34" s="72">
        <f>IF($A14="","",AC14*AB14)</f>
        <v/>
      </c>
      <c r="AD34" s="72" t="n"/>
      <c r="AE34" s="72">
        <f>IF($A14="","",AE14*AD14)</f>
        <v/>
      </c>
      <c r="AF34" s="72" t="n"/>
      <c r="AG34" s="72">
        <f>IF($A14="","",AG14*AF14)</f>
        <v/>
      </c>
      <c r="AH34" s="72" t="n"/>
      <c r="AI34" s="72">
        <f>IF($A14="","",AI14*AH14)</f>
        <v/>
      </c>
      <c r="AJ34" s="72" t="n"/>
      <c r="AK34" s="72">
        <f>IF($A14="","",AK14*AJ14)</f>
        <v/>
      </c>
      <c r="AL34" s="72" t="n"/>
      <c r="AM34" s="72">
        <f>IF($A14="","",AM14*AL14)</f>
        <v/>
      </c>
    </row>
    <row r="35" hidden="1" ht="40.2" customHeight="1">
      <c r="I35" s="72">
        <f>IF($A15="","",I15*H15)</f>
        <v/>
      </c>
      <c r="J35" s="72" t="n"/>
      <c r="K35" s="72">
        <f>IF($A15="","",K15*J15)</f>
        <v/>
      </c>
      <c r="L35" s="72" t="n"/>
      <c r="M35" s="72">
        <f>IF($A15="","",M15*L15)</f>
        <v/>
      </c>
      <c r="N35" s="72" t="n"/>
      <c r="O35" s="72">
        <f>IF($A15="","",O15*N15)</f>
        <v/>
      </c>
      <c r="P35" s="72" t="n"/>
      <c r="Q35" s="72">
        <f>IF($A15="","",Q15*P15)</f>
        <v/>
      </c>
      <c r="R35" s="72" t="n"/>
      <c r="S35" s="72">
        <f>IF($A15="","",S15*R15)</f>
        <v/>
      </c>
      <c r="T35" s="72" t="n"/>
      <c r="U35" s="72">
        <f>IF($A15="","",U15*T15)</f>
        <v/>
      </c>
      <c r="V35" s="72" t="n"/>
      <c r="W35" s="72">
        <f>IF($A15="","",W15*V15)</f>
        <v/>
      </c>
      <c r="X35" s="72" t="n"/>
      <c r="Y35" s="72">
        <f>IF($A15="","",Y15*X15)</f>
        <v/>
      </c>
      <c r="Z35" s="72" t="n"/>
      <c r="AA35" s="72">
        <f>IF($A15="","",AA15*Z15)</f>
        <v/>
      </c>
      <c r="AB35" s="72" t="n"/>
      <c r="AC35" s="72">
        <f>IF($A15="","",AC15*AB15)</f>
        <v/>
      </c>
      <c r="AD35" s="72" t="n"/>
      <c r="AE35" s="72">
        <f>IF($A15="","",AE15*AD15)</f>
        <v/>
      </c>
      <c r="AF35" s="72" t="n"/>
      <c r="AG35" s="72">
        <f>IF($A15="","",AG15*AF15)</f>
        <v/>
      </c>
      <c r="AH35" s="72" t="n"/>
      <c r="AI35" s="72">
        <f>IF($A15="","",AI15*AH15)</f>
        <v/>
      </c>
      <c r="AJ35" s="72" t="n"/>
      <c r="AK35" s="72">
        <f>IF($A15="","",AK15*AJ15)</f>
        <v/>
      </c>
      <c r="AL35" s="72" t="n"/>
      <c r="AM35" s="72">
        <f>IF($A15="","",AM15*AL15)</f>
        <v/>
      </c>
    </row>
    <row r="36" hidden="1">
      <c r="I36" s="72">
        <f>IF($A16="","",I16*H16)</f>
        <v/>
      </c>
      <c r="J36" s="72" t="n"/>
      <c r="K36" s="72">
        <f>IF($A16="","",K16*J16)</f>
        <v/>
      </c>
      <c r="L36" s="72" t="n"/>
      <c r="M36" s="72">
        <f>IF($A16="","",M16*L16)</f>
        <v/>
      </c>
      <c r="N36" s="72" t="n"/>
      <c r="O36" s="72">
        <f>IF($A16="","",O16*N16)</f>
        <v/>
      </c>
      <c r="P36" s="72" t="n"/>
      <c r="Q36" s="72">
        <f>IF($A16="","",Q16*P16)</f>
        <v/>
      </c>
      <c r="R36" s="72" t="n"/>
      <c r="S36" s="72">
        <f>IF($A16="","",S16*R16)</f>
        <v/>
      </c>
      <c r="T36" s="72" t="n"/>
      <c r="U36" s="72">
        <f>IF($A16="","",U16*T16)</f>
        <v/>
      </c>
      <c r="V36" s="72" t="n"/>
      <c r="W36" s="72">
        <f>IF($A16="","",W16*V16)</f>
        <v/>
      </c>
      <c r="X36" s="72" t="n"/>
      <c r="Y36" s="72">
        <f>IF($A16="","",Y16*X16)</f>
        <v/>
      </c>
      <c r="Z36" s="72" t="n"/>
      <c r="AA36" s="72">
        <f>IF($A16="","",AA16*Z16)</f>
        <v/>
      </c>
      <c r="AB36" s="72" t="n"/>
      <c r="AC36" s="72">
        <f>IF($A16="","",AC16*AB16)</f>
        <v/>
      </c>
      <c r="AD36" s="72" t="n"/>
      <c r="AE36" s="72">
        <f>IF($A16="","",AE16*AD16)</f>
        <v/>
      </c>
      <c r="AF36" s="72" t="n"/>
      <c r="AG36" s="72">
        <f>IF($A16="","",AG16*AF16)</f>
        <v/>
      </c>
      <c r="AH36" s="72" t="n"/>
      <c r="AI36" s="72">
        <f>IF($A16="","",AI16*AH16)</f>
        <v/>
      </c>
      <c r="AJ36" s="72" t="n"/>
      <c r="AK36" s="72">
        <f>IF($A16="","",AK16*AJ16)</f>
        <v/>
      </c>
      <c r="AL36" s="72" t="n"/>
      <c r="AM36" s="72">
        <f>IF($A16="","",AM16*AL16)</f>
        <v/>
      </c>
    </row>
    <row r="37" hidden="1">
      <c r="I37" s="72">
        <f>IF($A17="","",I17*H17)</f>
        <v/>
      </c>
      <c r="J37" s="72" t="n"/>
      <c r="K37" s="72">
        <f>IF($A17="","",K17*J17)</f>
        <v/>
      </c>
      <c r="L37" s="72" t="n"/>
      <c r="M37" s="72">
        <f>IF($A17="","",M17*L17)</f>
        <v/>
      </c>
      <c r="N37" s="72" t="n"/>
      <c r="O37" s="72">
        <f>IF($A17="","",O17*N17)</f>
        <v/>
      </c>
      <c r="P37" s="72" t="n"/>
      <c r="Q37" s="72">
        <f>IF($A17="","",Q17*P17)</f>
        <v/>
      </c>
      <c r="R37" s="72" t="n"/>
      <c r="S37" s="72">
        <f>IF($A17="","",S17*R17)</f>
        <v/>
      </c>
      <c r="T37" s="72" t="n"/>
      <c r="U37" s="72">
        <f>IF($A17="","",U17*T17)</f>
        <v/>
      </c>
      <c r="V37" s="72" t="n"/>
      <c r="W37" s="72">
        <f>IF($A17="","",W17*V17)</f>
        <v/>
      </c>
      <c r="X37" s="72" t="n"/>
      <c r="Y37" s="72">
        <f>IF($A17="","",Y17*X17)</f>
        <v/>
      </c>
      <c r="Z37" s="72" t="n"/>
      <c r="AA37" s="72">
        <f>IF($A17="","",AA17*Z17)</f>
        <v/>
      </c>
      <c r="AB37" s="72" t="n"/>
      <c r="AC37" s="72">
        <f>IF($A17="","",AC17*AB17)</f>
        <v/>
      </c>
      <c r="AD37" s="72" t="n"/>
      <c r="AE37" s="72">
        <f>IF($A17="","",AE17*AD17)</f>
        <v/>
      </c>
      <c r="AF37" s="72" t="n"/>
      <c r="AG37" s="72">
        <f>IF($A17="","",AG17*AF17)</f>
        <v/>
      </c>
      <c r="AH37" s="72" t="n"/>
      <c r="AI37" s="72">
        <f>IF($A17="","",AI17*AH17)</f>
        <v/>
      </c>
      <c r="AJ37" s="72" t="n"/>
      <c r="AK37" s="72">
        <f>IF($A17="","",AK17*AJ17)</f>
        <v/>
      </c>
      <c r="AL37" s="72" t="n"/>
      <c r="AM37" s="72">
        <f>IF($A17="","",AM17*AL17)</f>
        <v/>
      </c>
    </row>
    <row r="38" hidden="1">
      <c r="I38" s="72">
        <f>IF($A18="","",I18*H18)</f>
        <v/>
      </c>
      <c r="J38" s="72" t="n"/>
      <c r="K38" s="72">
        <f>IF($A18="","",K18*J18)</f>
        <v/>
      </c>
      <c r="L38" s="72" t="n"/>
      <c r="M38" s="72">
        <f>IF($A18="","",M18*L18)</f>
        <v/>
      </c>
      <c r="N38" s="72" t="n"/>
      <c r="O38" s="72">
        <f>IF($A18="","",O18*N18)</f>
        <v/>
      </c>
      <c r="P38" s="72" t="n"/>
      <c r="Q38" s="72">
        <f>IF($A18="","",Q18*P18)</f>
        <v/>
      </c>
      <c r="R38" s="72" t="n"/>
      <c r="S38" s="72">
        <f>IF($A18="","",S18*R18)</f>
        <v/>
      </c>
      <c r="T38" s="72" t="n"/>
      <c r="U38" s="72">
        <f>IF($A18="","",U18*T18)</f>
        <v/>
      </c>
      <c r="V38" s="72" t="n"/>
      <c r="W38" s="72">
        <f>IF($A18="","",W18*V18)</f>
        <v/>
      </c>
      <c r="X38" s="72" t="n"/>
      <c r="Y38" s="72">
        <f>IF($A18="","",Y18*X18)</f>
        <v/>
      </c>
      <c r="Z38" s="72" t="n"/>
      <c r="AA38" s="72">
        <f>IF($A18="","",AA18*Z18)</f>
        <v/>
      </c>
      <c r="AB38" s="72" t="n"/>
      <c r="AC38" s="72">
        <f>IF($A18="","",AC18*AB18)</f>
        <v/>
      </c>
      <c r="AD38" s="72" t="n"/>
      <c r="AE38" s="72">
        <f>IF($A18="","",AE18*AD18)</f>
        <v/>
      </c>
      <c r="AF38" s="72" t="n"/>
      <c r="AG38" s="72">
        <f>IF($A18="","",AG18*AF18)</f>
        <v/>
      </c>
      <c r="AH38" s="72" t="n"/>
      <c r="AI38" s="72">
        <f>IF($A18="","",AI18*AH18)</f>
        <v/>
      </c>
      <c r="AJ38" s="72" t="n"/>
      <c r="AK38" s="72">
        <f>IF($A18="","",AK18*AJ18)</f>
        <v/>
      </c>
      <c r="AL38" s="72" t="n"/>
      <c r="AM38" s="72">
        <f>IF($A18="","",AM18*AL18)</f>
        <v/>
      </c>
    </row>
    <row r="39" hidden="1">
      <c r="I39" s="72">
        <f>IF($A19="","",I19*H19)</f>
        <v/>
      </c>
      <c r="J39" s="72" t="n"/>
      <c r="K39" s="72">
        <f>IF($A19="","",K19*J19)</f>
        <v/>
      </c>
      <c r="L39" s="72" t="n"/>
      <c r="M39" s="72">
        <f>IF($A19="","",M19*L19)</f>
        <v/>
      </c>
      <c r="N39" s="72" t="n"/>
      <c r="O39" s="72">
        <f>IF($A19="","",O19*N19)</f>
        <v/>
      </c>
      <c r="P39" s="72" t="n"/>
      <c r="Q39" s="72">
        <f>IF($A19="","",Q19*P19)</f>
        <v/>
      </c>
      <c r="R39" s="72" t="n"/>
      <c r="S39" s="72">
        <f>IF($A19="","",S19*R19)</f>
        <v/>
      </c>
      <c r="T39" s="72" t="n"/>
      <c r="U39" s="72">
        <f>IF($A19="","",U19*T19)</f>
        <v/>
      </c>
      <c r="V39" s="72" t="n"/>
      <c r="W39" s="72">
        <f>IF($A19="","",W19*V19)</f>
        <v/>
      </c>
      <c r="X39" s="72" t="n"/>
      <c r="Y39" s="72">
        <f>IF($A19="","",Y19*X19)</f>
        <v/>
      </c>
      <c r="Z39" s="72" t="n"/>
      <c r="AA39" s="72">
        <f>IF($A19="","",AA19*Z19)</f>
        <v/>
      </c>
      <c r="AB39" s="72" t="n"/>
      <c r="AC39" s="72">
        <f>IF($A19="","",AC19*AB19)</f>
        <v/>
      </c>
      <c r="AD39" s="72" t="n"/>
      <c r="AE39" s="72">
        <f>IF($A19="","",AE19*AD19)</f>
        <v/>
      </c>
      <c r="AF39" s="72" t="n"/>
      <c r="AG39" s="72">
        <f>IF($A19="","",AG19*AF19)</f>
        <v/>
      </c>
      <c r="AH39" s="72" t="n"/>
      <c r="AI39" s="72">
        <f>IF($A19="","",AI19*AH19)</f>
        <v/>
      </c>
      <c r="AJ39" s="72" t="n"/>
      <c r="AK39" s="72">
        <f>IF($A19="","",AK19*AJ19)</f>
        <v/>
      </c>
      <c r="AL39" s="72" t="n"/>
      <c r="AM39" s="72">
        <f>IF($A19="","",AM19*AL19)</f>
        <v/>
      </c>
    </row>
    <row r="40" hidden="1">
      <c r="I40" s="72">
        <f>IF($A20="","",I20*H20)</f>
        <v/>
      </c>
      <c r="J40" s="72" t="n"/>
      <c r="K40" s="72">
        <f>IF($A20="","",K20*J20)</f>
        <v/>
      </c>
      <c r="L40" s="72" t="n"/>
      <c r="M40" s="72">
        <f>IF($A20="","",M20*L20)</f>
        <v/>
      </c>
      <c r="N40" s="72" t="n"/>
      <c r="O40" s="72">
        <f>IF($A20="","",O20*N20)</f>
        <v/>
      </c>
      <c r="P40" s="72" t="n"/>
      <c r="Q40" s="72">
        <f>IF($A20="","",Q20*P20)</f>
        <v/>
      </c>
      <c r="R40" s="72" t="n"/>
      <c r="S40" s="72">
        <f>IF($A20="","",S20*R20)</f>
        <v/>
      </c>
      <c r="T40" s="72" t="n"/>
      <c r="U40" s="72">
        <f>IF($A20="","",U20*T20)</f>
        <v/>
      </c>
      <c r="V40" s="72" t="n"/>
      <c r="W40" s="72">
        <f>IF($A20="","",W20*V20)</f>
        <v/>
      </c>
      <c r="X40" s="72" t="n"/>
      <c r="Y40" s="72">
        <f>IF($A20="","",Y20*X20)</f>
        <v/>
      </c>
      <c r="Z40" s="72" t="n"/>
      <c r="AA40" s="72">
        <f>IF($A20="","",AA20*Z20)</f>
        <v/>
      </c>
      <c r="AB40" s="72" t="n"/>
      <c r="AC40" s="72">
        <f>IF($A20="","",AC20*AB20)</f>
        <v/>
      </c>
      <c r="AD40" s="72" t="n"/>
      <c r="AE40" s="72">
        <f>IF($A20="","",AE20*AD20)</f>
        <v/>
      </c>
      <c r="AF40" s="72" t="n"/>
      <c r="AG40" s="72">
        <f>IF($A20="","",AG20*AF20)</f>
        <v/>
      </c>
      <c r="AH40" s="72" t="n"/>
      <c r="AI40" s="72">
        <f>IF($A20="","",AI20*AH20)</f>
        <v/>
      </c>
      <c r="AJ40" s="72" t="n"/>
      <c r="AK40" s="72">
        <f>IF($A20="","",AK20*AJ20)</f>
        <v/>
      </c>
      <c r="AL40" s="72" t="n"/>
      <c r="AM40" s="72">
        <f>IF($A20="","",AM20*AL20)</f>
        <v/>
      </c>
    </row>
    <row r="41" hidden="1">
      <c r="I41" s="72">
        <f>IF($A21="","",I21*H21)</f>
        <v/>
      </c>
      <c r="J41" s="72" t="n"/>
      <c r="K41" s="72">
        <f>IF($A21="","",K21*J21)</f>
        <v/>
      </c>
      <c r="L41" s="72" t="n"/>
      <c r="M41" s="72">
        <f>IF($A21="","",M21*L21)</f>
        <v/>
      </c>
      <c r="N41" s="72" t="n"/>
      <c r="O41" s="72">
        <f>IF($A21="","",O21*N21)</f>
        <v/>
      </c>
      <c r="P41" s="72" t="n"/>
      <c r="Q41" s="72">
        <f>IF($A21="","",Q21*P21)</f>
        <v/>
      </c>
      <c r="R41" s="72" t="n"/>
      <c r="S41" s="72">
        <f>IF($A21="","",S21*R21)</f>
        <v/>
      </c>
      <c r="T41" s="72" t="n"/>
      <c r="U41" s="72">
        <f>IF($A21="","",U21*T21)</f>
        <v/>
      </c>
      <c r="V41" s="72" t="n"/>
      <c r="W41" s="72">
        <f>IF($A21="","",W21*V21)</f>
        <v/>
      </c>
      <c r="X41" s="72" t="n"/>
      <c r="Y41" s="72">
        <f>IF($A21="","",Y21*X21)</f>
        <v/>
      </c>
      <c r="Z41" s="72" t="n"/>
      <c r="AA41" s="72">
        <f>IF($A21="","",AA21*Z21)</f>
        <v/>
      </c>
      <c r="AB41" s="72" t="n"/>
      <c r="AC41" s="72">
        <f>IF($A21="","",AC21*AB21)</f>
        <v/>
      </c>
      <c r="AD41" s="72" t="n"/>
      <c r="AE41" s="72">
        <f>IF($A21="","",AE21*AD21)</f>
        <v/>
      </c>
      <c r="AF41" s="72" t="n"/>
      <c r="AG41" s="72">
        <f>IF($A21="","",AG21*AF21)</f>
        <v/>
      </c>
      <c r="AH41" s="72" t="n"/>
      <c r="AI41" s="72">
        <f>IF($A21="","",AI21*AH21)</f>
        <v/>
      </c>
      <c r="AJ41" s="72" t="n"/>
      <c r="AK41" s="72">
        <f>IF($A21="","",AK21*AJ21)</f>
        <v/>
      </c>
      <c r="AL41" s="72" t="n"/>
      <c r="AM41" s="72">
        <f>IF($A21="","",AM21*AL21)</f>
        <v/>
      </c>
    </row>
    <row r="42" hidden="1">
      <c r="I42" s="72">
        <f>IF($A22="","",I22*H22)</f>
        <v/>
      </c>
      <c r="J42" s="72" t="n"/>
      <c r="K42" s="72">
        <f>IF($A22="","",K22*J22)</f>
        <v/>
      </c>
      <c r="L42" s="72" t="n"/>
      <c r="M42" s="72">
        <f>IF($A22="","",M22*L22)</f>
        <v/>
      </c>
      <c r="N42" s="72" t="n"/>
      <c r="O42" s="72">
        <f>IF($A22="","",O22*N22)</f>
        <v/>
      </c>
      <c r="P42" s="72" t="n"/>
      <c r="Q42" s="72">
        <f>IF($A22="","",Q22*P22)</f>
        <v/>
      </c>
      <c r="R42" s="72" t="n"/>
      <c r="S42" s="72">
        <f>IF($A22="","",S22*R22)</f>
        <v/>
      </c>
      <c r="T42" s="72" t="n"/>
      <c r="U42" s="72">
        <f>IF($A22="","",U22*T22)</f>
        <v/>
      </c>
      <c r="V42" s="72" t="n"/>
      <c r="W42" s="72">
        <f>IF($A22="","",W22*V22)</f>
        <v/>
      </c>
      <c r="X42" s="72" t="n"/>
      <c r="Y42" s="72">
        <f>IF($A22="","",Y22*X22)</f>
        <v/>
      </c>
      <c r="Z42" s="72" t="n"/>
      <c r="AA42" s="72">
        <f>IF($A22="","",AA22*Z22)</f>
        <v/>
      </c>
      <c r="AB42" s="72" t="n"/>
      <c r="AC42" s="72">
        <f>IF($A22="","",AC22*AB22)</f>
        <v/>
      </c>
      <c r="AD42" s="72" t="n"/>
      <c r="AE42" s="72">
        <f>IF($A22="","",AE22*AD22)</f>
        <v/>
      </c>
      <c r="AF42" s="72" t="n"/>
      <c r="AG42" s="72">
        <f>IF($A22="","",AG22*AF22)</f>
        <v/>
      </c>
      <c r="AH42" s="72" t="n"/>
      <c r="AI42" s="72">
        <f>IF($A22="","",AI22*AH22)</f>
        <v/>
      </c>
      <c r="AJ42" s="72" t="n"/>
      <c r="AK42" s="72">
        <f>IF($A22="","",AK22*AJ22)</f>
        <v/>
      </c>
      <c r="AL42" s="72" t="n"/>
      <c r="AM42" s="72">
        <f>IF($A22="","",AM22*AL22)</f>
        <v/>
      </c>
    </row>
    <row r="43" hidden="1">
      <c r="I43" s="72">
        <f>IF($A23="","",I23*H23)</f>
        <v/>
      </c>
      <c r="J43" s="72" t="n"/>
      <c r="K43" s="72">
        <f>IF($A23="","",K23*J23)</f>
        <v/>
      </c>
      <c r="L43" s="72" t="n"/>
      <c r="M43" s="72">
        <f>IF($A23="","",M23*L23)</f>
        <v/>
      </c>
      <c r="N43" s="72" t="n"/>
      <c r="O43" s="72">
        <f>IF($A23="","",O23*N23)</f>
        <v/>
      </c>
      <c r="P43" s="72" t="n"/>
      <c r="Q43" s="72">
        <f>IF($A23="","",Q23*P23)</f>
        <v/>
      </c>
      <c r="R43" s="72" t="n"/>
      <c r="S43" s="72">
        <f>IF($A23="","",S23*R23)</f>
        <v/>
      </c>
      <c r="T43" s="72" t="n"/>
      <c r="U43" s="72">
        <f>IF($A23="","",U23*T23)</f>
        <v/>
      </c>
      <c r="V43" s="72" t="n"/>
      <c r="W43" s="72">
        <f>IF($A23="","",W23*V23)</f>
        <v/>
      </c>
      <c r="X43" s="72" t="n"/>
      <c r="Y43" s="72">
        <f>IF($A23="","",Y23*X23)</f>
        <v/>
      </c>
      <c r="Z43" s="72" t="n"/>
      <c r="AA43" s="72">
        <f>IF($A23="","",AA23*Z23)</f>
        <v/>
      </c>
      <c r="AB43" s="72" t="n"/>
      <c r="AC43" s="72">
        <f>IF($A23="","",AC23*AB23)</f>
        <v/>
      </c>
      <c r="AD43" s="72" t="n"/>
      <c r="AE43" s="72">
        <f>IF($A23="","",AE23*AD23)</f>
        <v/>
      </c>
      <c r="AF43" s="72" t="n"/>
      <c r="AG43" s="72">
        <f>IF($A23="","",AG23*AF23)</f>
        <v/>
      </c>
      <c r="AH43" s="72" t="n"/>
      <c r="AI43" s="72">
        <f>IF($A23="","",AI23*AH23)</f>
        <v/>
      </c>
      <c r="AJ43" s="72" t="n"/>
      <c r="AK43" s="72">
        <f>IF($A23="","",AK23*AJ23)</f>
        <v/>
      </c>
      <c r="AL43" s="72" t="n"/>
      <c r="AM43" s="72">
        <f>IF($A23="","",AM23*AL23)</f>
        <v/>
      </c>
    </row>
    <row r="44" hidden="1">
      <c r="I44" s="72">
        <f>IF($A24="","",I24*H24)</f>
        <v/>
      </c>
      <c r="J44" s="72" t="n"/>
      <c r="K44" s="72">
        <f>IF($A24="","",K24*J24)</f>
        <v/>
      </c>
      <c r="L44" s="72" t="n"/>
      <c r="M44" s="72">
        <f>IF($A24="","",M24*L24)</f>
        <v/>
      </c>
      <c r="N44" s="72" t="n"/>
      <c r="O44" s="72">
        <f>IF($A24="","",O24*N24)</f>
        <v/>
      </c>
      <c r="P44" s="72" t="n"/>
      <c r="Q44" s="72">
        <f>IF($A24="","",Q24*P24)</f>
        <v/>
      </c>
      <c r="R44" s="72" t="n"/>
      <c r="S44" s="72">
        <f>IF($A24="","",S24*R24)</f>
        <v/>
      </c>
      <c r="T44" s="72" t="n"/>
      <c r="U44" s="72">
        <f>IF($A24="","",U24*T24)</f>
        <v/>
      </c>
      <c r="V44" s="72" t="n"/>
      <c r="W44" s="72">
        <f>IF($A24="","",W24*V24)</f>
        <v/>
      </c>
      <c r="X44" s="72" t="n"/>
      <c r="Y44" s="72">
        <f>IF($A24="","",Y24*X24)</f>
        <v/>
      </c>
      <c r="Z44" s="72" t="n"/>
      <c r="AA44" s="72">
        <f>IF($A24="","",AA24*Z24)</f>
        <v/>
      </c>
      <c r="AB44" s="72" t="n"/>
      <c r="AC44" s="72">
        <f>IF($A24="","",AC24*AB24)</f>
        <v/>
      </c>
      <c r="AD44" s="72" t="n"/>
      <c r="AE44" s="72">
        <f>IF($A24="","",AE24*AD24)</f>
        <v/>
      </c>
      <c r="AF44" s="72" t="n"/>
      <c r="AG44" s="72">
        <f>IF($A24="","",AG24*AF24)</f>
        <v/>
      </c>
      <c r="AH44" s="72" t="n"/>
      <c r="AI44" s="72">
        <f>IF($A24="","",AI24*AH24)</f>
        <v/>
      </c>
      <c r="AJ44" s="72" t="n"/>
      <c r="AK44" s="72">
        <f>IF($A24="","",AK24*AJ24)</f>
        <v/>
      </c>
      <c r="AL44" s="72" t="n"/>
      <c r="AM44" s="72">
        <f>IF($A24="","",AM24*AL24)</f>
        <v/>
      </c>
    </row>
    <row r="45" hidden="1">
      <c r="I45" s="72">
        <f>IF($A25="","",I25*H25)</f>
        <v/>
      </c>
      <c r="J45" s="72" t="n"/>
      <c r="K45" s="72">
        <f>IF($A25="","",K25*J25)</f>
        <v/>
      </c>
      <c r="L45" s="72" t="n"/>
      <c r="M45" s="72">
        <f>IF($A25="","",M25*L25)</f>
        <v/>
      </c>
      <c r="N45" s="72" t="n"/>
      <c r="O45" s="72">
        <f>IF($A25="","",O25*N25)</f>
        <v/>
      </c>
      <c r="P45" s="72" t="n"/>
      <c r="Q45" s="72">
        <f>IF($A25="","",Q25*P25)</f>
        <v/>
      </c>
      <c r="R45" s="72" t="n"/>
      <c r="S45" s="72">
        <f>IF($A25="","",S25*R25)</f>
        <v/>
      </c>
      <c r="T45" s="72" t="n"/>
      <c r="U45" s="72">
        <f>IF($A25="","",U25*T25)</f>
        <v/>
      </c>
      <c r="V45" s="72" t="n"/>
      <c r="W45" s="72">
        <f>IF($A25="","",W25*V25)</f>
        <v/>
      </c>
      <c r="X45" s="72" t="n"/>
      <c r="Y45" s="72">
        <f>IF($A25="","",Y25*X25)</f>
        <v/>
      </c>
      <c r="Z45" s="72" t="n"/>
      <c r="AA45" s="72">
        <f>IF($A25="","",AA25*Z25)</f>
        <v/>
      </c>
      <c r="AB45" s="72" t="n"/>
      <c r="AC45" s="72">
        <f>IF($A25="","",AC25*AB25)</f>
        <v/>
      </c>
      <c r="AD45" s="72" t="n"/>
      <c r="AE45" s="72">
        <f>IF($A25="","",AE25*AD25)</f>
        <v/>
      </c>
      <c r="AF45" s="72" t="n"/>
      <c r="AG45" s="72">
        <f>IF($A25="","",AG25*AF25)</f>
        <v/>
      </c>
      <c r="AH45" s="72" t="n"/>
      <c r="AI45" s="72">
        <f>IF($A25="","",AI25*AH25)</f>
        <v/>
      </c>
      <c r="AJ45" s="72" t="n"/>
      <c r="AK45" s="72">
        <f>IF($A25="","",AK25*AJ25)</f>
        <v/>
      </c>
      <c r="AL45" s="72" t="n"/>
      <c r="AM45" s="72">
        <f>IF($A25="","",AM25*AL25)</f>
        <v/>
      </c>
    </row>
    <row r="46" hidden="1">
      <c r="I46" s="72">
        <f>IF($A26="","",I26*H26)</f>
        <v/>
      </c>
      <c r="J46" s="72" t="n"/>
      <c r="K46" s="72">
        <f>IF($A26="","",K26*J26)</f>
        <v/>
      </c>
      <c r="L46" s="72" t="n"/>
      <c r="M46" s="72">
        <f>IF($A26="","",M26*L26)</f>
        <v/>
      </c>
      <c r="N46" s="72" t="n"/>
      <c r="O46" s="72">
        <f>IF($A26="","",O26*N26)</f>
        <v/>
      </c>
      <c r="P46" s="72" t="n"/>
      <c r="Q46" s="72">
        <f>IF($A26="","",Q26*P26)</f>
        <v/>
      </c>
      <c r="R46" s="72" t="n"/>
      <c r="S46" s="72">
        <f>IF($A26="","",S26*R26)</f>
        <v/>
      </c>
      <c r="T46" s="72" t="n"/>
      <c r="U46" s="72">
        <f>IF($A26="","",U26*T26)</f>
        <v/>
      </c>
      <c r="V46" s="72" t="n"/>
      <c r="W46" s="72">
        <f>IF($A26="","",W26*V26)</f>
        <v/>
      </c>
      <c r="X46" s="72" t="n"/>
      <c r="Y46" s="72">
        <f>IF($A26="","",Y26*X26)</f>
        <v/>
      </c>
      <c r="Z46" s="72" t="n"/>
      <c r="AA46" s="72">
        <f>IF($A26="","",AA26*Z26)</f>
        <v/>
      </c>
      <c r="AB46" s="72" t="n"/>
      <c r="AC46" s="72">
        <f>IF($A26="","",AC26*AB26)</f>
        <v/>
      </c>
      <c r="AD46" s="72" t="n"/>
      <c r="AE46" s="72">
        <f>IF($A26="","",AE26*AD26)</f>
        <v/>
      </c>
      <c r="AF46" s="72" t="n"/>
      <c r="AG46" s="72">
        <f>IF($A26="","",AG26*AF26)</f>
        <v/>
      </c>
      <c r="AH46" s="72" t="n"/>
      <c r="AI46" s="72">
        <f>IF($A26="","",AI26*AH26)</f>
        <v/>
      </c>
      <c r="AJ46" s="72" t="n"/>
      <c r="AK46" s="72">
        <f>IF($A26="","",AK26*AJ26)</f>
        <v/>
      </c>
      <c r="AL46" s="72" t="n"/>
      <c r="AM46" s="72">
        <f>IF($A26="","",AM26*AL26)</f>
        <v/>
      </c>
    </row>
    <row r="47" hidden="1">
      <c r="I47" s="72">
        <f>IF($A27="","",I27*H27)</f>
        <v/>
      </c>
      <c r="J47" s="72" t="n"/>
      <c r="K47" s="72">
        <f>IF($A27="","",K27*J27)</f>
        <v/>
      </c>
      <c r="L47" s="72" t="n"/>
      <c r="M47" s="72">
        <f>IF($A27="","",M27*L27)</f>
        <v/>
      </c>
      <c r="N47" s="72" t="n"/>
      <c r="O47" s="72">
        <f>IF($A27="","",O27*N27)</f>
        <v/>
      </c>
      <c r="P47" s="72" t="n"/>
      <c r="Q47" s="72">
        <f>IF($A27="","",Q27*P27)</f>
        <v/>
      </c>
      <c r="R47" s="72" t="n"/>
      <c r="S47" s="72">
        <f>IF($A27="","",S27*R27)</f>
        <v/>
      </c>
      <c r="T47" s="72" t="n"/>
      <c r="U47" s="72">
        <f>IF($A27="","",U27*T27)</f>
        <v/>
      </c>
      <c r="V47" s="72" t="n"/>
      <c r="W47" s="72">
        <f>IF($A27="","",W27*V27)</f>
        <v/>
      </c>
      <c r="X47" s="72" t="n"/>
      <c r="Y47" s="72">
        <f>IF($A27="","",Y27*X27)</f>
        <v/>
      </c>
      <c r="Z47" s="72" t="n"/>
      <c r="AA47" s="72">
        <f>IF($A27="","",AA27*Z27)</f>
        <v/>
      </c>
      <c r="AB47" s="72" t="n"/>
      <c r="AC47" s="72">
        <f>IF($A27="","",AC27*AB27)</f>
        <v/>
      </c>
      <c r="AD47" s="72" t="n"/>
      <c r="AE47" s="72">
        <f>IF($A27="","",AE27*AD27)</f>
        <v/>
      </c>
      <c r="AF47" s="72" t="n"/>
      <c r="AG47" s="72">
        <f>IF($A27="","",AG27*AF27)</f>
        <v/>
      </c>
      <c r="AH47" s="72" t="n"/>
      <c r="AI47" s="72">
        <f>IF($A27="","",AI27*AH27)</f>
        <v/>
      </c>
      <c r="AJ47" s="72" t="n"/>
      <c r="AK47" s="72">
        <f>IF($A27="","",AK27*AJ27)</f>
        <v/>
      </c>
      <c r="AL47" s="72" t="n"/>
      <c r="AM47" s="72">
        <f>IF($A27="","",AM27*AL27)</f>
        <v/>
      </c>
    </row>
    <row r="48" hidden="1">
      <c r="I48" s="72">
        <f>IF($A28="","",I28*H28)</f>
        <v/>
      </c>
      <c r="J48" s="72" t="n"/>
      <c r="K48" s="72">
        <f>IF($A28="","",K28*J28)</f>
        <v/>
      </c>
      <c r="L48" s="72" t="n"/>
      <c r="M48" s="72">
        <f>IF($A28="","",M28*L28)</f>
        <v/>
      </c>
      <c r="N48" s="72" t="n"/>
      <c r="O48" s="72">
        <f>IF($A28="","",O28*N28)</f>
        <v/>
      </c>
      <c r="P48" s="72" t="n"/>
      <c r="Q48" s="72">
        <f>IF($A28="","",Q28*P28)</f>
        <v/>
      </c>
      <c r="R48" s="72" t="n"/>
      <c r="S48" s="72">
        <f>IF($A28="","",S28*R28)</f>
        <v/>
      </c>
      <c r="T48" s="72" t="n"/>
      <c r="U48" s="72">
        <f>IF($A28="","",U28*T28)</f>
        <v/>
      </c>
      <c r="V48" s="72" t="n"/>
      <c r="W48" s="72">
        <f>IF($A28="","",W28*V28)</f>
        <v/>
      </c>
      <c r="X48" s="72" t="n"/>
      <c r="Y48" s="72">
        <f>IF($A28="","",Y28*X28)</f>
        <v/>
      </c>
      <c r="Z48" s="72" t="n"/>
      <c r="AA48" s="72">
        <f>IF($A28="","",AA28*Z28)</f>
        <v/>
      </c>
      <c r="AB48" s="72" t="n"/>
      <c r="AC48" s="72">
        <f>IF($A28="","",AC28*AB28)</f>
        <v/>
      </c>
      <c r="AD48" s="72" t="n"/>
      <c r="AE48" s="72">
        <f>IF($A28="","",AE28*AD28)</f>
        <v/>
      </c>
      <c r="AF48" s="72" t="n"/>
      <c r="AG48" s="72">
        <f>IF($A28="","",AG28*AF28)</f>
        <v/>
      </c>
      <c r="AH48" s="72" t="n"/>
      <c r="AI48" s="72">
        <f>IF($A28="","",AI28*AH28)</f>
        <v/>
      </c>
      <c r="AJ48" s="72" t="n"/>
      <c r="AK48" s="72">
        <f>IF($A28="","",AK28*AJ28)</f>
        <v/>
      </c>
      <c r="AL48" s="72" t="n"/>
      <c r="AM48" s="72">
        <f>IF($A28="","",AM28*AL28)</f>
        <v/>
      </c>
    </row>
    <row r="49" hidden="1">
      <c r="I49" s="73">
        <f>SUMIF(I31:I48,"&gt;0")</f>
        <v/>
      </c>
      <c r="K49" s="73">
        <f>SUMIF(K31:K48,"&gt;0")</f>
        <v/>
      </c>
      <c r="L49" s="73" t="n"/>
      <c r="M49" s="73">
        <f>SUMIF(M31:M48,"&gt;0")</f>
        <v/>
      </c>
      <c r="O49" s="73">
        <f>SUMIF(O31:O48,"&gt;0")</f>
        <v/>
      </c>
      <c r="Q49" s="73">
        <f>SUMIF(Q31:Q48,"&gt;0")</f>
        <v/>
      </c>
      <c r="R49" s="73" t="n"/>
      <c r="S49" s="73">
        <f>SUMIF(S31:S48,"&gt;0")</f>
        <v/>
      </c>
      <c r="T49" s="73" t="n"/>
      <c r="U49" s="73">
        <f>SUMIF(U31:U48,"&gt;0")</f>
        <v/>
      </c>
      <c r="V49" s="73" t="n"/>
      <c r="W49" s="73">
        <f>SUMIF(W31:W48,"&gt;0")</f>
        <v/>
      </c>
      <c r="Y49" s="73">
        <f>SUMIF(Y31:Y48,"&gt;0")</f>
        <v/>
      </c>
      <c r="Z49" s="73" t="n"/>
      <c r="AA49" s="73">
        <f>SUMIF(AA31:AA48,"&gt;0")</f>
        <v/>
      </c>
      <c r="AC49" s="73">
        <f>SUMIF(AC31:AC48,"&gt;0")</f>
        <v/>
      </c>
      <c r="AE49" s="73">
        <f>SUMIF(AE31:AE48,"&gt;0")</f>
        <v/>
      </c>
      <c r="AG49" s="73">
        <f>SUMIF(AG31:AG48,"&gt;0")</f>
        <v/>
      </c>
      <c r="AI49" s="73">
        <f>SUMIF(AI31:AI48,"&gt;0")</f>
        <v/>
      </c>
      <c r="AK49" s="73">
        <f>SUMIF(AK31:AK48,"&gt;0")</f>
        <v/>
      </c>
      <c r="AM49" s="73">
        <f>SUMIF(AM31:AM48,"&gt;0")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เฟรมแบ่งบาน</t>
        </is>
      </c>
      <c r="C54" s="79" t="inlineStr">
        <is>
          <t>F7854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ตบเฟรมแบ่งบาน</t>
        </is>
      </c>
      <c r="C55" s="79" t="inlineStr">
        <is>
          <t>F7852</t>
        </is>
      </c>
      <c r="D55" s="80" t="inlineStr">
        <is>
          <t>สูง</t>
        </is>
      </c>
      <c r="E55" s="81" t="n"/>
      <c r="F55" s="81" t="n"/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เฟรม บน W1-2</t>
        </is>
      </c>
      <c r="C56" s="79" t="inlineStr">
        <is>
          <t>F7859</t>
        </is>
      </c>
      <c r="D56" s="80" t="inlineStr">
        <is>
          <t>กว้าง-กว้าง3-กว้าง3
-35-35</t>
        </is>
      </c>
      <c r="E56" s="82" t="n">
        <v>35</v>
      </c>
      <c r="F56" s="82" t="n">
        <v>35</v>
      </c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เฟรมข้าง W3</t>
        </is>
      </c>
      <c r="C57" s="79" t="inlineStr">
        <is>
          <t>F7937</t>
        </is>
      </c>
      <c r="D57" s="80" t="inlineStr">
        <is>
          <t>สูง</t>
        </is>
      </c>
      <c r="E57" s="81" t="n"/>
      <c r="F57" s="81" t="n"/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เฟรมบน W3</t>
        </is>
      </c>
      <c r="C58" s="79" t="inlineStr">
        <is>
          <t>-</t>
        </is>
      </c>
      <c r="D58" s="80" t="inlineStr">
        <is>
          <t>กว้าง3-25</t>
        </is>
      </c>
      <c r="E58" s="82" t="n">
        <v>25</v>
      </c>
      <c r="F58" s="81" t="n"/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เสา</t>
        </is>
      </c>
      <c r="C59" s="79" t="inlineStr">
        <is>
          <t>F7864</t>
        </is>
      </c>
      <c r="D59" s="80" t="inlineStr">
        <is>
          <t>สูง-18.5-7</t>
        </is>
      </c>
      <c r="E59" s="82" t="n">
        <v>18.5</v>
      </c>
      <c r="F59" s="82" t="n">
        <v>7</v>
      </c>
      <c r="G59" s="81" t="n"/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ขวาง W1</t>
        </is>
      </c>
      <c r="C60" s="79" t="inlineStr">
        <is>
          <t>-</t>
        </is>
      </c>
      <c r="D60" s="80" t="inlineStr">
        <is>
          <t>กว้าง1-28.5-1</t>
        </is>
      </c>
      <c r="E60" s="82" t="n">
        <v>28.5</v>
      </c>
      <c r="F60" s="82" t="n">
        <v>1</v>
      </c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ขวาง W2</t>
        </is>
      </c>
      <c r="C61" s="79" t="inlineStr">
        <is>
          <t>-</t>
        </is>
      </c>
      <c r="D61" s="80" t="inlineStr">
        <is>
          <t>กว้าง2-28.5-1</t>
        </is>
      </c>
      <c r="E61" s="82" t="n">
        <v>28.5</v>
      </c>
      <c r="F61" s="82" t="n">
        <v>1</v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คิ้ว ตั้ง</t>
        </is>
      </c>
      <c r="C62" s="79" t="inlineStr">
        <is>
          <t>F7935</t>
        </is>
      </c>
      <c r="D62" s="80" t="inlineStr">
        <is>
          <t>เสา-100-100</t>
        </is>
      </c>
      <c r="E62" s="82" t="n">
        <v>100</v>
      </c>
      <c r="F62" s="82" t="n">
        <v>100</v>
      </c>
      <c r="G62" s="81" t="n"/>
      <c r="H62" s="81" t="n"/>
      <c r="I62" s="81" t="n"/>
      <c r="J62" s="81" t="n"/>
      <c r="K62" s="81" t="n"/>
      <c r="L62" s="82" t="n"/>
    </row>
    <row r="63" ht="15" customHeight="1">
      <c r="A63" s="77" t="n">
        <v>10</v>
      </c>
      <c r="B63" s="78" t="inlineStr">
        <is>
          <t>คิ้ว ขวางW1</t>
        </is>
      </c>
      <c r="C63" s="79" t="inlineStr">
        <is>
          <t>-</t>
        </is>
      </c>
      <c r="D63" s="80" t="inlineStr">
        <is>
          <t>กว้าง1
ขวาง-80-80</t>
        </is>
      </c>
      <c r="E63" s="82" t="n">
        <v>80</v>
      </c>
      <c r="F63" s="82" t="n">
        <v>80</v>
      </c>
      <c r="G63" s="81" t="n"/>
      <c r="H63" s="81" t="n"/>
      <c r="I63" s="81" t="n"/>
      <c r="J63" s="81" t="n"/>
      <c r="K63" s="81" t="n"/>
      <c r="L63" s="82" t="n"/>
    </row>
    <row r="64" ht="15" customHeight="1">
      <c r="A64" s="77" t="n">
        <v>11</v>
      </c>
      <c r="B64" s="78" t="inlineStr">
        <is>
          <t>คิ้ว ขวางW2</t>
        </is>
      </c>
      <c r="C64" s="79" t="inlineStr">
        <is>
          <t>-</t>
        </is>
      </c>
      <c r="D64" s="80" t="inlineStr">
        <is>
          <t>กว้าง2
ขวาง-80-80</t>
        </is>
      </c>
      <c r="E64" s="82" t="n">
        <v>80</v>
      </c>
      <c r="F64" s="82" t="n">
        <v>80</v>
      </c>
      <c r="G64" s="81" t="n"/>
      <c r="H64" s="81" t="n"/>
      <c r="I64" s="81" t="n"/>
      <c r="J64" s="81" t="n"/>
      <c r="K64" s="81" t="n"/>
      <c r="L64" s="82" t="n"/>
    </row>
    <row r="65" ht="15" customHeight="1">
      <c r="A65" s="77" t="n">
        <v>12</v>
      </c>
      <c r="B65" s="78" t="inlineStr">
        <is>
          <t>คิ้ว ขวาง W3</t>
        </is>
      </c>
      <c r="C65" s="79" t="inlineStr">
        <is>
          <t>-</t>
        </is>
      </c>
      <c r="D65" s="80" t="inlineStr">
        <is>
          <t>กว้าง3-25</t>
        </is>
      </c>
      <c r="E65" s="82" t="n">
        <v>25</v>
      </c>
      <c r="F65" s="81" t="n"/>
      <c r="G65" s="81" t="n"/>
      <c r="H65" s="81" t="n"/>
      <c r="I65" s="81" t="n"/>
      <c r="J65" s="81" t="n"/>
      <c r="K65" s="81" t="n"/>
      <c r="L65" s="82" t="n"/>
    </row>
    <row r="66" ht="15" customHeight="1">
      <c r="A66" s="77" t="n">
        <v>13</v>
      </c>
      <c r="B66" s="78" t="inlineStr">
        <is>
          <t>คิ้ว ตั้ง W3</t>
        </is>
      </c>
      <c r="C66" s="79" t="inlineStr">
        <is>
          <t>-</t>
        </is>
      </c>
      <c r="D66" s="80" t="inlineStr">
        <is>
          <t>สูง-45-45</t>
        </is>
      </c>
      <c r="E66" s="82" t="n">
        <v>45</v>
      </c>
      <c r="F66" s="82" t="n">
        <v>45</v>
      </c>
      <c r="G66" s="81" t="n"/>
      <c r="H66" s="81" t="n"/>
      <c r="I66" s="81" t="n"/>
      <c r="J66" s="81" t="n"/>
      <c r="K66" s="81" t="n"/>
      <c r="L66" s="82" t="n"/>
    </row>
    <row r="67" ht="15" customHeight="1">
      <c r="A67" s="77" t="n">
        <v>14</v>
      </c>
      <c r="B67" s="78" t="inlineStr">
        <is>
          <t>ชนกลาง</t>
        </is>
      </c>
      <c r="C67" s="79" t="inlineStr">
        <is>
          <t>F7945</t>
        </is>
      </c>
      <c r="D67" s="80" t="inlineStr">
        <is>
          <t>สูง-27-7</t>
        </is>
      </c>
      <c r="E67" s="82" t="n">
        <v>27</v>
      </c>
      <c r="F67" s="82" t="n">
        <v>7</v>
      </c>
      <c r="G67" s="81" t="n"/>
      <c r="H67" s="81" t="n"/>
      <c r="I67" s="81" t="n"/>
      <c r="J67" s="81" t="n"/>
      <c r="K67" s="81" t="n"/>
      <c r="L67" s="82" t="n"/>
    </row>
    <row r="68" ht="15" customHeight="1">
      <c r="A68" s="77" t="n">
        <v>15</v>
      </c>
      <c r="B68" s="78" t="inlineStr">
        <is>
          <t>ชายล่าง W1</t>
        </is>
      </c>
      <c r="C68" s="79" t="inlineStr">
        <is>
          <t>F7863</t>
        </is>
      </c>
      <c r="D68" s="80" t="inlineStr">
        <is>
          <t>เท่าขวาง กว้าง1</t>
        </is>
      </c>
      <c r="E68" s="81" t="n"/>
      <c r="F68" s="81" t="n"/>
      <c r="G68" s="81" t="n"/>
      <c r="H68" s="81" t="n"/>
      <c r="I68" s="81" t="n"/>
      <c r="J68" s="81" t="n"/>
      <c r="K68" s="81" t="n"/>
      <c r="L68" s="82" t="n"/>
    </row>
    <row r="69" ht="15" customHeight="1">
      <c r="A69" s="77" t="n">
        <v>16</v>
      </c>
      <c r="B69" s="78" t="inlineStr">
        <is>
          <t>ชายล่าง W2</t>
        </is>
      </c>
      <c r="C69" s="79" t="inlineStr">
        <is>
          <t>-</t>
        </is>
      </c>
      <c r="D69" s="80" t="inlineStr">
        <is>
          <t>เท่าขวาง กว้าง2</t>
        </is>
      </c>
      <c r="E69" s="81" t="n"/>
      <c r="F69" s="81" t="n"/>
      <c r="G69" s="81" t="n"/>
      <c r="H69" s="81" t="n"/>
      <c r="I69" s="81" t="n"/>
      <c r="J69" s="81" t="n"/>
      <c r="K69" s="81" t="n"/>
      <c r="L69" s="82" t="n"/>
    </row>
    <row r="71">
      <c r="A71" s="152" t="inlineStr">
        <is>
          <t>⑥ อุปกรณ์ ต่อ 1 บาน — คูณจำนวนบานที่ผลิต</t>
        </is>
      </c>
      <c r="F71" s="153" t="inlineStr">
        <is>
          <t>ต่อบาน</t>
        </is>
      </c>
    </row>
    <row r="72">
      <c r="A72" s="154" t="inlineStr">
        <is>
          <t>1. บานพับ hyda (สูง&gt;3ม./บานกว้าง&gt;1.2ม.=5)</t>
        </is>
      </c>
      <c r="F72" s="155" t="n">
        <v>4</v>
      </c>
    </row>
    <row r="73">
      <c r="A73" s="154" t="inlineStr">
        <is>
          <t>2. มือจับ + ล็อค</t>
        </is>
      </c>
      <c r="F73" s="155" t="n">
        <v>1</v>
      </c>
    </row>
    <row r="74">
      <c r="A74" s="154" t="inlineStr">
        <is>
          <t>3. กลอน (ใบลอง)</t>
        </is>
      </c>
      <c r="F74" s="155" t="n">
        <v>1</v>
      </c>
    </row>
    <row r="75">
      <c r="A75" s="154" t="inlineStr">
        <is>
          <t>4. น็อตเฟรม (มีธรณี8/ไม่มี6)</t>
        </is>
      </c>
      <c r="F75" s="155" t="n">
        <v>8</v>
      </c>
    </row>
    <row r="76">
      <c r="A76" s="156" t="inlineStr">
        <is>
          <t>+ ยาง/ซิลิโคน = ตามขนาด (ดูชีทคิดทุน)</t>
        </is>
      </c>
    </row>
  </sheetData>
  <mergeCells count="72">
    <mergeCell ref="AD9:AE9"/>
    <mergeCell ref="L7:M7"/>
    <mergeCell ref="Z6:AA6"/>
    <mergeCell ref="AD8:AE8"/>
    <mergeCell ref="G8:G9"/>
    <mergeCell ref="AB6:AC6"/>
    <mergeCell ref="A73:E73"/>
    <mergeCell ref="AL6:AM6"/>
    <mergeCell ref="V8:W8"/>
    <mergeCell ref="X8:Y8"/>
    <mergeCell ref="R8:S8"/>
    <mergeCell ref="X30:AF30"/>
    <mergeCell ref="H9:I9"/>
    <mergeCell ref="AH8:AI8"/>
    <mergeCell ref="J9:K9"/>
    <mergeCell ref="P9:Q9"/>
    <mergeCell ref="AJ8:AK8"/>
    <mergeCell ref="AJ30:AL30"/>
    <mergeCell ref="H6:I6"/>
    <mergeCell ref="A76:F76"/>
    <mergeCell ref="J6:K6"/>
    <mergeCell ref="P6:Q6"/>
    <mergeCell ref="R30:V30"/>
    <mergeCell ref="R6:S6"/>
    <mergeCell ref="P8:Q8"/>
    <mergeCell ref="AD6:AE6"/>
    <mergeCell ref="A30:G30"/>
    <mergeCell ref="AF6:AG6"/>
    <mergeCell ref="A75:E75"/>
    <mergeCell ref="T9:U9"/>
    <mergeCell ref="L8:M8"/>
    <mergeCell ref="V9:W9"/>
    <mergeCell ref="AB9:AC9"/>
    <mergeCell ref="N8:O8"/>
    <mergeCell ref="N7:Q7"/>
    <mergeCell ref="N30:P30"/>
    <mergeCell ref="A74:E74"/>
    <mergeCell ref="AF9:AG9"/>
    <mergeCell ref="AH9:AI9"/>
    <mergeCell ref="A8:A9"/>
    <mergeCell ref="Z8:AA8"/>
    <mergeCell ref="V6:W6"/>
    <mergeCell ref="X6:Y6"/>
    <mergeCell ref="H7:I7"/>
    <mergeCell ref="A6:G6"/>
    <mergeCell ref="AH6:AI6"/>
    <mergeCell ref="J7:K7"/>
    <mergeCell ref="A71:E71"/>
    <mergeCell ref="AJ6:AK6"/>
    <mergeCell ref="X7:AG7"/>
    <mergeCell ref="AJ7:AM7"/>
    <mergeCell ref="T8:U8"/>
    <mergeCell ref="A7:G7"/>
    <mergeCell ref="AB8:AC8"/>
    <mergeCell ref="L9:M9"/>
    <mergeCell ref="AF8:AG8"/>
    <mergeCell ref="AL8:AM8"/>
    <mergeCell ref="N9:O9"/>
    <mergeCell ref="B8:C9"/>
    <mergeCell ref="L6:M6"/>
    <mergeCell ref="A72:E72"/>
    <mergeCell ref="AH7:AI7"/>
    <mergeCell ref="N6:O6"/>
    <mergeCell ref="T6:U6"/>
    <mergeCell ref="H8:I8"/>
    <mergeCell ref="R9:S9"/>
    <mergeCell ref="X9:Y9"/>
    <mergeCell ref="J8:K8"/>
    <mergeCell ref="AJ9:AK9"/>
    <mergeCell ref="Z9:AA9"/>
    <mergeCell ref="R7:W7"/>
    <mergeCell ref="AL9:AM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7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12.69921875" customWidth="1" min="30" max="30"/>
    <col width="8.69921875" customWidth="1" min="31" max="31"/>
    <col width="8.8984375" customWidth="1" min="32" max="32"/>
  </cols>
  <sheetData>
    <row r="1" ht="40.2" customHeight="1">
      <c r="A1" s="2" t="inlineStr">
        <is>
          <t>JR ALUMINIUM &amp; GLASS  —  ใบรายการตัด · FUJI บานเปิด   (หน่วย: มม.)</t>
        </is>
      </c>
      <c r="B1" s="3" t="n"/>
      <c r="D1" s="4" t="n"/>
      <c r="E1" s="5" t="n"/>
      <c r="F1" s="4" t="n"/>
      <c r="G1" s="6" t="n"/>
      <c r="H1" s="6" t="n"/>
      <c r="I1" s="4" t="n"/>
      <c r="J1" s="4" t="n"/>
      <c r="K1" s="4" t="n"/>
      <c r="L1" s="4" t="n"/>
      <c r="M1" s="6" t="n"/>
      <c r="N1" s="6" t="n"/>
      <c r="O1" s="7" t="n"/>
      <c r="P1" s="7" t="n"/>
      <c r="Q1" s="4" t="n"/>
      <c r="R1" s="8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t="40.2" customHeight="1">
      <c r="A2" s="6" t="n"/>
      <c r="B2" s="6" t="n"/>
      <c r="C2" s="6" t="n"/>
      <c r="D2" s="6" t="n"/>
      <c r="E2" s="9" t="n"/>
      <c r="F2" s="6" t="n"/>
      <c r="G2" s="10" t="n"/>
      <c r="H2" s="10" t="n"/>
      <c r="I2" s="6" t="n"/>
      <c r="J2" s="6" t="n"/>
      <c r="K2" s="6" t="n"/>
      <c r="L2" s="6" t="n"/>
      <c r="M2" s="6" t="n"/>
      <c r="N2" s="6" t="n"/>
      <c r="O2" s="10" t="n"/>
      <c r="P2" s="10" t="n"/>
      <c r="Q2" s="6" t="n"/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40.2" customHeight="1">
      <c r="A3" s="6" t="n"/>
      <c r="B3" s="6" t="n"/>
      <c r="C3" s="6" t="n"/>
      <c r="D3" s="6" t="n"/>
      <c r="E3" s="9" t="n"/>
      <c r="F3" s="6" t="n"/>
      <c r="I3" s="6" t="n"/>
      <c r="J3" s="6" t="n"/>
      <c r="K3" s="6" t="n"/>
      <c r="L3" s="6" t="n"/>
      <c r="M3" s="6" t="n"/>
      <c r="N3" s="6" t="n"/>
      <c r="O3" s="11" t="n"/>
      <c r="P3" s="11" t="n"/>
      <c r="Q3" s="6" t="n"/>
      <c r="R3" s="6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40.2" customHeight="1">
      <c r="A4" s="6" t="n"/>
      <c r="B4" s="6" t="n"/>
      <c r="C4" s="6" t="n"/>
      <c r="D4" s="6" t="n"/>
      <c r="F4" s="6" t="n"/>
      <c r="I4" s="6" t="n"/>
      <c r="J4" s="6" t="n"/>
      <c r="K4" s="6" t="n"/>
      <c r="L4" s="118" t="n"/>
      <c r="M4" s="6" t="n"/>
      <c r="N4" s="6" t="n"/>
      <c r="Q4" s="119" t="n"/>
      <c r="R4" s="6" t="n"/>
    </row>
    <row r="5" ht="40.2" customHeight="1">
      <c r="A5" s="6" t="n"/>
      <c r="B5" s="6" t="n"/>
      <c r="C5" s="6" t="n"/>
      <c r="D5" s="6" t="n"/>
      <c r="E5" s="9" t="n"/>
      <c r="F5" s="6" t="n"/>
      <c r="I5" s="6" t="n"/>
      <c r="J5" s="6" t="n"/>
      <c r="K5" s="6" t="n"/>
      <c r="L5" s="6" t="n"/>
      <c r="N5" s="6" t="n"/>
      <c r="Q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สูง-18.5-18.5</t>
        </is>
      </c>
      <c r="L6" s="16" t="n"/>
      <c r="M6" s="15" t="inlineStr">
        <is>
          <t>กว้าง-18.5-18.5</t>
        </is>
      </c>
      <c r="N6" s="16" t="n"/>
      <c r="O6" s="15" t="inlineStr">
        <is>
          <t>เสา-80-80</t>
        </is>
      </c>
      <c r="P6" s="16" t="n"/>
      <c r="Q6" s="15" t="inlineStr">
        <is>
          <t>ขวาง-60-60</t>
        </is>
      </c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7" t="n"/>
      <c r="AD6" s="17" t="n"/>
      <c r="AE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F7859</t>
        </is>
      </c>
      <c r="F7" s="13" t="n"/>
      <c r="G7" s="13" t="n"/>
      <c r="H7" s="14" t="n"/>
      <c r="I7" s="22" t="inlineStr">
        <is>
          <t>F7939</t>
        </is>
      </c>
      <c r="J7" s="14" t="n"/>
      <c r="K7" s="21" t="inlineStr">
        <is>
          <t>F7943</t>
        </is>
      </c>
      <c r="L7" s="13" t="n"/>
      <c r="M7" s="13" t="n"/>
      <c r="N7" s="14" t="n"/>
      <c r="O7" s="21" t="inlineStr">
        <is>
          <t>F7935</t>
        </is>
      </c>
      <c r="P7" s="13" t="n"/>
      <c r="Q7" s="13" t="n"/>
      <c r="R7" s="14" t="n"/>
      <c r="S7" s="23" t="n"/>
      <c r="T7" s="13" t="n"/>
      <c r="U7" s="13" t="n"/>
      <c r="V7" s="14" t="n"/>
      <c r="W7" s="21" t="n"/>
      <c r="X7" s="14" t="n"/>
      <c r="Y7" s="23" t="n"/>
      <c r="Z7" s="14" t="n"/>
      <c r="AA7" s="24" t="n"/>
      <c r="AB7" s="14" t="n"/>
      <c r="AC7" s="25" t="n"/>
      <c r="AD7" s="26" t="inlineStr">
        <is>
          <t>ขนาดกระจก</t>
        </is>
      </c>
      <c r="AE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3" t="n"/>
      <c r="J8" s="34" t="n"/>
      <c r="K8" s="31" t="n"/>
      <c r="L8" s="32" t="n"/>
      <c r="M8" s="33" t="n"/>
      <c r="N8" s="34" t="n"/>
      <c r="O8" s="31" t="n"/>
      <c r="P8" s="32" t="n"/>
      <c r="Q8" s="33" t="n"/>
      <c r="R8" s="34" t="n"/>
      <c r="S8" s="31" t="n"/>
      <c r="T8" s="32" t="n"/>
      <c r="U8" s="33" t="n"/>
      <c r="V8" s="34" t="n"/>
      <c r="W8" s="35" t="n"/>
      <c r="X8" s="34" t="n"/>
      <c r="Y8" s="35" t="n"/>
      <c r="Z8" s="34" t="n"/>
      <c r="AA8" s="33" t="n"/>
      <c r="AB8" s="34" t="n"/>
      <c r="AC8" s="36" t="n"/>
      <c r="AD8" s="37" t="inlineStr">
        <is>
          <t>กรอบบาน</t>
        </is>
      </c>
      <c r="AE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 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n"/>
      <c r="T9" s="43" t="n"/>
      <c r="U9" s="42" t="n"/>
      <c r="V9" s="43" t="n"/>
      <c r="W9" s="42" t="n"/>
      <c r="X9" s="43" t="n"/>
      <c r="Y9" s="44" t="n"/>
      <c r="Z9" s="43" t="n"/>
      <c r="AA9" s="42" t="n"/>
      <c r="AB9" s="43" t="n"/>
      <c r="AC9" s="45" t="inlineStr">
        <is>
          <t>SH-67-67</t>
        </is>
      </c>
      <c r="AD9" s="46" t="inlineStr">
        <is>
          <t>SW-67-67</t>
        </is>
      </c>
      <c r="AE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5" t="inlineStr">
        <is>
          <t>H</t>
        </is>
      </c>
      <c r="AD10" s="56" t="inlineStr">
        <is>
          <t>W</t>
        </is>
      </c>
      <c r="AE10" s="57" t="inlineStr">
        <is>
          <t>จำนวน</t>
        </is>
      </c>
    </row>
    <row r="11" ht="40.2" customHeight="1">
      <c r="A11" s="58" t="inlineStr">
        <is>
          <t>W1</t>
        </is>
      </c>
      <c r="B11" s="59" t="n">
        <v>400</v>
      </c>
      <c r="C11" s="60" t="n">
        <v>600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IF($A11="","",$C11-$E$56-$F$56)</f>
        <v/>
      </c>
      <c r="J11" s="60">
        <f>IF($A11="","",$L$56*$D11)</f>
        <v/>
      </c>
      <c r="K11" s="62">
        <f>IF($A11="","",$B11-$E$57-$F$57)</f>
        <v/>
      </c>
      <c r="L11" s="60">
        <f>IF($A11="","",$L$57*$D11)</f>
        <v/>
      </c>
      <c r="M11" s="62">
        <f>IF($A11="","",(($C11-$E$58-$F$58)))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IF($A11="","",$M11-$E$60-$F$60)</f>
        <v/>
      </c>
      <c r="R11" s="60">
        <f>IF($A11="","",$L$60*$D11)</f>
        <v/>
      </c>
      <c r="S11" s="62" t="n"/>
      <c r="T11" s="60" t="n"/>
      <c r="U11" s="62" t="n"/>
      <c r="V11" s="60" t="n"/>
      <c r="W11" s="62" t="n"/>
      <c r="X11" s="60" t="n"/>
      <c r="Y11" s="62" t="n"/>
      <c r="Z11" s="60" t="n"/>
      <c r="AA11" s="62" t="n"/>
      <c r="AB11" s="60" t="n"/>
      <c r="AC11" s="63">
        <f>IF($A11="","",$K11-67-67)</f>
        <v/>
      </c>
      <c r="AD11" s="64">
        <f>IF($A11="","",$M11-67-67)</f>
        <v/>
      </c>
      <c r="AE11" s="65">
        <f>IF($A11="","",1*$D11)</f>
        <v/>
      </c>
    </row>
    <row r="12" ht="40.2" customHeight="1">
      <c r="A12" s="58" t="inlineStr">
        <is>
          <t>W2</t>
        </is>
      </c>
      <c r="B12" s="59" t="n">
        <v>400</v>
      </c>
      <c r="C12" s="60" t="n">
        <v>600</v>
      </c>
      <c r="D12" s="61" t="n">
        <v>1</v>
      </c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IF($A12="","",$C12-$E$56-$F$56)</f>
        <v/>
      </c>
      <c r="J12" s="67">
        <f>IF($A12="","",$L$56*$D12)</f>
        <v/>
      </c>
      <c r="K12" s="66">
        <f>IF($A12="","",$B12-$E$57-$F$57)</f>
        <v/>
      </c>
      <c r="L12" s="67">
        <f>IF($A12="","",$L$57*$D12)</f>
        <v/>
      </c>
      <c r="M12" s="66">
        <f>IF($A12="","",(($C12-$E$58-$F$58)))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IF($A12="","",$M12-$E$60-$F$60)</f>
        <v/>
      </c>
      <c r="R12" s="67">
        <f>IF($A12="","",$L$60*$D12)</f>
        <v/>
      </c>
      <c r="S12" s="66" t="n"/>
      <c r="T12" s="67" t="n"/>
      <c r="U12" s="66" t="n"/>
      <c r="V12" s="67" t="n"/>
      <c r="W12" s="66" t="n"/>
      <c r="X12" s="67" t="n"/>
      <c r="Y12" s="66" t="n"/>
      <c r="Z12" s="67" t="n"/>
      <c r="AA12" s="66" t="n"/>
      <c r="AB12" s="67" t="n"/>
      <c r="AC12" s="63">
        <f>IF($A12="","",$K12-67-67)</f>
        <v/>
      </c>
      <c r="AD12" s="64">
        <f>IF($A12="","",$M12-67-67)</f>
        <v/>
      </c>
      <c r="AE12" s="65">
        <f>IF($A12="","",1*$D12)</f>
        <v/>
      </c>
    </row>
    <row r="13" ht="40.2" customHeight="1">
      <c r="A13" s="120" t="inlineStr">
        <is>
          <t>W3</t>
        </is>
      </c>
      <c r="B13" s="59" t="n">
        <v>1600</v>
      </c>
      <c r="C13" s="60" t="n">
        <v>600</v>
      </c>
      <c r="D13" s="61" t="n">
        <v>1</v>
      </c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IF($A13="","",$C13-$E$56-$F$56)</f>
        <v/>
      </c>
      <c r="J13" s="60">
        <f>IF($A13="","",$L$56*$D13)</f>
        <v/>
      </c>
      <c r="K13" s="62">
        <f>IF($A13="","",$B13-$E$57-$F$57)</f>
        <v/>
      </c>
      <c r="L13" s="60">
        <f>IF($A13="","",$L$57*$D13)</f>
        <v/>
      </c>
      <c r="M13" s="62">
        <f>IF($A13="","",(($C13-$E$58-$F$58)))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IF($A13="","",$M13-$E$60-$F$60)</f>
        <v/>
      </c>
      <c r="R13" s="60">
        <f>IF($A13="","",$L$60*$D13)</f>
        <v/>
      </c>
      <c r="S13" s="62" t="n"/>
      <c r="T13" s="60" t="n"/>
      <c r="U13" s="62" t="n"/>
      <c r="V13" s="60" t="n"/>
      <c r="W13" s="62" t="n"/>
      <c r="X13" s="60" t="n"/>
      <c r="Y13" s="62" t="n"/>
      <c r="Z13" s="60" t="n"/>
      <c r="AA13" s="62" t="n"/>
      <c r="AB13" s="60" t="n"/>
      <c r="AC13" s="63">
        <f>IF($A13="","",$K13-67-67)</f>
        <v/>
      </c>
      <c r="AD13" s="64">
        <f>IF($A13="","",$M13-67-67)</f>
        <v/>
      </c>
      <c r="AE13" s="65">
        <f>IF($A13="","",1*$D13)</f>
        <v/>
      </c>
    </row>
    <row r="14" ht="40.2" customHeight="1">
      <c r="A14" s="58" t="inlineStr">
        <is>
          <t>W4</t>
        </is>
      </c>
      <c r="B14" s="59" t="n">
        <v>1600</v>
      </c>
      <c r="C14" s="60" t="n">
        <v>600</v>
      </c>
      <c r="D14" s="61" t="n">
        <v>1</v>
      </c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IF($A14="","",$C14-$E$56-$F$56)</f>
        <v/>
      </c>
      <c r="J14" s="67">
        <f>IF($A14="","",$L$56*$D14)</f>
        <v/>
      </c>
      <c r="K14" s="66">
        <f>IF($A14="","",$B14-$E$57-$F$57)</f>
        <v/>
      </c>
      <c r="L14" s="67">
        <f>IF($A14="","",$L$57*$D14)</f>
        <v/>
      </c>
      <c r="M14" s="66">
        <f>IF($A14="","",(($C14-$E$58-$F$58)))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IF($A14="","",$M14-$E$60-$F$60)</f>
        <v/>
      </c>
      <c r="R14" s="67">
        <f>IF($A14="","",$L$60*$D14)</f>
        <v/>
      </c>
      <c r="S14" s="66" t="n"/>
      <c r="T14" s="67" t="n"/>
      <c r="U14" s="66" t="n"/>
      <c r="V14" s="67" t="n"/>
      <c r="W14" s="66" t="n"/>
      <c r="X14" s="67" t="n"/>
      <c r="Y14" s="66" t="n"/>
      <c r="Z14" s="67" t="n"/>
      <c r="AA14" s="66" t="n"/>
      <c r="AB14" s="67" t="n"/>
      <c r="AC14" s="63">
        <f>IF($A14="","",$K14-67-67)</f>
        <v/>
      </c>
      <c r="AD14" s="64">
        <f>IF($A14="","",$M14-67-67)</f>
        <v/>
      </c>
      <c r="AE14" s="65">
        <f>IF($A14="","",1*$D14)</f>
        <v/>
      </c>
    </row>
    <row r="15" ht="40.2" customHeight="1">
      <c r="A15" s="121" t="inlineStr">
        <is>
          <t>W5</t>
        </is>
      </c>
      <c r="B15" s="59" t="n">
        <v>1600</v>
      </c>
      <c r="C15" s="60" t="n">
        <v>600</v>
      </c>
      <c r="D15" s="61" t="n">
        <v>1</v>
      </c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IF($A15="","",$C15-$E$56-$F$56)</f>
        <v/>
      </c>
      <c r="J15" s="60">
        <f>IF($A15="","",$L$56*$D15)</f>
        <v/>
      </c>
      <c r="K15" s="62">
        <f>IF($A15="","",$B15-$E$57-$F$57)</f>
        <v/>
      </c>
      <c r="L15" s="60">
        <f>IF($A15="","",$L$57*$D15)</f>
        <v/>
      </c>
      <c r="M15" s="62">
        <f>IF($A15="","",(($C15-$E$58-$F$58)))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IF($A15="","",$M15-$E$60-$F$60)</f>
        <v/>
      </c>
      <c r="R15" s="60">
        <f>IF($A15="","",$L$60*$D15)</f>
        <v/>
      </c>
      <c r="S15" s="62" t="n"/>
      <c r="T15" s="60" t="n"/>
      <c r="U15" s="62" t="n"/>
      <c r="V15" s="60" t="n"/>
      <c r="W15" s="62" t="n"/>
      <c r="X15" s="60" t="n"/>
      <c r="Y15" s="62" t="n"/>
      <c r="Z15" s="60" t="n"/>
      <c r="AA15" s="62" t="n"/>
      <c r="AB15" s="60" t="n"/>
      <c r="AC15" s="63">
        <f>IF($A15="","",$K15-67-67)</f>
        <v/>
      </c>
      <c r="AD15" s="64">
        <f>IF($A15="","",$M15-67-67)</f>
        <v/>
      </c>
      <c r="AE15" s="65">
        <f>IF($A15="","",1*$D15)</f>
        <v/>
      </c>
    </row>
    <row r="16" ht="40.2" customHeight="1">
      <c r="A16" s="121" t="inlineStr">
        <is>
          <t>W6</t>
        </is>
      </c>
      <c r="B16" s="59" t="n">
        <v>1600</v>
      </c>
      <c r="C16" s="60" t="n">
        <v>600</v>
      </c>
      <c r="D16" s="61" t="n">
        <v>1</v>
      </c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IF($A16="","",$C16-$E$56-$F$56)</f>
        <v/>
      </c>
      <c r="J16" s="67">
        <f>IF($A16="","",$L$56*$D16)</f>
        <v/>
      </c>
      <c r="K16" s="66">
        <f>IF($A16="","",$B16-$E$57-$F$57)</f>
        <v/>
      </c>
      <c r="L16" s="67">
        <f>IF($A16="","",$L$57*$D16)</f>
        <v/>
      </c>
      <c r="M16" s="66">
        <f>IF($A16="","",(($C16-$E$58-$F$58)))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IF($A16="","",$M16-$E$60-$F$60)</f>
        <v/>
      </c>
      <c r="R16" s="67">
        <f>IF($A16="","",$L$60*$D16)</f>
        <v/>
      </c>
      <c r="S16" s="66" t="n"/>
      <c r="T16" s="67" t="n"/>
      <c r="U16" s="66" t="n"/>
      <c r="V16" s="67" t="n"/>
      <c r="W16" s="66" t="n"/>
      <c r="X16" s="67" t="n"/>
      <c r="Y16" s="66" t="n"/>
      <c r="Z16" s="67" t="n"/>
      <c r="AA16" s="66" t="n"/>
      <c r="AB16" s="67" t="n"/>
      <c r="AC16" s="63">
        <f>IF($A16="","",$K16-67-67)</f>
        <v/>
      </c>
      <c r="AD16" s="64">
        <f>IF($A16="","",$M16-67-67)</f>
        <v/>
      </c>
      <c r="AE16" s="65">
        <f>IF($A16="","",1*$D16)</f>
        <v/>
      </c>
    </row>
    <row r="17" ht="40.2" customHeight="1">
      <c r="A17" s="58" t="inlineStr">
        <is>
          <t>W7</t>
        </is>
      </c>
      <c r="B17" s="59" t="n">
        <v>1600</v>
      </c>
      <c r="C17" s="60" t="n">
        <v>600</v>
      </c>
      <c r="D17" s="61" t="n">
        <v>1</v>
      </c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IF($A17="","",$C17-$E$56-$F$56)</f>
        <v/>
      </c>
      <c r="J17" s="60">
        <f>IF($A17="","",$L$56*$D17)</f>
        <v/>
      </c>
      <c r="K17" s="62">
        <f>IF($A17="","",$B17-$E$57-$F$57)</f>
        <v/>
      </c>
      <c r="L17" s="60">
        <f>IF($A17="","",$L$57*$D17)</f>
        <v/>
      </c>
      <c r="M17" s="62">
        <f>IF($A17="","",(($C17-$E$58-$F$58)))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IF($A17="","",$M17-$E$60-$F$60)</f>
        <v/>
      </c>
      <c r="R17" s="60">
        <f>IF($A17="","",$L$60*$D17)</f>
        <v/>
      </c>
      <c r="S17" s="62" t="n"/>
      <c r="T17" s="60" t="n"/>
      <c r="U17" s="62" t="n"/>
      <c r="V17" s="60" t="n"/>
      <c r="W17" s="62" t="n"/>
      <c r="X17" s="60" t="n"/>
      <c r="Y17" s="62" t="n"/>
      <c r="Z17" s="60" t="n"/>
      <c r="AA17" s="62" t="n"/>
      <c r="AB17" s="60" t="n"/>
      <c r="AC17" s="63">
        <f>IF($A17="","",$K17-67-67)</f>
        <v/>
      </c>
      <c r="AD17" s="64">
        <f>IF($A17="","",$M17-67-67)</f>
        <v/>
      </c>
      <c r="AE17" s="65">
        <f>IF($A17="","",1*$D17)</f>
        <v/>
      </c>
    </row>
    <row r="18" ht="40.2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IF($A18="","",$C18-$E$56-$F$56)</f>
        <v/>
      </c>
      <c r="J18" s="67">
        <f>IF($A18="","",$L$56*$D18)</f>
        <v/>
      </c>
      <c r="K18" s="66">
        <f>IF($A18="","",$B18-$E$57-$F$57)</f>
        <v/>
      </c>
      <c r="L18" s="67">
        <f>IF($A18="","",$L$57*$D18)</f>
        <v/>
      </c>
      <c r="M18" s="66">
        <f>IF($A18="","",(($C18-$E$58-$F$58)))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IF($A18="","",$M18-$E$60-$F$60)</f>
        <v/>
      </c>
      <c r="R18" s="67">
        <f>IF($A18="","",$L$60*$D18)</f>
        <v/>
      </c>
      <c r="S18" s="66" t="n"/>
      <c r="T18" s="67" t="n"/>
      <c r="U18" s="66" t="n"/>
      <c r="V18" s="67" t="n"/>
      <c r="W18" s="66" t="n"/>
      <c r="X18" s="67" t="n"/>
      <c r="Y18" s="66" t="n"/>
      <c r="Z18" s="67" t="n"/>
      <c r="AA18" s="66" t="n"/>
      <c r="AB18" s="67" t="n"/>
      <c r="AC18" s="63">
        <f>IF($A18="","",$K18-67-67)</f>
        <v/>
      </c>
      <c r="AD18" s="64">
        <f>IF($A18="","",$M18-67-67)</f>
        <v/>
      </c>
      <c r="AE18" s="65">
        <f>IF($A18="","",1*$D18)</f>
        <v/>
      </c>
    </row>
    <row r="19" ht="40.2" customHeight="1">
      <c r="A19" s="83" t="n"/>
      <c r="B19" s="84" t="n"/>
      <c r="C19" s="85" t="n"/>
      <c r="D19" s="86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IF($A19="","",$C19-$E$56-$F$56)</f>
        <v/>
      </c>
      <c r="J19" s="60">
        <f>IF($A19="","",$L$56*$D19)</f>
        <v/>
      </c>
      <c r="K19" s="62">
        <f>IF($A19="","",$B19-$E$57-$F$57)</f>
        <v/>
      </c>
      <c r="L19" s="60">
        <f>IF($A19="","",$L$57*$D19)</f>
        <v/>
      </c>
      <c r="M19" s="62">
        <f>IF($A19="","",(($C19-$E$58-$F$58)))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IF($A19="","",$M19-$E$60-$F$60)</f>
        <v/>
      </c>
      <c r="R19" s="60">
        <f>IF($A19="","",$L$60*$D19)</f>
        <v/>
      </c>
      <c r="S19" s="62" t="n"/>
      <c r="T19" s="60" t="n"/>
      <c r="U19" s="62" t="n"/>
      <c r="V19" s="60" t="n"/>
      <c r="W19" s="62" t="n"/>
      <c r="X19" s="60" t="n"/>
      <c r="Y19" s="62" t="n"/>
      <c r="Z19" s="60" t="n"/>
      <c r="AA19" s="62" t="n"/>
      <c r="AB19" s="60" t="n"/>
      <c r="AC19" s="63">
        <f>IF($A19="","",$K19-67-67)</f>
        <v/>
      </c>
      <c r="AD19" s="64">
        <f>IF($A19="","",$M19-67-67)</f>
        <v/>
      </c>
      <c r="AE19" s="65">
        <f>IF($A19="","",1*$D19)</f>
        <v/>
      </c>
    </row>
    <row r="20" ht="40.2" customHeight="1">
      <c r="A20" s="83" t="n"/>
      <c r="B20" s="84" t="n"/>
      <c r="C20" s="85" t="n"/>
      <c r="D20" s="86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IF($A20="","",$C20-$E$56-$F$56)</f>
        <v/>
      </c>
      <c r="J20" s="67">
        <f>IF($A20="","",$L$56*$D20)</f>
        <v/>
      </c>
      <c r="K20" s="66">
        <f>IF($A20="","",$B20-$E$57-$F$57)</f>
        <v/>
      </c>
      <c r="L20" s="67">
        <f>IF($A20="","",$L$57*$D20)</f>
        <v/>
      </c>
      <c r="M20" s="66">
        <f>IF($A20="","",(($C20-$E$58-$F$58)))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IF($A20="","",$M20-$E$60-$F$60)</f>
        <v/>
      </c>
      <c r="R20" s="67">
        <f>IF($A20="","",$L$60*$D20)</f>
        <v/>
      </c>
      <c r="S20" s="66" t="n"/>
      <c r="T20" s="67" t="n"/>
      <c r="U20" s="66" t="n"/>
      <c r="V20" s="67" t="n"/>
      <c r="W20" s="66" t="n"/>
      <c r="X20" s="67" t="n"/>
      <c r="Y20" s="66" t="n"/>
      <c r="Z20" s="67" t="n"/>
      <c r="AA20" s="66" t="n"/>
      <c r="AB20" s="67" t="n"/>
      <c r="AC20" s="63">
        <f>IF($A20="","",$K20-67-67)</f>
        <v/>
      </c>
      <c r="AD20" s="64">
        <f>IF($A20="","",$M20-67-67)</f>
        <v/>
      </c>
      <c r="AE20" s="65">
        <f>IF($A20="","",1*$D20)</f>
        <v/>
      </c>
    </row>
    <row r="21" ht="40.2" customHeight="1">
      <c r="A21" s="83" t="n"/>
      <c r="B21" s="84" t="n"/>
      <c r="C21" s="85" t="n"/>
      <c r="D21" s="86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IF($A21="","",$C21-$E$56-$F$56)</f>
        <v/>
      </c>
      <c r="J21" s="60">
        <f>IF($A21="","",$L$56*$D21)</f>
        <v/>
      </c>
      <c r="K21" s="62">
        <f>IF($A21="","",$B21-$E$57-$F$57)</f>
        <v/>
      </c>
      <c r="L21" s="60">
        <f>IF($A21="","",$L$57*$D21)</f>
        <v/>
      </c>
      <c r="M21" s="62">
        <f>IF($A21="","",(($C21-$E$58-$F$58)))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IF($A21="","",$M21-$E$60-$F$60)</f>
        <v/>
      </c>
      <c r="R21" s="60">
        <f>IF($A21="","",$L$60*$D21)</f>
        <v/>
      </c>
      <c r="S21" s="62" t="n"/>
      <c r="T21" s="60" t="n"/>
      <c r="U21" s="62" t="n"/>
      <c r="V21" s="60" t="n"/>
      <c r="W21" s="62" t="n"/>
      <c r="X21" s="60" t="n"/>
      <c r="Y21" s="62" t="n"/>
      <c r="Z21" s="60" t="n"/>
      <c r="AA21" s="62" t="n"/>
      <c r="AB21" s="60" t="n"/>
      <c r="AC21" s="63">
        <f>IF($A21="","",$K21-67-67)</f>
        <v/>
      </c>
      <c r="AD21" s="64">
        <f>IF($A21="","",$M21-67-67)</f>
        <v/>
      </c>
      <c r="AE21" s="65">
        <f>IF($A21="","",1*$D21)</f>
        <v/>
      </c>
    </row>
    <row r="22" ht="40.2" customHeight="1">
      <c r="A22" s="83" t="n"/>
      <c r="B22" s="84" t="n"/>
      <c r="C22" s="85" t="n"/>
      <c r="D22" s="86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IF($A22="","",$C22-$E$56-$F$56)</f>
        <v/>
      </c>
      <c r="J22" s="67">
        <f>IF($A22="","",$L$56*$D22)</f>
        <v/>
      </c>
      <c r="K22" s="66">
        <f>IF($A22="","",$B22-$E$57-$F$57)</f>
        <v/>
      </c>
      <c r="L22" s="67">
        <f>IF($A22="","",$L$57*$D22)</f>
        <v/>
      </c>
      <c r="M22" s="66">
        <f>IF($A22="","",(($C22-$E$58-$F$58)))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IF($A22="","",$M22-$E$60-$F$60)</f>
        <v/>
      </c>
      <c r="R22" s="67">
        <f>IF($A22="","",$L$60*$D22)</f>
        <v/>
      </c>
      <c r="S22" s="66" t="n"/>
      <c r="T22" s="67" t="n"/>
      <c r="U22" s="66" t="n"/>
      <c r="V22" s="67" t="n"/>
      <c r="W22" s="66" t="n"/>
      <c r="X22" s="67" t="n"/>
      <c r="Y22" s="66" t="n"/>
      <c r="Z22" s="67" t="n"/>
      <c r="AA22" s="66" t="n"/>
      <c r="AB22" s="67" t="n"/>
      <c r="AC22" s="63">
        <f>IF($A22="","",$K22-67-67)</f>
        <v/>
      </c>
      <c r="AD22" s="64">
        <f>IF($A22="","",$M22-67-67)</f>
        <v/>
      </c>
      <c r="AE22" s="65">
        <f>IF($A22="","",1*$D22)</f>
        <v/>
      </c>
    </row>
    <row r="23" ht="40.2" customHeight="1">
      <c r="A23" s="83" t="n"/>
      <c r="B23" s="84" t="n"/>
      <c r="C23" s="85" t="n"/>
      <c r="D23" s="86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IF($A23="","",$C23-$E$56-$F$56)</f>
        <v/>
      </c>
      <c r="J23" s="60">
        <f>IF($A23="","",$L$56*$D23)</f>
        <v/>
      </c>
      <c r="K23" s="62">
        <f>IF($A23="","",$B23-$E$57-$F$57)</f>
        <v/>
      </c>
      <c r="L23" s="60">
        <f>IF($A23="","",$L$57*$D23)</f>
        <v/>
      </c>
      <c r="M23" s="62">
        <f>IF($A23="","",(($C23-$E$58-$F$58)))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IF($A23="","",$M23-$E$60-$F$60)</f>
        <v/>
      </c>
      <c r="R23" s="60">
        <f>IF($A23="","",$L$60*$D23)</f>
        <v/>
      </c>
      <c r="S23" s="62" t="n"/>
      <c r="T23" s="60" t="n"/>
      <c r="U23" s="62" t="n"/>
      <c r="V23" s="60" t="n"/>
      <c r="W23" s="62" t="n"/>
      <c r="X23" s="60" t="n"/>
      <c r="Y23" s="62" t="n"/>
      <c r="Z23" s="60" t="n"/>
      <c r="AA23" s="62" t="n"/>
      <c r="AB23" s="60" t="n"/>
      <c r="AC23" s="63">
        <f>IF($A23="","",$K23-67-67)</f>
        <v/>
      </c>
      <c r="AD23" s="64">
        <f>IF($A23="","",$M23-67-67)</f>
        <v/>
      </c>
      <c r="AE23" s="65">
        <f>IF($A23="","",1*$D23)</f>
        <v/>
      </c>
    </row>
    <row r="24" ht="40.2" customHeight="1">
      <c r="A24" s="83" t="n"/>
      <c r="B24" s="84" t="n"/>
      <c r="C24" s="85" t="n"/>
      <c r="D24" s="86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IF($A24="","",$C24-$E$56-$F$56)</f>
        <v/>
      </c>
      <c r="J24" s="67">
        <f>IF($A24="","",$L$56*$D24)</f>
        <v/>
      </c>
      <c r="K24" s="66">
        <f>IF($A24="","",$B24-$E$57-$F$57)</f>
        <v/>
      </c>
      <c r="L24" s="67">
        <f>IF($A24="","",$L$57*$D24)</f>
        <v/>
      </c>
      <c r="M24" s="66">
        <f>IF($A24="","",(($C24-$E$58-$F$58)))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IF($A24="","",$M24-$E$60-$F$60)</f>
        <v/>
      </c>
      <c r="R24" s="67">
        <f>IF($A24="","",$L$60*$D24)</f>
        <v/>
      </c>
      <c r="S24" s="66" t="n"/>
      <c r="T24" s="67" t="n"/>
      <c r="U24" s="66" t="n"/>
      <c r="V24" s="67" t="n"/>
      <c r="W24" s="66" t="n"/>
      <c r="X24" s="67" t="n"/>
      <c r="Y24" s="66" t="n"/>
      <c r="Z24" s="67" t="n"/>
      <c r="AA24" s="66" t="n"/>
      <c r="AB24" s="67" t="n"/>
      <c r="AC24" s="63">
        <f>IF($A24="","",$K24-67-67)</f>
        <v/>
      </c>
      <c r="AD24" s="64">
        <f>IF($A24="","",$M24-67-67)</f>
        <v/>
      </c>
      <c r="AE24" s="65">
        <f>IF($A24="","",1*$D24)</f>
        <v/>
      </c>
    </row>
    <row r="25" ht="40.2" customHeight="1">
      <c r="A25" s="83" t="n"/>
      <c r="B25" s="84" t="n"/>
      <c r="C25" s="85" t="n"/>
      <c r="D25" s="86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IF($A25="","",$C25-$E$56-$F$56)</f>
        <v/>
      </c>
      <c r="J25" s="60">
        <f>IF($A25="","",$L$56*$D25)</f>
        <v/>
      </c>
      <c r="K25" s="62">
        <f>IF($A25="","",$B25-$E$57-$F$57)</f>
        <v/>
      </c>
      <c r="L25" s="60">
        <f>IF($A25="","",$L$57*$D25)</f>
        <v/>
      </c>
      <c r="M25" s="62">
        <f>IF($A25="","",(($C25-$E$58-$F$58)))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IF($A25="","",$M25-$E$60-$F$60)</f>
        <v/>
      </c>
      <c r="R25" s="60">
        <f>IF($A25="","",$L$60*$D25)</f>
        <v/>
      </c>
      <c r="S25" s="62" t="n"/>
      <c r="T25" s="60" t="n"/>
      <c r="U25" s="62" t="n"/>
      <c r="V25" s="60" t="n"/>
      <c r="W25" s="62" t="n"/>
      <c r="X25" s="60" t="n"/>
      <c r="Y25" s="62" t="n"/>
      <c r="Z25" s="60" t="n"/>
      <c r="AA25" s="62" t="n"/>
      <c r="AB25" s="60" t="n"/>
      <c r="AC25" s="63">
        <f>IF($A25="","",$K25-67-67)</f>
        <v/>
      </c>
      <c r="AD25" s="64">
        <f>IF($A25="","",$M25-67-67)</f>
        <v/>
      </c>
      <c r="AE25" s="65">
        <f>IF($A25="","",1*$D25)</f>
        <v/>
      </c>
    </row>
    <row r="26" ht="40.2" customHeight="1">
      <c r="A26" s="83" t="n"/>
      <c r="B26" s="84" t="n"/>
      <c r="C26" s="85" t="n"/>
      <c r="D26" s="86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IF($A26="","",$C26-$E$56-$F$56)</f>
        <v/>
      </c>
      <c r="J26" s="67">
        <f>IF($A26="","",$L$56*$D26)</f>
        <v/>
      </c>
      <c r="K26" s="66">
        <f>IF($A26="","",$B26-$E$57-$F$57)</f>
        <v/>
      </c>
      <c r="L26" s="67">
        <f>IF($A26="","",$L$57*$D26)</f>
        <v/>
      </c>
      <c r="M26" s="66">
        <f>IF($A26="","",(($C26-$E$58-$F$58)))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IF($A26="","",$M26-$E$60-$F$60)</f>
        <v/>
      </c>
      <c r="R26" s="67">
        <f>IF($A26="","",$L$60*$D26)</f>
        <v/>
      </c>
      <c r="S26" s="66" t="n"/>
      <c r="T26" s="67" t="n"/>
      <c r="U26" s="66" t="n"/>
      <c r="V26" s="67" t="n"/>
      <c r="W26" s="66" t="n"/>
      <c r="X26" s="67" t="n"/>
      <c r="Y26" s="66" t="n"/>
      <c r="Z26" s="67" t="n"/>
      <c r="AA26" s="66" t="n"/>
      <c r="AB26" s="67" t="n"/>
      <c r="AC26" s="63">
        <f>IF($A26="","",$K26-67-67)</f>
        <v/>
      </c>
      <c r="AD26" s="64">
        <f>IF($A26="","",$M26-67-67)</f>
        <v/>
      </c>
      <c r="AE26" s="65">
        <f>IF($A26="","",1*$D26)</f>
        <v/>
      </c>
    </row>
    <row r="27" ht="40.2" customHeight="1">
      <c r="A27" s="83" t="n"/>
      <c r="B27" s="84" t="n"/>
      <c r="C27" s="85" t="n"/>
      <c r="D27" s="86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IF($A27="","",$C27-$E$56-$F$56)</f>
        <v/>
      </c>
      <c r="J27" s="60">
        <f>IF($A27="","",$L$56*$D27)</f>
        <v/>
      </c>
      <c r="K27" s="62">
        <f>IF($A27="","",$B27-$E$57-$F$57)</f>
        <v/>
      </c>
      <c r="L27" s="60">
        <f>IF($A27="","",$L$57*$D27)</f>
        <v/>
      </c>
      <c r="M27" s="62">
        <f>IF($A27="","",(($C27-$E$58-$F$58)))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IF($A27="","",$M27-$E$60-$F$60)</f>
        <v/>
      </c>
      <c r="R27" s="60">
        <f>IF($A27="","",$L$60*$D27)</f>
        <v/>
      </c>
      <c r="S27" s="62" t="n"/>
      <c r="T27" s="60" t="n"/>
      <c r="U27" s="62" t="n"/>
      <c r="V27" s="60" t="n"/>
      <c r="W27" s="62" t="n"/>
      <c r="X27" s="60" t="n"/>
      <c r="Y27" s="62" t="n"/>
      <c r="Z27" s="60" t="n"/>
      <c r="AA27" s="62" t="n"/>
      <c r="AB27" s="60" t="n"/>
      <c r="AC27" s="63">
        <f>IF($A27="","",$K27-67-67)</f>
        <v/>
      </c>
      <c r="AD27" s="64">
        <f>IF($A27="","",$M27-67-67)</f>
        <v/>
      </c>
      <c r="AE27" s="65">
        <f>IF($A27="","",1*$D27)</f>
        <v/>
      </c>
    </row>
    <row r="28" ht="40.2" customHeight="1">
      <c r="A28" s="83" t="n"/>
      <c r="B28" s="84" t="n"/>
      <c r="C28" s="85" t="n"/>
      <c r="D28" s="86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IF($A28="","",$C28-$E$56-$F$56)</f>
        <v/>
      </c>
      <c r="J28" s="67">
        <f>IF($A28="","",$L$56*$D28)</f>
        <v/>
      </c>
      <c r="K28" s="66">
        <f>IF($A28="","",$B28-$E$57-$F$57)</f>
        <v/>
      </c>
      <c r="L28" s="67">
        <f>IF($A28="","",$L$57*$D28)</f>
        <v/>
      </c>
      <c r="M28" s="66">
        <f>IF($A28="","",(($C28-$E$58-$F$58)))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IF($A28="","",$M28-$E$60-$F$60)</f>
        <v/>
      </c>
      <c r="R28" s="67">
        <f>IF($A28="","",$L$60*$D28)</f>
        <v/>
      </c>
      <c r="S28" s="66" t="n"/>
      <c r="T28" s="67" t="n"/>
      <c r="U28" s="66" t="n"/>
      <c r="V28" s="67" t="n"/>
      <c r="W28" s="66" t="n"/>
      <c r="X28" s="67" t="n"/>
      <c r="Y28" s="66" t="n"/>
      <c r="Z28" s="67" t="n"/>
      <c r="AA28" s="66" t="n"/>
      <c r="AB28" s="67" t="n"/>
      <c r="AC28" s="63">
        <f>IF($A28="","",$K28-67-67)</f>
        <v/>
      </c>
      <c r="AD28" s="64">
        <f>IF($A28="","",$M28-67-67)</f>
        <v/>
      </c>
      <c r="AE28" s="65">
        <f>IF($A28="","",1*$D28)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71">
        <f>E$7</f>
        <v/>
      </c>
      <c r="F30" s="19" t="n"/>
      <c r="G30" s="20" t="n"/>
      <c r="H30" s="71">
        <f>(ROUNDUP(SUM(F49:H49)/6400,0))</f>
        <v/>
      </c>
      <c r="I30" s="71">
        <f>I$7</f>
        <v/>
      </c>
      <c r="J30" s="71">
        <f>(ROUNDUP(J49/6400,0))</f>
        <v/>
      </c>
      <c r="K30" s="71">
        <f>K$7</f>
        <v/>
      </c>
      <c r="L30" s="19" t="n"/>
      <c r="M30" s="20" t="n"/>
      <c r="N30" s="71">
        <f>(ROUNDUP(SUM(L49:N49)/6400,0))</f>
        <v/>
      </c>
      <c r="O30" s="71">
        <f>O$7</f>
        <v/>
      </c>
      <c r="P30" s="19" t="n"/>
      <c r="Q30" s="20" t="n"/>
      <c r="R30" s="71">
        <f>(ROUNDUP(SUM(P49:R49)/6400,0))</f>
        <v/>
      </c>
      <c r="S30" s="71">
        <f>S$7</f>
        <v/>
      </c>
      <c r="T30" s="19" t="n"/>
      <c r="U30" s="20" t="n"/>
      <c r="V30" s="71">
        <f>(ROUNDUP(SUM(T49:V49)/6400,0))</f>
        <v/>
      </c>
      <c r="W30" s="71">
        <f>W$7</f>
        <v/>
      </c>
      <c r="X30" s="71">
        <f>(ROUNDUP(X49/6400,0))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71">
        <f>(ROUNDUP(AB49/6400,0))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P49" s="73">
        <f>SUMIF(P31:P48,"&gt;0")</f>
        <v/>
      </c>
      <c r="Q49" s="73" t="n"/>
      <c r="R49" s="73">
        <f>SUMIF(R31:R48,"&gt;0")</f>
        <v/>
      </c>
      <c r="S49" s="73" t="n"/>
      <c r="T49" s="73">
        <f>SUMIF(T31:T48,"&gt;0")</f>
        <v/>
      </c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B49" s="73">
        <f>SUMIF(AB31:AB48,"&gt;0")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 ล่าง</t>
        </is>
      </c>
      <c r="C56" s="79" t="inlineStr">
        <is>
          <t>F7939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เสา</t>
        </is>
      </c>
      <c r="C57" s="79" t="inlineStr">
        <is>
          <t>F7943</t>
        </is>
      </c>
      <c r="D57" s="80" t="inlineStr">
        <is>
          <t>สูง-18.5-18.5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>
        <v>2</v>
      </c>
    </row>
    <row r="58" ht="15" customHeight="1">
      <c r="A58" s="77" t="n">
        <v>5</v>
      </c>
      <c r="B58" s="78" t="inlineStr">
        <is>
          <t>ขวาง</t>
        </is>
      </c>
      <c r="C58" s="79" t="inlineStr">
        <is>
          <t>-</t>
        </is>
      </c>
      <c r="D58" s="80" t="inlineStr">
        <is>
          <t>กว้าง-18.5-18.5</t>
        </is>
      </c>
      <c r="E58" s="82" t="n">
        <v>18.5</v>
      </c>
      <c r="F58" s="82" t="n">
        <v>18.5</v>
      </c>
      <c r="G58" s="81" t="n"/>
      <c r="H58" s="81" t="n"/>
      <c r="I58" s="81" t="n"/>
      <c r="J58" s="81" t="n"/>
      <c r="K58" s="81" t="n"/>
      <c r="L58" s="82" t="n">
        <v>2</v>
      </c>
    </row>
    <row r="59" ht="15" customHeight="1">
      <c r="A59" s="77" t="n">
        <v>6</v>
      </c>
      <c r="B59" s="78" t="inlineStr">
        <is>
          <t>คิ้ว ตั้ง</t>
        </is>
      </c>
      <c r="C59" s="79" t="inlineStr">
        <is>
          <t>F7935</t>
        </is>
      </c>
      <c r="D59" s="80" t="inlineStr">
        <is>
          <t>เสา-80-80</t>
        </is>
      </c>
      <c r="E59" s="82" t="n">
        <v>80</v>
      </c>
      <c r="F59" s="82" t="n">
        <v>80</v>
      </c>
      <c r="G59" s="81" t="n"/>
      <c r="H59" s="81" t="n"/>
      <c r="I59" s="81" t="n"/>
      <c r="J59" s="81" t="n"/>
      <c r="K59" s="81" t="n"/>
      <c r="L59" s="82" t="n">
        <v>2</v>
      </c>
    </row>
    <row r="60" ht="15" customHeight="1">
      <c r="A60" s="77" t="n">
        <v>7</v>
      </c>
      <c r="B60" s="78" t="inlineStr">
        <is>
          <t>คิ้ว ขวาง</t>
        </is>
      </c>
      <c r="C60" s="79" t="inlineStr">
        <is>
          <t>-</t>
        </is>
      </c>
      <c r="D60" s="80" t="inlineStr">
        <is>
          <t>ขวาง-60-60</t>
        </is>
      </c>
      <c r="E60" s="82" t="n">
        <v>60</v>
      </c>
      <c r="F60" s="82" t="n">
        <v>60</v>
      </c>
      <c r="G60" s="81" t="n"/>
      <c r="H60" s="81" t="n"/>
      <c r="I60" s="81" t="n"/>
      <c r="J60" s="81" t="n"/>
      <c r="K60" s="81" t="n"/>
      <c r="L60" s="82" t="n">
        <v>2</v>
      </c>
    </row>
    <row r="62">
      <c r="A62" s="152" t="inlineStr">
        <is>
          <t>⑥ อุปกรณ์ ต่อ 1 บาน — คูณจำนวนบานที่ผลิต</t>
        </is>
      </c>
      <c r="F62" s="153" t="inlineStr">
        <is>
          <t>ต่อบาน</t>
        </is>
      </c>
    </row>
    <row r="63">
      <c r="A63" s="154" t="inlineStr">
        <is>
          <t>1. บานพับ hyda (สูง&gt;3ม./บานกว้าง&gt;1.2ม.=5)</t>
        </is>
      </c>
      <c r="F63" s="155" t="n">
        <v>4</v>
      </c>
    </row>
    <row r="64">
      <c r="A64" s="154" t="inlineStr">
        <is>
          <t>2. มือจับ + ล็อค</t>
        </is>
      </c>
      <c r="F64" s="155" t="n">
        <v>1</v>
      </c>
    </row>
    <row r="65">
      <c r="A65" s="154" t="inlineStr">
        <is>
          <t>3. กลอน (ใบลอง)</t>
        </is>
      </c>
      <c r="F65" s="155" t="n">
        <v>1</v>
      </c>
    </row>
    <row r="66">
      <c r="A66" s="154" t="inlineStr">
        <is>
          <t>4. น็อตเฟรม (มีธรณี8/ไม่มี6)</t>
        </is>
      </c>
      <c r="F66" s="155" t="n">
        <v>8</v>
      </c>
    </row>
    <row r="67">
      <c r="A67" s="156" t="inlineStr">
        <is>
          <t>+ ยาง/ซิลิโคน = ตามขนาด (ดูชีทคิดทุน)</t>
        </is>
      </c>
    </row>
  </sheetData>
  <mergeCells count="60">
    <mergeCell ref="U9:V9"/>
    <mergeCell ref="I6:J6"/>
    <mergeCell ref="A64:E64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E8:F8"/>
    <mergeCell ref="Y9:Z9"/>
    <mergeCell ref="Q8:R8"/>
    <mergeCell ref="AA9:AB9"/>
    <mergeCell ref="S8:T8"/>
    <mergeCell ref="A65:E65"/>
    <mergeCell ref="AA6:AB6"/>
    <mergeCell ref="I7:J7"/>
    <mergeCell ref="O7:R7"/>
    <mergeCell ref="A30:D30"/>
    <mergeCell ref="S30:U30"/>
    <mergeCell ref="G6:H6"/>
    <mergeCell ref="A66:E66"/>
    <mergeCell ref="E9:F9"/>
    <mergeCell ref="W7:X7"/>
    <mergeCell ref="Y7:Z7"/>
    <mergeCell ref="A8:A9"/>
    <mergeCell ref="E6:F6"/>
    <mergeCell ref="A6:D6"/>
    <mergeCell ref="AA7:AB7"/>
    <mergeCell ref="K8:L8"/>
    <mergeCell ref="M6:N6"/>
    <mergeCell ref="Q6:R6"/>
    <mergeCell ref="A67:F67"/>
    <mergeCell ref="S6:T6"/>
    <mergeCell ref="D8:D9"/>
    <mergeCell ref="A7:D7"/>
    <mergeCell ref="Y6:Z6"/>
    <mergeCell ref="Q9:R9"/>
    <mergeCell ref="S7:V7"/>
    <mergeCell ref="I8:J8"/>
    <mergeCell ref="S9:T9"/>
    <mergeCell ref="K30:M30"/>
    <mergeCell ref="W9:X9"/>
    <mergeCell ref="M8:N8"/>
    <mergeCell ref="O8:P8"/>
    <mergeCell ref="U8:V8"/>
    <mergeCell ref="W8:X8"/>
    <mergeCell ref="B8:C9"/>
    <mergeCell ref="A62:E62"/>
    <mergeCell ref="A63:E63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68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12.69921875" customWidth="1" min="30" max="30"/>
    <col width="8.69921875" customWidth="1" min="31" max="31"/>
    <col width="8.8984375" customWidth="1" min="32" max="32"/>
  </cols>
  <sheetData>
    <row r="1" ht="40.2" customHeight="1">
      <c r="A1" s="2" t="inlineStr">
        <is>
          <t>JR ALUMINIUM &amp; GLASS  —  ใบรายการตัด · FUJI บานเปิดคู่   (หน่วย: มม.)</t>
        </is>
      </c>
      <c r="B1" s="3" t="n"/>
      <c r="D1" s="4" t="n"/>
      <c r="E1" s="5" t="n"/>
      <c r="F1" s="4" t="n"/>
      <c r="G1" s="6" t="n"/>
      <c r="H1" s="6" t="n"/>
      <c r="I1" s="4" t="n"/>
      <c r="J1" s="4" t="n"/>
      <c r="K1" s="4" t="n"/>
      <c r="L1" s="4" t="n"/>
      <c r="M1" s="6" t="n"/>
      <c r="N1" s="6" t="n"/>
      <c r="O1" s="7" t="n"/>
      <c r="P1" s="7" t="n"/>
      <c r="Q1" s="4" t="n"/>
      <c r="R1" s="8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t="40.2" customHeight="1">
      <c r="A2" s="6" t="n"/>
      <c r="B2" s="6" t="n"/>
      <c r="C2" s="6" t="n"/>
      <c r="D2" s="6" t="n"/>
      <c r="E2" s="9" t="n"/>
      <c r="F2" s="6" t="n"/>
      <c r="G2" s="10" t="n"/>
      <c r="H2" s="10" t="n"/>
      <c r="I2" s="6" t="n"/>
      <c r="J2" s="6" t="n"/>
      <c r="K2" s="6" t="n"/>
      <c r="L2" s="6" t="n"/>
      <c r="M2" s="6" t="n"/>
      <c r="N2" s="6" t="n"/>
      <c r="O2" s="10" t="n"/>
      <c r="P2" s="10" t="n"/>
      <c r="Q2" s="6" t="n"/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</row>
    <row r="3" ht="40.2" customHeight="1">
      <c r="A3" s="6" t="n"/>
      <c r="B3" s="6" t="n"/>
      <c r="C3" s="6" t="n"/>
      <c r="D3" s="6" t="n"/>
      <c r="E3" s="9" t="n"/>
      <c r="F3" s="6" t="n"/>
      <c r="I3" s="6" t="n"/>
      <c r="J3" s="6" t="n"/>
      <c r="K3" s="6" t="n"/>
      <c r="L3" s="6" t="n"/>
      <c r="M3" s="6" t="n"/>
      <c r="N3" s="6" t="n"/>
      <c r="O3" s="11" t="n"/>
      <c r="P3" s="11" t="n"/>
      <c r="Q3" s="6" t="n"/>
      <c r="R3" s="6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40.2" customHeight="1">
      <c r="A4" s="6" t="n"/>
      <c r="B4" s="6" t="n"/>
      <c r="C4" s="6" t="n"/>
      <c r="D4" s="6" t="n"/>
      <c r="F4" s="6" t="n"/>
      <c r="I4" s="6" t="n"/>
      <c r="J4" s="6" t="n"/>
      <c r="K4" s="6" t="n"/>
      <c r="L4" s="6" t="n"/>
      <c r="M4" s="6" t="n"/>
      <c r="N4" s="6" t="n"/>
      <c r="Q4" s="6" t="n"/>
      <c r="R4" s="6" t="n"/>
    </row>
    <row r="5" ht="40.2" customHeight="1">
      <c r="A5" s="6" t="n"/>
      <c r="B5" s="6" t="n"/>
      <c r="C5" s="6" t="n"/>
      <c r="D5" s="6" t="n"/>
      <c r="E5" s="9" t="n"/>
      <c r="F5" s="6" t="n"/>
      <c r="I5" s="6" t="n"/>
      <c r="J5" s="6" t="n"/>
      <c r="K5" s="6" t="n"/>
      <c r="L5" s="6" t="n"/>
      <c r="N5" s="6" t="n"/>
      <c r="Q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สูง-18.5-18.5</t>
        </is>
      </c>
      <c r="L6" s="16" t="n"/>
      <c r="M6" s="15" t="inlineStr">
        <is>
          <t>(กว้าง-18.5-2-18.5)/2</t>
        </is>
      </c>
      <c r="N6" s="16" t="n"/>
      <c r="O6" s="15" t="inlineStr">
        <is>
          <t>เสา-80-80</t>
        </is>
      </c>
      <c r="P6" s="16" t="n"/>
      <c r="Q6" s="15" t="inlineStr">
        <is>
          <t>ขวาง-60-60</t>
        </is>
      </c>
      <c r="R6" s="16" t="n"/>
      <c r="S6" s="15" t="inlineStr">
        <is>
          <t>สูง-27-27</t>
        </is>
      </c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7" t="n"/>
      <c r="AD6" s="17" t="n"/>
      <c r="AE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F7859</t>
        </is>
      </c>
      <c r="F7" s="13" t="n"/>
      <c r="G7" s="13" t="n"/>
      <c r="H7" s="14" t="n"/>
      <c r="I7" s="22" t="inlineStr">
        <is>
          <t>F7939</t>
        </is>
      </c>
      <c r="J7" s="14" t="n"/>
      <c r="K7" s="21" t="inlineStr">
        <is>
          <t>F7943</t>
        </is>
      </c>
      <c r="L7" s="13" t="n"/>
      <c r="M7" s="13" t="n"/>
      <c r="N7" s="14" t="n"/>
      <c r="O7" s="21" t="inlineStr">
        <is>
          <t>F7935</t>
        </is>
      </c>
      <c r="P7" s="13" t="n"/>
      <c r="Q7" s="13" t="n"/>
      <c r="R7" s="14" t="n"/>
      <c r="S7" s="21" t="inlineStr">
        <is>
          <t>F7945</t>
        </is>
      </c>
      <c r="T7" s="14" t="n"/>
      <c r="U7" s="23" t="n"/>
      <c r="V7" s="13" t="n"/>
      <c r="W7" s="13" t="n"/>
      <c r="X7" s="14" t="n"/>
      <c r="Y7" s="23" t="n"/>
      <c r="Z7" s="14" t="n"/>
      <c r="AA7" s="24" t="n"/>
      <c r="AB7" s="14" t="n"/>
      <c r="AC7" s="25" t="n"/>
      <c r="AD7" s="26" t="inlineStr">
        <is>
          <t>ขนาดกระจก</t>
        </is>
      </c>
      <c r="AE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3" t="n"/>
      <c r="J8" s="34" t="n"/>
      <c r="K8" s="31" t="n"/>
      <c r="L8" s="32" t="n"/>
      <c r="M8" s="33" t="n"/>
      <c r="N8" s="34" t="n"/>
      <c r="O8" s="31" t="n"/>
      <c r="P8" s="32" t="n"/>
      <c r="Q8" s="33" t="n"/>
      <c r="R8" s="34" t="n"/>
      <c r="S8" s="35" t="n"/>
      <c r="T8" s="34" t="n"/>
      <c r="U8" s="31" t="n"/>
      <c r="V8" s="32" t="n"/>
      <c r="W8" s="33" t="n"/>
      <c r="X8" s="34" t="n"/>
      <c r="Y8" s="35" t="n"/>
      <c r="Z8" s="34" t="n"/>
      <c r="AA8" s="33" t="n"/>
      <c r="AB8" s="34" t="n"/>
      <c r="AC8" s="36" t="n"/>
      <c r="AD8" s="37" t="inlineStr">
        <is>
          <t>กรอบบาน</t>
        </is>
      </c>
      <c r="AE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 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ชนกลาง</t>
        </is>
      </c>
      <c r="T9" s="43" t="n"/>
      <c r="U9" s="42" t="n"/>
      <c r="V9" s="43" t="n"/>
      <c r="W9" s="42" t="n"/>
      <c r="X9" s="43" t="n"/>
      <c r="Y9" s="44" t="n"/>
      <c r="Z9" s="43" t="n"/>
      <c r="AA9" s="42" t="n"/>
      <c r="AB9" s="43" t="n"/>
      <c r="AC9" s="45" t="inlineStr">
        <is>
          <t>SH-67-67</t>
        </is>
      </c>
      <c r="AD9" s="46" t="inlineStr">
        <is>
          <t>SW-67-67</t>
        </is>
      </c>
      <c r="AE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5" t="inlineStr">
        <is>
          <t>H</t>
        </is>
      </c>
      <c r="AD10" s="56" t="inlineStr">
        <is>
          <t>W</t>
        </is>
      </c>
      <c r="AE10" s="57" t="inlineStr">
        <is>
          <t>จำนวน</t>
        </is>
      </c>
    </row>
    <row r="11" ht="40.2" customHeight="1">
      <c r="A11" s="58" t="inlineStr">
        <is>
          <t>W1</t>
        </is>
      </c>
      <c r="B11" s="59" t="n">
        <v>400</v>
      </c>
      <c r="C11" s="60" t="n">
        <v>460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IF($A11="","",$C11-$E$56-$F$56)</f>
        <v/>
      </c>
      <c r="J11" s="60">
        <f>IF($A11="","",$L$56*$D11)</f>
        <v/>
      </c>
      <c r="K11" s="62">
        <f>IF($A11="","",$B11-$E$57-$F$57)</f>
        <v/>
      </c>
      <c r="L11" s="60">
        <f>IF($A11="","",$L$57*$D11)</f>
        <v/>
      </c>
      <c r="M11" s="62">
        <f>IF($A11="","",(($C11-$E$58-$F$58-$G$58)/2))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IF($A11="","",$M11-$E$60-$F$60)</f>
        <v/>
      </c>
      <c r="R11" s="60">
        <f>IF($A11="","",$L$60*$D11)</f>
        <v/>
      </c>
      <c r="S11" s="62">
        <f>IF($A11="","",$B11-$E$61-$F$61)</f>
        <v/>
      </c>
      <c r="T11" s="60">
        <f>IF($A11="","",$L$61*$D11)</f>
        <v/>
      </c>
      <c r="U11" s="62" t="n"/>
      <c r="V11" s="60" t="n"/>
      <c r="W11" s="62" t="n"/>
      <c r="X11" s="60" t="n"/>
      <c r="Y11" s="62" t="n"/>
      <c r="Z11" s="60" t="n"/>
      <c r="AA11" s="62" t="n"/>
      <c r="AB11" s="60" t="n"/>
      <c r="AC11" s="63">
        <f>IF($A11="","",$K11-67-67)</f>
        <v/>
      </c>
      <c r="AD11" s="64">
        <f>IF($A11="","",$M11-67-67)</f>
        <v/>
      </c>
      <c r="AE11" s="65">
        <f>IF($A11="","",2*$D11)</f>
        <v/>
      </c>
    </row>
    <row r="12" ht="40.2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IF($A12="","",$C12-$E$56-$F$56)</f>
        <v/>
      </c>
      <c r="J12" s="67">
        <f>IF($A12="","",$L$56*$D12)</f>
        <v/>
      </c>
      <c r="K12" s="66">
        <f>IF($A12="","",$B12-$E$57-$F$57)</f>
        <v/>
      </c>
      <c r="L12" s="67">
        <f>IF($A12="","",$L$57*$D12)</f>
        <v/>
      </c>
      <c r="M12" s="66">
        <f>IF($A12="","",(($C12-$E$58-$F$58-$G$58)/2))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IF($A12="","",$M12-$E$60-$F$60)</f>
        <v/>
      </c>
      <c r="R12" s="67">
        <f>IF($A12="","",$L$60*$D12)</f>
        <v/>
      </c>
      <c r="S12" s="66">
        <f>IF($A12="","",$B12-$E$61-$F$61)</f>
        <v/>
      </c>
      <c r="T12" s="67">
        <f>IF($A12="","",$L$61*$D12)</f>
        <v/>
      </c>
      <c r="U12" s="66" t="n"/>
      <c r="V12" s="67" t="n"/>
      <c r="W12" s="66" t="n"/>
      <c r="X12" s="67" t="n"/>
      <c r="Y12" s="66" t="n"/>
      <c r="Z12" s="67" t="n"/>
      <c r="AA12" s="66" t="n"/>
      <c r="AB12" s="67" t="n"/>
      <c r="AC12" s="63">
        <f>IF($A12="","",$K12-67-67)</f>
        <v/>
      </c>
      <c r="AD12" s="64">
        <f>IF($A12="","",$M12-67-67)</f>
        <v/>
      </c>
      <c r="AE12" s="65">
        <f>IF($A12="","",2*$D12)</f>
        <v/>
      </c>
    </row>
    <row r="13" ht="40.2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IF($A13="","",$C13-$E$56-$F$56)</f>
        <v/>
      </c>
      <c r="J13" s="60">
        <f>IF($A13="","",$L$56*$D13)</f>
        <v/>
      </c>
      <c r="K13" s="62">
        <f>IF($A13="","",$B13-$E$57-$F$57)</f>
        <v/>
      </c>
      <c r="L13" s="60">
        <f>IF($A13="","",$L$57*$D13)</f>
        <v/>
      </c>
      <c r="M13" s="62">
        <f>IF($A13="","",(($C13-$E$58-$F$58-$G$58)/2))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IF($A13="","",$M13-$E$60-$F$60)</f>
        <v/>
      </c>
      <c r="R13" s="60">
        <f>IF($A13="","",$L$60*$D13)</f>
        <v/>
      </c>
      <c r="S13" s="62">
        <f>IF($A13="","",$B13-$E$61-$F$61)</f>
        <v/>
      </c>
      <c r="T13" s="60">
        <f>IF($A13="","",$L$61*$D13)</f>
        <v/>
      </c>
      <c r="U13" s="62" t="n"/>
      <c r="V13" s="60" t="n"/>
      <c r="W13" s="62" t="n"/>
      <c r="X13" s="60" t="n"/>
      <c r="Y13" s="62" t="n"/>
      <c r="Z13" s="60" t="n"/>
      <c r="AA13" s="62" t="n"/>
      <c r="AB13" s="60" t="n"/>
      <c r="AC13" s="63">
        <f>IF($A13="","",$K13-67-67)</f>
        <v/>
      </c>
      <c r="AD13" s="64">
        <f>IF($A13="","",$M13-67-67)</f>
        <v/>
      </c>
      <c r="AE13" s="65">
        <f>IF($A13="","",2*$D13)</f>
        <v/>
      </c>
    </row>
    <row r="14" ht="40.2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IF($A14="","",$C14-$E$56-$F$56)</f>
        <v/>
      </c>
      <c r="J14" s="67">
        <f>IF($A14="","",$L$56*$D14)</f>
        <v/>
      </c>
      <c r="K14" s="66">
        <f>IF($A14="","",$B14-$E$57-$F$57)</f>
        <v/>
      </c>
      <c r="L14" s="67">
        <f>IF($A14="","",$L$57*$D14)</f>
        <v/>
      </c>
      <c r="M14" s="66">
        <f>IF($A14="","",(($C14-$E$58-$F$58-$G$58)/2))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IF($A14="","",$M14-$E$60-$F$60)</f>
        <v/>
      </c>
      <c r="R14" s="67">
        <f>IF($A14="","",$L$60*$D14)</f>
        <v/>
      </c>
      <c r="S14" s="66">
        <f>IF($A14="","",$B14-$E$61-$F$61)</f>
        <v/>
      </c>
      <c r="T14" s="67">
        <f>IF($A14="","",$L$61*$D14)</f>
        <v/>
      </c>
      <c r="U14" s="66" t="n"/>
      <c r="V14" s="67" t="n"/>
      <c r="W14" s="66" t="n"/>
      <c r="X14" s="67" t="n"/>
      <c r="Y14" s="66" t="n"/>
      <c r="Z14" s="67" t="n"/>
      <c r="AA14" s="66" t="n"/>
      <c r="AB14" s="67" t="n"/>
      <c r="AC14" s="63">
        <f>IF($A14="","",$K14-67-67)</f>
        <v/>
      </c>
      <c r="AD14" s="64">
        <f>IF($A14="","",$M14-67-67)</f>
        <v/>
      </c>
      <c r="AE14" s="65">
        <f>IF($A14="","",2*$D14)</f>
        <v/>
      </c>
    </row>
    <row r="15" ht="40.2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IF($A15="","",$C15-$E$56-$F$56)</f>
        <v/>
      </c>
      <c r="J15" s="60">
        <f>IF($A15="","",$L$56*$D15)</f>
        <v/>
      </c>
      <c r="K15" s="62">
        <f>IF($A15="","",$B15-$E$57-$F$57)</f>
        <v/>
      </c>
      <c r="L15" s="60">
        <f>IF($A15="","",$L$57*$D15)</f>
        <v/>
      </c>
      <c r="M15" s="62">
        <f>IF($A15="","",(($C15-$E$58-$F$58-$G$58)/2))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IF($A15="","",$M15-$E$60-$F$60)</f>
        <v/>
      </c>
      <c r="R15" s="60">
        <f>IF($A15="","",$L$60*$D15)</f>
        <v/>
      </c>
      <c r="S15" s="62">
        <f>IF($A15="","",$B15-$E$61-$F$61)</f>
        <v/>
      </c>
      <c r="T15" s="60">
        <f>IF($A15="","",$L$61*$D15)</f>
        <v/>
      </c>
      <c r="U15" s="62" t="n"/>
      <c r="V15" s="60" t="n"/>
      <c r="W15" s="62" t="n"/>
      <c r="X15" s="60" t="n"/>
      <c r="Y15" s="62" t="n"/>
      <c r="Z15" s="60" t="n"/>
      <c r="AA15" s="62" t="n"/>
      <c r="AB15" s="60" t="n"/>
      <c r="AC15" s="63">
        <f>IF($A15="","",$K15-67-67)</f>
        <v/>
      </c>
      <c r="AD15" s="64">
        <f>IF($A15="","",$M15-67-67)</f>
        <v/>
      </c>
      <c r="AE15" s="65">
        <f>IF($A15="","",2*$D15)</f>
        <v/>
      </c>
    </row>
    <row r="16" ht="40.2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IF($A16="","",$C16-$E$56-$F$56)</f>
        <v/>
      </c>
      <c r="J16" s="67">
        <f>IF($A16="","",$L$56*$D16)</f>
        <v/>
      </c>
      <c r="K16" s="66">
        <f>IF($A16="","",$B16-$E$57-$F$57)</f>
        <v/>
      </c>
      <c r="L16" s="67">
        <f>IF($A16="","",$L$57*$D16)</f>
        <v/>
      </c>
      <c r="M16" s="66">
        <f>IF($A16="","",(($C16-$E$58-$F$58-$G$58)/2))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IF($A16="","",$M16-$E$60-$F$60)</f>
        <v/>
      </c>
      <c r="R16" s="67">
        <f>IF($A16="","",$L$60*$D16)</f>
        <v/>
      </c>
      <c r="S16" s="66">
        <f>IF($A16="","",$B16-$E$61-$F$61)</f>
        <v/>
      </c>
      <c r="T16" s="67">
        <f>IF($A16="","",$L$61*$D16)</f>
        <v/>
      </c>
      <c r="U16" s="66" t="n"/>
      <c r="V16" s="67" t="n"/>
      <c r="W16" s="66" t="n"/>
      <c r="X16" s="67" t="n"/>
      <c r="Y16" s="66" t="n"/>
      <c r="Z16" s="67" t="n"/>
      <c r="AA16" s="66" t="n"/>
      <c r="AB16" s="67" t="n"/>
      <c r="AC16" s="63">
        <f>IF($A16="","",$K16-67-67)</f>
        <v/>
      </c>
      <c r="AD16" s="64">
        <f>IF($A16="","",$M16-67-67)</f>
        <v/>
      </c>
      <c r="AE16" s="65">
        <f>IF($A16="","",2*$D16)</f>
        <v/>
      </c>
    </row>
    <row r="17" ht="40.2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IF($A17="","",$C17-$E$56-$F$56)</f>
        <v/>
      </c>
      <c r="J17" s="60">
        <f>IF($A17="","",$L$56*$D17)</f>
        <v/>
      </c>
      <c r="K17" s="62">
        <f>IF($A17="","",$B17-$E$57-$F$57)</f>
        <v/>
      </c>
      <c r="L17" s="60">
        <f>IF($A17="","",$L$57*$D17)</f>
        <v/>
      </c>
      <c r="M17" s="62">
        <f>IF($A17="","",(($C17-$E$58-$F$58-$G$58)/2))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IF($A17="","",$M17-$E$60-$F$60)</f>
        <v/>
      </c>
      <c r="R17" s="60">
        <f>IF($A17="","",$L$60*$D17)</f>
        <v/>
      </c>
      <c r="S17" s="62">
        <f>IF($A17="","",$B17-$E$61-$F$61)</f>
        <v/>
      </c>
      <c r="T17" s="60">
        <f>IF($A17="","",$L$61*$D17)</f>
        <v/>
      </c>
      <c r="U17" s="62" t="n"/>
      <c r="V17" s="60" t="n"/>
      <c r="W17" s="62" t="n"/>
      <c r="X17" s="60" t="n"/>
      <c r="Y17" s="62" t="n"/>
      <c r="Z17" s="60" t="n"/>
      <c r="AA17" s="62" t="n"/>
      <c r="AB17" s="60" t="n"/>
      <c r="AC17" s="63">
        <f>IF($A17="","",$K17-67-67)</f>
        <v/>
      </c>
      <c r="AD17" s="64">
        <f>IF($A17="","",$M17-67-67)</f>
        <v/>
      </c>
      <c r="AE17" s="65">
        <f>IF($A17="","",2*$D17)</f>
        <v/>
      </c>
    </row>
    <row r="18" ht="40.2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IF($A18="","",$C18-$E$56-$F$56)</f>
        <v/>
      </c>
      <c r="J18" s="67">
        <f>IF($A18="","",$L$56*$D18)</f>
        <v/>
      </c>
      <c r="K18" s="66">
        <f>IF($A18="","",$B18-$E$57-$F$57)</f>
        <v/>
      </c>
      <c r="L18" s="67">
        <f>IF($A18="","",$L$57*$D18)</f>
        <v/>
      </c>
      <c r="M18" s="66">
        <f>IF($A18="","",(($C18-$E$58-$F$58-$G$58)/2))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IF($A18="","",$M18-$E$60-$F$60)</f>
        <v/>
      </c>
      <c r="R18" s="67">
        <f>IF($A18="","",$L$60*$D18)</f>
        <v/>
      </c>
      <c r="S18" s="66">
        <f>IF($A18="","",$B18-$E$61-$F$61)</f>
        <v/>
      </c>
      <c r="T18" s="67">
        <f>IF($A18="","",$L$61*$D18)</f>
        <v/>
      </c>
      <c r="U18" s="66" t="n"/>
      <c r="V18" s="67" t="n"/>
      <c r="W18" s="66" t="n"/>
      <c r="X18" s="67" t="n"/>
      <c r="Y18" s="66" t="n"/>
      <c r="Z18" s="67" t="n"/>
      <c r="AA18" s="66" t="n"/>
      <c r="AB18" s="67" t="n"/>
      <c r="AC18" s="63">
        <f>IF($A18="","",$K18-67-67)</f>
        <v/>
      </c>
      <c r="AD18" s="64">
        <f>IF($A18="","",$M18-67-67)</f>
        <v/>
      </c>
      <c r="AE18" s="65">
        <f>IF($A18="","",2*$D18)</f>
        <v/>
      </c>
    </row>
    <row r="19" ht="40.2" customHeight="1">
      <c r="A19" s="83" t="n"/>
      <c r="B19" s="84" t="n"/>
      <c r="C19" s="85" t="n"/>
      <c r="D19" s="86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IF($A19="","",$C19-$E$56-$F$56)</f>
        <v/>
      </c>
      <c r="J19" s="60">
        <f>IF($A19="","",$L$56*$D19)</f>
        <v/>
      </c>
      <c r="K19" s="62">
        <f>IF($A19="","",$B19-$E$57-$F$57)</f>
        <v/>
      </c>
      <c r="L19" s="60">
        <f>IF($A19="","",$L$57*$D19)</f>
        <v/>
      </c>
      <c r="M19" s="62">
        <f>IF($A19="","",(($C19-$E$58-$F$58-$G$58)/2))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IF($A19="","",$M19-$E$60-$F$60)</f>
        <v/>
      </c>
      <c r="R19" s="60">
        <f>IF($A19="","",$L$60*$D19)</f>
        <v/>
      </c>
      <c r="S19" s="62">
        <f>IF($A19="","",$B19-$E$61-$F$61)</f>
        <v/>
      </c>
      <c r="T19" s="60">
        <f>IF($A19="","",$L$61*$D19)</f>
        <v/>
      </c>
      <c r="U19" s="62" t="n"/>
      <c r="V19" s="60" t="n"/>
      <c r="W19" s="62" t="n"/>
      <c r="X19" s="60" t="n"/>
      <c r="Y19" s="62" t="n"/>
      <c r="Z19" s="60" t="n"/>
      <c r="AA19" s="62" t="n"/>
      <c r="AB19" s="60" t="n"/>
      <c r="AC19" s="63">
        <f>IF($A19="","",$K19-67-67)</f>
        <v/>
      </c>
      <c r="AD19" s="64">
        <f>IF($A19="","",$M19-67-67)</f>
        <v/>
      </c>
      <c r="AE19" s="65">
        <f>IF($A19="","",2*$D19)</f>
        <v/>
      </c>
    </row>
    <row r="20" ht="40.2" customHeight="1">
      <c r="A20" s="83" t="n"/>
      <c r="B20" s="84" t="n"/>
      <c r="C20" s="85" t="n"/>
      <c r="D20" s="86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IF($A20="","",$C20-$E$56-$F$56)</f>
        <v/>
      </c>
      <c r="J20" s="67">
        <f>IF($A20="","",$L$56*$D20)</f>
        <v/>
      </c>
      <c r="K20" s="66">
        <f>IF($A20="","",$B20-$E$57-$F$57)</f>
        <v/>
      </c>
      <c r="L20" s="67">
        <f>IF($A20="","",$L$57*$D20)</f>
        <v/>
      </c>
      <c r="M20" s="66">
        <f>IF($A20="","",(($C20-$E$58-$F$58-$G$58)/2))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IF($A20="","",$M20-$E$60-$F$60)</f>
        <v/>
      </c>
      <c r="R20" s="67">
        <f>IF($A20="","",$L$60*$D20)</f>
        <v/>
      </c>
      <c r="S20" s="66">
        <f>IF($A20="","",$B20-$E$61-$F$61)</f>
        <v/>
      </c>
      <c r="T20" s="67">
        <f>IF($A20="","",$L$61*$D20)</f>
        <v/>
      </c>
      <c r="U20" s="66" t="n"/>
      <c r="V20" s="67" t="n"/>
      <c r="W20" s="66" t="n"/>
      <c r="X20" s="67" t="n"/>
      <c r="Y20" s="66" t="n"/>
      <c r="Z20" s="67" t="n"/>
      <c r="AA20" s="66" t="n"/>
      <c r="AB20" s="67" t="n"/>
      <c r="AC20" s="63">
        <f>IF($A20="","",$K20-67-67)</f>
        <v/>
      </c>
      <c r="AD20" s="64">
        <f>IF($A20="","",$M20-67-67)</f>
        <v/>
      </c>
      <c r="AE20" s="65">
        <f>IF($A20="","",2*$D20)</f>
        <v/>
      </c>
    </row>
    <row r="21" ht="40.2" customHeight="1">
      <c r="A21" s="83" t="n"/>
      <c r="B21" s="84" t="n"/>
      <c r="C21" s="85" t="n"/>
      <c r="D21" s="86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IF($A21="","",$C21-$E$56-$F$56)</f>
        <v/>
      </c>
      <c r="J21" s="60">
        <f>IF($A21="","",$L$56*$D21)</f>
        <v/>
      </c>
      <c r="K21" s="62">
        <f>IF($A21="","",$B21-$E$57-$F$57)</f>
        <v/>
      </c>
      <c r="L21" s="60">
        <f>IF($A21="","",$L$57*$D21)</f>
        <v/>
      </c>
      <c r="M21" s="62">
        <f>IF($A21="","",(($C21-$E$58-$F$58-$G$58)/2))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IF($A21="","",$M21-$E$60-$F$60)</f>
        <v/>
      </c>
      <c r="R21" s="60">
        <f>IF($A21="","",$L$60*$D21)</f>
        <v/>
      </c>
      <c r="S21" s="62">
        <f>IF($A21="","",$B21-$E$61-$F$61)</f>
        <v/>
      </c>
      <c r="T21" s="60">
        <f>IF($A21="","",$L$61*$D21)</f>
        <v/>
      </c>
      <c r="U21" s="62" t="n"/>
      <c r="V21" s="60" t="n"/>
      <c r="W21" s="62" t="n"/>
      <c r="X21" s="60" t="n"/>
      <c r="Y21" s="62" t="n"/>
      <c r="Z21" s="60" t="n"/>
      <c r="AA21" s="62" t="n"/>
      <c r="AB21" s="60" t="n"/>
      <c r="AC21" s="63">
        <f>IF($A21="","",$K21-67-67)</f>
        <v/>
      </c>
      <c r="AD21" s="64">
        <f>IF($A21="","",$M21-67-67)</f>
        <v/>
      </c>
      <c r="AE21" s="65">
        <f>IF($A21="","",2*$D21)</f>
        <v/>
      </c>
    </row>
    <row r="22" ht="40.2" customHeight="1">
      <c r="A22" s="83" t="n"/>
      <c r="B22" s="84" t="n"/>
      <c r="C22" s="85" t="n"/>
      <c r="D22" s="86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IF($A22="","",$C22-$E$56-$F$56)</f>
        <v/>
      </c>
      <c r="J22" s="67">
        <f>IF($A22="","",$L$56*$D22)</f>
        <v/>
      </c>
      <c r="K22" s="66">
        <f>IF($A22="","",$B22-$E$57-$F$57)</f>
        <v/>
      </c>
      <c r="L22" s="67">
        <f>IF($A22="","",$L$57*$D22)</f>
        <v/>
      </c>
      <c r="M22" s="66">
        <f>IF($A22="","",(($C22-$E$58-$F$58-$G$58)/2))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IF($A22="","",$M22-$E$60-$F$60)</f>
        <v/>
      </c>
      <c r="R22" s="67">
        <f>IF($A22="","",$L$60*$D22)</f>
        <v/>
      </c>
      <c r="S22" s="66">
        <f>IF($A22="","",$B22-$E$61-$F$61)</f>
        <v/>
      </c>
      <c r="T22" s="67">
        <f>IF($A22="","",$L$61*$D22)</f>
        <v/>
      </c>
      <c r="U22" s="66" t="n"/>
      <c r="V22" s="67" t="n"/>
      <c r="W22" s="66" t="n"/>
      <c r="X22" s="67" t="n"/>
      <c r="Y22" s="66" t="n"/>
      <c r="Z22" s="67" t="n"/>
      <c r="AA22" s="66" t="n"/>
      <c r="AB22" s="67" t="n"/>
      <c r="AC22" s="63">
        <f>IF($A22="","",$K22-67-67)</f>
        <v/>
      </c>
      <c r="AD22" s="64">
        <f>IF($A22="","",$M22-67-67)</f>
        <v/>
      </c>
      <c r="AE22" s="65">
        <f>IF($A22="","",2*$D22)</f>
        <v/>
      </c>
    </row>
    <row r="23" ht="40.2" customHeight="1">
      <c r="A23" s="83" t="n"/>
      <c r="B23" s="84" t="n"/>
      <c r="C23" s="85" t="n"/>
      <c r="D23" s="86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IF($A23="","",$C23-$E$56-$F$56)</f>
        <v/>
      </c>
      <c r="J23" s="60">
        <f>IF($A23="","",$L$56*$D23)</f>
        <v/>
      </c>
      <c r="K23" s="62">
        <f>IF($A23="","",$B23-$E$57-$F$57)</f>
        <v/>
      </c>
      <c r="L23" s="60">
        <f>IF($A23="","",$L$57*$D23)</f>
        <v/>
      </c>
      <c r="M23" s="62">
        <f>IF($A23="","",(($C23-$E$58-$F$58-$G$58)/2))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IF($A23="","",$M23-$E$60-$F$60)</f>
        <v/>
      </c>
      <c r="R23" s="60">
        <f>IF($A23="","",$L$60*$D23)</f>
        <v/>
      </c>
      <c r="S23" s="62">
        <f>IF($A23="","",$B23-$E$61-$F$61)</f>
        <v/>
      </c>
      <c r="T23" s="60">
        <f>IF($A23="","",$L$61*$D23)</f>
        <v/>
      </c>
      <c r="U23" s="62" t="n"/>
      <c r="V23" s="60" t="n"/>
      <c r="W23" s="62" t="n"/>
      <c r="X23" s="60" t="n"/>
      <c r="Y23" s="62" t="n"/>
      <c r="Z23" s="60" t="n"/>
      <c r="AA23" s="62" t="n"/>
      <c r="AB23" s="60" t="n"/>
      <c r="AC23" s="63">
        <f>IF($A23="","",$K23-67-67)</f>
        <v/>
      </c>
      <c r="AD23" s="64">
        <f>IF($A23="","",$M23-67-67)</f>
        <v/>
      </c>
      <c r="AE23" s="65">
        <f>IF($A23="","",2*$D23)</f>
        <v/>
      </c>
    </row>
    <row r="24" ht="40.2" customHeight="1">
      <c r="A24" s="83" t="n"/>
      <c r="B24" s="84" t="n"/>
      <c r="C24" s="85" t="n"/>
      <c r="D24" s="86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IF($A24="","",$C24-$E$56-$F$56)</f>
        <v/>
      </c>
      <c r="J24" s="67">
        <f>IF($A24="","",$L$56*$D24)</f>
        <v/>
      </c>
      <c r="K24" s="66">
        <f>IF($A24="","",$B24-$E$57-$F$57)</f>
        <v/>
      </c>
      <c r="L24" s="67">
        <f>IF($A24="","",$L$57*$D24)</f>
        <v/>
      </c>
      <c r="M24" s="66">
        <f>IF($A24="","",(($C24-$E$58-$F$58-$G$58)/2))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IF($A24="","",$M24-$E$60-$F$60)</f>
        <v/>
      </c>
      <c r="R24" s="67">
        <f>IF($A24="","",$L$60*$D24)</f>
        <v/>
      </c>
      <c r="S24" s="66">
        <f>IF($A24="","",$B24-$E$61-$F$61)</f>
        <v/>
      </c>
      <c r="T24" s="67">
        <f>IF($A24="","",$L$61*$D24)</f>
        <v/>
      </c>
      <c r="U24" s="66" t="n"/>
      <c r="V24" s="67" t="n"/>
      <c r="W24" s="66" t="n"/>
      <c r="X24" s="67" t="n"/>
      <c r="Y24" s="66" t="n"/>
      <c r="Z24" s="67" t="n"/>
      <c r="AA24" s="66" t="n"/>
      <c r="AB24" s="67" t="n"/>
      <c r="AC24" s="63">
        <f>IF($A24="","",$K24-67-67)</f>
        <v/>
      </c>
      <c r="AD24" s="64">
        <f>IF($A24="","",$M24-67-67)</f>
        <v/>
      </c>
      <c r="AE24" s="65">
        <f>IF($A24="","",2*$D24)</f>
        <v/>
      </c>
    </row>
    <row r="25" ht="40.2" customHeight="1">
      <c r="A25" s="83" t="n"/>
      <c r="B25" s="84" t="n"/>
      <c r="C25" s="85" t="n"/>
      <c r="D25" s="86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IF($A25="","",$C25-$E$56-$F$56)</f>
        <v/>
      </c>
      <c r="J25" s="60">
        <f>IF($A25="","",$L$56*$D25)</f>
        <v/>
      </c>
      <c r="K25" s="62">
        <f>IF($A25="","",$B25-$E$57-$F$57)</f>
        <v/>
      </c>
      <c r="L25" s="60">
        <f>IF($A25="","",$L$57*$D25)</f>
        <v/>
      </c>
      <c r="M25" s="62">
        <f>IF($A25="","",(($C25-$E$58-$F$58-$G$58)/2))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IF($A25="","",$M25-$E$60-$F$60)</f>
        <v/>
      </c>
      <c r="R25" s="60">
        <f>IF($A25="","",$L$60*$D25)</f>
        <v/>
      </c>
      <c r="S25" s="62">
        <f>IF($A25="","",$B25-$E$61-$F$61)</f>
        <v/>
      </c>
      <c r="T25" s="60">
        <f>IF($A25="","",$L$61*$D25)</f>
        <v/>
      </c>
      <c r="U25" s="62" t="n"/>
      <c r="V25" s="60" t="n"/>
      <c r="W25" s="62" t="n"/>
      <c r="X25" s="60" t="n"/>
      <c r="Y25" s="62" t="n"/>
      <c r="Z25" s="60" t="n"/>
      <c r="AA25" s="62" t="n"/>
      <c r="AB25" s="60" t="n"/>
      <c r="AC25" s="63">
        <f>IF($A25="","",$K25-67-67)</f>
        <v/>
      </c>
      <c r="AD25" s="64">
        <f>IF($A25="","",$M25-67-67)</f>
        <v/>
      </c>
      <c r="AE25" s="65">
        <f>IF($A25="","",2*$D25)</f>
        <v/>
      </c>
    </row>
    <row r="26" ht="40.2" customHeight="1">
      <c r="A26" s="83" t="n"/>
      <c r="B26" s="84" t="n"/>
      <c r="C26" s="85" t="n"/>
      <c r="D26" s="86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IF($A26="","",$C26-$E$56-$F$56)</f>
        <v/>
      </c>
      <c r="J26" s="67">
        <f>IF($A26="","",$L$56*$D26)</f>
        <v/>
      </c>
      <c r="K26" s="66">
        <f>IF($A26="","",$B26-$E$57-$F$57)</f>
        <v/>
      </c>
      <c r="L26" s="67">
        <f>IF($A26="","",$L$57*$D26)</f>
        <v/>
      </c>
      <c r="M26" s="66">
        <f>IF($A26="","",(($C26-$E$58-$F$58-$G$58)/2))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IF($A26="","",$M26-$E$60-$F$60)</f>
        <v/>
      </c>
      <c r="R26" s="67">
        <f>IF($A26="","",$L$60*$D26)</f>
        <v/>
      </c>
      <c r="S26" s="66">
        <f>IF($A26="","",$B26-$E$61-$F$61)</f>
        <v/>
      </c>
      <c r="T26" s="67">
        <f>IF($A26="","",$L$61*$D26)</f>
        <v/>
      </c>
      <c r="U26" s="66" t="n"/>
      <c r="V26" s="67" t="n"/>
      <c r="W26" s="66" t="n"/>
      <c r="X26" s="67" t="n"/>
      <c r="Y26" s="66" t="n"/>
      <c r="Z26" s="67" t="n"/>
      <c r="AA26" s="66" t="n"/>
      <c r="AB26" s="67" t="n"/>
      <c r="AC26" s="63">
        <f>IF($A26="","",$K26-67-67)</f>
        <v/>
      </c>
      <c r="AD26" s="64">
        <f>IF($A26="","",$M26-67-67)</f>
        <v/>
      </c>
      <c r="AE26" s="65">
        <f>IF($A26="","",2*$D26)</f>
        <v/>
      </c>
    </row>
    <row r="27" ht="40.2" customHeight="1">
      <c r="A27" s="83" t="n"/>
      <c r="B27" s="84" t="n"/>
      <c r="C27" s="85" t="n"/>
      <c r="D27" s="86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IF($A27="","",$C27-$E$56-$F$56)</f>
        <v/>
      </c>
      <c r="J27" s="60">
        <f>IF($A27="","",$L$56*$D27)</f>
        <v/>
      </c>
      <c r="K27" s="62">
        <f>IF($A27="","",$B27-$E$57-$F$57)</f>
        <v/>
      </c>
      <c r="L27" s="60">
        <f>IF($A27="","",$L$57*$D27)</f>
        <v/>
      </c>
      <c r="M27" s="62">
        <f>IF($A27="","",(($C27-$E$58-$F$58-$G$58)/2))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IF($A27="","",$M27-$E$60-$F$60)</f>
        <v/>
      </c>
      <c r="R27" s="60">
        <f>IF($A27="","",$L$60*$D27)</f>
        <v/>
      </c>
      <c r="S27" s="62">
        <f>IF($A27="","",$B27-$E$61-$F$61)</f>
        <v/>
      </c>
      <c r="T27" s="60">
        <f>IF($A27="","",$L$61*$D27)</f>
        <v/>
      </c>
      <c r="U27" s="62" t="n"/>
      <c r="V27" s="60" t="n"/>
      <c r="W27" s="62" t="n"/>
      <c r="X27" s="60" t="n"/>
      <c r="Y27" s="62" t="n"/>
      <c r="Z27" s="60" t="n"/>
      <c r="AA27" s="62" t="n"/>
      <c r="AB27" s="60" t="n"/>
      <c r="AC27" s="63">
        <f>IF($A27="","",$K27-67-67)</f>
        <v/>
      </c>
      <c r="AD27" s="64">
        <f>IF($A27="","",$M27-67-67)</f>
        <v/>
      </c>
      <c r="AE27" s="65">
        <f>IF($A27="","",2*$D27)</f>
        <v/>
      </c>
    </row>
    <row r="28" ht="40.2" customHeight="1">
      <c r="A28" s="83" t="n"/>
      <c r="B28" s="84" t="n"/>
      <c r="C28" s="85" t="n"/>
      <c r="D28" s="86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IF($A28="","",$C28-$E$56-$F$56)</f>
        <v/>
      </c>
      <c r="J28" s="67">
        <f>IF($A28="","",$L$56*$D28)</f>
        <v/>
      </c>
      <c r="K28" s="66">
        <f>IF($A28="","",$B28-$E$57-$F$57)</f>
        <v/>
      </c>
      <c r="L28" s="67">
        <f>IF($A28="","",$L$57*$D28)</f>
        <v/>
      </c>
      <c r="M28" s="66">
        <f>IF($A28="","",(($C28-$E$58-$F$58-$G$58)/2))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IF($A28="","",$M28-$E$60-$F$60)</f>
        <v/>
      </c>
      <c r="R28" s="67">
        <f>IF($A28="","",$L$60*$D28)</f>
        <v/>
      </c>
      <c r="S28" s="66">
        <f>IF($A28="","",$B28-$E$61-$F$61)</f>
        <v/>
      </c>
      <c r="T28" s="67">
        <f>IF($A28="","",$L$61*$D28)</f>
        <v/>
      </c>
      <c r="U28" s="66" t="n"/>
      <c r="V28" s="67" t="n"/>
      <c r="W28" s="66" t="n"/>
      <c r="X28" s="67" t="n"/>
      <c r="Y28" s="66" t="n"/>
      <c r="Z28" s="67" t="n"/>
      <c r="AA28" s="66" t="n"/>
      <c r="AB28" s="67" t="n"/>
      <c r="AC28" s="63">
        <f>IF($A28="","",$K28-67-67)</f>
        <v/>
      </c>
      <c r="AD28" s="64">
        <f>IF($A28="","",$M28-67-67)</f>
        <v/>
      </c>
      <c r="AE28" s="65">
        <f>IF($A28="","",2*$D28)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71">
        <f>E$7</f>
        <v/>
      </c>
      <c r="F30" s="19" t="n"/>
      <c r="G30" s="20" t="n"/>
      <c r="H30" s="71">
        <f>(ROUNDUP(SUM(F49:H49)/6400,0))</f>
        <v/>
      </c>
      <c r="I30" s="71">
        <f>I$7</f>
        <v/>
      </c>
      <c r="J30" s="71">
        <f>(ROUNDUP(J49/6400,0))</f>
        <v/>
      </c>
      <c r="K30" s="71">
        <f>K$7</f>
        <v/>
      </c>
      <c r="L30" s="19" t="n"/>
      <c r="M30" s="20" t="n"/>
      <c r="N30" s="71">
        <f>(ROUNDUP(SUM(L49:N49)/6400,0))</f>
        <v/>
      </c>
      <c r="O30" s="71">
        <f>O$7</f>
        <v/>
      </c>
      <c r="P30" s="19" t="n"/>
      <c r="Q30" s="20" t="n"/>
      <c r="R30" s="71">
        <f>(ROUNDUP(SUM(P49:R49)/6400,0))</f>
        <v/>
      </c>
      <c r="S30" s="71">
        <f>S$7</f>
        <v/>
      </c>
      <c r="T30" s="71">
        <f>(ROUNDUP(T49/6400,0))</f>
        <v/>
      </c>
      <c r="U30" s="71">
        <f>U$7</f>
        <v/>
      </c>
      <c r="V30" s="19" t="n"/>
      <c r="W30" s="20" t="n"/>
      <c r="X30" s="71">
        <f>(ROUNDUP(SUM(V49:X49)/6400,0))</f>
        <v/>
      </c>
      <c r="Y30" s="71">
        <f>Y$7</f>
        <v/>
      </c>
      <c r="Z30" s="71">
        <f>(ROUNDUP(Z49/6400,0))</f>
        <v/>
      </c>
      <c r="AA30" s="71">
        <f>AA$7</f>
        <v/>
      </c>
      <c r="AB30" s="71">
        <f>(ROUNDUP(AB49/6400,0))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B49" s="73">
        <f>SUMIF(AB31:AB48,"&gt;0")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 ล่าง</t>
        </is>
      </c>
      <c r="C56" s="79" t="inlineStr">
        <is>
          <t>F7939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เสา</t>
        </is>
      </c>
      <c r="C57" s="79" t="inlineStr">
        <is>
          <t>F7943</t>
        </is>
      </c>
      <c r="D57" s="80" t="inlineStr">
        <is>
          <t>สูง-18.5-18.5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>
        <v>4</v>
      </c>
    </row>
    <row r="58" ht="15" customHeight="1">
      <c r="A58" s="77" t="n">
        <v>5</v>
      </c>
      <c r="B58" s="78" t="inlineStr">
        <is>
          <t>ขวาง</t>
        </is>
      </c>
      <c r="C58" s="79" t="inlineStr">
        <is>
          <t>-</t>
        </is>
      </c>
      <c r="D58" s="80" t="inlineStr">
        <is>
          <t>(กว้าง-18.5-2-18.5)/2</t>
        </is>
      </c>
      <c r="E58" s="82" t="n">
        <v>18.5</v>
      </c>
      <c r="F58" s="82" t="n">
        <v>2</v>
      </c>
      <c r="G58" s="82" t="n">
        <v>18.5</v>
      </c>
      <c r="H58" s="81" t="n"/>
      <c r="I58" s="81" t="n"/>
      <c r="J58" s="81" t="n"/>
      <c r="K58" s="81" t="n"/>
      <c r="L58" s="82" t="n">
        <v>2</v>
      </c>
    </row>
    <row r="59" ht="15" customHeight="1">
      <c r="A59" s="77" t="n">
        <v>6</v>
      </c>
      <c r="B59" s="78" t="inlineStr">
        <is>
          <t>คิ้ว ตั้ง</t>
        </is>
      </c>
      <c r="C59" s="79" t="inlineStr">
        <is>
          <t>F7935</t>
        </is>
      </c>
      <c r="D59" s="80" t="inlineStr">
        <is>
          <t>เสา-80-80</t>
        </is>
      </c>
      <c r="E59" s="82" t="n">
        <v>80</v>
      </c>
      <c r="F59" s="82" t="n">
        <v>80</v>
      </c>
      <c r="G59" s="81" t="n"/>
      <c r="H59" s="81" t="n"/>
      <c r="I59" s="81" t="n"/>
      <c r="J59" s="81" t="n"/>
      <c r="K59" s="81" t="n"/>
      <c r="L59" s="82" t="n">
        <v>4</v>
      </c>
    </row>
    <row r="60" ht="15" customHeight="1">
      <c r="A60" s="77" t="n">
        <v>7</v>
      </c>
      <c r="B60" s="78" t="inlineStr">
        <is>
          <t>คิ้ว ขวาง</t>
        </is>
      </c>
      <c r="C60" s="79" t="inlineStr">
        <is>
          <t>-</t>
        </is>
      </c>
      <c r="D60" s="80" t="inlineStr">
        <is>
          <t>ขวาง-60-60</t>
        </is>
      </c>
      <c r="E60" s="82" t="n">
        <v>60</v>
      </c>
      <c r="F60" s="82" t="n">
        <v>60</v>
      </c>
      <c r="G60" s="81" t="n"/>
      <c r="H60" s="81" t="n"/>
      <c r="I60" s="81" t="n"/>
      <c r="J60" s="81" t="n"/>
      <c r="K60" s="81" t="n"/>
      <c r="L60" s="82" t="n">
        <v>4</v>
      </c>
    </row>
    <row r="61" ht="15" customHeight="1">
      <c r="A61" s="77" t="n">
        <v>8</v>
      </c>
      <c r="B61" s="78" t="inlineStr">
        <is>
          <t>ชนกลาง</t>
        </is>
      </c>
      <c r="C61" s="79" t="inlineStr">
        <is>
          <t>F7945</t>
        </is>
      </c>
      <c r="D61" s="80" t="inlineStr">
        <is>
          <t>สูง-27-27</t>
        </is>
      </c>
      <c r="E61" s="82" t="n">
        <v>27</v>
      </c>
      <c r="F61" s="82" t="n">
        <v>27</v>
      </c>
      <c r="G61" s="81" t="n"/>
      <c r="H61" s="81" t="n"/>
      <c r="I61" s="81" t="n"/>
      <c r="J61" s="81" t="n"/>
      <c r="K61" s="81" t="n"/>
      <c r="L61" s="82" t="n">
        <v>1</v>
      </c>
    </row>
    <row r="63">
      <c r="A63" s="152" t="inlineStr">
        <is>
          <t>⑥ อุปกรณ์ ต่อ 1 บาน — คูณจำนวนบานที่ผลิต</t>
        </is>
      </c>
      <c r="F63" s="153" t="inlineStr">
        <is>
          <t>ต่อบาน</t>
        </is>
      </c>
    </row>
    <row r="64">
      <c r="A64" s="154" t="inlineStr">
        <is>
          <t>1. บานพับ hyda (สูง&gt;3ม./บานกว้าง&gt;1.2ม.=5)</t>
        </is>
      </c>
      <c r="F64" s="155" t="n">
        <v>4</v>
      </c>
    </row>
    <row r="65">
      <c r="A65" s="154" t="inlineStr">
        <is>
          <t>2. มือจับ + ล็อค</t>
        </is>
      </c>
      <c r="F65" s="155" t="n">
        <v>1</v>
      </c>
    </row>
    <row r="66">
      <c r="A66" s="154" t="inlineStr">
        <is>
          <t>3. กลอน (ใบลอง)</t>
        </is>
      </c>
      <c r="F66" s="155" t="n">
        <v>1</v>
      </c>
    </row>
    <row r="67">
      <c r="A67" s="154" t="inlineStr">
        <is>
          <t>4. น็อตเฟรม (มีธรณี8/ไม่มี6)</t>
        </is>
      </c>
      <c r="F67" s="155" t="n">
        <v>8</v>
      </c>
    </row>
    <row r="68">
      <c r="A68" s="156" t="inlineStr">
        <is>
          <t>+ ยาง/ซิลิโคน = ตามขนาด (ดูชีทคิดทุน)</t>
        </is>
      </c>
    </row>
  </sheetData>
  <mergeCells count="60">
    <mergeCell ref="U9:V9"/>
    <mergeCell ref="I6:J6"/>
    <mergeCell ref="A64:E64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Y9:Z9"/>
    <mergeCell ref="E8:F8"/>
    <mergeCell ref="Q8:R8"/>
    <mergeCell ref="AA9:AB9"/>
    <mergeCell ref="S8:T8"/>
    <mergeCell ref="A65:E65"/>
    <mergeCell ref="AA6:AB6"/>
    <mergeCell ref="S7:T7"/>
    <mergeCell ref="I7:J7"/>
    <mergeCell ref="O7:R7"/>
    <mergeCell ref="A30:D30"/>
    <mergeCell ref="G6:H6"/>
    <mergeCell ref="A66:E66"/>
    <mergeCell ref="E9:F9"/>
    <mergeCell ref="A8:A9"/>
    <mergeCell ref="Y7:Z7"/>
    <mergeCell ref="E6:F6"/>
    <mergeCell ref="AA7:AB7"/>
    <mergeCell ref="A6:D6"/>
    <mergeCell ref="K8:L8"/>
    <mergeCell ref="M6:N6"/>
    <mergeCell ref="A68:F68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M8:N8"/>
    <mergeCell ref="O8:P8"/>
    <mergeCell ref="U8:V8"/>
    <mergeCell ref="W8:X8"/>
    <mergeCell ref="B8:C9"/>
    <mergeCell ref="A63:E63"/>
    <mergeCell ref="U7:X7"/>
    <mergeCell ref="O30:Q30"/>
    <mergeCell ref="U30:W30"/>
    <mergeCell ref="Y8:Z8"/>
    <mergeCell ref="K6:L6"/>
    <mergeCell ref="G9:H9"/>
    <mergeCell ref="AA8:AB8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71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8.8984375" customWidth="1" min="34" max="34"/>
  </cols>
  <sheetData>
    <row r="1" ht="40.2" customHeight="1">
      <c r="A1" s="2" t="inlineStr">
        <is>
          <t>JR ALUMINIUM &amp; GLASS  —  ใบรายการตัด · FUJI บานเปิด+มุ้ง   (หน่วย: มม.)</t>
        </is>
      </c>
      <c r="B1" s="3" t="n"/>
      <c r="D1" s="4" t="n"/>
      <c r="E1" s="5" t="n"/>
      <c r="F1" s="4" t="n"/>
      <c r="G1" s="4" t="n"/>
      <c r="H1" s="4" t="n"/>
      <c r="I1" s="4" t="n"/>
      <c r="J1" s="4" t="n"/>
      <c r="K1" s="6" t="n"/>
      <c r="L1" s="6" t="n"/>
      <c r="M1" s="7" t="n"/>
      <c r="N1" s="7" t="n"/>
      <c r="O1" s="4" t="n"/>
      <c r="P1" s="8" t="n"/>
      <c r="Q1" s="6" t="n"/>
      <c r="R1" s="6" t="n"/>
      <c r="S1" s="6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40.2" customHeight="1">
      <c r="A2" s="6" t="n"/>
      <c r="B2" s="6" t="n"/>
      <c r="C2" s="6" t="n"/>
      <c r="D2" s="6" t="n"/>
      <c r="E2" s="9" t="n"/>
      <c r="F2" s="6" t="n"/>
      <c r="G2" s="6" t="n"/>
      <c r="H2" s="6" t="n"/>
      <c r="I2" s="6" t="n"/>
      <c r="J2" s="6" t="n"/>
      <c r="K2" s="6" t="n"/>
      <c r="L2" s="6" t="n"/>
      <c r="M2" s="10" t="n"/>
      <c r="N2" s="10" t="n"/>
      <c r="O2" s="6" t="n"/>
      <c r="P2" s="6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 ht="40.2" customHeight="1">
      <c r="A3" s="6" t="n"/>
      <c r="B3" s="6" t="n"/>
      <c r="C3" s="6" t="n"/>
      <c r="D3" s="6" t="n"/>
      <c r="E3" s="9" t="n"/>
      <c r="F3" s="6" t="n"/>
      <c r="G3" s="6" t="n"/>
      <c r="H3" s="6" t="n"/>
      <c r="I3" s="6" t="n"/>
      <c r="J3" s="6" t="n"/>
      <c r="K3" s="6" t="n"/>
      <c r="L3" s="6" t="n"/>
      <c r="M3" s="11" t="n"/>
      <c r="N3" s="11" t="n"/>
      <c r="O3" s="6" t="n"/>
      <c r="P3" s="6" t="n"/>
      <c r="S3" s="122" t="n"/>
      <c r="T3" s="10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40.2" customHeight="1">
      <c r="A4" s="6" t="n"/>
      <c r="B4" s="6" t="n"/>
      <c r="C4" s="6" t="n"/>
      <c r="D4" s="6" t="n"/>
      <c r="F4" s="6" t="n"/>
      <c r="G4" s="6" t="n"/>
      <c r="H4" s="6" t="n"/>
      <c r="I4" s="6" t="n"/>
      <c r="J4" s="6" t="n"/>
      <c r="K4" s="6" t="n"/>
      <c r="L4" s="6" t="n"/>
      <c r="O4" s="6" t="n"/>
      <c r="P4" s="6" t="n"/>
      <c r="S4" s="10" t="n"/>
      <c r="T4" s="10" t="n"/>
    </row>
    <row r="5" ht="40.2" customHeight="1">
      <c r="A5" s="6" t="n"/>
      <c r="B5" s="6" t="n"/>
      <c r="C5" s="6" t="n"/>
      <c r="D5" s="6" t="n"/>
      <c r="E5" s="9" t="n"/>
      <c r="F5" s="6" t="n"/>
      <c r="G5" s="6" t="n"/>
      <c r="H5" s="6" t="n"/>
      <c r="I5" s="6" t="n"/>
      <c r="J5" s="6" t="n"/>
      <c r="L5" s="6" t="n"/>
      <c r="O5" s="6" t="n"/>
      <c r="P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สูง-18.5-18.5</t>
        </is>
      </c>
      <c r="J6" s="16" t="n"/>
      <c r="K6" s="15" t="inlineStr">
        <is>
          <t>กว้าง-18.5-18.5</t>
        </is>
      </c>
      <c r="L6" s="16" t="n"/>
      <c r="M6" s="15" t="inlineStr">
        <is>
          <t>เสา-80-80</t>
        </is>
      </c>
      <c r="N6" s="16" t="n"/>
      <c r="O6" s="15" t="inlineStr">
        <is>
          <t>ขวาง-60-60</t>
        </is>
      </c>
      <c r="P6" s="16" t="n"/>
      <c r="Q6" s="15" t="inlineStr">
        <is>
          <t>สูง-18.5-18.5</t>
        </is>
      </c>
      <c r="R6" s="16" t="n"/>
      <c r="S6" s="15" t="inlineStr">
        <is>
          <t>กว้าง-18.5-18.5</t>
        </is>
      </c>
      <c r="T6" s="16" t="n"/>
      <c r="U6" s="15" t="inlineStr">
        <is>
          <t>เสา-80-80</t>
        </is>
      </c>
      <c r="V6" s="16" t="n"/>
      <c r="W6" s="15" t="inlineStr">
        <is>
          <t>ขวาง-60-60</t>
        </is>
      </c>
      <c r="X6" s="16" t="n"/>
      <c r="Y6" s="15" t="inlineStr">
        <is>
          <t>กว้าง</t>
        </is>
      </c>
      <c r="Z6" s="16" t="n"/>
      <c r="AA6" s="15" t="n"/>
      <c r="AB6" s="16" t="n"/>
      <c r="AC6" s="15" t="n"/>
      <c r="AD6" s="16" t="n"/>
      <c r="AE6" s="17" t="n"/>
      <c r="AF6" s="17" t="n"/>
      <c r="AG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F7938</t>
        </is>
      </c>
      <c r="F7" s="13" t="n"/>
      <c r="G7" s="13" t="n"/>
      <c r="H7" s="14" t="n"/>
      <c r="I7" s="21" t="inlineStr">
        <is>
          <t>F7943</t>
        </is>
      </c>
      <c r="J7" s="13" t="n"/>
      <c r="K7" s="13" t="n"/>
      <c r="L7" s="14" t="n"/>
      <c r="M7" s="21" t="inlineStr">
        <is>
          <t>F7935</t>
        </is>
      </c>
      <c r="N7" s="13" t="n"/>
      <c r="O7" s="13" t="n"/>
      <c r="P7" s="14" t="n"/>
      <c r="Q7" s="21" t="inlineStr">
        <is>
          <t>F7944</t>
        </is>
      </c>
      <c r="R7" s="13" t="n"/>
      <c r="S7" s="13" t="n"/>
      <c r="T7" s="14" t="n"/>
      <c r="U7" s="21" t="inlineStr">
        <is>
          <t>F7949</t>
        </is>
      </c>
      <c r="V7" s="13" t="n"/>
      <c r="W7" s="13" t="n"/>
      <c r="X7" s="14" t="n"/>
      <c r="Y7" s="21" t="inlineStr">
        <is>
          <t>F7948</t>
        </is>
      </c>
      <c r="Z7" s="14" t="n"/>
      <c r="AA7" s="23" t="n"/>
      <c r="AB7" s="14" t="n"/>
      <c r="AC7" s="24" t="n"/>
      <c r="AD7" s="14" t="n"/>
      <c r="AE7" s="25" t="n"/>
      <c r="AF7" s="26" t="inlineStr">
        <is>
          <t>ขนาดกระจก</t>
        </is>
      </c>
      <c r="AG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1" t="n"/>
      <c r="J8" s="32" t="n"/>
      <c r="K8" s="33" t="n"/>
      <c r="L8" s="34" t="n"/>
      <c r="M8" s="31" t="n"/>
      <c r="N8" s="32" t="n"/>
      <c r="O8" s="33" t="n"/>
      <c r="P8" s="34" t="n"/>
      <c r="Q8" s="31" t="n"/>
      <c r="R8" s="32" t="n"/>
      <c r="S8" s="33" t="n"/>
      <c r="T8" s="34" t="n"/>
      <c r="U8" s="31" t="n"/>
      <c r="V8" s="32" t="n"/>
      <c r="W8" s="33" t="n"/>
      <c r="X8" s="34" t="n"/>
      <c r="Y8" s="35" t="n"/>
      <c r="Z8" s="34" t="n"/>
      <c r="AA8" s="35" t="n"/>
      <c r="AB8" s="34" t="n"/>
      <c r="AC8" s="33" t="n"/>
      <c r="AD8" s="34" t="n"/>
      <c r="AE8" s="36" t="n"/>
      <c r="AF8" s="37" t="inlineStr">
        <is>
          <t>กรอบบาน</t>
        </is>
      </c>
      <c r="AG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เสามุ้ง</t>
        </is>
      </c>
      <c r="R9" s="43" t="n"/>
      <c r="S9" s="42" t="inlineStr">
        <is>
          <t>ขวางมุ้ง</t>
        </is>
      </c>
      <c r="T9" s="43" t="n"/>
      <c r="U9" s="42" t="inlineStr">
        <is>
          <t>คิ้วมุ้ง ตั้ง</t>
        </is>
      </c>
      <c r="V9" s="43" t="n"/>
      <c r="W9" s="42" t="inlineStr">
        <is>
          <t>คิ้วมุ้ง ขวาง</t>
        </is>
      </c>
      <c r="X9" s="43" t="n"/>
      <c r="Y9" s="42" t="inlineStr">
        <is>
          <t>กันสาด</t>
        </is>
      </c>
      <c r="Z9" s="43" t="n"/>
      <c r="AA9" s="44" t="n"/>
      <c r="AB9" s="43" t="n"/>
      <c r="AC9" s="42" t="n"/>
      <c r="AD9" s="43" t="n"/>
      <c r="AE9" s="45" t="inlineStr">
        <is>
          <t>SH-67-67</t>
        </is>
      </c>
      <c r="AF9" s="46" t="inlineStr">
        <is>
          <t>SW-67-67</t>
        </is>
      </c>
      <c r="AG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</row>
    <row r="11" ht="40.2" customHeight="1">
      <c r="A11" s="83" t="inlineStr">
        <is>
          <t>W1</t>
        </is>
      </c>
      <c r="B11" s="84" t="n">
        <v>1548</v>
      </c>
      <c r="C11" s="85" t="n">
        <v>993</v>
      </c>
      <c r="D11" s="86" t="n">
        <v>1</v>
      </c>
      <c r="E11" s="123">
        <f>IF($A11="","",$B11)</f>
        <v/>
      </c>
      <c r="F11" s="85">
        <f>IF($A11="","",$L$54*$D11)</f>
        <v/>
      </c>
      <c r="G11" s="123">
        <f>IF($A11="","",$C11-$E$55-$F$55)</f>
        <v/>
      </c>
      <c r="H11" s="85">
        <f>IF($A11="","",$L$55*$D11)</f>
        <v/>
      </c>
      <c r="I11" s="123">
        <f>IF($A11="","",$B11-$E$56-$F$56)</f>
        <v/>
      </c>
      <c r="J11" s="85">
        <f>IF($A11="","",$L$56*$D11)</f>
        <v/>
      </c>
      <c r="K11" s="123">
        <f>IF($A11="","",(($C11-$E$57-$F$57)))</f>
        <v/>
      </c>
      <c r="L11" s="85">
        <f>IF($A11="","",$L$57*$D11)</f>
        <v/>
      </c>
      <c r="M11" s="123">
        <f>IF($A11="","",$I11-$E$58-$F$58)</f>
        <v/>
      </c>
      <c r="N11" s="85">
        <f>IF($A11="","",$L$58*$D11)</f>
        <v/>
      </c>
      <c r="O11" s="123">
        <f>IF($A11="","",$K11-$E$59-$F$59)</f>
        <v/>
      </c>
      <c r="P11" s="85">
        <f>IF($A11="","",$L$59*$D11)</f>
        <v/>
      </c>
      <c r="Q11" s="123">
        <f>IF($A11="","",$I11)</f>
        <v/>
      </c>
      <c r="R11" s="85">
        <f>IF($A11="","",$L$60*$D11)</f>
        <v/>
      </c>
      <c r="S11" s="123">
        <f>IF($A11="","",$K11)</f>
        <v/>
      </c>
      <c r="T11" s="85">
        <f>IF($A11="","",$L$61*$D11)</f>
        <v/>
      </c>
      <c r="U11" s="123">
        <f>IF($A11="","",$Q11-$E$62-$F$62)</f>
        <v/>
      </c>
      <c r="V11" s="85">
        <f>IF($A11="","",$L$62*$D11)</f>
        <v/>
      </c>
      <c r="W11" s="123">
        <f>IF($A11="","",$S11-$E$63-$F$63)</f>
        <v/>
      </c>
      <c r="X11" s="85">
        <f>IF($A11="","",$L$63*$D11)</f>
        <v/>
      </c>
      <c r="Y11" s="123">
        <f>IF($A11="","",$C11)</f>
        <v/>
      </c>
      <c r="Z11" s="85">
        <f>IF($A11="","",$L$64*$D11)</f>
        <v/>
      </c>
      <c r="AA11" s="123" t="n"/>
      <c r="AB11" s="85" t="n"/>
      <c r="AC11" s="123" t="n"/>
      <c r="AD11" s="85" t="n"/>
      <c r="AE11" s="124">
        <f>IF($A11="","",$I11-67-67)</f>
        <v/>
      </c>
      <c r="AF11" s="125">
        <f>IF($A11="","",$K11-67-67)</f>
        <v/>
      </c>
      <c r="AG11" s="126">
        <f>IF($A11="","",1*$D11)</f>
        <v/>
      </c>
    </row>
    <row r="12" ht="40.2" customHeight="1">
      <c r="A12" s="127" t="inlineStr">
        <is>
          <t>W2</t>
        </is>
      </c>
      <c r="B12" s="84" t="n">
        <v>1547</v>
      </c>
      <c r="C12" s="85" t="n">
        <v>988</v>
      </c>
      <c r="D12" s="86" t="n">
        <v>1</v>
      </c>
      <c r="E12" s="128">
        <f>IF($A12="","",$B12)</f>
        <v/>
      </c>
      <c r="F12" s="129">
        <f>IF($A12="","",$L$54*$D12)</f>
        <v/>
      </c>
      <c r="G12" s="128">
        <f>IF($A12="","",$C12-$E$55-$F$55)</f>
        <v/>
      </c>
      <c r="H12" s="129">
        <f>IF($A12="","",$L$55*$D12)</f>
        <v/>
      </c>
      <c r="I12" s="128">
        <f>IF($A12="","",$B12-$E$56-$F$56)</f>
        <v/>
      </c>
      <c r="J12" s="129">
        <f>IF($A12="","",$L$56*$D12)</f>
        <v/>
      </c>
      <c r="K12" s="128">
        <f>IF($A12="","",(($C12-$E$57-$F$57)))</f>
        <v/>
      </c>
      <c r="L12" s="129">
        <f>IF($A12="","",$L$57*$D12)</f>
        <v/>
      </c>
      <c r="M12" s="128">
        <f>IF($A12="","",$I12-$E$58-$F$58)</f>
        <v/>
      </c>
      <c r="N12" s="129">
        <f>IF($A12="","",$L$58*$D12)</f>
        <v/>
      </c>
      <c r="O12" s="128">
        <f>IF($A12="","",$K12-$E$59-$F$59)</f>
        <v/>
      </c>
      <c r="P12" s="129">
        <f>IF($A12="","",$L$59*$D12)</f>
        <v/>
      </c>
      <c r="Q12" s="128">
        <f>IF($A12="","",$I12)</f>
        <v/>
      </c>
      <c r="R12" s="129">
        <f>IF($A12="","",$L$60*$D12)</f>
        <v/>
      </c>
      <c r="S12" s="128">
        <f>IF($A12="","",$K12)</f>
        <v/>
      </c>
      <c r="T12" s="129">
        <f>IF($A12="","",$L$61*$D12)</f>
        <v/>
      </c>
      <c r="U12" s="128">
        <f>IF($A12="","",$Q12-$E$62-$F$62)</f>
        <v/>
      </c>
      <c r="V12" s="129">
        <f>IF($A12="","",$L$62*$D12)</f>
        <v/>
      </c>
      <c r="W12" s="128">
        <f>IF($A12="","",$S12-$E$63-$F$63)</f>
        <v/>
      </c>
      <c r="X12" s="129">
        <f>IF($A12="","",$L$63*$D12)</f>
        <v/>
      </c>
      <c r="Y12" s="128">
        <f>IF($A12="","",$C12)</f>
        <v/>
      </c>
      <c r="Z12" s="129">
        <f>IF($A12="","",$L$64*$D12)</f>
        <v/>
      </c>
      <c r="AA12" s="128" t="n"/>
      <c r="AB12" s="129" t="n"/>
      <c r="AC12" s="128" t="n"/>
      <c r="AD12" s="129" t="n"/>
      <c r="AE12" s="124">
        <f>IF($A12="","",$I12-67-67)</f>
        <v/>
      </c>
      <c r="AF12" s="125">
        <f>IF($A12="","",$K12-67-67)</f>
        <v/>
      </c>
      <c r="AG12" s="126">
        <f>IF($A12="","",1*$D12)</f>
        <v/>
      </c>
    </row>
    <row r="13" ht="40.2" customHeight="1">
      <c r="A13" s="83" t="n"/>
      <c r="B13" s="84" t="n"/>
      <c r="C13" s="85" t="n"/>
      <c r="D13" s="86" t="n"/>
      <c r="E13" s="123">
        <f>IF($A13="","",$B13)</f>
        <v/>
      </c>
      <c r="F13" s="85">
        <f>IF($A13="","",$L$54*$D13)</f>
        <v/>
      </c>
      <c r="G13" s="123">
        <f>IF($A13="","",$C13-$E$55-$F$55)</f>
        <v/>
      </c>
      <c r="H13" s="85">
        <f>IF($A13="","",$L$55*$D13)</f>
        <v/>
      </c>
      <c r="I13" s="123">
        <f>IF($A13="","",$B13-$E$56-$F$56)</f>
        <v/>
      </c>
      <c r="J13" s="85">
        <f>IF($A13="","",$L$56*$D13)</f>
        <v/>
      </c>
      <c r="K13" s="123">
        <f>IF($A13="","",(($C13-$E$57-$F$57)))</f>
        <v/>
      </c>
      <c r="L13" s="85">
        <f>IF($A13="","",$L$57*$D13)</f>
        <v/>
      </c>
      <c r="M13" s="123">
        <f>IF($A13="","",$I13-$E$58-$F$58)</f>
        <v/>
      </c>
      <c r="N13" s="85">
        <f>IF($A13="","",$L$58*$D13)</f>
        <v/>
      </c>
      <c r="O13" s="123">
        <f>IF($A13="","",$K13-$E$59-$F$59)</f>
        <v/>
      </c>
      <c r="P13" s="85">
        <f>IF($A13="","",$L$59*$D13)</f>
        <v/>
      </c>
      <c r="Q13" s="123">
        <f>IF($A13="","",$I13)</f>
        <v/>
      </c>
      <c r="R13" s="85">
        <f>IF($A13="","",$L$60*$D13)</f>
        <v/>
      </c>
      <c r="S13" s="123">
        <f>IF($A13="","",$K13)</f>
        <v/>
      </c>
      <c r="T13" s="85">
        <f>IF($A13="","",$L$61*$D13)</f>
        <v/>
      </c>
      <c r="U13" s="123">
        <f>IF($A13="","",$Q13-$E$62-$F$62)</f>
        <v/>
      </c>
      <c r="V13" s="85">
        <f>IF($A13="","",$L$62*$D13)</f>
        <v/>
      </c>
      <c r="W13" s="123">
        <f>IF($A13="","",$S13-$E$63-$F$63)</f>
        <v/>
      </c>
      <c r="X13" s="85">
        <f>IF($A13="","",$L$63*$D13)</f>
        <v/>
      </c>
      <c r="Y13" s="123">
        <f>IF($A13="","",$C13)</f>
        <v/>
      </c>
      <c r="Z13" s="85">
        <f>IF($A13="","",$L$64*$D13)</f>
        <v/>
      </c>
      <c r="AA13" s="123" t="n"/>
      <c r="AB13" s="85" t="n"/>
      <c r="AC13" s="123" t="n"/>
      <c r="AD13" s="85" t="n"/>
      <c r="AE13" s="124">
        <f>IF($A13="","",$I13-67-67)</f>
        <v/>
      </c>
      <c r="AF13" s="125">
        <f>IF($A13="","",$K13-67-67)</f>
        <v/>
      </c>
      <c r="AG13" s="126">
        <f>IF($A13="","",1*$D13)</f>
        <v/>
      </c>
    </row>
    <row r="14" ht="40.2" customHeight="1">
      <c r="A14" s="83" t="n"/>
      <c r="B14" s="84" t="n"/>
      <c r="C14" s="85" t="n"/>
      <c r="D14" s="86" t="n"/>
      <c r="E14" s="128">
        <f>IF($A14="","",$B14)</f>
        <v/>
      </c>
      <c r="F14" s="129">
        <f>IF($A14="","",$L$54*$D14)</f>
        <v/>
      </c>
      <c r="G14" s="128">
        <f>IF($A14="","",$C14-$E$55-$F$55)</f>
        <v/>
      </c>
      <c r="H14" s="129">
        <f>IF($A14="","",$L$55*$D14)</f>
        <v/>
      </c>
      <c r="I14" s="128">
        <f>IF($A14="","",$B14-$E$56-$F$56)</f>
        <v/>
      </c>
      <c r="J14" s="129">
        <f>IF($A14="","",$L$56*$D14)</f>
        <v/>
      </c>
      <c r="K14" s="128">
        <f>IF($A14="","",(($C14-$E$57-$F$57)))</f>
        <v/>
      </c>
      <c r="L14" s="129">
        <f>IF($A14="","",$L$57*$D14)</f>
        <v/>
      </c>
      <c r="M14" s="128">
        <f>IF($A14="","",$I14-$E$58-$F$58)</f>
        <v/>
      </c>
      <c r="N14" s="129">
        <f>IF($A14="","",$L$58*$D14)</f>
        <v/>
      </c>
      <c r="O14" s="128">
        <f>IF($A14="","",$K14-$E$59-$F$59)</f>
        <v/>
      </c>
      <c r="P14" s="129">
        <f>IF($A14="","",$L$59*$D14)</f>
        <v/>
      </c>
      <c r="Q14" s="128">
        <f>IF($A14="","",$I14)</f>
        <v/>
      </c>
      <c r="R14" s="129">
        <f>IF($A14="","",$L$60*$D14)</f>
        <v/>
      </c>
      <c r="S14" s="128">
        <f>IF($A14="","",$K14)</f>
        <v/>
      </c>
      <c r="T14" s="129">
        <f>IF($A14="","",$L$61*$D14)</f>
        <v/>
      </c>
      <c r="U14" s="128">
        <f>IF($A14="","",$Q14-$E$62-$F$62)</f>
        <v/>
      </c>
      <c r="V14" s="129">
        <f>IF($A14="","",$L$62*$D14)</f>
        <v/>
      </c>
      <c r="W14" s="128">
        <f>IF($A14="","",$S14-$E$63-$F$63)</f>
        <v/>
      </c>
      <c r="X14" s="129">
        <f>IF($A14="","",$L$63*$D14)</f>
        <v/>
      </c>
      <c r="Y14" s="128">
        <f>IF($A14="","",$C14)</f>
        <v/>
      </c>
      <c r="Z14" s="129">
        <f>IF($A14="","",$L$64*$D14)</f>
        <v/>
      </c>
      <c r="AA14" s="128" t="n"/>
      <c r="AB14" s="129" t="n"/>
      <c r="AC14" s="128" t="n"/>
      <c r="AD14" s="129" t="n"/>
      <c r="AE14" s="124">
        <f>IF($A14="","",$I14-67-67)</f>
        <v/>
      </c>
      <c r="AF14" s="125">
        <f>IF($A14="","",$K14-67-67)</f>
        <v/>
      </c>
      <c r="AG14" s="126">
        <f>IF($A14="","",1*$D14)</f>
        <v/>
      </c>
    </row>
    <row r="15" ht="40.2" customHeight="1">
      <c r="A15" s="83" t="n"/>
      <c r="B15" s="84" t="n"/>
      <c r="C15" s="85" t="n"/>
      <c r="D15" s="86" t="n"/>
      <c r="E15" s="123">
        <f>IF($A15="","",$B15)</f>
        <v/>
      </c>
      <c r="F15" s="85">
        <f>IF($A15="","",$L$54*$D15)</f>
        <v/>
      </c>
      <c r="G15" s="123">
        <f>IF($A15="","",$C15-$E$55-$F$55)</f>
        <v/>
      </c>
      <c r="H15" s="85">
        <f>IF($A15="","",$L$55*$D15)</f>
        <v/>
      </c>
      <c r="I15" s="123">
        <f>IF($A15="","",$B15-$E$56-$F$56)</f>
        <v/>
      </c>
      <c r="J15" s="85">
        <f>IF($A15="","",$L$56*$D15)</f>
        <v/>
      </c>
      <c r="K15" s="123">
        <f>IF($A15="","",(($C15-$E$57-$F$57)))</f>
        <v/>
      </c>
      <c r="L15" s="85">
        <f>IF($A15="","",$L$57*$D15)</f>
        <v/>
      </c>
      <c r="M15" s="123">
        <f>IF($A15="","",$I15-$E$58-$F$58)</f>
        <v/>
      </c>
      <c r="N15" s="85">
        <f>IF($A15="","",$L$58*$D15)</f>
        <v/>
      </c>
      <c r="O15" s="123">
        <f>IF($A15="","",$K15-$E$59-$F$59)</f>
        <v/>
      </c>
      <c r="P15" s="85">
        <f>IF($A15="","",$L$59*$D15)</f>
        <v/>
      </c>
      <c r="Q15" s="123">
        <f>IF($A15="","",$I15)</f>
        <v/>
      </c>
      <c r="R15" s="85">
        <f>IF($A15="","",$L$60*$D15)</f>
        <v/>
      </c>
      <c r="S15" s="123">
        <f>IF($A15="","",$K15)</f>
        <v/>
      </c>
      <c r="T15" s="85">
        <f>IF($A15="","",$L$61*$D15)</f>
        <v/>
      </c>
      <c r="U15" s="123">
        <f>IF($A15="","",$Q15-$E$62-$F$62)</f>
        <v/>
      </c>
      <c r="V15" s="85">
        <f>IF($A15="","",$L$62*$D15)</f>
        <v/>
      </c>
      <c r="W15" s="123">
        <f>IF($A15="","",$S15-$E$63-$F$63)</f>
        <v/>
      </c>
      <c r="X15" s="85">
        <f>IF($A15="","",$L$63*$D15)</f>
        <v/>
      </c>
      <c r="Y15" s="123">
        <f>IF($A15="","",$C15)</f>
        <v/>
      </c>
      <c r="Z15" s="85">
        <f>IF($A15="","",$L$64*$D15)</f>
        <v/>
      </c>
      <c r="AA15" s="123" t="n"/>
      <c r="AB15" s="85" t="n"/>
      <c r="AC15" s="123" t="n"/>
      <c r="AD15" s="85" t="n"/>
      <c r="AE15" s="124">
        <f>IF($A15="","",$I15-67-67)</f>
        <v/>
      </c>
      <c r="AF15" s="125">
        <f>IF($A15="","",$K15-67-67)</f>
        <v/>
      </c>
      <c r="AG15" s="126">
        <f>IF($A15="","",1*$D15)</f>
        <v/>
      </c>
    </row>
    <row r="16" ht="40.2" customHeight="1">
      <c r="A16" s="83" t="n"/>
      <c r="B16" s="84" t="n"/>
      <c r="C16" s="85" t="n"/>
      <c r="D16" s="86" t="n"/>
      <c r="E16" s="128">
        <f>IF($A16="","",$B16)</f>
        <v/>
      </c>
      <c r="F16" s="129">
        <f>IF($A16="","",$L$54*$D16)</f>
        <v/>
      </c>
      <c r="G16" s="128">
        <f>IF($A16="","",$C16-$E$55-$F$55)</f>
        <v/>
      </c>
      <c r="H16" s="129">
        <f>IF($A16="","",$L$55*$D16)</f>
        <v/>
      </c>
      <c r="I16" s="128">
        <f>IF($A16="","",$B16-$E$56-$F$56)</f>
        <v/>
      </c>
      <c r="J16" s="129">
        <f>IF($A16="","",$L$56*$D16)</f>
        <v/>
      </c>
      <c r="K16" s="128">
        <f>IF($A16="","",(($C16-$E$57-$F$57)))</f>
        <v/>
      </c>
      <c r="L16" s="129">
        <f>IF($A16="","",$L$57*$D16)</f>
        <v/>
      </c>
      <c r="M16" s="128">
        <f>IF($A16="","",$I16-$E$58-$F$58)</f>
        <v/>
      </c>
      <c r="N16" s="129">
        <f>IF($A16="","",$L$58*$D16)</f>
        <v/>
      </c>
      <c r="O16" s="128">
        <f>IF($A16="","",$K16-$E$59-$F$59)</f>
        <v/>
      </c>
      <c r="P16" s="129">
        <f>IF($A16="","",$L$59*$D16)</f>
        <v/>
      </c>
      <c r="Q16" s="128">
        <f>IF($A16="","",$I16)</f>
        <v/>
      </c>
      <c r="R16" s="129">
        <f>IF($A16="","",$L$60*$D16)</f>
        <v/>
      </c>
      <c r="S16" s="128">
        <f>IF($A16="","",$K16)</f>
        <v/>
      </c>
      <c r="T16" s="129">
        <f>IF($A16="","",$L$61*$D16)</f>
        <v/>
      </c>
      <c r="U16" s="128">
        <f>IF($A16="","",$Q16-$E$62-$F$62)</f>
        <v/>
      </c>
      <c r="V16" s="129">
        <f>IF($A16="","",$L$62*$D16)</f>
        <v/>
      </c>
      <c r="W16" s="128">
        <f>IF($A16="","",$S16-$E$63-$F$63)</f>
        <v/>
      </c>
      <c r="X16" s="129">
        <f>IF($A16="","",$L$63*$D16)</f>
        <v/>
      </c>
      <c r="Y16" s="128">
        <f>IF($A16="","",$C16)</f>
        <v/>
      </c>
      <c r="Z16" s="129">
        <f>IF($A16="","",$L$64*$D16)</f>
        <v/>
      </c>
      <c r="AA16" s="128" t="n"/>
      <c r="AB16" s="129" t="n"/>
      <c r="AC16" s="128" t="n"/>
      <c r="AD16" s="129" t="n"/>
      <c r="AE16" s="124">
        <f>IF($A16="","",$I16-67-67)</f>
        <v/>
      </c>
      <c r="AF16" s="125">
        <f>IF($A16="","",$K16-67-67)</f>
        <v/>
      </c>
      <c r="AG16" s="126">
        <f>IF($A16="","",1*$D16)</f>
        <v/>
      </c>
    </row>
    <row r="17" ht="40.2" customHeight="1">
      <c r="A17" s="83" t="n"/>
      <c r="B17" s="84" t="n"/>
      <c r="C17" s="85" t="n"/>
      <c r="D17" s="86" t="n"/>
      <c r="E17" s="123">
        <f>IF($A17="","",$B17)</f>
        <v/>
      </c>
      <c r="F17" s="85">
        <f>IF($A17="","",$L$54*$D17)</f>
        <v/>
      </c>
      <c r="G17" s="123">
        <f>IF($A17="","",$C17-$E$55-$F$55)</f>
        <v/>
      </c>
      <c r="H17" s="85">
        <f>IF($A17="","",$L$55*$D17)</f>
        <v/>
      </c>
      <c r="I17" s="123">
        <f>IF($A17="","",$B17-$E$56-$F$56)</f>
        <v/>
      </c>
      <c r="J17" s="85">
        <f>IF($A17="","",$L$56*$D17)</f>
        <v/>
      </c>
      <c r="K17" s="123">
        <f>IF($A17="","",(($C17-$E$57-$F$57)))</f>
        <v/>
      </c>
      <c r="L17" s="85">
        <f>IF($A17="","",$L$57*$D17)</f>
        <v/>
      </c>
      <c r="M17" s="123">
        <f>IF($A17="","",$I17-$E$58-$F$58)</f>
        <v/>
      </c>
      <c r="N17" s="85">
        <f>IF($A17="","",$L$58*$D17)</f>
        <v/>
      </c>
      <c r="O17" s="123">
        <f>IF($A17="","",$K17-$E$59-$F$59)</f>
        <v/>
      </c>
      <c r="P17" s="85">
        <f>IF($A17="","",$L$59*$D17)</f>
        <v/>
      </c>
      <c r="Q17" s="123">
        <f>IF($A17="","",$I17)</f>
        <v/>
      </c>
      <c r="R17" s="85">
        <f>IF($A17="","",$L$60*$D17)</f>
        <v/>
      </c>
      <c r="S17" s="123">
        <f>IF($A17="","",$K17)</f>
        <v/>
      </c>
      <c r="T17" s="85">
        <f>IF($A17="","",$L$61*$D17)</f>
        <v/>
      </c>
      <c r="U17" s="123">
        <f>IF($A17="","",$Q17-$E$62-$F$62)</f>
        <v/>
      </c>
      <c r="V17" s="85">
        <f>IF($A17="","",$L$62*$D17)</f>
        <v/>
      </c>
      <c r="W17" s="123">
        <f>IF($A17="","",$S17-$E$63-$F$63)</f>
        <v/>
      </c>
      <c r="X17" s="85">
        <f>IF($A17="","",$L$63*$D17)</f>
        <v/>
      </c>
      <c r="Y17" s="123">
        <f>IF($A17="","",$C17)</f>
        <v/>
      </c>
      <c r="Z17" s="85">
        <f>IF($A17="","",$L$64*$D17)</f>
        <v/>
      </c>
      <c r="AA17" s="123" t="n"/>
      <c r="AB17" s="85" t="n"/>
      <c r="AC17" s="123" t="n"/>
      <c r="AD17" s="85" t="n"/>
      <c r="AE17" s="124">
        <f>IF($A17="","",$I17-67-67)</f>
        <v/>
      </c>
      <c r="AF17" s="125">
        <f>IF($A17="","",$K17-67-67)</f>
        <v/>
      </c>
      <c r="AG17" s="126">
        <f>IF($A17="","",1*$D17)</f>
        <v/>
      </c>
    </row>
    <row r="18" ht="40.2" customHeight="1">
      <c r="A18" s="83" t="n"/>
      <c r="B18" s="84" t="n"/>
      <c r="C18" s="85" t="n"/>
      <c r="D18" s="86" t="n"/>
      <c r="E18" s="128">
        <f>IF($A18="","",$B18)</f>
        <v/>
      </c>
      <c r="F18" s="129">
        <f>IF($A18="","",$L$54*$D18)</f>
        <v/>
      </c>
      <c r="G18" s="128">
        <f>IF($A18="","",$C18-$E$55-$F$55)</f>
        <v/>
      </c>
      <c r="H18" s="129">
        <f>IF($A18="","",$L$55*$D18)</f>
        <v/>
      </c>
      <c r="I18" s="128">
        <f>IF($A18="","",$B18-$E$56-$F$56)</f>
        <v/>
      </c>
      <c r="J18" s="129">
        <f>IF($A18="","",$L$56*$D18)</f>
        <v/>
      </c>
      <c r="K18" s="128">
        <f>IF($A18="","",(($C18-$E$57-$F$57)))</f>
        <v/>
      </c>
      <c r="L18" s="129">
        <f>IF($A18="","",$L$57*$D18)</f>
        <v/>
      </c>
      <c r="M18" s="128">
        <f>IF($A18="","",$I18-$E$58-$F$58)</f>
        <v/>
      </c>
      <c r="N18" s="129">
        <f>IF($A18="","",$L$58*$D18)</f>
        <v/>
      </c>
      <c r="O18" s="128">
        <f>IF($A18="","",$K18-$E$59-$F$59)</f>
        <v/>
      </c>
      <c r="P18" s="129">
        <f>IF($A18="","",$L$59*$D18)</f>
        <v/>
      </c>
      <c r="Q18" s="128">
        <f>IF($A18="","",$I18)</f>
        <v/>
      </c>
      <c r="R18" s="129">
        <f>IF($A18="","",$L$60*$D18)</f>
        <v/>
      </c>
      <c r="S18" s="128">
        <f>IF($A18="","",$K18)</f>
        <v/>
      </c>
      <c r="T18" s="129">
        <f>IF($A18="","",$L$61*$D18)</f>
        <v/>
      </c>
      <c r="U18" s="128">
        <f>IF($A18="","",$Q18-$E$62-$F$62)</f>
        <v/>
      </c>
      <c r="V18" s="129">
        <f>IF($A18="","",$L$62*$D18)</f>
        <v/>
      </c>
      <c r="W18" s="128">
        <f>IF($A18="","",$S18-$E$63-$F$63)</f>
        <v/>
      </c>
      <c r="X18" s="129">
        <f>IF($A18="","",$L$63*$D18)</f>
        <v/>
      </c>
      <c r="Y18" s="128">
        <f>IF($A18="","",$C18)</f>
        <v/>
      </c>
      <c r="Z18" s="129">
        <f>IF($A18="","",$L$64*$D18)</f>
        <v/>
      </c>
      <c r="AA18" s="128" t="n"/>
      <c r="AB18" s="129" t="n"/>
      <c r="AC18" s="128" t="n"/>
      <c r="AD18" s="129" t="n"/>
      <c r="AE18" s="124">
        <f>IF($A18="","",$I18-67-67)</f>
        <v/>
      </c>
      <c r="AF18" s="125">
        <f>IF($A18="","",$K18-67-67)</f>
        <v/>
      </c>
      <c r="AG18" s="126">
        <f>IF($A18="","",1*$D18)</f>
        <v/>
      </c>
    </row>
    <row r="19" ht="40.2" customHeight="1">
      <c r="A19" s="83" t="n"/>
      <c r="B19" s="84" t="n"/>
      <c r="C19" s="85" t="n"/>
      <c r="D19" s="86" t="n"/>
      <c r="E19" s="123">
        <f>IF($A19="","",$B19)</f>
        <v/>
      </c>
      <c r="F19" s="85">
        <f>IF($A19="","",$L$54*$D19)</f>
        <v/>
      </c>
      <c r="G19" s="123">
        <f>IF($A19="","",$C19-$E$55-$F$55)</f>
        <v/>
      </c>
      <c r="H19" s="85">
        <f>IF($A19="","",$L$55*$D19)</f>
        <v/>
      </c>
      <c r="I19" s="123">
        <f>IF($A19="","",$B19-$E$56-$F$56)</f>
        <v/>
      </c>
      <c r="J19" s="85">
        <f>IF($A19="","",$L$56*$D19)</f>
        <v/>
      </c>
      <c r="K19" s="123">
        <f>IF($A19="","",(($C19-$E$57-$F$57)))</f>
        <v/>
      </c>
      <c r="L19" s="85">
        <f>IF($A19="","",$L$57*$D19)</f>
        <v/>
      </c>
      <c r="M19" s="123">
        <f>IF($A19="","",$I19-$E$58-$F$58)</f>
        <v/>
      </c>
      <c r="N19" s="85">
        <f>IF($A19="","",$L$58*$D19)</f>
        <v/>
      </c>
      <c r="O19" s="123">
        <f>IF($A19="","",$K19-$E$59-$F$59)</f>
        <v/>
      </c>
      <c r="P19" s="85">
        <f>IF($A19="","",$L$59*$D19)</f>
        <v/>
      </c>
      <c r="Q19" s="123">
        <f>IF($A19="","",$I19)</f>
        <v/>
      </c>
      <c r="R19" s="85">
        <f>IF($A19="","",$L$60*$D19)</f>
        <v/>
      </c>
      <c r="S19" s="123">
        <f>IF($A19="","",$K19)</f>
        <v/>
      </c>
      <c r="T19" s="85">
        <f>IF($A19="","",$L$61*$D19)</f>
        <v/>
      </c>
      <c r="U19" s="123">
        <f>IF($A19="","",$Q19-$E$62-$F$62)</f>
        <v/>
      </c>
      <c r="V19" s="85">
        <f>IF($A19="","",$L$62*$D19)</f>
        <v/>
      </c>
      <c r="W19" s="123">
        <f>IF($A19="","",$S19-$E$63-$F$63)</f>
        <v/>
      </c>
      <c r="X19" s="85">
        <f>IF($A19="","",$L$63*$D19)</f>
        <v/>
      </c>
      <c r="Y19" s="123">
        <f>IF($A19="","",$C19)</f>
        <v/>
      </c>
      <c r="Z19" s="85">
        <f>IF($A19="","",$L$64*$D19)</f>
        <v/>
      </c>
      <c r="AA19" s="123" t="n"/>
      <c r="AB19" s="85" t="n"/>
      <c r="AC19" s="123" t="n"/>
      <c r="AD19" s="85" t="n"/>
      <c r="AE19" s="124">
        <f>IF($A19="","",$I19-67-67)</f>
        <v/>
      </c>
      <c r="AF19" s="125">
        <f>IF($A19="","",$K19-67-67)</f>
        <v/>
      </c>
      <c r="AG19" s="126">
        <f>IF($A19="","",1*$D19)</f>
        <v/>
      </c>
    </row>
    <row r="20" ht="40.2" customHeight="1">
      <c r="A20" s="83" t="n"/>
      <c r="B20" s="84" t="n"/>
      <c r="C20" s="85" t="n"/>
      <c r="D20" s="86" t="n"/>
      <c r="E20" s="128">
        <f>IF($A20="","",$B20)</f>
        <v/>
      </c>
      <c r="F20" s="129">
        <f>IF($A20="","",$L$54*$D20)</f>
        <v/>
      </c>
      <c r="G20" s="128">
        <f>IF($A20="","",$C20-$E$55-$F$55)</f>
        <v/>
      </c>
      <c r="H20" s="129">
        <f>IF($A20="","",$L$55*$D20)</f>
        <v/>
      </c>
      <c r="I20" s="128">
        <f>IF($A20="","",$B20-$E$56-$F$56)</f>
        <v/>
      </c>
      <c r="J20" s="129">
        <f>IF($A20="","",$L$56*$D20)</f>
        <v/>
      </c>
      <c r="K20" s="128">
        <f>IF($A20="","",(($C20-$E$57-$F$57)))</f>
        <v/>
      </c>
      <c r="L20" s="129">
        <f>IF($A20="","",$L$57*$D20)</f>
        <v/>
      </c>
      <c r="M20" s="128">
        <f>IF($A20="","",$I20-$E$58-$F$58)</f>
        <v/>
      </c>
      <c r="N20" s="129">
        <f>IF($A20="","",$L$58*$D20)</f>
        <v/>
      </c>
      <c r="O20" s="128">
        <f>IF($A20="","",$K20-$E$59-$F$59)</f>
        <v/>
      </c>
      <c r="P20" s="129">
        <f>IF($A20="","",$L$59*$D20)</f>
        <v/>
      </c>
      <c r="Q20" s="128">
        <f>IF($A20="","",$I20)</f>
        <v/>
      </c>
      <c r="R20" s="129">
        <f>IF($A20="","",$L$60*$D20)</f>
        <v/>
      </c>
      <c r="S20" s="128">
        <f>IF($A20="","",$K20)</f>
        <v/>
      </c>
      <c r="T20" s="129">
        <f>IF($A20="","",$L$61*$D20)</f>
        <v/>
      </c>
      <c r="U20" s="128">
        <f>IF($A20="","",$Q20-$E$62-$F$62)</f>
        <v/>
      </c>
      <c r="V20" s="129">
        <f>IF($A20="","",$L$62*$D20)</f>
        <v/>
      </c>
      <c r="W20" s="128">
        <f>IF($A20="","",$S20-$E$63-$F$63)</f>
        <v/>
      </c>
      <c r="X20" s="129">
        <f>IF($A20="","",$L$63*$D20)</f>
        <v/>
      </c>
      <c r="Y20" s="128">
        <f>IF($A20="","",$C20)</f>
        <v/>
      </c>
      <c r="Z20" s="129">
        <f>IF($A20="","",$L$64*$D20)</f>
        <v/>
      </c>
      <c r="AA20" s="128" t="n"/>
      <c r="AB20" s="129" t="n"/>
      <c r="AC20" s="128" t="n"/>
      <c r="AD20" s="129" t="n"/>
      <c r="AE20" s="124">
        <f>IF($A20="","",$I20-67-67)</f>
        <v/>
      </c>
      <c r="AF20" s="125">
        <f>IF($A20="","",$K20-67-67)</f>
        <v/>
      </c>
      <c r="AG20" s="126">
        <f>IF($A20="","",1*$D20)</f>
        <v/>
      </c>
    </row>
    <row r="21" ht="40.2" customHeight="1">
      <c r="A21" s="83" t="n"/>
      <c r="B21" s="84" t="n"/>
      <c r="C21" s="85" t="n"/>
      <c r="D21" s="86" t="n"/>
      <c r="E21" s="123">
        <f>IF($A21="","",$B21)</f>
        <v/>
      </c>
      <c r="F21" s="85">
        <f>IF($A21="","",$L$54*$D21)</f>
        <v/>
      </c>
      <c r="G21" s="123">
        <f>IF($A21="","",$C21-$E$55-$F$55)</f>
        <v/>
      </c>
      <c r="H21" s="85">
        <f>IF($A21="","",$L$55*$D21)</f>
        <v/>
      </c>
      <c r="I21" s="123">
        <f>IF($A21="","",$B21-$E$56-$F$56)</f>
        <v/>
      </c>
      <c r="J21" s="85">
        <f>IF($A21="","",$L$56*$D21)</f>
        <v/>
      </c>
      <c r="K21" s="123">
        <f>IF($A21="","",(($C21-$E$57-$F$57)))</f>
        <v/>
      </c>
      <c r="L21" s="85">
        <f>IF($A21="","",$L$57*$D21)</f>
        <v/>
      </c>
      <c r="M21" s="123">
        <f>IF($A21="","",$I21-$E$58-$F$58)</f>
        <v/>
      </c>
      <c r="N21" s="85">
        <f>IF($A21="","",$L$58*$D21)</f>
        <v/>
      </c>
      <c r="O21" s="123">
        <f>IF($A21="","",$K21-$E$59-$F$59)</f>
        <v/>
      </c>
      <c r="P21" s="85">
        <f>IF($A21="","",$L$59*$D21)</f>
        <v/>
      </c>
      <c r="Q21" s="123">
        <f>IF($A21="","",$I21)</f>
        <v/>
      </c>
      <c r="R21" s="85">
        <f>IF($A21="","",$L$60*$D21)</f>
        <v/>
      </c>
      <c r="S21" s="123">
        <f>IF($A21="","",$K21)</f>
        <v/>
      </c>
      <c r="T21" s="85">
        <f>IF($A21="","",$L$61*$D21)</f>
        <v/>
      </c>
      <c r="U21" s="123">
        <f>IF($A21="","",$Q21-$E$62-$F$62)</f>
        <v/>
      </c>
      <c r="V21" s="85">
        <f>IF($A21="","",$L$62*$D21)</f>
        <v/>
      </c>
      <c r="W21" s="123">
        <f>IF($A21="","",$S21-$E$63-$F$63)</f>
        <v/>
      </c>
      <c r="X21" s="85">
        <f>IF($A21="","",$L$63*$D21)</f>
        <v/>
      </c>
      <c r="Y21" s="123">
        <f>IF($A21="","",$C21)</f>
        <v/>
      </c>
      <c r="Z21" s="85">
        <f>IF($A21="","",$L$64*$D21)</f>
        <v/>
      </c>
      <c r="AA21" s="123" t="n"/>
      <c r="AB21" s="85" t="n"/>
      <c r="AC21" s="123" t="n"/>
      <c r="AD21" s="85" t="n"/>
      <c r="AE21" s="124">
        <f>IF($A21="","",$I21-67-67)</f>
        <v/>
      </c>
      <c r="AF21" s="125">
        <f>IF($A21="","",$K21-67-67)</f>
        <v/>
      </c>
      <c r="AG21" s="126">
        <f>IF($A21="","",1*$D21)</f>
        <v/>
      </c>
    </row>
    <row r="22" ht="40.2" customHeight="1">
      <c r="A22" s="83" t="n"/>
      <c r="B22" s="84" t="n"/>
      <c r="C22" s="85" t="n"/>
      <c r="D22" s="86" t="n"/>
      <c r="E22" s="128">
        <f>IF($A22="","",$B22)</f>
        <v/>
      </c>
      <c r="F22" s="129">
        <f>IF($A22="","",$L$54*$D22)</f>
        <v/>
      </c>
      <c r="G22" s="128">
        <f>IF($A22="","",$C22-$E$55-$F$55)</f>
        <v/>
      </c>
      <c r="H22" s="129">
        <f>IF($A22="","",$L$55*$D22)</f>
        <v/>
      </c>
      <c r="I22" s="128">
        <f>IF($A22="","",$B22-$E$56-$F$56)</f>
        <v/>
      </c>
      <c r="J22" s="129">
        <f>IF($A22="","",$L$56*$D22)</f>
        <v/>
      </c>
      <c r="K22" s="128">
        <f>IF($A22="","",(($C22-$E$57-$F$57)))</f>
        <v/>
      </c>
      <c r="L22" s="129">
        <f>IF($A22="","",$L$57*$D22)</f>
        <v/>
      </c>
      <c r="M22" s="128">
        <f>IF($A22="","",$I22-$E$58-$F$58)</f>
        <v/>
      </c>
      <c r="N22" s="129">
        <f>IF($A22="","",$L$58*$D22)</f>
        <v/>
      </c>
      <c r="O22" s="128">
        <f>IF($A22="","",$K22-$E$59-$F$59)</f>
        <v/>
      </c>
      <c r="P22" s="129">
        <f>IF($A22="","",$L$59*$D22)</f>
        <v/>
      </c>
      <c r="Q22" s="128">
        <f>IF($A22="","",$I22)</f>
        <v/>
      </c>
      <c r="R22" s="129">
        <f>IF($A22="","",$L$60*$D22)</f>
        <v/>
      </c>
      <c r="S22" s="128">
        <f>IF($A22="","",$K22)</f>
        <v/>
      </c>
      <c r="T22" s="129">
        <f>IF($A22="","",$L$61*$D22)</f>
        <v/>
      </c>
      <c r="U22" s="128">
        <f>IF($A22="","",$Q22-$E$62-$F$62)</f>
        <v/>
      </c>
      <c r="V22" s="129">
        <f>IF($A22="","",$L$62*$D22)</f>
        <v/>
      </c>
      <c r="W22" s="128">
        <f>IF($A22="","",$S22-$E$63-$F$63)</f>
        <v/>
      </c>
      <c r="X22" s="129">
        <f>IF($A22="","",$L$63*$D22)</f>
        <v/>
      </c>
      <c r="Y22" s="128">
        <f>IF($A22="","",$C22)</f>
        <v/>
      </c>
      <c r="Z22" s="129">
        <f>IF($A22="","",$L$64*$D22)</f>
        <v/>
      </c>
      <c r="AA22" s="128" t="n"/>
      <c r="AB22" s="129" t="n"/>
      <c r="AC22" s="128" t="n"/>
      <c r="AD22" s="129" t="n"/>
      <c r="AE22" s="124">
        <f>IF($A22="","",$I22-67-67)</f>
        <v/>
      </c>
      <c r="AF22" s="125">
        <f>IF($A22="","",$K22-67-67)</f>
        <v/>
      </c>
      <c r="AG22" s="126">
        <f>IF($A22="","",1*$D22)</f>
        <v/>
      </c>
    </row>
    <row r="23" ht="40.2" customHeight="1">
      <c r="A23" s="83" t="n"/>
      <c r="B23" s="84" t="n"/>
      <c r="C23" s="85" t="n"/>
      <c r="D23" s="86" t="n"/>
      <c r="E23" s="123">
        <f>IF($A23="","",$B23)</f>
        <v/>
      </c>
      <c r="F23" s="85">
        <f>IF($A23="","",$L$54*$D23)</f>
        <v/>
      </c>
      <c r="G23" s="123">
        <f>IF($A23="","",$C23-$E$55-$F$55)</f>
        <v/>
      </c>
      <c r="H23" s="85">
        <f>IF($A23="","",$L$55*$D23)</f>
        <v/>
      </c>
      <c r="I23" s="123">
        <f>IF($A23="","",$B23-$E$56-$F$56)</f>
        <v/>
      </c>
      <c r="J23" s="85">
        <f>IF($A23="","",$L$56*$D23)</f>
        <v/>
      </c>
      <c r="K23" s="123">
        <f>IF($A23="","",(($C23-$E$57-$F$57)))</f>
        <v/>
      </c>
      <c r="L23" s="85">
        <f>IF($A23="","",$L$57*$D23)</f>
        <v/>
      </c>
      <c r="M23" s="123">
        <f>IF($A23="","",$I23-$E$58-$F$58)</f>
        <v/>
      </c>
      <c r="N23" s="85">
        <f>IF($A23="","",$L$58*$D23)</f>
        <v/>
      </c>
      <c r="O23" s="123">
        <f>IF($A23="","",$K23-$E$59-$F$59)</f>
        <v/>
      </c>
      <c r="P23" s="85">
        <f>IF($A23="","",$L$59*$D23)</f>
        <v/>
      </c>
      <c r="Q23" s="123">
        <f>IF($A23="","",$I23)</f>
        <v/>
      </c>
      <c r="R23" s="85">
        <f>IF($A23="","",$L$60*$D23)</f>
        <v/>
      </c>
      <c r="S23" s="123">
        <f>IF($A23="","",$K23)</f>
        <v/>
      </c>
      <c r="T23" s="85">
        <f>IF($A23="","",$L$61*$D23)</f>
        <v/>
      </c>
      <c r="U23" s="123">
        <f>IF($A23="","",$Q23-$E$62-$F$62)</f>
        <v/>
      </c>
      <c r="V23" s="85">
        <f>IF($A23="","",$L$62*$D23)</f>
        <v/>
      </c>
      <c r="W23" s="123">
        <f>IF($A23="","",$S23-$E$63-$F$63)</f>
        <v/>
      </c>
      <c r="X23" s="85">
        <f>IF($A23="","",$L$63*$D23)</f>
        <v/>
      </c>
      <c r="Y23" s="123">
        <f>IF($A23="","",$C23)</f>
        <v/>
      </c>
      <c r="Z23" s="85">
        <f>IF($A23="","",$L$64*$D23)</f>
        <v/>
      </c>
      <c r="AA23" s="123" t="n"/>
      <c r="AB23" s="85" t="n"/>
      <c r="AC23" s="123" t="n"/>
      <c r="AD23" s="85" t="n"/>
      <c r="AE23" s="124">
        <f>IF($A23="","",$I23-67-67)</f>
        <v/>
      </c>
      <c r="AF23" s="125">
        <f>IF($A23="","",$K23-67-67)</f>
        <v/>
      </c>
      <c r="AG23" s="126">
        <f>IF($A23="","",1*$D23)</f>
        <v/>
      </c>
    </row>
    <row r="24" ht="40.2" customHeight="1">
      <c r="A24" s="83" t="n"/>
      <c r="B24" s="84" t="n"/>
      <c r="C24" s="85" t="n"/>
      <c r="D24" s="86" t="n"/>
      <c r="E24" s="128">
        <f>IF($A24="","",$B24)</f>
        <v/>
      </c>
      <c r="F24" s="129">
        <f>IF($A24="","",$L$54*$D24)</f>
        <v/>
      </c>
      <c r="G24" s="128">
        <f>IF($A24="","",$C24-$E$55-$F$55)</f>
        <v/>
      </c>
      <c r="H24" s="129">
        <f>IF($A24="","",$L$55*$D24)</f>
        <v/>
      </c>
      <c r="I24" s="128">
        <f>IF($A24="","",$B24-$E$56-$F$56)</f>
        <v/>
      </c>
      <c r="J24" s="129">
        <f>IF($A24="","",$L$56*$D24)</f>
        <v/>
      </c>
      <c r="K24" s="128">
        <f>IF($A24="","",(($C24-$E$57-$F$57)))</f>
        <v/>
      </c>
      <c r="L24" s="129">
        <f>IF($A24="","",$L$57*$D24)</f>
        <v/>
      </c>
      <c r="M24" s="128">
        <f>IF($A24="","",$I24-$E$58-$F$58)</f>
        <v/>
      </c>
      <c r="N24" s="129">
        <f>IF($A24="","",$L$58*$D24)</f>
        <v/>
      </c>
      <c r="O24" s="128">
        <f>IF($A24="","",$K24-$E$59-$F$59)</f>
        <v/>
      </c>
      <c r="P24" s="129">
        <f>IF($A24="","",$L$59*$D24)</f>
        <v/>
      </c>
      <c r="Q24" s="128">
        <f>IF($A24="","",$I24)</f>
        <v/>
      </c>
      <c r="R24" s="129">
        <f>IF($A24="","",$L$60*$D24)</f>
        <v/>
      </c>
      <c r="S24" s="128">
        <f>IF($A24="","",$K24)</f>
        <v/>
      </c>
      <c r="T24" s="129">
        <f>IF($A24="","",$L$61*$D24)</f>
        <v/>
      </c>
      <c r="U24" s="128">
        <f>IF($A24="","",$Q24-$E$62-$F$62)</f>
        <v/>
      </c>
      <c r="V24" s="129">
        <f>IF($A24="","",$L$62*$D24)</f>
        <v/>
      </c>
      <c r="W24" s="128">
        <f>IF($A24="","",$S24-$E$63-$F$63)</f>
        <v/>
      </c>
      <c r="X24" s="129">
        <f>IF($A24="","",$L$63*$D24)</f>
        <v/>
      </c>
      <c r="Y24" s="128">
        <f>IF($A24="","",$C24)</f>
        <v/>
      </c>
      <c r="Z24" s="129">
        <f>IF($A24="","",$L$64*$D24)</f>
        <v/>
      </c>
      <c r="AA24" s="128" t="n"/>
      <c r="AB24" s="129" t="n"/>
      <c r="AC24" s="128" t="n"/>
      <c r="AD24" s="129" t="n"/>
      <c r="AE24" s="124">
        <f>IF($A24="","",$I24-67-67)</f>
        <v/>
      </c>
      <c r="AF24" s="125">
        <f>IF($A24="","",$K24-67-67)</f>
        <v/>
      </c>
      <c r="AG24" s="126">
        <f>IF($A24="","",1*$D24)</f>
        <v/>
      </c>
    </row>
    <row r="25" ht="40.2" customHeight="1">
      <c r="A25" s="83" t="n"/>
      <c r="B25" s="84" t="n"/>
      <c r="C25" s="85" t="n"/>
      <c r="D25" s="86" t="n"/>
      <c r="E25" s="123">
        <f>IF($A25="","",$B25)</f>
        <v/>
      </c>
      <c r="F25" s="85">
        <f>IF($A25="","",$L$54*$D25)</f>
        <v/>
      </c>
      <c r="G25" s="123">
        <f>IF($A25="","",$C25-$E$55-$F$55)</f>
        <v/>
      </c>
      <c r="H25" s="85">
        <f>IF($A25="","",$L$55*$D25)</f>
        <v/>
      </c>
      <c r="I25" s="123">
        <f>IF($A25="","",$B25-$E$56-$F$56)</f>
        <v/>
      </c>
      <c r="J25" s="85">
        <f>IF($A25="","",$L$56*$D25)</f>
        <v/>
      </c>
      <c r="K25" s="123">
        <f>IF($A25="","",(($C25-$E$57-$F$57)))</f>
        <v/>
      </c>
      <c r="L25" s="85">
        <f>IF($A25="","",$L$57*$D25)</f>
        <v/>
      </c>
      <c r="M25" s="123">
        <f>IF($A25="","",$I25-$E$58-$F$58)</f>
        <v/>
      </c>
      <c r="N25" s="85">
        <f>IF($A25="","",$L$58*$D25)</f>
        <v/>
      </c>
      <c r="O25" s="123">
        <f>IF($A25="","",$K25-$E$59-$F$59)</f>
        <v/>
      </c>
      <c r="P25" s="85">
        <f>IF($A25="","",$L$59*$D25)</f>
        <v/>
      </c>
      <c r="Q25" s="123">
        <f>IF($A25="","",$I25)</f>
        <v/>
      </c>
      <c r="R25" s="85">
        <f>IF($A25="","",$L$60*$D25)</f>
        <v/>
      </c>
      <c r="S25" s="123">
        <f>IF($A25="","",$K25)</f>
        <v/>
      </c>
      <c r="T25" s="85">
        <f>IF($A25="","",$L$61*$D25)</f>
        <v/>
      </c>
      <c r="U25" s="123">
        <f>IF($A25="","",$Q25-$E$62-$F$62)</f>
        <v/>
      </c>
      <c r="V25" s="85">
        <f>IF($A25="","",$L$62*$D25)</f>
        <v/>
      </c>
      <c r="W25" s="123">
        <f>IF($A25="","",$S25-$E$63-$F$63)</f>
        <v/>
      </c>
      <c r="X25" s="85">
        <f>IF($A25="","",$L$63*$D25)</f>
        <v/>
      </c>
      <c r="Y25" s="123">
        <f>IF($A25="","",$C25)</f>
        <v/>
      </c>
      <c r="Z25" s="85">
        <f>IF($A25="","",$L$64*$D25)</f>
        <v/>
      </c>
      <c r="AA25" s="123" t="n"/>
      <c r="AB25" s="85" t="n"/>
      <c r="AC25" s="123" t="n"/>
      <c r="AD25" s="85" t="n"/>
      <c r="AE25" s="124">
        <f>IF($A25="","",$I25-67-67)</f>
        <v/>
      </c>
      <c r="AF25" s="125">
        <f>IF($A25="","",$K25-67-67)</f>
        <v/>
      </c>
      <c r="AG25" s="126">
        <f>IF($A25="","",1*$D25)</f>
        <v/>
      </c>
    </row>
    <row r="26" ht="40.2" customHeight="1">
      <c r="A26" s="83" t="n"/>
      <c r="B26" s="84" t="n"/>
      <c r="C26" s="85" t="n"/>
      <c r="D26" s="86" t="n"/>
      <c r="E26" s="128">
        <f>IF($A26="","",$B26)</f>
        <v/>
      </c>
      <c r="F26" s="129">
        <f>IF($A26="","",$L$54*$D26)</f>
        <v/>
      </c>
      <c r="G26" s="128">
        <f>IF($A26="","",$C26-$E$55-$F$55)</f>
        <v/>
      </c>
      <c r="H26" s="129">
        <f>IF($A26="","",$L$55*$D26)</f>
        <v/>
      </c>
      <c r="I26" s="128">
        <f>IF($A26="","",$B26-$E$56-$F$56)</f>
        <v/>
      </c>
      <c r="J26" s="129">
        <f>IF($A26="","",$L$56*$D26)</f>
        <v/>
      </c>
      <c r="K26" s="128">
        <f>IF($A26="","",(($C26-$E$57-$F$57)))</f>
        <v/>
      </c>
      <c r="L26" s="129">
        <f>IF($A26="","",$L$57*$D26)</f>
        <v/>
      </c>
      <c r="M26" s="128">
        <f>IF($A26="","",$I26-$E$58-$F$58)</f>
        <v/>
      </c>
      <c r="N26" s="129">
        <f>IF($A26="","",$L$58*$D26)</f>
        <v/>
      </c>
      <c r="O26" s="128">
        <f>IF($A26="","",$K26-$E$59-$F$59)</f>
        <v/>
      </c>
      <c r="P26" s="129">
        <f>IF($A26="","",$L$59*$D26)</f>
        <v/>
      </c>
      <c r="Q26" s="128">
        <f>IF($A26="","",$I26)</f>
        <v/>
      </c>
      <c r="R26" s="129">
        <f>IF($A26="","",$L$60*$D26)</f>
        <v/>
      </c>
      <c r="S26" s="128">
        <f>IF($A26="","",$K26)</f>
        <v/>
      </c>
      <c r="T26" s="129">
        <f>IF($A26="","",$L$61*$D26)</f>
        <v/>
      </c>
      <c r="U26" s="128">
        <f>IF($A26="","",$Q26-$E$62-$F$62)</f>
        <v/>
      </c>
      <c r="V26" s="129">
        <f>IF($A26="","",$L$62*$D26)</f>
        <v/>
      </c>
      <c r="W26" s="128">
        <f>IF($A26="","",$S26-$E$63-$F$63)</f>
        <v/>
      </c>
      <c r="X26" s="129">
        <f>IF($A26="","",$L$63*$D26)</f>
        <v/>
      </c>
      <c r="Y26" s="128">
        <f>IF($A26="","",$C26)</f>
        <v/>
      </c>
      <c r="Z26" s="129">
        <f>IF($A26="","",$L$64*$D26)</f>
        <v/>
      </c>
      <c r="AA26" s="128" t="n"/>
      <c r="AB26" s="129" t="n"/>
      <c r="AC26" s="128" t="n"/>
      <c r="AD26" s="129" t="n"/>
      <c r="AE26" s="124">
        <f>IF($A26="","",$I26-67-67)</f>
        <v/>
      </c>
      <c r="AF26" s="125">
        <f>IF($A26="","",$K26-67-67)</f>
        <v/>
      </c>
      <c r="AG26" s="126">
        <f>IF($A26="","",1*$D26)</f>
        <v/>
      </c>
    </row>
    <row r="27" ht="40.2" customHeight="1">
      <c r="A27" s="83" t="n"/>
      <c r="B27" s="84" t="n"/>
      <c r="C27" s="85" t="n"/>
      <c r="D27" s="86" t="n"/>
      <c r="E27" s="123">
        <f>IF($A27="","",$B27)</f>
        <v/>
      </c>
      <c r="F27" s="85">
        <f>IF($A27="","",$L$54*$D27)</f>
        <v/>
      </c>
      <c r="G27" s="123">
        <f>IF($A27="","",$C27-$E$55-$F$55)</f>
        <v/>
      </c>
      <c r="H27" s="85">
        <f>IF($A27="","",$L$55*$D27)</f>
        <v/>
      </c>
      <c r="I27" s="123">
        <f>IF($A27="","",$B27-$E$56-$F$56)</f>
        <v/>
      </c>
      <c r="J27" s="85">
        <f>IF($A27="","",$L$56*$D27)</f>
        <v/>
      </c>
      <c r="K27" s="123">
        <f>IF($A27="","",(($C27-$E$57-$F$57)))</f>
        <v/>
      </c>
      <c r="L27" s="85">
        <f>IF($A27="","",$L$57*$D27)</f>
        <v/>
      </c>
      <c r="M27" s="123">
        <f>IF($A27="","",$I27-$E$58-$F$58)</f>
        <v/>
      </c>
      <c r="N27" s="85">
        <f>IF($A27="","",$L$58*$D27)</f>
        <v/>
      </c>
      <c r="O27" s="123">
        <f>IF($A27="","",$K27-$E$59-$F$59)</f>
        <v/>
      </c>
      <c r="P27" s="85">
        <f>IF($A27="","",$L$59*$D27)</f>
        <v/>
      </c>
      <c r="Q27" s="123">
        <f>IF($A27="","",$I27)</f>
        <v/>
      </c>
      <c r="R27" s="85">
        <f>IF($A27="","",$L$60*$D27)</f>
        <v/>
      </c>
      <c r="S27" s="123">
        <f>IF($A27="","",$K27)</f>
        <v/>
      </c>
      <c r="T27" s="85">
        <f>IF($A27="","",$L$61*$D27)</f>
        <v/>
      </c>
      <c r="U27" s="123">
        <f>IF($A27="","",$Q27-$E$62-$F$62)</f>
        <v/>
      </c>
      <c r="V27" s="85">
        <f>IF($A27="","",$L$62*$D27)</f>
        <v/>
      </c>
      <c r="W27" s="123">
        <f>IF($A27="","",$S27-$E$63-$F$63)</f>
        <v/>
      </c>
      <c r="X27" s="85">
        <f>IF($A27="","",$L$63*$D27)</f>
        <v/>
      </c>
      <c r="Y27" s="123">
        <f>IF($A27="","",$C27)</f>
        <v/>
      </c>
      <c r="Z27" s="85">
        <f>IF($A27="","",$L$64*$D27)</f>
        <v/>
      </c>
      <c r="AA27" s="123" t="n"/>
      <c r="AB27" s="85" t="n"/>
      <c r="AC27" s="123" t="n"/>
      <c r="AD27" s="85" t="n"/>
      <c r="AE27" s="124">
        <f>IF($A27="","",$I27-67-67)</f>
        <v/>
      </c>
      <c r="AF27" s="125">
        <f>IF($A27="","",$K27-67-67)</f>
        <v/>
      </c>
      <c r="AG27" s="126">
        <f>IF($A27="","",1*$D27)</f>
        <v/>
      </c>
    </row>
    <row r="28" ht="40.2" customHeight="1">
      <c r="A28" s="83" t="n"/>
      <c r="B28" s="84" t="n"/>
      <c r="C28" s="85" t="n"/>
      <c r="D28" s="86" t="n"/>
      <c r="E28" s="128">
        <f>IF($A28="","",$B28)</f>
        <v/>
      </c>
      <c r="F28" s="129">
        <f>IF($A28="","",$L$54*$D28)</f>
        <v/>
      </c>
      <c r="G28" s="128">
        <f>IF($A28="","",$C28-$E$55-$F$55)</f>
        <v/>
      </c>
      <c r="H28" s="129">
        <f>IF($A28="","",$L$55*$D28)</f>
        <v/>
      </c>
      <c r="I28" s="128">
        <f>IF($A28="","",$B28-$E$56-$F$56)</f>
        <v/>
      </c>
      <c r="J28" s="129">
        <f>IF($A28="","",$L$56*$D28)</f>
        <v/>
      </c>
      <c r="K28" s="128">
        <f>IF($A28="","",(($C28-$E$57-$F$57)))</f>
        <v/>
      </c>
      <c r="L28" s="129">
        <f>IF($A28="","",$L$57*$D28)</f>
        <v/>
      </c>
      <c r="M28" s="128">
        <f>IF($A28="","",$I28-$E$58-$F$58)</f>
        <v/>
      </c>
      <c r="N28" s="129">
        <f>IF($A28="","",$L$58*$D28)</f>
        <v/>
      </c>
      <c r="O28" s="128">
        <f>IF($A28="","",$K28-$E$59-$F$59)</f>
        <v/>
      </c>
      <c r="P28" s="129">
        <f>IF($A28="","",$L$59*$D28)</f>
        <v/>
      </c>
      <c r="Q28" s="128">
        <f>IF($A28="","",$I28)</f>
        <v/>
      </c>
      <c r="R28" s="129">
        <f>IF($A28="","",$L$60*$D28)</f>
        <v/>
      </c>
      <c r="S28" s="128">
        <f>IF($A28="","",$K28)</f>
        <v/>
      </c>
      <c r="T28" s="129">
        <f>IF($A28="","",$L$61*$D28)</f>
        <v/>
      </c>
      <c r="U28" s="128">
        <f>IF($A28="","",$Q28-$E$62-$F$62)</f>
        <v/>
      </c>
      <c r="V28" s="129">
        <f>IF($A28="","",$L$62*$D28)</f>
        <v/>
      </c>
      <c r="W28" s="128">
        <f>IF($A28="","",$S28-$E$63-$F$63)</f>
        <v/>
      </c>
      <c r="X28" s="129">
        <f>IF($A28="","",$L$63*$D28)</f>
        <v/>
      </c>
      <c r="Y28" s="128">
        <f>IF($A28="","",$C28)</f>
        <v/>
      </c>
      <c r="Z28" s="129">
        <f>IF($A28="","",$L$64*$D28)</f>
        <v/>
      </c>
      <c r="AA28" s="128" t="n"/>
      <c r="AB28" s="129" t="n"/>
      <c r="AC28" s="128" t="n"/>
      <c r="AD28" s="129" t="n"/>
      <c r="AE28" s="124">
        <f>IF($A28="","",$I28-67-67)</f>
        <v/>
      </c>
      <c r="AF28" s="125">
        <f>IF($A28="","",$K28-67-67)</f>
        <v/>
      </c>
      <c r="AG28" s="126">
        <f>IF($A28="","",1*$D28)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130">
        <f>E$7</f>
        <v/>
      </c>
      <c r="F30" s="19" t="n"/>
      <c r="G30" s="20" t="n"/>
      <c r="H30" s="130">
        <f>(ROUNDUP(SUM(F49:H49)/6400,0))</f>
        <v/>
      </c>
      <c r="I30" s="130">
        <f>I$7</f>
        <v/>
      </c>
      <c r="J30" s="19" t="n"/>
      <c r="K30" s="20" t="n"/>
      <c r="L30" s="130">
        <f>(ROUNDUP(SUM(J49:L49)/6400,0))</f>
        <v/>
      </c>
      <c r="M30" s="130">
        <f>M$7</f>
        <v/>
      </c>
      <c r="N30" s="19" t="n"/>
      <c r="O30" s="20" t="n"/>
      <c r="P30" s="130">
        <f>(ROUNDUP(SUM(N49:P49)/6400,0))</f>
        <v/>
      </c>
      <c r="Q30" s="130">
        <f>Q$7</f>
        <v/>
      </c>
      <c r="R30" s="19" t="n"/>
      <c r="S30" s="20" t="n"/>
      <c r="T30" s="130">
        <f>(ROUNDUP(SUM(R49:T49)/6400,0))</f>
        <v/>
      </c>
      <c r="U30" s="130">
        <f>U$7</f>
        <v/>
      </c>
      <c r="V30" s="19" t="n"/>
      <c r="W30" s="20" t="n"/>
      <c r="X30" s="130">
        <f>(ROUNDUP(SUM(V49:X49)/6400,0))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S49" s="73" t="n"/>
      <c r="T49" s="73">
        <f>SUMIF(T31:T48,"&gt;0")</f>
        <v/>
      </c>
      <c r="U49" s="73" t="n"/>
      <c r="V49" s="73">
        <f>SUMIF(V31:V48,"&gt;0")</f>
        <v/>
      </c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F7938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บน-ล่าง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2</v>
      </c>
    </row>
    <row r="56" ht="15" customHeight="1">
      <c r="A56" s="77" t="n">
        <v>3</v>
      </c>
      <c r="B56" s="78" t="inlineStr">
        <is>
          <t>เสา</t>
        </is>
      </c>
      <c r="C56" s="79" t="inlineStr">
        <is>
          <t>F7943</t>
        </is>
      </c>
      <c r="D56" s="80" t="inlineStr">
        <is>
          <t>สูง-18.5-18.5</t>
        </is>
      </c>
      <c r="E56" s="82" t="n">
        <v>18.5</v>
      </c>
      <c r="F56" s="82" t="n">
        <v>18.5</v>
      </c>
      <c r="G56" s="81" t="n"/>
      <c r="H56" s="81" t="n"/>
      <c r="I56" s="81" t="n"/>
      <c r="J56" s="81" t="n"/>
      <c r="K56" s="81" t="n"/>
      <c r="L56" s="82" t="n">
        <v>2</v>
      </c>
    </row>
    <row r="57" ht="15" customHeight="1">
      <c r="A57" s="77" t="n">
        <v>4</v>
      </c>
      <c r="B57" s="78" t="inlineStr">
        <is>
          <t>ขวาง</t>
        </is>
      </c>
      <c r="C57" s="79" t="inlineStr">
        <is>
          <t>-</t>
        </is>
      </c>
      <c r="D57" s="80" t="inlineStr">
        <is>
          <t>กว้าง-18.5-18.5</t>
        </is>
      </c>
      <c r="E57" s="82" t="n">
        <v>18.5</v>
      </c>
      <c r="F57" s="82" t="n">
        <v>18.5</v>
      </c>
      <c r="G57" s="81" t="n"/>
      <c r="H57" s="81" t="n"/>
      <c r="I57" s="81" t="n"/>
      <c r="J57" s="81" t="n"/>
      <c r="K57" s="81" t="n"/>
      <c r="L57" s="82" t="n">
        <v>2</v>
      </c>
    </row>
    <row r="58" ht="15" customHeight="1">
      <c r="A58" s="77" t="n">
        <v>5</v>
      </c>
      <c r="B58" s="78" t="inlineStr">
        <is>
          <t>คิ้ว ตั้ง</t>
        </is>
      </c>
      <c r="C58" s="79" t="inlineStr">
        <is>
          <t>F7935</t>
        </is>
      </c>
      <c r="D58" s="80" t="inlineStr">
        <is>
          <t>เสา-80-80</t>
        </is>
      </c>
      <c r="E58" s="82" t="n">
        <v>80</v>
      </c>
      <c r="F58" s="82" t="n">
        <v>80</v>
      </c>
      <c r="G58" s="81" t="n"/>
      <c r="H58" s="81" t="n"/>
      <c r="I58" s="81" t="n"/>
      <c r="J58" s="81" t="n"/>
      <c r="K58" s="81" t="n"/>
      <c r="L58" s="82" t="n">
        <v>2</v>
      </c>
    </row>
    <row r="59" ht="15" customHeight="1">
      <c r="A59" s="77" t="n">
        <v>6</v>
      </c>
      <c r="B59" s="78" t="inlineStr">
        <is>
          <t>คิ้ว ขวาง</t>
        </is>
      </c>
      <c r="C59" s="79" t="inlineStr">
        <is>
          <t>-</t>
        </is>
      </c>
      <c r="D59" s="80" t="inlineStr">
        <is>
          <t>ขวาง-60-60</t>
        </is>
      </c>
      <c r="E59" s="82" t="n">
        <v>60</v>
      </c>
      <c r="F59" s="82" t="n">
        <v>60</v>
      </c>
      <c r="G59" s="81" t="n"/>
      <c r="H59" s="81" t="n"/>
      <c r="I59" s="81" t="n"/>
      <c r="J59" s="81" t="n"/>
      <c r="K59" s="81" t="n"/>
      <c r="L59" s="82" t="n">
        <v>2</v>
      </c>
    </row>
    <row r="60" ht="15" customHeight="1">
      <c r="A60" s="77" t="n">
        <v>7</v>
      </c>
      <c r="B60" s="78" t="inlineStr">
        <is>
          <t>เสามุ้ง</t>
        </is>
      </c>
      <c r="C60" s="79" t="inlineStr">
        <is>
          <t>F7944</t>
        </is>
      </c>
      <c r="D60" s="80" t="inlineStr">
        <is>
          <t>สูง-18.5-18.5</t>
        </is>
      </c>
      <c r="E60" s="81" t="n"/>
      <c r="F60" s="81" t="n"/>
      <c r="G60" s="81" t="n"/>
      <c r="H60" s="81" t="n"/>
      <c r="I60" s="81" t="n"/>
      <c r="J60" s="81" t="n"/>
      <c r="K60" s="81" t="n"/>
      <c r="L60" s="82" t="n">
        <v>2</v>
      </c>
    </row>
    <row r="61" ht="15" customHeight="1">
      <c r="A61" s="77" t="n">
        <v>8</v>
      </c>
      <c r="B61" s="78" t="inlineStr">
        <is>
          <t>ขวางมุ้ง</t>
        </is>
      </c>
      <c r="C61" s="79" t="inlineStr">
        <is>
          <t>-</t>
        </is>
      </c>
      <c r="D61" s="80" t="inlineStr">
        <is>
          <t>กว้าง-18.5-18.5</t>
        </is>
      </c>
      <c r="E61" s="81" t="n"/>
      <c r="F61" s="81" t="n"/>
      <c r="G61" s="81" t="n"/>
      <c r="H61" s="81" t="n"/>
      <c r="I61" s="81" t="n"/>
      <c r="J61" s="81" t="n"/>
      <c r="K61" s="81" t="n"/>
      <c r="L61" s="82" t="n">
        <v>2</v>
      </c>
    </row>
    <row r="62" ht="15" customHeight="1">
      <c r="A62" s="77" t="n">
        <v>9</v>
      </c>
      <c r="B62" s="78" t="inlineStr">
        <is>
          <t>คิ้วมุ้ง ตั้ง</t>
        </is>
      </c>
      <c r="C62" s="79" t="inlineStr">
        <is>
          <t>F7949</t>
        </is>
      </c>
      <c r="D62" s="80" t="inlineStr">
        <is>
          <t>เสา-80-80</t>
        </is>
      </c>
      <c r="E62" s="82" t="n">
        <v>80</v>
      </c>
      <c r="F62" s="82" t="n">
        <v>80</v>
      </c>
      <c r="G62" s="81" t="n"/>
      <c r="H62" s="81" t="n"/>
      <c r="I62" s="81" t="n"/>
      <c r="J62" s="81" t="n"/>
      <c r="K62" s="81" t="n"/>
      <c r="L62" s="82" t="n">
        <v>2</v>
      </c>
    </row>
    <row r="63" ht="15" customHeight="1">
      <c r="A63" s="77" t="n">
        <v>10</v>
      </c>
      <c r="B63" s="78" t="inlineStr">
        <is>
          <t>คิ้วมุ้ง ขวาง</t>
        </is>
      </c>
      <c r="C63" s="79" t="inlineStr">
        <is>
          <t>-</t>
        </is>
      </c>
      <c r="D63" s="80" t="inlineStr">
        <is>
          <t>ขวาง-60-60</t>
        </is>
      </c>
      <c r="E63" s="82" t="n">
        <v>60</v>
      </c>
      <c r="F63" s="82" t="n">
        <v>60</v>
      </c>
      <c r="G63" s="81" t="n"/>
      <c r="H63" s="81" t="n"/>
      <c r="I63" s="81" t="n"/>
      <c r="J63" s="81" t="n"/>
      <c r="K63" s="81" t="n"/>
      <c r="L63" s="82" t="n">
        <v>2</v>
      </c>
    </row>
    <row r="64" ht="15" customHeight="1">
      <c r="A64" s="77" t="n">
        <v>11</v>
      </c>
      <c r="B64" s="78" t="inlineStr">
        <is>
          <t>กันสาด</t>
        </is>
      </c>
      <c r="C64" s="79" t="inlineStr">
        <is>
          <t>F7948</t>
        </is>
      </c>
      <c r="D64" s="80" t="inlineStr">
        <is>
          <t>กว้าง</t>
        </is>
      </c>
      <c r="E64" s="81" t="n"/>
      <c r="F64" s="81" t="n"/>
      <c r="G64" s="81" t="n"/>
      <c r="H64" s="81" t="n"/>
      <c r="I64" s="81" t="n"/>
      <c r="J64" s="81" t="n"/>
      <c r="K64" s="81" t="n"/>
      <c r="L64" s="82" t="n">
        <v>1</v>
      </c>
    </row>
    <row r="66">
      <c r="A66" s="152" t="inlineStr">
        <is>
          <t>⑥ อุปกรณ์ ต่อ 1 บาน — คูณจำนวนบานที่ผลิต</t>
        </is>
      </c>
      <c r="F66" s="153" t="inlineStr">
        <is>
          <t>ต่อบาน</t>
        </is>
      </c>
    </row>
    <row r="67">
      <c r="A67" s="154" t="inlineStr">
        <is>
          <t>1. บานพับ hyda (สูง&gt;3ม./บานกว้าง&gt;1.2ม.=5)</t>
        </is>
      </c>
      <c r="F67" s="155" t="n">
        <v>4</v>
      </c>
    </row>
    <row r="68">
      <c r="A68" s="154" t="inlineStr">
        <is>
          <t>2. มือจับ + ล็อค</t>
        </is>
      </c>
      <c r="F68" s="155" t="n">
        <v>1</v>
      </c>
    </row>
    <row r="69">
      <c r="A69" s="154" t="inlineStr">
        <is>
          <t>3. กลอน (ใบลอง)</t>
        </is>
      </c>
      <c r="F69" s="155" t="n">
        <v>1</v>
      </c>
    </row>
    <row r="70">
      <c r="A70" s="154" t="inlineStr">
        <is>
          <t>4. น็อตเฟรม (มีธรณี8/ไม่มี6)</t>
        </is>
      </c>
      <c r="F70" s="155" t="n">
        <v>8</v>
      </c>
    </row>
    <row r="71">
      <c r="A71" s="156" t="inlineStr">
        <is>
          <t>+ ยาง/ซิลิโคน = ตามขนาด (ดูชีทคิดทุน)</t>
        </is>
      </c>
    </row>
  </sheetData>
  <mergeCells count="64">
    <mergeCell ref="U9:V9"/>
    <mergeCell ref="AC7:AD7"/>
    <mergeCell ref="I6:J6"/>
    <mergeCell ref="O6:P6"/>
    <mergeCell ref="U6:V6"/>
    <mergeCell ref="K9:L9"/>
    <mergeCell ref="W6:X6"/>
    <mergeCell ref="M9:N9"/>
    <mergeCell ref="E7:H7"/>
    <mergeCell ref="O9:P9"/>
    <mergeCell ref="E30:G30"/>
    <mergeCell ref="G8:H8"/>
    <mergeCell ref="M30:O30"/>
    <mergeCell ref="E8:F8"/>
    <mergeCell ref="Y9:Z9"/>
    <mergeCell ref="Q8:R8"/>
    <mergeCell ref="AA9:AB9"/>
    <mergeCell ref="A70:E70"/>
    <mergeCell ref="S8:T8"/>
    <mergeCell ref="A69:E69"/>
    <mergeCell ref="A71:F71"/>
    <mergeCell ref="AA6:AB6"/>
    <mergeCell ref="A30:D30"/>
    <mergeCell ref="Q7:T7"/>
    <mergeCell ref="Q30:S30"/>
    <mergeCell ref="G6:H6"/>
    <mergeCell ref="A66:E66"/>
    <mergeCell ref="AC8:AD8"/>
    <mergeCell ref="E9:F9"/>
    <mergeCell ref="E6:F6"/>
    <mergeCell ref="Y7:Z7"/>
    <mergeCell ref="A8:A9"/>
    <mergeCell ref="A6:D6"/>
    <mergeCell ref="AA7:AB7"/>
    <mergeCell ref="M6:N6"/>
    <mergeCell ref="K8:L8"/>
    <mergeCell ref="Q6:R6"/>
    <mergeCell ref="S6:T6"/>
    <mergeCell ref="Y6:Z6"/>
    <mergeCell ref="A7:D7"/>
    <mergeCell ref="D8:D9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W8:X8"/>
    <mergeCell ref="B8:C9"/>
    <mergeCell ref="AC6:AD6"/>
    <mergeCell ref="M7:P7"/>
    <mergeCell ref="A68:E68"/>
    <mergeCell ref="U7:X7"/>
    <mergeCell ref="U30:W30"/>
    <mergeCell ref="Y8:Z8"/>
    <mergeCell ref="K6:L6"/>
    <mergeCell ref="G9:H9"/>
    <mergeCell ref="AA8:AB8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69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6.69921875" customWidth="1" min="32" max="32"/>
    <col width="12.69921875" customWidth="1" min="33" max="33"/>
    <col width="12.69921875" customWidth="1" min="34" max="34"/>
    <col width="8.69921875" customWidth="1" min="35" max="35"/>
    <col width="12.69921875" customWidth="1" min="36" max="36"/>
    <col width="8.8984375" customWidth="1" min="38" max="38"/>
  </cols>
  <sheetData>
    <row r="1" ht="40.2" customHeight="1">
      <c r="A1" s="2" t="inlineStr">
        <is>
          <t>JR ALUMINIUM &amp; GLASS  —  ใบรายการตัด · FUJI บานเปิด+ช่องแสงล่าง   (หน่วย: มม.)</t>
        </is>
      </c>
      <c r="B1" s="3" t="n"/>
      <c r="C1" s="3" t="n"/>
      <c r="D1" s="3" t="n"/>
      <c r="F1" s="4" t="n"/>
      <c r="G1" s="5" t="n"/>
      <c r="H1" s="4" t="n"/>
      <c r="I1" s="4" t="n"/>
      <c r="J1" s="4" t="n"/>
      <c r="K1" s="6" t="n"/>
      <c r="L1" s="6" t="n"/>
      <c r="M1" s="4" t="n"/>
      <c r="N1" s="4" t="n"/>
      <c r="O1" s="6" t="n"/>
      <c r="P1" s="6" t="n"/>
      <c r="Q1" s="7" t="n"/>
      <c r="R1" s="7" t="n"/>
      <c r="S1" s="4" t="n"/>
      <c r="T1" s="8" t="n"/>
      <c r="U1" s="7" t="n"/>
      <c r="V1" s="7" t="n"/>
      <c r="W1" s="7" t="n"/>
      <c r="X1" s="7" t="n"/>
      <c r="Y1" s="6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 ht="40.2" customHeight="1">
      <c r="A2" s="6" t="n"/>
      <c r="B2" s="6" t="n"/>
      <c r="C2" s="6" t="n"/>
      <c r="D2" s="6" t="n"/>
      <c r="E2" s="6" t="n"/>
      <c r="F2" s="6" t="n"/>
      <c r="G2" s="9" t="n"/>
      <c r="H2" s="6" t="n"/>
      <c r="I2" s="6" t="n"/>
      <c r="J2" s="6" t="n"/>
      <c r="K2" s="10" t="n"/>
      <c r="L2" s="10" t="n"/>
      <c r="M2" s="6" t="n"/>
      <c r="N2" s="6" t="n"/>
      <c r="O2" s="6" t="n"/>
      <c r="P2" s="6" t="n"/>
      <c r="Q2" s="10" t="n"/>
      <c r="R2" s="10" t="n"/>
      <c r="S2" s="6" t="n"/>
      <c r="T2" s="6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</row>
    <row r="3" ht="40.2" customHeight="1">
      <c r="A3" s="6" t="n"/>
      <c r="B3" s="6" t="n"/>
      <c r="C3" s="6" t="n"/>
      <c r="D3" s="6" t="n"/>
      <c r="E3" s="6" t="n"/>
      <c r="F3" s="6" t="n"/>
      <c r="G3" s="9" t="n"/>
      <c r="H3" s="6" t="n"/>
      <c r="I3" s="6" t="n"/>
      <c r="J3" s="6" t="n"/>
      <c r="M3" s="6" t="n"/>
      <c r="N3" s="6" t="n"/>
      <c r="O3" s="6" t="n"/>
      <c r="P3" s="6" t="n"/>
      <c r="Q3" s="11" t="n"/>
      <c r="R3" s="11" t="n"/>
      <c r="T3" s="6" t="n"/>
      <c r="U3" s="10" t="n"/>
      <c r="V3" s="11" t="n"/>
      <c r="W3" s="11" t="n"/>
      <c r="X3" s="11" t="n"/>
      <c r="Y3" s="10" t="n"/>
      <c r="Z3" s="10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 ht="40.2" customHeight="1">
      <c r="A4" s="131" t="inlineStr">
        <is>
          <t>มองในบ้าน</t>
        </is>
      </c>
      <c r="B4" s="132" t="n"/>
      <c r="C4" s="132" t="n"/>
      <c r="D4" s="132" t="n"/>
      <c r="E4" s="6" t="n"/>
      <c r="H4" s="6" t="n"/>
      <c r="I4" s="6" t="n"/>
      <c r="J4" s="6" t="n"/>
      <c r="M4" s="6" t="n"/>
      <c r="N4" s="6" t="n"/>
      <c r="O4" s="6" t="n"/>
      <c r="P4" s="6" t="n"/>
      <c r="S4" s="6" t="n"/>
      <c r="T4" s="6" t="n"/>
      <c r="Y4" s="10" t="n"/>
      <c r="Z4" s="10" t="n"/>
    </row>
    <row r="5" ht="40.2" customHeight="1">
      <c r="A5" s="6" t="n"/>
      <c r="B5" s="6" t="n"/>
      <c r="C5" s="6" t="n"/>
      <c r="D5" s="6" t="n"/>
      <c r="E5" s="6" t="n"/>
      <c r="F5" s="6" t="n"/>
      <c r="G5" s="9" t="n"/>
      <c r="H5" s="6" t="n"/>
      <c r="I5" s="6" t="n"/>
      <c r="J5" s="6" t="n"/>
      <c r="M5" s="6" t="n"/>
      <c r="N5" s="6" t="n"/>
      <c r="P5" s="6" t="n"/>
      <c r="S5" s="6" t="n"/>
      <c r="T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4" t="n"/>
      <c r="G6" s="15" t="inlineStr">
        <is>
          <t>สูง</t>
        </is>
      </c>
      <c r="H6" s="16" t="n"/>
      <c r="I6" s="15" t="inlineStr">
        <is>
          <t>กว้าง-25-25</t>
        </is>
      </c>
      <c r="J6" s="16" t="n"/>
      <c r="K6" s="15" t="n"/>
      <c r="L6" s="16" t="n"/>
      <c r="M6" s="15" t="inlineStr">
        <is>
          <t>สูง2-6-18.5</t>
        </is>
      </c>
      <c r="N6" s="16" t="n"/>
      <c r="O6" s="15" t="inlineStr">
        <is>
          <t>กว้าง-18.5-18.5</t>
        </is>
      </c>
      <c r="P6" s="16" t="n"/>
      <c r="Q6" s="15" t="inlineStr">
        <is>
          <t>เสา-80-80</t>
        </is>
      </c>
      <c r="R6" s="16" t="n"/>
      <c r="S6" s="15" t="inlineStr">
        <is>
          <t>ขวาง-60-60</t>
        </is>
      </c>
      <c r="T6" s="16" t="n"/>
      <c r="U6" s="15" t="inlineStr">
        <is>
          <t>กว้าง-45-45</t>
        </is>
      </c>
      <c r="V6" s="16" t="n"/>
      <c r="W6" s="15" t="inlineStr">
        <is>
          <t>สูง1-12.5-25</t>
        </is>
      </c>
      <c r="X6" s="16" t="n"/>
      <c r="Y6" s="15" t="n"/>
      <c r="Z6" s="16" t="n"/>
      <c r="AA6" s="15" t="n"/>
      <c r="AB6" s="16" t="n"/>
      <c r="AC6" s="15" t="n"/>
      <c r="AD6" s="16" t="n"/>
      <c r="AE6" s="15" t="n"/>
      <c r="AF6" s="16" t="n"/>
      <c r="AG6" s="17" t="n"/>
      <c r="AH6" s="17" t="n"/>
      <c r="AI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20" t="n"/>
      <c r="G7" s="21" t="inlineStr">
        <is>
          <t>F7939</t>
        </is>
      </c>
      <c r="H7" s="13" t="n"/>
      <c r="I7" s="13" t="n"/>
      <c r="J7" s="14" t="n"/>
      <c r="K7" s="21" t="inlineStr">
        <is>
          <t xml:space="preserve">   F7997</t>
        </is>
      </c>
      <c r="L7" s="14" t="n"/>
      <c r="M7" s="21" t="inlineStr">
        <is>
          <t>F7943</t>
        </is>
      </c>
      <c r="N7" s="13" t="n"/>
      <c r="O7" s="13" t="n"/>
      <c r="P7" s="14" t="n"/>
      <c r="Q7" s="21" t="inlineStr">
        <is>
          <t>F7935</t>
        </is>
      </c>
      <c r="R7" s="13" t="n"/>
      <c r="S7" s="13" t="n"/>
      <c r="T7" s="13" t="n"/>
      <c r="U7" s="13" t="n"/>
      <c r="V7" s="14" t="n"/>
      <c r="W7" s="21" t="inlineStr">
        <is>
          <t>F7860</t>
        </is>
      </c>
      <c r="X7" s="14" t="n"/>
      <c r="Y7" s="23" t="n"/>
      <c r="Z7" s="14" t="n"/>
      <c r="AA7" s="89" t="n"/>
      <c r="AB7" s="90" t="n"/>
      <c r="AC7" s="23" t="n"/>
      <c r="AD7" s="14" t="n"/>
      <c r="AE7" s="23" t="n"/>
      <c r="AF7" s="14" t="n"/>
      <c r="AG7" s="25" t="n"/>
      <c r="AH7" s="26" t="inlineStr">
        <is>
          <t>ขนาดกระจก</t>
        </is>
      </c>
      <c r="AI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133" t="n"/>
      <c r="D8" s="133" t="n"/>
      <c r="E8" s="30" t="n"/>
      <c r="F8" s="28" t="inlineStr">
        <is>
          <t>Set</t>
        </is>
      </c>
      <c r="G8" s="31" t="n"/>
      <c r="H8" s="32" t="n"/>
      <c r="I8" s="33" t="n"/>
      <c r="J8" s="34" t="n"/>
      <c r="K8" s="31" t="n"/>
      <c r="L8" s="32" t="n"/>
      <c r="M8" s="31" t="n"/>
      <c r="N8" s="32" t="n"/>
      <c r="O8" s="33" t="n"/>
      <c r="P8" s="34" t="n"/>
      <c r="Q8" s="31" t="n"/>
      <c r="R8" s="32" t="n"/>
      <c r="S8" s="92" t="n"/>
      <c r="T8" s="32" t="n"/>
      <c r="U8" s="33" t="n"/>
      <c r="V8" s="34" t="n"/>
      <c r="W8" s="35" t="n"/>
      <c r="X8" s="34" t="n"/>
      <c r="Y8" s="35" t="n"/>
      <c r="Z8" s="34" t="n"/>
      <c r="AA8" s="33" t="n"/>
      <c r="AB8" s="34" t="n"/>
      <c r="AC8" s="35" t="n"/>
      <c r="AD8" s="34" t="n"/>
      <c r="AE8" s="35" t="n"/>
      <c r="AF8" s="34" t="n"/>
      <c r="AG8" s="36" t="n"/>
      <c r="AH8" s="37" t="inlineStr">
        <is>
          <t>กรอบบาน</t>
        </is>
      </c>
      <c r="AI8" s="38" t="n"/>
      <c r="AJ8" s="134" t="inlineStr">
        <is>
          <t>ช่องแสง</t>
        </is>
      </c>
      <c r="AK8" s="32" t="n"/>
      <c r="AL8" s="32" t="n"/>
    </row>
    <row r="9" ht="40.2" customHeight="1">
      <c r="A9" s="39" t="n"/>
      <c r="B9" s="40" t="n"/>
      <c r="C9" s="32" t="n"/>
      <c r="D9" s="32" t="n"/>
      <c r="E9" s="41" t="n"/>
      <c r="F9" s="39" t="n"/>
      <c r="G9" s="42" t="inlineStr">
        <is>
          <t>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กล่องก้านสลับ</t>
        </is>
      </c>
      <c r="L9" s="43" t="n"/>
      <c r="M9" s="42" t="inlineStr">
        <is>
          <t>เสา</t>
        </is>
      </c>
      <c r="N9" s="43" t="n"/>
      <c r="O9" s="42" t="inlineStr">
        <is>
          <t>ขวาง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</t>
        </is>
      </c>
      <c r="T9" s="43" t="n"/>
      <c r="U9" s="42" t="inlineStr">
        <is>
          <t>คิ้ว ช่องแสง H1</t>
        </is>
      </c>
      <c r="V9" s="43" t="n"/>
      <c r="W9" s="42" t="inlineStr">
        <is>
          <t>ตบนอกในบานตาย</t>
        </is>
      </c>
      <c r="X9" s="43" t="n"/>
      <c r="Y9" s="42" t="n"/>
      <c r="Z9" s="43" t="n"/>
      <c r="AA9" s="42" t="n"/>
      <c r="AB9" s="43" t="n"/>
      <c r="AC9" s="42" t="n"/>
      <c r="AD9" s="43" t="n"/>
      <c r="AE9" s="42" t="n"/>
      <c r="AF9" s="43" t="n"/>
      <c r="AG9" s="45" t="inlineStr">
        <is>
          <t>SH-67-67</t>
        </is>
      </c>
      <c r="AH9" s="46" t="inlineStr">
        <is>
          <t>SW-67-67</t>
        </is>
      </c>
      <c r="AI9" s="47" t="n"/>
      <c r="AJ9" s="45" t="inlineStr">
        <is>
          <t>H1-24.5-37</t>
        </is>
      </c>
      <c r="AK9" s="46" t="inlineStr">
        <is>
          <t>W-37-37</t>
        </is>
      </c>
      <c r="AL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135" t="inlineStr">
        <is>
          <t>H1</t>
        </is>
      </c>
      <c r="D10" s="136" t="inlineStr">
        <is>
          <t>H2</t>
        </is>
      </c>
      <c r="E10" s="50" t="inlineStr">
        <is>
          <t>W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J10" s="55" t="inlineStr">
        <is>
          <t>H</t>
        </is>
      </c>
      <c r="AK10" s="56" t="inlineStr">
        <is>
          <t>W</t>
        </is>
      </c>
      <c r="AL10" s="57" t="inlineStr">
        <is>
          <t>จำนวน</t>
        </is>
      </c>
    </row>
    <row r="11" ht="40.2" customHeight="1">
      <c r="A11" s="83" t="inlineStr">
        <is>
          <t>A 2.6</t>
        </is>
      </c>
      <c r="B11" s="84" t="n">
        <v>2990</v>
      </c>
      <c r="C11" s="137" t="n">
        <v>850</v>
      </c>
      <c r="D11" s="138">
        <f>IF($A11="","",$B11-$C11)</f>
        <v/>
      </c>
      <c r="E11" s="85" t="n">
        <v>1590</v>
      </c>
      <c r="F11" s="86" t="n">
        <v>1</v>
      </c>
      <c r="G11" s="123">
        <f>IF($A11="","",$B11)</f>
        <v/>
      </c>
      <c r="H11" s="85">
        <f>IF($A11="","",2*$F11)</f>
        <v/>
      </c>
      <c r="I11" s="123">
        <f>IF($A11="","",$E11-$E$55-$F$55)</f>
        <v/>
      </c>
      <c r="J11" s="85">
        <f>IF($A11="","",2*$F11)</f>
        <v/>
      </c>
      <c r="K11" s="123">
        <f>IF($A11="","",$I11)</f>
        <v/>
      </c>
      <c r="L11" s="85">
        <f>IF($A11="","",1*$F11)</f>
        <v/>
      </c>
      <c r="M11" s="123">
        <f>IF($A11="","",$D11-$E$57-$F$57)</f>
        <v/>
      </c>
      <c r="N11" s="85">
        <f>IF($A11="","",2*$F11)</f>
        <v/>
      </c>
      <c r="O11" s="123">
        <f>IF($A11="","",(($E11-$E$58-$F$58)))</f>
        <v/>
      </c>
      <c r="P11" s="85">
        <f>IF($A11="","",2*$F11)</f>
        <v/>
      </c>
      <c r="Q11" s="123">
        <f>IF($A11="","",$M11-$E$59-$F$59)</f>
        <v/>
      </c>
      <c r="R11" s="85">
        <f>IF($A11="","",2*$F11)</f>
        <v/>
      </c>
      <c r="S11" s="123">
        <f>IF($A11="","",$O11-$E$60-$F$60)</f>
        <v/>
      </c>
      <c r="T11" s="85">
        <f>IF($A11="","",2*$F11)</f>
        <v/>
      </c>
      <c r="U11" s="123">
        <f>IF($A11="","",$E11-$E$61-$F$61)</f>
        <v/>
      </c>
      <c r="V11" s="85">
        <f>IF($A11="","",2*$F11)</f>
        <v/>
      </c>
      <c r="W11" s="123">
        <f>IF($A11="","",$C11-$E$62-$F$62)</f>
        <v/>
      </c>
      <c r="X11" s="85">
        <f>IF($A11="","",2*$F11)</f>
        <v/>
      </c>
      <c r="Y11" s="123" t="n"/>
      <c r="Z11" s="85" t="n"/>
      <c r="AA11" s="123" t="n"/>
      <c r="AB11" s="85" t="n"/>
      <c r="AC11" s="123" t="n"/>
      <c r="AD11" s="85" t="n"/>
      <c r="AE11" s="123" t="n"/>
      <c r="AF11" s="85" t="n"/>
      <c r="AG11" s="124">
        <f>IF($A11="","",$M11-67-67)</f>
        <v/>
      </c>
      <c r="AH11" s="125">
        <f>IF($A11="","",$O11-67-67)</f>
        <v/>
      </c>
      <c r="AI11" s="126">
        <f>IF($A11="","",1*$F11)</f>
        <v/>
      </c>
      <c r="AJ11" s="124">
        <f>IF($A11="","",$C11-24.5-37)</f>
        <v/>
      </c>
      <c r="AK11" s="125">
        <f>IF($A11="","",$E11-37-37)</f>
        <v/>
      </c>
      <c r="AL11" s="126">
        <f>IF($A11="","",1*$F11)</f>
        <v/>
      </c>
    </row>
    <row r="12" ht="40.2" customHeight="1">
      <c r="A12" s="83" t="n"/>
      <c r="B12" s="84" t="n"/>
      <c r="C12" s="137" t="n"/>
      <c r="D12" s="138">
        <f>IF($A12="","",$B12-$C12)</f>
        <v/>
      </c>
      <c r="E12" s="85" t="n"/>
      <c r="F12" s="86" t="n"/>
      <c r="G12" s="128">
        <f>IF($A12="","",$B12)</f>
        <v/>
      </c>
      <c r="H12" s="129">
        <f>IF($A12="","",2*$F12)</f>
        <v/>
      </c>
      <c r="I12" s="128">
        <f>IF($A12="","",$E12-$E$55-$F$55)</f>
        <v/>
      </c>
      <c r="J12" s="129">
        <f>IF($A12="","",2*$F12)</f>
        <v/>
      </c>
      <c r="K12" s="128">
        <f>IF($A12="","",$I12)</f>
        <v/>
      </c>
      <c r="L12" s="129">
        <f>IF($A12="","",1*$F12)</f>
        <v/>
      </c>
      <c r="M12" s="128">
        <f>IF($A12="","",$D12-$E$57-$F$57)</f>
        <v/>
      </c>
      <c r="N12" s="129">
        <f>IF($A12="","",2*$F12)</f>
        <v/>
      </c>
      <c r="O12" s="128">
        <f>IF($A12="","",(($E12-$E$58-$F$58)))</f>
        <v/>
      </c>
      <c r="P12" s="129">
        <f>IF($A12="","",2*$F12)</f>
        <v/>
      </c>
      <c r="Q12" s="128">
        <f>IF($A12="","",$M12-$E$59-$F$59)</f>
        <v/>
      </c>
      <c r="R12" s="129">
        <f>IF($A12="","",2*$F12)</f>
        <v/>
      </c>
      <c r="S12" s="128">
        <f>IF($A12="","",$O12-$E$60-$F$60)</f>
        <v/>
      </c>
      <c r="T12" s="129">
        <f>IF($A12="","",2*$F12)</f>
        <v/>
      </c>
      <c r="U12" s="128">
        <f>IF($A12="","",$E12-$E$61-$F$61)</f>
        <v/>
      </c>
      <c r="V12" s="129">
        <f>IF($A12="","",2*$F12)</f>
        <v/>
      </c>
      <c r="W12" s="128">
        <f>IF($A12="","",$C12-$E$62-$F$62)</f>
        <v/>
      </c>
      <c r="X12" s="129">
        <f>IF($A12="","",2*$F12)</f>
        <v/>
      </c>
      <c r="Y12" s="128" t="n"/>
      <c r="Z12" s="129" t="n"/>
      <c r="AA12" s="128" t="n"/>
      <c r="AB12" s="129" t="n"/>
      <c r="AC12" s="128" t="n"/>
      <c r="AD12" s="129" t="n"/>
      <c r="AE12" s="128" t="n"/>
      <c r="AF12" s="129" t="n"/>
      <c r="AG12" s="124">
        <f>IF($A12="","",$M12-67-67)</f>
        <v/>
      </c>
      <c r="AH12" s="125">
        <f>IF($A12="","",$O12-67-67)</f>
        <v/>
      </c>
      <c r="AI12" s="126">
        <f>IF($A12="","",1*$F12)</f>
        <v/>
      </c>
      <c r="AJ12" s="124">
        <f>IF($A12="","",$C12-24.5-37)</f>
        <v/>
      </c>
      <c r="AK12" s="125">
        <f>IF($A12="","",$E12-37-37)</f>
        <v/>
      </c>
      <c r="AL12" s="126">
        <f>IF($A12="","",1*$F12)</f>
        <v/>
      </c>
    </row>
    <row r="13" ht="40.2" customHeight="1">
      <c r="A13" s="83" t="n"/>
      <c r="B13" s="84" t="n"/>
      <c r="C13" s="137" t="n"/>
      <c r="D13" s="138">
        <f>IF($A13="","",$B13-$C13)</f>
        <v/>
      </c>
      <c r="E13" s="85" t="n"/>
      <c r="F13" s="86" t="n"/>
      <c r="G13" s="123">
        <f>IF($A13="","",$B13)</f>
        <v/>
      </c>
      <c r="H13" s="85">
        <f>IF($A13="","",2*$F13)</f>
        <v/>
      </c>
      <c r="I13" s="123">
        <f>IF($A13="","",$E13-$E$55-$F$55)</f>
        <v/>
      </c>
      <c r="J13" s="85">
        <f>IF($A13="","",2*$F13)</f>
        <v/>
      </c>
      <c r="K13" s="123">
        <f>IF($A13="","",$I13)</f>
        <v/>
      </c>
      <c r="L13" s="85">
        <f>IF($A13="","",1*$F13)</f>
        <v/>
      </c>
      <c r="M13" s="123">
        <f>IF($A13="","",$D13-$E$57-$F$57)</f>
        <v/>
      </c>
      <c r="N13" s="85">
        <f>IF($A13="","",2*$F13)</f>
        <v/>
      </c>
      <c r="O13" s="123">
        <f>IF($A13="","",(($E13-$E$58-$F$58)))</f>
        <v/>
      </c>
      <c r="P13" s="85">
        <f>IF($A13="","",2*$F13)</f>
        <v/>
      </c>
      <c r="Q13" s="123">
        <f>IF($A13="","",$M13-$E$59-$F$59)</f>
        <v/>
      </c>
      <c r="R13" s="85">
        <f>IF($A13="","",2*$F13)</f>
        <v/>
      </c>
      <c r="S13" s="123">
        <f>IF($A13="","",$O13-$E$60-$F$60)</f>
        <v/>
      </c>
      <c r="T13" s="85">
        <f>IF($A13="","",2*$F13)</f>
        <v/>
      </c>
      <c r="U13" s="123">
        <f>IF($A13="","",$E13-$E$61-$F$61)</f>
        <v/>
      </c>
      <c r="V13" s="85">
        <f>IF($A13="","",2*$F13)</f>
        <v/>
      </c>
      <c r="W13" s="123">
        <f>IF($A13="","",$C13-$E$62-$F$62)</f>
        <v/>
      </c>
      <c r="X13" s="85">
        <f>IF($A13="","",2*$F13)</f>
        <v/>
      </c>
      <c r="Y13" s="123" t="n"/>
      <c r="Z13" s="85" t="n"/>
      <c r="AA13" s="123" t="n"/>
      <c r="AB13" s="85" t="n"/>
      <c r="AC13" s="123" t="n"/>
      <c r="AD13" s="85" t="n"/>
      <c r="AE13" s="123" t="n"/>
      <c r="AF13" s="85" t="n"/>
      <c r="AG13" s="124">
        <f>IF($A13="","",$M13-67-67)</f>
        <v/>
      </c>
      <c r="AH13" s="125">
        <f>IF($A13="","",$O13-67-67)</f>
        <v/>
      </c>
      <c r="AI13" s="126">
        <f>IF($A13="","",1*$F13)</f>
        <v/>
      </c>
      <c r="AJ13" s="124">
        <f>IF($A13="","",$C13-24.5-37)</f>
        <v/>
      </c>
      <c r="AK13" s="125">
        <f>IF($A13="","",$E13-37-37)</f>
        <v/>
      </c>
      <c r="AL13" s="126">
        <f>IF($A13="","",1*$F13)</f>
        <v/>
      </c>
    </row>
    <row r="14" ht="40.2" customHeight="1">
      <c r="A14" s="83" t="n"/>
      <c r="B14" s="84" t="n"/>
      <c r="C14" s="137" t="n"/>
      <c r="D14" s="138">
        <f>IF($A14="","",$B14-$C14)</f>
        <v/>
      </c>
      <c r="E14" s="85" t="n"/>
      <c r="F14" s="86" t="n"/>
      <c r="G14" s="128">
        <f>IF($A14="","",$B14)</f>
        <v/>
      </c>
      <c r="H14" s="129">
        <f>IF($A14="","",2*$F14)</f>
        <v/>
      </c>
      <c r="I14" s="128">
        <f>IF($A14="","",$E14-$E$55-$F$55)</f>
        <v/>
      </c>
      <c r="J14" s="129">
        <f>IF($A14="","",2*$F14)</f>
        <v/>
      </c>
      <c r="K14" s="128">
        <f>IF($A14="","",$I14)</f>
        <v/>
      </c>
      <c r="L14" s="129">
        <f>IF($A14="","",1*$F14)</f>
        <v/>
      </c>
      <c r="M14" s="128">
        <f>IF($A14="","",$D14-$E$57-$F$57)</f>
        <v/>
      </c>
      <c r="N14" s="129">
        <f>IF($A14="","",2*$F14)</f>
        <v/>
      </c>
      <c r="O14" s="128">
        <f>IF($A14="","",(($E14-$E$58-$F$58)))</f>
        <v/>
      </c>
      <c r="P14" s="129">
        <f>IF($A14="","",2*$F14)</f>
        <v/>
      </c>
      <c r="Q14" s="128">
        <f>IF($A14="","",$M14-$E$59-$F$59)</f>
        <v/>
      </c>
      <c r="R14" s="129">
        <f>IF($A14="","",2*$F14)</f>
        <v/>
      </c>
      <c r="S14" s="128">
        <f>IF($A14="","",$O14-$E$60-$F$60)</f>
        <v/>
      </c>
      <c r="T14" s="129">
        <f>IF($A14="","",2*$F14)</f>
        <v/>
      </c>
      <c r="U14" s="128">
        <f>IF($A14="","",$E14-$E$61-$F$61)</f>
        <v/>
      </c>
      <c r="V14" s="129">
        <f>IF($A14="","",2*$F14)</f>
        <v/>
      </c>
      <c r="W14" s="128">
        <f>IF($A14="","",$C14-$E$62-$F$62)</f>
        <v/>
      </c>
      <c r="X14" s="129">
        <f>IF($A14="","",2*$F14)</f>
        <v/>
      </c>
      <c r="Y14" s="128" t="n"/>
      <c r="Z14" s="129" t="n"/>
      <c r="AA14" s="128" t="n"/>
      <c r="AB14" s="129" t="n"/>
      <c r="AC14" s="128" t="n"/>
      <c r="AD14" s="129" t="n"/>
      <c r="AE14" s="128" t="n"/>
      <c r="AF14" s="129" t="n"/>
      <c r="AG14" s="124">
        <f>IF($A14="","",$M14-67-67)</f>
        <v/>
      </c>
      <c r="AH14" s="125">
        <f>IF($A14="","",$O14-67-67)</f>
        <v/>
      </c>
      <c r="AI14" s="126">
        <f>IF($A14="","",1*$F14)</f>
        <v/>
      </c>
      <c r="AJ14" s="124">
        <f>IF($A14="","",$C14-24.5-37)</f>
        <v/>
      </c>
      <c r="AK14" s="125">
        <f>IF($A14="","",$E14-37-37)</f>
        <v/>
      </c>
      <c r="AL14" s="126">
        <f>IF($A14="","",1*$F14)</f>
        <v/>
      </c>
    </row>
    <row r="15" ht="40.2" customHeight="1">
      <c r="A15" s="83" t="n"/>
      <c r="B15" s="84" t="n"/>
      <c r="C15" s="137" t="n"/>
      <c r="D15" s="138">
        <f>IF($A15="","",$B15-$C15)</f>
        <v/>
      </c>
      <c r="E15" s="85" t="n"/>
      <c r="F15" s="86" t="n"/>
      <c r="G15" s="123">
        <f>IF($A15="","",$B15)</f>
        <v/>
      </c>
      <c r="H15" s="85">
        <f>IF($A15="","",2*$F15)</f>
        <v/>
      </c>
      <c r="I15" s="123">
        <f>IF($A15="","",$E15-$E$55-$F$55)</f>
        <v/>
      </c>
      <c r="J15" s="85">
        <f>IF($A15="","",2*$F15)</f>
        <v/>
      </c>
      <c r="K15" s="123">
        <f>IF($A15="","",$I15)</f>
        <v/>
      </c>
      <c r="L15" s="85">
        <f>IF($A15="","",1*$F15)</f>
        <v/>
      </c>
      <c r="M15" s="123">
        <f>IF($A15="","",$D15-$E$57-$F$57)</f>
        <v/>
      </c>
      <c r="N15" s="85">
        <f>IF($A15="","",2*$F15)</f>
        <v/>
      </c>
      <c r="O15" s="123">
        <f>IF($A15="","",(($E15-$E$58-$F$58)))</f>
        <v/>
      </c>
      <c r="P15" s="85">
        <f>IF($A15="","",2*$F15)</f>
        <v/>
      </c>
      <c r="Q15" s="123">
        <f>IF($A15="","",$M15-$E$59-$F$59)</f>
        <v/>
      </c>
      <c r="R15" s="85">
        <f>IF($A15="","",2*$F15)</f>
        <v/>
      </c>
      <c r="S15" s="123">
        <f>IF($A15="","",$O15-$E$60-$F$60)</f>
        <v/>
      </c>
      <c r="T15" s="85">
        <f>IF($A15="","",2*$F15)</f>
        <v/>
      </c>
      <c r="U15" s="123">
        <f>IF($A15="","",$E15-$E$61-$F$61)</f>
        <v/>
      </c>
      <c r="V15" s="85">
        <f>IF($A15="","",2*$F15)</f>
        <v/>
      </c>
      <c r="W15" s="123">
        <f>IF($A15="","",$C15-$E$62-$F$62)</f>
        <v/>
      </c>
      <c r="X15" s="85">
        <f>IF($A15="","",2*$F15)</f>
        <v/>
      </c>
      <c r="Y15" s="123" t="n"/>
      <c r="Z15" s="85" t="n"/>
      <c r="AA15" s="123" t="n"/>
      <c r="AB15" s="85" t="n"/>
      <c r="AC15" s="123" t="n"/>
      <c r="AD15" s="85" t="n"/>
      <c r="AE15" s="123" t="n"/>
      <c r="AF15" s="85" t="n"/>
      <c r="AG15" s="124">
        <f>IF($A15="","",$M15-67-67)</f>
        <v/>
      </c>
      <c r="AH15" s="125">
        <f>IF($A15="","",$O15-67-67)</f>
        <v/>
      </c>
      <c r="AI15" s="126">
        <f>IF($A15="","",1*$F15)</f>
        <v/>
      </c>
      <c r="AJ15" s="124">
        <f>IF($A15="","",$C15-24.5-37)</f>
        <v/>
      </c>
      <c r="AK15" s="125">
        <f>IF($A15="","",$E15-37-37)</f>
        <v/>
      </c>
      <c r="AL15" s="126">
        <f>IF($A15="","",1*$F15)</f>
        <v/>
      </c>
    </row>
    <row r="16" ht="40.2" customHeight="1">
      <c r="A16" s="83" t="n"/>
      <c r="B16" s="84" t="n"/>
      <c r="C16" s="137" t="n"/>
      <c r="D16" s="138">
        <f>IF($A16="","",$B16-$C16)</f>
        <v/>
      </c>
      <c r="E16" s="85" t="n"/>
      <c r="F16" s="86" t="n"/>
      <c r="G16" s="128">
        <f>IF($A16="","",$B16)</f>
        <v/>
      </c>
      <c r="H16" s="129">
        <f>IF($A16="","",2*$F16)</f>
        <v/>
      </c>
      <c r="I16" s="128">
        <f>IF($A16="","",$E16-$E$55-$F$55)</f>
        <v/>
      </c>
      <c r="J16" s="129">
        <f>IF($A16="","",2*$F16)</f>
        <v/>
      </c>
      <c r="K16" s="128">
        <f>IF($A16="","",$I16)</f>
        <v/>
      </c>
      <c r="L16" s="129">
        <f>IF($A16="","",1*$F16)</f>
        <v/>
      </c>
      <c r="M16" s="128">
        <f>IF($A16="","",$D16-$E$57-$F$57)</f>
        <v/>
      </c>
      <c r="N16" s="129">
        <f>IF($A16="","",2*$F16)</f>
        <v/>
      </c>
      <c r="O16" s="128">
        <f>IF($A16="","",(($E16-$E$58-$F$58)))</f>
        <v/>
      </c>
      <c r="P16" s="129">
        <f>IF($A16="","",2*$F16)</f>
        <v/>
      </c>
      <c r="Q16" s="128">
        <f>IF($A16="","",$M16-$E$59-$F$59)</f>
        <v/>
      </c>
      <c r="R16" s="129">
        <f>IF($A16="","",2*$F16)</f>
        <v/>
      </c>
      <c r="S16" s="128">
        <f>IF($A16="","",$O16-$E$60-$F$60)</f>
        <v/>
      </c>
      <c r="T16" s="129">
        <f>IF($A16="","",2*$F16)</f>
        <v/>
      </c>
      <c r="U16" s="128">
        <f>IF($A16="","",$E16-$E$61-$F$61)</f>
        <v/>
      </c>
      <c r="V16" s="129">
        <f>IF($A16="","",2*$F16)</f>
        <v/>
      </c>
      <c r="W16" s="128">
        <f>IF($A16="","",$C16-$E$62-$F$62)</f>
        <v/>
      </c>
      <c r="X16" s="129">
        <f>IF($A16="","",2*$F16)</f>
        <v/>
      </c>
      <c r="Y16" s="128" t="n"/>
      <c r="Z16" s="129" t="n"/>
      <c r="AA16" s="128" t="n"/>
      <c r="AB16" s="129" t="n"/>
      <c r="AC16" s="128" t="n"/>
      <c r="AD16" s="129" t="n"/>
      <c r="AE16" s="128" t="n"/>
      <c r="AF16" s="129" t="n"/>
      <c r="AG16" s="124">
        <f>IF($A16="","",$M16-67-67)</f>
        <v/>
      </c>
      <c r="AH16" s="125">
        <f>IF($A16="","",$O16-67-67)</f>
        <v/>
      </c>
      <c r="AI16" s="126">
        <f>IF($A16="","",1*$F16)</f>
        <v/>
      </c>
      <c r="AJ16" s="124">
        <f>IF($A16="","",$C16-24.5-37)</f>
        <v/>
      </c>
      <c r="AK16" s="125">
        <f>IF($A16="","",$E16-37-37)</f>
        <v/>
      </c>
      <c r="AL16" s="126">
        <f>IF($A16="","",1*$F16)</f>
        <v/>
      </c>
    </row>
    <row r="17" ht="40.2" customHeight="1">
      <c r="A17" s="83" t="n"/>
      <c r="B17" s="84" t="n"/>
      <c r="C17" s="137" t="n"/>
      <c r="D17" s="138">
        <f>IF($A17="","",$B17-$C17)</f>
        <v/>
      </c>
      <c r="E17" s="85" t="n"/>
      <c r="F17" s="86" t="n"/>
      <c r="G17" s="123">
        <f>IF($A17="","",$B17)</f>
        <v/>
      </c>
      <c r="H17" s="85">
        <f>IF($A17="","",2*$F17)</f>
        <v/>
      </c>
      <c r="I17" s="123">
        <f>IF($A17="","",$E17-$E$55-$F$55)</f>
        <v/>
      </c>
      <c r="J17" s="85">
        <f>IF($A17="","",2*$F17)</f>
        <v/>
      </c>
      <c r="K17" s="123">
        <f>IF($A17="","",$I17)</f>
        <v/>
      </c>
      <c r="L17" s="85">
        <f>IF($A17="","",1*$F17)</f>
        <v/>
      </c>
      <c r="M17" s="123">
        <f>IF($A17="","",$D17-$E$57-$F$57)</f>
        <v/>
      </c>
      <c r="N17" s="85">
        <f>IF($A17="","",2*$F17)</f>
        <v/>
      </c>
      <c r="O17" s="123">
        <f>IF($A17="","",(($E17-$E$58-$F$58)))</f>
        <v/>
      </c>
      <c r="P17" s="85">
        <f>IF($A17="","",2*$F17)</f>
        <v/>
      </c>
      <c r="Q17" s="123">
        <f>IF($A17="","",$M17-$E$59-$F$59)</f>
        <v/>
      </c>
      <c r="R17" s="85">
        <f>IF($A17="","",2*$F17)</f>
        <v/>
      </c>
      <c r="S17" s="123">
        <f>IF($A17="","",$O17-$E$60-$F$60)</f>
        <v/>
      </c>
      <c r="T17" s="85">
        <f>IF($A17="","",2*$F17)</f>
        <v/>
      </c>
      <c r="U17" s="123">
        <f>IF($A17="","",$E17-$E$61-$F$61)</f>
        <v/>
      </c>
      <c r="V17" s="85">
        <f>IF($A17="","",2*$F17)</f>
        <v/>
      </c>
      <c r="W17" s="123">
        <f>IF($A17="","",$C17-$E$62-$F$62)</f>
        <v/>
      </c>
      <c r="X17" s="85">
        <f>IF($A17="","",2*$F17)</f>
        <v/>
      </c>
      <c r="Y17" s="123" t="n"/>
      <c r="Z17" s="85" t="n"/>
      <c r="AA17" s="123" t="n"/>
      <c r="AB17" s="85" t="n"/>
      <c r="AC17" s="123" t="n"/>
      <c r="AD17" s="85" t="n"/>
      <c r="AE17" s="123" t="n"/>
      <c r="AF17" s="85" t="n"/>
      <c r="AG17" s="124">
        <f>IF($A17="","",$M17-67-67)</f>
        <v/>
      </c>
      <c r="AH17" s="125">
        <f>IF($A17="","",$O17-67-67)</f>
        <v/>
      </c>
      <c r="AI17" s="126">
        <f>IF($A17="","",1*$F17)</f>
        <v/>
      </c>
      <c r="AJ17" s="124">
        <f>IF($A17="","",$C17-24.5-37)</f>
        <v/>
      </c>
      <c r="AK17" s="125">
        <f>IF($A17="","",$E17-37-37)</f>
        <v/>
      </c>
      <c r="AL17" s="126">
        <f>IF($A17="","",1*$F17)</f>
        <v/>
      </c>
    </row>
    <row r="18" ht="40.2" customHeight="1">
      <c r="A18" s="83" t="n"/>
      <c r="B18" s="84" t="n"/>
      <c r="C18" s="137" t="n"/>
      <c r="D18" s="138">
        <f>IF($A18="","",$B18-$C18)</f>
        <v/>
      </c>
      <c r="E18" s="85" t="n"/>
      <c r="F18" s="86" t="n"/>
      <c r="G18" s="128">
        <f>IF($A18="","",$B18)</f>
        <v/>
      </c>
      <c r="H18" s="129">
        <f>IF($A18="","",2*$F18)</f>
        <v/>
      </c>
      <c r="I18" s="128">
        <f>IF($A18="","",$E18-$E$55-$F$55)</f>
        <v/>
      </c>
      <c r="J18" s="129">
        <f>IF($A18="","",2*$F18)</f>
        <v/>
      </c>
      <c r="K18" s="128">
        <f>IF($A18="","",$I18)</f>
        <v/>
      </c>
      <c r="L18" s="129">
        <f>IF($A18="","",1*$F18)</f>
        <v/>
      </c>
      <c r="M18" s="128">
        <f>IF($A18="","",$D18-$E$57-$F$57)</f>
        <v/>
      </c>
      <c r="N18" s="129">
        <f>IF($A18="","",2*$F18)</f>
        <v/>
      </c>
      <c r="O18" s="128">
        <f>IF($A18="","",(($E18-$E$58-$F$58)))</f>
        <v/>
      </c>
      <c r="P18" s="129">
        <f>IF($A18="","",2*$F18)</f>
        <v/>
      </c>
      <c r="Q18" s="128">
        <f>IF($A18="","",$M18-$E$59-$F$59)</f>
        <v/>
      </c>
      <c r="R18" s="129">
        <f>IF($A18="","",2*$F18)</f>
        <v/>
      </c>
      <c r="S18" s="128">
        <f>IF($A18="","",$O18-$E$60-$F$60)</f>
        <v/>
      </c>
      <c r="T18" s="129">
        <f>IF($A18="","",2*$F18)</f>
        <v/>
      </c>
      <c r="U18" s="128">
        <f>IF($A18="","",$E18-$E$61-$F$61)</f>
        <v/>
      </c>
      <c r="V18" s="129">
        <f>IF($A18="","",2*$F18)</f>
        <v/>
      </c>
      <c r="W18" s="128">
        <f>IF($A18="","",$C18-$E$62-$F$62)</f>
        <v/>
      </c>
      <c r="X18" s="129">
        <f>IF($A18="","",2*$F18)</f>
        <v/>
      </c>
      <c r="Y18" s="128" t="n"/>
      <c r="Z18" s="129" t="n"/>
      <c r="AA18" s="128" t="n"/>
      <c r="AB18" s="129" t="n"/>
      <c r="AC18" s="128" t="n"/>
      <c r="AD18" s="129" t="n"/>
      <c r="AE18" s="128" t="n"/>
      <c r="AF18" s="129" t="n"/>
      <c r="AG18" s="124">
        <f>IF($A18="","",$M18-67-67)</f>
        <v/>
      </c>
      <c r="AH18" s="125">
        <f>IF($A18="","",$O18-67-67)</f>
        <v/>
      </c>
      <c r="AI18" s="126">
        <f>IF($A18="","",1*$F18)</f>
        <v/>
      </c>
      <c r="AJ18" s="124">
        <f>IF($A18="","",$C18-24.5-37)</f>
        <v/>
      </c>
      <c r="AK18" s="125">
        <f>IF($A18="","",$E18-37-37)</f>
        <v/>
      </c>
      <c r="AL18" s="126">
        <f>IF($A18="","",1*$F18)</f>
        <v/>
      </c>
    </row>
    <row r="19" ht="40.2" customHeight="1">
      <c r="A19" s="83" t="n"/>
      <c r="B19" s="84" t="n"/>
      <c r="C19" s="137" t="n"/>
      <c r="D19" s="138">
        <f>IF($A19="","",$B19-$C19)</f>
        <v/>
      </c>
      <c r="E19" s="85" t="n"/>
      <c r="F19" s="86" t="n"/>
      <c r="G19" s="123">
        <f>IF($A19="","",$B19)</f>
        <v/>
      </c>
      <c r="H19" s="85">
        <f>IF($A19="","",2*$F19)</f>
        <v/>
      </c>
      <c r="I19" s="123">
        <f>IF($A19="","",$E19-$E$55-$F$55)</f>
        <v/>
      </c>
      <c r="J19" s="85">
        <f>IF($A19="","",2*$F19)</f>
        <v/>
      </c>
      <c r="K19" s="123">
        <f>IF($A19="","",$I19)</f>
        <v/>
      </c>
      <c r="L19" s="85">
        <f>IF($A19="","",1*$F19)</f>
        <v/>
      </c>
      <c r="M19" s="123">
        <f>IF($A19="","",$D19-$E$57-$F$57)</f>
        <v/>
      </c>
      <c r="N19" s="85">
        <f>IF($A19="","",2*$F19)</f>
        <v/>
      </c>
      <c r="O19" s="123">
        <f>IF($A19="","",(($E19-$E$58-$F$58)))</f>
        <v/>
      </c>
      <c r="P19" s="85">
        <f>IF($A19="","",2*$F19)</f>
        <v/>
      </c>
      <c r="Q19" s="123">
        <f>IF($A19="","",$M19-$E$59-$F$59)</f>
        <v/>
      </c>
      <c r="R19" s="85">
        <f>IF($A19="","",2*$F19)</f>
        <v/>
      </c>
      <c r="S19" s="123">
        <f>IF($A19="","",$O19-$E$60-$F$60)</f>
        <v/>
      </c>
      <c r="T19" s="85">
        <f>IF($A19="","",2*$F19)</f>
        <v/>
      </c>
      <c r="U19" s="123">
        <f>IF($A19="","",$E19-$E$61-$F$61)</f>
        <v/>
      </c>
      <c r="V19" s="85">
        <f>IF($A19="","",2*$F19)</f>
        <v/>
      </c>
      <c r="W19" s="123">
        <f>IF($A19="","",$C19-$E$62-$F$62)</f>
        <v/>
      </c>
      <c r="X19" s="85">
        <f>IF($A19="","",2*$F19)</f>
        <v/>
      </c>
      <c r="Y19" s="123" t="n"/>
      <c r="Z19" s="85" t="n"/>
      <c r="AA19" s="123" t="n"/>
      <c r="AB19" s="85" t="n"/>
      <c r="AC19" s="123" t="n"/>
      <c r="AD19" s="85" t="n"/>
      <c r="AE19" s="123" t="n"/>
      <c r="AF19" s="85" t="n"/>
      <c r="AG19" s="124">
        <f>IF($A19="","",$M19-67-67)</f>
        <v/>
      </c>
      <c r="AH19" s="125">
        <f>IF($A19="","",$O19-67-67)</f>
        <v/>
      </c>
      <c r="AI19" s="126">
        <f>IF($A19="","",1*$F19)</f>
        <v/>
      </c>
      <c r="AJ19" s="124">
        <f>IF($A19="","",$C19-24.5-37)</f>
        <v/>
      </c>
      <c r="AK19" s="125">
        <f>IF($A19="","",$E19-37-37)</f>
        <v/>
      </c>
      <c r="AL19" s="126">
        <f>IF($A19="","",1*$F19)</f>
        <v/>
      </c>
    </row>
    <row r="20" ht="40.2" customHeight="1">
      <c r="A20" s="83" t="n"/>
      <c r="B20" s="84" t="n"/>
      <c r="C20" s="137" t="n"/>
      <c r="D20" s="138">
        <f>IF($A20="","",$B20-$C20)</f>
        <v/>
      </c>
      <c r="E20" s="85" t="n"/>
      <c r="F20" s="86" t="n"/>
      <c r="G20" s="128">
        <f>IF($A20="","",$B20)</f>
        <v/>
      </c>
      <c r="H20" s="129">
        <f>IF($A20="","",2*$F20)</f>
        <v/>
      </c>
      <c r="I20" s="128">
        <f>IF($A20="","",$E20-$E$55-$F$55)</f>
        <v/>
      </c>
      <c r="J20" s="129">
        <f>IF($A20="","",2*$F20)</f>
        <v/>
      </c>
      <c r="K20" s="128">
        <f>IF($A20="","",$I20)</f>
        <v/>
      </c>
      <c r="L20" s="129">
        <f>IF($A20="","",1*$F20)</f>
        <v/>
      </c>
      <c r="M20" s="128">
        <f>IF($A20="","",$D20-$E$57-$F$57)</f>
        <v/>
      </c>
      <c r="N20" s="129">
        <f>IF($A20="","",2*$F20)</f>
        <v/>
      </c>
      <c r="O20" s="128">
        <f>IF($A20="","",(($E20-$E$58-$F$58)))</f>
        <v/>
      </c>
      <c r="P20" s="129">
        <f>IF($A20="","",2*$F20)</f>
        <v/>
      </c>
      <c r="Q20" s="128">
        <f>IF($A20="","",$M20-$E$59-$F$59)</f>
        <v/>
      </c>
      <c r="R20" s="129">
        <f>IF($A20="","",2*$F20)</f>
        <v/>
      </c>
      <c r="S20" s="128">
        <f>IF($A20="","",$O20-$E$60-$F$60)</f>
        <v/>
      </c>
      <c r="T20" s="129">
        <f>IF($A20="","",2*$F20)</f>
        <v/>
      </c>
      <c r="U20" s="128">
        <f>IF($A20="","",$E20-$E$61-$F$61)</f>
        <v/>
      </c>
      <c r="V20" s="129">
        <f>IF($A20="","",2*$F20)</f>
        <v/>
      </c>
      <c r="W20" s="128">
        <f>IF($A20="","",$C20-$E$62-$F$62)</f>
        <v/>
      </c>
      <c r="X20" s="129">
        <f>IF($A20="","",2*$F20)</f>
        <v/>
      </c>
      <c r="Y20" s="128" t="n"/>
      <c r="Z20" s="129" t="n"/>
      <c r="AA20" s="128" t="n"/>
      <c r="AB20" s="129" t="n"/>
      <c r="AC20" s="128" t="n"/>
      <c r="AD20" s="129" t="n"/>
      <c r="AE20" s="128" t="n"/>
      <c r="AF20" s="129" t="n"/>
      <c r="AG20" s="124">
        <f>IF($A20="","",$M20-67-67)</f>
        <v/>
      </c>
      <c r="AH20" s="125">
        <f>IF($A20="","",$O20-67-67)</f>
        <v/>
      </c>
      <c r="AI20" s="126">
        <f>IF($A20="","",1*$F20)</f>
        <v/>
      </c>
      <c r="AJ20" s="124">
        <f>IF($A20="","",$C20-24.5-37)</f>
        <v/>
      </c>
      <c r="AK20" s="125">
        <f>IF($A20="","",$E20-37-37)</f>
        <v/>
      </c>
      <c r="AL20" s="126">
        <f>IF($A20="","",1*$F20)</f>
        <v/>
      </c>
    </row>
    <row r="21" ht="40.2" customHeight="1">
      <c r="A21" s="83" t="n"/>
      <c r="B21" s="84" t="n"/>
      <c r="C21" s="137" t="n"/>
      <c r="D21" s="138">
        <f>IF($A21="","",$B21-$C21)</f>
        <v/>
      </c>
      <c r="E21" s="85" t="n"/>
      <c r="F21" s="86" t="n"/>
      <c r="G21" s="123">
        <f>IF($A21="","",$B21)</f>
        <v/>
      </c>
      <c r="H21" s="85">
        <f>IF($A21="","",2*$F21)</f>
        <v/>
      </c>
      <c r="I21" s="123">
        <f>IF($A21="","",$E21-$E$55-$F$55)</f>
        <v/>
      </c>
      <c r="J21" s="85">
        <f>IF($A21="","",2*$F21)</f>
        <v/>
      </c>
      <c r="K21" s="123">
        <f>IF($A21="","",$I21)</f>
        <v/>
      </c>
      <c r="L21" s="85">
        <f>IF($A21="","",1*$F21)</f>
        <v/>
      </c>
      <c r="M21" s="123">
        <f>IF($A21="","",$D21-$E$57-$F$57)</f>
        <v/>
      </c>
      <c r="N21" s="85">
        <f>IF($A21="","",2*$F21)</f>
        <v/>
      </c>
      <c r="O21" s="123">
        <f>IF($A21="","",(($E21-$E$58-$F$58)))</f>
        <v/>
      </c>
      <c r="P21" s="85">
        <f>IF($A21="","",2*$F21)</f>
        <v/>
      </c>
      <c r="Q21" s="123">
        <f>IF($A21="","",$M21-$E$59-$F$59)</f>
        <v/>
      </c>
      <c r="R21" s="85">
        <f>IF($A21="","",2*$F21)</f>
        <v/>
      </c>
      <c r="S21" s="123">
        <f>IF($A21="","",$O21-$E$60-$F$60)</f>
        <v/>
      </c>
      <c r="T21" s="85">
        <f>IF($A21="","",2*$F21)</f>
        <v/>
      </c>
      <c r="U21" s="123">
        <f>IF($A21="","",$E21-$E$61-$F$61)</f>
        <v/>
      </c>
      <c r="V21" s="85">
        <f>IF($A21="","",2*$F21)</f>
        <v/>
      </c>
      <c r="W21" s="123">
        <f>IF($A21="","",$C21-$E$62-$F$62)</f>
        <v/>
      </c>
      <c r="X21" s="85">
        <f>IF($A21="","",2*$F21)</f>
        <v/>
      </c>
      <c r="Y21" s="123" t="n"/>
      <c r="Z21" s="85" t="n"/>
      <c r="AA21" s="123" t="n"/>
      <c r="AB21" s="85" t="n"/>
      <c r="AC21" s="123" t="n"/>
      <c r="AD21" s="85" t="n"/>
      <c r="AE21" s="123" t="n"/>
      <c r="AF21" s="85" t="n"/>
      <c r="AG21" s="124">
        <f>IF($A21="","",$M21-67-67)</f>
        <v/>
      </c>
      <c r="AH21" s="125">
        <f>IF($A21="","",$O21-67-67)</f>
        <v/>
      </c>
      <c r="AI21" s="126">
        <f>IF($A21="","",1*$F21)</f>
        <v/>
      </c>
      <c r="AJ21" s="124">
        <f>IF($A21="","",$C21-24.5-37)</f>
        <v/>
      </c>
      <c r="AK21" s="125">
        <f>IF($A21="","",$E21-37-37)</f>
        <v/>
      </c>
      <c r="AL21" s="126">
        <f>IF($A21="","",1*$F21)</f>
        <v/>
      </c>
    </row>
    <row r="22" ht="40.2" customHeight="1">
      <c r="A22" s="83" t="n"/>
      <c r="B22" s="84" t="n"/>
      <c r="C22" s="137" t="n"/>
      <c r="D22" s="138">
        <f>IF($A22="","",$B22-$C22)</f>
        <v/>
      </c>
      <c r="E22" s="85" t="n"/>
      <c r="F22" s="86" t="n"/>
      <c r="G22" s="128">
        <f>IF($A22="","",$B22)</f>
        <v/>
      </c>
      <c r="H22" s="129">
        <f>IF($A22="","",2*$F22)</f>
        <v/>
      </c>
      <c r="I22" s="128">
        <f>IF($A22="","",$E22-$E$55-$F$55)</f>
        <v/>
      </c>
      <c r="J22" s="129">
        <f>IF($A22="","",2*$F22)</f>
        <v/>
      </c>
      <c r="K22" s="128">
        <f>IF($A22="","",$I22)</f>
        <v/>
      </c>
      <c r="L22" s="129">
        <f>IF($A22="","",1*$F22)</f>
        <v/>
      </c>
      <c r="M22" s="128">
        <f>IF($A22="","",$D22-$E$57-$F$57)</f>
        <v/>
      </c>
      <c r="N22" s="129">
        <f>IF($A22="","",2*$F22)</f>
        <v/>
      </c>
      <c r="O22" s="128">
        <f>IF($A22="","",(($E22-$E$58-$F$58)))</f>
        <v/>
      </c>
      <c r="P22" s="129">
        <f>IF($A22="","",2*$F22)</f>
        <v/>
      </c>
      <c r="Q22" s="128">
        <f>IF($A22="","",$M22-$E$59-$F$59)</f>
        <v/>
      </c>
      <c r="R22" s="129">
        <f>IF($A22="","",2*$F22)</f>
        <v/>
      </c>
      <c r="S22" s="128">
        <f>IF($A22="","",$O22-$E$60-$F$60)</f>
        <v/>
      </c>
      <c r="T22" s="129">
        <f>IF($A22="","",2*$F22)</f>
        <v/>
      </c>
      <c r="U22" s="128">
        <f>IF($A22="","",$E22-$E$61-$F$61)</f>
        <v/>
      </c>
      <c r="V22" s="129">
        <f>IF($A22="","",2*$F22)</f>
        <v/>
      </c>
      <c r="W22" s="128">
        <f>IF($A22="","",$C22-$E$62-$F$62)</f>
        <v/>
      </c>
      <c r="X22" s="129">
        <f>IF($A22="","",2*$F22)</f>
        <v/>
      </c>
      <c r="Y22" s="128" t="n"/>
      <c r="Z22" s="129" t="n"/>
      <c r="AA22" s="128" t="n"/>
      <c r="AB22" s="129" t="n"/>
      <c r="AC22" s="128" t="n"/>
      <c r="AD22" s="129" t="n"/>
      <c r="AE22" s="128" t="n"/>
      <c r="AF22" s="129" t="n"/>
      <c r="AG22" s="124">
        <f>IF($A22="","",$M22-67-67)</f>
        <v/>
      </c>
      <c r="AH22" s="125">
        <f>IF($A22="","",$O22-67-67)</f>
        <v/>
      </c>
      <c r="AI22" s="126">
        <f>IF($A22="","",1*$F22)</f>
        <v/>
      </c>
      <c r="AJ22" s="124">
        <f>IF($A22="","",$C22-24.5-37)</f>
        <v/>
      </c>
      <c r="AK22" s="125">
        <f>IF($A22="","",$E22-37-37)</f>
        <v/>
      </c>
      <c r="AL22" s="126">
        <f>IF($A22="","",1*$F22)</f>
        <v/>
      </c>
    </row>
    <row r="23" ht="40.2" customHeight="1">
      <c r="A23" s="83" t="n"/>
      <c r="B23" s="84" t="n"/>
      <c r="C23" s="137" t="n"/>
      <c r="D23" s="138">
        <f>IF($A23="","",$B23-$C23)</f>
        <v/>
      </c>
      <c r="E23" s="85" t="n"/>
      <c r="F23" s="86" t="n"/>
      <c r="G23" s="123">
        <f>IF($A23="","",$B23)</f>
        <v/>
      </c>
      <c r="H23" s="85">
        <f>IF($A23="","",2*$F23)</f>
        <v/>
      </c>
      <c r="I23" s="123">
        <f>IF($A23="","",$E23-$E$55-$F$55)</f>
        <v/>
      </c>
      <c r="J23" s="85">
        <f>IF($A23="","",2*$F23)</f>
        <v/>
      </c>
      <c r="K23" s="123">
        <f>IF($A23="","",$I23)</f>
        <v/>
      </c>
      <c r="L23" s="85">
        <f>IF($A23="","",1*$F23)</f>
        <v/>
      </c>
      <c r="M23" s="123">
        <f>IF($A23="","",$D23-$E$57-$F$57)</f>
        <v/>
      </c>
      <c r="N23" s="85">
        <f>IF($A23="","",2*$F23)</f>
        <v/>
      </c>
      <c r="O23" s="123">
        <f>IF($A23="","",(($E23-$E$58-$F$58)))</f>
        <v/>
      </c>
      <c r="P23" s="85">
        <f>IF($A23="","",2*$F23)</f>
        <v/>
      </c>
      <c r="Q23" s="123">
        <f>IF($A23="","",$M23-$E$59-$F$59)</f>
        <v/>
      </c>
      <c r="R23" s="85">
        <f>IF($A23="","",2*$F23)</f>
        <v/>
      </c>
      <c r="S23" s="123">
        <f>IF($A23="","",$O23-$E$60-$F$60)</f>
        <v/>
      </c>
      <c r="T23" s="85">
        <f>IF($A23="","",2*$F23)</f>
        <v/>
      </c>
      <c r="U23" s="123">
        <f>IF($A23="","",$E23-$E$61-$F$61)</f>
        <v/>
      </c>
      <c r="V23" s="85">
        <f>IF($A23="","",2*$F23)</f>
        <v/>
      </c>
      <c r="W23" s="123">
        <f>IF($A23="","",$C23-$E$62-$F$62)</f>
        <v/>
      </c>
      <c r="X23" s="85">
        <f>IF($A23="","",2*$F23)</f>
        <v/>
      </c>
      <c r="Y23" s="123" t="n"/>
      <c r="Z23" s="85" t="n"/>
      <c r="AA23" s="123" t="n"/>
      <c r="AB23" s="85" t="n"/>
      <c r="AC23" s="123" t="n"/>
      <c r="AD23" s="85" t="n"/>
      <c r="AE23" s="123" t="n"/>
      <c r="AF23" s="85" t="n"/>
      <c r="AG23" s="124">
        <f>IF($A23="","",$M23-67-67)</f>
        <v/>
      </c>
      <c r="AH23" s="125">
        <f>IF($A23="","",$O23-67-67)</f>
        <v/>
      </c>
      <c r="AI23" s="126">
        <f>IF($A23="","",1*$F23)</f>
        <v/>
      </c>
      <c r="AJ23" s="124">
        <f>IF($A23="","",$C23-24.5-37)</f>
        <v/>
      </c>
      <c r="AK23" s="125">
        <f>IF($A23="","",$E23-37-37)</f>
        <v/>
      </c>
      <c r="AL23" s="126">
        <f>IF($A23="","",1*$F23)</f>
        <v/>
      </c>
    </row>
    <row r="24" ht="40.2" customHeight="1">
      <c r="A24" s="83" t="n"/>
      <c r="B24" s="84" t="n"/>
      <c r="C24" s="137" t="n"/>
      <c r="D24" s="138">
        <f>IF($A24="","",$B24-$C24)</f>
        <v/>
      </c>
      <c r="E24" s="85" t="n"/>
      <c r="F24" s="86" t="n"/>
      <c r="G24" s="128">
        <f>IF($A24="","",$B24)</f>
        <v/>
      </c>
      <c r="H24" s="129">
        <f>IF($A24="","",2*$F24)</f>
        <v/>
      </c>
      <c r="I24" s="128">
        <f>IF($A24="","",$E24-$E$55-$F$55)</f>
        <v/>
      </c>
      <c r="J24" s="129">
        <f>IF($A24="","",2*$F24)</f>
        <v/>
      </c>
      <c r="K24" s="128">
        <f>IF($A24="","",$I24)</f>
        <v/>
      </c>
      <c r="L24" s="129">
        <f>IF($A24="","",1*$F24)</f>
        <v/>
      </c>
      <c r="M24" s="128">
        <f>IF($A24="","",$D24-$E$57-$F$57)</f>
        <v/>
      </c>
      <c r="N24" s="129">
        <f>IF($A24="","",2*$F24)</f>
        <v/>
      </c>
      <c r="O24" s="128">
        <f>IF($A24="","",(($E24-$E$58-$F$58)))</f>
        <v/>
      </c>
      <c r="P24" s="129">
        <f>IF($A24="","",2*$F24)</f>
        <v/>
      </c>
      <c r="Q24" s="128">
        <f>IF($A24="","",$M24-$E$59-$F$59)</f>
        <v/>
      </c>
      <c r="R24" s="129">
        <f>IF($A24="","",2*$F24)</f>
        <v/>
      </c>
      <c r="S24" s="128">
        <f>IF($A24="","",$O24-$E$60-$F$60)</f>
        <v/>
      </c>
      <c r="T24" s="129">
        <f>IF($A24="","",2*$F24)</f>
        <v/>
      </c>
      <c r="U24" s="128">
        <f>IF($A24="","",$E24-$E$61-$F$61)</f>
        <v/>
      </c>
      <c r="V24" s="129">
        <f>IF($A24="","",2*$F24)</f>
        <v/>
      </c>
      <c r="W24" s="128">
        <f>IF($A24="","",$C24-$E$62-$F$62)</f>
        <v/>
      </c>
      <c r="X24" s="129">
        <f>IF($A24="","",2*$F24)</f>
        <v/>
      </c>
      <c r="Y24" s="128" t="n"/>
      <c r="Z24" s="129" t="n"/>
      <c r="AA24" s="128" t="n"/>
      <c r="AB24" s="129" t="n"/>
      <c r="AC24" s="128" t="n"/>
      <c r="AD24" s="129" t="n"/>
      <c r="AE24" s="128" t="n"/>
      <c r="AF24" s="129" t="n"/>
      <c r="AG24" s="124">
        <f>IF($A24="","",$M24-67-67)</f>
        <v/>
      </c>
      <c r="AH24" s="125">
        <f>IF($A24="","",$O24-67-67)</f>
        <v/>
      </c>
      <c r="AI24" s="126">
        <f>IF($A24="","",1*$F24)</f>
        <v/>
      </c>
      <c r="AJ24" s="124">
        <f>IF($A24="","",$C24-24.5-37)</f>
        <v/>
      </c>
      <c r="AK24" s="125">
        <f>IF($A24="","",$E24-37-37)</f>
        <v/>
      </c>
      <c r="AL24" s="126">
        <f>IF($A24="","",1*$F24)</f>
        <v/>
      </c>
    </row>
    <row r="25" ht="40.2" customHeight="1">
      <c r="A25" s="83" t="n"/>
      <c r="B25" s="84" t="n"/>
      <c r="C25" s="137" t="n"/>
      <c r="D25" s="138">
        <f>IF($A25="","",$B25-$C25)</f>
        <v/>
      </c>
      <c r="E25" s="85" t="n"/>
      <c r="F25" s="86" t="n"/>
      <c r="G25" s="123">
        <f>IF($A25="","",$B25)</f>
        <v/>
      </c>
      <c r="H25" s="85">
        <f>IF($A25="","",2*$F25)</f>
        <v/>
      </c>
      <c r="I25" s="123">
        <f>IF($A25="","",$E25-$E$55-$F$55)</f>
        <v/>
      </c>
      <c r="J25" s="85">
        <f>IF($A25="","",2*$F25)</f>
        <v/>
      </c>
      <c r="K25" s="123">
        <f>IF($A25="","",$I25)</f>
        <v/>
      </c>
      <c r="L25" s="85">
        <f>IF($A25="","",1*$F25)</f>
        <v/>
      </c>
      <c r="M25" s="123">
        <f>IF($A25="","",$D25-$E$57-$F$57)</f>
        <v/>
      </c>
      <c r="N25" s="85">
        <f>IF($A25="","",2*$F25)</f>
        <v/>
      </c>
      <c r="O25" s="123">
        <f>IF($A25="","",(($E25-$E$58-$F$58)))</f>
        <v/>
      </c>
      <c r="P25" s="85">
        <f>IF($A25="","",2*$F25)</f>
        <v/>
      </c>
      <c r="Q25" s="123">
        <f>IF($A25="","",$M25-$E$59-$F$59)</f>
        <v/>
      </c>
      <c r="R25" s="85">
        <f>IF($A25="","",2*$F25)</f>
        <v/>
      </c>
      <c r="S25" s="123">
        <f>IF($A25="","",$O25-$E$60-$F$60)</f>
        <v/>
      </c>
      <c r="T25" s="85">
        <f>IF($A25="","",2*$F25)</f>
        <v/>
      </c>
      <c r="U25" s="123">
        <f>IF($A25="","",$E25-$E$61-$F$61)</f>
        <v/>
      </c>
      <c r="V25" s="85">
        <f>IF($A25="","",2*$F25)</f>
        <v/>
      </c>
      <c r="W25" s="123">
        <f>IF($A25="","",$C25-$E$62-$F$62)</f>
        <v/>
      </c>
      <c r="X25" s="85">
        <f>IF($A25="","",2*$F25)</f>
        <v/>
      </c>
      <c r="Y25" s="123" t="n"/>
      <c r="Z25" s="85" t="n"/>
      <c r="AA25" s="123" t="n"/>
      <c r="AB25" s="85" t="n"/>
      <c r="AC25" s="123" t="n"/>
      <c r="AD25" s="85" t="n"/>
      <c r="AE25" s="123" t="n"/>
      <c r="AF25" s="85" t="n"/>
      <c r="AG25" s="124">
        <f>IF($A25="","",$M25-67-67)</f>
        <v/>
      </c>
      <c r="AH25" s="125">
        <f>IF($A25="","",$O25-67-67)</f>
        <v/>
      </c>
      <c r="AI25" s="126">
        <f>IF($A25="","",1*$F25)</f>
        <v/>
      </c>
      <c r="AJ25" s="124">
        <f>IF($A25="","",$C25-24.5-37)</f>
        <v/>
      </c>
      <c r="AK25" s="125">
        <f>IF($A25="","",$E25-37-37)</f>
        <v/>
      </c>
      <c r="AL25" s="126">
        <f>IF($A25="","",1*$F25)</f>
        <v/>
      </c>
    </row>
    <row r="26" ht="40.2" customHeight="1">
      <c r="A26" s="83" t="n"/>
      <c r="B26" s="84" t="n"/>
      <c r="C26" s="137" t="n"/>
      <c r="D26" s="138">
        <f>IF($A26="","",$B26-$C26)</f>
        <v/>
      </c>
      <c r="E26" s="85" t="n"/>
      <c r="F26" s="86" t="n"/>
      <c r="G26" s="128">
        <f>IF($A26="","",$B26)</f>
        <v/>
      </c>
      <c r="H26" s="129">
        <f>IF($A26="","",2*$F26)</f>
        <v/>
      </c>
      <c r="I26" s="128">
        <f>IF($A26="","",$E26-$E$55-$F$55)</f>
        <v/>
      </c>
      <c r="J26" s="129">
        <f>IF($A26="","",2*$F26)</f>
        <v/>
      </c>
      <c r="K26" s="128">
        <f>IF($A26="","",$I26)</f>
        <v/>
      </c>
      <c r="L26" s="129">
        <f>IF($A26="","",1*$F26)</f>
        <v/>
      </c>
      <c r="M26" s="128">
        <f>IF($A26="","",$D26-$E$57-$F$57)</f>
        <v/>
      </c>
      <c r="N26" s="129">
        <f>IF($A26="","",2*$F26)</f>
        <v/>
      </c>
      <c r="O26" s="128">
        <f>IF($A26="","",(($E26-$E$58-$F$58)))</f>
        <v/>
      </c>
      <c r="P26" s="129">
        <f>IF($A26="","",2*$F26)</f>
        <v/>
      </c>
      <c r="Q26" s="128">
        <f>IF($A26="","",$M26-$E$59-$F$59)</f>
        <v/>
      </c>
      <c r="R26" s="129">
        <f>IF($A26="","",2*$F26)</f>
        <v/>
      </c>
      <c r="S26" s="128">
        <f>IF($A26="","",$O26-$E$60-$F$60)</f>
        <v/>
      </c>
      <c r="T26" s="129">
        <f>IF($A26="","",2*$F26)</f>
        <v/>
      </c>
      <c r="U26" s="128">
        <f>IF($A26="","",$E26-$E$61-$F$61)</f>
        <v/>
      </c>
      <c r="V26" s="129">
        <f>IF($A26="","",2*$F26)</f>
        <v/>
      </c>
      <c r="W26" s="128">
        <f>IF($A26="","",$C26-$E$62-$F$62)</f>
        <v/>
      </c>
      <c r="X26" s="129">
        <f>IF($A26="","",2*$F26)</f>
        <v/>
      </c>
      <c r="Y26" s="128" t="n"/>
      <c r="Z26" s="129" t="n"/>
      <c r="AA26" s="128" t="n"/>
      <c r="AB26" s="129" t="n"/>
      <c r="AC26" s="128" t="n"/>
      <c r="AD26" s="129" t="n"/>
      <c r="AE26" s="128" t="n"/>
      <c r="AF26" s="129" t="n"/>
      <c r="AG26" s="124">
        <f>IF($A26="","",$M26-67-67)</f>
        <v/>
      </c>
      <c r="AH26" s="125">
        <f>IF($A26="","",$O26-67-67)</f>
        <v/>
      </c>
      <c r="AI26" s="126">
        <f>IF($A26="","",1*$F26)</f>
        <v/>
      </c>
      <c r="AJ26" s="124">
        <f>IF($A26="","",$C26-24.5-37)</f>
        <v/>
      </c>
      <c r="AK26" s="125">
        <f>IF($A26="","",$E26-37-37)</f>
        <v/>
      </c>
      <c r="AL26" s="126">
        <f>IF($A26="","",1*$F26)</f>
        <v/>
      </c>
    </row>
    <row r="27" ht="40.2" customHeight="1">
      <c r="A27" s="83" t="n"/>
      <c r="B27" s="84" t="n"/>
      <c r="C27" s="137" t="n"/>
      <c r="D27" s="138">
        <f>IF($A27="","",$B27-$C27)</f>
        <v/>
      </c>
      <c r="E27" s="85" t="n"/>
      <c r="F27" s="86" t="n"/>
      <c r="G27" s="123">
        <f>IF($A27="","",$B27)</f>
        <v/>
      </c>
      <c r="H27" s="85">
        <f>IF($A27="","",2*$F27)</f>
        <v/>
      </c>
      <c r="I27" s="123">
        <f>IF($A27="","",$E27-$E$55-$F$55)</f>
        <v/>
      </c>
      <c r="J27" s="85">
        <f>IF($A27="","",2*$F27)</f>
        <v/>
      </c>
      <c r="K27" s="123">
        <f>IF($A27="","",$I27)</f>
        <v/>
      </c>
      <c r="L27" s="85">
        <f>IF($A27="","",1*$F27)</f>
        <v/>
      </c>
      <c r="M27" s="123">
        <f>IF($A27="","",$D27-$E$57-$F$57)</f>
        <v/>
      </c>
      <c r="N27" s="85">
        <f>IF($A27="","",2*$F27)</f>
        <v/>
      </c>
      <c r="O27" s="123">
        <f>IF($A27="","",(($E27-$E$58-$F$58)))</f>
        <v/>
      </c>
      <c r="P27" s="85">
        <f>IF($A27="","",2*$F27)</f>
        <v/>
      </c>
      <c r="Q27" s="123">
        <f>IF($A27="","",$M27-$E$59-$F$59)</f>
        <v/>
      </c>
      <c r="R27" s="85">
        <f>IF($A27="","",2*$F27)</f>
        <v/>
      </c>
      <c r="S27" s="123">
        <f>IF($A27="","",$O27-$E$60-$F$60)</f>
        <v/>
      </c>
      <c r="T27" s="85">
        <f>IF($A27="","",2*$F27)</f>
        <v/>
      </c>
      <c r="U27" s="123">
        <f>IF($A27="","",$E27-$E$61-$F$61)</f>
        <v/>
      </c>
      <c r="V27" s="85">
        <f>IF($A27="","",2*$F27)</f>
        <v/>
      </c>
      <c r="W27" s="123">
        <f>IF($A27="","",$C27-$E$62-$F$62)</f>
        <v/>
      </c>
      <c r="X27" s="85">
        <f>IF($A27="","",2*$F27)</f>
        <v/>
      </c>
      <c r="Y27" s="123" t="n"/>
      <c r="Z27" s="85" t="n"/>
      <c r="AA27" s="123" t="n"/>
      <c r="AB27" s="85" t="n"/>
      <c r="AC27" s="123" t="n"/>
      <c r="AD27" s="85" t="n"/>
      <c r="AE27" s="123" t="n"/>
      <c r="AF27" s="85" t="n"/>
      <c r="AG27" s="124">
        <f>IF($A27="","",$M27-67-67)</f>
        <v/>
      </c>
      <c r="AH27" s="125">
        <f>IF($A27="","",$O27-67-67)</f>
        <v/>
      </c>
      <c r="AI27" s="126">
        <f>IF($A27="","",1*$F27)</f>
        <v/>
      </c>
      <c r="AJ27" s="124">
        <f>IF($A27="","",$C27-24.5-37)</f>
        <v/>
      </c>
      <c r="AK27" s="125">
        <f>IF($A27="","",$E27-37-37)</f>
        <v/>
      </c>
      <c r="AL27" s="126">
        <f>IF($A27="","",1*$F27)</f>
        <v/>
      </c>
    </row>
    <row r="28" ht="40.2" customHeight="1">
      <c r="A28" s="83" t="n"/>
      <c r="B28" s="84" t="n"/>
      <c r="C28" s="137" t="n"/>
      <c r="D28" s="138">
        <f>IF($A28="","",$B28-$C28)</f>
        <v/>
      </c>
      <c r="E28" s="85" t="n"/>
      <c r="F28" s="86" t="n"/>
      <c r="G28" s="128">
        <f>IF($A28="","",$B28)</f>
        <v/>
      </c>
      <c r="H28" s="129">
        <f>IF($A28="","",2*$F28)</f>
        <v/>
      </c>
      <c r="I28" s="128">
        <f>IF($A28="","",$E28-$E$55-$F$55)</f>
        <v/>
      </c>
      <c r="J28" s="129">
        <f>IF($A28="","",2*$F28)</f>
        <v/>
      </c>
      <c r="K28" s="128">
        <f>IF($A28="","",$I28)</f>
        <v/>
      </c>
      <c r="L28" s="129">
        <f>IF($A28="","",1*$F28)</f>
        <v/>
      </c>
      <c r="M28" s="128">
        <f>IF($A28="","",$D28-$E$57-$F$57)</f>
        <v/>
      </c>
      <c r="N28" s="129">
        <f>IF($A28="","",2*$F28)</f>
        <v/>
      </c>
      <c r="O28" s="128">
        <f>IF($A28="","",(($E28-$E$58-$F$58)))</f>
        <v/>
      </c>
      <c r="P28" s="129">
        <f>IF($A28="","",2*$F28)</f>
        <v/>
      </c>
      <c r="Q28" s="128">
        <f>IF($A28="","",$M28-$E$59-$F$59)</f>
        <v/>
      </c>
      <c r="R28" s="129">
        <f>IF($A28="","",2*$F28)</f>
        <v/>
      </c>
      <c r="S28" s="128">
        <f>IF($A28="","",$O28-$E$60-$F$60)</f>
        <v/>
      </c>
      <c r="T28" s="129">
        <f>IF($A28="","",2*$F28)</f>
        <v/>
      </c>
      <c r="U28" s="128">
        <f>IF($A28="","",$E28-$E$61-$F$61)</f>
        <v/>
      </c>
      <c r="V28" s="129">
        <f>IF($A28="","",2*$F28)</f>
        <v/>
      </c>
      <c r="W28" s="128">
        <f>IF($A28="","",$C28-$E$62-$F$62)</f>
        <v/>
      </c>
      <c r="X28" s="129">
        <f>IF($A28="","",2*$F28)</f>
        <v/>
      </c>
      <c r="Y28" s="128" t="n"/>
      <c r="Z28" s="129" t="n"/>
      <c r="AA28" s="128" t="n"/>
      <c r="AB28" s="129" t="n"/>
      <c r="AC28" s="128" t="n"/>
      <c r="AD28" s="129" t="n"/>
      <c r="AE28" s="128" t="n"/>
      <c r="AF28" s="129" t="n"/>
      <c r="AG28" s="124">
        <f>IF($A28="","",$M28-67-67)</f>
        <v/>
      </c>
      <c r="AH28" s="125">
        <f>IF($A28="","",$O28-67-67)</f>
        <v/>
      </c>
      <c r="AI28" s="126">
        <f>IF($A28="","",1*$F28)</f>
        <v/>
      </c>
      <c r="AJ28" s="124">
        <f>IF($A28="","",$C28-24.5-37)</f>
        <v/>
      </c>
      <c r="AK28" s="125">
        <f>IF($A28="","",$E28-37-37)</f>
        <v/>
      </c>
      <c r="AL28" s="126">
        <f>IF($A28="","",1*$F28)</f>
        <v/>
      </c>
    </row>
    <row r="29" ht="40.2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20" t="n"/>
      <c r="G30" s="130">
        <f>G$7</f>
        <v/>
      </c>
      <c r="H30" s="19" t="n"/>
      <c r="I30" s="20" t="n"/>
      <c r="J30" s="130">
        <f>(ROUNDUP(SUM(H49:J49)/6400,0))</f>
        <v/>
      </c>
      <c r="K30" s="130">
        <f>K$7</f>
        <v/>
      </c>
      <c r="L30" s="130">
        <f>(ROUNDUP(L49/6400,0))</f>
        <v/>
      </c>
      <c r="M30" s="130">
        <f>M$7</f>
        <v/>
      </c>
      <c r="N30" s="19" t="n"/>
      <c r="O30" s="20" t="n"/>
      <c r="P30" s="130">
        <f>(ROUNDUP(SUM(N49:P49)/6400,0))</f>
        <v/>
      </c>
      <c r="Q30" s="130">
        <f>Q$7</f>
        <v/>
      </c>
      <c r="R30" s="19" t="n"/>
      <c r="S30" s="19" t="n"/>
      <c r="T30" s="19" t="n"/>
      <c r="U30" s="20" t="n"/>
      <c r="V30" s="130">
        <f>(ROUNDUP(SUM(R49:V49)/6400,0))</f>
        <v/>
      </c>
      <c r="W30" s="130">
        <f>W$7</f>
        <v/>
      </c>
      <c r="X30" s="130">
        <f>(ROUNDUP(X49/6400,0))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  <c r="AE30" s="130">
        <f>AE$7</f>
        <v/>
      </c>
      <c r="AF30" s="130">
        <f>(ROUNDUP(AF49/6400,0))</f>
        <v/>
      </c>
    </row>
    <row r="31" hidden="1" ht="40.2" customHeight="1"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  <c r="AE31" s="72" t="n"/>
      <c r="AF31" s="72">
        <f>IF($A11="","",AF11*AE11)</f>
        <v/>
      </c>
    </row>
    <row r="32" hidden="1" ht="40.2" customHeight="1"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  <c r="AE32" s="72" t="n"/>
      <c r="AF32" s="72">
        <f>IF($A12="","",AF12*AE12)</f>
        <v/>
      </c>
    </row>
    <row r="33" hidden="1" ht="40.2" customHeight="1"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  <c r="AE33" s="72" t="n"/>
      <c r="AF33" s="72">
        <f>IF($A13="","",AF13*AE13)</f>
        <v/>
      </c>
    </row>
    <row r="34" hidden="1" ht="40.2" customHeight="1"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  <c r="AE34" s="72" t="n"/>
      <c r="AF34" s="72">
        <f>IF($A14="","",AF14*AE14)</f>
        <v/>
      </c>
    </row>
    <row r="35" hidden="1" ht="40.2" customHeight="1"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  <c r="AE35" s="72" t="n"/>
      <c r="AF35" s="72">
        <f>IF($A15="","",AF15*AE15)</f>
        <v/>
      </c>
    </row>
    <row r="36" hidden="1"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  <c r="AE36" s="72" t="n"/>
      <c r="AF36" s="72">
        <f>IF($A16="","",AF16*AE16)</f>
        <v/>
      </c>
    </row>
    <row r="37" hidden="1"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  <c r="AE37" s="72" t="n"/>
      <c r="AF37" s="72">
        <f>IF($A17="","",AF17*AE17)</f>
        <v/>
      </c>
    </row>
    <row r="38" hidden="1"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  <c r="AE38" s="72" t="n"/>
      <c r="AF38" s="72">
        <f>IF($A18="","",AF18*AE18)</f>
        <v/>
      </c>
    </row>
    <row r="39" hidden="1"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  <c r="AE39" s="72" t="n"/>
      <c r="AF39" s="72">
        <f>IF($A19="","",AF19*AE19)</f>
        <v/>
      </c>
    </row>
    <row r="40" hidden="1"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  <c r="AE40" s="72" t="n"/>
      <c r="AF40" s="72">
        <f>IF($A20="","",AF20*AE20)</f>
        <v/>
      </c>
    </row>
    <row r="41" hidden="1"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  <c r="AE41" s="72" t="n"/>
      <c r="AF41" s="72">
        <f>IF($A21="","",AF21*AE21)</f>
        <v/>
      </c>
    </row>
    <row r="42" hidden="1"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  <c r="AE42" s="72" t="n"/>
      <c r="AF42" s="72">
        <f>IF($A22="","",AF22*AE22)</f>
        <v/>
      </c>
    </row>
    <row r="43" hidden="1"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  <c r="AE43" s="72" t="n"/>
      <c r="AF43" s="72">
        <f>IF($A23="","",AF23*AE23)</f>
        <v/>
      </c>
    </row>
    <row r="44" hidden="1"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  <c r="AE44" s="72" t="n"/>
      <c r="AF44" s="72">
        <f>IF($A24="","",AF24*AE24)</f>
        <v/>
      </c>
    </row>
    <row r="45" hidden="1"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  <c r="AE45" s="72" t="n"/>
      <c r="AF45" s="72">
        <f>IF($A25="","",AF25*AE25)</f>
        <v/>
      </c>
    </row>
    <row r="46" hidden="1"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  <c r="AE46" s="72" t="n"/>
      <c r="AF46" s="72">
        <f>IF($A26="","",AF26*AE26)</f>
        <v/>
      </c>
    </row>
    <row r="47" hidden="1"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  <c r="AE47" s="72" t="n"/>
      <c r="AF47" s="72">
        <f>IF($A27="","",AF27*AE27)</f>
        <v/>
      </c>
    </row>
    <row r="48" hidden="1"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  <c r="AE48" s="72" t="n"/>
      <c r="AF48" s="72">
        <f>IF($A28="","",AF28*AE28)</f>
        <v/>
      </c>
    </row>
    <row r="49" hidden="1">
      <c r="H49" s="73">
        <f>SUMIF(H31:H48,"&gt;0")</f>
        <v/>
      </c>
      <c r="I49" s="73" t="n"/>
      <c r="J49" s="73">
        <f>SUMIF(J31:J48,"&gt;0")</f>
        <v/>
      </c>
      <c r="K49" s="73" t="n"/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R49" s="73">
        <f>SUMIF(R31:R48,"&gt;0")</f>
        <v/>
      </c>
      <c r="S49" s="73" t="n"/>
      <c r="T49" s="73">
        <f>SUMIF(T31:T48,"&gt;0")</f>
        <v/>
      </c>
      <c r="V49" s="73">
        <f>SUMIF(V31:V48,"&gt;0")</f>
        <v/>
      </c>
      <c r="X49" s="73">
        <f>SUMIF(X31:X48,"&gt;0")</f>
        <v/>
      </c>
      <c r="Y49" s="73" t="n"/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  <c r="AE49" s="73" t="n"/>
      <c r="AF49" s="73">
        <f>SUMIF(AF31:AF48,"&gt;0")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เฟรม บน-ล่าง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กล่องก้านสลับ</t>
        </is>
      </c>
      <c r="C56" s="79" t="inlineStr">
        <is>
          <t xml:space="preserve">   F7997</t>
        </is>
      </c>
      <c r="D56" s="80" t="inlineStr"/>
      <c r="E56" s="81" t="n"/>
      <c r="F56" s="81" t="n"/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เสา</t>
        </is>
      </c>
      <c r="C57" s="79" t="inlineStr">
        <is>
          <t>F7943</t>
        </is>
      </c>
      <c r="D57" s="80" t="inlineStr">
        <is>
          <t>สูง2-6-18.5</t>
        </is>
      </c>
      <c r="E57" s="82" t="n">
        <v>6</v>
      </c>
      <c r="F57" s="82" t="n">
        <v>18.5</v>
      </c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ขวาง</t>
        </is>
      </c>
      <c r="C58" s="79" t="inlineStr">
        <is>
          <t>-</t>
        </is>
      </c>
      <c r="D58" s="80" t="inlineStr">
        <is>
          <t>กว้าง-18.5-18.5</t>
        </is>
      </c>
      <c r="E58" s="82" t="n">
        <v>18.5</v>
      </c>
      <c r="F58" s="82" t="n">
        <v>18.5</v>
      </c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คิ้ว ตั้ง</t>
        </is>
      </c>
      <c r="C59" s="79" t="inlineStr">
        <is>
          <t>F7935</t>
        </is>
      </c>
      <c r="D59" s="80" t="inlineStr">
        <is>
          <t>เสา-80-80</t>
        </is>
      </c>
      <c r="E59" s="82" t="n">
        <v>80</v>
      </c>
      <c r="F59" s="82" t="n">
        <v>80</v>
      </c>
      <c r="G59" s="81" t="n"/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คิ้ว ขวาง</t>
        </is>
      </c>
      <c r="C60" s="79" t="inlineStr">
        <is>
          <t>-</t>
        </is>
      </c>
      <c r="D60" s="80" t="inlineStr">
        <is>
          <t>ขวาง-60-60</t>
        </is>
      </c>
      <c r="E60" s="82" t="n">
        <v>60</v>
      </c>
      <c r="F60" s="82" t="n">
        <v>60</v>
      </c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คิ้ว ช่องแสง H1</t>
        </is>
      </c>
      <c r="C61" s="79" t="inlineStr">
        <is>
          <t>-</t>
        </is>
      </c>
      <c r="D61" s="80" t="inlineStr">
        <is>
          <t>กว้าง-45-45</t>
        </is>
      </c>
      <c r="E61" s="82" t="n">
        <v>45</v>
      </c>
      <c r="F61" s="82" t="n">
        <v>45</v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ตบนอกในบานตาย</t>
        </is>
      </c>
      <c r="C62" s="79" t="inlineStr">
        <is>
          <t>F7860</t>
        </is>
      </c>
      <c r="D62" s="80" t="inlineStr">
        <is>
          <t>สูง1-12.5-25</t>
        </is>
      </c>
      <c r="E62" s="82" t="n">
        <v>12.5</v>
      </c>
      <c r="F62" s="82" t="n">
        <v>25</v>
      </c>
      <c r="G62" s="81" t="n"/>
      <c r="H62" s="81" t="n"/>
      <c r="I62" s="81" t="n"/>
      <c r="J62" s="81" t="n"/>
      <c r="K62" s="81" t="n"/>
      <c r="L62" s="82" t="n"/>
    </row>
    <row r="64">
      <c r="A64" s="152" t="inlineStr">
        <is>
          <t>⑥ อุปกรณ์ ต่อ 1 บาน — คูณจำนวนบานที่ผลิต</t>
        </is>
      </c>
      <c r="F64" s="153" t="inlineStr">
        <is>
          <t>ต่อบาน</t>
        </is>
      </c>
    </row>
    <row r="65">
      <c r="A65" s="154" t="inlineStr">
        <is>
          <t>1. บานพับ hyda (สูง&gt;3ม./บานกว้าง&gt;1.2ม.=5)</t>
        </is>
      </c>
      <c r="F65" s="155" t="n">
        <v>4</v>
      </c>
    </row>
    <row r="66">
      <c r="A66" s="154" t="inlineStr">
        <is>
          <t>2. มือจับ + ล็อค</t>
        </is>
      </c>
      <c r="F66" s="155" t="n">
        <v>1</v>
      </c>
    </row>
    <row r="67">
      <c r="A67" s="154" t="inlineStr">
        <is>
          <t>3. กลอน (ใบลอง)</t>
        </is>
      </c>
      <c r="F67" s="155" t="n">
        <v>1</v>
      </c>
    </row>
    <row r="68">
      <c r="A68" s="154" t="inlineStr">
        <is>
          <t>4. น็อตเฟรม (มีธรณี8/ไม่มี6)</t>
        </is>
      </c>
      <c r="F68" s="155" t="n">
        <v>8</v>
      </c>
    </row>
    <row r="69">
      <c r="A69" s="156" t="inlineStr">
        <is>
          <t>+ ยาง/ซิลิโคน = ตามขนาด (ดูชีทคิดทุน)</t>
        </is>
      </c>
    </row>
  </sheetData>
  <mergeCells count="63">
    <mergeCell ref="U9:V9"/>
    <mergeCell ref="AC7:AD7"/>
    <mergeCell ref="I6:J6"/>
    <mergeCell ref="AE7:AF7"/>
    <mergeCell ref="A64:E64"/>
    <mergeCell ref="O6:P6"/>
    <mergeCell ref="B8:E9"/>
    <mergeCell ref="K9:L9"/>
    <mergeCell ref="U6:V6"/>
    <mergeCell ref="W6:X6"/>
    <mergeCell ref="M9:N9"/>
    <mergeCell ref="O9:P9"/>
    <mergeCell ref="G8:H8"/>
    <mergeCell ref="G30:I30"/>
    <mergeCell ref="M30:O30"/>
    <mergeCell ref="Y9:Z9"/>
    <mergeCell ref="Q8:R8"/>
    <mergeCell ref="AA9:AB9"/>
    <mergeCell ref="S8:T8"/>
    <mergeCell ref="A65:E65"/>
    <mergeCell ref="F8:F9"/>
    <mergeCell ref="AA6:AB6"/>
    <mergeCell ref="G6:H6"/>
    <mergeCell ref="A66:E66"/>
    <mergeCell ref="AC8:AD8"/>
    <mergeCell ref="AE8:AF8"/>
    <mergeCell ref="W7:X7"/>
    <mergeCell ref="A8:A9"/>
    <mergeCell ref="Y7:Z7"/>
    <mergeCell ref="M6:N6"/>
    <mergeCell ref="K8:L8"/>
    <mergeCell ref="AA8:AB8"/>
    <mergeCell ref="Q6:R6"/>
    <mergeCell ref="S6:T6"/>
    <mergeCell ref="Y6:Z6"/>
    <mergeCell ref="G7:J7"/>
    <mergeCell ref="Q9:R9"/>
    <mergeCell ref="A67:E67"/>
    <mergeCell ref="I8:J8"/>
    <mergeCell ref="S9:T9"/>
    <mergeCell ref="A30:F30"/>
    <mergeCell ref="Q7:V7"/>
    <mergeCell ref="M8:N8"/>
    <mergeCell ref="W9:X9"/>
    <mergeCell ref="Q30:U30"/>
    <mergeCell ref="O8:P8"/>
    <mergeCell ref="U8:V8"/>
    <mergeCell ref="AE9:AF9"/>
    <mergeCell ref="AC9:AD9"/>
    <mergeCell ref="W8:X8"/>
    <mergeCell ref="K7:L7"/>
    <mergeCell ref="AC6:AD6"/>
    <mergeCell ref="AE6:AF6"/>
    <mergeCell ref="M7:P7"/>
    <mergeCell ref="A68:E68"/>
    <mergeCell ref="A6:F6"/>
    <mergeCell ref="Y8:Z8"/>
    <mergeCell ref="K6:L6"/>
    <mergeCell ref="G9:H9"/>
    <mergeCell ref="AJ8:AL8"/>
    <mergeCell ref="A69:F69"/>
    <mergeCell ref="I9:J9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71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6.69921875" customWidth="1" min="32" max="32"/>
    <col width="12.69921875" customWidth="1" min="33" max="33"/>
    <col width="12.69921875" customWidth="1" min="34" max="34"/>
    <col width="8.69921875" customWidth="1" min="35" max="35"/>
    <col width="12.69921875" customWidth="1" min="36" max="36"/>
    <col width="8.8984375" customWidth="1" min="38" max="38"/>
  </cols>
  <sheetData>
    <row r="1" ht="40.2" customHeight="1">
      <c r="A1" s="2" t="inlineStr">
        <is>
          <t>JR ALUMINIUM &amp; GLASS  —  ใบรายการตัด · FUJI บานเปิดคู่+ช่องแสงล่าง   (หน่วย: มม.)</t>
        </is>
      </c>
      <c r="B1" s="3" t="n"/>
      <c r="C1" s="3" t="n"/>
      <c r="D1" s="3" t="n"/>
      <c r="F1" s="4" t="n"/>
      <c r="G1" s="5" t="n"/>
      <c r="H1" s="4" t="n"/>
      <c r="I1" s="4" t="n"/>
      <c r="J1" s="4" t="n"/>
      <c r="K1" s="7" t="n"/>
      <c r="L1" s="7" t="n"/>
      <c r="M1" s="6" t="n"/>
      <c r="N1" s="6" t="n"/>
      <c r="O1" s="4" t="n"/>
      <c r="P1" s="4" t="n"/>
      <c r="Q1" s="6" t="n"/>
      <c r="R1" s="6" t="n"/>
      <c r="S1" s="7" t="n"/>
      <c r="T1" s="7" t="n"/>
      <c r="U1" s="4" t="n"/>
      <c r="V1" s="8" t="n"/>
      <c r="W1" s="7" t="n"/>
      <c r="X1" s="7" t="n"/>
      <c r="Y1" s="7" t="n"/>
      <c r="Z1" s="7" t="n"/>
      <c r="AA1" s="6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 ht="40.2" customHeight="1">
      <c r="A2" s="6" t="n"/>
      <c r="B2" s="6" t="n"/>
      <c r="C2" s="6" t="n"/>
      <c r="D2" s="6" t="n"/>
      <c r="E2" s="6" t="n"/>
      <c r="F2" s="6" t="n"/>
      <c r="G2" s="9" t="n"/>
      <c r="H2" s="6" t="n"/>
      <c r="I2" s="6" t="n"/>
      <c r="J2" s="6" t="n"/>
      <c r="K2" s="10" t="n"/>
      <c r="L2" s="10" t="n"/>
      <c r="M2" s="10" t="n"/>
      <c r="N2" s="10" t="n"/>
      <c r="O2" s="6" t="n"/>
      <c r="P2" s="6" t="n"/>
      <c r="Q2" s="6" t="n"/>
      <c r="R2" s="6" t="n"/>
      <c r="S2" s="10" t="n"/>
      <c r="T2" s="10" t="n"/>
      <c r="U2" s="6" t="n"/>
      <c r="V2" s="6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</row>
    <row r="3" ht="40.2" customHeight="1">
      <c r="A3" s="6" t="n"/>
      <c r="B3" s="6" t="n"/>
      <c r="C3" s="6" t="n"/>
      <c r="D3" s="6" t="n"/>
      <c r="E3" s="6" t="n"/>
      <c r="F3" s="6" t="n"/>
      <c r="G3" s="9" t="n"/>
      <c r="H3" s="6" t="n"/>
      <c r="I3" s="6" t="n"/>
      <c r="J3" s="6" t="n"/>
      <c r="K3" s="11" t="n"/>
      <c r="L3" s="11" t="n"/>
      <c r="O3" s="6" t="n"/>
      <c r="P3" s="6" t="n"/>
      <c r="Q3" s="6" t="n"/>
      <c r="R3" s="6" t="n"/>
      <c r="S3" s="11" t="n"/>
      <c r="T3" s="11" t="n"/>
      <c r="V3" s="6" t="n"/>
      <c r="W3" s="11" t="n"/>
      <c r="X3" s="11" t="n"/>
      <c r="Y3" s="10" t="n"/>
      <c r="Z3" s="11" t="n"/>
      <c r="AA3" s="10" t="n"/>
      <c r="AB3" s="10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 ht="40.2" customHeight="1">
      <c r="A4" s="6" t="n"/>
      <c r="B4" s="6" t="n"/>
      <c r="C4" s="6" t="n"/>
      <c r="D4" s="6" t="n"/>
      <c r="E4" s="6" t="n"/>
      <c r="H4" s="6" t="n"/>
      <c r="I4" s="6" t="n"/>
      <c r="J4" s="6" t="n"/>
      <c r="O4" s="6" t="n"/>
      <c r="P4" s="6" t="n"/>
      <c r="Q4" s="6" t="n"/>
      <c r="R4" s="6" t="n"/>
      <c r="U4" s="6" t="n"/>
      <c r="V4" s="6" t="n"/>
      <c r="AA4" s="10" t="n"/>
      <c r="AB4" s="10" t="n"/>
    </row>
    <row r="5" ht="40.2" customHeight="1">
      <c r="A5" s="6" t="n"/>
      <c r="B5" s="6" t="n"/>
      <c r="C5" s="6" t="n"/>
      <c r="D5" s="6" t="n"/>
      <c r="E5" s="6" t="n"/>
      <c r="F5" s="6" t="n"/>
      <c r="G5" s="9" t="n"/>
      <c r="H5" s="6" t="n"/>
      <c r="I5" s="6" t="n"/>
      <c r="J5" s="6" t="n"/>
      <c r="O5" s="6" t="n"/>
      <c r="P5" s="6" t="n"/>
      <c r="R5" s="6" t="n"/>
      <c r="U5" s="6" t="n"/>
      <c r="V5" s="6" t="n"/>
    </row>
    <row r="6" ht="60" customHeight="1">
      <c r="A6" s="12" t="inlineStr">
        <is>
          <t>สูตรตัด</t>
        </is>
      </c>
      <c r="B6" s="13" t="n"/>
      <c r="C6" s="13" t="n"/>
      <c r="D6" s="13" t="n"/>
      <c r="E6" s="13" t="n"/>
      <c r="F6" s="14" t="n"/>
      <c r="G6" s="15" t="inlineStr">
        <is>
          <t>สูง</t>
        </is>
      </c>
      <c r="H6" s="16" t="n"/>
      <c r="I6" s="15" t="inlineStr">
        <is>
          <t>กว้าง-25-25</t>
        </is>
      </c>
      <c r="J6" s="16" t="n"/>
      <c r="K6" s="15" t="n"/>
      <c r="L6" s="16" t="n"/>
      <c r="M6" s="15" t="n"/>
      <c r="N6" s="16" t="n"/>
      <c r="O6" s="15" t="inlineStr">
        <is>
          <t>สูง2-6-18.5</t>
        </is>
      </c>
      <c r="P6" s="16" t="n"/>
      <c r="Q6" s="15" t="inlineStr">
        <is>
          <t>(กว้าง-18.5-4.5-18.5)/2</t>
        </is>
      </c>
      <c r="R6" s="16" t="n"/>
      <c r="S6" s="15" t="inlineStr">
        <is>
          <t>เสา-80-80</t>
        </is>
      </c>
      <c r="T6" s="16" t="n"/>
      <c r="U6" s="15" t="inlineStr">
        <is>
          <t>ขวาง-60-60</t>
        </is>
      </c>
      <c r="V6" s="16" t="n"/>
      <c r="W6" s="15" t="inlineStr">
        <is>
          <t>กว้าง-45-45</t>
        </is>
      </c>
      <c r="X6" s="16" t="n"/>
      <c r="Y6" s="15" t="inlineStr">
        <is>
          <t>สูง1-12.5-25</t>
        </is>
      </c>
      <c r="Z6" s="16" t="n"/>
      <c r="AA6" s="15" t="inlineStr">
        <is>
          <t>สูง2-14.5-27</t>
        </is>
      </c>
      <c r="AB6" s="16" t="n"/>
      <c r="AC6" s="15" t="n"/>
      <c r="AD6" s="16" t="n"/>
      <c r="AE6" s="15" t="n"/>
      <c r="AF6" s="16" t="n"/>
      <c r="AG6" s="17" t="n"/>
      <c r="AH6" s="17" t="n"/>
      <c r="AI6" s="17" t="n"/>
    </row>
    <row r="7" ht="40.2" customHeight="1">
      <c r="A7" s="18" t="inlineStr">
        <is>
          <t>ใส่ข้อมูล</t>
        </is>
      </c>
      <c r="B7" s="19" t="n"/>
      <c r="C7" s="19" t="n"/>
      <c r="D7" s="19" t="n"/>
      <c r="E7" s="19" t="n"/>
      <c r="F7" s="20" t="n"/>
      <c r="G7" s="21" t="inlineStr">
        <is>
          <t>F7859</t>
        </is>
      </c>
      <c r="H7" s="13" t="n"/>
      <c r="I7" s="13" t="n"/>
      <c r="J7" s="14" t="n"/>
      <c r="K7" s="22" t="inlineStr">
        <is>
          <t>F7858</t>
        </is>
      </c>
      <c r="L7" s="14" t="n"/>
      <c r="M7" s="21" t="inlineStr">
        <is>
          <t xml:space="preserve">   F7997</t>
        </is>
      </c>
      <c r="N7" s="14" t="n"/>
      <c r="O7" s="21" t="inlineStr">
        <is>
          <t>F7943</t>
        </is>
      </c>
      <c r="P7" s="13" t="n"/>
      <c r="Q7" s="13" t="n"/>
      <c r="R7" s="14" t="n"/>
      <c r="S7" s="21" t="inlineStr">
        <is>
          <t>F7935</t>
        </is>
      </c>
      <c r="T7" s="13" t="n"/>
      <c r="U7" s="13" t="n"/>
      <c r="V7" s="13" t="n"/>
      <c r="W7" s="13" t="n"/>
      <c r="X7" s="14" t="n"/>
      <c r="Y7" s="21" t="inlineStr">
        <is>
          <t>F7860</t>
        </is>
      </c>
      <c r="Z7" s="14" t="n"/>
      <c r="AA7" s="21" t="inlineStr">
        <is>
          <t>F7945</t>
        </is>
      </c>
      <c r="AB7" s="14" t="n"/>
      <c r="AC7" s="139" t="n"/>
      <c r="AD7" s="90" t="n"/>
      <c r="AE7" s="89" t="n"/>
      <c r="AF7" s="90" t="n"/>
      <c r="AG7" s="25" t="n"/>
      <c r="AH7" s="26" t="inlineStr">
        <is>
          <t>ขนาดกระจก</t>
        </is>
      </c>
      <c r="AI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133" t="n"/>
      <c r="D8" s="133" t="n"/>
      <c r="E8" s="30" t="n"/>
      <c r="F8" s="28" t="inlineStr">
        <is>
          <t>Set</t>
        </is>
      </c>
      <c r="G8" s="31" t="n"/>
      <c r="H8" s="32" t="n"/>
      <c r="I8" s="33" t="n"/>
      <c r="J8" s="34" t="n"/>
      <c r="K8" s="33" t="n"/>
      <c r="L8" s="34" t="n"/>
      <c r="M8" s="31" t="n"/>
      <c r="N8" s="32" t="n"/>
      <c r="O8" s="31" t="n"/>
      <c r="P8" s="32" t="n"/>
      <c r="Q8" s="33" t="n"/>
      <c r="R8" s="34" t="n"/>
      <c r="S8" s="31" t="n"/>
      <c r="T8" s="32" t="n"/>
      <c r="U8" s="92" t="n"/>
      <c r="V8" s="32" t="n"/>
      <c r="W8" s="33" t="n"/>
      <c r="X8" s="34" t="n"/>
      <c r="Y8" s="35" t="n"/>
      <c r="Z8" s="34" t="n"/>
      <c r="AA8" s="35" t="n"/>
      <c r="AB8" s="34" t="n"/>
      <c r="AC8" s="35" t="n"/>
      <c r="AD8" s="34" t="n"/>
      <c r="AE8" s="33" t="n"/>
      <c r="AF8" s="34" t="n"/>
      <c r="AG8" s="36" t="n"/>
      <c r="AH8" s="37" t="inlineStr">
        <is>
          <t>กรอบบาน</t>
        </is>
      </c>
      <c r="AI8" s="38" t="n"/>
      <c r="AJ8" s="134" t="inlineStr">
        <is>
          <t>ช่องแสง</t>
        </is>
      </c>
      <c r="AK8" s="32" t="n"/>
      <c r="AL8" s="32" t="n"/>
    </row>
    <row r="9" ht="40.2" customHeight="1">
      <c r="A9" s="39" t="n"/>
      <c r="B9" s="40" t="n"/>
      <c r="C9" s="32" t="n"/>
      <c r="D9" s="32" t="n"/>
      <c r="E9" s="41" t="n"/>
      <c r="F9" s="39" t="n"/>
      <c r="G9" s="42" t="inlineStr">
        <is>
          <t>เฟรมข้าง</t>
        </is>
      </c>
      <c r="H9" s="43" t="n"/>
      <c r="I9" s="42" t="inlineStr">
        <is>
          <t>เฟรม บน</t>
        </is>
      </c>
      <c r="J9" s="43" t="n"/>
      <c r="K9" s="42" t="inlineStr">
        <is>
          <t>เฟรม ล่าง</t>
        </is>
      </c>
      <c r="L9" s="43" t="n"/>
      <c r="M9" s="42" t="inlineStr">
        <is>
          <t>กล่องก้านสลับ</t>
        </is>
      </c>
      <c r="N9" s="43" t="n"/>
      <c r="O9" s="42" t="inlineStr">
        <is>
          <t>เสา</t>
        </is>
      </c>
      <c r="P9" s="43" t="n"/>
      <c r="Q9" s="42" t="inlineStr">
        <is>
          <t>ขวาง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</t>
        </is>
      </c>
      <c r="V9" s="43" t="n"/>
      <c r="W9" s="42" t="inlineStr">
        <is>
          <t>คิ้ว ช่องแสง H1</t>
        </is>
      </c>
      <c r="X9" s="43" t="n"/>
      <c r="Y9" s="42" t="inlineStr">
        <is>
          <t>ตบนอกในบานตาย</t>
        </is>
      </c>
      <c r="Z9" s="43" t="n"/>
      <c r="AA9" s="42" t="inlineStr">
        <is>
          <t>ชนกลาง</t>
        </is>
      </c>
      <c r="AB9" s="43" t="n"/>
      <c r="AC9" s="42" t="n"/>
      <c r="AD9" s="43" t="n"/>
      <c r="AE9" s="42" t="n"/>
      <c r="AF9" s="43" t="n"/>
      <c r="AG9" s="45" t="inlineStr">
        <is>
          <t>SH-67-67</t>
        </is>
      </c>
      <c r="AH9" s="46" t="inlineStr">
        <is>
          <t>SW-67-67</t>
        </is>
      </c>
      <c r="AI9" s="47" t="n"/>
      <c r="AJ9" s="45" t="inlineStr">
        <is>
          <t>H1-24.5-37</t>
        </is>
      </c>
      <c r="AK9" s="46" t="inlineStr">
        <is>
          <t>W-37-37</t>
        </is>
      </c>
      <c r="AL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135" t="inlineStr">
        <is>
          <t>H1</t>
        </is>
      </c>
      <c r="D10" s="136" t="inlineStr">
        <is>
          <t>H2</t>
        </is>
      </c>
      <c r="E10" s="50" t="inlineStr">
        <is>
          <t>W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3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J10" s="55" t="inlineStr">
        <is>
          <t>H</t>
        </is>
      </c>
      <c r="AK10" s="56" t="inlineStr">
        <is>
          <t>W</t>
        </is>
      </c>
      <c r="AL10" s="57" t="inlineStr">
        <is>
          <t>จำนวน</t>
        </is>
      </c>
    </row>
    <row r="11" ht="40.2" customHeight="1">
      <c r="A11" s="83" t="inlineStr">
        <is>
          <t>A 2.6</t>
        </is>
      </c>
      <c r="B11" s="84" t="n">
        <v>2990</v>
      </c>
      <c r="C11" s="137" t="n">
        <v>100</v>
      </c>
      <c r="D11" s="138">
        <f>IF($A11="","",$B11-$C11)</f>
        <v/>
      </c>
      <c r="E11" s="85" t="n">
        <v>500</v>
      </c>
      <c r="F11" s="86" t="n">
        <v>1</v>
      </c>
      <c r="G11" s="123">
        <f>IF($A11="","",$B11)</f>
        <v/>
      </c>
      <c r="H11" s="85">
        <f>IF($A11="","",2*$F11)</f>
        <v/>
      </c>
      <c r="I11" s="123">
        <f>IF($A11="","",$E11-$E$55-$F$55)</f>
        <v/>
      </c>
      <c r="J11" s="85">
        <f>IF($A11="","",1*$F11)</f>
        <v/>
      </c>
      <c r="K11" s="123">
        <f>IF($A11="","",$I11)</f>
        <v/>
      </c>
      <c r="L11" s="85">
        <f>IF($A11="","",1*$F11)</f>
        <v/>
      </c>
      <c r="M11" s="123">
        <f>IF($A11="","",$I11)</f>
        <v/>
      </c>
      <c r="N11" s="85">
        <f>IF($A11="","",1*$F11)</f>
        <v/>
      </c>
      <c r="O11" s="123">
        <f>IF($A11="","",$D11-$E$58-$F$58)</f>
        <v/>
      </c>
      <c r="P11" s="85">
        <f>IF($A11="","",4*$F11)</f>
        <v/>
      </c>
      <c r="Q11" s="123">
        <f>IF($A11="","",(($E11-$E$59-$F$59-$G$59)/2))</f>
        <v/>
      </c>
      <c r="R11" s="85">
        <f>IF($A11="","",4*$F11)</f>
        <v/>
      </c>
      <c r="S11" s="123">
        <f>IF($A11="","",$O11-$E$60-$F$60)</f>
        <v/>
      </c>
      <c r="T11" s="85">
        <f>IF($A11="","",4*$F11)</f>
        <v/>
      </c>
      <c r="U11" s="123">
        <f>IF($A11="","",$Q11-$E$61-$F$61)</f>
        <v/>
      </c>
      <c r="V11" s="85">
        <f>IF($A11="","",4*$F11)</f>
        <v/>
      </c>
      <c r="W11" s="123">
        <f>IF($A11="","",$E11-$E$62-$F$62)</f>
        <v/>
      </c>
      <c r="X11" s="85">
        <f>IF($A11="","",2*$F11)</f>
        <v/>
      </c>
      <c r="Y11" s="123">
        <f>IF($A11="","",$C11-$E$63-$F$63)</f>
        <v/>
      </c>
      <c r="Z11" s="85">
        <f>IF($A11="","",2*$F11)</f>
        <v/>
      </c>
      <c r="AA11" s="123">
        <f>IF($A11="","",$D11-$E$64-$F$64)</f>
        <v/>
      </c>
      <c r="AB11" s="85">
        <f>IF($A11="","",1*$F11)</f>
        <v/>
      </c>
      <c r="AC11" s="123" t="n"/>
      <c r="AD11" s="85" t="n"/>
      <c r="AE11" s="123" t="n"/>
      <c r="AF11" s="85" t="n"/>
      <c r="AG11" s="124">
        <f>IF($A11="","",$O11-67-67)</f>
        <v/>
      </c>
      <c r="AH11" s="125">
        <f>IF($A11="","",$Q11-67-67)</f>
        <v/>
      </c>
      <c r="AI11" s="126">
        <f>IF($A11="","",2*$F11)</f>
        <v/>
      </c>
      <c r="AJ11" s="124">
        <f>IF($A11="","",$C11-24.5-37)</f>
        <v/>
      </c>
      <c r="AK11" s="125">
        <f>IF($A11="","",$E11-37-37)</f>
        <v/>
      </c>
      <c r="AL11" s="126">
        <f>IF($A11="","",1*$F11)</f>
        <v/>
      </c>
    </row>
    <row r="12" ht="40.2" customHeight="1">
      <c r="A12" s="83" t="n"/>
      <c r="B12" s="84" t="n"/>
      <c r="C12" s="137" t="n"/>
      <c r="D12" s="138">
        <f>IF($A12="","",$B12-$C12)</f>
        <v/>
      </c>
      <c r="E12" s="85" t="n"/>
      <c r="F12" s="86" t="n"/>
      <c r="G12" s="128">
        <f>IF($A12="","",$B12)</f>
        <v/>
      </c>
      <c r="H12" s="129">
        <f>IF($A12="","",2*$F12)</f>
        <v/>
      </c>
      <c r="I12" s="128">
        <f>IF($A12="","",$E12-$E$55-$F$55)</f>
        <v/>
      </c>
      <c r="J12" s="129">
        <f>IF($A12="","",1*$F12)</f>
        <v/>
      </c>
      <c r="K12" s="128">
        <f>IF($A12="","",$I12)</f>
        <v/>
      </c>
      <c r="L12" s="129">
        <f>IF($A12="","",1*$F12)</f>
        <v/>
      </c>
      <c r="M12" s="128">
        <f>IF($A12="","",$I12)</f>
        <v/>
      </c>
      <c r="N12" s="129">
        <f>IF($A12="","",1*$F12)</f>
        <v/>
      </c>
      <c r="O12" s="128">
        <f>IF($A12="","",$D12-$E$58-$F$58)</f>
        <v/>
      </c>
      <c r="P12" s="129">
        <f>IF($A12="","",4*$F12)</f>
        <v/>
      </c>
      <c r="Q12" s="128">
        <f>IF($A12="","",(($E12-$E$59-$F$59-$G$59)/2))</f>
        <v/>
      </c>
      <c r="R12" s="129">
        <f>IF($A12="","",4*$F12)</f>
        <v/>
      </c>
      <c r="S12" s="128">
        <f>IF($A12="","",$O12-$E$60-$F$60)</f>
        <v/>
      </c>
      <c r="T12" s="129">
        <f>IF($A12="","",4*$F12)</f>
        <v/>
      </c>
      <c r="U12" s="128">
        <f>IF($A12="","",$Q12-$E$61-$F$61)</f>
        <v/>
      </c>
      <c r="V12" s="129">
        <f>IF($A12="","",4*$F12)</f>
        <v/>
      </c>
      <c r="W12" s="128">
        <f>IF($A12="","",$E12-$E$62-$F$62)</f>
        <v/>
      </c>
      <c r="X12" s="129">
        <f>IF($A12="","",2*$F12)</f>
        <v/>
      </c>
      <c r="Y12" s="128">
        <f>IF($A12="","",$C12-$E$63-$F$63)</f>
        <v/>
      </c>
      <c r="Z12" s="129">
        <f>IF($A12="","",2*$F12)</f>
        <v/>
      </c>
      <c r="AA12" s="128">
        <f>IF($A12="","",$D12-$E$64-$F$64)</f>
        <v/>
      </c>
      <c r="AB12" s="129">
        <f>IF($A12="","",1*$F12)</f>
        <v/>
      </c>
      <c r="AC12" s="128" t="n"/>
      <c r="AD12" s="129" t="n"/>
      <c r="AE12" s="128" t="n"/>
      <c r="AF12" s="129" t="n"/>
      <c r="AG12" s="124">
        <f>IF($A12="","",$O12-67-67)</f>
        <v/>
      </c>
      <c r="AH12" s="125">
        <f>IF($A12="","",$Q12-67-67)</f>
        <v/>
      </c>
      <c r="AI12" s="126">
        <f>IF($A12="","",2*$F12)</f>
        <v/>
      </c>
      <c r="AJ12" s="124">
        <f>IF($A12="","",$C12-24.5-37)</f>
        <v/>
      </c>
      <c r="AK12" s="125">
        <f>IF($A12="","",$E12-37-37)</f>
        <v/>
      </c>
      <c r="AL12" s="126">
        <f>IF($A12="","",1*$F12)</f>
        <v/>
      </c>
    </row>
    <row r="13" ht="40.2" customHeight="1">
      <c r="A13" s="83" t="n"/>
      <c r="B13" s="84" t="n"/>
      <c r="C13" s="137" t="n"/>
      <c r="D13" s="138">
        <f>IF($A13="","",$B13-$C13)</f>
        <v/>
      </c>
      <c r="E13" s="85" t="n"/>
      <c r="F13" s="86" t="n"/>
      <c r="G13" s="123">
        <f>IF($A13="","",$B13)</f>
        <v/>
      </c>
      <c r="H13" s="85">
        <f>IF($A13="","",2*$F13)</f>
        <v/>
      </c>
      <c r="I13" s="123">
        <f>IF($A13="","",$E13-$E$55-$F$55)</f>
        <v/>
      </c>
      <c r="J13" s="85">
        <f>IF($A13="","",1*$F13)</f>
        <v/>
      </c>
      <c r="K13" s="123">
        <f>IF($A13="","",$I13)</f>
        <v/>
      </c>
      <c r="L13" s="85">
        <f>IF($A13="","",1*$F13)</f>
        <v/>
      </c>
      <c r="M13" s="123">
        <f>IF($A13="","",$I13)</f>
        <v/>
      </c>
      <c r="N13" s="85">
        <f>IF($A13="","",1*$F13)</f>
        <v/>
      </c>
      <c r="O13" s="123">
        <f>IF($A13="","",$D13-$E$58-$F$58)</f>
        <v/>
      </c>
      <c r="P13" s="85">
        <f>IF($A13="","",4*$F13)</f>
        <v/>
      </c>
      <c r="Q13" s="123">
        <f>IF($A13="","",(($E13-$E$59-$F$59-$G$59)/2))</f>
        <v/>
      </c>
      <c r="R13" s="85">
        <f>IF($A13="","",4*$F13)</f>
        <v/>
      </c>
      <c r="S13" s="123">
        <f>IF($A13="","",$O13-$E$60-$F$60)</f>
        <v/>
      </c>
      <c r="T13" s="85">
        <f>IF($A13="","",4*$F13)</f>
        <v/>
      </c>
      <c r="U13" s="123">
        <f>IF($A13="","",$Q13-$E$61-$F$61)</f>
        <v/>
      </c>
      <c r="V13" s="85">
        <f>IF($A13="","",4*$F13)</f>
        <v/>
      </c>
      <c r="W13" s="123">
        <f>IF($A13="","",$E13-$E$62-$F$62)</f>
        <v/>
      </c>
      <c r="X13" s="85">
        <f>IF($A13="","",2*$F13)</f>
        <v/>
      </c>
      <c r="Y13" s="123">
        <f>IF($A13="","",$C13-$E$63-$F$63)</f>
        <v/>
      </c>
      <c r="Z13" s="85">
        <f>IF($A13="","",2*$F13)</f>
        <v/>
      </c>
      <c r="AA13" s="123">
        <f>IF($A13="","",$D13-$E$64-$F$64)</f>
        <v/>
      </c>
      <c r="AB13" s="85">
        <f>IF($A13="","",1*$F13)</f>
        <v/>
      </c>
      <c r="AC13" s="123" t="n"/>
      <c r="AD13" s="85" t="n"/>
      <c r="AE13" s="123" t="n"/>
      <c r="AF13" s="85" t="n"/>
      <c r="AG13" s="124">
        <f>IF($A13="","",$O13-67-67)</f>
        <v/>
      </c>
      <c r="AH13" s="125">
        <f>IF($A13="","",$Q13-67-67)</f>
        <v/>
      </c>
      <c r="AI13" s="126">
        <f>IF($A13="","",2*$F13)</f>
        <v/>
      </c>
      <c r="AJ13" s="124">
        <f>IF($A13="","",$C13-24.5-37)</f>
        <v/>
      </c>
      <c r="AK13" s="125">
        <f>IF($A13="","",$E13-37-37)</f>
        <v/>
      </c>
      <c r="AL13" s="126">
        <f>IF($A13="","",1*$F13)</f>
        <v/>
      </c>
    </row>
    <row r="14" ht="40.2" customHeight="1">
      <c r="A14" s="83" t="n"/>
      <c r="B14" s="84" t="n"/>
      <c r="C14" s="137" t="n"/>
      <c r="D14" s="138">
        <f>IF($A14="","",$B14-$C14)</f>
        <v/>
      </c>
      <c r="E14" s="85" t="n"/>
      <c r="F14" s="86" t="n"/>
      <c r="G14" s="128">
        <f>IF($A14="","",$B14)</f>
        <v/>
      </c>
      <c r="H14" s="129">
        <f>IF($A14="","",2*$F14)</f>
        <v/>
      </c>
      <c r="I14" s="128">
        <f>IF($A14="","",$E14-$E$55-$F$55)</f>
        <v/>
      </c>
      <c r="J14" s="129">
        <f>IF($A14="","",1*$F14)</f>
        <v/>
      </c>
      <c r="K14" s="128">
        <f>IF($A14="","",$I14)</f>
        <v/>
      </c>
      <c r="L14" s="129">
        <f>IF($A14="","",1*$F14)</f>
        <v/>
      </c>
      <c r="M14" s="128">
        <f>IF($A14="","",$I14)</f>
        <v/>
      </c>
      <c r="N14" s="129">
        <f>IF($A14="","",1*$F14)</f>
        <v/>
      </c>
      <c r="O14" s="128">
        <f>IF($A14="","",$D14-$E$58-$F$58)</f>
        <v/>
      </c>
      <c r="P14" s="129">
        <f>IF($A14="","",4*$F14)</f>
        <v/>
      </c>
      <c r="Q14" s="128">
        <f>IF($A14="","",(($E14-$E$59-$F$59-$G$59)/2))</f>
        <v/>
      </c>
      <c r="R14" s="129">
        <f>IF($A14="","",4*$F14)</f>
        <v/>
      </c>
      <c r="S14" s="128">
        <f>IF($A14="","",$O14-$E$60-$F$60)</f>
        <v/>
      </c>
      <c r="T14" s="129">
        <f>IF($A14="","",4*$F14)</f>
        <v/>
      </c>
      <c r="U14" s="128">
        <f>IF($A14="","",$Q14-$E$61-$F$61)</f>
        <v/>
      </c>
      <c r="V14" s="129">
        <f>IF($A14="","",4*$F14)</f>
        <v/>
      </c>
      <c r="W14" s="128">
        <f>IF($A14="","",$E14-$E$62-$F$62)</f>
        <v/>
      </c>
      <c r="X14" s="129">
        <f>IF($A14="","",2*$F14)</f>
        <v/>
      </c>
      <c r="Y14" s="128">
        <f>IF($A14="","",$C14-$E$63-$F$63)</f>
        <v/>
      </c>
      <c r="Z14" s="129">
        <f>IF($A14="","",2*$F14)</f>
        <v/>
      </c>
      <c r="AA14" s="128">
        <f>IF($A14="","",$D14-$E$64-$F$64)</f>
        <v/>
      </c>
      <c r="AB14" s="129">
        <f>IF($A14="","",1*$F14)</f>
        <v/>
      </c>
      <c r="AC14" s="128" t="n"/>
      <c r="AD14" s="129" t="n"/>
      <c r="AE14" s="128" t="n"/>
      <c r="AF14" s="129" t="n"/>
      <c r="AG14" s="124">
        <f>IF($A14="","",$O14-67-67)</f>
        <v/>
      </c>
      <c r="AH14" s="125">
        <f>IF($A14="","",$Q14-67-67)</f>
        <v/>
      </c>
      <c r="AI14" s="126">
        <f>IF($A14="","",2*$F14)</f>
        <v/>
      </c>
      <c r="AJ14" s="124">
        <f>IF($A14="","",$C14-24.5-37)</f>
        <v/>
      </c>
      <c r="AK14" s="125">
        <f>IF($A14="","",$E14-37-37)</f>
        <v/>
      </c>
      <c r="AL14" s="126">
        <f>IF($A14="","",1*$F14)</f>
        <v/>
      </c>
    </row>
    <row r="15" ht="40.2" customHeight="1">
      <c r="A15" s="83" t="n"/>
      <c r="B15" s="84" t="n"/>
      <c r="C15" s="137" t="n"/>
      <c r="D15" s="138">
        <f>IF($A15="","",$B15-$C15)</f>
        <v/>
      </c>
      <c r="E15" s="85" t="n"/>
      <c r="F15" s="86" t="n"/>
      <c r="G15" s="123">
        <f>IF($A15="","",$B15)</f>
        <v/>
      </c>
      <c r="H15" s="85">
        <f>IF($A15="","",2*$F15)</f>
        <v/>
      </c>
      <c r="I15" s="123">
        <f>IF($A15="","",$E15-$E$55-$F$55)</f>
        <v/>
      </c>
      <c r="J15" s="85">
        <f>IF($A15="","",1*$F15)</f>
        <v/>
      </c>
      <c r="K15" s="123">
        <f>IF($A15="","",$I15)</f>
        <v/>
      </c>
      <c r="L15" s="85">
        <f>IF($A15="","",1*$F15)</f>
        <v/>
      </c>
      <c r="M15" s="123">
        <f>IF($A15="","",$I15)</f>
        <v/>
      </c>
      <c r="N15" s="85">
        <f>IF($A15="","",1*$F15)</f>
        <v/>
      </c>
      <c r="O15" s="123">
        <f>IF($A15="","",$D15-$E$58-$F$58)</f>
        <v/>
      </c>
      <c r="P15" s="85">
        <f>IF($A15="","",4*$F15)</f>
        <v/>
      </c>
      <c r="Q15" s="123">
        <f>IF($A15="","",(($E15-$E$59-$F$59-$G$59)/2))</f>
        <v/>
      </c>
      <c r="R15" s="85">
        <f>IF($A15="","",4*$F15)</f>
        <v/>
      </c>
      <c r="S15" s="123">
        <f>IF($A15="","",$O15-$E$60-$F$60)</f>
        <v/>
      </c>
      <c r="T15" s="85">
        <f>IF($A15="","",4*$F15)</f>
        <v/>
      </c>
      <c r="U15" s="123">
        <f>IF($A15="","",$Q15-$E$61-$F$61)</f>
        <v/>
      </c>
      <c r="V15" s="85">
        <f>IF($A15="","",4*$F15)</f>
        <v/>
      </c>
      <c r="W15" s="123">
        <f>IF($A15="","",$E15-$E$62-$F$62)</f>
        <v/>
      </c>
      <c r="X15" s="85">
        <f>IF($A15="","",2*$F15)</f>
        <v/>
      </c>
      <c r="Y15" s="123">
        <f>IF($A15="","",$C15-$E$63-$F$63)</f>
        <v/>
      </c>
      <c r="Z15" s="85">
        <f>IF($A15="","",2*$F15)</f>
        <v/>
      </c>
      <c r="AA15" s="123">
        <f>IF($A15="","",$D15-$E$64-$F$64)</f>
        <v/>
      </c>
      <c r="AB15" s="85">
        <f>IF($A15="","",1*$F15)</f>
        <v/>
      </c>
      <c r="AC15" s="123" t="n"/>
      <c r="AD15" s="85" t="n"/>
      <c r="AE15" s="123" t="n"/>
      <c r="AF15" s="85" t="n"/>
      <c r="AG15" s="124">
        <f>IF($A15="","",$O15-67-67)</f>
        <v/>
      </c>
      <c r="AH15" s="125">
        <f>IF($A15="","",$Q15-67-67)</f>
        <v/>
      </c>
      <c r="AI15" s="126">
        <f>IF($A15="","",2*$F15)</f>
        <v/>
      </c>
      <c r="AJ15" s="124">
        <f>IF($A15="","",$C15-24.5-37)</f>
        <v/>
      </c>
      <c r="AK15" s="125">
        <f>IF($A15="","",$E15-37-37)</f>
        <v/>
      </c>
      <c r="AL15" s="126">
        <f>IF($A15="","",1*$F15)</f>
        <v/>
      </c>
    </row>
    <row r="16" ht="40.2" customHeight="1">
      <c r="A16" s="83" t="n"/>
      <c r="B16" s="84" t="n"/>
      <c r="C16" s="137" t="n"/>
      <c r="D16" s="138">
        <f>IF($A16="","",$B16-$C16)</f>
        <v/>
      </c>
      <c r="E16" s="85" t="n"/>
      <c r="F16" s="86" t="n"/>
      <c r="G16" s="128">
        <f>IF($A16="","",$B16)</f>
        <v/>
      </c>
      <c r="H16" s="129">
        <f>IF($A16="","",2*$F16)</f>
        <v/>
      </c>
      <c r="I16" s="128">
        <f>IF($A16="","",$E16-$E$55-$F$55)</f>
        <v/>
      </c>
      <c r="J16" s="129">
        <f>IF($A16="","",1*$F16)</f>
        <v/>
      </c>
      <c r="K16" s="128">
        <f>IF($A16="","",$I16)</f>
        <v/>
      </c>
      <c r="L16" s="129">
        <f>IF($A16="","",1*$F16)</f>
        <v/>
      </c>
      <c r="M16" s="128">
        <f>IF($A16="","",$I16)</f>
        <v/>
      </c>
      <c r="N16" s="129">
        <f>IF($A16="","",1*$F16)</f>
        <v/>
      </c>
      <c r="O16" s="128">
        <f>IF($A16="","",$D16-$E$58-$F$58)</f>
        <v/>
      </c>
      <c r="P16" s="129">
        <f>IF($A16="","",4*$F16)</f>
        <v/>
      </c>
      <c r="Q16" s="128">
        <f>IF($A16="","",(($E16-$E$59-$F$59-$G$59)/2))</f>
        <v/>
      </c>
      <c r="R16" s="129">
        <f>IF($A16="","",4*$F16)</f>
        <v/>
      </c>
      <c r="S16" s="128">
        <f>IF($A16="","",$O16-$E$60-$F$60)</f>
        <v/>
      </c>
      <c r="T16" s="129">
        <f>IF($A16="","",4*$F16)</f>
        <v/>
      </c>
      <c r="U16" s="128">
        <f>IF($A16="","",$Q16-$E$61-$F$61)</f>
        <v/>
      </c>
      <c r="V16" s="129">
        <f>IF($A16="","",4*$F16)</f>
        <v/>
      </c>
      <c r="W16" s="128">
        <f>IF($A16="","",$E16-$E$62-$F$62)</f>
        <v/>
      </c>
      <c r="X16" s="129">
        <f>IF($A16="","",2*$F16)</f>
        <v/>
      </c>
      <c r="Y16" s="128">
        <f>IF($A16="","",$C16-$E$63-$F$63)</f>
        <v/>
      </c>
      <c r="Z16" s="129">
        <f>IF($A16="","",2*$F16)</f>
        <v/>
      </c>
      <c r="AA16" s="128">
        <f>IF($A16="","",$D16-$E$64-$F$64)</f>
        <v/>
      </c>
      <c r="AB16" s="129">
        <f>IF($A16="","",1*$F16)</f>
        <v/>
      </c>
      <c r="AC16" s="128" t="n"/>
      <c r="AD16" s="129" t="n"/>
      <c r="AE16" s="128" t="n"/>
      <c r="AF16" s="129" t="n"/>
      <c r="AG16" s="124">
        <f>IF($A16="","",$O16-67-67)</f>
        <v/>
      </c>
      <c r="AH16" s="125">
        <f>IF($A16="","",$Q16-67-67)</f>
        <v/>
      </c>
      <c r="AI16" s="126">
        <f>IF($A16="","",2*$F16)</f>
        <v/>
      </c>
      <c r="AJ16" s="124">
        <f>IF($A16="","",$C16-24.5-37)</f>
        <v/>
      </c>
      <c r="AK16" s="125">
        <f>IF($A16="","",$E16-37-37)</f>
        <v/>
      </c>
      <c r="AL16" s="126">
        <f>IF($A16="","",1*$F16)</f>
        <v/>
      </c>
    </row>
    <row r="17" ht="40.2" customHeight="1">
      <c r="A17" s="83" t="n"/>
      <c r="B17" s="84" t="n"/>
      <c r="C17" s="137" t="n"/>
      <c r="D17" s="138">
        <f>IF($A17="","",$B17-$C17)</f>
        <v/>
      </c>
      <c r="E17" s="85" t="n"/>
      <c r="F17" s="86" t="n"/>
      <c r="G17" s="123">
        <f>IF($A17="","",$B17)</f>
        <v/>
      </c>
      <c r="H17" s="85">
        <f>IF($A17="","",2*$F17)</f>
        <v/>
      </c>
      <c r="I17" s="123">
        <f>IF($A17="","",$E17-$E$55-$F$55)</f>
        <v/>
      </c>
      <c r="J17" s="85">
        <f>IF($A17="","",1*$F17)</f>
        <v/>
      </c>
      <c r="K17" s="123">
        <f>IF($A17="","",$I17)</f>
        <v/>
      </c>
      <c r="L17" s="85">
        <f>IF($A17="","",1*$F17)</f>
        <v/>
      </c>
      <c r="M17" s="123">
        <f>IF($A17="","",$I17)</f>
        <v/>
      </c>
      <c r="N17" s="85">
        <f>IF($A17="","",1*$F17)</f>
        <v/>
      </c>
      <c r="O17" s="123">
        <f>IF($A17="","",$D17-$E$58-$F$58)</f>
        <v/>
      </c>
      <c r="P17" s="85">
        <f>IF($A17="","",4*$F17)</f>
        <v/>
      </c>
      <c r="Q17" s="123">
        <f>IF($A17="","",(($E17-$E$59-$F$59-$G$59)/2))</f>
        <v/>
      </c>
      <c r="R17" s="85">
        <f>IF($A17="","",4*$F17)</f>
        <v/>
      </c>
      <c r="S17" s="123">
        <f>IF($A17="","",$O17-$E$60-$F$60)</f>
        <v/>
      </c>
      <c r="T17" s="85">
        <f>IF($A17="","",4*$F17)</f>
        <v/>
      </c>
      <c r="U17" s="123">
        <f>IF($A17="","",$Q17-$E$61-$F$61)</f>
        <v/>
      </c>
      <c r="V17" s="85">
        <f>IF($A17="","",4*$F17)</f>
        <v/>
      </c>
      <c r="W17" s="123">
        <f>IF($A17="","",$E17-$E$62-$F$62)</f>
        <v/>
      </c>
      <c r="X17" s="85">
        <f>IF($A17="","",2*$F17)</f>
        <v/>
      </c>
      <c r="Y17" s="123">
        <f>IF($A17="","",$C17-$E$63-$F$63)</f>
        <v/>
      </c>
      <c r="Z17" s="85">
        <f>IF($A17="","",2*$F17)</f>
        <v/>
      </c>
      <c r="AA17" s="123">
        <f>IF($A17="","",$D17-$E$64-$F$64)</f>
        <v/>
      </c>
      <c r="AB17" s="85">
        <f>IF($A17="","",1*$F17)</f>
        <v/>
      </c>
      <c r="AC17" s="123" t="n"/>
      <c r="AD17" s="85" t="n"/>
      <c r="AE17" s="123" t="n"/>
      <c r="AF17" s="85" t="n"/>
      <c r="AG17" s="124">
        <f>IF($A17="","",$O17-67-67)</f>
        <v/>
      </c>
      <c r="AH17" s="125">
        <f>IF($A17="","",$Q17-67-67)</f>
        <v/>
      </c>
      <c r="AI17" s="126">
        <f>IF($A17="","",2*$F17)</f>
        <v/>
      </c>
      <c r="AJ17" s="124">
        <f>IF($A17="","",$C17-24.5-37)</f>
        <v/>
      </c>
      <c r="AK17" s="125">
        <f>IF($A17="","",$E17-37-37)</f>
        <v/>
      </c>
      <c r="AL17" s="126">
        <f>IF($A17="","",1*$F17)</f>
        <v/>
      </c>
    </row>
    <row r="18" ht="40.2" customHeight="1">
      <c r="A18" s="83" t="n"/>
      <c r="B18" s="84" t="n"/>
      <c r="C18" s="137" t="n"/>
      <c r="D18" s="138">
        <f>IF($A18="","",$B18-$C18)</f>
        <v/>
      </c>
      <c r="E18" s="85" t="n"/>
      <c r="F18" s="86" t="n"/>
      <c r="G18" s="128">
        <f>IF($A18="","",$B18)</f>
        <v/>
      </c>
      <c r="H18" s="129">
        <f>IF($A18="","",2*$F18)</f>
        <v/>
      </c>
      <c r="I18" s="128">
        <f>IF($A18="","",$E18-$E$55-$F$55)</f>
        <v/>
      </c>
      <c r="J18" s="129">
        <f>IF($A18="","",1*$F18)</f>
        <v/>
      </c>
      <c r="K18" s="128">
        <f>IF($A18="","",$I18)</f>
        <v/>
      </c>
      <c r="L18" s="129">
        <f>IF($A18="","",1*$F18)</f>
        <v/>
      </c>
      <c r="M18" s="128">
        <f>IF($A18="","",$I18)</f>
        <v/>
      </c>
      <c r="N18" s="129">
        <f>IF($A18="","",1*$F18)</f>
        <v/>
      </c>
      <c r="O18" s="128">
        <f>IF($A18="","",$D18-$E$58-$F$58)</f>
        <v/>
      </c>
      <c r="P18" s="129">
        <f>IF($A18="","",4*$F18)</f>
        <v/>
      </c>
      <c r="Q18" s="128">
        <f>IF($A18="","",(($E18-$E$59-$F$59-$G$59)/2))</f>
        <v/>
      </c>
      <c r="R18" s="129">
        <f>IF($A18="","",4*$F18)</f>
        <v/>
      </c>
      <c r="S18" s="128">
        <f>IF($A18="","",$O18-$E$60-$F$60)</f>
        <v/>
      </c>
      <c r="T18" s="129">
        <f>IF($A18="","",4*$F18)</f>
        <v/>
      </c>
      <c r="U18" s="128">
        <f>IF($A18="","",$Q18-$E$61-$F$61)</f>
        <v/>
      </c>
      <c r="V18" s="129">
        <f>IF($A18="","",4*$F18)</f>
        <v/>
      </c>
      <c r="W18" s="128">
        <f>IF($A18="","",$E18-$E$62-$F$62)</f>
        <v/>
      </c>
      <c r="X18" s="129">
        <f>IF($A18="","",2*$F18)</f>
        <v/>
      </c>
      <c r="Y18" s="128">
        <f>IF($A18="","",$C18-$E$63-$F$63)</f>
        <v/>
      </c>
      <c r="Z18" s="129">
        <f>IF($A18="","",2*$F18)</f>
        <v/>
      </c>
      <c r="AA18" s="128">
        <f>IF($A18="","",$D18-$E$64-$F$64)</f>
        <v/>
      </c>
      <c r="AB18" s="129">
        <f>IF($A18="","",1*$F18)</f>
        <v/>
      </c>
      <c r="AC18" s="128" t="n"/>
      <c r="AD18" s="129" t="n"/>
      <c r="AE18" s="128" t="n"/>
      <c r="AF18" s="129" t="n"/>
      <c r="AG18" s="124">
        <f>IF($A18="","",$O18-67-67)</f>
        <v/>
      </c>
      <c r="AH18" s="125">
        <f>IF($A18="","",$Q18-67-67)</f>
        <v/>
      </c>
      <c r="AI18" s="126">
        <f>IF($A18="","",2*$F18)</f>
        <v/>
      </c>
      <c r="AJ18" s="124">
        <f>IF($A18="","",$C18-24.5-37)</f>
        <v/>
      </c>
      <c r="AK18" s="125">
        <f>IF($A18="","",$E18-37-37)</f>
        <v/>
      </c>
      <c r="AL18" s="126">
        <f>IF($A18="","",1*$F18)</f>
        <v/>
      </c>
    </row>
    <row r="19" ht="40.2" customHeight="1">
      <c r="A19" s="83" t="n"/>
      <c r="B19" s="84" t="n"/>
      <c r="C19" s="137" t="n"/>
      <c r="D19" s="138">
        <f>IF($A19="","",$B19-$C19)</f>
        <v/>
      </c>
      <c r="E19" s="85" t="n"/>
      <c r="F19" s="86" t="n"/>
      <c r="G19" s="123">
        <f>IF($A19="","",$B19)</f>
        <v/>
      </c>
      <c r="H19" s="85">
        <f>IF($A19="","",2*$F19)</f>
        <v/>
      </c>
      <c r="I19" s="123">
        <f>IF($A19="","",$E19-$E$55-$F$55)</f>
        <v/>
      </c>
      <c r="J19" s="85">
        <f>IF($A19="","",1*$F19)</f>
        <v/>
      </c>
      <c r="K19" s="123">
        <f>IF($A19="","",$I19)</f>
        <v/>
      </c>
      <c r="L19" s="85">
        <f>IF($A19="","",1*$F19)</f>
        <v/>
      </c>
      <c r="M19" s="123">
        <f>IF($A19="","",$I19)</f>
        <v/>
      </c>
      <c r="N19" s="85">
        <f>IF($A19="","",1*$F19)</f>
        <v/>
      </c>
      <c r="O19" s="123">
        <f>IF($A19="","",$D19-$E$58-$F$58)</f>
        <v/>
      </c>
      <c r="P19" s="85">
        <f>IF($A19="","",4*$F19)</f>
        <v/>
      </c>
      <c r="Q19" s="123">
        <f>IF($A19="","",(($E19-$E$59-$F$59-$G$59)/2))</f>
        <v/>
      </c>
      <c r="R19" s="85">
        <f>IF($A19="","",4*$F19)</f>
        <v/>
      </c>
      <c r="S19" s="123">
        <f>IF($A19="","",$O19-$E$60-$F$60)</f>
        <v/>
      </c>
      <c r="T19" s="85">
        <f>IF($A19="","",4*$F19)</f>
        <v/>
      </c>
      <c r="U19" s="123">
        <f>IF($A19="","",$Q19-$E$61-$F$61)</f>
        <v/>
      </c>
      <c r="V19" s="85">
        <f>IF($A19="","",4*$F19)</f>
        <v/>
      </c>
      <c r="W19" s="123">
        <f>IF($A19="","",$E19-$E$62-$F$62)</f>
        <v/>
      </c>
      <c r="X19" s="85">
        <f>IF($A19="","",2*$F19)</f>
        <v/>
      </c>
      <c r="Y19" s="123">
        <f>IF($A19="","",$C19-$E$63-$F$63)</f>
        <v/>
      </c>
      <c r="Z19" s="85">
        <f>IF($A19="","",2*$F19)</f>
        <v/>
      </c>
      <c r="AA19" s="123">
        <f>IF($A19="","",$D19-$E$64-$F$64)</f>
        <v/>
      </c>
      <c r="AB19" s="85">
        <f>IF($A19="","",1*$F19)</f>
        <v/>
      </c>
      <c r="AC19" s="123" t="n"/>
      <c r="AD19" s="85" t="n"/>
      <c r="AE19" s="123" t="n"/>
      <c r="AF19" s="85" t="n"/>
      <c r="AG19" s="124">
        <f>IF($A19="","",$O19-67-67)</f>
        <v/>
      </c>
      <c r="AH19" s="125">
        <f>IF($A19="","",$Q19-67-67)</f>
        <v/>
      </c>
      <c r="AI19" s="126">
        <f>IF($A19="","",2*$F19)</f>
        <v/>
      </c>
      <c r="AJ19" s="124">
        <f>IF($A19="","",$C19-24.5-37)</f>
        <v/>
      </c>
      <c r="AK19" s="125">
        <f>IF($A19="","",$E19-37-37)</f>
        <v/>
      </c>
      <c r="AL19" s="126">
        <f>IF($A19="","",1*$F19)</f>
        <v/>
      </c>
    </row>
    <row r="20" ht="40.2" customHeight="1">
      <c r="A20" s="83" t="n"/>
      <c r="B20" s="84" t="n"/>
      <c r="C20" s="137" t="n"/>
      <c r="D20" s="138">
        <f>IF($A20="","",$B20-$C20)</f>
        <v/>
      </c>
      <c r="E20" s="85" t="n"/>
      <c r="F20" s="86" t="n"/>
      <c r="G20" s="128">
        <f>IF($A20="","",$B20)</f>
        <v/>
      </c>
      <c r="H20" s="129">
        <f>IF($A20="","",2*$F20)</f>
        <v/>
      </c>
      <c r="I20" s="128">
        <f>IF($A20="","",$E20-$E$55-$F$55)</f>
        <v/>
      </c>
      <c r="J20" s="129">
        <f>IF($A20="","",1*$F20)</f>
        <v/>
      </c>
      <c r="K20" s="128">
        <f>IF($A20="","",$I20)</f>
        <v/>
      </c>
      <c r="L20" s="129">
        <f>IF($A20="","",1*$F20)</f>
        <v/>
      </c>
      <c r="M20" s="128">
        <f>IF($A20="","",$I20)</f>
        <v/>
      </c>
      <c r="N20" s="129">
        <f>IF($A20="","",1*$F20)</f>
        <v/>
      </c>
      <c r="O20" s="128">
        <f>IF($A20="","",$D20-$E$58-$F$58)</f>
        <v/>
      </c>
      <c r="P20" s="129">
        <f>IF($A20="","",4*$F20)</f>
        <v/>
      </c>
      <c r="Q20" s="128">
        <f>IF($A20="","",(($E20-$E$59-$F$59-$G$59)/2))</f>
        <v/>
      </c>
      <c r="R20" s="129">
        <f>IF($A20="","",4*$F20)</f>
        <v/>
      </c>
      <c r="S20" s="128">
        <f>IF($A20="","",$O20-$E$60-$F$60)</f>
        <v/>
      </c>
      <c r="T20" s="129">
        <f>IF($A20="","",4*$F20)</f>
        <v/>
      </c>
      <c r="U20" s="128">
        <f>IF($A20="","",$Q20-$E$61-$F$61)</f>
        <v/>
      </c>
      <c r="V20" s="129">
        <f>IF($A20="","",4*$F20)</f>
        <v/>
      </c>
      <c r="W20" s="128">
        <f>IF($A20="","",$E20-$E$62-$F$62)</f>
        <v/>
      </c>
      <c r="X20" s="129">
        <f>IF($A20="","",2*$F20)</f>
        <v/>
      </c>
      <c r="Y20" s="128">
        <f>IF($A20="","",$C20-$E$63-$F$63)</f>
        <v/>
      </c>
      <c r="Z20" s="129">
        <f>IF($A20="","",2*$F20)</f>
        <v/>
      </c>
      <c r="AA20" s="128">
        <f>IF($A20="","",$D20-$E$64-$F$64)</f>
        <v/>
      </c>
      <c r="AB20" s="129">
        <f>IF($A20="","",1*$F20)</f>
        <v/>
      </c>
      <c r="AC20" s="128" t="n"/>
      <c r="AD20" s="129" t="n"/>
      <c r="AE20" s="128" t="n"/>
      <c r="AF20" s="129" t="n"/>
      <c r="AG20" s="124">
        <f>IF($A20="","",$O20-67-67)</f>
        <v/>
      </c>
      <c r="AH20" s="125">
        <f>IF($A20="","",$Q20-67-67)</f>
        <v/>
      </c>
      <c r="AI20" s="126">
        <f>IF($A20="","",2*$F20)</f>
        <v/>
      </c>
      <c r="AJ20" s="124">
        <f>IF($A20="","",$C20-24.5-37)</f>
        <v/>
      </c>
      <c r="AK20" s="125">
        <f>IF($A20="","",$E20-37-37)</f>
        <v/>
      </c>
      <c r="AL20" s="126">
        <f>IF($A20="","",1*$F20)</f>
        <v/>
      </c>
    </row>
    <row r="21" ht="40.2" customHeight="1">
      <c r="A21" s="83" t="n"/>
      <c r="B21" s="84" t="n"/>
      <c r="C21" s="137" t="n"/>
      <c r="D21" s="138">
        <f>IF($A21="","",$B21-$C21)</f>
        <v/>
      </c>
      <c r="E21" s="85" t="n"/>
      <c r="F21" s="86" t="n"/>
      <c r="G21" s="123">
        <f>IF($A21="","",$B21)</f>
        <v/>
      </c>
      <c r="H21" s="85">
        <f>IF($A21="","",2*$F21)</f>
        <v/>
      </c>
      <c r="I21" s="123">
        <f>IF($A21="","",$E21-$E$55-$F$55)</f>
        <v/>
      </c>
      <c r="J21" s="85">
        <f>IF($A21="","",1*$F21)</f>
        <v/>
      </c>
      <c r="K21" s="123">
        <f>IF($A21="","",$I21)</f>
        <v/>
      </c>
      <c r="L21" s="85">
        <f>IF($A21="","",1*$F21)</f>
        <v/>
      </c>
      <c r="M21" s="123">
        <f>IF($A21="","",$I21)</f>
        <v/>
      </c>
      <c r="N21" s="85">
        <f>IF($A21="","",1*$F21)</f>
        <v/>
      </c>
      <c r="O21" s="123">
        <f>IF($A21="","",$D21-$E$58-$F$58)</f>
        <v/>
      </c>
      <c r="P21" s="85">
        <f>IF($A21="","",4*$F21)</f>
        <v/>
      </c>
      <c r="Q21" s="123">
        <f>IF($A21="","",(($E21-$E$59-$F$59-$G$59)/2))</f>
        <v/>
      </c>
      <c r="R21" s="85">
        <f>IF($A21="","",4*$F21)</f>
        <v/>
      </c>
      <c r="S21" s="123">
        <f>IF($A21="","",$O21-$E$60-$F$60)</f>
        <v/>
      </c>
      <c r="T21" s="85">
        <f>IF($A21="","",4*$F21)</f>
        <v/>
      </c>
      <c r="U21" s="123">
        <f>IF($A21="","",$Q21-$E$61-$F$61)</f>
        <v/>
      </c>
      <c r="V21" s="85">
        <f>IF($A21="","",4*$F21)</f>
        <v/>
      </c>
      <c r="W21" s="123">
        <f>IF($A21="","",$E21-$E$62-$F$62)</f>
        <v/>
      </c>
      <c r="X21" s="85">
        <f>IF($A21="","",2*$F21)</f>
        <v/>
      </c>
      <c r="Y21" s="123">
        <f>IF($A21="","",$C21-$E$63-$F$63)</f>
        <v/>
      </c>
      <c r="Z21" s="85">
        <f>IF($A21="","",2*$F21)</f>
        <v/>
      </c>
      <c r="AA21" s="123">
        <f>IF($A21="","",$D21-$E$64-$F$64)</f>
        <v/>
      </c>
      <c r="AB21" s="85">
        <f>IF($A21="","",1*$F21)</f>
        <v/>
      </c>
      <c r="AC21" s="123" t="n"/>
      <c r="AD21" s="85" t="n"/>
      <c r="AE21" s="123" t="n"/>
      <c r="AF21" s="85" t="n"/>
      <c r="AG21" s="124">
        <f>IF($A21="","",$O21-67-67)</f>
        <v/>
      </c>
      <c r="AH21" s="125">
        <f>IF($A21="","",$Q21-67-67)</f>
        <v/>
      </c>
      <c r="AI21" s="126">
        <f>IF($A21="","",2*$F21)</f>
        <v/>
      </c>
      <c r="AJ21" s="124">
        <f>IF($A21="","",$C21-24.5-37)</f>
        <v/>
      </c>
      <c r="AK21" s="125">
        <f>IF($A21="","",$E21-37-37)</f>
        <v/>
      </c>
      <c r="AL21" s="126">
        <f>IF($A21="","",1*$F21)</f>
        <v/>
      </c>
    </row>
    <row r="22" ht="40.2" customHeight="1">
      <c r="A22" s="83" t="n"/>
      <c r="B22" s="84" t="n"/>
      <c r="C22" s="137" t="n"/>
      <c r="D22" s="138">
        <f>IF($A22="","",$B22-$C22)</f>
        <v/>
      </c>
      <c r="E22" s="85" t="n"/>
      <c r="F22" s="86" t="n"/>
      <c r="G22" s="128">
        <f>IF($A22="","",$B22)</f>
        <v/>
      </c>
      <c r="H22" s="129">
        <f>IF($A22="","",2*$F22)</f>
        <v/>
      </c>
      <c r="I22" s="128">
        <f>IF($A22="","",$E22-$E$55-$F$55)</f>
        <v/>
      </c>
      <c r="J22" s="129">
        <f>IF($A22="","",1*$F22)</f>
        <v/>
      </c>
      <c r="K22" s="128">
        <f>IF($A22="","",$I22)</f>
        <v/>
      </c>
      <c r="L22" s="129">
        <f>IF($A22="","",1*$F22)</f>
        <v/>
      </c>
      <c r="M22" s="128">
        <f>IF($A22="","",$I22)</f>
        <v/>
      </c>
      <c r="N22" s="129">
        <f>IF($A22="","",1*$F22)</f>
        <v/>
      </c>
      <c r="O22" s="128">
        <f>IF($A22="","",$D22-$E$58-$F$58)</f>
        <v/>
      </c>
      <c r="P22" s="129">
        <f>IF($A22="","",4*$F22)</f>
        <v/>
      </c>
      <c r="Q22" s="128">
        <f>IF($A22="","",(($E22-$E$59-$F$59-$G$59)/2))</f>
        <v/>
      </c>
      <c r="R22" s="129">
        <f>IF($A22="","",4*$F22)</f>
        <v/>
      </c>
      <c r="S22" s="128">
        <f>IF($A22="","",$O22-$E$60-$F$60)</f>
        <v/>
      </c>
      <c r="T22" s="129">
        <f>IF($A22="","",4*$F22)</f>
        <v/>
      </c>
      <c r="U22" s="128">
        <f>IF($A22="","",$Q22-$E$61-$F$61)</f>
        <v/>
      </c>
      <c r="V22" s="129">
        <f>IF($A22="","",4*$F22)</f>
        <v/>
      </c>
      <c r="W22" s="128">
        <f>IF($A22="","",$E22-$E$62-$F$62)</f>
        <v/>
      </c>
      <c r="X22" s="129">
        <f>IF($A22="","",2*$F22)</f>
        <v/>
      </c>
      <c r="Y22" s="128">
        <f>IF($A22="","",$C22-$E$63-$F$63)</f>
        <v/>
      </c>
      <c r="Z22" s="129">
        <f>IF($A22="","",2*$F22)</f>
        <v/>
      </c>
      <c r="AA22" s="128">
        <f>IF($A22="","",$D22-$E$64-$F$64)</f>
        <v/>
      </c>
      <c r="AB22" s="129">
        <f>IF($A22="","",1*$F22)</f>
        <v/>
      </c>
      <c r="AC22" s="128" t="n"/>
      <c r="AD22" s="129" t="n"/>
      <c r="AE22" s="128" t="n"/>
      <c r="AF22" s="129" t="n"/>
      <c r="AG22" s="124">
        <f>IF($A22="","",$O22-67-67)</f>
        <v/>
      </c>
      <c r="AH22" s="125">
        <f>IF($A22="","",$Q22-67-67)</f>
        <v/>
      </c>
      <c r="AI22" s="126">
        <f>IF($A22="","",2*$F22)</f>
        <v/>
      </c>
      <c r="AJ22" s="124">
        <f>IF($A22="","",$C22-24.5-37)</f>
        <v/>
      </c>
      <c r="AK22" s="125">
        <f>IF($A22="","",$E22-37-37)</f>
        <v/>
      </c>
      <c r="AL22" s="126">
        <f>IF($A22="","",1*$F22)</f>
        <v/>
      </c>
    </row>
    <row r="23" ht="40.2" customHeight="1">
      <c r="A23" s="83" t="n"/>
      <c r="B23" s="84" t="n"/>
      <c r="C23" s="137" t="n"/>
      <c r="D23" s="138">
        <f>IF($A23="","",$B23-$C23)</f>
        <v/>
      </c>
      <c r="E23" s="85" t="n"/>
      <c r="F23" s="86" t="n"/>
      <c r="G23" s="123">
        <f>IF($A23="","",$B23)</f>
        <v/>
      </c>
      <c r="H23" s="85">
        <f>IF($A23="","",2*$F23)</f>
        <v/>
      </c>
      <c r="I23" s="123">
        <f>IF($A23="","",$E23-$E$55-$F$55)</f>
        <v/>
      </c>
      <c r="J23" s="85">
        <f>IF($A23="","",1*$F23)</f>
        <v/>
      </c>
      <c r="K23" s="123">
        <f>IF($A23="","",$I23)</f>
        <v/>
      </c>
      <c r="L23" s="85">
        <f>IF($A23="","",1*$F23)</f>
        <v/>
      </c>
      <c r="M23" s="123">
        <f>IF($A23="","",$I23)</f>
        <v/>
      </c>
      <c r="N23" s="85">
        <f>IF($A23="","",1*$F23)</f>
        <v/>
      </c>
      <c r="O23" s="123">
        <f>IF($A23="","",$D23-$E$58-$F$58)</f>
        <v/>
      </c>
      <c r="P23" s="85">
        <f>IF($A23="","",4*$F23)</f>
        <v/>
      </c>
      <c r="Q23" s="123">
        <f>IF($A23="","",(($E23-$E$59-$F$59-$G$59)/2))</f>
        <v/>
      </c>
      <c r="R23" s="85">
        <f>IF($A23="","",4*$F23)</f>
        <v/>
      </c>
      <c r="S23" s="123">
        <f>IF($A23="","",$O23-$E$60-$F$60)</f>
        <v/>
      </c>
      <c r="T23" s="85">
        <f>IF($A23="","",4*$F23)</f>
        <v/>
      </c>
      <c r="U23" s="123">
        <f>IF($A23="","",$Q23-$E$61-$F$61)</f>
        <v/>
      </c>
      <c r="V23" s="85">
        <f>IF($A23="","",4*$F23)</f>
        <v/>
      </c>
      <c r="W23" s="123">
        <f>IF($A23="","",$E23-$E$62-$F$62)</f>
        <v/>
      </c>
      <c r="X23" s="85">
        <f>IF($A23="","",2*$F23)</f>
        <v/>
      </c>
      <c r="Y23" s="123">
        <f>IF($A23="","",$C23-$E$63-$F$63)</f>
        <v/>
      </c>
      <c r="Z23" s="85">
        <f>IF($A23="","",2*$F23)</f>
        <v/>
      </c>
      <c r="AA23" s="123">
        <f>IF($A23="","",$D23-$E$64-$F$64)</f>
        <v/>
      </c>
      <c r="AB23" s="85">
        <f>IF($A23="","",1*$F23)</f>
        <v/>
      </c>
      <c r="AC23" s="123" t="n"/>
      <c r="AD23" s="85" t="n"/>
      <c r="AE23" s="123" t="n"/>
      <c r="AF23" s="85" t="n"/>
      <c r="AG23" s="124">
        <f>IF($A23="","",$O23-67-67)</f>
        <v/>
      </c>
      <c r="AH23" s="125">
        <f>IF($A23="","",$Q23-67-67)</f>
        <v/>
      </c>
      <c r="AI23" s="126">
        <f>IF($A23="","",2*$F23)</f>
        <v/>
      </c>
      <c r="AJ23" s="124">
        <f>IF($A23="","",$C23-24.5-37)</f>
        <v/>
      </c>
      <c r="AK23" s="125">
        <f>IF($A23="","",$E23-37-37)</f>
        <v/>
      </c>
      <c r="AL23" s="126">
        <f>IF($A23="","",1*$F23)</f>
        <v/>
      </c>
    </row>
    <row r="24" ht="40.2" customHeight="1">
      <c r="A24" s="83" t="n"/>
      <c r="B24" s="84" t="n"/>
      <c r="C24" s="137" t="n"/>
      <c r="D24" s="138">
        <f>IF($A24="","",$B24-$C24)</f>
        <v/>
      </c>
      <c r="E24" s="85" t="n"/>
      <c r="F24" s="86" t="n"/>
      <c r="G24" s="128">
        <f>IF($A24="","",$B24)</f>
        <v/>
      </c>
      <c r="H24" s="129">
        <f>IF($A24="","",2*$F24)</f>
        <v/>
      </c>
      <c r="I24" s="128">
        <f>IF($A24="","",$E24-$E$55-$F$55)</f>
        <v/>
      </c>
      <c r="J24" s="129">
        <f>IF($A24="","",1*$F24)</f>
        <v/>
      </c>
      <c r="K24" s="128">
        <f>IF($A24="","",$I24)</f>
        <v/>
      </c>
      <c r="L24" s="129">
        <f>IF($A24="","",1*$F24)</f>
        <v/>
      </c>
      <c r="M24" s="128">
        <f>IF($A24="","",$I24)</f>
        <v/>
      </c>
      <c r="N24" s="129">
        <f>IF($A24="","",1*$F24)</f>
        <v/>
      </c>
      <c r="O24" s="128">
        <f>IF($A24="","",$D24-$E$58-$F$58)</f>
        <v/>
      </c>
      <c r="P24" s="129">
        <f>IF($A24="","",4*$F24)</f>
        <v/>
      </c>
      <c r="Q24" s="128">
        <f>IF($A24="","",(($E24-$E$59-$F$59-$G$59)/2))</f>
        <v/>
      </c>
      <c r="R24" s="129">
        <f>IF($A24="","",4*$F24)</f>
        <v/>
      </c>
      <c r="S24" s="128">
        <f>IF($A24="","",$O24-$E$60-$F$60)</f>
        <v/>
      </c>
      <c r="T24" s="129">
        <f>IF($A24="","",4*$F24)</f>
        <v/>
      </c>
      <c r="U24" s="128">
        <f>IF($A24="","",$Q24-$E$61-$F$61)</f>
        <v/>
      </c>
      <c r="V24" s="129">
        <f>IF($A24="","",4*$F24)</f>
        <v/>
      </c>
      <c r="W24" s="128">
        <f>IF($A24="","",$E24-$E$62-$F$62)</f>
        <v/>
      </c>
      <c r="X24" s="129">
        <f>IF($A24="","",2*$F24)</f>
        <v/>
      </c>
      <c r="Y24" s="128">
        <f>IF($A24="","",$C24-$E$63-$F$63)</f>
        <v/>
      </c>
      <c r="Z24" s="129">
        <f>IF($A24="","",2*$F24)</f>
        <v/>
      </c>
      <c r="AA24" s="128">
        <f>IF($A24="","",$D24-$E$64-$F$64)</f>
        <v/>
      </c>
      <c r="AB24" s="129">
        <f>IF($A24="","",1*$F24)</f>
        <v/>
      </c>
      <c r="AC24" s="128" t="n"/>
      <c r="AD24" s="129" t="n"/>
      <c r="AE24" s="128" t="n"/>
      <c r="AF24" s="129" t="n"/>
      <c r="AG24" s="124">
        <f>IF($A24="","",$O24-67-67)</f>
        <v/>
      </c>
      <c r="AH24" s="125">
        <f>IF($A24="","",$Q24-67-67)</f>
        <v/>
      </c>
      <c r="AI24" s="126">
        <f>IF($A24="","",2*$F24)</f>
        <v/>
      </c>
      <c r="AJ24" s="124">
        <f>IF($A24="","",$C24-24.5-37)</f>
        <v/>
      </c>
      <c r="AK24" s="125">
        <f>IF($A24="","",$E24-37-37)</f>
        <v/>
      </c>
      <c r="AL24" s="126">
        <f>IF($A24="","",1*$F24)</f>
        <v/>
      </c>
    </row>
    <row r="25" ht="40.2" customHeight="1">
      <c r="A25" s="83" t="n"/>
      <c r="B25" s="84" t="n"/>
      <c r="C25" s="137" t="n"/>
      <c r="D25" s="138">
        <f>IF($A25="","",$B25-$C25)</f>
        <v/>
      </c>
      <c r="E25" s="85" t="n"/>
      <c r="F25" s="86" t="n"/>
      <c r="G25" s="123">
        <f>IF($A25="","",$B25)</f>
        <v/>
      </c>
      <c r="H25" s="85">
        <f>IF($A25="","",2*$F25)</f>
        <v/>
      </c>
      <c r="I25" s="123">
        <f>IF($A25="","",$E25-$E$55-$F$55)</f>
        <v/>
      </c>
      <c r="J25" s="85">
        <f>IF($A25="","",1*$F25)</f>
        <v/>
      </c>
      <c r="K25" s="123">
        <f>IF($A25="","",$I25)</f>
        <v/>
      </c>
      <c r="L25" s="85">
        <f>IF($A25="","",1*$F25)</f>
        <v/>
      </c>
      <c r="M25" s="123">
        <f>IF($A25="","",$I25)</f>
        <v/>
      </c>
      <c r="N25" s="85">
        <f>IF($A25="","",1*$F25)</f>
        <v/>
      </c>
      <c r="O25" s="123">
        <f>IF($A25="","",$D25-$E$58-$F$58)</f>
        <v/>
      </c>
      <c r="P25" s="85">
        <f>IF($A25="","",4*$F25)</f>
        <v/>
      </c>
      <c r="Q25" s="123">
        <f>IF($A25="","",(($E25-$E$59-$F$59-$G$59)/2))</f>
        <v/>
      </c>
      <c r="R25" s="85">
        <f>IF($A25="","",4*$F25)</f>
        <v/>
      </c>
      <c r="S25" s="123">
        <f>IF($A25="","",$O25-$E$60-$F$60)</f>
        <v/>
      </c>
      <c r="T25" s="85">
        <f>IF($A25="","",4*$F25)</f>
        <v/>
      </c>
      <c r="U25" s="123">
        <f>IF($A25="","",$Q25-$E$61-$F$61)</f>
        <v/>
      </c>
      <c r="V25" s="85">
        <f>IF($A25="","",4*$F25)</f>
        <v/>
      </c>
      <c r="W25" s="123">
        <f>IF($A25="","",$E25-$E$62-$F$62)</f>
        <v/>
      </c>
      <c r="X25" s="85">
        <f>IF($A25="","",2*$F25)</f>
        <v/>
      </c>
      <c r="Y25" s="123">
        <f>IF($A25="","",$C25-$E$63-$F$63)</f>
        <v/>
      </c>
      <c r="Z25" s="85">
        <f>IF($A25="","",2*$F25)</f>
        <v/>
      </c>
      <c r="AA25" s="123">
        <f>IF($A25="","",$D25-$E$64-$F$64)</f>
        <v/>
      </c>
      <c r="AB25" s="85">
        <f>IF($A25="","",1*$F25)</f>
        <v/>
      </c>
      <c r="AC25" s="123" t="n"/>
      <c r="AD25" s="85" t="n"/>
      <c r="AE25" s="123" t="n"/>
      <c r="AF25" s="85" t="n"/>
      <c r="AG25" s="124">
        <f>IF($A25="","",$O25-67-67)</f>
        <v/>
      </c>
      <c r="AH25" s="125">
        <f>IF($A25="","",$Q25-67-67)</f>
        <v/>
      </c>
      <c r="AI25" s="126">
        <f>IF($A25="","",2*$F25)</f>
        <v/>
      </c>
      <c r="AJ25" s="124">
        <f>IF($A25="","",$C25-24.5-37)</f>
        <v/>
      </c>
      <c r="AK25" s="125">
        <f>IF($A25="","",$E25-37-37)</f>
        <v/>
      </c>
      <c r="AL25" s="126">
        <f>IF($A25="","",1*$F25)</f>
        <v/>
      </c>
    </row>
    <row r="26" ht="40.2" customHeight="1">
      <c r="A26" s="83" t="n"/>
      <c r="B26" s="84" t="n"/>
      <c r="C26" s="137" t="n"/>
      <c r="D26" s="138">
        <f>IF($A26="","",$B26-$C26)</f>
        <v/>
      </c>
      <c r="E26" s="85" t="n"/>
      <c r="F26" s="86" t="n"/>
      <c r="G26" s="128">
        <f>IF($A26="","",$B26)</f>
        <v/>
      </c>
      <c r="H26" s="129">
        <f>IF($A26="","",2*$F26)</f>
        <v/>
      </c>
      <c r="I26" s="128">
        <f>IF($A26="","",$E26-$E$55-$F$55)</f>
        <v/>
      </c>
      <c r="J26" s="129">
        <f>IF($A26="","",1*$F26)</f>
        <v/>
      </c>
      <c r="K26" s="128">
        <f>IF($A26="","",$I26)</f>
        <v/>
      </c>
      <c r="L26" s="129">
        <f>IF($A26="","",1*$F26)</f>
        <v/>
      </c>
      <c r="M26" s="128">
        <f>IF($A26="","",$I26)</f>
        <v/>
      </c>
      <c r="N26" s="129">
        <f>IF($A26="","",1*$F26)</f>
        <v/>
      </c>
      <c r="O26" s="128">
        <f>IF($A26="","",$D26-$E$58-$F$58)</f>
        <v/>
      </c>
      <c r="P26" s="129">
        <f>IF($A26="","",4*$F26)</f>
        <v/>
      </c>
      <c r="Q26" s="128">
        <f>IF($A26="","",(($E26-$E$59-$F$59-$G$59)/2))</f>
        <v/>
      </c>
      <c r="R26" s="129">
        <f>IF($A26="","",4*$F26)</f>
        <v/>
      </c>
      <c r="S26" s="128">
        <f>IF($A26="","",$O26-$E$60-$F$60)</f>
        <v/>
      </c>
      <c r="T26" s="129">
        <f>IF($A26="","",4*$F26)</f>
        <v/>
      </c>
      <c r="U26" s="128">
        <f>IF($A26="","",$Q26-$E$61-$F$61)</f>
        <v/>
      </c>
      <c r="V26" s="129">
        <f>IF($A26="","",4*$F26)</f>
        <v/>
      </c>
      <c r="W26" s="128">
        <f>IF($A26="","",$E26-$E$62-$F$62)</f>
        <v/>
      </c>
      <c r="X26" s="129">
        <f>IF($A26="","",2*$F26)</f>
        <v/>
      </c>
      <c r="Y26" s="128">
        <f>IF($A26="","",$C26-$E$63-$F$63)</f>
        <v/>
      </c>
      <c r="Z26" s="129">
        <f>IF($A26="","",2*$F26)</f>
        <v/>
      </c>
      <c r="AA26" s="128">
        <f>IF($A26="","",$D26-$E$64-$F$64)</f>
        <v/>
      </c>
      <c r="AB26" s="129">
        <f>IF($A26="","",1*$F26)</f>
        <v/>
      </c>
      <c r="AC26" s="128" t="n"/>
      <c r="AD26" s="129" t="n"/>
      <c r="AE26" s="128" t="n"/>
      <c r="AF26" s="129" t="n"/>
      <c r="AG26" s="124">
        <f>IF($A26="","",$O26-67-67)</f>
        <v/>
      </c>
      <c r="AH26" s="125">
        <f>IF($A26="","",$Q26-67-67)</f>
        <v/>
      </c>
      <c r="AI26" s="126">
        <f>IF($A26="","",2*$F26)</f>
        <v/>
      </c>
      <c r="AJ26" s="124">
        <f>IF($A26="","",$C26-24.5-37)</f>
        <v/>
      </c>
      <c r="AK26" s="125">
        <f>IF($A26="","",$E26-37-37)</f>
        <v/>
      </c>
      <c r="AL26" s="126">
        <f>IF($A26="","",1*$F26)</f>
        <v/>
      </c>
    </row>
    <row r="27" ht="40.2" customHeight="1">
      <c r="A27" s="83" t="n"/>
      <c r="B27" s="84" t="n"/>
      <c r="C27" s="137" t="n"/>
      <c r="D27" s="138">
        <f>IF($A27="","",$B27-$C27)</f>
        <v/>
      </c>
      <c r="E27" s="85" t="n"/>
      <c r="F27" s="86" t="n"/>
      <c r="G27" s="123">
        <f>IF($A27="","",$B27)</f>
        <v/>
      </c>
      <c r="H27" s="85">
        <f>IF($A27="","",2*$F27)</f>
        <v/>
      </c>
      <c r="I27" s="123">
        <f>IF($A27="","",$E27-$E$55-$F$55)</f>
        <v/>
      </c>
      <c r="J27" s="85">
        <f>IF($A27="","",1*$F27)</f>
        <v/>
      </c>
      <c r="K27" s="123">
        <f>IF($A27="","",$I27)</f>
        <v/>
      </c>
      <c r="L27" s="85">
        <f>IF($A27="","",1*$F27)</f>
        <v/>
      </c>
      <c r="M27" s="123">
        <f>IF($A27="","",$I27)</f>
        <v/>
      </c>
      <c r="N27" s="85">
        <f>IF($A27="","",1*$F27)</f>
        <v/>
      </c>
      <c r="O27" s="123">
        <f>IF($A27="","",$D27-$E$58-$F$58)</f>
        <v/>
      </c>
      <c r="P27" s="85">
        <f>IF($A27="","",4*$F27)</f>
        <v/>
      </c>
      <c r="Q27" s="123">
        <f>IF($A27="","",(($E27-$E$59-$F$59-$G$59)/2))</f>
        <v/>
      </c>
      <c r="R27" s="85">
        <f>IF($A27="","",4*$F27)</f>
        <v/>
      </c>
      <c r="S27" s="123">
        <f>IF($A27="","",$O27-$E$60-$F$60)</f>
        <v/>
      </c>
      <c r="T27" s="85">
        <f>IF($A27="","",4*$F27)</f>
        <v/>
      </c>
      <c r="U27" s="123">
        <f>IF($A27="","",$Q27-$E$61-$F$61)</f>
        <v/>
      </c>
      <c r="V27" s="85">
        <f>IF($A27="","",4*$F27)</f>
        <v/>
      </c>
      <c r="W27" s="123">
        <f>IF($A27="","",$E27-$E$62-$F$62)</f>
        <v/>
      </c>
      <c r="X27" s="85">
        <f>IF($A27="","",2*$F27)</f>
        <v/>
      </c>
      <c r="Y27" s="123">
        <f>IF($A27="","",$C27-$E$63-$F$63)</f>
        <v/>
      </c>
      <c r="Z27" s="85">
        <f>IF($A27="","",2*$F27)</f>
        <v/>
      </c>
      <c r="AA27" s="123">
        <f>IF($A27="","",$D27-$E$64-$F$64)</f>
        <v/>
      </c>
      <c r="AB27" s="85">
        <f>IF($A27="","",1*$F27)</f>
        <v/>
      </c>
      <c r="AC27" s="123" t="n"/>
      <c r="AD27" s="85" t="n"/>
      <c r="AE27" s="123" t="n"/>
      <c r="AF27" s="85" t="n"/>
      <c r="AG27" s="124">
        <f>IF($A27="","",$O27-67-67)</f>
        <v/>
      </c>
      <c r="AH27" s="125">
        <f>IF($A27="","",$Q27-67-67)</f>
        <v/>
      </c>
      <c r="AI27" s="126">
        <f>IF($A27="","",2*$F27)</f>
        <v/>
      </c>
      <c r="AJ27" s="124">
        <f>IF($A27="","",$C27-24.5-37)</f>
        <v/>
      </c>
      <c r="AK27" s="125">
        <f>IF($A27="","",$E27-37-37)</f>
        <v/>
      </c>
      <c r="AL27" s="126">
        <f>IF($A27="","",1*$F27)</f>
        <v/>
      </c>
    </row>
    <row r="28" ht="40.2" customHeight="1">
      <c r="A28" s="83" t="n"/>
      <c r="B28" s="84" t="n"/>
      <c r="C28" s="137" t="n"/>
      <c r="D28" s="138">
        <f>IF($A28="","",$B28-$C28)</f>
        <v/>
      </c>
      <c r="E28" s="85" t="n"/>
      <c r="F28" s="86" t="n"/>
      <c r="G28" s="128">
        <f>IF($A28="","",$B28)</f>
        <v/>
      </c>
      <c r="H28" s="129">
        <f>IF($A28="","",2*$F28)</f>
        <v/>
      </c>
      <c r="I28" s="128">
        <f>IF($A28="","",$E28-$E$55-$F$55)</f>
        <v/>
      </c>
      <c r="J28" s="129">
        <f>IF($A28="","",1*$F28)</f>
        <v/>
      </c>
      <c r="K28" s="128">
        <f>IF($A28="","",$I28)</f>
        <v/>
      </c>
      <c r="L28" s="129">
        <f>IF($A28="","",1*$F28)</f>
        <v/>
      </c>
      <c r="M28" s="128">
        <f>IF($A28="","",$I28)</f>
        <v/>
      </c>
      <c r="N28" s="129">
        <f>IF($A28="","",1*$F28)</f>
        <v/>
      </c>
      <c r="O28" s="128">
        <f>IF($A28="","",$D28-$E$58-$F$58)</f>
        <v/>
      </c>
      <c r="P28" s="129">
        <f>IF($A28="","",4*$F28)</f>
        <v/>
      </c>
      <c r="Q28" s="128">
        <f>IF($A28="","",(($E28-$E$59-$F$59-$G$59)/2))</f>
        <v/>
      </c>
      <c r="R28" s="129">
        <f>IF($A28="","",4*$F28)</f>
        <v/>
      </c>
      <c r="S28" s="128">
        <f>IF($A28="","",$O28-$E$60-$F$60)</f>
        <v/>
      </c>
      <c r="T28" s="129">
        <f>IF($A28="","",4*$F28)</f>
        <v/>
      </c>
      <c r="U28" s="128">
        <f>IF($A28="","",$Q28-$E$61-$F$61)</f>
        <v/>
      </c>
      <c r="V28" s="129">
        <f>IF($A28="","",4*$F28)</f>
        <v/>
      </c>
      <c r="W28" s="128">
        <f>IF($A28="","",$E28-$E$62-$F$62)</f>
        <v/>
      </c>
      <c r="X28" s="129">
        <f>IF($A28="","",2*$F28)</f>
        <v/>
      </c>
      <c r="Y28" s="128">
        <f>IF($A28="","",$C28-$E$63-$F$63)</f>
        <v/>
      </c>
      <c r="Z28" s="129">
        <f>IF($A28="","",2*$F28)</f>
        <v/>
      </c>
      <c r="AA28" s="128">
        <f>IF($A28="","",$D28-$E$64-$F$64)</f>
        <v/>
      </c>
      <c r="AB28" s="129">
        <f>IF($A28="","",1*$F28)</f>
        <v/>
      </c>
      <c r="AC28" s="128" t="n"/>
      <c r="AD28" s="129" t="n"/>
      <c r="AE28" s="128" t="n"/>
      <c r="AF28" s="129" t="n"/>
      <c r="AG28" s="124">
        <f>IF($A28="","",$O28-67-67)</f>
        <v/>
      </c>
      <c r="AH28" s="125">
        <f>IF($A28="","",$Q28-67-67)</f>
        <v/>
      </c>
      <c r="AI28" s="126">
        <f>IF($A28="","",2*$F28)</f>
        <v/>
      </c>
      <c r="AJ28" s="124">
        <f>IF($A28="","",$C28-24.5-37)</f>
        <v/>
      </c>
      <c r="AK28" s="125">
        <f>IF($A28="","",$E28-37-37)</f>
        <v/>
      </c>
      <c r="AL28" s="126">
        <f>IF($A28="","",1*$F28)</f>
        <v/>
      </c>
    </row>
    <row r="29" ht="40.2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19" t="n"/>
      <c r="E30" s="19" t="n"/>
      <c r="F30" s="20" t="n"/>
      <c r="G30" s="130">
        <f>G$7</f>
        <v/>
      </c>
      <c r="H30" s="19" t="n"/>
      <c r="I30" s="20" t="n"/>
      <c r="J30" s="130">
        <f>(ROUNDUP(SUM(H49:J49)/6400,0))</f>
        <v/>
      </c>
      <c r="K30" s="130">
        <f>K$7</f>
        <v/>
      </c>
      <c r="L30" s="130">
        <f>(ROUNDUP(L49/6400,0))</f>
        <v/>
      </c>
      <c r="M30" s="130">
        <f>M$7</f>
        <v/>
      </c>
      <c r="N30" s="130">
        <f>(ROUNDUP(N49/6400,0))</f>
        <v/>
      </c>
      <c r="O30" s="130">
        <f>O$7</f>
        <v/>
      </c>
      <c r="P30" s="19" t="n"/>
      <c r="Q30" s="20" t="n"/>
      <c r="R30" s="130">
        <f>(ROUNDUP(SUM(P49:R49)/6400,0))</f>
        <v/>
      </c>
      <c r="S30" s="130">
        <f>S$7</f>
        <v/>
      </c>
      <c r="T30" s="19" t="n"/>
      <c r="U30" s="19" t="n"/>
      <c r="V30" s="19" t="n"/>
      <c r="W30" s="20" t="n"/>
      <c r="X30" s="130">
        <f>(ROUNDUP(SUM(T49:X49)/6400,0))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  <c r="AE30" s="130">
        <f>AE$7</f>
        <v/>
      </c>
      <c r="AF30" s="130">
        <f>(ROUNDUP(AF49/6400,0))</f>
        <v/>
      </c>
    </row>
    <row r="31" hidden="1" ht="40.2" customHeight="1"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  <c r="AE31" s="72" t="n"/>
      <c r="AF31" s="72">
        <f>IF($A11="","",AF11*AE11)</f>
        <v/>
      </c>
    </row>
    <row r="32" hidden="1" ht="40.2" customHeight="1"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  <c r="AE32" s="72" t="n"/>
      <c r="AF32" s="72">
        <f>IF($A12="","",AF12*AE12)</f>
        <v/>
      </c>
    </row>
    <row r="33" hidden="1" ht="40.2" customHeight="1"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  <c r="AE33" s="72" t="n"/>
      <c r="AF33" s="72">
        <f>IF($A13="","",AF13*AE13)</f>
        <v/>
      </c>
    </row>
    <row r="34" hidden="1" ht="40.2" customHeight="1"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  <c r="AE34" s="72" t="n"/>
      <c r="AF34" s="72">
        <f>IF($A14="","",AF14*AE14)</f>
        <v/>
      </c>
    </row>
    <row r="35" hidden="1" ht="40.2" customHeight="1"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  <c r="AE35" s="72" t="n"/>
      <c r="AF35" s="72">
        <f>IF($A15="","",AF15*AE15)</f>
        <v/>
      </c>
    </row>
    <row r="36" hidden="1"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  <c r="AE36" s="72" t="n"/>
      <c r="AF36" s="72">
        <f>IF($A16="","",AF16*AE16)</f>
        <v/>
      </c>
    </row>
    <row r="37" hidden="1"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  <c r="AE37" s="72" t="n"/>
      <c r="AF37" s="72">
        <f>IF($A17="","",AF17*AE17)</f>
        <v/>
      </c>
    </row>
    <row r="38" hidden="1"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  <c r="AE38" s="72" t="n"/>
      <c r="AF38" s="72">
        <f>IF($A18="","",AF18*AE18)</f>
        <v/>
      </c>
    </row>
    <row r="39" hidden="1"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  <c r="AE39" s="72" t="n"/>
      <c r="AF39" s="72">
        <f>IF($A19="","",AF19*AE19)</f>
        <v/>
      </c>
    </row>
    <row r="40" hidden="1"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  <c r="AE40" s="72" t="n"/>
      <c r="AF40" s="72">
        <f>IF($A20="","",AF20*AE20)</f>
        <v/>
      </c>
    </row>
    <row r="41" hidden="1"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  <c r="AE41" s="72" t="n"/>
      <c r="AF41" s="72">
        <f>IF($A21="","",AF21*AE21)</f>
        <v/>
      </c>
    </row>
    <row r="42" hidden="1"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  <c r="AE42" s="72" t="n"/>
      <c r="AF42" s="72">
        <f>IF($A22="","",AF22*AE22)</f>
        <v/>
      </c>
    </row>
    <row r="43" hidden="1"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  <c r="AE43" s="72" t="n"/>
      <c r="AF43" s="72">
        <f>IF($A23="","",AF23*AE23)</f>
        <v/>
      </c>
    </row>
    <row r="44" hidden="1"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  <c r="AE44" s="72" t="n"/>
      <c r="AF44" s="72">
        <f>IF($A24="","",AF24*AE24)</f>
        <v/>
      </c>
    </row>
    <row r="45" hidden="1"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  <c r="AE45" s="72" t="n"/>
      <c r="AF45" s="72">
        <f>IF($A25="","",AF25*AE25)</f>
        <v/>
      </c>
    </row>
    <row r="46" hidden="1"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  <c r="AE46" s="72" t="n"/>
      <c r="AF46" s="72">
        <f>IF($A26="","",AF26*AE26)</f>
        <v/>
      </c>
    </row>
    <row r="47" hidden="1"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  <c r="AE47" s="72" t="n"/>
      <c r="AF47" s="72">
        <f>IF($A27="","",AF27*AE27)</f>
        <v/>
      </c>
    </row>
    <row r="48" hidden="1"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  <c r="AE48" s="72" t="n"/>
      <c r="AF48" s="72">
        <f>IF($A28="","",AF28*AE28)</f>
        <v/>
      </c>
    </row>
    <row r="49" hidden="1">
      <c r="H49" s="73">
        <f>SUMIF(H31:H48,"&gt;0")</f>
        <v/>
      </c>
      <c r="I49" s="73" t="n"/>
      <c r="J49" s="73">
        <f>SUMIF(J31:J48,"&gt;0")</f>
        <v/>
      </c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  <c r="AE49" s="73" t="n"/>
      <c r="AF49" s="73">
        <f>SUMIF(AF31:AF48,"&gt;0")</f>
        <v/>
      </c>
    </row>
    <row r="50"/>
    <row r="51"/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F7859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/>
    </row>
    <row r="56" ht="15" customHeight="1">
      <c r="A56" s="77" t="n">
        <v>3</v>
      </c>
      <c r="B56" s="78" t="inlineStr">
        <is>
          <t>เฟรม ล่าง</t>
        </is>
      </c>
      <c r="C56" s="79" t="inlineStr">
        <is>
          <t>F7858</t>
        </is>
      </c>
      <c r="D56" s="80" t="inlineStr"/>
      <c r="E56" s="81" t="n"/>
      <c r="F56" s="81" t="n"/>
      <c r="G56" s="81" t="n"/>
      <c r="H56" s="81" t="n"/>
      <c r="I56" s="81" t="n"/>
      <c r="J56" s="81" t="n"/>
      <c r="K56" s="81" t="n"/>
      <c r="L56" s="82" t="n"/>
    </row>
    <row r="57" ht="15" customHeight="1">
      <c r="A57" s="77" t="n">
        <v>4</v>
      </c>
      <c r="B57" s="78" t="inlineStr">
        <is>
          <t>กล่องก้านสลับ</t>
        </is>
      </c>
      <c r="C57" s="79" t="inlineStr">
        <is>
          <t xml:space="preserve">   F7997</t>
        </is>
      </c>
      <c r="D57" s="80" t="inlineStr"/>
      <c r="E57" s="81" t="n"/>
      <c r="F57" s="81" t="n"/>
      <c r="G57" s="81" t="n"/>
      <c r="H57" s="81" t="n"/>
      <c r="I57" s="81" t="n"/>
      <c r="J57" s="81" t="n"/>
      <c r="K57" s="81" t="n"/>
      <c r="L57" s="82" t="n"/>
    </row>
    <row r="58" ht="15" customHeight="1">
      <c r="A58" s="77" t="n">
        <v>5</v>
      </c>
      <c r="B58" s="78" t="inlineStr">
        <is>
          <t>เสา</t>
        </is>
      </c>
      <c r="C58" s="79" t="inlineStr">
        <is>
          <t>F7943</t>
        </is>
      </c>
      <c r="D58" s="80" t="inlineStr">
        <is>
          <t>สูง2-6-18.5</t>
        </is>
      </c>
      <c r="E58" s="82" t="n">
        <v>6</v>
      </c>
      <c r="F58" s="82" t="n">
        <v>18.5</v>
      </c>
      <c r="G58" s="81" t="n"/>
      <c r="H58" s="81" t="n"/>
      <c r="I58" s="81" t="n"/>
      <c r="J58" s="81" t="n"/>
      <c r="K58" s="81" t="n"/>
      <c r="L58" s="82" t="n"/>
    </row>
    <row r="59" ht="15" customHeight="1">
      <c r="A59" s="77" t="n">
        <v>6</v>
      </c>
      <c r="B59" s="78" t="inlineStr">
        <is>
          <t>ขวาง</t>
        </is>
      </c>
      <c r="C59" s="79" t="inlineStr">
        <is>
          <t>-</t>
        </is>
      </c>
      <c r="D59" s="80" t="inlineStr">
        <is>
          <t>(กว้าง-18.5-4.5-18.5)/2</t>
        </is>
      </c>
      <c r="E59" s="82" t="n">
        <v>18.5</v>
      </c>
      <c r="F59" s="82" t="n">
        <v>4.5</v>
      </c>
      <c r="G59" s="82" t="n">
        <v>18.5</v>
      </c>
      <c r="H59" s="81" t="n"/>
      <c r="I59" s="81" t="n"/>
      <c r="J59" s="81" t="n"/>
      <c r="K59" s="81" t="n"/>
      <c r="L59" s="82" t="n"/>
    </row>
    <row r="60" ht="15" customHeight="1">
      <c r="A60" s="77" t="n">
        <v>7</v>
      </c>
      <c r="B60" s="78" t="inlineStr">
        <is>
          <t>คิ้ว ตั้ง</t>
        </is>
      </c>
      <c r="C60" s="79" t="inlineStr">
        <is>
          <t>F7935</t>
        </is>
      </c>
      <c r="D60" s="80" t="inlineStr">
        <is>
          <t>เสา-80-80</t>
        </is>
      </c>
      <c r="E60" s="82" t="n">
        <v>80</v>
      </c>
      <c r="F60" s="82" t="n">
        <v>80</v>
      </c>
      <c r="G60" s="81" t="n"/>
      <c r="H60" s="81" t="n"/>
      <c r="I60" s="81" t="n"/>
      <c r="J60" s="81" t="n"/>
      <c r="K60" s="81" t="n"/>
      <c r="L60" s="82" t="n"/>
    </row>
    <row r="61" ht="15" customHeight="1">
      <c r="A61" s="77" t="n">
        <v>8</v>
      </c>
      <c r="B61" s="78" t="inlineStr">
        <is>
          <t>คิ้ว ขวาง</t>
        </is>
      </c>
      <c r="C61" s="79" t="inlineStr">
        <is>
          <t>-</t>
        </is>
      </c>
      <c r="D61" s="80" t="inlineStr">
        <is>
          <t>ขวาง-60-60</t>
        </is>
      </c>
      <c r="E61" s="82" t="n">
        <v>60</v>
      </c>
      <c r="F61" s="82" t="n">
        <v>60</v>
      </c>
      <c r="G61" s="81" t="n"/>
      <c r="H61" s="81" t="n"/>
      <c r="I61" s="81" t="n"/>
      <c r="J61" s="81" t="n"/>
      <c r="K61" s="81" t="n"/>
      <c r="L61" s="82" t="n"/>
    </row>
    <row r="62" ht="15" customHeight="1">
      <c r="A62" s="77" t="n">
        <v>9</v>
      </c>
      <c r="B62" s="78" t="inlineStr">
        <is>
          <t>คิ้ว ช่องแสง H1</t>
        </is>
      </c>
      <c r="C62" s="79" t="inlineStr">
        <is>
          <t>-</t>
        </is>
      </c>
      <c r="D62" s="80" t="inlineStr">
        <is>
          <t>กว้าง-45-45</t>
        </is>
      </c>
      <c r="E62" s="82" t="n">
        <v>45</v>
      </c>
      <c r="F62" s="82" t="n">
        <v>45</v>
      </c>
      <c r="G62" s="81" t="n"/>
      <c r="H62" s="81" t="n"/>
      <c r="I62" s="81" t="n"/>
      <c r="J62" s="81" t="n"/>
      <c r="K62" s="81" t="n"/>
      <c r="L62" s="82" t="n"/>
    </row>
    <row r="63" ht="15" customHeight="1">
      <c r="A63" s="77" t="n">
        <v>10</v>
      </c>
      <c r="B63" s="78" t="inlineStr">
        <is>
          <t>ตบนอกในบานตาย</t>
        </is>
      </c>
      <c r="C63" s="79" t="inlineStr">
        <is>
          <t>F7860</t>
        </is>
      </c>
      <c r="D63" s="80" t="inlineStr">
        <is>
          <t>สูง1-12.5-25</t>
        </is>
      </c>
      <c r="E63" s="82" t="n">
        <v>12.5</v>
      </c>
      <c r="F63" s="82" t="n">
        <v>25</v>
      </c>
      <c r="G63" s="81" t="n"/>
      <c r="H63" s="81" t="n"/>
      <c r="I63" s="81" t="n"/>
      <c r="J63" s="81" t="n"/>
      <c r="K63" s="81" t="n"/>
      <c r="L63" s="82" t="n"/>
    </row>
    <row r="64" ht="15" customHeight="1">
      <c r="A64" s="77" t="n">
        <v>11</v>
      </c>
      <c r="B64" s="78" t="inlineStr">
        <is>
          <t>ชนกลาง</t>
        </is>
      </c>
      <c r="C64" s="79" t="inlineStr">
        <is>
          <t>F7945</t>
        </is>
      </c>
      <c r="D64" s="80" t="inlineStr">
        <is>
          <t>สูง2-14.5-27</t>
        </is>
      </c>
      <c r="E64" s="82" t="n">
        <v>14.5</v>
      </c>
      <c r="F64" s="82" t="n">
        <v>27</v>
      </c>
      <c r="G64" s="81" t="n"/>
      <c r="H64" s="81" t="n"/>
      <c r="I64" s="81" t="n"/>
      <c r="J64" s="81" t="n"/>
      <c r="K64" s="81" t="n"/>
      <c r="L64" s="82" t="n"/>
    </row>
    <row r="66">
      <c r="A66" s="152" t="inlineStr">
        <is>
          <t>⑥ อุปกรณ์ ต่อ 1 บาน — คูณจำนวนบานที่ผลิต</t>
        </is>
      </c>
      <c r="F66" s="153" t="inlineStr">
        <is>
          <t>ต่อบาน</t>
        </is>
      </c>
    </row>
    <row r="67">
      <c r="A67" s="154" t="inlineStr">
        <is>
          <t>1. บานพับ hyda (สูง&gt;3ม./บานกว้าง&gt;1.2ม.=5)</t>
        </is>
      </c>
      <c r="F67" s="155" t="n">
        <v>4</v>
      </c>
    </row>
    <row r="68">
      <c r="A68" s="154" t="inlineStr">
        <is>
          <t>2. มือจับ + ล็อค</t>
        </is>
      </c>
      <c r="F68" s="155" t="n">
        <v>1</v>
      </c>
    </row>
    <row r="69">
      <c r="A69" s="154" t="inlineStr">
        <is>
          <t>3. กลอน (ใบลอง)</t>
        </is>
      </c>
      <c r="F69" s="155" t="n">
        <v>1</v>
      </c>
    </row>
    <row r="70">
      <c r="A70" s="154" t="inlineStr">
        <is>
          <t>4. น็อตเฟรม (มีธรณี8/ไม่มี6)</t>
        </is>
      </c>
      <c r="F70" s="155" t="n">
        <v>8</v>
      </c>
    </row>
    <row r="71">
      <c r="A71" s="156" t="inlineStr">
        <is>
          <t>+ ยาง/ซิลิโคน = ตามขนาด (ดูชีทคิดทุน)</t>
        </is>
      </c>
    </row>
  </sheetData>
  <mergeCells count="62">
    <mergeCell ref="U9:V9"/>
    <mergeCell ref="I6:J6"/>
    <mergeCell ref="S7:X7"/>
    <mergeCell ref="O6:P6"/>
    <mergeCell ref="B8:E9"/>
    <mergeCell ref="K9:L9"/>
    <mergeCell ref="U6:V6"/>
    <mergeCell ref="W6:X6"/>
    <mergeCell ref="M9:N9"/>
    <mergeCell ref="O9:P9"/>
    <mergeCell ref="G8:H8"/>
    <mergeCell ref="G30:I30"/>
    <mergeCell ref="Y9:Z9"/>
    <mergeCell ref="A70:E70"/>
    <mergeCell ref="Q8:R8"/>
    <mergeCell ref="AA9:AB9"/>
    <mergeCell ref="S8:T8"/>
    <mergeCell ref="A69:E69"/>
    <mergeCell ref="A71:F71"/>
    <mergeCell ref="F8:F9"/>
    <mergeCell ref="AA6:AB6"/>
    <mergeCell ref="O7:R7"/>
    <mergeCell ref="G6:H6"/>
    <mergeCell ref="A66:E66"/>
    <mergeCell ref="AC8:AD8"/>
    <mergeCell ref="AE8:AF8"/>
    <mergeCell ref="M7:N7"/>
    <mergeCell ref="A8:A9"/>
    <mergeCell ref="Y7:Z7"/>
    <mergeCell ref="AA7:AB7"/>
    <mergeCell ref="M6:N6"/>
    <mergeCell ref="K8:L8"/>
    <mergeCell ref="AA8:AB8"/>
    <mergeCell ref="Q6:R6"/>
    <mergeCell ref="S6:T6"/>
    <mergeCell ref="Y6:Z6"/>
    <mergeCell ref="G7:J7"/>
    <mergeCell ref="Q9:R9"/>
    <mergeCell ref="A67:E67"/>
    <mergeCell ref="I8:J8"/>
    <mergeCell ref="S9:T9"/>
    <mergeCell ref="A30:F30"/>
    <mergeCell ref="M8:N8"/>
    <mergeCell ref="W9:X9"/>
    <mergeCell ref="AC9:AD9"/>
    <mergeCell ref="O8:P8"/>
    <mergeCell ref="S30:W30"/>
    <mergeCell ref="AE9:AF9"/>
    <mergeCell ref="U8:V8"/>
    <mergeCell ref="W8:X8"/>
    <mergeCell ref="K7:L7"/>
    <mergeCell ref="AC6:AD6"/>
    <mergeCell ref="AE6:AF6"/>
    <mergeCell ref="A68:E68"/>
    <mergeCell ref="A6:F6"/>
    <mergeCell ref="O30:Q30"/>
    <mergeCell ref="Y8:Z8"/>
    <mergeCell ref="K6:L6"/>
    <mergeCell ref="G9:H9"/>
    <mergeCell ref="AJ8:AL8"/>
    <mergeCell ref="I9:J9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8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8.8984375" customWidth="1" min="34" max="34"/>
  </cols>
  <sheetData>
    <row r="1" ht="40.2" customHeight="1">
      <c r="A1" s="2" t="inlineStr">
        <is>
          <t>JR ALUMINIUM &amp; GLASS  —  ใบรายการตัด · FUJI Fix1   (หน่วย: มม.)</t>
        </is>
      </c>
      <c r="B1" s="3" t="n"/>
      <c r="D1" s="4" t="n"/>
      <c r="E1" s="5" t="n"/>
      <c r="F1" s="4" t="n"/>
      <c r="G1" s="4" t="n"/>
      <c r="H1" s="4" t="n"/>
      <c r="I1" s="6" t="n"/>
      <c r="J1" s="7" t="n"/>
      <c r="K1" s="7" t="n"/>
      <c r="L1" s="7" t="n"/>
      <c r="M1" s="4" t="n"/>
      <c r="N1" s="8" t="n"/>
      <c r="O1" s="4" t="n"/>
      <c r="P1" s="4" t="n"/>
      <c r="Q1" s="6" t="n"/>
      <c r="R1" s="6" t="n"/>
      <c r="S1" s="7" t="n"/>
      <c r="T1" s="7" t="n"/>
      <c r="U1" s="6" t="n"/>
      <c r="V1" s="6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40.2" customHeight="1">
      <c r="A2" s="6" t="n"/>
      <c r="B2" s="6" t="n"/>
      <c r="C2" s="6" t="n"/>
      <c r="D2" s="6" t="n"/>
      <c r="E2" s="9" t="n"/>
      <c r="F2" s="6" t="n"/>
      <c r="G2" s="6" t="n"/>
      <c r="H2" s="6" t="n"/>
      <c r="I2" s="10" t="n"/>
      <c r="J2" s="10" t="n"/>
      <c r="K2" s="10" t="n"/>
      <c r="L2" s="10" t="n"/>
      <c r="M2" s="6" t="n"/>
      <c r="N2" s="6" t="n"/>
      <c r="O2" s="140" t="n"/>
      <c r="P2" s="6" t="n"/>
      <c r="Q2" s="141" t="inlineStr">
        <is>
          <t>ชั้น1</t>
        </is>
      </c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 ht="40.2" customHeight="1">
      <c r="A3" s="6" t="n"/>
      <c r="B3" s="142" t="n"/>
      <c r="C3" s="88" t="n"/>
      <c r="D3" s="6" t="n"/>
      <c r="E3" s="9" t="n"/>
      <c r="F3" s="6" t="n"/>
      <c r="G3" s="6" t="n"/>
      <c r="H3" s="6" t="n"/>
      <c r="I3" s="10" t="n"/>
      <c r="J3" s="10" t="n"/>
      <c r="K3" s="11" t="n"/>
      <c r="L3" s="11" t="n"/>
      <c r="M3" s="6" t="n"/>
      <c r="N3" s="6" t="n"/>
      <c r="O3" s="6" t="n"/>
      <c r="P3" s="6" t="n"/>
      <c r="Q3" s="141" t="n"/>
      <c r="R3" s="6" t="n"/>
      <c r="S3" s="11" t="n"/>
      <c r="T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40.2" customHeight="1">
      <c r="A4" s="6" t="n"/>
      <c r="C4" s="6" t="n"/>
      <c r="F4" s="6" t="n"/>
      <c r="G4" s="6" t="n"/>
      <c r="H4" s="6" t="n"/>
      <c r="I4" s="10" t="n"/>
      <c r="J4" s="10" t="n"/>
      <c r="M4" s="6" t="n"/>
      <c r="N4" s="6" t="n"/>
      <c r="O4" s="88" t="n"/>
      <c r="P4" s="6" t="n"/>
      <c r="Q4" s="141" t="inlineStr">
        <is>
          <t>ชั้น2</t>
        </is>
      </c>
      <c r="R4" s="6" t="n"/>
    </row>
    <row r="5" ht="40.2" customHeight="1">
      <c r="A5" s="6" t="n"/>
      <c r="B5" s="6" t="n"/>
      <c r="C5" s="6" t="n"/>
      <c r="D5" s="6" t="n"/>
      <c r="E5" s="9" t="n"/>
      <c r="F5" s="6" t="n"/>
      <c r="G5" s="6" t="n"/>
      <c r="H5" s="6" t="n"/>
      <c r="M5" s="6" t="n"/>
      <c r="N5" s="6" t="n"/>
      <c r="O5" s="6" t="n"/>
      <c r="P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สูง-45-45</t>
        </is>
      </c>
      <c r="L6" s="16" t="n"/>
      <c r="M6" s="15" t="inlineStr">
        <is>
          <t>เท่าเฟรมล่าง</t>
        </is>
      </c>
      <c r="N6" s="16" t="n"/>
      <c r="O6" s="15" t="n"/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5" t="n"/>
      <c r="AD6" s="16" t="n"/>
      <c r="AE6" s="17" t="n"/>
      <c r="AF6" s="17" t="n"/>
      <c r="AG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F7937</t>
        </is>
      </c>
      <c r="F7" s="13" t="n"/>
      <c r="G7" s="13" t="n"/>
      <c r="H7" s="14" t="n"/>
      <c r="I7" s="21" t="inlineStr">
        <is>
          <t>F7858</t>
        </is>
      </c>
      <c r="J7" s="14" t="n"/>
      <c r="K7" s="21" t="inlineStr">
        <is>
          <t>F7935</t>
        </is>
      </c>
      <c r="L7" s="13" t="n"/>
      <c r="M7" s="13" t="n"/>
      <c r="N7" s="14" t="n"/>
      <c r="O7" s="23" t="n"/>
      <c r="P7" s="14" t="n"/>
      <c r="Q7" s="23" t="n"/>
      <c r="R7" s="14" t="n"/>
      <c r="S7" s="21" t="n"/>
      <c r="T7" s="14" t="n"/>
      <c r="U7" s="23" t="n"/>
      <c r="V7" s="14" t="n"/>
      <c r="W7" s="23" t="n"/>
      <c r="X7" s="14" t="n"/>
      <c r="Y7" s="23" t="n"/>
      <c r="Z7" s="14" t="n"/>
      <c r="AA7" s="23" t="n"/>
      <c r="AB7" s="14" t="n"/>
      <c r="AC7" s="24" t="n"/>
      <c r="AD7" s="14" t="n"/>
      <c r="AE7" s="25" t="n"/>
      <c r="AF7" s="26" t="inlineStr">
        <is>
          <t>ขนาดกระจก</t>
        </is>
      </c>
      <c r="AG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5" t="n"/>
      <c r="J8" s="34" t="n"/>
      <c r="K8" s="31" t="n"/>
      <c r="L8" s="32" t="n"/>
      <c r="M8" s="33" t="n"/>
      <c r="N8" s="34" t="n"/>
      <c r="O8" s="31" t="n"/>
      <c r="P8" s="32" t="n"/>
      <c r="Q8" s="31" t="n"/>
      <c r="R8" s="32" t="n"/>
      <c r="S8" s="35" t="n"/>
      <c r="T8" s="34" t="n"/>
      <c r="U8" s="31" t="n"/>
      <c r="V8" s="32" t="n"/>
      <c r="W8" s="31" t="n"/>
      <c r="X8" s="32" t="n"/>
      <c r="Y8" s="31" t="n"/>
      <c r="Z8" s="32" t="n"/>
      <c r="AA8" s="35" t="n"/>
      <c r="AB8" s="34" t="n"/>
      <c r="AC8" s="33" t="n"/>
      <c r="AD8" s="34" t="n"/>
      <c r="AE8" s="36" t="n"/>
      <c r="AF8" s="37" t="inlineStr">
        <is>
          <t>กรอบบาน</t>
        </is>
      </c>
      <c r="AG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คิ้ว ตั้ง</t>
        </is>
      </c>
      <c r="L9" s="43" t="n"/>
      <c r="M9" s="42" t="inlineStr">
        <is>
          <t>คิ้ว ขวาง</t>
        </is>
      </c>
      <c r="N9" s="43" t="n"/>
      <c r="O9" s="42" t="n"/>
      <c r="P9" s="43" t="n"/>
      <c r="Q9" s="42" t="n"/>
      <c r="R9" s="43" t="n"/>
      <c r="S9" s="42" t="n"/>
      <c r="T9" s="43" t="n"/>
      <c r="U9" s="42" t="n"/>
      <c r="V9" s="43" t="n"/>
      <c r="W9" s="44" t="n"/>
      <c r="X9" s="43" t="n"/>
      <c r="Y9" s="44" t="n"/>
      <c r="Z9" s="43" t="n"/>
      <c r="AA9" s="44" t="n"/>
      <c r="AB9" s="43" t="n"/>
      <c r="AC9" s="42" t="n"/>
      <c r="AD9" s="43" t="n"/>
      <c r="AE9" s="45" t="inlineStr">
        <is>
          <t>H-35-35</t>
        </is>
      </c>
      <c r="AF9" s="45" t="inlineStr">
        <is>
          <t>W-35-35</t>
        </is>
      </c>
      <c r="AG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</row>
    <row r="11" ht="40.2" customHeight="1">
      <c r="A11" s="143" t="inlineStr">
        <is>
          <t>W5</t>
        </is>
      </c>
      <c r="B11" s="84" t="n">
        <v>2085</v>
      </c>
      <c r="C11" s="85" t="n">
        <v>1860</v>
      </c>
      <c r="D11" s="86" t="n">
        <v>1</v>
      </c>
      <c r="E11" s="123">
        <f>IF($A11="","",$B11)</f>
        <v/>
      </c>
      <c r="F11" s="85">
        <f>IF($A11="","",$L$54*$D11)</f>
        <v/>
      </c>
      <c r="G11" s="123">
        <f>IF($A11="","",$C11-$E$55-$F$55)</f>
        <v/>
      </c>
      <c r="H11" s="85">
        <f>IF($A11="","",$L$55*$D11)</f>
        <v/>
      </c>
      <c r="I11" s="123">
        <f>IF($A11="","",$C11-$E$56-$F$56)</f>
        <v/>
      </c>
      <c r="J11" s="85">
        <f>IF($A11="","",$L$56*$D11)</f>
        <v/>
      </c>
      <c r="K11" s="123">
        <f>IF($A11="","",$B11-$E$57-$F$57)</f>
        <v/>
      </c>
      <c r="L11" s="85">
        <f>IF($A11="","",$L$57*$D11)</f>
        <v/>
      </c>
      <c r="M11" s="123">
        <f>IF($A11="","",$G11)</f>
        <v/>
      </c>
      <c r="N11" s="85">
        <f>IF($A11="","",$L$58*$D11)</f>
        <v/>
      </c>
      <c r="O11" s="123" t="n"/>
      <c r="P11" s="85" t="n"/>
      <c r="Q11" s="123" t="n"/>
      <c r="R11" s="85" t="n"/>
      <c r="S11" s="123" t="n"/>
      <c r="T11" s="85" t="n"/>
      <c r="U11" s="123" t="n"/>
      <c r="V11" s="85" t="n"/>
      <c r="W11" s="123" t="n"/>
      <c r="X11" s="85" t="n"/>
      <c r="Y11" s="123" t="n"/>
      <c r="Z11" s="85" t="n"/>
      <c r="AA11" s="123" t="n"/>
      <c r="AB11" s="85" t="n"/>
      <c r="AC11" s="123" t="n"/>
      <c r="AD11" s="85" t="n"/>
      <c r="AE11" s="124">
        <f>IF($A11="","",$B11-35-35)</f>
        <v/>
      </c>
      <c r="AF11" s="124">
        <f>IF($A11="","",$C11-35-35)</f>
        <v/>
      </c>
      <c r="AG11" s="126">
        <f>IF($A11="","",1*$D11)</f>
        <v/>
      </c>
    </row>
    <row r="12" ht="40.2" customHeight="1">
      <c r="A12" s="143" t="inlineStr">
        <is>
          <t>W4-1</t>
        </is>
      </c>
      <c r="B12" s="84" t="n">
        <v>2285</v>
      </c>
      <c r="C12" s="85" t="n">
        <v>1295</v>
      </c>
      <c r="D12" s="86" t="n">
        <v>1</v>
      </c>
      <c r="E12" s="128">
        <f>IF($A12="","",$B12)</f>
        <v/>
      </c>
      <c r="F12" s="129">
        <f>IF($A12="","",$L$54*$D12)</f>
        <v/>
      </c>
      <c r="G12" s="128">
        <f>IF($A12="","",$C12-$E$55-$F$55)</f>
        <v/>
      </c>
      <c r="H12" s="129">
        <f>IF($A12="","",$L$55*$D12)</f>
        <v/>
      </c>
      <c r="I12" s="128">
        <f>IF($A12="","",$C12-$E$56-$F$56)</f>
        <v/>
      </c>
      <c r="J12" s="129">
        <f>IF($A12="","",$L$56*$D12)</f>
        <v/>
      </c>
      <c r="K12" s="128">
        <f>IF($A12="","",$B12-$E$57-$F$57)</f>
        <v/>
      </c>
      <c r="L12" s="129">
        <f>IF($A12="","",$L$57*$D12)</f>
        <v/>
      </c>
      <c r="M12" s="128">
        <f>IF($A12="","",$G12)</f>
        <v/>
      </c>
      <c r="N12" s="129">
        <f>IF($A12="","",$L$58*$D12)</f>
        <v/>
      </c>
      <c r="O12" s="128" t="n"/>
      <c r="P12" s="129" t="n"/>
      <c r="Q12" s="128" t="n"/>
      <c r="R12" s="129" t="n"/>
      <c r="S12" s="128" t="n"/>
      <c r="T12" s="129" t="n"/>
      <c r="U12" s="128" t="n"/>
      <c r="V12" s="129" t="n"/>
      <c r="W12" s="128" t="n"/>
      <c r="X12" s="129" t="n"/>
      <c r="Y12" s="128" t="n"/>
      <c r="Z12" s="129" t="n"/>
      <c r="AA12" s="128" t="n"/>
      <c r="AB12" s="129" t="n"/>
      <c r="AC12" s="128" t="n"/>
      <c r="AD12" s="129" t="n"/>
      <c r="AE12" s="124">
        <f>IF($A12="","",$B12-35-35)</f>
        <v/>
      </c>
      <c r="AF12" s="124">
        <f>IF($A12="","",$C12-35-35)</f>
        <v/>
      </c>
      <c r="AG12" s="126">
        <f>IF($A12="","",1*$D12)</f>
        <v/>
      </c>
    </row>
    <row r="13" ht="40.2" customHeight="1">
      <c r="A13" s="144" t="inlineStr">
        <is>
          <t>W9</t>
        </is>
      </c>
      <c r="B13" s="84" t="n">
        <v>1780</v>
      </c>
      <c r="C13" s="85" t="n">
        <v>2830</v>
      </c>
      <c r="D13" s="86" t="n">
        <v>1</v>
      </c>
      <c r="E13" s="123">
        <f>IF($A13="","",$B13)</f>
        <v/>
      </c>
      <c r="F13" s="85">
        <f>IF($A13="","",$L$54*$D13)</f>
        <v/>
      </c>
      <c r="G13" s="123">
        <f>IF($A13="","",$C13-$E$55-$F$55)</f>
        <v/>
      </c>
      <c r="H13" s="85">
        <f>IF($A13="","",$L$55*$D13)</f>
        <v/>
      </c>
      <c r="I13" s="123">
        <f>IF($A13="","",$C13-$E$56-$F$56)</f>
        <v/>
      </c>
      <c r="J13" s="85">
        <f>IF($A13="","",$L$56*$D13)</f>
        <v/>
      </c>
      <c r="K13" s="123">
        <f>IF($A13="","",$B13-$E$57-$F$57)</f>
        <v/>
      </c>
      <c r="L13" s="85">
        <f>IF($A13="","",$L$57*$D13)</f>
        <v/>
      </c>
      <c r="M13" s="123">
        <f>IF($A13="","",$G13)</f>
        <v/>
      </c>
      <c r="N13" s="85">
        <f>IF($A13="","",$L$58*$D13)</f>
        <v/>
      </c>
      <c r="O13" s="123" t="n"/>
      <c r="P13" s="85" t="n"/>
      <c r="Q13" s="123" t="n"/>
      <c r="R13" s="85" t="n"/>
      <c r="S13" s="123" t="n"/>
      <c r="T13" s="85" t="n"/>
      <c r="U13" s="123" t="n"/>
      <c r="V13" s="85" t="n"/>
      <c r="W13" s="123" t="n"/>
      <c r="X13" s="85" t="n"/>
      <c r="Y13" s="123" t="n"/>
      <c r="Z13" s="85" t="n"/>
      <c r="AA13" s="123" t="n"/>
      <c r="AB13" s="85" t="n"/>
      <c r="AC13" s="123" t="n"/>
      <c r="AD13" s="85" t="n"/>
      <c r="AE13" s="124">
        <f>IF($A13="","",$B13-35-35)</f>
        <v/>
      </c>
      <c r="AF13" s="124">
        <f>IF($A13="","",$C13-35-35)</f>
        <v/>
      </c>
      <c r="AG13" s="126">
        <f>IF($A13="","",1*$D13)</f>
        <v/>
      </c>
    </row>
    <row r="14" ht="40.2" customHeight="1">
      <c r="A14" s="144" t="inlineStr">
        <is>
          <t>W8</t>
        </is>
      </c>
      <c r="B14" s="84" t="n">
        <v>1990</v>
      </c>
      <c r="C14" s="85" t="n">
        <v>3460</v>
      </c>
      <c r="D14" s="86" t="n">
        <v>1</v>
      </c>
      <c r="E14" s="128">
        <f>IF($A14="","",$B14)</f>
        <v/>
      </c>
      <c r="F14" s="129">
        <f>IF($A14="","",$L$54*$D14)</f>
        <v/>
      </c>
      <c r="G14" s="128">
        <f>IF($A14="","",$C14-$E$55-$F$55)</f>
        <v/>
      </c>
      <c r="H14" s="129">
        <f>IF($A14="","",$L$55*$D14)</f>
        <v/>
      </c>
      <c r="I14" s="128">
        <f>IF($A14="","",$C14-$E$56-$F$56)</f>
        <v/>
      </c>
      <c r="J14" s="129">
        <f>IF($A14="","",$L$56*$D14)</f>
        <v/>
      </c>
      <c r="K14" s="128">
        <f>IF($A14="","",$B14-$E$57-$F$57)</f>
        <v/>
      </c>
      <c r="L14" s="129">
        <f>IF($A14="","",$L$57*$D14)</f>
        <v/>
      </c>
      <c r="M14" s="128">
        <f>IF($A14="","",$G14)</f>
        <v/>
      </c>
      <c r="N14" s="129">
        <f>IF($A14="","",$L$58*$D14)</f>
        <v/>
      </c>
      <c r="O14" s="128" t="n"/>
      <c r="P14" s="129" t="n"/>
      <c r="Q14" s="128" t="n"/>
      <c r="R14" s="129" t="n"/>
      <c r="S14" s="128" t="n"/>
      <c r="T14" s="129" t="n"/>
      <c r="U14" s="128" t="n"/>
      <c r="V14" s="129" t="n"/>
      <c r="W14" s="128" t="n"/>
      <c r="X14" s="129" t="n"/>
      <c r="Y14" s="128" t="n"/>
      <c r="Z14" s="129" t="n"/>
      <c r="AA14" s="128" t="n"/>
      <c r="AB14" s="129" t="n"/>
      <c r="AC14" s="128" t="n"/>
      <c r="AD14" s="129" t="n"/>
      <c r="AE14" s="124">
        <f>IF($A14="","",$B14-35-35)</f>
        <v/>
      </c>
      <c r="AF14" s="124">
        <f>IF($A14="","",$C14-35-35)</f>
        <v/>
      </c>
      <c r="AG14" s="126">
        <f>IF($A14="","",1*$D14)</f>
        <v/>
      </c>
    </row>
    <row r="15" ht="40.2" customHeight="1">
      <c r="A15" s="144" t="inlineStr">
        <is>
          <t>W4-2</t>
        </is>
      </c>
      <c r="B15" s="84" t="n">
        <v>2675</v>
      </c>
      <c r="C15" s="85" t="n">
        <v>1295</v>
      </c>
      <c r="D15" s="86" t="n">
        <v>1</v>
      </c>
      <c r="E15" s="123">
        <f>IF($A15="","",$B15)</f>
        <v/>
      </c>
      <c r="F15" s="85">
        <f>IF($A15="","",$L$54*$D15)</f>
        <v/>
      </c>
      <c r="G15" s="123">
        <f>IF($A15="","",$C15-$E$55-$F$55)</f>
        <v/>
      </c>
      <c r="H15" s="85">
        <f>IF($A15="","",$L$55*$D15)</f>
        <v/>
      </c>
      <c r="I15" s="123">
        <f>IF($A15="","",$C15-$E$56-$F$56)</f>
        <v/>
      </c>
      <c r="J15" s="85">
        <f>IF($A15="","",$L$56*$D15)</f>
        <v/>
      </c>
      <c r="K15" s="123">
        <f>IF($A15="","",$B15-$E$57-$F$57)</f>
        <v/>
      </c>
      <c r="L15" s="85">
        <f>IF($A15="","",$L$57*$D15)</f>
        <v/>
      </c>
      <c r="M15" s="123">
        <f>IF($A15="","",$G15)</f>
        <v/>
      </c>
      <c r="N15" s="85">
        <f>IF($A15="","",$L$58*$D15)</f>
        <v/>
      </c>
      <c r="O15" s="123" t="n"/>
      <c r="P15" s="85" t="n"/>
      <c r="Q15" s="123" t="n"/>
      <c r="R15" s="85" t="n"/>
      <c r="S15" s="123" t="n"/>
      <c r="T15" s="85" t="n"/>
      <c r="U15" s="123" t="n"/>
      <c r="V15" s="85" t="n"/>
      <c r="W15" s="123" t="n"/>
      <c r="X15" s="85" t="n"/>
      <c r="Y15" s="123" t="n"/>
      <c r="Z15" s="85" t="n"/>
      <c r="AA15" s="123" t="n"/>
      <c r="AB15" s="85" t="n"/>
      <c r="AC15" s="123" t="n"/>
      <c r="AD15" s="85" t="n"/>
      <c r="AE15" s="124">
        <f>IF($A15="","",$B15-35-35)</f>
        <v/>
      </c>
      <c r="AF15" s="124">
        <f>IF($A15="","",$C15-35-35)</f>
        <v/>
      </c>
      <c r="AG15" s="126">
        <f>IF($A15="","",1*$D15)</f>
        <v/>
      </c>
    </row>
    <row r="16" ht="40.2" customHeight="1">
      <c r="A16" s="83" t="n"/>
      <c r="B16" s="84" t="n"/>
      <c r="C16" s="85" t="n"/>
      <c r="D16" s="86" t="n"/>
      <c r="E16" s="128">
        <f>IF($A16="","",$B16)</f>
        <v/>
      </c>
      <c r="F16" s="129">
        <f>IF($A16="","",$L$54*$D16)</f>
        <v/>
      </c>
      <c r="G16" s="128">
        <f>IF($A16="","",$C16-$E$55-$F$55)</f>
        <v/>
      </c>
      <c r="H16" s="129">
        <f>IF($A16="","",$L$55*$D16)</f>
        <v/>
      </c>
      <c r="I16" s="128">
        <f>IF($A16="","",$C16-$E$56-$F$56)</f>
        <v/>
      </c>
      <c r="J16" s="129">
        <f>IF($A16="","",$L$56*$D16)</f>
        <v/>
      </c>
      <c r="K16" s="128">
        <f>IF($A16="","",$B16-$E$57-$F$57)</f>
        <v/>
      </c>
      <c r="L16" s="129">
        <f>IF($A16="","",$L$57*$D16)</f>
        <v/>
      </c>
      <c r="M16" s="128">
        <f>IF($A16="","",$G16)</f>
        <v/>
      </c>
      <c r="N16" s="129">
        <f>IF($A16="","",$L$58*$D16)</f>
        <v/>
      </c>
      <c r="O16" s="128" t="n"/>
      <c r="P16" s="129" t="n"/>
      <c r="Q16" s="128" t="n"/>
      <c r="R16" s="129" t="n"/>
      <c r="S16" s="128" t="n"/>
      <c r="T16" s="129" t="n"/>
      <c r="U16" s="128" t="n"/>
      <c r="V16" s="129" t="n"/>
      <c r="W16" s="128" t="n"/>
      <c r="X16" s="129" t="n"/>
      <c r="Y16" s="128" t="n"/>
      <c r="Z16" s="129" t="n"/>
      <c r="AA16" s="128" t="n"/>
      <c r="AB16" s="129" t="n"/>
      <c r="AC16" s="128" t="n"/>
      <c r="AD16" s="129" t="n"/>
      <c r="AE16" s="124">
        <f>IF($A16="","",$B16-35-35)</f>
        <v/>
      </c>
      <c r="AF16" s="124">
        <f>IF($A16="","",$C16-35-35)</f>
        <v/>
      </c>
      <c r="AG16" s="126">
        <f>IF($A16="","",1*$D16)</f>
        <v/>
      </c>
    </row>
    <row r="17" ht="40.2" customHeight="1">
      <c r="A17" s="144" t="inlineStr">
        <is>
          <t>D3-1</t>
        </is>
      </c>
      <c r="B17" s="84" t="n">
        <v>1795</v>
      </c>
      <c r="C17" s="85" t="n">
        <v>2880</v>
      </c>
      <c r="D17" s="86" t="n">
        <v>1</v>
      </c>
      <c r="E17" s="123">
        <f>IF($A17="","",$B17)</f>
        <v/>
      </c>
      <c r="F17" s="85">
        <f>IF($A17="","",$L$54*$D17)</f>
        <v/>
      </c>
      <c r="G17" s="123">
        <f>IF($A17="","",$C17-$E$55-$F$55)</f>
        <v/>
      </c>
      <c r="H17" s="85">
        <f>IF($A17="","",$L$55*$D17)</f>
        <v/>
      </c>
      <c r="I17" s="123">
        <f>IF($A17="","",$C17-$E$56-$F$56)</f>
        <v/>
      </c>
      <c r="J17" s="85">
        <f>IF($A17="","",$L$56*$D17)</f>
        <v/>
      </c>
      <c r="K17" s="123">
        <f>IF($A17="","",$B17-$E$57-$F$57)</f>
        <v/>
      </c>
      <c r="L17" s="85">
        <f>IF($A17="","",$L$57*$D17)</f>
        <v/>
      </c>
      <c r="M17" s="123">
        <f>IF($A17="","",$G17)</f>
        <v/>
      </c>
      <c r="N17" s="85">
        <f>IF($A17="","",$L$58*$D17)</f>
        <v/>
      </c>
      <c r="O17" s="123" t="n"/>
      <c r="P17" s="85" t="n"/>
      <c r="Q17" s="123" t="n"/>
      <c r="R17" s="85" t="n"/>
      <c r="S17" s="123" t="n"/>
      <c r="T17" s="85" t="n"/>
      <c r="U17" s="123" t="n"/>
      <c r="V17" s="85" t="n"/>
      <c r="W17" s="123" t="n"/>
      <c r="X17" s="85" t="n"/>
      <c r="Y17" s="123" t="n"/>
      <c r="Z17" s="85" t="n"/>
      <c r="AA17" s="123" t="n"/>
      <c r="AB17" s="85" t="n"/>
      <c r="AC17" s="123" t="n"/>
      <c r="AD17" s="85" t="n"/>
      <c r="AE17" s="124">
        <f>IF($A17="","",$B17-35-35)</f>
        <v/>
      </c>
      <c r="AF17" s="124">
        <f>IF($A17="","",$C17-35-35)</f>
        <v/>
      </c>
      <c r="AG17" s="126">
        <f>IF($A17="","",1*$D17)</f>
        <v/>
      </c>
    </row>
    <row r="18" ht="40.2" customHeight="1">
      <c r="A18" s="144" t="inlineStr">
        <is>
          <t>D3-2</t>
        </is>
      </c>
      <c r="B18" s="84" t="n">
        <v>1795</v>
      </c>
      <c r="C18" s="85" t="n">
        <v>670</v>
      </c>
      <c r="D18" s="86" t="n">
        <v>1</v>
      </c>
      <c r="E18" s="128">
        <f>IF($A18="","",$B18)</f>
        <v/>
      </c>
      <c r="F18" s="129">
        <f>IF($A18="","",$L$54*$D18)</f>
        <v/>
      </c>
      <c r="G18" s="128">
        <f>IF($A18="","",$C18-$E$55-$F$55)</f>
        <v/>
      </c>
      <c r="H18" s="129">
        <f>IF($A18="","",$L$55*$D18)</f>
        <v/>
      </c>
      <c r="I18" s="128">
        <f>IF($A18="","",$C18-$E$56-$F$56)</f>
        <v/>
      </c>
      <c r="J18" s="129">
        <f>IF($A18="","",$L$56*$D18)</f>
        <v/>
      </c>
      <c r="K18" s="128">
        <f>IF($A18="","",$B18-$E$57-$F$57)</f>
        <v/>
      </c>
      <c r="L18" s="129">
        <f>IF($A18="","",$L$57*$D18)</f>
        <v/>
      </c>
      <c r="M18" s="128">
        <f>IF($A18="","",$G18)</f>
        <v/>
      </c>
      <c r="N18" s="129">
        <f>IF($A18="","",$L$58*$D18)</f>
        <v/>
      </c>
      <c r="O18" s="128" t="n"/>
      <c r="P18" s="129" t="n"/>
      <c r="Q18" s="128" t="n"/>
      <c r="R18" s="129" t="n"/>
      <c r="S18" s="128" t="n"/>
      <c r="T18" s="129" t="n"/>
      <c r="U18" s="128" t="n"/>
      <c r="V18" s="129" t="n"/>
      <c r="W18" s="128" t="n"/>
      <c r="X18" s="129" t="n"/>
      <c r="Y18" s="128" t="n"/>
      <c r="Z18" s="129" t="n"/>
      <c r="AA18" s="128" t="n"/>
      <c r="AB18" s="129" t="n"/>
      <c r="AC18" s="128" t="n"/>
      <c r="AD18" s="129" t="n"/>
      <c r="AE18" s="124">
        <f>IF($A18="","",$B18-35-35)</f>
        <v/>
      </c>
      <c r="AF18" s="124">
        <f>IF($A18="","",$C18-35-35)</f>
        <v/>
      </c>
      <c r="AG18" s="126">
        <f>IF($A18="","",1*$D18)</f>
        <v/>
      </c>
    </row>
    <row r="19" ht="40.2" customHeight="1">
      <c r="A19" s="83" t="n"/>
      <c r="B19" s="84" t="n"/>
      <c r="C19" s="85" t="n"/>
      <c r="D19" s="86" t="n"/>
      <c r="E19" s="123">
        <f>IF($A19="","",$B19)</f>
        <v/>
      </c>
      <c r="F19" s="85">
        <f>IF($A19="","",$L$54*$D19)</f>
        <v/>
      </c>
      <c r="G19" s="123">
        <f>IF($A19="","",$C19-$E$55-$F$55)</f>
        <v/>
      </c>
      <c r="H19" s="85">
        <f>IF($A19="","",$L$55*$D19)</f>
        <v/>
      </c>
      <c r="I19" s="123">
        <f>IF($A19="","",$C19-$E$56-$F$56)</f>
        <v/>
      </c>
      <c r="J19" s="85">
        <f>IF($A19="","",$L$56*$D19)</f>
        <v/>
      </c>
      <c r="K19" s="123">
        <f>IF($A19="","",$B19-$E$57-$F$57)</f>
        <v/>
      </c>
      <c r="L19" s="85">
        <f>IF($A19="","",$L$57*$D19)</f>
        <v/>
      </c>
      <c r="M19" s="123">
        <f>IF($A19="","",$G19)</f>
        <v/>
      </c>
      <c r="N19" s="85">
        <f>IF($A19="","",$L$58*$D19)</f>
        <v/>
      </c>
      <c r="O19" s="123" t="n"/>
      <c r="P19" s="85" t="n"/>
      <c r="Q19" s="123" t="n"/>
      <c r="R19" s="85" t="n"/>
      <c r="S19" s="123" t="n"/>
      <c r="T19" s="85" t="n"/>
      <c r="U19" s="123" t="n"/>
      <c r="V19" s="85" t="n"/>
      <c r="W19" s="123" t="n"/>
      <c r="X19" s="85" t="n"/>
      <c r="Y19" s="123" t="n"/>
      <c r="Z19" s="85" t="n"/>
      <c r="AA19" s="123" t="n"/>
      <c r="AB19" s="85" t="n"/>
      <c r="AC19" s="123" t="n"/>
      <c r="AD19" s="85" t="n"/>
      <c r="AE19" s="124">
        <f>IF($A19="","",$B19-35-35)</f>
        <v/>
      </c>
      <c r="AF19" s="124">
        <f>IF($A19="","",$C19-35-35)</f>
        <v/>
      </c>
      <c r="AG19" s="126">
        <f>IF($A19="","",1*$D19)</f>
        <v/>
      </c>
    </row>
    <row r="20" ht="40.2" customHeight="1">
      <c r="A20" s="127" t="inlineStr">
        <is>
          <t>W1-1</t>
        </is>
      </c>
      <c r="B20" s="145" t="n">
        <v>1185</v>
      </c>
      <c r="C20" s="146" t="n">
        <v>2840</v>
      </c>
      <c r="D20" s="86" t="n">
        <v>1</v>
      </c>
      <c r="E20" s="128">
        <f>IF($A20="","",$B20)</f>
        <v/>
      </c>
      <c r="F20" s="129">
        <f>IF($A20="","",$L$54*$D20)</f>
        <v/>
      </c>
      <c r="G20" s="128">
        <f>IF($A20="","",$C20-$E$55-$F$55)</f>
        <v/>
      </c>
      <c r="H20" s="129">
        <f>IF($A20="","",$L$55*$D20)</f>
        <v/>
      </c>
      <c r="I20" s="128">
        <f>IF($A20="","",$C20-$E$56-$F$56)</f>
        <v/>
      </c>
      <c r="J20" s="129">
        <f>IF($A20="","",$L$56*$D20)</f>
        <v/>
      </c>
      <c r="K20" s="128">
        <f>IF($A20="","",$B20-$E$57-$F$57)</f>
        <v/>
      </c>
      <c r="L20" s="129">
        <f>IF($A20="","",$L$57*$D20)</f>
        <v/>
      </c>
      <c r="M20" s="128">
        <f>IF($A20="","",$G20)</f>
        <v/>
      </c>
      <c r="N20" s="129">
        <f>IF($A20="","",$L$58*$D20)</f>
        <v/>
      </c>
      <c r="O20" s="128" t="n"/>
      <c r="P20" s="129" t="n"/>
      <c r="Q20" s="128" t="n"/>
      <c r="R20" s="129" t="n"/>
      <c r="S20" s="128" t="n"/>
      <c r="T20" s="129" t="n"/>
      <c r="U20" s="128" t="n"/>
      <c r="V20" s="129" t="n"/>
      <c r="W20" s="128" t="n"/>
      <c r="X20" s="129" t="n"/>
      <c r="Y20" s="128" t="n"/>
      <c r="Z20" s="129" t="n"/>
      <c r="AA20" s="128" t="n"/>
      <c r="AB20" s="129" t="n"/>
      <c r="AC20" s="128" t="n"/>
      <c r="AD20" s="129" t="n"/>
      <c r="AE20" s="124">
        <f>IF($A20="","",$B20-35-35)</f>
        <v/>
      </c>
      <c r="AF20" s="124">
        <f>IF($A20="","",$C20-35-35)</f>
        <v/>
      </c>
      <c r="AG20" s="126">
        <f>IF($A20="","",1*$D20)</f>
        <v/>
      </c>
    </row>
    <row r="21" ht="40.2" customHeight="1">
      <c r="A21" s="127" t="inlineStr">
        <is>
          <t>W1-2</t>
        </is>
      </c>
      <c r="B21" s="145" t="n">
        <v>900</v>
      </c>
      <c r="C21" s="146" t="n">
        <v>890</v>
      </c>
      <c r="D21" s="86" t="n">
        <v>1</v>
      </c>
      <c r="E21" s="123">
        <f>IF($A21="","",$B21)</f>
        <v/>
      </c>
      <c r="F21" s="85">
        <f>IF($A21="","",$L$54*$D21)</f>
        <v/>
      </c>
      <c r="G21" s="123">
        <f>IF($A21="","",$C21-$E$55-$F$55)</f>
        <v/>
      </c>
      <c r="H21" s="85">
        <f>IF($A21="","",$L$55*$D21)</f>
        <v/>
      </c>
      <c r="I21" s="123">
        <f>IF($A21="","",$C21-$E$56-$F$56)</f>
        <v/>
      </c>
      <c r="J21" s="85">
        <f>IF($A21="","",$L$56*$D21)</f>
        <v/>
      </c>
      <c r="K21" s="123">
        <f>IF($A21="","",$B21-$E$57-$F$57)</f>
        <v/>
      </c>
      <c r="L21" s="85">
        <f>IF($A21="","",$L$57*$D21)</f>
        <v/>
      </c>
      <c r="M21" s="123">
        <f>IF($A21="","",$G21)</f>
        <v/>
      </c>
      <c r="N21" s="85">
        <f>IF($A21="","",$L$58*$D21)</f>
        <v/>
      </c>
      <c r="O21" s="123" t="n"/>
      <c r="P21" s="85" t="n"/>
      <c r="Q21" s="123" t="n"/>
      <c r="R21" s="85" t="n"/>
      <c r="S21" s="123" t="n"/>
      <c r="T21" s="85" t="n"/>
      <c r="U21" s="123" t="n"/>
      <c r="V21" s="85" t="n"/>
      <c r="W21" s="123" t="n"/>
      <c r="X21" s="85" t="n"/>
      <c r="Y21" s="123" t="n"/>
      <c r="Z21" s="85" t="n"/>
      <c r="AA21" s="123" t="n"/>
      <c r="AB21" s="85" t="n"/>
      <c r="AC21" s="123" t="n"/>
      <c r="AD21" s="85" t="n"/>
      <c r="AE21" s="124">
        <f>IF($A21="","",$B21-35-35)</f>
        <v/>
      </c>
      <c r="AF21" s="124">
        <f>IF($A21="","",$C21-35-35)</f>
        <v/>
      </c>
      <c r="AG21" s="126">
        <f>IF($A21="","",1*$D21)</f>
        <v/>
      </c>
    </row>
    <row r="22" ht="40.2" customHeight="1">
      <c r="A22" s="83" t="n"/>
      <c r="B22" s="84" t="n"/>
      <c r="C22" s="85" t="n"/>
      <c r="D22" s="86" t="n"/>
      <c r="E22" s="128">
        <f>IF($A22="","",$B22)</f>
        <v/>
      </c>
      <c r="F22" s="129">
        <f>IF($A22="","",$L$54*$D22)</f>
        <v/>
      </c>
      <c r="G22" s="128">
        <f>IF($A22="","",$C22-$E$55-$F$55)</f>
        <v/>
      </c>
      <c r="H22" s="129">
        <f>IF($A22="","",$L$55*$D22)</f>
        <v/>
      </c>
      <c r="I22" s="128">
        <f>IF($A22="","",$C22-$E$56-$F$56)</f>
        <v/>
      </c>
      <c r="J22" s="129">
        <f>IF($A22="","",$L$56*$D22)</f>
        <v/>
      </c>
      <c r="K22" s="128">
        <f>IF($A22="","",$B22-$E$57-$F$57)</f>
        <v/>
      </c>
      <c r="L22" s="129">
        <f>IF($A22="","",$L$57*$D22)</f>
        <v/>
      </c>
      <c r="M22" s="128">
        <f>IF($A22="","",$G22)</f>
        <v/>
      </c>
      <c r="N22" s="129">
        <f>IF($A22="","",$L$58*$D22)</f>
        <v/>
      </c>
      <c r="O22" s="128" t="n"/>
      <c r="P22" s="129" t="n"/>
      <c r="Q22" s="128" t="n"/>
      <c r="R22" s="129" t="n"/>
      <c r="S22" s="128" t="n"/>
      <c r="T22" s="129" t="n"/>
      <c r="U22" s="128" t="n"/>
      <c r="V22" s="129" t="n"/>
      <c r="W22" s="128" t="n"/>
      <c r="X22" s="129" t="n"/>
      <c r="Y22" s="128" t="n"/>
      <c r="Z22" s="129" t="n"/>
      <c r="AA22" s="128" t="n"/>
      <c r="AB22" s="129" t="n"/>
      <c r="AC22" s="128" t="n"/>
      <c r="AD22" s="129" t="n"/>
      <c r="AE22" s="124">
        <f>IF($A22="","",$B22-35-35)</f>
        <v/>
      </c>
      <c r="AF22" s="124">
        <f>IF($A22="","",$C22-35-35)</f>
        <v/>
      </c>
      <c r="AG22" s="126">
        <f>IF($A22="","",1*$D22)</f>
        <v/>
      </c>
    </row>
    <row r="23" ht="40.2" customHeight="1">
      <c r="A23" s="127" t="inlineStr">
        <is>
          <t>W4-1</t>
        </is>
      </c>
      <c r="B23" s="84" t="n">
        <v>2685</v>
      </c>
      <c r="C23" s="85" t="n">
        <v>1295</v>
      </c>
      <c r="D23" s="86" t="n">
        <v>1</v>
      </c>
      <c r="E23" s="123">
        <f>IF($A23="","",$B23)</f>
        <v/>
      </c>
      <c r="F23" s="85">
        <f>IF($A23="","",$L$54*$D23)</f>
        <v/>
      </c>
      <c r="G23" s="123">
        <f>IF($A23="","",$C23-$E$55-$F$55)</f>
        <v/>
      </c>
      <c r="H23" s="85">
        <f>IF($A23="","",$L$55*$D23)</f>
        <v/>
      </c>
      <c r="I23" s="123">
        <f>IF($A23="","",$C23-$E$56-$F$56)</f>
        <v/>
      </c>
      <c r="J23" s="85">
        <f>IF($A23="","",$L$56*$D23)</f>
        <v/>
      </c>
      <c r="K23" s="123">
        <f>IF($A23="","",$B23-$E$57-$F$57)</f>
        <v/>
      </c>
      <c r="L23" s="85">
        <f>IF($A23="","",$L$57*$D23)</f>
        <v/>
      </c>
      <c r="M23" s="123">
        <f>IF($A23="","",$G23)</f>
        <v/>
      </c>
      <c r="N23" s="85">
        <f>IF($A23="","",$L$58*$D23)</f>
        <v/>
      </c>
      <c r="O23" s="123" t="n"/>
      <c r="P23" s="85" t="n"/>
      <c r="Q23" s="123" t="n"/>
      <c r="R23" s="85" t="n"/>
      <c r="S23" s="123" t="n"/>
      <c r="T23" s="85" t="n"/>
      <c r="U23" s="123" t="n"/>
      <c r="V23" s="85" t="n"/>
      <c r="W23" s="123" t="n"/>
      <c r="X23" s="85" t="n"/>
      <c r="Y23" s="123" t="n"/>
      <c r="Z23" s="85" t="n"/>
      <c r="AA23" s="123" t="n"/>
      <c r="AB23" s="85" t="n"/>
      <c r="AC23" s="123" t="n"/>
      <c r="AD23" s="85" t="n"/>
      <c r="AE23" s="124">
        <f>IF($A23="","",$B23-35-35)</f>
        <v/>
      </c>
      <c r="AF23" s="124">
        <f>IF($A23="","",$C23-35-35)</f>
        <v/>
      </c>
      <c r="AG23" s="126">
        <f>IF($A23="","",1*$D23)</f>
        <v/>
      </c>
    </row>
    <row r="24" ht="40.2" customHeight="1">
      <c r="A24" s="83" t="n"/>
      <c r="B24" s="84" t="n"/>
      <c r="C24" s="85" t="n"/>
      <c r="D24" s="86" t="n"/>
      <c r="E24" s="128">
        <f>IF($A24="","",$B24)</f>
        <v/>
      </c>
      <c r="F24" s="129">
        <f>IF($A24="","",$L$54*$D24)</f>
        <v/>
      </c>
      <c r="G24" s="128">
        <f>IF($A24="","",$C24-$E$55-$F$55)</f>
        <v/>
      </c>
      <c r="H24" s="129">
        <f>IF($A24="","",$L$55*$D24)</f>
        <v/>
      </c>
      <c r="I24" s="128">
        <f>IF($A24="","",$C24-$E$56-$F$56)</f>
        <v/>
      </c>
      <c r="J24" s="129">
        <f>IF($A24="","",$L$56*$D24)</f>
        <v/>
      </c>
      <c r="K24" s="128">
        <f>IF($A24="","",$B24-$E$57-$F$57)</f>
        <v/>
      </c>
      <c r="L24" s="129">
        <f>IF($A24="","",$L$57*$D24)</f>
        <v/>
      </c>
      <c r="M24" s="128">
        <f>IF($A24="","",$G24)</f>
        <v/>
      </c>
      <c r="N24" s="129">
        <f>IF($A24="","",$L$58*$D24)</f>
        <v/>
      </c>
      <c r="O24" s="128" t="n"/>
      <c r="P24" s="129" t="n"/>
      <c r="Q24" s="128" t="n"/>
      <c r="R24" s="129" t="n"/>
      <c r="S24" s="128" t="n"/>
      <c r="T24" s="129" t="n"/>
      <c r="U24" s="128" t="n"/>
      <c r="V24" s="129" t="n"/>
      <c r="W24" s="128" t="n"/>
      <c r="X24" s="129" t="n"/>
      <c r="Y24" s="128" t="n"/>
      <c r="Z24" s="129" t="n"/>
      <c r="AA24" s="128" t="n"/>
      <c r="AB24" s="129" t="n"/>
      <c r="AC24" s="128" t="n"/>
      <c r="AD24" s="129" t="n"/>
      <c r="AE24" s="124">
        <f>IF($A24="","",$B24-35-35)</f>
        <v/>
      </c>
      <c r="AF24" s="124">
        <f>IF($A24="","",$C24-35-35)</f>
        <v/>
      </c>
      <c r="AG24" s="126">
        <f>IF($A24="","",1*$D24)</f>
        <v/>
      </c>
    </row>
    <row r="25" ht="40.2" customHeight="1">
      <c r="A25" s="83" t="n"/>
      <c r="B25" s="84" t="n"/>
      <c r="C25" s="85" t="n"/>
      <c r="D25" s="86" t="n"/>
      <c r="E25" s="123">
        <f>IF($A25="","",$B25)</f>
        <v/>
      </c>
      <c r="F25" s="85">
        <f>IF($A25="","",$L$54*$D25)</f>
        <v/>
      </c>
      <c r="G25" s="123">
        <f>IF($A25="","",$C25-$E$55-$F$55)</f>
        <v/>
      </c>
      <c r="H25" s="85">
        <f>IF($A25="","",$L$55*$D25)</f>
        <v/>
      </c>
      <c r="I25" s="123">
        <f>IF($A25="","",$C25-$E$56-$F$56)</f>
        <v/>
      </c>
      <c r="J25" s="85">
        <f>IF($A25="","",$L$56*$D25)</f>
        <v/>
      </c>
      <c r="K25" s="123">
        <f>IF($A25="","",$B25-$E$57-$F$57)</f>
        <v/>
      </c>
      <c r="L25" s="85">
        <f>IF($A25="","",$L$57*$D25)</f>
        <v/>
      </c>
      <c r="M25" s="123">
        <f>IF($A25="","",$G25)</f>
        <v/>
      </c>
      <c r="N25" s="85">
        <f>IF($A25="","",$L$58*$D25)</f>
        <v/>
      </c>
      <c r="O25" s="123" t="n"/>
      <c r="P25" s="85" t="n"/>
      <c r="Q25" s="123" t="n"/>
      <c r="R25" s="85" t="n"/>
      <c r="S25" s="123" t="n"/>
      <c r="T25" s="85" t="n"/>
      <c r="U25" s="123" t="n"/>
      <c r="V25" s="85" t="n"/>
      <c r="W25" s="123" t="n"/>
      <c r="X25" s="85" t="n"/>
      <c r="Y25" s="123" t="n"/>
      <c r="Z25" s="85" t="n"/>
      <c r="AA25" s="123" t="n"/>
      <c r="AB25" s="85" t="n"/>
      <c r="AC25" s="123" t="n"/>
      <c r="AD25" s="85" t="n"/>
      <c r="AE25" s="124">
        <f>IF($A25="","",$B25-35-35)</f>
        <v/>
      </c>
      <c r="AF25" s="124">
        <f>IF($A25="","",$C25-35-35)</f>
        <v/>
      </c>
      <c r="AG25" s="126">
        <f>IF($A25="","",1*$D25)</f>
        <v/>
      </c>
    </row>
    <row r="26" ht="40.2" customHeight="1">
      <c r="A26" s="83" t="n"/>
      <c r="B26" s="84" t="n"/>
      <c r="C26" s="85" t="n"/>
      <c r="D26" s="86" t="n"/>
      <c r="E26" s="128">
        <f>IF($A26="","",$B26)</f>
        <v/>
      </c>
      <c r="F26" s="129">
        <f>IF($A26="","",$L$54*$D26)</f>
        <v/>
      </c>
      <c r="G26" s="128">
        <f>IF($A26="","",$C26-$E$55-$F$55)</f>
        <v/>
      </c>
      <c r="H26" s="129">
        <f>IF($A26="","",$L$55*$D26)</f>
        <v/>
      </c>
      <c r="I26" s="128">
        <f>IF($A26="","",$C26-$E$56-$F$56)</f>
        <v/>
      </c>
      <c r="J26" s="129">
        <f>IF($A26="","",$L$56*$D26)</f>
        <v/>
      </c>
      <c r="K26" s="128">
        <f>IF($A26="","",$B26-$E$57-$F$57)</f>
        <v/>
      </c>
      <c r="L26" s="129">
        <f>IF($A26="","",$L$57*$D26)</f>
        <v/>
      </c>
      <c r="M26" s="128">
        <f>IF($A26="","",$G26)</f>
        <v/>
      </c>
      <c r="N26" s="129">
        <f>IF($A26="","",$L$58*$D26)</f>
        <v/>
      </c>
      <c r="O26" s="128" t="n"/>
      <c r="P26" s="129" t="n"/>
      <c r="Q26" s="128" t="n"/>
      <c r="R26" s="129" t="n"/>
      <c r="S26" s="128" t="n"/>
      <c r="T26" s="129" t="n"/>
      <c r="U26" s="128" t="n"/>
      <c r="V26" s="129" t="n"/>
      <c r="W26" s="128" t="n"/>
      <c r="X26" s="129" t="n"/>
      <c r="Y26" s="128" t="n"/>
      <c r="Z26" s="129" t="n"/>
      <c r="AA26" s="128" t="n"/>
      <c r="AB26" s="129" t="n"/>
      <c r="AC26" s="128" t="n"/>
      <c r="AD26" s="129" t="n"/>
      <c r="AE26" s="124">
        <f>IF($A26="","",$B26-35-35)</f>
        <v/>
      </c>
      <c r="AF26" s="124">
        <f>IF($A26="","",$C26-35-35)</f>
        <v/>
      </c>
      <c r="AG26" s="126">
        <f>IF($A26="","",1*$D26)</f>
        <v/>
      </c>
    </row>
    <row r="27" ht="40.2" customHeight="1">
      <c r="A27" s="83" t="n"/>
      <c r="B27" s="84" t="n"/>
      <c r="C27" s="85" t="n"/>
      <c r="D27" s="86" t="n"/>
      <c r="E27" s="123">
        <f>IF($A27="","",$B27)</f>
        <v/>
      </c>
      <c r="F27" s="85">
        <f>IF($A27="","",$L$54*$D27)</f>
        <v/>
      </c>
      <c r="G27" s="123">
        <f>IF($A27="","",$C27-$E$55-$F$55)</f>
        <v/>
      </c>
      <c r="H27" s="85">
        <f>IF($A27="","",$L$55*$D27)</f>
        <v/>
      </c>
      <c r="I27" s="123">
        <f>IF($A27="","",$C27-$E$56-$F$56)</f>
        <v/>
      </c>
      <c r="J27" s="85">
        <f>IF($A27="","",$L$56*$D27)</f>
        <v/>
      </c>
      <c r="K27" s="123">
        <f>IF($A27="","",$B27-$E$57-$F$57)</f>
        <v/>
      </c>
      <c r="L27" s="85">
        <f>IF($A27="","",$L$57*$D27)</f>
        <v/>
      </c>
      <c r="M27" s="123">
        <f>IF($A27="","",$G27)</f>
        <v/>
      </c>
      <c r="N27" s="85">
        <f>IF($A27="","",$L$58*$D27)</f>
        <v/>
      </c>
      <c r="O27" s="123" t="n"/>
      <c r="P27" s="85" t="n"/>
      <c r="Q27" s="123" t="n"/>
      <c r="R27" s="85" t="n"/>
      <c r="S27" s="123" t="n"/>
      <c r="T27" s="85" t="n"/>
      <c r="U27" s="123" t="n"/>
      <c r="V27" s="85" t="n"/>
      <c r="W27" s="123" t="n"/>
      <c r="X27" s="85" t="n"/>
      <c r="Y27" s="123" t="n"/>
      <c r="Z27" s="85" t="n"/>
      <c r="AA27" s="123" t="n"/>
      <c r="AB27" s="85" t="n"/>
      <c r="AC27" s="123" t="n"/>
      <c r="AD27" s="85" t="n"/>
      <c r="AE27" s="124">
        <f>IF($A27="","",$B27-35-35)</f>
        <v/>
      </c>
      <c r="AF27" s="124">
        <f>IF($A27="","",$C27-35-35)</f>
        <v/>
      </c>
      <c r="AG27" s="126">
        <f>IF($A27="","",1*$D27)</f>
        <v/>
      </c>
    </row>
    <row r="28" ht="40.2" customHeight="1">
      <c r="A28" s="83" t="n"/>
      <c r="B28" s="84" t="n"/>
      <c r="C28" s="85" t="n"/>
      <c r="D28" s="86" t="n"/>
      <c r="E28" s="128">
        <f>IF($A28="","",$B28)</f>
        <v/>
      </c>
      <c r="F28" s="129">
        <f>IF($A28="","",$L$54*$D28)</f>
        <v/>
      </c>
      <c r="G28" s="128">
        <f>IF($A28="","",$C28-$E$55-$F$55)</f>
        <v/>
      </c>
      <c r="H28" s="129">
        <f>IF($A28="","",$L$55*$D28)</f>
        <v/>
      </c>
      <c r="I28" s="128">
        <f>IF($A28="","",$C28-$E$56-$F$56)</f>
        <v/>
      </c>
      <c r="J28" s="129">
        <f>IF($A28="","",$L$56*$D28)</f>
        <v/>
      </c>
      <c r="K28" s="128">
        <f>IF($A28="","",$B28-$E$57-$F$57)</f>
        <v/>
      </c>
      <c r="L28" s="129">
        <f>IF($A28="","",$L$57*$D28)</f>
        <v/>
      </c>
      <c r="M28" s="128">
        <f>IF($A28="","",$G28)</f>
        <v/>
      </c>
      <c r="N28" s="129">
        <f>IF($A28="","",$L$58*$D28)</f>
        <v/>
      </c>
      <c r="O28" s="128" t="n"/>
      <c r="P28" s="129" t="n"/>
      <c r="Q28" s="128" t="n"/>
      <c r="R28" s="129" t="n"/>
      <c r="S28" s="128" t="n"/>
      <c r="T28" s="129" t="n"/>
      <c r="U28" s="128" t="n"/>
      <c r="V28" s="129" t="n"/>
      <c r="W28" s="128" t="n"/>
      <c r="X28" s="129" t="n"/>
      <c r="Y28" s="128" t="n"/>
      <c r="Z28" s="129" t="n"/>
      <c r="AA28" s="128" t="n"/>
      <c r="AB28" s="129" t="n"/>
      <c r="AC28" s="128" t="n"/>
      <c r="AD28" s="129" t="n"/>
      <c r="AE28" s="124">
        <f>IF($A28="","",$B28-35-35)</f>
        <v/>
      </c>
      <c r="AF28" s="124">
        <f>IF($A28="","",$C28-35-35)</f>
        <v/>
      </c>
      <c r="AG28" s="126">
        <f>IF($A28="","",1*$D28)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130">
        <f>E$7</f>
        <v/>
      </c>
      <c r="F30" s="19" t="n"/>
      <c r="G30" s="20" t="n"/>
      <c r="H30" s="130">
        <f>(ROUNDUP(SUM(F49:H49)/6400,0))</f>
        <v/>
      </c>
      <c r="I30" s="130">
        <f>I$7</f>
        <v/>
      </c>
      <c r="J30" s="130">
        <f>(ROUNDUP(J49/6400,0))</f>
        <v/>
      </c>
      <c r="K30" s="130">
        <f>K$7</f>
        <v/>
      </c>
      <c r="L30" s="19" t="n"/>
      <c r="M30" s="20" t="n"/>
      <c r="N30" s="130">
        <f>(ROUNDUP(SUM(L49:N49)/6400,0))</f>
        <v/>
      </c>
      <c r="O30" s="130">
        <f>O$7</f>
        <v/>
      </c>
      <c r="P30" s="19" t="n"/>
      <c r="Q30" s="20" t="n"/>
      <c r="R30" s="130">
        <f>(ROUNDUP(SUM(P49:R49)/6400,0))</f>
        <v/>
      </c>
      <c r="S30" s="130">
        <f>S$7</f>
        <v/>
      </c>
      <c r="T30" s="130">
        <f>(ROUNDUP(T49/6400,0))</f>
        <v/>
      </c>
      <c r="U30" s="130">
        <f>U$7</f>
        <v/>
      </c>
      <c r="V30" s="130">
        <f>(ROUNDUP(V49/6400,0))</f>
        <v/>
      </c>
      <c r="W30" s="130">
        <f>W$7</f>
        <v/>
      </c>
      <c r="X30" s="130">
        <f>(ROUNDUP(X49/6400,0))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F7937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เฟรม-ล่าง</t>
        </is>
      </c>
      <c r="C56" s="79" t="inlineStr">
        <is>
          <t>F7858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คิ้ว ตั้ง</t>
        </is>
      </c>
      <c r="C57" s="79" t="inlineStr">
        <is>
          <t>F7935</t>
        </is>
      </c>
      <c r="D57" s="80" t="inlineStr">
        <is>
          <t>สูง-45-45</t>
        </is>
      </c>
      <c r="E57" s="82" t="n">
        <v>45</v>
      </c>
      <c r="F57" s="82" t="n">
        <v>45</v>
      </c>
      <c r="G57" s="81" t="n"/>
      <c r="H57" s="81" t="n"/>
      <c r="I57" s="81" t="n"/>
      <c r="J57" s="81" t="n"/>
      <c r="K57" s="81" t="n"/>
      <c r="L57" s="82" t="n">
        <v>2</v>
      </c>
    </row>
    <row r="58" ht="15" customHeight="1">
      <c r="A58" s="77" t="n">
        <v>5</v>
      </c>
      <c r="B58" s="78" t="inlineStr">
        <is>
          <t>คิ้ว ขวาง</t>
        </is>
      </c>
      <c r="C58" s="79" t="inlineStr">
        <is>
          <t>-</t>
        </is>
      </c>
      <c r="D58" s="80" t="inlineStr">
        <is>
          <t>เท่าเฟรมล่าง</t>
        </is>
      </c>
      <c r="E58" s="81" t="n"/>
      <c r="F58" s="81" t="n"/>
      <c r="G58" s="81" t="n"/>
      <c r="H58" s="81" t="n"/>
      <c r="I58" s="81" t="n"/>
      <c r="J58" s="81" t="n"/>
      <c r="K58" s="81" t="n"/>
      <c r="L58" s="82" t="n">
        <v>2</v>
      </c>
    </row>
  </sheetData>
  <mergeCells count="59">
    <mergeCell ref="O7:P7"/>
    <mergeCell ref="Q7:R7"/>
    <mergeCell ref="U9:V9"/>
    <mergeCell ref="I6:J6"/>
    <mergeCell ref="AC7:AD7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E8:F8"/>
    <mergeCell ref="Y9:Z9"/>
    <mergeCell ref="Q8:R8"/>
    <mergeCell ref="AA9:AB9"/>
    <mergeCell ref="S8:T8"/>
    <mergeCell ref="AA6:AB6"/>
    <mergeCell ref="S7:T7"/>
    <mergeCell ref="I7:J7"/>
    <mergeCell ref="A30:D30"/>
    <mergeCell ref="G6:H6"/>
    <mergeCell ref="AC8:AD8"/>
    <mergeCell ref="E9:F9"/>
    <mergeCell ref="U7:V7"/>
    <mergeCell ref="W7:X7"/>
    <mergeCell ref="E6:F6"/>
    <mergeCell ref="Y7:Z7"/>
    <mergeCell ref="A8:A9"/>
    <mergeCell ref="A6:D6"/>
    <mergeCell ref="M6:N6"/>
    <mergeCell ref="AA7:AB7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W9:X9"/>
    <mergeCell ref="W8:X8"/>
    <mergeCell ref="B8:C9"/>
    <mergeCell ref="AC6:AD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9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8.8984375" customWidth="1" min="34" max="34"/>
  </cols>
  <sheetData>
    <row r="1" ht="40.2" customHeight="1">
      <c r="A1" s="2" t="inlineStr">
        <is>
          <t>JR ALUMINIUM &amp; GLASS  —  ใบรายการตัด · FUJI Fix2   (หน่วย: มม.)</t>
        </is>
      </c>
      <c r="B1" s="3" t="n"/>
      <c r="D1" s="4" t="n"/>
      <c r="E1" s="5" t="n"/>
      <c r="F1" s="4" t="n"/>
      <c r="G1" s="4" t="n"/>
      <c r="H1" s="4" t="n"/>
      <c r="I1" s="6" t="n"/>
      <c r="J1" s="7" t="n"/>
      <c r="K1" s="7" t="n"/>
      <c r="L1" s="7" t="n"/>
      <c r="M1" s="4" t="n"/>
      <c r="N1" s="8" t="n"/>
      <c r="O1" s="4" t="n"/>
      <c r="P1" s="4" t="n"/>
      <c r="Q1" s="6" t="n"/>
      <c r="R1" s="6" t="n"/>
      <c r="S1" s="7" t="n"/>
      <c r="T1" s="7" t="n"/>
      <c r="U1" s="6" t="n"/>
      <c r="V1" s="6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40.2" customHeight="1">
      <c r="A2" s="6" t="n"/>
      <c r="B2" s="6" t="n"/>
      <c r="C2" s="6" t="n"/>
      <c r="D2" s="6" t="n"/>
      <c r="E2" s="9" t="n"/>
      <c r="F2" s="6" t="n"/>
      <c r="G2" s="6" t="n"/>
      <c r="H2" s="6" t="n"/>
      <c r="I2" s="10" t="n"/>
      <c r="J2" s="10" t="n"/>
      <c r="K2" s="10" t="n"/>
      <c r="L2" s="10" t="n"/>
      <c r="M2" s="6" t="n"/>
      <c r="N2" s="6" t="n"/>
      <c r="O2" s="4" t="n"/>
      <c r="P2" s="6" t="n"/>
      <c r="Q2" s="141" t="n"/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 ht="40.2" customHeight="1">
      <c r="A3" s="6" t="n"/>
      <c r="B3" s="142" t="n"/>
      <c r="C3" s="88" t="n"/>
      <c r="D3" s="6" t="n"/>
      <c r="E3" s="9" t="n"/>
      <c r="F3" s="6" t="n"/>
      <c r="G3" s="6" t="n"/>
      <c r="H3" s="6" t="n"/>
      <c r="I3" s="10" t="n"/>
      <c r="J3" s="10" t="n"/>
      <c r="K3" s="11" t="n"/>
      <c r="L3" s="11" t="n"/>
      <c r="M3" s="6" t="n"/>
      <c r="N3" s="6" t="n"/>
      <c r="O3" s="4" t="n"/>
      <c r="P3" s="6" t="n"/>
      <c r="Q3" s="141" t="n"/>
      <c r="R3" s="6" t="n"/>
      <c r="S3" s="11" t="n"/>
      <c r="T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40.2" customHeight="1">
      <c r="A4" s="6" t="n"/>
      <c r="C4" s="6" t="n"/>
      <c r="F4" s="6" t="n"/>
      <c r="G4" s="6" t="n"/>
      <c r="H4" s="6" t="n"/>
      <c r="I4" s="10" t="n"/>
      <c r="J4" s="10" t="n"/>
      <c r="M4" s="6" t="n"/>
      <c r="N4" s="6" t="n"/>
      <c r="O4" s="4" t="n"/>
      <c r="P4" s="6" t="n"/>
      <c r="Q4" s="141" t="n"/>
      <c r="R4" s="6" t="n"/>
    </row>
    <row r="5" ht="40.2" customHeight="1">
      <c r="A5" s="6" t="n"/>
      <c r="B5" s="6" t="n"/>
      <c r="C5" s="6" t="n"/>
      <c r="D5" s="6" t="n"/>
      <c r="E5" s="9" t="n"/>
      <c r="F5" s="6" t="n"/>
      <c r="G5" s="6" t="n"/>
      <c r="H5" s="6" t="n"/>
      <c r="M5" s="6" t="n"/>
      <c r="N5" s="6" t="n"/>
      <c r="O5" s="6" t="n"/>
      <c r="P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สูง-45-45</t>
        </is>
      </c>
      <c r="L6" s="16" t="n"/>
      <c r="M6" s="15" t="inlineStr">
        <is>
          <t>(กว้าง-25-25-25)/2</t>
        </is>
      </c>
      <c r="N6" s="16" t="n"/>
      <c r="O6" s="15" t="inlineStr">
        <is>
          <t>สูง-25-25</t>
        </is>
      </c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5" t="n"/>
      <c r="AD6" s="16" t="n"/>
      <c r="AE6" s="17" t="n"/>
      <c r="AF6" s="17" t="n"/>
      <c r="AG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F7937</t>
        </is>
      </c>
      <c r="F7" s="13" t="n"/>
      <c r="G7" s="13" t="n"/>
      <c r="H7" s="14" t="n"/>
      <c r="I7" s="21" t="inlineStr">
        <is>
          <t>F7858</t>
        </is>
      </c>
      <c r="J7" s="14" t="n"/>
      <c r="K7" s="21" t="inlineStr">
        <is>
          <t>F7935</t>
        </is>
      </c>
      <c r="L7" s="13" t="n"/>
      <c r="M7" s="13" t="n"/>
      <c r="N7" s="14" t="n"/>
      <c r="O7" s="21" t="inlineStr">
        <is>
          <t>F7998</t>
        </is>
      </c>
      <c r="P7" s="14" t="n"/>
      <c r="Q7" s="23" t="n"/>
      <c r="R7" s="14" t="n"/>
      <c r="S7" s="21" t="n"/>
      <c r="T7" s="14" t="n"/>
      <c r="U7" s="23" t="n"/>
      <c r="V7" s="14" t="n"/>
      <c r="W7" s="23" t="n"/>
      <c r="X7" s="14" t="n"/>
      <c r="Y7" s="23" t="n"/>
      <c r="Z7" s="14" t="n"/>
      <c r="AA7" s="23" t="n"/>
      <c r="AB7" s="14" t="n"/>
      <c r="AC7" s="24" t="n"/>
      <c r="AD7" s="14" t="n"/>
      <c r="AE7" s="25" t="n"/>
      <c r="AF7" s="26" t="inlineStr">
        <is>
          <t>ขนาดกระจก</t>
        </is>
      </c>
      <c r="AG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5" t="n"/>
      <c r="J8" s="34" t="n"/>
      <c r="K8" s="31" t="n"/>
      <c r="L8" s="32" t="n"/>
      <c r="M8" s="33" t="n"/>
      <c r="N8" s="34" t="n"/>
      <c r="O8" s="31" t="n"/>
      <c r="P8" s="32" t="n"/>
      <c r="Q8" s="31" t="n"/>
      <c r="R8" s="32" t="n"/>
      <c r="S8" s="35" t="n"/>
      <c r="T8" s="34" t="n"/>
      <c r="U8" s="31" t="n"/>
      <c r="V8" s="32" t="n"/>
      <c r="W8" s="31" t="n"/>
      <c r="X8" s="32" t="n"/>
      <c r="Y8" s="31" t="n"/>
      <c r="Z8" s="32" t="n"/>
      <c r="AA8" s="35" t="n"/>
      <c r="AB8" s="34" t="n"/>
      <c r="AC8" s="33" t="n"/>
      <c r="AD8" s="34" t="n"/>
      <c r="AE8" s="36" t="n"/>
      <c r="AF8" s="37" t="inlineStr">
        <is>
          <t>กรอบบาน</t>
        </is>
      </c>
      <c r="AG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คิ้ว ตั้ง</t>
        </is>
      </c>
      <c r="L9" s="43" t="n"/>
      <c r="M9" s="42" t="inlineStr">
        <is>
          <t>คิ้ว ขวาง</t>
        </is>
      </c>
      <c r="N9" s="43" t="n"/>
      <c r="O9" s="42" t="inlineStr">
        <is>
          <t>กล่องก้านสองทาง</t>
        </is>
      </c>
      <c r="P9" s="43" t="n"/>
      <c r="Q9" s="42" t="n"/>
      <c r="R9" s="43" t="n"/>
      <c r="S9" s="42" t="n"/>
      <c r="T9" s="43" t="n"/>
      <c r="U9" s="42" t="n"/>
      <c r="V9" s="43" t="n"/>
      <c r="W9" s="44" t="n"/>
      <c r="X9" s="43" t="n"/>
      <c r="Y9" s="44" t="n"/>
      <c r="Z9" s="43" t="n"/>
      <c r="AA9" s="44" t="n"/>
      <c r="AB9" s="43" t="n"/>
      <c r="AC9" s="42" t="n"/>
      <c r="AD9" s="43" t="n"/>
      <c r="AE9" s="45" t="inlineStr">
        <is>
          <t>H-35-35</t>
        </is>
      </c>
      <c r="AF9" s="45" t="inlineStr">
        <is>
          <t>คิ้ว-10-10</t>
        </is>
      </c>
      <c r="AG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</row>
    <row r="11" ht="40.2" customHeight="1">
      <c r="A11" s="83" t="inlineStr">
        <is>
          <t>W5</t>
        </is>
      </c>
      <c r="B11" s="84" t="n">
        <v>2085</v>
      </c>
      <c r="C11" s="85" t="n">
        <v>500</v>
      </c>
      <c r="D11" s="86" t="n">
        <v>1</v>
      </c>
      <c r="E11" s="123">
        <f>IF($A11="","",$B11)</f>
        <v/>
      </c>
      <c r="F11" s="85">
        <f>IF($A11="","",$L$54*$D11)</f>
        <v/>
      </c>
      <c r="G11" s="123">
        <f>IF($A11="","",$C11-$E$55-$F$55)</f>
        <v/>
      </c>
      <c r="H11" s="85">
        <f>IF($A11="","",$L$55*$D11)</f>
        <v/>
      </c>
      <c r="I11" s="123">
        <f>IF($A11="","",$C11-$E$56-$F$56)</f>
        <v/>
      </c>
      <c r="J11" s="85">
        <f>IF($A11="","",$L$56*$D11)</f>
        <v/>
      </c>
      <c r="K11" s="123">
        <f>IF($A11="","",$B11-$E$57-$F$57)</f>
        <v/>
      </c>
      <c r="L11" s="85">
        <f>IF($A11="","",$L$57*$D11)</f>
        <v/>
      </c>
      <c r="M11" s="123">
        <f>IF($A11="","",($C11-$E$58-$F$58-$G$58)/2)</f>
        <v/>
      </c>
      <c r="N11" s="85">
        <f>IF($A11="","",$L$58*$D11)</f>
        <v/>
      </c>
      <c r="O11" s="123">
        <f>IF($A11="","",$B11-$E$59-$F$59)</f>
        <v/>
      </c>
      <c r="P11" s="85">
        <f>IF($A11="","",$L$59*$D11)</f>
        <v/>
      </c>
      <c r="Q11" s="123" t="n"/>
      <c r="R11" s="85" t="n"/>
      <c r="S11" s="123" t="n"/>
      <c r="T11" s="85" t="n"/>
      <c r="U11" s="123" t="n"/>
      <c r="V11" s="85" t="n"/>
      <c r="W11" s="123" t="n"/>
      <c r="X11" s="85" t="n"/>
      <c r="Y11" s="123" t="n"/>
      <c r="Z11" s="85" t="n"/>
      <c r="AA11" s="123" t="n"/>
      <c r="AB11" s="85" t="n"/>
      <c r="AC11" s="123" t="n"/>
      <c r="AD11" s="85" t="n"/>
      <c r="AE11" s="124">
        <f>IF($A11="","",$B11-35-35)</f>
        <v/>
      </c>
      <c r="AF11" s="124">
        <f>IF($A11="","",$M11-10-10)</f>
        <v/>
      </c>
      <c r="AG11" s="126">
        <f>IF($A11="","",2*$D11)</f>
        <v/>
      </c>
    </row>
    <row r="12" ht="40.2" customHeight="1">
      <c r="A12" s="83" t="n"/>
      <c r="B12" s="84" t="n"/>
      <c r="C12" s="85" t="n"/>
      <c r="D12" s="86" t="n"/>
      <c r="E12" s="128">
        <f>IF($A12="","",$B12)</f>
        <v/>
      </c>
      <c r="F12" s="129">
        <f>IF($A12="","",$L$54*$D12)</f>
        <v/>
      </c>
      <c r="G12" s="128">
        <f>IF($A12="","",$C12-$E$55-$F$55)</f>
        <v/>
      </c>
      <c r="H12" s="129">
        <f>IF($A12="","",$L$55*$D12)</f>
        <v/>
      </c>
      <c r="I12" s="128">
        <f>IF($A12="","",$C12-$E$56-$F$56)</f>
        <v/>
      </c>
      <c r="J12" s="129">
        <f>IF($A12="","",$L$56*$D12)</f>
        <v/>
      </c>
      <c r="K12" s="128">
        <f>IF($A12="","",$B12-$E$57-$F$57)</f>
        <v/>
      </c>
      <c r="L12" s="129">
        <f>IF($A12="","",$L$57*$D12)</f>
        <v/>
      </c>
      <c r="M12" s="128">
        <f>IF($A12="","",($C12-$E$58-$F$58-$G$58)/2)</f>
        <v/>
      </c>
      <c r="N12" s="129">
        <f>IF($A12="","",$L$58*$D12)</f>
        <v/>
      </c>
      <c r="O12" s="128">
        <f>IF($A12="","",$B12-$E$59-$F$59)</f>
        <v/>
      </c>
      <c r="P12" s="129">
        <f>IF($A12="","",$L$59*$D12)</f>
        <v/>
      </c>
      <c r="Q12" s="128" t="n"/>
      <c r="R12" s="129" t="n"/>
      <c r="S12" s="128" t="n"/>
      <c r="T12" s="129" t="n"/>
      <c r="U12" s="128" t="n"/>
      <c r="V12" s="129" t="n"/>
      <c r="W12" s="128" t="n"/>
      <c r="X12" s="129" t="n"/>
      <c r="Y12" s="128" t="n"/>
      <c r="Z12" s="129" t="n"/>
      <c r="AA12" s="128" t="n"/>
      <c r="AB12" s="129" t="n"/>
      <c r="AC12" s="128" t="n"/>
      <c r="AD12" s="129" t="n"/>
      <c r="AE12" s="124">
        <f>IF($A12="","",$B12-35-35)</f>
        <v/>
      </c>
      <c r="AF12" s="124">
        <f>IF($A12="","",$M12-10-10)</f>
        <v/>
      </c>
      <c r="AG12" s="126">
        <f>IF($A12="","",2*$D12)</f>
        <v/>
      </c>
    </row>
    <row r="13" ht="40.2" customHeight="1">
      <c r="A13" s="83" t="n"/>
      <c r="B13" s="84" t="n"/>
      <c r="C13" s="85" t="n"/>
      <c r="D13" s="86" t="n"/>
      <c r="E13" s="123">
        <f>IF($A13="","",$B13)</f>
        <v/>
      </c>
      <c r="F13" s="85">
        <f>IF($A13="","",$L$54*$D13)</f>
        <v/>
      </c>
      <c r="G13" s="123">
        <f>IF($A13="","",$C13-$E$55-$F$55)</f>
        <v/>
      </c>
      <c r="H13" s="85">
        <f>IF($A13="","",$L$55*$D13)</f>
        <v/>
      </c>
      <c r="I13" s="123">
        <f>IF($A13="","",$C13-$E$56-$F$56)</f>
        <v/>
      </c>
      <c r="J13" s="85">
        <f>IF($A13="","",$L$56*$D13)</f>
        <v/>
      </c>
      <c r="K13" s="123">
        <f>IF($A13="","",$B13-$E$57-$F$57)</f>
        <v/>
      </c>
      <c r="L13" s="85">
        <f>IF($A13="","",$L$57*$D13)</f>
        <v/>
      </c>
      <c r="M13" s="123">
        <f>IF($A13="","",($C13-$E$58-$F$58-$G$58)/2)</f>
        <v/>
      </c>
      <c r="N13" s="85">
        <f>IF($A13="","",$L$58*$D13)</f>
        <v/>
      </c>
      <c r="O13" s="123">
        <f>IF($A13="","",$B13-$E$59-$F$59)</f>
        <v/>
      </c>
      <c r="P13" s="85">
        <f>IF($A13="","",$L$59*$D13)</f>
        <v/>
      </c>
      <c r="Q13" s="123" t="n"/>
      <c r="R13" s="85" t="n"/>
      <c r="S13" s="123" t="n"/>
      <c r="T13" s="85" t="n"/>
      <c r="U13" s="123" t="n"/>
      <c r="V13" s="85" t="n"/>
      <c r="W13" s="123" t="n"/>
      <c r="X13" s="85" t="n"/>
      <c r="Y13" s="123" t="n"/>
      <c r="Z13" s="85" t="n"/>
      <c r="AA13" s="123" t="n"/>
      <c r="AB13" s="85" t="n"/>
      <c r="AC13" s="123" t="n"/>
      <c r="AD13" s="85" t="n"/>
      <c r="AE13" s="124">
        <f>IF($A13="","",$B13-35-35)</f>
        <v/>
      </c>
      <c r="AF13" s="124">
        <f>IF($A13="","",$M13-10-10)</f>
        <v/>
      </c>
      <c r="AG13" s="126">
        <f>IF($A13="","",2*$D13)</f>
        <v/>
      </c>
    </row>
    <row r="14" ht="40.2" customHeight="1">
      <c r="A14" s="83" t="n"/>
      <c r="B14" s="84" t="n"/>
      <c r="C14" s="85" t="n"/>
      <c r="D14" s="86" t="n"/>
      <c r="E14" s="128">
        <f>IF($A14="","",$B14)</f>
        <v/>
      </c>
      <c r="F14" s="129">
        <f>IF($A14="","",$L$54*$D14)</f>
        <v/>
      </c>
      <c r="G14" s="128">
        <f>IF($A14="","",$C14-$E$55-$F$55)</f>
        <v/>
      </c>
      <c r="H14" s="129">
        <f>IF($A14="","",$L$55*$D14)</f>
        <v/>
      </c>
      <c r="I14" s="128">
        <f>IF($A14="","",$C14-$E$56-$F$56)</f>
        <v/>
      </c>
      <c r="J14" s="129">
        <f>IF($A14="","",$L$56*$D14)</f>
        <v/>
      </c>
      <c r="K14" s="128">
        <f>IF($A14="","",$B14-$E$57-$F$57)</f>
        <v/>
      </c>
      <c r="L14" s="129">
        <f>IF($A14="","",$L$57*$D14)</f>
        <v/>
      </c>
      <c r="M14" s="128">
        <f>IF($A14="","",($C14-$E$58-$F$58-$G$58)/2)</f>
        <v/>
      </c>
      <c r="N14" s="129">
        <f>IF($A14="","",$L$58*$D14)</f>
        <v/>
      </c>
      <c r="O14" s="128">
        <f>IF($A14="","",$B14-$E$59-$F$59)</f>
        <v/>
      </c>
      <c r="P14" s="129">
        <f>IF($A14="","",$L$59*$D14)</f>
        <v/>
      </c>
      <c r="Q14" s="128" t="n"/>
      <c r="R14" s="129" t="n"/>
      <c r="S14" s="128" t="n"/>
      <c r="T14" s="129" t="n"/>
      <c r="U14" s="128" t="n"/>
      <c r="V14" s="129" t="n"/>
      <c r="W14" s="128" t="n"/>
      <c r="X14" s="129" t="n"/>
      <c r="Y14" s="128" t="n"/>
      <c r="Z14" s="129" t="n"/>
      <c r="AA14" s="128" t="n"/>
      <c r="AB14" s="129" t="n"/>
      <c r="AC14" s="128" t="n"/>
      <c r="AD14" s="129" t="n"/>
      <c r="AE14" s="124">
        <f>IF($A14="","",$B14-35-35)</f>
        <v/>
      </c>
      <c r="AF14" s="124">
        <f>IF($A14="","",$M14-10-10)</f>
        <v/>
      </c>
      <c r="AG14" s="126">
        <f>IF($A14="","",2*$D14)</f>
        <v/>
      </c>
    </row>
    <row r="15" ht="40.2" customHeight="1">
      <c r="A15" s="83" t="n"/>
      <c r="B15" s="84" t="n"/>
      <c r="C15" s="85" t="n"/>
      <c r="D15" s="86" t="n"/>
      <c r="E15" s="123">
        <f>IF($A15="","",$B15)</f>
        <v/>
      </c>
      <c r="F15" s="85">
        <f>IF($A15="","",$L$54*$D15)</f>
        <v/>
      </c>
      <c r="G15" s="123">
        <f>IF($A15="","",$C15-$E$55-$F$55)</f>
        <v/>
      </c>
      <c r="H15" s="85">
        <f>IF($A15="","",$L$55*$D15)</f>
        <v/>
      </c>
      <c r="I15" s="123">
        <f>IF($A15="","",$C15-$E$56-$F$56)</f>
        <v/>
      </c>
      <c r="J15" s="85">
        <f>IF($A15="","",$L$56*$D15)</f>
        <v/>
      </c>
      <c r="K15" s="123">
        <f>IF($A15="","",$B15-$E$57-$F$57)</f>
        <v/>
      </c>
      <c r="L15" s="85">
        <f>IF($A15="","",$L$57*$D15)</f>
        <v/>
      </c>
      <c r="M15" s="123">
        <f>IF($A15="","",($C15-$E$58-$F$58-$G$58)/2)</f>
        <v/>
      </c>
      <c r="N15" s="85">
        <f>IF($A15="","",$L$58*$D15)</f>
        <v/>
      </c>
      <c r="O15" s="123">
        <f>IF($A15="","",$B15-$E$59-$F$59)</f>
        <v/>
      </c>
      <c r="P15" s="85">
        <f>IF($A15="","",$L$59*$D15)</f>
        <v/>
      </c>
      <c r="Q15" s="123" t="n"/>
      <c r="R15" s="85" t="n"/>
      <c r="S15" s="123" t="n"/>
      <c r="T15" s="85" t="n"/>
      <c r="U15" s="123" t="n"/>
      <c r="V15" s="85" t="n"/>
      <c r="W15" s="123" t="n"/>
      <c r="X15" s="85" t="n"/>
      <c r="Y15" s="123" t="n"/>
      <c r="Z15" s="85" t="n"/>
      <c r="AA15" s="123" t="n"/>
      <c r="AB15" s="85" t="n"/>
      <c r="AC15" s="123" t="n"/>
      <c r="AD15" s="85" t="n"/>
      <c r="AE15" s="124">
        <f>IF($A15="","",$B15-35-35)</f>
        <v/>
      </c>
      <c r="AF15" s="124">
        <f>IF($A15="","",$M15-10-10)</f>
        <v/>
      </c>
      <c r="AG15" s="126">
        <f>IF($A15="","",2*$D15)</f>
        <v/>
      </c>
    </row>
    <row r="16" ht="40.2" customHeight="1">
      <c r="A16" s="83" t="n"/>
      <c r="B16" s="84" t="n"/>
      <c r="C16" s="85" t="n"/>
      <c r="D16" s="86" t="n"/>
      <c r="E16" s="128">
        <f>IF($A16="","",$B16)</f>
        <v/>
      </c>
      <c r="F16" s="129">
        <f>IF($A16="","",$L$54*$D16)</f>
        <v/>
      </c>
      <c r="G16" s="128">
        <f>IF($A16="","",$C16-$E$55-$F$55)</f>
        <v/>
      </c>
      <c r="H16" s="129">
        <f>IF($A16="","",$L$55*$D16)</f>
        <v/>
      </c>
      <c r="I16" s="128">
        <f>IF($A16="","",$C16-$E$56-$F$56)</f>
        <v/>
      </c>
      <c r="J16" s="129">
        <f>IF($A16="","",$L$56*$D16)</f>
        <v/>
      </c>
      <c r="K16" s="128">
        <f>IF($A16="","",$B16-$E$57-$F$57)</f>
        <v/>
      </c>
      <c r="L16" s="129">
        <f>IF($A16="","",$L$57*$D16)</f>
        <v/>
      </c>
      <c r="M16" s="128">
        <f>IF($A16="","",($C16-$E$58-$F$58-$G$58)/2)</f>
        <v/>
      </c>
      <c r="N16" s="129">
        <f>IF($A16="","",$L$58*$D16)</f>
        <v/>
      </c>
      <c r="O16" s="128">
        <f>IF($A16="","",$B16-$E$59-$F$59)</f>
        <v/>
      </c>
      <c r="P16" s="129">
        <f>IF($A16="","",$L$59*$D16)</f>
        <v/>
      </c>
      <c r="Q16" s="128" t="n"/>
      <c r="R16" s="129" t="n"/>
      <c r="S16" s="128" t="n"/>
      <c r="T16" s="129" t="n"/>
      <c r="U16" s="128" t="n"/>
      <c r="V16" s="129" t="n"/>
      <c r="W16" s="128" t="n"/>
      <c r="X16" s="129" t="n"/>
      <c r="Y16" s="128" t="n"/>
      <c r="Z16" s="129" t="n"/>
      <c r="AA16" s="128" t="n"/>
      <c r="AB16" s="129" t="n"/>
      <c r="AC16" s="128" t="n"/>
      <c r="AD16" s="129" t="n"/>
      <c r="AE16" s="124">
        <f>IF($A16="","",$B16-35-35)</f>
        <v/>
      </c>
      <c r="AF16" s="124">
        <f>IF($A16="","",$M16-10-10)</f>
        <v/>
      </c>
      <c r="AG16" s="126">
        <f>IF($A16="","",2*$D16)</f>
        <v/>
      </c>
    </row>
    <row r="17" ht="40.2" customHeight="1">
      <c r="A17" s="83" t="n"/>
      <c r="B17" s="84" t="n"/>
      <c r="C17" s="85" t="n"/>
      <c r="D17" s="86" t="n"/>
      <c r="E17" s="123">
        <f>IF($A17="","",$B17)</f>
        <v/>
      </c>
      <c r="F17" s="85">
        <f>IF($A17="","",$L$54*$D17)</f>
        <v/>
      </c>
      <c r="G17" s="123">
        <f>IF($A17="","",$C17-$E$55-$F$55)</f>
        <v/>
      </c>
      <c r="H17" s="85">
        <f>IF($A17="","",$L$55*$D17)</f>
        <v/>
      </c>
      <c r="I17" s="123">
        <f>IF($A17="","",$C17-$E$56-$F$56)</f>
        <v/>
      </c>
      <c r="J17" s="85">
        <f>IF($A17="","",$L$56*$D17)</f>
        <v/>
      </c>
      <c r="K17" s="123">
        <f>IF($A17="","",$B17-$E$57-$F$57)</f>
        <v/>
      </c>
      <c r="L17" s="85">
        <f>IF($A17="","",$L$57*$D17)</f>
        <v/>
      </c>
      <c r="M17" s="123">
        <f>IF($A17="","",($C17-$E$58-$F$58-$G$58)/2)</f>
        <v/>
      </c>
      <c r="N17" s="85">
        <f>IF($A17="","",$L$58*$D17)</f>
        <v/>
      </c>
      <c r="O17" s="123">
        <f>IF($A17="","",$B17-$E$59-$F$59)</f>
        <v/>
      </c>
      <c r="P17" s="85">
        <f>IF($A17="","",$L$59*$D17)</f>
        <v/>
      </c>
      <c r="Q17" s="123" t="n"/>
      <c r="R17" s="85" t="n"/>
      <c r="S17" s="123" t="n"/>
      <c r="T17" s="85" t="n"/>
      <c r="U17" s="123" t="n"/>
      <c r="V17" s="85" t="n"/>
      <c r="W17" s="123" t="n"/>
      <c r="X17" s="85" t="n"/>
      <c r="Y17" s="123" t="n"/>
      <c r="Z17" s="85" t="n"/>
      <c r="AA17" s="123" t="n"/>
      <c r="AB17" s="85" t="n"/>
      <c r="AC17" s="123" t="n"/>
      <c r="AD17" s="85" t="n"/>
      <c r="AE17" s="124">
        <f>IF($A17="","",$B17-35-35)</f>
        <v/>
      </c>
      <c r="AF17" s="124">
        <f>IF($A17="","",$M17-10-10)</f>
        <v/>
      </c>
      <c r="AG17" s="126">
        <f>IF($A17="","",2*$D17)</f>
        <v/>
      </c>
    </row>
    <row r="18" ht="40.2" customHeight="1">
      <c r="A18" s="83" t="n"/>
      <c r="B18" s="84" t="n"/>
      <c r="C18" s="85" t="n"/>
      <c r="D18" s="86" t="n"/>
      <c r="E18" s="128">
        <f>IF($A18="","",$B18)</f>
        <v/>
      </c>
      <c r="F18" s="129">
        <f>IF($A18="","",$L$54*$D18)</f>
        <v/>
      </c>
      <c r="G18" s="128">
        <f>IF($A18="","",$C18-$E$55-$F$55)</f>
        <v/>
      </c>
      <c r="H18" s="129">
        <f>IF($A18="","",$L$55*$D18)</f>
        <v/>
      </c>
      <c r="I18" s="128">
        <f>IF($A18="","",$C18-$E$56-$F$56)</f>
        <v/>
      </c>
      <c r="J18" s="129">
        <f>IF($A18="","",$L$56*$D18)</f>
        <v/>
      </c>
      <c r="K18" s="128">
        <f>IF($A18="","",$B18-$E$57-$F$57)</f>
        <v/>
      </c>
      <c r="L18" s="129">
        <f>IF($A18="","",$L$57*$D18)</f>
        <v/>
      </c>
      <c r="M18" s="128">
        <f>IF($A18="","",($C18-$E$58-$F$58-$G$58)/2)</f>
        <v/>
      </c>
      <c r="N18" s="129">
        <f>IF($A18="","",$L$58*$D18)</f>
        <v/>
      </c>
      <c r="O18" s="128">
        <f>IF($A18="","",$B18-$E$59-$F$59)</f>
        <v/>
      </c>
      <c r="P18" s="129">
        <f>IF($A18="","",$L$59*$D18)</f>
        <v/>
      </c>
      <c r="Q18" s="128" t="n"/>
      <c r="R18" s="129" t="n"/>
      <c r="S18" s="128" t="n"/>
      <c r="T18" s="129" t="n"/>
      <c r="U18" s="128" t="n"/>
      <c r="V18" s="129" t="n"/>
      <c r="W18" s="128" t="n"/>
      <c r="X18" s="129" t="n"/>
      <c r="Y18" s="128" t="n"/>
      <c r="Z18" s="129" t="n"/>
      <c r="AA18" s="128" t="n"/>
      <c r="AB18" s="129" t="n"/>
      <c r="AC18" s="128" t="n"/>
      <c r="AD18" s="129" t="n"/>
      <c r="AE18" s="124">
        <f>IF($A18="","",$B18-35-35)</f>
        <v/>
      </c>
      <c r="AF18" s="124">
        <f>IF($A18="","",$M18-10-10)</f>
        <v/>
      </c>
      <c r="AG18" s="126">
        <f>IF($A18="","",2*$D18)</f>
        <v/>
      </c>
    </row>
    <row r="19" ht="40.2" customHeight="1">
      <c r="A19" s="83" t="n"/>
      <c r="B19" s="84" t="n"/>
      <c r="C19" s="85" t="n"/>
      <c r="D19" s="86" t="n"/>
      <c r="E19" s="123">
        <f>IF($A19="","",$B19)</f>
        <v/>
      </c>
      <c r="F19" s="85">
        <f>IF($A19="","",$L$54*$D19)</f>
        <v/>
      </c>
      <c r="G19" s="123">
        <f>IF($A19="","",$C19-$E$55-$F$55)</f>
        <v/>
      </c>
      <c r="H19" s="85">
        <f>IF($A19="","",$L$55*$D19)</f>
        <v/>
      </c>
      <c r="I19" s="123">
        <f>IF($A19="","",$C19-$E$56-$F$56)</f>
        <v/>
      </c>
      <c r="J19" s="85">
        <f>IF($A19="","",$L$56*$D19)</f>
        <v/>
      </c>
      <c r="K19" s="123">
        <f>IF($A19="","",$B19-$E$57-$F$57)</f>
        <v/>
      </c>
      <c r="L19" s="85">
        <f>IF($A19="","",$L$57*$D19)</f>
        <v/>
      </c>
      <c r="M19" s="123">
        <f>IF($A19="","",($C19-$E$58-$F$58-$G$58)/2)</f>
        <v/>
      </c>
      <c r="N19" s="85">
        <f>IF($A19="","",$L$58*$D19)</f>
        <v/>
      </c>
      <c r="O19" s="123">
        <f>IF($A19="","",$B19-$E$59-$F$59)</f>
        <v/>
      </c>
      <c r="P19" s="85">
        <f>IF($A19="","",$L$59*$D19)</f>
        <v/>
      </c>
      <c r="Q19" s="123" t="n"/>
      <c r="R19" s="85" t="n"/>
      <c r="S19" s="123" t="n"/>
      <c r="T19" s="85" t="n"/>
      <c r="U19" s="123" t="n"/>
      <c r="V19" s="85" t="n"/>
      <c r="W19" s="123" t="n"/>
      <c r="X19" s="85" t="n"/>
      <c r="Y19" s="123" t="n"/>
      <c r="Z19" s="85" t="n"/>
      <c r="AA19" s="123" t="n"/>
      <c r="AB19" s="85" t="n"/>
      <c r="AC19" s="123" t="n"/>
      <c r="AD19" s="85" t="n"/>
      <c r="AE19" s="124">
        <f>IF($A19="","",$B19-35-35)</f>
        <v/>
      </c>
      <c r="AF19" s="124">
        <f>IF($A19="","",$M19-10-10)</f>
        <v/>
      </c>
      <c r="AG19" s="126">
        <f>IF($A19="","",2*$D19)</f>
        <v/>
      </c>
    </row>
    <row r="20" ht="40.2" customHeight="1">
      <c r="A20" s="83" t="n"/>
      <c r="B20" s="84" t="n"/>
      <c r="C20" s="85" t="n"/>
      <c r="D20" s="86" t="n"/>
      <c r="E20" s="128">
        <f>IF($A20="","",$B20)</f>
        <v/>
      </c>
      <c r="F20" s="129">
        <f>IF($A20="","",$L$54*$D20)</f>
        <v/>
      </c>
      <c r="G20" s="128">
        <f>IF($A20="","",$C20-$E$55-$F$55)</f>
        <v/>
      </c>
      <c r="H20" s="129">
        <f>IF($A20="","",$L$55*$D20)</f>
        <v/>
      </c>
      <c r="I20" s="128">
        <f>IF($A20="","",$C20-$E$56-$F$56)</f>
        <v/>
      </c>
      <c r="J20" s="129">
        <f>IF($A20="","",$L$56*$D20)</f>
        <v/>
      </c>
      <c r="K20" s="128">
        <f>IF($A20="","",$B20-$E$57-$F$57)</f>
        <v/>
      </c>
      <c r="L20" s="129">
        <f>IF($A20="","",$L$57*$D20)</f>
        <v/>
      </c>
      <c r="M20" s="128">
        <f>IF($A20="","",($C20-$E$58-$F$58-$G$58)/2)</f>
        <v/>
      </c>
      <c r="N20" s="129">
        <f>IF($A20="","",$L$58*$D20)</f>
        <v/>
      </c>
      <c r="O20" s="128">
        <f>IF($A20="","",$B20-$E$59-$F$59)</f>
        <v/>
      </c>
      <c r="P20" s="129">
        <f>IF($A20="","",$L$59*$D20)</f>
        <v/>
      </c>
      <c r="Q20" s="128" t="n"/>
      <c r="R20" s="129" t="n"/>
      <c r="S20" s="128" t="n"/>
      <c r="T20" s="129" t="n"/>
      <c r="U20" s="128" t="n"/>
      <c r="V20" s="129" t="n"/>
      <c r="W20" s="128" t="n"/>
      <c r="X20" s="129" t="n"/>
      <c r="Y20" s="128" t="n"/>
      <c r="Z20" s="129" t="n"/>
      <c r="AA20" s="128" t="n"/>
      <c r="AB20" s="129" t="n"/>
      <c r="AC20" s="128" t="n"/>
      <c r="AD20" s="129" t="n"/>
      <c r="AE20" s="124">
        <f>IF($A20="","",$B20-35-35)</f>
        <v/>
      </c>
      <c r="AF20" s="124">
        <f>IF($A20="","",$M20-10-10)</f>
        <v/>
      </c>
      <c r="AG20" s="126">
        <f>IF($A20="","",2*$D20)</f>
        <v/>
      </c>
    </row>
    <row r="21" ht="40.2" customHeight="1">
      <c r="A21" s="83" t="n"/>
      <c r="B21" s="84" t="n"/>
      <c r="C21" s="85" t="n"/>
      <c r="D21" s="86" t="n"/>
      <c r="E21" s="123">
        <f>IF($A21="","",$B21)</f>
        <v/>
      </c>
      <c r="F21" s="85">
        <f>IF($A21="","",$L$54*$D21)</f>
        <v/>
      </c>
      <c r="G21" s="123">
        <f>IF($A21="","",$C21-$E$55-$F$55)</f>
        <v/>
      </c>
      <c r="H21" s="85">
        <f>IF($A21="","",$L$55*$D21)</f>
        <v/>
      </c>
      <c r="I21" s="123">
        <f>IF($A21="","",$C21-$E$56-$F$56)</f>
        <v/>
      </c>
      <c r="J21" s="85">
        <f>IF($A21="","",$L$56*$D21)</f>
        <v/>
      </c>
      <c r="K21" s="123">
        <f>IF($A21="","",$B21-$E$57-$F$57)</f>
        <v/>
      </c>
      <c r="L21" s="85">
        <f>IF($A21="","",$L$57*$D21)</f>
        <v/>
      </c>
      <c r="M21" s="123">
        <f>IF($A21="","",($C21-$E$58-$F$58-$G$58)/2)</f>
        <v/>
      </c>
      <c r="N21" s="85">
        <f>IF($A21="","",$L$58*$D21)</f>
        <v/>
      </c>
      <c r="O21" s="123">
        <f>IF($A21="","",$B21-$E$59-$F$59)</f>
        <v/>
      </c>
      <c r="P21" s="85">
        <f>IF($A21="","",$L$59*$D21)</f>
        <v/>
      </c>
      <c r="Q21" s="123" t="n"/>
      <c r="R21" s="85" t="n"/>
      <c r="S21" s="123" t="n"/>
      <c r="T21" s="85" t="n"/>
      <c r="U21" s="123" t="n"/>
      <c r="V21" s="85" t="n"/>
      <c r="W21" s="123" t="n"/>
      <c r="X21" s="85" t="n"/>
      <c r="Y21" s="123" t="n"/>
      <c r="Z21" s="85" t="n"/>
      <c r="AA21" s="123" t="n"/>
      <c r="AB21" s="85" t="n"/>
      <c r="AC21" s="123" t="n"/>
      <c r="AD21" s="85" t="n"/>
      <c r="AE21" s="124">
        <f>IF($A21="","",$B21-35-35)</f>
        <v/>
      </c>
      <c r="AF21" s="124">
        <f>IF($A21="","",$M21-10-10)</f>
        <v/>
      </c>
      <c r="AG21" s="126">
        <f>IF($A21="","",2*$D21)</f>
        <v/>
      </c>
    </row>
    <row r="22" ht="40.2" customHeight="1">
      <c r="A22" s="83" t="n"/>
      <c r="B22" s="84" t="n"/>
      <c r="C22" s="85" t="n"/>
      <c r="D22" s="86" t="n"/>
      <c r="E22" s="128">
        <f>IF($A22="","",$B22)</f>
        <v/>
      </c>
      <c r="F22" s="129">
        <f>IF($A22="","",$L$54*$D22)</f>
        <v/>
      </c>
      <c r="G22" s="128">
        <f>IF($A22="","",$C22-$E$55-$F$55)</f>
        <v/>
      </c>
      <c r="H22" s="129">
        <f>IF($A22="","",$L$55*$D22)</f>
        <v/>
      </c>
      <c r="I22" s="128">
        <f>IF($A22="","",$C22-$E$56-$F$56)</f>
        <v/>
      </c>
      <c r="J22" s="129">
        <f>IF($A22="","",$L$56*$D22)</f>
        <v/>
      </c>
      <c r="K22" s="128">
        <f>IF($A22="","",$B22-$E$57-$F$57)</f>
        <v/>
      </c>
      <c r="L22" s="129">
        <f>IF($A22="","",$L$57*$D22)</f>
        <v/>
      </c>
      <c r="M22" s="128">
        <f>IF($A22="","",($C22-$E$58-$F$58-$G$58)/2)</f>
        <v/>
      </c>
      <c r="N22" s="129">
        <f>IF($A22="","",$L$58*$D22)</f>
        <v/>
      </c>
      <c r="O22" s="128">
        <f>IF($A22="","",$B22-$E$59-$F$59)</f>
        <v/>
      </c>
      <c r="P22" s="129">
        <f>IF($A22="","",$L$59*$D22)</f>
        <v/>
      </c>
      <c r="Q22" s="128" t="n"/>
      <c r="R22" s="129" t="n"/>
      <c r="S22" s="128" t="n"/>
      <c r="T22" s="129" t="n"/>
      <c r="U22" s="128" t="n"/>
      <c r="V22" s="129" t="n"/>
      <c r="W22" s="128" t="n"/>
      <c r="X22" s="129" t="n"/>
      <c r="Y22" s="128" t="n"/>
      <c r="Z22" s="129" t="n"/>
      <c r="AA22" s="128" t="n"/>
      <c r="AB22" s="129" t="n"/>
      <c r="AC22" s="128" t="n"/>
      <c r="AD22" s="129" t="n"/>
      <c r="AE22" s="124">
        <f>IF($A22="","",$B22-35-35)</f>
        <v/>
      </c>
      <c r="AF22" s="124">
        <f>IF($A22="","",$M22-10-10)</f>
        <v/>
      </c>
      <c r="AG22" s="126">
        <f>IF($A22="","",2*$D22)</f>
        <v/>
      </c>
    </row>
    <row r="23" ht="40.2" customHeight="1">
      <c r="A23" s="83" t="n"/>
      <c r="B23" s="84" t="n"/>
      <c r="C23" s="85" t="n"/>
      <c r="D23" s="86" t="n"/>
      <c r="E23" s="123">
        <f>IF($A23="","",$B23)</f>
        <v/>
      </c>
      <c r="F23" s="85">
        <f>IF($A23="","",$L$54*$D23)</f>
        <v/>
      </c>
      <c r="G23" s="123">
        <f>IF($A23="","",$C23-$E$55-$F$55)</f>
        <v/>
      </c>
      <c r="H23" s="85">
        <f>IF($A23="","",$L$55*$D23)</f>
        <v/>
      </c>
      <c r="I23" s="123">
        <f>IF($A23="","",$C23-$E$56-$F$56)</f>
        <v/>
      </c>
      <c r="J23" s="85">
        <f>IF($A23="","",$L$56*$D23)</f>
        <v/>
      </c>
      <c r="K23" s="123">
        <f>IF($A23="","",$B23-$E$57-$F$57)</f>
        <v/>
      </c>
      <c r="L23" s="85">
        <f>IF($A23="","",$L$57*$D23)</f>
        <v/>
      </c>
      <c r="M23" s="123">
        <f>IF($A23="","",($C23-$E$58-$F$58-$G$58)/2)</f>
        <v/>
      </c>
      <c r="N23" s="85">
        <f>IF($A23="","",$L$58*$D23)</f>
        <v/>
      </c>
      <c r="O23" s="123">
        <f>IF($A23="","",$B23-$E$59-$F$59)</f>
        <v/>
      </c>
      <c r="P23" s="85">
        <f>IF($A23="","",$L$59*$D23)</f>
        <v/>
      </c>
      <c r="Q23" s="123" t="n"/>
      <c r="R23" s="85" t="n"/>
      <c r="S23" s="123" t="n"/>
      <c r="T23" s="85" t="n"/>
      <c r="U23" s="123" t="n"/>
      <c r="V23" s="85" t="n"/>
      <c r="W23" s="123" t="n"/>
      <c r="X23" s="85" t="n"/>
      <c r="Y23" s="123" t="n"/>
      <c r="Z23" s="85" t="n"/>
      <c r="AA23" s="123" t="n"/>
      <c r="AB23" s="85" t="n"/>
      <c r="AC23" s="123" t="n"/>
      <c r="AD23" s="85" t="n"/>
      <c r="AE23" s="124">
        <f>IF($A23="","",$B23-35-35)</f>
        <v/>
      </c>
      <c r="AF23" s="124">
        <f>IF($A23="","",$M23-10-10)</f>
        <v/>
      </c>
      <c r="AG23" s="126">
        <f>IF($A23="","",2*$D23)</f>
        <v/>
      </c>
    </row>
    <row r="24" ht="40.2" customHeight="1">
      <c r="A24" s="83" t="n"/>
      <c r="B24" s="84" t="n"/>
      <c r="C24" s="85" t="n"/>
      <c r="D24" s="86" t="n"/>
      <c r="E24" s="128">
        <f>IF($A24="","",$B24)</f>
        <v/>
      </c>
      <c r="F24" s="129">
        <f>IF($A24="","",$L$54*$D24)</f>
        <v/>
      </c>
      <c r="G24" s="128">
        <f>IF($A24="","",$C24-$E$55-$F$55)</f>
        <v/>
      </c>
      <c r="H24" s="129">
        <f>IF($A24="","",$L$55*$D24)</f>
        <v/>
      </c>
      <c r="I24" s="128">
        <f>IF($A24="","",$C24-$E$56-$F$56)</f>
        <v/>
      </c>
      <c r="J24" s="129">
        <f>IF($A24="","",$L$56*$D24)</f>
        <v/>
      </c>
      <c r="K24" s="128">
        <f>IF($A24="","",$B24-$E$57-$F$57)</f>
        <v/>
      </c>
      <c r="L24" s="129">
        <f>IF($A24="","",$L$57*$D24)</f>
        <v/>
      </c>
      <c r="M24" s="128">
        <f>IF($A24="","",($C24-$E$58-$F$58-$G$58)/2)</f>
        <v/>
      </c>
      <c r="N24" s="129">
        <f>IF($A24="","",$L$58*$D24)</f>
        <v/>
      </c>
      <c r="O24" s="128">
        <f>IF($A24="","",$B24-$E$59-$F$59)</f>
        <v/>
      </c>
      <c r="P24" s="129">
        <f>IF($A24="","",$L$59*$D24)</f>
        <v/>
      </c>
      <c r="Q24" s="128" t="n"/>
      <c r="R24" s="129" t="n"/>
      <c r="S24" s="128" t="n"/>
      <c r="T24" s="129" t="n"/>
      <c r="U24" s="128" t="n"/>
      <c r="V24" s="129" t="n"/>
      <c r="W24" s="128" t="n"/>
      <c r="X24" s="129" t="n"/>
      <c r="Y24" s="128" t="n"/>
      <c r="Z24" s="129" t="n"/>
      <c r="AA24" s="128" t="n"/>
      <c r="AB24" s="129" t="n"/>
      <c r="AC24" s="128" t="n"/>
      <c r="AD24" s="129" t="n"/>
      <c r="AE24" s="124">
        <f>IF($A24="","",$B24-35-35)</f>
        <v/>
      </c>
      <c r="AF24" s="124">
        <f>IF($A24="","",$M24-10-10)</f>
        <v/>
      </c>
      <c r="AG24" s="126">
        <f>IF($A24="","",2*$D24)</f>
        <v/>
      </c>
    </row>
    <row r="25" ht="40.2" customHeight="1">
      <c r="A25" s="83" t="n"/>
      <c r="B25" s="84" t="n"/>
      <c r="C25" s="85" t="n"/>
      <c r="D25" s="86" t="n"/>
      <c r="E25" s="123">
        <f>IF($A25="","",$B25)</f>
        <v/>
      </c>
      <c r="F25" s="85">
        <f>IF($A25="","",$L$54*$D25)</f>
        <v/>
      </c>
      <c r="G25" s="123">
        <f>IF($A25="","",$C25-$E$55-$F$55)</f>
        <v/>
      </c>
      <c r="H25" s="85">
        <f>IF($A25="","",$L$55*$D25)</f>
        <v/>
      </c>
      <c r="I25" s="123">
        <f>IF($A25="","",$C25-$E$56-$F$56)</f>
        <v/>
      </c>
      <c r="J25" s="85">
        <f>IF($A25="","",$L$56*$D25)</f>
        <v/>
      </c>
      <c r="K25" s="123">
        <f>IF($A25="","",$B25-$E$57-$F$57)</f>
        <v/>
      </c>
      <c r="L25" s="85">
        <f>IF($A25="","",$L$57*$D25)</f>
        <v/>
      </c>
      <c r="M25" s="123">
        <f>IF($A25="","",($C25-$E$58-$F$58-$G$58)/2)</f>
        <v/>
      </c>
      <c r="N25" s="85">
        <f>IF($A25="","",$L$58*$D25)</f>
        <v/>
      </c>
      <c r="O25" s="123">
        <f>IF($A25="","",$B25-$E$59-$F$59)</f>
        <v/>
      </c>
      <c r="P25" s="85">
        <f>IF($A25="","",$L$59*$D25)</f>
        <v/>
      </c>
      <c r="Q25" s="123" t="n"/>
      <c r="R25" s="85" t="n"/>
      <c r="S25" s="123" t="n"/>
      <c r="T25" s="85" t="n"/>
      <c r="U25" s="123" t="n"/>
      <c r="V25" s="85" t="n"/>
      <c r="W25" s="123" t="n"/>
      <c r="X25" s="85" t="n"/>
      <c r="Y25" s="123" t="n"/>
      <c r="Z25" s="85" t="n"/>
      <c r="AA25" s="123" t="n"/>
      <c r="AB25" s="85" t="n"/>
      <c r="AC25" s="123" t="n"/>
      <c r="AD25" s="85" t="n"/>
      <c r="AE25" s="124">
        <f>IF($A25="","",$B25-35-35)</f>
        <v/>
      </c>
      <c r="AF25" s="124">
        <f>IF($A25="","",$M25-10-10)</f>
        <v/>
      </c>
      <c r="AG25" s="126">
        <f>IF($A25="","",2*$D25)</f>
        <v/>
      </c>
    </row>
    <row r="26" ht="40.2" customHeight="1">
      <c r="A26" s="83" t="n"/>
      <c r="B26" s="84" t="n"/>
      <c r="C26" s="85" t="n"/>
      <c r="D26" s="86" t="n"/>
      <c r="E26" s="128">
        <f>IF($A26="","",$B26)</f>
        <v/>
      </c>
      <c r="F26" s="129">
        <f>IF($A26="","",$L$54*$D26)</f>
        <v/>
      </c>
      <c r="G26" s="128">
        <f>IF($A26="","",$C26-$E$55-$F$55)</f>
        <v/>
      </c>
      <c r="H26" s="129">
        <f>IF($A26="","",$L$55*$D26)</f>
        <v/>
      </c>
      <c r="I26" s="128">
        <f>IF($A26="","",$C26-$E$56-$F$56)</f>
        <v/>
      </c>
      <c r="J26" s="129">
        <f>IF($A26="","",$L$56*$D26)</f>
        <v/>
      </c>
      <c r="K26" s="128">
        <f>IF($A26="","",$B26-$E$57-$F$57)</f>
        <v/>
      </c>
      <c r="L26" s="129">
        <f>IF($A26="","",$L$57*$D26)</f>
        <v/>
      </c>
      <c r="M26" s="128">
        <f>IF($A26="","",($C26-$E$58-$F$58-$G$58)/2)</f>
        <v/>
      </c>
      <c r="N26" s="129">
        <f>IF($A26="","",$L$58*$D26)</f>
        <v/>
      </c>
      <c r="O26" s="128">
        <f>IF($A26="","",$B26-$E$59-$F$59)</f>
        <v/>
      </c>
      <c r="P26" s="129">
        <f>IF($A26="","",$L$59*$D26)</f>
        <v/>
      </c>
      <c r="Q26" s="128" t="n"/>
      <c r="R26" s="129" t="n"/>
      <c r="S26" s="128" t="n"/>
      <c r="T26" s="129" t="n"/>
      <c r="U26" s="128" t="n"/>
      <c r="V26" s="129" t="n"/>
      <c r="W26" s="128" t="n"/>
      <c r="X26" s="129" t="n"/>
      <c r="Y26" s="128" t="n"/>
      <c r="Z26" s="129" t="n"/>
      <c r="AA26" s="128" t="n"/>
      <c r="AB26" s="129" t="n"/>
      <c r="AC26" s="128" t="n"/>
      <c r="AD26" s="129" t="n"/>
      <c r="AE26" s="124">
        <f>IF($A26="","",$B26-35-35)</f>
        <v/>
      </c>
      <c r="AF26" s="124">
        <f>IF($A26="","",$M26-10-10)</f>
        <v/>
      </c>
      <c r="AG26" s="126">
        <f>IF($A26="","",2*$D26)</f>
        <v/>
      </c>
    </row>
    <row r="27" ht="40.2" customHeight="1">
      <c r="A27" s="83" t="n"/>
      <c r="B27" s="84" t="n"/>
      <c r="C27" s="85" t="n"/>
      <c r="D27" s="86" t="n"/>
      <c r="E27" s="123">
        <f>IF($A27="","",$B27)</f>
        <v/>
      </c>
      <c r="F27" s="85">
        <f>IF($A27="","",$L$54*$D27)</f>
        <v/>
      </c>
      <c r="G27" s="123">
        <f>IF($A27="","",$C27-$E$55-$F$55)</f>
        <v/>
      </c>
      <c r="H27" s="85">
        <f>IF($A27="","",$L$55*$D27)</f>
        <v/>
      </c>
      <c r="I27" s="123">
        <f>IF($A27="","",$C27-$E$56-$F$56)</f>
        <v/>
      </c>
      <c r="J27" s="85">
        <f>IF($A27="","",$L$56*$D27)</f>
        <v/>
      </c>
      <c r="K27" s="123">
        <f>IF($A27="","",$B27-$E$57-$F$57)</f>
        <v/>
      </c>
      <c r="L27" s="85">
        <f>IF($A27="","",$L$57*$D27)</f>
        <v/>
      </c>
      <c r="M27" s="123">
        <f>IF($A27="","",($C27-$E$58-$F$58-$G$58)/2)</f>
        <v/>
      </c>
      <c r="N27" s="85">
        <f>IF($A27="","",$L$58*$D27)</f>
        <v/>
      </c>
      <c r="O27" s="123">
        <f>IF($A27="","",$B27-$E$59-$F$59)</f>
        <v/>
      </c>
      <c r="P27" s="85">
        <f>IF($A27="","",$L$59*$D27)</f>
        <v/>
      </c>
      <c r="Q27" s="123" t="n"/>
      <c r="R27" s="85" t="n"/>
      <c r="S27" s="123" t="n"/>
      <c r="T27" s="85" t="n"/>
      <c r="U27" s="123" t="n"/>
      <c r="V27" s="85" t="n"/>
      <c r="W27" s="123" t="n"/>
      <c r="X27" s="85" t="n"/>
      <c r="Y27" s="123" t="n"/>
      <c r="Z27" s="85" t="n"/>
      <c r="AA27" s="123" t="n"/>
      <c r="AB27" s="85" t="n"/>
      <c r="AC27" s="123" t="n"/>
      <c r="AD27" s="85" t="n"/>
      <c r="AE27" s="124">
        <f>IF($A27="","",$B27-35-35)</f>
        <v/>
      </c>
      <c r="AF27" s="124">
        <f>IF($A27="","",$M27-10-10)</f>
        <v/>
      </c>
      <c r="AG27" s="126">
        <f>IF($A27="","",2*$D27)</f>
        <v/>
      </c>
    </row>
    <row r="28" ht="40.2" customHeight="1">
      <c r="A28" s="83" t="n"/>
      <c r="B28" s="84" t="n"/>
      <c r="C28" s="85" t="n"/>
      <c r="D28" s="86" t="n"/>
      <c r="E28" s="128">
        <f>IF($A28="","",$B28)</f>
        <v/>
      </c>
      <c r="F28" s="129">
        <f>IF($A28="","",$L$54*$D28)</f>
        <v/>
      </c>
      <c r="G28" s="128">
        <f>IF($A28="","",$C28-$E$55-$F$55)</f>
        <v/>
      </c>
      <c r="H28" s="129">
        <f>IF($A28="","",$L$55*$D28)</f>
        <v/>
      </c>
      <c r="I28" s="128">
        <f>IF($A28="","",$C28-$E$56-$F$56)</f>
        <v/>
      </c>
      <c r="J28" s="129">
        <f>IF($A28="","",$L$56*$D28)</f>
        <v/>
      </c>
      <c r="K28" s="128">
        <f>IF($A28="","",$B28-$E$57-$F$57)</f>
        <v/>
      </c>
      <c r="L28" s="129">
        <f>IF($A28="","",$L$57*$D28)</f>
        <v/>
      </c>
      <c r="M28" s="128">
        <f>IF($A28="","",($C28-$E$58-$F$58-$G$58)/2)</f>
        <v/>
      </c>
      <c r="N28" s="129">
        <f>IF($A28="","",$L$58*$D28)</f>
        <v/>
      </c>
      <c r="O28" s="128">
        <f>IF($A28="","",$B28-$E$59-$F$59)</f>
        <v/>
      </c>
      <c r="P28" s="129">
        <f>IF($A28="","",$L$59*$D28)</f>
        <v/>
      </c>
      <c r="Q28" s="128" t="n"/>
      <c r="R28" s="129" t="n"/>
      <c r="S28" s="128" t="n"/>
      <c r="T28" s="129" t="n"/>
      <c r="U28" s="128" t="n"/>
      <c r="V28" s="129" t="n"/>
      <c r="W28" s="128" t="n"/>
      <c r="X28" s="129" t="n"/>
      <c r="Y28" s="128" t="n"/>
      <c r="Z28" s="129" t="n"/>
      <c r="AA28" s="128" t="n"/>
      <c r="AB28" s="129" t="n"/>
      <c r="AC28" s="128" t="n"/>
      <c r="AD28" s="129" t="n"/>
      <c r="AE28" s="124">
        <f>IF($A28="","",$B28-35-35)</f>
        <v/>
      </c>
      <c r="AF28" s="124">
        <f>IF($A28="","",$M28-10-10)</f>
        <v/>
      </c>
      <c r="AG28" s="126">
        <f>IF($A28="","",2*$D28)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130">
        <f>E$7</f>
        <v/>
      </c>
      <c r="F30" s="19" t="n"/>
      <c r="G30" s="20" t="n"/>
      <c r="H30" s="130">
        <f>(ROUNDUP(SUM(F49:H49)/6400,0))</f>
        <v/>
      </c>
      <c r="I30" s="130">
        <f>I$7</f>
        <v/>
      </c>
      <c r="J30" s="130">
        <f>(ROUNDUP(J49/6400,0))</f>
        <v/>
      </c>
      <c r="K30" s="130">
        <f>K$7</f>
        <v/>
      </c>
      <c r="L30" s="19" t="n"/>
      <c r="M30" s="20" t="n"/>
      <c r="N30" s="130">
        <f>(ROUNDUP(SUM(L49:N49)/6400,0))</f>
        <v/>
      </c>
      <c r="O30" s="130">
        <f>O$7</f>
        <v/>
      </c>
      <c r="P30" s="19" t="n"/>
      <c r="Q30" s="20" t="n"/>
      <c r="R30" s="130">
        <f>(ROUNDUP(SUM(P49:R49)/6400,0))</f>
        <v/>
      </c>
      <c r="S30" s="130">
        <f>S$7</f>
        <v/>
      </c>
      <c r="T30" s="130">
        <f>(ROUNDUP(T49/6400,0))</f>
        <v/>
      </c>
      <c r="U30" s="130">
        <f>U$7</f>
        <v/>
      </c>
      <c r="V30" s="130">
        <f>(ROUNDUP(V49/6400,0))</f>
        <v/>
      </c>
      <c r="W30" s="130">
        <f>W$7</f>
        <v/>
      </c>
      <c r="X30" s="130">
        <f>(ROUNDUP(X49/6400,0))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F7937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เฟรม-ล่าง</t>
        </is>
      </c>
      <c r="C56" s="79" t="inlineStr">
        <is>
          <t>F7858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คิ้ว ตั้ง</t>
        </is>
      </c>
      <c r="C57" s="79" t="inlineStr">
        <is>
          <t>F7935</t>
        </is>
      </c>
      <c r="D57" s="80" t="inlineStr">
        <is>
          <t>สูง-45-45</t>
        </is>
      </c>
      <c r="E57" s="82" t="n">
        <v>45</v>
      </c>
      <c r="F57" s="82" t="n">
        <v>45</v>
      </c>
      <c r="G57" s="81" t="n"/>
      <c r="H57" s="81" t="n"/>
      <c r="I57" s="81" t="n"/>
      <c r="J57" s="81" t="n"/>
      <c r="K57" s="81" t="n"/>
      <c r="L57" s="82" t="n">
        <v>4</v>
      </c>
    </row>
    <row r="58" ht="15" customHeight="1">
      <c r="A58" s="77" t="n">
        <v>5</v>
      </c>
      <c r="B58" s="78" t="inlineStr">
        <is>
          <t>คิ้ว ขวาง</t>
        </is>
      </c>
      <c r="C58" s="79" t="inlineStr">
        <is>
          <t>-</t>
        </is>
      </c>
      <c r="D58" s="80" t="inlineStr">
        <is>
          <t>(กว้าง-25-25-25)/2</t>
        </is>
      </c>
      <c r="E58" s="82" t="n">
        <v>25</v>
      </c>
      <c r="F58" s="82" t="n">
        <v>25</v>
      </c>
      <c r="G58" s="82" t="n">
        <v>25</v>
      </c>
      <c r="H58" s="81" t="n"/>
      <c r="I58" s="81" t="n"/>
      <c r="J58" s="81" t="n"/>
      <c r="K58" s="81" t="n"/>
      <c r="L58" s="82" t="n">
        <v>4</v>
      </c>
    </row>
    <row r="59" ht="15" customHeight="1">
      <c r="A59" s="77" t="n">
        <v>6</v>
      </c>
      <c r="B59" s="78" t="inlineStr">
        <is>
          <t>กล่องก้านสองทาง</t>
        </is>
      </c>
      <c r="C59" s="79" t="inlineStr">
        <is>
          <t>F7998</t>
        </is>
      </c>
      <c r="D59" s="80" t="inlineStr">
        <is>
          <t>สูง-25-25</t>
        </is>
      </c>
      <c r="E59" s="82" t="n">
        <v>25</v>
      </c>
      <c r="F59" s="82" t="n">
        <v>25</v>
      </c>
      <c r="G59" s="81" t="n"/>
      <c r="H59" s="81" t="n"/>
      <c r="I59" s="81" t="n"/>
      <c r="J59" s="81" t="n"/>
      <c r="K59" s="81" t="n"/>
      <c r="L59" s="82" t="n">
        <v>1</v>
      </c>
    </row>
  </sheetData>
  <mergeCells count="59">
    <mergeCell ref="O7:P7"/>
    <mergeCell ref="Q7:R7"/>
    <mergeCell ref="U9:V9"/>
    <mergeCell ref="AC7:AD7"/>
    <mergeCell ref="I6:J6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Y9:Z9"/>
    <mergeCell ref="E8:F8"/>
    <mergeCell ref="Q8:R8"/>
    <mergeCell ref="AA9:AB9"/>
    <mergeCell ref="S8:T8"/>
    <mergeCell ref="AA6:AB6"/>
    <mergeCell ref="S7:T7"/>
    <mergeCell ref="I7:J7"/>
    <mergeCell ref="A30:D30"/>
    <mergeCell ref="G6:H6"/>
    <mergeCell ref="AC8:AD8"/>
    <mergeCell ref="E9:F9"/>
    <mergeCell ref="U7:V7"/>
    <mergeCell ref="W7:X7"/>
    <mergeCell ref="Y7:Z7"/>
    <mergeCell ref="A8:A9"/>
    <mergeCell ref="E6:F6"/>
    <mergeCell ref="AA7:AB7"/>
    <mergeCell ref="M6:N6"/>
    <mergeCell ref="K8:L8"/>
    <mergeCell ref="A6:D6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U8:V8"/>
    <mergeCell ref="O8:P8"/>
    <mergeCell ref="W8:X8"/>
    <mergeCell ref="B8:C9"/>
    <mergeCell ref="AC6:AD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9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8.8984375" customWidth="1" min="34" max="34"/>
  </cols>
  <sheetData>
    <row r="1" ht="40.2" customHeight="1">
      <c r="A1" s="2" t="inlineStr">
        <is>
          <t>JR ALUMINIUM &amp; GLASS  —  ใบรายการตัด · FUJI Fix3   (หน่วย: มม.)</t>
        </is>
      </c>
      <c r="B1" s="3" t="n"/>
      <c r="D1" s="4" t="n"/>
      <c r="E1" s="5" t="n"/>
      <c r="F1" s="4" t="n"/>
      <c r="G1" s="4" t="n"/>
      <c r="H1" s="4" t="n"/>
      <c r="I1" s="6" t="n"/>
      <c r="J1" s="7" t="n"/>
      <c r="K1" s="7" t="n"/>
      <c r="L1" s="7" t="n"/>
      <c r="M1" s="4" t="n"/>
      <c r="N1" s="8" t="n"/>
      <c r="O1" s="4" t="n"/>
      <c r="P1" s="4" t="n"/>
      <c r="Q1" s="6" t="n"/>
      <c r="R1" s="6" t="n"/>
      <c r="S1" s="7" t="n"/>
      <c r="T1" s="7" t="n"/>
      <c r="U1" s="6" t="n"/>
      <c r="V1" s="6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40.2" customHeight="1">
      <c r="A2" s="6" t="n"/>
      <c r="B2" s="6" t="n"/>
      <c r="C2" s="6" t="n"/>
      <c r="D2" s="6" t="n"/>
      <c r="E2" s="9" t="n"/>
      <c r="F2" s="6" t="n"/>
      <c r="G2" s="6" t="n"/>
      <c r="H2" s="6" t="n"/>
      <c r="I2" s="10" t="n"/>
      <c r="J2" s="10" t="n"/>
      <c r="K2" s="10" t="n"/>
      <c r="L2" s="10" t="n"/>
      <c r="M2" s="6" t="n"/>
      <c r="N2" s="6" t="n"/>
      <c r="O2" s="4" t="n"/>
      <c r="P2" s="6" t="n"/>
      <c r="Q2" s="141" t="n"/>
      <c r="R2" s="6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 ht="40.2" customHeight="1">
      <c r="A3" s="6" t="n"/>
      <c r="B3" s="142" t="n"/>
      <c r="C3" s="88" t="n"/>
      <c r="D3" s="6" t="n"/>
      <c r="E3" s="9" t="n"/>
      <c r="F3" s="6" t="n"/>
      <c r="G3" s="6" t="n"/>
      <c r="H3" s="6" t="n"/>
      <c r="I3" s="10" t="n"/>
      <c r="J3" s="10" t="n"/>
      <c r="K3" s="11" t="n"/>
      <c r="L3" s="11" t="n"/>
      <c r="M3" s="6" t="n"/>
      <c r="N3" s="6" t="n"/>
      <c r="O3" s="4" t="n"/>
      <c r="P3" s="6" t="n"/>
      <c r="Q3" s="141" t="n"/>
      <c r="R3" s="6" t="n"/>
      <c r="S3" s="11" t="n"/>
      <c r="T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40.2" customHeight="1">
      <c r="A4" s="6" t="n"/>
      <c r="C4" s="6" t="n"/>
      <c r="F4" s="6" t="n"/>
      <c r="G4" s="6" t="n"/>
      <c r="H4" s="6" t="n"/>
      <c r="I4" s="10" t="n"/>
      <c r="J4" s="10" t="n"/>
      <c r="M4" s="6" t="n"/>
      <c r="N4" s="6" t="n"/>
      <c r="O4" s="4" t="n"/>
      <c r="P4" s="6" t="n"/>
      <c r="Q4" s="141" t="n"/>
      <c r="R4" s="6" t="n"/>
    </row>
    <row r="5" ht="40.2" customHeight="1">
      <c r="A5" s="6" t="n"/>
      <c r="B5" s="6" t="n"/>
      <c r="C5" s="6" t="n"/>
      <c r="D5" s="6" t="n"/>
      <c r="E5" s="9" t="n"/>
      <c r="F5" s="6" t="n"/>
      <c r="G5" s="6" t="n"/>
      <c r="H5" s="6" t="n"/>
      <c r="M5" s="6" t="n"/>
      <c r="N5" s="6" t="n"/>
      <c r="O5" s="6" t="n"/>
      <c r="P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สูง-45-45</t>
        </is>
      </c>
      <c r="L6" s="16" t="n"/>
      <c r="M6" s="15" t="inlineStr">
        <is>
          <t>(กว้าง-25-25-25-25)/3</t>
        </is>
      </c>
      <c r="N6" s="16" t="n"/>
      <c r="O6" s="15" t="inlineStr">
        <is>
          <t>สูง-25-25</t>
        </is>
      </c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5" t="n"/>
      <c r="AD6" s="16" t="n"/>
      <c r="AE6" s="17" t="n"/>
      <c r="AF6" s="17" t="n"/>
      <c r="AG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F7937</t>
        </is>
      </c>
      <c r="F7" s="13" t="n"/>
      <c r="G7" s="13" t="n"/>
      <c r="H7" s="14" t="n"/>
      <c r="I7" s="21" t="inlineStr">
        <is>
          <t>F7858</t>
        </is>
      </c>
      <c r="J7" s="14" t="n"/>
      <c r="K7" s="21" t="inlineStr">
        <is>
          <t>F7935</t>
        </is>
      </c>
      <c r="L7" s="13" t="n"/>
      <c r="M7" s="13" t="n"/>
      <c r="N7" s="14" t="n"/>
      <c r="O7" s="21" t="inlineStr">
        <is>
          <t>F7998</t>
        </is>
      </c>
      <c r="P7" s="14" t="n"/>
      <c r="Q7" s="23" t="n"/>
      <c r="R7" s="14" t="n"/>
      <c r="S7" s="21" t="n"/>
      <c r="T7" s="14" t="n"/>
      <c r="U7" s="23" t="n"/>
      <c r="V7" s="14" t="n"/>
      <c r="W7" s="23" t="n"/>
      <c r="X7" s="14" t="n"/>
      <c r="Y7" s="23" t="n"/>
      <c r="Z7" s="14" t="n"/>
      <c r="AA7" s="23" t="n"/>
      <c r="AB7" s="14" t="n"/>
      <c r="AC7" s="24" t="n"/>
      <c r="AD7" s="14" t="n"/>
      <c r="AE7" s="25" t="n"/>
      <c r="AF7" s="26" t="inlineStr">
        <is>
          <t>ขนาดกระจก</t>
        </is>
      </c>
      <c r="AG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5" t="n"/>
      <c r="J8" s="34" t="n"/>
      <c r="K8" s="31" t="n"/>
      <c r="L8" s="32" t="n"/>
      <c r="M8" s="33" t="n"/>
      <c r="N8" s="34" t="n"/>
      <c r="O8" s="31" t="n"/>
      <c r="P8" s="32" t="n"/>
      <c r="Q8" s="31" t="n"/>
      <c r="R8" s="32" t="n"/>
      <c r="S8" s="35" t="n"/>
      <c r="T8" s="34" t="n"/>
      <c r="U8" s="31" t="n"/>
      <c r="V8" s="32" t="n"/>
      <c r="W8" s="31" t="n"/>
      <c r="X8" s="32" t="n"/>
      <c r="Y8" s="31" t="n"/>
      <c r="Z8" s="32" t="n"/>
      <c r="AA8" s="35" t="n"/>
      <c r="AB8" s="34" t="n"/>
      <c r="AC8" s="33" t="n"/>
      <c r="AD8" s="34" t="n"/>
      <c r="AE8" s="36" t="n"/>
      <c r="AF8" s="37" t="inlineStr">
        <is>
          <t>กรอบบาน</t>
        </is>
      </c>
      <c r="AG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คิ้ว ตั้ง</t>
        </is>
      </c>
      <c r="L9" s="43" t="n"/>
      <c r="M9" s="42" t="inlineStr">
        <is>
          <t>คิ้ว ขวาง</t>
        </is>
      </c>
      <c r="N9" s="43" t="n"/>
      <c r="O9" s="42" t="inlineStr">
        <is>
          <t>กล่องก้านสองทาง</t>
        </is>
      </c>
      <c r="P9" s="43" t="n"/>
      <c r="Q9" s="42" t="n"/>
      <c r="R9" s="43" t="n"/>
      <c r="S9" s="42" t="n"/>
      <c r="T9" s="43" t="n"/>
      <c r="U9" s="42" t="n"/>
      <c r="V9" s="43" t="n"/>
      <c r="W9" s="44" t="n"/>
      <c r="X9" s="43" t="n"/>
      <c r="Y9" s="44" t="n"/>
      <c r="Z9" s="43" t="n"/>
      <c r="AA9" s="44" t="n"/>
      <c r="AB9" s="43" t="n"/>
      <c r="AC9" s="42" t="n"/>
      <c r="AD9" s="43" t="n"/>
      <c r="AE9" s="45" t="inlineStr">
        <is>
          <t>H-35-35</t>
        </is>
      </c>
      <c r="AF9" s="45" t="inlineStr">
        <is>
          <t>คิ้ว-10-10</t>
        </is>
      </c>
      <c r="AG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</row>
    <row r="11" ht="40.2" customHeight="1">
      <c r="A11" s="83" t="inlineStr">
        <is>
          <t>W5</t>
        </is>
      </c>
      <c r="B11" s="84" t="n">
        <v>2085</v>
      </c>
      <c r="C11" s="85" t="n">
        <v>500</v>
      </c>
      <c r="D11" s="86" t="n">
        <v>1</v>
      </c>
      <c r="E11" s="123">
        <f>IF($A11="","",$B11)</f>
        <v/>
      </c>
      <c r="F11" s="85">
        <f>IF($A11="","",$L$54*$D11)</f>
        <v/>
      </c>
      <c r="G11" s="123">
        <f>IF($A11="","",$C11-$E$55-$F$55)</f>
        <v/>
      </c>
      <c r="H11" s="85">
        <f>IF($A11="","",$L$55*$D11)</f>
        <v/>
      </c>
      <c r="I11" s="123">
        <f>IF($A11="","",$C11-$E$56-$F$56)</f>
        <v/>
      </c>
      <c r="J11" s="85">
        <f>IF($A11="","",$L$56*$D11)</f>
        <v/>
      </c>
      <c r="K11" s="123">
        <f>IF($A11="","",$B11-$E$57-$F$57)</f>
        <v/>
      </c>
      <c r="L11" s="85">
        <f>IF($A11="","",$L$57*$D11)</f>
        <v/>
      </c>
      <c r="M11" s="123">
        <f>IF($A11="","",($C11-$E$58-$F$58-$G$58-$H$58)/3)</f>
        <v/>
      </c>
      <c r="N11" s="85">
        <f>IF($A11="","",$L$58*$D11)</f>
        <v/>
      </c>
      <c r="O11" s="123">
        <f>IF($A11="","",$B11-$E$59-$F$59)</f>
        <v/>
      </c>
      <c r="P11" s="85">
        <f>IF($A11="","",$L$59*$D11)</f>
        <v/>
      </c>
      <c r="Q11" s="123" t="n"/>
      <c r="R11" s="85" t="n"/>
      <c r="S11" s="123" t="n"/>
      <c r="T11" s="85" t="n"/>
      <c r="U11" s="123" t="n"/>
      <c r="V11" s="85" t="n"/>
      <c r="W11" s="123" t="n"/>
      <c r="X11" s="85" t="n"/>
      <c r="Y11" s="123" t="n"/>
      <c r="Z11" s="85" t="n"/>
      <c r="AA11" s="123" t="n"/>
      <c r="AB11" s="85" t="n"/>
      <c r="AC11" s="123" t="n"/>
      <c r="AD11" s="85" t="n"/>
      <c r="AE11" s="124">
        <f>IF($A11="","",$B11-35-35)</f>
        <v/>
      </c>
      <c r="AF11" s="124">
        <f>IF($A11="","",$M11-10-10)</f>
        <v/>
      </c>
      <c r="AG11" s="126">
        <f>IF($A11="","",3*$D11)</f>
        <v/>
      </c>
    </row>
    <row r="12" ht="40.2" customHeight="1">
      <c r="A12" s="83" t="n"/>
      <c r="B12" s="84" t="n"/>
      <c r="C12" s="85" t="n"/>
      <c r="D12" s="86" t="n"/>
      <c r="E12" s="128">
        <f>IF($A12="","",$B12)</f>
        <v/>
      </c>
      <c r="F12" s="129">
        <f>IF($A12="","",$L$54*$D12)</f>
        <v/>
      </c>
      <c r="G12" s="128">
        <f>IF($A12="","",$C12-$E$55-$F$55)</f>
        <v/>
      </c>
      <c r="H12" s="129">
        <f>IF($A12="","",$L$55*$D12)</f>
        <v/>
      </c>
      <c r="I12" s="128">
        <f>IF($A12="","",$C12-$E$56-$F$56)</f>
        <v/>
      </c>
      <c r="J12" s="129">
        <f>IF($A12="","",$L$56*$D12)</f>
        <v/>
      </c>
      <c r="K12" s="128">
        <f>IF($A12="","",$B12-$E$57-$F$57)</f>
        <v/>
      </c>
      <c r="L12" s="129">
        <f>IF($A12="","",$L$57*$D12)</f>
        <v/>
      </c>
      <c r="M12" s="128">
        <f>IF($A12="","",($C12-$E$58-$F$58-$G$58-$H$58)/3)</f>
        <v/>
      </c>
      <c r="N12" s="129">
        <f>IF($A12="","",$L$58*$D12)</f>
        <v/>
      </c>
      <c r="O12" s="128">
        <f>IF($A12="","",$B12-$E$59-$F$59)</f>
        <v/>
      </c>
      <c r="P12" s="129">
        <f>IF($A12="","",$L$59*$D12)</f>
        <v/>
      </c>
      <c r="Q12" s="128" t="n"/>
      <c r="R12" s="129" t="n"/>
      <c r="S12" s="128" t="n"/>
      <c r="T12" s="129" t="n"/>
      <c r="U12" s="128" t="n"/>
      <c r="V12" s="129" t="n"/>
      <c r="W12" s="128" t="n"/>
      <c r="X12" s="129" t="n"/>
      <c r="Y12" s="128" t="n"/>
      <c r="Z12" s="129" t="n"/>
      <c r="AA12" s="128" t="n"/>
      <c r="AB12" s="129" t="n"/>
      <c r="AC12" s="128" t="n"/>
      <c r="AD12" s="129" t="n"/>
      <c r="AE12" s="124">
        <f>IF($A12="","",$B12-35-35)</f>
        <v/>
      </c>
      <c r="AF12" s="124">
        <f>IF($A12="","",$M12-10-10)</f>
        <v/>
      </c>
      <c r="AG12" s="126">
        <f>IF($A12="","",3*$D12)</f>
        <v/>
      </c>
    </row>
    <row r="13" ht="40.2" customHeight="1">
      <c r="A13" s="83" t="n"/>
      <c r="B13" s="84" t="n"/>
      <c r="C13" s="85" t="n"/>
      <c r="D13" s="86" t="n"/>
      <c r="E13" s="123">
        <f>IF($A13="","",$B13)</f>
        <v/>
      </c>
      <c r="F13" s="85">
        <f>IF($A13="","",$L$54*$D13)</f>
        <v/>
      </c>
      <c r="G13" s="123">
        <f>IF($A13="","",$C13-$E$55-$F$55)</f>
        <v/>
      </c>
      <c r="H13" s="85">
        <f>IF($A13="","",$L$55*$D13)</f>
        <v/>
      </c>
      <c r="I13" s="123">
        <f>IF($A13="","",$C13-$E$56-$F$56)</f>
        <v/>
      </c>
      <c r="J13" s="85">
        <f>IF($A13="","",$L$56*$D13)</f>
        <v/>
      </c>
      <c r="K13" s="123">
        <f>IF($A13="","",$B13-$E$57-$F$57)</f>
        <v/>
      </c>
      <c r="L13" s="85">
        <f>IF($A13="","",$L$57*$D13)</f>
        <v/>
      </c>
      <c r="M13" s="123">
        <f>IF($A13="","",($C13-$E$58-$F$58-$G$58-$H$58)/3)</f>
        <v/>
      </c>
      <c r="N13" s="85">
        <f>IF($A13="","",$L$58*$D13)</f>
        <v/>
      </c>
      <c r="O13" s="123">
        <f>IF($A13="","",$B13-$E$59-$F$59)</f>
        <v/>
      </c>
      <c r="P13" s="85">
        <f>IF($A13="","",$L$59*$D13)</f>
        <v/>
      </c>
      <c r="Q13" s="123" t="n"/>
      <c r="R13" s="85" t="n"/>
      <c r="S13" s="123" t="n"/>
      <c r="T13" s="85" t="n"/>
      <c r="U13" s="123" t="n"/>
      <c r="V13" s="85" t="n"/>
      <c r="W13" s="123" t="n"/>
      <c r="X13" s="85" t="n"/>
      <c r="Y13" s="123" t="n"/>
      <c r="Z13" s="85" t="n"/>
      <c r="AA13" s="123" t="n"/>
      <c r="AB13" s="85" t="n"/>
      <c r="AC13" s="123" t="n"/>
      <c r="AD13" s="85" t="n"/>
      <c r="AE13" s="124">
        <f>IF($A13="","",$B13-35-35)</f>
        <v/>
      </c>
      <c r="AF13" s="124">
        <f>IF($A13="","",$M13-10-10)</f>
        <v/>
      </c>
      <c r="AG13" s="126">
        <f>IF($A13="","",3*$D13)</f>
        <v/>
      </c>
    </row>
    <row r="14" ht="40.2" customHeight="1">
      <c r="A14" s="83" t="n"/>
      <c r="B14" s="84" t="n"/>
      <c r="C14" s="85" t="n"/>
      <c r="D14" s="86" t="n"/>
      <c r="E14" s="128">
        <f>IF($A14="","",$B14)</f>
        <v/>
      </c>
      <c r="F14" s="129">
        <f>IF($A14="","",$L$54*$D14)</f>
        <v/>
      </c>
      <c r="G14" s="128">
        <f>IF($A14="","",$C14-$E$55-$F$55)</f>
        <v/>
      </c>
      <c r="H14" s="129">
        <f>IF($A14="","",$L$55*$D14)</f>
        <v/>
      </c>
      <c r="I14" s="128">
        <f>IF($A14="","",$C14-$E$56-$F$56)</f>
        <v/>
      </c>
      <c r="J14" s="129">
        <f>IF($A14="","",$L$56*$D14)</f>
        <v/>
      </c>
      <c r="K14" s="128">
        <f>IF($A14="","",$B14-$E$57-$F$57)</f>
        <v/>
      </c>
      <c r="L14" s="129">
        <f>IF($A14="","",$L$57*$D14)</f>
        <v/>
      </c>
      <c r="M14" s="128">
        <f>IF($A14="","",($C14-$E$58-$F$58-$G$58-$H$58)/3)</f>
        <v/>
      </c>
      <c r="N14" s="129">
        <f>IF($A14="","",$L$58*$D14)</f>
        <v/>
      </c>
      <c r="O14" s="128">
        <f>IF($A14="","",$B14-$E$59-$F$59)</f>
        <v/>
      </c>
      <c r="P14" s="129">
        <f>IF($A14="","",$L$59*$D14)</f>
        <v/>
      </c>
      <c r="Q14" s="128" t="n"/>
      <c r="R14" s="129" t="n"/>
      <c r="S14" s="128" t="n"/>
      <c r="T14" s="129" t="n"/>
      <c r="U14" s="128" t="n"/>
      <c r="V14" s="129" t="n"/>
      <c r="W14" s="128" t="n"/>
      <c r="X14" s="129" t="n"/>
      <c r="Y14" s="128" t="n"/>
      <c r="Z14" s="129" t="n"/>
      <c r="AA14" s="128" t="n"/>
      <c r="AB14" s="129" t="n"/>
      <c r="AC14" s="128" t="n"/>
      <c r="AD14" s="129" t="n"/>
      <c r="AE14" s="124">
        <f>IF($A14="","",$B14-35-35)</f>
        <v/>
      </c>
      <c r="AF14" s="124">
        <f>IF($A14="","",$M14-10-10)</f>
        <v/>
      </c>
      <c r="AG14" s="126">
        <f>IF($A14="","",3*$D14)</f>
        <v/>
      </c>
    </row>
    <row r="15" ht="40.2" customHeight="1">
      <c r="A15" s="83" t="n"/>
      <c r="B15" s="84" t="n"/>
      <c r="C15" s="85" t="n"/>
      <c r="D15" s="86" t="n"/>
      <c r="E15" s="123">
        <f>IF($A15="","",$B15)</f>
        <v/>
      </c>
      <c r="F15" s="85">
        <f>IF($A15="","",$L$54*$D15)</f>
        <v/>
      </c>
      <c r="G15" s="123">
        <f>IF($A15="","",$C15-$E$55-$F$55)</f>
        <v/>
      </c>
      <c r="H15" s="85">
        <f>IF($A15="","",$L$55*$D15)</f>
        <v/>
      </c>
      <c r="I15" s="123">
        <f>IF($A15="","",$C15-$E$56-$F$56)</f>
        <v/>
      </c>
      <c r="J15" s="85">
        <f>IF($A15="","",$L$56*$D15)</f>
        <v/>
      </c>
      <c r="K15" s="123">
        <f>IF($A15="","",$B15-$E$57-$F$57)</f>
        <v/>
      </c>
      <c r="L15" s="85">
        <f>IF($A15="","",$L$57*$D15)</f>
        <v/>
      </c>
      <c r="M15" s="123">
        <f>IF($A15="","",($C15-$E$58-$F$58-$G$58-$H$58)/3)</f>
        <v/>
      </c>
      <c r="N15" s="85">
        <f>IF($A15="","",$L$58*$D15)</f>
        <v/>
      </c>
      <c r="O15" s="123">
        <f>IF($A15="","",$B15-$E$59-$F$59)</f>
        <v/>
      </c>
      <c r="P15" s="85">
        <f>IF($A15="","",$L$59*$D15)</f>
        <v/>
      </c>
      <c r="Q15" s="123" t="n"/>
      <c r="R15" s="85" t="n"/>
      <c r="S15" s="123" t="n"/>
      <c r="T15" s="85" t="n"/>
      <c r="U15" s="123" t="n"/>
      <c r="V15" s="85" t="n"/>
      <c r="W15" s="123" t="n"/>
      <c r="X15" s="85" t="n"/>
      <c r="Y15" s="123" t="n"/>
      <c r="Z15" s="85" t="n"/>
      <c r="AA15" s="123" t="n"/>
      <c r="AB15" s="85" t="n"/>
      <c r="AC15" s="123" t="n"/>
      <c r="AD15" s="85" t="n"/>
      <c r="AE15" s="124">
        <f>IF($A15="","",$B15-35-35)</f>
        <v/>
      </c>
      <c r="AF15" s="124">
        <f>IF($A15="","",$M15-10-10)</f>
        <v/>
      </c>
      <c r="AG15" s="126">
        <f>IF($A15="","",3*$D15)</f>
        <v/>
      </c>
    </row>
    <row r="16" ht="40.2" customHeight="1">
      <c r="A16" s="83" t="n"/>
      <c r="B16" s="84" t="n"/>
      <c r="C16" s="85" t="n"/>
      <c r="D16" s="86" t="n"/>
      <c r="E16" s="128">
        <f>IF($A16="","",$B16)</f>
        <v/>
      </c>
      <c r="F16" s="129">
        <f>IF($A16="","",$L$54*$D16)</f>
        <v/>
      </c>
      <c r="G16" s="128">
        <f>IF($A16="","",$C16-$E$55-$F$55)</f>
        <v/>
      </c>
      <c r="H16" s="129">
        <f>IF($A16="","",$L$55*$D16)</f>
        <v/>
      </c>
      <c r="I16" s="128">
        <f>IF($A16="","",$C16-$E$56-$F$56)</f>
        <v/>
      </c>
      <c r="J16" s="129">
        <f>IF($A16="","",$L$56*$D16)</f>
        <v/>
      </c>
      <c r="K16" s="128">
        <f>IF($A16="","",$B16-$E$57-$F$57)</f>
        <v/>
      </c>
      <c r="L16" s="129">
        <f>IF($A16="","",$L$57*$D16)</f>
        <v/>
      </c>
      <c r="M16" s="128">
        <f>IF($A16="","",($C16-$E$58-$F$58-$G$58-$H$58)/3)</f>
        <v/>
      </c>
      <c r="N16" s="129">
        <f>IF($A16="","",$L$58*$D16)</f>
        <v/>
      </c>
      <c r="O16" s="128">
        <f>IF($A16="","",$B16-$E$59-$F$59)</f>
        <v/>
      </c>
      <c r="P16" s="129">
        <f>IF($A16="","",$L$59*$D16)</f>
        <v/>
      </c>
      <c r="Q16" s="128" t="n"/>
      <c r="R16" s="129" t="n"/>
      <c r="S16" s="128" t="n"/>
      <c r="T16" s="129" t="n"/>
      <c r="U16" s="128" t="n"/>
      <c r="V16" s="129" t="n"/>
      <c r="W16" s="128" t="n"/>
      <c r="X16" s="129" t="n"/>
      <c r="Y16" s="128" t="n"/>
      <c r="Z16" s="129" t="n"/>
      <c r="AA16" s="128" t="n"/>
      <c r="AB16" s="129" t="n"/>
      <c r="AC16" s="128" t="n"/>
      <c r="AD16" s="129" t="n"/>
      <c r="AE16" s="124">
        <f>IF($A16="","",$B16-35-35)</f>
        <v/>
      </c>
      <c r="AF16" s="124">
        <f>IF($A16="","",$M16-10-10)</f>
        <v/>
      </c>
      <c r="AG16" s="126">
        <f>IF($A16="","",3*$D16)</f>
        <v/>
      </c>
    </row>
    <row r="17" ht="40.2" customHeight="1">
      <c r="A17" s="83" t="n"/>
      <c r="B17" s="84" t="n"/>
      <c r="C17" s="85" t="n"/>
      <c r="D17" s="86" t="n"/>
      <c r="E17" s="123">
        <f>IF($A17="","",$B17)</f>
        <v/>
      </c>
      <c r="F17" s="85">
        <f>IF($A17="","",$L$54*$D17)</f>
        <v/>
      </c>
      <c r="G17" s="123">
        <f>IF($A17="","",$C17-$E$55-$F$55)</f>
        <v/>
      </c>
      <c r="H17" s="85">
        <f>IF($A17="","",$L$55*$D17)</f>
        <v/>
      </c>
      <c r="I17" s="123">
        <f>IF($A17="","",$C17-$E$56-$F$56)</f>
        <v/>
      </c>
      <c r="J17" s="85">
        <f>IF($A17="","",$L$56*$D17)</f>
        <v/>
      </c>
      <c r="K17" s="123">
        <f>IF($A17="","",$B17-$E$57-$F$57)</f>
        <v/>
      </c>
      <c r="L17" s="85">
        <f>IF($A17="","",$L$57*$D17)</f>
        <v/>
      </c>
      <c r="M17" s="123">
        <f>IF($A17="","",($C17-$E$58-$F$58-$G$58-$H$58)/3)</f>
        <v/>
      </c>
      <c r="N17" s="85">
        <f>IF($A17="","",$L$58*$D17)</f>
        <v/>
      </c>
      <c r="O17" s="123">
        <f>IF($A17="","",$B17-$E$59-$F$59)</f>
        <v/>
      </c>
      <c r="P17" s="85">
        <f>IF($A17="","",$L$59*$D17)</f>
        <v/>
      </c>
      <c r="Q17" s="123" t="n"/>
      <c r="R17" s="85" t="n"/>
      <c r="S17" s="123" t="n"/>
      <c r="T17" s="85" t="n"/>
      <c r="U17" s="123" t="n"/>
      <c r="V17" s="85" t="n"/>
      <c r="W17" s="123" t="n"/>
      <c r="X17" s="85" t="n"/>
      <c r="Y17" s="123" t="n"/>
      <c r="Z17" s="85" t="n"/>
      <c r="AA17" s="123" t="n"/>
      <c r="AB17" s="85" t="n"/>
      <c r="AC17" s="123" t="n"/>
      <c r="AD17" s="85" t="n"/>
      <c r="AE17" s="124">
        <f>IF($A17="","",$B17-35-35)</f>
        <v/>
      </c>
      <c r="AF17" s="124">
        <f>IF($A17="","",$M17-10-10)</f>
        <v/>
      </c>
      <c r="AG17" s="126">
        <f>IF($A17="","",3*$D17)</f>
        <v/>
      </c>
    </row>
    <row r="18" ht="40.2" customHeight="1">
      <c r="A18" s="83" t="n"/>
      <c r="B18" s="84" t="n"/>
      <c r="C18" s="85" t="n"/>
      <c r="D18" s="86" t="n"/>
      <c r="E18" s="128">
        <f>IF($A18="","",$B18)</f>
        <v/>
      </c>
      <c r="F18" s="129">
        <f>IF($A18="","",$L$54*$D18)</f>
        <v/>
      </c>
      <c r="G18" s="128">
        <f>IF($A18="","",$C18-$E$55-$F$55)</f>
        <v/>
      </c>
      <c r="H18" s="129">
        <f>IF($A18="","",$L$55*$D18)</f>
        <v/>
      </c>
      <c r="I18" s="128">
        <f>IF($A18="","",$C18-$E$56-$F$56)</f>
        <v/>
      </c>
      <c r="J18" s="129">
        <f>IF($A18="","",$L$56*$D18)</f>
        <v/>
      </c>
      <c r="K18" s="128">
        <f>IF($A18="","",$B18-$E$57-$F$57)</f>
        <v/>
      </c>
      <c r="L18" s="129">
        <f>IF($A18="","",$L$57*$D18)</f>
        <v/>
      </c>
      <c r="M18" s="128">
        <f>IF($A18="","",($C18-$E$58-$F$58-$G$58-$H$58)/3)</f>
        <v/>
      </c>
      <c r="N18" s="129">
        <f>IF($A18="","",$L$58*$D18)</f>
        <v/>
      </c>
      <c r="O18" s="128">
        <f>IF($A18="","",$B18-$E$59-$F$59)</f>
        <v/>
      </c>
      <c r="P18" s="129">
        <f>IF($A18="","",$L$59*$D18)</f>
        <v/>
      </c>
      <c r="Q18" s="128" t="n"/>
      <c r="R18" s="129" t="n"/>
      <c r="S18" s="128" t="n"/>
      <c r="T18" s="129" t="n"/>
      <c r="U18" s="128" t="n"/>
      <c r="V18" s="129" t="n"/>
      <c r="W18" s="128" t="n"/>
      <c r="X18" s="129" t="n"/>
      <c r="Y18" s="128" t="n"/>
      <c r="Z18" s="129" t="n"/>
      <c r="AA18" s="128" t="n"/>
      <c r="AB18" s="129" t="n"/>
      <c r="AC18" s="128" t="n"/>
      <c r="AD18" s="129" t="n"/>
      <c r="AE18" s="124">
        <f>IF($A18="","",$B18-35-35)</f>
        <v/>
      </c>
      <c r="AF18" s="124">
        <f>IF($A18="","",$M18-10-10)</f>
        <v/>
      </c>
      <c r="AG18" s="126">
        <f>IF($A18="","",3*$D18)</f>
        <v/>
      </c>
    </row>
    <row r="19" ht="40.2" customHeight="1">
      <c r="A19" s="83" t="n"/>
      <c r="B19" s="84" t="n"/>
      <c r="C19" s="85" t="n"/>
      <c r="D19" s="86" t="n"/>
      <c r="E19" s="123">
        <f>IF($A19="","",$B19)</f>
        <v/>
      </c>
      <c r="F19" s="85">
        <f>IF($A19="","",$L$54*$D19)</f>
        <v/>
      </c>
      <c r="G19" s="123">
        <f>IF($A19="","",$C19-$E$55-$F$55)</f>
        <v/>
      </c>
      <c r="H19" s="85">
        <f>IF($A19="","",$L$55*$D19)</f>
        <v/>
      </c>
      <c r="I19" s="123">
        <f>IF($A19="","",$C19-$E$56-$F$56)</f>
        <v/>
      </c>
      <c r="J19" s="85">
        <f>IF($A19="","",$L$56*$D19)</f>
        <v/>
      </c>
      <c r="K19" s="123">
        <f>IF($A19="","",$B19-$E$57-$F$57)</f>
        <v/>
      </c>
      <c r="L19" s="85">
        <f>IF($A19="","",$L$57*$D19)</f>
        <v/>
      </c>
      <c r="M19" s="123">
        <f>IF($A19="","",($C19-$E$58-$F$58-$G$58-$H$58)/3)</f>
        <v/>
      </c>
      <c r="N19" s="85">
        <f>IF($A19="","",$L$58*$D19)</f>
        <v/>
      </c>
      <c r="O19" s="123">
        <f>IF($A19="","",$B19-$E$59-$F$59)</f>
        <v/>
      </c>
      <c r="P19" s="85">
        <f>IF($A19="","",$L$59*$D19)</f>
        <v/>
      </c>
      <c r="Q19" s="123" t="n"/>
      <c r="R19" s="85" t="n"/>
      <c r="S19" s="123" t="n"/>
      <c r="T19" s="85" t="n"/>
      <c r="U19" s="123" t="n"/>
      <c r="V19" s="85" t="n"/>
      <c r="W19" s="123" t="n"/>
      <c r="X19" s="85" t="n"/>
      <c r="Y19" s="123" t="n"/>
      <c r="Z19" s="85" t="n"/>
      <c r="AA19" s="123" t="n"/>
      <c r="AB19" s="85" t="n"/>
      <c r="AC19" s="123" t="n"/>
      <c r="AD19" s="85" t="n"/>
      <c r="AE19" s="124">
        <f>IF($A19="","",$B19-35-35)</f>
        <v/>
      </c>
      <c r="AF19" s="124">
        <f>IF($A19="","",$M19-10-10)</f>
        <v/>
      </c>
      <c r="AG19" s="126">
        <f>IF($A19="","",3*$D19)</f>
        <v/>
      </c>
    </row>
    <row r="20" ht="40.2" customHeight="1">
      <c r="A20" s="83" t="n"/>
      <c r="B20" s="84" t="n"/>
      <c r="C20" s="85" t="n"/>
      <c r="D20" s="86" t="n"/>
      <c r="E20" s="128">
        <f>IF($A20="","",$B20)</f>
        <v/>
      </c>
      <c r="F20" s="129">
        <f>IF($A20="","",$L$54*$D20)</f>
        <v/>
      </c>
      <c r="G20" s="128">
        <f>IF($A20="","",$C20-$E$55-$F$55)</f>
        <v/>
      </c>
      <c r="H20" s="129">
        <f>IF($A20="","",$L$55*$D20)</f>
        <v/>
      </c>
      <c r="I20" s="128">
        <f>IF($A20="","",$C20-$E$56-$F$56)</f>
        <v/>
      </c>
      <c r="J20" s="129">
        <f>IF($A20="","",$L$56*$D20)</f>
        <v/>
      </c>
      <c r="K20" s="128">
        <f>IF($A20="","",$B20-$E$57-$F$57)</f>
        <v/>
      </c>
      <c r="L20" s="129">
        <f>IF($A20="","",$L$57*$D20)</f>
        <v/>
      </c>
      <c r="M20" s="128">
        <f>IF($A20="","",($C20-$E$58-$F$58-$G$58-$H$58)/3)</f>
        <v/>
      </c>
      <c r="N20" s="129">
        <f>IF($A20="","",$L$58*$D20)</f>
        <v/>
      </c>
      <c r="O20" s="128">
        <f>IF($A20="","",$B20-$E$59-$F$59)</f>
        <v/>
      </c>
      <c r="P20" s="129">
        <f>IF($A20="","",$L$59*$D20)</f>
        <v/>
      </c>
      <c r="Q20" s="128" t="n"/>
      <c r="R20" s="129" t="n"/>
      <c r="S20" s="128" t="n"/>
      <c r="T20" s="129" t="n"/>
      <c r="U20" s="128" t="n"/>
      <c r="V20" s="129" t="n"/>
      <c r="W20" s="128" t="n"/>
      <c r="X20" s="129" t="n"/>
      <c r="Y20" s="128" t="n"/>
      <c r="Z20" s="129" t="n"/>
      <c r="AA20" s="128" t="n"/>
      <c r="AB20" s="129" t="n"/>
      <c r="AC20" s="128" t="n"/>
      <c r="AD20" s="129" t="n"/>
      <c r="AE20" s="124">
        <f>IF($A20="","",$B20-35-35)</f>
        <v/>
      </c>
      <c r="AF20" s="124">
        <f>IF($A20="","",$M20-10-10)</f>
        <v/>
      </c>
      <c r="AG20" s="126">
        <f>IF($A20="","",3*$D20)</f>
        <v/>
      </c>
    </row>
    <row r="21" ht="40.2" customHeight="1">
      <c r="A21" s="83" t="n"/>
      <c r="B21" s="84" t="n"/>
      <c r="C21" s="85" t="n"/>
      <c r="D21" s="86" t="n"/>
      <c r="E21" s="123">
        <f>IF($A21="","",$B21)</f>
        <v/>
      </c>
      <c r="F21" s="85">
        <f>IF($A21="","",$L$54*$D21)</f>
        <v/>
      </c>
      <c r="G21" s="123">
        <f>IF($A21="","",$C21-$E$55-$F$55)</f>
        <v/>
      </c>
      <c r="H21" s="85">
        <f>IF($A21="","",$L$55*$D21)</f>
        <v/>
      </c>
      <c r="I21" s="123">
        <f>IF($A21="","",$C21-$E$56-$F$56)</f>
        <v/>
      </c>
      <c r="J21" s="85">
        <f>IF($A21="","",$L$56*$D21)</f>
        <v/>
      </c>
      <c r="K21" s="123">
        <f>IF($A21="","",$B21-$E$57-$F$57)</f>
        <v/>
      </c>
      <c r="L21" s="85">
        <f>IF($A21="","",$L$57*$D21)</f>
        <v/>
      </c>
      <c r="M21" s="123">
        <f>IF($A21="","",($C21-$E$58-$F$58-$G$58-$H$58)/3)</f>
        <v/>
      </c>
      <c r="N21" s="85">
        <f>IF($A21="","",$L$58*$D21)</f>
        <v/>
      </c>
      <c r="O21" s="123">
        <f>IF($A21="","",$B21-$E$59-$F$59)</f>
        <v/>
      </c>
      <c r="P21" s="85">
        <f>IF($A21="","",$L$59*$D21)</f>
        <v/>
      </c>
      <c r="Q21" s="123" t="n"/>
      <c r="R21" s="85" t="n"/>
      <c r="S21" s="123" t="n"/>
      <c r="T21" s="85" t="n"/>
      <c r="U21" s="123" t="n"/>
      <c r="V21" s="85" t="n"/>
      <c r="W21" s="123" t="n"/>
      <c r="X21" s="85" t="n"/>
      <c r="Y21" s="123" t="n"/>
      <c r="Z21" s="85" t="n"/>
      <c r="AA21" s="123" t="n"/>
      <c r="AB21" s="85" t="n"/>
      <c r="AC21" s="123" t="n"/>
      <c r="AD21" s="85" t="n"/>
      <c r="AE21" s="124">
        <f>IF($A21="","",$B21-35-35)</f>
        <v/>
      </c>
      <c r="AF21" s="124">
        <f>IF($A21="","",$M21-10-10)</f>
        <v/>
      </c>
      <c r="AG21" s="126">
        <f>IF($A21="","",3*$D21)</f>
        <v/>
      </c>
    </row>
    <row r="22" ht="40.2" customHeight="1">
      <c r="A22" s="83" t="n"/>
      <c r="B22" s="84" t="n"/>
      <c r="C22" s="85" t="n"/>
      <c r="D22" s="86" t="n"/>
      <c r="E22" s="128">
        <f>IF($A22="","",$B22)</f>
        <v/>
      </c>
      <c r="F22" s="129">
        <f>IF($A22="","",$L$54*$D22)</f>
        <v/>
      </c>
      <c r="G22" s="128">
        <f>IF($A22="","",$C22-$E$55-$F$55)</f>
        <v/>
      </c>
      <c r="H22" s="129">
        <f>IF($A22="","",$L$55*$D22)</f>
        <v/>
      </c>
      <c r="I22" s="128">
        <f>IF($A22="","",$C22-$E$56-$F$56)</f>
        <v/>
      </c>
      <c r="J22" s="129">
        <f>IF($A22="","",$L$56*$D22)</f>
        <v/>
      </c>
      <c r="K22" s="128">
        <f>IF($A22="","",$B22-$E$57-$F$57)</f>
        <v/>
      </c>
      <c r="L22" s="129">
        <f>IF($A22="","",$L$57*$D22)</f>
        <v/>
      </c>
      <c r="M22" s="128">
        <f>IF($A22="","",($C22-$E$58-$F$58-$G$58-$H$58)/3)</f>
        <v/>
      </c>
      <c r="N22" s="129">
        <f>IF($A22="","",$L$58*$D22)</f>
        <v/>
      </c>
      <c r="O22" s="128">
        <f>IF($A22="","",$B22-$E$59-$F$59)</f>
        <v/>
      </c>
      <c r="P22" s="129">
        <f>IF($A22="","",$L$59*$D22)</f>
        <v/>
      </c>
      <c r="Q22" s="128" t="n"/>
      <c r="R22" s="129" t="n"/>
      <c r="S22" s="128" t="n"/>
      <c r="T22" s="129" t="n"/>
      <c r="U22" s="128" t="n"/>
      <c r="V22" s="129" t="n"/>
      <c r="W22" s="128" t="n"/>
      <c r="X22" s="129" t="n"/>
      <c r="Y22" s="128" t="n"/>
      <c r="Z22" s="129" t="n"/>
      <c r="AA22" s="128" t="n"/>
      <c r="AB22" s="129" t="n"/>
      <c r="AC22" s="128" t="n"/>
      <c r="AD22" s="129" t="n"/>
      <c r="AE22" s="124">
        <f>IF($A22="","",$B22-35-35)</f>
        <v/>
      </c>
      <c r="AF22" s="124">
        <f>IF($A22="","",$M22-10-10)</f>
        <v/>
      </c>
      <c r="AG22" s="126">
        <f>IF($A22="","",3*$D22)</f>
        <v/>
      </c>
    </row>
    <row r="23" ht="40.2" customHeight="1">
      <c r="A23" s="83" t="n"/>
      <c r="B23" s="84" t="n"/>
      <c r="C23" s="85" t="n"/>
      <c r="D23" s="86" t="n"/>
      <c r="E23" s="123">
        <f>IF($A23="","",$B23)</f>
        <v/>
      </c>
      <c r="F23" s="85">
        <f>IF($A23="","",$L$54*$D23)</f>
        <v/>
      </c>
      <c r="G23" s="123">
        <f>IF($A23="","",$C23-$E$55-$F$55)</f>
        <v/>
      </c>
      <c r="H23" s="85">
        <f>IF($A23="","",$L$55*$D23)</f>
        <v/>
      </c>
      <c r="I23" s="123">
        <f>IF($A23="","",$C23-$E$56-$F$56)</f>
        <v/>
      </c>
      <c r="J23" s="85">
        <f>IF($A23="","",$L$56*$D23)</f>
        <v/>
      </c>
      <c r="K23" s="123">
        <f>IF($A23="","",$B23-$E$57-$F$57)</f>
        <v/>
      </c>
      <c r="L23" s="85">
        <f>IF($A23="","",$L$57*$D23)</f>
        <v/>
      </c>
      <c r="M23" s="123">
        <f>IF($A23="","",($C23-$E$58-$F$58-$G$58-$H$58)/3)</f>
        <v/>
      </c>
      <c r="N23" s="85">
        <f>IF($A23="","",$L$58*$D23)</f>
        <v/>
      </c>
      <c r="O23" s="123">
        <f>IF($A23="","",$B23-$E$59-$F$59)</f>
        <v/>
      </c>
      <c r="P23" s="85">
        <f>IF($A23="","",$L$59*$D23)</f>
        <v/>
      </c>
      <c r="Q23" s="123" t="n"/>
      <c r="R23" s="85" t="n"/>
      <c r="S23" s="123" t="n"/>
      <c r="T23" s="85" t="n"/>
      <c r="U23" s="123" t="n"/>
      <c r="V23" s="85" t="n"/>
      <c r="W23" s="123" t="n"/>
      <c r="X23" s="85" t="n"/>
      <c r="Y23" s="123" t="n"/>
      <c r="Z23" s="85" t="n"/>
      <c r="AA23" s="123" t="n"/>
      <c r="AB23" s="85" t="n"/>
      <c r="AC23" s="123" t="n"/>
      <c r="AD23" s="85" t="n"/>
      <c r="AE23" s="124">
        <f>IF($A23="","",$B23-35-35)</f>
        <v/>
      </c>
      <c r="AF23" s="124">
        <f>IF($A23="","",$M23-10-10)</f>
        <v/>
      </c>
      <c r="AG23" s="126">
        <f>IF($A23="","",3*$D23)</f>
        <v/>
      </c>
    </row>
    <row r="24" ht="40.2" customHeight="1">
      <c r="A24" s="83" t="n"/>
      <c r="B24" s="84" t="n"/>
      <c r="C24" s="85" t="n"/>
      <c r="D24" s="86" t="n"/>
      <c r="E24" s="128">
        <f>IF($A24="","",$B24)</f>
        <v/>
      </c>
      <c r="F24" s="129">
        <f>IF($A24="","",$L$54*$D24)</f>
        <v/>
      </c>
      <c r="G24" s="128">
        <f>IF($A24="","",$C24-$E$55-$F$55)</f>
        <v/>
      </c>
      <c r="H24" s="129">
        <f>IF($A24="","",$L$55*$D24)</f>
        <v/>
      </c>
      <c r="I24" s="128">
        <f>IF($A24="","",$C24-$E$56-$F$56)</f>
        <v/>
      </c>
      <c r="J24" s="129">
        <f>IF($A24="","",$L$56*$D24)</f>
        <v/>
      </c>
      <c r="K24" s="128">
        <f>IF($A24="","",$B24-$E$57-$F$57)</f>
        <v/>
      </c>
      <c r="L24" s="129">
        <f>IF($A24="","",$L$57*$D24)</f>
        <v/>
      </c>
      <c r="M24" s="128">
        <f>IF($A24="","",($C24-$E$58-$F$58-$G$58-$H$58)/3)</f>
        <v/>
      </c>
      <c r="N24" s="129">
        <f>IF($A24="","",$L$58*$D24)</f>
        <v/>
      </c>
      <c r="O24" s="128">
        <f>IF($A24="","",$B24-$E$59-$F$59)</f>
        <v/>
      </c>
      <c r="P24" s="129">
        <f>IF($A24="","",$L$59*$D24)</f>
        <v/>
      </c>
      <c r="Q24" s="128" t="n"/>
      <c r="R24" s="129" t="n"/>
      <c r="S24" s="128" t="n"/>
      <c r="T24" s="129" t="n"/>
      <c r="U24" s="128" t="n"/>
      <c r="V24" s="129" t="n"/>
      <c r="W24" s="128" t="n"/>
      <c r="X24" s="129" t="n"/>
      <c r="Y24" s="128" t="n"/>
      <c r="Z24" s="129" t="n"/>
      <c r="AA24" s="128" t="n"/>
      <c r="AB24" s="129" t="n"/>
      <c r="AC24" s="128" t="n"/>
      <c r="AD24" s="129" t="n"/>
      <c r="AE24" s="124">
        <f>IF($A24="","",$B24-35-35)</f>
        <v/>
      </c>
      <c r="AF24" s="124">
        <f>IF($A24="","",$M24-10-10)</f>
        <v/>
      </c>
      <c r="AG24" s="126">
        <f>IF($A24="","",3*$D24)</f>
        <v/>
      </c>
    </row>
    <row r="25" ht="40.2" customHeight="1">
      <c r="A25" s="83" t="n"/>
      <c r="B25" s="84" t="n"/>
      <c r="C25" s="85" t="n"/>
      <c r="D25" s="86" t="n"/>
      <c r="E25" s="123">
        <f>IF($A25="","",$B25)</f>
        <v/>
      </c>
      <c r="F25" s="85">
        <f>IF($A25="","",$L$54*$D25)</f>
        <v/>
      </c>
      <c r="G25" s="123">
        <f>IF($A25="","",$C25-$E$55-$F$55)</f>
        <v/>
      </c>
      <c r="H25" s="85">
        <f>IF($A25="","",$L$55*$D25)</f>
        <v/>
      </c>
      <c r="I25" s="123">
        <f>IF($A25="","",$C25-$E$56-$F$56)</f>
        <v/>
      </c>
      <c r="J25" s="85">
        <f>IF($A25="","",$L$56*$D25)</f>
        <v/>
      </c>
      <c r="K25" s="123">
        <f>IF($A25="","",$B25-$E$57-$F$57)</f>
        <v/>
      </c>
      <c r="L25" s="85">
        <f>IF($A25="","",$L$57*$D25)</f>
        <v/>
      </c>
      <c r="M25" s="123">
        <f>IF($A25="","",($C25-$E$58-$F$58-$G$58-$H$58)/3)</f>
        <v/>
      </c>
      <c r="N25" s="85">
        <f>IF($A25="","",$L$58*$D25)</f>
        <v/>
      </c>
      <c r="O25" s="123">
        <f>IF($A25="","",$B25-$E$59-$F$59)</f>
        <v/>
      </c>
      <c r="P25" s="85">
        <f>IF($A25="","",$L$59*$D25)</f>
        <v/>
      </c>
      <c r="Q25" s="123" t="n"/>
      <c r="R25" s="85" t="n"/>
      <c r="S25" s="123" t="n"/>
      <c r="T25" s="85" t="n"/>
      <c r="U25" s="123" t="n"/>
      <c r="V25" s="85" t="n"/>
      <c r="W25" s="123" t="n"/>
      <c r="X25" s="85" t="n"/>
      <c r="Y25" s="123" t="n"/>
      <c r="Z25" s="85" t="n"/>
      <c r="AA25" s="123" t="n"/>
      <c r="AB25" s="85" t="n"/>
      <c r="AC25" s="123" t="n"/>
      <c r="AD25" s="85" t="n"/>
      <c r="AE25" s="124">
        <f>IF($A25="","",$B25-35-35)</f>
        <v/>
      </c>
      <c r="AF25" s="124">
        <f>IF($A25="","",$M25-10-10)</f>
        <v/>
      </c>
      <c r="AG25" s="126">
        <f>IF($A25="","",3*$D25)</f>
        <v/>
      </c>
    </row>
    <row r="26" ht="40.2" customHeight="1">
      <c r="A26" s="83" t="n"/>
      <c r="B26" s="84" t="n"/>
      <c r="C26" s="85" t="n"/>
      <c r="D26" s="86" t="n"/>
      <c r="E26" s="128">
        <f>IF($A26="","",$B26)</f>
        <v/>
      </c>
      <c r="F26" s="129">
        <f>IF($A26="","",$L$54*$D26)</f>
        <v/>
      </c>
      <c r="G26" s="128">
        <f>IF($A26="","",$C26-$E$55-$F$55)</f>
        <v/>
      </c>
      <c r="H26" s="129">
        <f>IF($A26="","",$L$55*$D26)</f>
        <v/>
      </c>
      <c r="I26" s="128">
        <f>IF($A26="","",$C26-$E$56-$F$56)</f>
        <v/>
      </c>
      <c r="J26" s="129">
        <f>IF($A26="","",$L$56*$D26)</f>
        <v/>
      </c>
      <c r="K26" s="128">
        <f>IF($A26="","",$B26-$E$57-$F$57)</f>
        <v/>
      </c>
      <c r="L26" s="129">
        <f>IF($A26="","",$L$57*$D26)</f>
        <v/>
      </c>
      <c r="M26" s="128">
        <f>IF($A26="","",($C26-$E$58-$F$58-$G$58-$H$58)/3)</f>
        <v/>
      </c>
      <c r="N26" s="129">
        <f>IF($A26="","",$L$58*$D26)</f>
        <v/>
      </c>
      <c r="O26" s="128">
        <f>IF($A26="","",$B26-$E$59-$F$59)</f>
        <v/>
      </c>
      <c r="P26" s="129">
        <f>IF($A26="","",$L$59*$D26)</f>
        <v/>
      </c>
      <c r="Q26" s="128" t="n"/>
      <c r="R26" s="129" t="n"/>
      <c r="S26" s="128" t="n"/>
      <c r="T26" s="129" t="n"/>
      <c r="U26" s="128" t="n"/>
      <c r="V26" s="129" t="n"/>
      <c r="W26" s="128" t="n"/>
      <c r="X26" s="129" t="n"/>
      <c r="Y26" s="128" t="n"/>
      <c r="Z26" s="129" t="n"/>
      <c r="AA26" s="128" t="n"/>
      <c r="AB26" s="129" t="n"/>
      <c r="AC26" s="128" t="n"/>
      <c r="AD26" s="129" t="n"/>
      <c r="AE26" s="124">
        <f>IF($A26="","",$B26-35-35)</f>
        <v/>
      </c>
      <c r="AF26" s="124">
        <f>IF($A26="","",$M26-10-10)</f>
        <v/>
      </c>
      <c r="AG26" s="126">
        <f>IF($A26="","",3*$D26)</f>
        <v/>
      </c>
    </row>
    <row r="27" ht="40.2" customHeight="1">
      <c r="A27" s="83" t="n"/>
      <c r="B27" s="84" t="n"/>
      <c r="C27" s="85" t="n"/>
      <c r="D27" s="86" t="n"/>
      <c r="E27" s="123">
        <f>IF($A27="","",$B27)</f>
        <v/>
      </c>
      <c r="F27" s="85">
        <f>IF($A27="","",$L$54*$D27)</f>
        <v/>
      </c>
      <c r="G27" s="123">
        <f>IF($A27="","",$C27-$E$55-$F$55)</f>
        <v/>
      </c>
      <c r="H27" s="85">
        <f>IF($A27="","",$L$55*$D27)</f>
        <v/>
      </c>
      <c r="I27" s="123">
        <f>IF($A27="","",$C27-$E$56-$F$56)</f>
        <v/>
      </c>
      <c r="J27" s="85">
        <f>IF($A27="","",$L$56*$D27)</f>
        <v/>
      </c>
      <c r="K27" s="123">
        <f>IF($A27="","",$B27-$E$57-$F$57)</f>
        <v/>
      </c>
      <c r="L27" s="85">
        <f>IF($A27="","",$L$57*$D27)</f>
        <v/>
      </c>
      <c r="M27" s="123">
        <f>IF($A27="","",($C27-$E$58-$F$58-$G$58-$H$58)/3)</f>
        <v/>
      </c>
      <c r="N27" s="85">
        <f>IF($A27="","",$L$58*$D27)</f>
        <v/>
      </c>
      <c r="O27" s="123">
        <f>IF($A27="","",$B27-$E$59-$F$59)</f>
        <v/>
      </c>
      <c r="P27" s="85">
        <f>IF($A27="","",$L$59*$D27)</f>
        <v/>
      </c>
      <c r="Q27" s="123" t="n"/>
      <c r="R27" s="85" t="n"/>
      <c r="S27" s="123" t="n"/>
      <c r="T27" s="85" t="n"/>
      <c r="U27" s="123" t="n"/>
      <c r="V27" s="85" t="n"/>
      <c r="W27" s="123" t="n"/>
      <c r="X27" s="85" t="n"/>
      <c r="Y27" s="123" t="n"/>
      <c r="Z27" s="85" t="n"/>
      <c r="AA27" s="123" t="n"/>
      <c r="AB27" s="85" t="n"/>
      <c r="AC27" s="123" t="n"/>
      <c r="AD27" s="85" t="n"/>
      <c r="AE27" s="124">
        <f>IF($A27="","",$B27-35-35)</f>
        <v/>
      </c>
      <c r="AF27" s="124">
        <f>IF($A27="","",$M27-10-10)</f>
        <v/>
      </c>
      <c r="AG27" s="126">
        <f>IF($A27="","",3*$D27)</f>
        <v/>
      </c>
    </row>
    <row r="28" ht="40.2" customHeight="1">
      <c r="A28" s="83" t="n"/>
      <c r="B28" s="84" t="n"/>
      <c r="C28" s="85" t="n"/>
      <c r="D28" s="86" t="n"/>
      <c r="E28" s="128">
        <f>IF($A28="","",$B28)</f>
        <v/>
      </c>
      <c r="F28" s="129">
        <f>IF($A28="","",$L$54*$D28)</f>
        <v/>
      </c>
      <c r="G28" s="128">
        <f>IF($A28="","",$C28-$E$55-$F$55)</f>
        <v/>
      </c>
      <c r="H28" s="129">
        <f>IF($A28="","",$L$55*$D28)</f>
        <v/>
      </c>
      <c r="I28" s="128">
        <f>IF($A28="","",$C28-$E$56-$F$56)</f>
        <v/>
      </c>
      <c r="J28" s="129">
        <f>IF($A28="","",$L$56*$D28)</f>
        <v/>
      </c>
      <c r="K28" s="128">
        <f>IF($A28="","",$B28-$E$57-$F$57)</f>
        <v/>
      </c>
      <c r="L28" s="129">
        <f>IF($A28="","",$L$57*$D28)</f>
        <v/>
      </c>
      <c r="M28" s="128">
        <f>IF($A28="","",($C28-$E$58-$F$58-$G$58-$H$58)/3)</f>
        <v/>
      </c>
      <c r="N28" s="129">
        <f>IF($A28="","",$L$58*$D28)</f>
        <v/>
      </c>
      <c r="O28" s="128">
        <f>IF($A28="","",$B28-$E$59-$F$59)</f>
        <v/>
      </c>
      <c r="P28" s="129">
        <f>IF($A28="","",$L$59*$D28)</f>
        <v/>
      </c>
      <c r="Q28" s="128" t="n"/>
      <c r="R28" s="129" t="n"/>
      <c r="S28" s="128" t="n"/>
      <c r="T28" s="129" t="n"/>
      <c r="U28" s="128" t="n"/>
      <c r="V28" s="129" t="n"/>
      <c r="W28" s="128" t="n"/>
      <c r="X28" s="129" t="n"/>
      <c r="Y28" s="128" t="n"/>
      <c r="Z28" s="129" t="n"/>
      <c r="AA28" s="128" t="n"/>
      <c r="AB28" s="129" t="n"/>
      <c r="AC28" s="128" t="n"/>
      <c r="AD28" s="129" t="n"/>
      <c r="AE28" s="124">
        <f>IF($A28="","",$B28-35-35)</f>
        <v/>
      </c>
      <c r="AF28" s="124">
        <f>IF($A28="","",$M28-10-10)</f>
        <v/>
      </c>
      <c r="AG28" s="126">
        <f>IF($A28="","",3*$D28)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130">
        <f>E$7</f>
        <v/>
      </c>
      <c r="F30" s="19" t="n"/>
      <c r="G30" s="20" t="n"/>
      <c r="H30" s="130">
        <f>(ROUNDUP(SUM(F49:H49)/6400,0))</f>
        <v/>
      </c>
      <c r="I30" s="130">
        <f>I$7</f>
        <v/>
      </c>
      <c r="J30" s="130">
        <f>(ROUNDUP(J49/6400,0))</f>
        <v/>
      </c>
      <c r="K30" s="130">
        <f>K$7</f>
        <v/>
      </c>
      <c r="L30" s="19" t="n"/>
      <c r="M30" s="20" t="n"/>
      <c r="N30" s="130">
        <f>(ROUNDUP(SUM(L49:N49)/6400,0))</f>
        <v/>
      </c>
      <c r="O30" s="130">
        <f>O$7</f>
        <v/>
      </c>
      <c r="P30" s="19" t="n"/>
      <c r="Q30" s="20" t="n"/>
      <c r="R30" s="130">
        <f>(ROUNDUP(SUM(P49:R49)/6400,0))</f>
        <v/>
      </c>
      <c r="S30" s="130">
        <f>S$7</f>
        <v/>
      </c>
      <c r="T30" s="130">
        <f>(ROUNDUP(T49/6400,0))</f>
        <v/>
      </c>
      <c r="U30" s="130">
        <f>U$7</f>
        <v/>
      </c>
      <c r="V30" s="130">
        <f>(ROUNDUP(V49/6400,0))</f>
        <v/>
      </c>
      <c r="W30" s="130">
        <f>W$7</f>
        <v/>
      </c>
      <c r="X30" s="130">
        <f>(ROUNDUP(X49/6400,0))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F7937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เฟรม-ล่าง</t>
        </is>
      </c>
      <c r="C56" s="79" t="inlineStr">
        <is>
          <t>F7858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คิ้ว ตั้ง</t>
        </is>
      </c>
      <c r="C57" s="79" t="inlineStr">
        <is>
          <t>F7935</t>
        </is>
      </c>
      <c r="D57" s="80" t="inlineStr">
        <is>
          <t>สูง-45-45</t>
        </is>
      </c>
      <c r="E57" s="82" t="n">
        <v>45</v>
      </c>
      <c r="F57" s="82" t="n">
        <v>45</v>
      </c>
      <c r="G57" s="81" t="n"/>
      <c r="H57" s="81" t="n"/>
      <c r="I57" s="81" t="n"/>
      <c r="J57" s="81" t="n"/>
      <c r="K57" s="81" t="n"/>
      <c r="L57" s="82" t="n">
        <v>6</v>
      </c>
    </row>
    <row r="58" ht="15" customHeight="1">
      <c r="A58" s="77" t="n">
        <v>5</v>
      </c>
      <c r="B58" s="78" t="inlineStr">
        <is>
          <t>คิ้ว ขวาง</t>
        </is>
      </c>
      <c r="C58" s="79" t="inlineStr">
        <is>
          <t>-</t>
        </is>
      </c>
      <c r="D58" s="80" t="inlineStr">
        <is>
          <t>(กว้าง-25-25-25-25)/3</t>
        </is>
      </c>
      <c r="E58" s="82" t="n">
        <v>25</v>
      </c>
      <c r="F58" s="82" t="n">
        <v>25</v>
      </c>
      <c r="G58" s="82" t="n">
        <v>25</v>
      </c>
      <c r="H58" s="82" t="n">
        <v>25</v>
      </c>
      <c r="I58" s="81" t="n"/>
      <c r="J58" s="81" t="n"/>
      <c r="K58" s="81" t="n"/>
      <c r="L58" s="82" t="n">
        <v>6</v>
      </c>
    </row>
    <row r="59" ht="15" customHeight="1">
      <c r="A59" s="77" t="n">
        <v>6</v>
      </c>
      <c r="B59" s="78" t="inlineStr">
        <is>
          <t>กล่องก้านสองทาง</t>
        </is>
      </c>
      <c r="C59" s="79" t="inlineStr">
        <is>
          <t>F7998</t>
        </is>
      </c>
      <c r="D59" s="80" t="inlineStr">
        <is>
          <t>สูง-25-25</t>
        </is>
      </c>
      <c r="E59" s="82" t="n">
        <v>25</v>
      </c>
      <c r="F59" s="82" t="n">
        <v>25</v>
      </c>
      <c r="G59" s="81" t="n"/>
      <c r="H59" s="81" t="n"/>
      <c r="I59" s="81" t="n"/>
      <c r="J59" s="81" t="n"/>
      <c r="K59" s="81" t="n"/>
      <c r="L59" s="82" t="n">
        <v>2</v>
      </c>
    </row>
  </sheetData>
  <mergeCells count="59">
    <mergeCell ref="O7:P7"/>
    <mergeCell ref="Q7:R7"/>
    <mergeCell ref="U9:V9"/>
    <mergeCell ref="AC7:AD7"/>
    <mergeCell ref="I6:J6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Y9:Z9"/>
    <mergeCell ref="E8:F8"/>
    <mergeCell ref="Q8:R8"/>
    <mergeCell ref="AA9:AB9"/>
    <mergeCell ref="S8:T8"/>
    <mergeCell ref="AA6:AB6"/>
    <mergeCell ref="S7:T7"/>
    <mergeCell ref="I7:J7"/>
    <mergeCell ref="A30:D30"/>
    <mergeCell ref="G6:H6"/>
    <mergeCell ref="AC8:AD8"/>
    <mergeCell ref="E9:F9"/>
    <mergeCell ref="U7:V7"/>
    <mergeCell ref="W7:X7"/>
    <mergeCell ref="Y7:Z7"/>
    <mergeCell ref="A8:A9"/>
    <mergeCell ref="E6:F6"/>
    <mergeCell ref="AA7:AB7"/>
    <mergeCell ref="M6:N6"/>
    <mergeCell ref="K8:L8"/>
    <mergeCell ref="A6:D6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U8:V8"/>
    <mergeCell ref="O8:P8"/>
    <mergeCell ref="W8:X8"/>
    <mergeCell ref="B8:C9"/>
    <mergeCell ref="AC6:AD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9"/>
  <sheetViews>
    <sheetView showGridLines="0" workbookViewId="0">
      <selection activeCell="A1" sqref="A1"/>
    </sheetView>
  </sheetViews>
  <sheetFormatPr baseColWidth="8" defaultRowHeight="15"/>
  <cols>
    <col width="10.09765625" customWidth="1" min="1" max="1"/>
    <col width="14" customWidth="1" min="2" max="2"/>
    <col width="26" customWidth="1" min="4" max="4"/>
    <col width="12.69921875" customWidth="1" min="5" max="5"/>
    <col width="6.69921875" customWidth="1" min="6" max="6"/>
    <col width="12.69921875" customWidth="1" min="7" max="7"/>
    <col width="6.69921875" customWidth="1" min="8" max="8"/>
    <col width="12.69921875" customWidth="1" min="9" max="9"/>
    <col width="6.69921875" customWidth="1" min="10" max="10"/>
    <col width="12.69921875" customWidth="1" min="11" max="11"/>
    <col width="6.69921875" customWidth="1" min="12" max="12"/>
    <col width="12.69921875" customWidth="1" min="13" max="13"/>
    <col width="6.69921875" customWidth="1" min="14" max="14"/>
    <col width="12.69921875" customWidth="1" min="15" max="15"/>
    <col width="6.69921875" customWidth="1" min="16" max="16"/>
    <col width="12.69921875" customWidth="1" min="17" max="17"/>
    <col width="6.69921875" customWidth="1" min="18" max="18"/>
    <col width="12.69921875" customWidth="1" min="19" max="19"/>
    <col width="6.69921875" customWidth="1" min="20" max="20"/>
    <col width="12.69921875" customWidth="1" min="21" max="21"/>
    <col width="6.69921875" customWidth="1" min="22" max="22"/>
    <col width="12.69921875" customWidth="1" min="23" max="23"/>
    <col width="6.69921875" customWidth="1" min="24" max="24"/>
    <col width="12.69921875" customWidth="1" min="25" max="25"/>
    <col width="6.69921875" customWidth="1" min="26" max="26"/>
    <col width="12.69921875" customWidth="1" min="27" max="27"/>
    <col width="6.69921875" customWidth="1" min="28" max="28"/>
    <col width="12.69921875" customWidth="1" min="29" max="29"/>
    <col width="6.69921875" customWidth="1" min="30" max="30"/>
    <col width="12.69921875" customWidth="1" min="31" max="31"/>
    <col width="12.69921875" customWidth="1" min="32" max="32"/>
    <col width="8.69921875" customWidth="1" min="33" max="33"/>
    <col width="8.8984375" customWidth="1" min="34" max="34"/>
  </cols>
  <sheetData>
    <row r="1" ht="40.2" customHeight="1">
      <c r="A1" s="2" t="inlineStr">
        <is>
          <t>JR ALUMINIUM &amp; GLASS  —  ใบรายการตัด · FUJI Fix4   (หน่วย: มม.)</t>
        </is>
      </c>
      <c r="B1" s="3" t="n"/>
      <c r="D1" s="4" t="n"/>
      <c r="E1" s="5" t="n"/>
      <c r="F1" s="4" t="n"/>
      <c r="G1" s="4" t="n"/>
      <c r="H1" s="4" t="n"/>
      <c r="I1" s="6" t="n"/>
      <c r="J1" s="7" t="n"/>
      <c r="K1" s="7" t="n"/>
      <c r="L1" s="7" t="n"/>
      <c r="M1" s="4" t="n"/>
      <c r="N1" s="8" t="n"/>
      <c r="O1" s="4" t="n"/>
      <c r="P1" s="4" t="n"/>
      <c r="Q1" s="6" t="n"/>
      <c r="R1" s="6" t="n"/>
      <c r="S1" s="7" t="n"/>
      <c r="T1" s="7" t="n"/>
      <c r="U1" s="6" t="n"/>
      <c r="V1" s="6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 ht="40.2" customHeight="1">
      <c r="A2" s="6" t="n"/>
      <c r="B2" s="6" t="n"/>
      <c r="C2" s="6" t="n"/>
      <c r="D2" s="6" t="n"/>
      <c r="E2" s="9" t="n"/>
      <c r="F2" s="6" t="n"/>
      <c r="G2" s="6" t="n"/>
      <c r="H2" s="6" t="n"/>
      <c r="I2" s="10" t="n"/>
      <c r="J2" s="10" t="n"/>
      <c r="K2" s="10" t="n"/>
      <c r="L2" s="10" t="n"/>
      <c r="M2" s="6" t="n"/>
      <c r="N2" s="6" t="n"/>
      <c r="O2" s="6" t="n"/>
      <c r="P2" s="140" t="n"/>
      <c r="Q2" s="6" t="n"/>
      <c r="R2" s="141" t="inlineStr">
        <is>
          <t>ชั้น1</t>
        </is>
      </c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 ht="40.2" customHeight="1">
      <c r="A3" s="6" t="n"/>
      <c r="B3" s="142" t="n"/>
      <c r="C3" s="88" t="n"/>
      <c r="D3" s="6" t="n"/>
      <c r="E3" s="9" t="n"/>
      <c r="F3" s="6" t="n"/>
      <c r="G3" s="6" t="n"/>
      <c r="H3" s="6" t="n"/>
      <c r="I3" s="10" t="n"/>
      <c r="J3" s="10" t="n"/>
      <c r="K3" s="11" t="n"/>
      <c r="L3" s="11" t="n"/>
      <c r="M3" s="6" t="n"/>
      <c r="N3" s="6" t="n"/>
      <c r="O3" s="6" t="n"/>
      <c r="P3" s="6" t="n"/>
      <c r="Q3" s="6" t="n"/>
      <c r="R3" s="141" t="n"/>
      <c r="S3" s="11" t="n"/>
      <c r="T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</row>
    <row r="4" ht="40.2" customHeight="1">
      <c r="A4" s="6" t="n"/>
      <c r="B4" s="147" t="n"/>
      <c r="C4" s="6" t="n"/>
      <c r="F4" s="6" t="n"/>
      <c r="G4" s="6" t="n"/>
      <c r="H4" s="6" t="n"/>
      <c r="I4" s="10" t="n"/>
      <c r="J4" s="10" t="n"/>
      <c r="M4" s="6" t="n"/>
      <c r="N4" s="6" t="n"/>
      <c r="O4" s="6" t="n"/>
      <c r="P4" s="88" t="n"/>
      <c r="Q4" s="6" t="n"/>
      <c r="R4" s="141" t="inlineStr">
        <is>
          <t>ชั้น2</t>
        </is>
      </c>
    </row>
    <row r="5" ht="40.2" customHeight="1">
      <c r="A5" s="6" t="n"/>
      <c r="B5" s="6" t="n"/>
      <c r="C5" s="6" t="n"/>
      <c r="D5" s="6" t="n"/>
      <c r="E5" s="9" t="n"/>
      <c r="F5" s="6" t="n"/>
      <c r="G5" s="6" t="n"/>
      <c r="H5" s="6" t="n"/>
      <c r="M5" s="6" t="n"/>
      <c r="N5" s="6" t="n"/>
      <c r="O5" s="6" t="n"/>
      <c r="P5" s="6" t="n"/>
      <c r="R5" s="6" t="n"/>
    </row>
    <row r="6" ht="60" customHeight="1">
      <c r="A6" s="12" t="inlineStr">
        <is>
          <t>สูตรตัด</t>
        </is>
      </c>
      <c r="B6" s="13" t="n"/>
      <c r="C6" s="13" t="n"/>
      <c r="D6" s="14" t="n"/>
      <c r="E6" s="15" t="inlineStr">
        <is>
          <t>สูง</t>
        </is>
      </c>
      <c r="F6" s="16" t="n"/>
      <c r="G6" s="15" t="inlineStr">
        <is>
          <t>กว้าง-25-25</t>
        </is>
      </c>
      <c r="H6" s="16" t="n"/>
      <c r="I6" s="15" t="inlineStr">
        <is>
          <t>กว้าง-25-25</t>
        </is>
      </c>
      <c r="J6" s="16" t="n"/>
      <c r="K6" s="15" t="inlineStr">
        <is>
          <t>สูง-45-45</t>
        </is>
      </c>
      <c r="L6" s="16" t="n"/>
      <c r="M6" s="15" t="inlineStr">
        <is>
          <t>เท่าเฟรมล่าง</t>
        </is>
      </c>
      <c r="N6" s="16" t="n"/>
      <c r="O6" s="15" t="inlineStr">
        <is>
          <t>สูง-25-25</t>
        </is>
      </c>
      <c r="P6" s="16" t="n"/>
      <c r="Q6" s="15" t="n"/>
      <c r="R6" s="16" t="n"/>
      <c r="S6" s="15" t="n"/>
      <c r="T6" s="16" t="n"/>
      <c r="U6" s="15" t="n"/>
      <c r="V6" s="16" t="n"/>
      <c r="W6" s="15" t="n"/>
      <c r="X6" s="16" t="n"/>
      <c r="Y6" s="15" t="n"/>
      <c r="Z6" s="16" t="n"/>
      <c r="AA6" s="15" t="n"/>
      <c r="AB6" s="16" t="n"/>
      <c r="AC6" s="15" t="n"/>
      <c r="AD6" s="16" t="n"/>
      <c r="AE6" s="17" t="n"/>
      <c r="AF6" s="17" t="n"/>
      <c r="AG6" s="17" t="n"/>
    </row>
    <row r="7" ht="40.2" customHeight="1">
      <c r="A7" s="18" t="inlineStr">
        <is>
          <t>ใส่ข้อมูล</t>
        </is>
      </c>
      <c r="B7" s="19" t="n"/>
      <c r="C7" s="19" t="n"/>
      <c r="D7" s="20" t="n"/>
      <c r="E7" s="21" t="inlineStr">
        <is>
          <t>F7937</t>
        </is>
      </c>
      <c r="F7" s="13" t="n"/>
      <c r="G7" s="13" t="n"/>
      <c r="H7" s="14" t="n"/>
      <c r="I7" s="21" t="inlineStr">
        <is>
          <t>F7858</t>
        </is>
      </c>
      <c r="J7" s="14" t="n"/>
      <c r="K7" s="21" t="inlineStr">
        <is>
          <t>F7935</t>
        </is>
      </c>
      <c r="L7" s="13" t="n"/>
      <c r="M7" s="13" t="n"/>
      <c r="N7" s="14" t="n"/>
      <c r="O7" s="21" t="inlineStr">
        <is>
          <t>F7998</t>
        </is>
      </c>
      <c r="P7" s="14" t="n"/>
      <c r="Q7" s="23" t="n"/>
      <c r="R7" s="14" t="n"/>
      <c r="S7" s="21" t="n"/>
      <c r="T7" s="14" t="n"/>
      <c r="U7" s="23" t="n"/>
      <c r="V7" s="14" t="n"/>
      <c r="W7" s="23" t="n"/>
      <c r="X7" s="14" t="n"/>
      <c r="Y7" s="23" t="n"/>
      <c r="Z7" s="14" t="n"/>
      <c r="AA7" s="23" t="n"/>
      <c r="AB7" s="14" t="n"/>
      <c r="AC7" s="24" t="n"/>
      <c r="AD7" s="14" t="n"/>
      <c r="AE7" s="25" t="n"/>
      <c r="AF7" s="26" t="inlineStr">
        <is>
          <t>ขนาดกระจก</t>
        </is>
      </c>
      <c r="AG7" s="27" t="n"/>
    </row>
    <row r="8" ht="40.2" customHeight="1">
      <c r="A8" s="28" t="inlineStr">
        <is>
          <t>แผน</t>
        </is>
      </c>
      <c r="B8" s="29" t="inlineStr">
        <is>
          <t>ขนาดชิ้นงาน
(mm)</t>
        </is>
      </c>
      <c r="C8" s="30" t="n"/>
      <c r="D8" s="28" t="inlineStr">
        <is>
          <t>ชุด</t>
        </is>
      </c>
      <c r="E8" s="31" t="n"/>
      <c r="F8" s="32" t="n"/>
      <c r="G8" s="33" t="n"/>
      <c r="H8" s="34" t="n"/>
      <c r="I8" s="35" t="n"/>
      <c r="J8" s="34" t="n"/>
      <c r="K8" s="31" t="n"/>
      <c r="L8" s="32" t="n"/>
      <c r="M8" s="33" t="n"/>
      <c r="N8" s="34" t="n"/>
      <c r="O8" s="31" t="n"/>
      <c r="P8" s="32" t="n"/>
      <c r="Q8" s="31" t="n"/>
      <c r="R8" s="32" t="n"/>
      <c r="S8" s="35" t="n"/>
      <c r="T8" s="34" t="n"/>
      <c r="U8" s="31" t="n"/>
      <c r="V8" s="32" t="n"/>
      <c r="W8" s="31" t="n"/>
      <c r="X8" s="32" t="n"/>
      <c r="Y8" s="31" t="n"/>
      <c r="Z8" s="32" t="n"/>
      <c r="AA8" s="35" t="n"/>
      <c r="AB8" s="34" t="n"/>
      <c r="AC8" s="33" t="n"/>
      <c r="AD8" s="34" t="n"/>
      <c r="AE8" s="36" t="n"/>
      <c r="AF8" s="37" t="inlineStr">
        <is>
          <t>กรอบบาน</t>
        </is>
      </c>
      <c r="AG8" s="38" t="n"/>
    </row>
    <row r="9" ht="40.2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คิ้ว ตั้ง</t>
        </is>
      </c>
      <c r="L9" s="43" t="n"/>
      <c r="M9" s="42" t="inlineStr">
        <is>
          <t>คิ้ว ขวาง</t>
        </is>
      </c>
      <c r="N9" s="43" t="n"/>
      <c r="O9" s="42" t="inlineStr">
        <is>
          <t>กล่องก้านสองทาง</t>
        </is>
      </c>
      <c r="P9" s="43" t="n"/>
      <c r="Q9" s="42" t="n"/>
      <c r="R9" s="43" t="n"/>
      <c r="S9" s="42" t="n"/>
      <c r="T9" s="43" t="n"/>
      <c r="U9" s="42" t="n"/>
      <c r="V9" s="43" t="n"/>
      <c r="W9" s="44" t="n"/>
      <c r="X9" s="43" t="n"/>
      <c r="Y9" s="44" t="n"/>
      <c r="Z9" s="43" t="n"/>
      <c r="AA9" s="44" t="n"/>
      <c r="AB9" s="43" t="n"/>
      <c r="AC9" s="42" t="n"/>
      <c r="AD9" s="43" t="n"/>
      <c r="AE9" s="45" t="inlineStr">
        <is>
          <t>H-35-35</t>
        </is>
      </c>
      <c r="AF9" s="46" t="inlineStr">
        <is>
          <t>คิ้ว-10-10</t>
        </is>
      </c>
      <c r="AG9" s="47" t="n"/>
    </row>
    <row r="10" ht="40.2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5" t="inlineStr">
        <is>
          <t>H</t>
        </is>
      </c>
      <c r="AF10" s="56" t="inlineStr">
        <is>
          <t>W</t>
        </is>
      </c>
      <c r="AG10" s="57" t="inlineStr">
        <is>
          <t>จำนวน</t>
        </is>
      </c>
    </row>
    <row r="11" ht="40.2" customHeight="1">
      <c r="A11" s="58" t="inlineStr">
        <is>
          <t>D2</t>
        </is>
      </c>
      <c r="B11" s="59" t="n">
        <v>3000</v>
      </c>
      <c r="C11" s="60" t="n">
        <v>4748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IF($A11="","",$C11-$E$56-$F$56)</f>
        <v/>
      </c>
      <c r="J11" s="60">
        <f>IF($A11="","",$L$56*$D11)</f>
        <v/>
      </c>
      <c r="K11" s="62">
        <f>IF($A11="","",$B11-$E$57-$F$57)</f>
        <v/>
      </c>
      <c r="L11" s="60">
        <f>IF($A11="","",$L$57*$D11)</f>
        <v/>
      </c>
      <c r="M11" s="62">
        <f>IF($A11="","",($C11-$E$58-$F$58-$G$58-$H$58-$I$58)/4)</f>
        <v/>
      </c>
      <c r="N11" s="60">
        <f>IF($A11="","",$L$58*$D11)</f>
        <v/>
      </c>
      <c r="O11" s="62">
        <f>IF($A11="","",$B11-$E$59-$F$59)</f>
        <v/>
      </c>
      <c r="P11" s="60">
        <f>IF($A11="","",$L$59*$D11)</f>
        <v/>
      </c>
      <c r="Q11" s="62" t="n"/>
      <c r="R11" s="60" t="n"/>
      <c r="S11" s="62" t="n"/>
      <c r="T11" s="60" t="n"/>
      <c r="U11" s="62" t="n"/>
      <c r="V11" s="60" t="n"/>
      <c r="W11" s="62" t="n"/>
      <c r="X11" s="60" t="n"/>
      <c r="Y11" s="62" t="n"/>
      <c r="Z11" s="60" t="n"/>
      <c r="AA11" s="62" t="n"/>
      <c r="AB11" s="60" t="n"/>
      <c r="AC11" s="62" t="n"/>
      <c r="AD11" s="60" t="n"/>
      <c r="AE11" s="63">
        <f>IF($A11="","",$B11-35-35)</f>
        <v/>
      </c>
      <c r="AF11" s="64">
        <f>IF($A11="","",$M11-10-10)</f>
        <v/>
      </c>
      <c r="AG11" s="65">
        <f>IF($A11="","",4*$D11)</f>
        <v/>
      </c>
    </row>
    <row r="12" ht="40.2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IF($A12="","",$C12-$E$56-$F$56)</f>
        <v/>
      </c>
      <c r="J12" s="67">
        <f>IF($A12="","",$L$56*$D12)</f>
        <v/>
      </c>
      <c r="K12" s="66">
        <f>IF($A12="","",$B12-$E$57-$F$57)</f>
        <v/>
      </c>
      <c r="L12" s="67">
        <f>IF($A12="","",$L$57*$D12)</f>
        <v/>
      </c>
      <c r="M12" s="66">
        <f>IF($A12="","",($C12-$E$58-$F$58-$G$58-$H$58-$I$58)/4)</f>
        <v/>
      </c>
      <c r="N12" s="67">
        <f>IF($A12="","",$L$58*$D12)</f>
        <v/>
      </c>
      <c r="O12" s="66">
        <f>IF($A12="","",$B12-$E$59-$F$59)</f>
        <v/>
      </c>
      <c r="P12" s="67">
        <f>IF($A12="","",$L$59*$D12)</f>
        <v/>
      </c>
      <c r="Q12" s="66" t="n"/>
      <c r="R12" s="67" t="n"/>
      <c r="S12" s="66" t="n"/>
      <c r="T12" s="67" t="n"/>
      <c r="U12" s="66" t="n"/>
      <c r="V12" s="67" t="n"/>
      <c r="W12" s="66" t="n"/>
      <c r="X12" s="67" t="n"/>
      <c r="Y12" s="66" t="n"/>
      <c r="Z12" s="67" t="n"/>
      <c r="AA12" s="66" t="n"/>
      <c r="AB12" s="67" t="n"/>
      <c r="AC12" s="66" t="n"/>
      <c r="AD12" s="67" t="n"/>
      <c r="AE12" s="63">
        <f>IF($A12="","",$B12-35-35)</f>
        <v/>
      </c>
      <c r="AF12" s="64">
        <f>IF($A12="","",$M12-10-10)</f>
        <v/>
      </c>
      <c r="AG12" s="65">
        <f>IF($A12="","",4*$D12)</f>
        <v/>
      </c>
    </row>
    <row r="13" ht="40.2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IF($A13="","",$C13-$E$56-$F$56)</f>
        <v/>
      </c>
      <c r="J13" s="60">
        <f>IF($A13="","",$L$56*$D13)</f>
        <v/>
      </c>
      <c r="K13" s="62">
        <f>IF($A13="","",$B13-$E$57-$F$57)</f>
        <v/>
      </c>
      <c r="L13" s="60">
        <f>IF($A13="","",$L$57*$D13)</f>
        <v/>
      </c>
      <c r="M13" s="62">
        <f>IF($A13="","",($C13-$E$58-$F$58-$G$58-$H$58-$I$58)/4)</f>
        <v/>
      </c>
      <c r="N13" s="60">
        <f>IF($A13="","",$L$58*$D13)</f>
        <v/>
      </c>
      <c r="O13" s="62">
        <f>IF($A13="","",$B13-$E$59-$F$59)</f>
        <v/>
      </c>
      <c r="P13" s="60">
        <f>IF($A13="","",$L$59*$D13)</f>
        <v/>
      </c>
      <c r="Q13" s="62" t="n"/>
      <c r="R13" s="60" t="n"/>
      <c r="S13" s="62" t="n"/>
      <c r="T13" s="60" t="n"/>
      <c r="U13" s="62" t="n"/>
      <c r="V13" s="60" t="n"/>
      <c r="W13" s="62" t="n"/>
      <c r="X13" s="60" t="n"/>
      <c r="Y13" s="62" t="n"/>
      <c r="Z13" s="60" t="n"/>
      <c r="AA13" s="62" t="n"/>
      <c r="AB13" s="60" t="n"/>
      <c r="AC13" s="62" t="n"/>
      <c r="AD13" s="60" t="n"/>
      <c r="AE13" s="63">
        <f>IF($A13="","",$B13-35-35)</f>
        <v/>
      </c>
      <c r="AF13" s="64">
        <f>IF($A13="","",$M13-10-10)</f>
        <v/>
      </c>
      <c r="AG13" s="65">
        <f>IF($A13="","",4*$D13)</f>
        <v/>
      </c>
    </row>
    <row r="14" ht="40.2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IF($A14="","",$C14-$E$56-$F$56)</f>
        <v/>
      </c>
      <c r="J14" s="67">
        <f>IF($A14="","",$L$56*$D14)</f>
        <v/>
      </c>
      <c r="K14" s="66">
        <f>IF($A14="","",$B14-$E$57-$F$57)</f>
        <v/>
      </c>
      <c r="L14" s="67">
        <f>IF($A14="","",$L$57*$D14)</f>
        <v/>
      </c>
      <c r="M14" s="66">
        <f>IF($A14="","",($C14-$E$58-$F$58-$G$58-$H$58-$I$58)/4)</f>
        <v/>
      </c>
      <c r="N14" s="67">
        <f>IF($A14="","",$L$58*$D14)</f>
        <v/>
      </c>
      <c r="O14" s="66">
        <f>IF($A14="","",$B14-$E$59-$F$59)</f>
        <v/>
      </c>
      <c r="P14" s="67">
        <f>IF($A14="","",$L$59*$D14)</f>
        <v/>
      </c>
      <c r="Q14" s="66" t="n"/>
      <c r="R14" s="67" t="n"/>
      <c r="S14" s="66" t="n"/>
      <c r="T14" s="67" t="n"/>
      <c r="U14" s="66" t="n"/>
      <c r="V14" s="67" t="n"/>
      <c r="W14" s="66" t="n"/>
      <c r="X14" s="67" t="n"/>
      <c r="Y14" s="66" t="n"/>
      <c r="Z14" s="67" t="n"/>
      <c r="AA14" s="66" t="n"/>
      <c r="AB14" s="67" t="n"/>
      <c r="AC14" s="66" t="n"/>
      <c r="AD14" s="67" t="n"/>
      <c r="AE14" s="63">
        <f>IF($A14="","",$B14-35-35)</f>
        <v/>
      </c>
      <c r="AF14" s="64">
        <f>IF($A14="","",$M14-10-10)</f>
        <v/>
      </c>
      <c r="AG14" s="65">
        <f>IF($A14="","",4*$D14)</f>
        <v/>
      </c>
    </row>
    <row r="15" ht="40.2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IF($A15="","",$C15-$E$56-$F$56)</f>
        <v/>
      </c>
      <c r="J15" s="60">
        <f>IF($A15="","",$L$56*$D15)</f>
        <v/>
      </c>
      <c r="K15" s="62">
        <f>IF($A15="","",$B15-$E$57-$F$57)</f>
        <v/>
      </c>
      <c r="L15" s="60">
        <f>IF($A15="","",$L$57*$D15)</f>
        <v/>
      </c>
      <c r="M15" s="62">
        <f>IF($A15="","",($C15-$E$58-$F$58-$G$58-$H$58-$I$58)/4)</f>
        <v/>
      </c>
      <c r="N15" s="60">
        <f>IF($A15="","",$L$58*$D15)</f>
        <v/>
      </c>
      <c r="O15" s="62">
        <f>IF($A15="","",$B15-$E$59-$F$59)</f>
        <v/>
      </c>
      <c r="P15" s="60">
        <f>IF($A15="","",$L$59*$D15)</f>
        <v/>
      </c>
      <c r="Q15" s="62" t="n"/>
      <c r="R15" s="60" t="n"/>
      <c r="S15" s="62" t="n"/>
      <c r="T15" s="60" t="n"/>
      <c r="U15" s="62" t="n"/>
      <c r="V15" s="60" t="n"/>
      <c r="W15" s="62" t="n"/>
      <c r="X15" s="60" t="n"/>
      <c r="Y15" s="62" t="n"/>
      <c r="Z15" s="60" t="n"/>
      <c r="AA15" s="62" t="n"/>
      <c r="AB15" s="60" t="n"/>
      <c r="AC15" s="62" t="n"/>
      <c r="AD15" s="60" t="n"/>
      <c r="AE15" s="63">
        <f>IF($A15="","",$B15-35-35)</f>
        <v/>
      </c>
      <c r="AF15" s="64">
        <f>IF($A15="","",$M15-10-10)</f>
        <v/>
      </c>
      <c r="AG15" s="65">
        <f>IF($A15="","",4*$D15)</f>
        <v/>
      </c>
    </row>
    <row r="16" ht="40.2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IF($A16="","",$C16-$E$56-$F$56)</f>
        <v/>
      </c>
      <c r="J16" s="67">
        <f>IF($A16="","",$L$56*$D16)</f>
        <v/>
      </c>
      <c r="K16" s="66">
        <f>IF($A16="","",$B16-$E$57-$F$57)</f>
        <v/>
      </c>
      <c r="L16" s="67">
        <f>IF($A16="","",$L$57*$D16)</f>
        <v/>
      </c>
      <c r="M16" s="66">
        <f>IF($A16="","",($C16-$E$58-$F$58-$G$58-$H$58-$I$58)/4)</f>
        <v/>
      </c>
      <c r="N16" s="67">
        <f>IF($A16="","",$L$58*$D16)</f>
        <v/>
      </c>
      <c r="O16" s="66">
        <f>IF($A16="","",$B16-$E$59-$F$59)</f>
        <v/>
      </c>
      <c r="P16" s="67">
        <f>IF($A16="","",$L$59*$D16)</f>
        <v/>
      </c>
      <c r="Q16" s="66" t="n"/>
      <c r="R16" s="67" t="n"/>
      <c r="S16" s="66" t="n"/>
      <c r="T16" s="67" t="n"/>
      <c r="U16" s="66" t="n"/>
      <c r="V16" s="67" t="n"/>
      <c r="W16" s="66" t="n"/>
      <c r="X16" s="67" t="n"/>
      <c r="Y16" s="66" t="n"/>
      <c r="Z16" s="67" t="n"/>
      <c r="AA16" s="66" t="n"/>
      <c r="AB16" s="67" t="n"/>
      <c r="AC16" s="66" t="n"/>
      <c r="AD16" s="67" t="n"/>
      <c r="AE16" s="63">
        <f>IF($A16="","",$B16-35-35)</f>
        <v/>
      </c>
      <c r="AF16" s="64">
        <f>IF($A16="","",$M16-10-10)</f>
        <v/>
      </c>
      <c r="AG16" s="65">
        <f>IF($A16="","",4*$D16)</f>
        <v/>
      </c>
    </row>
    <row r="17" ht="40.2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IF($A17="","",$C17-$E$56-$F$56)</f>
        <v/>
      </c>
      <c r="J17" s="60">
        <f>IF($A17="","",$L$56*$D17)</f>
        <v/>
      </c>
      <c r="K17" s="62">
        <f>IF($A17="","",$B17-$E$57-$F$57)</f>
        <v/>
      </c>
      <c r="L17" s="60">
        <f>IF($A17="","",$L$57*$D17)</f>
        <v/>
      </c>
      <c r="M17" s="62">
        <f>IF($A17="","",($C17-$E$58-$F$58-$G$58-$H$58-$I$58)/4)</f>
        <v/>
      </c>
      <c r="N17" s="60">
        <f>IF($A17="","",$L$58*$D17)</f>
        <v/>
      </c>
      <c r="O17" s="62">
        <f>IF($A17="","",$B17-$E$59-$F$59)</f>
        <v/>
      </c>
      <c r="P17" s="60">
        <f>IF($A17="","",$L$59*$D17)</f>
        <v/>
      </c>
      <c r="Q17" s="62" t="n"/>
      <c r="R17" s="60" t="n"/>
      <c r="S17" s="62" t="n"/>
      <c r="T17" s="60" t="n"/>
      <c r="U17" s="62" t="n"/>
      <c r="V17" s="60" t="n"/>
      <c r="W17" s="62" t="n"/>
      <c r="X17" s="60" t="n"/>
      <c r="Y17" s="62" t="n"/>
      <c r="Z17" s="60" t="n"/>
      <c r="AA17" s="62" t="n"/>
      <c r="AB17" s="60" t="n"/>
      <c r="AC17" s="62" t="n"/>
      <c r="AD17" s="60" t="n"/>
      <c r="AE17" s="63">
        <f>IF($A17="","",$B17-35-35)</f>
        <v/>
      </c>
      <c r="AF17" s="64">
        <f>IF($A17="","",$M17-10-10)</f>
        <v/>
      </c>
      <c r="AG17" s="65">
        <f>IF($A17="","",4*$D17)</f>
        <v/>
      </c>
    </row>
    <row r="18" ht="40.2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IF($A18="","",$C18-$E$56-$F$56)</f>
        <v/>
      </c>
      <c r="J18" s="67">
        <f>IF($A18="","",$L$56*$D18)</f>
        <v/>
      </c>
      <c r="K18" s="66">
        <f>IF($A18="","",$B18-$E$57-$F$57)</f>
        <v/>
      </c>
      <c r="L18" s="67">
        <f>IF($A18="","",$L$57*$D18)</f>
        <v/>
      </c>
      <c r="M18" s="66">
        <f>IF($A18="","",($C18-$E$58-$F$58-$G$58-$H$58-$I$58)/4)</f>
        <v/>
      </c>
      <c r="N18" s="67">
        <f>IF($A18="","",$L$58*$D18)</f>
        <v/>
      </c>
      <c r="O18" s="66">
        <f>IF($A18="","",$B18-$E$59-$F$59)</f>
        <v/>
      </c>
      <c r="P18" s="67">
        <f>IF($A18="","",$L$59*$D18)</f>
        <v/>
      </c>
      <c r="Q18" s="66" t="n"/>
      <c r="R18" s="67" t="n"/>
      <c r="S18" s="66" t="n"/>
      <c r="T18" s="67" t="n"/>
      <c r="U18" s="66" t="n"/>
      <c r="V18" s="67" t="n"/>
      <c r="W18" s="66" t="n"/>
      <c r="X18" s="67" t="n"/>
      <c r="Y18" s="66" t="n"/>
      <c r="Z18" s="67" t="n"/>
      <c r="AA18" s="66" t="n"/>
      <c r="AB18" s="67" t="n"/>
      <c r="AC18" s="66" t="n"/>
      <c r="AD18" s="67" t="n"/>
      <c r="AE18" s="63">
        <f>IF($A18="","",$B18-35-35)</f>
        <v/>
      </c>
      <c r="AF18" s="64">
        <f>IF($A18="","",$M18-10-10)</f>
        <v/>
      </c>
      <c r="AG18" s="65">
        <f>IF($A18="","",4*$D18)</f>
        <v/>
      </c>
    </row>
    <row r="19" ht="40.2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IF($A19="","",$C19-$E$56-$F$56)</f>
        <v/>
      </c>
      <c r="J19" s="60">
        <f>IF($A19="","",$L$56*$D19)</f>
        <v/>
      </c>
      <c r="K19" s="62">
        <f>IF($A19="","",$B19-$E$57-$F$57)</f>
        <v/>
      </c>
      <c r="L19" s="60">
        <f>IF($A19="","",$L$57*$D19)</f>
        <v/>
      </c>
      <c r="M19" s="62">
        <f>IF($A19="","",($C19-$E$58-$F$58-$G$58-$H$58-$I$58)/4)</f>
        <v/>
      </c>
      <c r="N19" s="60">
        <f>IF($A19="","",$L$58*$D19)</f>
        <v/>
      </c>
      <c r="O19" s="62">
        <f>IF($A19="","",$B19-$E$59-$F$59)</f>
        <v/>
      </c>
      <c r="P19" s="60">
        <f>IF($A19="","",$L$59*$D19)</f>
        <v/>
      </c>
      <c r="Q19" s="62" t="n"/>
      <c r="R19" s="60" t="n"/>
      <c r="S19" s="62" t="n"/>
      <c r="T19" s="60" t="n"/>
      <c r="U19" s="62" t="n"/>
      <c r="V19" s="60" t="n"/>
      <c r="W19" s="62" t="n"/>
      <c r="X19" s="60" t="n"/>
      <c r="Y19" s="62" t="n"/>
      <c r="Z19" s="60" t="n"/>
      <c r="AA19" s="62" t="n"/>
      <c r="AB19" s="60" t="n"/>
      <c r="AC19" s="62" t="n"/>
      <c r="AD19" s="60" t="n"/>
      <c r="AE19" s="63">
        <f>IF($A19="","",$B19-35-35)</f>
        <v/>
      </c>
      <c r="AF19" s="64">
        <f>IF($A19="","",$M19-10-10)</f>
        <v/>
      </c>
      <c r="AG19" s="65">
        <f>IF($A19="","",4*$D19)</f>
        <v/>
      </c>
    </row>
    <row r="20" ht="40.2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IF($A20="","",$C20-$E$56-$F$56)</f>
        <v/>
      </c>
      <c r="J20" s="67">
        <f>IF($A20="","",$L$56*$D20)</f>
        <v/>
      </c>
      <c r="K20" s="66">
        <f>IF($A20="","",$B20-$E$57-$F$57)</f>
        <v/>
      </c>
      <c r="L20" s="67">
        <f>IF($A20="","",$L$57*$D20)</f>
        <v/>
      </c>
      <c r="M20" s="66">
        <f>IF($A20="","",($C20-$E$58-$F$58-$G$58-$H$58-$I$58)/4)</f>
        <v/>
      </c>
      <c r="N20" s="67">
        <f>IF($A20="","",$L$58*$D20)</f>
        <v/>
      </c>
      <c r="O20" s="66">
        <f>IF($A20="","",$B20-$E$59-$F$59)</f>
        <v/>
      </c>
      <c r="P20" s="67">
        <f>IF($A20="","",$L$59*$D20)</f>
        <v/>
      </c>
      <c r="Q20" s="66" t="n"/>
      <c r="R20" s="67" t="n"/>
      <c r="S20" s="66" t="n"/>
      <c r="T20" s="67" t="n"/>
      <c r="U20" s="66" t="n"/>
      <c r="V20" s="67" t="n"/>
      <c r="W20" s="66" t="n"/>
      <c r="X20" s="67" t="n"/>
      <c r="Y20" s="66" t="n"/>
      <c r="Z20" s="67" t="n"/>
      <c r="AA20" s="66" t="n"/>
      <c r="AB20" s="67" t="n"/>
      <c r="AC20" s="66" t="n"/>
      <c r="AD20" s="67" t="n"/>
      <c r="AE20" s="63">
        <f>IF($A20="","",$B20-35-35)</f>
        <v/>
      </c>
      <c r="AF20" s="64">
        <f>IF($A20="","",$M20-10-10)</f>
        <v/>
      </c>
      <c r="AG20" s="65">
        <f>IF($A20="","",4*$D20)</f>
        <v/>
      </c>
    </row>
    <row r="21" ht="40.2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IF($A21="","",$C21-$E$56-$F$56)</f>
        <v/>
      </c>
      <c r="J21" s="60">
        <f>IF($A21="","",$L$56*$D21)</f>
        <v/>
      </c>
      <c r="K21" s="62">
        <f>IF($A21="","",$B21-$E$57-$F$57)</f>
        <v/>
      </c>
      <c r="L21" s="60">
        <f>IF($A21="","",$L$57*$D21)</f>
        <v/>
      </c>
      <c r="M21" s="62">
        <f>IF($A21="","",($C21-$E$58-$F$58-$G$58-$H$58-$I$58)/4)</f>
        <v/>
      </c>
      <c r="N21" s="60">
        <f>IF($A21="","",$L$58*$D21)</f>
        <v/>
      </c>
      <c r="O21" s="62">
        <f>IF($A21="","",$B21-$E$59-$F$59)</f>
        <v/>
      </c>
      <c r="P21" s="60">
        <f>IF($A21="","",$L$59*$D21)</f>
        <v/>
      </c>
      <c r="Q21" s="62" t="n"/>
      <c r="R21" s="60" t="n"/>
      <c r="S21" s="62" t="n"/>
      <c r="T21" s="60" t="n"/>
      <c r="U21" s="62" t="n"/>
      <c r="V21" s="60" t="n"/>
      <c r="W21" s="62" t="n"/>
      <c r="X21" s="60" t="n"/>
      <c r="Y21" s="62" t="n"/>
      <c r="Z21" s="60" t="n"/>
      <c r="AA21" s="62" t="n"/>
      <c r="AB21" s="60" t="n"/>
      <c r="AC21" s="62" t="n"/>
      <c r="AD21" s="60" t="n"/>
      <c r="AE21" s="63">
        <f>IF($A21="","",$B21-35-35)</f>
        <v/>
      </c>
      <c r="AF21" s="64">
        <f>IF($A21="","",$M21-10-10)</f>
        <v/>
      </c>
      <c r="AG21" s="65">
        <f>IF($A21="","",4*$D21)</f>
        <v/>
      </c>
    </row>
    <row r="22" ht="40.2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IF($A22="","",$C22-$E$56-$F$56)</f>
        <v/>
      </c>
      <c r="J22" s="67">
        <f>IF($A22="","",$L$56*$D22)</f>
        <v/>
      </c>
      <c r="K22" s="66">
        <f>IF($A22="","",$B22-$E$57-$F$57)</f>
        <v/>
      </c>
      <c r="L22" s="67">
        <f>IF($A22="","",$L$57*$D22)</f>
        <v/>
      </c>
      <c r="M22" s="66">
        <f>IF($A22="","",($C22-$E$58-$F$58-$G$58-$H$58-$I$58)/4)</f>
        <v/>
      </c>
      <c r="N22" s="67">
        <f>IF($A22="","",$L$58*$D22)</f>
        <v/>
      </c>
      <c r="O22" s="66">
        <f>IF($A22="","",$B22-$E$59-$F$59)</f>
        <v/>
      </c>
      <c r="P22" s="67">
        <f>IF($A22="","",$L$59*$D22)</f>
        <v/>
      </c>
      <c r="Q22" s="66" t="n"/>
      <c r="R22" s="67" t="n"/>
      <c r="S22" s="66" t="n"/>
      <c r="T22" s="67" t="n"/>
      <c r="U22" s="66" t="n"/>
      <c r="V22" s="67" t="n"/>
      <c r="W22" s="66" t="n"/>
      <c r="X22" s="67" t="n"/>
      <c r="Y22" s="66" t="n"/>
      <c r="Z22" s="67" t="n"/>
      <c r="AA22" s="66" t="n"/>
      <c r="AB22" s="67" t="n"/>
      <c r="AC22" s="66" t="n"/>
      <c r="AD22" s="67" t="n"/>
      <c r="AE22" s="63">
        <f>IF($A22="","",$B22-35-35)</f>
        <v/>
      </c>
      <c r="AF22" s="64">
        <f>IF($A22="","",$M22-10-10)</f>
        <v/>
      </c>
      <c r="AG22" s="65">
        <f>IF($A22="","",4*$D22)</f>
        <v/>
      </c>
    </row>
    <row r="23" ht="40.2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IF($A23="","",$C23-$E$56-$F$56)</f>
        <v/>
      </c>
      <c r="J23" s="60">
        <f>IF($A23="","",$L$56*$D23)</f>
        <v/>
      </c>
      <c r="K23" s="62">
        <f>IF($A23="","",$B23-$E$57-$F$57)</f>
        <v/>
      </c>
      <c r="L23" s="60">
        <f>IF($A23="","",$L$57*$D23)</f>
        <v/>
      </c>
      <c r="M23" s="62">
        <f>IF($A23="","",($C23-$E$58-$F$58-$G$58-$H$58-$I$58)/4)</f>
        <v/>
      </c>
      <c r="N23" s="60">
        <f>IF($A23="","",$L$58*$D23)</f>
        <v/>
      </c>
      <c r="O23" s="62">
        <f>IF($A23="","",$B23-$E$59-$F$59)</f>
        <v/>
      </c>
      <c r="P23" s="60">
        <f>IF($A23="","",$L$59*$D23)</f>
        <v/>
      </c>
      <c r="Q23" s="62" t="n"/>
      <c r="R23" s="60" t="n"/>
      <c r="S23" s="62" t="n"/>
      <c r="T23" s="60" t="n"/>
      <c r="U23" s="62" t="n"/>
      <c r="V23" s="60" t="n"/>
      <c r="W23" s="62" t="n"/>
      <c r="X23" s="60" t="n"/>
      <c r="Y23" s="62" t="n"/>
      <c r="Z23" s="60" t="n"/>
      <c r="AA23" s="62" t="n"/>
      <c r="AB23" s="60" t="n"/>
      <c r="AC23" s="62" t="n"/>
      <c r="AD23" s="60" t="n"/>
      <c r="AE23" s="63">
        <f>IF($A23="","",$B23-35-35)</f>
        <v/>
      </c>
      <c r="AF23" s="64">
        <f>IF($A23="","",$M23-10-10)</f>
        <v/>
      </c>
      <c r="AG23" s="65">
        <f>IF($A23="","",4*$D23)</f>
        <v/>
      </c>
    </row>
    <row r="24" ht="40.2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IF($A24="","",$C24-$E$56-$F$56)</f>
        <v/>
      </c>
      <c r="J24" s="67">
        <f>IF($A24="","",$L$56*$D24)</f>
        <v/>
      </c>
      <c r="K24" s="66">
        <f>IF($A24="","",$B24-$E$57-$F$57)</f>
        <v/>
      </c>
      <c r="L24" s="67">
        <f>IF($A24="","",$L$57*$D24)</f>
        <v/>
      </c>
      <c r="M24" s="66">
        <f>IF($A24="","",($C24-$E$58-$F$58-$G$58-$H$58-$I$58)/4)</f>
        <v/>
      </c>
      <c r="N24" s="67">
        <f>IF($A24="","",$L$58*$D24)</f>
        <v/>
      </c>
      <c r="O24" s="66">
        <f>IF($A24="","",$B24-$E$59-$F$59)</f>
        <v/>
      </c>
      <c r="P24" s="67">
        <f>IF($A24="","",$L$59*$D24)</f>
        <v/>
      </c>
      <c r="Q24" s="66" t="n"/>
      <c r="R24" s="67" t="n"/>
      <c r="S24" s="66" t="n"/>
      <c r="T24" s="67" t="n"/>
      <c r="U24" s="66" t="n"/>
      <c r="V24" s="67" t="n"/>
      <c r="W24" s="66" t="n"/>
      <c r="X24" s="67" t="n"/>
      <c r="Y24" s="66" t="n"/>
      <c r="Z24" s="67" t="n"/>
      <c r="AA24" s="66" t="n"/>
      <c r="AB24" s="67" t="n"/>
      <c r="AC24" s="66" t="n"/>
      <c r="AD24" s="67" t="n"/>
      <c r="AE24" s="63">
        <f>IF($A24="","",$B24-35-35)</f>
        <v/>
      </c>
      <c r="AF24" s="64">
        <f>IF($A24="","",$M24-10-10)</f>
        <v/>
      </c>
      <c r="AG24" s="65">
        <f>IF($A24="","",4*$D24)</f>
        <v/>
      </c>
    </row>
    <row r="25" ht="40.2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IF($A25="","",$C25-$E$56-$F$56)</f>
        <v/>
      </c>
      <c r="J25" s="60">
        <f>IF($A25="","",$L$56*$D25)</f>
        <v/>
      </c>
      <c r="K25" s="62">
        <f>IF($A25="","",$B25-$E$57-$F$57)</f>
        <v/>
      </c>
      <c r="L25" s="60">
        <f>IF($A25="","",$L$57*$D25)</f>
        <v/>
      </c>
      <c r="M25" s="62">
        <f>IF($A25="","",($C25-$E$58-$F$58-$G$58-$H$58-$I$58)/4)</f>
        <v/>
      </c>
      <c r="N25" s="60">
        <f>IF($A25="","",$L$58*$D25)</f>
        <v/>
      </c>
      <c r="O25" s="62">
        <f>IF($A25="","",$B25-$E$59-$F$59)</f>
        <v/>
      </c>
      <c r="P25" s="60">
        <f>IF($A25="","",$L$59*$D25)</f>
        <v/>
      </c>
      <c r="Q25" s="62" t="n"/>
      <c r="R25" s="60" t="n"/>
      <c r="S25" s="62" t="n"/>
      <c r="T25" s="60" t="n"/>
      <c r="U25" s="62" t="n"/>
      <c r="V25" s="60" t="n"/>
      <c r="W25" s="62" t="n"/>
      <c r="X25" s="60" t="n"/>
      <c r="Y25" s="62" t="n"/>
      <c r="Z25" s="60" t="n"/>
      <c r="AA25" s="62" t="n"/>
      <c r="AB25" s="60" t="n"/>
      <c r="AC25" s="62" t="n"/>
      <c r="AD25" s="60" t="n"/>
      <c r="AE25" s="63">
        <f>IF($A25="","",$B25-35-35)</f>
        <v/>
      </c>
      <c r="AF25" s="64">
        <f>IF($A25="","",$M25-10-10)</f>
        <v/>
      </c>
      <c r="AG25" s="65">
        <f>IF($A25="","",4*$D25)</f>
        <v/>
      </c>
    </row>
    <row r="26" ht="40.2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IF($A26="","",$C26-$E$56-$F$56)</f>
        <v/>
      </c>
      <c r="J26" s="67">
        <f>IF($A26="","",$L$56*$D26)</f>
        <v/>
      </c>
      <c r="K26" s="66">
        <f>IF($A26="","",$B26-$E$57-$F$57)</f>
        <v/>
      </c>
      <c r="L26" s="67">
        <f>IF($A26="","",$L$57*$D26)</f>
        <v/>
      </c>
      <c r="M26" s="66">
        <f>IF($A26="","",($C26-$E$58-$F$58-$G$58-$H$58-$I$58)/4)</f>
        <v/>
      </c>
      <c r="N26" s="67">
        <f>IF($A26="","",$L$58*$D26)</f>
        <v/>
      </c>
      <c r="O26" s="66">
        <f>IF($A26="","",$B26-$E$59-$F$59)</f>
        <v/>
      </c>
      <c r="P26" s="67">
        <f>IF($A26="","",$L$59*$D26)</f>
        <v/>
      </c>
      <c r="Q26" s="66" t="n"/>
      <c r="R26" s="67" t="n"/>
      <c r="S26" s="66" t="n"/>
      <c r="T26" s="67" t="n"/>
      <c r="U26" s="66" t="n"/>
      <c r="V26" s="67" t="n"/>
      <c r="W26" s="66" t="n"/>
      <c r="X26" s="67" t="n"/>
      <c r="Y26" s="66" t="n"/>
      <c r="Z26" s="67" t="n"/>
      <c r="AA26" s="66" t="n"/>
      <c r="AB26" s="67" t="n"/>
      <c r="AC26" s="66" t="n"/>
      <c r="AD26" s="67" t="n"/>
      <c r="AE26" s="63">
        <f>IF($A26="","",$B26-35-35)</f>
        <v/>
      </c>
      <c r="AF26" s="64">
        <f>IF($A26="","",$M26-10-10)</f>
        <v/>
      </c>
      <c r="AG26" s="65">
        <f>IF($A26="","",4*$D26)</f>
        <v/>
      </c>
    </row>
    <row r="27" ht="40.2" customHeight="1">
      <c r="A27" s="58" t="n"/>
      <c r="B27" s="59" t="n"/>
      <c r="C27" s="60" t="n"/>
      <c r="D27" s="61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IF($A27="","",$C27-$E$56-$F$56)</f>
        <v/>
      </c>
      <c r="J27" s="60">
        <f>IF($A27="","",$L$56*$D27)</f>
        <v/>
      </c>
      <c r="K27" s="62">
        <f>IF($A27="","",$B27-$E$57-$F$57)</f>
        <v/>
      </c>
      <c r="L27" s="60">
        <f>IF($A27="","",$L$57*$D27)</f>
        <v/>
      </c>
      <c r="M27" s="62">
        <f>IF($A27="","",($C27-$E$58-$F$58-$G$58-$H$58-$I$58)/4)</f>
        <v/>
      </c>
      <c r="N27" s="60">
        <f>IF($A27="","",$L$58*$D27)</f>
        <v/>
      </c>
      <c r="O27" s="62">
        <f>IF($A27="","",$B27-$E$59-$F$59)</f>
        <v/>
      </c>
      <c r="P27" s="60">
        <f>IF($A27="","",$L$59*$D27)</f>
        <v/>
      </c>
      <c r="Q27" s="62" t="n"/>
      <c r="R27" s="60" t="n"/>
      <c r="S27" s="62" t="n"/>
      <c r="T27" s="60" t="n"/>
      <c r="U27" s="62" t="n"/>
      <c r="V27" s="60" t="n"/>
      <c r="W27" s="62" t="n"/>
      <c r="X27" s="60" t="n"/>
      <c r="Y27" s="62" t="n"/>
      <c r="Z27" s="60" t="n"/>
      <c r="AA27" s="62" t="n"/>
      <c r="AB27" s="60" t="n"/>
      <c r="AC27" s="62" t="n"/>
      <c r="AD27" s="60" t="n"/>
      <c r="AE27" s="63">
        <f>IF($A27="","",$B27-35-35)</f>
        <v/>
      </c>
      <c r="AF27" s="64">
        <f>IF($A27="","",$M27-10-10)</f>
        <v/>
      </c>
      <c r="AG27" s="65">
        <f>IF($A27="","",4*$D27)</f>
        <v/>
      </c>
    </row>
    <row r="28" ht="40.2" customHeight="1">
      <c r="A28" s="58" t="n"/>
      <c r="B28" s="59" t="n"/>
      <c r="C28" s="60" t="n"/>
      <c r="D28" s="61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IF($A28="","",$C28-$E$56-$F$56)</f>
        <v/>
      </c>
      <c r="J28" s="67">
        <f>IF($A28="","",$L$56*$D28)</f>
        <v/>
      </c>
      <c r="K28" s="66">
        <f>IF($A28="","",$B28-$E$57-$F$57)</f>
        <v/>
      </c>
      <c r="L28" s="67">
        <f>IF($A28="","",$L$57*$D28)</f>
        <v/>
      </c>
      <c r="M28" s="66">
        <f>IF($A28="","",($C28-$E$58-$F$58-$G$58-$H$58-$I$58)/4)</f>
        <v/>
      </c>
      <c r="N28" s="67">
        <f>IF($A28="","",$L$58*$D28)</f>
        <v/>
      </c>
      <c r="O28" s="66">
        <f>IF($A28="","",$B28-$E$59-$F$59)</f>
        <v/>
      </c>
      <c r="P28" s="67">
        <f>IF($A28="","",$L$59*$D28)</f>
        <v/>
      </c>
      <c r="Q28" s="66" t="n"/>
      <c r="R28" s="67" t="n"/>
      <c r="S28" s="66" t="n"/>
      <c r="T28" s="67" t="n"/>
      <c r="U28" s="66" t="n"/>
      <c r="V28" s="67" t="n"/>
      <c r="W28" s="66" t="n"/>
      <c r="X28" s="67" t="n"/>
      <c r="Y28" s="66" t="n"/>
      <c r="Z28" s="67" t="n"/>
      <c r="AA28" s="66" t="n"/>
      <c r="AB28" s="67" t="n"/>
      <c r="AC28" s="66" t="n"/>
      <c r="AD28" s="67" t="n"/>
      <c r="AE28" s="63">
        <f>IF($A28="","",$B28-35-35)</f>
        <v/>
      </c>
      <c r="AF28" s="64">
        <f>IF($A28="","",$M28-10-10)</f>
        <v/>
      </c>
      <c r="AG28" s="65">
        <f>IF($A28="","",4*$D28)</f>
        <v/>
      </c>
    </row>
    <row r="29" ht="40.2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</row>
    <row r="30" ht="40.2" customHeight="1">
      <c r="A30" s="70" t="inlineStr">
        <is>
          <t>จำนวนเส้น 6.4 ม. ที่ต้องสั่ง →</t>
        </is>
      </c>
      <c r="B30" s="19" t="n"/>
      <c r="C30" s="19" t="n"/>
      <c r="D30" s="20" t="n"/>
      <c r="E30" s="130">
        <f>E$7</f>
        <v/>
      </c>
      <c r="F30" s="19" t="n"/>
      <c r="G30" s="20" t="n"/>
      <c r="H30" s="130">
        <f>(ROUNDUP(SUM(F49:H49)/6400,0))</f>
        <v/>
      </c>
      <c r="I30" s="130">
        <f>I$7</f>
        <v/>
      </c>
      <c r="J30" s="130">
        <f>(ROUNDUP(J49/6400,0))</f>
        <v/>
      </c>
      <c r="K30" s="130">
        <f>K$7</f>
        <v/>
      </c>
      <c r="L30" s="19" t="n"/>
      <c r="M30" s="20" t="n"/>
      <c r="N30" s="130">
        <f>(ROUNDUP(SUM(L49:N49)/6400,0))</f>
        <v/>
      </c>
      <c r="O30" s="130">
        <f>O$7</f>
        <v/>
      </c>
      <c r="P30" s="130">
        <f>(ROUNDUP(P49/6400,0))</f>
        <v/>
      </c>
      <c r="Q30" s="148" t="n"/>
      <c r="R30" s="130">
        <f>(ROUNDUP(SUM(P49:R49)/6400,0))</f>
        <v/>
      </c>
      <c r="S30" s="130">
        <f>S$7</f>
        <v/>
      </c>
      <c r="T30" s="130">
        <f>(ROUNDUP(T49/6400,0))</f>
        <v/>
      </c>
      <c r="U30" s="130">
        <f>U$7</f>
        <v/>
      </c>
      <c r="V30" s="130">
        <f>(ROUNDUP(V49/6400,0))</f>
        <v/>
      </c>
      <c r="W30" s="130">
        <f>W$7</f>
        <v/>
      </c>
      <c r="X30" s="130">
        <f>(ROUNDUP(X49/6400,0))</f>
        <v/>
      </c>
      <c r="Y30" s="130">
        <f>Y$7</f>
        <v/>
      </c>
      <c r="Z30" s="130">
        <f>(ROUNDUP(Z49/6400,0))</f>
        <v/>
      </c>
      <c r="AA30" s="130">
        <f>AA$7</f>
        <v/>
      </c>
      <c r="AB30" s="130">
        <f>(ROUNDUP(AB49/6400,0))</f>
        <v/>
      </c>
      <c r="AC30" s="130">
        <f>AC$7</f>
        <v/>
      </c>
      <c r="AD30" s="130">
        <f>(ROUNDUP(AD49/6400,0))</f>
        <v/>
      </c>
    </row>
    <row r="31" hidden="1" ht="40.2" customHeight="1">
      <c r="F31" s="72">
        <f>IF($A11="","",F11*E11)</f>
        <v/>
      </c>
      <c r="G31" s="72" t="n"/>
      <c r="H31" s="72">
        <f>IF($A11="","",H11*G11)</f>
        <v/>
      </c>
      <c r="I31" s="72" t="n"/>
      <c r="J31" s="72">
        <f>IF($A11="","",J11*I11)</f>
        <v/>
      </c>
      <c r="K31" s="72" t="n"/>
      <c r="L31" s="72">
        <f>IF($A11="","",L11*K11)</f>
        <v/>
      </c>
      <c r="M31" s="72" t="n"/>
      <c r="N31" s="72">
        <f>IF($A11="","",N11*M11)</f>
        <v/>
      </c>
      <c r="O31" s="72" t="n"/>
      <c r="P31" s="72">
        <f>IF($A11="","",P11*O11)</f>
        <v/>
      </c>
      <c r="Q31" s="72" t="n"/>
      <c r="R31" s="72">
        <f>IF($A11="","",R11*Q11)</f>
        <v/>
      </c>
      <c r="S31" s="72" t="n"/>
      <c r="T31" s="72">
        <f>IF($A11="","",T11*S11)</f>
        <v/>
      </c>
      <c r="U31" s="72" t="n"/>
      <c r="V31" s="72">
        <f>IF($A11="","",V11*U11)</f>
        <v/>
      </c>
      <c r="W31" s="72" t="n"/>
      <c r="X31" s="72">
        <f>IF($A11="","",X11*W11)</f>
        <v/>
      </c>
      <c r="Y31" s="72" t="n"/>
      <c r="Z31" s="72">
        <f>IF($A11="","",Z11*Y11)</f>
        <v/>
      </c>
      <c r="AA31" s="72" t="n"/>
      <c r="AB31" s="72">
        <f>IF($A11="","",AB11*AA11)</f>
        <v/>
      </c>
      <c r="AC31" s="72" t="n"/>
      <c r="AD31" s="72">
        <f>IF($A11="","",AD11*AC11)</f>
        <v/>
      </c>
    </row>
    <row r="32" hidden="1" ht="40.2" customHeight="1">
      <c r="F32" s="72">
        <f>IF($A12="","",F12*E12)</f>
        <v/>
      </c>
      <c r="G32" s="72" t="n"/>
      <c r="H32" s="72">
        <f>IF($A12="","",H12*G12)</f>
        <v/>
      </c>
      <c r="I32" s="72" t="n"/>
      <c r="J32" s="72">
        <f>IF($A12="","",J12*I12)</f>
        <v/>
      </c>
      <c r="K32" s="72" t="n"/>
      <c r="L32" s="72">
        <f>IF($A12="","",L12*K12)</f>
        <v/>
      </c>
      <c r="M32" s="72" t="n"/>
      <c r="N32" s="72">
        <f>IF($A12="","",N12*M12)</f>
        <v/>
      </c>
      <c r="O32" s="72" t="n"/>
      <c r="P32" s="72">
        <f>IF($A12="","",P12*O12)</f>
        <v/>
      </c>
      <c r="Q32" s="72" t="n"/>
      <c r="R32" s="72">
        <f>IF($A12="","",R12*Q12)</f>
        <v/>
      </c>
      <c r="S32" s="72" t="n"/>
      <c r="T32" s="72">
        <f>IF($A12="","",T12*S12)</f>
        <v/>
      </c>
      <c r="U32" s="72" t="n"/>
      <c r="V32" s="72">
        <f>IF($A12="","",V12*U12)</f>
        <v/>
      </c>
      <c r="W32" s="72" t="n"/>
      <c r="X32" s="72">
        <f>IF($A12="","",X12*W12)</f>
        <v/>
      </c>
      <c r="Y32" s="72" t="n"/>
      <c r="Z32" s="72">
        <f>IF($A12="","",Z12*Y12)</f>
        <v/>
      </c>
      <c r="AA32" s="72" t="n"/>
      <c r="AB32" s="72">
        <f>IF($A12="","",AB12*AA12)</f>
        <v/>
      </c>
      <c r="AC32" s="72" t="n"/>
      <c r="AD32" s="72">
        <f>IF($A12="","",AD12*AC12)</f>
        <v/>
      </c>
    </row>
    <row r="33" hidden="1" ht="40.2" customHeight="1">
      <c r="F33" s="72">
        <f>IF($A13="","",F13*E13)</f>
        <v/>
      </c>
      <c r="G33" s="72" t="n"/>
      <c r="H33" s="72">
        <f>IF($A13="","",H13*G13)</f>
        <v/>
      </c>
      <c r="I33" s="72" t="n"/>
      <c r="J33" s="72">
        <f>IF($A13="","",J13*I13)</f>
        <v/>
      </c>
      <c r="K33" s="72" t="n"/>
      <c r="L33" s="72">
        <f>IF($A13="","",L13*K13)</f>
        <v/>
      </c>
      <c r="M33" s="72" t="n"/>
      <c r="N33" s="72">
        <f>IF($A13="","",N13*M13)</f>
        <v/>
      </c>
      <c r="O33" s="72" t="n"/>
      <c r="P33" s="72">
        <f>IF($A13="","",P13*O13)</f>
        <v/>
      </c>
      <c r="Q33" s="72" t="n"/>
      <c r="R33" s="72">
        <f>IF($A13="","",R13*Q13)</f>
        <v/>
      </c>
      <c r="S33" s="72" t="n"/>
      <c r="T33" s="72">
        <f>IF($A13="","",T13*S13)</f>
        <v/>
      </c>
      <c r="U33" s="72" t="n"/>
      <c r="V33" s="72">
        <f>IF($A13="","",V13*U13)</f>
        <v/>
      </c>
      <c r="W33" s="72" t="n"/>
      <c r="X33" s="72">
        <f>IF($A13="","",X13*W13)</f>
        <v/>
      </c>
      <c r="Y33" s="72" t="n"/>
      <c r="Z33" s="72">
        <f>IF($A13="","",Z13*Y13)</f>
        <v/>
      </c>
      <c r="AA33" s="72" t="n"/>
      <c r="AB33" s="72">
        <f>IF($A13="","",AB13*AA13)</f>
        <v/>
      </c>
      <c r="AC33" s="72" t="n"/>
      <c r="AD33" s="72">
        <f>IF($A13="","",AD13*AC13)</f>
        <v/>
      </c>
    </row>
    <row r="34" hidden="1" ht="40.2" customHeight="1">
      <c r="F34" s="72">
        <f>IF($A14="","",F14*E14)</f>
        <v/>
      </c>
      <c r="G34" s="72" t="n"/>
      <c r="H34" s="72">
        <f>IF($A14="","",H14*G14)</f>
        <v/>
      </c>
      <c r="I34" s="72" t="n"/>
      <c r="J34" s="72">
        <f>IF($A14="","",J14*I14)</f>
        <v/>
      </c>
      <c r="K34" s="72" t="n"/>
      <c r="L34" s="72">
        <f>IF($A14="","",L14*K14)</f>
        <v/>
      </c>
      <c r="M34" s="72" t="n"/>
      <c r="N34" s="72">
        <f>IF($A14="","",N14*M14)</f>
        <v/>
      </c>
      <c r="O34" s="72" t="n"/>
      <c r="P34" s="72">
        <f>IF($A14="","",P14*O14)</f>
        <v/>
      </c>
      <c r="Q34" s="72" t="n"/>
      <c r="R34" s="72">
        <f>IF($A14="","",R14*Q14)</f>
        <v/>
      </c>
      <c r="S34" s="72" t="n"/>
      <c r="T34" s="72">
        <f>IF($A14="","",T14*S14)</f>
        <v/>
      </c>
      <c r="U34" s="72" t="n"/>
      <c r="V34" s="72">
        <f>IF($A14="","",V14*U14)</f>
        <v/>
      </c>
      <c r="W34" s="72" t="n"/>
      <c r="X34" s="72">
        <f>IF($A14="","",X14*W14)</f>
        <v/>
      </c>
      <c r="Y34" s="72" t="n"/>
      <c r="Z34" s="72">
        <f>IF($A14="","",Z14*Y14)</f>
        <v/>
      </c>
      <c r="AA34" s="72" t="n"/>
      <c r="AB34" s="72">
        <f>IF($A14="","",AB14*AA14)</f>
        <v/>
      </c>
      <c r="AC34" s="72" t="n"/>
      <c r="AD34" s="72">
        <f>IF($A14="","",AD14*AC14)</f>
        <v/>
      </c>
    </row>
    <row r="35" hidden="1" ht="40.2" customHeight="1">
      <c r="F35" s="72">
        <f>IF($A15="","",F15*E15)</f>
        <v/>
      </c>
      <c r="G35" s="72" t="n"/>
      <c r="H35" s="72">
        <f>IF($A15="","",H15*G15)</f>
        <v/>
      </c>
      <c r="I35" s="72" t="n"/>
      <c r="J35" s="72">
        <f>IF($A15="","",J15*I15)</f>
        <v/>
      </c>
      <c r="K35" s="72" t="n"/>
      <c r="L35" s="72">
        <f>IF($A15="","",L15*K15)</f>
        <v/>
      </c>
      <c r="M35" s="72" t="n"/>
      <c r="N35" s="72">
        <f>IF($A15="","",N15*M15)</f>
        <v/>
      </c>
      <c r="O35" s="72" t="n"/>
      <c r="P35" s="72">
        <f>IF($A15="","",P15*O15)</f>
        <v/>
      </c>
      <c r="Q35" s="72" t="n"/>
      <c r="R35" s="72">
        <f>IF($A15="","",R15*Q15)</f>
        <v/>
      </c>
      <c r="S35" s="72" t="n"/>
      <c r="T35" s="72">
        <f>IF($A15="","",T15*S15)</f>
        <v/>
      </c>
      <c r="U35" s="72" t="n"/>
      <c r="V35" s="72">
        <f>IF($A15="","",V15*U15)</f>
        <v/>
      </c>
      <c r="W35" s="72" t="n"/>
      <c r="X35" s="72">
        <f>IF($A15="","",X15*W15)</f>
        <v/>
      </c>
      <c r="Y35" s="72" t="n"/>
      <c r="Z35" s="72">
        <f>IF($A15="","",Z15*Y15)</f>
        <v/>
      </c>
      <c r="AA35" s="72" t="n"/>
      <c r="AB35" s="72">
        <f>IF($A15="","",AB15*AA15)</f>
        <v/>
      </c>
      <c r="AC35" s="72" t="n"/>
      <c r="AD35" s="72">
        <f>IF($A15="","",AD15*AC15)</f>
        <v/>
      </c>
    </row>
    <row r="36" hidden="1">
      <c r="F36" s="72">
        <f>IF($A16="","",F16*E16)</f>
        <v/>
      </c>
      <c r="G36" s="72" t="n"/>
      <c r="H36" s="72">
        <f>IF($A16="","",H16*G16)</f>
        <v/>
      </c>
      <c r="I36" s="72" t="n"/>
      <c r="J36" s="72">
        <f>IF($A16="","",J16*I16)</f>
        <v/>
      </c>
      <c r="K36" s="72" t="n"/>
      <c r="L36" s="72">
        <f>IF($A16="","",L16*K16)</f>
        <v/>
      </c>
      <c r="M36" s="72" t="n"/>
      <c r="N36" s="72">
        <f>IF($A16="","",N16*M16)</f>
        <v/>
      </c>
      <c r="O36" s="72" t="n"/>
      <c r="P36" s="72">
        <f>IF($A16="","",P16*O16)</f>
        <v/>
      </c>
      <c r="Q36" s="72" t="n"/>
      <c r="R36" s="72">
        <f>IF($A16="","",R16*Q16)</f>
        <v/>
      </c>
      <c r="S36" s="72" t="n"/>
      <c r="T36" s="72">
        <f>IF($A16="","",T16*S16)</f>
        <v/>
      </c>
      <c r="U36" s="72" t="n"/>
      <c r="V36" s="72">
        <f>IF($A16="","",V16*U16)</f>
        <v/>
      </c>
      <c r="W36" s="72" t="n"/>
      <c r="X36" s="72">
        <f>IF($A16="","",X16*W16)</f>
        <v/>
      </c>
      <c r="Y36" s="72" t="n"/>
      <c r="Z36" s="72">
        <f>IF($A16="","",Z16*Y16)</f>
        <v/>
      </c>
      <c r="AA36" s="72" t="n"/>
      <c r="AB36" s="72">
        <f>IF($A16="","",AB16*AA16)</f>
        <v/>
      </c>
      <c r="AC36" s="72" t="n"/>
      <c r="AD36" s="72">
        <f>IF($A16="","",AD16*AC16)</f>
        <v/>
      </c>
    </row>
    <row r="37" hidden="1">
      <c r="F37" s="72">
        <f>IF($A17="","",F17*E17)</f>
        <v/>
      </c>
      <c r="G37" s="72" t="n"/>
      <c r="H37" s="72">
        <f>IF($A17="","",H17*G17)</f>
        <v/>
      </c>
      <c r="I37" s="72" t="n"/>
      <c r="J37" s="72">
        <f>IF($A17="","",J17*I17)</f>
        <v/>
      </c>
      <c r="K37" s="72" t="n"/>
      <c r="L37" s="72">
        <f>IF($A17="","",L17*K17)</f>
        <v/>
      </c>
      <c r="M37" s="72" t="n"/>
      <c r="N37" s="72">
        <f>IF($A17="","",N17*M17)</f>
        <v/>
      </c>
      <c r="O37" s="72" t="n"/>
      <c r="P37" s="72">
        <f>IF($A17="","",P17*O17)</f>
        <v/>
      </c>
      <c r="Q37" s="72" t="n"/>
      <c r="R37" s="72">
        <f>IF($A17="","",R17*Q17)</f>
        <v/>
      </c>
      <c r="S37" s="72" t="n"/>
      <c r="T37" s="72">
        <f>IF($A17="","",T17*S17)</f>
        <v/>
      </c>
      <c r="U37" s="72" t="n"/>
      <c r="V37" s="72">
        <f>IF($A17="","",V17*U17)</f>
        <v/>
      </c>
      <c r="W37" s="72" t="n"/>
      <c r="X37" s="72">
        <f>IF($A17="","",X17*W17)</f>
        <v/>
      </c>
      <c r="Y37" s="72" t="n"/>
      <c r="Z37" s="72">
        <f>IF($A17="","",Z17*Y17)</f>
        <v/>
      </c>
      <c r="AA37" s="72" t="n"/>
      <c r="AB37" s="72">
        <f>IF($A17="","",AB17*AA17)</f>
        <v/>
      </c>
      <c r="AC37" s="72" t="n"/>
      <c r="AD37" s="72">
        <f>IF($A17="","",AD17*AC17)</f>
        <v/>
      </c>
    </row>
    <row r="38" hidden="1">
      <c r="F38" s="72">
        <f>IF($A18="","",F18*E18)</f>
        <v/>
      </c>
      <c r="G38" s="72" t="n"/>
      <c r="H38" s="72">
        <f>IF($A18="","",H18*G18)</f>
        <v/>
      </c>
      <c r="I38" s="72" t="n"/>
      <c r="J38" s="72">
        <f>IF($A18="","",J18*I18)</f>
        <v/>
      </c>
      <c r="K38" s="72" t="n"/>
      <c r="L38" s="72">
        <f>IF($A18="","",L18*K18)</f>
        <v/>
      </c>
      <c r="M38" s="72" t="n"/>
      <c r="N38" s="72">
        <f>IF($A18="","",N18*M18)</f>
        <v/>
      </c>
      <c r="O38" s="72" t="n"/>
      <c r="P38" s="72">
        <f>IF($A18="","",P18*O18)</f>
        <v/>
      </c>
      <c r="Q38" s="72" t="n"/>
      <c r="R38" s="72">
        <f>IF($A18="","",R18*Q18)</f>
        <v/>
      </c>
      <c r="S38" s="72" t="n"/>
      <c r="T38" s="72">
        <f>IF($A18="","",T18*S18)</f>
        <v/>
      </c>
      <c r="U38" s="72" t="n"/>
      <c r="V38" s="72">
        <f>IF($A18="","",V18*U18)</f>
        <v/>
      </c>
      <c r="W38" s="72" t="n"/>
      <c r="X38" s="72">
        <f>IF($A18="","",X18*W18)</f>
        <v/>
      </c>
      <c r="Y38" s="72" t="n"/>
      <c r="Z38" s="72">
        <f>IF($A18="","",Z18*Y18)</f>
        <v/>
      </c>
      <c r="AA38" s="72" t="n"/>
      <c r="AB38" s="72">
        <f>IF($A18="","",AB18*AA18)</f>
        <v/>
      </c>
      <c r="AC38" s="72" t="n"/>
      <c r="AD38" s="72">
        <f>IF($A18="","",AD18*AC18)</f>
        <v/>
      </c>
    </row>
    <row r="39" hidden="1">
      <c r="F39" s="72">
        <f>IF($A19="","",F19*E19)</f>
        <v/>
      </c>
      <c r="G39" s="72" t="n"/>
      <c r="H39" s="72">
        <f>IF($A19="","",H19*G19)</f>
        <v/>
      </c>
      <c r="I39" s="72" t="n"/>
      <c r="J39" s="72">
        <f>IF($A19="","",J19*I19)</f>
        <v/>
      </c>
      <c r="K39" s="72" t="n"/>
      <c r="L39" s="72">
        <f>IF($A19="","",L19*K19)</f>
        <v/>
      </c>
      <c r="M39" s="72" t="n"/>
      <c r="N39" s="72">
        <f>IF($A19="","",N19*M19)</f>
        <v/>
      </c>
      <c r="O39" s="72" t="n"/>
      <c r="P39" s="72">
        <f>IF($A19="","",P19*O19)</f>
        <v/>
      </c>
      <c r="Q39" s="72" t="n"/>
      <c r="R39" s="72">
        <f>IF($A19="","",R19*Q19)</f>
        <v/>
      </c>
      <c r="S39" s="72" t="n"/>
      <c r="T39" s="72">
        <f>IF($A19="","",T19*S19)</f>
        <v/>
      </c>
      <c r="U39" s="72" t="n"/>
      <c r="V39" s="72">
        <f>IF($A19="","",V19*U19)</f>
        <v/>
      </c>
      <c r="W39" s="72" t="n"/>
      <c r="X39" s="72">
        <f>IF($A19="","",X19*W19)</f>
        <v/>
      </c>
      <c r="Y39" s="72" t="n"/>
      <c r="Z39" s="72">
        <f>IF($A19="","",Z19*Y19)</f>
        <v/>
      </c>
      <c r="AA39" s="72" t="n"/>
      <c r="AB39" s="72">
        <f>IF($A19="","",AB19*AA19)</f>
        <v/>
      </c>
      <c r="AC39" s="72" t="n"/>
      <c r="AD39" s="72">
        <f>IF($A19="","",AD19*AC19)</f>
        <v/>
      </c>
    </row>
    <row r="40" hidden="1">
      <c r="F40" s="72">
        <f>IF($A20="","",F20*E20)</f>
        <v/>
      </c>
      <c r="G40" s="72" t="n"/>
      <c r="H40" s="72">
        <f>IF($A20="","",H20*G20)</f>
        <v/>
      </c>
      <c r="I40" s="72" t="n"/>
      <c r="J40" s="72">
        <f>IF($A20="","",J20*I20)</f>
        <v/>
      </c>
      <c r="K40" s="72" t="n"/>
      <c r="L40" s="72">
        <f>IF($A20="","",L20*K20)</f>
        <v/>
      </c>
      <c r="M40" s="72" t="n"/>
      <c r="N40" s="72">
        <f>IF($A20="","",N20*M20)</f>
        <v/>
      </c>
      <c r="O40" s="72" t="n"/>
      <c r="P40" s="72">
        <f>IF($A20="","",P20*O20)</f>
        <v/>
      </c>
      <c r="Q40" s="72" t="n"/>
      <c r="R40" s="72">
        <f>IF($A20="","",R20*Q20)</f>
        <v/>
      </c>
      <c r="S40" s="72" t="n"/>
      <c r="T40" s="72">
        <f>IF($A20="","",T20*S20)</f>
        <v/>
      </c>
      <c r="U40" s="72" t="n"/>
      <c r="V40" s="72">
        <f>IF($A20="","",V20*U20)</f>
        <v/>
      </c>
      <c r="W40" s="72" t="n"/>
      <c r="X40" s="72">
        <f>IF($A20="","",X20*W20)</f>
        <v/>
      </c>
      <c r="Y40" s="72" t="n"/>
      <c r="Z40" s="72">
        <f>IF($A20="","",Z20*Y20)</f>
        <v/>
      </c>
      <c r="AA40" s="72" t="n"/>
      <c r="AB40" s="72">
        <f>IF($A20="","",AB20*AA20)</f>
        <v/>
      </c>
      <c r="AC40" s="72" t="n"/>
      <c r="AD40" s="72">
        <f>IF($A20="","",AD20*AC20)</f>
        <v/>
      </c>
    </row>
    <row r="41" hidden="1">
      <c r="F41" s="72">
        <f>IF($A21="","",F21*E21)</f>
        <v/>
      </c>
      <c r="G41" s="72" t="n"/>
      <c r="H41" s="72">
        <f>IF($A21="","",H21*G21)</f>
        <v/>
      </c>
      <c r="I41" s="72" t="n"/>
      <c r="J41" s="72">
        <f>IF($A21="","",J21*I21)</f>
        <v/>
      </c>
      <c r="K41" s="72" t="n"/>
      <c r="L41" s="72">
        <f>IF($A21="","",L21*K21)</f>
        <v/>
      </c>
      <c r="M41" s="72" t="n"/>
      <c r="N41" s="72">
        <f>IF($A21="","",N21*M21)</f>
        <v/>
      </c>
      <c r="O41" s="72" t="n"/>
      <c r="P41" s="72">
        <f>IF($A21="","",P21*O21)</f>
        <v/>
      </c>
      <c r="Q41" s="72" t="n"/>
      <c r="R41" s="72">
        <f>IF($A21="","",R21*Q21)</f>
        <v/>
      </c>
      <c r="S41" s="72" t="n"/>
      <c r="T41" s="72">
        <f>IF($A21="","",T21*S21)</f>
        <v/>
      </c>
      <c r="U41" s="72" t="n"/>
      <c r="V41" s="72">
        <f>IF($A21="","",V21*U21)</f>
        <v/>
      </c>
      <c r="W41" s="72" t="n"/>
      <c r="X41" s="72">
        <f>IF($A21="","",X21*W21)</f>
        <v/>
      </c>
      <c r="Y41" s="72" t="n"/>
      <c r="Z41" s="72">
        <f>IF($A21="","",Z21*Y21)</f>
        <v/>
      </c>
      <c r="AA41" s="72" t="n"/>
      <c r="AB41" s="72">
        <f>IF($A21="","",AB21*AA21)</f>
        <v/>
      </c>
      <c r="AC41" s="72" t="n"/>
      <c r="AD41" s="72">
        <f>IF($A21="","",AD21*AC21)</f>
        <v/>
      </c>
    </row>
    <row r="42" hidden="1">
      <c r="F42" s="72">
        <f>IF($A22="","",F22*E22)</f>
        <v/>
      </c>
      <c r="G42" s="72" t="n"/>
      <c r="H42" s="72">
        <f>IF($A22="","",H22*G22)</f>
        <v/>
      </c>
      <c r="I42" s="72" t="n"/>
      <c r="J42" s="72">
        <f>IF($A22="","",J22*I22)</f>
        <v/>
      </c>
      <c r="K42" s="72" t="n"/>
      <c r="L42" s="72">
        <f>IF($A22="","",L22*K22)</f>
        <v/>
      </c>
      <c r="M42" s="72" t="n"/>
      <c r="N42" s="72">
        <f>IF($A22="","",N22*M22)</f>
        <v/>
      </c>
      <c r="O42" s="72" t="n"/>
      <c r="P42" s="72">
        <f>IF($A22="","",P22*O22)</f>
        <v/>
      </c>
      <c r="Q42" s="72" t="n"/>
      <c r="R42" s="72">
        <f>IF($A22="","",R22*Q22)</f>
        <v/>
      </c>
      <c r="S42" s="72" t="n"/>
      <c r="T42" s="72">
        <f>IF($A22="","",T22*S22)</f>
        <v/>
      </c>
      <c r="U42" s="72" t="n"/>
      <c r="V42" s="72">
        <f>IF($A22="","",V22*U22)</f>
        <v/>
      </c>
      <c r="W42" s="72" t="n"/>
      <c r="X42" s="72">
        <f>IF($A22="","",X22*W22)</f>
        <v/>
      </c>
      <c r="Y42" s="72" t="n"/>
      <c r="Z42" s="72">
        <f>IF($A22="","",Z22*Y22)</f>
        <v/>
      </c>
      <c r="AA42" s="72" t="n"/>
      <c r="AB42" s="72">
        <f>IF($A22="","",AB22*AA22)</f>
        <v/>
      </c>
      <c r="AC42" s="72" t="n"/>
      <c r="AD42" s="72">
        <f>IF($A22="","",AD22*AC22)</f>
        <v/>
      </c>
    </row>
    <row r="43" hidden="1">
      <c r="F43" s="72">
        <f>IF($A23="","",F23*E23)</f>
        <v/>
      </c>
      <c r="G43" s="72" t="n"/>
      <c r="H43" s="72">
        <f>IF($A23="","",H23*G23)</f>
        <v/>
      </c>
      <c r="I43" s="72" t="n"/>
      <c r="J43" s="72">
        <f>IF($A23="","",J23*I23)</f>
        <v/>
      </c>
      <c r="K43" s="72" t="n"/>
      <c r="L43" s="72">
        <f>IF($A23="","",L23*K23)</f>
        <v/>
      </c>
      <c r="M43" s="72" t="n"/>
      <c r="N43" s="72">
        <f>IF($A23="","",N23*M23)</f>
        <v/>
      </c>
      <c r="O43" s="72" t="n"/>
      <c r="P43" s="72">
        <f>IF($A23="","",P23*O23)</f>
        <v/>
      </c>
      <c r="Q43" s="72" t="n"/>
      <c r="R43" s="72">
        <f>IF($A23="","",R23*Q23)</f>
        <v/>
      </c>
      <c r="S43" s="72" t="n"/>
      <c r="T43" s="72">
        <f>IF($A23="","",T23*S23)</f>
        <v/>
      </c>
      <c r="U43" s="72" t="n"/>
      <c r="V43" s="72">
        <f>IF($A23="","",V23*U23)</f>
        <v/>
      </c>
      <c r="W43" s="72" t="n"/>
      <c r="X43" s="72">
        <f>IF($A23="","",X23*W23)</f>
        <v/>
      </c>
      <c r="Y43" s="72" t="n"/>
      <c r="Z43" s="72">
        <f>IF($A23="","",Z23*Y23)</f>
        <v/>
      </c>
      <c r="AA43" s="72" t="n"/>
      <c r="AB43" s="72">
        <f>IF($A23="","",AB23*AA23)</f>
        <v/>
      </c>
      <c r="AC43" s="72" t="n"/>
      <c r="AD43" s="72">
        <f>IF($A23="","",AD23*AC23)</f>
        <v/>
      </c>
    </row>
    <row r="44" hidden="1">
      <c r="F44" s="72">
        <f>IF($A24="","",F24*E24)</f>
        <v/>
      </c>
      <c r="G44" s="72" t="n"/>
      <c r="H44" s="72">
        <f>IF($A24="","",H24*G24)</f>
        <v/>
      </c>
      <c r="I44" s="72" t="n"/>
      <c r="J44" s="72">
        <f>IF($A24="","",J24*I24)</f>
        <v/>
      </c>
      <c r="K44" s="72" t="n"/>
      <c r="L44" s="72">
        <f>IF($A24="","",L24*K24)</f>
        <v/>
      </c>
      <c r="M44" s="72" t="n"/>
      <c r="N44" s="72">
        <f>IF($A24="","",N24*M24)</f>
        <v/>
      </c>
      <c r="O44" s="72" t="n"/>
      <c r="P44" s="72">
        <f>IF($A24="","",P24*O24)</f>
        <v/>
      </c>
      <c r="Q44" s="72" t="n"/>
      <c r="R44" s="72">
        <f>IF($A24="","",R24*Q24)</f>
        <v/>
      </c>
      <c r="S44" s="72" t="n"/>
      <c r="T44" s="72">
        <f>IF($A24="","",T24*S24)</f>
        <v/>
      </c>
      <c r="U44" s="72" t="n"/>
      <c r="V44" s="72">
        <f>IF($A24="","",V24*U24)</f>
        <v/>
      </c>
      <c r="W44" s="72" t="n"/>
      <c r="X44" s="72">
        <f>IF($A24="","",X24*W24)</f>
        <v/>
      </c>
      <c r="Y44" s="72" t="n"/>
      <c r="Z44" s="72">
        <f>IF($A24="","",Z24*Y24)</f>
        <v/>
      </c>
      <c r="AA44" s="72" t="n"/>
      <c r="AB44" s="72">
        <f>IF($A24="","",AB24*AA24)</f>
        <v/>
      </c>
      <c r="AC44" s="72" t="n"/>
      <c r="AD44" s="72">
        <f>IF($A24="","",AD24*AC24)</f>
        <v/>
      </c>
    </row>
    <row r="45" hidden="1">
      <c r="F45" s="72">
        <f>IF($A25="","",F25*E25)</f>
        <v/>
      </c>
      <c r="G45" s="72" t="n"/>
      <c r="H45" s="72">
        <f>IF($A25="","",H25*G25)</f>
        <v/>
      </c>
      <c r="I45" s="72" t="n"/>
      <c r="J45" s="72">
        <f>IF($A25="","",J25*I25)</f>
        <v/>
      </c>
      <c r="K45" s="72" t="n"/>
      <c r="L45" s="72">
        <f>IF($A25="","",L25*K25)</f>
        <v/>
      </c>
      <c r="M45" s="72" t="n"/>
      <c r="N45" s="72">
        <f>IF($A25="","",N25*M25)</f>
        <v/>
      </c>
      <c r="O45" s="72" t="n"/>
      <c r="P45" s="72">
        <f>IF($A25="","",P25*O25)</f>
        <v/>
      </c>
      <c r="Q45" s="72" t="n"/>
      <c r="R45" s="72">
        <f>IF($A25="","",R25*Q25)</f>
        <v/>
      </c>
      <c r="S45" s="72" t="n"/>
      <c r="T45" s="72">
        <f>IF($A25="","",T25*S25)</f>
        <v/>
      </c>
      <c r="U45" s="72" t="n"/>
      <c r="V45" s="72">
        <f>IF($A25="","",V25*U25)</f>
        <v/>
      </c>
      <c r="W45" s="72" t="n"/>
      <c r="X45" s="72">
        <f>IF($A25="","",X25*W25)</f>
        <v/>
      </c>
      <c r="Y45" s="72" t="n"/>
      <c r="Z45" s="72">
        <f>IF($A25="","",Z25*Y25)</f>
        <v/>
      </c>
      <c r="AA45" s="72" t="n"/>
      <c r="AB45" s="72">
        <f>IF($A25="","",AB25*AA25)</f>
        <v/>
      </c>
      <c r="AC45" s="72" t="n"/>
      <c r="AD45" s="72">
        <f>IF($A25="","",AD25*AC25)</f>
        <v/>
      </c>
    </row>
    <row r="46" hidden="1">
      <c r="F46" s="72">
        <f>IF($A26="","",F26*E26)</f>
        <v/>
      </c>
      <c r="G46" s="72" t="n"/>
      <c r="H46" s="72">
        <f>IF($A26="","",H26*G26)</f>
        <v/>
      </c>
      <c r="I46" s="72" t="n"/>
      <c r="J46" s="72">
        <f>IF($A26="","",J26*I26)</f>
        <v/>
      </c>
      <c r="K46" s="72" t="n"/>
      <c r="L46" s="72">
        <f>IF($A26="","",L26*K26)</f>
        <v/>
      </c>
      <c r="M46" s="72" t="n"/>
      <c r="N46" s="72">
        <f>IF($A26="","",N26*M26)</f>
        <v/>
      </c>
      <c r="O46" s="72" t="n"/>
      <c r="P46" s="72">
        <f>IF($A26="","",P26*O26)</f>
        <v/>
      </c>
      <c r="Q46" s="72" t="n"/>
      <c r="R46" s="72">
        <f>IF($A26="","",R26*Q26)</f>
        <v/>
      </c>
      <c r="S46" s="72" t="n"/>
      <c r="T46" s="72">
        <f>IF($A26="","",T26*S26)</f>
        <v/>
      </c>
      <c r="U46" s="72" t="n"/>
      <c r="V46" s="72">
        <f>IF($A26="","",V26*U26)</f>
        <v/>
      </c>
      <c r="W46" s="72" t="n"/>
      <c r="X46" s="72">
        <f>IF($A26="","",X26*W26)</f>
        <v/>
      </c>
      <c r="Y46" s="72" t="n"/>
      <c r="Z46" s="72">
        <f>IF($A26="","",Z26*Y26)</f>
        <v/>
      </c>
      <c r="AA46" s="72" t="n"/>
      <c r="AB46" s="72">
        <f>IF($A26="","",AB26*AA26)</f>
        <v/>
      </c>
      <c r="AC46" s="72" t="n"/>
      <c r="AD46" s="72">
        <f>IF($A26="","",AD26*AC26)</f>
        <v/>
      </c>
    </row>
    <row r="47" hidden="1">
      <c r="F47" s="72">
        <f>IF($A27="","",F27*E27)</f>
        <v/>
      </c>
      <c r="G47" s="72" t="n"/>
      <c r="H47" s="72">
        <f>IF($A27="","",H27*G27)</f>
        <v/>
      </c>
      <c r="I47" s="72" t="n"/>
      <c r="J47" s="72">
        <f>IF($A27="","",J27*I27)</f>
        <v/>
      </c>
      <c r="K47" s="72" t="n"/>
      <c r="L47" s="72">
        <f>IF($A27="","",L27*K27)</f>
        <v/>
      </c>
      <c r="M47" s="72" t="n"/>
      <c r="N47" s="72">
        <f>IF($A27="","",N27*M27)</f>
        <v/>
      </c>
      <c r="O47" s="72" t="n"/>
      <c r="P47" s="72">
        <f>IF($A27="","",P27*O27)</f>
        <v/>
      </c>
      <c r="Q47" s="72" t="n"/>
      <c r="R47" s="72">
        <f>IF($A27="","",R27*Q27)</f>
        <v/>
      </c>
      <c r="S47" s="72" t="n"/>
      <c r="T47" s="72">
        <f>IF($A27="","",T27*S27)</f>
        <v/>
      </c>
      <c r="U47" s="72" t="n"/>
      <c r="V47" s="72">
        <f>IF($A27="","",V27*U27)</f>
        <v/>
      </c>
      <c r="W47" s="72" t="n"/>
      <c r="X47" s="72">
        <f>IF($A27="","",X27*W27)</f>
        <v/>
      </c>
      <c r="Y47" s="72" t="n"/>
      <c r="Z47" s="72">
        <f>IF($A27="","",Z27*Y27)</f>
        <v/>
      </c>
      <c r="AA47" s="72" t="n"/>
      <c r="AB47" s="72">
        <f>IF($A27="","",AB27*AA27)</f>
        <v/>
      </c>
      <c r="AC47" s="72" t="n"/>
      <c r="AD47" s="72">
        <f>IF($A27="","",AD27*AC27)</f>
        <v/>
      </c>
    </row>
    <row r="48" hidden="1">
      <c r="F48" s="72">
        <f>IF($A28="","",F28*E28)</f>
        <v/>
      </c>
      <c r="G48" s="72" t="n"/>
      <c r="H48" s="72">
        <f>IF($A28="","",H28*G28)</f>
        <v/>
      </c>
      <c r="I48" s="72" t="n"/>
      <c r="J48" s="72">
        <f>IF($A28="","",J28*I28)</f>
        <v/>
      </c>
      <c r="K48" s="72" t="n"/>
      <c r="L48" s="72">
        <f>IF($A28="","",L28*K28)</f>
        <v/>
      </c>
      <c r="M48" s="72" t="n"/>
      <c r="N48" s="72">
        <f>IF($A28="","",N28*M28)</f>
        <v/>
      </c>
      <c r="O48" s="72" t="n"/>
      <c r="P48" s="72">
        <f>IF($A28="","",P28*O28)</f>
        <v/>
      </c>
      <c r="Q48" s="72" t="n"/>
      <c r="R48" s="72">
        <f>IF($A28="","",R28*Q28)</f>
        <v/>
      </c>
      <c r="S48" s="72" t="n"/>
      <c r="T48" s="72">
        <f>IF($A28="","",T28*S28)</f>
        <v/>
      </c>
      <c r="U48" s="72" t="n"/>
      <c r="V48" s="72">
        <f>IF($A28="","",V28*U28)</f>
        <v/>
      </c>
      <c r="W48" s="72" t="n"/>
      <c r="X48" s="72">
        <f>IF($A28="","",X28*W28)</f>
        <v/>
      </c>
      <c r="Y48" s="72" t="n"/>
      <c r="Z48" s="72">
        <f>IF($A28="","",Z28*Y28)</f>
        <v/>
      </c>
      <c r="AA48" s="72" t="n"/>
      <c r="AB48" s="72">
        <f>IF($A28="","",AB28*AA28)</f>
        <v/>
      </c>
      <c r="AC48" s="72" t="n"/>
      <c r="AD48" s="72">
        <f>IF($A28="","",AD28*AC28)</f>
        <v/>
      </c>
    </row>
    <row r="49" hidden="1">
      <c r="F49" s="73">
        <f>SUMIF(F31:F48,"&gt;0")</f>
        <v/>
      </c>
      <c r="G49" s="73" t="n"/>
      <c r="H49" s="73">
        <f>SUMIF(H31:H48,"&gt;0")</f>
        <v/>
      </c>
      <c r="I49" s="73" t="n"/>
      <c r="J49" s="73">
        <f>SUMIF(J31:J48,"&gt;0")</f>
        <v/>
      </c>
      <c r="L49" s="73">
        <f>SUMIF(L31:L48,"&gt;0")</f>
        <v/>
      </c>
      <c r="M49" s="73" t="n"/>
      <c r="N49" s="73">
        <f>SUMIF(N31:N48,"&gt;0")</f>
        <v/>
      </c>
      <c r="O49" s="73" t="n"/>
      <c r="P49" s="73">
        <f>SUMIF(P31:P48,"&gt;0")</f>
        <v/>
      </c>
      <c r="Q49" s="73" t="n"/>
      <c r="R49" s="73">
        <f>SUMIF(R31:R48,"&gt;0")</f>
        <v/>
      </c>
      <c r="T49" s="73">
        <f>SUMIF(T31:T48,"&gt;0")</f>
        <v/>
      </c>
      <c r="U49" s="73" t="n"/>
      <c r="V49" s="73">
        <f>SUMIF(V31:V48,"&gt;0")</f>
        <v/>
      </c>
      <c r="W49" s="73" t="n"/>
      <c r="X49" s="73">
        <f>SUMIF(X31:X48,"&gt;0")</f>
        <v/>
      </c>
      <c r="Z49" s="73">
        <f>SUMIF(Z31:Z48,"&gt;0")</f>
        <v/>
      </c>
      <c r="AA49" s="73" t="n"/>
      <c r="AB49" s="73">
        <f>SUMIF(AB31:AB48,"&gt;0")</f>
        <v/>
      </c>
      <c r="AD49" s="73">
        <f>SUMIF(AD31:AD48,"&gt;0")</f>
        <v/>
      </c>
    </row>
    <row r="52">
      <c r="A52" s="74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</row>
    <row r="53">
      <c r="A53" s="76" t="inlineStr">
        <is>
          <t>#</t>
        </is>
      </c>
      <c r="B53" s="76" t="inlineStr">
        <is>
          <t>โปรไฟล์</t>
        </is>
      </c>
      <c r="C53" s="76" t="inlineStr">
        <is>
          <t>รหัส</t>
        </is>
      </c>
      <c r="D53" s="76" t="inlineStr">
        <is>
          <t>สูตรตัด (เดิม)</t>
        </is>
      </c>
      <c r="E53" s="76" t="inlineStr">
        <is>
          <t>หัก1</t>
        </is>
      </c>
      <c r="F53" s="76" t="inlineStr">
        <is>
          <t>หัก2</t>
        </is>
      </c>
      <c r="G53" s="76" t="inlineStr">
        <is>
          <t>หัก3</t>
        </is>
      </c>
      <c r="H53" s="76" t="inlineStr">
        <is>
          <t>หัก4</t>
        </is>
      </c>
      <c r="I53" s="76" t="inlineStr">
        <is>
          <t>หัก5</t>
        </is>
      </c>
      <c r="J53" s="76" t="inlineStr">
        <is>
          <t>หัก6</t>
        </is>
      </c>
      <c r="K53" s="76" t="inlineStr">
        <is>
          <t>หัก7</t>
        </is>
      </c>
      <c r="L53" s="76" t="inlineStr">
        <is>
          <t>จำนวน/ชุด</t>
        </is>
      </c>
    </row>
    <row r="54" ht="15" customHeight="1">
      <c r="A54" s="77" t="n">
        <v>1</v>
      </c>
      <c r="B54" s="78" t="inlineStr">
        <is>
          <t>เฟรมข้าง</t>
        </is>
      </c>
      <c r="C54" s="79" t="inlineStr">
        <is>
          <t>F7937</t>
        </is>
      </c>
      <c r="D54" s="80" t="inlineStr">
        <is>
          <t>สูง</t>
        </is>
      </c>
      <c r="E54" s="81" t="n"/>
      <c r="F54" s="81" t="n"/>
      <c r="G54" s="81" t="n"/>
      <c r="H54" s="81" t="n"/>
      <c r="I54" s="81" t="n"/>
      <c r="J54" s="81" t="n"/>
      <c r="K54" s="81" t="n"/>
      <c r="L54" s="82" t="n">
        <v>2</v>
      </c>
    </row>
    <row r="55" ht="15" customHeight="1">
      <c r="A55" s="77" t="n">
        <v>2</v>
      </c>
      <c r="B55" s="78" t="inlineStr">
        <is>
          <t>เฟรม บน</t>
        </is>
      </c>
      <c r="C55" s="79" t="inlineStr">
        <is>
          <t>-</t>
        </is>
      </c>
      <c r="D55" s="80" t="inlineStr">
        <is>
          <t>กว้าง-25-25</t>
        </is>
      </c>
      <c r="E55" s="82" t="n">
        <v>25</v>
      </c>
      <c r="F55" s="82" t="n">
        <v>25</v>
      </c>
      <c r="G55" s="81" t="n"/>
      <c r="H55" s="81" t="n"/>
      <c r="I55" s="81" t="n"/>
      <c r="J55" s="81" t="n"/>
      <c r="K55" s="81" t="n"/>
      <c r="L55" s="82" t="n">
        <v>1</v>
      </c>
    </row>
    <row r="56" ht="15" customHeight="1">
      <c r="A56" s="77" t="n">
        <v>3</v>
      </c>
      <c r="B56" s="78" t="inlineStr">
        <is>
          <t>เฟรม-ล่าง</t>
        </is>
      </c>
      <c r="C56" s="79" t="inlineStr">
        <is>
          <t>F7858</t>
        </is>
      </c>
      <c r="D56" s="80" t="inlineStr">
        <is>
          <t>กว้าง-25-25</t>
        </is>
      </c>
      <c r="E56" s="82" t="n">
        <v>25</v>
      </c>
      <c r="F56" s="82" t="n">
        <v>25</v>
      </c>
      <c r="G56" s="81" t="n"/>
      <c r="H56" s="81" t="n"/>
      <c r="I56" s="81" t="n"/>
      <c r="J56" s="81" t="n"/>
      <c r="K56" s="81" t="n"/>
      <c r="L56" s="82" t="n">
        <v>1</v>
      </c>
    </row>
    <row r="57" ht="15" customHeight="1">
      <c r="A57" s="77" t="n">
        <v>4</v>
      </c>
      <c r="B57" s="78" t="inlineStr">
        <is>
          <t>คิ้ว ตั้ง</t>
        </is>
      </c>
      <c r="C57" s="79" t="inlineStr">
        <is>
          <t>F7935</t>
        </is>
      </c>
      <c r="D57" s="80" t="inlineStr">
        <is>
          <t>สูง-45-45</t>
        </is>
      </c>
      <c r="E57" s="82" t="n">
        <v>45</v>
      </c>
      <c r="F57" s="82" t="n">
        <v>45</v>
      </c>
      <c r="G57" s="81" t="n"/>
      <c r="H57" s="81" t="n"/>
      <c r="I57" s="81" t="n"/>
      <c r="J57" s="81" t="n"/>
      <c r="K57" s="81" t="n"/>
      <c r="L57" s="82" t="n">
        <v>8</v>
      </c>
    </row>
    <row r="58" ht="15" customHeight="1">
      <c r="A58" s="77" t="n">
        <v>5</v>
      </c>
      <c r="B58" s="78" t="inlineStr">
        <is>
          <t>คิ้ว ขวาง</t>
        </is>
      </c>
      <c r="C58" s="79" t="inlineStr">
        <is>
          <t>-</t>
        </is>
      </c>
      <c r="D58" s="80" t="inlineStr">
        <is>
          <t>เท่าเฟรมล่าง</t>
        </is>
      </c>
      <c r="E58" s="82" t="n">
        <v>25</v>
      </c>
      <c r="F58" s="82" t="n">
        <v>25</v>
      </c>
      <c r="G58" s="82" t="n">
        <v>25</v>
      </c>
      <c r="H58" s="82" t="n">
        <v>25</v>
      </c>
      <c r="I58" s="82" t="n">
        <v>25</v>
      </c>
      <c r="J58" s="81" t="n"/>
      <c r="K58" s="81" t="n"/>
      <c r="L58" s="82" t="n">
        <v>8</v>
      </c>
    </row>
    <row r="59" ht="15" customHeight="1">
      <c r="A59" s="77" t="n">
        <v>6</v>
      </c>
      <c r="B59" s="78" t="inlineStr">
        <is>
          <t>กล่องก้านสองทาง</t>
        </is>
      </c>
      <c r="C59" s="79" t="inlineStr">
        <is>
          <t>F7998</t>
        </is>
      </c>
      <c r="D59" s="80" t="inlineStr">
        <is>
          <t>สูง-25-25</t>
        </is>
      </c>
      <c r="E59" s="82" t="n">
        <v>25</v>
      </c>
      <c r="F59" s="82" t="n">
        <v>25</v>
      </c>
      <c r="G59" s="81" t="n"/>
      <c r="H59" s="81" t="n"/>
      <c r="I59" s="81" t="n"/>
      <c r="J59" s="81" t="n"/>
      <c r="K59" s="81" t="n"/>
      <c r="L59" s="82" t="n">
        <v>3</v>
      </c>
    </row>
  </sheetData>
  <mergeCells count="58">
    <mergeCell ref="O7:P7"/>
    <mergeCell ref="Q7:R7"/>
    <mergeCell ref="U9:V9"/>
    <mergeCell ref="I6:J6"/>
    <mergeCell ref="AC7:AD7"/>
    <mergeCell ref="O6:P6"/>
    <mergeCell ref="U6:V6"/>
    <mergeCell ref="K9:L9"/>
    <mergeCell ref="W6:X6"/>
    <mergeCell ref="M9:N9"/>
    <mergeCell ref="E7:H7"/>
    <mergeCell ref="K7:N7"/>
    <mergeCell ref="O9:P9"/>
    <mergeCell ref="E30:G30"/>
    <mergeCell ref="G8:H8"/>
    <mergeCell ref="E8:F8"/>
    <mergeCell ref="Y9:Z9"/>
    <mergeCell ref="Q8:R8"/>
    <mergeCell ref="AA9:AB9"/>
    <mergeCell ref="S8:T8"/>
    <mergeCell ref="AA6:AB6"/>
    <mergeCell ref="S7:T7"/>
    <mergeCell ref="I7:J7"/>
    <mergeCell ref="A30:D30"/>
    <mergeCell ref="G6:H6"/>
    <mergeCell ref="AC8:AD8"/>
    <mergeCell ref="E9:F9"/>
    <mergeCell ref="U7:V7"/>
    <mergeCell ref="W7:X7"/>
    <mergeCell ref="E6:F6"/>
    <mergeCell ref="Y7:Z7"/>
    <mergeCell ref="A8:A9"/>
    <mergeCell ref="A6:D6"/>
    <mergeCell ref="M6:N6"/>
    <mergeCell ref="AA7:AB7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W9:X9"/>
    <mergeCell ref="W8:X8"/>
    <mergeCell ref="B8:C9"/>
    <mergeCell ref="AC6:AD6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2026-06-30T04:19:47Z</dcterms:created>
  <dcterms:modified xmlns:dcterms="http://purl.org/dc/terms/" xmlns:xsi="http://www.w3.org/2001/XMLSchema-instance" xsi:type="dcterms:W3CDTF">2026-07-04T04:38:02Z</dcterms:modified>
</cp:coreProperties>
</file>