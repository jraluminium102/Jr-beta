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ันสาดเพิง" sheetId="1" state="visible" r:id="rId1"/>
    <sheet xmlns:r="http://schemas.openxmlformats.org/officeDocument/2006/relationships" name="หลังคาจั่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6" applyAlignment="1" pivotButton="0" quotePrefix="0" xfId="0">
      <alignment horizontal="left" vertical="center"/>
    </xf>
    <xf numFmtId="164" fontId="2" fillId="0" borderId="6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JR — ใบตัดกันสาดเพิง (parametric) · หน่วย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ชนิดแผ่น →</t>
        </is>
      </c>
      <c r="B3" s="6" t="inlineStr">
        <is>
          <t>ไวนิล</t>
        </is>
      </c>
      <c r="D3" s="7" t="inlineStr">
        <is>
          <t>ระยะจันทัน max =</t>
        </is>
      </c>
      <c r="E3" s="8">
        <f>IF(B3="โพลีตัน",122,IF(OR(B3="ชินโคร์ HC",B3="ชินโคร์ Sup"),138,100))</f>
        <v/>
      </c>
    </row>
    <row r="4">
      <c r="A4" s="5" t="inlineStr">
        <is>
          <t>กว้าง W →</t>
        </is>
      </c>
      <c r="B4" s="6" t="n">
        <v>300</v>
      </c>
      <c r="D4" s="7" t="inlineStr">
        <is>
          <t>จำนวนจันทัน N_r =</t>
        </is>
      </c>
      <c r="E4" s="8">
        <f>CEILING(B4/E3,1)+1</f>
        <v/>
      </c>
    </row>
    <row r="5">
      <c r="A5" s="5" t="inlineStr">
        <is>
          <t>ยื่น P →</t>
        </is>
      </c>
      <c r="B5" s="6" t="n">
        <v>150</v>
      </c>
      <c r="D5" s="7" t="inlineStr">
        <is>
          <t>จำนวนช่อง =</t>
        </is>
      </c>
      <c r="E5" s="8">
        <f>E4-1</f>
        <v/>
      </c>
    </row>
    <row r="6">
      <c r="A6" s="5" t="inlineStr">
        <is>
          <t>แป →</t>
        </is>
      </c>
      <c r="B6" s="6" t="inlineStr">
        <is>
          <t>แปคู่</t>
        </is>
      </c>
      <c r="D6" s="7" t="inlineStr">
        <is>
          <t>จำนวนแถวแป N_p =</t>
        </is>
      </c>
      <c r="E6" s="8">
        <f>CEILING(B5/50,1)+1</f>
        <v/>
      </c>
    </row>
    <row r="7">
      <c r="A7" s="5" t="inlineStr">
        <is>
          <t>ปลายหลังคา →</t>
        </is>
      </c>
      <c r="B7" s="6" t="inlineStr">
        <is>
          <t>รางน้ำ</t>
        </is>
      </c>
      <c r="D7" s="7" t="inlineStr">
        <is>
          <t>กว้าง/แผ่น =</t>
        </is>
      </c>
      <c r="E7" s="8">
        <f>IF(B3="ไวนิล",25,IF(B3="โพลีตัน",122,IF(OR(B3="ชินโคร์ HC",B3="ชินโคร์ Sup"),138,IF(B3="ดีไลท์",100,IF(B3="เมทัลชีท",34,25)))))</f>
        <v/>
      </c>
    </row>
    <row r="8">
      <c r="A8" s="18" t="inlineStr">
        <is>
          <t>องศาเอียง →</t>
        </is>
      </c>
      <c r="B8" s="6" t="n">
        <v>7</v>
      </c>
      <c r="D8" s="7" t="inlineStr">
        <is>
          <t>จำนวนแผ่น =</t>
        </is>
      </c>
      <c r="E8" s="8">
        <f>CEILING(B4/E7,1)</f>
        <v/>
      </c>
    </row>
    <row r="9">
      <c r="D9" s="7" t="inlineStr">
        <is>
          <t>ยื่นเอียง (÷cos) =</t>
        </is>
      </c>
      <c r="E9" s="8">
        <f>ROUND(B5/COS(RADIANS(B8)),1)</f>
        <v/>
      </c>
    </row>
    <row r="10">
      <c r="A10" s="2" t="inlineStr">
        <is>
          <t>④ ใบตัด</t>
        </is>
      </c>
      <c r="B10" s="3" t="n"/>
      <c r="C10" s="3" t="n"/>
      <c r="D10" s="3" t="n"/>
      <c r="E10" s="3" t="n"/>
      <c r="F10" s="4" t="n"/>
    </row>
    <row r="11">
      <c r="A11" s="1" t="inlineStr">
        <is>
          <t>#</t>
        </is>
      </c>
      <c r="B11" s="1" t="inlineStr">
        <is>
          <t>รายการ</t>
        </is>
      </c>
      <c r="C11" s="1" t="inlineStr">
        <is>
          <t>ยาวตัด (ซม.)</t>
        </is>
      </c>
      <c r="D11" s="1" t="inlineStr">
        <is>
          <t>จำนวนชิ้น</t>
        </is>
      </c>
      <c r="E11" s="1" t="inlineStr">
        <is>
          <t>เส้น 6ม.</t>
        </is>
      </c>
      <c r="F11" s="1" t="inlineStr">
        <is>
          <t>หมายเหตุ</t>
        </is>
      </c>
    </row>
    <row r="12">
      <c r="A12" s="9" t="n">
        <v>1</v>
      </c>
      <c r="B12" s="10" t="inlineStr">
        <is>
          <t>จันทันรัดรอบ (กว้าง หน้า-หลัง)</t>
        </is>
      </c>
      <c r="C12" s="11">
        <f>B4-$F$32</f>
        <v/>
      </c>
      <c r="D12" s="12" t="inlineStr">
        <is>
          <t>2</t>
        </is>
      </c>
      <c r="E12" s="9">
        <f>IF(C12="—","—",ROUNDUP(C12*D12/600,0))</f>
        <v/>
      </c>
      <c r="F12" s="10" t="inlineStr">
        <is>
          <t>เต็มขอบ −0.4</t>
        </is>
      </c>
    </row>
    <row r="13">
      <c r="A13" s="9" t="n">
        <v>2</v>
      </c>
      <c r="B13" s="10" t="inlineStr">
        <is>
          <t>จันทันรัดรอบ (ยื่น ข้าง)</t>
        </is>
      </c>
      <c r="C13" s="11">
        <f>IF(B7="ปิดปลาย",E9-$F$33,IF(B7="ยื่นปลาย",E9-$F$34,E9-$F$35))</f>
        <v/>
      </c>
      <c r="D13" s="12" t="inlineStr">
        <is>
          <t>2</t>
        </is>
      </c>
      <c r="E13" s="9">
        <f>IF(C13="—","—",ROUNDUP(C13*D13/600,0))</f>
        <v/>
      </c>
      <c r="F13" s="10" t="inlineStr">
        <is>
          <t>ปิด=เต็ม/ยื่น−10/ราง−10.2</t>
        </is>
      </c>
    </row>
    <row r="14">
      <c r="A14" s="9" t="n">
        <v>3</v>
      </c>
      <c r="B14" s="10" t="inlineStr">
        <is>
          <t>จันทันซอย 1.6×4</t>
        </is>
      </c>
      <c r="C14" s="11">
        <f>E9-IF(B7="ยื่นปลาย",$F$36,IF(B7="ปิดปลาย",$F$37,$F$38))</f>
        <v/>
      </c>
      <c r="D14" s="12">
        <f>E4</f>
        <v/>
      </c>
      <c r="E14" s="9">
        <f>IF(C14="—","—",ROUNDUP(C14*D14/600,0))</f>
        <v/>
      </c>
      <c r="F14" s="10" t="inlineStr">
        <is>
          <t>ยื่น − ปลายหลังคา</t>
        </is>
      </c>
    </row>
    <row r="15">
      <c r="A15" s="9" t="n">
        <v>4</v>
      </c>
      <c r="B15" s="10" t="inlineStr">
        <is>
          <t>แป 1×1½ (ยัดในช่อง)</t>
        </is>
      </c>
      <c r="C15" s="11">
        <f>(B4-E4*$F$31)/E5</f>
        <v/>
      </c>
      <c r="D15" s="12">
        <f>E5*E6*IF(B6="แปคู่",2,1)</f>
        <v/>
      </c>
      <c r="E15" s="9">
        <f>IF(C15="—","—",ROUNDUP(C15*D15/600,0))</f>
        <v/>
      </c>
      <c r="F15" s="10" t="inlineStr">
        <is>
          <t>(W−N×4.5)÷ช่อง</t>
        </is>
      </c>
    </row>
    <row r="16">
      <c r="A16" s="9" t="n">
        <v>5</v>
      </c>
      <c r="B16" s="10" t="inlineStr">
        <is>
          <t>ฉาก 6 หุน</t>
        </is>
      </c>
      <c r="C16" s="11">
        <f>B4</f>
        <v/>
      </c>
      <c r="D16" s="12">
        <f>ROUNDUP(B4/600,0)</f>
        <v/>
      </c>
      <c r="E16" s="9">
        <f>IF(C16="—","—",ROUNDUP(C16*D16/600,0))</f>
        <v/>
      </c>
      <c r="F16" s="10" t="inlineStr">
        <is>
          <t>เต็มกว้าง</t>
        </is>
      </c>
    </row>
    <row r="17">
      <c r="A17" s="9" t="n">
        <v>6</v>
      </c>
      <c r="B17" s="10" t="inlineStr">
        <is>
          <t>แซด 4"</t>
        </is>
      </c>
      <c r="C17" s="11">
        <f>B4</f>
        <v/>
      </c>
      <c r="D17" s="12">
        <f>ROUNDUP(B4/600,0)</f>
        <v/>
      </c>
      <c r="E17" s="9">
        <f>IF(C17="—","—",ROUNDUP(C17*D17/600,0))</f>
        <v/>
      </c>
      <c r="F17" s="10" t="inlineStr">
        <is>
          <t>เต็มกว้าง</t>
        </is>
      </c>
    </row>
    <row r="18">
      <c r="A18" s="9" t="n">
        <v>7</v>
      </c>
      <c r="B18" s="10" t="inlineStr">
        <is>
          <t>กล่องเหล็ก 1"×1"</t>
        </is>
      </c>
      <c r="C18" s="11">
        <f>E9-$F$43</f>
        <v/>
      </c>
      <c r="D18" s="12">
        <f>E4</f>
        <v/>
      </c>
      <c r="E18" s="9">
        <f>IF(C18="—","—",ROUNDUP(C18*D18/600,0))</f>
        <v/>
      </c>
      <c r="F18" s="10" t="inlineStr">
        <is>
          <t>⏳ รอค่าหัก</t>
        </is>
      </c>
    </row>
    <row r="19">
      <c r="A19" s="9" t="n">
        <v>8</v>
      </c>
      <c r="B19" s="10" t="inlineStr">
        <is>
          <t>เพลทเหล็ก</t>
        </is>
      </c>
      <c r="C19" s="11" t="inlineStr">
        <is>
          <t>—</t>
        </is>
      </c>
      <c r="D19" s="12">
        <f>2*E4</f>
        <v/>
      </c>
      <c r="E19" s="9" t="inlineStr">
        <is>
          <t>—</t>
        </is>
      </c>
      <c r="F19" s="10" t="inlineStr">
        <is>
          <t>2/จันทัน</t>
        </is>
      </c>
    </row>
    <row r="20">
      <c r="A20" s="9" t="n">
        <v>9</v>
      </c>
      <c r="B20" s="10" t="inlineStr">
        <is>
          <t>กล่องครอบเพลท 1.6×4</t>
        </is>
      </c>
      <c r="C20" s="11">
        <f>E9/3-$F$44</f>
        <v/>
      </c>
      <c r="D20" s="12">
        <f>E4</f>
        <v/>
      </c>
      <c r="E20" s="9">
        <f>IF(C20="—","—",ROUNDUP(C20*D20/600,0))</f>
        <v/>
      </c>
      <c r="F20" s="10" t="inlineStr">
        <is>
          <t>⏳ รอค่าหัก</t>
        </is>
      </c>
    </row>
    <row r="21">
      <c r="A21" s="9" t="n">
        <v>10</v>
      </c>
      <c r="B21" s="10" t="inlineStr">
        <is>
          <t>รัดรอบ (หน้า 1)</t>
        </is>
      </c>
      <c r="C21" s="11">
        <f>IF(B7="ยื่นปลาย",0,B4+IF(B7="ปิดปลาย",$F$39,$F$40))</f>
        <v/>
      </c>
      <c r="D21" s="12">
        <f>IF(B7="ยื่นปลาย",0,1)</f>
        <v/>
      </c>
      <c r="E21" s="9">
        <f>IF(C21="—","—",ROUNDUP(C21*D21/600,0))</f>
        <v/>
      </c>
      <c r="F21" s="10" t="inlineStr">
        <is>
          <t>3 ด้าน · ยื่นปลายไม่มี</t>
        </is>
      </c>
    </row>
    <row r="22">
      <c r="A22" s="9" t="n">
        <v>11</v>
      </c>
      <c r="B22" s="10" t="inlineStr">
        <is>
          <t>รัดรอบ (ข้าง 2)</t>
        </is>
      </c>
      <c r="C22" s="11">
        <f>IF(B7="ยื่นปลาย",0,E9+IF(B7="ปิดปลาย",$F$41,$F$42))</f>
        <v/>
      </c>
      <c r="D22" s="12">
        <f>IF(B7="ยื่นปลาย",0,2)</f>
        <v/>
      </c>
      <c r="E22" s="9">
        <f>IF(C22="—","—",ROUNDUP(C22*D22/600,0))</f>
        <v/>
      </c>
      <c r="F22" s="10" t="inlineStr">
        <is>
          <t>+เพิ่ม</t>
        </is>
      </c>
    </row>
    <row r="23">
      <c r="A23" s="9" t="n">
        <v>12</v>
      </c>
      <c r="B23" s="10" t="inlineStr">
        <is>
          <t>รางน้ำอลู</t>
        </is>
      </c>
      <c r="C23" s="11">
        <f>B4</f>
        <v/>
      </c>
      <c r="D23" s="12">
        <f>IF(B7="รางน้ำ",ROUNDUP(B4/600,0),0)</f>
        <v/>
      </c>
      <c r="E23" s="9">
        <f>IF(C23="—","—",ROUNDUP(C23*D23/600,0))</f>
        <v/>
      </c>
      <c r="F23" s="10" t="inlineStr">
        <is>
          <t>เฉพาะปลาย=รางน้ำ</t>
        </is>
      </c>
    </row>
    <row r="24">
      <c r="A24" s="9" t="n">
        <v>13</v>
      </c>
      <c r="B24" s="10" t="inlineStr">
        <is>
          <t>แผ่นหลังคา</t>
        </is>
      </c>
      <c r="C24" s="11">
        <f>E9</f>
        <v/>
      </c>
      <c r="D24" s="12">
        <f>E8</f>
        <v/>
      </c>
      <c r="E24" s="9" t="inlineStr">
        <is>
          <t>—</t>
        </is>
      </c>
      <c r="F24" s="10" t="inlineStr">
        <is>
          <t>ยาว=ยื่น</t>
        </is>
      </c>
    </row>
    <row r="27">
      <c r="A27" s="14" t="n"/>
      <c r="B27" s="15" t="n"/>
      <c r="C27" s="15" t="n"/>
      <c r="D27" s="15" t="n"/>
      <c r="E27" s="15" t="n"/>
      <c r="F27" s="15" t="n"/>
    </row>
    <row r="28">
      <c r="A28" s="15" t="n"/>
      <c r="B28" s="16" t="n"/>
      <c r="C28" s="15" t="n"/>
      <c r="D28" s="15" t="n"/>
      <c r="E28" s="15" t="n"/>
      <c r="F28" s="17" t="n"/>
    </row>
    <row r="29">
      <c r="A29" s="15" t="n"/>
      <c r="B29" s="16" t="n"/>
      <c r="C29" s="15" t="n"/>
      <c r="D29" s="15" t="n"/>
      <c r="E29" s="15" t="n"/>
      <c r="F29" s="17" t="n"/>
    </row>
    <row r="30">
      <c r="A30" s="2" t="inlineStr">
        <is>
          <t>⑦ แผงค่าหัก/ค่าคงที่ (เหลือง = แก้ที่เดียว)</t>
        </is>
      </c>
      <c r="B30" s="3" t="n"/>
      <c r="C30" s="3" t="n"/>
      <c r="D30" s="3" t="n"/>
      <c r="E30" s="3" t="n"/>
      <c r="F30" s="4" t="n"/>
    </row>
    <row r="31">
      <c r="A31" s="15" t="n"/>
      <c r="B31" s="10" t="inlineStr">
        <is>
          <t>ความหนาจันทัน (แป ยัดในช่อง)</t>
        </is>
      </c>
      <c r="C31" s="15" t="n"/>
      <c r="D31" s="15" t="n"/>
      <c r="E31" s="15" t="n"/>
      <c r="F31" s="13" t="n">
        <v>4.5</v>
      </c>
    </row>
    <row r="32">
      <c r="A32" s="15" t="n"/>
      <c r="B32" s="10" t="inlineStr">
        <is>
          <t>จันทันรัดรอบ กว้าง − หัก</t>
        </is>
      </c>
      <c r="C32" s="15" t="n"/>
      <c r="D32" s="15" t="n"/>
      <c r="E32" s="15" t="n"/>
      <c r="F32" s="13" t="n">
        <v>0.4</v>
      </c>
    </row>
    <row r="33">
      <c r="A33" s="15" t="n"/>
      <c r="B33" s="10" t="inlineStr">
        <is>
          <t>จันทันรัดรอบ ยื่น − ปิดปลาย</t>
        </is>
      </c>
      <c r="C33" s="15" t="n"/>
      <c r="D33" s="15" t="n"/>
      <c r="E33" s="15" t="n"/>
      <c r="F33" s="13" t="n">
        <v>0</v>
      </c>
    </row>
    <row r="34">
      <c r="A34" s="15" t="n"/>
      <c r="B34" s="10" t="inlineStr">
        <is>
          <t>จันทันรัดรอบ ยื่น − ยื่นปลาย</t>
        </is>
      </c>
      <c r="C34" s="15" t="n"/>
      <c r="D34" s="15" t="n"/>
      <c r="E34" s="15" t="n"/>
      <c r="F34" s="13" t="n">
        <v>10</v>
      </c>
    </row>
    <row r="35">
      <c r="A35" s="15" t="n"/>
      <c r="B35" s="10" t="inlineStr">
        <is>
          <t>จันทันรัดรอบ ยื่น − รางน้ำ</t>
        </is>
      </c>
      <c r="C35" s="15" t="n"/>
      <c r="D35" s="15" t="n"/>
      <c r="E35" s="15" t="n"/>
      <c r="F35" s="13" t="n">
        <v>10.2</v>
      </c>
    </row>
    <row r="36">
      <c r="A36" s="15" t="n"/>
      <c r="B36" s="10" t="inlineStr">
        <is>
          <t>จันทันซอย − ยื่นปลาย</t>
        </is>
      </c>
      <c r="C36" s="15" t="n"/>
      <c r="D36" s="15" t="n"/>
      <c r="E36" s="15" t="n"/>
      <c r="F36" s="13" t="n">
        <v>14.5</v>
      </c>
    </row>
    <row r="37">
      <c r="A37" s="15" t="n"/>
      <c r="B37" s="10" t="inlineStr">
        <is>
          <t>จันทันซอย − ปิดปลาย</t>
        </is>
      </c>
      <c r="C37" s="15" t="n"/>
      <c r="D37" s="15" t="n"/>
      <c r="E37" s="15" t="n"/>
      <c r="F37" s="13" t="n">
        <v>16.5</v>
      </c>
    </row>
    <row r="38">
      <c r="A38" s="15" t="n"/>
      <c r="B38" s="10" t="inlineStr">
        <is>
          <t>จันทันซอย − รางน้ำ</t>
        </is>
      </c>
      <c r="C38" s="15" t="n"/>
      <c r="D38" s="15" t="n"/>
      <c r="E38" s="15" t="n"/>
      <c r="F38" s="13" t="n">
        <v>14.7</v>
      </c>
    </row>
    <row r="39">
      <c r="A39" s="15" t="n"/>
      <c r="B39" s="10" t="inlineStr">
        <is>
          <t>รัดรอบหน้า + ปิดปลาย</t>
        </is>
      </c>
      <c r="C39" s="15" t="n"/>
      <c r="D39" s="15" t="n"/>
      <c r="E39" s="15" t="n"/>
      <c r="F39" s="13" t="n">
        <v>1</v>
      </c>
    </row>
    <row r="40">
      <c r="A40" s="15" t="n"/>
      <c r="B40" s="10" t="inlineStr">
        <is>
          <t>รัดรอบหน้า + รางน้ำ</t>
        </is>
      </c>
      <c r="C40" s="15" t="n"/>
      <c r="D40" s="15" t="n"/>
      <c r="E40" s="15" t="n"/>
      <c r="F40" s="13" t="n">
        <v>5.4</v>
      </c>
    </row>
    <row r="41">
      <c r="A41" s="15" t="n"/>
      <c r="B41" s="10" t="inlineStr">
        <is>
          <t>รัดรอบข้าง + ปิดปลาย</t>
        </is>
      </c>
      <c r="C41" s="15" t="n"/>
      <c r="D41" s="15" t="n"/>
      <c r="E41" s="15" t="n"/>
      <c r="F41" s="13" t="n">
        <v>0.5</v>
      </c>
    </row>
    <row r="42">
      <c r="A42" s="15" t="n"/>
      <c r="B42" s="10" t="inlineStr">
        <is>
          <t>รัดรอบข้าง + รางน้ำ</t>
        </is>
      </c>
      <c r="C42" s="15" t="n"/>
      <c r="D42" s="15" t="n"/>
      <c r="E42" s="15" t="n"/>
      <c r="F42" s="13" t="n">
        <v>2.7</v>
      </c>
    </row>
    <row r="43">
      <c r="A43" s="15" t="n"/>
      <c r="B43" s="10" t="inlineStr">
        <is>
          <t>กล่องเหล็ก − หัก (⏳รอ)</t>
        </is>
      </c>
      <c r="C43" s="15" t="n"/>
      <c r="D43" s="15" t="n"/>
      <c r="E43" s="15" t="n"/>
      <c r="F43" s="13" t="n">
        <v>0</v>
      </c>
    </row>
    <row r="44">
      <c r="A44" s="15" t="n"/>
      <c r="B44" s="10" t="inlineStr">
        <is>
          <t>กล่องครอบเพลท − หัก (⏳รอ)</t>
        </is>
      </c>
      <c r="C44" s="15" t="n"/>
      <c r="D44" s="15" t="n"/>
      <c r="E44" s="15" t="n"/>
      <c r="F44" s="13" t="n">
        <v>0</v>
      </c>
    </row>
  </sheetData>
  <mergeCells count="4">
    <mergeCell ref="A2:F2"/>
    <mergeCell ref="A1:F1"/>
    <mergeCell ref="A30:F30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JR — ใบตัดหลังคาจั่ว (parametric · 2 ด้านสมมาตร) · หน่วย ซม.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ชนิดแผ่น →</t>
        </is>
      </c>
      <c r="B3" s="6" t="inlineStr">
        <is>
          <t>ไวนิล</t>
        </is>
      </c>
      <c r="D3" s="7" t="inlineStr">
        <is>
          <t>เฉียง/ด้าน =√((W/2)²+H²)</t>
        </is>
      </c>
      <c r="E3" s="8">
        <f>ROUND(SQRT((B4/2)^2+B6^2),1)</f>
        <v/>
      </c>
    </row>
    <row r="4">
      <c r="A4" s="5" t="inlineStr">
        <is>
          <t>กว้าง W →</t>
        </is>
      </c>
      <c r="B4" s="6" t="n">
        <v>400</v>
      </c>
      <c r="D4" s="7" t="inlineStr">
        <is>
          <t>ระยะจันทัน max =</t>
        </is>
      </c>
      <c r="E4" s="8">
        <f>IF(B3="โพลีตัน",122,IF(OR(B3="ชินโคร์ HC",B3="ชินโคร์ Sup"),138,100))</f>
        <v/>
      </c>
    </row>
    <row r="5">
      <c r="A5" s="5" t="inlineStr">
        <is>
          <t>ลึก D →</t>
        </is>
      </c>
      <c r="B5" s="6" t="n">
        <v>300</v>
      </c>
      <c r="D5" s="7" t="inlineStr">
        <is>
          <t>จันทัน/ด้าน N_r =</t>
        </is>
      </c>
      <c r="E5" s="8">
        <f>CEILING(B5/E4,1)+1</f>
        <v/>
      </c>
    </row>
    <row r="6">
      <c r="A6" s="5" t="inlineStr">
        <is>
          <t>สูงยอดจั่ว H →</t>
        </is>
      </c>
      <c r="B6" s="6" t="n">
        <v>80</v>
      </c>
      <c r="D6" s="7" t="inlineStr">
        <is>
          <t>ช่อง =</t>
        </is>
      </c>
      <c r="E6" s="8">
        <f>E5-1</f>
        <v/>
      </c>
    </row>
    <row r="7">
      <c r="A7" s="5" t="inlineStr">
        <is>
          <t>แป →</t>
        </is>
      </c>
      <c r="B7" s="6" t="inlineStr">
        <is>
          <t>แปคู่</t>
        </is>
      </c>
      <c r="D7" s="7" t="inlineStr">
        <is>
          <t>แถวแป/ด้าน =</t>
        </is>
      </c>
      <c r="E7" s="8">
        <f>CEILING(E3/50,1)+1</f>
        <v/>
      </c>
    </row>
    <row r="8">
      <c r="A8" s="5" t="inlineStr">
        <is>
          <t>ปลายหลังคา →</t>
        </is>
      </c>
      <c r="B8" s="6" t="inlineStr">
        <is>
          <t>รางน้ำ</t>
        </is>
      </c>
      <c r="D8" s="7" t="inlineStr">
        <is>
          <t>กว้าง/แผ่น =</t>
        </is>
      </c>
      <c r="E8" s="8">
        <f>IF(B3="ไวนิล",25,IF(B3="โพลีตัน",122,IF(OR(B3="ชินโคร์ HC",B3="ชินโคร์ Sup"),138,IF(B3="ดีไลท์",100,IF(B3="เมทัลชีท",34,25)))))</f>
        <v/>
      </c>
    </row>
    <row r="9">
      <c r="D9" s="7" t="inlineStr">
        <is>
          <t>แผ่น/ด้าน =</t>
        </is>
      </c>
      <c r="E9" s="8">
        <f>CEILING(B5/E8,1)</f>
        <v/>
      </c>
    </row>
    <row r="11">
      <c r="A11" s="2" t="inlineStr">
        <is>
          <t>④ ใบตัด (2 ด้านสมมาตร · ⏳ ค่าหักรอน้องยืนยัน)</t>
        </is>
      </c>
      <c r="B11" s="3" t="n"/>
      <c r="C11" s="3" t="n"/>
      <c r="D11" s="3" t="n"/>
      <c r="E11" s="3" t="n"/>
      <c r="F11" s="4" t="n"/>
    </row>
    <row r="12">
      <c r="A12" s="1" t="inlineStr">
        <is>
          <t>#</t>
        </is>
      </c>
      <c r="B12" s="1" t="inlineStr">
        <is>
          <t>รายการ</t>
        </is>
      </c>
      <c r="C12" s="1" t="inlineStr">
        <is>
          <t>ยาวตัด (ซม.)</t>
        </is>
      </c>
      <c r="D12" s="1" t="inlineStr">
        <is>
          <t>จำนวนชิ้น</t>
        </is>
      </c>
      <c r="E12" s="1" t="inlineStr">
        <is>
          <t>เส้น 6ม.</t>
        </is>
      </c>
      <c r="F12" s="1" t="inlineStr">
        <is>
          <t>หมายเหตุ</t>
        </is>
      </c>
    </row>
    <row r="13">
      <c r="A13" s="9" t="n">
        <v>1</v>
      </c>
      <c r="B13" s="10" t="inlineStr">
        <is>
          <t>จันทันสันจั่ว (ridge)</t>
        </is>
      </c>
      <c r="C13" s="11">
        <f>B5</f>
        <v/>
      </c>
      <c r="D13" s="12" t="inlineStr">
        <is>
          <t>1</t>
        </is>
      </c>
      <c r="E13" s="9">
        <f>IF(C13="—","—",ROUNDUP(C13*D13/600,0))</f>
        <v/>
      </c>
      <c r="F13" s="10" t="inlineStr">
        <is>
          <t>ยาว=ลึก D</t>
        </is>
      </c>
    </row>
    <row r="14">
      <c r="A14" s="9" t="n">
        <v>2</v>
      </c>
      <c r="B14" s="10" t="inlineStr">
        <is>
          <t>จันทันชายคา (2 ด้าน)</t>
        </is>
      </c>
      <c r="C14" s="11">
        <f>B5</f>
        <v/>
      </c>
      <c r="D14" s="12" t="inlineStr">
        <is>
          <t>2</t>
        </is>
      </c>
      <c r="E14" s="9">
        <f>IF(C14="—","—",ROUNDUP(C14*D14/600,0))</f>
        <v/>
      </c>
      <c r="F14" s="10" t="inlineStr">
        <is>
          <t>ยาว=ลึก D</t>
        </is>
      </c>
    </row>
    <row r="15">
      <c r="A15" s="9" t="n">
        <v>3</v>
      </c>
      <c r="B15" s="10" t="inlineStr">
        <is>
          <t>จันทันเฉียง 1.6×4 (2 ด้าน)</t>
        </is>
      </c>
      <c r="C15" s="11">
        <f>E3</f>
        <v/>
      </c>
      <c r="D15" s="12">
        <f>2*E5</f>
        <v/>
      </c>
      <c r="E15" s="9">
        <f>IF(C15="—","—",ROUNDUP(C15*D15/600,0))</f>
        <v/>
      </c>
      <c r="F15" s="10" t="inlineStr">
        <is>
          <t>ยาว=เฉียง</t>
        </is>
      </c>
    </row>
    <row r="16">
      <c r="A16" s="9" t="n">
        <v>4</v>
      </c>
      <c r="B16" s="10" t="inlineStr">
        <is>
          <t>แป 1×1½ ยัดในช่อง (2 ด้าน)</t>
        </is>
      </c>
      <c r="C16" s="11">
        <f>(B5-E5*4.5)/E6</f>
        <v/>
      </c>
      <c r="D16" s="12">
        <f>E6*E7*2*IF(B7="แปคู่",2,1)</f>
        <v/>
      </c>
      <c r="E16" s="9">
        <f>IF(C16="—","—",ROUNDUP(C16*D16/600,0))</f>
        <v/>
      </c>
      <c r="F16" s="10" t="inlineStr">
        <is>
          <t>(D−N×4.5)÷ช่อง</t>
        </is>
      </c>
    </row>
    <row r="17">
      <c r="A17" s="9" t="n">
        <v>5</v>
      </c>
      <c r="B17" s="10" t="inlineStr">
        <is>
          <t>ฉาก 6 หุน (2 ชายคา)</t>
        </is>
      </c>
      <c r="C17" s="11">
        <f>B5</f>
        <v/>
      </c>
      <c r="D17" s="12">
        <f>2*ROUNDUP(B5/600,0)</f>
        <v/>
      </c>
      <c r="E17" s="9">
        <f>IF(C17="—","—",ROUNDUP(C17*D17/600,0))</f>
        <v/>
      </c>
      <c r="F17" s="10" t="inlineStr">
        <is>
          <t>ยาว=ลึก</t>
        </is>
      </c>
    </row>
    <row r="18">
      <c r="A18" s="9" t="n">
        <v>6</v>
      </c>
      <c r="B18" s="10" t="inlineStr">
        <is>
          <t>แซด 4" (2 ชายคา)</t>
        </is>
      </c>
      <c r="C18" s="11">
        <f>B5</f>
        <v/>
      </c>
      <c r="D18" s="12">
        <f>2*ROUNDUP(B5/600,0)</f>
        <v/>
      </c>
      <c r="E18" s="9">
        <f>IF(C18="—","—",ROUNDUP(C18*D18/600,0))</f>
        <v/>
      </c>
      <c r="F18" s="10" t="inlineStr">
        <is>
          <t>ยาว=ลึก</t>
        </is>
      </c>
    </row>
    <row r="19">
      <c r="A19" s="9" t="n">
        <v>7</v>
      </c>
      <c r="B19" s="10" t="inlineStr">
        <is>
          <t>กล่องเหล็ก 1"×1" (2 ด้าน)</t>
        </is>
      </c>
      <c r="C19" s="11">
        <f>E3</f>
        <v/>
      </c>
      <c r="D19" s="12">
        <f>2*E5</f>
        <v/>
      </c>
      <c r="E19" s="9">
        <f>IF(C19="—","—",ROUNDUP(C19*D19/600,0))</f>
        <v/>
      </c>
      <c r="F19" s="10" t="inlineStr">
        <is>
          <t>ยาว=เฉียง</t>
        </is>
      </c>
    </row>
    <row r="20">
      <c r="A20" s="9" t="n">
        <v>8</v>
      </c>
      <c r="B20" s="10" t="inlineStr">
        <is>
          <t>เพลทเหล็ก</t>
        </is>
      </c>
      <c r="C20" s="11" t="inlineStr">
        <is>
          <t>—</t>
        </is>
      </c>
      <c r="D20" s="12">
        <f>4*E5</f>
        <v/>
      </c>
      <c r="E20" s="9" t="inlineStr">
        <is>
          <t>—</t>
        </is>
      </c>
      <c r="F20" s="10" t="inlineStr">
        <is>
          <t>4/จันทันคู่</t>
        </is>
      </c>
    </row>
    <row r="21">
      <c r="A21" s="9" t="n">
        <v>9</v>
      </c>
      <c r="B21" s="10" t="inlineStr">
        <is>
          <t>คาน 4"×4" T (เสารับสัน)</t>
        </is>
      </c>
      <c r="C21" s="11">
        <f>B4+B6</f>
        <v/>
      </c>
      <c r="D21" s="12">
        <f>ROUNDUP(E5/2,0)</f>
        <v/>
      </c>
      <c r="E21" s="9">
        <f>IF(C21="—","—",ROUNDUP(C21*D21/600,0))</f>
        <v/>
      </c>
      <c r="F21" s="10" t="inlineStr">
        <is>
          <t>ยาว=W+H · เว้นจันทัน</t>
        </is>
      </c>
    </row>
    <row r="22">
      <c r="A22" s="9" t="n">
        <v>10</v>
      </c>
      <c r="B22" s="10" t="inlineStr">
        <is>
          <t>รางน้ำอลู (2 ชายคา)</t>
        </is>
      </c>
      <c r="C22" s="11">
        <f>B5</f>
        <v/>
      </c>
      <c r="D22" s="12">
        <f>IF(B8="รางน้ำ",2*ROUNDUP(B5/600,0),0)</f>
        <v/>
      </c>
      <c r="E22" s="9">
        <f>IF(C22="—","—",ROUNDUP(C22*D22/600,0))</f>
        <v/>
      </c>
      <c r="F22" s="10" t="inlineStr">
        <is>
          <t>เฉพาะปลาย=รางน้ำ</t>
        </is>
      </c>
    </row>
    <row r="23">
      <c r="A23" s="9" t="n">
        <v>11</v>
      </c>
      <c r="B23" s="10" t="inlineStr">
        <is>
          <t>แผ่นหลังคา (2 ด้าน)</t>
        </is>
      </c>
      <c r="C23" s="11">
        <f>E3</f>
        <v/>
      </c>
      <c r="D23" s="12">
        <f>2*E9</f>
        <v/>
      </c>
      <c r="E23" s="9" t="inlineStr">
        <is>
          <t>—</t>
        </is>
      </c>
      <c r="F23" s="10" t="inlineStr">
        <is>
          <t>ยาว=เฉียง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2026-07-04T06:52:57Z</dcterms:created>
  <dcterms:modified xmlns:dcterms="http://purl.org/dc/terms/" xmlns:xsi="http://www.w3.org/2001/XMLSchema-instance" xsi:type="dcterms:W3CDTF">2026-07-06T05:02:01Z</dcterms:modified>
</cp:coreProperties>
</file>