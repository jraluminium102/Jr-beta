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Structure="1" workbookAlgorithmName="SHA-512" workbookHashValue="8CUvaA3gSoATsNK4MmsiIPitLsl343VdC+c31FJn6jxXFhbPEyd73udc0rJO2GygcphgADJCwiUGaOI7Yi/AVQ==" workbookSaltValue="bXElyMW+ECK0iYPb35vHtQ==" workbookSpinCount="100000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JR คำนวณ" sheetId="1" state="visible" r:id="rId1"/>
    <sheet xmlns:r="http://schemas.openxmlformats.org/officeDocument/2006/relationships" name="HUNG dies" sheetId="2" state="visible" r:id="rId2"/>
    <sheet xmlns:r="http://schemas.openxmlformats.org/officeDocument/2006/relationships" name="HUNG Takeoff" sheetId="3" state="visible" r:id="rId3"/>
    <sheet xmlns:r="http://schemas.openxmlformats.org/officeDocument/2006/relationships" name="FSA CORD calculate " sheetId="4" state="hidden" r:id="rId4"/>
  </sheets>
  <definedNames>
    <definedName name="_xlnm.Print_Area" localSheetId="1">'HUNG dies'!$A$1:$I$18</definedName>
    <definedName name="_xlnm.Print_Area" localSheetId="2">'HUNG Takeoff'!$A$1:$F$35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7">
    <font>
      <name val="TradeGothic LT"/>
      <family val="2"/>
      <color theme="1"/>
      <sz val="10"/>
    </font>
    <font>
      <name val="Calibri"/>
      <charset val="222"/>
      <family val="2"/>
      <color theme="1"/>
      <sz val="11"/>
      <scheme val="minor"/>
    </font>
    <font>
      <name val="Calibri"/>
      <charset val="222"/>
      <family val="2"/>
      <color theme="1"/>
      <sz val="11"/>
      <scheme val="minor"/>
    </font>
    <font>
      <name val="TradeGothic LT"/>
      <family val="2"/>
      <color theme="1"/>
      <sz val="10"/>
    </font>
    <font>
      <name val="TradeGothic LT"/>
      <family val="2"/>
      <color theme="1"/>
      <sz val="9"/>
    </font>
    <font>
      <name val="TradeGothic LT"/>
      <family val="2"/>
      <sz val="8"/>
    </font>
    <font>
      <name val="TradeGothic LT"/>
      <family val="2"/>
      <color rgb="FFFF0000"/>
      <sz val="9"/>
    </font>
    <font>
      <name val="Tahoma"/>
      <family val="2"/>
      <b val="1"/>
      <sz val="15"/>
      <u val="single"/>
    </font>
    <font>
      <name val="Tahoma"/>
      <family val="2"/>
      <sz val="10"/>
    </font>
    <font>
      <name val="Tahoma"/>
      <family val="2"/>
      <b val="1"/>
      <sz val="10"/>
    </font>
    <font>
      <name val="Tahoma"/>
      <family val="2"/>
      <b val="1"/>
      <sz val="13"/>
    </font>
    <font>
      <name val="TradeGothic LT"/>
      <charset val="222"/>
      <b val="1"/>
      <color theme="1"/>
      <sz val="12"/>
    </font>
    <font>
      <name val="Arial Unicode MS"/>
      <family val="2"/>
      <color theme="1"/>
      <sz val="11"/>
    </font>
    <font>
      <name val="Arial Unicode MS"/>
      <family val="2"/>
      <b val="1"/>
      <color theme="1"/>
      <sz val="11"/>
    </font>
    <font>
      <name val="TradeGothic LT"/>
      <charset val="222"/>
      <b val="1"/>
      <color theme="1"/>
      <sz val="10"/>
    </font>
    <font>
      <name val="Tahoma"/>
      <family val="2"/>
      <color rgb="FF00B050"/>
      <sz val="10"/>
    </font>
    <font>
      <name val="Tahoma"/>
      <family val="2"/>
      <color theme="9" tint="-0.249977111117893"/>
      <sz val="10"/>
    </font>
    <font>
      <name val="Browallia New"/>
      <family val="2"/>
      <sz val="14"/>
    </font>
    <font>
      <name val="Browallia New"/>
      <family val="2"/>
      <b val="1"/>
      <sz val="11"/>
    </font>
    <font>
      <name val="Arial"/>
      <family val="2"/>
      <sz val="10"/>
    </font>
    <font>
      <name val="Browallia New"/>
      <family val="2"/>
      <sz val="10"/>
    </font>
    <font>
      <name val="Browallia New"/>
      <family val="2"/>
      <sz val="9"/>
    </font>
    <font>
      <name val="Calibri"/>
      <family val="2"/>
      <color theme="1"/>
      <sz val="11"/>
      <scheme val="minor"/>
    </font>
    <font>
      <name val="Browallia New"/>
      <family val="2"/>
      <color theme="1"/>
      <sz val="10"/>
    </font>
    <font>
      <name val="Browallia New"/>
      <family val="2"/>
      <b val="1"/>
      <sz val="14"/>
    </font>
    <font>
      <name val="Tahoma"/>
      <family val="2"/>
      <sz val="14"/>
    </font>
    <font>
      <name val="Arial Unicode MS"/>
      <family val="2"/>
      <b val="1"/>
      <color theme="1"/>
      <sz val="12"/>
    </font>
    <font>
      <name val="Arial Unicode MS"/>
      <family val="2"/>
      <b val="1"/>
      <color theme="1"/>
      <sz val="14"/>
    </font>
    <font>
      <name val="Tahoma"/>
      <family val="2"/>
      <b val="1"/>
      <sz val="14"/>
    </font>
    <font>
      <name val="Browallia New"/>
      <family val="2"/>
      <b val="1"/>
      <color theme="1"/>
      <sz val="18"/>
    </font>
    <font>
      <name val="Calibri"/>
      <family val="2"/>
      <b val="1"/>
      <color rgb="FFFF0000"/>
      <sz val="11"/>
      <scheme val="minor"/>
    </font>
    <font>
      <name val="Tahoma"/>
      <b val="1"/>
      <color rgb="00FFFFFF"/>
      <sz val="12"/>
    </font>
    <font>
      <name val="Tahoma"/>
      <b val="1"/>
      <sz val="10"/>
    </font>
    <font>
      <name val="Tahoma"/>
      <b val="1"/>
      <color rgb="00FFFFFF"/>
    </font>
    <font>
      <name val="Tahoma"/>
      <sz val="10"/>
    </font>
    <font>
      <name val="Tahoma"/>
      <color rgb="00808080"/>
      <sz val="8"/>
    </font>
    <font>
      <name val="Tahoma"/>
      <sz val="9"/>
    </font>
  </fonts>
  <fills count="1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EEBF7"/>
      </patternFill>
    </fill>
    <fill>
      <patternFill patternType="solid">
        <fgColor rgb="00C6E0B4"/>
      </patternFill>
    </fill>
    <fill>
      <patternFill patternType="solid">
        <fgColor rgb="007F77DD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7">
    <xf numFmtId="0" fontId="3" fillId="0" borderId="0"/>
    <xf numFmtId="9" fontId="3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2" fillId="0" borderId="0"/>
  </cellStyleXfs>
  <cellXfs count="16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10" fontId="0" fillId="0" borderId="0" pivotButton="0" quotePrefix="0" xfId="1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0" fillId="0" borderId="0" pivotButton="0" quotePrefix="0" xfId="1"/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center"/>
    </xf>
    <xf numFmtId="0" fontId="9" fillId="0" borderId="0" applyAlignment="1" pivotButton="0" quotePrefix="0" xfId="2">
      <alignment horizontal="center"/>
    </xf>
    <xf numFmtId="0" fontId="8" fillId="0" borderId="1" applyAlignment="1" pivotButton="0" quotePrefix="0" xfId="3">
      <alignment horizontal="center"/>
    </xf>
    <xf numFmtId="0" fontId="8" fillId="0" borderId="11" applyAlignment="1" pivotButton="0" quotePrefix="0" xfId="3">
      <alignment horizontal="center" wrapText="1"/>
    </xf>
    <xf numFmtId="0" fontId="8" fillId="0" borderId="2" applyAlignment="1" pivotButton="0" quotePrefix="0" xfId="3">
      <alignment horizontal="center"/>
    </xf>
    <xf numFmtId="0" fontId="8" fillId="0" borderId="2" applyAlignment="1" pivotButton="0" quotePrefix="0" xfId="3">
      <alignment horizontal="center" wrapText="1"/>
    </xf>
    <xf numFmtId="0" fontId="8" fillId="0" borderId="14" applyAlignment="1" pivotButton="0" quotePrefix="0" xfId="2">
      <alignment horizontal="center"/>
    </xf>
    <xf numFmtId="0" fontId="8" fillId="0" borderId="14" applyAlignment="1" pivotButton="0" quotePrefix="0" xfId="3">
      <alignment horizontal="center"/>
    </xf>
    <xf numFmtId="0" fontId="8" fillId="0" borderId="14" applyAlignment="1" pivotButton="0" quotePrefix="0" xfId="2">
      <alignment horizontal="center" wrapText="1"/>
    </xf>
    <xf numFmtId="0" fontId="8" fillId="0" borderId="13" applyAlignment="1" pivotButton="0" quotePrefix="0" xfId="2">
      <alignment horizontal="center" wrapText="1"/>
    </xf>
    <xf numFmtId="0" fontId="10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12" applyAlignment="1" pivotButton="0" quotePrefix="0" xfId="2">
      <alignment horizontal="center"/>
    </xf>
    <xf numFmtId="0" fontId="8" fillId="0" borderId="0" pivotButton="0" quotePrefix="0" xfId="2"/>
    <xf numFmtId="0" fontId="10" fillId="0" borderId="0" pivotButton="0" quotePrefix="0" xfId="2"/>
    <xf numFmtId="0" fontId="11" fillId="0" borderId="0" applyAlignment="1" pivotButton="0" quotePrefix="0" xfId="0">
      <alignment horizontal="left"/>
    </xf>
    <xf numFmtId="0" fontId="8" fillId="0" borderId="10" applyAlignment="1" pivotButton="0" quotePrefix="0" xfId="3">
      <alignment horizontal="center" wrapText="1"/>
    </xf>
    <xf numFmtId="0" fontId="8" fillId="0" borderId="13" applyAlignment="1" pivotButton="0" quotePrefix="0" xfId="3">
      <alignment horizontal="center" wrapText="1"/>
    </xf>
    <xf numFmtId="0" fontId="8" fillId="0" borderId="14" applyAlignment="1" pivotButton="0" quotePrefix="0" xfId="3">
      <alignment horizontal="center" wrapText="1"/>
    </xf>
    <xf numFmtId="0" fontId="12" fillId="0" borderId="0" pivotButton="0" quotePrefix="0" xfId="3"/>
    <xf numFmtId="0" fontId="12" fillId="0" borderId="0" applyAlignment="1" pivotButton="0" quotePrefix="0" xfId="3">
      <alignment horizontal="center"/>
    </xf>
    <xf numFmtId="2" fontId="12" fillId="0" borderId="0" applyAlignment="1" pivotButton="0" quotePrefix="0" xfId="3">
      <alignment horizontal="center"/>
    </xf>
    <xf numFmtId="0" fontId="4" fillId="3" borderId="4" applyAlignment="1" pivotButton="0" quotePrefix="0" xfId="0">
      <alignment horizontal="center"/>
    </xf>
    <xf numFmtId="0" fontId="4" fillId="3" borderId="7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3" borderId="8" applyAlignment="1" pivotButton="0" quotePrefix="0" xfId="0">
      <alignment horizontal="center"/>
    </xf>
    <xf numFmtId="0" fontId="6" fillId="3" borderId="9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5" fillId="0" borderId="13" applyAlignment="1" pivotButton="0" quotePrefix="0" xfId="3">
      <alignment horizontal="center" wrapText="1"/>
    </xf>
    <xf numFmtId="0" fontId="0" fillId="0" borderId="0" applyAlignment="1" pivotButton="0" quotePrefix="0" xfId="0">
      <alignment horizontal="left"/>
    </xf>
    <xf numFmtId="0" fontId="16" fillId="0" borderId="13" applyAlignment="1" pivotButton="0" quotePrefix="0" xfId="3">
      <alignment horizontal="center" wrapText="1"/>
    </xf>
    <xf numFmtId="0" fontId="8" fillId="0" borderId="0" applyAlignment="1" pivotButton="0" quotePrefix="0" xfId="4">
      <alignment horizontal="center"/>
    </xf>
    <xf numFmtId="0" fontId="8" fillId="0" borderId="0" pivotButton="0" quotePrefix="0" xfId="4"/>
    <xf numFmtId="0" fontId="17" fillId="0" borderId="0" applyAlignment="1" pivotButton="0" quotePrefix="0" xfId="4">
      <alignment horizontal="center" vertical="center"/>
    </xf>
    <xf numFmtId="0" fontId="18" fillId="4" borderId="1" applyAlignment="1" pivotButton="0" quotePrefix="0" xfId="4">
      <alignment horizontal="center" vertical="center" wrapText="1"/>
    </xf>
    <xf numFmtId="0" fontId="20" fillId="0" borderId="1" applyAlignment="1" pivotButton="0" quotePrefix="0" xfId="4">
      <alignment horizontal="center" vertical="center" wrapText="1"/>
    </xf>
    <xf numFmtId="0" fontId="21" fillId="0" borderId="1" applyAlignment="1" pivotButton="0" quotePrefix="0" xfId="4">
      <alignment vertical="center" wrapText="1"/>
    </xf>
    <xf numFmtId="0" fontId="20" fillId="0" borderId="1" applyAlignment="1" pivotButton="0" quotePrefix="0" xfId="4">
      <alignment vertical="center" wrapText="1"/>
    </xf>
    <xf numFmtId="0" fontId="23" fillId="0" borderId="1" applyAlignment="1" pivotButton="0" quotePrefix="0" xfId="6">
      <alignment horizontal="center" vertical="center"/>
    </xf>
    <xf numFmtId="0" fontId="8" fillId="0" borderId="1" applyAlignment="1" pivotButton="0" quotePrefix="0" xfId="4">
      <alignment horizontal="center"/>
    </xf>
    <xf numFmtId="0" fontId="20" fillId="0" borderId="5" applyAlignment="1" pivotButton="0" quotePrefix="0" xfId="4">
      <alignment horizontal="center" vertical="center" wrapText="1"/>
    </xf>
    <xf numFmtId="0" fontId="24" fillId="0" borderId="0" applyAlignment="1" pivotButton="0" quotePrefix="0" xfId="4">
      <alignment horizontal="left" vertical="center"/>
    </xf>
    <xf numFmtId="0" fontId="12" fillId="0" borderId="21" applyAlignment="1" pivotButton="0" quotePrefix="0" xfId="3">
      <alignment horizontal="center"/>
    </xf>
    <xf numFmtId="0" fontId="13" fillId="0" borderId="16" applyAlignment="1" pivotButton="0" quotePrefix="0" xfId="3">
      <alignment horizontal="right"/>
    </xf>
    <xf numFmtId="0" fontId="13" fillId="0" borderId="17" applyAlignment="1" pivotButton="0" quotePrefix="0" xfId="3">
      <alignment horizontal="center" vertical="center"/>
    </xf>
    <xf numFmtId="0" fontId="12" fillId="0" borderId="17" applyAlignment="1" pivotButton="0" quotePrefix="0" xfId="3">
      <alignment horizontal="center"/>
    </xf>
    <xf numFmtId="0" fontId="13" fillId="0" borderId="17" applyAlignment="1" pivotButton="0" quotePrefix="0" xfId="3">
      <alignment horizontal="center"/>
    </xf>
    <xf numFmtId="0" fontId="13" fillId="0" borderId="18" applyAlignment="1" pivotButton="0" quotePrefix="0" xfId="3">
      <alignment horizontal="center"/>
    </xf>
    <xf numFmtId="164" fontId="23" fillId="0" borderId="1" applyAlignment="1" pivotButton="0" quotePrefix="0" xfId="6">
      <alignment horizontal="center" vertical="center"/>
    </xf>
    <xf numFmtId="0" fontId="25" fillId="0" borderId="0" applyAlignment="1" pivotButton="0" quotePrefix="0" xfId="2">
      <alignment horizontal="center" vertical="center" wrapText="1"/>
    </xf>
    <xf numFmtId="0" fontId="8" fillId="0" borderId="0" applyAlignment="1" pivotButton="0" quotePrefix="0" xfId="2">
      <alignment horizontal="center" vertical="top"/>
    </xf>
    <xf numFmtId="0" fontId="26" fillId="0" borderId="19" applyAlignment="1" pivotButton="0" quotePrefix="0" xfId="3">
      <alignment horizontal="center" vertical="center" wrapText="1"/>
    </xf>
    <xf numFmtId="0" fontId="28" fillId="6" borderId="1" applyAlignment="1" pivotButton="0" quotePrefix="0" xfId="2">
      <alignment horizontal="center" vertical="center"/>
    </xf>
    <xf numFmtId="0" fontId="27" fillId="2" borderId="20" applyAlignment="1" applyProtection="1" pivotButton="0" quotePrefix="0" xfId="3">
      <alignment horizontal="center" vertical="center"/>
      <protection locked="0" hidden="0"/>
    </xf>
    <xf numFmtId="0" fontId="27" fillId="5" borderId="20" applyAlignment="1" applyProtection="1" pivotButton="0" quotePrefix="0" xfId="3">
      <alignment horizontal="center" vertical="center"/>
      <protection locked="0" hidden="0"/>
    </xf>
    <xf numFmtId="0" fontId="27" fillId="0" borderId="21" applyAlignment="1" pivotButton="0" quotePrefix="0" xfId="3">
      <alignment horizontal="center" vertical="center"/>
    </xf>
    <xf numFmtId="0" fontId="27" fillId="0" borderId="23" applyAlignment="1" pivotButton="0" quotePrefix="0" xfId="3">
      <alignment horizontal="center" vertical="center"/>
    </xf>
    <xf numFmtId="0" fontId="13" fillId="0" borderId="19" applyAlignment="1" pivotButton="0" quotePrefix="0" xfId="3">
      <alignment horizontal="right" vertical="center"/>
    </xf>
    <xf numFmtId="0" fontId="13" fillId="0" borderId="22" applyAlignment="1" pivotButton="0" quotePrefix="0" xfId="3">
      <alignment horizontal="right" vertical="center"/>
    </xf>
    <xf numFmtId="0" fontId="21" fillId="0" borderId="8" applyAlignment="1" pivotButton="0" quotePrefix="0" xfId="4">
      <alignment vertical="center" wrapText="1"/>
    </xf>
    <xf numFmtId="0" fontId="10" fillId="0" borderId="0" applyAlignment="1" pivotButton="0" quotePrefix="0" xfId="2">
      <alignment horizontal="center" vertical="center"/>
    </xf>
    <xf numFmtId="0" fontId="8" fillId="0" borderId="13" applyAlignment="1" pivotButton="0" quotePrefix="0" xfId="3">
      <alignment horizontal="center"/>
    </xf>
    <xf numFmtId="0" fontId="8" fillId="0" borderId="13" applyAlignment="1" pivotButton="0" quotePrefix="0" xfId="2">
      <alignment horizontal="center"/>
    </xf>
    <xf numFmtId="0" fontId="0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3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0" fillId="2" borderId="1" applyAlignment="1" pivotButton="0" quotePrefix="0" xfId="0">
      <alignment horizontal="center"/>
    </xf>
    <xf numFmtId="0" fontId="12" fillId="0" borderId="0" pivotButton="0" quotePrefix="0" xfId="3"/>
    <xf numFmtId="0" fontId="8" fillId="0" borderId="26" applyAlignment="1" pivotButton="0" quotePrefix="0" xfId="3">
      <alignment horizontal="center" wrapText="1"/>
    </xf>
    <xf numFmtId="0" fontId="15" fillId="0" borderId="27" applyAlignment="1" pivotButton="0" quotePrefix="0" xfId="3">
      <alignment horizontal="center" wrapText="1"/>
    </xf>
    <xf numFmtId="0" fontId="15" fillId="0" borderId="26" applyAlignment="1" pivotButton="0" quotePrefix="0" xfId="3">
      <alignment horizontal="center" wrapText="1"/>
    </xf>
    <xf numFmtId="0" fontId="9" fillId="7" borderId="1" applyAlignment="1" pivotButton="0" quotePrefix="0" xfId="3">
      <alignment horizontal="center" wrapText="1"/>
    </xf>
    <xf numFmtId="0" fontId="8" fillId="0" borderId="28" applyAlignment="1" pivotButton="0" quotePrefix="0" xfId="2">
      <alignment horizontal="center"/>
    </xf>
    <xf numFmtId="0" fontId="9" fillId="7" borderId="29" applyAlignment="1" pivotButton="0" quotePrefix="0" xfId="3">
      <alignment horizontal="center" wrapText="1"/>
    </xf>
    <xf numFmtId="0" fontId="8" fillId="0" borderId="30" applyAlignment="1" pivotButton="0" quotePrefix="0" xfId="2">
      <alignment horizontal="center"/>
    </xf>
    <xf numFmtId="0" fontId="8" fillId="0" borderId="31" applyAlignment="1" pivotButton="0" quotePrefix="0" xfId="2">
      <alignment horizontal="center"/>
    </xf>
    <xf numFmtId="0" fontId="8" fillId="0" borderId="34" applyAlignment="1" pivotButton="0" quotePrefix="0" xfId="2">
      <alignment horizontal="center"/>
    </xf>
    <xf numFmtId="0" fontId="8" fillId="0" borderId="35" applyAlignment="1" pivotButton="0" quotePrefix="0" xfId="3">
      <alignment horizontal="center"/>
    </xf>
    <xf numFmtId="0" fontId="8" fillId="0" borderId="35" applyAlignment="1" pivotButton="0" quotePrefix="0" xfId="2">
      <alignment horizontal="center"/>
    </xf>
    <xf numFmtId="0" fontId="8" fillId="0" borderId="35" applyAlignment="1" pivotButton="0" quotePrefix="0" xfId="3">
      <alignment horizontal="center" wrapText="1"/>
    </xf>
    <xf numFmtId="0" fontId="8" fillId="0" borderId="35" applyAlignment="1" pivotButton="0" quotePrefix="0" xfId="2">
      <alignment horizontal="center" wrapText="1"/>
    </xf>
    <xf numFmtId="0" fontId="8" fillId="0" borderId="36" applyAlignment="1" pivotButton="0" quotePrefix="0" xfId="2">
      <alignment horizontal="center" wrapText="1"/>
    </xf>
    <xf numFmtId="0" fontId="8" fillId="0" borderId="36" applyAlignment="1" pivotButton="0" quotePrefix="0" xfId="3">
      <alignment horizontal="center" wrapText="1"/>
    </xf>
    <xf numFmtId="0" fontId="9" fillId="7" borderId="37" applyAlignment="1" pivotButton="0" quotePrefix="0" xfId="3">
      <alignment horizontal="center" wrapText="1"/>
    </xf>
    <xf numFmtId="0" fontId="0" fillId="0" borderId="0" applyAlignment="1" pivotButton="0" quotePrefix="0" xfId="0">
      <alignment horizontal="center"/>
    </xf>
    <xf numFmtId="0" fontId="9" fillId="7" borderId="32" applyAlignment="1" pivotButton="0" quotePrefix="0" xfId="3">
      <alignment horizontal="center" vertical="center" wrapText="1"/>
    </xf>
    <xf numFmtId="0" fontId="9" fillId="7" borderId="29" applyAlignment="1" pivotButton="0" quotePrefix="0" xfId="3">
      <alignment horizontal="center" vertical="center" wrapText="1"/>
    </xf>
    <xf numFmtId="0" fontId="30" fillId="2" borderId="8" applyAlignment="1" pivotButton="0" quotePrefix="0" xfId="0">
      <alignment horizontal="center" vertical="center"/>
    </xf>
    <xf numFmtId="0" fontId="30" fillId="2" borderId="5" applyAlignment="1" pivotButton="0" quotePrefix="0" xfId="0">
      <alignment horizontal="center" vertical="center"/>
    </xf>
    <xf numFmtId="0" fontId="29" fillId="0" borderId="0" applyAlignment="1" applyProtection="1" pivotButton="0" quotePrefix="0" xfId="6">
      <alignment horizontal="center" vertical="center"/>
      <protection locked="0" hidden="0"/>
    </xf>
    <xf numFmtId="0" fontId="8" fillId="0" borderId="15" applyAlignment="1" pivotButton="0" quotePrefix="0" xfId="3">
      <alignment horizontal="center"/>
    </xf>
    <xf numFmtId="0" fontId="8" fillId="0" borderId="13" applyAlignment="1" pivotButton="0" quotePrefix="0" xfId="3">
      <alignment horizontal="center"/>
    </xf>
    <xf numFmtId="0" fontId="8" fillId="0" borderId="31" applyAlignment="1" pivotButton="0" quotePrefix="0" xfId="3">
      <alignment horizontal="center"/>
    </xf>
    <xf numFmtId="0" fontId="8" fillId="0" borderId="33" applyAlignment="1" pivotButton="0" quotePrefix="0" xfId="3">
      <alignment horizontal="center"/>
    </xf>
    <xf numFmtId="0" fontId="8" fillId="0" borderId="15" applyAlignment="1" pivotButton="0" quotePrefix="0" xfId="2">
      <alignment horizontal="center"/>
    </xf>
    <xf numFmtId="0" fontId="8" fillId="0" borderId="13" applyAlignment="1" pivotButton="0" quotePrefix="0" xfId="2">
      <alignment horizontal="center"/>
    </xf>
    <xf numFmtId="0" fontId="18" fillId="2" borderId="3" applyAlignment="1" pivotButton="0" quotePrefix="0" xfId="5">
      <alignment horizontal="center"/>
    </xf>
    <xf numFmtId="0" fontId="18" fillId="2" borderId="24" applyAlignment="1" pivotButton="0" quotePrefix="0" xfId="5">
      <alignment horizontal="center"/>
    </xf>
    <xf numFmtId="0" fontId="18" fillId="2" borderId="2" applyAlignment="1" pivotButton="0" quotePrefix="0" xfId="5">
      <alignment horizontal="center"/>
    </xf>
    <xf numFmtId="0" fontId="18" fillId="4" borderId="1" applyAlignment="1" pivotButton="0" quotePrefix="0" xfId="4">
      <alignment horizontal="center" vertical="center"/>
    </xf>
    <xf numFmtId="0" fontId="20" fillId="0" borderId="8" applyAlignment="1" pivotButton="0" quotePrefix="0" xfId="4">
      <alignment horizontal="center" vertical="center"/>
    </xf>
    <xf numFmtId="0" fontId="20" fillId="0" borderId="25" applyAlignment="1" pivotButton="0" quotePrefix="0" xfId="4">
      <alignment horizontal="center" vertical="center"/>
    </xf>
    <xf numFmtId="0" fontId="20" fillId="0" borderId="5" applyAlignment="1" pivotButton="0" quotePrefix="0" xfId="4">
      <alignment horizontal="center" vertical="center"/>
    </xf>
    <xf numFmtId="0" fontId="31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2" fillId="9" borderId="45" applyAlignment="1" pivotButton="0" quotePrefix="0" xfId="0">
      <alignment horizontal="left" vertical="center" wrapText="1"/>
    </xf>
    <xf numFmtId="0" fontId="0" fillId="0" borderId="48" pivotButton="0" quotePrefix="0" xfId="0"/>
    <xf numFmtId="0" fontId="33" fillId="10" borderId="45" applyAlignment="1" pivotButton="0" quotePrefix="0" xfId="0">
      <alignment horizontal="left" vertical="center" wrapText="1"/>
    </xf>
    <xf numFmtId="164" fontId="32" fillId="11" borderId="45" applyAlignment="1" pivotButton="0" quotePrefix="0" xfId="0">
      <alignment horizontal="center" vertical="center" wrapText="1"/>
    </xf>
    <xf numFmtId="1" fontId="32" fillId="11" borderId="45" applyAlignment="1" pivotButton="0" quotePrefix="0" xfId="0">
      <alignment horizontal="center" vertical="center" wrapText="1"/>
    </xf>
    <xf numFmtId="0" fontId="33" fillId="10" borderId="45" applyAlignment="1" pivotButton="0" quotePrefix="0" xfId="0">
      <alignment horizontal="center" vertical="center" wrapText="1"/>
    </xf>
    <xf numFmtId="0" fontId="32" fillId="0" borderId="45" applyAlignment="1" pivotButton="0" quotePrefix="0" xfId="0">
      <alignment horizontal="center" vertical="center" wrapText="1"/>
    </xf>
    <xf numFmtId="0" fontId="34" fillId="0" borderId="45" applyAlignment="1" pivotButton="0" quotePrefix="0" xfId="0">
      <alignment horizontal="left" vertical="center" wrapText="1"/>
    </xf>
    <xf numFmtId="0" fontId="34" fillId="0" borderId="45" applyAlignment="1" pivotButton="0" quotePrefix="0" xfId="0">
      <alignment horizontal="center" vertical="center" wrapText="1"/>
    </xf>
    <xf numFmtId="164" fontId="32" fillId="12" borderId="45" applyAlignment="1" pivotButton="0" quotePrefix="0" xfId="0">
      <alignment horizontal="center" vertical="center" wrapText="1"/>
    </xf>
    <xf numFmtId="1" fontId="32" fillId="12" borderId="45" applyAlignment="1" pivotButton="0" quotePrefix="0" xfId="0">
      <alignment horizontal="center" vertical="center" wrapText="1"/>
    </xf>
    <xf numFmtId="0" fontId="35" fillId="0" borderId="45" applyAlignment="1" pivotButton="0" quotePrefix="0" xfId="0">
      <alignment horizontal="left" vertical="center" wrapText="1"/>
    </xf>
    <xf numFmtId="0" fontId="33" fillId="13" borderId="0" applyAlignment="1" pivotButton="0" quotePrefix="0" xfId="0">
      <alignment horizontal="left" vertical="center" wrapText="1"/>
    </xf>
    <xf numFmtId="0" fontId="0" fillId="13" borderId="0" pivotButton="0" quotePrefix="0" xfId="0"/>
    <xf numFmtId="0" fontId="32" fillId="14" borderId="45" applyAlignment="1" pivotButton="0" quotePrefix="0" xfId="0">
      <alignment horizontal="left" vertical="center" wrapText="1"/>
    </xf>
    <xf numFmtId="0" fontId="36" fillId="0" borderId="45" applyAlignment="1" pivotButton="0" quotePrefix="0" xfId="0">
      <alignment horizontal="left" vertical="center" wrapText="1"/>
    </xf>
    <xf numFmtId="164" fontId="32" fillId="15" borderId="45" applyAlignment="1" pivotButton="0" quotePrefix="0" xfId="0">
      <alignment horizontal="center" vertical="center" wrapText="1"/>
    </xf>
    <xf numFmtId="164" fontId="32" fillId="16" borderId="45" applyAlignment="1" pivotButton="0" quotePrefix="0" xfId="0">
      <alignment horizontal="center" vertical="center" wrapText="1"/>
    </xf>
    <xf numFmtId="164" fontId="32" fillId="14" borderId="45" applyAlignment="1" pivotButton="0" quotePrefix="0" xfId="0">
      <alignment horizontal="center" vertical="center" wrapText="1"/>
    </xf>
    <xf numFmtId="0" fontId="33" fillId="17" borderId="0" applyAlignment="1" pivotButton="0" quotePrefix="0" xfId="0">
      <alignment horizontal="left" vertical="center" wrapText="1"/>
    </xf>
    <xf numFmtId="0" fontId="0" fillId="17" borderId="0" pivotButton="0" quotePrefix="0" xfId="0"/>
    <xf numFmtId="0" fontId="0" fillId="0" borderId="45" pivotButton="0" quotePrefix="0" xfId="0"/>
    <xf numFmtId="0" fontId="0" fillId="0" borderId="0" applyProtection="1" pivotButton="0" quotePrefix="0" xfId="0">
      <protection locked="0" hidden="0"/>
    </xf>
    <xf numFmtId="0" fontId="8" fillId="0" borderId="30" applyAlignment="1" pivotButton="0" quotePrefix="0" xfId="3">
      <alignment horizontal="center"/>
    </xf>
    <xf numFmtId="0" fontId="9" fillId="7" borderId="38" applyAlignment="1" pivotButton="0" quotePrefix="0" xfId="3">
      <alignment horizontal="center" vertical="center" wrapText="1"/>
    </xf>
    <xf numFmtId="0" fontId="30" fillId="2" borderId="1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13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2" pivotButton="0" quotePrefix="0" xfId="0"/>
    <xf numFmtId="0" fontId="18" fillId="2" borderId="1" applyAlignment="1" pivotButton="0" quotePrefix="0" xfId="5">
      <alignment horizontal="center"/>
    </xf>
    <xf numFmtId="0" fontId="0" fillId="0" borderId="24" pivotButton="0" quotePrefix="0" xfId="0"/>
    <xf numFmtId="0" fontId="20" fillId="0" borderId="1" applyAlignment="1" pivotButton="0" quotePrefix="0" xfId="4">
      <alignment horizontal="center" vertical="center"/>
    </xf>
    <xf numFmtId="0" fontId="0" fillId="0" borderId="25" pivotButton="0" quotePrefix="0" xfId="0"/>
  </cellXfs>
  <cellStyles count="7">
    <cellStyle name="Normal" xfId="0" builtinId="0"/>
    <cellStyle name="Percent" xfId="1" builtinId="5"/>
    <cellStyle name="Normal 2" xfId="2"/>
    <cellStyle name="Normal 2 3" xfId="3"/>
    <cellStyle name="Normal 2 4" xfId="4"/>
    <cellStyle name="Normal 2 2 2 2" xfId="5"/>
    <cellStyle name="Normal 3" xfId="6"/>
  </cellStyles>
  <dxfs count="15">
    <dxf>
      <font>
        <name val="TradeGothic LT"/>
        <strike val="0"/>
        <outline val="0"/>
        <shadow val="0"/>
        <condense val="0"/>
        <color rgb="FFFF0000"/>
        <extend val="0"/>
        <sz val="9"/>
        <vertAlign val="baseline"/>
      </font>
      <numFmt numFmtId="0" formatCode="General"/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radeGothic LT"/>
        <strike val="0"/>
        <outline val="0"/>
        <shadow val="0"/>
        <condense val="0"/>
        <color rgb="FFFF0000"/>
        <extend val="0"/>
        <sz val="9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numFmt numFmtId="0" formatCode="General"/>
      <alignment horizontal="center" vertical="bottom"/>
      <border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bottom"/>
    </dxf>
    <dxf>
      <border outline="0">
        <bottom style="thin">
          <color indexed="64"/>
        </bottom>
      </border>
    </dxf>
    <dxf>
      <font>
        <name val="TradeGothic LT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VOALU" displayName="EVOALU" ref="A2:J16" headerRowCount="1" totalsRowShown="0" headerRowDxfId="14" dataDxfId="12" headerRowBorderDxfId="13" tableBorderDxfId="11" totalsRowBorderDxfId="10">
  <autoFilter ref="A2:J16"/>
  <tableColumns count="10">
    <tableColumn id="2" name="Overall Frame Height (OFH)" dataDxfId="9"/>
    <tableColumn id="1" name="Internal Frame Height (IFH)_x000a_Dim &quot;A&quot;" dataDxfId="8"/>
    <tableColumn id="11" name="Overall Sash Height (OSH)" dataDxfId="7">
      <calculatedColumnFormula>EVOALU[[#This Row],[Internal Frame Height (IFH)
Dim "A"]]-15-2</calculatedColumnFormula>
    </tableColumn>
    <tableColumn id="3" name="Inside (I)" dataDxfId="6">
      <calculatedColumnFormula>(EVOALU[[#This Row],[Internal Frame Height (IFH)
Dim "A"]])-150-38</calculatedColumnFormula>
    </tableColumn>
    <tableColumn id="5" name="Outside (O)" dataDxfId="5">
      <calculatedColumnFormula>(EVOALU[[#This Row],[Internal Frame Height (IFH)
Dim "A"]]/2)-137-38</calculatedColumnFormula>
    </tableColumn>
    <tableColumn id="9" name="Sash Height" dataDxfId="4">
      <calculatedColumnFormula>EVOALU[[#This Row],[Overall Sash Height (OSH)]]/2+13</calculatedColumnFormula>
    </tableColumn>
    <tableColumn id="6" name="Pulley (PC)" dataDxfId="3"/>
    <tableColumn id="7" name="Cord Length (CL)" dataDxfId="2">
      <calculatedColumnFormula>G3+E3+D3</calculatedColumnFormula>
    </tableColumn>
    <tableColumn id="10" name="Total Cord Length (TCL)" dataDxfId="1">
      <calculatedColumnFormula>EVOALU[[#This Row],[Cord Length (CL)]]+65+65</calculatedColumnFormula>
    </tableColumn>
    <tableColumn id="8" name="Cord Cut Setting (CCS)" dataDxfId="0">
      <calculatedColumnFormula>(EVOALU[[#This Row],[Cord Length (CL)]]-EVOALU[[#This Row],[Pulley (PC)]])/2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/Relationships>
</file>

<file path=xl/worksheets/_rels/sheet3.xml.rels><Relationships xmlns="http://schemas.openxmlformats.org/package/2006/relationships"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5" customWidth="1" min="3" max="3"/>
    <col width="13" customWidth="1" min="4" max="4"/>
    <col width="9" customWidth="1" min="5" max="5"/>
    <col width="26" customWidth="1" min="6" max="6"/>
    <col width="11" customWidth="1" min="7" max="7"/>
  </cols>
  <sheetData>
    <row r="1">
      <c r="A1" s="124" t="inlineStr">
        <is>
          <t>JR ALUMINIUM &amp; GLASS   —   บานยก ฟูจิ (HUNG) · หน้าคำนวณ   ·   ซม.</t>
        </is>
      </c>
      <c r="B1" s="125" t="n"/>
      <c r="C1" s="125" t="n"/>
      <c r="D1" s="125" t="n"/>
      <c r="E1" s="125" t="n"/>
      <c r="F1" s="125" t="n"/>
      <c r="G1" s="125" t="n"/>
      <c r="H1" s="125" t="n"/>
    </row>
    <row r="2">
      <c r="A2" s="125" t="n"/>
      <c r="B2" s="125" t="n"/>
      <c r="C2" s="125" t="n"/>
      <c r="D2" s="125" t="n"/>
      <c r="E2" s="125" t="n"/>
      <c r="F2" s="125" t="n"/>
      <c r="G2" s="125" t="n"/>
      <c r="H2" s="125" t="n"/>
    </row>
    <row r="3">
      <c r="B3" s="126" t="inlineStr">
        <is>
          <t>① กรอกข้อมูล (เหลือง)</t>
        </is>
      </c>
      <c r="C3" s="127" t="n"/>
    </row>
    <row r="4">
      <c r="B4" s="128" t="inlineStr">
        <is>
          <t>กว้างช่อง (W)</t>
        </is>
      </c>
      <c r="C4" s="129" t="n">
        <v>104.3</v>
      </c>
    </row>
    <row r="5">
      <c r="B5" s="128" t="inlineStr">
        <is>
          <t>สูงช่อง (H)</t>
        </is>
      </c>
      <c r="C5" s="129" t="n">
        <v>288.8</v>
      </c>
    </row>
    <row r="6">
      <c r="B6" s="128" t="inlineStr">
        <is>
          <t>จำนวนชุด</t>
        </is>
      </c>
      <c r="C6" s="130" t="n">
        <v>1</v>
      </c>
    </row>
    <row r="8">
      <c r="A8" s="131" t="inlineStr">
        <is>
          <t>#</t>
        </is>
      </c>
      <c r="B8" s="131" t="inlineStr">
        <is>
          <t>โปรไฟล์ (ไทย / EN)</t>
        </is>
      </c>
      <c r="C8" s="131" t="inlineStr">
        <is>
          <t>รหัส</t>
        </is>
      </c>
      <c r="D8" s="131" t="inlineStr">
        <is>
          <t>ยาวตัด (ซม.)</t>
        </is>
      </c>
      <c r="E8" s="131" t="inlineStr">
        <is>
          <t>จำนวน</t>
        </is>
      </c>
      <c r="F8" s="131" t="inlineStr">
        <is>
          <t>หมายเหตุ</t>
        </is>
      </c>
    </row>
    <row r="9" ht="22" customHeight="1">
      <c r="A9" s="132" t="n">
        <v>1</v>
      </c>
      <c r="B9" s="133" t="inlineStr">
        <is>
          <t>เฟรมบน (HEAD)</t>
        </is>
      </c>
      <c r="C9" s="134" t="inlineStr">
        <is>
          <t>B28009</t>
        </is>
      </c>
      <c r="D9" s="135">
        <f>$C$4-$F$32</f>
        <v/>
      </c>
      <c r="E9" s="136">
        <f>1*$C$6</f>
        <v/>
      </c>
      <c r="F9" s="137" t="inlineStr">
        <is>
          <t>กว้าง−5</t>
        </is>
      </c>
    </row>
    <row r="10" ht="22" customHeight="1">
      <c r="A10" s="132" t="n">
        <v>2</v>
      </c>
      <c r="B10" s="133" t="inlineStr">
        <is>
          <t>ตบปิดเฟรมบน (COVER HEAD)</t>
        </is>
      </c>
      <c r="C10" s="134" t="inlineStr">
        <is>
          <t>B28010</t>
        </is>
      </c>
      <c r="D10" s="135">
        <f>$C$4-$F$33</f>
        <v/>
      </c>
      <c r="E10" s="136">
        <f>1*$C$6</f>
        <v/>
      </c>
      <c r="F10" s="137" t="inlineStr">
        <is>
          <t>กว้าง−9.4</t>
        </is>
      </c>
    </row>
    <row r="11" ht="22" customHeight="1">
      <c r="A11" s="132" t="n">
        <v>3</v>
      </c>
      <c r="B11" s="133" t="inlineStr">
        <is>
          <t>กรอบบาน แนวนอน (SASH ↔)</t>
        </is>
      </c>
      <c r="C11" s="134" t="inlineStr">
        <is>
          <t>B28011</t>
        </is>
      </c>
      <c r="D11" s="135">
        <f>$C$4-$F$34</f>
        <v/>
      </c>
      <c r="E11" s="136">
        <f>4*$C$6</f>
        <v/>
      </c>
      <c r="F11" s="137" t="inlineStr">
        <is>
          <t>กว้าง−15.4</t>
        </is>
      </c>
    </row>
    <row r="12" ht="22" customHeight="1">
      <c r="A12" s="132" t="n">
        <v>4</v>
      </c>
      <c r="B12" s="133" t="inlineStr">
        <is>
          <t>กรอบบาน แนวตั้ง (SASH ↕)</t>
        </is>
      </c>
      <c r="C12" s="134" t="inlineStr">
        <is>
          <t>B28011</t>
        </is>
      </c>
      <c r="D12" s="135">
        <f>($C$5-$F$35)/2-$F$36</f>
        <v/>
      </c>
      <c r="E12" s="136">
        <f>4*$C$6</f>
        <v/>
      </c>
      <c r="F12" s="137" t="inlineStr">
        <is>
          <t>(สูง−4.6)÷2−0.1</t>
        </is>
      </c>
    </row>
    <row r="13" ht="22" customHeight="1">
      <c r="A13" s="132" t="n">
        <v>5</v>
      </c>
      <c r="B13" s="133" t="inlineStr">
        <is>
          <t>คิ้วยึดเสาเกี่ยว (ADAPTOR)</t>
        </is>
      </c>
      <c r="C13" s="134" t="inlineStr">
        <is>
          <t>B28012</t>
        </is>
      </c>
      <c r="D13" s="135">
        <f>$C$4-$F$37</f>
        <v/>
      </c>
      <c r="E13" s="136">
        <f>2*$C$6</f>
        <v/>
      </c>
      <c r="F13" s="137" t="inlineStr">
        <is>
          <t>กว้าง−13.2</t>
        </is>
      </c>
    </row>
    <row r="14" ht="22" customHeight="1">
      <c r="A14" s="132" t="n">
        <v>6</v>
      </c>
      <c r="B14" s="133" t="inlineStr">
        <is>
          <t>เสาเกี่ยว (INTERLOCK)</t>
        </is>
      </c>
      <c r="C14" s="134" t="inlineStr">
        <is>
          <t>B28013</t>
        </is>
      </c>
      <c r="D14" s="135">
        <f>$C$4-$F$38</f>
        <v/>
      </c>
      <c r="E14" s="136">
        <f>2*$C$6</f>
        <v/>
      </c>
      <c r="F14" s="137" t="inlineStr">
        <is>
          <t>กว้าง−11.2</t>
        </is>
      </c>
    </row>
    <row r="15" ht="22" customHeight="1">
      <c r="A15" s="132" t="n">
        <v>7</v>
      </c>
      <c r="B15" s="133" t="inlineStr">
        <is>
          <t>เฟรมล่าง (SILL)</t>
        </is>
      </c>
      <c r="C15" s="134" t="inlineStr">
        <is>
          <t>B28014</t>
        </is>
      </c>
      <c r="D15" s="135">
        <f>$C$4-$F$32</f>
        <v/>
      </c>
      <c r="E15" s="136">
        <f>1*$C$6</f>
        <v/>
      </c>
      <c r="F15" s="137" t="inlineStr">
        <is>
          <t>กว้าง−5</t>
        </is>
      </c>
    </row>
    <row r="16" ht="22" customHeight="1">
      <c r="A16" s="132" t="n">
        <v>8</v>
      </c>
      <c r="B16" s="133" t="inlineStr">
        <is>
          <t>เสาเสริมเฟรมข้าง (JAMB ADAPTOR)</t>
        </is>
      </c>
      <c r="C16" s="134" t="inlineStr">
        <is>
          <t>B28015</t>
        </is>
      </c>
      <c r="D16" s="135">
        <f>$C$5-$F$39</f>
        <v/>
      </c>
      <c r="E16" s="136">
        <f>2*$C$6</f>
        <v/>
      </c>
      <c r="F16" s="137" t="inlineStr">
        <is>
          <t>สูง−6.9</t>
        </is>
      </c>
    </row>
    <row r="17" ht="22" customHeight="1">
      <c r="A17" s="132" t="n">
        <v>9</v>
      </c>
      <c r="B17" s="133" t="inlineStr">
        <is>
          <t>เฟรมข้าง (NARROW FRAME)</t>
        </is>
      </c>
      <c r="C17" s="134" t="inlineStr">
        <is>
          <t>B10004</t>
        </is>
      </c>
      <c r="D17" s="135">
        <f>$C$5</f>
        <v/>
      </c>
      <c r="E17" s="136">
        <f>2*$C$6</f>
        <v/>
      </c>
      <c r="F17" s="137" t="inlineStr">
        <is>
          <t>สูง</t>
        </is>
      </c>
    </row>
    <row r="19">
      <c r="B19" s="138" t="inlineStr">
        <is>
          <t>③ กระดานคำนวณ (แจกแจง) — ฐาน − ตัวลบ = ยาว</t>
        </is>
      </c>
      <c r="C19" s="139" t="n"/>
      <c r="D19" s="139" t="n"/>
      <c r="E19" s="139" t="n"/>
      <c r="F19" s="139" t="n"/>
      <c r="G19" s="139" t="n"/>
    </row>
    <row r="20">
      <c r="B20" s="131" t="inlineStr">
        <is>
          <t>โปรไฟล์</t>
        </is>
      </c>
      <c r="C20" s="131" t="inlineStr">
        <is>
          <t>ฐาน</t>
        </is>
      </c>
      <c r="D20" s="131" t="inlineStr">
        <is>
          <t>ค่า</t>
        </is>
      </c>
      <c r="E20" s="131" t="inlineStr">
        <is>
          <t>− ตัวลบ</t>
        </is>
      </c>
      <c r="F20" s="131" t="inlineStr">
        <is>
          <t>ยาวตัด</t>
        </is>
      </c>
      <c r="G20" s="131" t="inlineStr">
        <is>
          <t>หมายเหตุ</t>
        </is>
      </c>
    </row>
    <row r="21" ht="20" customHeight="1">
      <c r="B21" s="140" t="inlineStr">
        <is>
          <t>เฟรมบน</t>
        </is>
      </c>
      <c r="C21" s="141" t="inlineStr">
        <is>
          <t>กว้าง</t>
        </is>
      </c>
      <c r="D21" s="142">
        <f>$C$4</f>
        <v/>
      </c>
      <c r="E21" s="142">
        <f>$F$32</f>
        <v/>
      </c>
      <c r="F21" s="143">
        <f>$D$9</f>
        <v/>
      </c>
    </row>
    <row r="22" ht="20" customHeight="1">
      <c r="B22" s="140" t="inlineStr">
        <is>
          <t>ตบปิดเฟรมบน</t>
        </is>
      </c>
      <c r="C22" s="141" t="inlineStr">
        <is>
          <t>กว้าง</t>
        </is>
      </c>
      <c r="D22" s="142">
        <f>$C$4</f>
        <v/>
      </c>
      <c r="E22" s="142">
        <f>$F$33</f>
        <v/>
      </c>
      <c r="F22" s="143">
        <f>$D$10</f>
        <v/>
      </c>
    </row>
    <row r="23" ht="20" customHeight="1">
      <c r="B23" s="140" t="inlineStr">
        <is>
          <t>กรอบบานแนวนอน</t>
        </is>
      </c>
      <c r="C23" s="141" t="inlineStr">
        <is>
          <t>กว้าง</t>
        </is>
      </c>
      <c r="D23" s="142">
        <f>$C$4</f>
        <v/>
      </c>
      <c r="E23" s="142">
        <f>$F$34</f>
        <v/>
      </c>
      <c r="F23" s="143">
        <f>$D$11</f>
        <v/>
      </c>
    </row>
    <row r="24" ht="20" customHeight="1">
      <c r="B24" s="140" t="inlineStr">
        <is>
          <t>กรอบบานแนวตั้ง</t>
        </is>
      </c>
      <c r="C24" s="141" t="inlineStr">
        <is>
          <t>(สูง−4.6)÷2</t>
        </is>
      </c>
      <c r="D24" s="142">
        <f>($C$5-$F$35)/2</f>
        <v/>
      </c>
      <c r="E24" s="142">
        <f>$F$36</f>
        <v/>
      </c>
      <c r="F24" s="143">
        <f>$D$12</f>
        <v/>
      </c>
    </row>
    <row r="25" ht="20" customHeight="1">
      <c r="B25" s="140" t="inlineStr">
        <is>
          <t>คิ้วยึดเสาเกี่ยว</t>
        </is>
      </c>
      <c r="C25" s="141" t="inlineStr">
        <is>
          <t>กว้าง</t>
        </is>
      </c>
      <c r="D25" s="142">
        <f>$C$4</f>
        <v/>
      </c>
      <c r="E25" s="142">
        <f>$F$37</f>
        <v/>
      </c>
      <c r="F25" s="143">
        <f>$D$13</f>
        <v/>
      </c>
    </row>
    <row r="26" ht="20" customHeight="1">
      <c r="B26" s="140" t="inlineStr">
        <is>
          <t>เสาเกี่ยว</t>
        </is>
      </c>
      <c r="C26" s="141" t="inlineStr">
        <is>
          <t>กว้าง</t>
        </is>
      </c>
      <c r="D26" s="142">
        <f>$C$4</f>
        <v/>
      </c>
      <c r="E26" s="142">
        <f>$F$38</f>
        <v/>
      </c>
      <c r="F26" s="143">
        <f>$D$14</f>
        <v/>
      </c>
    </row>
    <row r="27" ht="20" customHeight="1">
      <c r="B27" s="140" t="inlineStr">
        <is>
          <t>เฟรมล่าง</t>
        </is>
      </c>
      <c r="C27" s="141" t="inlineStr">
        <is>
          <t>กว้าง</t>
        </is>
      </c>
      <c r="D27" s="142">
        <f>$C$4</f>
        <v/>
      </c>
      <c r="E27" s="142">
        <f>$F$32</f>
        <v/>
      </c>
      <c r="F27" s="143">
        <f>$D$15</f>
        <v/>
      </c>
    </row>
    <row r="28" ht="20" customHeight="1">
      <c r="B28" s="140" t="inlineStr">
        <is>
          <t>เสาเสริมเฟรมข้าง</t>
        </is>
      </c>
      <c r="C28" s="141" t="inlineStr">
        <is>
          <t>สูง</t>
        </is>
      </c>
      <c r="D28" s="142">
        <f>$C$5</f>
        <v/>
      </c>
      <c r="E28" s="142">
        <f>$F$39</f>
        <v/>
      </c>
      <c r="F28" s="143">
        <f>$D$16</f>
        <v/>
      </c>
    </row>
    <row r="29" ht="20" customHeight="1">
      <c r="B29" s="140" t="inlineStr">
        <is>
          <t>เฟรมข้าง</t>
        </is>
      </c>
      <c r="C29" s="141" t="inlineStr">
        <is>
          <t>สูง</t>
        </is>
      </c>
      <c r="D29" s="142">
        <f>$C$5</f>
        <v/>
      </c>
      <c r="E29" s="144" t="n"/>
      <c r="F29" s="143">
        <f>$D$17</f>
        <v/>
      </c>
    </row>
    <row r="31">
      <c r="B31" s="145" t="inlineStr">
        <is>
          <t>④ แผงแก้สูตร — ตัวหักลบ (เหลือง)</t>
        </is>
      </c>
      <c r="C31" s="146" t="n"/>
      <c r="D31" s="146" t="n"/>
      <c r="E31" s="146" t="n"/>
      <c r="F31" s="146" t="n"/>
    </row>
    <row r="32" ht="19" customHeight="1">
      <c r="B32" s="133" t="inlineStr">
        <is>
          <t>เฟรมบน/ล่าง — หัก (5)</t>
        </is>
      </c>
      <c r="C32" s="147" t="n"/>
      <c r="D32" s="147" t="n"/>
      <c r="E32" s="147" t="n"/>
      <c r="F32" s="129" t="n">
        <v>5</v>
      </c>
    </row>
    <row r="33" ht="19" customHeight="1">
      <c r="B33" s="133" t="inlineStr">
        <is>
          <t>ตบปิดเฟรมบน — หัก (9.4)</t>
        </is>
      </c>
      <c r="C33" s="147" t="n"/>
      <c r="D33" s="147" t="n"/>
      <c r="E33" s="147" t="n"/>
      <c r="F33" s="129" t="n">
        <v>9.4</v>
      </c>
    </row>
    <row r="34" ht="19" customHeight="1">
      <c r="B34" s="133" t="inlineStr">
        <is>
          <t>กรอบบานแนวนอน — หัก (15.4)</t>
        </is>
      </c>
      <c r="C34" s="147" t="n"/>
      <c r="D34" s="147" t="n"/>
      <c r="E34" s="147" t="n"/>
      <c r="F34" s="129" t="n">
        <v>15.4</v>
      </c>
    </row>
    <row r="35" ht="19" customHeight="1">
      <c r="B35" s="133" t="inlineStr">
        <is>
          <t>กรอบบานแนวตั้ง — หักสูง (4.6)</t>
        </is>
      </c>
      <c r="C35" s="147" t="n"/>
      <c r="D35" s="147" t="n"/>
      <c r="E35" s="147" t="n"/>
      <c r="F35" s="129" t="n">
        <v>4.6</v>
      </c>
    </row>
    <row r="36" ht="19" customHeight="1">
      <c r="B36" s="133" t="inlineStr">
        <is>
          <t>กรอบบานแนวตั้ง — ลบท้าย (0.1)</t>
        </is>
      </c>
      <c r="C36" s="147" t="n"/>
      <c r="D36" s="147" t="n"/>
      <c r="E36" s="147" t="n"/>
      <c r="F36" s="129" t="n">
        <v>0.1</v>
      </c>
    </row>
    <row r="37" ht="19" customHeight="1">
      <c r="B37" s="133" t="inlineStr">
        <is>
          <t>คิ้วยึดเสาเกี่ยว — หัก (13.2)</t>
        </is>
      </c>
      <c r="C37" s="147" t="n"/>
      <c r="D37" s="147" t="n"/>
      <c r="E37" s="147" t="n"/>
      <c r="F37" s="129" t="n">
        <v>13.2</v>
      </c>
    </row>
    <row r="38" ht="19" customHeight="1">
      <c r="B38" s="133" t="inlineStr">
        <is>
          <t>เสาเกี่ยว — หัก (11.2)</t>
        </is>
      </c>
      <c r="C38" s="147" t="n"/>
      <c r="D38" s="147" t="n"/>
      <c r="E38" s="147" t="n"/>
      <c r="F38" s="129" t="n">
        <v>11.2</v>
      </c>
    </row>
    <row r="39" ht="19" customHeight="1">
      <c r="B39" s="133" t="inlineStr">
        <is>
          <t>เสาเสริมเฟรมข้าง — หัก (6.9)</t>
        </is>
      </c>
      <c r="C39" s="147" t="n"/>
      <c r="D39" s="147" t="n"/>
      <c r="E39" s="147" t="n"/>
      <c r="F39" s="129" t="n">
        <v>6.9</v>
      </c>
    </row>
  </sheetData>
  <mergeCells count="12">
    <mergeCell ref="B19:G19"/>
    <mergeCell ref="B35:E35"/>
    <mergeCell ref="B3:C3"/>
    <mergeCell ref="B37:E37"/>
    <mergeCell ref="B38:E38"/>
    <mergeCell ref="B33:E33"/>
    <mergeCell ref="B31:F31"/>
    <mergeCell ref="B39:E39"/>
    <mergeCell ref="B34:E34"/>
    <mergeCell ref="A1:H2"/>
    <mergeCell ref="B36:E36"/>
    <mergeCell ref="B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2:AR22"/>
  <sheetViews>
    <sheetView showGridLines="0" tabSelected="1" view="pageBreakPreview" zoomScaleNormal="100" zoomScaleSheetLayoutView="100" workbookViewId="0">
      <selection activeCell="U2" sqref="U2"/>
    </sheetView>
  </sheetViews>
  <sheetFormatPr baseColWidth="8" defaultColWidth="9.140625" defaultRowHeight="12.75" outlineLevelRow="1"/>
  <cols>
    <col width="9.140625" customWidth="1" style="19" min="1" max="1"/>
    <col width="12.5703125" customWidth="1" style="32" min="2" max="2"/>
    <col width="26.28515625" customWidth="1" style="19" min="3" max="3"/>
    <col width="20.7109375" customWidth="1" style="19" min="4" max="4"/>
    <col outlineLevel="1" width="11.140625" customWidth="1" style="32" min="5" max="5"/>
    <col outlineLevel="1" width="20.7109375" customWidth="1" style="32" min="6" max="6"/>
    <col outlineLevel="1" width="20.7109375" customWidth="1" style="19" min="7" max="7"/>
    <col outlineLevel="1" width="26.42578125" customWidth="1" style="32" min="8" max="8"/>
    <col outlineLevel="1" width="16.5703125" customWidth="1" style="32" min="9" max="9"/>
    <col hidden="1" width="4.42578125" customWidth="1" style="32" min="10" max="10"/>
    <col hidden="1" outlineLevel="1" collapsed="1" width="16.28515625" customWidth="1" style="32" min="11" max="15"/>
    <col hidden="1" collapsed="1" width="9.140625" customWidth="1" style="32" min="16" max="16"/>
    <col hidden="1" style="32" min="17" max="17"/>
    <col width="9.140625" customWidth="1" style="32" min="18" max="16384"/>
  </cols>
  <sheetData>
    <row r="1" ht="76.5" customHeight="1"/>
    <row r="2" ht="39.75" customHeight="1">
      <c r="A2" s="30" t="inlineStr">
        <is>
          <t>HUNG PARTS LIST ชุดอุปกรณ์บานยก</t>
        </is>
      </c>
      <c r="C2" s="18" t="n"/>
      <c r="F2" s="20" t="n"/>
      <c r="K2" s="20" t="n"/>
      <c r="L2" s="20" t="n"/>
      <c r="M2" s="20" t="n"/>
      <c r="N2" s="20" t="n"/>
      <c r="O2" s="20" t="n"/>
    </row>
    <row r="3" ht="39.75" customHeight="1">
      <c r="A3" s="32" t="n"/>
      <c r="C3" s="79" t="inlineStr">
        <is>
          <t>ตัวเลือก Standard กระจก</t>
        </is>
      </c>
      <c r="F3" s="20" t="n"/>
      <c r="K3" s="20" t="n"/>
      <c r="L3" s="20" t="n"/>
      <c r="M3" s="20" t="n"/>
      <c r="N3" s="20" t="n"/>
      <c r="O3" s="20" t="n"/>
    </row>
    <row r="4" ht="128.25" customFormat="1" customHeight="1" s="88" thickBot="1">
      <c r="A4" s="110" t="n"/>
      <c r="B4" s="148" t="n"/>
      <c r="C4" s="148" t="n"/>
      <c r="D4" s="148" t="n"/>
      <c r="E4" s="148" t="n"/>
      <c r="G4" s="39" t="n"/>
      <c r="H4" s="88" t="n"/>
      <c r="L4" s="39">
        <f>D6*F6/1000000</f>
        <v/>
      </c>
      <c r="U4" s="39" t="n"/>
      <c r="V4" s="39" t="n"/>
      <c r="W4" s="39" t="n"/>
      <c r="X4" s="39" t="n"/>
      <c r="Z4" s="39" t="n"/>
      <c r="AA4" s="39" t="n"/>
      <c r="AB4" s="39" t="n"/>
      <c r="AC4" s="39" t="n"/>
      <c r="AR4" s="40" t="n"/>
    </row>
    <row r="5" outlineLevel="1" ht="16.5" customFormat="1" customHeight="1" s="88" thickBot="1">
      <c r="B5" s="39" t="n"/>
      <c r="C5" s="62" t="n"/>
      <c r="D5" s="63" t="inlineStr">
        <is>
          <t>H</t>
        </is>
      </c>
      <c r="E5" s="64" t="n"/>
      <c r="F5" s="65" t="inlineStr">
        <is>
          <t>W</t>
        </is>
      </c>
      <c r="G5" s="66" t="inlineStr">
        <is>
          <t>QTY(SET)</t>
        </is>
      </c>
      <c r="H5" s="70" t="inlineStr">
        <is>
          <t>Rope cut length(mm)</t>
        </is>
      </c>
      <c r="P5" s="39" t="n"/>
      <c r="Q5" s="39" t="n"/>
      <c r="R5" s="39" t="n"/>
      <c r="S5" s="39" t="n"/>
      <c r="U5" s="39" t="n"/>
      <c r="V5" s="39" t="n"/>
      <c r="W5" s="39" t="n"/>
      <c r="X5" s="39" t="n"/>
      <c r="AM5" s="40" t="n"/>
    </row>
    <row r="6" outlineLevel="1" ht="39.75" customHeight="1" thickBot="1">
      <c r="A6" s="30" t="n"/>
      <c r="C6" s="76" t="inlineStr">
        <is>
          <t>WINDOW SIZE(mm)=</t>
        </is>
      </c>
      <c r="D6" s="72" t="n">
        <v>2888</v>
      </c>
      <c r="E6" s="39" t="inlineStr">
        <is>
          <t>X</t>
        </is>
      </c>
      <c r="F6" s="72" t="n">
        <v>1043</v>
      </c>
      <c r="G6" s="73" t="n">
        <v>1</v>
      </c>
      <c r="H6" s="71">
        <f>'FSA CORD calculate '!I16</f>
        <v/>
      </c>
    </row>
    <row r="7" outlineLevel="1" ht="39.75" customHeight="1" thickBot="1">
      <c r="A7" s="30" t="n"/>
      <c r="C7" s="77" t="inlineStr">
        <is>
          <t>GLASS SIZE(mm)=</t>
        </is>
      </c>
      <c r="D7" s="74">
        <f>$H$13-24</f>
        <v/>
      </c>
      <c r="E7" s="61" t="inlineStr">
        <is>
          <t>X</t>
        </is>
      </c>
      <c r="F7" s="74">
        <f>$H$12+16</f>
        <v/>
      </c>
      <c r="G7" s="75">
        <f>(D7*F7)/1000000</f>
        <v/>
      </c>
      <c r="H7" s="68" t="inlineStr">
        <is>
          <t>ตัดเชือกความยาวนี้อย่างละ 2 เส้น/ 1 ชุด</t>
        </is>
      </c>
      <c r="L7" s="105" t="inlineStr">
        <is>
          <t>ถอดจ.เส้นยาว</t>
        </is>
      </c>
      <c r="N7" s="105" t="inlineStr">
        <is>
          <t>ตัดได้กี่ท่อน</t>
        </is>
      </c>
      <c r="O7" s="105" t="inlineStr">
        <is>
          <t>เศษที่เหลือ/เส้น</t>
        </is>
      </c>
    </row>
    <row r="8" ht="36.75" customHeight="1">
      <c r="A8" s="29" t="inlineStr">
        <is>
          <t>GROUP : EXTRUSION โปร์ไฟล์อลูมิเนียม</t>
        </is>
      </c>
      <c r="B8" s="33" t="n"/>
      <c r="C8" s="18" t="n"/>
      <c r="F8" s="35" t="n"/>
      <c r="G8" s="69" t="inlineStr">
        <is>
          <t>(SQM)</t>
        </is>
      </c>
      <c r="K8" s="105" t="inlineStr">
        <is>
          <t>DxG</t>
        </is>
      </c>
      <c r="L8" s="82" t="n">
        <v>6400</v>
      </c>
      <c r="M8" s="105" t="n"/>
      <c r="N8" t="inlineStr">
        <is>
          <t>LENGTH(mm)+5</t>
        </is>
      </c>
    </row>
    <row r="9" ht="25.5" customHeight="1">
      <c r="A9" s="21" t="inlineStr">
        <is>
          <t>ITEM</t>
        </is>
      </c>
      <c r="B9" s="21" t="inlineStr">
        <is>
          <t>SMS CODE</t>
        </is>
      </c>
      <c r="C9" s="21" t="inlineStr">
        <is>
          <t>IMAGE</t>
        </is>
      </c>
      <c r="D9" s="22" t="inlineStr">
        <is>
          <t xml:space="preserve">DESCRIPTION </t>
        </is>
      </c>
      <c r="E9" s="23" t="inlineStr">
        <is>
          <t>EST.WT.</t>
        </is>
      </c>
      <c r="F9" s="24" t="inlineStr">
        <is>
          <t>จำนวนท่อนที่ใช้</t>
        </is>
      </c>
      <c r="G9" s="22" t="inlineStr">
        <is>
          <t>CUTTING FORMULA</t>
        </is>
      </c>
      <c r="H9" s="22" t="inlineStr">
        <is>
          <t>ระยะตัด LENGTH(mm)</t>
        </is>
      </c>
      <c r="I9" s="92" t="inlineStr">
        <is>
          <t>ถอดจำนวนเส้นเต็ม 6.4ม. (เส้น)</t>
        </is>
      </c>
      <c r="J9" s="24" t="n"/>
      <c r="K9" s="83" t="inlineStr">
        <is>
          <t>TOTAL LENGTH</t>
        </is>
      </c>
      <c r="L9" s="83" t="inlineStr">
        <is>
          <t>QTY Take off AL (pcs)</t>
        </is>
      </c>
      <c r="M9" s="84" t="inlineStr">
        <is>
          <t>Summarize QTY</t>
        </is>
      </c>
      <c r="N9" s="83" t="inlineStr">
        <is>
          <t>QTY small piece/length</t>
        </is>
      </c>
      <c r="O9" s="83" t="inlineStr">
        <is>
          <t>remnant (mm.)/length</t>
        </is>
      </c>
    </row>
    <row r="10" ht="68.25" customHeight="1">
      <c r="A10" s="93" t="n">
        <v>1</v>
      </c>
      <c r="B10" s="112" t="inlineStr">
        <is>
          <t>B28009-12</t>
        </is>
      </c>
      <c r="C10" s="31" t="n"/>
      <c r="D10" s="36" t="inlineStr">
        <is>
          <t>HEAD เฟรมบน</t>
        </is>
      </c>
      <c r="E10" s="116" t="n">
        <v>0.897</v>
      </c>
      <c r="F10" s="116">
        <f>1*$G$6</f>
        <v/>
      </c>
      <c r="G10" s="36" t="inlineStr">
        <is>
          <t>FW-50</t>
        </is>
      </c>
      <c r="H10" s="36">
        <f>$F$6-50</f>
        <v/>
      </c>
      <c r="I10" s="94">
        <f>M10</f>
        <v/>
      </c>
      <c r="J10" s="89" t="n"/>
      <c r="K10" s="85">
        <f>F10*H10</f>
        <v/>
      </c>
      <c r="L10" s="86">
        <f>IF(N10&gt;F10,ROUNDUP(F10/N10,0),IF(N10&lt;F10,ROUNDUP(F10/N10,0),IF(N10=F10,F10/N10)))</f>
        <v/>
      </c>
      <c r="M10" s="87">
        <f>L10</f>
        <v/>
      </c>
      <c r="N10" s="85">
        <f>ROUNDDOWN($L$8/(H10+5),0)</f>
        <v/>
      </c>
      <c r="O10" s="85">
        <f>$L$8-((H10+5)*N10)</f>
        <v/>
      </c>
    </row>
    <row r="11" ht="90" customHeight="1">
      <c r="A11" s="95" t="n">
        <v>2</v>
      </c>
      <c r="B11" s="112" t="inlineStr">
        <is>
          <t>B28010-12</t>
        </is>
      </c>
      <c r="C11" s="25" t="n"/>
      <c r="D11" s="36" t="inlineStr">
        <is>
          <t>COVER HEAD ตบปิดเฟรมบน</t>
        </is>
      </c>
      <c r="E11" s="27" t="n">
        <v>0.358</v>
      </c>
      <c r="F11" s="116">
        <f>1*$G$6</f>
        <v/>
      </c>
      <c r="G11" s="36" t="inlineStr">
        <is>
          <t>FW-94</t>
        </is>
      </c>
      <c r="H11" s="36">
        <f>$F$6-94</f>
        <v/>
      </c>
      <c r="I11" s="94">
        <f>M11</f>
        <v/>
      </c>
      <c r="J11" s="89" t="n"/>
      <c r="K11" s="85">
        <f>F11*H11</f>
        <v/>
      </c>
      <c r="L11" s="86">
        <f>IF(N11&gt;F11,ROUNDUP(F11/N11,0),IF(N11&lt;F11,ROUNDUP(F11/N11,0),IF(N11=F11,F11/N11)))</f>
        <v/>
      </c>
      <c r="M11" s="87">
        <f>L11</f>
        <v/>
      </c>
      <c r="N11" s="85">
        <f>ROUNDDOWN($L$8/(H11+5),0)</f>
        <v/>
      </c>
      <c r="O11" s="85">
        <f>$L$8-((H11+5)*N11)</f>
        <v/>
      </c>
    </row>
    <row r="12" ht="36.75" customHeight="1">
      <c r="A12" s="149" t="n">
        <v>3</v>
      </c>
      <c r="B12" s="26" t="inlineStr">
        <is>
          <t>B28011-12</t>
        </is>
      </c>
      <c r="C12" s="25" t="n"/>
      <c r="D12" s="26" t="inlineStr">
        <is>
          <t>SASH กรอบบาน</t>
        </is>
      </c>
      <c r="E12" s="25" t="n">
        <v>0.528</v>
      </c>
      <c r="F12" s="28">
        <f>4*$G$6</f>
        <v/>
      </c>
      <c r="G12" s="36" t="inlineStr">
        <is>
          <t>FW-154</t>
        </is>
      </c>
      <c r="H12" s="47">
        <f>$F$6-154</f>
        <v/>
      </c>
      <c r="I12" s="150">
        <f>M12</f>
        <v/>
      </c>
      <c r="J12" s="90" t="n"/>
      <c r="K12" s="85">
        <f>F12*H12</f>
        <v/>
      </c>
      <c r="L12" s="86">
        <f>IF(N12&gt;F12,ROUNDUP(F12/N12,0),IF(N12&lt;F12,ROUNDUP(F12/N12,0),IF(N12=F12,F12/N12)))</f>
        <v/>
      </c>
      <c r="M12" s="151">
        <f>L12+L13</f>
        <v/>
      </c>
      <c r="N12" s="85">
        <f>ROUNDDOWN($L$8/(H12+5),0)</f>
        <v/>
      </c>
      <c r="O12" s="85">
        <f>$L$8-((H12+5)*N12)</f>
        <v/>
      </c>
      <c r="P12" s="47" t="inlineStr">
        <is>
          <t>#03/2568# ปรับสูตรให้ gap จาก 4.76mm เหลือ  4mm</t>
        </is>
      </c>
    </row>
    <row r="13" ht="36" customHeight="1">
      <c r="A13" s="152" t="n"/>
      <c r="B13" s="153" t="n"/>
      <c r="C13" s="153" t="n"/>
      <c r="D13" s="153" t="n"/>
      <c r="E13" s="153" t="n"/>
      <c r="F13" s="28">
        <f>4*$G$6</f>
        <v/>
      </c>
      <c r="G13" s="36" t="inlineStr">
        <is>
          <t>[(FH-46)/2]-1</t>
        </is>
      </c>
      <c r="H13" s="47">
        <f>(($D$6-46)/2)-1</f>
        <v/>
      </c>
      <c r="I13" s="154" t="n"/>
      <c r="J13" s="91" t="n"/>
      <c r="K13" s="85">
        <f>F13*H13</f>
        <v/>
      </c>
      <c r="L13" s="86">
        <f>IF(N13&gt;F13,ROUNDUP(F13/N13,0),IF(N13&lt;F13,ROUNDUP(F13/N13,0),IF(N13=F13,F13/N13)))</f>
        <v/>
      </c>
      <c r="M13" s="155" t="n"/>
      <c r="N13" s="85">
        <f>ROUNDDOWN($L$8/(H13+5),0)</f>
        <v/>
      </c>
      <c r="O13" s="85">
        <f>$L$8-((H13+5)*N13)</f>
        <v/>
      </c>
      <c r="P13" s="47" t="inlineStr">
        <is>
          <t>#02/2568# ปรับสูตรให้มีบานสั้นลง2mm.</t>
        </is>
      </c>
    </row>
    <row r="14" ht="90" customHeight="1">
      <c r="A14" s="96" t="n">
        <v>4</v>
      </c>
      <c r="B14" s="26" t="inlineStr">
        <is>
          <t>B28012-10</t>
        </is>
      </c>
      <c r="C14" s="25" t="n"/>
      <c r="D14" s="37" t="inlineStr">
        <is>
          <t>ADAPTOR INTERLOCK คิ้วยึดเสาเกี่ยว</t>
        </is>
      </c>
      <c r="E14" s="27" t="n">
        <v>0.051</v>
      </c>
      <c r="F14" s="28">
        <f>2*$G$6</f>
        <v/>
      </c>
      <c r="G14" s="37" t="inlineStr">
        <is>
          <t>FW-132</t>
        </is>
      </c>
      <c r="H14" s="49">
        <f>$F$6-132</f>
        <v/>
      </c>
      <c r="I14" s="94">
        <f>M14</f>
        <v/>
      </c>
      <c r="J14" s="91" t="n"/>
      <c r="K14" s="85">
        <f>F14*H14</f>
        <v/>
      </c>
      <c r="L14" s="86">
        <f>IF(N14&gt;F14,ROUNDUP(F14/N14,0),IF(N14&lt;F14,ROUNDUP(F14/N14,0),IF(N14=F14,F14/N14)))</f>
        <v/>
      </c>
      <c r="M14" s="87">
        <f>L14</f>
        <v/>
      </c>
      <c r="N14" s="85">
        <f>ROUNDDOWN($L$8/(H14+5),0)</f>
        <v/>
      </c>
      <c r="O14" s="85">
        <f>$L$8-((H14+5)*N14)</f>
        <v/>
      </c>
      <c r="P14" s="47" t="inlineStr">
        <is>
          <t>#03/2568# ปรับสูตรให้ gap จาก 4.76mm เหลือ  4mm</t>
        </is>
      </c>
    </row>
    <row r="15" ht="90" customHeight="1">
      <c r="A15" s="96" t="n">
        <v>5</v>
      </c>
      <c r="B15" s="26" t="inlineStr">
        <is>
          <t>B28013-12</t>
        </is>
      </c>
      <c r="C15" s="25" t="n"/>
      <c r="D15" s="37" t="inlineStr">
        <is>
          <t>INTERLOCK เสาเกี่ยว</t>
        </is>
      </c>
      <c r="E15" s="27" t="n">
        <v>0.167</v>
      </c>
      <c r="F15" s="28">
        <f>2*$G$6</f>
        <v/>
      </c>
      <c r="G15" s="37" t="inlineStr">
        <is>
          <t>FW-112</t>
        </is>
      </c>
      <c r="H15" s="49">
        <f>$F$6-112</f>
        <v/>
      </c>
      <c r="I15" s="94">
        <f>M15</f>
        <v/>
      </c>
      <c r="J15" s="91" t="n"/>
      <c r="K15" s="85">
        <f>F15*H15</f>
        <v/>
      </c>
      <c r="L15" s="86">
        <f>IF(N15&gt;F15,ROUNDUP(F15/N15,0),IF(N15&lt;F15,ROUNDUP(F15/N15,0),IF(N15=F15,F15/N15)))</f>
        <v/>
      </c>
      <c r="M15" s="87">
        <f>L15</f>
        <v/>
      </c>
      <c r="N15" s="85">
        <f>ROUNDDOWN($L$8/(H15+5),0)</f>
        <v/>
      </c>
      <c r="O15" s="85">
        <f>$L$8-((H15+5)*N15)</f>
        <v/>
      </c>
      <c r="P15" s="47" t="inlineStr">
        <is>
          <t>#03/2568# ปรับสูตรให้ gap จาก 4.76mm เหลือ  4mm</t>
        </is>
      </c>
    </row>
    <row r="16" ht="90" customHeight="1">
      <c r="A16" s="95" t="n">
        <v>6</v>
      </c>
      <c r="B16" s="26" t="inlineStr">
        <is>
          <t>B28014-12</t>
        </is>
      </c>
      <c r="C16" s="25" t="n"/>
      <c r="D16" s="37" t="inlineStr">
        <is>
          <t>SILL เฟรมล่าง</t>
        </is>
      </c>
      <c r="E16" s="27" t="n">
        <v>0.726</v>
      </c>
      <c r="F16" s="28">
        <f>1*$G$6</f>
        <v/>
      </c>
      <c r="G16" s="37" t="inlineStr">
        <is>
          <t>FW-50</t>
        </is>
      </c>
      <c r="H16" s="36">
        <f>$F$6-50</f>
        <v/>
      </c>
      <c r="I16" s="94">
        <f>M16</f>
        <v/>
      </c>
      <c r="J16" s="89" t="n"/>
      <c r="K16" s="85">
        <f>F16*H16</f>
        <v/>
      </c>
      <c r="L16" s="86">
        <f>IF(N16&gt;F16,ROUNDUP(F16/N16,0),IF(N16&lt;F16,ROUNDUP(F16/N16,0),IF(N16=F16,F16/N16)))</f>
        <v/>
      </c>
      <c r="M16" s="87">
        <f>L16</f>
        <v/>
      </c>
      <c r="N16" s="85">
        <f>ROUNDDOWN($L$8/(H16+5),0)</f>
        <v/>
      </c>
      <c r="O16" s="85">
        <f>$L$8-((H16+5)*N16)</f>
        <v/>
      </c>
      <c r="P16" s="36" t="n"/>
    </row>
    <row r="17" ht="90" customHeight="1">
      <c r="A17" s="95" t="n">
        <v>7</v>
      </c>
      <c r="B17" s="26" t="inlineStr">
        <is>
          <t>B28015-12</t>
        </is>
      </c>
      <c r="C17" s="25" t="n"/>
      <c r="D17" s="37" t="inlineStr">
        <is>
          <t>JAMB ADAPTOR เสาเสริมเฟรมข้าง</t>
        </is>
      </c>
      <c r="E17" s="27" t="n">
        <v>1.034</v>
      </c>
      <c r="F17" s="28">
        <f>2*$G$6</f>
        <v/>
      </c>
      <c r="G17" s="37" t="inlineStr">
        <is>
          <t>FH-69</t>
        </is>
      </c>
      <c r="H17" s="47">
        <f>$D$6-69</f>
        <v/>
      </c>
      <c r="I17" s="94">
        <f>M17</f>
        <v/>
      </c>
      <c r="J17" s="91" t="n"/>
      <c r="K17" s="85">
        <f>F17*H17</f>
        <v/>
      </c>
      <c r="L17" s="86">
        <f>IF(N17&gt;F17,ROUNDUP(F17/N17,0),IF(N17&lt;F17,ROUNDUP(F17/N17,0),IF(N17=F17,F17/N17)))</f>
        <v/>
      </c>
      <c r="M17" s="87">
        <f>L17</f>
        <v/>
      </c>
      <c r="N17" s="85">
        <f>ROUNDDOWN($L$8/(H17+5),0)</f>
        <v/>
      </c>
      <c r="O17" s="85">
        <f>$L$8-((H17+5)*N17)</f>
        <v/>
      </c>
      <c r="P17" s="47" t="inlineStr">
        <is>
          <t>#02/2568# ปรับสูตรให้มีgap=2mm.</t>
        </is>
      </c>
    </row>
    <row r="18" ht="90" customHeight="1">
      <c r="A18" s="97" t="n">
        <v>8</v>
      </c>
      <c r="B18" s="98" t="inlineStr">
        <is>
          <t>B10004-12</t>
        </is>
      </c>
      <c r="C18" s="99" t="n"/>
      <c r="D18" s="100" t="inlineStr">
        <is>
          <t>NARROW FRAME เฟรมข้าง</t>
        </is>
      </c>
      <c r="E18" s="101" t="n">
        <v>0.847</v>
      </c>
      <c r="F18" s="102">
        <f>2*$G$6</f>
        <v/>
      </c>
      <c r="G18" s="100" t="inlineStr">
        <is>
          <t>FH</t>
        </is>
      </c>
      <c r="H18" s="103">
        <f>$D$6</f>
        <v/>
      </c>
      <c r="I18" s="104">
        <f>M18</f>
        <v/>
      </c>
      <c r="J18" s="89" t="n"/>
      <c r="K18" s="85">
        <f>F18*H18</f>
        <v/>
      </c>
      <c r="L18" s="86">
        <f>IF(N18&gt;F18,ROUNDUP(F18/N18,0),IF(N18&lt;F18,ROUNDUP(F18/N18,0),IF(N18=F18,F18/N18)))</f>
        <v/>
      </c>
      <c r="M18" s="87">
        <f>L18</f>
        <v/>
      </c>
      <c r="N18" s="85">
        <f>ROUNDDOWN($L$8/(H18+5),0)</f>
        <v/>
      </c>
      <c r="O18" s="85">
        <f>$L$8-((H18+5)*N18)</f>
        <v/>
      </c>
      <c r="P18" s="36" t="n"/>
    </row>
    <row r="19" hidden="1" ht="90" customHeight="1">
      <c r="A19" s="116" t="n"/>
      <c r="B19" s="112" t="inlineStr">
        <is>
          <t>Remark</t>
        </is>
      </c>
      <c r="C19" s="116" t="n"/>
      <c r="D19" s="36" t="n"/>
      <c r="E19" s="28" t="n"/>
      <c r="F19" s="28" t="n"/>
      <c r="G19" s="36" t="n"/>
      <c r="H19" s="36" t="n"/>
      <c r="I19" s="36" t="n"/>
      <c r="J19" s="36" t="n"/>
      <c r="K19" s="28" t="n"/>
      <c r="L19" s="28" t="n"/>
      <c r="M19" s="28" t="n"/>
      <c r="N19" s="28" t="n"/>
      <c r="O19" s="28" t="n"/>
    </row>
    <row r="20" hidden="1" ht="39.75" customHeight="1">
      <c r="A20" s="25" t="n"/>
      <c r="B20" s="26" t="inlineStr">
        <is>
          <t>คนเบิก/วันที่เบิก</t>
        </is>
      </c>
      <c r="C20" s="25" t="n"/>
      <c r="D20" s="37" t="n"/>
      <c r="E20" s="27" t="n"/>
      <c r="F20" s="28" t="n"/>
      <c r="G20" s="37" t="n"/>
      <c r="H20" s="36" t="n"/>
      <c r="I20" s="36" t="n"/>
      <c r="J20" s="36" t="n"/>
      <c r="K20" s="28" t="n"/>
      <c r="L20" s="28" t="n"/>
      <c r="M20" s="28" t="n"/>
      <c r="N20" s="28" t="n"/>
      <c r="O20" s="28" t="n"/>
    </row>
    <row r="22" ht="26.25" customHeight="1">
      <c r="A22" s="110" t="n"/>
      <c r="B22" s="148" t="n"/>
      <c r="C22" s="148" t="n"/>
      <c r="D22" s="148" t="n"/>
      <c r="E22" s="14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NMcgk5TlUgfaxxKaLMAnZw==" formatRows="1" sort="1" spinCount="100000" hashValue="u0Oq5s9UHyyo4R6pnEoyyyx4soQDGgX2EFlmqmSx6/ucBjYp1SoZ2dG7KwpkXSHxHulGV5t3KcCs+rpUuIsHOg=="/>
  <mergeCells count="10">
    <mergeCell ref="A4:E4"/>
    <mergeCell ref="L7:M7"/>
    <mergeCell ref="B12:B13"/>
    <mergeCell ref="A12:A13"/>
    <mergeCell ref="E12:E13"/>
    <mergeCell ref="C12:C13"/>
    <mergeCell ref="I12:I13"/>
    <mergeCell ref="M12:M13"/>
    <mergeCell ref="D12:D13"/>
    <mergeCell ref="A22:E22"/>
  </mergeCells>
  <pageMargins left="0.1181102362204725" right="0" top="0.1574803149606299" bottom="0.1574803149606299" header="0.3149606299212598" footer="0.3149606299212598"/>
  <pageSetup orientation="portrait" paperSize="9" scale="64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35"/>
  <sheetViews>
    <sheetView showGridLines="0" view="pageBreakPreview" zoomScale="150" zoomScaleNormal="100" zoomScaleSheetLayoutView="150" workbookViewId="0">
      <pane ySplit="3" topLeftCell="A4" activePane="bottomLeft" state="frozen"/>
      <selection pane="bottomLeft" activeCell="F6" sqref="F6"/>
    </sheetView>
  </sheetViews>
  <sheetFormatPr baseColWidth="8" defaultRowHeight="12.75"/>
  <cols>
    <col width="3.42578125" customWidth="1" style="50" min="1" max="1"/>
    <col width="8.7109375" customWidth="1" style="50" min="2" max="2"/>
    <col width="9.7109375" customWidth="1" style="50" min="3" max="3"/>
    <col width="34.28515625" customWidth="1" style="51" min="4" max="4"/>
    <col width="4.7109375" customWidth="1" style="51" min="5" max="6"/>
    <col width="8.5703125" customWidth="1" style="51" min="7" max="8"/>
    <col width="15.5703125" customWidth="1" style="51" min="9" max="9"/>
    <col width="16.28515625" customWidth="1" style="51" min="10" max="12"/>
    <col width="9.140625" customWidth="1" style="51" min="13" max="242"/>
    <col width="13.28515625" customWidth="1" style="51" min="243" max="244"/>
    <col width="8.42578125" customWidth="1" style="51" min="245" max="245"/>
    <col width="9.7109375" customWidth="1" style="51" min="246" max="246"/>
    <col width="18.7109375" customWidth="1" style="51" min="247" max="247"/>
    <col width="4.7109375" customWidth="1" style="51" min="248" max="249"/>
    <col hidden="1" style="51" min="250" max="258"/>
    <col width="10.28515625" customWidth="1" style="51" min="259" max="261"/>
    <col width="11" customWidth="1" style="51" min="262" max="262"/>
    <col width="36" customWidth="1" style="51" min="263" max="263"/>
    <col width="11.5703125" customWidth="1" style="51" min="264" max="264"/>
    <col width="15.5703125" customWidth="1" style="51" min="265" max="265"/>
    <col width="16.28515625" customWidth="1" style="51" min="266" max="268"/>
    <col width="9.140625" customWidth="1" style="51" min="269" max="498"/>
    <col width="13.28515625" customWidth="1" style="51" min="499" max="500"/>
    <col width="8.42578125" customWidth="1" style="51" min="501" max="501"/>
    <col width="9.7109375" customWidth="1" style="51" min="502" max="502"/>
    <col width="18.7109375" customWidth="1" style="51" min="503" max="503"/>
    <col width="4.7109375" customWidth="1" style="51" min="504" max="505"/>
    <col hidden="1" style="51" min="506" max="514"/>
    <col width="10.28515625" customWidth="1" style="51" min="515" max="517"/>
    <col width="11" customWidth="1" style="51" min="518" max="518"/>
    <col width="36" customWidth="1" style="51" min="519" max="519"/>
    <col width="11.5703125" customWidth="1" style="51" min="520" max="520"/>
    <col width="15.5703125" customWidth="1" style="51" min="521" max="521"/>
    <col width="16.28515625" customWidth="1" style="51" min="522" max="524"/>
    <col width="9.140625" customWidth="1" style="51" min="525" max="754"/>
    <col width="13.28515625" customWidth="1" style="51" min="755" max="756"/>
    <col width="8.42578125" customWidth="1" style="51" min="757" max="757"/>
    <col width="9.7109375" customWidth="1" style="51" min="758" max="758"/>
    <col width="18.7109375" customWidth="1" style="51" min="759" max="759"/>
    <col width="4.7109375" customWidth="1" style="51" min="760" max="761"/>
    <col hidden="1" style="51" min="762" max="770"/>
    <col width="10.28515625" customWidth="1" style="51" min="771" max="773"/>
    <col width="11" customWidth="1" style="51" min="774" max="774"/>
    <col width="36" customWidth="1" style="51" min="775" max="775"/>
    <col width="11.5703125" customWidth="1" style="51" min="776" max="776"/>
    <col width="15.5703125" customWidth="1" style="51" min="777" max="777"/>
    <col width="16.28515625" customWidth="1" style="51" min="778" max="780"/>
    <col width="9.140625" customWidth="1" style="51" min="781" max="1010"/>
    <col width="13.28515625" customWidth="1" style="51" min="1011" max="1012"/>
    <col width="8.42578125" customWidth="1" style="51" min="1013" max="1013"/>
    <col width="9.7109375" customWidth="1" style="51" min="1014" max="1014"/>
    <col width="18.7109375" customWidth="1" style="51" min="1015" max="1015"/>
    <col width="4.7109375" customWidth="1" style="51" min="1016" max="1017"/>
    <col hidden="1" style="51" min="1018" max="1026"/>
    <col width="10.28515625" customWidth="1" style="51" min="1027" max="1029"/>
    <col width="11" customWidth="1" style="51" min="1030" max="1030"/>
    <col width="36" customWidth="1" style="51" min="1031" max="1031"/>
    <col width="11.5703125" customWidth="1" style="51" min="1032" max="1032"/>
    <col width="15.5703125" customWidth="1" style="51" min="1033" max="1033"/>
    <col width="16.28515625" customWidth="1" style="51" min="1034" max="1036"/>
    <col width="9.140625" customWidth="1" style="51" min="1037" max="1266"/>
    <col width="13.28515625" customWidth="1" style="51" min="1267" max="1268"/>
    <col width="8.42578125" customWidth="1" style="51" min="1269" max="1269"/>
    <col width="9.7109375" customWidth="1" style="51" min="1270" max="1270"/>
    <col width="18.7109375" customWidth="1" style="51" min="1271" max="1271"/>
    <col width="4.7109375" customWidth="1" style="51" min="1272" max="1273"/>
    <col hidden="1" style="51" min="1274" max="1282"/>
    <col width="10.28515625" customWidth="1" style="51" min="1283" max="1285"/>
    <col width="11" customWidth="1" style="51" min="1286" max="1286"/>
    <col width="36" customWidth="1" style="51" min="1287" max="1287"/>
    <col width="11.5703125" customWidth="1" style="51" min="1288" max="1288"/>
    <col width="15.5703125" customWidth="1" style="51" min="1289" max="1289"/>
    <col width="16.28515625" customWidth="1" style="51" min="1290" max="1292"/>
    <col width="9.140625" customWidth="1" style="51" min="1293" max="1522"/>
    <col width="13.28515625" customWidth="1" style="51" min="1523" max="1524"/>
    <col width="8.42578125" customWidth="1" style="51" min="1525" max="1525"/>
    <col width="9.7109375" customWidth="1" style="51" min="1526" max="1526"/>
    <col width="18.7109375" customWidth="1" style="51" min="1527" max="1527"/>
    <col width="4.7109375" customWidth="1" style="51" min="1528" max="1529"/>
    <col hidden="1" style="51" min="1530" max="1538"/>
    <col width="10.28515625" customWidth="1" style="51" min="1539" max="1541"/>
    <col width="11" customWidth="1" style="51" min="1542" max="1542"/>
    <col width="36" customWidth="1" style="51" min="1543" max="1543"/>
    <col width="11.5703125" customWidth="1" style="51" min="1544" max="1544"/>
    <col width="15.5703125" customWidth="1" style="51" min="1545" max="1545"/>
    <col width="16.28515625" customWidth="1" style="51" min="1546" max="1548"/>
    <col width="9.140625" customWidth="1" style="51" min="1549" max="1778"/>
    <col width="13.28515625" customWidth="1" style="51" min="1779" max="1780"/>
    <col width="8.42578125" customWidth="1" style="51" min="1781" max="1781"/>
    <col width="9.7109375" customWidth="1" style="51" min="1782" max="1782"/>
    <col width="18.7109375" customWidth="1" style="51" min="1783" max="1783"/>
    <col width="4.7109375" customWidth="1" style="51" min="1784" max="1785"/>
    <col hidden="1" style="51" min="1786" max="1794"/>
    <col width="10.28515625" customWidth="1" style="51" min="1795" max="1797"/>
    <col width="11" customWidth="1" style="51" min="1798" max="1798"/>
    <col width="36" customWidth="1" style="51" min="1799" max="1799"/>
    <col width="11.5703125" customWidth="1" style="51" min="1800" max="1800"/>
    <col width="15.5703125" customWidth="1" style="51" min="1801" max="1801"/>
    <col width="16.28515625" customWidth="1" style="51" min="1802" max="1804"/>
    <col width="9.140625" customWidth="1" style="51" min="1805" max="2034"/>
    <col width="13.28515625" customWidth="1" style="51" min="2035" max="2036"/>
    <col width="8.42578125" customWidth="1" style="51" min="2037" max="2037"/>
    <col width="9.7109375" customWidth="1" style="51" min="2038" max="2038"/>
    <col width="18.7109375" customWidth="1" style="51" min="2039" max="2039"/>
    <col width="4.7109375" customWidth="1" style="51" min="2040" max="2041"/>
    <col hidden="1" style="51" min="2042" max="2050"/>
    <col width="10.28515625" customWidth="1" style="51" min="2051" max="2053"/>
    <col width="11" customWidth="1" style="51" min="2054" max="2054"/>
    <col width="36" customWidth="1" style="51" min="2055" max="2055"/>
    <col width="11.5703125" customWidth="1" style="51" min="2056" max="2056"/>
    <col width="15.5703125" customWidth="1" style="51" min="2057" max="2057"/>
    <col width="16.28515625" customWidth="1" style="51" min="2058" max="2060"/>
    <col width="9.140625" customWidth="1" style="51" min="2061" max="2290"/>
    <col width="13.28515625" customWidth="1" style="51" min="2291" max="2292"/>
    <col width="8.42578125" customWidth="1" style="51" min="2293" max="2293"/>
    <col width="9.7109375" customWidth="1" style="51" min="2294" max="2294"/>
    <col width="18.7109375" customWidth="1" style="51" min="2295" max="2295"/>
    <col width="4.7109375" customWidth="1" style="51" min="2296" max="2297"/>
    <col hidden="1" style="51" min="2298" max="2306"/>
    <col width="10.28515625" customWidth="1" style="51" min="2307" max="2309"/>
    <col width="11" customWidth="1" style="51" min="2310" max="2310"/>
    <col width="36" customWidth="1" style="51" min="2311" max="2311"/>
    <col width="11.5703125" customWidth="1" style="51" min="2312" max="2312"/>
    <col width="15.5703125" customWidth="1" style="51" min="2313" max="2313"/>
    <col width="16.28515625" customWidth="1" style="51" min="2314" max="2316"/>
    <col width="9.140625" customWidth="1" style="51" min="2317" max="2546"/>
    <col width="13.28515625" customWidth="1" style="51" min="2547" max="2548"/>
    <col width="8.42578125" customWidth="1" style="51" min="2549" max="2549"/>
    <col width="9.7109375" customWidth="1" style="51" min="2550" max="2550"/>
    <col width="18.7109375" customWidth="1" style="51" min="2551" max="2551"/>
    <col width="4.7109375" customWidth="1" style="51" min="2552" max="2553"/>
    <col hidden="1" style="51" min="2554" max="2562"/>
    <col width="10.28515625" customWidth="1" style="51" min="2563" max="2565"/>
    <col width="11" customWidth="1" style="51" min="2566" max="2566"/>
    <col width="36" customWidth="1" style="51" min="2567" max="2567"/>
    <col width="11.5703125" customWidth="1" style="51" min="2568" max="2568"/>
    <col width="15.5703125" customWidth="1" style="51" min="2569" max="2569"/>
    <col width="16.28515625" customWidth="1" style="51" min="2570" max="2572"/>
    <col width="9.140625" customWidth="1" style="51" min="2573" max="2802"/>
    <col width="13.28515625" customWidth="1" style="51" min="2803" max="2804"/>
    <col width="8.42578125" customWidth="1" style="51" min="2805" max="2805"/>
    <col width="9.7109375" customWidth="1" style="51" min="2806" max="2806"/>
    <col width="18.7109375" customWidth="1" style="51" min="2807" max="2807"/>
    <col width="4.7109375" customWidth="1" style="51" min="2808" max="2809"/>
    <col hidden="1" style="51" min="2810" max="2818"/>
    <col width="10.28515625" customWidth="1" style="51" min="2819" max="2821"/>
    <col width="11" customWidth="1" style="51" min="2822" max="2822"/>
    <col width="36" customWidth="1" style="51" min="2823" max="2823"/>
    <col width="11.5703125" customWidth="1" style="51" min="2824" max="2824"/>
    <col width="15.5703125" customWidth="1" style="51" min="2825" max="2825"/>
    <col width="16.28515625" customWidth="1" style="51" min="2826" max="2828"/>
    <col width="9.140625" customWidth="1" style="51" min="2829" max="3058"/>
    <col width="13.28515625" customWidth="1" style="51" min="3059" max="3060"/>
    <col width="8.42578125" customWidth="1" style="51" min="3061" max="3061"/>
    <col width="9.7109375" customWidth="1" style="51" min="3062" max="3062"/>
    <col width="18.7109375" customWidth="1" style="51" min="3063" max="3063"/>
    <col width="4.7109375" customWidth="1" style="51" min="3064" max="3065"/>
    <col hidden="1" style="51" min="3066" max="3074"/>
    <col width="10.28515625" customWidth="1" style="51" min="3075" max="3077"/>
    <col width="11" customWidth="1" style="51" min="3078" max="3078"/>
    <col width="36" customWidth="1" style="51" min="3079" max="3079"/>
    <col width="11.5703125" customWidth="1" style="51" min="3080" max="3080"/>
    <col width="15.5703125" customWidth="1" style="51" min="3081" max="3081"/>
    <col width="16.28515625" customWidth="1" style="51" min="3082" max="3084"/>
    <col width="9.140625" customWidth="1" style="51" min="3085" max="3314"/>
    <col width="13.28515625" customWidth="1" style="51" min="3315" max="3316"/>
    <col width="8.42578125" customWidth="1" style="51" min="3317" max="3317"/>
    <col width="9.7109375" customWidth="1" style="51" min="3318" max="3318"/>
    <col width="18.7109375" customWidth="1" style="51" min="3319" max="3319"/>
    <col width="4.7109375" customWidth="1" style="51" min="3320" max="3321"/>
    <col hidden="1" style="51" min="3322" max="3330"/>
    <col width="10.28515625" customWidth="1" style="51" min="3331" max="3333"/>
    <col width="11" customWidth="1" style="51" min="3334" max="3334"/>
    <col width="36" customWidth="1" style="51" min="3335" max="3335"/>
    <col width="11.5703125" customWidth="1" style="51" min="3336" max="3336"/>
    <col width="15.5703125" customWidth="1" style="51" min="3337" max="3337"/>
    <col width="16.28515625" customWidth="1" style="51" min="3338" max="3340"/>
    <col width="9.140625" customWidth="1" style="51" min="3341" max="3570"/>
    <col width="13.28515625" customWidth="1" style="51" min="3571" max="3572"/>
    <col width="8.42578125" customWidth="1" style="51" min="3573" max="3573"/>
    <col width="9.7109375" customWidth="1" style="51" min="3574" max="3574"/>
    <col width="18.7109375" customWidth="1" style="51" min="3575" max="3575"/>
    <col width="4.7109375" customWidth="1" style="51" min="3576" max="3577"/>
    <col hidden="1" style="51" min="3578" max="3586"/>
    <col width="10.28515625" customWidth="1" style="51" min="3587" max="3589"/>
    <col width="11" customWidth="1" style="51" min="3590" max="3590"/>
    <col width="36" customWidth="1" style="51" min="3591" max="3591"/>
    <col width="11.5703125" customWidth="1" style="51" min="3592" max="3592"/>
    <col width="15.5703125" customWidth="1" style="51" min="3593" max="3593"/>
    <col width="16.28515625" customWidth="1" style="51" min="3594" max="3596"/>
    <col width="9.140625" customWidth="1" style="51" min="3597" max="3826"/>
    <col width="13.28515625" customWidth="1" style="51" min="3827" max="3828"/>
    <col width="8.42578125" customWidth="1" style="51" min="3829" max="3829"/>
    <col width="9.7109375" customWidth="1" style="51" min="3830" max="3830"/>
    <col width="18.7109375" customWidth="1" style="51" min="3831" max="3831"/>
    <col width="4.7109375" customWidth="1" style="51" min="3832" max="3833"/>
    <col hidden="1" style="51" min="3834" max="3842"/>
    <col width="10.28515625" customWidth="1" style="51" min="3843" max="3845"/>
    <col width="11" customWidth="1" style="51" min="3846" max="3846"/>
    <col width="36" customWidth="1" style="51" min="3847" max="3847"/>
    <col width="11.5703125" customWidth="1" style="51" min="3848" max="3848"/>
    <col width="15.5703125" customWidth="1" style="51" min="3849" max="3849"/>
    <col width="16.28515625" customWidth="1" style="51" min="3850" max="3852"/>
    <col width="9.140625" customWidth="1" style="51" min="3853" max="4082"/>
    <col width="13.28515625" customWidth="1" style="51" min="4083" max="4084"/>
    <col width="8.42578125" customWidth="1" style="51" min="4085" max="4085"/>
    <col width="9.7109375" customWidth="1" style="51" min="4086" max="4086"/>
    <col width="18.7109375" customWidth="1" style="51" min="4087" max="4087"/>
    <col width="4.7109375" customWidth="1" style="51" min="4088" max="4089"/>
    <col hidden="1" style="51" min="4090" max="4098"/>
    <col width="10.28515625" customWidth="1" style="51" min="4099" max="4101"/>
    <col width="11" customWidth="1" style="51" min="4102" max="4102"/>
    <col width="36" customWidth="1" style="51" min="4103" max="4103"/>
    <col width="11.5703125" customWidth="1" style="51" min="4104" max="4104"/>
    <col width="15.5703125" customWidth="1" style="51" min="4105" max="4105"/>
    <col width="16.28515625" customWidth="1" style="51" min="4106" max="4108"/>
    <col width="9.140625" customWidth="1" style="51" min="4109" max="4338"/>
    <col width="13.28515625" customWidth="1" style="51" min="4339" max="4340"/>
    <col width="8.42578125" customWidth="1" style="51" min="4341" max="4341"/>
    <col width="9.7109375" customWidth="1" style="51" min="4342" max="4342"/>
    <col width="18.7109375" customWidth="1" style="51" min="4343" max="4343"/>
    <col width="4.7109375" customWidth="1" style="51" min="4344" max="4345"/>
    <col hidden="1" style="51" min="4346" max="4354"/>
    <col width="10.28515625" customWidth="1" style="51" min="4355" max="4357"/>
    <col width="11" customWidth="1" style="51" min="4358" max="4358"/>
    <col width="36" customWidth="1" style="51" min="4359" max="4359"/>
    <col width="11.5703125" customWidth="1" style="51" min="4360" max="4360"/>
    <col width="15.5703125" customWidth="1" style="51" min="4361" max="4361"/>
    <col width="16.28515625" customWidth="1" style="51" min="4362" max="4364"/>
    <col width="9.140625" customWidth="1" style="51" min="4365" max="4594"/>
    <col width="13.28515625" customWidth="1" style="51" min="4595" max="4596"/>
    <col width="8.42578125" customWidth="1" style="51" min="4597" max="4597"/>
    <col width="9.7109375" customWidth="1" style="51" min="4598" max="4598"/>
    <col width="18.7109375" customWidth="1" style="51" min="4599" max="4599"/>
    <col width="4.7109375" customWidth="1" style="51" min="4600" max="4601"/>
    <col hidden="1" style="51" min="4602" max="4610"/>
    <col width="10.28515625" customWidth="1" style="51" min="4611" max="4613"/>
    <col width="11" customWidth="1" style="51" min="4614" max="4614"/>
    <col width="36" customWidth="1" style="51" min="4615" max="4615"/>
    <col width="11.5703125" customWidth="1" style="51" min="4616" max="4616"/>
    <col width="15.5703125" customWidth="1" style="51" min="4617" max="4617"/>
    <col width="16.28515625" customWidth="1" style="51" min="4618" max="4620"/>
    <col width="9.140625" customWidth="1" style="51" min="4621" max="4850"/>
    <col width="13.28515625" customWidth="1" style="51" min="4851" max="4852"/>
    <col width="8.42578125" customWidth="1" style="51" min="4853" max="4853"/>
    <col width="9.7109375" customWidth="1" style="51" min="4854" max="4854"/>
    <col width="18.7109375" customWidth="1" style="51" min="4855" max="4855"/>
    <col width="4.7109375" customWidth="1" style="51" min="4856" max="4857"/>
    <col hidden="1" style="51" min="4858" max="4866"/>
    <col width="10.28515625" customWidth="1" style="51" min="4867" max="4869"/>
    <col width="11" customWidth="1" style="51" min="4870" max="4870"/>
    <col width="36" customWidth="1" style="51" min="4871" max="4871"/>
    <col width="11.5703125" customWidth="1" style="51" min="4872" max="4872"/>
    <col width="15.5703125" customWidth="1" style="51" min="4873" max="4873"/>
    <col width="16.28515625" customWidth="1" style="51" min="4874" max="4876"/>
    <col width="9.140625" customWidth="1" style="51" min="4877" max="5106"/>
    <col width="13.28515625" customWidth="1" style="51" min="5107" max="5108"/>
    <col width="8.42578125" customWidth="1" style="51" min="5109" max="5109"/>
    <col width="9.7109375" customWidth="1" style="51" min="5110" max="5110"/>
    <col width="18.7109375" customWidth="1" style="51" min="5111" max="5111"/>
    <col width="4.7109375" customWidth="1" style="51" min="5112" max="5113"/>
    <col hidden="1" style="51" min="5114" max="5122"/>
    <col width="10.28515625" customWidth="1" style="51" min="5123" max="5125"/>
    <col width="11" customWidth="1" style="51" min="5126" max="5126"/>
    <col width="36" customWidth="1" style="51" min="5127" max="5127"/>
    <col width="11.5703125" customWidth="1" style="51" min="5128" max="5128"/>
    <col width="15.5703125" customWidth="1" style="51" min="5129" max="5129"/>
    <col width="16.28515625" customWidth="1" style="51" min="5130" max="5132"/>
    <col width="9.140625" customWidth="1" style="51" min="5133" max="5362"/>
    <col width="13.28515625" customWidth="1" style="51" min="5363" max="5364"/>
    <col width="8.42578125" customWidth="1" style="51" min="5365" max="5365"/>
    <col width="9.7109375" customWidth="1" style="51" min="5366" max="5366"/>
    <col width="18.7109375" customWidth="1" style="51" min="5367" max="5367"/>
    <col width="4.7109375" customWidth="1" style="51" min="5368" max="5369"/>
    <col hidden="1" style="51" min="5370" max="5378"/>
    <col width="10.28515625" customWidth="1" style="51" min="5379" max="5381"/>
    <col width="11" customWidth="1" style="51" min="5382" max="5382"/>
    <col width="36" customWidth="1" style="51" min="5383" max="5383"/>
    <col width="11.5703125" customWidth="1" style="51" min="5384" max="5384"/>
    <col width="15.5703125" customWidth="1" style="51" min="5385" max="5385"/>
    <col width="16.28515625" customWidth="1" style="51" min="5386" max="5388"/>
    <col width="9.140625" customWidth="1" style="51" min="5389" max="5618"/>
    <col width="13.28515625" customWidth="1" style="51" min="5619" max="5620"/>
    <col width="8.42578125" customWidth="1" style="51" min="5621" max="5621"/>
    <col width="9.7109375" customWidth="1" style="51" min="5622" max="5622"/>
    <col width="18.7109375" customWidth="1" style="51" min="5623" max="5623"/>
    <col width="4.7109375" customWidth="1" style="51" min="5624" max="5625"/>
    <col hidden="1" style="51" min="5626" max="5634"/>
    <col width="10.28515625" customWidth="1" style="51" min="5635" max="5637"/>
    <col width="11" customWidth="1" style="51" min="5638" max="5638"/>
    <col width="36" customWidth="1" style="51" min="5639" max="5639"/>
    <col width="11.5703125" customWidth="1" style="51" min="5640" max="5640"/>
    <col width="15.5703125" customWidth="1" style="51" min="5641" max="5641"/>
    <col width="16.28515625" customWidth="1" style="51" min="5642" max="5644"/>
    <col width="9.140625" customWidth="1" style="51" min="5645" max="5874"/>
    <col width="13.28515625" customWidth="1" style="51" min="5875" max="5876"/>
    <col width="8.42578125" customWidth="1" style="51" min="5877" max="5877"/>
    <col width="9.7109375" customWidth="1" style="51" min="5878" max="5878"/>
    <col width="18.7109375" customWidth="1" style="51" min="5879" max="5879"/>
    <col width="4.7109375" customWidth="1" style="51" min="5880" max="5881"/>
    <col hidden="1" style="51" min="5882" max="5890"/>
    <col width="10.28515625" customWidth="1" style="51" min="5891" max="5893"/>
    <col width="11" customWidth="1" style="51" min="5894" max="5894"/>
    <col width="36" customWidth="1" style="51" min="5895" max="5895"/>
    <col width="11.5703125" customWidth="1" style="51" min="5896" max="5896"/>
    <col width="15.5703125" customWidth="1" style="51" min="5897" max="5897"/>
    <col width="16.28515625" customWidth="1" style="51" min="5898" max="5900"/>
    <col width="9.140625" customWidth="1" style="51" min="5901" max="6130"/>
    <col width="13.28515625" customWidth="1" style="51" min="6131" max="6132"/>
    <col width="8.42578125" customWidth="1" style="51" min="6133" max="6133"/>
    <col width="9.7109375" customWidth="1" style="51" min="6134" max="6134"/>
    <col width="18.7109375" customWidth="1" style="51" min="6135" max="6135"/>
    <col width="4.7109375" customWidth="1" style="51" min="6136" max="6137"/>
    <col hidden="1" style="51" min="6138" max="6146"/>
    <col width="10.28515625" customWidth="1" style="51" min="6147" max="6149"/>
    <col width="11" customWidth="1" style="51" min="6150" max="6150"/>
    <col width="36" customWidth="1" style="51" min="6151" max="6151"/>
    <col width="11.5703125" customWidth="1" style="51" min="6152" max="6152"/>
    <col width="15.5703125" customWidth="1" style="51" min="6153" max="6153"/>
    <col width="16.28515625" customWidth="1" style="51" min="6154" max="6156"/>
    <col width="9.140625" customWidth="1" style="51" min="6157" max="6386"/>
    <col width="13.28515625" customWidth="1" style="51" min="6387" max="6388"/>
    <col width="8.42578125" customWidth="1" style="51" min="6389" max="6389"/>
    <col width="9.7109375" customWidth="1" style="51" min="6390" max="6390"/>
    <col width="18.7109375" customWidth="1" style="51" min="6391" max="6391"/>
    <col width="4.7109375" customWidth="1" style="51" min="6392" max="6393"/>
    <col hidden="1" style="51" min="6394" max="6402"/>
    <col width="10.28515625" customWidth="1" style="51" min="6403" max="6405"/>
    <col width="11" customWidth="1" style="51" min="6406" max="6406"/>
    <col width="36" customWidth="1" style="51" min="6407" max="6407"/>
    <col width="11.5703125" customWidth="1" style="51" min="6408" max="6408"/>
    <col width="15.5703125" customWidth="1" style="51" min="6409" max="6409"/>
    <col width="16.28515625" customWidth="1" style="51" min="6410" max="6412"/>
    <col width="9.140625" customWidth="1" style="51" min="6413" max="6642"/>
    <col width="13.28515625" customWidth="1" style="51" min="6643" max="6644"/>
    <col width="8.42578125" customWidth="1" style="51" min="6645" max="6645"/>
    <col width="9.7109375" customWidth="1" style="51" min="6646" max="6646"/>
    <col width="18.7109375" customWidth="1" style="51" min="6647" max="6647"/>
    <col width="4.7109375" customWidth="1" style="51" min="6648" max="6649"/>
    <col hidden="1" style="51" min="6650" max="6658"/>
    <col width="10.28515625" customWidth="1" style="51" min="6659" max="6661"/>
    <col width="11" customWidth="1" style="51" min="6662" max="6662"/>
    <col width="36" customWidth="1" style="51" min="6663" max="6663"/>
    <col width="11.5703125" customWidth="1" style="51" min="6664" max="6664"/>
    <col width="15.5703125" customWidth="1" style="51" min="6665" max="6665"/>
    <col width="16.28515625" customWidth="1" style="51" min="6666" max="6668"/>
    <col width="9.140625" customWidth="1" style="51" min="6669" max="6898"/>
    <col width="13.28515625" customWidth="1" style="51" min="6899" max="6900"/>
    <col width="8.42578125" customWidth="1" style="51" min="6901" max="6901"/>
    <col width="9.7109375" customWidth="1" style="51" min="6902" max="6902"/>
    <col width="18.7109375" customWidth="1" style="51" min="6903" max="6903"/>
    <col width="4.7109375" customWidth="1" style="51" min="6904" max="6905"/>
    <col hidden="1" style="51" min="6906" max="6914"/>
    <col width="10.28515625" customWidth="1" style="51" min="6915" max="6917"/>
    <col width="11" customWidth="1" style="51" min="6918" max="6918"/>
    <col width="36" customWidth="1" style="51" min="6919" max="6919"/>
    <col width="11.5703125" customWidth="1" style="51" min="6920" max="6920"/>
    <col width="15.5703125" customWidth="1" style="51" min="6921" max="6921"/>
    <col width="16.28515625" customWidth="1" style="51" min="6922" max="6924"/>
    <col width="9.140625" customWidth="1" style="51" min="6925" max="7154"/>
    <col width="13.28515625" customWidth="1" style="51" min="7155" max="7156"/>
    <col width="8.42578125" customWidth="1" style="51" min="7157" max="7157"/>
    <col width="9.7109375" customWidth="1" style="51" min="7158" max="7158"/>
    <col width="18.7109375" customWidth="1" style="51" min="7159" max="7159"/>
    <col width="4.7109375" customWidth="1" style="51" min="7160" max="7161"/>
    <col hidden="1" style="51" min="7162" max="7170"/>
    <col width="10.28515625" customWidth="1" style="51" min="7171" max="7173"/>
    <col width="11" customWidth="1" style="51" min="7174" max="7174"/>
    <col width="36" customWidth="1" style="51" min="7175" max="7175"/>
    <col width="11.5703125" customWidth="1" style="51" min="7176" max="7176"/>
    <col width="15.5703125" customWidth="1" style="51" min="7177" max="7177"/>
    <col width="16.28515625" customWidth="1" style="51" min="7178" max="7180"/>
    <col width="9.140625" customWidth="1" style="51" min="7181" max="7410"/>
    <col width="13.28515625" customWidth="1" style="51" min="7411" max="7412"/>
    <col width="8.42578125" customWidth="1" style="51" min="7413" max="7413"/>
    <col width="9.7109375" customWidth="1" style="51" min="7414" max="7414"/>
    <col width="18.7109375" customWidth="1" style="51" min="7415" max="7415"/>
    <col width="4.7109375" customWidth="1" style="51" min="7416" max="7417"/>
    <col hidden="1" style="51" min="7418" max="7426"/>
    <col width="10.28515625" customWidth="1" style="51" min="7427" max="7429"/>
    <col width="11" customWidth="1" style="51" min="7430" max="7430"/>
    <col width="36" customWidth="1" style="51" min="7431" max="7431"/>
    <col width="11.5703125" customWidth="1" style="51" min="7432" max="7432"/>
    <col width="15.5703125" customWidth="1" style="51" min="7433" max="7433"/>
    <col width="16.28515625" customWidth="1" style="51" min="7434" max="7436"/>
    <col width="9.140625" customWidth="1" style="51" min="7437" max="7666"/>
    <col width="13.28515625" customWidth="1" style="51" min="7667" max="7668"/>
    <col width="8.42578125" customWidth="1" style="51" min="7669" max="7669"/>
    <col width="9.7109375" customWidth="1" style="51" min="7670" max="7670"/>
    <col width="18.7109375" customWidth="1" style="51" min="7671" max="7671"/>
    <col width="4.7109375" customWidth="1" style="51" min="7672" max="7673"/>
    <col hidden="1" style="51" min="7674" max="7682"/>
    <col width="10.28515625" customWidth="1" style="51" min="7683" max="7685"/>
    <col width="11" customWidth="1" style="51" min="7686" max="7686"/>
    <col width="36" customWidth="1" style="51" min="7687" max="7687"/>
    <col width="11.5703125" customWidth="1" style="51" min="7688" max="7688"/>
    <col width="15.5703125" customWidth="1" style="51" min="7689" max="7689"/>
    <col width="16.28515625" customWidth="1" style="51" min="7690" max="7692"/>
    <col width="9.140625" customWidth="1" style="51" min="7693" max="7922"/>
    <col width="13.28515625" customWidth="1" style="51" min="7923" max="7924"/>
    <col width="8.42578125" customWidth="1" style="51" min="7925" max="7925"/>
    <col width="9.7109375" customWidth="1" style="51" min="7926" max="7926"/>
    <col width="18.7109375" customWidth="1" style="51" min="7927" max="7927"/>
    <col width="4.7109375" customWidth="1" style="51" min="7928" max="7929"/>
    <col hidden="1" style="51" min="7930" max="7938"/>
    <col width="10.28515625" customWidth="1" style="51" min="7939" max="7941"/>
    <col width="11" customWidth="1" style="51" min="7942" max="7942"/>
    <col width="36" customWidth="1" style="51" min="7943" max="7943"/>
    <col width="11.5703125" customWidth="1" style="51" min="7944" max="7944"/>
    <col width="15.5703125" customWidth="1" style="51" min="7945" max="7945"/>
    <col width="16.28515625" customWidth="1" style="51" min="7946" max="7948"/>
    <col width="9.140625" customWidth="1" style="51" min="7949" max="8178"/>
    <col width="13.28515625" customWidth="1" style="51" min="8179" max="8180"/>
    <col width="8.42578125" customWidth="1" style="51" min="8181" max="8181"/>
    <col width="9.7109375" customWidth="1" style="51" min="8182" max="8182"/>
    <col width="18.7109375" customWidth="1" style="51" min="8183" max="8183"/>
    <col width="4.7109375" customWidth="1" style="51" min="8184" max="8185"/>
    <col hidden="1" style="51" min="8186" max="8194"/>
    <col width="10.28515625" customWidth="1" style="51" min="8195" max="8197"/>
    <col width="11" customWidth="1" style="51" min="8198" max="8198"/>
    <col width="36" customWidth="1" style="51" min="8199" max="8199"/>
    <col width="11.5703125" customWidth="1" style="51" min="8200" max="8200"/>
    <col width="15.5703125" customWidth="1" style="51" min="8201" max="8201"/>
    <col width="16.28515625" customWidth="1" style="51" min="8202" max="8204"/>
    <col width="9.140625" customWidth="1" style="51" min="8205" max="8434"/>
    <col width="13.28515625" customWidth="1" style="51" min="8435" max="8436"/>
    <col width="8.42578125" customWidth="1" style="51" min="8437" max="8437"/>
    <col width="9.7109375" customWidth="1" style="51" min="8438" max="8438"/>
    <col width="18.7109375" customWidth="1" style="51" min="8439" max="8439"/>
    <col width="4.7109375" customWidth="1" style="51" min="8440" max="8441"/>
    <col hidden="1" style="51" min="8442" max="8450"/>
    <col width="10.28515625" customWidth="1" style="51" min="8451" max="8453"/>
    <col width="11" customWidth="1" style="51" min="8454" max="8454"/>
    <col width="36" customWidth="1" style="51" min="8455" max="8455"/>
    <col width="11.5703125" customWidth="1" style="51" min="8456" max="8456"/>
    <col width="15.5703125" customWidth="1" style="51" min="8457" max="8457"/>
    <col width="16.28515625" customWidth="1" style="51" min="8458" max="8460"/>
    <col width="9.140625" customWidth="1" style="51" min="8461" max="8690"/>
    <col width="13.28515625" customWidth="1" style="51" min="8691" max="8692"/>
    <col width="8.42578125" customWidth="1" style="51" min="8693" max="8693"/>
    <col width="9.7109375" customWidth="1" style="51" min="8694" max="8694"/>
    <col width="18.7109375" customWidth="1" style="51" min="8695" max="8695"/>
    <col width="4.7109375" customWidth="1" style="51" min="8696" max="8697"/>
    <col hidden="1" style="51" min="8698" max="8706"/>
    <col width="10.28515625" customWidth="1" style="51" min="8707" max="8709"/>
    <col width="11" customWidth="1" style="51" min="8710" max="8710"/>
    <col width="36" customWidth="1" style="51" min="8711" max="8711"/>
    <col width="11.5703125" customWidth="1" style="51" min="8712" max="8712"/>
    <col width="15.5703125" customWidth="1" style="51" min="8713" max="8713"/>
    <col width="16.28515625" customWidth="1" style="51" min="8714" max="8716"/>
    <col width="9.140625" customWidth="1" style="51" min="8717" max="8946"/>
    <col width="13.28515625" customWidth="1" style="51" min="8947" max="8948"/>
    <col width="8.42578125" customWidth="1" style="51" min="8949" max="8949"/>
    <col width="9.7109375" customWidth="1" style="51" min="8950" max="8950"/>
    <col width="18.7109375" customWidth="1" style="51" min="8951" max="8951"/>
    <col width="4.7109375" customWidth="1" style="51" min="8952" max="8953"/>
    <col hidden="1" style="51" min="8954" max="8962"/>
    <col width="10.28515625" customWidth="1" style="51" min="8963" max="8965"/>
    <col width="11" customWidth="1" style="51" min="8966" max="8966"/>
    <col width="36" customWidth="1" style="51" min="8967" max="8967"/>
    <col width="11.5703125" customWidth="1" style="51" min="8968" max="8968"/>
    <col width="15.5703125" customWidth="1" style="51" min="8969" max="8969"/>
    <col width="16.28515625" customWidth="1" style="51" min="8970" max="8972"/>
    <col width="9.140625" customWidth="1" style="51" min="8973" max="9202"/>
    <col width="13.28515625" customWidth="1" style="51" min="9203" max="9204"/>
    <col width="8.42578125" customWidth="1" style="51" min="9205" max="9205"/>
    <col width="9.7109375" customWidth="1" style="51" min="9206" max="9206"/>
    <col width="18.7109375" customWidth="1" style="51" min="9207" max="9207"/>
    <col width="4.7109375" customWidth="1" style="51" min="9208" max="9209"/>
    <col hidden="1" style="51" min="9210" max="9218"/>
    <col width="10.28515625" customWidth="1" style="51" min="9219" max="9221"/>
    <col width="11" customWidth="1" style="51" min="9222" max="9222"/>
    <col width="36" customWidth="1" style="51" min="9223" max="9223"/>
    <col width="11.5703125" customWidth="1" style="51" min="9224" max="9224"/>
    <col width="15.5703125" customWidth="1" style="51" min="9225" max="9225"/>
    <col width="16.28515625" customWidth="1" style="51" min="9226" max="9228"/>
    <col width="9.140625" customWidth="1" style="51" min="9229" max="9458"/>
    <col width="13.28515625" customWidth="1" style="51" min="9459" max="9460"/>
    <col width="8.42578125" customWidth="1" style="51" min="9461" max="9461"/>
    <col width="9.7109375" customWidth="1" style="51" min="9462" max="9462"/>
    <col width="18.7109375" customWidth="1" style="51" min="9463" max="9463"/>
    <col width="4.7109375" customWidth="1" style="51" min="9464" max="9465"/>
    <col hidden="1" style="51" min="9466" max="9474"/>
    <col width="10.28515625" customWidth="1" style="51" min="9475" max="9477"/>
    <col width="11" customWidth="1" style="51" min="9478" max="9478"/>
    <col width="36" customWidth="1" style="51" min="9479" max="9479"/>
    <col width="11.5703125" customWidth="1" style="51" min="9480" max="9480"/>
    <col width="15.5703125" customWidth="1" style="51" min="9481" max="9481"/>
    <col width="16.28515625" customWidth="1" style="51" min="9482" max="9484"/>
    <col width="9.140625" customWidth="1" style="51" min="9485" max="9714"/>
    <col width="13.28515625" customWidth="1" style="51" min="9715" max="9716"/>
    <col width="8.42578125" customWidth="1" style="51" min="9717" max="9717"/>
    <col width="9.7109375" customWidth="1" style="51" min="9718" max="9718"/>
    <col width="18.7109375" customWidth="1" style="51" min="9719" max="9719"/>
    <col width="4.7109375" customWidth="1" style="51" min="9720" max="9721"/>
    <col hidden="1" style="51" min="9722" max="9730"/>
    <col width="10.28515625" customWidth="1" style="51" min="9731" max="9733"/>
    <col width="11" customWidth="1" style="51" min="9734" max="9734"/>
    <col width="36" customWidth="1" style="51" min="9735" max="9735"/>
    <col width="11.5703125" customWidth="1" style="51" min="9736" max="9736"/>
    <col width="15.5703125" customWidth="1" style="51" min="9737" max="9737"/>
    <col width="16.28515625" customWidth="1" style="51" min="9738" max="9740"/>
    <col width="9.140625" customWidth="1" style="51" min="9741" max="9970"/>
    <col width="13.28515625" customWidth="1" style="51" min="9971" max="9972"/>
    <col width="8.42578125" customWidth="1" style="51" min="9973" max="9973"/>
    <col width="9.7109375" customWidth="1" style="51" min="9974" max="9974"/>
    <col width="18.7109375" customWidth="1" style="51" min="9975" max="9975"/>
    <col width="4.7109375" customWidth="1" style="51" min="9976" max="9977"/>
    <col hidden="1" style="51" min="9978" max="9986"/>
    <col width="10.28515625" customWidth="1" style="51" min="9987" max="9989"/>
    <col width="11" customWidth="1" style="51" min="9990" max="9990"/>
    <col width="36" customWidth="1" style="51" min="9991" max="9991"/>
    <col width="11.5703125" customWidth="1" style="51" min="9992" max="9992"/>
    <col width="15.5703125" customWidth="1" style="51" min="9993" max="9993"/>
    <col width="16.28515625" customWidth="1" style="51" min="9994" max="9996"/>
    <col width="9.140625" customWidth="1" style="51" min="9997" max="10226"/>
    <col width="13.28515625" customWidth="1" style="51" min="10227" max="10228"/>
    <col width="8.42578125" customWidth="1" style="51" min="10229" max="10229"/>
    <col width="9.7109375" customWidth="1" style="51" min="10230" max="10230"/>
    <col width="18.7109375" customWidth="1" style="51" min="10231" max="10231"/>
    <col width="4.7109375" customWidth="1" style="51" min="10232" max="10233"/>
    <col hidden="1" style="51" min="10234" max="10242"/>
    <col width="10.28515625" customWidth="1" style="51" min="10243" max="10245"/>
    <col width="11" customWidth="1" style="51" min="10246" max="10246"/>
    <col width="36" customWidth="1" style="51" min="10247" max="10247"/>
    <col width="11.5703125" customWidth="1" style="51" min="10248" max="10248"/>
    <col width="15.5703125" customWidth="1" style="51" min="10249" max="10249"/>
    <col width="16.28515625" customWidth="1" style="51" min="10250" max="10252"/>
    <col width="9.140625" customWidth="1" style="51" min="10253" max="10482"/>
    <col width="13.28515625" customWidth="1" style="51" min="10483" max="10484"/>
    <col width="8.42578125" customWidth="1" style="51" min="10485" max="10485"/>
    <col width="9.7109375" customWidth="1" style="51" min="10486" max="10486"/>
    <col width="18.7109375" customWidth="1" style="51" min="10487" max="10487"/>
    <col width="4.7109375" customWidth="1" style="51" min="10488" max="10489"/>
    <col hidden="1" style="51" min="10490" max="10498"/>
    <col width="10.28515625" customWidth="1" style="51" min="10499" max="10501"/>
    <col width="11" customWidth="1" style="51" min="10502" max="10502"/>
    <col width="36" customWidth="1" style="51" min="10503" max="10503"/>
    <col width="11.5703125" customWidth="1" style="51" min="10504" max="10504"/>
    <col width="15.5703125" customWidth="1" style="51" min="10505" max="10505"/>
    <col width="16.28515625" customWidth="1" style="51" min="10506" max="10508"/>
    <col width="9.140625" customWidth="1" style="51" min="10509" max="10738"/>
    <col width="13.28515625" customWidth="1" style="51" min="10739" max="10740"/>
    <col width="8.42578125" customWidth="1" style="51" min="10741" max="10741"/>
    <col width="9.7109375" customWidth="1" style="51" min="10742" max="10742"/>
    <col width="18.7109375" customWidth="1" style="51" min="10743" max="10743"/>
    <col width="4.7109375" customWidth="1" style="51" min="10744" max="10745"/>
    <col hidden="1" style="51" min="10746" max="10754"/>
    <col width="10.28515625" customWidth="1" style="51" min="10755" max="10757"/>
    <col width="11" customWidth="1" style="51" min="10758" max="10758"/>
    <col width="36" customWidth="1" style="51" min="10759" max="10759"/>
    <col width="11.5703125" customWidth="1" style="51" min="10760" max="10760"/>
    <col width="15.5703125" customWidth="1" style="51" min="10761" max="10761"/>
    <col width="16.28515625" customWidth="1" style="51" min="10762" max="10764"/>
    <col width="9.140625" customWidth="1" style="51" min="10765" max="10994"/>
    <col width="13.28515625" customWidth="1" style="51" min="10995" max="10996"/>
    <col width="8.42578125" customWidth="1" style="51" min="10997" max="10997"/>
    <col width="9.7109375" customWidth="1" style="51" min="10998" max="10998"/>
    <col width="18.7109375" customWidth="1" style="51" min="10999" max="10999"/>
    <col width="4.7109375" customWidth="1" style="51" min="11000" max="11001"/>
    <col hidden="1" style="51" min="11002" max="11010"/>
    <col width="10.28515625" customWidth="1" style="51" min="11011" max="11013"/>
    <col width="11" customWidth="1" style="51" min="11014" max="11014"/>
    <col width="36" customWidth="1" style="51" min="11015" max="11015"/>
    <col width="11.5703125" customWidth="1" style="51" min="11016" max="11016"/>
    <col width="15.5703125" customWidth="1" style="51" min="11017" max="11017"/>
    <col width="16.28515625" customWidth="1" style="51" min="11018" max="11020"/>
    <col width="9.140625" customWidth="1" style="51" min="11021" max="11250"/>
    <col width="13.28515625" customWidth="1" style="51" min="11251" max="11252"/>
    <col width="8.42578125" customWidth="1" style="51" min="11253" max="11253"/>
    <col width="9.7109375" customWidth="1" style="51" min="11254" max="11254"/>
    <col width="18.7109375" customWidth="1" style="51" min="11255" max="11255"/>
    <col width="4.7109375" customWidth="1" style="51" min="11256" max="11257"/>
    <col hidden="1" style="51" min="11258" max="11266"/>
    <col width="10.28515625" customWidth="1" style="51" min="11267" max="11269"/>
    <col width="11" customWidth="1" style="51" min="11270" max="11270"/>
    <col width="36" customWidth="1" style="51" min="11271" max="11271"/>
    <col width="11.5703125" customWidth="1" style="51" min="11272" max="11272"/>
    <col width="15.5703125" customWidth="1" style="51" min="11273" max="11273"/>
    <col width="16.28515625" customWidth="1" style="51" min="11274" max="11276"/>
    <col width="9.140625" customWidth="1" style="51" min="11277" max="11506"/>
    <col width="13.28515625" customWidth="1" style="51" min="11507" max="11508"/>
    <col width="8.42578125" customWidth="1" style="51" min="11509" max="11509"/>
    <col width="9.7109375" customWidth="1" style="51" min="11510" max="11510"/>
    <col width="18.7109375" customWidth="1" style="51" min="11511" max="11511"/>
    <col width="4.7109375" customWidth="1" style="51" min="11512" max="11513"/>
    <col hidden="1" style="51" min="11514" max="11522"/>
    <col width="10.28515625" customWidth="1" style="51" min="11523" max="11525"/>
    <col width="11" customWidth="1" style="51" min="11526" max="11526"/>
    <col width="36" customWidth="1" style="51" min="11527" max="11527"/>
    <col width="11.5703125" customWidth="1" style="51" min="11528" max="11528"/>
    <col width="15.5703125" customWidth="1" style="51" min="11529" max="11529"/>
    <col width="16.28515625" customWidth="1" style="51" min="11530" max="11532"/>
    <col width="9.140625" customWidth="1" style="51" min="11533" max="11762"/>
    <col width="13.28515625" customWidth="1" style="51" min="11763" max="11764"/>
    <col width="8.42578125" customWidth="1" style="51" min="11765" max="11765"/>
    <col width="9.7109375" customWidth="1" style="51" min="11766" max="11766"/>
    <col width="18.7109375" customWidth="1" style="51" min="11767" max="11767"/>
    <col width="4.7109375" customWidth="1" style="51" min="11768" max="11769"/>
    <col hidden="1" style="51" min="11770" max="11778"/>
    <col width="10.28515625" customWidth="1" style="51" min="11779" max="11781"/>
    <col width="11" customWidth="1" style="51" min="11782" max="11782"/>
    <col width="36" customWidth="1" style="51" min="11783" max="11783"/>
    <col width="11.5703125" customWidth="1" style="51" min="11784" max="11784"/>
    <col width="15.5703125" customWidth="1" style="51" min="11785" max="11785"/>
    <col width="16.28515625" customWidth="1" style="51" min="11786" max="11788"/>
    <col width="9.140625" customWidth="1" style="51" min="11789" max="12018"/>
    <col width="13.28515625" customWidth="1" style="51" min="12019" max="12020"/>
    <col width="8.42578125" customWidth="1" style="51" min="12021" max="12021"/>
    <col width="9.7109375" customWidth="1" style="51" min="12022" max="12022"/>
    <col width="18.7109375" customWidth="1" style="51" min="12023" max="12023"/>
    <col width="4.7109375" customWidth="1" style="51" min="12024" max="12025"/>
    <col hidden="1" style="51" min="12026" max="12034"/>
    <col width="10.28515625" customWidth="1" style="51" min="12035" max="12037"/>
    <col width="11" customWidth="1" style="51" min="12038" max="12038"/>
    <col width="36" customWidth="1" style="51" min="12039" max="12039"/>
    <col width="11.5703125" customWidth="1" style="51" min="12040" max="12040"/>
    <col width="15.5703125" customWidth="1" style="51" min="12041" max="12041"/>
    <col width="16.28515625" customWidth="1" style="51" min="12042" max="12044"/>
    <col width="9.140625" customWidth="1" style="51" min="12045" max="12274"/>
    <col width="13.28515625" customWidth="1" style="51" min="12275" max="12276"/>
    <col width="8.42578125" customWidth="1" style="51" min="12277" max="12277"/>
    <col width="9.7109375" customWidth="1" style="51" min="12278" max="12278"/>
    <col width="18.7109375" customWidth="1" style="51" min="12279" max="12279"/>
    <col width="4.7109375" customWidth="1" style="51" min="12280" max="12281"/>
    <col hidden="1" style="51" min="12282" max="12290"/>
    <col width="10.28515625" customWidth="1" style="51" min="12291" max="12293"/>
    <col width="11" customWidth="1" style="51" min="12294" max="12294"/>
    <col width="36" customWidth="1" style="51" min="12295" max="12295"/>
    <col width="11.5703125" customWidth="1" style="51" min="12296" max="12296"/>
    <col width="15.5703125" customWidth="1" style="51" min="12297" max="12297"/>
    <col width="16.28515625" customWidth="1" style="51" min="12298" max="12300"/>
    <col width="9.140625" customWidth="1" style="51" min="12301" max="12530"/>
    <col width="13.28515625" customWidth="1" style="51" min="12531" max="12532"/>
    <col width="8.42578125" customWidth="1" style="51" min="12533" max="12533"/>
    <col width="9.7109375" customWidth="1" style="51" min="12534" max="12534"/>
    <col width="18.7109375" customWidth="1" style="51" min="12535" max="12535"/>
    <col width="4.7109375" customWidth="1" style="51" min="12536" max="12537"/>
    <col hidden="1" style="51" min="12538" max="12546"/>
    <col width="10.28515625" customWidth="1" style="51" min="12547" max="12549"/>
    <col width="11" customWidth="1" style="51" min="12550" max="12550"/>
    <col width="36" customWidth="1" style="51" min="12551" max="12551"/>
    <col width="11.5703125" customWidth="1" style="51" min="12552" max="12552"/>
    <col width="15.5703125" customWidth="1" style="51" min="12553" max="12553"/>
    <col width="16.28515625" customWidth="1" style="51" min="12554" max="12556"/>
    <col width="9.140625" customWidth="1" style="51" min="12557" max="12786"/>
    <col width="13.28515625" customWidth="1" style="51" min="12787" max="12788"/>
    <col width="8.42578125" customWidth="1" style="51" min="12789" max="12789"/>
    <col width="9.7109375" customWidth="1" style="51" min="12790" max="12790"/>
    <col width="18.7109375" customWidth="1" style="51" min="12791" max="12791"/>
    <col width="4.7109375" customWidth="1" style="51" min="12792" max="12793"/>
    <col hidden="1" style="51" min="12794" max="12802"/>
    <col width="10.28515625" customWidth="1" style="51" min="12803" max="12805"/>
    <col width="11" customWidth="1" style="51" min="12806" max="12806"/>
    <col width="36" customWidth="1" style="51" min="12807" max="12807"/>
    <col width="11.5703125" customWidth="1" style="51" min="12808" max="12808"/>
    <col width="15.5703125" customWidth="1" style="51" min="12809" max="12809"/>
    <col width="16.28515625" customWidth="1" style="51" min="12810" max="12812"/>
    <col width="9.140625" customWidth="1" style="51" min="12813" max="13042"/>
    <col width="13.28515625" customWidth="1" style="51" min="13043" max="13044"/>
    <col width="8.42578125" customWidth="1" style="51" min="13045" max="13045"/>
    <col width="9.7109375" customWidth="1" style="51" min="13046" max="13046"/>
    <col width="18.7109375" customWidth="1" style="51" min="13047" max="13047"/>
    <col width="4.7109375" customWidth="1" style="51" min="13048" max="13049"/>
    <col hidden="1" style="51" min="13050" max="13058"/>
    <col width="10.28515625" customWidth="1" style="51" min="13059" max="13061"/>
    <col width="11" customWidth="1" style="51" min="13062" max="13062"/>
    <col width="36" customWidth="1" style="51" min="13063" max="13063"/>
    <col width="11.5703125" customWidth="1" style="51" min="13064" max="13064"/>
    <col width="15.5703125" customWidth="1" style="51" min="13065" max="13065"/>
    <col width="16.28515625" customWidth="1" style="51" min="13066" max="13068"/>
    <col width="9.140625" customWidth="1" style="51" min="13069" max="13298"/>
    <col width="13.28515625" customWidth="1" style="51" min="13299" max="13300"/>
    <col width="8.42578125" customWidth="1" style="51" min="13301" max="13301"/>
    <col width="9.7109375" customWidth="1" style="51" min="13302" max="13302"/>
    <col width="18.7109375" customWidth="1" style="51" min="13303" max="13303"/>
    <col width="4.7109375" customWidth="1" style="51" min="13304" max="13305"/>
    <col hidden="1" style="51" min="13306" max="13314"/>
    <col width="10.28515625" customWidth="1" style="51" min="13315" max="13317"/>
    <col width="11" customWidth="1" style="51" min="13318" max="13318"/>
    <col width="36" customWidth="1" style="51" min="13319" max="13319"/>
    <col width="11.5703125" customWidth="1" style="51" min="13320" max="13320"/>
    <col width="15.5703125" customWidth="1" style="51" min="13321" max="13321"/>
    <col width="16.28515625" customWidth="1" style="51" min="13322" max="13324"/>
    <col width="9.140625" customWidth="1" style="51" min="13325" max="13554"/>
    <col width="13.28515625" customWidth="1" style="51" min="13555" max="13556"/>
    <col width="8.42578125" customWidth="1" style="51" min="13557" max="13557"/>
    <col width="9.7109375" customWidth="1" style="51" min="13558" max="13558"/>
    <col width="18.7109375" customWidth="1" style="51" min="13559" max="13559"/>
    <col width="4.7109375" customWidth="1" style="51" min="13560" max="13561"/>
    <col hidden="1" style="51" min="13562" max="13570"/>
    <col width="10.28515625" customWidth="1" style="51" min="13571" max="13573"/>
    <col width="11" customWidth="1" style="51" min="13574" max="13574"/>
    <col width="36" customWidth="1" style="51" min="13575" max="13575"/>
    <col width="11.5703125" customWidth="1" style="51" min="13576" max="13576"/>
    <col width="15.5703125" customWidth="1" style="51" min="13577" max="13577"/>
    <col width="16.28515625" customWidth="1" style="51" min="13578" max="13580"/>
    <col width="9.140625" customWidth="1" style="51" min="13581" max="13810"/>
    <col width="13.28515625" customWidth="1" style="51" min="13811" max="13812"/>
    <col width="8.42578125" customWidth="1" style="51" min="13813" max="13813"/>
    <col width="9.7109375" customWidth="1" style="51" min="13814" max="13814"/>
    <col width="18.7109375" customWidth="1" style="51" min="13815" max="13815"/>
    <col width="4.7109375" customWidth="1" style="51" min="13816" max="13817"/>
    <col hidden="1" style="51" min="13818" max="13826"/>
    <col width="10.28515625" customWidth="1" style="51" min="13827" max="13829"/>
    <col width="11" customWidth="1" style="51" min="13830" max="13830"/>
    <col width="36" customWidth="1" style="51" min="13831" max="13831"/>
    <col width="11.5703125" customWidth="1" style="51" min="13832" max="13832"/>
    <col width="15.5703125" customWidth="1" style="51" min="13833" max="13833"/>
    <col width="16.28515625" customWidth="1" style="51" min="13834" max="13836"/>
    <col width="9.140625" customWidth="1" style="51" min="13837" max="14066"/>
    <col width="13.28515625" customWidth="1" style="51" min="14067" max="14068"/>
    <col width="8.42578125" customWidth="1" style="51" min="14069" max="14069"/>
    <col width="9.7109375" customWidth="1" style="51" min="14070" max="14070"/>
    <col width="18.7109375" customWidth="1" style="51" min="14071" max="14071"/>
    <col width="4.7109375" customWidth="1" style="51" min="14072" max="14073"/>
    <col hidden="1" style="51" min="14074" max="14082"/>
    <col width="10.28515625" customWidth="1" style="51" min="14083" max="14085"/>
    <col width="11" customWidth="1" style="51" min="14086" max="14086"/>
    <col width="36" customWidth="1" style="51" min="14087" max="14087"/>
    <col width="11.5703125" customWidth="1" style="51" min="14088" max="14088"/>
    <col width="15.5703125" customWidth="1" style="51" min="14089" max="14089"/>
    <col width="16.28515625" customWidth="1" style="51" min="14090" max="14092"/>
    <col width="9.140625" customWidth="1" style="51" min="14093" max="14322"/>
    <col width="13.28515625" customWidth="1" style="51" min="14323" max="14324"/>
    <col width="8.42578125" customWidth="1" style="51" min="14325" max="14325"/>
    <col width="9.7109375" customWidth="1" style="51" min="14326" max="14326"/>
    <col width="18.7109375" customWidth="1" style="51" min="14327" max="14327"/>
    <col width="4.7109375" customWidth="1" style="51" min="14328" max="14329"/>
    <col hidden="1" style="51" min="14330" max="14338"/>
    <col width="10.28515625" customWidth="1" style="51" min="14339" max="14341"/>
    <col width="11" customWidth="1" style="51" min="14342" max="14342"/>
    <col width="36" customWidth="1" style="51" min="14343" max="14343"/>
    <col width="11.5703125" customWidth="1" style="51" min="14344" max="14344"/>
    <col width="15.5703125" customWidth="1" style="51" min="14345" max="14345"/>
    <col width="16.28515625" customWidth="1" style="51" min="14346" max="14348"/>
    <col width="9.140625" customWidth="1" style="51" min="14349" max="14578"/>
    <col width="13.28515625" customWidth="1" style="51" min="14579" max="14580"/>
    <col width="8.42578125" customWidth="1" style="51" min="14581" max="14581"/>
    <col width="9.7109375" customWidth="1" style="51" min="14582" max="14582"/>
    <col width="18.7109375" customWidth="1" style="51" min="14583" max="14583"/>
    <col width="4.7109375" customWidth="1" style="51" min="14584" max="14585"/>
    <col hidden="1" style="51" min="14586" max="14594"/>
    <col width="10.28515625" customWidth="1" style="51" min="14595" max="14597"/>
    <col width="11" customWidth="1" style="51" min="14598" max="14598"/>
    <col width="36" customWidth="1" style="51" min="14599" max="14599"/>
    <col width="11.5703125" customWidth="1" style="51" min="14600" max="14600"/>
    <col width="15.5703125" customWidth="1" style="51" min="14601" max="14601"/>
    <col width="16.28515625" customWidth="1" style="51" min="14602" max="14604"/>
    <col width="9.140625" customWidth="1" style="51" min="14605" max="14834"/>
    <col width="13.28515625" customWidth="1" style="51" min="14835" max="14836"/>
    <col width="8.42578125" customWidth="1" style="51" min="14837" max="14837"/>
    <col width="9.7109375" customWidth="1" style="51" min="14838" max="14838"/>
    <col width="18.7109375" customWidth="1" style="51" min="14839" max="14839"/>
    <col width="4.7109375" customWidth="1" style="51" min="14840" max="14841"/>
    <col hidden="1" style="51" min="14842" max="14850"/>
    <col width="10.28515625" customWidth="1" style="51" min="14851" max="14853"/>
    <col width="11" customWidth="1" style="51" min="14854" max="14854"/>
    <col width="36" customWidth="1" style="51" min="14855" max="14855"/>
    <col width="11.5703125" customWidth="1" style="51" min="14856" max="14856"/>
    <col width="15.5703125" customWidth="1" style="51" min="14857" max="14857"/>
    <col width="16.28515625" customWidth="1" style="51" min="14858" max="14860"/>
    <col width="9.140625" customWidth="1" style="51" min="14861" max="15090"/>
    <col width="13.28515625" customWidth="1" style="51" min="15091" max="15092"/>
    <col width="8.42578125" customWidth="1" style="51" min="15093" max="15093"/>
    <col width="9.7109375" customWidth="1" style="51" min="15094" max="15094"/>
    <col width="18.7109375" customWidth="1" style="51" min="15095" max="15095"/>
    <col width="4.7109375" customWidth="1" style="51" min="15096" max="15097"/>
    <col hidden="1" style="51" min="15098" max="15106"/>
    <col width="10.28515625" customWidth="1" style="51" min="15107" max="15109"/>
    <col width="11" customWidth="1" style="51" min="15110" max="15110"/>
    <col width="36" customWidth="1" style="51" min="15111" max="15111"/>
    <col width="11.5703125" customWidth="1" style="51" min="15112" max="15112"/>
    <col width="15.5703125" customWidth="1" style="51" min="15113" max="15113"/>
    <col width="16.28515625" customWidth="1" style="51" min="15114" max="15116"/>
    <col width="9.140625" customWidth="1" style="51" min="15117" max="15346"/>
    <col width="13.28515625" customWidth="1" style="51" min="15347" max="15348"/>
    <col width="8.42578125" customWidth="1" style="51" min="15349" max="15349"/>
    <col width="9.7109375" customWidth="1" style="51" min="15350" max="15350"/>
    <col width="18.7109375" customWidth="1" style="51" min="15351" max="15351"/>
    <col width="4.7109375" customWidth="1" style="51" min="15352" max="15353"/>
    <col hidden="1" style="51" min="15354" max="15362"/>
    <col width="10.28515625" customWidth="1" style="51" min="15363" max="15365"/>
    <col width="11" customWidth="1" style="51" min="15366" max="15366"/>
    <col width="36" customWidth="1" style="51" min="15367" max="15367"/>
    <col width="11.5703125" customWidth="1" style="51" min="15368" max="15368"/>
    <col width="15.5703125" customWidth="1" style="51" min="15369" max="15369"/>
    <col width="16.28515625" customWidth="1" style="51" min="15370" max="15372"/>
    <col width="9.140625" customWidth="1" style="51" min="15373" max="15602"/>
    <col width="13.28515625" customWidth="1" style="51" min="15603" max="15604"/>
    <col width="8.42578125" customWidth="1" style="51" min="15605" max="15605"/>
    <col width="9.7109375" customWidth="1" style="51" min="15606" max="15606"/>
    <col width="18.7109375" customWidth="1" style="51" min="15607" max="15607"/>
    <col width="4.7109375" customWidth="1" style="51" min="15608" max="15609"/>
    <col hidden="1" style="51" min="15610" max="15618"/>
    <col width="10.28515625" customWidth="1" style="51" min="15619" max="15621"/>
    <col width="11" customWidth="1" style="51" min="15622" max="15622"/>
    <col width="36" customWidth="1" style="51" min="15623" max="15623"/>
    <col width="11.5703125" customWidth="1" style="51" min="15624" max="15624"/>
    <col width="15.5703125" customWidth="1" style="51" min="15625" max="15625"/>
    <col width="16.28515625" customWidth="1" style="51" min="15626" max="15628"/>
    <col width="9.140625" customWidth="1" style="51" min="15629" max="15858"/>
    <col width="13.28515625" customWidth="1" style="51" min="15859" max="15860"/>
    <col width="8.42578125" customWidth="1" style="51" min="15861" max="15861"/>
    <col width="9.7109375" customWidth="1" style="51" min="15862" max="15862"/>
    <col width="18.7109375" customWidth="1" style="51" min="15863" max="15863"/>
    <col width="4.7109375" customWidth="1" style="51" min="15864" max="15865"/>
    <col hidden="1" style="51" min="15866" max="15874"/>
    <col width="10.28515625" customWidth="1" style="51" min="15875" max="15877"/>
    <col width="11" customWidth="1" style="51" min="15878" max="15878"/>
    <col width="36" customWidth="1" style="51" min="15879" max="15879"/>
    <col width="11.5703125" customWidth="1" style="51" min="15880" max="15880"/>
    <col width="15.5703125" customWidth="1" style="51" min="15881" max="15881"/>
    <col width="16.28515625" customWidth="1" style="51" min="15882" max="15884"/>
    <col width="9.140625" customWidth="1" style="51" min="15885" max="16114"/>
    <col width="13.28515625" customWidth="1" style="51" min="16115" max="16116"/>
    <col width="8.42578125" customWidth="1" style="51" min="16117" max="16117"/>
    <col width="9.7109375" customWidth="1" style="51" min="16118" max="16118"/>
    <col width="18.7109375" customWidth="1" style="51" min="16119" max="16119"/>
    <col width="4.7109375" customWidth="1" style="51" min="16120" max="16121"/>
    <col hidden="1" style="51" min="16122" max="16130"/>
    <col width="10.28515625" customWidth="1" style="51" min="16131" max="16133"/>
    <col width="11" customWidth="1" style="51" min="16134" max="16134"/>
    <col width="36" customWidth="1" style="51" min="16135" max="16135"/>
    <col width="11.5703125" customWidth="1" style="51" min="16136" max="16136"/>
    <col width="15.5703125" customWidth="1" style="51" min="16137" max="16137"/>
    <col width="16.28515625" customWidth="1" style="51" min="16138" max="16140"/>
    <col width="9.140625" customWidth="1" style="51" min="16141" max="16384"/>
  </cols>
  <sheetData>
    <row r="1" ht="44.25" customHeight="1">
      <c r="D1" s="50" t="n"/>
    </row>
    <row r="2" ht="21" customHeight="1">
      <c r="A2" s="60" t="inlineStr">
        <is>
          <t>DOUBLE HUNG HARDWARE  ฮาร์ดแวร์ชุดหน้าต่างบานยก</t>
        </is>
      </c>
      <c r="C2" s="52" t="n"/>
      <c r="D2" s="52" t="n"/>
      <c r="E2" s="52" t="n"/>
      <c r="F2" s="52" t="n"/>
    </row>
    <row r="3" ht="33" customHeight="1">
      <c r="A3" s="53" t="inlineStr">
        <is>
          <t>No.</t>
        </is>
      </c>
      <c r="B3" s="53" t="inlineStr">
        <is>
          <t>Sup parts code</t>
        </is>
      </c>
      <c r="C3" s="120" t="inlineStr">
        <is>
          <t xml:space="preserve">Description </t>
        </is>
      </c>
      <c r="D3" s="156" t="n"/>
      <c r="E3" s="53" t="inlineStr">
        <is>
          <t>Unit</t>
        </is>
      </c>
      <c r="F3" s="53" t="inlineStr">
        <is>
          <t>Qty</t>
        </is>
      </c>
    </row>
    <row r="4" ht="15" customHeight="1">
      <c r="A4" s="157" t="inlineStr">
        <is>
          <t>DOUBLE HUNG STANDARD HARDWARE SET ชุดฮาร์ดแวร์สแตนดาร์ด</t>
        </is>
      </c>
      <c r="B4" s="158" t="n"/>
      <c r="C4" s="158" t="n"/>
      <c r="D4" s="158" t="n"/>
      <c r="E4" s="158" t="n"/>
      <c r="F4" s="156" t="n"/>
    </row>
    <row r="5" ht="39.95" customHeight="1">
      <c r="A5" s="54" t="n">
        <v>1</v>
      </c>
      <c r="B5" s="54" t="inlineStr">
        <is>
          <t>06-003</t>
        </is>
      </c>
      <c r="C5" s="55" t="n"/>
      <c r="D5" s="56" t="inlineStr">
        <is>
          <t>COMPOSITE SASH GUIDE / ไกด์ประคองกรอบบานยก</t>
        </is>
      </c>
      <c r="E5" s="57" t="inlineStr">
        <is>
          <t>PCS</t>
        </is>
      </c>
      <c r="F5" s="57">
        <f>4*'HUNG dies'!$G$6</f>
        <v/>
      </c>
    </row>
    <row r="6" ht="39.95" customHeight="1">
      <c r="A6" s="54" t="n">
        <v>2</v>
      </c>
      <c r="B6" s="54" t="inlineStr">
        <is>
          <t>06-002</t>
        </is>
      </c>
      <c r="C6" s="55" t="n"/>
      <c r="D6" s="56" t="inlineStr">
        <is>
          <t>PIVOT PIN / ตะขอเกี่ยวตลับเชือกบานยก</t>
        </is>
      </c>
      <c r="E6" s="57" t="inlineStr">
        <is>
          <t>PCS</t>
        </is>
      </c>
      <c r="F6" s="57">
        <f>4*'HUNG dies'!$G$6</f>
        <v/>
      </c>
    </row>
    <row r="7" ht="39.95" customHeight="1">
      <c r="A7" s="54" t="n">
        <v>3</v>
      </c>
      <c r="B7" s="54" t="inlineStr">
        <is>
          <t>06-004</t>
        </is>
      </c>
      <c r="C7" s="55" t="n"/>
      <c r="D7" s="56" t="inlineStr">
        <is>
          <t>COUNTER BALANCE PULLEY MODULE / ตลับล้อพูเล่ย์บานยก</t>
        </is>
      </c>
      <c r="E7" s="57" t="inlineStr">
        <is>
          <t>PCS</t>
        </is>
      </c>
      <c r="F7" s="57">
        <f>2*'HUNG dies'!$G$6</f>
        <v/>
      </c>
    </row>
    <row r="8" ht="39.95" customHeight="1">
      <c r="A8" s="54" t="n">
        <v>4</v>
      </c>
      <c r="B8" s="54" t="inlineStr">
        <is>
          <t>06-001</t>
        </is>
      </c>
      <c r="C8" s="55" t="n"/>
      <c r="D8" s="56" t="inlineStr">
        <is>
          <t>COUNTER BALANCE CORD CLAMP &amp; CLUTCH / ตลับใส่เชือกบานยก</t>
        </is>
      </c>
      <c r="E8" s="57" t="inlineStr">
        <is>
          <t>PCS</t>
        </is>
      </c>
      <c r="F8" s="57">
        <f>4*'HUNG dies'!$G$6</f>
        <v/>
      </c>
    </row>
    <row r="9" ht="39.95" customHeight="1">
      <c r="A9" s="54" t="n">
        <v>5</v>
      </c>
      <c r="B9" s="54" t="inlineStr">
        <is>
          <t>06-007</t>
        </is>
      </c>
      <c r="C9" s="55" t="n"/>
      <c r="D9" s="56" t="inlineStr">
        <is>
          <t>6mm. NYLON CORD BLK -  เส้นเชือกไนล่อนสีดำหนา 6มม. สำหรับบานยก</t>
        </is>
      </c>
      <c r="E9" s="57" t="inlineStr">
        <is>
          <t>M</t>
        </is>
      </c>
      <c r="F9" s="67">
        <f>('FSA CORD calculate '!$I$16*2)/1000</f>
        <v/>
      </c>
    </row>
    <row r="10" ht="39.95" customHeight="1">
      <c r="A10" s="54" t="n">
        <v>6</v>
      </c>
      <c r="B10" s="54" t="inlineStr">
        <is>
          <t>06-005</t>
        </is>
      </c>
      <c r="C10" s="55" t="n"/>
      <c r="D10" s="56" t="inlineStr">
        <is>
          <t>SASH CORNER ENDCAP / ฝาปิดมุมกรอบบานยกเข้า 90 องศา</t>
        </is>
      </c>
      <c r="E10" s="57" t="inlineStr">
        <is>
          <t>PCS</t>
        </is>
      </c>
      <c r="F10" s="57">
        <f>8*'HUNG dies'!$G$6</f>
        <v/>
      </c>
    </row>
    <row r="11" ht="39.95" customHeight="1">
      <c r="A11" s="54" t="n">
        <v>7</v>
      </c>
      <c r="B11" s="54" t="inlineStr">
        <is>
          <t>06-006</t>
        </is>
      </c>
      <c r="C11" s="55" t="n"/>
      <c r="D11" s="56" t="inlineStr">
        <is>
          <t>HUNG INTER LOCK(L&amp;R) END CAP / ฝาปิดรูเสาเกี่ยวหน้าต่างบานยก (ข้างซ้าย&amp;ข้างขวา)</t>
        </is>
      </c>
      <c r="E11" s="57" t="inlineStr">
        <is>
          <t>Pair</t>
        </is>
      </c>
      <c r="F11" s="57">
        <f>2*'HUNG dies'!$G$6</f>
        <v/>
      </c>
    </row>
    <row r="12" ht="39.95" customHeight="1">
      <c r="A12" s="54" t="n">
        <v>8</v>
      </c>
      <c r="B12" s="54" t="inlineStr">
        <is>
          <t>06-011</t>
        </is>
      </c>
      <c r="C12" s="55" t="n"/>
      <c r="D12" s="56" t="inlineStr">
        <is>
          <t>STOPPER / ตัวเบรคบาน</t>
        </is>
      </c>
      <c r="E12" s="57" t="inlineStr">
        <is>
          <t>PCS</t>
        </is>
      </c>
      <c r="F12" s="57">
        <f>2*'HUNG dies'!$G$6</f>
        <v/>
      </c>
    </row>
    <row r="13" ht="39.95" customHeight="1">
      <c r="A13" s="54" t="n">
        <v>9</v>
      </c>
      <c r="B13" s="59" t="inlineStr">
        <is>
          <t>02-031</t>
        </is>
      </c>
      <c r="C13" s="55" t="n"/>
      <c r="D13" s="56" t="inlineStr">
        <is>
          <t>JAMBLINER SEAL FOAM / ยางใส่เฟรมอะแดปเตอร์เฟรมข้าง</t>
        </is>
      </c>
      <c r="E13" s="57" t="inlineStr">
        <is>
          <t>M</t>
        </is>
      </c>
      <c r="F13" s="57">
        <f>ROUNDUP(('HUNG dies'!$H$17*4)/1000,0)*'HUNG dies'!$G$6</f>
        <v/>
      </c>
    </row>
    <row r="14" ht="39.95" customHeight="1">
      <c r="A14" s="54" t="n">
        <v>10</v>
      </c>
      <c r="B14" s="59" t="inlineStr">
        <is>
          <t>02-067</t>
        </is>
      </c>
      <c r="C14" s="55" t="n"/>
      <c r="D14" s="56" t="inlineStr">
        <is>
          <t>5mm MOHAIR (ฐาน 5mm. ขนยาว 6mm.)</t>
        </is>
      </c>
      <c r="E14" s="57" t="inlineStr">
        <is>
          <t>M</t>
        </is>
      </c>
      <c r="F14" s="57">
        <f>ROUNDUP((('HUNG dies'!$H$17*4)+('HUNG dies'!$H$11*1)+('HUNG dies'!$H$16*1)+('HUNG dies'!$H$15*2))/1000,0)*'HUNG dies'!$G$6</f>
        <v/>
      </c>
    </row>
    <row r="15" ht="39.95" customHeight="1">
      <c r="A15" s="54" t="n">
        <v>11</v>
      </c>
      <c r="B15" s="59" t="inlineStr">
        <is>
          <t>06-012</t>
        </is>
      </c>
      <c r="C15" s="55" t="n"/>
      <c r="D15" s="56" t="inlineStr">
        <is>
          <t>DOUBLE HUNG HEAD SEAL PAD  แผ่นประเก็นกันน้ำเฟรมบนบานยก</t>
        </is>
      </c>
      <c r="E15" s="57" t="inlineStr">
        <is>
          <t>Pair</t>
        </is>
      </c>
      <c r="F15" s="57">
        <f>1*'HUNG dies'!$G$6</f>
        <v/>
      </c>
    </row>
    <row r="16" ht="39.95" customHeight="1">
      <c r="A16" s="54" t="n">
        <v>12</v>
      </c>
      <c r="B16" s="59" t="inlineStr">
        <is>
          <t>06-010</t>
        </is>
      </c>
      <c r="C16" s="55" t="n"/>
      <c r="D16" s="56" t="inlineStr">
        <is>
          <t>DOUBLE HUNG SILL SEAL PAD แผ่นประเก็นกันน้ำเฟรมล่างบานยก</t>
        </is>
      </c>
      <c r="E16" s="57" t="inlineStr">
        <is>
          <t>Pair</t>
        </is>
      </c>
      <c r="F16" s="57">
        <f>1*'HUNG dies'!$G$6</f>
        <v/>
      </c>
    </row>
    <row r="17" ht="39.95" customHeight="1">
      <c r="A17" s="54" t="n">
        <v>13</v>
      </c>
      <c r="B17" s="59" t="inlineStr">
        <is>
          <t>06-014</t>
        </is>
      </c>
      <c r="C17" s="58" t="n"/>
      <c r="D17" s="56" t="inlineStr">
        <is>
          <t>#7x8 mm. SS CSK SELF TAPPING SCREW  (สกรูหัวจม ใช้ใขันยึดร่วมกับ SASH GUIDE)</t>
        </is>
      </c>
      <c r="E17" s="57" t="inlineStr">
        <is>
          <t>PCS</t>
        </is>
      </c>
      <c r="F17" s="57">
        <f>4*'HUNG dies'!$G$6</f>
        <v/>
      </c>
    </row>
    <row r="18" ht="39.95" customHeight="1">
      <c r="A18" s="54" t="n">
        <v>14</v>
      </c>
      <c r="B18" s="59" t="inlineStr">
        <is>
          <t>06-015</t>
        </is>
      </c>
      <c r="C18" s="58" t="n"/>
      <c r="D18" s="56" t="inlineStr">
        <is>
          <t>#8x12 mm. SS CSK SELF TAPPING SCREW  (สกรูหัวจม ใช้ติดตั้ง JAMBLINER, Endcap Interlock, Stopper, Wind Breaker  และPivot Pin)</t>
        </is>
      </c>
      <c r="E18" s="57" t="inlineStr">
        <is>
          <t>PCS</t>
        </is>
      </c>
      <c r="F18" s="57">
        <f>32*'HUNG dies'!$G$6</f>
        <v/>
      </c>
    </row>
    <row r="19" ht="39.95" customHeight="1">
      <c r="A19" s="54" t="n">
        <v>15</v>
      </c>
      <c r="B19" s="59" t="inlineStr">
        <is>
          <t>06-016</t>
        </is>
      </c>
      <c r="C19" s="58" t="n"/>
      <c r="D19" s="56" t="inlineStr">
        <is>
          <t>#8x10 mm. SS PH SELF TAPPING SCREW  (สกรูเกลียวปล่อยหัวนูน ใช้ติดตั้งกับเส้นอะแดปเตอร์ตบเรียบเสาเกี่ยว ADAPTOR INTERLOCK)</t>
        </is>
      </c>
      <c r="E19" s="57" t="inlineStr">
        <is>
          <t>PCS</t>
        </is>
      </c>
      <c r="F19" s="57">
        <f>8*'HUNG dies'!$G$6</f>
        <v/>
      </c>
    </row>
    <row r="20" ht="39.95" customHeight="1">
      <c r="A20" s="54" t="n">
        <v>16</v>
      </c>
      <c r="B20" s="59" t="inlineStr">
        <is>
          <t>06-017</t>
        </is>
      </c>
      <c r="C20" s="58" t="n"/>
      <c r="D20" s="56" t="inlineStr">
        <is>
          <t>#7x40 mm. SS PH SELF TAPPING SCREW  (สกรูเกลียวปล่อยหัวนูน ใช้ติดตั้งกับกรอบบาน SASH)</t>
        </is>
      </c>
      <c r="E20" s="57" t="inlineStr">
        <is>
          <t>PCS</t>
        </is>
      </c>
      <c r="F20" s="57">
        <f>8*'HUNG dies'!$G$6</f>
        <v/>
      </c>
    </row>
    <row r="21" ht="39.95" customHeight="1">
      <c r="A21" s="54" t="n">
        <v>17</v>
      </c>
      <c r="B21" s="59" t="inlineStr">
        <is>
          <t>06-018</t>
        </is>
      </c>
      <c r="C21" s="58" t="n"/>
      <c r="D21" s="56" t="inlineStr">
        <is>
          <t>#8x38 mm. SS PH SELF TAPPING SCREW  (สกรูเกลียวปล่อยหัวนูน ใช้ติดตั้งกับโครงเฟรมนอก)</t>
        </is>
      </c>
      <c r="E21" s="57" t="inlineStr">
        <is>
          <t>PCS</t>
        </is>
      </c>
      <c r="F21" s="57">
        <f>8*'HUNG dies'!$G$6</f>
        <v/>
      </c>
    </row>
    <row r="22" ht="39.95" customHeight="1">
      <c r="A22" s="54" t="n">
        <v>18</v>
      </c>
      <c r="B22" s="59" t="inlineStr">
        <is>
          <t>06-013</t>
        </is>
      </c>
      <c r="C22" s="58" t="n"/>
      <c r="D22" s="56" t="inlineStr">
        <is>
          <t>ยางกันลมบานยก</t>
        </is>
      </c>
      <c r="E22" s="57" t="inlineStr">
        <is>
          <t>PCS</t>
        </is>
      </c>
      <c r="F22" s="57">
        <f>2*'HUNG dies'!$G$6</f>
        <v/>
      </c>
    </row>
    <row r="23" ht="15" customHeight="1">
      <c r="A23" s="157" t="inlineStr">
        <is>
          <t>6mm. GLASS GASKET/ ยางอัดกระจกสำหรับกระจก 6มม.</t>
        </is>
      </c>
      <c r="B23" s="158" t="n"/>
      <c r="C23" s="158" t="n"/>
      <c r="D23" s="158" t="n"/>
      <c r="E23" s="158" t="n"/>
      <c r="F23" s="156" t="n"/>
    </row>
    <row r="24" ht="39.95" customHeight="1">
      <c r="A24" s="54" t="n">
        <v>19</v>
      </c>
      <c r="B24" s="59" t="inlineStr">
        <is>
          <t>02-068</t>
        </is>
      </c>
      <c r="C24" s="58" t="n"/>
      <c r="D24" s="56" t="inlineStr">
        <is>
          <t>ยางอัดกระจกตัวใหญ่</t>
        </is>
      </c>
      <c r="E24" s="57" t="inlineStr">
        <is>
          <t>M</t>
        </is>
      </c>
      <c r="F24" s="57">
        <f>ROUNDUP((((('HUNG dies'!$H$12*'HUNG dies'!$F$12)+('HUNG dies'!$H$13*'HUNG dies'!$F$13))*2)/1000)*'HUNG dies'!$G$6,0)</f>
        <v/>
      </c>
    </row>
    <row r="25" ht="15" customHeight="1">
      <c r="A25" s="157" t="inlineStr">
        <is>
          <t>8mm. GLASS GASKET/ ยางอัดกระจกสำหรับกระจก 8มม.</t>
        </is>
      </c>
      <c r="B25" s="158" t="n"/>
      <c r="C25" s="158" t="n"/>
      <c r="D25" s="158" t="n"/>
      <c r="E25" s="158" t="n"/>
      <c r="F25" s="156" t="n"/>
    </row>
    <row r="26" ht="39.95" customHeight="1">
      <c r="A26" s="54" t="n">
        <v>19</v>
      </c>
      <c r="B26" s="59" t="inlineStr">
        <is>
          <t>02-068</t>
        </is>
      </c>
      <c r="C26" s="58" t="n"/>
      <c r="D26" s="56" t="inlineStr">
        <is>
          <t>ยางอัดกระจกตัวใหญ่</t>
        </is>
      </c>
      <c r="E26" s="57" t="inlineStr">
        <is>
          <t>M</t>
        </is>
      </c>
      <c r="F26" s="57">
        <f>ROUNDUP(((('HUNG dies'!$H$12*'HUNG dies'!$F$12)+('HUNG dies'!$H$13*'HUNG dies'!$F$13))/1000)*'HUNG dies'!$G$6,0)</f>
        <v/>
      </c>
    </row>
    <row r="27" ht="39.95" customHeight="1">
      <c r="A27" s="54" t="n">
        <v>20</v>
      </c>
      <c r="B27" s="59" t="inlineStr">
        <is>
          <t>02-069</t>
        </is>
      </c>
      <c r="C27" s="58" t="n"/>
      <c r="D27" s="56" t="inlineStr">
        <is>
          <t>ยางอัดกระจกตัวเล็ก</t>
        </is>
      </c>
      <c r="E27" s="57" t="inlineStr">
        <is>
          <t>M</t>
        </is>
      </c>
      <c r="F27" s="57">
        <f>ROUNDUP(((('HUNG dies'!$H$12*'HUNG dies'!$F$12)+('HUNG dies'!$H$13*'HUNG dies'!$F$13))/1000)*'HUNG dies'!$G$6,0)</f>
        <v/>
      </c>
    </row>
    <row r="28" ht="15" customHeight="1">
      <c r="A28" s="157" t="inlineStr">
        <is>
          <t>ACCESSORY OPTION ชุดอุปกรณ์เสริม</t>
        </is>
      </c>
      <c r="B28" s="158" t="n"/>
      <c r="C28" s="158" t="n"/>
      <c r="D28" s="158" t="n"/>
      <c r="E28" s="158" t="n"/>
      <c r="F28" s="156" t="n"/>
    </row>
    <row r="29" ht="40.15" customHeight="1">
      <c r="A29" s="159" t="n">
        <v>1</v>
      </c>
      <c r="B29" s="54" t="inlineStr">
        <is>
          <t>06-008-BL</t>
        </is>
      </c>
      <c r="C29" s="78" t="n"/>
      <c r="D29" s="55" t="inlineStr">
        <is>
          <t>SASH LIFT HANDLE (BLACK) / มือจับหน้าต่างบานยกสีดำ</t>
        </is>
      </c>
      <c r="E29" s="57" t="inlineStr">
        <is>
          <t>PCS</t>
        </is>
      </c>
      <c r="F29" s="57">
        <f>1*'HUNG dies'!$G$6</f>
        <v/>
      </c>
    </row>
    <row r="30" ht="40.15" customHeight="1">
      <c r="A30" s="160" t="n"/>
      <c r="B30" s="54" t="inlineStr">
        <is>
          <t>06-008-WH</t>
        </is>
      </c>
      <c r="C30" s="55" t="n"/>
      <c r="D30" s="55" t="inlineStr">
        <is>
          <t>SASH LIFT HANDLE (WHITE)  / มือจับหน้าต่างบานยกสีขาว</t>
        </is>
      </c>
      <c r="E30" s="57" t="inlineStr">
        <is>
          <t>PCS</t>
        </is>
      </c>
      <c r="F30" s="57">
        <f>1*'HUNG dies'!$G$6</f>
        <v/>
      </c>
    </row>
    <row r="31" ht="40.15" customHeight="1">
      <c r="A31" s="160" t="n"/>
      <c r="B31" s="54" t="inlineStr">
        <is>
          <t>06-008-GS</t>
        </is>
      </c>
      <c r="C31" s="55" t="n"/>
      <c r="D31" s="56" t="inlineStr">
        <is>
          <t>SASH LIFT HANDLE (SAHARA GREY)   / มือจับหน้าต่างบานยกสีเทาซาฮาร่า</t>
        </is>
      </c>
      <c r="E31" s="57" t="inlineStr">
        <is>
          <t>PCS</t>
        </is>
      </c>
      <c r="F31" s="57">
        <f>1*'HUNG dies'!$G$6</f>
        <v/>
      </c>
    </row>
    <row r="32" ht="40.15" customHeight="1">
      <c r="A32" s="160" t="n"/>
      <c r="B32" s="54" t="inlineStr">
        <is>
          <t>06-008-WMH</t>
        </is>
      </c>
      <c r="C32" s="55" t="n"/>
      <c r="D32" s="55" t="inlineStr">
        <is>
          <t>SASH LIFT HANDLE (WOODGRAIN MAHOGANY)/ มือจับหน้าต่างบานยกสีลายไม้มะฮอกกานี</t>
        </is>
      </c>
      <c r="E32" s="57" t="inlineStr">
        <is>
          <t>PCS</t>
        </is>
      </c>
      <c r="F32" s="57">
        <f>1*'HUNG dies'!$G$6</f>
        <v/>
      </c>
    </row>
    <row r="33" ht="40.15" customHeight="1">
      <c r="A33" s="155" t="n"/>
      <c r="B33" s="54" t="inlineStr">
        <is>
          <t>06-008-WGT</t>
        </is>
      </c>
      <c r="C33" s="55" t="n"/>
      <c r="D33" s="55" t="inlineStr">
        <is>
          <t>SASH LIFT HANDLE (WOODGRAIN GOLDEN TEAK)  / มือจับหน้าต่างบานยกสีลายไม้สักทอง</t>
        </is>
      </c>
      <c r="E33" s="57" t="inlineStr">
        <is>
          <t>PCS</t>
        </is>
      </c>
      <c r="F33" s="57">
        <f>1*'HUNG dies'!$G$6</f>
        <v/>
      </c>
    </row>
    <row r="34" ht="30" customHeight="1">
      <c r="A34" s="54" t="n">
        <v>2</v>
      </c>
      <c r="B34" s="59" t="inlineStr">
        <is>
          <t>06-019</t>
        </is>
      </c>
      <c r="C34" s="55" t="n"/>
      <c r="D34" s="56" t="inlineStr">
        <is>
          <t>LATCH / ล็อคกลางบานยก</t>
        </is>
      </c>
      <c r="E34" s="57" t="inlineStr">
        <is>
          <t>PCS</t>
        </is>
      </c>
      <c r="F34" s="57">
        <f>1*'HUNG dies'!$G$6</f>
        <v/>
      </c>
    </row>
    <row r="35" ht="30" customHeight="1">
      <c r="A35" s="54" t="n">
        <v>3</v>
      </c>
      <c r="B35" s="59" t="inlineStr">
        <is>
          <t>06-020</t>
        </is>
      </c>
      <c r="C35" s="55" t="n"/>
      <c r="D35" s="56" t="inlineStr">
        <is>
          <t>KEEPER / ขอล็อคกลางบานยก</t>
        </is>
      </c>
      <c r="E35" s="57" t="inlineStr">
        <is>
          <t>PCS</t>
        </is>
      </c>
      <c r="F35" s="57">
        <f>1*'HUNG dies'!$G$6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jrMFZwXH+VN/h0kMiAO2A==" formatRows="1" sort="1" spinCount="100000" hashValue="n3l3JgkYHaC2jP/vcE7EEbpK8LQolSRMNLFtNh6RJo963qVGJ24H61QKJszILY0EK80c0QTVzx3YSAeuoli9bw=="/>
  <mergeCells count="6">
    <mergeCell ref="A28:F28"/>
    <mergeCell ref="A29:A33"/>
    <mergeCell ref="A23:F23"/>
    <mergeCell ref="A4:F4"/>
    <mergeCell ref="C3:D3"/>
    <mergeCell ref="A25:F25"/>
  </mergeCells>
  <pageMargins left="0.3149606299212598" right="0.1181102362204725" top="0.1968503937007874" bottom="0" header="0.3149606299212598" footer="0.3149606299212598"/>
  <pageSetup orientation="portrait" paperSize="9" scale="13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zoomScale="160" zoomScaleNormal="160" workbookViewId="0">
      <selection activeCell="J32" sqref="J32"/>
    </sheetView>
  </sheetViews>
  <sheetFormatPr baseColWidth="8" defaultRowHeight="12.75"/>
  <cols>
    <col width="11.7109375" customWidth="1" style="105" min="1" max="1"/>
    <col hidden="1" width="13" customWidth="1" style="105" min="2" max="2"/>
    <col hidden="1" width="12.140625" customWidth="1" style="105" min="3" max="3"/>
    <col hidden="1" width="12" customWidth="1" style="105" min="4" max="4"/>
    <col hidden="1" width="14.28515625" customWidth="1" min="5" max="5"/>
    <col hidden="1" width="14.7109375" customWidth="1" min="6" max="6"/>
    <col hidden="1" width="13.85546875" customWidth="1" style="105" min="7" max="7"/>
    <col width="8.7109375" customWidth="1" style="105" min="8" max="8"/>
    <col width="9.85546875" customWidth="1" style="105" min="9" max="9"/>
    <col width="10.42578125" customWidth="1" style="105" min="10" max="10"/>
    <col width="10.85546875" bestFit="1" customWidth="1" style="105" min="11" max="11"/>
    <col hidden="1" width="11.28515625" customWidth="1" style="9" min="12" max="12"/>
    <col hidden="1" min="13" max="13"/>
  </cols>
  <sheetData>
    <row r="1" ht="30.75" customHeight="1">
      <c r="B1" s="34" t="inlineStr">
        <is>
          <t>คำนวณความยาวเชือก (ใส่ระยะความสูงรวม)</t>
        </is>
      </c>
    </row>
    <row r="2" ht="36" customHeight="1">
      <c r="A2" s="5" t="inlineStr">
        <is>
          <t>Overall Frame Height (OFH)</t>
        </is>
      </c>
      <c r="B2" s="4" t="inlineStr">
        <is>
          <t>Internal Frame Height (IFH)
Dim "A"</t>
        </is>
      </c>
      <c r="C2" s="4" t="inlineStr">
        <is>
          <t>Overall Sash Height (OSH)</t>
        </is>
      </c>
      <c r="D2" s="5" t="inlineStr">
        <is>
          <t>Inside (I)</t>
        </is>
      </c>
      <c r="E2" s="5" t="inlineStr">
        <is>
          <t>Outside (O)</t>
        </is>
      </c>
      <c r="F2" s="5" t="inlineStr">
        <is>
          <t>Sash Height</t>
        </is>
      </c>
      <c r="G2" s="5" t="inlineStr">
        <is>
          <t>Pulley (PC)</t>
        </is>
      </c>
      <c r="H2" s="5" t="inlineStr">
        <is>
          <t>Cord Length (CL)</t>
        </is>
      </c>
      <c r="I2" s="5" t="inlineStr">
        <is>
          <t>Total Cord Length (TCL)</t>
        </is>
      </c>
      <c r="J2" s="6" t="inlineStr">
        <is>
          <t>Cord Cut Setting (CCS)</t>
        </is>
      </c>
    </row>
    <row r="3">
      <c r="A3" s="12" t="n">
        <v>1025</v>
      </c>
      <c r="B3" s="3">
        <f>EVOALU[[#This Row],[Overall Frame Height (OFH)]]-12-17</f>
        <v/>
      </c>
      <c r="C3" s="3">
        <f>EVOALU[[#This Row],[Internal Frame Height (IFH)
Dim "A"]]-15-2</f>
        <v/>
      </c>
      <c r="D3" s="2">
        <f>(EVOALU[[#This Row],[Internal Frame Height (IFH)
Dim "A"]])-150-38</f>
        <v/>
      </c>
      <c r="E3" s="2">
        <f>(EVOALU[[#This Row],[Internal Frame Height (IFH)
Dim "A"]]/2)-137-38</f>
        <v/>
      </c>
      <c r="F3" s="2">
        <f>EVOALU[[#This Row],[Overall Sash Height (OSH)]]/2+13</f>
        <v/>
      </c>
      <c r="G3" s="2" t="n">
        <v>108</v>
      </c>
      <c r="H3" s="13">
        <f>G3+E3+D3</f>
        <v/>
      </c>
      <c r="I3" s="2">
        <f>EVOALU[[#This Row],[Cord Length (CL)]]+65+65</f>
        <v/>
      </c>
      <c r="J3" s="15">
        <f>(EVOALU[[#This Row],[Cord Length (CL)]]-EVOALU[[#This Row],[Pulley (PC)]])/2</f>
        <v/>
      </c>
      <c r="L3" s="17">
        <f>EVOALU[[#This Row],[Internal Frame Height (IFH)
Dim "A"]]*1.5</f>
        <v/>
      </c>
      <c r="M3">
        <f>L3-245+65+65</f>
        <v/>
      </c>
    </row>
    <row r="4">
      <c r="A4" s="12" t="n">
        <v>1200</v>
      </c>
      <c r="B4" s="3">
        <f>EVOALU[[#This Row],[Overall Frame Height (OFH)]]-12-17</f>
        <v/>
      </c>
      <c r="C4" s="3">
        <f>EVOALU[[#This Row],[Internal Frame Height (IFH)
Dim "A"]]-15-2</f>
        <v/>
      </c>
      <c r="D4" s="2">
        <f>(EVOALU[[#This Row],[Internal Frame Height (IFH)
Dim "A"]])-150-38</f>
        <v/>
      </c>
      <c r="E4" s="2">
        <f>(EVOALU[[#This Row],[Internal Frame Height (IFH)
Dim "A"]]/2)-137-38</f>
        <v/>
      </c>
      <c r="F4" s="2">
        <f>EVOALU[[#This Row],[Overall Sash Height (OSH)]]/2+13</f>
        <v/>
      </c>
      <c r="G4" s="2" t="n">
        <v>108</v>
      </c>
      <c r="H4" s="13">
        <f>G4+E4+D4</f>
        <v/>
      </c>
      <c r="I4" s="2">
        <f>EVOALU[[#This Row],[Cord Length (CL)]]+65+65</f>
        <v/>
      </c>
      <c r="J4" s="15">
        <f>(EVOALU[[#This Row],[Cord Length (CL)]]-EVOALU[[#This Row],[Pulley (PC)]])/2</f>
        <v/>
      </c>
      <c r="L4" s="17">
        <f>EVOALU[[#This Row],[Internal Frame Height (IFH)
Dim "A"]]*1.5</f>
        <v/>
      </c>
      <c r="M4">
        <f>L4-245+65+65</f>
        <v/>
      </c>
    </row>
    <row r="5">
      <c r="A5" s="12" t="n">
        <v>1300</v>
      </c>
      <c r="B5" s="3">
        <f>EVOALU[[#This Row],[Overall Frame Height (OFH)]]-12-17</f>
        <v/>
      </c>
      <c r="C5" s="3">
        <f>EVOALU[[#This Row],[Internal Frame Height (IFH)
Dim "A"]]-15-2</f>
        <v/>
      </c>
      <c r="D5" s="2">
        <f>(EVOALU[[#This Row],[Internal Frame Height (IFH)
Dim "A"]])-150-38</f>
        <v/>
      </c>
      <c r="E5" s="2">
        <f>(EVOALU[[#This Row],[Internal Frame Height (IFH)
Dim "A"]]/2)-137-38</f>
        <v/>
      </c>
      <c r="F5" s="2">
        <f>EVOALU[[#This Row],[Overall Sash Height (OSH)]]/2+13</f>
        <v/>
      </c>
      <c r="G5" s="2" t="n">
        <v>108</v>
      </c>
      <c r="H5" s="13">
        <f>G5+E5+D5</f>
        <v/>
      </c>
      <c r="I5" s="2">
        <f>EVOALU[[#This Row],[Cord Length (CL)]]+65+65</f>
        <v/>
      </c>
      <c r="J5" s="15">
        <f>(EVOALU[[#This Row],[Cord Length (CL)]]-EVOALU[[#This Row],[Pulley (PC)]])/2</f>
        <v/>
      </c>
      <c r="L5" s="17">
        <f>EVOALU[[#This Row],[Internal Frame Height (IFH)
Dim "A"]]*1.5</f>
        <v/>
      </c>
      <c r="M5">
        <f>L5-245+65+65</f>
        <v/>
      </c>
    </row>
    <row r="6">
      <c r="A6" s="12" t="n">
        <v>1400</v>
      </c>
      <c r="B6" s="3">
        <f>EVOALU[[#This Row],[Overall Frame Height (OFH)]]-12-17</f>
        <v/>
      </c>
      <c r="C6" s="3">
        <f>EVOALU[[#This Row],[Internal Frame Height (IFH)
Dim "A"]]-15-2</f>
        <v/>
      </c>
      <c r="D6" s="2">
        <f>(EVOALU[[#This Row],[Internal Frame Height (IFH)
Dim "A"]])-150-38</f>
        <v/>
      </c>
      <c r="E6" s="2">
        <f>(EVOALU[[#This Row],[Internal Frame Height (IFH)
Dim "A"]]/2)-137-38</f>
        <v/>
      </c>
      <c r="F6" s="2">
        <f>EVOALU[[#This Row],[Overall Sash Height (OSH)]]/2+13</f>
        <v/>
      </c>
      <c r="G6" s="2" t="n">
        <v>108</v>
      </c>
      <c r="H6" s="13">
        <f>G6+E6+D6</f>
        <v/>
      </c>
      <c r="I6" s="2">
        <f>EVOALU[[#This Row],[Cord Length (CL)]]+65+65</f>
        <v/>
      </c>
      <c r="J6" s="15">
        <f>(EVOALU[[#This Row],[Cord Length (CL)]]-EVOALU[[#This Row],[Pulley (PC)]])/2</f>
        <v/>
      </c>
      <c r="L6" s="17">
        <f>EVOALU[[#This Row],[Internal Frame Height (IFH)
Dim "A"]]*1.5</f>
        <v/>
      </c>
      <c r="M6">
        <f>L6-245+65+65</f>
        <v/>
      </c>
    </row>
    <row r="7">
      <c r="A7" s="12" t="n">
        <v>1500</v>
      </c>
      <c r="B7" s="3">
        <f>EVOALU[[#This Row],[Overall Frame Height (OFH)]]-12-17</f>
        <v/>
      </c>
      <c r="C7" s="3">
        <f>EVOALU[[#This Row],[Internal Frame Height (IFH)
Dim "A"]]-15-2</f>
        <v/>
      </c>
      <c r="D7" s="2">
        <f>(EVOALU[[#This Row],[Internal Frame Height (IFH)
Dim "A"]])-150-38</f>
        <v/>
      </c>
      <c r="E7" s="2">
        <f>(EVOALU[[#This Row],[Internal Frame Height (IFH)
Dim "A"]]/2)-137-38</f>
        <v/>
      </c>
      <c r="F7" s="2">
        <f>EVOALU[[#This Row],[Overall Sash Height (OSH)]]/2+13</f>
        <v/>
      </c>
      <c r="G7" s="2" t="n">
        <v>108</v>
      </c>
      <c r="H7" s="13">
        <f>G7+E7+D7</f>
        <v/>
      </c>
      <c r="I7" s="2">
        <f>EVOALU[[#This Row],[Cord Length (CL)]]+65+65</f>
        <v/>
      </c>
      <c r="J7" s="15">
        <f>(EVOALU[[#This Row],[Cord Length (CL)]]-EVOALU[[#This Row],[Pulley (PC)]])/2</f>
        <v/>
      </c>
      <c r="L7" s="17">
        <f>EVOALU[[#This Row],[Internal Frame Height (IFH)
Dim "A"]]*1.5</f>
        <v/>
      </c>
      <c r="M7">
        <f>L7-245+65+65</f>
        <v/>
      </c>
    </row>
    <row r="8">
      <c r="A8" s="12" t="n">
        <v>1600</v>
      </c>
      <c r="B8" s="3">
        <f>EVOALU[[#This Row],[Overall Frame Height (OFH)]]-12-17</f>
        <v/>
      </c>
      <c r="C8" s="3">
        <f>EVOALU[[#This Row],[Internal Frame Height (IFH)
Dim "A"]]-15-2</f>
        <v/>
      </c>
      <c r="D8" s="2">
        <f>(EVOALU[[#This Row],[Internal Frame Height (IFH)
Dim "A"]])-150-38</f>
        <v/>
      </c>
      <c r="E8" s="2">
        <f>(EVOALU[[#This Row],[Internal Frame Height (IFH)
Dim "A"]]/2)-137-38</f>
        <v/>
      </c>
      <c r="F8" s="8">
        <f>EVOALU[[#This Row],[Overall Sash Height (OSH)]]/2+13</f>
        <v/>
      </c>
      <c r="G8" s="8" t="n">
        <v>108</v>
      </c>
      <c r="H8" s="14">
        <f>G8+E8+D8</f>
        <v/>
      </c>
      <c r="I8" s="8">
        <f>EVOALU[[#This Row],[Cord Length (CL)]]+65+65</f>
        <v/>
      </c>
      <c r="J8" s="16">
        <f>(EVOALU[[#This Row],[Cord Length (CL)]]-EVOALU[[#This Row],[Pulley (PC)]])/2</f>
        <v/>
      </c>
      <c r="L8" s="17">
        <f>EVOALU[[#This Row],[Internal Frame Height (IFH)
Dim "A"]]*1.5</f>
        <v/>
      </c>
      <c r="M8">
        <f>L8-245+65+65</f>
        <v/>
      </c>
    </row>
    <row r="9">
      <c r="A9" s="12" t="n">
        <v>1700</v>
      </c>
      <c r="B9" s="7">
        <f>EVOALU[[#This Row],[Overall Frame Height (OFH)]]-12-17</f>
        <v/>
      </c>
      <c r="C9" s="7">
        <f>EVOALU[[#This Row],[Internal Frame Height (IFH)
Dim "A"]]-15-2</f>
        <v/>
      </c>
      <c r="D9" s="2">
        <f>(EVOALU[[#This Row],[Internal Frame Height (IFH)
Dim "A"]])-150-38</f>
        <v/>
      </c>
      <c r="E9" s="2">
        <f>(EVOALU[[#This Row],[Internal Frame Height (IFH)
Dim "A"]]/2)-137-38</f>
        <v/>
      </c>
      <c r="F9" s="8">
        <f>EVOALU[[#This Row],[Overall Sash Height (OSH)]]/2+13</f>
        <v/>
      </c>
      <c r="G9" s="8" t="n">
        <v>108</v>
      </c>
      <c r="H9" s="14">
        <f>G9+E9+D9</f>
        <v/>
      </c>
      <c r="I9" s="8">
        <f>EVOALU[[#This Row],[Cord Length (CL)]]+65+65</f>
        <v/>
      </c>
      <c r="J9" s="16">
        <f>(EVOALU[[#This Row],[Cord Length (CL)]]-EVOALU[[#This Row],[Pulley (PC)]])/2</f>
        <v/>
      </c>
      <c r="L9" s="17">
        <f>EVOALU[[#This Row],[Internal Frame Height (IFH)
Dim "A"]]*1.5</f>
        <v/>
      </c>
      <c r="M9">
        <f>L9-245+65+65</f>
        <v/>
      </c>
    </row>
    <row r="10">
      <c r="A10" s="12" t="n">
        <v>1800</v>
      </c>
      <c r="B10" s="7">
        <f>EVOALU[[#This Row],[Overall Frame Height (OFH)]]-12-17</f>
        <v/>
      </c>
      <c r="C10" s="7">
        <f>EVOALU[[#This Row],[Internal Frame Height (IFH)
Dim "A"]]-15-2</f>
        <v/>
      </c>
      <c r="D10" s="2">
        <f>(EVOALU[[#This Row],[Internal Frame Height (IFH)
Dim "A"]])-150-38</f>
        <v/>
      </c>
      <c r="E10" s="2">
        <f>(EVOALU[[#This Row],[Internal Frame Height (IFH)
Dim "A"]]/2)-137-38</f>
        <v/>
      </c>
      <c r="F10" s="2">
        <f>EVOALU[[#This Row],[Overall Sash Height (OSH)]]/2+13</f>
        <v/>
      </c>
      <c r="G10" s="2" t="n">
        <v>108</v>
      </c>
      <c r="H10" s="14">
        <f>G10+E10+D10</f>
        <v/>
      </c>
      <c r="I10" s="8">
        <f>EVOALU[[#This Row],[Cord Length (CL)]]+65+65</f>
        <v/>
      </c>
      <c r="J10" s="16">
        <f>(EVOALU[[#This Row],[Cord Length (CL)]]-EVOALU[[#This Row],[Pulley (PC)]])/2</f>
        <v/>
      </c>
      <c r="L10" s="17">
        <f>EVOALU[[#This Row],[Internal Frame Height (IFH)
Dim "A"]]*1.5</f>
        <v/>
      </c>
      <c r="M10">
        <f>L10-245+65+65</f>
        <v/>
      </c>
    </row>
    <row r="11">
      <c r="A11" s="12" t="n">
        <v>2000</v>
      </c>
      <c r="B11" s="7">
        <f>EVOALU[[#This Row],[Overall Frame Height (OFH)]]-12-17</f>
        <v/>
      </c>
      <c r="C11" s="7">
        <f>EVOALU[[#This Row],[Internal Frame Height (IFH)
Dim "A"]]-15-2</f>
        <v/>
      </c>
      <c r="D11" s="2">
        <f>(EVOALU[[#This Row],[Internal Frame Height (IFH)
Dim "A"]])-150-38</f>
        <v/>
      </c>
      <c r="E11" s="2">
        <f>(EVOALU[[#This Row],[Internal Frame Height (IFH)
Dim "A"]]/2)-137-38</f>
        <v/>
      </c>
      <c r="F11" s="2">
        <f>EVOALU[[#This Row],[Overall Sash Height (OSH)]]/2+13</f>
        <v/>
      </c>
      <c r="G11" s="2" t="n">
        <v>108</v>
      </c>
      <c r="H11" s="14">
        <f>G11+E11+D11</f>
        <v/>
      </c>
      <c r="I11" s="8">
        <f>EVOALU[[#This Row],[Cord Length (CL)]]+65+65</f>
        <v/>
      </c>
      <c r="J11" s="16">
        <f>(EVOALU[[#This Row],[Cord Length (CL)]]-EVOALU[[#This Row],[Pulley (PC)]])/2</f>
        <v/>
      </c>
      <c r="L11" s="17">
        <f>EVOALU[[#This Row],[Internal Frame Height (IFH)
Dim "A"]]*1.5</f>
        <v/>
      </c>
      <c r="M11">
        <f>L11-245+65+65</f>
        <v/>
      </c>
    </row>
    <row r="12">
      <c r="A12" s="12" t="n">
        <v>2100</v>
      </c>
      <c r="B12" s="7">
        <f>EVOALU[[#This Row],[Overall Frame Height (OFH)]]-12-17</f>
        <v/>
      </c>
      <c r="C12" s="7">
        <f>EVOALU[[#This Row],[Internal Frame Height (IFH)
Dim "A"]]-15-2</f>
        <v/>
      </c>
      <c r="D12" s="2">
        <f>(EVOALU[[#This Row],[Internal Frame Height (IFH)
Dim "A"]])-150-38</f>
        <v/>
      </c>
      <c r="E12" s="2">
        <f>(EVOALU[[#This Row],[Internal Frame Height (IFH)
Dim "A"]]/2)-137-38</f>
        <v/>
      </c>
      <c r="F12" s="2">
        <f>EVOALU[[#This Row],[Overall Sash Height (OSH)]]/2+13</f>
        <v/>
      </c>
      <c r="G12" s="2" t="n">
        <v>108</v>
      </c>
      <c r="H12" s="14">
        <f>G12+E12+D12</f>
        <v/>
      </c>
      <c r="I12" s="8">
        <f>EVOALU[[#This Row],[Cord Length (CL)]]+65+65</f>
        <v/>
      </c>
      <c r="J12" s="16">
        <f>(EVOALU[[#This Row],[Cord Length (CL)]]-EVOALU[[#This Row],[Pulley (PC)]])/2</f>
        <v/>
      </c>
      <c r="L12" s="17">
        <f>EVOALU[[#This Row],[Internal Frame Height (IFH)
Dim "A"]]*1.5</f>
        <v/>
      </c>
      <c r="M12">
        <f>L12-245+65+65</f>
        <v/>
      </c>
    </row>
    <row r="13">
      <c r="A13" s="12" t="n">
        <v>2400</v>
      </c>
      <c r="B13" s="7">
        <f>EVOALU[[#This Row],[Overall Frame Height (OFH)]]-12-17</f>
        <v/>
      </c>
      <c r="C13" s="7">
        <f>EVOALU[[#This Row],[Internal Frame Height (IFH)
Dim "A"]]-15-2</f>
        <v/>
      </c>
      <c r="D13" s="2">
        <f>(EVOALU[[#This Row],[Internal Frame Height (IFH)
Dim "A"]])-150-38</f>
        <v/>
      </c>
      <c r="E13" s="2">
        <f>(EVOALU[[#This Row],[Internal Frame Height (IFH)
Dim "A"]]/2)-137-38</f>
        <v/>
      </c>
      <c r="F13" s="2">
        <f>EVOALU[[#This Row],[Overall Sash Height (OSH)]]/2+13</f>
        <v/>
      </c>
      <c r="G13" s="2" t="n">
        <v>108</v>
      </c>
      <c r="H13" s="14">
        <f>G13+E13+D13</f>
        <v/>
      </c>
      <c r="I13" s="8">
        <f>EVOALU[[#This Row],[Cord Length (CL)]]+65+65</f>
        <v/>
      </c>
      <c r="J13" s="16">
        <f>(EVOALU[[#This Row],[Cord Length (CL)]]-EVOALU[[#This Row],[Pulley (PC)]])/2</f>
        <v/>
      </c>
      <c r="L13" s="17">
        <f>EVOALU[[#This Row],[Internal Frame Height (IFH)
Dim "A"]]*1.5</f>
        <v/>
      </c>
      <c r="M13">
        <f>L13-245+65+65</f>
        <v/>
      </c>
    </row>
    <row r="14">
      <c r="A14" s="12" t="n">
        <v>2700</v>
      </c>
      <c r="B14" s="7">
        <f>EVOALU[[#This Row],[Overall Frame Height (OFH)]]-12-17</f>
        <v/>
      </c>
      <c r="C14" s="7">
        <f>EVOALU[[#This Row],[Internal Frame Height (IFH)
Dim "A"]]-15-2</f>
        <v/>
      </c>
      <c r="D14" s="2">
        <f>(EVOALU[[#This Row],[Internal Frame Height (IFH)
Dim "A"]])-150-38</f>
        <v/>
      </c>
      <c r="E14" s="2">
        <f>(EVOALU[[#This Row],[Internal Frame Height (IFH)
Dim "A"]]/2)-137-38</f>
        <v/>
      </c>
      <c r="F14" s="2">
        <f>EVOALU[[#This Row],[Overall Sash Height (OSH)]]/2+13</f>
        <v/>
      </c>
      <c r="G14" s="2" t="n">
        <v>108</v>
      </c>
      <c r="H14" s="14">
        <f>G14+E14+D14</f>
        <v/>
      </c>
      <c r="I14" s="8">
        <f>EVOALU[[#This Row],[Cord Length (CL)]]+65+65</f>
        <v/>
      </c>
      <c r="J14" s="16">
        <f>(EVOALU[[#This Row],[Cord Length (CL)]]-EVOALU[[#This Row],[Pulley (PC)]])/2</f>
        <v/>
      </c>
      <c r="L14" s="17">
        <f>EVOALU[[#This Row],[Internal Frame Height (IFH)
Dim "A"]]*1.5</f>
        <v/>
      </c>
      <c r="M14">
        <f>L14-245+65+65</f>
        <v/>
      </c>
    </row>
    <row r="15">
      <c r="A15" s="12" t="n">
        <v>3000</v>
      </c>
      <c r="B15" s="7">
        <f>EVOALU[[#This Row],[Overall Frame Height (OFH)]]-12-17</f>
        <v/>
      </c>
      <c r="C15" s="7">
        <f>EVOALU[[#This Row],[Internal Frame Height (IFH)
Dim "A"]]-15-2</f>
        <v/>
      </c>
      <c r="D15" s="2">
        <f>(EVOALU[[#This Row],[Internal Frame Height (IFH)
Dim "A"]])-150-38</f>
        <v/>
      </c>
      <c r="E15" s="2">
        <f>(EVOALU[[#This Row],[Internal Frame Height (IFH)
Dim "A"]]/2)-137-38</f>
        <v/>
      </c>
      <c r="F15" s="2">
        <f>EVOALU[[#This Row],[Overall Sash Height (OSH)]]/2+13</f>
        <v/>
      </c>
      <c r="G15" s="2" t="n">
        <v>108</v>
      </c>
      <c r="H15" s="14">
        <f>G15+E15+D15</f>
        <v/>
      </c>
      <c r="I15" s="8">
        <f>EVOALU[[#This Row],[Cord Length (CL)]]+65+65</f>
        <v/>
      </c>
      <c r="J15" s="16">
        <f>(EVOALU[[#This Row],[Cord Length (CL)]]-EVOALU[[#This Row],[Pulley (PC)]])/2</f>
        <v/>
      </c>
      <c r="L15" s="17">
        <f>EVOALU[[#This Row],[Internal Frame Height (IFH)
Dim "A"]]*1.5</f>
        <v/>
      </c>
      <c r="M15">
        <f>L15-245+65+65</f>
        <v/>
      </c>
    </row>
    <row r="16" ht="14.25" customHeight="1">
      <c r="A16" s="41">
        <f>'HUNG dies'!$D$6</f>
        <v/>
      </c>
      <c r="B16" s="42">
        <f>EVOALU[[#This Row],[Overall Frame Height (OFH)]]-12-17</f>
        <v/>
      </c>
      <c r="C16" s="42">
        <f>EVOALU[[#This Row],[Internal Frame Height (IFH)
Dim "A"]]-15-2</f>
        <v/>
      </c>
      <c r="D16" s="43">
        <f>(EVOALU[[#This Row],[Internal Frame Height (IFH)
Dim "A"]])-150-38</f>
        <v/>
      </c>
      <c r="E16" s="43">
        <f>(EVOALU[[#This Row],[Internal Frame Height (IFH)
Dim "A"]]/2)-137-38</f>
        <v/>
      </c>
      <c r="F16" s="43">
        <f>EVOALU[[#This Row],[Overall Sash Height (OSH)]]/2+13</f>
        <v/>
      </c>
      <c r="G16" s="43" t="n">
        <v>108</v>
      </c>
      <c r="H16" s="44">
        <f>G16+E16+D16</f>
        <v/>
      </c>
      <c r="I16" s="46">
        <f>EVOALU[[#This Row],[Cord Length (CL)]]+65+65</f>
        <v/>
      </c>
      <c r="J16" s="45">
        <f>(EVOALU[[#This Row],[Cord Length (CL)]]-EVOALU[[#This Row],[Pulley (PC)]])/2</f>
        <v/>
      </c>
    </row>
    <row r="18">
      <c r="J18" s="48" t="inlineStr">
        <is>
          <t>ตัดความยาวนี้อย่างละ 2 เส้น</t>
        </is>
      </c>
    </row>
    <row r="19" hidden="1">
      <c r="A19" s="10" t="inlineStr">
        <is>
          <t>Clutch</t>
        </is>
      </c>
      <c r="B19" s="11" t="n">
        <v>148</v>
      </c>
      <c r="C19" s="10" t="inlineStr">
        <is>
          <t>overall length</t>
        </is>
      </c>
    </row>
    <row r="20" hidden="1">
      <c r="A20" s="10" t="inlineStr">
        <is>
          <t>Pivot Pin Ctr</t>
        </is>
      </c>
      <c r="B20" s="11" t="n">
        <v>10</v>
      </c>
      <c r="C20" s="10" t="inlineStr">
        <is>
          <t>from bottom of clutch</t>
        </is>
      </c>
    </row>
    <row r="21" hidden="1">
      <c r="A21" s="10" t="inlineStr">
        <is>
          <t>Clutch</t>
        </is>
      </c>
      <c r="B21" s="11" t="n">
        <v>1</v>
      </c>
      <c r="C21" s="10" t="inlineStr">
        <is>
          <t>distance from bottom of sash to bottom of clutch</t>
        </is>
      </c>
    </row>
    <row r="22" hidden="1">
      <c r="A22" s="10" t="inlineStr">
        <is>
          <t>Clutch</t>
        </is>
      </c>
      <c r="B22" s="11" t="n">
        <v>150</v>
      </c>
      <c r="C22" s="10" t="inlineStr">
        <is>
          <t>top of clutch from bottom of sash</t>
        </is>
      </c>
    </row>
    <row r="23" hidden="1">
      <c r="A23" s="10" t="inlineStr">
        <is>
          <t>Cord</t>
        </is>
      </c>
      <c r="B23" s="11" t="n">
        <v>65</v>
      </c>
      <c r="C23" s="10" t="inlineStr">
        <is>
          <t>approx additional for cord in clutch for holding</t>
        </is>
      </c>
    </row>
    <row r="24" hidden="1">
      <c r="A24" s="10" t="inlineStr">
        <is>
          <t>MRH</t>
        </is>
      </c>
      <c r="B24" s="11" t="n">
        <v>26</v>
      </c>
      <c r="C24" s="10" t="inlineStr">
        <is>
          <t>Meeting Rail Height</t>
        </is>
      </c>
    </row>
    <row r="25" hidden="1">
      <c r="A25" s="10" t="inlineStr">
        <is>
          <t>Pulley (PC)</t>
        </is>
      </c>
      <c r="B25" s="11" t="n">
        <v>108</v>
      </c>
      <c r="C25" s="10" t="inlineStr">
        <is>
          <t>amount of Cord in Pulley</t>
        </is>
      </c>
    </row>
    <row r="26" hidden="1"/>
    <row r="27" hidden="1"/>
    <row r="28" hidden="1"/>
    <row r="29" hidden="1"/>
    <row r="34">
      <c r="J34" s="105" t="inlineStr">
        <is>
          <t xml:space="preserve"> 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kLo4bDFHDG/TVodmLLBUDA==" formatRows="1" sort="1" spinCount="100000" hashValue="JFwfwO/wlIQUFSL4pRf2ZsVjNmdRZFpNO6osFQzmguTYnjwl/nuR9hjXrbshwhYH0j/JWT9Jlvzd37pYtzSbdw=="/>
  <pageMargins left="0.7" right="0.7" top="0.75" bottom="0.75" header="0.3" footer="0.3"/>
  <pageSetup orientation="portrait" paperSize="9" horizontalDpi="429496729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Shane McDuff</dc:creator>
  <dcterms:created xmlns:dcterms="http://purl.org/dc/terms/" xmlns:xsi="http://www.w3.org/2001/XMLSchema-instance" xsi:type="dcterms:W3CDTF">2020-04-14T07:01:27Z</dcterms:created>
  <dcterms:modified xmlns:dcterms="http://purl.org/dc/terms/" xmlns:xsi="http://www.w3.org/2001/XMLSchema-instance" xsi:type="dcterms:W3CDTF">2026-07-02T11:40:54Z</dcterms:modified>
  <cp:lastModifiedBy>ปภาดา วีรประภานนท์</cp:lastModifiedBy>
  <cp:lastPrinted>2025-12-09T09:22:13Z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0x010100F933AB25A4C59644AD1B5DEA69BD7E75</vt:lpwstr>
  </property>
</Properties>
</file>