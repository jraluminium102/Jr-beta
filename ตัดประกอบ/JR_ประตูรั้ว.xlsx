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ประตูรั้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2"/>
    </font>
    <font>
      <name val="Tahoma"/>
      <b val="1"/>
      <sz val="11"/>
    </font>
    <font>
      <name val="Tahoma"/>
      <sz val="10"/>
    </font>
    <font>
      <name val="Tahoma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C6EFCE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1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2" customWidth="1" min="3" max="3"/>
    <col width="9" customWidth="1" min="4" max="4"/>
    <col width="12" customWidth="1" min="5" max="5"/>
    <col width="30" customWidth="1" min="6" max="6"/>
    <col width="20" customWidth="1" min="7" max="7"/>
    <col width="10" customWidth="1" min="8" max="8"/>
    <col hidden="1" width="13" customWidth="1" min="13" max="13"/>
    <col hidden="1" width="13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hidden="1" width="13" customWidth="1" min="19" max="19"/>
    <col hidden="1" width="13" customWidth="1" min="20" max="20"/>
    <col width="13" customWidth="1" min="22" max="22"/>
    <col width="13" customWidth="1" min="23" max="23"/>
    <col width="13" customWidth="1" min="25" max="25"/>
    <col width="13" customWidth="1" min="27" max="27"/>
    <col width="13" customWidth="1" min="28" max="28"/>
    <col width="13" customWidth="1" min="29" max="29"/>
    <col width="13" customWidth="1" min="31" max="31"/>
  </cols>
  <sheetData>
    <row r="1">
      <c r="A1" s="1" t="inlineStr">
        <is>
          <t>JR — ใบตัดประตูรั้วบานเลื่อน · กล่อง 2×4 (มุม 45°) + หางเสือ +30</t>
        </is>
      </c>
      <c r="M1" s="2" t="inlineStr">
        <is>
          <t>idx</t>
        </is>
      </c>
      <c r="N1" s="2" t="inlineStr">
        <is>
          <t>A/B</t>
        </is>
      </c>
      <c r="O1" s="2" t="inlineStr">
        <is>
          <t>หน้า</t>
        </is>
      </c>
      <c r="P1" s="2" t="inlineStr">
        <is>
          <t>สะสม</t>
        </is>
      </c>
      <c r="Q1" s="2" t="inlineStr">
        <is>
          <t>ตำแหน่ง</t>
        </is>
      </c>
      <c r="R1" s="2" t="inlineStr">
        <is>
          <t>A</t>
        </is>
      </c>
      <c r="S1" s="2" t="inlineStr">
        <is>
          <t>B</t>
        </is>
      </c>
      <c r="T1" s="2" t="inlineStr">
        <is>
          <t>นับ</t>
        </is>
      </c>
      <c r="AA1" s="3" t="inlineStr">
        <is>
          <t>กล่อง→หน้า</t>
        </is>
      </c>
      <c r="AE1" s="3" t="inlineStr">
        <is>
          <t>หน้า A / B</t>
        </is>
      </c>
    </row>
    <row r="2">
      <c r="A2" s="3" t="inlineStr">
        <is>
          <t>① กรอก (ช่องเหลือง)</t>
        </is>
      </c>
      <c r="D2" s="3" t="inlineStr">
        <is>
          <t>② คำนวณ</t>
        </is>
      </c>
      <c r="G2" s="3" t="inlineStr">
        <is>
          <t>② สลับ</t>
        </is>
      </c>
      <c r="M2" t="n">
        <v>1</v>
      </c>
      <c r="N2">
        <f>IF(MOD(M2-1,$B$13+$B$14)&lt;$B$13,"A","B")</f>
        <v/>
      </c>
      <c r="O2">
        <f>IF(N2="A",$E$5,$H$3)</f>
        <v/>
      </c>
      <c r="P2">
        <f>O2</f>
        <v/>
      </c>
      <c r="Q2">
        <f>P2+(M2-1)*$B$10</f>
        <v/>
      </c>
      <c r="R2">
        <f>IF(AND(Q2&lt;=$E$7,N2="A"),1,0)</f>
        <v/>
      </c>
      <c r="S2">
        <f>IF(AND(Q2&lt;=$E$7,N2="B"),1,0)</f>
        <v/>
      </c>
      <c r="T2">
        <f>IF(Q2&lt;=$E$7,1,0)</f>
        <v/>
      </c>
      <c r="V2" s="3" t="inlineStr">
        <is>
          <t>ด้านโชว์</t>
        </is>
      </c>
      <c r="W2" s="3" t="inlineStr">
        <is>
          <t>ซม.</t>
        </is>
      </c>
      <c r="AA2" s="4" t="inlineStr">
        <is>
          <t>กล่อง 1×5 cm</t>
        </is>
      </c>
      <c r="AB2" s="5" t="inlineStr">
        <is>
          <t>1 cm</t>
        </is>
      </c>
      <c r="AC2" s="5" t="inlineStr">
        <is>
          <t>5 cm</t>
        </is>
      </c>
      <c r="AE2" s="5">
        <f>VLOOKUP(B8,$AA$2:$AC$8,2,0)</f>
        <v/>
      </c>
    </row>
    <row r="3">
      <c r="A3" s="6" t="inlineStr">
        <is>
          <t>แบบประกอบ →</t>
        </is>
      </c>
      <c r="B3" s="7" t="inlineStr">
        <is>
          <t>ยัดใน</t>
        </is>
      </c>
      <c r="D3" s="4" t="inlineStr">
        <is>
          <t>เสาตั้ง (ยัดใน H−15.5/แปะนอก H−17.5)</t>
        </is>
      </c>
      <c r="E3" s="8">
        <f>IF(B3="ยัดใน",B5-$H$14,B5-$H$15)</f>
        <v/>
      </c>
      <c r="G3" s="4" t="inlineStr">
        <is>
          <t>โชว์ B (ซม.)</t>
        </is>
      </c>
      <c r="H3" s="8">
        <f>VLOOKUP(B12,$V$3:$W$8,2,0)</f>
        <v/>
      </c>
      <c r="M3" t="n">
        <v>2</v>
      </c>
      <c r="N3">
        <f>IF(MOD(M3-1,$B$13+$B$14)&lt;$B$13,"A","B")</f>
        <v/>
      </c>
      <c r="O3">
        <f>IF(N3="A",$E$5,$H$3)</f>
        <v/>
      </c>
      <c r="P3">
        <f>P2+O3</f>
        <v/>
      </c>
      <c r="Q3">
        <f>P3+(M3-1)*$B$10</f>
        <v/>
      </c>
      <c r="R3">
        <f>IF(AND(Q3&lt;=$E$7,N3="A"),1,0)</f>
        <v/>
      </c>
      <c r="S3">
        <f>IF(AND(Q3&lt;=$E$7,N3="B"),1,0)</f>
        <v/>
      </c>
      <c r="T3">
        <f>IF(Q3&lt;=$E$7,1,0)</f>
        <v/>
      </c>
      <c r="V3" s="4" t="inlineStr">
        <is>
          <t>1 cm</t>
        </is>
      </c>
      <c r="W3" s="5" t="n">
        <v>1</v>
      </c>
      <c r="AA3" s="4" t="inlineStr">
        <is>
          <t>กล่อง 1"×1"</t>
        </is>
      </c>
      <c r="AB3" s="5" t="inlineStr">
        <is>
          <t>1"</t>
        </is>
      </c>
      <c r="AC3" s="5" t="inlineStr">
        <is>
          <t>1"</t>
        </is>
      </c>
      <c r="AE3" s="5">
        <f>VLOOKUP(B8,$AA$2:$AC$8,3,0)</f>
        <v/>
      </c>
    </row>
    <row r="4">
      <c r="A4" s="6" t="inlineStr">
        <is>
          <t>กว้างช่อง W (ซม.) →</t>
        </is>
      </c>
      <c r="B4" s="7" t="n">
        <v>350</v>
      </c>
      <c r="D4" s="4" t="inlineStr">
        <is>
          <t>เสานอน / ช่องกว้าง (W)</t>
        </is>
      </c>
      <c r="E4" s="8">
        <f>B4</f>
        <v/>
      </c>
      <c r="G4" s="4" t="inlineStr">
        <is>
          <t>ท่อนรวม (สลับ)</t>
        </is>
      </c>
      <c r="H4" s="8">
        <f>SUM(T2:T201)</f>
        <v/>
      </c>
      <c r="M4" t="n">
        <v>3</v>
      </c>
      <c r="N4">
        <f>IF(MOD(M4-1,$B$13+$B$14)&lt;$B$13,"A","B")</f>
        <v/>
      </c>
      <c r="O4">
        <f>IF(N4="A",$E$5,$H$3)</f>
        <v/>
      </c>
      <c r="P4">
        <f>P3+O4</f>
        <v/>
      </c>
      <c r="Q4">
        <f>P4+(M4-1)*$B$10</f>
        <v/>
      </c>
      <c r="R4">
        <f>IF(AND(Q4&lt;=$E$7,N4="A"),1,0)</f>
        <v/>
      </c>
      <c r="S4">
        <f>IF(AND(Q4&lt;=$E$7,N4="B"),1,0)</f>
        <v/>
      </c>
      <c r="T4">
        <f>IF(Q4&lt;=$E$7,1,0)</f>
        <v/>
      </c>
      <c r="V4" s="4" t="inlineStr">
        <is>
          <t>5 cm</t>
        </is>
      </c>
      <c r="W4" s="5" t="n">
        <v>5</v>
      </c>
      <c r="AA4" s="4" t="inlineStr">
        <is>
          <t>กล่อง 1"×1½"</t>
        </is>
      </c>
      <c r="AB4" s="5" t="inlineStr">
        <is>
          <t>1"</t>
        </is>
      </c>
      <c r="AC4" s="5" t="inlineStr">
        <is>
          <t>1½"</t>
        </is>
      </c>
    </row>
    <row r="5">
      <c r="A5" s="6" t="inlineStr">
        <is>
          <t>สูงช่อง H (ซม.) →</t>
        </is>
      </c>
      <c r="B5" s="7" t="n">
        <v>180</v>
      </c>
      <c r="D5" s="4" t="inlineStr">
        <is>
          <t>โชว์ A (ซม.)</t>
        </is>
      </c>
      <c r="E5" s="8">
        <f>VLOOKUP(B9,$V$3:$W$8,2,0)</f>
        <v/>
      </c>
      <c r="G5" s="4" t="inlineStr">
        <is>
          <t>ท่อน A</t>
        </is>
      </c>
      <c r="H5" s="8">
        <f>SUM(R2:R201)</f>
        <v/>
      </c>
      <c r="M5" t="n">
        <v>4</v>
      </c>
      <c r="N5">
        <f>IF(MOD(M5-1,$B$13+$B$14)&lt;$B$13,"A","B")</f>
        <v/>
      </c>
      <c r="O5">
        <f>IF(N5="A",$E$5,$H$3)</f>
        <v/>
      </c>
      <c r="P5">
        <f>P4+O5</f>
        <v/>
      </c>
      <c r="Q5">
        <f>P5+(M5-1)*$B$10</f>
        <v/>
      </c>
      <c r="R5">
        <f>IF(AND(Q5&lt;=$E$7,N5="A"),1,0)</f>
        <v/>
      </c>
      <c r="S5">
        <f>IF(AND(Q5&lt;=$E$7,N5="B"),1,0)</f>
        <v/>
      </c>
      <c r="T5">
        <f>IF(Q5&lt;=$E$7,1,0)</f>
        <v/>
      </c>
      <c r="V5" s="4" t="inlineStr">
        <is>
          <t>1"</t>
        </is>
      </c>
      <c r="W5" s="5" t="n">
        <v>2.54</v>
      </c>
      <c r="AA5" s="4" t="inlineStr">
        <is>
          <t>กล่อง 1"×1.6"</t>
        </is>
      </c>
      <c r="AB5" s="5" t="inlineStr">
        <is>
          <t>1"</t>
        </is>
      </c>
      <c r="AC5" s="5" t="inlineStr">
        <is>
          <t>1.6"</t>
        </is>
      </c>
      <c r="AE5" s="5">
        <f>VLOOKUP(B11,$AA$2:$AC$8,2,0)</f>
        <v/>
      </c>
    </row>
    <row r="6">
      <c r="A6" s="6" t="inlineStr">
        <is>
          <t>แนวระแนง →</t>
        </is>
      </c>
      <c r="B6" s="7" t="inlineStr">
        <is>
          <t>ตั้ง</t>
        </is>
      </c>
      <c r="D6" s="4" t="inlineStr">
        <is>
          <t>pitch A = โชว์A+ห่าง</t>
        </is>
      </c>
      <c r="E6" s="8">
        <f>E5+B10</f>
        <v/>
      </c>
      <c r="G6" s="4" t="inlineStr">
        <is>
          <t>ท่อน B</t>
        </is>
      </c>
      <c r="H6" s="8">
        <f>SUM(S2:S201)</f>
        <v/>
      </c>
      <c r="M6" t="n">
        <v>5</v>
      </c>
      <c r="N6">
        <f>IF(MOD(M6-1,$B$13+$B$14)&lt;$B$13,"A","B")</f>
        <v/>
      </c>
      <c r="O6">
        <f>IF(N6="A",$E$5,$H$3)</f>
        <v/>
      </c>
      <c r="P6">
        <f>P5+O6</f>
        <v/>
      </c>
      <c r="Q6">
        <f>P6+(M6-1)*$B$10</f>
        <v/>
      </c>
      <c r="R6">
        <f>IF(AND(Q6&lt;=$E$7,N6="A"),1,0)</f>
        <v/>
      </c>
      <c r="S6">
        <f>IF(AND(Q6&lt;=$E$7,N6="B"),1,0)</f>
        <v/>
      </c>
      <c r="T6">
        <f>IF(Q6&lt;=$E$7,1,0)</f>
        <v/>
      </c>
      <c r="V6" s="4" t="inlineStr">
        <is>
          <t>1½"</t>
        </is>
      </c>
      <c r="W6" s="5" t="n">
        <v>3.81</v>
      </c>
      <c r="AA6" s="4" t="inlineStr">
        <is>
          <t>กล่อง 1"×4"</t>
        </is>
      </c>
      <c r="AB6" s="5" t="inlineStr">
        <is>
          <t>1"</t>
        </is>
      </c>
      <c r="AC6" s="5" t="inlineStr">
        <is>
          <t>4"</t>
        </is>
      </c>
      <c r="AE6" s="5">
        <f>VLOOKUP(B11,$AA$2:$AC$8,3,0)</f>
        <v/>
      </c>
    </row>
    <row r="7">
      <c r="A7" s="6" t="inlineStr">
        <is>
          <t>ชนิดใบ →</t>
        </is>
      </c>
      <c r="B7" s="7" t="inlineStr">
        <is>
          <t>ระแนง</t>
        </is>
      </c>
      <c r="D7" s="4" t="inlineStr">
        <is>
          <t>ช่วงกระจาย (ตั้ง=เสานอน/นอน=เสาตั้ง)</t>
        </is>
      </c>
      <c r="E7" s="8">
        <f>IF(B6="ตั้ง",E4,E3)</f>
        <v/>
      </c>
      <c r="G7" s="4" t="inlineStr">
        <is>
          <t>หน้ารวม (ซม.)</t>
        </is>
      </c>
      <c r="H7" s="8">
        <f>SUMPRODUCT($T$2:$T$201,$O$2:$O$201)</f>
        <v/>
      </c>
      <c r="M7" t="n">
        <v>6</v>
      </c>
      <c r="N7">
        <f>IF(MOD(M7-1,$B$13+$B$14)&lt;$B$13,"A","B")</f>
        <v/>
      </c>
      <c r="O7">
        <f>IF(N7="A",$E$5,$H$3)</f>
        <v/>
      </c>
      <c r="P7">
        <f>P6+O7</f>
        <v/>
      </c>
      <c r="Q7">
        <f>P7+(M7-1)*$B$10</f>
        <v/>
      </c>
      <c r="R7">
        <f>IF(AND(Q7&lt;=$E$7,N7="A"),1,0)</f>
        <v/>
      </c>
      <c r="S7">
        <f>IF(AND(Q7&lt;=$E$7,N7="B"),1,0)</f>
        <v/>
      </c>
      <c r="T7">
        <f>IF(Q7&lt;=$E$7,1,0)</f>
        <v/>
      </c>
      <c r="V7" s="4" t="inlineStr">
        <is>
          <t>1.6"</t>
        </is>
      </c>
      <c r="W7" s="5" t="n">
        <v>4.06</v>
      </c>
      <c r="AA7" s="4" t="inlineStr">
        <is>
          <t>กล่อง 1.6"×1.6"</t>
        </is>
      </c>
      <c r="AB7" s="5" t="inlineStr">
        <is>
          <t>1.6"</t>
        </is>
      </c>
      <c r="AC7" s="5" t="inlineStr">
        <is>
          <t>1.6"</t>
        </is>
      </c>
    </row>
    <row r="8">
      <c r="A8" s="6" t="inlineStr">
        <is>
          <t>กล่องใบระแนง (A) →</t>
        </is>
      </c>
      <c r="B8" s="7" t="inlineStr">
        <is>
          <t>กล่อง 1"×1.6"</t>
        </is>
      </c>
      <c r="D8" s="4" t="inlineStr">
        <is>
          <t>ยาว/ใบระแนง</t>
        </is>
      </c>
      <c r="E8" s="8">
        <f>IF(B6="ตั้ง",IF(B3="ยัดใน",E3-$H$16,E3+$H$17),IF(B3="ยัดใน",E4-$H$16,E4))</f>
        <v/>
      </c>
      <c r="G8" s="4" t="inlineStr">
        <is>
          <t>ห่างจริง (สลับ)</t>
        </is>
      </c>
      <c r="H8" s="8">
        <f>ROUND((E7-H7)/(H4-1),2)</f>
        <v/>
      </c>
      <c r="M8" t="n">
        <v>7</v>
      </c>
      <c r="N8">
        <f>IF(MOD(M8-1,$B$13+$B$14)&lt;$B$13,"A","B")</f>
        <v/>
      </c>
      <c r="O8">
        <f>IF(N8="A",$E$5,$H$3)</f>
        <v/>
      </c>
      <c r="P8">
        <f>P7+O8</f>
        <v/>
      </c>
      <c r="Q8">
        <f>P8+(M8-1)*$B$10</f>
        <v/>
      </c>
      <c r="R8">
        <f>IF(AND(Q8&lt;=$E$7,N8="A"),1,0)</f>
        <v/>
      </c>
      <c r="S8">
        <f>IF(AND(Q8&lt;=$E$7,N8="B"),1,0)</f>
        <v/>
      </c>
      <c r="T8">
        <f>IF(Q8&lt;=$E$7,1,0)</f>
        <v/>
      </c>
      <c r="V8" s="4" t="inlineStr">
        <is>
          <t>4"</t>
        </is>
      </c>
      <c r="W8" s="5" t="n">
        <v>10.16</v>
      </c>
      <c r="AA8" s="4" t="inlineStr">
        <is>
          <t>กล่อง 1.6"×4"</t>
        </is>
      </c>
      <c r="AB8" s="5" t="inlineStr">
        <is>
          <t>1.6"</t>
        </is>
      </c>
      <c r="AC8" s="5" t="inlineStr">
        <is>
          <t>4"</t>
        </is>
      </c>
    </row>
    <row r="9">
      <c r="A9" s="6" t="inlineStr">
        <is>
          <t>ด้านโชว์ (A) →</t>
        </is>
      </c>
      <c r="B9" s="7" t="inlineStr">
        <is>
          <t>1.6"</t>
        </is>
      </c>
      <c r="D9" s="4" t="inlineStr">
        <is>
          <t>nf เดี่ยว</t>
        </is>
      </c>
      <c r="E9" s="8">
        <f>MAX(INT((E7+B10)/E6),2)</f>
        <v/>
      </c>
      <c r="M9" t="n">
        <v>8</v>
      </c>
      <c r="N9">
        <f>IF(MOD(M9-1,$B$13+$B$14)&lt;$B$13,"A","B")</f>
        <v/>
      </c>
      <c r="O9">
        <f>IF(N9="A",$E$5,$H$3)</f>
        <v/>
      </c>
      <c r="P9">
        <f>P8+O9</f>
        <v/>
      </c>
      <c r="Q9">
        <f>P9+(M9-1)*$B$10</f>
        <v/>
      </c>
      <c r="R9">
        <f>IF(AND(Q9&lt;=$E$7,N9="A"),1,0)</f>
        <v/>
      </c>
      <c r="S9">
        <f>IF(AND(Q9&lt;=$E$7,N9="B"),1,0)</f>
        <v/>
      </c>
      <c r="T9">
        <f>IF(Q9&lt;=$E$7,1,0)</f>
        <v/>
      </c>
    </row>
    <row r="10">
      <c r="A10" s="6" t="inlineStr">
        <is>
          <t>ช่องห่างที่ต้องการ (ซม.) →</t>
        </is>
      </c>
      <c r="B10" s="7" t="n">
        <v>5</v>
      </c>
      <c r="D10" s="4" t="inlineStr">
        <is>
          <t>ใบ (เดี่ยว)</t>
        </is>
      </c>
      <c r="E10" s="8">
        <f>IF(ABS((E7-E9*E5)/(E9-1)-B10)&lt;=ABS((E7-(E9+1)*E5)/E9-B10),E9,E9+1)</f>
        <v/>
      </c>
      <c r="G10" s="3" t="inlineStr">
        <is>
          <t>▶ จำนวนใบใช้งาน</t>
        </is>
      </c>
      <c r="H10" s="9">
        <f>IF(B7="ระแนงสลับ",H4,E10)</f>
        <v/>
      </c>
      <c r="M10" t="n">
        <v>9</v>
      </c>
      <c r="N10">
        <f>IF(MOD(M10-1,$B$13+$B$14)&lt;$B$13,"A","B")</f>
        <v/>
      </c>
      <c r="O10">
        <f>IF(N10="A",$E$5,$H$3)</f>
        <v/>
      </c>
      <c r="P10">
        <f>P9+O10</f>
        <v/>
      </c>
      <c r="Q10">
        <f>P10+(M10-1)*$B$10</f>
        <v/>
      </c>
      <c r="R10">
        <f>IF(AND(Q10&lt;=$E$7,N10="A"),1,0)</f>
        <v/>
      </c>
      <c r="S10">
        <f>IF(AND(Q10&lt;=$E$7,N10="B"),1,0)</f>
        <v/>
      </c>
      <c r="T10">
        <f>IF(Q10&lt;=$E$7,1,0)</f>
        <v/>
      </c>
      <c r="Y10" s="3" t="inlineStr">
        <is>
          <t>รุ่นกล่อง</t>
        </is>
      </c>
    </row>
    <row r="11">
      <c r="A11" s="6" t="inlineStr">
        <is>
          <t>[สลับ] กล่อง B →</t>
        </is>
      </c>
      <c r="B11" s="7" t="inlineStr">
        <is>
          <t>กล่อง 1"×1.6"</t>
        </is>
      </c>
      <c r="D11" s="4" t="inlineStr">
        <is>
          <t>ห่างจริง (เดี่ยว)</t>
        </is>
      </c>
      <c r="E11" s="8">
        <f>ROUND((E7-E10*E5)/(E10-1),2)</f>
        <v/>
      </c>
      <c r="G11" s="3" t="inlineStr">
        <is>
          <t>▶ ระยะห่างจริงใช้งาน</t>
        </is>
      </c>
      <c r="H11" s="10">
        <f>IF(B7="ระแนงสลับ",H8,E11)</f>
        <v/>
      </c>
      <c r="M11" t="n">
        <v>10</v>
      </c>
      <c r="N11">
        <f>IF(MOD(M11-1,$B$13+$B$14)&lt;$B$13,"A","B")</f>
        <v/>
      </c>
      <c r="O11">
        <f>IF(N11="A",$E$5,$H$3)</f>
        <v/>
      </c>
      <c r="P11">
        <f>P10+O11</f>
        <v/>
      </c>
      <c r="Q11">
        <f>P11+(M11-1)*$B$10</f>
        <v/>
      </c>
      <c r="R11">
        <f>IF(AND(Q11&lt;=$E$7,N11="A"),1,0)</f>
        <v/>
      </c>
      <c r="S11">
        <f>IF(AND(Q11&lt;=$E$7,N11="B"),1,0)</f>
        <v/>
      </c>
      <c r="T11">
        <f>IF(Q11&lt;=$E$7,1,0)</f>
        <v/>
      </c>
      <c r="Y11" s="4" t="inlineStr">
        <is>
          <t>กล่อง 1×5 cm</t>
        </is>
      </c>
    </row>
    <row r="12">
      <c r="A12" s="6" t="inlineStr">
        <is>
          <t>[สลับ] ด้านโชว์ B →</t>
        </is>
      </c>
      <c r="B12" s="7" t="inlineStr">
        <is>
          <t>1.6"</t>
        </is>
      </c>
      <c r="D12" s="4" t="inlineStr">
        <is>
          <t>เส้นทแยงค้ำหาง</t>
        </is>
      </c>
      <c r="E12" s="8">
        <f>ROUND(SQRT($H$18^2+($H$19-$H$20)^2),1)</f>
        <v/>
      </c>
      <c r="M12" t="n">
        <v>11</v>
      </c>
      <c r="N12">
        <f>IF(MOD(M12-1,$B$13+$B$14)&lt;$B$13,"A","B")</f>
        <v/>
      </c>
      <c r="O12">
        <f>IF(N12="A",$E$5,$H$3)</f>
        <v/>
      </c>
      <c r="P12">
        <f>P11+O12</f>
        <v/>
      </c>
      <c r="Q12">
        <f>P12+(M12-1)*$B$10</f>
        <v/>
      </c>
      <c r="R12">
        <f>IF(AND(Q12&lt;=$E$7,N12="A"),1,0)</f>
        <v/>
      </c>
      <c r="S12">
        <f>IF(AND(Q12&lt;=$E$7,N12="B"),1,0)</f>
        <v/>
      </c>
      <c r="T12">
        <f>IF(Q12&lt;=$E$7,1,0)</f>
        <v/>
      </c>
      <c r="Y12" s="4" t="inlineStr">
        <is>
          <t>กล่อง 1"×1"</t>
        </is>
      </c>
    </row>
    <row r="13">
      <c r="A13" s="6" t="inlineStr">
        <is>
          <t>[สลับ] A กี่ท่อน/ชุด →</t>
        </is>
      </c>
      <c r="B13" s="7" t="n">
        <v>3</v>
      </c>
      <c r="G13" s="3" t="inlineStr">
        <is>
          <t>⑥ แผงแก้ค่า (แก้ที่เดียว)</t>
        </is>
      </c>
      <c r="M13" t="n">
        <v>12</v>
      </c>
      <c r="N13">
        <f>IF(MOD(M13-1,$B$13+$B$14)&lt;$B$13,"A","B")</f>
        <v/>
      </c>
      <c r="O13">
        <f>IF(N13="A",$E$5,$H$3)</f>
        <v/>
      </c>
      <c r="P13">
        <f>P12+O13</f>
        <v/>
      </c>
      <c r="Q13">
        <f>P13+(M13-1)*$B$10</f>
        <v/>
      </c>
      <c r="R13">
        <f>IF(AND(Q13&lt;=$E$7,N13="A"),1,0)</f>
        <v/>
      </c>
      <c r="S13">
        <f>IF(AND(Q13&lt;=$E$7,N13="B"),1,0)</f>
        <v/>
      </c>
      <c r="T13">
        <f>IF(Q13&lt;=$E$7,1,0)</f>
        <v/>
      </c>
      <c r="Y13" s="4" t="inlineStr">
        <is>
          <t>กล่อง 1"×1½"</t>
        </is>
      </c>
    </row>
    <row r="14">
      <c r="A14" s="6" t="inlineStr">
        <is>
          <t>[สลับ] B กี่ท่อน/ชุด →</t>
        </is>
      </c>
      <c r="B14" s="7" t="n">
        <v>5</v>
      </c>
      <c r="G14" s="4" t="inlineStr">
        <is>
          <t>หักเสาตั้ง ยัดใน</t>
        </is>
      </c>
      <c r="H14" s="16" t="n">
        <v>15.5</v>
      </c>
      <c r="M14" t="n">
        <v>13</v>
      </c>
      <c r="N14">
        <f>IF(MOD(M14-1,$B$13+$B$14)&lt;$B$13,"A","B")</f>
        <v/>
      </c>
      <c r="O14">
        <f>IF(N14="A",$E$5,$H$3)</f>
        <v/>
      </c>
      <c r="P14">
        <f>P13+O14</f>
        <v/>
      </c>
      <c r="Q14">
        <f>P14+(M14-1)*$B$10</f>
        <v/>
      </c>
      <c r="R14">
        <f>IF(AND(Q14&lt;=$E$7,N14="A"),1,0)</f>
        <v/>
      </c>
      <c r="S14">
        <f>IF(AND(Q14&lt;=$E$7,N14="B"),1,0)</f>
        <v/>
      </c>
      <c r="T14">
        <f>IF(Q14&lt;=$E$7,1,0)</f>
        <v/>
      </c>
      <c r="Y14" s="4" t="inlineStr">
        <is>
          <t>กล่อง 1"×1.6"</t>
        </is>
      </c>
    </row>
    <row r="15">
      <c r="A15" s="3" t="inlineStr">
        <is>
          <t>③ ใบตัด — โครง 2×4 (45°) + หาง + ระแนง</t>
        </is>
      </c>
      <c r="G15" s="4" t="inlineStr">
        <is>
          <t>หักเสาตั้ง แปะนอก</t>
        </is>
      </c>
      <c r="H15" s="16" t="n">
        <v>17.5</v>
      </c>
      <c r="M15" t="n">
        <v>14</v>
      </c>
      <c r="N15">
        <f>IF(MOD(M15-1,$B$13+$B$14)&lt;$B$13,"A","B")</f>
        <v/>
      </c>
      <c r="O15">
        <f>IF(N15="A",$E$5,$H$3)</f>
        <v/>
      </c>
      <c r="P15">
        <f>P14+O15</f>
        <v/>
      </c>
      <c r="Q15">
        <f>P15+(M15-1)*$B$10</f>
        <v/>
      </c>
      <c r="R15">
        <f>IF(AND(Q15&lt;=$E$7,N15="A"),1,0)</f>
        <v/>
      </c>
      <c r="S15">
        <f>IF(AND(Q15&lt;=$E$7,N15="B"),1,0)</f>
        <v/>
      </c>
      <c r="T15">
        <f>IF(Q15&lt;=$E$7,1,0)</f>
        <v/>
      </c>
      <c r="Y15" s="4" t="inlineStr">
        <is>
          <t>กล่อง 1"×4"</t>
        </is>
      </c>
    </row>
    <row r="16">
      <c r="A16" s="11" t="inlineStr">
        <is>
          <t>#</t>
        </is>
      </c>
      <c r="B16" s="11" t="inlineStr">
        <is>
          <t>รายการ</t>
        </is>
      </c>
      <c r="C16" s="11" t="inlineStr">
        <is>
          <t>ยาวตัด(ซม.)</t>
        </is>
      </c>
      <c r="D16" s="11" t="inlineStr">
        <is>
          <t>จำนวน</t>
        </is>
      </c>
      <c r="E16" s="11" t="inlineStr">
        <is>
          <t>ยาวรวม(ซม.)</t>
        </is>
      </c>
      <c r="F16" s="11" t="inlineStr">
        <is>
          <t>หมายเหตุ</t>
        </is>
      </c>
      <c r="G16" s="4" t="inlineStr">
        <is>
          <t>หักใบระแนง ยัดใน</t>
        </is>
      </c>
      <c r="H16" s="16" t="n">
        <v>20.4</v>
      </c>
      <c r="M16" t="n">
        <v>15</v>
      </c>
      <c r="N16">
        <f>IF(MOD(M16-1,$B$13+$B$14)&lt;$B$13,"A","B")</f>
        <v/>
      </c>
      <c r="O16">
        <f>IF(N16="A",$E$5,$H$3)</f>
        <v/>
      </c>
      <c r="P16">
        <f>P15+O16</f>
        <v/>
      </c>
      <c r="Q16">
        <f>P16+(M16-1)*$B$10</f>
        <v/>
      </c>
      <c r="R16">
        <f>IF(AND(Q16&lt;=$E$7,N16="A"),1,0)</f>
        <v/>
      </c>
      <c r="S16">
        <f>IF(AND(Q16&lt;=$E$7,N16="B"),1,0)</f>
        <v/>
      </c>
      <c r="T16">
        <f>IF(Q16&lt;=$E$7,1,0)</f>
        <v/>
      </c>
      <c r="Y16" s="4" t="inlineStr">
        <is>
          <t>กล่อง 1.6"×1.6"</t>
        </is>
      </c>
    </row>
    <row r="17">
      <c r="A17" s="12" t="n">
        <v>1</v>
      </c>
      <c r="B17" s="13" t="inlineStr">
        <is>
          <t>เสาตั้งข้าง (2×4)</t>
        </is>
      </c>
      <c r="C17" s="12">
        <f>E3</f>
        <v/>
      </c>
      <c r="D17" s="12" t="n">
        <v>2</v>
      </c>
      <c r="E17" s="12">
        <f>C17*D17</f>
        <v/>
      </c>
      <c r="F17" s="13" t="inlineStr">
        <is>
          <t>ยัดใน H−15.5 / แปะนอก H−17.5</t>
        </is>
      </c>
      <c r="G17" s="4" t="inlineStr">
        <is>
          <t>บวกใบระแนง แปะนอก</t>
        </is>
      </c>
      <c r="H17" s="16" t="n">
        <v>5</v>
      </c>
      <c r="M17" t="n">
        <v>16</v>
      </c>
      <c r="N17">
        <f>IF(MOD(M17-1,$B$13+$B$14)&lt;$B$13,"A","B")</f>
        <v/>
      </c>
      <c r="O17">
        <f>IF(N17="A",$E$5,$H$3)</f>
        <v/>
      </c>
      <c r="P17">
        <f>P16+O17</f>
        <v/>
      </c>
      <c r="Q17">
        <f>P17+(M17-1)*$B$10</f>
        <v/>
      </c>
      <c r="R17">
        <f>IF(AND(Q17&lt;=$E$7,N17="A"),1,0)</f>
        <v/>
      </c>
      <c r="S17">
        <f>IF(AND(Q17&lt;=$E$7,N17="B"),1,0)</f>
        <v/>
      </c>
      <c r="T17">
        <f>IF(Q17&lt;=$E$7,1,0)</f>
        <v/>
      </c>
      <c r="Y17" s="4" t="inlineStr">
        <is>
          <t>กล่อง 1.6"×4"</t>
        </is>
      </c>
    </row>
    <row r="18">
      <c r="A18" s="12" t="n">
        <v>2</v>
      </c>
      <c r="B18" s="13" t="inlineStr">
        <is>
          <t>เสานอนบน (2×4, รวมหาง)</t>
        </is>
      </c>
      <c r="C18" s="12">
        <f>B4+$H$18</f>
        <v/>
      </c>
      <c r="D18" s="12" t="n">
        <v>1</v>
      </c>
      <c r="E18" s="12">
        <f>C18*D18</f>
        <v/>
      </c>
      <c r="F18" s="13" t="inlineStr">
        <is>
          <t>W+30</t>
        </is>
      </c>
      <c r="G18" s="4" t="inlineStr">
        <is>
          <t>หางยื่น</t>
        </is>
      </c>
      <c r="H18" s="16" t="n">
        <v>30</v>
      </c>
      <c r="M18" t="n">
        <v>17</v>
      </c>
      <c r="N18">
        <f>IF(MOD(M18-1,$B$13+$B$14)&lt;$B$13,"A","B")</f>
        <v/>
      </c>
      <c r="O18">
        <f>IF(N18="A",$E$5,$H$3)</f>
        <v/>
      </c>
      <c r="P18">
        <f>P17+O18</f>
        <v/>
      </c>
      <c r="Q18">
        <f>P18+(M18-1)*$B$10</f>
        <v/>
      </c>
      <c r="R18">
        <f>IF(AND(Q18&lt;=$E$7,N18="A"),1,0)</f>
        <v/>
      </c>
      <c r="S18">
        <f>IF(AND(Q18&lt;=$E$7,N18="B"),1,0)</f>
        <v/>
      </c>
      <c r="T18">
        <f>IF(Q18&lt;=$E$7,1,0)</f>
        <v/>
      </c>
    </row>
    <row r="19">
      <c r="A19" s="12" t="n">
        <v>3</v>
      </c>
      <c r="B19" s="13" t="inlineStr">
        <is>
          <t>เสานอนล่าง (2×4, รวมหาง)</t>
        </is>
      </c>
      <c r="C19" s="12">
        <f>B4+$H$18</f>
        <v/>
      </c>
      <c r="D19" s="12" t="n">
        <v>1</v>
      </c>
      <c r="E19" s="12">
        <f>C19*D19</f>
        <v/>
      </c>
      <c r="F19" s="13" t="inlineStr">
        <is>
          <t>W+30 (เหมือนบน)</t>
        </is>
      </c>
      <c r="G19" s="4" t="inlineStr">
        <is>
          <t>หางหน้าลง</t>
        </is>
      </c>
      <c r="H19" s="16" t="n">
        <v>40</v>
      </c>
      <c r="M19" t="n">
        <v>18</v>
      </c>
      <c r="N19">
        <f>IF(MOD(M19-1,$B$13+$B$14)&lt;$B$13,"A","B")</f>
        <v/>
      </c>
      <c r="O19">
        <f>IF(N19="A",$E$5,$H$3)</f>
        <v/>
      </c>
      <c r="P19">
        <f>P18+O19</f>
        <v/>
      </c>
      <c r="Q19">
        <f>P19+(M19-1)*$B$10</f>
        <v/>
      </c>
      <c r="R19">
        <f>IF(AND(Q19&lt;=$E$7,N19="A"),1,0)</f>
        <v/>
      </c>
      <c r="S19">
        <f>IF(AND(Q19&lt;=$E$7,N19="B"),1,0)</f>
        <v/>
      </c>
      <c r="T19">
        <f>IF(Q19&lt;=$E$7,1,0)</f>
        <v/>
      </c>
    </row>
    <row r="20">
      <c r="A20" s="12" t="n">
        <v>4</v>
      </c>
      <c r="B20" s="13" t="inlineStr">
        <is>
          <t>เสาตั้งท้ายหาง (2×4)</t>
        </is>
      </c>
      <c r="C20" s="12">
        <f>E3</f>
        <v/>
      </c>
      <c r="D20" s="12" t="n">
        <v>1</v>
      </c>
      <c r="E20" s="12">
        <f>C20*D20</f>
        <v/>
      </c>
      <c r="F20" s="13" t="inlineStr">
        <is>
          <t>เท่าเสาตั้ง</t>
        </is>
      </c>
      <c r="G20" s="4" t="inlineStr">
        <is>
          <t>หางท้ายลง</t>
        </is>
      </c>
      <c r="H20" s="16" t="n">
        <v>15</v>
      </c>
      <c r="M20" t="n">
        <v>19</v>
      </c>
      <c r="N20">
        <f>IF(MOD(M20-1,$B$13+$B$14)&lt;$B$13,"A","B")</f>
        <v/>
      </c>
      <c r="O20">
        <f>IF(N20="A",$E$5,$H$3)</f>
        <v/>
      </c>
      <c r="P20">
        <f>P19+O20</f>
        <v/>
      </c>
      <c r="Q20">
        <f>P20+(M20-1)*$B$10</f>
        <v/>
      </c>
      <c r="R20">
        <f>IF(AND(Q20&lt;=$E$7,N20="A"),1,0)</f>
        <v/>
      </c>
      <c r="S20">
        <f>IF(AND(Q20&lt;=$E$7,N20="B"),1,0)</f>
        <v/>
      </c>
      <c r="T20">
        <f>IF(Q20&lt;=$E$7,1,0)</f>
        <v/>
      </c>
    </row>
    <row r="21">
      <c r="A21" s="12" t="n">
        <v>5</v>
      </c>
      <c r="B21" s="13" t="inlineStr">
        <is>
          <t>เส้นทแยงค้ำมุมบน (2×4)</t>
        </is>
      </c>
      <c r="C21" s="12">
        <f>E12</f>
        <v/>
      </c>
      <c r="D21" s="12" t="n">
        <v>1</v>
      </c>
      <c r="E21" s="12">
        <f>C21*D21</f>
        <v/>
      </c>
      <c r="F21" s="13" t="inlineStr">
        <is>
          <t>√(30²+25²) หน้า40→ท้าย15</t>
        </is>
      </c>
      <c r="G21" s="4" t="inlineStr">
        <is>
          <t>บวกเสารับ แปะนอก</t>
        </is>
      </c>
      <c r="H21" s="16" t="n">
        <v>5</v>
      </c>
      <c r="M21" t="n">
        <v>20</v>
      </c>
      <c r="N21">
        <f>IF(MOD(M21-1,$B$13+$B$14)&lt;$B$13,"A","B")</f>
        <v/>
      </c>
      <c r="O21">
        <f>IF(N21="A",$E$5,$H$3)</f>
        <v/>
      </c>
      <c r="P21">
        <f>P20+O21</f>
        <v/>
      </c>
      <c r="Q21">
        <f>P21+(M21-1)*$B$10</f>
        <v/>
      </c>
      <c r="R21">
        <f>IF(AND(Q21&lt;=$E$7,N21="A"),1,0)</f>
        <v/>
      </c>
      <c r="S21">
        <f>IF(AND(Q21&lt;=$E$7,N21="B"),1,0)</f>
        <v/>
      </c>
      <c r="T21">
        <f>IF(Q21&lt;=$E$7,1,0)</f>
        <v/>
      </c>
    </row>
    <row r="22">
      <c r="A22" s="12" t="n">
        <v>6</v>
      </c>
      <c r="B22" s="13">
        <f>IF(B7="ระแนงสลับ",B8&amp;" — A (สลับ)",B8&amp;" (ใบระแนง)")</f>
        <v/>
      </c>
      <c r="C22" s="12">
        <f>E8</f>
        <v/>
      </c>
      <c r="D22" s="12">
        <f>IF(B7="ระแนงสลับ",H5,E10)</f>
        <v/>
      </c>
      <c r="E22" s="12">
        <f>C22*D22</f>
        <v/>
      </c>
      <c r="F22" s="13" t="inlineStr">
        <is>
          <t>แนว=B6 · คิดแค่ช่อง</t>
        </is>
      </c>
      <c r="G22" s="4" t="inlineStr">
        <is>
          <t>หักราง</t>
        </is>
      </c>
      <c r="H22" s="16" t="n">
        <v>50</v>
      </c>
      <c r="M22" t="n">
        <v>21</v>
      </c>
      <c r="N22">
        <f>IF(MOD(M22-1,$B$13+$B$14)&lt;$B$13,"A","B")</f>
        <v/>
      </c>
      <c r="O22">
        <f>IF(N22="A",$E$5,$H$3)</f>
        <v/>
      </c>
      <c r="P22">
        <f>P21+O22</f>
        <v/>
      </c>
      <c r="Q22">
        <f>P22+(M22-1)*$B$10</f>
        <v/>
      </c>
      <c r="R22">
        <f>IF(AND(Q22&lt;=$E$7,N22="A"),1,0)</f>
        <v/>
      </c>
      <c r="S22">
        <f>IF(AND(Q22&lt;=$E$7,N22="B"),1,0)</f>
        <v/>
      </c>
      <c r="T22">
        <f>IF(Q22&lt;=$E$7,1,0)</f>
        <v/>
      </c>
    </row>
    <row r="23">
      <c r="A23" s="12" t="n">
        <v>7</v>
      </c>
      <c r="B23" s="13">
        <f>B11&amp;" — B (สลับ)"</f>
        <v/>
      </c>
      <c r="C23" s="12">
        <f>IF(B7="ระแนงสลับ",E8,0)</f>
        <v/>
      </c>
      <c r="D23" s="12">
        <f>IF(B7="ระแนงสลับ",H6,0)</f>
        <v/>
      </c>
      <c r="E23" s="12">
        <f>C23*D23</f>
        <v/>
      </c>
      <c r="F23" s="13" t="inlineStr">
        <is>
          <t>เฉพาะระแนงสลับ · ยาวเท่า A</t>
        </is>
      </c>
      <c r="G23" s="4" t="inlineStr">
        <is>
          <t>ยาวเส้นสต็อก(ซม.)</t>
        </is>
      </c>
      <c r="H23" s="16" t="n">
        <v>600</v>
      </c>
      <c r="M23" t="n">
        <v>22</v>
      </c>
      <c r="N23">
        <f>IF(MOD(M23-1,$B$13+$B$14)&lt;$B$13,"A","B")</f>
        <v/>
      </c>
      <c r="O23">
        <f>IF(N23="A",$E$5,$H$3)</f>
        <v/>
      </c>
      <c r="P23">
        <f>P22+O23</f>
        <v/>
      </c>
      <c r="Q23">
        <f>P23+(M23-1)*$B$10</f>
        <v/>
      </c>
      <c r="R23">
        <f>IF(AND(Q23&lt;=$E$7,N23="A"),1,0)</f>
        <v/>
      </c>
      <c r="S23">
        <f>IF(AND(Q23&lt;=$E$7,N23="B"),1,0)</f>
        <v/>
      </c>
      <c r="T23">
        <f>IF(Q23&lt;=$E$7,1,0)</f>
        <v/>
      </c>
    </row>
    <row r="24">
      <c r="A24" s="12" t="n">
        <v>8</v>
      </c>
      <c r="B24" s="13" t="inlineStr">
        <is>
          <t>ฉากข้อ 2" (เฉพาะแปะนอก)</t>
        </is>
      </c>
      <c r="C24" s="12">
        <f>E4</f>
        <v/>
      </c>
      <c r="D24" s="12">
        <f>IF(B3="แปะนอก",1,0)</f>
        <v/>
      </c>
      <c r="E24" s="12">
        <f>C24*D24</f>
        <v/>
      </c>
      <c r="F24" s="13" t="inlineStr">
        <is>
          <t>ยาว=เสานอน(W)</t>
        </is>
      </c>
      <c r="M24" t="n">
        <v>23</v>
      </c>
      <c r="N24">
        <f>IF(MOD(M24-1,$B$13+$B$14)&lt;$B$13,"A","B")</f>
        <v/>
      </c>
      <c r="O24">
        <f>IF(N24="A",$E$5,$H$3)</f>
        <v/>
      </c>
      <c r="P24">
        <f>P23+O24</f>
        <v/>
      </c>
      <c r="Q24">
        <f>P24+(M24-1)*$B$10</f>
        <v/>
      </c>
      <c r="R24">
        <f>IF(AND(Q24&lt;=$E$7,N24="A"),1,0)</f>
        <v/>
      </c>
      <c r="S24">
        <f>IF(AND(Q24&lt;=$E$7,N24="B"),1,0)</f>
        <v/>
      </c>
      <c r="T24">
        <f>IF(Q24&lt;=$E$7,1,0)</f>
        <v/>
      </c>
    </row>
    <row r="25">
      <c r="A25" s="12" t="n">
        <v>9</v>
      </c>
      <c r="B25" s="13" t="inlineStr">
        <is>
          <t>เสารับไกด์ (4×4) — เสาแยก</t>
        </is>
      </c>
      <c r="C25" s="12">
        <f>IF(B3="ยัดใน",B5,B5+$H$21)</f>
        <v/>
      </c>
      <c r="D25" s="12" t="n">
        <v>1</v>
      </c>
      <c r="E25" s="12">
        <f>C25*D25</f>
        <v/>
      </c>
      <c r="F25" s="13" t="inlineStr">
        <is>
          <t>ยัดใน H / แปะนอก H+5</t>
        </is>
      </c>
      <c r="M25" t="n">
        <v>24</v>
      </c>
      <c r="N25">
        <f>IF(MOD(M25-1,$B$13+$B$14)&lt;$B$13,"A","B")</f>
        <v/>
      </c>
      <c r="O25">
        <f>IF(N25="A",$E$5,$H$3)</f>
        <v/>
      </c>
      <c r="P25">
        <f>P24+O25</f>
        <v/>
      </c>
      <c r="Q25">
        <f>P25+(M25-1)*$B$10</f>
        <v/>
      </c>
      <c r="R25">
        <f>IF(AND(Q25&lt;=$E$7,N25="A"),1,0)</f>
        <v/>
      </c>
      <c r="S25">
        <f>IF(AND(Q25&lt;=$E$7,N25="B"),1,0)</f>
        <v/>
      </c>
      <c r="T25">
        <f>IF(Q25&lt;=$E$7,1,0)</f>
        <v/>
      </c>
    </row>
    <row r="26">
      <c r="A26" s="12" t="n">
        <v>10</v>
      </c>
      <c r="B26" s="13" t="inlineStr">
        <is>
          <t>ราง ฉากเหล็ก 1.5"+เพลา 4หุน</t>
        </is>
      </c>
      <c r="C26" s="12">
        <f>B4*2-$H$22</f>
        <v/>
      </c>
      <c r="D26" s="12" t="n">
        <v>1</v>
      </c>
      <c r="E26" s="12">
        <f>C26*D26</f>
        <v/>
      </c>
      <c r="F26" s="13" t="inlineStr">
        <is>
          <t>ยาว=กว้าง×2−50</t>
        </is>
      </c>
      <c r="M26" t="n">
        <v>25</v>
      </c>
      <c r="N26">
        <f>IF(MOD(M26-1,$B$13+$B$14)&lt;$B$13,"A","B")</f>
        <v/>
      </c>
      <c r="O26">
        <f>IF(N26="A",$E$5,$H$3)</f>
        <v/>
      </c>
      <c r="P26">
        <f>P25+O26</f>
        <v/>
      </c>
      <c r="Q26">
        <f>P26+(M26-1)*$B$10</f>
        <v/>
      </c>
      <c r="R26">
        <f>IF(AND(Q26&lt;=$E$7,N26="A"),1,0)</f>
        <v/>
      </c>
      <c r="S26">
        <f>IF(AND(Q26&lt;=$E$7,N26="B"),1,0)</f>
        <v/>
      </c>
      <c r="T26">
        <f>IF(Q26&lt;=$E$7,1,0)</f>
        <v/>
      </c>
    </row>
    <row r="27">
      <c r="M27" t="n">
        <v>26</v>
      </c>
      <c r="N27">
        <f>IF(MOD(M27-1,$B$13+$B$14)&lt;$B$13,"A","B")</f>
        <v/>
      </c>
      <c r="O27">
        <f>IF(N27="A",$E$5,$H$3)</f>
        <v/>
      </c>
      <c r="P27">
        <f>P26+O27</f>
        <v/>
      </c>
      <c r="Q27">
        <f>P27+(M27-1)*$B$10</f>
        <v/>
      </c>
      <c r="R27">
        <f>IF(AND(Q27&lt;=$E$7,N27="A"),1,0)</f>
        <v/>
      </c>
      <c r="S27">
        <f>IF(AND(Q27&lt;=$E$7,N27="B"),1,0)</f>
        <v/>
      </c>
      <c r="T27">
        <f>IF(Q27&lt;=$E$7,1,0)</f>
        <v/>
      </c>
    </row>
    <row r="28">
      <c r="A28" s="3" t="inlineStr">
        <is>
          <t>④ สรุปจำนวนเส้น (ท่อน 6 ม.)</t>
        </is>
      </c>
      <c r="M28" t="n">
        <v>27</v>
      </c>
      <c r="N28">
        <f>IF(MOD(M28-1,$B$13+$B$14)&lt;$B$13,"A","B")</f>
        <v/>
      </c>
      <c r="O28">
        <f>IF(N28="A",$E$5,$H$3)</f>
        <v/>
      </c>
      <c r="P28">
        <f>P27+O28</f>
        <v/>
      </c>
      <c r="Q28">
        <f>P28+(M28-1)*$B$10</f>
        <v/>
      </c>
      <c r="R28">
        <f>IF(AND(Q28&lt;=$E$7,N28="A"),1,0)</f>
        <v/>
      </c>
      <c r="S28">
        <f>IF(AND(Q28&lt;=$E$7,N28="B"),1,0)</f>
        <v/>
      </c>
      <c r="T28">
        <f>IF(Q28&lt;=$E$7,1,0)</f>
        <v/>
      </c>
    </row>
    <row r="29">
      <c r="A29" s="11" t="inlineStr">
        <is>
          <t>โปรไฟล์</t>
        </is>
      </c>
      <c r="B29" s="11" t="inlineStr">
        <is>
          <t>เส้น/ชุด</t>
        </is>
      </c>
      <c r="C29" s="11" t="inlineStr">
        <is>
          <t>ที่มา</t>
        </is>
      </c>
      <c r="M29" t="n">
        <v>28</v>
      </c>
      <c r="N29">
        <f>IF(MOD(M29-1,$B$13+$B$14)&lt;$B$13,"A","B")</f>
        <v/>
      </c>
      <c r="O29">
        <f>IF(N29="A",$E$5,$H$3)</f>
        <v/>
      </c>
      <c r="P29">
        <f>P28+O29</f>
        <v/>
      </c>
      <c r="Q29">
        <f>P29+(M29-1)*$B$10</f>
        <v/>
      </c>
      <c r="R29">
        <f>IF(AND(Q29&lt;=$E$7,N29="A"),1,0)</f>
        <v/>
      </c>
      <c r="S29">
        <f>IF(AND(Q29&lt;=$E$7,N29="B"),1,0)</f>
        <v/>
      </c>
      <c r="T29">
        <f>IF(Q29&lt;=$E$7,1,0)</f>
        <v/>
      </c>
    </row>
    <row r="30">
      <c r="A30" s="13" t="inlineStr">
        <is>
          <t>กล่อง 2×4 (โครง+หาง)</t>
        </is>
      </c>
      <c r="B30" s="14">
        <f>ROUNDUP(SUM(E17:E21)/$H$23,0)</f>
        <v/>
      </c>
      <c r="C30" s="13" t="inlineStr">
        <is>
          <t>เสาตั้ง+นอน+ท้าย+ทแยง</t>
        </is>
      </c>
      <c r="M30" t="n">
        <v>29</v>
      </c>
      <c r="N30">
        <f>IF(MOD(M30-1,$B$13+$B$14)&lt;$B$13,"A","B")</f>
        <v/>
      </c>
      <c r="O30">
        <f>IF(N30="A",$E$5,$H$3)</f>
        <v/>
      </c>
      <c r="P30">
        <f>P29+O30</f>
        <v/>
      </c>
      <c r="Q30">
        <f>P30+(M30-1)*$B$10</f>
        <v/>
      </c>
      <c r="R30">
        <f>IF(AND(Q30&lt;=$E$7,N30="A"),1,0)</f>
        <v/>
      </c>
      <c r="S30">
        <f>IF(AND(Q30&lt;=$E$7,N30="B"),1,0)</f>
        <v/>
      </c>
      <c r="T30">
        <f>IF(Q30&lt;=$E$7,1,0)</f>
        <v/>
      </c>
    </row>
    <row r="31">
      <c r="A31" s="13" t="inlineStr">
        <is>
          <t>ใบระแนง A</t>
        </is>
      </c>
      <c r="B31" s="14">
        <f>ROUNDUP(E22/$H$23,0)</f>
        <v/>
      </c>
      <c r="C31" s="13" t="inlineStr">
        <is>
          <t>ยาวใบ×จำนวน A</t>
        </is>
      </c>
      <c r="M31" t="n">
        <v>30</v>
      </c>
      <c r="N31">
        <f>IF(MOD(M31-1,$B$13+$B$14)&lt;$B$13,"A","B")</f>
        <v/>
      </c>
      <c r="O31">
        <f>IF(N31="A",$E$5,$H$3)</f>
        <v/>
      </c>
      <c r="P31">
        <f>P30+O31</f>
        <v/>
      </c>
      <c r="Q31">
        <f>P31+(M31-1)*$B$10</f>
        <v/>
      </c>
      <c r="R31">
        <f>IF(AND(Q31&lt;=$E$7,N31="A"),1,0)</f>
        <v/>
      </c>
      <c r="S31">
        <f>IF(AND(Q31&lt;=$E$7,N31="B"),1,0)</f>
        <v/>
      </c>
      <c r="T31">
        <f>IF(Q31&lt;=$E$7,1,0)</f>
        <v/>
      </c>
    </row>
    <row r="32">
      <c r="A32" s="13" t="inlineStr">
        <is>
          <t>ใบระแนง B (สลับ)</t>
        </is>
      </c>
      <c r="B32" s="14">
        <f>ROUNDUP(E23/$H$23,0)</f>
        <v/>
      </c>
      <c r="C32" s="13" t="inlineStr">
        <is>
          <t>เฉพาะระแนงสลับ</t>
        </is>
      </c>
      <c r="M32" t="n">
        <v>31</v>
      </c>
      <c r="N32">
        <f>IF(MOD(M32-1,$B$13+$B$14)&lt;$B$13,"A","B")</f>
        <v/>
      </c>
      <c r="O32">
        <f>IF(N32="A",$E$5,$H$3)</f>
        <v/>
      </c>
      <c r="P32">
        <f>P31+O32</f>
        <v/>
      </c>
      <c r="Q32">
        <f>P32+(M32-1)*$B$10</f>
        <v/>
      </c>
      <c r="R32">
        <f>IF(AND(Q32&lt;=$E$7,N32="A"),1,0)</f>
        <v/>
      </c>
      <c r="S32">
        <f>IF(AND(Q32&lt;=$E$7,N32="B"),1,0)</f>
        <v/>
      </c>
      <c r="T32">
        <f>IF(Q32&lt;=$E$7,1,0)</f>
        <v/>
      </c>
    </row>
    <row r="33">
      <c r="A33" s="13" t="inlineStr">
        <is>
          <t>ฉากข้อ 2" (แปะนอก)</t>
        </is>
      </c>
      <c r="B33" s="14">
        <f>ROUNDUP(E24/$H$23,0)</f>
        <v/>
      </c>
      <c r="C33" s="13" t="inlineStr">
        <is>
          <t>เฉพาะแปะนอก</t>
        </is>
      </c>
      <c r="M33" t="n">
        <v>32</v>
      </c>
      <c r="N33">
        <f>IF(MOD(M33-1,$B$13+$B$14)&lt;$B$13,"A","B")</f>
        <v/>
      </c>
      <c r="O33">
        <f>IF(N33="A",$E$5,$H$3)</f>
        <v/>
      </c>
      <c r="P33">
        <f>P32+O33</f>
        <v/>
      </c>
      <c r="Q33">
        <f>P33+(M33-1)*$B$10</f>
        <v/>
      </c>
      <c r="R33">
        <f>IF(AND(Q33&lt;=$E$7,N33="A"),1,0)</f>
        <v/>
      </c>
      <c r="S33">
        <f>IF(AND(Q33&lt;=$E$7,N33="B"),1,0)</f>
        <v/>
      </c>
      <c r="T33">
        <f>IF(Q33&lt;=$E$7,1,0)</f>
        <v/>
      </c>
    </row>
    <row r="34">
      <c r="A34" s="13" t="inlineStr">
        <is>
          <t>เสารับไกด์ 4×4</t>
        </is>
      </c>
      <c r="B34" s="14">
        <f>ROUNDUP(E25/$H$23,0)</f>
        <v/>
      </c>
      <c r="C34" s="13" t="inlineStr">
        <is>
          <t>เสาแยก</t>
        </is>
      </c>
      <c r="M34" t="n">
        <v>33</v>
      </c>
      <c r="N34">
        <f>IF(MOD(M34-1,$B$13+$B$14)&lt;$B$13,"A","B")</f>
        <v/>
      </c>
      <c r="O34">
        <f>IF(N34="A",$E$5,$H$3)</f>
        <v/>
      </c>
      <c r="P34">
        <f>P33+O34</f>
        <v/>
      </c>
      <c r="Q34">
        <f>P34+(M34-1)*$B$10</f>
        <v/>
      </c>
      <c r="R34">
        <f>IF(AND(Q34&lt;=$E$7,N34="A"),1,0)</f>
        <v/>
      </c>
      <c r="S34">
        <f>IF(AND(Q34&lt;=$E$7,N34="B"),1,0)</f>
        <v/>
      </c>
      <c r="T34">
        <f>IF(Q34&lt;=$E$7,1,0)</f>
        <v/>
      </c>
    </row>
    <row r="35">
      <c r="A35" s="13" t="inlineStr">
        <is>
          <t>ราง (ชุด 6 ม.)</t>
        </is>
      </c>
      <c r="B35" s="14">
        <f>ROUNDUP(E26/$H$23,0)</f>
        <v/>
      </c>
      <c r="C35" s="13" t="inlineStr">
        <is>
          <t>กว้าง×2−50</t>
        </is>
      </c>
      <c r="M35" t="n">
        <v>34</v>
      </c>
      <c r="N35">
        <f>IF(MOD(M35-1,$B$13+$B$14)&lt;$B$13,"A","B")</f>
        <v/>
      </c>
      <c r="O35">
        <f>IF(N35="A",$E$5,$H$3)</f>
        <v/>
      </c>
      <c r="P35">
        <f>P34+O35</f>
        <v/>
      </c>
      <c r="Q35">
        <f>P35+(M35-1)*$B$10</f>
        <v/>
      </c>
      <c r="R35">
        <f>IF(AND(Q35&lt;=$E$7,N35="A"),1,0)</f>
        <v/>
      </c>
      <c r="S35">
        <f>IF(AND(Q35&lt;=$E$7,N35="B"),1,0)</f>
        <v/>
      </c>
      <c r="T35">
        <f>IF(Q35&lt;=$E$7,1,0)</f>
        <v/>
      </c>
    </row>
    <row r="36">
      <c r="M36" t="n">
        <v>35</v>
      </c>
      <c r="N36">
        <f>IF(MOD(M36-1,$B$13+$B$14)&lt;$B$13,"A","B")</f>
        <v/>
      </c>
      <c r="O36">
        <f>IF(N36="A",$E$5,$H$3)</f>
        <v/>
      </c>
      <c r="P36">
        <f>P35+O36</f>
        <v/>
      </c>
      <c r="Q36">
        <f>P36+(M36-1)*$B$10</f>
        <v/>
      </c>
      <c r="R36">
        <f>IF(AND(Q36&lt;=$E$7,N36="A"),1,0)</f>
        <v/>
      </c>
      <c r="S36">
        <f>IF(AND(Q36&lt;=$E$7,N36="B"),1,0)</f>
        <v/>
      </c>
      <c r="T36">
        <f>IF(Q36&lt;=$E$7,1,0)</f>
        <v/>
      </c>
    </row>
    <row r="37">
      <c r="A37" s="3" t="inlineStr">
        <is>
          <t>⑤ อุปกรณ์ (ต่อ 1 ประตู)</t>
        </is>
      </c>
      <c r="M37" t="n">
        <v>36</v>
      </c>
      <c r="N37">
        <f>IF(MOD(M37-1,$B$13+$B$14)&lt;$B$13,"A","B")</f>
        <v/>
      </c>
      <c r="O37">
        <f>IF(N37="A",$E$5,$H$3)</f>
        <v/>
      </c>
      <c r="P37">
        <f>P36+O37</f>
        <v/>
      </c>
      <c r="Q37">
        <f>P37+(M37-1)*$B$10</f>
        <v/>
      </c>
      <c r="R37">
        <f>IF(AND(Q37&lt;=$E$7,N37="A"),1,0)</f>
        <v/>
      </c>
      <c r="S37">
        <f>IF(AND(Q37&lt;=$E$7,N37="B"),1,0)</f>
        <v/>
      </c>
      <c r="T37">
        <f>IF(Q37&lt;=$E$7,1,0)</f>
        <v/>
      </c>
    </row>
    <row r="38">
      <c r="B38" s="13" t="inlineStr">
        <is>
          <t>ล้อวิ่ง 3"</t>
        </is>
      </c>
      <c r="D38" s="12" t="n">
        <v>2</v>
      </c>
      <c r="M38" t="n">
        <v>37</v>
      </c>
      <c r="N38">
        <f>IF(MOD(M38-1,$B$13+$B$14)&lt;$B$13,"A","B")</f>
        <v/>
      </c>
      <c r="O38">
        <f>IF(N38="A",$E$5,$H$3)</f>
        <v/>
      </c>
      <c r="P38">
        <f>P37+O38</f>
        <v/>
      </c>
      <c r="Q38">
        <f>P38+(M38-1)*$B$10</f>
        <v/>
      </c>
      <c r="R38">
        <f>IF(AND(Q38&lt;=$E$7,N38="A"),1,0)</f>
        <v/>
      </c>
      <c r="S38">
        <f>IF(AND(Q38&lt;=$E$7,N38="B"),1,0)</f>
        <v/>
      </c>
      <c r="T38">
        <f>IF(Q38&lt;=$E$7,1,0)</f>
        <v/>
      </c>
    </row>
    <row r="39">
      <c r="B39" s="13" t="inlineStr">
        <is>
          <t>ล้อไกด์ประคองหลัง</t>
        </is>
      </c>
      <c r="D39" s="12" t="n">
        <v>4</v>
      </c>
      <c r="M39" t="n">
        <v>38</v>
      </c>
      <c r="N39">
        <f>IF(MOD(M39-1,$B$13+$B$14)&lt;$B$13,"A","B")</f>
        <v/>
      </c>
      <c r="O39">
        <f>IF(N39="A",$E$5,$H$3)</f>
        <v/>
      </c>
      <c r="P39">
        <f>P38+O39</f>
        <v/>
      </c>
      <c r="Q39">
        <f>P39+(M39-1)*$B$10</f>
        <v/>
      </c>
      <c r="R39">
        <f>IF(AND(Q39&lt;=$E$7,N39="A"),1,0)</f>
        <v/>
      </c>
      <c r="S39">
        <f>IF(AND(Q39&lt;=$E$7,N39="B"),1,0)</f>
        <v/>
      </c>
      <c r="T39">
        <f>IF(Q39&lt;=$E$7,1,0)</f>
        <v/>
      </c>
    </row>
    <row r="40">
      <c r="B40" s="13" t="inlineStr">
        <is>
          <t>มอเตอร์ (ออปชั่น)</t>
        </is>
      </c>
      <c r="D40" s="12" t="inlineStr">
        <is>
          <t>ดูคิดทุน</t>
        </is>
      </c>
      <c r="M40" t="n">
        <v>39</v>
      </c>
      <c r="N40">
        <f>IF(MOD(M40-1,$B$13+$B$14)&lt;$B$13,"A","B")</f>
        <v/>
      </c>
      <c r="O40">
        <f>IF(N40="A",$E$5,$H$3)</f>
        <v/>
      </c>
      <c r="P40">
        <f>P39+O40</f>
        <v/>
      </c>
      <c r="Q40">
        <f>P40+(M40-1)*$B$10</f>
        <v/>
      </c>
      <c r="R40">
        <f>IF(AND(Q40&lt;=$E$7,N40="A"),1,0)</f>
        <v/>
      </c>
      <c r="S40">
        <f>IF(AND(Q40&lt;=$E$7,N40="B"),1,0)</f>
        <v/>
      </c>
      <c r="T40">
        <f>IF(Q40&lt;=$E$7,1,0)</f>
        <v/>
      </c>
    </row>
    <row r="41">
      <c r="B41" s="13" t="inlineStr">
        <is>
          <t>รีโมท (ออปชั่น)</t>
        </is>
      </c>
      <c r="D41" s="12" t="inlineStr">
        <is>
          <t>ตามจำนวน</t>
        </is>
      </c>
      <c r="M41" t="n">
        <v>40</v>
      </c>
      <c r="N41">
        <f>IF(MOD(M41-1,$B$13+$B$14)&lt;$B$13,"A","B")</f>
        <v/>
      </c>
      <c r="O41">
        <f>IF(N41="A",$E$5,$H$3)</f>
        <v/>
      </c>
      <c r="P41">
        <f>P40+O41</f>
        <v/>
      </c>
      <c r="Q41">
        <f>P41+(M41-1)*$B$10</f>
        <v/>
      </c>
      <c r="R41">
        <f>IF(AND(Q41&lt;=$E$7,N41="A"),1,0)</f>
        <v/>
      </c>
      <c r="S41">
        <f>IF(AND(Q41&lt;=$E$7,N41="B"),1,0)</f>
        <v/>
      </c>
      <c r="T41">
        <f>IF(Q41&lt;=$E$7,1,0)</f>
        <v/>
      </c>
    </row>
    <row r="42">
      <c r="M42" t="n">
        <v>41</v>
      </c>
      <c r="N42">
        <f>IF(MOD(M42-1,$B$13+$B$14)&lt;$B$13,"A","B")</f>
        <v/>
      </c>
      <c r="O42">
        <f>IF(N42="A",$E$5,$H$3)</f>
        <v/>
      </c>
      <c r="P42">
        <f>P41+O42</f>
        <v/>
      </c>
      <c r="Q42">
        <f>P42+(M42-1)*$B$10</f>
        <v/>
      </c>
      <c r="R42">
        <f>IF(AND(Q42&lt;=$E$7,N42="A"),1,0)</f>
        <v/>
      </c>
      <c r="S42">
        <f>IF(AND(Q42&lt;=$E$7,N42="B"),1,0)</f>
        <v/>
      </c>
      <c r="T42">
        <f>IF(Q42&lt;=$E$7,1,0)</f>
        <v/>
      </c>
    </row>
    <row r="43">
      <c r="A43" s="15" t="inlineStr">
        <is>
          <t>หมายเหตุ: ระแนงเริ่ม-จบชิดขอบ (÷ใบ−1) · สลับ=A/B วางสลับชุด · หางไม่มีระแนง · ราคาดูชีทคิดทุน</t>
        </is>
      </c>
      <c r="M43" t="n">
        <v>42</v>
      </c>
      <c r="N43">
        <f>IF(MOD(M43-1,$B$13+$B$14)&lt;$B$13,"A","B")</f>
        <v/>
      </c>
      <c r="O43">
        <f>IF(N43="A",$E$5,$H$3)</f>
        <v/>
      </c>
      <c r="P43">
        <f>P42+O43</f>
        <v/>
      </c>
      <c r="Q43">
        <f>P43+(M43-1)*$B$10</f>
        <v/>
      </c>
      <c r="R43">
        <f>IF(AND(Q43&lt;=$E$7,N43="A"),1,0)</f>
        <v/>
      </c>
      <c r="S43">
        <f>IF(AND(Q43&lt;=$E$7,N43="B"),1,0)</f>
        <v/>
      </c>
      <c r="T43">
        <f>IF(Q43&lt;=$E$7,1,0)</f>
        <v/>
      </c>
    </row>
    <row r="44">
      <c r="M44" t="n">
        <v>43</v>
      </c>
      <c r="N44">
        <f>IF(MOD(M44-1,$B$13+$B$14)&lt;$B$13,"A","B")</f>
        <v/>
      </c>
      <c r="O44">
        <f>IF(N44="A",$E$5,$H$3)</f>
        <v/>
      </c>
      <c r="P44">
        <f>P43+O44</f>
        <v/>
      </c>
      <c r="Q44">
        <f>P44+(M44-1)*$B$10</f>
        <v/>
      </c>
      <c r="R44">
        <f>IF(AND(Q44&lt;=$E$7,N44="A"),1,0)</f>
        <v/>
      </c>
      <c r="S44">
        <f>IF(AND(Q44&lt;=$E$7,N44="B"),1,0)</f>
        <v/>
      </c>
      <c r="T44">
        <f>IF(Q44&lt;=$E$7,1,0)</f>
        <v/>
      </c>
    </row>
    <row r="45">
      <c r="M45" t="n">
        <v>44</v>
      </c>
      <c r="N45">
        <f>IF(MOD(M45-1,$B$13+$B$14)&lt;$B$13,"A","B")</f>
        <v/>
      </c>
      <c r="O45">
        <f>IF(N45="A",$E$5,$H$3)</f>
        <v/>
      </c>
      <c r="P45">
        <f>P44+O45</f>
        <v/>
      </c>
      <c r="Q45">
        <f>P45+(M45-1)*$B$10</f>
        <v/>
      </c>
      <c r="R45">
        <f>IF(AND(Q45&lt;=$E$7,N45="A"),1,0)</f>
        <v/>
      </c>
      <c r="S45">
        <f>IF(AND(Q45&lt;=$E$7,N45="B"),1,0)</f>
        <v/>
      </c>
      <c r="T45">
        <f>IF(Q45&lt;=$E$7,1,0)</f>
        <v/>
      </c>
    </row>
    <row r="46">
      <c r="M46" t="n">
        <v>45</v>
      </c>
      <c r="N46">
        <f>IF(MOD(M46-1,$B$13+$B$14)&lt;$B$13,"A","B")</f>
        <v/>
      </c>
      <c r="O46">
        <f>IF(N46="A",$E$5,$H$3)</f>
        <v/>
      </c>
      <c r="P46">
        <f>P45+O46</f>
        <v/>
      </c>
      <c r="Q46">
        <f>P46+(M46-1)*$B$10</f>
        <v/>
      </c>
      <c r="R46">
        <f>IF(AND(Q46&lt;=$E$7,N46="A"),1,0)</f>
        <v/>
      </c>
      <c r="S46">
        <f>IF(AND(Q46&lt;=$E$7,N46="B"),1,0)</f>
        <v/>
      </c>
      <c r="T46">
        <f>IF(Q46&lt;=$E$7,1,0)</f>
        <v/>
      </c>
    </row>
    <row r="47">
      <c r="M47" t="n">
        <v>46</v>
      </c>
      <c r="N47">
        <f>IF(MOD(M47-1,$B$13+$B$14)&lt;$B$13,"A","B")</f>
        <v/>
      </c>
      <c r="O47">
        <f>IF(N47="A",$E$5,$H$3)</f>
        <v/>
      </c>
      <c r="P47">
        <f>P46+O47</f>
        <v/>
      </c>
      <c r="Q47">
        <f>P47+(M47-1)*$B$10</f>
        <v/>
      </c>
      <c r="R47">
        <f>IF(AND(Q47&lt;=$E$7,N47="A"),1,0)</f>
        <v/>
      </c>
      <c r="S47">
        <f>IF(AND(Q47&lt;=$E$7,N47="B"),1,0)</f>
        <v/>
      </c>
      <c r="T47">
        <f>IF(Q47&lt;=$E$7,1,0)</f>
        <v/>
      </c>
    </row>
    <row r="48">
      <c r="M48" t="n">
        <v>47</v>
      </c>
      <c r="N48">
        <f>IF(MOD(M48-1,$B$13+$B$14)&lt;$B$13,"A","B")</f>
        <v/>
      </c>
      <c r="O48">
        <f>IF(N48="A",$E$5,$H$3)</f>
        <v/>
      </c>
      <c r="P48">
        <f>P47+O48</f>
        <v/>
      </c>
      <c r="Q48">
        <f>P48+(M48-1)*$B$10</f>
        <v/>
      </c>
      <c r="R48">
        <f>IF(AND(Q48&lt;=$E$7,N48="A"),1,0)</f>
        <v/>
      </c>
      <c r="S48">
        <f>IF(AND(Q48&lt;=$E$7,N48="B"),1,0)</f>
        <v/>
      </c>
      <c r="T48">
        <f>IF(Q48&lt;=$E$7,1,0)</f>
        <v/>
      </c>
    </row>
    <row r="49">
      <c r="M49" t="n">
        <v>48</v>
      </c>
      <c r="N49">
        <f>IF(MOD(M49-1,$B$13+$B$14)&lt;$B$13,"A","B")</f>
        <v/>
      </c>
      <c r="O49">
        <f>IF(N49="A",$E$5,$H$3)</f>
        <v/>
      </c>
      <c r="P49">
        <f>P48+O49</f>
        <v/>
      </c>
      <c r="Q49">
        <f>P49+(M49-1)*$B$10</f>
        <v/>
      </c>
      <c r="R49">
        <f>IF(AND(Q49&lt;=$E$7,N49="A"),1,0)</f>
        <v/>
      </c>
      <c r="S49">
        <f>IF(AND(Q49&lt;=$E$7,N49="B"),1,0)</f>
        <v/>
      </c>
      <c r="T49">
        <f>IF(Q49&lt;=$E$7,1,0)</f>
        <v/>
      </c>
    </row>
    <row r="50">
      <c r="M50" t="n">
        <v>49</v>
      </c>
      <c r="N50">
        <f>IF(MOD(M50-1,$B$13+$B$14)&lt;$B$13,"A","B")</f>
        <v/>
      </c>
      <c r="O50">
        <f>IF(N50="A",$E$5,$H$3)</f>
        <v/>
      </c>
      <c r="P50">
        <f>P49+O50</f>
        <v/>
      </c>
      <c r="Q50">
        <f>P50+(M50-1)*$B$10</f>
        <v/>
      </c>
      <c r="R50">
        <f>IF(AND(Q50&lt;=$E$7,N50="A"),1,0)</f>
        <v/>
      </c>
      <c r="S50">
        <f>IF(AND(Q50&lt;=$E$7,N50="B"),1,0)</f>
        <v/>
      </c>
      <c r="T50">
        <f>IF(Q50&lt;=$E$7,1,0)</f>
        <v/>
      </c>
    </row>
    <row r="51">
      <c r="M51" t="n">
        <v>50</v>
      </c>
      <c r="N51">
        <f>IF(MOD(M51-1,$B$13+$B$14)&lt;$B$13,"A","B")</f>
        <v/>
      </c>
      <c r="O51">
        <f>IF(N51="A",$E$5,$H$3)</f>
        <v/>
      </c>
      <c r="P51">
        <f>P50+O51</f>
        <v/>
      </c>
      <c r="Q51">
        <f>P51+(M51-1)*$B$10</f>
        <v/>
      </c>
      <c r="R51">
        <f>IF(AND(Q51&lt;=$E$7,N51="A"),1,0)</f>
        <v/>
      </c>
      <c r="S51">
        <f>IF(AND(Q51&lt;=$E$7,N51="B"),1,0)</f>
        <v/>
      </c>
      <c r="T51">
        <f>IF(Q51&lt;=$E$7,1,0)</f>
        <v/>
      </c>
    </row>
    <row r="52">
      <c r="M52" t="n">
        <v>51</v>
      </c>
      <c r="N52">
        <f>IF(MOD(M52-1,$B$13+$B$14)&lt;$B$13,"A","B")</f>
        <v/>
      </c>
      <c r="O52">
        <f>IF(N52="A",$E$5,$H$3)</f>
        <v/>
      </c>
      <c r="P52">
        <f>P51+O52</f>
        <v/>
      </c>
      <c r="Q52">
        <f>P52+(M52-1)*$B$10</f>
        <v/>
      </c>
      <c r="R52">
        <f>IF(AND(Q52&lt;=$E$7,N52="A"),1,0)</f>
        <v/>
      </c>
      <c r="S52">
        <f>IF(AND(Q52&lt;=$E$7,N52="B"),1,0)</f>
        <v/>
      </c>
      <c r="T52">
        <f>IF(Q52&lt;=$E$7,1,0)</f>
        <v/>
      </c>
    </row>
    <row r="53">
      <c r="M53" t="n">
        <v>52</v>
      </c>
      <c r="N53">
        <f>IF(MOD(M53-1,$B$13+$B$14)&lt;$B$13,"A","B")</f>
        <v/>
      </c>
      <c r="O53">
        <f>IF(N53="A",$E$5,$H$3)</f>
        <v/>
      </c>
      <c r="P53">
        <f>P52+O53</f>
        <v/>
      </c>
      <c r="Q53">
        <f>P53+(M53-1)*$B$10</f>
        <v/>
      </c>
      <c r="R53">
        <f>IF(AND(Q53&lt;=$E$7,N53="A"),1,0)</f>
        <v/>
      </c>
      <c r="S53">
        <f>IF(AND(Q53&lt;=$E$7,N53="B"),1,0)</f>
        <v/>
      </c>
      <c r="T53">
        <f>IF(Q53&lt;=$E$7,1,0)</f>
        <v/>
      </c>
    </row>
    <row r="54">
      <c r="M54" t="n">
        <v>53</v>
      </c>
      <c r="N54">
        <f>IF(MOD(M54-1,$B$13+$B$14)&lt;$B$13,"A","B")</f>
        <v/>
      </c>
      <c r="O54">
        <f>IF(N54="A",$E$5,$H$3)</f>
        <v/>
      </c>
      <c r="P54">
        <f>P53+O54</f>
        <v/>
      </c>
      <c r="Q54">
        <f>P54+(M54-1)*$B$10</f>
        <v/>
      </c>
      <c r="R54">
        <f>IF(AND(Q54&lt;=$E$7,N54="A"),1,0)</f>
        <v/>
      </c>
      <c r="S54">
        <f>IF(AND(Q54&lt;=$E$7,N54="B"),1,0)</f>
        <v/>
      </c>
      <c r="T54">
        <f>IF(Q54&lt;=$E$7,1,0)</f>
        <v/>
      </c>
    </row>
    <row r="55">
      <c r="M55" t="n">
        <v>54</v>
      </c>
      <c r="N55">
        <f>IF(MOD(M55-1,$B$13+$B$14)&lt;$B$13,"A","B")</f>
        <v/>
      </c>
      <c r="O55">
        <f>IF(N55="A",$E$5,$H$3)</f>
        <v/>
      </c>
      <c r="P55">
        <f>P54+O55</f>
        <v/>
      </c>
      <c r="Q55">
        <f>P55+(M55-1)*$B$10</f>
        <v/>
      </c>
      <c r="R55">
        <f>IF(AND(Q55&lt;=$E$7,N55="A"),1,0)</f>
        <v/>
      </c>
      <c r="S55">
        <f>IF(AND(Q55&lt;=$E$7,N55="B"),1,0)</f>
        <v/>
      </c>
      <c r="T55">
        <f>IF(Q55&lt;=$E$7,1,0)</f>
        <v/>
      </c>
    </row>
    <row r="56">
      <c r="M56" t="n">
        <v>55</v>
      </c>
      <c r="N56">
        <f>IF(MOD(M56-1,$B$13+$B$14)&lt;$B$13,"A","B")</f>
        <v/>
      </c>
      <c r="O56">
        <f>IF(N56="A",$E$5,$H$3)</f>
        <v/>
      </c>
      <c r="P56">
        <f>P55+O56</f>
        <v/>
      </c>
      <c r="Q56">
        <f>P56+(M56-1)*$B$10</f>
        <v/>
      </c>
      <c r="R56">
        <f>IF(AND(Q56&lt;=$E$7,N56="A"),1,0)</f>
        <v/>
      </c>
      <c r="S56">
        <f>IF(AND(Q56&lt;=$E$7,N56="B"),1,0)</f>
        <v/>
      </c>
      <c r="T56">
        <f>IF(Q56&lt;=$E$7,1,0)</f>
        <v/>
      </c>
    </row>
    <row r="57">
      <c r="M57" t="n">
        <v>56</v>
      </c>
      <c r="N57">
        <f>IF(MOD(M57-1,$B$13+$B$14)&lt;$B$13,"A","B")</f>
        <v/>
      </c>
      <c r="O57">
        <f>IF(N57="A",$E$5,$H$3)</f>
        <v/>
      </c>
      <c r="P57">
        <f>P56+O57</f>
        <v/>
      </c>
      <c r="Q57">
        <f>P57+(M57-1)*$B$10</f>
        <v/>
      </c>
      <c r="R57">
        <f>IF(AND(Q57&lt;=$E$7,N57="A"),1,0)</f>
        <v/>
      </c>
      <c r="S57">
        <f>IF(AND(Q57&lt;=$E$7,N57="B"),1,0)</f>
        <v/>
      </c>
      <c r="T57">
        <f>IF(Q57&lt;=$E$7,1,0)</f>
        <v/>
      </c>
    </row>
    <row r="58">
      <c r="M58" t="n">
        <v>57</v>
      </c>
      <c r="N58">
        <f>IF(MOD(M58-1,$B$13+$B$14)&lt;$B$13,"A","B")</f>
        <v/>
      </c>
      <c r="O58">
        <f>IF(N58="A",$E$5,$H$3)</f>
        <v/>
      </c>
      <c r="P58">
        <f>P57+O58</f>
        <v/>
      </c>
      <c r="Q58">
        <f>P58+(M58-1)*$B$10</f>
        <v/>
      </c>
      <c r="R58">
        <f>IF(AND(Q58&lt;=$E$7,N58="A"),1,0)</f>
        <v/>
      </c>
      <c r="S58">
        <f>IF(AND(Q58&lt;=$E$7,N58="B"),1,0)</f>
        <v/>
      </c>
      <c r="T58">
        <f>IF(Q58&lt;=$E$7,1,0)</f>
        <v/>
      </c>
    </row>
    <row r="59">
      <c r="M59" t="n">
        <v>58</v>
      </c>
      <c r="N59">
        <f>IF(MOD(M59-1,$B$13+$B$14)&lt;$B$13,"A","B")</f>
        <v/>
      </c>
      <c r="O59">
        <f>IF(N59="A",$E$5,$H$3)</f>
        <v/>
      </c>
      <c r="P59">
        <f>P58+O59</f>
        <v/>
      </c>
      <c r="Q59">
        <f>P59+(M59-1)*$B$10</f>
        <v/>
      </c>
      <c r="R59">
        <f>IF(AND(Q59&lt;=$E$7,N59="A"),1,0)</f>
        <v/>
      </c>
      <c r="S59">
        <f>IF(AND(Q59&lt;=$E$7,N59="B"),1,0)</f>
        <v/>
      </c>
      <c r="T59">
        <f>IF(Q59&lt;=$E$7,1,0)</f>
        <v/>
      </c>
    </row>
    <row r="60">
      <c r="M60" t="n">
        <v>59</v>
      </c>
      <c r="N60">
        <f>IF(MOD(M60-1,$B$13+$B$14)&lt;$B$13,"A","B")</f>
        <v/>
      </c>
      <c r="O60">
        <f>IF(N60="A",$E$5,$H$3)</f>
        <v/>
      </c>
      <c r="P60">
        <f>P59+O60</f>
        <v/>
      </c>
      <c r="Q60">
        <f>P60+(M60-1)*$B$10</f>
        <v/>
      </c>
      <c r="R60">
        <f>IF(AND(Q60&lt;=$E$7,N60="A"),1,0)</f>
        <v/>
      </c>
      <c r="S60">
        <f>IF(AND(Q60&lt;=$E$7,N60="B"),1,0)</f>
        <v/>
      </c>
      <c r="T60">
        <f>IF(Q60&lt;=$E$7,1,0)</f>
        <v/>
      </c>
    </row>
    <row r="61">
      <c r="M61" t="n">
        <v>60</v>
      </c>
      <c r="N61">
        <f>IF(MOD(M61-1,$B$13+$B$14)&lt;$B$13,"A","B")</f>
        <v/>
      </c>
      <c r="O61">
        <f>IF(N61="A",$E$5,$H$3)</f>
        <v/>
      </c>
      <c r="P61">
        <f>P60+O61</f>
        <v/>
      </c>
      <c r="Q61">
        <f>P61+(M61-1)*$B$10</f>
        <v/>
      </c>
      <c r="R61">
        <f>IF(AND(Q61&lt;=$E$7,N61="A"),1,0)</f>
        <v/>
      </c>
      <c r="S61">
        <f>IF(AND(Q61&lt;=$E$7,N61="B"),1,0)</f>
        <v/>
      </c>
      <c r="T61">
        <f>IF(Q61&lt;=$E$7,1,0)</f>
        <v/>
      </c>
    </row>
    <row r="62">
      <c r="M62" t="n">
        <v>61</v>
      </c>
      <c r="N62">
        <f>IF(MOD(M62-1,$B$13+$B$14)&lt;$B$13,"A","B")</f>
        <v/>
      </c>
      <c r="O62">
        <f>IF(N62="A",$E$5,$H$3)</f>
        <v/>
      </c>
      <c r="P62">
        <f>P61+O62</f>
        <v/>
      </c>
      <c r="Q62">
        <f>P62+(M62-1)*$B$10</f>
        <v/>
      </c>
      <c r="R62">
        <f>IF(AND(Q62&lt;=$E$7,N62="A"),1,0)</f>
        <v/>
      </c>
      <c r="S62">
        <f>IF(AND(Q62&lt;=$E$7,N62="B"),1,0)</f>
        <v/>
      </c>
      <c r="T62">
        <f>IF(Q62&lt;=$E$7,1,0)</f>
        <v/>
      </c>
    </row>
    <row r="63">
      <c r="M63" t="n">
        <v>62</v>
      </c>
      <c r="N63">
        <f>IF(MOD(M63-1,$B$13+$B$14)&lt;$B$13,"A","B")</f>
        <v/>
      </c>
      <c r="O63">
        <f>IF(N63="A",$E$5,$H$3)</f>
        <v/>
      </c>
      <c r="P63">
        <f>P62+O63</f>
        <v/>
      </c>
      <c r="Q63">
        <f>P63+(M63-1)*$B$10</f>
        <v/>
      </c>
      <c r="R63">
        <f>IF(AND(Q63&lt;=$E$7,N63="A"),1,0)</f>
        <v/>
      </c>
      <c r="S63">
        <f>IF(AND(Q63&lt;=$E$7,N63="B"),1,0)</f>
        <v/>
      </c>
      <c r="T63">
        <f>IF(Q63&lt;=$E$7,1,0)</f>
        <v/>
      </c>
    </row>
    <row r="64">
      <c r="M64" t="n">
        <v>63</v>
      </c>
      <c r="N64">
        <f>IF(MOD(M64-1,$B$13+$B$14)&lt;$B$13,"A","B")</f>
        <v/>
      </c>
      <c r="O64">
        <f>IF(N64="A",$E$5,$H$3)</f>
        <v/>
      </c>
      <c r="P64">
        <f>P63+O64</f>
        <v/>
      </c>
      <c r="Q64">
        <f>P64+(M64-1)*$B$10</f>
        <v/>
      </c>
      <c r="R64">
        <f>IF(AND(Q64&lt;=$E$7,N64="A"),1,0)</f>
        <v/>
      </c>
      <c r="S64">
        <f>IF(AND(Q64&lt;=$E$7,N64="B"),1,0)</f>
        <v/>
      </c>
      <c r="T64">
        <f>IF(Q64&lt;=$E$7,1,0)</f>
        <v/>
      </c>
    </row>
    <row r="65">
      <c r="M65" t="n">
        <v>64</v>
      </c>
      <c r="N65">
        <f>IF(MOD(M65-1,$B$13+$B$14)&lt;$B$13,"A","B")</f>
        <v/>
      </c>
      <c r="O65">
        <f>IF(N65="A",$E$5,$H$3)</f>
        <v/>
      </c>
      <c r="P65">
        <f>P64+O65</f>
        <v/>
      </c>
      <c r="Q65">
        <f>P65+(M65-1)*$B$10</f>
        <v/>
      </c>
      <c r="R65">
        <f>IF(AND(Q65&lt;=$E$7,N65="A"),1,0)</f>
        <v/>
      </c>
      <c r="S65">
        <f>IF(AND(Q65&lt;=$E$7,N65="B"),1,0)</f>
        <v/>
      </c>
      <c r="T65">
        <f>IF(Q65&lt;=$E$7,1,0)</f>
        <v/>
      </c>
    </row>
    <row r="66">
      <c r="M66" t="n">
        <v>65</v>
      </c>
      <c r="N66">
        <f>IF(MOD(M66-1,$B$13+$B$14)&lt;$B$13,"A","B")</f>
        <v/>
      </c>
      <c r="O66">
        <f>IF(N66="A",$E$5,$H$3)</f>
        <v/>
      </c>
      <c r="P66">
        <f>P65+O66</f>
        <v/>
      </c>
      <c r="Q66">
        <f>P66+(M66-1)*$B$10</f>
        <v/>
      </c>
      <c r="R66">
        <f>IF(AND(Q66&lt;=$E$7,N66="A"),1,0)</f>
        <v/>
      </c>
      <c r="S66">
        <f>IF(AND(Q66&lt;=$E$7,N66="B"),1,0)</f>
        <v/>
      </c>
      <c r="T66">
        <f>IF(Q66&lt;=$E$7,1,0)</f>
        <v/>
      </c>
    </row>
    <row r="67">
      <c r="M67" t="n">
        <v>66</v>
      </c>
      <c r="N67">
        <f>IF(MOD(M67-1,$B$13+$B$14)&lt;$B$13,"A","B")</f>
        <v/>
      </c>
      <c r="O67">
        <f>IF(N67="A",$E$5,$H$3)</f>
        <v/>
      </c>
      <c r="P67">
        <f>P66+O67</f>
        <v/>
      </c>
      <c r="Q67">
        <f>P67+(M67-1)*$B$10</f>
        <v/>
      </c>
      <c r="R67">
        <f>IF(AND(Q67&lt;=$E$7,N67="A"),1,0)</f>
        <v/>
      </c>
      <c r="S67">
        <f>IF(AND(Q67&lt;=$E$7,N67="B"),1,0)</f>
        <v/>
      </c>
      <c r="T67">
        <f>IF(Q67&lt;=$E$7,1,0)</f>
        <v/>
      </c>
    </row>
    <row r="68">
      <c r="M68" t="n">
        <v>67</v>
      </c>
      <c r="N68">
        <f>IF(MOD(M68-1,$B$13+$B$14)&lt;$B$13,"A","B")</f>
        <v/>
      </c>
      <c r="O68">
        <f>IF(N68="A",$E$5,$H$3)</f>
        <v/>
      </c>
      <c r="P68">
        <f>P67+O68</f>
        <v/>
      </c>
      <c r="Q68">
        <f>P68+(M68-1)*$B$10</f>
        <v/>
      </c>
      <c r="R68">
        <f>IF(AND(Q68&lt;=$E$7,N68="A"),1,0)</f>
        <v/>
      </c>
      <c r="S68">
        <f>IF(AND(Q68&lt;=$E$7,N68="B"),1,0)</f>
        <v/>
      </c>
      <c r="T68">
        <f>IF(Q68&lt;=$E$7,1,0)</f>
        <v/>
      </c>
    </row>
    <row r="69">
      <c r="M69" t="n">
        <v>68</v>
      </c>
      <c r="N69">
        <f>IF(MOD(M69-1,$B$13+$B$14)&lt;$B$13,"A","B")</f>
        <v/>
      </c>
      <c r="O69">
        <f>IF(N69="A",$E$5,$H$3)</f>
        <v/>
      </c>
      <c r="P69">
        <f>P68+O69</f>
        <v/>
      </c>
      <c r="Q69">
        <f>P69+(M69-1)*$B$10</f>
        <v/>
      </c>
      <c r="R69">
        <f>IF(AND(Q69&lt;=$E$7,N69="A"),1,0)</f>
        <v/>
      </c>
      <c r="S69">
        <f>IF(AND(Q69&lt;=$E$7,N69="B"),1,0)</f>
        <v/>
      </c>
      <c r="T69">
        <f>IF(Q69&lt;=$E$7,1,0)</f>
        <v/>
      </c>
    </row>
    <row r="70">
      <c r="M70" t="n">
        <v>69</v>
      </c>
      <c r="N70">
        <f>IF(MOD(M70-1,$B$13+$B$14)&lt;$B$13,"A","B")</f>
        <v/>
      </c>
      <c r="O70">
        <f>IF(N70="A",$E$5,$H$3)</f>
        <v/>
      </c>
      <c r="P70">
        <f>P69+O70</f>
        <v/>
      </c>
      <c r="Q70">
        <f>P70+(M70-1)*$B$10</f>
        <v/>
      </c>
      <c r="R70">
        <f>IF(AND(Q70&lt;=$E$7,N70="A"),1,0)</f>
        <v/>
      </c>
      <c r="S70">
        <f>IF(AND(Q70&lt;=$E$7,N70="B"),1,0)</f>
        <v/>
      </c>
      <c r="T70">
        <f>IF(Q70&lt;=$E$7,1,0)</f>
        <v/>
      </c>
    </row>
    <row r="71">
      <c r="M71" t="n">
        <v>70</v>
      </c>
      <c r="N71">
        <f>IF(MOD(M71-1,$B$13+$B$14)&lt;$B$13,"A","B")</f>
        <v/>
      </c>
      <c r="O71">
        <f>IF(N71="A",$E$5,$H$3)</f>
        <v/>
      </c>
      <c r="P71">
        <f>P70+O71</f>
        <v/>
      </c>
      <c r="Q71">
        <f>P71+(M71-1)*$B$10</f>
        <v/>
      </c>
      <c r="R71">
        <f>IF(AND(Q71&lt;=$E$7,N71="A"),1,0)</f>
        <v/>
      </c>
      <c r="S71">
        <f>IF(AND(Q71&lt;=$E$7,N71="B"),1,0)</f>
        <v/>
      </c>
      <c r="T71">
        <f>IF(Q71&lt;=$E$7,1,0)</f>
        <v/>
      </c>
    </row>
    <row r="72">
      <c r="M72" t="n">
        <v>71</v>
      </c>
      <c r="N72">
        <f>IF(MOD(M72-1,$B$13+$B$14)&lt;$B$13,"A","B")</f>
        <v/>
      </c>
      <c r="O72">
        <f>IF(N72="A",$E$5,$H$3)</f>
        <v/>
      </c>
      <c r="P72">
        <f>P71+O72</f>
        <v/>
      </c>
      <c r="Q72">
        <f>P72+(M72-1)*$B$10</f>
        <v/>
      </c>
      <c r="R72">
        <f>IF(AND(Q72&lt;=$E$7,N72="A"),1,0)</f>
        <v/>
      </c>
      <c r="S72">
        <f>IF(AND(Q72&lt;=$E$7,N72="B"),1,0)</f>
        <v/>
      </c>
      <c r="T72">
        <f>IF(Q72&lt;=$E$7,1,0)</f>
        <v/>
      </c>
    </row>
    <row r="73">
      <c r="M73" t="n">
        <v>72</v>
      </c>
      <c r="N73">
        <f>IF(MOD(M73-1,$B$13+$B$14)&lt;$B$13,"A","B")</f>
        <v/>
      </c>
      <c r="O73">
        <f>IF(N73="A",$E$5,$H$3)</f>
        <v/>
      </c>
      <c r="P73">
        <f>P72+O73</f>
        <v/>
      </c>
      <c r="Q73">
        <f>P73+(M73-1)*$B$10</f>
        <v/>
      </c>
      <c r="R73">
        <f>IF(AND(Q73&lt;=$E$7,N73="A"),1,0)</f>
        <v/>
      </c>
      <c r="S73">
        <f>IF(AND(Q73&lt;=$E$7,N73="B"),1,0)</f>
        <v/>
      </c>
      <c r="T73">
        <f>IF(Q73&lt;=$E$7,1,0)</f>
        <v/>
      </c>
    </row>
    <row r="74">
      <c r="M74" t="n">
        <v>73</v>
      </c>
      <c r="N74">
        <f>IF(MOD(M74-1,$B$13+$B$14)&lt;$B$13,"A","B")</f>
        <v/>
      </c>
      <c r="O74">
        <f>IF(N74="A",$E$5,$H$3)</f>
        <v/>
      </c>
      <c r="P74">
        <f>P73+O74</f>
        <v/>
      </c>
      <c r="Q74">
        <f>P74+(M74-1)*$B$10</f>
        <v/>
      </c>
      <c r="R74">
        <f>IF(AND(Q74&lt;=$E$7,N74="A"),1,0)</f>
        <v/>
      </c>
      <c r="S74">
        <f>IF(AND(Q74&lt;=$E$7,N74="B"),1,0)</f>
        <v/>
      </c>
      <c r="T74">
        <f>IF(Q74&lt;=$E$7,1,0)</f>
        <v/>
      </c>
    </row>
    <row r="75">
      <c r="M75" t="n">
        <v>74</v>
      </c>
      <c r="N75">
        <f>IF(MOD(M75-1,$B$13+$B$14)&lt;$B$13,"A","B")</f>
        <v/>
      </c>
      <c r="O75">
        <f>IF(N75="A",$E$5,$H$3)</f>
        <v/>
      </c>
      <c r="P75">
        <f>P74+O75</f>
        <v/>
      </c>
      <c r="Q75">
        <f>P75+(M75-1)*$B$10</f>
        <v/>
      </c>
      <c r="R75">
        <f>IF(AND(Q75&lt;=$E$7,N75="A"),1,0)</f>
        <v/>
      </c>
      <c r="S75">
        <f>IF(AND(Q75&lt;=$E$7,N75="B"),1,0)</f>
        <v/>
      </c>
      <c r="T75">
        <f>IF(Q75&lt;=$E$7,1,0)</f>
        <v/>
      </c>
    </row>
    <row r="76">
      <c r="M76" t="n">
        <v>75</v>
      </c>
      <c r="N76">
        <f>IF(MOD(M76-1,$B$13+$B$14)&lt;$B$13,"A","B")</f>
        <v/>
      </c>
      <c r="O76">
        <f>IF(N76="A",$E$5,$H$3)</f>
        <v/>
      </c>
      <c r="P76">
        <f>P75+O76</f>
        <v/>
      </c>
      <c r="Q76">
        <f>P76+(M76-1)*$B$10</f>
        <v/>
      </c>
      <c r="R76">
        <f>IF(AND(Q76&lt;=$E$7,N76="A"),1,0)</f>
        <v/>
      </c>
      <c r="S76">
        <f>IF(AND(Q76&lt;=$E$7,N76="B"),1,0)</f>
        <v/>
      </c>
      <c r="T76">
        <f>IF(Q76&lt;=$E$7,1,0)</f>
        <v/>
      </c>
    </row>
    <row r="77">
      <c r="M77" t="n">
        <v>76</v>
      </c>
      <c r="N77">
        <f>IF(MOD(M77-1,$B$13+$B$14)&lt;$B$13,"A","B")</f>
        <v/>
      </c>
      <c r="O77">
        <f>IF(N77="A",$E$5,$H$3)</f>
        <v/>
      </c>
      <c r="P77">
        <f>P76+O77</f>
        <v/>
      </c>
      <c r="Q77">
        <f>P77+(M77-1)*$B$10</f>
        <v/>
      </c>
      <c r="R77">
        <f>IF(AND(Q77&lt;=$E$7,N77="A"),1,0)</f>
        <v/>
      </c>
      <c r="S77">
        <f>IF(AND(Q77&lt;=$E$7,N77="B"),1,0)</f>
        <v/>
      </c>
      <c r="T77">
        <f>IF(Q77&lt;=$E$7,1,0)</f>
        <v/>
      </c>
    </row>
    <row r="78">
      <c r="M78" t="n">
        <v>77</v>
      </c>
      <c r="N78">
        <f>IF(MOD(M78-1,$B$13+$B$14)&lt;$B$13,"A","B")</f>
        <v/>
      </c>
      <c r="O78">
        <f>IF(N78="A",$E$5,$H$3)</f>
        <v/>
      </c>
      <c r="P78">
        <f>P77+O78</f>
        <v/>
      </c>
      <c r="Q78">
        <f>P78+(M78-1)*$B$10</f>
        <v/>
      </c>
      <c r="R78">
        <f>IF(AND(Q78&lt;=$E$7,N78="A"),1,0)</f>
        <v/>
      </c>
      <c r="S78">
        <f>IF(AND(Q78&lt;=$E$7,N78="B"),1,0)</f>
        <v/>
      </c>
      <c r="T78">
        <f>IF(Q78&lt;=$E$7,1,0)</f>
        <v/>
      </c>
    </row>
    <row r="79">
      <c r="M79" t="n">
        <v>78</v>
      </c>
      <c r="N79">
        <f>IF(MOD(M79-1,$B$13+$B$14)&lt;$B$13,"A","B")</f>
        <v/>
      </c>
      <c r="O79">
        <f>IF(N79="A",$E$5,$H$3)</f>
        <v/>
      </c>
      <c r="P79">
        <f>P78+O79</f>
        <v/>
      </c>
      <c r="Q79">
        <f>P79+(M79-1)*$B$10</f>
        <v/>
      </c>
      <c r="R79">
        <f>IF(AND(Q79&lt;=$E$7,N79="A"),1,0)</f>
        <v/>
      </c>
      <c r="S79">
        <f>IF(AND(Q79&lt;=$E$7,N79="B"),1,0)</f>
        <v/>
      </c>
      <c r="T79">
        <f>IF(Q79&lt;=$E$7,1,0)</f>
        <v/>
      </c>
    </row>
    <row r="80">
      <c r="M80" t="n">
        <v>79</v>
      </c>
      <c r="N80">
        <f>IF(MOD(M80-1,$B$13+$B$14)&lt;$B$13,"A","B")</f>
        <v/>
      </c>
      <c r="O80">
        <f>IF(N80="A",$E$5,$H$3)</f>
        <v/>
      </c>
      <c r="P80">
        <f>P79+O80</f>
        <v/>
      </c>
      <c r="Q80">
        <f>P80+(M80-1)*$B$10</f>
        <v/>
      </c>
      <c r="R80">
        <f>IF(AND(Q80&lt;=$E$7,N80="A"),1,0)</f>
        <v/>
      </c>
      <c r="S80">
        <f>IF(AND(Q80&lt;=$E$7,N80="B"),1,0)</f>
        <v/>
      </c>
      <c r="T80">
        <f>IF(Q80&lt;=$E$7,1,0)</f>
        <v/>
      </c>
    </row>
    <row r="81">
      <c r="M81" t="n">
        <v>80</v>
      </c>
      <c r="N81">
        <f>IF(MOD(M81-1,$B$13+$B$14)&lt;$B$13,"A","B")</f>
        <v/>
      </c>
      <c r="O81">
        <f>IF(N81="A",$E$5,$H$3)</f>
        <v/>
      </c>
      <c r="P81">
        <f>P80+O81</f>
        <v/>
      </c>
      <c r="Q81">
        <f>P81+(M81-1)*$B$10</f>
        <v/>
      </c>
      <c r="R81">
        <f>IF(AND(Q81&lt;=$E$7,N81="A"),1,0)</f>
        <v/>
      </c>
      <c r="S81">
        <f>IF(AND(Q81&lt;=$E$7,N81="B"),1,0)</f>
        <v/>
      </c>
      <c r="T81">
        <f>IF(Q81&lt;=$E$7,1,0)</f>
        <v/>
      </c>
    </row>
    <row r="82">
      <c r="M82" t="n">
        <v>81</v>
      </c>
      <c r="N82">
        <f>IF(MOD(M82-1,$B$13+$B$14)&lt;$B$13,"A","B")</f>
        <v/>
      </c>
      <c r="O82">
        <f>IF(N82="A",$E$5,$H$3)</f>
        <v/>
      </c>
      <c r="P82">
        <f>P81+O82</f>
        <v/>
      </c>
      <c r="Q82">
        <f>P82+(M82-1)*$B$10</f>
        <v/>
      </c>
      <c r="R82">
        <f>IF(AND(Q82&lt;=$E$7,N82="A"),1,0)</f>
        <v/>
      </c>
      <c r="S82">
        <f>IF(AND(Q82&lt;=$E$7,N82="B"),1,0)</f>
        <v/>
      </c>
      <c r="T82">
        <f>IF(Q82&lt;=$E$7,1,0)</f>
        <v/>
      </c>
    </row>
    <row r="83">
      <c r="M83" t="n">
        <v>82</v>
      </c>
      <c r="N83">
        <f>IF(MOD(M83-1,$B$13+$B$14)&lt;$B$13,"A","B")</f>
        <v/>
      </c>
      <c r="O83">
        <f>IF(N83="A",$E$5,$H$3)</f>
        <v/>
      </c>
      <c r="P83">
        <f>P82+O83</f>
        <v/>
      </c>
      <c r="Q83">
        <f>P83+(M83-1)*$B$10</f>
        <v/>
      </c>
      <c r="R83">
        <f>IF(AND(Q83&lt;=$E$7,N83="A"),1,0)</f>
        <v/>
      </c>
      <c r="S83">
        <f>IF(AND(Q83&lt;=$E$7,N83="B"),1,0)</f>
        <v/>
      </c>
      <c r="T83">
        <f>IF(Q83&lt;=$E$7,1,0)</f>
        <v/>
      </c>
    </row>
    <row r="84">
      <c r="M84" t="n">
        <v>83</v>
      </c>
      <c r="N84">
        <f>IF(MOD(M84-1,$B$13+$B$14)&lt;$B$13,"A","B")</f>
        <v/>
      </c>
      <c r="O84">
        <f>IF(N84="A",$E$5,$H$3)</f>
        <v/>
      </c>
      <c r="P84">
        <f>P83+O84</f>
        <v/>
      </c>
      <c r="Q84">
        <f>P84+(M84-1)*$B$10</f>
        <v/>
      </c>
      <c r="R84">
        <f>IF(AND(Q84&lt;=$E$7,N84="A"),1,0)</f>
        <v/>
      </c>
      <c r="S84">
        <f>IF(AND(Q84&lt;=$E$7,N84="B"),1,0)</f>
        <v/>
      </c>
      <c r="T84">
        <f>IF(Q84&lt;=$E$7,1,0)</f>
        <v/>
      </c>
    </row>
    <row r="85">
      <c r="M85" t="n">
        <v>84</v>
      </c>
      <c r="N85">
        <f>IF(MOD(M85-1,$B$13+$B$14)&lt;$B$13,"A","B")</f>
        <v/>
      </c>
      <c r="O85">
        <f>IF(N85="A",$E$5,$H$3)</f>
        <v/>
      </c>
      <c r="P85">
        <f>P84+O85</f>
        <v/>
      </c>
      <c r="Q85">
        <f>P85+(M85-1)*$B$10</f>
        <v/>
      </c>
      <c r="R85">
        <f>IF(AND(Q85&lt;=$E$7,N85="A"),1,0)</f>
        <v/>
      </c>
      <c r="S85">
        <f>IF(AND(Q85&lt;=$E$7,N85="B"),1,0)</f>
        <v/>
      </c>
      <c r="T85">
        <f>IF(Q85&lt;=$E$7,1,0)</f>
        <v/>
      </c>
    </row>
    <row r="86">
      <c r="M86" t="n">
        <v>85</v>
      </c>
      <c r="N86">
        <f>IF(MOD(M86-1,$B$13+$B$14)&lt;$B$13,"A","B")</f>
        <v/>
      </c>
      <c r="O86">
        <f>IF(N86="A",$E$5,$H$3)</f>
        <v/>
      </c>
      <c r="P86">
        <f>P85+O86</f>
        <v/>
      </c>
      <c r="Q86">
        <f>P86+(M86-1)*$B$10</f>
        <v/>
      </c>
      <c r="R86">
        <f>IF(AND(Q86&lt;=$E$7,N86="A"),1,0)</f>
        <v/>
      </c>
      <c r="S86">
        <f>IF(AND(Q86&lt;=$E$7,N86="B"),1,0)</f>
        <v/>
      </c>
      <c r="T86">
        <f>IF(Q86&lt;=$E$7,1,0)</f>
        <v/>
      </c>
    </row>
    <row r="87">
      <c r="M87" t="n">
        <v>86</v>
      </c>
      <c r="N87">
        <f>IF(MOD(M87-1,$B$13+$B$14)&lt;$B$13,"A","B")</f>
        <v/>
      </c>
      <c r="O87">
        <f>IF(N87="A",$E$5,$H$3)</f>
        <v/>
      </c>
      <c r="P87">
        <f>P86+O87</f>
        <v/>
      </c>
      <c r="Q87">
        <f>P87+(M87-1)*$B$10</f>
        <v/>
      </c>
      <c r="R87">
        <f>IF(AND(Q87&lt;=$E$7,N87="A"),1,0)</f>
        <v/>
      </c>
      <c r="S87">
        <f>IF(AND(Q87&lt;=$E$7,N87="B"),1,0)</f>
        <v/>
      </c>
      <c r="T87">
        <f>IF(Q87&lt;=$E$7,1,0)</f>
        <v/>
      </c>
    </row>
    <row r="88">
      <c r="M88" t="n">
        <v>87</v>
      </c>
      <c r="N88">
        <f>IF(MOD(M88-1,$B$13+$B$14)&lt;$B$13,"A","B")</f>
        <v/>
      </c>
      <c r="O88">
        <f>IF(N88="A",$E$5,$H$3)</f>
        <v/>
      </c>
      <c r="P88">
        <f>P87+O88</f>
        <v/>
      </c>
      <c r="Q88">
        <f>P88+(M88-1)*$B$10</f>
        <v/>
      </c>
      <c r="R88">
        <f>IF(AND(Q88&lt;=$E$7,N88="A"),1,0)</f>
        <v/>
      </c>
      <c r="S88">
        <f>IF(AND(Q88&lt;=$E$7,N88="B"),1,0)</f>
        <v/>
      </c>
      <c r="T88">
        <f>IF(Q88&lt;=$E$7,1,0)</f>
        <v/>
      </c>
    </row>
    <row r="89">
      <c r="M89" t="n">
        <v>88</v>
      </c>
      <c r="N89">
        <f>IF(MOD(M89-1,$B$13+$B$14)&lt;$B$13,"A","B")</f>
        <v/>
      </c>
      <c r="O89">
        <f>IF(N89="A",$E$5,$H$3)</f>
        <v/>
      </c>
      <c r="P89">
        <f>P88+O89</f>
        <v/>
      </c>
      <c r="Q89">
        <f>P89+(M89-1)*$B$10</f>
        <v/>
      </c>
      <c r="R89">
        <f>IF(AND(Q89&lt;=$E$7,N89="A"),1,0)</f>
        <v/>
      </c>
      <c r="S89">
        <f>IF(AND(Q89&lt;=$E$7,N89="B"),1,0)</f>
        <v/>
      </c>
      <c r="T89">
        <f>IF(Q89&lt;=$E$7,1,0)</f>
        <v/>
      </c>
    </row>
    <row r="90">
      <c r="M90" t="n">
        <v>89</v>
      </c>
      <c r="N90">
        <f>IF(MOD(M90-1,$B$13+$B$14)&lt;$B$13,"A","B")</f>
        <v/>
      </c>
      <c r="O90">
        <f>IF(N90="A",$E$5,$H$3)</f>
        <v/>
      </c>
      <c r="P90">
        <f>P89+O90</f>
        <v/>
      </c>
      <c r="Q90">
        <f>P90+(M90-1)*$B$10</f>
        <v/>
      </c>
      <c r="R90">
        <f>IF(AND(Q90&lt;=$E$7,N90="A"),1,0)</f>
        <v/>
      </c>
      <c r="S90">
        <f>IF(AND(Q90&lt;=$E$7,N90="B"),1,0)</f>
        <v/>
      </c>
      <c r="T90">
        <f>IF(Q90&lt;=$E$7,1,0)</f>
        <v/>
      </c>
    </row>
    <row r="91">
      <c r="M91" t="n">
        <v>90</v>
      </c>
      <c r="N91">
        <f>IF(MOD(M91-1,$B$13+$B$14)&lt;$B$13,"A","B")</f>
        <v/>
      </c>
      <c r="O91">
        <f>IF(N91="A",$E$5,$H$3)</f>
        <v/>
      </c>
      <c r="P91">
        <f>P90+O91</f>
        <v/>
      </c>
      <c r="Q91">
        <f>P91+(M91-1)*$B$10</f>
        <v/>
      </c>
      <c r="R91">
        <f>IF(AND(Q91&lt;=$E$7,N91="A"),1,0)</f>
        <v/>
      </c>
      <c r="S91">
        <f>IF(AND(Q91&lt;=$E$7,N91="B"),1,0)</f>
        <v/>
      </c>
      <c r="T91">
        <f>IF(Q91&lt;=$E$7,1,0)</f>
        <v/>
      </c>
    </row>
    <row r="92">
      <c r="M92" t="n">
        <v>91</v>
      </c>
      <c r="N92">
        <f>IF(MOD(M92-1,$B$13+$B$14)&lt;$B$13,"A","B")</f>
        <v/>
      </c>
      <c r="O92">
        <f>IF(N92="A",$E$5,$H$3)</f>
        <v/>
      </c>
      <c r="P92">
        <f>P91+O92</f>
        <v/>
      </c>
      <c r="Q92">
        <f>P92+(M92-1)*$B$10</f>
        <v/>
      </c>
      <c r="R92">
        <f>IF(AND(Q92&lt;=$E$7,N92="A"),1,0)</f>
        <v/>
      </c>
      <c r="S92">
        <f>IF(AND(Q92&lt;=$E$7,N92="B"),1,0)</f>
        <v/>
      </c>
      <c r="T92">
        <f>IF(Q92&lt;=$E$7,1,0)</f>
        <v/>
      </c>
    </row>
    <row r="93">
      <c r="M93" t="n">
        <v>92</v>
      </c>
      <c r="N93">
        <f>IF(MOD(M93-1,$B$13+$B$14)&lt;$B$13,"A","B")</f>
        <v/>
      </c>
      <c r="O93">
        <f>IF(N93="A",$E$5,$H$3)</f>
        <v/>
      </c>
      <c r="P93">
        <f>P92+O93</f>
        <v/>
      </c>
      <c r="Q93">
        <f>P93+(M93-1)*$B$10</f>
        <v/>
      </c>
      <c r="R93">
        <f>IF(AND(Q93&lt;=$E$7,N93="A"),1,0)</f>
        <v/>
      </c>
      <c r="S93">
        <f>IF(AND(Q93&lt;=$E$7,N93="B"),1,0)</f>
        <v/>
      </c>
      <c r="T93">
        <f>IF(Q93&lt;=$E$7,1,0)</f>
        <v/>
      </c>
    </row>
    <row r="94">
      <c r="M94" t="n">
        <v>93</v>
      </c>
      <c r="N94">
        <f>IF(MOD(M94-1,$B$13+$B$14)&lt;$B$13,"A","B")</f>
        <v/>
      </c>
      <c r="O94">
        <f>IF(N94="A",$E$5,$H$3)</f>
        <v/>
      </c>
      <c r="P94">
        <f>P93+O94</f>
        <v/>
      </c>
      <c r="Q94">
        <f>P94+(M94-1)*$B$10</f>
        <v/>
      </c>
      <c r="R94">
        <f>IF(AND(Q94&lt;=$E$7,N94="A"),1,0)</f>
        <v/>
      </c>
      <c r="S94">
        <f>IF(AND(Q94&lt;=$E$7,N94="B"),1,0)</f>
        <v/>
      </c>
      <c r="T94">
        <f>IF(Q94&lt;=$E$7,1,0)</f>
        <v/>
      </c>
    </row>
    <row r="95">
      <c r="M95" t="n">
        <v>94</v>
      </c>
      <c r="N95">
        <f>IF(MOD(M95-1,$B$13+$B$14)&lt;$B$13,"A","B")</f>
        <v/>
      </c>
      <c r="O95">
        <f>IF(N95="A",$E$5,$H$3)</f>
        <v/>
      </c>
      <c r="P95">
        <f>P94+O95</f>
        <v/>
      </c>
      <c r="Q95">
        <f>P95+(M95-1)*$B$10</f>
        <v/>
      </c>
      <c r="R95">
        <f>IF(AND(Q95&lt;=$E$7,N95="A"),1,0)</f>
        <v/>
      </c>
      <c r="S95">
        <f>IF(AND(Q95&lt;=$E$7,N95="B"),1,0)</f>
        <v/>
      </c>
      <c r="T95">
        <f>IF(Q95&lt;=$E$7,1,0)</f>
        <v/>
      </c>
    </row>
    <row r="96">
      <c r="M96" t="n">
        <v>95</v>
      </c>
      <c r="N96">
        <f>IF(MOD(M96-1,$B$13+$B$14)&lt;$B$13,"A","B")</f>
        <v/>
      </c>
      <c r="O96">
        <f>IF(N96="A",$E$5,$H$3)</f>
        <v/>
      </c>
      <c r="P96">
        <f>P95+O96</f>
        <v/>
      </c>
      <c r="Q96">
        <f>P96+(M96-1)*$B$10</f>
        <v/>
      </c>
      <c r="R96">
        <f>IF(AND(Q96&lt;=$E$7,N96="A"),1,0)</f>
        <v/>
      </c>
      <c r="S96">
        <f>IF(AND(Q96&lt;=$E$7,N96="B"),1,0)</f>
        <v/>
      </c>
      <c r="T96">
        <f>IF(Q96&lt;=$E$7,1,0)</f>
        <v/>
      </c>
    </row>
    <row r="97">
      <c r="M97" t="n">
        <v>96</v>
      </c>
      <c r="N97">
        <f>IF(MOD(M97-1,$B$13+$B$14)&lt;$B$13,"A","B")</f>
        <v/>
      </c>
      <c r="O97">
        <f>IF(N97="A",$E$5,$H$3)</f>
        <v/>
      </c>
      <c r="P97">
        <f>P96+O97</f>
        <v/>
      </c>
      <c r="Q97">
        <f>P97+(M97-1)*$B$10</f>
        <v/>
      </c>
      <c r="R97">
        <f>IF(AND(Q97&lt;=$E$7,N97="A"),1,0)</f>
        <v/>
      </c>
      <c r="S97">
        <f>IF(AND(Q97&lt;=$E$7,N97="B"),1,0)</f>
        <v/>
      </c>
      <c r="T97">
        <f>IF(Q97&lt;=$E$7,1,0)</f>
        <v/>
      </c>
    </row>
    <row r="98">
      <c r="M98" t="n">
        <v>97</v>
      </c>
      <c r="N98">
        <f>IF(MOD(M98-1,$B$13+$B$14)&lt;$B$13,"A","B")</f>
        <v/>
      </c>
      <c r="O98">
        <f>IF(N98="A",$E$5,$H$3)</f>
        <v/>
      </c>
      <c r="P98">
        <f>P97+O98</f>
        <v/>
      </c>
      <c r="Q98">
        <f>P98+(M98-1)*$B$10</f>
        <v/>
      </c>
      <c r="R98">
        <f>IF(AND(Q98&lt;=$E$7,N98="A"),1,0)</f>
        <v/>
      </c>
      <c r="S98">
        <f>IF(AND(Q98&lt;=$E$7,N98="B"),1,0)</f>
        <v/>
      </c>
      <c r="T98">
        <f>IF(Q98&lt;=$E$7,1,0)</f>
        <v/>
      </c>
    </row>
    <row r="99">
      <c r="M99" t="n">
        <v>98</v>
      </c>
      <c r="N99">
        <f>IF(MOD(M99-1,$B$13+$B$14)&lt;$B$13,"A","B")</f>
        <v/>
      </c>
      <c r="O99">
        <f>IF(N99="A",$E$5,$H$3)</f>
        <v/>
      </c>
      <c r="P99">
        <f>P98+O99</f>
        <v/>
      </c>
      <c r="Q99">
        <f>P99+(M99-1)*$B$10</f>
        <v/>
      </c>
      <c r="R99">
        <f>IF(AND(Q99&lt;=$E$7,N99="A"),1,0)</f>
        <v/>
      </c>
      <c r="S99">
        <f>IF(AND(Q99&lt;=$E$7,N99="B"),1,0)</f>
        <v/>
      </c>
      <c r="T99">
        <f>IF(Q99&lt;=$E$7,1,0)</f>
        <v/>
      </c>
    </row>
    <row r="100">
      <c r="M100" t="n">
        <v>99</v>
      </c>
      <c r="N100">
        <f>IF(MOD(M100-1,$B$13+$B$14)&lt;$B$13,"A","B")</f>
        <v/>
      </c>
      <c r="O100">
        <f>IF(N100="A",$E$5,$H$3)</f>
        <v/>
      </c>
      <c r="P100">
        <f>P99+O100</f>
        <v/>
      </c>
      <c r="Q100">
        <f>P100+(M100-1)*$B$10</f>
        <v/>
      </c>
      <c r="R100">
        <f>IF(AND(Q100&lt;=$E$7,N100="A"),1,0)</f>
        <v/>
      </c>
      <c r="S100">
        <f>IF(AND(Q100&lt;=$E$7,N100="B"),1,0)</f>
        <v/>
      </c>
      <c r="T100">
        <f>IF(Q100&lt;=$E$7,1,0)</f>
        <v/>
      </c>
    </row>
    <row r="101">
      <c r="M101" t="n">
        <v>100</v>
      </c>
      <c r="N101">
        <f>IF(MOD(M101-1,$B$13+$B$14)&lt;$B$13,"A","B")</f>
        <v/>
      </c>
      <c r="O101">
        <f>IF(N101="A",$E$5,$H$3)</f>
        <v/>
      </c>
      <c r="P101">
        <f>P100+O101</f>
        <v/>
      </c>
      <c r="Q101">
        <f>P101+(M101-1)*$B$10</f>
        <v/>
      </c>
      <c r="R101">
        <f>IF(AND(Q101&lt;=$E$7,N101="A"),1,0)</f>
        <v/>
      </c>
      <c r="S101">
        <f>IF(AND(Q101&lt;=$E$7,N101="B"),1,0)</f>
        <v/>
      </c>
      <c r="T101">
        <f>IF(Q101&lt;=$E$7,1,0)</f>
        <v/>
      </c>
    </row>
    <row r="102">
      <c r="M102" t="n">
        <v>101</v>
      </c>
      <c r="N102">
        <f>IF(MOD(M102-1,$B$13+$B$14)&lt;$B$13,"A","B")</f>
        <v/>
      </c>
      <c r="O102">
        <f>IF(N102="A",$E$5,$H$3)</f>
        <v/>
      </c>
      <c r="P102">
        <f>P101+O102</f>
        <v/>
      </c>
      <c r="Q102">
        <f>P102+(M102-1)*$B$10</f>
        <v/>
      </c>
      <c r="R102">
        <f>IF(AND(Q102&lt;=$E$7,N102="A"),1,0)</f>
        <v/>
      </c>
      <c r="S102">
        <f>IF(AND(Q102&lt;=$E$7,N102="B"),1,0)</f>
        <v/>
      </c>
      <c r="T102">
        <f>IF(Q102&lt;=$E$7,1,0)</f>
        <v/>
      </c>
    </row>
    <row r="103">
      <c r="M103" t="n">
        <v>102</v>
      </c>
      <c r="N103">
        <f>IF(MOD(M103-1,$B$13+$B$14)&lt;$B$13,"A","B")</f>
        <v/>
      </c>
      <c r="O103">
        <f>IF(N103="A",$E$5,$H$3)</f>
        <v/>
      </c>
      <c r="P103">
        <f>P102+O103</f>
        <v/>
      </c>
      <c r="Q103">
        <f>P103+(M103-1)*$B$10</f>
        <v/>
      </c>
      <c r="R103">
        <f>IF(AND(Q103&lt;=$E$7,N103="A"),1,0)</f>
        <v/>
      </c>
      <c r="S103">
        <f>IF(AND(Q103&lt;=$E$7,N103="B"),1,0)</f>
        <v/>
      </c>
      <c r="T103">
        <f>IF(Q103&lt;=$E$7,1,0)</f>
        <v/>
      </c>
    </row>
    <row r="104">
      <c r="M104" t="n">
        <v>103</v>
      </c>
      <c r="N104">
        <f>IF(MOD(M104-1,$B$13+$B$14)&lt;$B$13,"A","B")</f>
        <v/>
      </c>
      <c r="O104">
        <f>IF(N104="A",$E$5,$H$3)</f>
        <v/>
      </c>
      <c r="P104">
        <f>P103+O104</f>
        <v/>
      </c>
      <c r="Q104">
        <f>P104+(M104-1)*$B$10</f>
        <v/>
      </c>
      <c r="R104">
        <f>IF(AND(Q104&lt;=$E$7,N104="A"),1,0)</f>
        <v/>
      </c>
      <c r="S104">
        <f>IF(AND(Q104&lt;=$E$7,N104="B"),1,0)</f>
        <v/>
      </c>
      <c r="T104">
        <f>IF(Q104&lt;=$E$7,1,0)</f>
        <v/>
      </c>
    </row>
    <row r="105">
      <c r="M105" t="n">
        <v>104</v>
      </c>
      <c r="N105">
        <f>IF(MOD(M105-1,$B$13+$B$14)&lt;$B$13,"A","B")</f>
        <v/>
      </c>
      <c r="O105">
        <f>IF(N105="A",$E$5,$H$3)</f>
        <v/>
      </c>
      <c r="P105">
        <f>P104+O105</f>
        <v/>
      </c>
      <c r="Q105">
        <f>P105+(M105-1)*$B$10</f>
        <v/>
      </c>
      <c r="R105">
        <f>IF(AND(Q105&lt;=$E$7,N105="A"),1,0)</f>
        <v/>
      </c>
      <c r="S105">
        <f>IF(AND(Q105&lt;=$E$7,N105="B"),1,0)</f>
        <v/>
      </c>
      <c r="T105">
        <f>IF(Q105&lt;=$E$7,1,0)</f>
        <v/>
      </c>
    </row>
    <row r="106">
      <c r="M106" t="n">
        <v>105</v>
      </c>
      <c r="N106">
        <f>IF(MOD(M106-1,$B$13+$B$14)&lt;$B$13,"A","B")</f>
        <v/>
      </c>
      <c r="O106">
        <f>IF(N106="A",$E$5,$H$3)</f>
        <v/>
      </c>
      <c r="P106">
        <f>P105+O106</f>
        <v/>
      </c>
      <c r="Q106">
        <f>P106+(M106-1)*$B$10</f>
        <v/>
      </c>
      <c r="R106">
        <f>IF(AND(Q106&lt;=$E$7,N106="A"),1,0)</f>
        <v/>
      </c>
      <c r="S106">
        <f>IF(AND(Q106&lt;=$E$7,N106="B"),1,0)</f>
        <v/>
      </c>
      <c r="T106">
        <f>IF(Q106&lt;=$E$7,1,0)</f>
        <v/>
      </c>
    </row>
    <row r="107">
      <c r="M107" t="n">
        <v>106</v>
      </c>
      <c r="N107">
        <f>IF(MOD(M107-1,$B$13+$B$14)&lt;$B$13,"A","B")</f>
        <v/>
      </c>
      <c r="O107">
        <f>IF(N107="A",$E$5,$H$3)</f>
        <v/>
      </c>
      <c r="P107">
        <f>P106+O107</f>
        <v/>
      </c>
      <c r="Q107">
        <f>P107+(M107-1)*$B$10</f>
        <v/>
      </c>
      <c r="R107">
        <f>IF(AND(Q107&lt;=$E$7,N107="A"),1,0)</f>
        <v/>
      </c>
      <c r="S107">
        <f>IF(AND(Q107&lt;=$E$7,N107="B"),1,0)</f>
        <v/>
      </c>
      <c r="T107">
        <f>IF(Q107&lt;=$E$7,1,0)</f>
        <v/>
      </c>
    </row>
    <row r="108">
      <c r="M108" t="n">
        <v>107</v>
      </c>
      <c r="N108">
        <f>IF(MOD(M108-1,$B$13+$B$14)&lt;$B$13,"A","B")</f>
        <v/>
      </c>
      <c r="O108">
        <f>IF(N108="A",$E$5,$H$3)</f>
        <v/>
      </c>
      <c r="P108">
        <f>P107+O108</f>
        <v/>
      </c>
      <c r="Q108">
        <f>P108+(M108-1)*$B$10</f>
        <v/>
      </c>
      <c r="R108">
        <f>IF(AND(Q108&lt;=$E$7,N108="A"),1,0)</f>
        <v/>
      </c>
      <c r="S108">
        <f>IF(AND(Q108&lt;=$E$7,N108="B"),1,0)</f>
        <v/>
      </c>
      <c r="T108">
        <f>IF(Q108&lt;=$E$7,1,0)</f>
        <v/>
      </c>
    </row>
    <row r="109">
      <c r="M109" t="n">
        <v>108</v>
      </c>
      <c r="N109">
        <f>IF(MOD(M109-1,$B$13+$B$14)&lt;$B$13,"A","B")</f>
        <v/>
      </c>
      <c r="O109">
        <f>IF(N109="A",$E$5,$H$3)</f>
        <v/>
      </c>
      <c r="P109">
        <f>P108+O109</f>
        <v/>
      </c>
      <c r="Q109">
        <f>P109+(M109-1)*$B$10</f>
        <v/>
      </c>
      <c r="R109">
        <f>IF(AND(Q109&lt;=$E$7,N109="A"),1,0)</f>
        <v/>
      </c>
      <c r="S109">
        <f>IF(AND(Q109&lt;=$E$7,N109="B"),1,0)</f>
        <v/>
      </c>
      <c r="T109">
        <f>IF(Q109&lt;=$E$7,1,0)</f>
        <v/>
      </c>
    </row>
    <row r="110">
      <c r="M110" t="n">
        <v>109</v>
      </c>
      <c r="N110">
        <f>IF(MOD(M110-1,$B$13+$B$14)&lt;$B$13,"A","B")</f>
        <v/>
      </c>
      <c r="O110">
        <f>IF(N110="A",$E$5,$H$3)</f>
        <v/>
      </c>
      <c r="P110">
        <f>P109+O110</f>
        <v/>
      </c>
      <c r="Q110">
        <f>P110+(M110-1)*$B$10</f>
        <v/>
      </c>
      <c r="R110">
        <f>IF(AND(Q110&lt;=$E$7,N110="A"),1,0)</f>
        <v/>
      </c>
      <c r="S110">
        <f>IF(AND(Q110&lt;=$E$7,N110="B"),1,0)</f>
        <v/>
      </c>
      <c r="T110">
        <f>IF(Q110&lt;=$E$7,1,0)</f>
        <v/>
      </c>
    </row>
    <row r="111">
      <c r="M111" t="n">
        <v>110</v>
      </c>
      <c r="N111">
        <f>IF(MOD(M111-1,$B$13+$B$14)&lt;$B$13,"A","B")</f>
        <v/>
      </c>
      <c r="O111">
        <f>IF(N111="A",$E$5,$H$3)</f>
        <v/>
      </c>
      <c r="P111">
        <f>P110+O111</f>
        <v/>
      </c>
      <c r="Q111">
        <f>P111+(M111-1)*$B$10</f>
        <v/>
      </c>
      <c r="R111">
        <f>IF(AND(Q111&lt;=$E$7,N111="A"),1,0)</f>
        <v/>
      </c>
      <c r="S111">
        <f>IF(AND(Q111&lt;=$E$7,N111="B"),1,0)</f>
        <v/>
      </c>
      <c r="T111">
        <f>IF(Q111&lt;=$E$7,1,0)</f>
        <v/>
      </c>
    </row>
    <row r="112">
      <c r="M112" t="n">
        <v>111</v>
      </c>
      <c r="N112">
        <f>IF(MOD(M112-1,$B$13+$B$14)&lt;$B$13,"A","B")</f>
        <v/>
      </c>
      <c r="O112">
        <f>IF(N112="A",$E$5,$H$3)</f>
        <v/>
      </c>
      <c r="P112">
        <f>P111+O112</f>
        <v/>
      </c>
      <c r="Q112">
        <f>P112+(M112-1)*$B$10</f>
        <v/>
      </c>
      <c r="R112">
        <f>IF(AND(Q112&lt;=$E$7,N112="A"),1,0)</f>
        <v/>
      </c>
      <c r="S112">
        <f>IF(AND(Q112&lt;=$E$7,N112="B"),1,0)</f>
        <v/>
      </c>
      <c r="T112">
        <f>IF(Q112&lt;=$E$7,1,0)</f>
        <v/>
      </c>
    </row>
    <row r="113">
      <c r="M113" t="n">
        <v>112</v>
      </c>
      <c r="N113">
        <f>IF(MOD(M113-1,$B$13+$B$14)&lt;$B$13,"A","B")</f>
        <v/>
      </c>
      <c r="O113">
        <f>IF(N113="A",$E$5,$H$3)</f>
        <v/>
      </c>
      <c r="P113">
        <f>P112+O113</f>
        <v/>
      </c>
      <c r="Q113">
        <f>P113+(M113-1)*$B$10</f>
        <v/>
      </c>
      <c r="R113">
        <f>IF(AND(Q113&lt;=$E$7,N113="A"),1,0)</f>
        <v/>
      </c>
      <c r="S113">
        <f>IF(AND(Q113&lt;=$E$7,N113="B"),1,0)</f>
        <v/>
      </c>
      <c r="T113">
        <f>IF(Q113&lt;=$E$7,1,0)</f>
        <v/>
      </c>
    </row>
    <row r="114">
      <c r="M114" t="n">
        <v>113</v>
      </c>
      <c r="N114">
        <f>IF(MOD(M114-1,$B$13+$B$14)&lt;$B$13,"A","B")</f>
        <v/>
      </c>
      <c r="O114">
        <f>IF(N114="A",$E$5,$H$3)</f>
        <v/>
      </c>
      <c r="P114">
        <f>P113+O114</f>
        <v/>
      </c>
      <c r="Q114">
        <f>P114+(M114-1)*$B$10</f>
        <v/>
      </c>
      <c r="R114">
        <f>IF(AND(Q114&lt;=$E$7,N114="A"),1,0)</f>
        <v/>
      </c>
      <c r="S114">
        <f>IF(AND(Q114&lt;=$E$7,N114="B"),1,0)</f>
        <v/>
      </c>
      <c r="T114">
        <f>IF(Q114&lt;=$E$7,1,0)</f>
        <v/>
      </c>
    </row>
    <row r="115">
      <c r="M115" t="n">
        <v>114</v>
      </c>
      <c r="N115">
        <f>IF(MOD(M115-1,$B$13+$B$14)&lt;$B$13,"A","B")</f>
        <v/>
      </c>
      <c r="O115">
        <f>IF(N115="A",$E$5,$H$3)</f>
        <v/>
      </c>
      <c r="P115">
        <f>P114+O115</f>
        <v/>
      </c>
      <c r="Q115">
        <f>P115+(M115-1)*$B$10</f>
        <v/>
      </c>
      <c r="R115">
        <f>IF(AND(Q115&lt;=$E$7,N115="A"),1,0)</f>
        <v/>
      </c>
      <c r="S115">
        <f>IF(AND(Q115&lt;=$E$7,N115="B"),1,0)</f>
        <v/>
      </c>
      <c r="T115">
        <f>IF(Q115&lt;=$E$7,1,0)</f>
        <v/>
      </c>
    </row>
    <row r="116">
      <c r="M116" t="n">
        <v>115</v>
      </c>
      <c r="N116">
        <f>IF(MOD(M116-1,$B$13+$B$14)&lt;$B$13,"A","B")</f>
        <v/>
      </c>
      <c r="O116">
        <f>IF(N116="A",$E$5,$H$3)</f>
        <v/>
      </c>
      <c r="P116">
        <f>P115+O116</f>
        <v/>
      </c>
      <c r="Q116">
        <f>P116+(M116-1)*$B$10</f>
        <v/>
      </c>
      <c r="R116">
        <f>IF(AND(Q116&lt;=$E$7,N116="A"),1,0)</f>
        <v/>
      </c>
      <c r="S116">
        <f>IF(AND(Q116&lt;=$E$7,N116="B"),1,0)</f>
        <v/>
      </c>
      <c r="T116">
        <f>IF(Q116&lt;=$E$7,1,0)</f>
        <v/>
      </c>
    </row>
    <row r="117">
      <c r="M117" t="n">
        <v>116</v>
      </c>
      <c r="N117">
        <f>IF(MOD(M117-1,$B$13+$B$14)&lt;$B$13,"A","B")</f>
        <v/>
      </c>
      <c r="O117">
        <f>IF(N117="A",$E$5,$H$3)</f>
        <v/>
      </c>
      <c r="P117">
        <f>P116+O117</f>
        <v/>
      </c>
      <c r="Q117">
        <f>P117+(M117-1)*$B$10</f>
        <v/>
      </c>
      <c r="R117">
        <f>IF(AND(Q117&lt;=$E$7,N117="A"),1,0)</f>
        <v/>
      </c>
      <c r="S117">
        <f>IF(AND(Q117&lt;=$E$7,N117="B"),1,0)</f>
        <v/>
      </c>
      <c r="T117">
        <f>IF(Q117&lt;=$E$7,1,0)</f>
        <v/>
      </c>
    </row>
    <row r="118">
      <c r="M118" t="n">
        <v>117</v>
      </c>
      <c r="N118">
        <f>IF(MOD(M118-1,$B$13+$B$14)&lt;$B$13,"A","B")</f>
        <v/>
      </c>
      <c r="O118">
        <f>IF(N118="A",$E$5,$H$3)</f>
        <v/>
      </c>
      <c r="P118">
        <f>P117+O118</f>
        <v/>
      </c>
      <c r="Q118">
        <f>P118+(M118-1)*$B$10</f>
        <v/>
      </c>
      <c r="R118">
        <f>IF(AND(Q118&lt;=$E$7,N118="A"),1,0)</f>
        <v/>
      </c>
      <c r="S118">
        <f>IF(AND(Q118&lt;=$E$7,N118="B"),1,0)</f>
        <v/>
      </c>
      <c r="T118">
        <f>IF(Q118&lt;=$E$7,1,0)</f>
        <v/>
      </c>
    </row>
    <row r="119">
      <c r="M119" t="n">
        <v>118</v>
      </c>
      <c r="N119">
        <f>IF(MOD(M119-1,$B$13+$B$14)&lt;$B$13,"A","B")</f>
        <v/>
      </c>
      <c r="O119">
        <f>IF(N119="A",$E$5,$H$3)</f>
        <v/>
      </c>
      <c r="P119">
        <f>P118+O119</f>
        <v/>
      </c>
      <c r="Q119">
        <f>P119+(M119-1)*$B$10</f>
        <v/>
      </c>
      <c r="R119">
        <f>IF(AND(Q119&lt;=$E$7,N119="A"),1,0)</f>
        <v/>
      </c>
      <c r="S119">
        <f>IF(AND(Q119&lt;=$E$7,N119="B"),1,0)</f>
        <v/>
      </c>
      <c r="T119">
        <f>IF(Q119&lt;=$E$7,1,0)</f>
        <v/>
      </c>
    </row>
    <row r="120">
      <c r="M120" t="n">
        <v>119</v>
      </c>
      <c r="N120">
        <f>IF(MOD(M120-1,$B$13+$B$14)&lt;$B$13,"A","B")</f>
        <v/>
      </c>
      <c r="O120">
        <f>IF(N120="A",$E$5,$H$3)</f>
        <v/>
      </c>
      <c r="P120">
        <f>P119+O120</f>
        <v/>
      </c>
      <c r="Q120">
        <f>P120+(M120-1)*$B$10</f>
        <v/>
      </c>
      <c r="R120">
        <f>IF(AND(Q120&lt;=$E$7,N120="A"),1,0)</f>
        <v/>
      </c>
      <c r="S120">
        <f>IF(AND(Q120&lt;=$E$7,N120="B"),1,0)</f>
        <v/>
      </c>
      <c r="T120">
        <f>IF(Q120&lt;=$E$7,1,0)</f>
        <v/>
      </c>
    </row>
    <row r="121">
      <c r="M121" t="n">
        <v>120</v>
      </c>
      <c r="N121">
        <f>IF(MOD(M121-1,$B$13+$B$14)&lt;$B$13,"A","B")</f>
        <v/>
      </c>
      <c r="O121">
        <f>IF(N121="A",$E$5,$H$3)</f>
        <v/>
      </c>
      <c r="P121">
        <f>P120+O121</f>
        <v/>
      </c>
      <c r="Q121">
        <f>P121+(M121-1)*$B$10</f>
        <v/>
      </c>
      <c r="R121">
        <f>IF(AND(Q121&lt;=$E$7,N121="A"),1,0)</f>
        <v/>
      </c>
      <c r="S121">
        <f>IF(AND(Q121&lt;=$E$7,N121="B"),1,0)</f>
        <v/>
      </c>
      <c r="T121">
        <f>IF(Q121&lt;=$E$7,1,0)</f>
        <v/>
      </c>
    </row>
    <row r="122">
      <c r="M122" t="n">
        <v>121</v>
      </c>
      <c r="N122">
        <f>IF(MOD(M122-1,$B$13+$B$14)&lt;$B$13,"A","B")</f>
        <v/>
      </c>
      <c r="O122">
        <f>IF(N122="A",$E$5,$H$3)</f>
        <v/>
      </c>
      <c r="P122">
        <f>P121+O122</f>
        <v/>
      </c>
      <c r="Q122">
        <f>P122+(M122-1)*$B$10</f>
        <v/>
      </c>
      <c r="R122">
        <f>IF(AND(Q122&lt;=$E$7,N122="A"),1,0)</f>
        <v/>
      </c>
      <c r="S122">
        <f>IF(AND(Q122&lt;=$E$7,N122="B"),1,0)</f>
        <v/>
      </c>
      <c r="T122">
        <f>IF(Q122&lt;=$E$7,1,0)</f>
        <v/>
      </c>
    </row>
    <row r="123">
      <c r="M123" t="n">
        <v>122</v>
      </c>
      <c r="N123">
        <f>IF(MOD(M123-1,$B$13+$B$14)&lt;$B$13,"A","B")</f>
        <v/>
      </c>
      <c r="O123">
        <f>IF(N123="A",$E$5,$H$3)</f>
        <v/>
      </c>
      <c r="P123">
        <f>P122+O123</f>
        <v/>
      </c>
      <c r="Q123">
        <f>P123+(M123-1)*$B$10</f>
        <v/>
      </c>
      <c r="R123">
        <f>IF(AND(Q123&lt;=$E$7,N123="A"),1,0)</f>
        <v/>
      </c>
      <c r="S123">
        <f>IF(AND(Q123&lt;=$E$7,N123="B"),1,0)</f>
        <v/>
      </c>
      <c r="T123">
        <f>IF(Q123&lt;=$E$7,1,0)</f>
        <v/>
      </c>
    </row>
    <row r="124">
      <c r="M124" t="n">
        <v>123</v>
      </c>
      <c r="N124">
        <f>IF(MOD(M124-1,$B$13+$B$14)&lt;$B$13,"A","B")</f>
        <v/>
      </c>
      <c r="O124">
        <f>IF(N124="A",$E$5,$H$3)</f>
        <v/>
      </c>
      <c r="P124">
        <f>P123+O124</f>
        <v/>
      </c>
      <c r="Q124">
        <f>P124+(M124-1)*$B$10</f>
        <v/>
      </c>
      <c r="R124">
        <f>IF(AND(Q124&lt;=$E$7,N124="A"),1,0)</f>
        <v/>
      </c>
      <c r="S124">
        <f>IF(AND(Q124&lt;=$E$7,N124="B"),1,0)</f>
        <v/>
      </c>
      <c r="T124">
        <f>IF(Q124&lt;=$E$7,1,0)</f>
        <v/>
      </c>
    </row>
    <row r="125">
      <c r="M125" t="n">
        <v>124</v>
      </c>
      <c r="N125">
        <f>IF(MOD(M125-1,$B$13+$B$14)&lt;$B$13,"A","B")</f>
        <v/>
      </c>
      <c r="O125">
        <f>IF(N125="A",$E$5,$H$3)</f>
        <v/>
      </c>
      <c r="P125">
        <f>P124+O125</f>
        <v/>
      </c>
      <c r="Q125">
        <f>P125+(M125-1)*$B$10</f>
        <v/>
      </c>
      <c r="R125">
        <f>IF(AND(Q125&lt;=$E$7,N125="A"),1,0)</f>
        <v/>
      </c>
      <c r="S125">
        <f>IF(AND(Q125&lt;=$E$7,N125="B"),1,0)</f>
        <v/>
      </c>
      <c r="T125">
        <f>IF(Q125&lt;=$E$7,1,0)</f>
        <v/>
      </c>
    </row>
    <row r="126">
      <c r="M126" t="n">
        <v>125</v>
      </c>
      <c r="N126">
        <f>IF(MOD(M126-1,$B$13+$B$14)&lt;$B$13,"A","B")</f>
        <v/>
      </c>
      <c r="O126">
        <f>IF(N126="A",$E$5,$H$3)</f>
        <v/>
      </c>
      <c r="P126">
        <f>P125+O126</f>
        <v/>
      </c>
      <c r="Q126">
        <f>P126+(M126-1)*$B$10</f>
        <v/>
      </c>
      <c r="R126">
        <f>IF(AND(Q126&lt;=$E$7,N126="A"),1,0)</f>
        <v/>
      </c>
      <c r="S126">
        <f>IF(AND(Q126&lt;=$E$7,N126="B"),1,0)</f>
        <v/>
      </c>
      <c r="T126">
        <f>IF(Q126&lt;=$E$7,1,0)</f>
        <v/>
      </c>
    </row>
    <row r="127">
      <c r="M127" t="n">
        <v>126</v>
      </c>
      <c r="N127">
        <f>IF(MOD(M127-1,$B$13+$B$14)&lt;$B$13,"A","B")</f>
        <v/>
      </c>
      <c r="O127">
        <f>IF(N127="A",$E$5,$H$3)</f>
        <v/>
      </c>
      <c r="P127">
        <f>P126+O127</f>
        <v/>
      </c>
      <c r="Q127">
        <f>P127+(M127-1)*$B$10</f>
        <v/>
      </c>
      <c r="R127">
        <f>IF(AND(Q127&lt;=$E$7,N127="A"),1,0)</f>
        <v/>
      </c>
      <c r="S127">
        <f>IF(AND(Q127&lt;=$E$7,N127="B"),1,0)</f>
        <v/>
      </c>
      <c r="T127">
        <f>IF(Q127&lt;=$E$7,1,0)</f>
        <v/>
      </c>
    </row>
    <row r="128">
      <c r="M128" t="n">
        <v>127</v>
      </c>
      <c r="N128">
        <f>IF(MOD(M128-1,$B$13+$B$14)&lt;$B$13,"A","B")</f>
        <v/>
      </c>
      <c r="O128">
        <f>IF(N128="A",$E$5,$H$3)</f>
        <v/>
      </c>
      <c r="P128">
        <f>P127+O128</f>
        <v/>
      </c>
      <c r="Q128">
        <f>P128+(M128-1)*$B$10</f>
        <v/>
      </c>
      <c r="R128">
        <f>IF(AND(Q128&lt;=$E$7,N128="A"),1,0)</f>
        <v/>
      </c>
      <c r="S128">
        <f>IF(AND(Q128&lt;=$E$7,N128="B"),1,0)</f>
        <v/>
      </c>
      <c r="T128">
        <f>IF(Q128&lt;=$E$7,1,0)</f>
        <v/>
      </c>
    </row>
    <row r="129">
      <c r="M129" t="n">
        <v>128</v>
      </c>
      <c r="N129">
        <f>IF(MOD(M129-1,$B$13+$B$14)&lt;$B$13,"A","B")</f>
        <v/>
      </c>
      <c r="O129">
        <f>IF(N129="A",$E$5,$H$3)</f>
        <v/>
      </c>
      <c r="P129">
        <f>P128+O129</f>
        <v/>
      </c>
      <c r="Q129">
        <f>P129+(M129-1)*$B$10</f>
        <v/>
      </c>
      <c r="R129">
        <f>IF(AND(Q129&lt;=$E$7,N129="A"),1,0)</f>
        <v/>
      </c>
      <c r="S129">
        <f>IF(AND(Q129&lt;=$E$7,N129="B"),1,0)</f>
        <v/>
      </c>
      <c r="T129">
        <f>IF(Q129&lt;=$E$7,1,0)</f>
        <v/>
      </c>
    </row>
    <row r="130">
      <c r="M130" t="n">
        <v>129</v>
      </c>
      <c r="N130">
        <f>IF(MOD(M130-1,$B$13+$B$14)&lt;$B$13,"A","B")</f>
        <v/>
      </c>
      <c r="O130">
        <f>IF(N130="A",$E$5,$H$3)</f>
        <v/>
      </c>
      <c r="P130">
        <f>P129+O130</f>
        <v/>
      </c>
      <c r="Q130">
        <f>P130+(M130-1)*$B$10</f>
        <v/>
      </c>
      <c r="R130">
        <f>IF(AND(Q130&lt;=$E$7,N130="A"),1,0)</f>
        <v/>
      </c>
      <c r="S130">
        <f>IF(AND(Q130&lt;=$E$7,N130="B"),1,0)</f>
        <v/>
      </c>
      <c r="T130">
        <f>IF(Q130&lt;=$E$7,1,0)</f>
        <v/>
      </c>
    </row>
    <row r="131">
      <c r="M131" t="n">
        <v>130</v>
      </c>
      <c r="N131">
        <f>IF(MOD(M131-1,$B$13+$B$14)&lt;$B$13,"A","B")</f>
        <v/>
      </c>
      <c r="O131">
        <f>IF(N131="A",$E$5,$H$3)</f>
        <v/>
      </c>
      <c r="P131">
        <f>P130+O131</f>
        <v/>
      </c>
      <c r="Q131">
        <f>P131+(M131-1)*$B$10</f>
        <v/>
      </c>
      <c r="R131">
        <f>IF(AND(Q131&lt;=$E$7,N131="A"),1,0)</f>
        <v/>
      </c>
      <c r="S131">
        <f>IF(AND(Q131&lt;=$E$7,N131="B"),1,0)</f>
        <v/>
      </c>
      <c r="T131">
        <f>IF(Q131&lt;=$E$7,1,0)</f>
        <v/>
      </c>
    </row>
    <row r="132">
      <c r="M132" t="n">
        <v>131</v>
      </c>
      <c r="N132">
        <f>IF(MOD(M132-1,$B$13+$B$14)&lt;$B$13,"A","B")</f>
        <v/>
      </c>
      <c r="O132">
        <f>IF(N132="A",$E$5,$H$3)</f>
        <v/>
      </c>
      <c r="P132">
        <f>P131+O132</f>
        <v/>
      </c>
      <c r="Q132">
        <f>P132+(M132-1)*$B$10</f>
        <v/>
      </c>
      <c r="R132">
        <f>IF(AND(Q132&lt;=$E$7,N132="A"),1,0)</f>
        <v/>
      </c>
      <c r="S132">
        <f>IF(AND(Q132&lt;=$E$7,N132="B"),1,0)</f>
        <v/>
      </c>
      <c r="T132">
        <f>IF(Q132&lt;=$E$7,1,0)</f>
        <v/>
      </c>
    </row>
    <row r="133">
      <c r="M133" t="n">
        <v>132</v>
      </c>
      <c r="N133">
        <f>IF(MOD(M133-1,$B$13+$B$14)&lt;$B$13,"A","B")</f>
        <v/>
      </c>
      <c r="O133">
        <f>IF(N133="A",$E$5,$H$3)</f>
        <v/>
      </c>
      <c r="P133">
        <f>P132+O133</f>
        <v/>
      </c>
      <c r="Q133">
        <f>P133+(M133-1)*$B$10</f>
        <v/>
      </c>
      <c r="R133">
        <f>IF(AND(Q133&lt;=$E$7,N133="A"),1,0)</f>
        <v/>
      </c>
      <c r="S133">
        <f>IF(AND(Q133&lt;=$E$7,N133="B"),1,0)</f>
        <v/>
      </c>
      <c r="T133">
        <f>IF(Q133&lt;=$E$7,1,0)</f>
        <v/>
      </c>
    </row>
    <row r="134">
      <c r="M134" t="n">
        <v>133</v>
      </c>
      <c r="N134">
        <f>IF(MOD(M134-1,$B$13+$B$14)&lt;$B$13,"A","B")</f>
        <v/>
      </c>
      <c r="O134">
        <f>IF(N134="A",$E$5,$H$3)</f>
        <v/>
      </c>
      <c r="P134">
        <f>P133+O134</f>
        <v/>
      </c>
      <c r="Q134">
        <f>P134+(M134-1)*$B$10</f>
        <v/>
      </c>
      <c r="R134">
        <f>IF(AND(Q134&lt;=$E$7,N134="A"),1,0)</f>
        <v/>
      </c>
      <c r="S134">
        <f>IF(AND(Q134&lt;=$E$7,N134="B"),1,0)</f>
        <v/>
      </c>
      <c r="T134">
        <f>IF(Q134&lt;=$E$7,1,0)</f>
        <v/>
      </c>
    </row>
    <row r="135">
      <c r="M135" t="n">
        <v>134</v>
      </c>
      <c r="N135">
        <f>IF(MOD(M135-1,$B$13+$B$14)&lt;$B$13,"A","B")</f>
        <v/>
      </c>
      <c r="O135">
        <f>IF(N135="A",$E$5,$H$3)</f>
        <v/>
      </c>
      <c r="P135">
        <f>P134+O135</f>
        <v/>
      </c>
      <c r="Q135">
        <f>P135+(M135-1)*$B$10</f>
        <v/>
      </c>
      <c r="R135">
        <f>IF(AND(Q135&lt;=$E$7,N135="A"),1,0)</f>
        <v/>
      </c>
      <c r="S135">
        <f>IF(AND(Q135&lt;=$E$7,N135="B"),1,0)</f>
        <v/>
      </c>
      <c r="T135">
        <f>IF(Q135&lt;=$E$7,1,0)</f>
        <v/>
      </c>
    </row>
    <row r="136">
      <c r="M136" t="n">
        <v>135</v>
      </c>
      <c r="N136">
        <f>IF(MOD(M136-1,$B$13+$B$14)&lt;$B$13,"A","B")</f>
        <v/>
      </c>
      <c r="O136">
        <f>IF(N136="A",$E$5,$H$3)</f>
        <v/>
      </c>
      <c r="P136">
        <f>P135+O136</f>
        <v/>
      </c>
      <c r="Q136">
        <f>P136+(M136-1)*$B$10</f>
        <v/>
      </c>
      <c r="R136">
        <f>IF(AND(Q136&lt;=$E$7,N136="A"),1,0)</f>
        <v/>
      </c>
      <c r="S136">
        <f>IF(AND(Q136&lt;=$E$7,N136="B"),1,0)</f>
        <v/>
      </c>
      <c r="T136">
        <f>IF(Q136&lt;=$E$7,1,0)</f>
        <v/>
      </c>
    </row>
    <row r="137">
      <c r="M137" t="n">
        <v>136</v>
      </c>
      <c r="N137">
        <f>IF(MOD(M137-1,$B$13+$B$14)&lt;$B$13,"A","B")</f>
        <v/>
      </c>
      <c r="O137">
        <f>IF(N137="A",$E$5,$H$3)</f>
        <v/>
      </c>
      <c r="P137">
        <f>P136+O137</f>
        <v/>
      </c>
      <c r="Q137">
        <f>P137+(M137-1)*$B$10</f>
        <v/>
      </c>
      <c r="R137">
        <f>IF(AND(Q137&lt;=$E$7,N137="A"),1,0)</f>
        <v/>
      </c>
      <c r="S137">
        <f>IF(AND(Q137&lt;=$E$7,N137="B"),1,0)</f>
        <v/>
      </c>
      <c r="T137">
        <f>IF(Q137&lt;=$E$7,1,0)</f>
        <v/>
      </c>
    </row>
    <row r="138">
      <c r="M138" t="n">
        <v>137</v>
      </c>
      <c r="N138">
        <f>IF(MOD(M138-1,$B$13+$B$14)&lt;$B$13,"A","B")</f>
        <v/>
      </c>
      <c r="O138">
        <f>IF(N138="A",$E$5,$H$3)</f>
        <v/>
      </c>
      <c r="P138">
        <f>P137+O138</f>
        <v/>
      </c>
      <c r="Q138">
        <f>P138+(M138-1)*$B$10</f>
        <v/>
      </c>
      <c r="R138">
        <f>IF(AND(Q138&lt;=$E$7,N138="A"),1,0)</f>
        <v/>
      </c>
      <c r="S138">
        <f>IF(AND(Q138&lt;=$E$7,N138="B"),1,0)</f>
        <v/>
      </c>
      <c r="T138">
        <f>IF(Q138&lt;=$E$7,1,0)</f>
        <v/>
      </c>
    </row>
    <row r="139">
      <c r="M139" t="n">
        <v>138</v>
      </c>
      <c r="N139">
        <f>IF(MOD(M139-1,$B$13+$B$14)&lt;$B$13,"A","B")</f>
        <v/>
      </c>
      <c r="O139">
        <f>IF(N139="A",$E$5,$H$3)</f>
        <v/>
      </c>
      <c r="P139">
        <f>P138+O139</f>
        <v/>
      </c>
      <c r="Q139">
        <f>P139+(M139-1)*$B$10</f>
        <v/>
      </c>
      <c r="R139">
        <f>IF(AND(Q139&lt;=$E$7,N139="A"),1,0)</f>
        <v/>
      </c>
      <c r="S139">
        <f>IF(AND(Q139&lt;=$E$7,N139="B"),1,0)</f>
        <v/>
      </c>
      <c r="T139">
        <f>IF(Q139&lt;=$E$7,1,0)</f>
        <v/>
      </c>
    </row>
    <row r="140">
      <c r="M140" t="n">
        <v>139</v>
      </c>
      <c r="N140">
        <f>IF(MOD(M140-1,$B$13+$B$14)&lt;$B$13,"A","B")</f>
        <v/>
      </c>
      <c r="O140">
        <f>IF(N140="A",$E$5,$H$3)</f>
        <v/>
      </c>
      <c r="P140">
        <f>P139+O140</f>
        <v/>
      </c>
      <c r="Q140">
        <f>P140+(M140-1)*$B$10</f>
        <v/>
      </c>
      <c r="R140">
        <f>IF(AND(Q140&lt;=$E$7,N140="A"),1,0)</f>
        <v/>
      </c>
      <c r="S140">
        <f>IF(AND(Q140&lt;=$E$7,N140="B"),1,0)</f>
        <v/>
      </c>
      <c r="T140">
        <f>IF(Q140&lt;=$E$7,1,0)</f>
        <v/>
      </c>
    </row>
    <row r="141">
      <c r="M141" t="n">
        <v>140</v>
      </c>
      <c r="N141">
        <f>IF(MOD(M141-1,$B$13+$B$14)&lt;$B$13,"A","B")</f>
        <v/>
      </c>
      <c r="O141">
        <f>IF(N141="A",$E$5,$H$3)</f>
        <v/>
      </c>
      <c r="P141">
        <f>P140+O141</f>
        <v/>
      </c>
      <c r="Q141">
        <f>P141+(M141-1)*$B$10</f>
        <v/>
      </c>
      <c r="R141">
        <f>IF(AND(Q141&lt;=$E$7,N141="A"),1,0)</f>
        <v/>
      </c>
      <c r="S141">
        <f>IF(AND(Q141&lt;=$E$7,N141="B"),1,0)</f>
        <v/>
      </c>
      <c r="T141">
        <f>IF(Q141&lt;=$E$7,1,0)</f>
        <v/>
      </c>
    </row>
    <row r="142">
      <c r="M142" t="n">
        <v>141</v>
      </c>
      <c r="N142">
        <f>IF(MOD(M142-1,$B$13+$B$14)&lt;$B$13,"A","B")</f>
        <v/>
      </c>
      <c r="O142">
        <f>IF(N142="A",$E$5,$H$3)</f>
        <v/>
      </c>
      <c r="P142">
        <f>P141+O142</f>
        <v/>
      </c>
      <c r="Q142">
        <f>P142+(M142-1)*$B$10</f>
        <v/>
      </c>
      <c r="R142">
        <f>IF(AND(Q142&lt;=$E$7,N142="A"),1,0)</f>
        <v/>
      </c>
      <c r="S142">
        <f>IF(AND(Q142&lt;=$E$7,N142="B"),1,0)</f>
        <v/>
      </c>
      <c r="T142">
        <f>IF(Q142&lt;=$E$7,1,0)</f>
        <v/>
      </c>
    </row>
    <row r="143">
      <c r="M143" t="n">
        <v>142</v>
      </c>
      <c r="N143">
        <f>IF(MOD(M143-1,$B$13+$B$14)&lt;$B$13,"A","B")</f>
        <v/>
      </c>
      <c r="O143">
        <f>IF(N143="A",$E$5,$H$3)</f>
        <v/>
      </c>
      <c r="P143">
        <f>P142+O143</f>
        <v/>
      </c>
      <c r="Q143">
        <f>P143+(M143-1)*$B$10</f>
        <v/>
      </c>
      <c r="R143">
        <f>IF(AND(Q143&lt;=$E$7,N143="A"),1,0)</f>
        <v/>
      </c>
      <c r="S143">
        <f>IF(AND(Q143&lt;=$E$7,N143="B"),1,0)</f>
        <v/>
      </c>
      <c r="T143">
        <f>IF(Q143&lt;=$E$7,1,0)</f>
        <v/>
      </c>
    </row>
    <row r="144">
      <c r="M144" t="n">
        <v>143</v>
      </c>
      <c r="N144">
        <f>IF(MOD(M144-1,$B$13+$B$14)&lt;$B$13,"A","B")</f>
        <v/>
      </c>
      <c r="O144">
        <f>IF(N144="A",$E$5,$H$3)</f>
        <v/>
      </c>
      <c r="P144">
        <f>P143+O144</f>
        <v/>
      </c>
      <c r="Q144">
        <f>P144+(M144-1)*$B$10</f>
        <v/>
      </c>
      <c r="R144">
        <f>IF(AND(Q144&lt;=$E$7,N144="A"),1,0)</f>
        <v/>
      </c>
      <c r="S144">
        <f>IF(AND(Q144&lt;=$E$7,N144="B"),1,0)</f>
        <v/>
      </c>
      <c r="T144">
        <f>IF(Q144&lt;=$E$7,1,0)</f>
        <v/>
      </c>
    </row>
    <row r="145">
      <c r="M145" t="n">
        <v>144</v>
      </c>
      <c r="N145">
        <f>IF(MOD(M145-1,$B$13+$B$14)&lt;$B$13,"A","B")</f>
        <v/>
      </c>
      <c r="O145">
        <f>IF(N145="A",$E$5,$H$3)</f>
        <v/>
      </c>
      <c r="P145">
        <f>P144+O145</f>
        <v/>
      </c>
      <c r="Q145">
        <f>P145+(M145-1)*$B$10</f>
        <v/>
      </c>
      <c r="R145">
        <f>IF(AND(Q145&lt;=$E$7,N145="A"),1,0)</f>
        <v/>
      </c>
      <c r="S145">
        <f>IF(AND(Q145&lt;=$E$7,N145="B"),1,0)</f>
        <v/>
      </c>
      <c r="T145">
        <f>IF(Q145&lt;=$E$7,1,0)</f>
        <v/>
      </c>
    </row>
    <row r="146">
      <c r="M146" t="n">
        <v>145</v>
      </c>
      <c r="N146">
        <f>IF(MOD(M146-1,$B$13+$B$14)&lt;$B$13,"A","B")</f>
        <v/>
      </c>
      <c r="O146">
        <f>IF(N146="A",$E$5,$H$3)</f>
        <v/>
      </c>
      <c r="P146">
        <f>P145+O146</f>
        <v/>
      </c>
      <c r="Q146">
        <f>P146+(M146-1)*$B$10</f>
        <v/>
      </c>
      <c r="R146">
        <f>IF(AND(Q146&lt;=$E$7,N146="A"),1,0)</f>
        <v/>
      </c>
      <c r="S146">
        <f>IF(AND(Q146&lt;=$E$7,N146="B"),1,0)</f>
        <v/>
      </c>
      <c r="T146">
        <f>IF(Q146&lt;=$E$7,1,0)</f>
        <v/>
      </c>
    </row>
    <row r="147">
      <c r="M147" t="n">
        <v>146</v>
      </c>
      <c r="N147">
        <f>IF(MOD(M147-1,$B$13+$B$14)&lt;$B$13,"A","B")</f>
        <v/>
      </c>
      <c r="O147">
        <f>IF(N147="A",$E$5,$H$3)</f>
        <v/>
      </c>
      <c r="P147">
        <f>P146+O147</f>
        <v/>
      </c>
      <c r="Q147">
        <f>P147+(M147-1)*$B$10</f>
        <v/>
      </c>
      <c r="R147">
        <f>IF(AND(Q147&lt;=$E$7,N147="A"),1,0)</f>
        <v/>
      </c>
      <c r="S147">
        <f>IF(AND(Q147&lt;=$E$7,N147="B"),1,0)</f>
        <v/>
      </c>
      <c r="T147">
        <f>IF(Q147&lt;=$E$7,1,0)</f>
        <v/>
      </c>
    </row>
    <row r="148">
      <c r="M148" t="n">
        <v>147</v>
      </c>
      <c r="N148">
        <f>IF(MOD(M148-1,$B$13+$B$14)&lt;$B$13,"A","B")</f>
        <v/>
      </c>
      <c r="O148">
        <f>IF(N148="A",$E$5,$H$3)</f>
        <v/>
      </c>
      <c r="P148">
        <f>P147+O148</f>
        <v/>
      </c>
      <c r="Q148">
        <f>P148+(M148-1)*$B$10</f>
        <v/>
      </c>
      <c r="R148">
        <f>IF(AND(Q148&lt;=$E$7,N148="A"),1,0)</f>
        <v/>
      </c>
      <c r="S148">
        <f>IF(AND(Q148&lt;=$E$7,N148="B"),1,0)</f>
        <v/>
      </c>
      <c r="T148">
        <f>IF(Q148&lt;=$E$7,1,0)</f>
        <v/>
      </c>
    </row>
    <row r="149">
      <c r="M149" t="n">
        <v>148</v>
      </c>
      <c r="N149">
        <f>IF(MOD(M149-1,$B$13+$B$14)&lt;$B$13,"A","B")</f>
        <v/>
      </c>
      <c r="O149">
        <f>IF(N149="A",$E$5,$H$3)</f>
        <v/>
      </c>
      <c r="P149">
        <f>P148+O149</f>
        <v/>
      </c>
      <c r="Q149">
        <f>P149+(M149-1)*$B$10</f>
        <v/>
      </c>
      <c r="R149">
        <f>IF(AND(Q149&lt;=$E$7,N149="A"),1,0)</f>
        <v/>
      </c>
      <c r="S149">
        <f>IF(AND(Q149&lt;=$E$7,N149="B"),1,0)</f>
        <v/>
      </c>
      <c r="T149">
        <f>IF(Q149&lt;=$E$7,1,0)</f>
        <v/>
      </c>
    </row>
    <row r="150">
      <c r="M150" t="n">
        <v>149</v>
      </c>
      <c r="N150">
        <f>IF(MOD(M150-1,$B$13+$B$14)&lt;$B$13,"A","B")</f>
        <v/>
      </c>
      <c r="O150">
        <f>IF(N150="A",$E$5,$H$3)</f>
        <v/>
      </c>
      <c r="P150">
        <f>P149+O150</f>
        <v/>
      </c>
      <c r="Q150">
        <f>P150+(M150-1)*$B$10</f>
        <v/>
      </c>
      <c r="R150">
        <f>IF(AND(Q150&lt;=$E$7,N150="A"),1,0)</f>
        <v/>
      </c>
      <c r="S150">
        <f>IF(AND(Q150&lt;=$E$7,N150="B"),1,0)</f>
        <v/>
      </c>
      <c r="T150">
        <f>IF(Q150&lt;=$E$7,1,0)</f>
        <v/>
      </c>
    </row>
    <row r="151">
      <c r="M151" t="n">
        <v>150</v>
      </c>
      <c r="N151">
        <f>IF(MOD(M151-1,$B$13+$B$14)&lt;$B$13,"A","B")</f>
        <v/>
      </c>
      <c r="O151">
        <f>IF(N151="A",$E$5,$H$3)</f>
        <v/>
      </c>
      <c r="P151">
        <f>P150+O151</f>
        <v/>
      </c>
      <c r="Q151">
        <f>P151+(M151-1)*$B$10</f>
        <v/>
      </c>
      <c r="R151">
        <f>IF(AND(Q151&lt;=$E$7,N151="A"),1,0)</f>
        <v/>
      </c>
      <c r="S151">
        <f>IF(AND(Q151&lt;=$E$7,N151="B"),1,0)</f>
        <v/>
      </c>
      <c r="T151">
        <f>IF(Q151&lt;=$E$7,1,0)</f>
        <v/>
      </c>
    </row>
    <row r="152">
      <c r="M152" t="n">
        <v>151</v>
      </c>
      <c r="N152">
        <f>IF(MOD(M152-1,$B$13+$B$14)&lt;$B$13,"A","B")</f>
        <v/>
      </c>
      <c r="O152">
        <f>IF(N152="A",$E$5,$H$3)</f>
        <v/>
      </c>
      <c r="P152">
        <f>P151+O152</f>
        <v/>
      </c>
      <c r="Q152">
        <f>P152+(M152-1)*$B$10</f>
        <v/>
      </c>
      <c r="R152">
        <f>IF(AND(Q152&lt;=$E$7,N152="A"),1,0)</f>
        <v/>
      </c>
      <c r="S152">
        <f>IF(AND(Q152&lt;=$E$7,N152="B"),1,0)</f>
        <v/>
      </c>
      <c r="T152">
        <f>IF(Q152&lt;=$E$7,1,0)</f>
        <v/>
      </c>
    </row>
    <row r="153">
      <c r="M153" t="n">
        <v>152</v>
      </c>
      <c r="N153">
        <f>IF(MOD(M153-1,$B$13+$B$14)&lt;$B$13,"A","B")</f>
        <v/>
      </c>
      <c r="O153">
        <f>IF(N153="A",$E$5,$H$3)</f>
        <v/>
      </c>
      <c r="P153">
        <f>P152+O153</f>
        <v/>
      </c>
      <c r="Q153">
        <f>P153+(M153-1)*$B$10</f>
        <v/>
      </c>
      <c r="R153">
        <f>IF(AND(Q153&lt;=$E$7,N153="A"),1,0)</f>
        <v/>
      </c>
      <c r="S153">
        <f>IF(AND(Q153&lt;=$E$7,N153="B"),1,0)</f>
        <v/>
      </c>
      <c r="T153">
        <f>IF(Q153&lt;=$E$7,1,0)</f>
        <v/>
      </c>
    </row>
    <row r="154">
      <c r="M154" t="n">
        <v>153</v>
      </c>
      <c r="N154">
        <f>IF(MOD(M154-1,$B$13+$B$14)&lt;$B$13,"A","B")</f>
        <v/>
      </c>
      <c r="O154">
        <f>IF(N154="A",$E$5,$H$3)</f>
        <v/>
      </c>
      <c r="P154">
        <f>P153+O154</f>
        <v/>
      </c>
      <c r="Q154">
        <f>P154+(M154-1)*$B$10</f>
        <v/>
      </c>
      <c r="R154">
        <f>IF(AND(Q154&lt;=$E$7,N154="A"),1,0)</f>
        <v/>
      </c>
      <c r="S154">
        <f>IF(AND(Q154&lt;=$E$7,N154="B"),1,0)</f>
        <v/>
      </c>
      <c r="T154">
        <f>IF(Q154&lt;=$E$7,1,0)</f>
        <v/>
      </c>
    </row>
    <row r="155">
      <c r="M155" t="n">
        <v>154</v>
      </c>
      <c r="N155">
        <f>IF(MOD(M155-1,$B$13+$B$14)&lt;$B$13,"A","B")</f>
        <v/>
      </c>
      <c r="O155">
        <f>IF(N155="A",$E$5,$H$3)</f>
        <v/>
      </c>
      <c r="P155">
        <f>P154+O155</f>
        <v/>
      </c>
      <c r="Q155">
        <f>P155+(M155-1)*$B$10</f>
        <v/>
      </c>
      <c r="R155">
        <f>IF(AND(Q155&lt;=$E$7,N155="A"),1,0)</f>
        <v/>
      </c>
      <c r="S155">
        <f>IF(AND(Q155&lt;=$E$7,N155="B"),1,0)</f>
        <v/>
      </c>
      <c r="T155">
        <f>IF(Q155&lt;=$E$7,1,0)</f>
        <v/>
      </c>
    </row>
    <row r="156">
      <c r="M156" t="n">
        <v>155</v>
      </c>
      <c r="N156">
        <f>IF(MOD(M156-1,$B$13+$B$14)&lt;$B$13,"A","B")</f>
        <v/>
      </c>
      <c r="O156">
        <f>IF(N156="A",$E$5,$H$3)</f>
        <v/>
      </c>
      <c r="P156">
        <f>P155+O156</f>
        <v/>
      </c>
      <c r="Q156">
        <f>P156+(M156-1)*$B$10</f>
        <v/>
      </c>
      <c r="R156">
        <f>IF(AND(Q156&lt;=$E$7,N156="A"),1,0)</f>
        <v/>
      </c>
      <c r="S156">
        <f>IF(AND(Q156&lt;=$E$7,N156="B"),1,0)</f>
        <v/>
      </c>
      <c r="T156">
        <f>IF(Q156&lt;=$E$7,1,0)</f>
        <v/>
      </c>
    </row>
    <row r="157">
      <c r="M157" t="n">
        <v>156</v>
      </c>
      <c r="N157">
        <f>IF(MOD(M157-1,$B$13+$B$14)&lt;$B$13,"A","B")</f>
        <v/>
      </c>
      <c r="O157">
        <f>IF(N157="A",$E$5,$H$3)</f>
        <v/>
      </c>
      <c r="P157">
        <f>P156+O157</f>
        <v/>
      </c>
      <c r="Q157">
        <f>P157+(M157-1)*$B$10</f>
        <v/>
      </c>
      <c r="R157">
        <f>IF(AND(Q157&lt;=$E$7,N157="A"),1,0)</f>
        <v/>
      </c>
      <c r="S157">
        <f>IF(AND(Q157&lt;=$E$7,N157="B"),1,0)</f>
        <v/>
      </c>
      <c r="T157">
        <f>IF(Q157&lt;=$E$7,1,0)</f>
        <v/>
      </c>
    </row>
    <row r="158">
      <c r="M158" t="n">
        <v>157</v>
      </c>
      <c r="N158">
        <f>IF(MOD(M158-1,$B$13+$B$14)&lt;$B$13,"A","B")</f>
        <v/>
      </c>
      <c r="O158">
        <f>IF(N158="A",$E$5,$H$3)</f>
        <v/>
      </c>
      <c r="P158">
        <f>P157+O158</f>
        <v/>
      </c>
      <c r="Q158">
        <f>P158+(M158-1)*$B$10</f>
        <v/>
      </c>
      <c r="R158">
        <f>IF(AND(Q158&lt;=$E$7,N158="A"),1,0)</f>
        <v/>
      </c>
      <c r="S158">
        <f>IF(AND(Q158&lt;=$E$7,N158="B"),1,0)</f>
        <v/>
      </c>
      <c r="T158">
        <f>IF(Q158&lt;=$E$7,1,0)</f>
        <v/>
      </c>
    </row>
    <row r="159">
      <c r="M159" t="n">
        <v>158</v>
      </c>
      <c r="N159">
        <f>IF(MOD(M159-1,$B$13+$B$14)&lt;$B$13,"A","B")</f>
        <v/>
      </c>
      <c r="O159">
        <f>IF(N159="A",$E$5,$H$3)</f>
        <v/>
      </c>
      <c r="P159">
        <f>P158+O159</f>
        <v/>
      </c>
      <c r="Q159">
        <f>P159+(M159-1)*$B$10</f>
        <v/>
      </c>
      <c r="R159">
        <f>IF(AND(Q159&lt;=$E$7,N159="A"),1,0)</f>
        <v/>
      </c>
      <c r="S159">
        <f>IF(AND(Q159&lt;=$E$7,N159="B"),1,0)</f>
        <v/>
      </c>
      <c r="T159">
        <f>IF(Q159&lt;=$E$7,1,0)</f>
        <v/>
      </c>
    </row>
    <row r="160">
      <c r="M160" t="n">
        <v>159</v>
      </c>
      <c r="N160">
        <f>IF(MOD(M160-1,$B$13+$B$14)&lt;$B$13,"A","B")</f>
        <v/>
      </c>
      <c r="O160">
        <f>IF(N160="A",$E$5,$H$3)</f>
        <v/>
      </c>
      <c r="P160">
        <f>P159+O160</f>
        <v/>
      </c>
      <c r="Q160">
        <f>P160+(M160-1)*$B$10</f>
        <v/>
      </c>
      <c r="R160">
        <f>IF(AND(Q160&lt;=$E$7,N160="A"),1,0)</f>
        <v/>
      </c>
      <c r="S160">
        <f>IF(AND(Q160&lt;=$E$7,N160="B"),1,0)</f>
        <v/>
      </c>
      <c r="T160">
        <f>IF(Q160&lt;=$E$7,1,0)</f>
        <v/>
      </c>
    </row>
    <row r="161">
      <c r="M161" t="n">
        <v>160</v>
      </c>
      <c r="N161">
        <f>IF(MOD(M161-1,$B$13+$B$14)&lt;$B$13,"A","B")</f>
        <v/>
      </c>
      <c r="O161">
        <f>IF(N161="A",$E$5,$H$3)</f>
        <v/>
      </c>
      <c r="P161">
        <f>P160+O161</f>
        <v/>
      </c>
      <c r="Q161">
        <f>P161+(M161-1)*$B$10</f>
        <v/>
      </c>
      <c r="R161">
        <f>IF(AND(Q161&lt;=$E$7,N161="A"),1,0)</f>
        <v/>
      </c>
      <c r="S161">
        <f>IF(AND(Q161&lt;=$E$7,N161="B"),1,0)</f>
        <v/>
      </c>
      <c r="T161">
        <f>IF(Q161&lt;=$E$7,1,0)</f>
        <v/>
      </c>
    </row>
    <row r="162">
      <c r="M162" t="n">
        <v>161</v>
      </c>
      <c r="N162">
        <f>IF(MOD(M162-1,$B$13+$B$14)&lt;$B$13,"A","B")</f>
        <v/>
      </c>
      <c r="O162">
        <f>IF(N162="A",$E$5,$H$3)</f>
        <v/>
      </c>
      <c r="P162">
        <f>P161+O162</f>
        <v/>
      </c>
      <c r="Q162">
        <f>P162+(M162-1)*$B$10</f>
        <v/>
      </c>
      <c r="R162">
        <f>IF(AND(Q162&lt;=$E$7,N162="A"),1,0)</f>
        <v/>
      </c>
      <c r="S162">
        <f>IF(AND(Q162&lt;=$E$7,N162="B"),1,0)</f>
        <v/>
      </c>
      <c r="T162">
        <f>IF(Q162&lt;=$E$7,1,0)</f>
        <v/>
      </c>
    </row>
    <row r="163">
      <c r="M163" t="n">
        <v>162</v>
      </c>
      <c r="N163">
        <f>IF(MOD(M163-1,$B$13+$B$14)&lt;$B$13,"A","B")</f>
        <v/>
      </c>
      <c r="O163">
        <f>IF(N163="A",$E$5,$H$3)</f>
        <v/>
      </c>
      <c r="P163">
        <f>P162+O163</f>
        <v/>
      </c>
      <c r="Q163">
        <f>P163+(M163-1)*$B$10</f>
        <v/>
      </c>
      <c r="R163">
        <f>IF(AND(Q163&lt;=$E$7,N163="A"),1,0)</f>
        <v/>
      </c>
      <c r="S163">
        <f>IF(AND(Q163&lt;=$E$7,N163="B"),1,0)</f>
        <v/>
      </c>
      <c r="T163">
        <f>IF(Q163&lt;=$E$7,1,0)</f>
        <v/>
      </c>
    </row>
    <row r="164">
      <c r="M164" t="n">
        <v>163</v>
      </c>
      <c r="N164">
        <f>IF(MOD(M164-1,$B$13+$B$14)&lt;$B$13,"A","B")</f>
        <v/>
      </c>
      <c r="O164">
        <f>IF(N164="A",$E$5,$H$3)</f>
        <v/>
      </c>
      <c r="P164">
        <f>P163+O164</f>
        <v/>
      </c>
      <c r="Q164">
        <f>P164+(M164-1)*$B$10</f>
        <v/>
      </c>
      <c r="R164">
        <f>IF(AND(Q164&lt;=$E$7,N164="A"),1,0)</f>
        <v/>
      </c>
      <c r="S164">
        <f>IF(AND(Q164&lt;=$E$7,N164="B"),1,0)</f>
        <v/>
      </c>
      <c r="T164">
        <f>IF(Q164&lt;=$E$7,1,0)</f>
        <v/>
      </c>
    </row>
    <row r="165">
      <c r="M165" t="n">
        <v>164</v>
      </c>
      <c r="N165">
        <f>IF(MOD(M165-1,$B$13+$B$14)&lt;$B$13,"A","B")</f>
        <v/>
      </c>
      <c r="O165">
        <f>IF(N165="A",$E$5,$H$3)</f>
        <v/>
      </c>
      <c r="P165">
        <f>P164+O165</f>
        <v/>
      </c>
      <c r="Q165">
        <f>P165+(M165-1)*$B$10</f>
        <v/>
      </c>
      <c r="R165">
        <f>IF(AND(Q165&lt;=$E$7,N165="A"),1,0)</f>
        <v/>
      </c>
      <c r="S165">
        <f>IF(AND(Q165&lt;=$E$7,N165="B"),1,0)</f>
        <v/>
      </c>
      <c r="T165">
        <f>IF(Q165&lt;=$E$7,1,0)</f>
        <v/>
      </c>
    </row>
    <row r="166">
      <c r="M166" t="n">
        <v>165</v>
      </c>
      <c r="N166">
        <f>IF(MOD(M166-1,$B$13+$B$14)&lt;$B$13,"A","B")</f>
        <v/>
      </c>
      <c r="O166">
        <f>IF(N166="A",$E$5,$H$3)</f>
        <v/>
      </c>
      <c r="P166">
        <f>P165+O166</f>
        <v/>
      </c>
      <c r="Q166">
        <f>P166+(M166-1)*$B$10</f>
        <v/>
      </c>
      <c r="R166">
        <f>IF(AND(Q166&lt;=$E$7,N166="A"),1,0)</f>
        <v/>
      </c>
      <c r="S166">
        <f>IF(AND(Q166&lt;=$E$7,N166="B"),1,0)</f>
        <v/>
      </c>
      <c r="T166">
        <f>IF(Q166&lt;=$E$7,1,0)</f>
        <v/>
      </c>
    </row>
    <row r="167">
      <c r="M167" t="n">
        <v>166</v>
      </c>
      <c r="N167">
        <f>IF(MOD(M167-1,$B$13+$B$14)&lt;$B$13,"A","B")</f>
        <v/>
      </c>
      <c r="O167">
        <f>IF(N167="A",$E$5,$H$3)</f>
        <v/>
      </c>
      <c r="P167">
        <f>P166+O167</f>
        <v/>
      </c>
      <c r="Q167">
        <f>P167+(M167-1)*$B$10</f>
        <v/>
      </c>
      <c r="R167">
        <f>IF(AND(Q167&lt;=$E$7,N167="A"),1,0)</f>
        <v/>
      </c>
      <c r="S167">
        <f>IF(AND(Q167&lt;=$E$7,N167="B"),1,0)</f>
        <v/>
      </c>
      <c r="T167">
        <f>IF(Q167&lt;=$E$7,1,0)</f>
        <v/>
      </c>
    </row>
    <row r="168">
      <c r="M168" t="n">
        <v>167</v>
      </c>
      <c r="N168">
        <f>IF(MOD(M168-1,$B$13+$B$14)&lt;$B$13,"A","B")</f>
        <v/>
      </c>
      <c r="O168">
        <f>IF(N168="A",$E$5,$H$3)</f>
        <v/>
      </c>
      <c r="P168">
        <f>P167+O168</f>
        <v/>
      </c>
      <c r="Q168">
        <f>P168+(M168-1)*$B$10</f>
        <v/>
      </c>
      <c r="R168">
        <f>IF(AND(Q168&lt;=$E$7,N168="A"),1,0)</f>
        <v/>
      </c>
      <c r="S168">
        <f>IF(AND(Q168&lt;=$E$7,N168="B"),1,0)</f>
        <v/>
      </c>
      <c r="T168">
        <f>IF(Q168&lt;=$E$7,1,0)</f>
        <v/>
      </c>
    </row>
    <row r="169">
      <c r="M169" t="n">
        <v>168</v>
      </c>
      <c r="N169">
        <f>IF(MOD(M169-1,$B$13+$B$14)&lt;$B$13,"A","B")</f>
        <v/>
      </c>
      <c r="O169">
        <f>IF(N169="A",$E$5,$H$3)</f>
        <v/>
      </c>
      <c r="P169">
        <f>P168+O169</f>
        <v/>
      </c>
      <c r="Q169">
        <f>P169+(M169-1)*$B$10</f>
        <v/>
      </c>
      <c r="R169">
        <f>IF(AND(Q169&lt;=$E$7,N169="A"),1,0)</f>
        <v/>
      </c>
      <c r="S169">
        <f>IF(AND(Q169&lt;=$E$7,N169="B"),1,0)</f>
        <v/>
      </c>
      <c r="T169">
        <f>IF(Q169&lt;=$E$7,1,0)</f>
        <v/>
      </c>
    </row>
    <row r="170">
      <c r="M170" t="n">
        <v>169</v>
      </c>
      <c r="N170">
        <f>IF(MOD(M170-1,$B$13+$B$14)&lt;$B$13,"A","B")</f>
        <v/>
      </c>
      <c r="O170">
        <f>IF(N170="A",$E$5,$H$3)</f>
        <v/>
      </c>
      <c r="P170">
        <f>P169+O170</f>
        <v/>
      </c>
      <c r="Q170">
        <f>P170+(M170-1)*$B$10</f>
        <v/>
      </c>
      <c r="R170">
        <f>IF(AND(Q170&lt;=$E$7,N170="A"),1,0)</f>
        <v/>
      </c>
      <c r="S170">
        <f>IF(AND(Q170&lt;=$E$7,N170="B"),1,0)</f>
        <v/>
      </c>
      <c r="T170">
        <f>IF(Q170&lt;=$E$7,1,0)</f>
        <v/>
      </c>
    </row>
    <row r="171">
      <c r="M171" t="n">
        <v>170</v>
      </c>
      <c r="N171">
        <f>IF(MOD(M171-1,$B$13+$B$14)&lt;$B$13,"A","B")</f>
        <v/>
      </c>
      <c r="O171">
        <f>IF(N171="A",$E$5,$H$3)</f>
        <v/>
      </c>
      <c r="P171">
        <f>P170+O171</f>
        <v/>
      </c>
      <c r="Q171">
        <f>P171+(M171-1)*$B$10</f>
        <v/>
      </c>
      <c r="R171">
        <f>IF(AND(Q171&lt;=$E$7,N171="A"),1,0)</f>
        <v/>
      </c>
      <c r="S171">
        <f>IF(AND(Q171&lt;=$E$7,N171="B"),1,0)</f>
        <v/>
      </c>
      <c r="T171">
        <f>IF(Q171&lt;=$E$7,1,0)</f>
        <v/>
      </c>
    </row>
    <row r="172">
      <c r="M172" t="n">
        <v>171</v>
      </c>
      <c r="N172">
        <f>IF(MOD(M172-1,$B$13+$B$14)&lt;$B$13,"A","B")</f>
        <v/>
      </c>
      <c r="O172">
        <f>IF(N172="A",$E$5,$H$3)</f>
        <v/>
      </c>
      <c r="P172">
        <f>P171+O172</f>
        <v/>
      </c>
      <c r="Q172">
        <f>P172+(M172-1)*$B$10</f>
        <v/>
      </c>
      <c r="R172">
        <f>IF(AND(Q172&lt;=$E$7,N172="A"),1,0)</f>
        <v/>
      </c>
      <c r="S172">
        <f>IF(AND(Q172&lt;=$E$7,N172="B"),1,0)</f>
        <v/>
      </c>
      <c r="T172">
        <f>IF(Q172&lt;=$E$7,1,0)</f>
        <v/>
      </c>
    </row>
    <row r="173">
      <c r="M173" t="n">
        <v>172</v>
      </c>
      <c r="N173">
        <f>IF(MOD(M173-1,$B$13+$B$14)&lt;$B$13,"A","B")</f>
        <v/>
      </c>
      <c r="O173">
        <f>IF(N173="A",$E$5,$H$3)</f>
        <v/>
      </c>
      <c r="P173">
        <f>P172+O173</f>
        <v/>
      </c>
      <c r="Q173">
        <f>P173+(M173-1)*$B$10</f>
        <v/>
      </c>
      <c r="R173">
        <f>IF(AND(Q173&lt;=$E$7,N173="A"),1,0)</f>
        <v/>
      </c>
      <c r="S173">
        <f>IF(AND(Q173&lt;=$E$7,N173="B"),1,0)</f>
        <v/>
      </c>
      <c r="T173">
        <f>IF(Q173&lt;=$E$7,1,0)</f>
        <v/>
      </c>
    </row>
    <row r="174">
      <c r="M174" t="n">
        <v>173</v>
      </c>
      <c r="N174">
        <f>IF(MOD(M174-1,$B$13+$B$14)&lt;$B$13,"A","B")</f>
        <v/>
      </c>
      <c r="O174">
        <f>IF(N174="A",$E$5,$H$3)</f>
        <v/>
      </c>
      <c r="P174">
        <f>P173+O174</f>
        <v/>
      </c>
      <c r="Q174">
        <f>P174+(M174-1)*$B$10</f>
        <v/>
      </c>
      <c r="R174">
        <f>IF(AND(Q174&lt;=$E$7,N174="A"),1,0)</f>
        <v/>
      </c>
      <c r="S174">
        <f>IF(AND(Q174&lt;=$E$7,N174="B"),1,0)</f>
        <v/>
      </c>
      <c r="T174">
        <f>IF(Q174&lt;=$E$7,1,0)</f>
        <v/>
      </c>
    </row>
    <row r="175">
      <c r="M175" t="n">
        <v>174</v>
      </c>
      <c r="N175">
        <f>IF(MOD(M175-1,$B$13+$B$14)&lt;$B$13,"A","B")</f>
        <v/>
      </c>
      <c r="O175">
        <f>IF(N175="A",$E$5,$H$3)</f>
        <v/>
      </c>
      <c r="P175">
        <f>P174+O175</f>
        <v/>
      </c>
      <c r="Q175">
        <f>P175+(M175-1)*$B$10</f>
        <v/>
      </c>
      <c r="R175">
        <f>IF(AND(Q175&lt;=$E$7,N175="A"),1,0)</f>
        <v/>
      </c>
      <c r="S175">
        <f>IF(AND(Q175&lt;=$E$7,N175="B"),1,0)</f>
        <v/>
      </c>
      <c r="T175">
        <f>IF(Q175&lt;=$E$7,1,0)</f>
        <v/>
      </c>
    </row>
    <row r="176">
      <c r="M176" t="n">
        <v>175</v>
      </c>
      <c r="N176">
        <f>IF(MOD(M176-1,$B$13+$B$14)&lt;$B$13,"A","B")</f>
        <v/>
      </c>
      <c r="O176">
        <f>IF(N176="A",$E$5,$H$3)</f>
        <v/>
      </c>
      <c r="P176">
        <f>P175+O176</f>
        <v/>
      </c>
      <c r="Q176">
        <f>P176+(M176-1)*$B$10</f>
        <v/>
      </c>
      <c r="R176">
        <f>IF(AND(Q176&lt;=$E$7,N176="A"),1,0)</f>
        <v/>
      </c>
      <c r="S176">
        <f>IF(AND(Q176&lt;=$E$7,N176="B"),1,0)</f>
        <v/>
      </c>
      <c r="T176">
        <f>IF(Q176&lt;=$E$7,1,0)</f>
        <v/>
      </c>
    </row>
    <row r="177">
      <c r="M177" t="n">
        <v>176</v>
      </c>
      <c r="N177">
        <f>IF(MOD(M177-1,$B$13+$B$14)&lt;$B$13,"A","B")</f>
        <v/>
      </c>
      <c r="O177">
        <f>IF(N177="A",$E$5,$H$3)</f>
        <v/>
      </c>
      <c r="P177">
        <f>P176+O177</f>
        <v/>
      </c>
      <c r="Q177">
        <f>P177+(M177-1)*$B$10</f>
        <v/>
      </c>
      <c r="R177">
        <f>IF(AND(Q177&lt;=$E$7,N177="A"),1,0)</f>
        <v/>
      </c>
      <c r="S177">
        <f>IF(AND(Q177&lt;=$E$7,N177="B"),1,0)</f>
        <v/>
      </c>
      <c r="T177">
        <f>IF(Q177&lt;=$E$7,1,0)</f>
        <v/>
      </c>
    </row>
    <row r="178">
      <c r="M178" t="n">
        <v>177</v>
      </c>
      <c r="N178">
        <f>IF(MOD(M178-1,$B$13+$B$14)&lt;$B$13,"A","B")</f>
        <v/>
      </c>
      <c r="O178">
        <f>IF(N178="A",$E$5,$H$3)</f>
        <v/>
      </c>
      <c r="P178">
        <f>P177+O178</f>
        <v/>
      </c>
      <c r="Q178">
        <f>P178+(M178-1)*$B$10</f>
        <v/>
      </c>
      <c r="R178">
        <f>IF(AND(Q178&lt;=$E$7,N178="A"),1,0)</f>
        <v/>
      </c>
      <c r="S178">
        <f>IF(AND(Q178&lt;=$E$7,N178="B"),1,0)</f>
        <v/>
      </c>
      <c r="T178">
        <f>IF(Q178&lt;=$E$7,1,0)</f>
        <v/>
      </c>
    </row>
    <row r="179">
      <c r="M179" t="n">
        <v>178</v>
      </c>
      <c r="N179">
        <f>IF(MOD(M179-1,$B$13+$B$14)&lt;$B$13,"A","B")</f>
        <v/>
      </c>
      <c r="O179">
        <f>IF(N179="A",$E$5,$H$3)</f>
        <v/>
      </c>
      <c r="P179">
        <f>P178+O179</f>
        <v/>
      </c>
      <c r="Q179">
        <f>P179+(M179-1)*$B$10</f>
        <v/>
      </c>
      <c r="R179">
        <f>IF(AND(Q179&lt;=$E$7,N179="A"),1,0)</f>
        <v/>
      </c>
      <c r="S179">
        <f>IF(AND(Q179&lt;=$E$7,N179="B"),1,0)</f>
        <v/>
      </c>
      <c r="T179">
        <f>IF(Q179&lt;=$E$7,1,0)</f>
        <v/>
      </c>
    </row>
    <row r="180">
      <c r="M180" t="n">
        <v>179</v>
      </c>
      <c r="N180">
        <f>IF(MOD(M180-1,$B$13+$B$14)&lt;$B$13,"A","B")</f>
        <v/>
      </c>
      <c r="O180">
        <f>IF(N180="A",$E$5,$H$3)</f>
        <v/>
      </c>
      <c r="P180">
        <f>P179+O180</f>
        <v/>
      </c>
      <c r="Q180">
        <f>P180+(M180-1)*$B$10</f>
        <v/>
      </c>
      <c r="R180">
        <f>IF(AND(Q180&lt;=$E$7,N180="A"),1,0)</f>
        <v/>
      </c>
      <c r="S180">
        <f>IF(AND(Q180&lt;=$E$7,N180="B"),1,0)</f>
        <v/>
      </c>
      <c r="T180">
        <f>IF(Q180&lt;=$E$7,1,0)</f>
        <v/>
      </c>
    </row>
    <row r="181">
      <c r="M181" t="n">
        <v>180</v>
      </c>
      <c r="N181">
        <f>IF(MOD(M181-1,$B$13+$B$14)&lt;$B$13,"A","B")</f>
        <v/>
      </c>
      <c r="O181">
        <f>IF(N181="A",$E$5,$H$3)</f>
        <v/>
      </c>
      <c r="P181">
        <f>P180+O181</f>
        <v/>
      </c>
      <c r="Q181">
        <f>P181+(M181-1)*$B$10</f>
        <v/>
      </c>
      <c r="R181">
        <f>IF(AND(Q181&lt;=$E$7,N181="A"),1,0)</f>
        <v/>
      </c>
      <c r="S181">
        <f>IF(AND(Q181&lt;=$E$7,N181="B"),1,0)</f>
        <v/>
      </c>
      <c r="T181">
        <f>IF(Q181&lt;=$E$7,1,0)</f>
        <v/>
      </c>
    </row>
    <row r="182">
      <c r="M182" t="n">
        <v>181</v>
      </c>
      <c r="N182">
        <f>IF(MOD(M182-1,$B$13+$B$14)&lt;$B$13,"A","B")</f>
        <v/>
      </c>
      <c r="O182">
        <f>IF(N182="A",$E$5,$H$3)</f>
        <v/>
      </c>
      <c r="P182">
        <f>P181+O182</f>
        <v/>
      </c>
      <c r="Q182">
        <f>P182+(M182-1)*$B$10</f>
        <v/>
      </c>
      <c r="R182">
        <f>IF(AND(Q182&lt;=$E$7,N182="A"),1,0)</f>
        <v/>
      </c>
      <c r="S182">
        <f>IF(AND(Q182&lt;=$E$7,N182="B"),1,0)</f>
        <v/>
      </c>
      <c r="T182">
        <f>IF(Q182&lt;=$E$7,1,0)</f>
        <v/>
      </c>
    </row>
    <row r="183">
      <c r="M183" t="n">
        <v>182</v>
      </c>
      <c r="N183">
        <f>IF(MOD(M183-1,$B$13+$B$14)&lt;$B$13,"A","B")</f>
        <v/>
      </c>
      <c r="O183">
        <f>IF(N183="A",$E$5,$H$3)</f>
        <v/>
      </c>
      <c r="P183">
        <f>P182+O183</f>
        <v/>
      </c>
      <c r="Q183">
        <f>P183+(M183-1)*$B$10</f>
        <v/>
      </c>
      <c r="R183">
        <f>IF(AND(Q183&lt;=$E$7,N183="A"),1,0)</f>
        <v/>
      </c>
      <c r="S183">
        <f>IF(AND(Q183&lt;=$E$7,N183="B"),1,0)</f>
        <v/>
      </c>
      <c r="T183">
        <f>IF(Q183&lt;=$E$7,1,0)</f>
        <v/>
      </c>
    </row>
    <row r="184">
      <c r="M184" t="n">
        <v>183</v>
      </c>
      <c r="N184">
        <f>IF(MOD(M184-1,$B$13+$B$14)&lt;$B$13,"A","B")</f>
        <v/>
      </c>
      <c r="O184">
        <f>IF(N184="A",$E$5,$H$3)</f>
        <v/>
      </c>
      <c r="P184">
        <f>P183+O184</f>
        <v/>
      </c>
      <c r="Q184">
        <f>P184+(M184-1)*$B$10</f>
        <v/>
      </c>
      <c r="R184">
        <f>IF(AND(Q184&lt;=$E$7,N184="A"),1,0)</f>
        <v/>
      </c>
      <c r="S184">
        <f>IF(AND(Q184&lt;=$E$7,N184="B"),1,0)</f>
        <v/>
      </c>
      <c r="T184">
        <f>IF(Q184&lt;=$E$7,1,0)</f>
        <v/>
      </c>
    </row>
    <row r="185">
      <c r="M185" t="n">
        <v>184</v>
      </c>
      <c r="N185">
        <f>IF(MOD(M185-1,$B$13+$B$14)&lt;$B$13,"A","B")</f>
        <v/>
      </c>
      <c r="O185">
        <f>IF(N185="A",$E$5,$H$3)</f>
        <v/>
      </c>
      <c r="P185">
        <f>P184+O185</f>
        <v/>
      </c>
      <c r="Q185">
        <f>P185+(M185-1)*$B$10</f>
        <v/>
      </c>
      <c r="R185">
        <f>IF(AND(Q185&lt;=$E$7,N185="A"),1,0)</f>
        <v/>
      </c>
      <c r="S185">
        <f>IF(AND(Q185&lt;=$E$7,N185="B"),1,0)</f>
        <v/>
      </c>
      <c r="T185">
        <f>IF(Q185&lt;=$E$7,1,0)</f>
        <v/>
      </c>
    </row>
    <row r="186">
      <c r="M186" t="n">
        <v>185</v>
      </c>
      <c r="N186">
        <f>IF(MOD(M186-1,$B$13+$B$14)&lt;$B$13,"A","B")</f>
        <v/>
      </c>
      <c r="O186">
        <f>IF(N186="A",$E$5,$H$3)</f>
        <v/>
      </c>
      <c r="P186">
        <f>P185+O186</f>
        <v/>
      </c>
      <c r="Q186">
        <f>P186+(M186-1)*$B$10</f>
        <v/>
      </c>
      <c r="R186">
        <f>IF(AND(Q186&lt;=$E$7,N186="A"),1,0)</f>
        <v/>
      </c>
      <c r="S186">
        <f>IF(AND(Q186&lt;=$E$7,N186="B"),1,0)</f>
        <v/>
      </c>
      <c r="T186">
        <f>IF(Q186&lt;=$E$7,1,0)</f>
        <v/>
      </c>
    </row>
    <row r="187">
      <c r="M187" t="n">
        <v>186</v>
      </c>
      <c r="N187">
        <f>IF(MOD(M187-1,$B$13+$B$14)&lt;$B$13,"A","B")</f>
        <v/>
      </c>
      <c r="O187">
        <f>IF(N187="A",$E$5,$H$3)</f>
        <v/>
      </c>
      <c r="P187">
        <f>P186+O187</f>
        <v/>
      </c>
      <c r="Q187">
        <f>P187+(M187-1)*$B$10</f>
        <v/>
      </c>
      <c r="R187">
        <f>IF(AND(Q187&lt;=$E$7,N187="A"),1,0)</f>
        <v/>
      </c>
      <c r="S187">
        <f>IF(AND(Q187&lt;=$E$7,N187="B"),1,0)</f>
        <v/>
      </c>
      <c r="T187">
        <f>IF(Q187&lt;=$E$7,1,0)</f>
        <v/>
      </c>
    </row>
    <row r="188">
      <c r="M188" t="n">
        <v>187</v>
      </c>
      <c r="N188">
        <f>IF(MOD(M188-1,$B$13+$B$14)&lt;$B$13,"A","B")</f>
        <v/>
      </c>
      <c r="O188">
        <f>IF(N188="A",$E$5,$H$3)</f>
        <v/>
      </c>
      <c r="P188">
        <f>P187+O188</f>
        <v/>
      </c>
      <c r="Q188">
        <f>P188+(M188-1)*$B$10</f>
        <v/>
      </c>
      <c r="R188">
        <f>IF(AND(Q188&lt;=$E$7,N188="A"),1,0)</f>
        <v/>
      </c>
      <c r="S188">
        <f>IF(AND(Q188&lt;=$E$7,N188="B"),1,0)</f>
        <v/>
      </c>
      <c r="T188">
        <f>IF(Q188&lt;=$E$7,1,0)</f>
        <v/>
      </c>
    </row>
    <row r="189">
      <c r="M189" t="n">
        <v>188</v>
      </c>
      <c r="N189">
        <f>IF(MOD(M189-1,$B$13+$B$14)&lt;$B$13,"A","B")</f>
        <v/>
      </c>
      <c r="O189">
        <f>IF(N189="A",$E$5,$H$3)</f>
        <v/>
      </c>
      <c r="P189">
        <f>P188+O189</f>
        <v/>
      </c>
      <c r="Q189">
        <f>P189+(M189-1)*$B$10</f>
        <v/>
      </c>
      <c r="R189">
        <f>IF(AND(Q189&lt;=$E$7,N189="A"),1,0)</f>
        <v/>
      </c>
      <c r="S189">
        <f>IF(AND(Q189&lt;=$E$7,N189="B"),1,0)</f>
        <v/>
      </c>
      <c r="T189">
        <f>IF(Q189&lt;=$E$7,1,0)</f>
        <v/>
      </c>
    </row>
    <row r="190">
      <c r="M190" t="n">
        <v>189</v>
      </c>
      <c r="N190">
        <f>IF(MOD(M190-1,$B$13+$B$14)&lt;$B$13,"A","B")</f>
        <v/>
      </c>
      <c r="O190">
        <f>IF(N190="A",$E$5,$H$3)</f>
        <v/>
      </c>
      <c r="P190">
        <f>P189+O190</f>
        <v/>
      </c>
      <c r="Q190">
        <f>P190+(M190-1)*$B$10</f>
        <v/>
      </c>
      <c r="R190">
        <f>IF(AND(Q190&lt;=$E$7,N190="A"),1,0)</f>
        <v/>
      </c>
      <c r="S190">
        <f>IF(AND(Q190&lt;=$E$7,N190="B"),1,0)</f>
        <v/>
      </c>
      <c r="T190">
        <f>IF(Q190&lt;=$E$7,1,0)</f>
        <v/>
      </c>
    </row>
    <row r="191">
      <c r="M191" t="n">
        <v>190</v>
      </c>
      <c r="N191">
        <f>IF(MOD(M191-1,$B$13+$B$14)&lt;$B$13,"A","B")</f>
        <v/>
      </c>
      <c r="O191">
        <f>IF(N191="A",$E$5,$H$3)</f>
        <v/>
      </c>
      <c r="P191">
        <f>P190+O191</f>
        <v/>
      </c>
      <c r="Q191">
        <f>P191+(M191-1)*$B$10</f>
        <v/>
      </c>
      <c r="R191">
        <f>IF(AND(Q191&lt;=$E$7,N191="A"),1,0)</f>
        <v/>
      </c>
      <c r="S191">
        <f>IF(AND(Q191&lt;=$E$7,N191="B"),1,0)</f>
        <v/>
      </c>
      <c r="T191">
        <f>IF(Q191&lt;=$E$7,1,0)</f>
        <v/>
      </c>
    </row>
    <row r="192">
      <c r="M192" t="n">
        <v>191</v>
      </c>
      <c r="N192">
        <f>IF(MOD(M192-1,$B$13+$B$14)&lt;$B$13,"A","B")</f>
        <v/>
      </c>
      <c r="O192">
        <f>IF(N192="A",$E$5,$H$3)</f>
        <v/>
      </c>
      <c r="P192">
        <f>P191+O192</f>
        <v/>
      </c>
      <c r="Q192">
        <f>P192+(M192-1)*$B$10</f>
        <v/>
      </c>
      <c r="R192">
        <f>IF(AND(Q192&lt;=$E$7,N192="A"),1,0)</f>
        <v/>
      </c>
      <c r="S192">
        <f>IF(AND(Q192&lt;=$E$7,N192="B"),1,0)</f>
        <v/>
      </c>
      <c r="T192">
        <f>IF(Q192&lt;=$E$7,1,0)</f>
        <v/>
      </c>
    </row>
    <row r="193">
      <c r="M193" t="n">
        <v>192</v>
      </c>
      <c r="N193">
        <f>IF(MOD(M193-1,$B$13+$B$14)&lt;$B$13,"A","B")</f>
        <v/>
      </c>
      <c r="O193">
        <f>IF(N193="A",$E$5,$H$3)</f>
        <v/>
      </c>
      <c r="P193">
        <f>P192+O193</f>
        <v/>
      </c>
      <c r="Q193">
        <f>P193+(M193-1)*$B$10</f>
        <v/>
      </c>
      <c r="R193">
        <f>IF(AND(Q193&lt;=$E$7,N193="A"),1,0)</f>
        <v/>
      </c>
      <c r="S193">
        <f>IF(AND(Q193&lt;=$E$7,N193="B"),1,0)</f>
        <v/>
      </c>
      <c r="T193">
        <f>IF(Q193&lt;=$E$7,1,0)</f>
        <v/>
      </c>
    </row>
    <row r="194">
      <c r="M194" t="n">
        <v>193</v>
      </c>
      <c r="N194">
        <f>IF(MOD(M194-1,$B$13+$B$14)&lt;$B$13,"A","B")</f>
        <v/>
      </c>
      <c r="O194">
        <f>IF(N194="A",$E$5,$H$3)</f>
        <v/>
      </c>
      <c r="P194">
        <f>P193+O194</f>
        <v/>
      </c>
      <c r="Q194">
        <f>P194+(M194-1)*$B$10</f>
        <v/>
      </c>
      <c r="R194">
        <f>IF(AND(Q194&lt;=$E$7,N194="A"),1,0)</f>
        <v/>
      </c>
      <c r="S194">
        <f>IF(AND(Q194&lt;=$E$7,N194="B"),1,0)</f>
        <v/>
      </c>
      <c r="T194">
        <f>IF(Q194&lt;=$E$7,1,0)</f>
        <v/>
      </c>
    </row>
    <row r="195">
      <c r="M195" t="n">
        <v>194</v>
      </c>
      <c r="N195">
        <f>IF(MOD(M195-1,$B$13+$B$14)&lt;$B$13,"A","B")</f>
        <v/>
      </c>
      <c r="O195">
        <f>IF(N195="A",$E$5,$H$3)</f>
        <v/>
      </c>
      <c r="P195">
        <f>P194+O195</f>
        <v/>
      </c>
      <c r="Q195">
        <f>P195+(M195-1)*$B$10</f>
        <v/>
      </c>
      <c r="R195">
        <f>IF(AND(Q195&lt;=$E$7,N195="A"),1,0)</f>
        <v/>
      </c>
      <c r="S195">
        <f>IF(AND(Q195&lt;=$E$7,N195="B"),1,0)</f>
        <v/>
      </c>
      <c r="T195">
        <f>IF(Q195&lt;=$E$7,1,0)</f>
        <v/>
      </c>
    </row>
    <row r="196">
      <c r="M196" t="n">
        <v>195</v>
      </c>
      <c r="N196">
        <f>IF(MOD(M196-1,$B$13+$B$14)&lt;$B$13,"A","B")</f>
        <v/>
      </c>
      <c r="O196">
        <f>IF(N196="A",$E$5,$H$3)</f>
        <v/>
      </c>
      <c r="P196">
        <f>P195+O196</f>
        <v/>
      </c>
      <c r="Q196">
        <f>P196+(M196-1)*$B$10</f>
        <v/>
      </c>
      <c r="R196">
        <f>IF(AND(Q196&lt;=$E$7,N196="A"),1,0)</f>
        <v/>
      </c>
      <c r="S196">
        <f>IF(AND(Q196&lt;=$E$7,N196="B"),1,0)</f>
        <v/>
      </c>
      <c r="T196">
        <f>IF(Q196&lt;=$E$7,1,0)</f>
        <v/>
      </c>
    </row>
    <row r="197">
      <c r="M197" t="n">
        <v>196</v>
      </c>
      <c r="N197">
        <f>IF(MOD(M197-1,$B$13+$B$14)&lt;$B$13,"A","B")</f>
        <v/>
      </c>
      <c r="O197">
        <f>IF(N197="A",$E$5,$H$3)</f>
        <v/>
      </c>
      <c r="P197">
        <f>P196+O197</f>
        <v/>
      </c>
      <c r="Q197">
        <f>P197+(M197-1)*$B$10</f>
        <v/>
      </c>
      <c r="R197">
        <f>IF(AND(Q197&lt;=$E$7,N197="A"),1,0)</f>
        <v/>
      </c>
      <c r="S197">
        <f>IF(AND(Q197&lt;=$E$7,N197="B"),1,0)</f>
        <v/>
      </c>
      <c r="T197">
        <f>IF(Q197&lt;=$E$7,1,0)</f>
        <v/>
      </c>
    </row>
    <row r="198">
      <c r="M198" t="n">
        <v>197</v>
      </c>
      <c r="N198">
        <f>IF(MOD(M198-1,$B$13+$B$14)&lt;$B$13,"A","B")</f>
        <v/>
      </c>
      <c r="O198">
        <f>IF(N198="A",$E$5,$H$3)</f>
        <v/>
      </c>
      <c r="P198">
        <f>P197+O198</f>
        <v/>
      </c>
      <c r="Q198">
        <f>P198+(M198-1)*$B$10</f>
        <v/>
      </c>
      <c r="R198">
        <f>IF(AND(Q198&lt;=$E$7,N198="A"),1,0)</f>
        <v/>
      </c>
      <c r="S198">
        <f>IF(AND(Q198&lt;=$E$7,N198="B"),1,0)</f>
        <v/>
      </c>
      <c r="T198">
        <f>IF(Q198&lt;=$E$7,1,0)</f>
        <v/>
      </c>
    </row>
    <row r="199">
      <c r="M199" t="n">
        <v>198</v>
      </c>
      <c r="N199">
        <f>IF(MOD(M199-1,$B$13+$B$14)&lt;$B$13,"A","B")</f>
        <v/>
      </c>
      <c r="O199">
        <f>IF(N199="A",$E$5,$H$3)</f>
        <v/>
      </c>
      <c r="P199">
        <f>P198+O199</f>
        <v/>
      </c>
      <c r="Q199">
        <f>P199+(M199-1)*$B$10</f>
        <v/>
      </c>
      <c r="R199">
        <f>IF(AND(Q199&lt;=$E$7,N199="A"),1,0)</f>
        <v/>
      </c>
      <c r="S199">
        <f>IF(AND(Q199&lt;=$E$7,N199="B"),1,0)</f>
        <v/>
      </c>
      <c r="T199">
        <f>IF(Q199&lt;=$E$7,1,0)</f>
        <v/>
      </c>
    </row>
    <row r="200">
      <c r="M200" t="n">
        <v>199</v>
      </c>
      <c r="N200">
        <f>IF(MOD(M200-1,$B$13+$B$14)&lt;$B$13,"A","B")</f>
        <v/>
      </c>
      <c r="O200">
        <f>IF(N200="A",$E$5,$H$3)</f>
        <v/>
      </c>
      <c r="P200">
        <f>P199+O200</f>
        <v/>
      </c>
      <c r="Q200">
        <f>P200+(M200-1)*$B$10</f>
        <v/>
      </c>
      <c r="R200">
        <f>IF(AND(Q200&lt;=$E$7,N200="A"),1,0)</f>
        <v/>
      </c>
      <c r="S200">
        <f>IF(AND(Q200&lt;=$E$7,N200="B"),1,0)</f>
        <v/>
      </c>
      <c r="T200">
        <f>IF(Q200&lt;=$E$7,1,0)</f>
        <v/>
      </c>
    </row>
    <row r="201">
      <c r="M201" t="n">
        <v>200</v>
      </c>
      <c r="N201">
        <f>IF(MOD(M201-1,$B$13+$B$14)&lt;$B$13,"A","B")</f>
        <v/>
      </c>
      <c r="O201">
        <f>IF(N201="A",$E$5,$H$3)</f>
        <v/>
      </c>
      <c r="P201">
        <f>P200+O201</f>
        <v/>
      </c>
      <c r="Q201">
        <f>P201+(M201-1)*$B$10</f>
        <v/>
      </c>
      <c r="R201">
        <f>IF(AND(Q201&lt;=$E$7,N201="A"),1,0)</f>
        <v/>
      </c>
      <c r="S201">
        <f>IF(AND(Q201&lt;=$E$7,N201="B"),1,0)</f>
        <v/>
      </c>
      <c r="T201">
        <f>IF(Q201&lt;=$E$7,1,0)</f>
        <v/>
      </c>
    </row>
  </sheetData>
  <mergeCells count="1">
    <mergeCell ref="A1:F1"/>
  </mergeCells>
  <dataValidations count="7">
    <dataValidation sqref="B3" showDropDown="0" showInputMessage="0" showErrorMessage="0" allowBlank="0" type="list">
      <formula1>"ยัดใน,แปะนอก"</formula1>
    </dataValidation>
    <dataValidation sqref="B6" showDropDown="0" showInputMessage="0" showErrorMessage="0" allowBlank="0" type="list">
      <formula1>"ตั้ง,นอน"</formula1>
    </dataValidation>
    <dataValidation sqref="B7" showDropDown="0" showInputMessage="0" showErrorMessage="0" allowBlank="0" type="list">
      <formula1>"ระแนง,ระแนงสลับ"</formula1>
    </dataValidation>
    <dataValidation sqref="B8" showDropDown="0" showInputMessage="0" showErrorMessage="0" allowBlank="0" type="list">
      <formula1>=$Y$11:$Y$17</formula1>
    </dataValidation>
    <dataValidation sqref="B9" showDropDown="0" showInputMessage="0" showErrorMessage="0" allowBlank="0" type="list">
      <formula1>=$AE$2:$AE$3</formula1>
    </dataValidation>
    <dataValidation sqref="B11" showDropDown="0" showInputMessage="0" showErrorMessage="0" allowBlank="0" type="list">
      <formula1>=$Y$11:$Y$17</formula1>
    </dataValidation>
    <dataValidation sqref="B12" showDropDown="0" showInputMessage="0" showErrorMessage="0" allowBlank="0" type="list">
      <formula1>=$AE$5:$AE$6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2026-07-08T01:14:54Z</dcterms:created>
  <dcterms:modified xmlns:dcterms="http://purl.org/dc/terms/" xmlns:xsi="http://www.w3.org/2001/XMLSchema-instance" xsi:type="dcterms:W3CDTF">2026-07-08T01:33:37Z</dcterms:modified>
</cp:coreProperties>
</file>