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 Do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b val="1"/>
      <sz val="10"/>
    </font>
    <font>
      <name val="Tahoma"/>
      <b val="1"/>
      <color rgb="00FFFFFF"/>
    </font>
    <font>
      <name val="Tahoma"/>
      <sz val="10"/>
    </font>
    <font>
      <name val="Tahoma"/>
      <color rgb="00808080"/>
      <sz val="8"/>
    </font>
    <font>
      <name val="Tahoma"/>
      <sz val="9"/>
    </font>
    <font>
      <name val="Tahoma"/>
    </font>
    <font>
      <name val="Tahoma"/>
      <b val="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EEBF7"/>
      </patternFill>
    </fill>
    <fill>
      <patternFill patternType="solid">
        <fgColor rgb="007F77DD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1" fontId="2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2" fillId="9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4" fontId="2" fillId="10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1" fontId="2" fillId="9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" fontId="2" fillId="10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1" fontId="8" fillId="12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20</row>
      <rowOff>0</rowOff>
    </from>
    <ext cx="8191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4" customWidth="1" min="4" max="4"/>
    <col width="12" customWidth="1" min="5" max="5"/>
    <col width="9" customWidth="1" min="6" max="6"/>
    <col width="15" customWidth="1" min="7" max="7"/>
    <col width="13" customWidth="1" min="8" max="8"/>
    <col width="12" customWidth="1" min="9" max="9"/>
    <col width="34" customWidth="1" min="10" max="10"/>
  </cols>
  <sheetData>
    <row r="1">
      <c r="A1" s="1" t="inlineStr">
        <is>
          <t>JR ALUMINIUM &amp; GLASS   —   ใบตัดบาน PC Door (บานเปิดเมืองทอง + บานเลื่อน sms)   ·   หน่วย: ซม.</t>
        </is>
      </c>
    </row>
    <row r="2"/>
    <row r="3">
      <c r="B3" s="3" t="inlineStr">
        <is>
          <t>① กรอกข้อมูลช่อง (ช่องเหลือง)</t>
        </is>
      </c>
    </row>
    <row r="4">
      <c r="B4" s="4" t="inlineStr">
        <is>
          <t>กว้างช่องปูน (ช่อง)</t>
        </is>
      </c>
      <c r="C4" s="5" t="n">
        <v>300</v>
      </c>
    </row>
    <row r="5">
      <c r="B5" s="4" t="inlineStr">
        <is>
          <t>สูงช่องปูน</t>
        </is>
      </c>
      <c r="C5" s="5" t="n">
        <v>240</v>
      </c>
    </row>
    <row r="6">
      <c r="B6" s="4" t="inlineStr">
        <is>
          <t>คาน (เลือกกล่อง)</t>
        </is>
      </c>
      <c r="C6" s="6" t="inlineStr">
        <is>
          <t>1×4</t>
        </is>
      </c>
    </row>
    <row r="7">
      <c r="B7" s="4" t="inlineStr">
        <is>
          <t>รูปแบบบาน</t>
        </is>
      </c>
      <c r="C7" s="6" t="inlineStr">
        <is>
          <t>แบ่ง 2</t>
        </is>
      </c>
    </row>
    <row r="8">
      <c r="B8" s="4" t="inlineStr">
        <is>
          <t>ธรณี</t>
        </is>
      </c>
      <c r="C8" s="6" t="inlineStr">
        <is>
          <t>มีธรณี</t>
        </is>
      </c>
    </row>
    <row r="10">
      <c r="B10" s="3" t="inlineStr">
        <is>
          <t>② ค่าที่คำนวณอัตโนมัติ (ห้ามแก้)</t>
        </is>
      </c>
    </row>
    <row r="11">
      <c r="B11" s="7" t="inlineStr">
        <is>
          <t>ขนาดคานที่หัก (ซม.)</t>
        </is>
      </c>
      <c r="C11" s="8">
        <f>VLOOKUP($C$6,$B$53:$C$54,2,FALSE)</f>
        <v/>
      </c>
    </row>
    <row r="12">
      <c r="B12" s="7" t="inlineStr">
        <is>
          <t>จำนวนบาน (ตัวหาร/จำนวนกรอบ)</t>
        </is>
      </c>
      <c r="C12" s="9">
        <f>IF($C$7="แบ่ง 2",2,4)</f>
        <v/>
      </c>
    </row>
    <row r="14">
      <c r="A14" s="10" t="inlineStr">
        <is>
          <t>#</t>
        </is>
      </c>
      <c r="B14" s="10" t="inlineStr">
        <is>
          <t>โปรไฟล์</t>
        </is>
      </c>
      <c r="C14" s="10" t="inlineStr">
        <is>
          <t>รหัส</t>
        </is>
      </c>
      <c r="D14" s="10" t="inlineStr">
        <is>
          <t>รูป</t>
        </is>
      </c>
      <c r="E14" s="10" t="inlineStr">
        <is>
          <t>ยาวตัด (ซม.)</t>
        </is>
      </c>
      <c r="F14" s="10" t="inlineStr">
        <is>
          <t>จำนวน</t>
        </is>
      </c>
      <c r="G14" s="10" t="inlineStr">
        <is>
          <t>หมายเหตุ</t>
        </is>
      </c>
    </row>
    <row r="15" ht="44" customHeight="1">
      <c r="A15" s="11" t="n">
        <v>1</v>
      </c>
      <c r="B15" s="12" t="inlineStr">
        <is>
          <t>คาน</t>
        </is>
      </c>
      <c r="C15" s="13" t="inlineStr">
        <is>
          <t>กล่องคาน</t>
        </is>
      </c>
      <c r="D15" s="13" t="n"/>
      <c r="E15" s="14">
        <f>$C$4</f>
        <v/>
      </c>
      <c r="F15" s="15">
        <f>$F$43</f>
        <v/>
      </c>
      <c r="G15" s="16" t="inlineStr">
        <is>
          <t>ตัดเท่าช่อง · 1×4/2×4</t>
        </is>
      </c>
    </row>
    <row r="16" ht="44" customHeight="1">
      <c r="A16" s="11" t="n">
        <v>2</v>
      </c>
      <c r="B16" s="12" t="inlineStr">
        <is>
          <t>ฝาครอบรางบน</t>
        </is>
      </c>
      <c r="C16" s="13" t="inlineStr">
        <is>
          <t>—</t>
        </is>
      </c>
      <c r="D16" s="13" t="n"/>
      <c r="E16" s="14">
        <f>$C$4-$G$30-$H$30</f>
        <v/>
      </c>
      <c r="F16" s="15">
        <f>$F$44</f>
        <v/>
      </c>
      <c r="G16" s="16" t="inlineStr">
        <is>
          <t>ช่อง−3.3−2.5</t>
        </is>
      </c>
    </row>
    <row r="17" ht="44" customHeight="1">
      <c r="A17" s="11" t="n">
        <v>3</v>
      </c>
      <c r="B17" s="12" t="inlineStr">
        <is>
          <t>รางบนบานเลื่อน</t>
        </is>
      </c>
      <c r="C17" s="13" t="inlineStr">
        <is>
          <t>—</t>
        </is>
      </c>
      <c r="D17" s="13" t="n"/>
      <c r="E17" s="14">
        <f>$C$4-$G$31-$H$31</f>
        <v/>
      </c>
      <c r="F17" s="15">
        <f>$F$45</f>
        <v/>
      </c>
      <c r="G17" s="16" t="inlineStr">
        <is>
          <t>ช่อง−4.5−2.5</t>
        </is>
      </c>
    </row>
    <row r="18" ht="44" customHeight="1">
      <c r="A18" s="11" t="n">
        <v>4</v>
      </c>
      <c r="B18" s="12" t="inlineStr">
        <is>
          <t>วงกบบานเปิด</t>
        </is>
      </c>
      <c r="C18" s="13" t="inlineStr">
        <is>
          <t>—</t>
        </is>
      </c>
      <c r="D18" s="13" t="n"/>
      <c r="E18" s="14">
        <f>$C$5-$C$11</f>
        <v/>
      </c>
      <c r="F18" s="15">
        <f>$F$46</f>
        <v/>
      </c>
      <c r="G18" s="16" t="inlineStr">
        <is>
          <t>สูง−คาน</t>
        </is>
      </c>
    </row>
    <row r="19" ht="44" customHeight="1">
      <c r="A19" s="11" t="n">
        <v>5</v>
      </c>
      <c r="B19" s="12" t="inlineStr">
        <is>
          <t>เสารับบานเลื่อน</t>
        </is>
      </c>
      <c r="C19" s="13" t="inlineStr">
        <is>
          <t>—</t>
        </is>
      </c>
      <c r="D19" s="13" t="n"/>
      <c r="E19" s="14">
        <f>$C$5-$C$11</f>
        <v/>
      </c>
      <c r="F19" s="15">
        <f>$F$47</f>
        <v/>
      </c>
      <c r="G19" s="16" t="inlineStr">
        <is>
          <t>สูง−คาน</t>
        </is>
      </c>
    </row>
    <row r="20" ht="44" customHeight="1">
      <c r="A20" s="11" t="n">
        <v>6</v>
      </c>
      <c r="B20" s="12" t="inlineStr">
        <is>
          <t>ชนกลางรับบานเลื่อน</t>
        </is>
      </c>
      <c r="C20" s="13" t="inlineStr">
        <is>
          <t>—</t>
        </is>
      </c>
      <c r="D20" s="13" t="n"/>
      <c r="E20" s="14">
        <f>$C$5-$C$11-$G$34</f>
        <v/>
      </c>
      <c r="F20" s="15">
        <f>$F$48</f>
        <v/>
      </c>
      <c r="G20" s="16" t="inlineStr">
        <is>
          <t>สูง−คาน−4</t>
        </is>
      </c>
    </row>
    <row r="21" ht="44" customHeight="1">
      <c r="A21" s="11" t="n">
        <v>7</v>
      </c>
      <c r="B21" s="12" t="inlineStr">
        <is>
          <t>ชนกลางบานเลื่อน</t>
        </is>
      </c>
      <c r="C21" s="13" t="inlineStr">
        <is>
          <t>20046</t>
        </is>
      </c>
      <c r="D21" s="13" t="n"/>
      <c r="E21" s="14">
        <f>$E$20</f>
        <v/>
      </c>
      <c r="F21" s="15">
        <f>$F$49</f>
        <v/>
      </c>
      <c r="G21" s="16" t="inlineStr">
        <is>
          <t>เท่าชนกลางรับ</t>
        </is>
      </c>
    </row>
    <row r="22" ht="44" customHeight="1">
      <c r="A22" s="11" t="n">
        <v>8</v>
      </c>
      <c r="B22" s="12" t="inlineStr">
        <is>
          <t>กรอบบานเปิด เมืองทอง (ความสูง)</t>
        </is>
      </c>
      <c r="C22" s="13" t="inlineStr">
        <is>
          <t>—</t>
        </is>
      </c>
      <c r="D22" s="13" t="n"/>
      <c r="E22" s="14">
        <f>$C$5-$C$11-IF($C$8="มีธรณี",$G$36,$H$36)</f>
        <v/>
      </c>
      <c r="F22" s="15">
        <f>$C$12</f>
        <v/>
      </c>
      <c r="G22" s="16" t="inlineStr">
        <is>
          <t>จำนวน=แบ่ง</t>
        </is>
      </c>
    </row>
    <row r="23" ht="44" customHeight="1">
      <c r="A23" s="11" t="n">
        <v>9</v>
      </c>
      <c r="B23" s="12" t="inlineStr">
        <is>
          <t>กรอบบานเปิด เมืองทอง (ความกว้าง)</t>
        </is>
      </c>
      <c r="C23" s="13" t="inlineStr">
        <is>
          <t>—</t>
        </is>
      </c>
      <c r="D23" s="13" t="n"/>
      <c r="E23" s="14">
        <f>$C$4/$C$12+IF($C$7="แบ่ง 2",$G$37,$H$37)</f>
        <v/>
      </c>
      <c r="F23" s="15">
        <f>$C$12</f>
        <v/>
      </c>
      <c r="G23" s="16" t="inlineStr">
        <is>
          <t>กว้าง÷แบ่ง +ปรับ</t>
        </is>
      </c>
    </row>
    <row r="24" ht="44" customHeight="1">
      <c r="A24" s="11" t="n">
        <v>10</v>
      </c>
      <c r="B24" s="12" t="inlineStr">
        <is>
          <t>กรอบบานเลื่อน sms (ความสูง)</t>
        </is>
      </c>
      <c r="C24" s="13" t="inlineStr">
        <is>
          <t>—</t>
        </is>
      </c>
      <c r="D24" s="13" t="n"/>
      <c r="E24" s="14">
        <f>$C$5-$C$11-IF($C$8="มีธรณี",$G$38,$H$38)</f>
        <v/>
      </c>
      <c r="F24" s="15">
        <f>$C$12</f>
        <v/>
      </c>
      <c r="G24" s="16" t="inlineStr">
        <is>
          <t>จำนวน=แบ่ง</t>
        </is>
      </c>
    </row>
    <row r="25" ht="44" customHeight="1">
      <c r="A25" s="11" t="n">
        <v>11</v>
      </c>
      <c r="B25" s="12" t="inlineStr">
        <is>
          <t>กรอบบานเลื่อน sms (ความกว้าง)</t>
        </is>
      </c>
      <c r="C25" s="13" t="inlineStr">
        <is>
          <t>—</t>
        </is>
      </c>
      <c r="D25" s="13" t="n"/>
      <c r="E25" s="14">
        <f>$C$4/$C$12-IF($C$7="แบ่ง 2",$G$39,$H$39)</f>
        <v/>
      </c>
      <c r="F25" s="15">
        <f>$C$12</f>
        <v/>
      </c>
      <c r="G25" s="16" t="inlineStr">
        <is>
          <t>กว้าง÷แบ่ง −ตัวลบ</t>
        </is>
      </c>
    </row>
    <row r="27">
      <c r="B27" s="17" t="inlineStr">
        <is>
          <t>③ กระดานคำนวณความยาว — แก้ 'ช่องเหลือง' ①② ในกระดานได้เลย · ฟ้า=ค่าสด · เขียว=ผล   (① ค่าหลัก · ② ค่าเมื่อสลับ มีธรณี↔ไม่มี / แบ่ง2↔แบ่ง4)</t>
        </is>
      </c>
    </row>
    <row r="28">
      <c r="B28" s="10" t="inlineStr">
        <is>
          <t>โปรไฟล์</t>
        </is>
      </c>
      <c r="C28" s="10" t="inlineStr">
        <is>
          <t>ฐาน (จาก)</t>
        </is>
      </c>
      <c r="D28" s="10" t="inlineStr">
        <is>
          <t>ค่า</t>
        </is>
      </c>
      <c r="E28" s="10" t="inlineStr">
        <is>
          <t>− ขนาดคาน</t>
        </is>
      </c>
      <c r="F28" s="10" t="inlineStr">
        <is>
          <t>÷ แบ่ง</t>
        </is>
      </c>
      <c r="G28" s="10" t="inlineStr">
        <is>
          <t>ตัวเลข ① (แก้ได้)</t>
        </is>
      </c>
      <c r="H28" s="10" t="inlineStr">
        <is>
          <t>ตัวเลข ② (สลับ)</t>
        </is>
      </c>
      <c r="I28" s="10" t="inlineStr">
        <is>
          <t>ยาวตัด</t>
        </is>
      </c>
      <c r="J28" s="10" t="inlineStr">
        <is>
          <t>สูตร (ที่มา)</t>
        </is>
      </c>
    </row>
    <row r="29" ht="24" customHeight="1">
      <c r="B29" s="19" t="inlineStr">
        <is>
          <t>คาน</t>
        </is>
      </c>
      <c r="C29" s="20" t="inlineStr">
        <is>
          <t>ความกว้างช่อง</t>
        </is>
      </c>
      <c r="D29" s="21">
        <f>$C$4</f>
        <v/>
      </c>
      <c r="E29" s="22" t="n"/>
      <c r="F29" s="23" t="n"/>
      <c r="G29" s="22" t="n"/>
      <c r="H29" s="22" t="n"/>
      <c r="I29" s="8">
        <f>$E$15</f>
        <v/>
      </c>
      <c r="J29" s="20" t="inlineStr">
        <is>
          <t>ตัดเท่าช่อง · 1 เส้น</t>
        </is>
      </c>
    </row>
    <row r="30" ht="24" customHeight="1">
      <c r="B30" s="19" t="inlineStr">
        <is>
          <t>ฝาครอบรางบน</t>
        </is>
      </c>
      <c r="C30" s="20" t="inlineStr">
        <is>
          <t>ความกว้างช่อง</t>
        </is>
      </c>
      <c r="D30" s="21">
        <f>$C$4</f>
        <v/>
      </c>
      <c r="E30" s="22" t="n"/>
      <c r="F30" s="23" t="n"/>
      <c r="G30" s="24" t="n">
        <v>3.3</v>
      </c>
      <c r="H30" s="24" t="n">
        <v>2.5</v>
      </c>
      <c r="I30" s="8">
        <f>$E$16</f>
        <v/>
      </c>
      <c r="J30" s="20" t="inlineStr">
        <is>
          <t>ช่อง − ① − ②</t>
        </is>
      </c>
    </row>
    <row r="31" ht="24" customHeight="1">
      <c r="B31" s="19" t="inlineStr">
        <is>
          <t>รางบนบานเลื่อน</t>
        </is>
      </c>
      <c r="C31" s="20" t="inlineStr">
        <is>
          <t>ความกว้างช่อง</t>
        </is>
      </c>
      <c r="D31" s="21">
        <f>$C$4</f>
        <v/>
      </c>
      <c r="E31" s="22" t="n"/>
      <c r="F31" s="23" t="n"/>
      <c r="G31" s="24" t="n">
        <v>4.5</v>
      </c>
      <c r="H31" s="24" t="n">
        <v>2.5</v>
      </c>
      <c r="I31" s="8">
        <f>$E$17</f>
        <v/>
      </c>
      <c r="J31" s="20" t="inlineStr">
        <is>
          <t>ช่อง − ① − ②</t>
        </is>
      </c>
    </row>
    <row r="32" ht="24" customHeight="1">
      <c r="B32" s="19" t="inlineStr">
        <is>
          <t>วงกบบานเปิด</t>
        </is>
      </c>
      <c r="C32" s="20" t="inlineStr">
        <is>
          <t>ความสูงช่อง</t>
        </is>
      </c>
      <c r="D32" s="21">
        <f>$C$5</f>
        <v/>
      </c>
      <c r="E32" s="21">
        <f>$C$11</f>
        <v/>
      </c>
      <c r="F32" s="23" t="n"/>
      <c r="G32" s="22" t="n"/>
      <c r="H32" s="22" t="n"/>
      <c r="I32" s="8">
        <f>$E$18</f>
        <v/>
      </c>
      <c r="J32" s="20" t="inlineStr">
        <is>
          <t>สูง − ขนาดคาน</t>
        </is>
      </c>
    </row>
    <row r="33" ht="24" customHeight="1">
      <c r="B33" s="19" t="inlineStr">
        <is>
          <t>เสารับบานเลื่อน</t>
        </is>
      </c>
      <c r="C33" s="20" t="inlineStr">
        <is>
          <t>ความสูงช่อง</t>
        </is>
      </c>
      <c r="D33" s="21">
        <f>$C$5</f>
        <v/>
      </c>
      <c r="E33" s="21">
        <f>$C$11</f>
        <v/>
      </c>
      <c r="F33" s="23" t="n"/>
      <c r="G33" s="22" t="n"/>
      <c r="H33" s="22" t="n"/>
      <c r="I33" s="8">
        <f>$E$19</f>
        <v/>
      </c>
      <c r="J33" s="20" t="inlineStr">
        <is>
          <t>สูง − ขนาดคาน</t>
        </is>
      </c>
    </row>
    <row r="34" ht="24" customHeight="1">
      <c r="B34" s="19" t="inlineStr">
        <is>
          <t>ชนกลางรับบานเลื่อน</t>
        </is>
      </c>
      <c r="C34" s="20" t="inlineStr">
        <is>
          <t>ความสูงช่อง</t>
        </is>
      </c>
      <c r="D34" s="21">
        <f>$C$5</f>
        <v/>
      </c>
      <c r="E34" s="21">
        <f>$C$11</f>
        <v/>
      </c>
      <c r="F34" s="23" t="n"/>
      <c r="G34" s="24" t="n">
        <v>4</v>
      </c>
      <c r="H34" s="22" t="n"/>
      <c r="I34" s="8">
        <f>$E$20</f>
        <v/>
      </c>
      <c r="J34" s="20" t="inlineStr">
        <is>
          <t>สูง − ขนาดคาน − ①</t>
        </is>
      </c>
    </row>
    <row r="35" ht="24" customHeight="1">
      <c r="B35" s="19" t="inlineStr">
        <is>
          <t>ชนกลางบานเลื่อน (20046)</t>
        </is>
      </c>
      <c r="C35" s="20" t="inlineStr">
        <is>
          <t>เท่าชนกลางรับ</t>
        </is>
      </c>
      <c r="D35" s="21">
        <f>$E$20</f>
        <v/>
      </c>
      <c r="E35" s="22" t="n"/>
      <c r="F35" s="23" t="n"/>
      <c r="G35" s="22" t="n"/>
      <c r="H35" s="22" t="n"/>
      <c r="I35" s="8">
        <f>$E$21</f>
        <v/>
      </c>
      <c r="J35" s="20" t="inlineStr">
        <is>
          <t>เท่าชนกลางรับ · 1 เส้น</t>
        </is>
      </c>
    </row>
    <row r="36" ht="24" customHeight="1">
      <c r="B36" s="19" t="inlineStr">
        <is>
          <t>กรอบบานเปิด (สูง)</t>
        </is>
      </c>
      <c r="C36" s="20" t="inlineStr">
        <is>
          <t>ความสูงช่อง</t>
        </is>
      </c>
      <c r="D36" s="21">
        <f>$C$5</f>
        <v/>
      </c>
      <c r="E36" s="21">
        <f>$C$11</f>
        <v/>
      </c>
      <c r="F36" s="23" t="n"/>
      <c r="G36" s="24" t="n">
        <v>6.3</v>
      </c>
      <c r="H36" s="24" t="n">
        <v>3</v>
      </c>
      <c r="I36" s="8">
        <f>$E$22</f>
        <v/>
      </c>
      <c r="J36" s="20" t="inlineStr">
        <is>
          <t>สูง − ขนาดคาน − ① (มีธรณี) / − ② (ไม่มีธรณี)</t>
        </is>
      </c>
    </row>
    <row r="37" ht="24" customHeight="1">
      <c r="B37" s="19" t="inlineStr">
        <is>
          <t>กรอบบานเปิด (กว้าง)</t>
        </is>
      </c>
      <c r="C37" s="20" t="inlineStr">
        <is>
          <t>ความกว้างช่อง</t>
        </is>
      </c>
      <c r="D37" s="21">
        <f>$C$4</f>
        <v/>
      </c>
      <c r="E37" s="22" t="n"/>
      <c r="F37" s="25">
        <f>$C$12</f>
        <v/>
      </c>
      <c r="G37" s="24" t="n">
        <v>-0.7</v>
      </c>
      <c r="H37" s="24" t="n">
        <v>0.5</v>
      </c>
      <c r="I37" s="8">
        <f>$E$23</f>
        <v/>
      </c>
      <c r="J37" s="20" t="inlineStr">
        <is>
          <t>ช่อง ÷ แบ่ง + ① (แบ่ง2) / + ② (แบ่ง4)</t>
        </is>
      </c>
    </row>
    <row r="38" ht="24" customHeight="1">
      <c r="B38" s="19" t="inlineStr">
        <is>
          <t>กรอบบานเลื่อน (สูง)</t>
        </is>
      </c>
      <c r="C38" s="20" t="inlineStr">
        <is>
          <t>ความสูงช่อง</t>
        </is>
      </c>
      <c r="D38" s="21">
        <f>$C$5</f>
        <v/>
      </c>
      <c r="E38" s="21">
        <f>$C$11</f>
        <v/>
      </c>
      <c r="F38" s="23" t="n"/>
      <c r="G38" s="24" t="n">
        <v>10.3</v>
      </c>
      <c r="H38" s="24" t="n">
        <v>5.8</v>
      </c>
      <c r="I38" s="8">
        <f>$E$24</f>
        <v/>
      </c>
      <c r="J38" s="20" t="inlineStr">
        <is>
          <t>สูง − ขนาดคาน − ① (มีธรณี) / − ② (ไม่มีธรณี)</t>
        </is>
      </c>
    </row>
    <row r="39" ht="24" customHeight="1">
      <c r="B39" s="19" t="inlineStr">
        <is>
          <t>กรอบบานเลื่อน (กว้าง)</t>
        </is>
      </c>
      <c r="C39" s="20" t="inlineStr">
        <is>
          <t>ความกว้างช่อง</t>
        </is>
      </c>
      <c r="D39" s="21">
        <f>$C$4</f>
        <v/>
      </c>
      <c r="E39" s="22" t="n"/>
      <c r="F39" s="25">
        <f>$C$12</f>
        <v/>
      </c>
      <c r="G39" s="24" t="n">
        <v>11.4</v>
      </c>
      <c r="H39" s="24" t="n">
        <v>10</v>
      </c>
      <c r="I39" s="8">
        <f>$E$25</f>
        <v/>
      </c>
      <c r="J39" s="20" t="inlineStr">
        <is>
          <t>ช่อง ÷ แบ่ง − ① (แบ่ง2) / − ② (แบ่ง4)</t>
        </is>
      </c>
    </row>
    <row r="41">
      <c r="B41" s="26" t="inlineStr">
        <is>
          <t>④ ตัวเลข 'จำนวน' ที่แก้ได้ (กรอบ = ตามแบ่ง 2/4 อัตโนมัติ)</t>
        </is>
      </c>
    </row>
    <row r="43" ht="19" customHeight="1">
      <c r="B43" s="12" t="inlineStr">
        <is>
          <t>คาน — จำนวนเส้น</t>
        </is>
      </c>
      <c r="C43" s="29" t="n"/>
      <c r="D43" s="29" t="n"/>
      <c r="E43" s="30" t="n"/>
      <c r="F43" s="5" t="n">
        <v>1</v>
      </c>
      <c r="G43" s="29" t="n"/>
      <c r="H43" s="29" t="n"/>
      <c r="I43" s="29" t="n"/>
      <c r="J43" s="30" t="n"/>
    </row>
    <row r="44" ht="19" customHeight="1">
      <c r="B44" s="12" t="inlineStr">
        <is>
          <t>ฝาครอบรางบน — จำนวน</t>
        </is>
      </c>
      <c r="C44" s="29" t="n"/>
      <c r="D44" s="29" t="n"/>
      <c r="E44" s="30" t="n"/>
      <c r="F44" s="5" t="n">
        <v>1</v>
      </c>
      <c r="G44" s="29" t="n"/>
      <c r="H44" s="29" t="n"/>
      <c r="I44" s="29" t="n"/>
      <c r="J44" s="30" t="n"/>
    </row>
    <row r="45" ht="19" customHeight="1">
      <c r="B45" s="12" t="inlineStr">
        <is>
          <t>รางบนบานเลื่อน — จำนวน</t>
        </is>
      </c>
      <c r="C45" s="29" t="n"/>
      <c r="D45" s="29" t="n"/>
      <c r="E45" s="30" t="n"/>
      <c r="F45" s="5" t="n">
        <v>1</v>
      </c>
      <c r="G45" s="29" t="n"/>
      <c r="H45" s="29" t="n"/>
      <c r="I45" s="29" t="n"/>
      <c r="J45" s="30" t="n"/>
    </row>
    <row r="46" ht="19" customHeight="1">
      <c r="B46" s="12" t="inlineStr">
        <is>
          <t>วงกบบานเปิด — จำนวน</t>
        </is>
      </c>
      <c r="C46" s="29" t="n"/>
      <c r="D46" s="29" t="n"/>
      <c r="E46" s="30" t="n"/>
      <c r="F46" s="5" t="n">
        <v>1</v>
      </c>
      <c r="G46" s="29" t="n"/>
      <c r="H46" s="29" t="n"/>
      <c r="I46" s="29" t="n"/>
      <c r="J46" s="30" t="n"/>
    </row>
    <row r="47" ht="19" customHeight="1">
      <c r="B47" s="12" t="inlineStr">
        <is>
          <t>เสารับบานเลื่อน — จำนวน</t>
        </is>
      </c>
      <c r="C47" s="29" t="n"/>
      <c r="D47" s="29" t="n"/>
      <c r="E47" s="30" t="n"/>
      <c r="F47" s="5" t="n">
        <v>1</v>
      </c>
      <c r="G47" s="29" t="n"/>
      <c r="H47" s="29" t="n"/>
      <c r="I47" s="29" t="n"/>
      <c r="J47" s="30" t="n"/>
    </row>
    <row r="48" ht="19" customHeight="1">
      <c r="B48" s="12" t="inlineStr">
        <is>
          <t>ชนกลางรับบานเลื่อน — จำนวน</t>
        </is>
      </c>
      <c r="C48" s="29" t="n"/>
      <c r="D48" s="29" t="n"/>
      <c r="E48" s="30" t="n"/>
      <c r="F48" s="5" t="n">
        <v>1</v>
      </c>
      <c r="G48" s="29" t="n"/>
      <c r="H48" s="29" t="n"/>
      <c r="I48" s="29" t="n"/>
      <c r="J48" s="30" t="n"/>
    </row>
    <row r="49" ht="19" customHeight="1">
      <c r="B49" s="12" t="inlineStr">
        <is>
          <t>ชนกลางบานเลื่อน — จำนวน</t>
        </is>
      </c>
      <c r="C49" s="29" t="n"/>
      <c r="D49" s="29" t="n"/>
      <c r="E49" s="30" t="n"/>
      <c r="F49" s="5" t="n">
        <v>1</v>
      </c>
      <c r="G49" s="29" t="n"/>
      <c r="H49" s="29" t="n"/>
      <c r="I49" s="29" t="n"/>
      <c r="J49" s="30" t="n"/>
    </row>
    <row r="51">
      <c r="B51" s="26" t="inlineStr">
        <is>
          <t>⑤ ตารางคาน (ดรอปดาว) — แก้ขนาดที่หัก</t>
        </is>
      </c>
    </row>
    <row r="52">
      <c r="B52" s="10" t="inlineStr">
        <is>
          <t>คาน</t>
        </is>
      </c>
      <c r="C52" s="10" t="inlineStr">
        <is>
          <t>ลบความสูง (ซม.)</t>
        </is>
      </c>
    </row>
    <row r="53">
      <c r="B53" s="11" t="inlineStr">
        <is>
          <t>1×4</t>
        </is>
      </c>
      <c r="C53" s="24" t="n">
        <v>2.5</v>
      </c>
    </row>
    <row r="54">
      <c r="B54" s="11" t="inlineStr">
        <is>
          <t>2×4</t>
        </is>
      </c>
      <c r="C54" s="24" t="n">
        <v>5</v>
      </c>
    </row>
    <row r="56">
      <c r="A56" s="31" t="inlineStr"/>
      <c r="B56" s="31" t="inlineStr">
        <is>
          <t>⑥ อุปกรณ์ (จำนวน/ชุด) — ดึงจากชีทคิดทุน PC Door</t>
        </is>
      </c>
      <c r="F56" s="32" t="inlineStr">
        <is>
          <t>จำนวน</t>
        </is>
      </c>
    </row>
    <row r="57">
      <c r="A57" s="33" t="n">
        <v>1</v>
      </c>
      <c r="B57" s="34" t="inlineStr">
        <is>
          <t>บานพับ hyda (ตัว)</t>
        </is>
      </c>
      <c r="F57" s="35">
        <f>IF(C7="แบ่ง 2",4,8)</f>
        <v/>
      </c>
    </row>
    <row r="58">
      <c r="A58" s="33" t="n">
        <v>2</v>
      </c>
      <c r="B58" s="34" t="inlineStr">
        <is>
          <t>ล้อ + ซอฟโค้ด (ชุด)</t>
        </is>
      </c>
      <c r="F58" s="35">
        <f>IF(C7="แบ่ง 2",1,2)</f>
        <v/>
      </c>
    </row>
    <row r="59">
      <c r="A59" s="33" t="n">
        <v>3</v>
      </c>
      <c r="B59" s="34" t="inlineStr">
        <is>
          <t>มือจับ Align SMS (บาน)</t>
        </is>
      </c>
      <c r="F59" s="35">
        <f>C12</f>
        <v/>
      </c>
    </row>
    <row r="60">
      <c r="A60" s="33" t="n">
        <v>4</v>
      </c>
      <c r="B60" s="34" t="inlineStr">
        <is>
          <t>กลอนบานลอง (ชุด)</t>
        </is>
      </c>
      <c r="F60" s="35" t="n">
        <v>1</v>
      </c>
    </row>
    <row r="61">
      <c r="A61" s="33" t="n">
        <v>5</v>
      </c>
      <c r="B61" s="34" t="inlineStr">
        <is>
          <t>น็อตเฟรม (ตัว)</t>
        </is>
      </c>
      <c r="F61" s="35">
        <f>IF(C8="มีธรณี",8,6)</f>
        <v/>
      </c>
    </row>
    <row r="62">
      <c r="A62" s="33" t="n">
        <v>6</v>
      </c>
      <c r="B62" s="34" t="inlineStr">
        <is>
          <t>ยาง (ม.)</t>
        </is>
      </c>
      <c r="F62" s="35">
        <f>ROUND(2*(C4+C5)/100*C12,0)</f>
        <v/>
      </c>
    </row>
    <row r="63">
      <c r="A63" s="33" t="n">
        <v>7</v>
      </c>
      <c r="B63" s="34" t="inlineStr">
        <is>
          <t>ซิลิโคน ใน+นอก (หลอด)</t>
        </is>
      </c>
      <c r="F63" s="35">
        <f>ROUNDUP(2*(C4+C5)/100*2/12.5,0)</f>
        <v/>
      </c>
    </row>
  </sheetData>
  <mergeCells count="28">
    <mergeCell ref="F44:J44"/>
    <mergeCell ref="A1:J2"/>
    <mergeCell ref="B49:E49"/>
    <mergeCell ref="B3:C3"/>
    <mergeCell ref="B45:E45"/>
    <mergeCell ref="B63:E63"/>
    <mergeCell ref="B62:E62"/>
    <mergeCell ref="F45:J45"/>
    <mergeCell ref="B47:E47"/>
    <mergeCell ref="B59:E59"/>
    <mergeCell ref="B46:E46"/>
    <mergeCell ref="B56:E56"/>
    <mergeCell ref="B43:E43"/>
    <mergeCell ref="F47:J47"/>
    <mergeCell ref="B58:E58"/>
    <mergeCell ref="B10:C10"/>
    <mergeCell ref="B48:E48"/>
    <mergeCell ref="B41:J41"/>
    <mergeCell ref="F46:J46"/>
    <mergeCell ref="B60:E60"/>
    <mergeCell ref="B61:E61"/>
    <mergeCell ref="F43:J43"/>
    <mergeCell ref="B57:E57"/>
    <mergeCell ref="F48:J48"/>
    <mergeCell ref="B51:C51"/>
    <mergeCell ref="B44:E44"/>
    <mergeCell ref="B27:J27"/>
    <mergeCell ref="F49:J49"/>
  </mergeCells>
  <dataValidations count="3">
    <dataValidation sqref="C6" showDropDown="0" showInputMessage="0" showErrorMessage="0" allowBlank="0" type="list">
      <formula1>$B$53:$B$54</formula1>
    </dataValidation>
    <dataValidation sqref="C7" showDropDown="0" showInputMessage="0" showErrorMessage="0" allowBlank="0" type="list">
      <formula1>"แบ่ง 2,แบ่ง 4"</formula1>
    </dataValidation>
    <dataValidation sqref="C8" showDropDown="0" showInputMessage="0" showErrorMessage="0" allowBlank="0" type="list">
      <formula1>"มีธรณี,ไม่มีธรณี"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2026-07-01T08:34:16Z</dcterms:created>
  <dcterms:modified xmlns:dcterms="http://purl.org/dc/terms/" xmlns:xsi="http://www.w3.org/2001/XMLSchema-instance" xsi:type="dcterms:W3CDTF">2026-07-04T03:06:26Z</dcterms:modified>
</cp:coreProperties>
</file>