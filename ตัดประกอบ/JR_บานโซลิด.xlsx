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านโซล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1" customWidth="1" min="4" max="4"/>
    <col width="11" customWidth="1" min="5" max="5"/>
    <col width="24" customWidth="1" min="6" max="6"/>
  </cols>
  <sheetData>
    <row r="1">
      <c r="A1" s="1" t="inlineStr">
        <is>
          <t>JR — ใบตัดบานโซลิด (บานเปิด+ลูกฟูก+เส้นคาด · รองรับบานแม่-ลูก)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กว้างรวม W →</t>
        </is>
      </c>
      <c r="B3" s="6" t="n">
        <v>120</v>
      </c>
      <c r="D3" s="7" t="inlineStr">
        <is>
          <t>บานแม่ กว้าง</t>
        </is>
      </c>
      <c r="E3" s="8">
        <f>IF(B5=1,B3,IF(B7="แม่-ลูก",B8,B3/B5))</f>
        <v/>
      </c>
    </row>
    <row r="4">
      <c r="A4" s="5" t="inlineStr">
        <is>
          <t>สูง H →</t>
        </is>
      </c>
      <c r="B4" s="6" t="n">
        <v>279</v>
      </c>
      <c r="D4" s="7" t="inlineStr">
        <is>
          <t>บานลูก กว้าง</t>
        </is>
      </c>
      <c r="E4" s="8">
        <f>IF(B5=1,0,IF(B7="แม่-ลูก",B3-B8,B3/B5))</f>
        <v/>
      </c>
    </row>
    <row r="5">
      <c r="A5" s="5" t="inlineStr">
        <is>
          <t>จำนวนบาน →</t>
        </is>
      </c>
      <c r="B5" s="6" t="n">
        <v>2</v>
      </c>
      <c r="D5" s="7" t="inlineStr">
        <is>
          <t>จำนวนบานลูก</t>
        </is>
      </c>
      <c r="E5" s="8">
        <f>MAX(B5-1,0)</f>
        <v/>
      </c>
    </row>
    <row r="6">
      <c r="A6" s="5" t="inlineStr">
        <is>
          <t>ธรณี →</t>
        </is>
      </c>
      <c r="B6" s="6" t="inlineStr">
        <is>
          <t>มี</t>
        </is>
      </c>
      <c r="D6" s="7" t="inlineStr">
        <is>
          <t>สูงกรอบบาน</t>
        </is>
      </c>
      <c r="E6" s="8">
        <f>B4-$F$45</f>
        <v/>
      </c>
    </row>
    <row r="7">
      <c r="A7" s="5" t="inlineStr">
        <is>
          <t>แบ่งบาน →</t>
        </is>
      </c>
      <c r="B7" s="6" t="inlineStr">
        <is>
          <t>แม่-ลูก</t>
        </is>
      </c>
      <c r="D7" s="7" t="inlineStr">
        <is>
          <t>เส้นคาด แม่/ลูก</t>
        </is>
      </c>
      <c r="E7" s="8">
        <f>MAX(0,INT((E3-18)/3.8))</f>
        <v/>
      </c>
      <c r="F7" s="8">
        <f>IF(E4&gt;0,MAX(0,INT((E4-18)/3.8)),0)</f>
        <v/>
      </c>
    </row>
    <row r="8">
      <c r="A8" s="5" t="inlineStr">
        <is>
          <t>บานแม่ กว้าง →</t>
        </is>
      </c>
      <c r="B8" s="6" t="n">
        <v>80</v>
      </c>
      <c r="D8" s="7" t="inlineStr">
        <is>
          <t>ลูกฟูก แม่/ลูก (เส้น)</t>
        </is>
      </c>
      <c r="E8" s="8">
        <f>ROUNDUP(E3/10,0)</f>
        <v/>
      </c>
      <c r="F8" s="8">
        <f>IF(E4&gt;0,ROUNDUP(E4/10,0),0)</f>
        <v/>
      </c>
    </row>
    <row r="9">
      <c r="D9" s="7" t="inlineStr">
        <is>
          <t>ห่างจริงเส้นคาด แม่</t>
        </is>
      </c>
      <c r="E9" s="8">
        <f>IFERROR(ROUND((E3-20-E7*1.8)/(E7-1),2),"")</f>
        <v/>
      </c>
    </row>
    <row r="11">
      <c r="A11" s="2" t="inlineStr">
        <is>
          <t>④ ใบตัด (โครง ยาว=ฐาน−⑦ · บานลูก=0 เมื่อบานเดียว)</t>
        </is>
      </c>
      <c r="B11" s="3" t="n"/>
      <c r="C11" s="3" t="n"/>
      <c r="D11" s="3" t="n"/>
      <c r="E11" s="3" t="n"/>
      <c r="F11" s="4" t="n"/>
    </row>
    <row r="12">
      <c r="A12" s="1" t="inlineStr">
        <is>
          <t>#</t>
        </is>
      </c>
      <c r="B12" s="1" t="inlineStr">
        <is>
          <t>รายการ</t>
        </is>
      </c>
      <c r="C12" s="1" t="inlineStr">
        <is>
          <t>ยาวตัด (ซม.)</t>
        </is>
      </c>
      <c r="D12" s="1" t="inlineStr">
        <is>
          <t>จำนวน</t>
        </is>
      </c>
      <c r="E12" s="1" t="inlineStr">
        <is>
          <t>เส้น 6ม.</t>
        </is>
      </c>
      <c r="F12" s="1" t="inlineStr">
        <is>
          <t>ฐาน / หมายเหตุ</t>
        </is>
      </c>
    </row>
    <row r="13">
      <c r="A13" s="9" t="n">
        <v>1</v>
      </c>
      <c r="B13" s="10" t="inlineStr">
        <is>
          <t>วงกบบน F7859</t>
        </is>
      </c>
      <c r="C13" s="11">
        <f>B3-$F$41</f>
        <v/>
      </c>
      <c r="D13" s="12" t="inlineStr">
        <is>
          <t>1</t>
        </is>
      </c>
      <c r="E13" s="9">
        <f>IF(D13=0,"-",ROUNDUP(C13*D13/600,0))</f>
        <v/>
      </c>
      <c r="F13" s="10" t="inlineStr">
        <is>
          <t>กว้าง</t>
        </is>
      </c>
    </row>
    <row r="14">
      <c r="A14" s="9" t="n">
        <v>2</v>
      </c>
      <c r="B14" s="10" t="inlineStr">
        <is>
          <t>วงกบข้าง F7859</t>
        </is>
      </c>
      <c r="C14" s="11">
        <f>B4</f>
        <v/>
      </c>
      <c r="D14" s="12" t="inlineStr">
        <is>
          <t>2</t>
        </is>
      </c>
      <c r="E14" s="9">
        <f>IF(D14=0,"-",ROUNDUP(C14*D14/600,0))</f>
        <v/>
      </c>
      <c r="F14" s="10" t="inlineStr">
        <is>
          <t>สูง</t>
        </is>
      </c>
    </row>
    <row r="15">
      <c r="A15" s="9" t="n">
        <v>3</v>
      </c>
      <c r="B15" s="10" t="inlineStr">
        <is>
          <t>ธรณี F7938B</t>
        </is>
      </c>
      <c r="C15" s="11">
        <f>B3-$F$42</f>
        <v/>
      </c>
      <c r="D15" s="12">
        <f>IF(B6="มี",1,0)</f>
        <v/>
      </c>
      <c r="E15" s="9">
        <f>IF(D15=0,"-",ROUNDUP(C15*D15/600,0))</f>
        <v/>
      </c>
      <c r="F15" s="10" t="inlineStr">
        <is>
          <t>กว้าง·มีธรณี</t>
        </is>
      </c>
    </row>
    <row r="16">
      <c r="A16" s="9" t="n">
        <v>4</v>
      </c>
      <c r="B16" s="10" t="inlineStr">
        <is>
          <t>ตบธรณี F7960</t>
        </is>
      </c>
      <c r="C16" s="11">
        <f>B3-$F$43</f>
        <v/>
      </c>
      <c r="D16" s="12">
        <f>IF(B6="มี",1,0)</f>
        <v/>
      </c>
      <c r="E16" s="9">
        <f>IF(D16=0,"-",ROUNDUP(C16*D16/600,0))</f>
        <v/>
      </c>
      <c r="F16" s="10" t="inlineStr">
        <is>
          <t>กว้าง·มีธรณี</t>
        </is>
      </c>
    </row>
    <row r="17">
      <c r="A17" s="9" t="n">
        <v>5</v>
      </c>
      <c r="B17" s="10" t="inlineStr">
        <is>
          <t>เสริมใต้บาน F7863</t>
        </is>
      </c>
      <c r="C17" s="11">
        <f>B3-$F$44</f>
        <v/>
      </c>
      <c r="D17" s="12">
        <f>IF(B6="ไม่มี",1,0)</f>
        <v/>
      </c>
      <c r="E17" s="9">
        <f>IF(D17=0,"-",ROUNDUP(C17*D17/600,0))</f>
        <v/>
      </c>
      <c r="F17" s="10" t="inlineStr">
        <is>
          <t>กว้าง·ไม่มีธรณี</t>
        </is>
      </c>
    </row>
    <row r="18">
      <c r="A18" s="9" t="n">
        <v>6</v>
      </c>
      <c r="B18" s="10" t="inlineStr">
        <is>
          <t>กรอบบานตั้ง 7864</t>
        </is>
      </c>
      <c r="C18" s="11">
        <f>B4-$F$45</f>
        <v/>
      </c>
      <c r="D18" s="12">
        <f>2*B5</f>
        <v/>
      </c>
      <c r="E18" s="9">
        <f>IF(D18=0,"-",ROUNDUP(C18*D18/600,0))</f>
        <v/>
      </c>
      <c r="F18" s="10" t="inlineStr">
        <is>
          <t>สูง ×2/บาน</t>
        </is>
      </c>
    </row>
    <row r="19">
      <c r="A19" s="9" t="n">
        <v>7</v>
      </c>
      <c r="B19" s="10" t="inlineStr">
        <is>
          <t>คิ้วตั้ง F7935</t>
        </is>
      </c>
      <c r="C19" s="11">
        <f>B4-$F$46</f>
        <v/>
      </c>
      <c r="D19" s="12">
        <f>2*B5</f>
        <v/>
      </c>
      <c r="E19" s="9">
        <f>IF(D19=0,"-",ROUNDUP(C19*D19/600,0))</f>
        <v/>
      </c>
      <c r="F19" s="10" t="inlineStr">
        <is>
          <t>สูง ×2/บาน</t>
        </is>
      </c>
    </row>
    <row r="20">
      <c r="A20" s="9" t="n">
        <v>8</v>
      </c>
      <c r="B20" s="10" t="inlineStr">
        <is>
          <t>เปิดกลาง F7945c</t>
        </is>
      </c>
      <c r="C20" s="11">
        <f>B4-$F$47</f>
        <v/>
      </c>
      <c r="D20" s="12">
        <f>MAX(B5-1,0)</f>
        <v/>
      </c>
      <c r="E20" s="9">
        <f>IF(D20=0,"-",ROUNDUP(C20*D20/600,0))</f>
        <v/>
      </c>
      <c r="F20" s="10" t="inlineStr">
        <is>
          <t>ชนกลาง n−1</t>
        </is>
      </c>
    </row>
    <row r="21">
      <c r="A21" s="9" t="n">
        <v>9</v>
      </c>
      <c r="B21" s="10" t="inlineStr">
        <is>
          <t>กรอบนอน บานแม่ 7864</t>
        </is>
      </c>
      <c r="C21" s="11">
        <f>E3-IF(B5=1,$F$48,$F$49)</f>
        <v/>
      </c>
      <c r="D21" s="12" t="inlineStr">
        <is>
          <t>2</t>
        </is>
      </c>
      <c r="E21" s="9">
        <f>IF(D21=0,"-",ROUNDUP(C21*D21/600,0))</f>
        <v/>
      </c>
      <c r="F21" s="10" t="inlineStr">
        <is>
          <t>Wแม่·เดี่ยว−3.7/คู่−1.95</t>
        </is>
      </c>
    </row>
    <row r="22">
      <c r="A22" s="9" t="n">
        <v>10</v>
      </c>
      <c r="B22" s="10" t="inlineStr">
        <is>
          <t>กรอบนอน บานลูก 7864</t>
        </is>
      </c>
      <c r="C22" s="11">
        <f>IF(E4=0,"-",E4-IF(B5=1,$F$48,$F$49))</f>
        <v/>
      </c>
      <c r="D22" s="12">
        <f>2*E5</f>
        <v/>
      </c>
      <c r="E22" s="9">
        <f>IF(D22=0,"-",ROUNDUP(C22*D22/600,0))</f>
        <v/>
      </c>
      <c r="F22" s="10" t="inlineStr">
        <is>
          <t>Wลูก</t>
        </is>
      </c>
    </row>
    <row r="23">
      <c r="A23" s="9" t="n">
        <v>11</v>
      </c>
      <c r="B23" s="10" t="inlineStr">
        <is>
          <t>คิ้วนอน บานแม่ F7935</t>
        </is>
      </c>
      <c r="C23" s="11">
        <f>E3-IF(B5=1,$F$50,$F$51)</f>
        <v/>
      </c>
      <c r="D23" s="12" t="inlineStr">
        <is>
          <t>2</t>
        </is>
      </c>
      <c r="E23" s="9">
        <f>IF(D23=0,"-",ROUNDUP(C23*D23/600,0))</f>
        <v/>
      </c>
      <c r="F23" s="10" t="inlineStr">
        <is>
          <t>Wแม่·เดี่ยว−19.7/คู่−17.95</t>
        </is>
      </c>
    </row>
    <row r="24">
      <c r="A24" s="9" t="n">
        <v>12</v>
      </c>
      <c r="B24" s="10" t="inlineStr">
        <is>
          <t>คิ้วนอน บานลูก F7935</t>
        </is>
      </c>
      <c r="C24" s="11">
        <f>IF(E4=0,"-",E4-IF(B5=1,$F$50,$F$51))</f>
        <v/>
      </c>
      <c r="D24" s="12">
        <f>2*E5</f>
        <v/>
      </c>
      <c r="E24" s="9">
        <f>IF(D24=0,"-",ROUNDUP(C24*D24/600,0))</f>
        <v/>
      </c>
      <c r="F24" s="10" t="inlineStr">
        <is>
          <t>Wลูก</t>
        </is>
      </c>
    </row>
    <row r="25">
      <c r="A25" s="9" t="n">
        <v>13</v>
      </c>
      <c r="B25" s="10" t="inlineStr">
        <is>
          <t>ลูกฟูก บานแม่ (2ฝั่ง)</t>
        </is>
      </c>
      <c r="C25" s="11">
        <f>E6</f>
        <v/>
      </c>
      <c r="D25" s="12">
        <f>E8*2</f>
        <v/>
      </c>
      <c r="E25" s="9">
        <f>IF(D25=0,"-",ROUNDUP(C25*D25/600,0))</f>
        <v/>
      </c>
      <c r="F25" s="10" t="inlineStr">
        <is>
          <t>ยาว=สูงกรอบ ·⌈Wแม่/10⌉×2</t>
        </is>
      </c>
    </row>
    <row r="26">
      <c r="A26" s="9" t="n">
        <v>14</v>
      </c>
      <c r="B26" s="10" t="inlineStr">
        <is>
          <t>ลูกฟูก บานลูก (2ฝั่ง)</t>
        </is>
      </c>
      <c r="C26" s="11">
        <f>E6</f>
        <v/>
      </c>
      <c r="D26" s="12">
        <f>F8*2*E5</f>
        <v/>
      </c>
      <c r="E26" s="9">
        <f>IF(D26=0,"-",ROUNDUP(C26*D26/600,0))</f>
        <v/>
      </c>
      <c r="F26" s="10" t="inlineStr">
        <is>
          <t>⌈Wลูก/10⌉×2</t>
        </is>
      </c>
    </row>
    <row r="27">
      <c r="A27" s="9" t="n">
        <v>15</v>
      </c>
      <c r="B27" s="10" t="inlineStr">
        <is>
          <t>เส้นคาด บานแม่ (2ฝั่ง)</t>
        </is>
      </c>
      <c r="C27" s="11">
        <f>E6</f>
        <v/>
      </c>
      <c r="D27" s="12">
        <f>E7*2</f>
        <v/>
      </c>
      <c r="E27" s="9">
        <f>IF(D27=0,"-",ROUNDUP(C27*D27/600,0))</f>
        <v/>
      </c>
      <c r="F27" s="10" t="inlineStr">
        <is>
          <t>ยาว=สูงกรอบ ·เว้นขอบ10</t>
        </is>
      </c>
    </row>
    <row r="28">
      <c r="A28" s="9" t="n">
        <v>16</v>
      </c>
      <c r="B28" s="10" t="inlineStr">
        <is>
          <t>เส้นคาด บานลูก (2ฝั่ง)</t>
        </is>
      </c>
      <c r="C28" s="11">
        <f>E6</f>
        <v/>
      </c>
      <c r="D28" s="12">
        <f>F7*2*E5</f>
        <v/>
      </c>
      <c r="E28" s="9">
        <f>IF(D28=0,"-",ROUNDUP(C28*D28/600,0))</f>
        <v/>
      </c>
      <c r="F28" s="10" t="inlineStr">
        <is>
          <t>×2/บานลูก</t>
        </is>
      </c>
    </row>
    <row r="29">
      <c r="A29" s="13" t="inlineStr">
        <is>
          <t>— อุปกรณ์ —</t>
        </is>
      </c>
      <c r="B29" s="3" t="n"/>
      <c r="C29" s="3" t="n"/>
      <c r="D29" s="3" t="n"/>
      <c r="E29" s="3" t="n"/>
      <c r="F29" s="4" t="n"/>
    </row>
    <row r="30">
      <c r="A30" s="9" t="inlineStr"/>
      <c r="B30" s="10" t="inlineStr">
        <is>
          <t>บานพับ hyda</t>
        </is>
      </c>
      <c r="C30" s="9" t="inlineStr">
        <is>
          <t>—</t>
        </is>
      </c>
      <c r="D30" s="12">
        <f>IF(OR(B4&gt;300,E3&gt;120),5,4)*B5</f>
        <v/>
      </c>
      <c r="E30" s="9" t="inlineStr">
        <is>
          <t>—</t>
        </is>
      </c>
      <c r="F30" s="10" t="inlineStr">
        <is>
          <t>ชิ้น</t>
        </is>
      </c>
    </row>
    <row r="31">
      <c r="A31" s="9" t="inlineStr"/>
      <c r="B31" s="10" t="inlineStr">
        <is>
          <t>มือจับ+ล็อค ใบหลัก</t>
        </is>
      </c>
      <c r="C31" s="9" t="inlineStr">
        <is>
          <t>—</t>
        </is>
      </c>
      <c r="D31" s="12">
        <f>1</f>
        <v/>
      </c>
      <c r="E31" s="9" t="inlineStr">
        <is>
          <t>—</t>
        </is>
      </c>
      <c r="F31" s="10" t="inlineStr">
        <is>
          <t>ชิ้น</t>
        </is>
      </c>
    </row>
    <row r="32">
      <c r="A32" s="9" t="inlineStr"/>
      <c r="B32" s="10" t="inlineStr">
        <is>
          <t>ชุดกลอน ใบลอง</t>
        </is>
      </c>
      <c r="C32" s="9" t="inlineStr">
        <is>
          <t>—</t>
        </is>
      </c>
      <c r="D32" s="12">
        <f>MAX(B5-1,0)</f>
        <v/>
      </c>
      <c r="E32" s="9" t="inlineStr">
        <is>
          <t>—</t>
        </is>
      </c>
      <c r="F32" s="10" t="inlineStr">
        <is>
          <t>ชิ้น</t>
        </is>
      </c>
    </row>
    <row r="33">
      <c r="A33" s="9" t="inlineStr"/>
      <c r="B33" s="10" t="inlineStr">
        <is>
          <t>น็อตเฟรม</t>
        </is>
      </c>
      <c r="C33" s="9" t="inlineStr">
        <is>
          <t>—</t>
        </is>
      </c>
      <c r="D33" s="12">
        <f>IF(B6="มี",8,6)</f>
        <v/>
      </c>
      <c r="E33" s="9" t="inlineStr">
        <is>
          <t>—</t>
        </is>
      </c>
      <c r="F33" s="10" t="inlineStr">
        <is>
          <t>ชิ้น</t>
        </is>
      </c>
    </row>
    <row r="34">
      <c r="A34" s="9" t="inlineStr"/>
      <c r="B34" s="10" t="inlineStr">
        <is>
          <t>ยาง (ม.)</t>
        </is>
      </c>
      <c r="C34" s="9" t="inlineStr">
        <is>
          <t>—</t>
        </is>
      </c>
      <c r="D34" s="12">
        <f>ROUND(2*(B3+B4)/100*B5,0)</f>
        <v/>
      </c>
      <c r="E34" s="9" t="inlineStr">
        <is>
          <t>—</t>
        </is>
      </c>
      <c r="F34" s="10" t="inlineStr">
        <is>
          <t>ชิ้น</t>
        </is>
      </c>
    </row>
    <row r="35">
      <c r="A35" s="9" t="inlineStr"/>
      <c r="B35" s="10" t="inlineStr">
        <is>
          <t>ซิลิโคน ใน+นอก (หลอด)</t>
        </is>
      </c>
      <c r="C35" s="9" t="inlineStr">
        <is>
          <t>—</t>
        </is>
      </c>
      <c r="D35" s="12">
        <f>ROUNDUP(2*(B3+B4)/100*2/12.5,0)</f>
        <v/>
      </c>
      <c r="E35" s="9" t="inlineStr">
        <is>
          <t>—</t>
        </is>
      </c>
      <c r="F35" s="10" t="inlineStr">
        <is>
          <t>ชิ้น</t>
        </is>
      </c>
    </row>
    <row r="40">
      <c r="A40" s="2" t="inlineStr">
        <is>
          <t>⑦ แผงค่าหักโครง (ดึงจาก JR_FUJI ประตูเดี่ยว/คู่ · มม.→ซม.)</t>
        </is>
      </c>
      <c r="B40" s="3" t="n"/>
      <c r="C40" s="3" t="n"/>
      <c r="D40" s="3" t="n"/>
      <c r="E40" s="3" t="n"/>
      <c r="F40" s="4" t="n"/>
    </row>
    <row r="41">
      <c r="B41" s="10" t="inlineStr">
        <is>
          <t>วงกบบน −</t>
        </is>
      </c>
      <c r="F41" s="14" t="n">
        <v>5</v>
      </c>
    </row>
    <row r="42">
      <c r="B42" s="10" t="inlineStr">
        <is>
          <t>ธรณี −</t>
        </is>
      </c>
      <c r="F42" s="14" t="n">
        <v>5</v>
      </c>
    </row>
    <row r="43">
      <c r="B43" s="10" t="inlineStr">
        <is>
          <t>ตบธรณี −</t>
        </is>
      </c>
      <c r="F43" s="14" t="n">
        <v>5</v>
      </c>
    </row>
    <row r="44">
      <c r="B44" s="10" t="inlineStr">
        <is>
          <t>เสริมใต้บาน −</t>
        </is>
      </c>
      <c r="F44" s="14" t="n">
        <v>5</v>
      </c>
    </row>
    <row r="45">
      <c r="B45" s="10" t="inlineStr">
        <is>
          <t>กรอบบานตั้ง −</t>
        </is>
      </c>
      <c r="F45" s="14" t="n">
        <v>3.7</v>
      </c>
    </row>
    <row r="46">
      <c r="B46" s="10" t="inlineStr">
        <is>
          <t>คิ้วตั้ง −</t>
        </is>
      </c>
      <c r="F46" s="14" t="n">
        <v>23.7</v>
      </c>
    </row>
    <row r="47">
      <c r="B47" s="10" t="inlineStr">
        <is>
          <t>เปิดกลาง(ชนกลาง) −</t>
        </is>
      </c>
      <c r="F47" s="14" t="n">
        <v>5.4</v>
      </c>
    </row>
    <row r="48">
      <c r="B48" s="10" t="inlineStr">
        <is>
          <t>กรอบนอน เดี่ยว −</t>
        </is>
      </c>
      <c r="F48" s="14" t="n">
        <v>3.7</v>
      </c>
    </row>
    <row r="49">
      <c r="B49" s="10" t="inlineStr">
        <is>
          <t>กรอบนอน คู่ −</t>
        </is>
      </c>
      <c r="F49" s="14" t="n">
        <v>1.95</v>
      </c>
    </row>
    <row r="50">
      <c r="B50" s="10" t="inlineStr">
        <is>
          <t>คิ้วนอน เดี่ยว −</t>
        </is>
      </c>
      <c r="F50" s="14" t="n">
        <v>19.7</v>
      </c>
    </row>
    <row r="51">
      <c r="B51" s="10" t="inlineStr">
        <is>
          <t>คิ้วนอน คู่ −</t>
        </is>
      </c>
      <c r="F51" s="14" t="n">
        <v>17.95</v>
      </c>
    </row>
  </sheetData>
  <mergeCells count="5">
    <mergeCell ref="A2:F2"/>
    <mergeCell ref="A11:F11"/>
    <mergeCell ref="A1:F1"/>
    <mergeCell ref="A40:F40"/>
    <mergeCell ref="A29:F29"/>
  </mergeCells>
  <dataValidations count="2">
    <dataValidation sqref="B6" showDropDown="0" showInputMessage="0" showErrorMessage="0" allowBlank="0" type="list">
      <formula1>"มี,ไม่มี"</formula1>
    </dataValidation>
    <dataValidation sqref="B7" showDropDown="0" showInputMessage="0" showErrorMessage="0" allowBlank="0" type="list">
      <formula1>"เท่ากัน,แม่-ลูก"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2026-07-07T01:36:16Z</dcterms:created>
  <dcterms:modified xmlns:dcterms="http://purl.org/dc/terms/" xmlns:xsi="http://www.w3.org/2001/XMLSchema-instance" xsi:type="dcterms:W3CDTF">2026-07-07T02:24:26Z</dcterms:modified>
</cp:coreProperties>
</file>