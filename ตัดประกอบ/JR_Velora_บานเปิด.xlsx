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lora บานเปิ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b val="1"/>
      <sz val="10"/>
    </font>
    <font>
      <name val="Tahoma"/>
      <b val="1"/>
      <color rgb="00FFFFFF"/>
    </font>
    <font>
      <name val="Tahoma"/>
      <sz val="10"/>
    </font>
    <font>
      <name val="Tahoma"/>
      <color rgb="00808080"/>
      <sz val="8"/>
    </font>
    <font>
      <name val="Tahoma"/>
      <sz val="9"/>
    </font>
    <font>
      <name val="Tahoma"/>
    </font>
    <font>
      <name val="Tahoma"/>
      <b val="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EEBF7"/>
      </patternFill>
    </fill>
    <fill>
      <patternFill patternType="solid">
        <fgColor rgb="00C6E0B4"/>
      </patternFill>
    </fill>
    <fill>
      <patternFill patternType="solid">
        <fgColor rgb="007F77DD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1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1" fontId="2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0" fillId="7" borderId="0" pivotButton="0" quotePrefix="0" xfId="0"/>
    <xf numFmtId="0" fontId="2" fillId="8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4" fontId="2" fillId="9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6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0" fontId="0" fillId="0" borderId="6" pivotButton="0" quotePrefix="0" xfId="0"/>
    <xf numFmtId="164" fontId="8" fillId="12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2" customWidth="1" min="4" max="4"/>
    <col width="20" customWidth="1" min="5" max="5"/>
    <col width="20" customWidth="1" min="6" max="6"/>
    <col width="12" customWidth="1" min="7" max="7"/>
    <col width="34" customWidth="1" min="8" max="8"/>
  </cols>
  <sheetData>
    <row r="1">
      <c r="A1" s="1" t="inlineStr">
        <is>
          <t>JR ALUMINIUM &amp; GLASS   —   ใบตัดบาน บานเปิด Velora   ·   หน่วย: ซม.</t>
        </is>
      </c>
    </row>
    <row r="2"/>
    <row r="3">
      <c r="B3" s="3" t="inlineStr">
        <is>
          <t>① กรอกข้อมูลช่อง (ช่องเหลือง)</t>
        </is>
      </c>
    </row>
    <row r="4">
      <c r="B4" s="4" t="inlineStr">
        <is>
          <t>กว้างช่องปูน (ช่อง)</t>
        </is>
      </c>
      <c r="C4" s="5" t="n">
        <v>220</v>
      </c>
    </row>
    <row r="5">
      <c r="B5" s="4" t="inlineStr">
        <is>
          <t>สูงช่องปูน</t>
        </is>
      </c>
      <c r="C5" s="5" t="n">
        <v>200</v>
      </c>
    </row>
    <row r="6">
      <c r="B6" s="4" t="inlineStr">
        <is>
          <t>รูปแบบ</t>
        </is>
      </c>
      <c r="C6" s="6" t="inlineStr">
        <is>
          <t>ยัดในช่อง</t>
        </is>
      </c>
    </row>
    <row r="7"/>
    <row r="8">
      <c r="A8" s="7" t="inlineStr">
        <is>
          <t>#</t>
        </is>
      </c>
      <c r="B8" s="7" t="inlineStr">
        <is>
          <t>โปรไฟล์</t>
        </is>
      </c>
      <c r="C8" s="7" t="inlineStr">
        <is>
          <t>รหัส</t>
        </is>
      </c>
      <c r="D8" s="7" t="inlineStr">
        <is>
          <t>รูป</t>
        </is>
      </c>
      <c r="E8" s="7" t="inlineStr">
        <is>
          <t>ยาวตัด (ซม.)</t>
        </is>
      </c>
      <c r="F8" s="7" t="inlineStr">
        <is>
          <t>จำนวน</t>
        </is>
      </c>
      <c r="G8" s="7" t="inlineStr">
        <is>
          <t>หมายเหตุ</t>
        </is>
      </c>
    </row>
    <row r="9" ht="30" customHeight="1">
      <c r="A9" s="8" t="n">
        <v>1</v>
      </c>
      <c r="B9" s="9" t="inlineStr">
        <is>
          <t>วงกบบน</t>
        </is>
      </c>
      <c r="C9" s="10" t="inlineStr">
        <is>
          <t>—</t>
        </is>
      </c>
      <c r="D9" s="10" t="n"/>
      <c r="E9" s="11">
        <f>$C$4+IF($C$6="ยัดในช่อง",$E$18,$F$18)</f>
        <v/>
      </c>
      <c r="F9" s="12">
        <f>$F$27</f>
        <v/>
      </c>
      <c r="G9" s="13" t="inlineStr">
        <is>
          <t>ตัด 45° 2 ฝั่ง</t>
        </is>
      </c>
    </row>
    <row r="10" ht="30" customHeight="1">
      <c r="A10" s="8" t="n">
        <v>2</v>
      </c>
      <c r="B10" s="9" t="inlineStr">
        <is>
          <t>วงกบข้าง</t>
        </is>
      </c>
      <c r="C10" s="10" t="inlineStr">
        <is>
          <t>—</t>
        </is>
      </c>
      <c r="D10" s="10" t="n"/>
      <c r="E10" s="11">
        <f>$C$5+IF($C$6="ยัดในช่อง",$E$19,$F$19)</f>
        <v/>
      </c>
      <c r="F10" s="12">
        <f>$F$28</f>
        <v/>
      </c>
      <c r="G10" s="13" t="inlineStr">
        <is>
          <t>ตัด 45° 1 ฝั่ง · 2 ข้าง</t>
        </is>
      </c>
    </row>
    <row r="11" ht="30" customHeight="1">
      <c r="A11" s="8" t="n">
        <v>3</v>
      </c>
      <c r="B11" s="9" t="inlineStr">
        <is>
          <t>กรอบบาน แนวนอน</t>
        </is>
      </c>
      <c r="C11" s="10" t="inlineStr">
        <is>
          <t>—</t>
        </is>
      </c>
      <c r="D11" s="10" t="n"/>
      <c r="E11" s="11">
        <f>$C$4-IF($C$6="ยัดในช่อง",$E$20,$F$20)</f>
        <v/>
      </c>
      <c r="F11" s="12">
        <f>$F$29</f>
        <v/>
      </c>
      <c r="G11" s="13" t="inlineStr">
        <is>
          <t>เข้ามุม 45° · บน+ล่าง</t>
        </is>
      </c>
    </row>
    <row r="12" ht="30" customHeight="1">
      <c r="A12" s="8" t="n">
        <v>4</v>
      </c>
      <c r="B12" s="9" t="inlineStr">
        <is>
          <t>กรอบบาน แนวตั้ง</t>
        </is>
      </c>
      <c r="C12" s="10" t="inlineStr">
        <is>
          <t>—</t>
        </is>
      </c>
      <c r="D12" s="10" t="n"/>
      <c r="E12" s="11">
        <f>$C$5-IF($C$6="ยัดในช่อง",$E$21,$F$21)</f>
        <v/>
      </c>
      <c r="F12" s="12">
        <f>$F$30</f>
        <v/>
      </c>
      <c r="G12" s="13" t="inlineStr">
        <is>
          <t>เข้ามุม 45° · 2 ข้าง</t>
        </is>
      </c>
    </row>
    <row r="13" ht="30" customHeight="1">
      <c r="A13" s="8" t="n">
        <v>5</v>
      </c>
      <c r="B13" s="9" t="inlineStr">
        <is>
          <t>ลูกฟูก 2 ทาง แนวตั้ง</t>
        </is>
      </c>
      <c r="C13" s="10" t="inlineStr">
        <is>
          <t>—</t>
        </is>
      </c>
      <c r="D13" s="10" t="n"/>
      <c r="E13" s="11">
        <f>$E$10</f>
        <v/>
      </c>
      <c r="F13" s="12">
        <f>IF($C$6="ยัดในช่อง",$F$31,0)</f>
        <v/>
      </c>
      <c r="G13" s="13" t="inlineStr">
        <is>
          <t>เท่าวงกบข้าง · เฉพาะยัดในช่อง</t>
        </is>
      </c>
    </row>
    <row r="14" ht="30" customHeight="1">
      <c r="A14" s="8" t="n">
        <v>6</v>
      </c>
      <c r="B14" s="9" t="inlineStr">
        <is>
          <t>ลูกฟูก 2 ทาง แนวนอน</t>
        </is>
      </c>
      <c r="C14" s="10" t="inlineStr">
        <is>
          <t>—</t>
        </is>
      </c>
      <c r="D14" s="10" t="n"/>
      <c r="E14" s="11">
        <f>$E$9</f>
        <v/>
      </c>
      <c r="F14" s="12">
        <f>IF($C$6="ยัดในช่อง",$F$32,0)</f>
        <v/>
      </c>
      <c r="G14" s="13" t="inlineStr">
        <is>
          <t>เท่าวงกบบน · เฉพาะยัดในช่อง</t>
        </is>
      </c>
    </row>
    <row r="15"/>
    <row r="16">
      <c r="B16" s="14" t="inlineStr">
        <is>
          <t>③ กระดานคำนวณความยาว — แก้ 'ช่องเหลือง' ①② ในกระดานได้เลย · ฟ้า=ค่าสด · เขียว=ผล   (① = แบบยัดในช่อง · ② = แบบครอบวงกบ)</t>
        </is>
      </c>
    </row>
    <row r="17">
      <c r="B17" s="7" t="inlineStr">
        <is>
          <t>โปรไฟล์</t>
        </is>
      </c>
      <c r="C17" s="7" t="inlineStr">
        <is>
          <t>ฐาน (จาก)</t>
        </is>
      </c>
      <c r="D17" s="7" t="inlineStr">
        <is>
          <t>ค่า</t>
        </is>
      </c>
      <c r="E17" s="7" t="inlineStr">
        <is>
          <t>① ยัดในช่อง (แก้ได้)</t>
        </is>
      </c>
      <c r="F17" s="7" t="inlineStr">
        <is>
          <t>② ครอบวงกบ (แก้ได้)</t>
        </is>
      </c>
      <c r="G17" s="7" t="inlineStr">
        <is>
          <t>ยาวตัด</t>
        </is>
      </c>
      <c r="H17" s="7" t="inlineStr">
        <is>
          <t>สูตร (ที่มา)</t>
        </is>
      </c>
    </row>
    <row r="18" ht="24" customHeight="1">
      <c r="B18" s="16" t="inlineStr">
        <is>
          <t>วงกบบน</t>
        </is>
      </c>
      <c r="C18" s="17" t="inlineStr">
        <is>
          <t>ความกว้างช่อง</t>
        </is>
      </c>
      <c r="D18" s="18">
        <f>$C$4</f>
        <v/>
      </c>
      <c r="E18" s="19" t="n">
        <v>0</v>
      </c>
      <c r="F18" s="19" t="n">
        <v>2</v>
      </c>
      <c r="G18" s="20">
        <f>$E$9</f>
        <v/>
      </c>
      <c r="H18" s="17" t="inlineStr">
        <is>
          <t>กว้าง + ① (ยัด) / + ② (ครอบ)</t>
        </is>
      </c>
    </row>
    <row r="19" ht="24" customHeight="1">
      <c r="B19" s="16" t="inlineStr">
        <is>
          <t>วงกบข้าง</t>
        </is>
      </c>
      <c r="C19" s="17" t="inlineStr">
        <is>
          <t>ความสูงช่อง</t>
        </is>
      </c>
      <c r="D19" s="18">
        <f>$C$5</f>
        <v/>
      </c>
      <c r="E19" s="19" t="n">
        <v>0</v>
      </c>
      <c r="F19" s="19" t="n">
        <v>1</v>
      </c>
      <c r="G19" s="20">
        <f>$E$10</f>
        <v/>
      </c>
      <c r="H19" s="17" t="inlineStr">
        <is>
          <t>สูง + ① (ยัด) / + ② (ครอบ)</t>
        </is>
      </c>
    </row>
    <row r="20" ht="24" customHeight="1">
      <c r="B20" s="16" t="inlineStr">
        <is>
          <t>กรอบบาน แนวนอน</t>
        </is>
      </c>
      <c r="C20" s="17" t="inlineStr">
        <is>
          <t>ความกว้างช่อง</t>
        </is>
      </c>
      <c r="D20" s="18">
        <f>$C$4</f>
        <v/>
      </c>
      <c r="E20" s="19" t="n">
        <v>5.7</v>
      </c>
      <c r="F20" s="19" t="n">
        <v>3.5</v>
      </c>
      <c r="G20" s="20">
        <f>$E$11</f>
        <v/>
      </c>
      <c r="H20" s="17" t="inlineStr">
        <is>
          <t>กว้าง − ① (ยัด) / − ② (ครอบ)</t>
        </is>
      </c>
    </row>
    <row r="21" ht="24" customHeight="1">
      <c r="B21" s="16" t="inlineStr">
        <is>
          <t>กรอบบาน แนวตั้ง</t>
        </is>
      </c>
      <c r="C21" s="17" t="inlineStr">
        <is>
          <t>ความสูงช่อง</t>
        </is>
      </c>
      <c r="D21" s="18">
        <f>$C$5</f>
        <v/>
      </c>
      <c r="E21" s="19" t="n">
        <v>3.3</v>
      </c>
      <c r="F21" s="19" t="n">
        <v>2.2</v>
      </c>
      <c r="G21" s="20">
        <f>$E$12</f>
        <v/>
      </c>
      <c r="H21" s="17" t="inlineStr">
        <is>
          <t>สูง − ① (ยัด) / − ② (ครอบ)</t>
        </is>
      </c>
    </row>
    <row r="22" ht="24" customHeight="1">
      <c r="B22" s="16" t="inlineStr">
        <is>
          <t>ลูกฟูก 2 ทาง แนวตั้ง</t>
        </is>
      </c>
      <c r="C22" s="17" t="inlineStr">
        <is>
          <t>เท่าวงกบข้าง</t>
        </is>
      </c>
      <c r="D22" s="18">
        <f>$E$10</f>
        <v/>
      </c>
      <c r="E22" s="21" t="n"/>
      <c r="F22" s="21" t="n"/>
      <c r="G22" s="20">
        <f>$E$13</f>
        <v/>
      </c>
      <c r="H22" s="17" t="inlineStr">
        <is>
          <t>เท่าวงกบข้าง (เฉพาะยัดในช่อง)</t>
        </is>
      </c>
    </row>
    <row r="23" ht="24" customHeight="1">
      <c r="B23" s="16" t="inlineStr">
        <is>
          <t>ลูกฟูก 2 ทาง แนวนอน</t>
        </is>
      </c>
      <c r="C23" s="17" t="inlineStr">
        <is>
          <t>เท่าวงกบบน</t>
        </is>
      </c>
      <c r="D23" s="18">
        <f>$E$9</f>
        <v/>
      </c>
      <c r="E23" s="21" t="n"/>
      <c r="F23" s="21" t="n"/>
      <c r="G23" s="20">
        <f>$E$14</f>
        <v/>
      </c>
      <c r="H23" s="17" t="inlineStr">
        <is>
          <t>เท่าวงกบบน (เฉพาะยัดในช่อง)</t>
        </is>
      </c>
    </row>
    <row r="24"/>
    <row r="25">
      <c r="B25" s="22" t="inlineStr">
        <is>
          <t>④ ตัวเลข 'จำนวน' ที่แก้ได้ (ลูกฟูก = เฉพาะยัดในช่อง)</t>
        </is>
      </c>
    </row>
    <row r="26"/>
    <row r="27" ht="19" customHeight="1">
      <c r="B27" s="9" t="inlineStr">
        <is>
          <t>วงกบบน — จำนวน</t>
        </is>
      </c>
      <c r="C27" s="25" t="n"/>
      <c r="D27" s="25" t="n"/>
      <c r="E27" s="26" t="n"/>
      <c r="F27" s="5" t="n">
        <v>1</v>
      </c>
      <c r="G27" s="25" t="n"/>
      <c r="H27" s="26" t="n"/>
    </row>
    <row r="28" ht="19" customHeight="1">
      <c r="B28" s="9" t="inlineStr">
        <is>
          <t>วงกบข้าง — จำนวน</t>
        </is>
      </c>
      <c r="C28" s="25" t="n"/>
      <c r="D28" s="25" t="n"/>
      <c r="E28" s="26" t="n"/>
      <c r="F28" s="5" t="n">
        <v>2</v>
      </c>
      <c r="G28" s="25" t="n"/>
      <c r="H28" s="26" t="n"/>
    </row>
    <row r="29" ht="19" customHeight="1">
      <c r="B29" s="9" t="inlineStr">
        <is>
          <t>กรอบบาน แนวนอน — จำนวน</t>
        </is>
      </c>
      <c r="C29" s="25" t="n"/>
      <c r="D29" s="25" t="n"/>
      <c r="E29" s="26" t="n"/>
      <c r="F29" s="5" t="n">
        <v>2</v>
      </c>
      <c r="G29" s="25" t="n"/>
      <c r="H29" s="26" t="n"/>
    </row>
    <row r="30" ht="19" customHeight="1">
      <c r="B30" s="9" t="inlineStr">
        <is>
          <t>กรอบบาน แนวตั้ง — จำนวน</t>
        </is>
      </c>
      <c r="C30" s="25" t="n"/>
      <c r="D30" s="25" t="n"/>
      <c r="E30" s="26" t="n"/>
      <c r="F30" s="5" t="n">
        <v>2</v>
      </c>
      <c r="G30" s="25" t="n"/>
      <c r="H30" s="26" t="n"/>
    </row>
    <row r="31" ht="19" customHeight="1">
      <c r="B31" s="9" t="inlineStr">
        <is>
          <t>ลูกฟูก แนวตั้ง — จำนวน (เมื่อยัดในช่อง)</t>
        </is>
      </c>
      <c r="C31" s="25" t="n"/>
      <c r="D31" s="25" t="n"/>
      <c r="E31" s="26" t="n"/>
      <c r="F31" s="5" t="n">
        <v>2</v>
      </c>
      <c r="G31" s="25" t="n"/>
      <c r="H31" s="26" t="n"/>
    </row>
    <row r="32" ht="19" customHeight="1">
      <c r="B32" s="9" t="inlineStr">
        <is>
          <t>ลูกฟูก แนวนอน — จำนวน (เมื่อยัดในช่อง)</t>
        </is>
      </c>
      <c r="C32" s="25" t="n"/>
      <c r="D32" s="25" t="n"/>
      <c r="E32" s="26" t="n"/>
      <c r="F32" s="5" t="n">
        <v>1</v>
      </c>
      <c r="G32" s="25" t="n"/>
      <c r="H32" s="26" t="n"/>
    </row>
    <row r="34">
      <c r="A34" s="27" t="n"/>
      <c r="B34" s="28" t="inlineStr">
        <is>
          <t>⑥ อุปกรณ์ (จำนวน/ชุด) — บานเปิด Velora 1 บาน</t>
        </is>
      </c>
      <c r="F34" s="29" t="inlineStr">
        <is>
          <t>จำนวน</t>
        </is>
      </c>
    </row>
    <row r="35">
      <c r="A35" s="30" t="n">
        <v>1</v>
      </c>
      <c r="B35" s="31" t="inlineStr">
        <is>
          <t>บานพับ (4 ตัว/บาน)</t>
        </is>
      </c>
      <c r="C35" s="32" t="n"/>
      <c r="D35" s="32" t="n"/>
      <c r="E35" s="32" t="n"/>
      <c r="F35" s="33">
        <f>4</f>
        <v/>
      </c>
    </row>
    <row r="36">
      <c r="A36" s="30" t="n">
        <v>2</v>
      </c>
      <c r="B36" s="31" t="inlineStr">
        <is>
          <t>มือจับ (ล็อค)</t>
        </is>
      </c>
      <c r="C36" s="32" t="n"/>
      <c r="D36" s="32" t="n"/>
      <c r="E36" s="32" t="n"/>
      <c r="F36" s="33" t="n">
        <v>1</v>
      </c>
    </row>
    <row r="37">
      <c r="A37" s="30" t="n">
        <v>3</v>
      </c>
      <c r="B37" s="31" t="inlineStr">
        <is>
          <t>ซิลิโคน ใน+นอก (หลอด)</t>
        </is>
      </c>
      <c r="C37" s="32" t="n"/>
      <c r="D37" s="32" t="n"/>
      <c r="E37" s="32" t="n"/>
      <c r="F37" s="33">
        <f>ROUNDUP(2*(C4+C5)/100*2/12.5,0)</f>
        <v/>
      </c>
    </row>
  </sheetData>
  <mergeCells count="20">
    <mergeCell ref="B3:C3"/>
    <mergeCell ref="B37:E37"/>
    <mergeCell ref="B30:E30"/>
    <mergeCell ref="F32:H32"/>
    <mergeCell ref="B36:E36"/>
    <mergeCell ref="B32:E32"/>
    <mergeCell ref="F28:H28"/>
    <mergeCell ref="B35:E35"/>
    <mergeCell ref="F31:H31"/>
    <mergeCell ref="F27:H27"/>
    <mergeCell ref="F30:H30"/>
    <mergeCell ref="B16:H16"/>
    <mergeCell ref="B25:H25"/>
    <mergeCell ref="B31:E31"/>
    <mergeCell ref="B27:E27"/>
    <mergeCell ref="A1:H2"/>
    <mergeCell ref="F29:H29"/>
    <mergeCell ref="B29:E29"/>
    <mergeCell ref="B34:E34"/>
    <mergeCell ref="B28:E28"/>
  </mergeCells>
  <dataValidations count="1">
    <dataValidation sqref="C6" showDropDown="0" showInputMessage="0" showErrorMessage="0" allowBlank="0" type="list">
      <formula1>"ยัดในช่อง,ครอบวงกบ"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2026-07-01T10:19:34Z</dcterms:created>
  <dcterms:modified xmlns:dcterms="http://purl.org/dc/terms/" xmlns:xsi="http://www.w3.org/2001/XMLSchema-instance" xsi:type="dcterms:W3CDTF">2026-07-04T04:34:09Z</dcterms:modified>
</cp:coreProperties>
</file>