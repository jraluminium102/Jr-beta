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MS Building System\Building Systems 280 Series Double Hung\"/>
    </mc:Choice>
  </mc:AlternateContent>
  <xr:revisionPtr revIDLastSave="0" documentId="13_ncr:1_{9BF3F093-8B23-4B20-9AE9-C43274B3CCBD}" xr6:coauthVersionLast="47" xr6:coauthVersionMax="47" xr10:uidLastSave="{00000000-0000-0000-0000-000000000000}"/>
  <workbookProtection workbookAlgorithmName="SHA-512" workbookHashValue="8CUvaA3gSoATsNK4MmsiIPitLsl343VdC+c31FJn6jxXFhbPEyd73udc0rJO2GygcphgADJCwiUGaOI7Yi/AVQ==" workbookSaltValue="bXElyMW+ECK0iYPb35vHtQ==" workbookSpinCount="100000" lockStructure="1"/>
  <bookViews>
    <workbookView xWindow="28680" yWindow="-120" windowWidth="29040" windowHeight="15720" xr2:uid="{00000000-000D-0000-FFFF-FFFF00000000}"/>
  </bookViews>
  <sheets>
    <sheet name="HUNG dies" sheetId="3" r:id="rId1"/>
    <sheet name="HUNG Takeoff" sheetId="4" r:id="rId2"/>
    <sheet name="FSA CORD calculate " sheetId="1" state="hidden" r:id="rId3"/>
  </sheets>
  <definedNames>
    <definedName name="_xlnm.Print_Area" localSheetId="0">'HUNG dies'!$A$1:$I$18</definedName>
    <definedName name="_xlnm.Print_Area" localSheetId="1">'HUNG Takeoff'!$A$1:$F$35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3" l="1"/>
  <c r="F32" i="4" l="1"/>
  <c r="F30" i="4"/>
  <c r="F22" i="4" l="1"/>
  <c r="F18" i="4"/>
  <c r="F16" i="4" l="1"/>
  <c r="F15" i="4"/>
  <c r="F21" i="4" l="1"/>
  <c r="F19" i="4"/>
  <c r="F17" i="4"/>
  <c r="F20" i="4"/>
  <c r="F35" i="4" l="1"/>
  <c r="F34" i="4"/>
  <c r="F33" i="4"/>
  <c r="F31" i="4"/>
  <c r="F29" i="4"/>
  <c r="F12" i="4"/>
  <c r="F11" i="4"/>
  <c r="F10" i="4"/>
  <c r="F8" i="4"/>
  <c r="F7" i="4"/>
  <c r="F6" i="4"/>
  <c r="F5" i="4"/>
  <c r="H15" i="3" l="1"/>
  <c r="H14" i="3"/>
  <c r="N14" i="3" s="1"/>
  <c r="O14" i="3" s="1"/>
  <c r="H12" i="3"/>
  <c r="N12" i="3" l="1"/>
  <c r="O12" i="3" s="1"/>
  <c r="N15" i="3"/>
  <c r="O15" i="3" s="1"/>
  <c r="H13" i="3"/>
  <c r="H17" i="3"/>
  <c r="D7" i="3" l="1"/>
  <c r="N13" i="3"/>
  <c r="O13" i="3" s="1"/>
  <c r="N17" i="3"/>
  <c r="O17" i="3" s="1"/>
  <c r="F13" i="4"/>
  <c r="F7" i="3"/>
  <c r="A16" i="1" l="1"/>
  <c r="B16" i="1" s="1"/>
  <c r="E16" i="1" s="1"/>
  <c r="B15" i="1"/>
  <c r="E15" i="1" s="1"/>
  <c r="B14" i="1"/>
  <c r="L14" i="1" s="1"/>
  <c r="M14" i="1" s="1"/>
  <c r="B13" i="1"/>
  <c r="E13" i="1" s="1"/>
  <c r="B12" i="1"/>
  <c r="E12" i="1" s="1"/>
  <c r="B11" i="1"/>
  <c r="C11" i="1" s="1"/>
  <c r="F11" i="1" s="1"/>
  <c r="B10" i="1"/>
  <c r="C10" i="1" s="1"/>
  <c r="F10" i="1" s="1"/>
  <c r="B9" i="1"/>
  <c r="C9" i="1" s="1"/>
  <c r="F9" i="1" s="1"/>
  <c r="B8" i="1"/>
  <c r="L8" i="1" s="1"/>
  <c r="M8" i="1" s="1"/>
  <c r="B7" i="1"/>
  <c r="E7" i="1" s="1"/>
  <c r="B6" i="1"/>
  <c r="E6" i="1" s="1"/>
  <c r="L5" i="1"/>
  <c r="M5" i="1" s="1"/>
  <c r="B5" i="1"/>
  <c r="C5" i="1" s="1"/>
  <c r="F5" i="1" s="1"/>
  <c r="B4" i="1"/>
  <c r="C4" i="1" s="1"/>
  <c r="F4" i="1" s="1"/>
  <c r="B3" i="1"/>
  <c r="D3" i="1" s="1"/>
  <c r="H18" i="3"/>
  <c r="F18" i="3"/>
  <c r="F17" i="3"/>
  <c r="H16" i="3"/>
  <c r="N16" i="3" s="1"/>
  <c r="O16" i="3" s="1"/>
  <c r="F16" i="3"/>
  <c r="F15" i="3"/>
  <c r="F14" i="3"/>
  <c r="F13" i="3"/>
  <c r="F12" i="3"/>
  <c r="H11" i="3"/>
  <c r="F11" i="3"/>
  <c r="H10" i="3"/>
  <c r="L4" i="3"/>
  <c r="D11" i="1" l="1"/>
  <c r="E11" i="1"/>
  <c r="H11" i="1" s="1"/>
  <c r="J11" i="1" s="1"/>
  <c r="L11" i="1"/>
  <c r="M11" i="1" s="1"/>
  <c r="L7" i="1"/>
  <c r="M7" i="1" s="1"/>
  <c r="N18" i="3"/>
  <c r="L18" i="3" s="1"/>
  <c r="M18" i="3" s="1"/>
  <c r="I18" i="3" s="1"/>
  <c r="D5" i="1"/>
  <c r="N10" i="3"/>
  <c r="L10" i="3" s="1"/>
  <c r="M10" i="3" s="1"/>
  <c r="I10" i="3" s="1"/>
  <c r="K10" i="3"/>
  <c r="N11" i="3"/>
  <c r="L11" i="3" s="1"/>
  <c r="M11" i="3" s="1"/>
  <c r="I11" i="3" s="1"/>
  <c r="K17" i="3"/>
  <c r="L17" i="3"/>
  <c r="M17" i="3" s="1"/>
  <c r="I17" i="3" s="1"/>
  <c r="K12" i="3"/>
  <c r="L12" i="3"/>
  <c r="K14" i="3"/>
  <c r="L14" i="3"/>
  <c r="M14" i="3" s="1"/>
  <c r="I14" i="3" s="1"/>
  <c r="K18" i="3"/>
  <c r="K15" i="3"/>
  <c r="L15" i="3"/>
  <c r="M15" i="3" s="1"/>
  <c r="I15" i="3" s="1"/>
  <c r="K11" i="3"/>
  <c r="K13" i="3"/>
  <c r="L13" i="3"/>
  <c r="K16" i="3"/>
  <c r="L16" i="3"/>
  <c r="M16" i="3" s="1"/>
  <c r="I16" i="3" s="1"/>
  <c r="F26" i="4"/>
  <c r="F27" i="4"/>
  <c r="F24" i="4"/>
  <c r="L12" i="1"/>
  <c r="M12" i="1" s="1"/>
  <c r="E4" i="1"/>
  <c r="H4" i="1" s="1"/>
  <c r="F14" i="4"/>
  <c r="E5" i="1"/>
  <c r="H5" i="1" s="1"/>
  <c r="J5" i="1" s="1"/>
  <c r="L6" i="1"/>
  <c r="M6" i="1" s="1"/>
  <c r="D4" i="1"/>
  <c r="L13" i="1"/>
  <c r="M13" i="1" s="1"/>
  <c r="D10" i="1"/>
  <c r="E10" i="1"/>
  <c r="E9" i="1"/>
  <c r="C14" i="1"/>
  <c r="F14" i="1" s="1"/>
  <c r="L4" i="1"/>
  <c r="M4" i="1" s="1"/>
  <c r="L10" i="1"/>
  <c r="M10" i="1" s="1"/>
  <c r="D13" i="1"/>
  <c r="H13" i="1" s="1"/>
  <c r="C3" i="1"/>
  <c r="F3" i="1" s="1"/>
  <c r="D9" i="1"/>
  <c r="D8" i="1"/>
  <c r="C7" i="1"/>
  <c r="F7" i="1" s="1"/>
  <c r="E14" i="1"/>
  <c r="L3" i="1"/>
  <c r="M3" i="1" s="1"/>
  <c r="D6" i="1"/>
  <c r="H6" i="1" s="1"/>
  <c r="L9" i="1"/>
  <c r="M9" i="1" s="1"/>
  <c r="D12" i="1"/>
  <c r="H12" i="1" s="1"/>
  <c r="L15" i="1"/>
  <c r="M15" i="1" s="1"/>
  <c r="C15" i="1"/>
  <c r="F15" i="1" s="1"/>
  <c r="E3" i="1"/>
  <c r="H3" i="1" s="1"/>
  <c r="C8" i="1"/>
  <c r="F8" i="1" s="1"/>
  <c r="D14" i="1"/>
  <c r="E8" i="1"/>
  <c r="H8" i="1" s="1"/>
  <c r="C13" i="1"/>
  <c r="F13" i="1" s="1"/>
  <c r="D7" i="1"/>
  <c r="H7" i="1" s="1"/>
  <c r="C6" i="1"/>
  <c r="F6" i="1" s="1"/>
  <c r="C12" i="1"/>
  <c r="F12" i="1" s="1"/>
  <c r="I11" i="1"/>
  <c r="D15" i="1"/>
  <c r="H15" i="1" s="1"/>
  <c r="G7" i="3"/>
  <c r="C16" i="1"/>
  <c r="F16" i="1" s="1"/>
  <c r="D16" i="1"/>
  <c r="H16" i="1" s="1"/>
  <c r="J16" i="1" s="1"/>
  <c r="O11" i="3" l="1"/>
  <c r="J4" i="1"/>
  <c r="I4" i="1"/>
  <c r="H10" i="1"/>
  <c r="J10" i="1" s="1"/>
  <c r="O18" i="3"/>
  <c r="O10" i="3"/>
  <c r="M12" i="3"/>
  <c r="I12" i="3" s="1"/>
  <c r="I5" i="1"/>
  <c r="I10" i="1"/>
  <c r="H9" i="1"/>
  <c r="I9" i="1" s="1"/>
  <c r="H14" i="1"/>
  <c r="J12" i="1"/>
  <c r="I12" i="1"/>
  <c r="I15" i="1"/>
  <c r="J15" i="1"/>
  <c r="J6" i="1"/>
  <c r="I6" i="1"/>
  <c r="J7" i="1"/>
  <c r="I7" i="1"/>
  <c r="J9" i="1"/>
  <c r="J3" i="1"/>
  <c r="I3" i="1"/>
  <c r="J14" i="1"/>
  <c r="I14" i="1"/>
  <c r="J8" i="1"/>
  <c r="I8" i="1"/>
  <c r="J13" i="1"/>
  <c r="I13" i="1"/>
  <c r="I16" i="1"/>
  <c r="F9" i="4" l="1"/>
  <c r="H6" i="3"/>
</calcChain>
</file>

<file path=xl/sharedStrings.xml><?xml version="1.0" encoding="utf-8"?>
<sst xmlns="http://schemas.openxmlformats.org/spreadsheetml/2006/main" count="185" uniqueCount="151">
  <si>
    <t>Internal Frame Height (IFH)
Dim "A"</t>
  </si>
  <si>
    <t>Inside (I)</t>
  </si>
  <si>
    <t>Outside (O)</t>
  </si>
  <si>
    <t>Cord Length (CL)</t>
  </si>
  <si>
    <t>Total Cord Length (TCL)</t>
  </si>
  <si>
    <t>Cord Cut Setting (CCS)</t>
  </si>
  <si>
    <t>Clutch</t>
  </si>
  <si>
    <t>Pivot Pin Ctr</t>
  </si>
  <si>
    <t>from bottom of clutch</t>
  </si>
  <si>
    <t>overall length</t>
  </si>
  <si>
    <t>distance from bottom of sash to bottom of clutch</t>
  </si>
  <si>
    <t>top of clutch from bottom of sash</t>
  </si>
  <si>
    <t>MRH</t>
  </si>
  <si>
    <t>Meeting Rail Height</t>
  </si>
  <si>
    <t>amount of Cord in Pulley</t>
  </si>
  <si>
    <t>Overall Frame Height (OFH)</t>
  </si>
  <si>
    <t>Sash Height</t>
  </si>
  <si>
    <t>Overall Sash Height (OSH)</t>
  </si>
  <si>
    <t>Pulley (PC)</t>
  </si>
  <si>
    <t>Cord</t>
  </si>
  <si>
    <t>approx additional for cord in clutch for holding</t>
  </si>
  <si>
    <t>ITEM</t>
  </si>
  <si>
    <t>IMAGE</t>
  </si>
  <si>
    <t>PCS</t>
  </si>
  <si>
    <t>GROUP : EXTRUSION โปร์ไฟล์อลูมิเนียม</t>
  </si>
  <si>
    <t>HUNG PARTS LIST ชุดอุปกรณ์บานยก</t>
  </si>
  <si>
    <t xml:space="preserve">DESCRIPTION </t>
  </si>
  <si>
    <t>SMS CODE</t>
  </si>
  <si>
    <t>M</t>
  </si>
  <si>
    <t>คำนวณความยาวเชือก (ใส่ระยะความสูงรวม)</t>
  </si>
  <si>
    <t>EST.WT.</t>
  </si>
  <si>
    <t>B28009-12</t>
  </si>
  <si>
    <t>B28010-12</t>
  </si>
  <si>
    <t>B28011-12</t>
  </si>
  <si>
    <t>CUTTING FORMULA</t>
  </si>
  <si>
    <t>FW-50</t>
  </si>
  <si>
    <t>FW-94</t>
  </si>
  <si>
    <t>B28012-10</t>
  </si>
  <si>
    <t>B28013-12</t>
  </si>
  <si>
    <t>B28014-12</t>
  </si>
  <si>
    <t>B28015-12</t>
  </si>
  <si>
    <t>FH</t>
  </si>
  <si>
    <t>W</t>
  </si>
  <si>
    <t>QTY(SET)</t>
  </si>
  <si>
    <t>WINDOW SIZE(mm)=</t>
  </si>
  <si>
    <t>X</t>
  </si>
  <si>
    <t>(SQM)</t>
  </si>
  <si>
    <t>H</t>
  </si>
  <si>
    <t>ระยะตัด LENGTH(mm)</t>
  </si>
  <si>
    <t>Pair</t>
  </si>
  <si>
    <t>FH-69</t>
  </si>
  <si>
    <t>#02/2568# ปรับสูตรให้มีgap=2mm.</t>
  </si>
  <si>
    <t>#02/2568# ปรับสูตรให้มีบานสั้นลง2mm.</t>
  </si>
  <si>
    <t>[(FH-46)/2]-1</t>
  </si>
  <si>
    <t>ตัดความยาวนี้อย่างละ 2 เส้น</t>
  </si>
  <si>
    <t xml:space="preserve"> </t>
  </si>
  <si>
    <t>#03/2568# ปรับสูตรให้ gap จาก 4.76mm เหลือ  4mm</t>
  </si>
  <si>
    <t>FW-154</t>
  </si>
  <si>
    <t>FW-132</t>
  </si>
  <si>
    <t>FW-112</t>
  </si>
  <si>
    <t>Qty</t>
  </si>
  <si>
    <t>Remark</t>
  </si>
  <si>
    <t>คนเบิก/วันที่เบิก</t>
  </si>
  <si>
    <t>B10004-12</t>
  </si>
  <si>
    <t>Sup parts code</t>
  </si>
  <si>
    <t>Unit</t>
  </si>
  <si>
    <t>06-003</t>
  </si>
  <si>
    <t>COMPOSITE SASH GUIDE / ไกด์ประคองกรอบบานยก</t>
  </si>
  <si>
    <t>06-002</t>
  </si>
  <si>
    <t>PIVOT PIN / ตะขอเกี่ยวตลับเชือกบานยก</t>
  </si>
  <si>
    <t>06-004</t>
  </si>
  <si>
    <t>COUNTER BALANCE PULLEY MODULE / ตลับล้อพูเล่ย์บานยก</t>
  </si>
  <si>
    <t>06-001</t>
  </si>
  <si>
    <t>COUNTER BALANCE CORD CLAMP &amp; CLUTCH / ตลับใส่เชือกบานยก</t>
  </si>
  <si>
    <t>06-007</t>
  </si>
  <si>
    <t>6mm. NYLON CORD BLK -  เส้นเชือกไนล่อนสีดำหนา 6มม. สำหรับบานยก</t>
  </si>
  <si>
    <t>06-005</t>
  </si>
  <si>
    <t>SASH CORNER ENDCAP / ฝาปิดมุมกรอบบานยกเข้า 90 องศา</t>
  </si>
  <si>
    <t>06-006</t>
  </si>
  <si>
    <t>HUNG INTER LOCK(L&amp;R) END CAP / ฝาปิดรูเสาเกี่ยวหน้าต่างบานยก (ข้างซ้าย&amp;ข้างขวา)</t>
  </si>
  <si>
    <t>STOPPER / ตัวเบรคบาน</t>
  </si>
  <si>
    <t>JAMBLINER SEAL FOAM / ยางใส่เฟรมอะแดปเตอร์เฟรมข้าง</t>
  </si>
  <si>
    <t>5mm MOHAIR (ฐาน 5mm. ขนยาว 6mm.)</t>
  </si>
  <si>
    <t>06-008-GS</t>
  </si>
  <si>
    <t>SASH LIFT HANDLE (SAHARA GREY)   / มือจับหน้าต่างบานยกสีเทาซาฮาร่า</t>
  </si>
  <si>
    <t>LATCH / ล็อคกลางบานยก</t>
  </si>
  <si>
    <t>KEEPER / ขอล็อคกลางบานยก</t>
  </si>
  <si>
    <t>No.</t>
  </si>
  <si>
    <t>02-031</t>
  </si>
  <si>
    <t>DOUBLE HUNG STANDARD HARDWARE SET ชุดฮาร์ดแวร์สแตนดาร์ด</t>
  </si>
  <si>
    <t>ACCESSORY OPTION ชุดอุปกรณ์เสริม</t>
  </si>
  <si>
    <t>DOUBLE HUNG HARDWARE  ฮาร์ดแวร์ชุดหน้าต่างบานยก</t>
  </si>
  <si>
    <t xml:space="preserve">Description </t>
  </si>
  <si>
    <t>06-011</t>
  </si>
  <si>
    <t>02-067</t>
  </si>
  <si>
    <t>06-010</t>
  </si>
  <si>
    <t>DOUBLE HUNG HEAD SEAL PAD  แผ่นประเก็นกันน้ำเฟรมบนบานยก</t>
  </si>
  <si>
    <t>DOUBLE HUNG SILL SEAL PAD แผ่นประเก็นกันน้ำเฟรมล่างบานยก</t>
  </si>
  <si>
    <t>Rope cut length(mm)</t>
  </si>
  <si>
    <t>GLASS SIZE(mm)=</t>
  </si>
  <si>
    <t>06-012</t>
  </si>
  <si>
    <t>#8x10 mm. SS PH SELF TAPPING SCREW  (สกรูเกลียวปล่อยหัวนูน ใช้ติดตั้งกับเส้นอะแดปเตอร์ตบเรียบเสาเกี่ยว ADAPTOR INTERLOCK)</t>
  </si>
  <si>
    <t>#7x40 mm. SS PH SELF TAPPING SCREW  (สกรูเกลียวปล่อยหัวนูน ใช้ติดตั้งกับกรอบบาน SASH)</t>
  </si>
  <si>
    <t>#8x38 mm. SS PH SELF TAPPING SCREW  (สกรูเกลียวปล่อยหัวนูน ใช้ติดตั้งกับโครงเฟรมนอก)</t>
  </si>
  <si>
    <t>#7x8 mm. SS CSK SELF TAPPING SCREW  (สกรูหัวจม ใช้ใขันยึดร่วมกับ SASH GUIDE)</t>
  </si>
  <si>
    <t>ตัดเชือกความยาวนี้อย่างละ 2 เส้น/ 1 ชุด</t>
  </si>
  <si>
    <t>#8x12 mm. SS CSK SELF TAPPING SCREW  (สกรูหัวจม ใช้ติดตั้ง JAMBLINER, Endcap Interlock, Stopper, Wind Breaker  และPivot Pin)</t>
  </si>
  <si>
    <t>ยางกันลมบานยก</t>
  </si>
  <si>
    <t>06-013</t>
  </si>
  <si>
    <t>06-014</t>
  </si>
  <si>
    <t>06-018</t>
  </si>
  <si>
    <t>06-015</t>
  </si>
  <si>
    <t>06-016</t>
  </si>
  <si>
    <t>06-017</t>
  </si>
  <si>
    <t>06-019</t>
  </si>
  <si>
    <t>06-020</t>
  </si>
  <si>
    <t>ยางอัดกระจกตัวใหญ่</t>
  </si>
  <si>
    <t>ยางอัดกระจกตัวเล็ก</t>
  </si>
  <si>
    <t>06-008-BL</t>
  </si>
  <si>
    <t>06-008-WH</t>
  </si>
  <si>
    <t>SASH LIFT HANDLE (WHITE)  / มือจับหน้าต่างบานยกสีขาว</t>
  </si>
  <si>
    <t>06-008-WMH</t>
  </si>
  <si>
    <t>06-008-WGT</t>
  </si>
  <si>
    <t>SASH LIFT HANDLE (WOODGRAIN MAHOGANY)/ มือจับหน้าต่างบานยกสีลายไม้มะฮอกกานี</t>
  </si>
  <si>
    <t>SASH LIFT HANDLE (WOODGRAIN GOLDEN TEAK)  / มือจับหน้าต่างบานยกสีลายไม้สักทอง</t>
  </si>
  <si>
    <t>6mm. GLASS GASKET/ ยางอัดกระจกสำหรับกระจก 6มม.</t>
  </si>
  <si>
    <t>8mm. GLASS GASKET/ ยางอัดกระจกสำหรับกระจก 8มม.</t>
  </si>
  <si>
    <t>ตัวเลือก Standard กระจก</t>
  </si>
  <si>
    <t>จำนวนท่อนที่ใช้</t>
  </si>
  <si>
    <t>02-068</t>
  </si>
  <si>
    <t>02-069</t>
  </si>
  <si>
    <t>SASH LIFT HANDLE (BLACK) / มือจับหน้าต่างบานยกสีดำ</t>
  </si>
  <si>
    <t>HEAD เฟรมบน</t>
  </si>
  <si>
    <t>COVER HEAD ตบปิดเฟรมบน</t>
  </si>
  <si>
    <t>SASH กรอบบาน</t>
  </si>
  <si>
    <t>ADAPTOR INTERLOCK คิ้วยึดเสาเกี่ยว</t>
  </si>
  <si>
    <t>INTERLOCK เสาเกี่ยว</t>
  </si>
  <si>
    <t>NARROW FRAME เฟรมข้าง</t>
  </si>
  <si>
    <t>JAMB ADAPTOR เสาเสริมเฟรมข้าง</t>
  </si>
  <si>
    <t>SILL เฟรมล่าง</t>
  </si>
  <si>
    <t>ถอดจำนวนเส้นเต็ม 6.4ม. (เส้น)</t>
  </si>
  <si>
    <t>ถอดจ.เส้นยาว</t>
  </si>
  <si>
    <t>ตัดได้กี่ท่อน</t>
  </si>
  <si>
    <t>เศษที่เหลือ/เส้น</t>
  </si>
  <si>
    <t>LENGTH(mm)+5</t>
  </si>
  <si>
    <t>QTY Take off AL (pcs)</t>
  </si>
  <si>
    <t>Summarize QTY</t>
  </si>
  <si>
    <t>QTY small piece/length</t>
  </si>
  <si>
    <t>remnant (mm.)/length</t>
  </si>
  <si>
    <t>DxG</t>
  </si>
  <si>
    <t>TOTAL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</si>
</sst>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0"/>
      <color theme="1"/>
      <name val="TradeGothic LT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TradeGothic LT"/>
      <family val="2"/>
    </font>
    <font>
      <sz val="9"/>
      <color theme="1"/>
      <name val="TradeGothic LT"/>
      <family val="2"/>
    </font>
    <font>
      <sz val="8"/>
      <name val="TradeGothic LT"/>
      <family val="2"/>
    </font>
    <font>
      <sz val="9"/>
      <color rgb="FFFF0000"/>
      <name val="TradeGothic LT"/>
      <family val="2"/>
    </font>
    <font>
      <b/>
      <u/>
      <sz val="15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3"/>
      <name val="Tahoma"/>
      <family val="2"/>
    </font>
    <font>
      <b/>
      <sz val="12"/>
      <color theme="1"/>
      <name val="TradeGothic LT"/>
      <charset val="222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b/>
      <sz val="10"/>
      <color theme="1"/>
      <name val="TradeGothic LT"/>
      <charset val="222"/>
    </font>
    <font>
      <sz val="10"/>
      <color rgb="FF00B050"/>
      <name val="Tahoma"/>
      <family val="2"/>
    </font>
    <font>
      <sz val="10"/>
      <color theme="9" tint="-0.249977111117893"/>
      <name val="Tahoma"/>
      <family val="2"/>
    </font>
    <font>
      <sz val="14"/>
      <name val="Browallia New"/>
      <family val="2"/>
    </font>
    <font>
      <b/>
      <sz val="11"/>
      <name val="Browallia New"/>
      <family val="2"/>
    </font>
    <font>
      <sz val="10"/>
      <name val="Arial"/>
      <family val="2"/>
    </font>
    <font>
      <sz val="10"/>
      <name val="Browallia New"/>
      <family val="2"/>
    </font>
    <font>
      <sz val="9"/>
      <name val="Browallia New"/>
      <family val="2"/>
    </font>
    <font>
      <sz val="11"/>
      <color theme="1"/>
      <name val="Calibri"/>
      <family val="2"/>
      <scheme val="minor"/>
    </font>
    <font>
      <sz val="10"/>
      <color theme="1"/>
      <name val="Browallia New"/>
      <family val="2"/>
    </font>
    <font>
      <b/>
      <sz val="14"/>
      <name val="Browallia New"/>
      <family val="2"/>
    </font>
    <font>
      <sz val="14"/>
      <name val="Tahoma"/>
      <family val="2"/>
    </font>
    <font>
      <b/>
      <sz val="12"/>
      <color theme="1"/>
      <name val="Arial Unicode MS"/>
      <family val="2"/>
    </font>
    <font>
      <b/>
      <sz val="14"/>
      <color theme="1"/>
      <name val="Arial Unicode MS"/>
      <family val="2"/>
    </font>
    <font>
      <b/>
      <sz val="14"/>
      <name val="Tahoma"/>
      <family val="2"/>
    </font>
    <font>
      <b/>
      <sz val="18"/>
      <color theme="1"/>
      <name val="Browallia New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9" fillId="0" borderId="0"/>
    <xf numFmtId="0" fontId="22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0" fontId="0" fillId="0" borderId="0" xfId="1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0" xfId="1" applyNumberFormat="1" applyFont="1"/>
    <xf numFmtId="0" fontId="8" fillId="0" borderId="0" xfId="2" applyFont="1" applyAlignment="1">
      <alignment horizontal="left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8" fillId="0" borderId="1" xfId="3" applyFont="1" applyBorder="1" applyAlignment="1">
      <alignment horizontal="center"/>
    </xf>
    <xf numFmtId="0" fontId="8" fillId="0" borderId="11" xfId="3" applyFont="1" applyBorder="1" applyAlignment="1">
      <alignment horizontal="center" wrapText="1"/>
    </xf>
    <xf numFmtId="0" fontId="8" fillId="0" borderId="2" xfId="3" applyFont="1" applyBorder="1" applyAlignment="1">
      <alignment horizontal="center"/>
    </xf>
    <xf numFmtId="0" fontId="8" fillId="0" borderId="2" xfId="3" applyFont="1" applyBorder="1" applyAlignment="1">
      <alignment horizontal="center" wrapText="1"/>
    </xf>
    <xf numFmtId="0" fontId="8" fillId="0" borderId="14" xfId="2" applyFont="1" applyBorder="1" applyAlignment="1">
      <alignment horizontal="center"/>
    </xf>
    <xf numFmtId="0" fontId="8" fillId="0" borderId="14" xfId="3" applyFont="1" applyBorder="1" applyAlignment="1">
      <alignment horizontal="center"/>
    </xf>
    <xf numFmtId="0" fontId="8" fillId="0" borderId="14" xfId="2" applyFont="1" applyBorder="1" applyAlignment="1">
      <alignment horizontal="center" wrapText="1"/>
    </xf>
    <xf numFmtId="0" fontId="8" fillId="0" borderId="13" xfId="2" applyFont="1" applyBorder="1" applyAlignment="1">
      <alignment horizontal="center" wrapText="1"/>
    </xf>
    <xf numFmtId="0" fontId="10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12" xfId="2" applyFont="1" applyBorder="1" applyAlignment="1">
      <alignment horizontal="center"/>
    </xf>
    <xf numFmtId="0" fontId="8" fillId="0" borderId="0" xfId="2" applyFont="1"/>
    <xf numFmtId="0" fontId="10" fillId="0" borderId="0" xfId="2" applyFont="1"/>
    <xf numFmtId="0" fontId="11" fillId="0" borderId="0" xfId="0" applyFont="1" applyAlignment="1">
      <alignment horizontal="left"/>
    </xf>
    <xf numFmtId="0" fontId="8" fillId="0" borderId="10" xfId="3" applyFont="1" applyBorder="1" applyAlignment="1">
      <alignment horizontal="center" wrapText="1"/>
    </xf>
    <xf numFmtId="0" fontId="8" fillId="0" borderId="13" xfId="3" applyFont="1" applyBorder="1" applyAlignment="1">
      <alignment horizontal="center" wrapText="1"/>
    </xf>
    <xf numFmtId="0" fontId="8" fillId="0" borderId="14" xfId="3" applyFont="1" applyBorder="1" applyAlignment="1">
      <alignment horizontal="center" wrapText="1"/>
    </xf>
    <xf numFmtId="0" fontId="12" fillId="0" borderId="0" xfId="3" applyFont="1"/>
    <xf numFmtId="0" fontId="12" fillId="0" borderId="0" xfId="3" applyFont="1" applyAlignment="1">
      <alignment horizontal="center"/>
    </xf>
    <xf numFmtId="2" fontId="12" fillId="0" borderId="0" xfId="3" applyNumberFormat="1" applyFon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5" fillId="0" borderId="13" xfId="3" applyFont="1" applyBorder="1" applyAlignment="1">
      <alignment horizontal="center" wrapText="1"/>
    </xf>
    <xf numFmtId="0" fontId="0" fillId="0" borderId="0" xfId="0" applyAlignment="1">
      <alignment horizontal="left"/>
    </xf>
    <xf numFmtId="0" fontId="16" fillId="0" borderId="13" xfId="3" applyFont="1" applyBorder="1" applyAlignment="1">
      <alignment horizontal="center" wrapText="1"/>
    </xf>
    <xf numFmtId="0" fontId="8" fillId="0" borderId="0" xfId="4" applyFont="1" applyAlignment="1">
      <alignment horizontal="center"/>
    </xf>
    <xf numFmtId="0" fontId="8" fillId="0" borderId="0" xfId="4" applyFont="1"/>
    <xf numFmtId="0" fontId="17" fillId="0" borderId="0" xfId="4" applyFont="1" applyAlignment="1">
      <alignment horizontal="center" vertical="center"/>
    </xf>
    <xf numFmtId="0" fontId="18" fillId="4" borderId="1" xfId="4" applyFont="1" applyFill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21" fillId="0" borderId="1" xfId="4" applyFont="1" applyBorder="1" applyAlignment="1">
      <alignment vertical="center" wrapText="1"/>
    </xf>
    <xf numFmtId="0" fontId="20" fillId="0" borderId="1" xfId="4" applyFont="1" applyBorder="1" applyAlignment="1">
      <alignment vertical="center" wrapText="1"/>
    </xf>
    <xf numFmtId="0" fontId="23" fillId="0" borderId="1" xfId="6" applyFont="1" applyBorder="1" applyAlignment="1">
      <alignment horizontal="center" vertical="center"/>
    </xf>
    <xf numFmtId="0" fontId="8" fillId="0" borderId="1" xfId="4" applyFont="1" applyBorder="1" applyAlignment="1">
      <alignment horizontal="center"/>
    </xf>
    <xf numFmtId="0" fontId="20" fillId="0" borderId="5" xfId="4" applyFont="1" applyBorder="1" applyAlignment="1">
      <alignment horizontal="center" vertical="center" wrapText="1"/>
    </xf>
    <xf numFmtId="0" fontId="24" fillId="0" borderId="0" xfId="4" applyFont="1" applyAlignment="1">
      <alignment horizontal="left" vertical="center"/>
    </xf>
    <xf numFmtId="0" fontId="12" fillId="0" borderId="21" xfId="3" applyFont="1" applyBorder="1" applyAlignment="1">
      <alignment horizontal="center"/>
    </xf>
    <xf numFmtId="0" fontId="13" fillId="0" borderId="16" xfId="3" applyFont="1" applyBorder="1" applyAlignment="1">
      <alignment horizontal="right"/>
    </xf>
    <xf numFmtId="0" fontId="13" fillId="0" borderId="17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/>
    </xf>
    <xf numFmtId="0" fontId="13" fillId="0" borderId="17" xfId="3" applyFont="1" applyBorder="1" applyAlignment="1">
      <alignment horizontal="center"/>
    </xf>
    <xf numFmtId="0" fontId="13" fillId="0" borderId="18" xfId="3" applyFont="1" applyBorder="1" applyAlignment="1">
      <alignment horizontal="center"/>
    </xf>
    <xf numFmtId="164" fontId="23" fillId="0" borderId="1" xfId="6" applyNumberFormat="1" applyFont="1" applyBorder="1" applyAlignment="1">
      <alignment horizontal="center" vertical="center"/>
    </xf>
    <xf numFmtId="0" fontId="25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top"/>
    </xf>
    <xf numFmtId="0" fontId="26" fillId="0" borderId="19" xfId="3" applyFont="1" applyBorder="1" applyAlignment="1">
      <alignment horizontal="center" vertical="center" wrapText="1"/>
    </xf>
    <xf numFmtId="0" fontId="28" fillId="6" borderId="1" xfId="2" applyFont="1" applyFill="1" applyBorder="1" applyAlignment="1">
      <alignment horizontal="center" vertical="center"/>
    </xf>
    <xf numFmtId="0" fontId="27" fillId="2" borderId="20" xfId="3" applyFont="1" applyFill="1" applyBorder="1" applyAlignment="1" applyProtection="1">
      <alignment horizontal="center" vertical="center"/>
      <protection locked="0"/>
    </xf>
    <xf numFmtId="0" fontId="27" fillId="5" borderId="20" xfId="3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/>
    </xf>
    <xf numFmtId="0" fontId="27" fillId="0" borderId="23" xfId="3" applyFont="1" applyBorder="1" applyAlignment="1">
      <alignment horizontal="center" vertical="center"/>
    </xf>
    <xf numFmtId="0" fontId="13" fillId="0" borderId="19" xfId="3" applyFont="1" applyBorder="1" applyAlignment="1">
      <alignment horizontal="right" vertical="center"/>
    </xf>
    <xf numFmtId="0" fontId="13" fillId="0" borderId="22" xfId="3" applyFont="1" applyBorder="1" applyAlignment="1">
      <alignment horizontal="right" vertical="center"/>
    </xf>
    <xf numFmtId="0" fontId="21" fillId="0" borderId="8" xfId="4" applyFont="1" applyBorder="1" applyAlignment="1">
      <alignment vertical="center" wrapText="1"/>
    </xf>
    <xf numFmtId="0" fontId="10" fillId="0" borderId="0" xfId="2" applyFont="1" applyAlignment="1">
      <alignment horizontal="center" vertical="center"/>
    </xf>
    <xf numFmtId="0" fontId="8" fillId="0" borderId="13" xfId="3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12" fillId="0" borderId="0" xfId="3" applyFont="1" applyBorder="1"/>
    <xf numFmtId="0" fontId="8" fillId="0" borderId="26" xfId="3" applyFont="1" applyBorder="1" applyAlignment="1">
      <alignment horizontal="center" wrapText="1"/>
    </xf>
    <xf numFmtId="0" fontId="15" fillId="0" borderId="27" xfId="3" applyFont="1" applyBorder="1" applyAlignment="1">
      <alignment horizontal="center" wrapText="1"/>
    </xf>
    <xf numFmtId="0" fontId="15" fillId="0" borderId="26" xfId="3" applyFont="1" applyBorder="1" applyAlignment="1">
      <alignment horizontal="center" wrapText="1"/>
    </xf>
    <xf numFmtId="0" fontId="9" fillId="7" borderId="1" xfId="3" applyFont="1" applyFill="1" applyBorder="1" applyAlignment="1">
      <alignment horizontal="center" wrapText="1"/>
    </xf>
    <xf numFmtId="0" fontId="8" fillId="0" borderId="28" xfId="2" applyFont="1" applyBorder="1" applyAlignment="1">
      <alignment horizontal="center"/>
    </xf>
    <xf numFmtId="0" fontId="9" fillId="7" borderId="29" xfId="3" applyFont="1" applyFill="1" applyBorder="1" applyAlignment="1">
      <alignment horizontal="center" wrapText="1"/>
    </xf>
    <xf numFmtId="0" fontId="8" fillId="0" borderId="30" xfId="2" applyFont="1" applyBorder="1" applyAlignment="1">
      <alignment horizontal="center"/>
    </xf>
    <xf numFmtId="0" fontId="8" fillId="0" borderId="31" xfId="2" applyFont="1" applyBorder="1" applyAlignment="1">
      <alignment horizontal="center"/>
    </xf>
    <xf numFmtId="0" fontId="8" fillId="0" borderId="34" xfId="2" applyFont="1" applyBorder="1" applyAlignment="1">
      <alignment horizontal="center"/>
    </xf>
    <xf numFmtId="0" fontId="8" fillId="0" borderId="35" xfId="3" applyFont="1" applyBorder="1" applyAlignment="1">
      <alignment horizontal="center"/>
    </xf>
    <xf numFmtId="0" fontId="8" fillId="0" borderId="35" xfId="2" applyFont="1" applyBorder="1" applyAlignment="1">
      <alignment horizontal="center"/>
    </xf>
    <xf numFmtId="0" fontId="8" fillId="0" borderId="35" xfId="3" applyFont="1" applyBorder="1" applyAlignment="1">
      <alignment horizontal="center" wrapText="1"/>
    </xf>
    <xf numFmtId="0" fontId="8" fillId="0" borderId="35" xfId="2" applyFont="1" applyBorder="1" applyAlignment="1">
      <alignment horizontal="center" wrapText="1"/>
    </xf>
    <xf numFmtId="0" fontId="8" fillId="0" borderId="36" xfId="2" applyFont="1" applyBorder="1" applyAlignment="1">
      <alignment horizontal="center" wrapText="1"/>
    </xf>
    <xf numFmtId="0" fontId="8" fillId="0" borderId="36" xfId="3" applyFont="1" applyBorder="1" applyAlignment="1">
      <alignment horizontal="center" wrapText="1"/>
    </xf>
    <xf numFmtId="0" fontId="9" fillId="7" borderId="37" xfId="3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7" borderId="32" xfId="3" applyFont="1" applyFill="1" applyBorder="1" applyAlignment="1">
      <alignment horizontal="center" vertical="center" wrapText="1"/>
    </xf>
    <xf numFmtId="0" fontId="9" fillId="7" borderId="29" xfId="3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9" fillId="0" borderId="0" xfId="6" applyFont="1" applyAlignment="1" applyProtection="1">
      <alignment horizontal="center" vertical="center"/>
      <protection locked="0"/>
    </xf>
    <xf numFmtId="0" fontId="8" fillId="0" borderId="15" xfId="3" applyFont="1" applyBorder="1" applyAlignment="1">
      <alignment horizontal="center"/>
    </xf>
    <xf numFmtId="0" fontId="8" fillId="0" borderId="13" xfId="3" applyFont="1" applyBorder="1" applyAlignment="1">
      <alignment horizontal="center"/>
    </xf>
    <xf numFmtId="0" fontId="8" fillId="0" borderId="31" xfId="3" applyFont="1" applyBorder="1" applyAlignment="1">
      <alignment horizontal="center"/>
    </xf>
    <xf numFmtId="0" fontId="8" fillId="0" borderId="33" xfId="3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18" fillId="2" borderId="3" xfId="5" applyFont="1" applyFill="1" applyBorder="1" applyAlignment="1">
      <alignment horizontal="center"/>
    </xf>
    <xf numFmtId="0" fontId="18" fillId="2" borderId="24" xfId="5" applyFont="1" applyFill="1" applyBorder="1" applyAlignment="1">
      <alignment horizontal="center"/>
    </xf>
    <xf numFmtId="0" fontId="18" fillId="2" borderId="2" xfId="5" applyFont="1" applyFill="1" applyBorder="1" applyAlignment="1">
      <alignment horizontal="center"/>
    </xf>
    <xf numFmtId="0" fontId="18" fillId="4" borderId="1" xfId="4" applyFont="1" applyFill="1" applyBorder="1" applyAlignment="1">
      <alignment horizontal="center" vertical="center"/>
    </xf>
    <xf numFmtId="0" fontId="20" fillId="0" borderId="8" xfId="4" applyFont="1" applyBorder="1" applyAlignment="1">
      <alignment horizontal="center" vertical="center"/>
    </xf>
    <xf numFmtId="0" fontId="20" fillId="0" borderId="25" xfId="4" applyFont="1" applyBorder="1" applyAlignment="1">
      <alignment horizontal="center" vertical="center"/>
    </xf>
    <xf numFmtId="0" fontId="20" fillId="0" borderId="5" xfId="4" applyFont="1" applyBorder="1" applyAlignment="1">
      <alignment horizontal="center" vertical="center"/>
    </xf>
  </cellXfs>
  <cellStyles count="7">
    <cellStyle name="Normal" xfId="0" builtinId="0"/>
    <cellStyle name="Normal 2" xfId="2" xr:uid="{00000000-0005-0000-0000-000001000000}"/>
    <cellStyle name="Normal 2 2 2 2" xfId="5" xr:uid="{00000000-0005-0000-0000-000002000000}"/>
    <cellStyle name="Normal 2 3" xfId="3" xr:uid="{00000000-0005-0000-0000-000003000000}"/>
    <cellStyle name="Normal 2 4" xfId="4" xr:uid="{00000000-0005-0000-0000-000004000000}"/>
    <cellStyle name="Normal 3" xfId="6" xr:uid="{00000000-0005-0000-0000-000005000000}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radeGothic LT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adeGothic L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26" Type="http://schemas.openxmlformats.org/officeDocument/2006/relationships/image" Target="../media/image37.png"/><Relationship Id="rId3" Type="http://schemas.openxmlformats.org/officeDocument/2006/relationships/image" Target="../media/image14.png"/><Relationship Id="rId21" Type="http://schemas.openxmlformats.org/officeDocument/2006/relationships/image" Target="../media/image32.png"/><Relationship Id="rId7" Type="http://schemas.openxmlformats.org/officeDocument/2006/relationships/image" Target="../media/image18.jpeg"/><Relationship Id="rId12" Type="http://schemas.openxmlformats.org/officeDocument/2006/relationships/image" Target="../media/image23.jpeg"/><Relationship Id="rId17" Type="http://schemas.openxmlformats.org/officeDocument/2006/relationships/image" Target="../media/image28.png"/><Relationship Id="rId25" Type="http://schemas.openxmlformats.org/officeDocument/2006/relationships/image" Target="../media/image36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1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jpeg"/><Relationship Id="rId24" Type="http://schemas.openxmlformats.org/officeDocument/2006/relationships/image" Target="../media/image35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4.png"/><Relationship Id="rId10" Type="http://schemas.openxmlformats.org/officeDocument/2006/relationships/image" Target="../media/image21.jpe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emf"/><Relationship Id="rId14" Type="http://schemas.openxmlformats.org/officeDocument/2006/relationships/image" Target="../media/image25.png"/><Relationship Id="rId22" Type="http://schemas.openxmlformats.org/officeDocument/2006/relationships/image" Target="../media/image33.png"/><Relationship Id="rId27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178593</xdr:colOff>
      <xdr:row>9</xdr:row>
      <xdr:rowOff>95249</xdr:rowOff>
    </xdr:from>
    <xdr:to>
      <xdr:col>2</xdr:col>
      <xdr:colOff>1556667</xdr:colOff>
      <xdr:row>9</xdr:row>
      <xdr:rowOff>821531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8" t="13132" r="49029" b="61261"/>
        <a:stretch/>
      </xdr:blipFill>
      <xdr:spPr bwMode="auto">
        <a:xfrm>
          <a:off x="1619249" y="1381124"/>
          <a:ext cx="1378074" cy="726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202406</xdr:colOff>
      <xdr:row>10</xdr:row>
      <xdr:rowOff>79842</xdr:rowOff>
    </xdr:from>
    <xdr:to>
      <xdr:col>2</xdr:col>
      <xdr:colOff>1535907</xdr:colOff>
      <xdr:row>10</xdr:row>
      <xdr:rowOff>1119188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41" t="18635" r="34477" b="48074"/>
        <a:stretch/>
      </xdr:blipFill>
      <xdr:spPr bwMode="auto">
        <a:xfrm>
          <a:off x="1643062" y="2234873"/>
          <a:ext cx="1333501" cy="1039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416719</xdr:colOff>
      <xdr:row>11</xdr:row>
      <xdr:rowOff>173833</xdr:rowOff>
    </xdr:from>
    <xdr:to>
      <xdr:col>2</xdr:col>
      <xdr:colOff>1226345</xdr:colOff>
      <xdr:row>12</xdr:row>
      <xdr:rowOff>357189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69" t="29732" r="61493" b="56868"/>
        <a:stretch/>
      </xdr:blipFill>
      <xdr:spPr bwMode="auto">
        <a:xfrm>
          <a:off x="1857375" y="3471864"/>
          <a:ext cx="809626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517924</xdr:colOff>
      <xdr:row>13</xdr:row>
      <xdr:rowOff>665135</xdr:rowOff>
    </xdr:from>
    <xdr:to>
      <xdr:col>2</xdr:col>
      <xdr:colOff>1202532</xdr:colOff>
      <xdr:row>13</xdr:row>
      <xdr:rowOff>875111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92" t="31407" r="73294" b="3056"/>
        <a:stretch/>
      </xdr:blipFill>
      <xdr:spPr bwMode="auto">
        <a:xfrm rot="5400000">
          <a:off x="2195896" y="4642632"/>
          <a:ext cx="209976" cy="684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470298</xdr:colOff>
      <xdr:row>14</xdr:row>
      <xdr:rowOff>357234</xdr:rowOff>
    </xdr:from>
    <xdr:to>
      <xdr:col>2</xdr:col>
      <xdr:colOff>1297782</xdr:colOff>
      <xdr:row>14</xdr:row>
      <xdr:rowOff>958453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20" t="33501" r="58431" b="39698"/>
        <a:stretch/>
      </xdr:blipFill>
      <xdr:spPr bwMode="auto">
        <a:xfrm rot="5400000">
          <a:off x="2024086" y="5601915"/>
          <a:ext cx="601219" cy="827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190501</xdr:colOff>
      <xdr:row>15</xdr:row>
      <xdr:rowOff>369094</xdr:rowOff>
    </xdr:from>
    <xdr:to>
      <xdr:col>2</xdr:col>
      <xdr:colOff>1549283</xdr:colOff>
      <xdr:row>15</xdr:row>
      <xdr:rowOff>1012030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1" t="34129" r="46721" b="45561"/>
        <a:stretch/>
      </xdr:blipFill>
      <xdr:spPr bwMode="auto">
        <a:xfrm>
          <a:off x="1631157" y="6869907"/>
          <a:ext cx="1358782" cy="642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119064</xdr:colOff>
      <xdr:row>16</xdr:row>
      <xdr:rowOff>523875</xdr:rowOff>
    </xdr:from>
    <xdr:to>
      <xdr:col>2</xdr:col>
      <xdr:colOff>1602580</xdr:colOff>
      <xdr:row>16</xdr:row>
      <xdr:rowOff>1023936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58" t="9259" r="54333" b="54115"/>
        <a:stretch/>
      </xdr:blipFill>
      <xdr:spPr bwMode="auto">
        <a:xfrm rot="16200000">
          <a:off x="2051447" y="7675961"/>
          <a:ext cx="500061" cy="1483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142880</xdr:colOff>
      <xdr:row>17</xdr:row>
      <xdr:rowOff>488154</xdr:rowOff>
    </xdr:from>
    <xdr:to>
      <xdr:col>2</xdr:col>
      <xdr:colOff>1559722</xdr:colOff>
      <xdr:row>17</xdr:row>
      <xdr:rowOff>928687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21" t="19026" r="57310" b="19804"/>
        <a:stretch/>
      </xdr:blipFill>
      <xdr:spPr bwMode="auto">
        <a:xfrm rot="16200000">
          <a:off x="2071690" y="8786813"/>
          <a:ext cx="440533" cy="1416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88450</xdr:colOff>
      <xdr:row>5</xdr:row>
      <xdr:rowOff>333375</xdr:rowOff>
    </xdr:from>
    <xdr:to>
      <xdr:col>7</xdr:col>
      <xdr:colOff>435432</xdr:colOff>
      <xdr:row>6</xdr:row>
      <xdr:rowOff>13609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9728804">
          <a:off x="8429629" y="1285875"/>
          <a:ext cx="346982" cy="18369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1272629</xdr:colOff>
      <xdr:row>1</xdr:row>
      <xdr:rowOff>273465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5" t="10835" r="5028" b="10465"/>
        <a:stretch/>
      </xdr:blipFill>
      <xdr:spPr>
        <a:xfrm>
          <a:off x="0" y="0"/>
          <a:ext cx="2728593" cy="1239572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2</xdr:row>
      <xdr:rowOff>340371</xdr:rowOff>
    </xdr:from>
    <xdr:to>
      <xdr:col>3</xdr:col>
      <xdr:colOff>323849</xdr:colOff>
      <xdr:row>4</xdr:row>
      <xdr:rowOff>16750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14" t="5600" r="38051" b="29856"/>
        <a:stretch/>
      </xdr:blipFill>
      <xdr:spPr bwMode="auto">
        <a:xfrm>
          <a:off x="1066800" y="1816746"/>
          <a:ext cx="2552699" cy="1800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581498</xdr:colOff>
      <xdr:row>0</xdr:row>
      <xdr:rowOff>369093</xdr:rowOff>
    </xdr:from>
    <xdr:to>
      <xdr:col>8</xdr:col>
      <xdr:colOff>23812</xdr:colOff>
      <xdr:row>3</xdr:row>
      <xdr:rowOff>1452562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72373" y="369093"/>
          <a:ext cx="6086002" cy="3059907"/>
        </a:xfrm>
        <a:prstGeom prst="rect">
          <a:avLst/>
        </a:prstGeom>
      </xdr:spPr>
    </xdr:pic>
    <xdr:clientData/>
  </xdr:twoCellAnchor>
  <xdr:twoCellAnchor>
    <xdr:from>
      <xdr:col>12</xdr:col>
      <xdr:colOff>295274</xdr:colOff>
      <xdr:row>8</xdr:row>
      <xdr:rowOff>0</xdr:rowOff>
    </xdr:from>
    <xdr:to>
      <xdr:col>12</xdr:col>
      <xdr:colOff>447675</xdr:colOff>
      <xdr:row>8</xdr:row>
      <xdr:rowOff>219075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0858499" y="2562225"/>
          <a:ext cx="152401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4</xdr:row>
      <xdr:rowOff>19050</xdr:rowOff>
    </xdr:from>
    <xdr:to>
      <xdr:col>2</xdr:col>
      <xdr:colOff>457200</xdr:colOff>
      <xdr:row>4</xdr:row>
      <xdr:rowOff>381000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1485900"/>
          <a:ext cx="2095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5</xdr:row>
      <xdr:rowOff>47625</xdr:rowOff>
    </xdr:from>
    <xdr:to>
      <xdr:col>2</xdr:col>
      <xdr:colOff>466725</xdr:colOff>
      <xdr:row>5</xdr:row>
      <xdr:rowOff>304800</xdr:rowOff>
    </xdr:to>
    <xdr:pic>
      <xdr:nvPicPr>
        <xdr:cNvPr id="3" name="Picture 3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895475"/>
          <a:ext cx="1714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7</xdr:row>
      <xdr:rowOff>28575</xdr:rowOff>
    </xdr:from>
    <xdr:to>
      <xdr:col>2</xdr:col>
      <xdr:colOff>457200</xdr:colOff>
      <xdr:row>7</xdr:row>
      <xdr:rowOff>381000</xdr:rowOff>
    </xdr:to>
    <xdr:pic>
      <xdr:nvPicPr>
        <xdr:cNvPr id="4" name="Picture 3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2638425"/>
          <a:ext cx="2000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6</xdr:row>
      <xdr:rowOff>47625</xdr:rowOff>
    </xdr:from>
    <xdr:to>
      <xdr:col>2</xdr:col>
      <xdr:colOff>523875</xdr:colOff>
      <xdr:row>6</xdr:row>
      <xdr:rowOff>381000</xdr:rowOff>
    </xdr:to>
    <xdr:pic>
      <xdr:nvPicPr>
        <xdr:cNvPr id="5" name="Picture 3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2276475"/>
          <a:ext cx="3619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85725</xdr:colOff>
      <xdr:row>33</xdr:row>
      <xdr:rowOff>76200</xdr:rowOff>
    </xdr:from>
    <xdr:to>
      <xdr:col>2</xdr:col>
      <xdr:colOff>542925</xdr:colOff>
      <xdr:row>33</xdr:row>
      <xdr:rowOff>247650</xdr:rowOff>
    </xdr:to>
    <xdr:pic>
      <xdr:nvPicPr>
        <xdr:cNvPr id="7" name="รูปภาพ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2992100"/>
          <a:ext cx="457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238125</xdr:colOff>
      <xdr:row>34</xdr:row>
      <xdr:rowOff>66675</xdr:rowOff>
    </xdr:from>
    <xdr:to>
      <xdr:col>2</xdr:col>
      <xdr:colOff>438150</xdr:colOff>
      <xdr:row>34</xdr:row>
      <xdr:rowOff>361950</xdr:rowOff>
    </xdr:to>
    <xdr:pic>
      <xdr:nvPicPr>
        <xdr:cNvPr id="8" name="รูปภาพ 1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3363575"/>
          <a:ext cx="2000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142875</xdr:colOff>
      <xdr:row>11</xdr:row>
      <xdr:rowOff>104775</xdr:rowOff>
    </xdr:from>
    <xdr:to>
      <xdr:col>2</xdr:col>
      <xdr:colOff>514350</xdr:colOff>
      <xdr:row>11</xdr:row>
      <xdr:rowOff>295275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733925"/>
          <a:ext cx="3714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9</xdr:row>
      <xdr:rowOff>66675</xdr:rowOff>
    </xdr:from>
    <xdr:to>
      <xdr:col>2</xdr:col>
      <xdr:colOff>504825</xdr:colOff>
      <xdr:row>9</xdr:row>
      <xdr:rowOff>304800</xdr:rowOff>
    </xdr:to>
    <xdr:pic>
      <xdr:nvPicPr>
        <xdr:cNvPr id="15" name="Picture 6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19" t="15846" r="49097" b="59836"/>
        <a:stretch>
          <a:fillRect/>
        </a:stretch>
      </xdr:blipFill>
      <xdr:spPr bwMode="auto">
        <a:xfrm>
          <a:off x="2495550" y="3686175"/>
          <a:ext cx="3429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10</xdr:row>
      <xdr:rowOff>104775</xdr:rowOff>
    </xdr:from>
    <xdr:to>
      <xdr:col>2</xdr:col>
      <xdr:colOff>495300</xdr:colOff>
      <xdr:row>10</xdr:row>
      <xdr:rowOff>314325</xdr:rowOff>
    </xdr:to>
    <xdr:pic>
      <xdr:nvPicPr>
        <xdr:cNvPr id="16" name="Picture 7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845" t="31421" r="36494" b="37158"/>
        <a:stretch>
          <a:fillRect/>
        </a:stretch>
      </xdr:blipFill>
      <xdr:spPr bwMode="auto">
        <a:xfrm>
          <a:off x="2505075" y="4229100"/>
          <a:ext cx="3238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180975</xdr:colOff>
      <xdr:row>12</xdr:row>
      <xdr:rowOff>66675</xdr:rowOff>
    </xdr:from>
    <xdr:to>
      <xdr:col>2</xdr:col>
      <xdr:colOff>523875</xdr:colOff>
      <xdr:row>12</xdr:row>
      <xdr:rowOff>342900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38" b="8920"/>
        <a:stretch>
          <a:fillRect/>
        </a:stretch>
      </xdr:blipFill>
      <xdr:spPr bwMode="auto">
        <a:xfrm>
          <a:off x="2514600" y="5076825"/>
          <a:ext cx="342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13</xdr:row>
      <xdr:rowOff>76200</xdr:rowOff>
    </xdr:from>
    <xdr:to>
      <xdr:col>2</xdr:col>
      <xdr:colOff>533400</xdr:colOff>
      <xdr:row>13</xdr:row>
      <xdr:rowOff>304800</xdr:rowOff>
    </xdr:to>
    <xdr:pic>
      <xdr:nvPicPr>
        <xdr:cNvPr id="21" name="Picture 1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5467350"/>
          <a:ext cx="352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8</xdr:row>
      <xdr:rowOff>209550</xdr:rowOff>
    </xdr:from>
    <xdr:to>
      <xdr:col>2</xdr:col>
      <xdr:colOff>600075</xdr:colOff>
      <xdr:row>8</xdr:row>
      <xdr:rowOff>304800</xdr:rowOff>
    </xdr:to>
    <xdr:pic>
      <xdr:nvPicPr>
        <xdr:cNvPr id="25" name="Picture 1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3324225"/>
          <a:ext cx="5429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</xdr:colOff>
      <xdr:row>14</xdr:row>
      <xdr:rowOff>27214</xdr:rowOff>
    </xdr:from>
    <xdr:to>
      <xdr:col>2</xdr:col>
      <xdr:colOff>496661</xdr:colOff>
      <xdr:row>14</xdr:row>
      <xdr:rowOff>380575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1268" y="5769428"/>
          <a:ext cx="401411" cy="353361"/>
        </a:xfrm>
        <a:prstGeom prst="rect">
          <a:avLst/>
        </a:prstGeom>
      </xdr:spPr>
    </xdr:pic>
    <xdr:clientData/>
  </xdr:twoCellAnchor>
  <xdr:twoCellAnchor>
    <xdr:from>
      <xdr:col>2</xdr:col>
      <xdr:colOff>131990</xdr:colOff>
      <xdr:row>15</xdr:row>
      <xdr:rowOff>14526</xdr:rowOff>
    </xdr:from>
    <xdr:to>
      <xdr:col>2</xdr:col>
      <xdr:colOff>489857</xdr:colOff>
      <xdr:row>15</xdr:row>
      <xdr:rowOff>357483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8008" y="6137740"/>
          <a:ext cx="357867" cy="342957"/>
        </a:xfrm>
        <a:prstGeom prst="rect">
          <a:avLst/>
        </a:prstGeom>
      </xdr:spPr>
    </xdr:pic>
    <xdr:clientData/>
  </xdr:twoCellAnchor>
  <xdr:twoCellAnchor editAs="oneCell">
    <xdr:from>
      <xdr:col>2</xdr:col>
      <xdr:colOff>200526</xdr:colOff>
      <xdr:row>17</xdr:row>
      <xdr:rowOff>105276</xdr:rowOff>
    </xdr:from>
    <xdr:to>
      <xdr:col>2</xdr:col>
      <xdr:colOff>486275</xdr:colOff>
      <xdr:row>17</xdr:row>
      <xdr:rowOff>278335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2605" y="6998368"/>
          <a:ext cx="285749" cy="173059"/>
        </a:xfrm>
        <a:prstGeom prst="rect">
          <a:avLst/>
        </a:prstGeom>
      </xdr:spPr>
    </xdr:pic>
    <xdr:clientData/>
  </xdr:twoCellAnchor>
  <xdr:twoCellAnchor editAs="oneCell">
    <xdr:from>
      <xdr:col>2</xdr:col>
      <xdr:colOff>215566</xdr:colOff>
      <xdr:row>16</xdr:row>
      <xdr:rowOff>130342</xdr:rowOff>
    </xdr:from>
    <xdr:to>
      <xdr:col>2</xdr:col>
      <xdr:colOff>431132</xdr:colOff>
      <xdr:row>16</xdr:row>
      <xdr:rowOff>300789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7645" y="6642434"/>
          <a:ext cx="215566" cy="170447"/>
        </a:xfrm>
        <a:prstGeom prst="rect">
          <a:avLst/>
        </a:prstGeom>
      </xdr:spPr>
    </xdr:pic>
    <xdr:clientData/>
  </xdr:twoCellAnchor>
  <xdr:twoCellAnchor editAs="oneCell">
    <xdr:from>
      <xdr:col>2</xdr:col>
      <xdr:colOff>150394</xdr:colOff>
      <xdr:row>18</xdr:row>
      <xdr:rowOff>85225</xdr:rowOff>
    </xdr:from>
    <xdr:to>
      <xdr:col>2</xdr:col>
      <xdr:colOff>494383</xdr:colOff>
      <xdr:row>18</xdr:row>
      <xdr:rowOff>300791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473" y="7359317"/>
          <a:ext cx="343989" cy="215566"/>
        </a:xfrm>
        <a:prstGeom prst="rect">
          <a:avLst/>
        </a:prstGeom>
      </xdr:spPr>
    </xdr:pic>
    <xdr:clientData/>
  </xdr:twoCellAnchor>
  <xdr:twoCellAnchor editAs="oneCell">
    <xdr:from>
      <xdr:col>2</xdr:col>
      <xdr:colOff>35092</xdr:colOff>
      <xdr:row>19</xdr:row>
      <xdr:rowOff>115304</xdr:rowOff>
    </xdr:from>
    <xdr:to>
      <xdr:col>2</xdr:col>
      <xdr:colOff>622191</xdr:colOff>
      <xdr:row>19</xdr:row>
      <xdr:rowOff>270712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7171" y="7770396"/>
          <a:ext cx="587099" cy="155408"/>
        </a:xfrm>
        <a:prstGeom prst="rect">
          <a:avLst/>
        </a:prstGeom>
      </xdr:spPr>
    </xdr:pic>
    <xdr:clientData/>
  </xdr:twoCellAnchor>
  <xdr:twoCellAnchor editAs="oneCell">
    <xdr:from>
      <xdr:col>2</xdr:col>
      <xdr:colOff>15040</xdr:colOff>
      <xdr:row>20</xdr:row>
      <xdr:rowOff>95249</xdr:rowOff>
    </xdr:from>
    <xdr:to>
      <xdr:col>2</xdr:col>
      <xdr:colOff>636085</xdr:colOff>
      <xdr:row>20</xdr:row>
      <xdr:rowOff>290763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119" y="8131341"/>
          <a:ext cx="621045" cy="19551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586140</xdr:colOff>
      <xdr:row>1</xdr:row>
      <xdr:rowOff>69273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5" t="10835" r="5028" b="10465"/>
        <a:stretch/>
      </xdr:blipFill>
      <xdr:spPr>
        <a:xfrm>
          <a:off x="1" y="0"/>
          <a:ext cx="1391434" cy="632114"/>
        </a:xfrm>
        <a:prstGeom prst="rect">
          <a:avLst/>
        </a:prstGeom>
      </xdr:spPr>
    </xdr:pic>
    <xdr:clientData/>
  </xdr:twoCellAnchor>
  <xdr:twoCellAnchor>
    <xdr:from>
      <xdr:col>2</xdr:col>
      <xdr:colOff>147204</xdr:colOff>
      <xdr:row>21</xdr:row>
      <xdr:rowOff>76640</xdr:rowOff>
    </xdr:from>
    <xdr:to>
      <xdr:col>2</xdr:col>
      <xdr:colOff>519546</xdr:colOff>
      <xdr:row>21</xdr:row>
      <xdr:rowOff>379371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3681" y="10064702"/>
          <a:ext cx="372342" cy="302731"/>
        </a:xfrm>
        <a:prstGeom prst="rect">
          <a:avLst/>
        </a:prstGeom>
      </xdr:spPr>
    </xdr:pic>
    <xdr:clientData/>
  </xdr:twoCellAnchor>
  <xdr:twoCellAnchor>
    <xdr:from>
      <xdr:col>2</xdr:col>
      <xdr:colOff>74672</xdr:colOff>
      <xdr:row>28</xdr:row>
      <xdr:rowOff>134817</xdr:rowOff>
    </xdr:from>
    <xdr:to>
      <xdr:col>2</xdr:col>
      <xdr:colOff>568569</xdr:colOff>
      <xdr:row>28</xdr:row>
      <xdr:rowOff>427222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01149" y="11828586"/>
          <a:ext cx="493897" cy="292405"/>
        </a:xfrm>
        <a:prstGeom prst="rect">
          <a:avLst/>
        </a:prstGeom>
      </xdr:spPr>
    </xdr:pic>
    <xdr:clientData/>
  </xdr:twoCellAnchor>
  <xdr:twoCellAnchor>
    <xdr:from>
      <xdr:col>2</xdr:col>
      <xdr:colOff>76199</xdr:colOff>
      <xdr:row>29</xdr:row>
      <xdr:rowOff>123743</xdr:rowOff>
    </xdr:from>
    <xdr:to>
      <xdr:col>2</xdr:col>
      <xdr:colOff>580292</xdr:colOff>
      <xdr:row>29</xdr:row>
      <xdr:rowOff>395739</xdr:rowOff>
    </xdr:to>
    <xdr:pic>
      <xdr:nvPicPr>
        <xdr:cNvPr id="24" name="Picture 20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2676" y="12321605"/>
          <a:ext cx="504093" cy="271996"/>
        </a:xfrm>
        <a:prstGeom prst="rect">
          <a:avLst/>
        </a:prstGeom>
      </xdr:spPr>
    </xdr:pic>
    <xdr:clientData/>
  </xdr:twoCellAnchor>
  <xdr:twoCellAnchor>
    <xdr:from>
      <xdr:col>2</xdr:col>
      <xdr:colOff>70339</xdr:colOff>
      <xdr:row>30</xdr:row>
      <xdr:rowOff>134817</xdr:rowOff>
    </xdr:from>
    <xdr:to>
      <xdr:col>2</xdr:col>
      <xdr:colOff>597877</xdr:colOff>
      <xdr:row>30</xdr:row>
      <xdr:rowOff>438103</xdr:rowOff>
    </xdr:to>
    <xdr:pic>
      <xdr:nvPicPr>
        <xdr:cNvPr id="29" name="Picture 2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6816" y="12836771"/>
          <a:ext cx="527538" cy="303286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32</xdr:row>
      <xdr:rowOff>135114</xdr:rowOff>
    </xdr:from>
    <xdr:to>
      <xdr:col>2</xdr:col>
      <xdr:colOff>597877</xdr:colOff>
      <xdr:row>32</xdr:row>
      <xdr:rowOff>421708</xdr:rowOff>
    </xdr:to>
    <xdr:pic>
      <xdr:nvPicPr>
        <xdr:cNvPr id="30" name="Pictur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2678" y="13845252"/>
          <a:ext cx="521676" cy="286594"/>
        </a:xfrm>
        <a:prstGeom prst="rect">
          <a:avLst/>
        </a:prstGeom>
      </xdr:spPr>
    </xdr:pic>
    <xdr:clientData/>
  </xdr:twoCellAnchor>
  <xdr:twoCellAnchor>
    <xdr:from>
      <xdr:col>2</xdr:col>
      <xdr:colOff>86366</xdr:colOff>
      <xdr:row>31</xdr:row>
      <xdr:rowOff>146539</xdr:rowOff>
    </xdr:from>
    <xdr:to>
      <xdr:col>2</xdr:col>
      <xdr:colOff>597877</xdr:colOff>
      <xdr:row>31</xdr:row>
      <xdr:rowOff>428828</xdr:rowOff>
    </xdr:to>
    <xdr:pic>
      <xdr:nvPicPr>
        <xdr:cNvPr id="31" name="Picture 1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12843" y="13352585"/>
          <a:ext cx="511511" cy="282289"/>
        </a:xfrm>
        <a:prstGeom prst="rect">
          <a:avLst/>
        </a:prstGeom>
      </xdr:spPr>
    </xdr:pic>
    <xdr:clientData/>
  </xdr:twoCellAnchor>
  <xdr:oneCellAnchor>
    <xdr:from>
      <xdr:col>2</xdr:col>
      <xdr:colOff>218272</xdr:colOff>
      <xdr:row>26</xdr:row>
      <xdr:rowOff>111369</xdr:rowOff>
    </xdr:from>
    <xdr:ext cx="200314" cy="316524"/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40" t="24743" r="33882" b="44870"/>
        <a:stretch/>
      </xdr:blipFill>
      <xdr:spPr bwMode="auto">
        <a:xfrm>
          <a:off x="1044749" y="11998569"/>
          <a:ext cx="200314" cy="316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222738</xdr:colOff>
      <xdr:row>25</xdr:row>
      <xdr:rowOff>93488</xdr:rowOff>
    </xdr:from>
    <xdr:ext cx="211016" cy="308056"/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65" t="25085" r="48370" b="44409"/>
        <a:stretch/>
      </xdr:blipFill>
      <xdr:spPr bwMode="auto">
        <a:xfrm>
          <a:off x="1049215" y="11476596"/>
          <a:ext cx="211016" cy="308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222738</xdr:colOff>
      <xdr:row>23</xdr:row>
      <xdr:rowOff>93488</xdr:rowOff>
    </xdr:from>
    <xdr:ext cx="211016" cy="308056"/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65" t="25085" r="48370" b="44409"/>
        <a:stretch/>
      </xdr:blipFill>
      <xdr:spPr bwMode="auto">
        <a:xfrm>
          <a:off x="1049215" y="11476596"/>
          <a:ext cx="211016" cy="308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16</xdr:row>
      <xdr:rowOff>13335</xdr:rowOff>
    </xdr:from>
    <xdr:to>
      <xdr:col>0</xdr:col>
      <xdr:colOff>541020</xdr:colOff>
      <xdr:row>18</xdr:row>
      <xdr:rowOff>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V="1">
          <a:off x="236220" y="3206115"/>
          <a:ext cx="304800" cy="32194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171450</xdr:colOff>
      <xdr:row>16</xdr:row>
      <xdr:rowOff>19050</xdr:rowOff>
    </xdr:from>
    <xdr:to>
      <xdr:col>8</xdr:col>
      <xdr:colOff>476250</xdr:colOff>
      <xdr:row>29</xdr:row>
      <xdr:rowOff>19050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2400300" y="3152775"/>
          <a:ext cx="304800" cy="323850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VOALU" displayName="EVOALU" ref="A2:J16" totalsRowShown="0" headerRowDxfId="14" dataDxfId="12" headerRowBorderDxfId="13" tableBorderDxfId="11" totalsRowBorderDxfId="10">
  <autoFilter ref="A2:J16" xr:uid="{00000000-0009-0000-0100-000004000000}"/>
  <tableColumns count="10">
    <tableColumn id="2" xr3:uid="{00000000-0010-0000-0000-000002000000}" name="Overall Frame Height (OFH)" dataDxfId="9"/>
    <tableColumn id="1" xr3:uid="{00000000-0010-0000-0000-000001000000}" name="Internal Frame Height (IFH)_x000a_Dim &quot;A&quot;" dataDxfId="8"/>
    <tableColumn id="11" xr3:uid="{00000000-0010-0000-0000-00000B000000}" name="Overall Sash Height (OSH)" dataDxfId="7">
      <calculatedColumnFormula>EVOALU[[#This Row],[Internal Frame Height (IFH)
Dim "A"]]-15-2</calculatedColumnFormula>
    </tableColumn>
    <tableColumn id="3" xr3:uid="{00000000-0010-0000-0000-000003000000}" name="Inside (I)" dataDxfId="6">
      <calculatedColumnFormula>(EVOALU[[#This Row],[Internal Frame Height (IFH)
Dim "A"]])-150-38</calculatedColumnFormula>
    </tableColumn>
    <tableColumn id="5" xr3:uid="{00000000-0010-0000-0000-000005000000}" name="Outside (O)" dataDxfId="5">
      <calculatedColumnFormula>(EVOALU[[#This Row],[Internal Frame Height (IFH)
Dim "A"]]/2)-137-38</calculatedColumnFormula>
    </tableColumn>
    <tableColumn id="9" xr3:uid="{00000000-0010-0000-0000-000009000000}" name="Sash Height" dataDxfId="4">
      <calculatedColumnFormula>EVOALU[[#This Row],[Overall Sash Height (OSH)]]/2+13</calculatedColumnFormula>
    </tableColumn>
    <tableColumn id="6" xr3:uid="{00000000-0010-0000-0000-000006000000}" name="Pulley (PC)" dataDxfId="3"/>
    <tableColumn id="7" xr3:uid="{00000000-0010-0000-0000-000007000000}" name="Cord Length (CL)" dataDxfId="2">
      <calculatedColumnFormula>G3+E3+D3</calculatedColumnFormula>
    </tableColumn>
    <tableColumn id="10" xr3:uid="{00000000-0010-0000-0000-00000A000000}" name="Total Cord Length (TCL)" dataDxfId="1">
      <calculatedColumnFormula>EVOALU[[#This Row],[Cord Length (CL)]]+65+65</calculatedColumnFormula>
    </tableColumn>
    <tableColumn id="8" xr3:uid="{00000000-0010-0000-0000-000008000000}" name="Cord Cut Setting (CCS)" dataDxfId="0">
      <calculatedColumnFormula>(EVOALU[[#This Row],[Cord Length (CL)]]-EVOALU[[#This Row],[Pulley (PC)]])/2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R22"/>
  <sheetViews>
    <sheetView showGridLines="0" tabSelected="1" view="pageBreakPreview" zoomScaleNormal="100" zoomScaleSheetLayoutView="100" workbookViewId="0">
      <selection activeCell="U2" sqref="U2"/>
    </sheetView>
  </sheetViews>
  <sheetFormatPr defaultColWidth="9.140625" defaultRowHeight="12.75" outlineLevelRow="1" outlineLevelCol="1"/>
  <cols>
    <col min="1" max="1" width="9.140625" style="19"/>
    <col min="2" max="2" width="12.5703125" style="32" customWidth="1"/>
    <col min="3" max="3" width="26.28515625" style="19" customWidth="1"/>
    <col min="4" max="4" width="20.7109375" style="19" customWidth="1"/>
    <col min="5" max="5" width="11.140625" style="32" customWidth="1" outlineLevel="1"/>
    <col min="6" max="6" width="20.7109375" style="32" customWidth="1" outlineLevel="1"/>
    <col min="7" max="7" width="20.7109375" style="19" customWidth="1" outlineLevel="1"/>
    <col min="8" max="8" width="26.42578125" style="32" customWidth="1" outlineLevel="1"/>
    <col min="9" max="9" width="16.5703125" style="32" customWidth="1" outlineLevel="1"/>
    <col min="10" max="10" width="4.42578125" style="32" hidden="1" customWidth="1"/>
    <col min="11" max="15" width="16.28515625" style="32" hidden="1" customWidth="1" outlineLevel="1" collapsed="1"/>
    <col min="16" max="16" width="9.140625" style="32" hidden="1" customWidth="1" collapsed="1"/>
    <col min="17" max="17" width="0" style="32" hidden="1" customWidth="1"/>
    <col min="18" max="16384" width="9.140625" style="32"/>
  </cols>
  <sheetData>
    <row r="1" spans="1:44" ht="76.5" customHeight="1"/>
    <row r="2" spans="1:44" ht="39.75" customHeight="1">
      <c r="A2" s="30" t="s">
        <v>25</v>
      </c>
      <c r="C2" s="18"/>
      <c r="F2" s="20"/>
      <c r="K2" s="20"/>
      <c r="L2" s="20"/>
      <c r="M2" s="20"/>
      <c r="N2" s="20"/>
      <c r="O2" s="20"/>
    </row>
    <row r="3" spans="1:44" ht="39.75" customHeight="1">
      <c r="A3" s="32"/>
      <c r="C3" s="79" t="s">
        <v>127</v>
      </c>
      <c r="F3" s="20"/>
      <c r="K3" s="20"/>
      <c r="L3" s="20"/>
      <c r="M3" s="20"/>
      <c r="N3" s="20"/>
      <c r="O3" s="20"/>
    </row>
    <row r="4" spans="1:44" s="38" customFormat="1" ht="128.25" customHeight="1" thickBot="1">
      <c r="A4" s="110"/>
      <c r="B4" s="110"/>
      <c r="C4" s="110"/>
      <c r="D4" s="110"/>
      <c r="E4" s="110"/>
      <c r="G4" s="39"/>
      <c r="H4" s="88"/>
      <c r="L4" s="39">
        <f>D6*F6/1000000</f>
        <v>3.012184</v>
      </c>
      <c r="U4" s="39"/>
      <c r="V4" s="39"/>
      <c r="W4" s="39"/>
      <c r="X4" s="39"/>
      <c r="Z4" s="39"/>
      <c r="AA4" s="39"/>
      <c r="AB4" s="39"/>
      <c r="AC4" s="39"/>
      <c r="AR4" s="40"/>
    </row>
    <row r="5" spans="1:44" s="38" customFormat="1" ht="16.5" outlineLevel="1" thickBot="1">
      <c r="B5" s="39"/>
      <c r="C5" s="62"/>
      <c r="D5" s="63" t="s">
        <v>47</v>
      </c>
      <c r="E5" s="64"/>
      <c r="F5" s="65" t="s">
        <v>42</v>
      </c>
      <c r="G5" s="66" t="s">
        <v>43</v>
      </c>
      <c r="H5" s="70" t="s">
        <v>98</v>
      </c>
      <c r="P5" s="39"/>
      <c r="Q5" s="39"/>
      <c r="R5" s="39"/>
      <c r="S5" s="39"/>
      <c r="U5" s="39"/>
      <c r="V5" s="39"/>
      <c r="W5" s="39"/>
      <c r="X5" s="39"/>
      <c r="AM5" s="40"/>
    </row>
    <row r="6" spans="1:44" ht="39.75" customHeight="1" outlineLevel="1" thickBot="1">
      <c r="A6" s="30"/>
      <c r="C6" s="76" t="s">
        <v>44</v>
      </c>
      <c r="D6" s="72">
        <v>2888</v>
      </c>
      <c r="E6" s="39" t="s">
        <v>45</v>
      </c>
      <c r="F6" s="72">
        <v>1043</v>
      </c>
      <c r="G6" s="73">
        <v>1</v>
      </c>
      <c r="H6" s="71">
        <f>'FSA CORD calculate '!I16</f>
        <v>4163.5</v>
      </c>
    </row>
    <row r="7" spans="1:44" ht="39.75" customHeight="1" outlineLevel="1" thickBot="1">
      <c r="A7" s="30"/>
      <c r="C7" s="77" t="s">
        <v>99</v>
      </c>
      <c r="D7" s="74">
        <f>$H$13-24</f>
        <v>1396</v>
      </c>
      <c r="E7" s="61" t="s">
        <v>45</v>
      </c>
      <c r="F7" s="74">
        <f>$H$12+16</f>
        <v>905</v>
      </c>
      <c r="G7" s="75">
        <f>(D7*F7)/1000000</f>
        <v>1.2633799999999999</v>
      </c>
      <c r="H7" s="68" t="s">
        <v>105</v>
      </c>
      <c r="L7" s="105" t="s">
        <v>141</v>
      </c>
      <c r="M7" s="105"/>
      <c r="N7" s="1" t="s">
        <v>142</v>
      </c>
      <c r="O7" s="1" t="s">
        <v>143</v>
      </c>
    </row>
    <row r="8" spans="1:44" ht="36.75" customHeight="1">
      <c r="A8" s="29" t="s">
        <v>24</v>
      </c>
      <c r="B8" s="33"/>
      <c r="C8" s="18"/>
      <c r="F8" s="35"/>
      <c r="G8" s="69" t="s">
        <v>46</v>
      </c>
      <c r="K8" s="1" t="s">
        <v>149</v>
      </c>
      <c r="L8" s="82">
        <v>6400</v>
      </c>
      <c r="M8" s="1"/>
      <c r="N8" t="s">
        <v>144</v>
      </c>
      <c r="O8"/>
    </row>
    <row r="9" spans="1:44" ht="25.5" customHeight="1">
      <c r="A9" s="21" t="s">
        <v>21</v>
      </c>
      <c r="B9" s="21" t="s">
        <v>27</v>
      </c>
      <c r="C9" s="21" t="s">
        <v>22</v>
      </c>
      <c r="D9" s="22" t="s">
        <v>26</v>
      </c>
      <c r="E9" s="23" t="s">
        <v>30</v>
      </c>
      <c r="F9" s="24" t="s">
        <v>128</v>
      </c>
      <c r="G9" s="22" t="s">
        <v>34</v>
      </c>
      <c r="H9" s="22" t="s">
        <v>48</v>
      </c>
      <c r="I9" s="92" t="s">
        <v>140</v>
      </c>
      <c r="J9" s="24"/>
      <c r="K9" s="83" t="s">
        <v>150</v>
      </c>
      <c r="L9" s="83" t="s">
        <v>145</v>
      </c>
      <c r="M9" s="84" t="s">
        <v>146</v>
      </c>
      <c r="N9" s="83" t="s">
        <v>147</v>
      </c>
      <c r="O9" s="83" t="s">
        <v>148</v>
      </c>
    </row>
    <row r="10" spans="1:44" ht="68.25" customHeight="1">
      <c r="A10" s="93">
        <v>1</v>
      </c>
      <c r="B10" s="80" t="s">
        <v>31</v>
      </c>
      <c r="C10" s="31"/>
      <c r="D10" s="36" t="s">
        <v>132</v>
      </c>
      <c r="E10" s="81">
        <v>0.89700000000000002</v>
      </c>
      <c r="F10" s="81">
        <f>1*$G$6</f>
        <v>1</v>
      </c>
      <c r="G10" s="36" t="s">
        <v>35</v>
      </c>
      <c r="H10" s="36">
        <f>$F$6-50</f>
        <v>993</v>
      </c>
      <c r="I10" s="94">
        <f>M10</f>
        <v>1</v>
      </c>
      <c r="J10" s="89"/>
      <c r="K10" s="85">
        <f>F10*H10</f>
        <v>993</v>
      </c>
      <c r="L10" s="86">
        <f>IF(N10&gt;F10,ROUNDUP(F10/N10,0),IF(N10&lt;F10,ROUNDUP(F10/N10,0),IF(N10=F10,F10/N10)))</f>
        <v>1</v>
      </c>
      <c r="M10" s="87">
        <f>L10</f>
        <v>1</v>
      </c>
      <c r="N10" s="85">
        <f>ROUNDDOWN($L$8/(H10+5),0)</f>
        <v>6</v>
      </c>
      <c r="O10" s="85">
        <f>$L$8-((H10+5)*N10)</f>
        <v>412</v>
      </c>
    </row>
    <row r="11" spans="1:44" ht="90" customHeight="1">
      <c r="A11" s="95">
        <v>2</v>
      </c>
      <c r="B11" s="80" t="s">
        <v>32</v>
      </c>
      <c r="C11" s="25"/>
      <c r="D11" s="36" t="s">
        <v>133</v>
      </c>
      <c r="E11" s="27">
        <v>0.35799999999999998</v>
      </c>
      <c r="F11" s="81">
        <f>1*$G$6</f>
        <v>1</v>
      </c>
      <c r="G11" s="36" t="s">
        <v>36</v>
      </c>
      <c r="H11" s="36">
        <f>$F$6-94</f>
        <v>949</v>
      </c>
      <c r="I11" s="94">
        <f t="shared" ref="I11:I18" si="0">M11</f>
        <v>1</v>
      </c>
      <c r="J11" s="89"/>
      <c r="K11" s="85">
        <f>F11*H11</f>
        <v>949</v>
      </c>
      <c r="L11" s="86">
        <f>IF(N11&gt;F11,ROUNDUP(F11/N11,0),IF(N11&lt;F11,ROUNDUP(F11/N11,0),IF(N11=F11,F11/N11)))</f>
        <v>1</v>
      </c>
      <c r="M11" s="87">
        <f>L11</f>
        <v>1</v>
      </c>
      <c r="N11" s="85">
        <f>ROUNDDOWN($L$8/(H11+5),0)</f>
        <v>6</v>
      </c>
      <c r="O11" s="85">
        <f>$L$8-((H11+5)*N11)</f>
        <v>676</v>
      </c>
    </row>
    <row r="12" spans="1:44" ht="36.75" customHeight="1">
      <c r="A12" s="113">
        <v>3</v>
      </c>
      <c r="B12" s="111" t="s">
        <v>33</v>
      </c>
      <c r="C12" s="115"/>
      <c r="D12" s="111" t="s">
        <v>134</v>
      </c>
      <c r="E12" s="115">
        <v>0.52800000000000002</v>
      </c>
      <c r="F12" s="28">
        <f>4*$G$6</f>
        <v>4</v>
      </c>
      <c r="G12" s="36" t="s">
        <v>57</v>
      </c>
      <c r="H12" s="47">
        <f>$F$6-154</f>
        <v>889</v>
      </c>
      <c r="I12" s="106">
        <f t="shared" si="0"/>
        <v>2</v>
      </c>
      <c r="J12" s="90"/>
      <c r="K12" s="85">
        <f t="shared" ref="K12:K13" si="1">F12*H12</f>
        <v>3556</v>
      </c>
      <c r="L12" s="86">
        <f t="shared" ref="L12:L13" si="2">IF(N12&gt;F12,ROUNDUP(F12/N12,0),IF(N12&lt;F12,ROUNDUP(F12/N12,0),IF(N12=F12,F12/N12)))</f>
        <v>1</v>
      </c>
      <c r="M12" s="108">
        <f>L12+L13</f>
        <v>2</v>
      </c>
      <c r="N12" s="85">
        <f>ROUNDDOWN($L$8/(H12+5),0)</f>
        <v>7</v>
      </c>
      <c r="O12" s="85">
        <f t="shared" ref="O12:O13" si="3">$L$8-((H12+5)*N12)</f>
        <v>142</v>
      </c>
      <c r="P12" s="47" t="s">
        <v>56</v>
      </c>
    </row>
    <row r="13" spans="1:44" ht="36" customHeight="1">
      <c r="A13" s="114"/>
      <c r="B13" s="112"/>
      <c r="C13" s="116"/>
      <c r="D13" s="112"/>
      <c r="E13" s="116"/>
      <c r="F13" s="28">
        <f>4*$G$6</f>
        <v>4</v>
      </c>
      <c r="G13" s="36" t="s">
        <v>53</v>
      </c>
      <c r="H13" s="47">
        <f>(($D$6-46)/2)-1</f>
        <v>1420</v>
      </c>
      <c r="I13" s="107"/>
      <c r="J13" s="91"/>
      <c r="K13" s="85">
        <f t="shared" si="1"/>
        <v>5680</v>
      </c>
      <c r="L13" s="86">
        <f t="shared" si="2"/>
        <v>1</v>
      </c>
      <c r="M13" s="109"/>
      <c r="N13" s="85">
        <f t="shared" ref="N13" si="4">ROUNDDOWN($L$8/(H13+5),0)</f>
        <v>4</v>
      </c>
      <c r="O13" s="85">
        <f t="shared" si="3"/>
        <v>700</v>
      </c>
      <c r="P13" s="47" t="s">
        <v>52</v>
      </c>
    </row>
    <row r="14" spans="1:44" ht="90" customHeight="1">
      <c r="A14" s="96">
        <v>4</v>
      </c>
      <c r="B14" s="26" t="s">
        <v>37</v>
      </c>
      <c r="C14" s="25"/>
      <c r="D14" s="37" t="s">
        <v>135</v>
      </c>
      <c r="E14" s="27">
        <v>5.0999999999999997E-2</v>
      </c>
      <c r="F14" s="28">
        <f>2*$G$6</f>
        <v>2</v>
      </c>
      <c r="G14" s="37" t="s">
        <v>58</v>
      </c>
      <c r="H14" s="49">
        <f>$F$6-132</f>
        <v>911</v>
      </c>
      <c r="I14" s="94">
        <f t="shared" si="0"/>
        <v>1</v>
      </c>
      <c r="J14" s="91"/>
      <c r="K14" s="85">
        <f>F14*H14</f>
        <v>1822</v>
      </c>
      <c r="L14" s="86">
        <f>IF(N14&gt;F14,ROUNDUP(F14/N14,0),IF(N14&lt;F14,ROUNDUP(F14/N14,0),IF(N14=F14,F14/N14)))</f>
        <v>1</v>
      </c>
      <c r="M14" s="87">
        <f>L14</f>
        <v>1</v>
      </c>
      <c r="N14" s="85">
        <f>ROUNDDOWN($L$8/(H14+5),0)</f>
        <v>6</v>
      </c>
      <c r="O14" s="85">
        <f>$L$8-((H14+5)*N14)</f>
        <v>904</v>
      </c>
      <c r="P14" s="47" t="s">
        <v>56</v>
      </c>
    </row>
    <row r="15" spans="1:44" ht="90" customHeight="1">
      <c r="A15" s="96">
        <v>5</v>
      </c>
      <c r="B15" s="26" t="s">
        <v>38</v>
      </c>
      <c r="C15" s="25"/>
      <c r="D15" s="37" t="s">
        <v>136</v>
      </c>
      <c r="E15" s="27">
        <v>0.16700000000000001</v>
      </c>
      <c r="F15" s="28">
        <f>2*$G$6</f>
        <v>2</v>
      </c>
      <c r="G15" s="37" t="s">
        <v>59</v>
      </c>
      <c r="H15" s="49">
        <f>$F$6-112</f>
        <v>931</v>
      </c>
      <c r="I15" s="94">
        <f t="shared" si="0"/>
        <v>1</v>
      </c>
      <c r="J15" s="91"/>
      <c r="K15" s="85">
        <f>F15*H15</f>
        <v>1862</v>
      </c>
      <c r="L15" s="86">
        <f>IF(N15&gt;F15,ROUNDUP(F15/N15,0),IF(N15&lt;F15,ROUNDUP(F15/N15,0),IF(N15=F15,F15/N15)))</f>
        <v>1</v>
      </c>
      <c r="M15" s="87">
        <f>L15</f>
        <v>1</v>
      </c>
      <c r="N15" s="85">
        <f>ROUNDDOWN($L$8/(H15+5),0)</f>
        <v>6</v>
      </c>
      <c r="O15" s="85">
        <f>$L$8-((H15+5)*N15)</f>
        <v>784</v>
      </c>
      <c r="P15" s="47" t="s">
        <v>56</v>
      </c>
    </row>
    <row r="16" spans="1:44" ht="90" customHeight="1">
      <c r="A16" s="95">
        <v>6</v>
      </c>
      <c r="B16" s="26" t="s">
        <v>39</v>
      </c>
      <c r="C16" s="25"/>
      <c r="D16" s="37" t="s">
        <v>139</v>
      </c>
      <c r="E16" s="27">
        <v>0.72599999999999998</v>
      </c>
      <c r="F16" s="28">
        <f>1*$G$6</f>
        <v>1</v>
      </c>
      <c r="G16" s="37" t="s">
        <v>35</v>
      </c>
      <c r="H16" s="36">
        <f>$F$6-50</f>
        <v>993</v>
      </c>
      <c r="I16" s="94">
        <f t="shared" si="0"/>
        <v>1</v>
      </c>
      <c r="J16" s="89"/>
      <c r="K16" s="85">
        <f t="shared" ref="K16:K18" si="5">F16*H16</f>
        <v>993</v>
      </c>
      <c r="L16" s="86">
        <f t="shared" ref="L16:L18" si="6">IF(N16&gt;F16,ROUNDUP(F16/N16,0),IF(N16&lt;F16,ROUNDUP(F16/N16,0),IF(N16=F16,F16/N16)))</f>
        <v>1</v>
      </c>
      <c r="M16" s="87">
        <f t="shared" ref="M16:M18" si="7">L16</f>
        <v>1</v>
      </c>
      <c r="N16" s="85">
        <f t="shared" ref="N16:N18" si="8">ROUNDDOWN($L$8/(H16+5),0)</f>
        <v>6</v>
      </c>
      <c r="O16" s="85">
        <f t="shared" ref="O16:O18" si="9">$L$8-((H16+5)*N16)</f>
        <v>412</v>
      </c>
      <c r="P16" s="36"/>
    </row>
    <row r="17" spans="1:16" ht="90" customHeight="1">
      <c r="A17" s="95">
        <v>7</v>
      </c>
      <c r="B17" s="26" t="s">
        <v>40</v>
      </c>
      <c r="C17" s="25"/>
      <c r="D17" s="37" t="s">
        <v>138</v>
      </c>
      <c r="E17" s="27">
        <v>1.034</v>
      </c>
      <c r="F17" s="28">
        <f>2*$G$6</f>
        <v>2</v>
      </c>
      <c r="G17" s="37" t="s">
        <v>50</v>
      </c>
      <c r="H17" s="47">
        <f>$D$6-69</f>
        <v>2819</v>
      </c>
      <c r="I17" s="94">
        <f t="shared" si="0"/>
        <v>1</v>
      </c>
      <c r="J17" s="91"/>
      <c r="K17" s="85">
        <f t="shared" si="5"/>
        <v>5638</v>
      </c>
      <c r="L17" s="86">
        <f t="shared" si="6"/>
        <v>1</v>
      </c>
      <c r="M17" s="87">
        <f t="shared" si="7"/>
        <v>1</v>
      </c>
      <c r="N17" s="85">
        <f t="shared" si="8"/>
        <v>2</v>
      </c>
      <c r="O17" s="85">
        <f t="shared" si="9"/>
        <v>752</v>
      </c>
      <c r="P17" s="47" t="s">
        <v>51</v>
      </c>
    </row>
    <row r="18" spans="1:16" ht="90" customHeight="1">
      <c r="A18" s="97">
        <v>8</v>
      </c>
      <c r="B18" s="98" t="s">
        <v>63</v>
      </c>
      <c r="C18" s="99"/>
      <c r="D18" s="100" t="s">
        <v>137</v>
      </c>
      <c r="E18" s="101">
        <v>0.84699999999999998</v>
      </c>
      <c r="F18" s="102">
        <f>2*$G$6</f>
        <v>2</v>
      </c>
      <c r="G18" s="100" t="s">
        <v>41</v>
      </c>
      <c r="H18" s="103">
        <f>$D$6</f>
        <v>2888</v>
      </c>
      <c r="I18" s="104">
        <f t="shared" si="0"/>
        <v>1</v>
      </c>
      <c r="J18" s="89"/>
      <c r="K18" s="85">
        <f t="shared" si="5"/>
        <v>5776</v>
      </c>
      <c r="L18" s="86">
        <f t="shared" si="6"/>
        <v>1</v>
      </c>
      <c r="M18" s="87">
        <f t="shared" si="7"/>
        <v>1</v>
      </c>
      <c r="N18" s="85">
        <f t="shared" si="8"/>
        <v>2</v>
      </c>
      <c r="O18" s="85">
        <f t="shared" si="9"/>
        <v>614</v>
      </c>
      <c r="P18" s="36"/>
    </row>
    <row r="19" spans="1:16" ht="90" hidden="1" customHeight="1">
      <c r="A19" s="81"/>
      <c r="B19" s="80" t="s">
        <v>61</v>
      </c>
      <c r="C19" s="81"/>
      <c r="D19" s="36"/>
      <c r="E19" s="28"/>
      <c r="F19" s="28"/>
      <c r="G19" s="36"/>
      <c r="H19" s="36"/>
      <c r="I19" s="36"/>
      <c r="J19" s="36"/>
      <c r="K19" s="28"/>
      <c r="L19" s="28"/>
      <c r="M19" s="28"/>
      <c r="N19" s="28"/>
      <c r="O19" s="28"/>
    </row>
    <row r="20" spans="1:16" ht="39.75" hidden="1" customHeight="1">
      <c r="A20" s="25"/>
      <c r="B20" s="26" t="s">
        <v>62</v>
      </c>
      <c r="C20" s="25"/>
      <c r="D20" s="37"/>
      <c r="E20" s="27"/>
      <c r="F20" s="28"/>
      <c r="G20" s="37"/>
      <c r="H20" s="36"/>
      <c r="I20" s="36"/>
      <c r="J20" s="36"/>
      <c r="K20" s="28"/>
      <c r="L20" s="28"/>
      <c r="M20" s="28"/>
      <c r="N20" s="28"/>
      <c r="O20" s="28"/>
    </row>
    <row r="22" spans="1:16" ht="26.25">
      <c r="A22" s="110"/>
      <c r="B22" s="110"/>
      <c r="C22" s="110"/>
      <c r="D22" s="110"/>
      <c r="E22" s="110"/>
    </row>
  </sheetData>
  <sheetProtection algorithmName="SHA-512" hashValue="u0Oq5s9UHyyo4R6pnEoyyyx4soQDGgX2EFlmqmSx6/ucBjYp1SoZ2dG7KwpkXSHxHulGV5t3KcCs+rpUuIsHOg==" saltValue="NMcgk5TlUgfaxxKaLMAnZw==" spinCount="100000" sheet="1" objects="1" scenarios="1"/>
  <mergeCells count="10">
    <mergeCell ref="L7:M7"/>
    <mergeCell ref="I12:I13"/>
    <mergeCell ref="M12:M13"/>
    <mergeCell ref="A22:E22"/>
    <mergeCell ref="A4:E4"/>
    <mergeCell ref="D12:D13"/>
    <mergeCell ref="B12:B13"/>
    <mergeCell ref="A12:A13"/>
    <mergeCell ref="C12:C13"/>
    <mergeCell ref="E12:E13"/>
  </mergeCells>
  <pageMargins left="0.11811023622047245" right="0" top="0.15748031496062992" bottom="0.15748031496062992" header="0.31496062992125984" footer="0.31496062992125984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35"/>
  <sheetViews>
    <sheetView showGridLines="0" view="pageBreakPreview" zoomScale="150" zoomScaleNormal="100" zoomScaleSheetLayoutView="150" workbookViewId="0">
      <pane ySplit="3" topLeftCell="A4" activePane="bottomLeft" state="frozen"/>
      <selection pane="bottomLeft" activeCell="F6" sqref="F6"/>
    </sheetView>
  </sheetViews>
  <sheetFormatPr defaultRowHeight="12.75"/>
  <cols>
    <col min="1" max="1" width="3.42578125" style="50" customWidth="1"/>
    <col min="2" max="2" width="8.7109375" style="50" customWidth="1"/>
    <col min="3" max="3" width="9.7109375" style="50" customWidth="1"/>
    <col min="4" max="4" width="34.28515625" style="51" customWidth="1"/>
    <col min="5" max="6" width="4.7109375" style="51" customWidth="1"/>
    <col min="7" max="8" width="8.5703125" style="51" customWidth="1"/>
    <col min="9" max="9" width="15.5703125" style="51" customWidth="1"/>
    <col min="10" max="12" width="16.28515625" style="51" customWidth="1"/>
    <col min="13" max="242" width="9.140625" style="51"/>
    <col min="243" max="244" width="13.28515625" style="51" customWidth="1"/>
    <col min="245" max="245" width="8.42578125" style="51" customWidth="1"/>
    <col min="246" max="246" width="9.7109375" style="51" customWidth="1"/>
    <col min="247" max="247" width="18.7109375" style="51" customWidth="1"/>
    <col min="248" max="249" width="4.7109375" style="51" customWidth="1"/>
    <col min="250" max="258" width="0" style="51" hidden="1" customWidth="1"/>
    <col min="259" max="261" width="10.28515625" style="51" customWidth="1"/>
    <col min="262" max="262" width="11" style="51" customWidth="1"/>
    <col min="263" max="263" width="36" style="51" customWidth="1"/>
    <col min="264" max="264" width="11.5703125" style="51" customWidth="1"/>
    <col min="265" max="265" width="15.5703125" style="51" customWidth="1"/>
    <col min="266" max="268" width="16.28515625" style="51" customWidth="1"/>
    <col min="269" max="498" width="9.140625" style="51"/>
    <col min="499" max="500" width="13.28515625" style="51" customWidth="1"/>
    <col min="501" max="501" width="8.42578125" style="51" customWidth="1"/>
    <col min="502" max="502" width="9.7109375" style="51" customWidth="1"/>
    <col min="503" max="503" width="18.7109375" style="51" customWidth="1"/>
    <col min="504" max="505" width="4.7109375" style="51" customWidth="1"/>
    <col min="506" max="514" width="0" style="51" hidden="1" customWidth="1"/>
    <col min="515" max="517" width="10.28515625" style="51" customWidth="1"/>
    <col min="518" max="518" width="11" style="51" customWidth="1"/>
    <col min="519" max="519" width="36" style="51" customWidth="1"/>
    <col min="520" max="520" width="11.5703125" style="51" customWidth="1"/>
    <col min="521" max="521" width="15.5703125" style="51" customWidth="1"/>
    <col min="522" max="524" width="16.28515625" style="51" customWidth="1"/>
    <col min="525" max="754" width="9.140625" style="51"/>
    <col min="755" max="756" width="13.28515625" style="51" customWidth="1"/>
    <col min="757" max="757" width="8.42578125" style="51" customWidth="1"/>
    <col min="758" max="758" width="9.7109375" style="51" customWidth="1"/>
    <col min="759" max="759" width="18.7109375" style="51" customWidth="1"/>
    <col min="760" max="761" width="4.7109375" style="51" customWidth="1"/>
    <col min="762" max="770" width="0" style="51" hidden="1" customWidth="1"/>
    <col min="771" max="773" width="10.28515625" style="51" customWidth="1"/>
    <col min="774" max="774" width="11" style="51" customWidth="1"/>
    <col min="775" max="775" width="36" style="51" customWidth="1"/>
    <col min="776" max="776" width="11.5703125" style="51" customWidth="1"/>
    <col min="777" max="777" width="15.5703125" style="51" customWidth="1"/>
    <col min="778" max="780" width="16.28515625" style="51" customWidth="1"/>
    <col min="781" max="1010" width="9.140625" style="51"/>
    <col min="1011" max="1012" width="13.28515625" style="51" customWidth="1"/>
    <col min="1013" max="1013" width="8.42578125" style="51" customWidth="1"/>
    <col min="1014" max="1014" width="9.7109375" style="51" customWidth="1"/>
    <col min="1015" max="1015" width="18.7109375" style="51" customWidth="1"/>
    <col min="1016" max="1017" width="4.7109375" style="51" customWidth="1"/>
    <col min="1018" max="1026" width="0" style="51" hidden="1" customWidth="1"/>
    <col min="1027" max="1029" width="10.28515625" style="51" customWidth="1"/>
    <col min="1030" max="1030" width="11" style="51" customWidth="1"/>
    <col min="1031" max="1031" width="36" style="51" customWidth="1"/>
    <col min="1032" max="1032" width="11.5703125" style="51" customWidth="1"/>
    <col min="1033" max="1033" width="15.5703125" style="51" customWidth="1"/>
    <col min="1034" max="1036" width="16.28515625" style="51" customWidth="1"/>
    <col min="1037" max="1266" width="9.140625" style="51"/>
    <col min="1267" max="1268" width="13.28515625" style="51" customWidth="1"/>
    <col min="1269" max="1269" width="8.42578125" style="51" customWidth="1"/>
    <col min="1270" max="1270" width="9.7109375" style="51" customWidth="1"/>
    <col min="1271" max="1271" width="18.7109375" style="51" customWidth="1"/>
    <col min="1272" max="1273" width="4.7109375" style="51" customWidth="1"/>
    <col min="1274" max="1282" width="0" style="51" hidden="1" customWidth="1"/>
    <col min="1283" max="1285" width="10.28515625" style="51" customWidth="1"/>
    <col min="1286" max="1286" width="11" style="51" customWidth="1"/>
    <col min="1287" max="1287" width="36" style="51" customWidth="1"/>
    <col min="1288" max="1288" width="11.5703125" style="51" customWidth="1"/>
    <col min="1289" max="1289" width="15.5703125" style="51" customWidth="1"/>
    <col min="1290" max="1292" width="16.28515625" style="51" customWidth="1"/>
    <col min="1293" max="1522" width="9.140625" style="51"/>
    <col min="1523" max="1524" width="13.28515625" style="51" customWidth="1"/>
    <col min="1525" max="1525" width="8.42578125" style="51" customWidth="1"/>
    <col min="1526" max="1526" width="9.7109375" style="51" customWidth="1"/>
    <col min="1527" max="1527" width="18.7109375" style="51" customWidth="1"/>
    <col min="1528" max="1529" width="4.7109375" style="51" customWidth="1"/>
    <col min="1530" max="1538" width="0" style="51" hidden="1" customWidth="1"/>
    <col min="1539" max="1541" width="10.28515625" style="51" customWidth="1"/>
    <col min="1542" max="1542" width="11" style="51" customWidth="1"/>
    <col min="1543" max="1543" width="36" style="51" customWidth="1"/>
    <col min="1544" max="1544" width="11.5703125" style="51" customWidth="1"/>
    <col min="1545" max="1545" width="15.5703125" style="51" customWidth="1"/>
    <col min="1546" max="1548" width="16.28515625" style="51" customWidth="1"/>
    <col min="1549" max="1778" width="9.140625" style="51"/>
    <col min="1779" max="1780" width="13.28515625" style="51" customWidth="1"/>
    <col min="1781" max="1781" width="8.42578125" style="51" customWidth="1"/>
    <col min="1782" max="1782" width="9.7109375" style="51" customWidth="1"/>
    <col min="1783" max="1783" width="18.7109375" style="51" customWidth="1"/>
    <col min="1784" max="1785" width="4.7109375" style="51" customWidth="1"/>
    <col min="1786" max="1794" width="0" style="51" hidden="1" customWidth="1"/>
    <col min="1795" max="1797" width="10.28515625" style="51" customWidth="1"/>
    <col min="1798" max="1798" width="11" style="51" customWidth="1"/>
    <col min="1799" max="1799" width="36" style="51" customWidth="1"/>
    <col min="1800" max="1800" width="11.5703125" style="51" customWidth="1"/>
    <col min="1801" max="1801" width="15.5703125" style="51" customWidth="1"/>
    <col min="1802" max="1804" width="16.28515625" style="51" customWidth="1"/>
    <col min="1805" max="2034" width="9.140625" style="51"/>
    <col min="2035" max="2036" width="13.28515625" style="51" customWidth="1"/>
    <col min="2037" max="2037" width="8.42578125" style="51" customWidth="1"/>
    <col min="2038" max="2038" width="9.7109375" style="51" customWidth="1"/>
    <col min="2039" max="2039" width="18.7109375" style="51" customWidth="1"/>
    <col min="2040" max="2041" width="4.7109375" style="51" customWidth="1"/>
    <col min="2042" max="2050" width="0" style="51" hidden="1" customWidth="1"/>
    <col min="2051" max="2053" width="10.28515625" style="51" customWidth="1"/>
    <col min="2054" max="2054" width="11" style="51" customWidth="1"/>
    <col min="2055" max="2055" width="36" style="51" customWidth="1"/>
    <col min="2056" max="2056" width="11.5703125" style="51" customWidth="1"/>
    <col min="2057" max="2057" width="15.5703125" style="51" customWidth="1"/>
    <col min="2058" max="2060" width="16.28515625" style="51" customWidth="1"/>
    <col min="2061" max="2290" width="9.140625" style="51"/>
    <col min="2291" max="2292" width="13.28515625" style="51" customWidth="1"/>
    <col min="2293" max="2293" width="8.42578125" style="51" customWidth="1"/>
    <col min="2294" max="2294" width="9.7109375" style="51" customWidth="1"/>
    <col min="2295" max="2295" width="18.7109375" style="51" customWidth="1"/>
    <col min="2296" max="2297" width="4.7109375" style="51" customWidth="1"/>
    <col min="2298" max="2306" width="0" style="51" hidden="1" customWidth="1"/>
    <col min="2307" max="2309" width="10.28515625" style="51" customWidth="1"/>
    <col min="2310" max="2310" width="11" style="51" customWidth="1"/>
    <col min="2311" max="2311" width="36" style="51" customWidth="1"/>
    <col min="2312" max="2312" width="11.5703125" style="51" customWidth="1"/>
    <col min="2313" max="2313" width="15.5703125" style="51" customWidth="1"/>
    <col min="2314" max="2316" width="16.28515625" style="51" customWidth="1"/>
    <col min="2317" max="2546" width="9.140625" style="51"/>
    <col min="2547" max="2548" width="13.28515625" style="51" customWidth="1"/>
    <col min="2549" max="2549" width="8.42578125" style="51" customWidth="1"/>
    <col min="2550" max="2550" width="9.7109375" style="51" customWidth="1"/>
    <col min="2551" max="2551" width="18.7109375" style="51" customWidth="1"/>
    <col min="2552" max="2553" width="4.7109375" style="51" customWidth="1"/>
    <col min="2554" max="2562" width="0" style="51" hidden="1" customWidth="1"/>
    <col min="2563" max="2565" width="10.28515625" style="51" customWidth="1"/>
    <col min="2566" max="2566" width="11" style="51" customWidth="1"/>
    <col min="2567" max="2567" width="36" style="51" customWidth="1"/>
    <col min="2568" max="2568" width="11.5703125" style="51" customWidth="1"/>
    <col min="2569" max="2569" width="15.5703125" style="51" customWidth="1"/>
    <col min="2570" max="2572" width="16.28515625" style="51" customWidth="1"/>
    <col min="2573" max="2802" width="9.140625" style="51"/>
    <col min="2803" max="2804" width="13.28515625" style="51" customWidth="1"/>
    <col min="2805" max="2805" width="8.42578125" style="51" customWidth="1"/>
    <col min="2806" max="2806" width="9.7109375" style="51" customWidth="1"/>
    <col min="2807" max="2807" width="18.7109375" style="51" customWidth="1"/>
    <col min="2808" max="2809" width="4.7109375" style="51" customWidth="1"/>
    <col min="2810" max="2818" width="0" style="51" hidden="1" customWidth="1"/>
    <col min="2819" max="2821" width="10.28515625" style="51" customWidth="1"/>
    <col min="2822" max="2822" width="11" style="51" customWidth="1"/>
    <col min="2823" max="2823" width="36" style="51" customWidth="1"/>
    <col min="2824" max="2824" width="11.5703125" style="51" customWidth="1"/>
    <col min="2825" max="2825" width="15.5703125" style="51" customWidth="1"/>
    <col min="2826" max="2828" width="16.28515625" style="51" customWidth="1"/>
    <col min="2829" max="3058" width="9.140625" style="51"/>
    <col min="3059" max="3060" width="13.28515625" style="51" customWidth="1"/>
    <col min="3061" max="3061" width="8.42578125" style="51" customWidth="1"/>
    <col min="3062" max="3062" width="9.7109375" style="51" customWidth="1"/>
    <col min="3063" max="3063" width="18.7109375" style="51" customWidth="1"/>
    <col min="3064" max="3065" width="4.7109375" style="51" customWidth="1"/>
    <col min="3066" max="3074" width="0" style="51" hidden="1" customWidth="1"/>
    <col min="3075" max="3077" width="10.28515625" style="51" customWidth="1"/>
    <col min="3078" max="3078" width="11" style="51" customWidth="1"/>
    <col min="3079" max="3079" width="36" style="51" customWidth="1"/>
    <col min="3080" max="3080" width="11.5703125" style="51" customWidth="1"/>
    <col min="3081" max="3081" width="15.5703125" style="51" customWidth="1"/>
    <col min="3082" max="3084" width="16.28515625" style="51" customWidth="1"/>
    <col min="3085" max="3314" width="9.140625" style="51"/>
    <col min="3315" max="3316" width="13.28515625" style="51" customWidth="1"/>
    <col min="3317" max="3317" width="8.42578125" style="51" customWidth="1"/>
    <col min="3318" max="3318" width="9.7109375" style="51" customWidth="1"/>
    <col min="3319" max="3319" width="18.7109375" style="51" customWidth="1"/>
    <col min="3320" max="3321" width="4.7109375" style="51" customWidth="1"/>
    <col min="3322" max="3330" width="0" style="51" hidden="1" customWidth="1"/>
    <col min="3331" max="3333" width="10.28515625" style="51" customWidth="1"/>
    <col min="3334" max="3334" width="11" style="51" customWidth="1"/>
    <col min="3335" max="3335" width="36" style="51" customWidth="1"/>
    <col min="3336" max="3336" width="11.5703125" style="51" customWidth="1"/>
    <col min="3337" max="3337" width="15.5703125" style="51" customWidth="1"/>
    <col min="3338" max="3340" width="16.28515625" style="51" customWidth="1"/>
    <col min="3341" max="3570" width="9.140625" style="51"/>
    <col min="3571" max="3572" width="13.28515625" style="51" customWidth="1"/>
    <col min="3573" max="3573" width="8.42578125" style="51" customWidth="1"/>
    <col min="3574" max="3574" width="9.7109375" style="51" customWidth="1"/>
    <col min="3575" max="3575" width="18.7109375" style="51" customWidth="1"/>
    <col min="3576" max="3577" width="4.7109375" style="51" customWidth="1"/>
    <col min="3578" max="3586" width="0" style="51" hidden="1" customWidth="1"/>
    <col min="3587" max="3589" width="10.28515625" style="51" customWidth="1"/>
    <col min="3590" max="3590" width="11" style="51" customWidth="1"/>
    <col min="3591" max="3591" width="36" style="51" customWidth="1"/>
    <col min="3592" max="3592" width="11.5703125" style="51" customWidth="1"/>
    <col min="3593" max="3593" width="15.5703125" style="51" customWidth="1"/>
    <col min="3594" max="3596" width="16.28515625" style="51" customWidth="1"/>
    <col min="3597" max="3826" width="9.140625" style="51"/>
    <col min="3827" max="3828" width="13.28515625" style="51" customWidth="1"/>
    <col min="3829" max="3829" width="8.42578125" style="51" customWidth="1"/>
    <col min="3830" max="3830" width="9.7109375" style="51" customWidth="1"/>
    <col min="3831" max="3831" width="18.7109375" style="51" customWidth="1"/>
    <col min="3832" max="3833" width="4.7109375" style="51" customWidth="1"/>
    <col min="3834" max="3842" width="0" style="51" hidden="1" customWidth="1"/>
    <col min="3843" max="3845" width="10.28515625" style="51" customWidth="1"/>
    <col min="3846" max="3846" width="11" style="51" customWidth="1"/>
    <col min="3847" max="3847" width="36" style="51" customWidth="1"/>
    <col min="3848" max="3848" width="11.5703125" style="51" customWidth="1"/>
    <col min="3849" max="3849" width="15.5703125" style="51" customWidth="1"/>
    <col min="3850" max="3852" width="16.28515625" style="51" customWidth="1"/>
    <col min="3853" max="4082" width="9.140625" style="51"/>
    <col min="4083" max="4084" width="13.28515625" style="51" customWidth="1"/>
    <col min="4085" max="4085" width="8.42578125" style="51" customWidth="1"/>
    <col min="4086" max="4086" width="9.7109375" style="51" customWidth="1"/>
    <col min="4087" max="4087" width="18.7109375" style="51" customWidth="1"/>
    <col min="4088" max="4089" width="4.7109375" style="51" customWidth="1"/>
    <col min="4090" max="4098" width="0" style="51" hidden="1" customWidth="1"/>
    <col min="4099" max="4101" width="10.28515625" style="51" customWidth="1"/>
    <col min="4102" max="4102" width="11" style="51" customWidth="1"/>
    <col min="4103" max="4103" width="36" style="51" customWidth="1"/>
    <col min="4104" max="4104" width="11.5703125" style="51" customWidth="1"/>
    <col min="4105" max="4105" width="15.5703125" style="51" customWidth="1"/>
    <col min="4106" max="4108" width="16.28515625" style="51" customWidth="1"/>
    <col min="4109" max="4338" width="9.140625" style="51"/>
    <col min="4339" max="4340" width="13.28515625" style="51" customWidth="1"/>
    <col min="4341" max="4341" width="8.42578125" style="51" customWidth="1"/>
    <col min="4342" max="4342" width="9.7109375" style="51" customWidth="1"/>
    <col min="4343" max="4343" width="18.7109375" style="51" customWidth="1"/>
    <col min="4344" max="4345" width="4.7109375" style="51" customWidth="1"/>
    <col min="4346" max="4354" width="0" style="51" hidden="1" customWidth="1"/>
    <col min="4355" max="4357" width="10.28515625" style="51" customWidth="1"/>
    <col min="4358" max="4358" width="11" style="51" customWidth="1"/>
    <col min="4359" max="4359" width="36" style="51" customWidth="1"/>
    <col min="4360" max="4360" width="11.5703125" style="51" customWidth="1"/>
    <col min="4361" max="4361" width="15.5703125" style="51" customWidth="1"/>
    <col min="4362" max="4364" width="16.28515625" style="51" customWidth="1"/>
    <col min="4365" max="4594" width="9.140625" style="51"/>
    <col min="4595" max="4596" width="13.28515625" style="51" customWidth="1"/>
    <col min="4597" max="4597" width="8.42578125" style="51" customWidth="1"/>
    <col min="4598" max="4598" width="9.7109375" style="51" customWidth="1"/>
    <col min="4599" max="4599" width="18.7109375" style="51" customWidth="1"/>
    <col min="4600" max="4601" width="4.7109375" style="51" customWidth="1"/>
    <col min="4602" max="4610" width="0" style="51" hidden="1" customWidth="1"/>
    <col min="4611" max="4613" width="10.28515625" style="51" customWidth="1"/>
    <col min="4614" max="4614" width="11" style="51" customWidth="1"/>
    <col min="4615" max="4615" width="36" style="51" customWidth="1"/>
    <col min="4616" max="4616" width="11.5703125" style="51" customWidth="1"/>
    <col min="4617" max="4617" width="15.5703125" style="51" customWidth="1"/>
    <col min="4618" max="4620" width="16.28515625" style="51" customWidth="1"/>
    <col min="4621" max="4850" width="9.140625" style="51"/>
    <col min="4851" max="4852" width="13.28515625" style="51" customWidth="1"/>
    <col min="4853" max="4853" width="8.42578125" style="51" customWidth="1"/>
    <col min="4854" max="4854" width="9.7109375" style="51" customWidth="1"/>
    <col min="4855" max="4855" width="18.7109375" style="51" customWidth="1"/>
    <col min="4856" max="4857" width="4.7109375" style="51" customWidth="1"/>
    <col min="4858" max="4866" width="0" style="51" hidden="1" customWidth="1"/>
    <col min="4867" max="4869" width="10.28515625" style="51" customWidth="1"/>
    <col min="4870" max="4870" width="11" style="51" customWidth="1"/>
    <col min="4871" max="4871" width="36" style="51" customWidth="1"/>
    <col min="4872" max="4872" width="11.5703125" style="51" customWidth="1"/>
    <col min="4873" max="4873" width="15.5703125" style="51" customWidth="1"/>
    <col min="4874" max="4876" width="16.28515625" style="51" customWidth="1"/>
    <col min="4877" max="5106" width="9.140625" style="51"/>
    <col min="5107" max="5108" width="13.28515625" style="51" customWidth="1"/>
    <col min="5109" max="5109" width="8.42578125" style="51" customWidth="1"/>
    <col min="5110" max="5110" width="9.7109375" style="51" customWidth="1"/>
    <col min="5111" max="5111" width="18.7109375" style="51" customWidth="1"/>
    <col min="5112" max="5113" width="4.7109375" style="51" customWidth="1"/>
    <col min="5114" max="5122" width="0" style="51" hidden="1" customWidth="1"/>
    <col min="5123" max="5125" width="10.28515625" style="51" customWidth="1"/>
    <col min="5126" max="5126" width="11" style="51" customWidth="1"/>
    <col min="5127" max="5127" width="36" style="51" customWidth="1"/>
    <col min="5128" max="5128" width="11.5703125" style="51" customWidth="1"/>
    <col min="5129" max="5129" width="15.5703125" style="51" customWidth="1"/>
    <col min="5130" max="5132" width="16.28515625" style="51" customWidth="1"/>
    <col min="5133" max="5362" width="9.140625" style="51"/>
    <col min="5363" max="5364" width="13.28515625" style="51" customWidth="1"/>
    <col min="5365" max="5365" width="8.42578125" style="51" customWidth="1"/>
    <col min="5366" max="5366" width="9.7109375" style="51" customWidth="1"/>
    <col min="5367" max="5367" width="18.7109375" style="51" customWidth="1"/>
    <col min="5368" max="5369" width="4.7109375" style="51" customWidth="1"/>
    <col min="5370" max="5378" width="0" style="51" hidden="1" customWidth="1"/>
    <col min="5379" max="5381" width="10.28515625" style="51" customWidth="1"/>
    <col min="5382" max="5382" width="11" style="51" customWidth="1"/>
    <col min="5383" max="5383" width="36" style="51" customWidth="1"/>
    <col min="5384" max="5384" width="11.5703125" style="51" customWidth="1"/>
    <col min="5385" max="5385" width="15.5703125" style="51" customWidth="1"/>
    <col min="5386" max="5388" width="16.28515625" style="51" customWidth="1"/>
    <col min="5389" max="5618" width="9.140625" style="51"/>
    <col min="5619" max="5620" width="13.28515625" style="51" customWidth="1"/>
    <col min="5621" max="5621" width="8.42578125" style="51" customWidth="1"/>
    <col min="5622" max="5622" width="9.7109375" style="51" customWidth="1"/>
    <col min="5623" max="5623" width="18.7109375" style="51" customWidth="1"/>
    <col min="5624" max="5625" width="4.7109375" style="51" customWidth="1"/>
    <col min="5626" max="5634" width="0" style="51" hidden="1" customWidth="1"/>
    <col min="5635" max="5637" width="10.28515625" style="51" customWidth="1"/>
    <col min="5638" max="5638" width="11" style="51" customWidth="1"/>
    <col min="5639" max="5639" width="36" style="51" customWidth="1"/>
    <col min="5640" max="5640" width="11.5703125" style="51" customWidth="1"/>
    <col min="5641" max="5641" width="15.5703125" style="51" customWidth="1"/>
    <col min="5642" max="5644" width="16.28515625" style="51" customWidth="1"/>
    <col min="5645" max="5874" width="9.140625" style="51"/>
    <col min="5875" max="5876" width="13.28515625" style="51" customWidth="1"/>
    <col min="5877" max="5877" width="8.42578125" style="51" customWidth="1"/>
    <col min="5878" max="5878" width="9.7109375" style="51" customWidth="1"/>
    <col min="5879" max="5879" width="18.7109375" style="51" customWidth="1"/>
    <col min="5880" max="5881" width="4.7109375" style="51" customWidth="1"/>
    <col min="5882" max="5890" width="0" style="51" hidden="1" customWidth="1"/>
    <col min="5891" max="5893" width="10.28515625" style="51" customWidth="1"/>
    <col min="5894" max="5894" width="11" style="51" customWidth="1"/>
    <col min="5895" max="5895" width="36" style="51" customWidth="1"/>
    <col min="5896" max="5896" width="11.5703125" style="51" customWidth="1"/>
    <col min="5897" max="5897" width="15.5703125" style="51" customWidth="1"/>
    <col min="5898" max="5900" width="16.28515625" style="51" customWidth="1"/>
    <col min="5901" max="6130" width="9.140625" style="51"/>
    <col min="6131" max="6132" width="13.28515625" style="51" customWidth="1"/>
    <col min="6133" max="6133" width="8.42578125" style="51" customWidth="1"/>
    <col min="6134" max="6134" width="9.7109375" style="51" customWidth="1"/>
    <col min="6135" max="6135" width="18.7109375" style="51" customWidth="1"/>
    <col min="6136" max="6137" width="4.7109375" style="51" customWidth="1"/>
    <col min="6138" max="6146" width="0" style="51" hidden="1" customWidth="1"/>
    <col min="6147" max="6149" width="10.28515625" style="51" customWidth="1"/>
    <col min="6150" max="6150" width="11" style="51" customWidth="1"/>
    <col min="6151" max="6151" width="36" style="51" customWidth="1"/>
    <col min="6152" max="6152" width="11.5703125" style="51" customWidth="1"/>
    <col min="6153" max="6153" width="15.5703125" style="51" customWidth="1"/>
    <col min="6154" max="6156" width="16.28515625" style="51" customWidth="1"/>
    <col min="6157" max="6386" width="9.140625" style="51"/>
    <col min="6387" max="6388" width="13.28515625" style="51" customWidth="1"/>
    <col min="6389" max="6389" width="8.42578125" style="51" customWidth="1"/>
    <col min="6390" max="6390" width="9.7109375" style="51" customWidth="1"/>
    <col min="6391" max="6391" width="18.7109375" style="51" customWidth="1"/>
    <col min="6392" max="6393" width="4.7109375" style="51" customWidth="1"/>
    <col min="6394" max="6402" width="0" style="51" hidden="1" customWidth="1"/>
    <col min="6403" max="6405" width="10.28515625" style="51" customWidth="1"/>
    <col min="6406" max="6406" width="11" style="51" customWidth="1"/>
    <col min="6407" max="6407" width="36" style="51" customWidth="1"/>
    <col min="6408" max="6408" width="11.5703125" style="51" customWidth="1"/>
    <col min="6409" max="6409" width="15.5703125" style="51" customWidth="1"/>
    <col min="6410" max="6412" width="16.28515625" style="51" customWidth="1"/>
    <col min="6413" max="6642" width="9.140625" style="51"/>
    <col min="6643" max="6644" width="13.28515625" style="51" customWidth="1"/>
    <col min="6645" max="6645" width="8.42578125" style="51" customWidth="1"/>
    <col min="6646" max="6646" width="9.7109375" style="51" customWidth="1"/>
    <col min="6647" max="6647" width="18.7109375" style="51" customWidth="1"/>
    <col min="6648" max="6649" width="4.7109375" style="51" customWidth="1"/>
    <col min="6650" max="6658" width="0" style="51" hidden="1" customWidth="1"/>
    <col min="6659" max="6661" width="10.28515625" style="51" customWidth="1"/>
    <col min="6662" max="6662" width="11" style="51" customWidth="1"/>
    <col min="6663" max="6663" width="36" style="51" customWidth="1"/>
    <col min="6664" max="6664" width="11.5703125" style="51" customWidth="1"/>
    <col min="6665" max="6665" width="15.5703125" style="51" customWidth="1"/>
    <col min="6666" max="6668" width="16.28515625" style="51" customWidth="1"/>
    <col min="6669" max="6898" width="9.140625" style="51"/>
    <col min="6899" max="6900" width="13.28515625" style="51" customWidth="1"/>
    <col min="6901" max="6901" width="8.42578125" style="51" customWidth="1"/>
    <col min="6902" max="6902" width="9.7109375" style="51" customWidth="1"/>
    <col min="6903" max="6903" width="18.7109375" style="51" customWidth="1"/>
    <col min="6904" max="6905" width="4.7109375" style="51" customWidth="1"/>
    <col min="6906" max="6914" width="0" style="51" hidden="1" customWidth="1"/>
    <col min="6915" max="6917" width="10.28515625" style="51" customWidth="1"/>
    <col min="6918" max="6918" width="11" style="51" customWidth="1"/>
    <col min="6919" max="6919" width="36" style="51" customWidth="1"/>
    <col min="6920" max="6920" width="11.5703125" style="51" customWidth="1"/>
    <col min="6921" max="6921" width="15.5703125" style="51" customWidth="1"/>
    <col min="6922" max="6924" width="16.28515625" style="51" customWidth="1"/>
    <col min="6925" max="7154" width="9.140625" style="51"/>
    <col min="7155" max="7156" width="13.28515625" style="51" customWidth="1"/>
    <col min="7157" max="7157" width="8.42578125" style="51" customWidth="1"/>
    <col min="7158" max="7158" width="9.7109375" style="51" customWidth="1"/>
    <col min="7159" max="7159" width="18.7109375" style="51" customWidth="1"/>
    <col min="7160" max="7161" width="4.7109375" style="51" customWidth="1"/>
    <col min="7162" max="7170" width="0" style="51" hidden="1" customWidth="1"/>
    <col min="7171" max="7173" width="10.28515625" style="51" customWidth="1"/>
    <col min="7174" max="7174" width="11" style="51" customWidth="1"/>
    <col min="7175" max="7175" width="36" style="51" customWidth="1"/>
    <col min="7176" max="7176" width="11.5703125" style="51" customWidth="1"/>
    <col min="7177" max="7177" width="15.5703125" style="51" customWidth="1"/>
    <col min="7178" max="7180" width="16.28515625" style="51" customWidth="1"/>
    <col min="7181" max="7410" width="9.140625" style="51"/>
    <col min="7411" max="7412" width="13.28515625" style="51" customWidth="1"/>
    <col min="7413" max="7413" width="8.42578125" style="51" customWidth="1"/>
    <col min="7414" max="7414" width="9.7109375" style="51" customWidth="1"/>
    <col min="7415" max="7415" width="18.7109375" style="51" customWidth="1"/>
    <col min="7416" max="7417" width="4.7109375" style="51" customWidth="1"/>
    <col min="7418" max="7426" width="0" style="51" hidden="1" customWidth="1"/>
    <col min="7427" max="7429" width="10.28515625" style="51" customWidth="1"/>
    <col min="7430" max="7430" width="11" style="51" customWidth="1"/>
    <col min="7431" max="7431" width="36" style="51" customWidth="1"/>
    <col min="7432" max="7432" width="11.5703125" style="51" customWidth="1"/>
    <col min="7433" max="7433" width="15.5703125" style="51" customWidth="1"/>
    <col min="7434" max="7436" width="16.28515625" style="51" customWidth="1"/>
    <col min="7437" max="7666" width="9.140625" style="51"/>
    <col min="7667" max="7668" width="13.28515625" style="51" customWidth="1"/>
    <col min="7669" max="7669" width="8.42578125" style="51" customWidth="1"/>
    <col min="7670" max="7670" width="9.7109375" style="51" customWidth="1"/>
    <col min="7671" max="7671" width="18.7109375" style="51" customWidth="1"/>
    <col min="7672" max="7673" width="4.7109375" style="51" customWidth="1"/>
    <col min="7674" max="7682" width="0" style="51" hidden="1" customWidth="1"/>
    <col min="7683" max="7685" width="10.28515625" style="51" customWidth="1"/>
    <col min="7686" max="7686" width="11" style="51" customWidth="1"/>
    <col min="7687" max="7687" width="36" style="51" customWidth="1"/>
    <col min="7688" max="7688" width="11.5703125" style="51" customWidth="1"/>
    <col min="7689" max="7689" width="15.5703125" style="51" customWidth="1"/>
    <col min="7690" max="7692" width="16.28515625" style="51" customWidth="1"/>
    <col min="7693" max="7922" width="9.140625" style="51"/>
    <col min="7923" max="7924" width="13.28515625" style="51" customWidth="1"/>
    <col min="7925" max="7925" width="8.42578125" style="51" customWidth="1"/>
    <col min="7926" max="7926" width="9.7109375" style="51" customWidth="1"/>
    <col min="7927" max="7927" width="18.7109375" style="51" customWidth="1"/>
    <col min="7928" max="7929" width="4.7109375" style="51" customWidth="1"/>
    <col min="7930" max="7938" width="0" style="51" hidden="1" customWidth="1"/>
    <col min="7939" max="7941" width="10.28515625" style="51" customWidth="1"/>
    <col min="7942" max="7942" width="11" style="51" customWidth="1"/>
    <col min="7943" max="7943" width="36" style="51" customWidth="1"/>
    <col min="7944" max="7944" width="11.5703125" style="51" customWidth="1"/>
    <col min="7945" max="7945" width="15.5703125" style="51" customWidth="1"/>
    <col min="7946" max="7948" width="16.28515625" style="51" customWidth="1"/>
    <col min="7949" max="8178" width="9.140625" style="51"/>
    <col min="8179" max="8180" width="13.28515625" style="51" customWidth="1"/>
    <col min="8181" max="8181" width="8.42578125" style="51" customWidth="1"/>
    <col min="8182" max="8182" width="9.7109375" style="51" customWidth="1"/>
    <col min="8183" max="8183" width="18.7109375" style="51" customWidth="1"/>
    <col min="8184" max="8185" width="4.7109375" style="51" customWidth="1"/>
    <col min="8186" max="8194" width="0" style="51" hidden="1" customWidth="1"/>
    <col min="8195" max="8197" width="10.28515625" style="51" customWidth="1"/>
    <col min="8198" max="8198" width="11" style="51" customWidth="1"/>
    <col min="8199" max="8199" width="36" style="51" customWidth="1"/>
    <col min="8200" max="8200" width="11.5703125" style="51" customWidth="1"/>
    <col min="8201" max="8201" width="15.5703125" style="51" customWidth="1"/>
    <col min="8202" max="8204" width="16.28515625" style="51" customWidth="1"/>
    <col min="8205" max="8434" width="9.140625" style="51"/>
    <col min="8435" max="8436" width="13.28515625" style="51" customWidth="1"/>
    <col min="8437" max="8437" width="8.42578125" style="51" customWidth="1"/>
    <col min="8438" max="8438" width="9.7109375" style="51" customWidth="1"/>
    <col min="8439" max="8439" width="18.7109375" style="51" customWidth="1"/>
    <col min="8440" max="8441" width="4.7109375" style="51" customWidth="1"/>
    <col min="8442" max="8450" width="0" style="51" hidden="1" customWidth="1"/>
    <col min="8451" max="8453" width="10.28515625" style="51" customWidth="1"/>
    <col min="8454" max="8454" width="11" style="51" customWidth="1"/>
    <col min="8455" max="8455" width="36" style="51" customWidth="1"/>
    <col min="8456" max="8456" width="11.5703125" style="51" customWidth="1"/>
    <col min="8457" max="8457" width="15.5703125" style="51" customWidth="1"/>
    <col min="8458" max="8460" width="16.28515625" style="51" customWidth="1"/>
    <col min="8461" max="8690" width="9.140625" style="51"/>
    <col min="8691" max="8692" width="13.28515625" style="51" customWidth="1"/>
    <col min="8693" max="8693" width="8.42578125" style="51" customWidth="1"/>
    <col min="8694" max="8694" width="9.7109375" style="51" customWidth="1"/>
    <col min="8695" max="8695" width="18.7109375" style="51" customWidth="1"/>
    <col min="8696" max="8697" width="4.7109375" style="51" customWidth="1"/>
    <col min="8698" max="8706" width="0" style="51" hidden="1" customWidth="1"/>
    <col min="8707" max="8709" width="10.28515625" style="51" customWidth="1"/>
    <col min="8710" max="8710" width="11" style="51" customWidth="1"/>
    <col min="8711" max="8711" width="36" style="51" customWidth="1"/>
    <col min="8712" max="8712" width="11.5703125" style="51" customWidth="1"/>
    <col min="8713" max="8713" width="15.5703125" style="51" customWidth="1"/>
    <col min="8714" max="8716" width="16.28515625" style="51" customWidth="1"/>
    <col min="8717" max="8946" width="9.140625" style="51"/>
    <col min="8947" max="8948" width="13.28515625" style="51" customWidth="1"/>
    <col min="8949" max="8949" width="8.42578125" style="51" customWidth="1"/>
    <col min="8950" max="8950" width="9.7109375" style="51" customWidth="1"/>
    <col min="8951" max="8951" width="18.7109375" style="51" customWidth="1"/>
    <col min="8952" max="8953" width="4.7109375" style="51" customWidth="1"/>
    <col min="8954" max="8962" width="0" style="51" hidden="1" customWidth="1"/>
    <col min="8963" max="8965" width="10.28515625" style="51" customWidth="1"/>
    <col min="8966" max="8966" width="11" style="51" customWidth="1"/>
    <col min="8967" max="8967" width="36" style="51" customWidth="1"/>
    <col min="8968" max="8968" width="11.5703125" style="51" customWidth="1"/>
    <col min="8969" max="8969" width="15.5703125" style="51" customWidth="1"/>
    <col min="8970" max="8972" width="16.28515625" style="51" customWidth="1"/>
    <col min="8973" max="9202" width="9.140625" style="51"/>
    <col min="9203" max="9204" width="13.28515625" style="51" customWidth="1"/>
    <col min="9205" max="9205" width="8.42578125" style="51" customWidth="1"/>
    <col min="9206" max="9206" width="9.7109375" style="51" customWidth="1"/>
    <col min="9207" max="9207" width="18.7109375" style="51" customWidth="1"/>
    <col min="9208" max="9209" width="4.7109375" style="51" customWidth="1"/>
    <col min="9210" max="9218" width="0" style="51" hidden="1" customWidth="1"/>
    <col min="9219" max="9221" width="10.28515625" style="51" customWidth="1"/>
    <col min="9222" max="9222" width="11" style="51" customWidth="1"/>
    <col min="9223" max="9223" width="36" style="51" customWidth="1"/>
    <col min="9224" max="9224" width="11.5703125" style="51" customWidth="1"/>
    <col min="9225" max="9225" width="15.5703125" style="51" customWidth="1"/>
    <col min="9226" max="9228" width="16.28515625" style="51" customWidth="1"/>
    <col min="9229" max="9458" width="9.140625" style="51"/>
    <col min="9459" max="9460" width="13.28515625" style="51" customWidth="1"/>
    <col min="9461" max="9461" width="8.42578125" style="51" customWidth="1"/>
    <col min="9462" max="9462" width="9.7109375" style="51" customWidth="1"/>
    <col min="9463" max="9463" width="18.7109375" style="51" customWidth="1"/>
    <col min="9464" max="9465" width="4.7109375" style="51" customWidth="1"/>
    <col min="9466" max="9474" width="0" style="51" hidden="1" customWidth="1"/>
    <col min="9475" max="9477" width="10.28515625" style="51" customWidth="1"/>
    <col min="9478" max="9478" width="11" style="51" customWidth="1"/>
    <col min="9479" max="9479" width="36" style="51" customWidth="1"/>
    <col min="9480" max="9480" width="11.5703125" style="51" customWidth="1"/>
    <col min="9481" max="9481" width="15.5703125" style="51" customWidth="1"/>
    <col min="9482" max="9484" width="16.28515625" style="51" customWidth="1"/>
    <col min="9485" max="9714" width="9.140625" style="51"/>
    <col min="9715" max="9716" width="13.28515625" style="51" customWidth="1"/>
    <col min="9717" max="9717" width="8.42578125" style="51" customWidth="1"/>
    <col min="9718" max="9718" width="9.7109375" style="51" customWidth="1"/>
    <col min="9719" max="9719" width="18.7109375" style="51" customWidth="1"/>
    <col min="9720" max="9721" width="4.7109375" style="51" customWidth="1"/>
    <col min="9722" max="9730" width="0" style="51" hidden="1" customWidth="1"/>
    <col min="9731" max="9733" width="10.28515625" style="51" customWidth="1"/>
    <col min="9734" max="9734" width="11" style="51" customWidth="1"/>
    <col min="9735" max="9735" width="36" style="51" customWidth="1"/>
    <col min="9736" max="9736" width="11.5703125" style="51" customWidth="1"/>
    <col min="9737" max="9737" width="15.5703125" style="51" customWidth="1"/>
    <col min="9738" max="9740" width="16.28515625" style="51" customWidth="1"/>
    <col min="9741" max="9970" width="9.140625" style="51"/>
    <col min="9971" max="9972" width="13.28515625" style="51" customWidth="1"/>
    <col min="9973" max="9973" width="8.42578125" style="51" customWidth="1"/>
    <col min="9974" max="9974" width="9.7109375" style="51" customWidth="1"/>
    <col min="9975" max="9975" width="18.7109375" style="51" customWidth="1"/>
    <col min="9976" max="9977" width="4.7109375" style="51" customWidth="1"/>
    <col min="9978" max="9986" width="0" style="51" hidden="1" customWidth="1"/>
    <col min="9987" max="9989" width="10.28515625" style="51" customWidth="1"/>
    <col min="9990" max="9990" width="11" style="51" customWidth="1"/>
    <col min="9991" max="9991" width="36" style="51" customWidth="1"/>
    <col min="9992" max="9992" width="11.5703125" style="51" customWidth="1"/>
    <col min="9993" max="9993" width="15.5703125" style="51" customWidth="1"/>
    <col min="9994" max="9996" width="16.28515625" style="51" customWidth="1"/>
    <col min="9997" max="10226" width="9.140625" style="51"/>
    <col min="10227" max="10228" width="13.28515625" style="51" customWidth="1"/>
    <col min="10229" max="10229" width="8.42578125" style="51" customWidth="1"/>
    <col min="10230" max="10230" width="9.7109375" style="51" customWidth="1"/>
    <col min="10231" max="10231" width="18.7109375" style="51" customWidth="1"/>
    <col min="10232" max="10233" width="4.7109375" style="51" customWidth="1"/>
    <col min="10234" max="10242" width="0" style="51" hidden="1" customWidth="1"/>
    <col min="10243" max="10245" width="10.28515625" style="51" customWidth="1"/>
    <col min="10246" max="10246" width="11" style="51" customWidth="1"/>
    <col min="10247" max="10247" width="36" style="51" customWidth="1"/>
    <col min="10248" max="10248" width="11.5703125" style="51" customWidth="1"/>
    <col min="10249" max="10249" width="15.5703125" style="51" customWidth="1"/>
    <col min="10250" max="10252" width="16.28515625" style="51" customWidth="1"/>
    <col min="10253" max="10482" width="9.140625" style="51"/>
    <col min="10483" max="10484" width="13.28515625" style="51" customWidth="1"/>
    <col min="10485" max="10485" width="8.42578125" style="51" customWidth="1"/>
    <col min="10486" max="10486" width="9.7109375" style="51" customWidth="1"/>
    <col min="10487" max="10487" width="18.7109375" style="51" customWidth="1"/>
    <col min="10488" max="10489" width="4.7109375" style="51" customWidth="1"/>
    <col min="10490" max="10498" width="0" style="51" hidden="1" customWidth="1"/>
    <col min="10499" max="10501" width="10.28515625" style="51" customWidth="1"/>
    <col min="10502" max="10502" width="11" style="51" customWidth="1"/>
    <col min="10503" max="10503" width="36" style="51" customWidth="1"/>
    <col min="10504" max="10504" width="11.5703125" style="51" customWidth="1"/>
    <col min="10505" max="10505" width="15.5703125" style="51" customWidth="1"/>
    <col min="10506" max="10508" width="16.28515625" style="51" customWidth="1"/>
    <col min="10509" max="10738" width="9.140625" style="51"/>
    <col min="10739" max="10740" width="13.28515625" style="51" customWidth="1"/>
    <col min="10741" max="10741" width="8.42578125" style="51" customWidth="1"/>
    <col min="10742" max="10742" width="9.7109375" style="51" customWidth="1"/>
    <col min="10743" max="10743" width="18.7109375" style="51" customWidth="1"/>
    <col min="10744" max="10745" width="4.7109375" style="51" customWidth="1"/>
    <col min="10746" max="10754" width="0" style="51" hidden="1" customWidth="1"/>
    <col min="10755" max="10757" width="10.28515625" style="51" customWidth="1"/>
    <col min="10758" max="10758" width="11" style="51" customWidth="1"/>
    <col min="10759" max="10759" width="36" style="51" customWidth="1"/>
    <col min="10760" max="10760" width="11.5703125" style="51" customWidth="1"/>
    <col min="10761" max="10761" width="15.5703125" style="51" customWidth="1"/>
    <col min="10762" max="10764" width="16.28515625" style="51" customWidth="1"/>
    <col min="10765" max="10994" width="9.140625" style="51"/>
    <col min="10995" max="10996" width="13.28515625" style="51" customWidth="1"/>
    <col min="10997" max="10997" width="8.42578125" style="51" customWidth="1"/>
    <col min="10998" max="10998" width="9.7109375" style="51" customWidth="1"/>
    <col min="10999" max="10999" width="18.7109375" style="51" customWidth="1"/>
    <col min="11000" max="11001" width="4.7109375" style="51" customWidth="1"/>
    <col min="11002" max="11010" width="0" style="51" hidden="1" customWidth="1"/>
    <col min="11011" max="11013" width="10.28515625" style="51" customWidth="1"/>
    <col min="11014" max="11014" width="11" style="51" customWidth="1"/>
    <col min="11015" max="11015" width="36" style="51" customWidth="1"/>
    <col min="11016" max="11016" width="11.5703125" style="51" customWidth="1"/>
    <col min="11017" max="11017" width="15.5703125" style="51" customWidth="1"/>
    <col min="11018" max="11020" width="16.28515625" style="51" customWidth="1"/>
    <col min="11021" max="11250" width="9.140625" style="51"/>
    <col min="11251" max="11252" width="13.28515625" style="51" customWidth="1"/>
    <col min="11253" max="11253" width="8.42578125" style="51" customWidth="1"/>
    <col min="11254" max="11254" width="9.7109375" style="51" customWidth="1"/>
    <col min="11255" max="11255" width="18.7109375" style="51" customWidth="1"/>
    <col min="11256" max="11257" width="4.7109375" style="51" customWidth="1"/>
    <col min="11258" max="11266" width="0" style="51" hidden="1" customWidth="1"/>
    <col min="11267" max="11269" width="10.28515625" style="51" customWidth="1"/>
    <col min="11270" max="11270" width="11" style="51" customWidth="1"/>
    <col min="11271" max="11271" width="36" style="51" customWidth="1"/>
    <col min="11272" max="11272" width="11.5703125" style="51" customWidth="1"/>
    <col min="11273" max="11273" width="15.5703125" style="51" customWidth="1"/>
    <col min="11274" max="11276" width="16.28515625" style="51" customWidth="1"/>
    <col min="11277" max="11506" width="9.140625" style="51"/>
    <col min="11507" max="11508" width="13.28515625" style="51" customWidth="1"/>
    <col min="11509" max="11509" width="8.42578125" style="51" customWidth="1"/>
    <col min="11510" max="11510" width="9.7109375" style="51" customWidth="1"/>
    <col min="11511" max="11511" width="18.7109375" style="51" customWidth="1"/>
    <col min="11512" max="11513" width="4.7109375" style="51" customWidth="1"/>
    <col min="11514" max="11522" width="0" style="51" hidden="1" customWidth="1"/>
    <col min="11523" max="11525" width="10.28515625" style="51" customWidth="1"/>
    <col min="11526" max="11526" width="11" style="51" customWidth="1"/>
    <col min="11527" max="11527" width="36" style="51" customWidth="1"/>
    <col min="11528" max="11528" width="11.5703125" style="51" customWidth="1"/>
    <col min="11529" max="11529" width="15.5703125" style="51" customWidth="1"/>
    <col min="11530" max="11532" width="16.28515625" style="51" customWidth="1"/>
    <col min="11533" max="11762" width="9.140625" style="51"/>
    <col min="11763" max="11764" width="13.28515625" style="51" customWidth="1"/>
    <col min="11765" max="11765" width="8.42578125" style="51" customWidth="1"/>
    <col min="11766" max="11766" width="9.7109375" style="51" customWidth="1"/>
    <col min="11767" max="11767" width="18.7109375" style="51" customWidth="1"/>
    <col min="11768" max="11769" width="4.7109375" style="51" customWidth="1"/>
    <col min="11770" max="11778" width="0" style="51" hidden="1" customWidth="1"/>
    <col min="11779" max="11781" width="10.28515625" style="51" customWidth="1"/>
    <col min="11782" max="11782" width="11" style="51" customWidth="1"/>
    <col min="11783" max="11783" width="36" style="51" customWidth="1"/>
    <col min="11784" max="11784" width="11.5703125" style="51" customWidth="1"/>
    <col min="11785" max="11785" width="15.5703125" style="51" customWidth="1"/>
    <col min="11786" max="11788" width="16.28515625" style="51" customWidth="1"/>
    <col min="11789" max="12018" width="9.140625" style="51"/>
    <col min="12019" max="12020" width="13.28515625" style="51" customWidth="1"/>
    <col min="12021" max="12021" width="8.42578125" style="51" customWidth="1"/>
    <col min="12022" max="12022" width="9.7109375" style="51" customWidth="1"/>
    <col min="12023" max="12023" width="18.7109375" style="51" customWidth="1"/>
    <col min="12024" max="12025" width="4.7109375" style="51" customWidth="1"/>
    <col min="12026" max="12034" width="0" style="51" hidden="1" customWidth="1"/>
    <col min="12035" max="12037" width="10.28515625" style="51" customWidth="1"/>
    <col min="12038" max="12038" width="11" style="51" customWidth="1"/>
    <col min="12039" max="12039" width="36" style="51" customWidth="1"/>
    <col min="12040" max="12040" width="11.5703125" style="51" customWidth="1"/>
    <col min="12041" max="12041" width="15.5703125" style="51" customWidth="1"/>
    <col min="12042" max="12044" width="16.28515625" style="51" customWidth="1"/>
    <col min="12045" max="12274" width="9.140625" style="51"/>
    <col min="12275" max="12276" width="13.28515625" style="51" customWidth="1"/>
    <col min="12277" max="12277" width="8.42578125" style="51" customWidth="1"/>
    <col min="12278" max="12278" width="9.7109375" style="51" customWidth="1"/>
    <col min="12279" max="12279" width="18.7109375" style="51" customWidth="1"/>
    <col min="12280" max="12281" width="4.7109375" style="51" customWidth="1"/>
    <col min="12282" max="12290" width="0" style="51" hidden="1" customWidth="1"/>
    <col min="12291" max="12293" width="10.28515625" style="51" customWidth="1"/>
    <col min="12294" max="12294" width="11" style="51" customWidth="1"/>
    <col min="12295" max="12295" width="36" style="51" customWidth="1"/>
    <col min="12296" max="12296" width="11.5703125" style="51" customWidth="1"/>
    <col min="12297" max="12297" width="15.5703125" style="51" customWidth="1"/>
    <col min="12298" max="12300" width="16.28515625" style="51" customWidth="1"/>
    <col min="12301" max="12530" width="9.140625" style="51"/>
    <col min="12531" max="12532" width="13.28515625" style="51" customWidth="1"/>
    <col min="12533" max="12533" width="8.42578125" style="51" customWidth="1"/>
    <col min="12534" max="12534" width="9.7109375" style="51" customWidth="1"/>
    <col min="12535" max="12535" width="18.7109375" style="51" customWidth="1"/>
    <col min="12536" max="12537" width="4.7109375" style="51" customWidth="1"/>
    <col min="12538" max="12546" width="0" style="51" hidden="1" customWidth="1"/>
    <col min="12547" max="12549" width="10.28515625" style="51" customWidth="1"/>
    <col min="12550" max="12550" width="11" style="51" customWidth="1"/>
    <col min="12551" max="12551" width="36" style="51" customWidth="1"/>
    <col min="12552" max="12552" width="11.5703125" style="51" customWidth="1"/>
    <col min="12553" max="12553" width="15.5703125" style="51" customWidth="1"/>
    <col min="12554" max="12556" width="16.28515625" style="51" customWidth="1"/>
    <col min="12557" max="12786" width="9.140625" style="51"/>
    <col min="12787" max="12788" width="13.28515625" style="51" customWidth="1"/>
    <col min="12789" max="12789" width="8.42578125" style="51" customWidth="1"/>
    <col min="12790" max="12790" width="9.7109375" style="51" customWidth="1"/>
    <col min="12791" max="12791" width="18.7109375" style="51" customWidth="1"/>
    <col min="12792" max="12793" width="4.7109375" style="51" customWidth="1"/>
    <col min="12794" max="12802" width="0" style="51" hidden="1" customWidth="1"/>
    <col min="12803" max="12805" width="10.28515625" style="51" customWidth="1"/>
    <col min="12806" max="12806" width="11" style="51" customWidth="1"/>
    <col min="12807" max="12807" width="36" style="51" customWidth="1"/>
    <col min="12808" max="12808" width="11.5703125" style="51" customWidth="1"/>
    <col min="12809" max="12809" width="15.5703125" style="51" customWidth="1"/>
    <col min="12810" max="12812" width="16.28515625" style="51" customWidth="1"/>
    <col min="12813" max="13042" width="9.140625" style="51"/>
    <col min="13043" max="13044" width="13.28515625" style="51" customWidth="1"/>
    <col min="13045" max="13045" width="8.42578125" style="51" customWidth="1"/>
    <col min="13046" max="13046" width="9.7109375" style="51" customWidth="1"/>
    <col min="13047" max="13047" width="18.7109375" style="51" customWidth="1"/>
    <col min="13048" max="13049" width="4.7109375" style="51" customWidth="1"/>
    <col min="13050" max="13058" width="0" style="51" hidden="1" customWidth="1"/>
    <col min="13059" max="13061" width="10.28515625" style="51" customWidth="1"/>
    <col min="13062" max="13062" width="11" style="51" customWidth="1"/>
    <col min="13063" max="13063" width="36" style="51" customWidth="1"/>
    <col min="13064" max="13064" width="11.5703125" style="51" customWidth="1"/>
    <col min="13065" max="13065" width="15.5703125" style="51" customWidth="1"/>
    <col min="13066" max="13068" width="16.28515625" style="51" customWidth="1"/>
    <col min="13069" max="13298" width="9.140625" style="51"/>
    <col min="13299" max="13300" width="13.28515625" style="51" customWidth="1"/>
    <col min="13301" max="13301" width="8.42578125" style="51" customWidth="1"/>
    <col min="13302" max="13302" width="9.7109375" style="51" customWidth="1"/>
    <col min="13303" max="13303" width="18.7109375" style="51" customWidth="1"/>
    <col min="13304" max="13305" width="4.7109375" style="51" customWidth="1"/>
    <col min="13306" max="13314" width="0" style="51" hidden="1" customWidth="1"/>
    <col min="13315" max="13317" width="10.28515625" style="51" customWidth="1"/>
    <col min="13318" max="13318" width="11" style="51" customWidth="1"/>
    <col min="13319" max="13319" width="36" style="51" customWidth="1"/>
    <col min="13320" max="13320" width="11.5703125" style="51" customWidth="1"/>
    <col min="13321" max="13321" width="15.5703125" style="51" customWidth="1"/>
    <col min="13322" max="13324" width="16.28515625" style="51" customWidth="1"/>
    <col min="13325" max="13554" width="9.140625" style="51"/>
    <col min="13555" max="13556" width="13.28515625" style="51" customWidth="1"/>
    <col min="13557" max="13557" width="8.42578125" style="51" customWidth="1"/>
    <col min="13558" max="13558" width="9.7109375" style="51" customWidth="1"/>
    <col min="13559" max="13559" width="18.7109375" style="51" customWidth="1"/>
    <col min="13560" max="13561" width="4.7109375" style="51" customWidth="1"/>
    <col min="13562" max="13570" width="0" style="51" hidden="1" customWidth="1"/>
    <col min="13571" max="13573" width="10.28515625" style="51" customWidth="1"/>
    <col min="13574" max="13574" width="11" style="51" customWidth="1"/>
    <col min="13575" max="13575" width="36" style="51" customWidth="1"/>
    <col min="13576" max="13576" width="11.5703125" style="51" customWidth="1"/>
    <col min="13577" max="13577" width="15.5703125" style="51" customWidth="1"/>
    <col min="13578" max="13580" width="16.28515625" style="51" customWidth="1"/>
    <col min="13581" max="13810" width="9.140625" style="51"/>
    <col min="13811" max="13812" width="13.28515625" style="51" customWidth="1"/>
    <col min="13813" max="13813" width="8.42578125" style="51" customWidth="1"/>
    <col min="13814" max="13814" width="9.7109375" style="51" customWidth="1"/>
    <col min="13815" max="13815" width="18.7109375" style="51" customWidth="1"/>
    <col min="13816" max="13817" width="4.7109375" style="51" customWidth="1"/>
    <col min="13818" max="13826" width="0" style="51" hidden="1" customWidth="1"/>
    <col min="13827" max="13829" width="10.28515625" style="51" customWidth="1"/>
    <col min="13830" max="13830" width="11" style="51" customWidth="1"/>
    <col min="13831" max="13831" width="36" style="51" customWidth="1"/>
    <col min="13832" max="13832" width="11.5703125" style="51" customWidth="1"/>
    <col min="13833" max="13833" width="15.5703125" style="51" customWidth="1"/>
    <col min="13834" max="13836" width="16.28515625" style="51" customWidth="1"/>
    <col min="13837" max="14066" width="9.140625" style="51"/>
    <col min="14067" max="14068" width="13.28515625" style="51" customWidth="1"/>
    <col min="14069" max="14069" width="8.42578125" style="51" customWidth="1"/>
    <col min="14070" max="14070" width="9.7109375" style="51" customWidth="1"/>
    <col min="14071" max="14071" width="18.7109375" style="51" customWidth="1"/>
    <col min="14072" max="14073" width="4.7109375" style="51" customWidth="1"/>
    <col min="14074" max="14082" width="0" style="51" hidden="1" customWidth="1"/>
    <col min="14083" max="14085" width="10.28515625" style="51" customWidth="1"/>
    <col min="14086" max="14086" width="11" style="51" customWidth="1"/>
    <col min="14087" max="14087" width="36" style="51" customWidth="1"/>
    <col min="14088" max="14088" width="11.5703125" style="51" customWidth="1"/>
    <col min="14089" max="14089" width="15.5703125" style="51" customWidth="1"/>
    <col min="14090" max="14092" width="16.28515625" style="51" customWidth="1"/>
    <col min="14093" max="14322" width="9.140625" style="51"/>
    <col min="14323" max="14324" width="13.28515625" style="51" customWidth="1"/>
    <col min="14325" max="14325" width="8.42578125" style="51" customWidth="1"/>
    <col min="14326" max="14326" width="9.7109375" style="51" customWidth="1"/>
    <col min="14327" max="14327" width="18.7109375" style="51" customWidth="1"/>
    <col min="14328" max="14329" width="4.7109375" style="51" customWidth="1"/>
    <col min="14330" max="14338" width="0" style="51" hidden="1" customWidth="1"/>
    <col min="14339" max="14341" width="10.28515625" style="51" customWidth="1"/>
    <col min="14342" max="14342" width="11" style="51" customWidth="1"/>
    <col min="14343" max="14343" width="36" style="51" customWidth="1"/>
    <col min="14344" max="14344" width="11.5703125" style="51" customWidth="1"/>
    <col min="14345" max="14345" width="15.5703125" style="51" customWidth="1"/>
    <col min="14346" max="14348" width="16.28515625" style="51" customWidth="1"/>
    <col min="14349" max="14578" width="9.140625" style="51"/>
    <col min="14579" max="14580" width="13.28515625" style="51" customWidth="1"/>
    <col min="14581" max="14581" width="8.42578125" style="51" customWidth="1"/>
    <col min="14582" max="14582" width="9.7109375" style="51" customWidth="1"/>
    <col min="14583" max="14583" width="18.7109375" style="51" customWidth="1"/>
    <col min="14584" max="14585" width="4.7109375" style="51" customWidth="1"/>
    <col min="14586" max="14594" width="0" style="51" hidden="1" customWidth="1"/>
    <col min="14595" max="14597" width="10.28515625" style="51" customWidth="1"/>
    <col min="14598" max="14598" width="11" style="51" customWidth="1"/>
    <col min="14599" max="14599" width="36" style="51" customWidth="1"/>
    <col min="14600" max="14600" width="11.5703125" style="51" customWidth="1"/>
    <col min="14601" max="14601" width="15.5703125" style="51" customWidth="1"/>
    <col min="14602" max="14604" width="16.28515625" style="51" customWidth="1"/>
    <col min="14605" max="14834" width="9.140625" style="51"/>
    <col min="14835" max="14836" width="13.28515625" style="51" customWidth="1"/>
    <col min="14837" max="14837" width="8.42578125" style="51" customWidth="1"/>
    <col min="14838" max="14838" width="9.7109375" style="51" customWidth="1"/>
    <col min="14839" max="14839" width="18.7109375" style="51" customWidth="1"/>
    <col min="14840" max="14841" width="4.7109375" style="51" customWidth="1"/>
    <col min="14842" max="14850" width="0" style="51" hidden="1" customWidth="1"/>
    <col min="14851" max="14853" width="10.28515625" style="51" customWidth="1"/>
    <col min="14854" max="14854" width="11" style="51" customWidth="1"/>
    <col min="14855" max="14855" width="36" style="51" customWidth="1"/>
    <col min="14856" max="14856" width="11.5703125" style="51" customWidth="1"/>
    <col min="14857" max="14857" width="15.5703125" style="51" customWidth="1"/>
    <col min="14858" max="14860" width="16.28515625" style="51" customWidth="1"/>
    <col min="14861" max="15090" width="9.140625" style="51"/>
    <col min="15091" max="15092" width="13.28515625" style="51" customWidth="1"/>
    <col min="15093" max="15093" width="8.42578125" style="51" customWidth="1"/>
    <col min="15094" max="15094" width="9.7109375" style="51" customWidth="1"/>
    <col min="15095" max="15095" width="18.7109375" style="51" customWidth="1"/>
    <col min="15096" max="15097" width="4.7109375" style="51" customWidth="1"/>
    <col min="15098" max="15106" width="0" style="51" hidden="1" customWidth="1"/>
    <col min="15107" max="15109" width="10.28515625" style="51" customWidth="1"/>
    <col min="15110" max="15110" width="11" style="51" customWidth="1"/>
    <col min="15111" max="15111" width="36" style="51" customWidth="1"/>
    <col min="15112" max="15112" width="11.5703125" style="51" customWidth="1"/>
    <col min="15113" max="15113" width="15.5703125" style="51" customWidth="1"/>
    <col min="15114" max="15116" width="16.28515625" style="51" customWidth="1"/>
    <col min="15117" max="15346" width="9.140625" style="51"/>
    <col min="15347" max="15348" width="13.28515625" style="51" customWidth="1"/>
    <col min="15349" max="15349" width="8.42578125" style="51" customWidth="1"/>
    <col min="15350" max="15350" width="9.7109375" style="51" customWidth="1"/>
    <col min="15351" max="15351" width="18.7109375" style="51" customWidth="1"/>
    <col min="15352" max="15353" width="4.7109375" style="51" customWidth="1"/>
    <col min="15354" max="15362" width="0" style="51" hidden="1" customWidth="1"/>
    <col min="15363" max="15365" width="10.28515625" style="51" customWidth="1"/>
    <col min="15366" max="15366" width="11" style="51" customWidth="1"/>
    <col min="15367" max="15367" width="36" style="51" customWidth="1"/>
    <col min="15368" max="15368" width="11.5703125" style="51" customWidth="1"/>
    <col min="15369" max="15369" width="15.5703125" style="51" customWidth="1"/>
    <col min="15370" max="15372" width="16.28515625" style="51" customWidth="1"/>
    <col min="15373" max="15602" width="9.140625" style="51"/>
    <col min="15603" max="15604" width="13.28515625" style="51" customWidth="1"/>
    <col min="15605" max="15605" width="8.42578125" style="51" customWidth="1"/>
    <col min="15606" max="15606" width="9.7109375" style="51" customWidth="1"/>
    <col min="15607" max="15607" width="18.7109375" style="51" customWidth="1"/>
    <col min="15608" max="15609" width="4.7109375" style="51" customWidth="1"/>
    <col min="15610" max="15618" width="0" style="51" hidden="1" customWidth="1"/>
    <col min="15619" max="15621" width="10.28515625" style="51" customWidth="1"/>
    <col min="15622" max="15622" width="11" style="51" customWidth="1"/>
    <col min="15623" max="15623" width="36" style="51" customWidth="1"/>
    <col min="15624" max="15624" width="11.5703125" style="51" customWidth="1"/>
    <col min="15625" max="15625" width="15.5703125" style="51" customWidth="1"/>
    <col min="15626" max="15628" width="16.28515625" style="51" customWidth="1"/>
    <col min="15629" max="15858" width="9.140625" style="51"/>
    <col min="15859" max="15860" width="13.28515625" style="51" customWidth="1"/>
    <col min="15861" max="15861" width="8.42578125" style="51" customWidth="1"/>
    <col min="15862" max="15862" width="9.7109375" style="51" customWidth="1"/>
    <col min="15863" max="15863" width="18.7109375" style="51" customWidth="1"/>
    <col min="15864" max="15865" width="4.7109375" style="51" customWidth="1"/>
    <col min="15866" max="15874" width="0" style="51" hidden="1" customWidth="1"/>
    <col min="15875" max="15877" width="10.28515625" style="51" customWidth="1"/>
    <col min="15878" max="15878" width="11" style="51" customWidth="1"/>
    <col min="15879" max="15879" width="36" style="51" customWidth="1"/>
    <col min="15880" max="15880" width="11.5703125" style="51" customWidth="1"/>
    <col min="15881" max="15881" width="15.5703125" style="51" customWidth="1"/>
    <col min="15882" max="15884" width="16.28515625" style="51" customWidth="1"/>
    <col min="15885" max="16114" width="9.140625" style="51"/>
    <col min="16115" max="16116" width="13.28515625" style="51" customWidth="1"/>
    <col min="16117" max="16117" width="8.42578125" style="51" customWidth="1"/>
    <col min="16118" max="16118" width="9.7109375" style="51" customWidth="1"/>
    <col min="16119" max="16119" width="18.7109375" style="51" customWidth="1"/>
    <col min="16120" max="16121" width="4.7109375" style="51" customWidth="1"/>
    <col min="16122" max="16130" width="0" style="51" hidden="1" customWidth="1"/>
    <col min="16131" max="16133" width="10.28515625" style="51" customWidth="1"/>
    <col min="16134" max="16134" width="11" style="51" customWidth="1"/>
    <col min="16135" max="16135" width="36" style="51" customWidth="1"/>
    <col min="16136" max="16136" width="11.5703125" style="51" customWidth="1"/>
    <col min="16137" max="16137" width="15.5703125" style="51" customWidth="1"/>
    <col min="16138" max="16140" width="16.28515625" style="51" customWidth="1"/>
    <col min="16141" max="16384" width="9.140625" style="51"/>
  </cols>
  <sheetData>
    <row r="1" spans="1:6" ht="44.25" customHeight="1">
      <c r="D1" s="50"/>
    </row>
    <row r="2" spans="1:6" ht="21">
      <c r="A2" s="60" t="s">
        <v>91</v>
      </c>
      <c r="C2" s="52"/>
      <c r="D2" s="52"/>
      <c r="E2" s="52"/>
      <c r="F2" s="52"/>
    </row>
    <row r="3" spans="1:6" ht="33">
      <c r="A3" s="53" t="s">
        <v>87</v>
      </c>
      <c r="B3" s="53" t="s">
        <v>64</v>
      </c>
      <c r="C3" s="120" t="s">
        <v>92</v>
      </c>
      <c r="D3" s="120"/>
      <c r="E3" s="53" t="s">
        <v>65</v>
      </c>
      <c r="F3" s="53" t="s">
        <v>60</v>
      </c>
    </row>
    <row r="4" spans="1:6" ht="15" customHeight="1">
      <c r="A4" s="117" t="s">
        <v>89</v>
      </c>
      <c r="B4" s="118"/>
      <c r="C4" s="118"/>
      <c r="D4" s="118"/>
      <c r="E4" s="118"/>
      <c r="F4" s="119"/>
    </row>
    <row r="5" spans="1:6" ht="39.950000000000003" customHeight="1">
      <c r="A5" s="54">
        <v>1</v>
      </c>
      <c r="B5" s="54" t="s">
        <v>66</v>
      </c>
      <c r="C5" s="55"/>
      <c r="D5" s="56" t="s">
        <v>67</v>
      </c>
      <c r="E5" s="57" t="s">
        <v>23</v>
      </c>
      <c r="F5" s="57">
        <f>4*'HUNG dies'!$G$6</f>
        <v>4</v>
      </c>
    </row>
    <row r="6" spans="1:6" ht="39.950000000000003" customHeight="1">
      <c r="A6" s="54">
        <v>2</v>
      </c>
      <c r="B6" s="54" t="s">
        <v>68</v>
      </c>
      <c r="C6" s="55"/>
      <c r="D6" s="56" t="s">
        <v>69</v>
      </c>
      <c r="E6" s="57" t="s">
        <v>23</v>
      </c>
      <c r="F6" s="57">
        <f>4*'HUNG dies'!$G$6</f>
        <v>4</v>
      </c>
    </row>
    <row r="7" spans="1:6" ht="39.950000000000003" customHeight="1">
      <c r="A7" s="54">
        <v>3</v>
      </c>
      <c r="B7" s="54" t="s">
        <v>70</v>
      </c>
      <c r="C7" s="55"/>
      <c r="D7" s="56" t="s">
        <v>71</v>
      </c>
      <c r="E7" s="57" t="s">
        <v>23</v>
      </c>
      <c r="F7" s="57">
        <f>2*'HUNG dies'!$G$6</f>
        <v>2</v>
      </c>
    </row>
    <row r="8" spans="1:6" ht="39.950000000000003" customHeight="1">
      <c r="A8" s="54">
        <v>4</v>
      </c>
      <c r="B8" s="54" t="s">
        <v>72</v>
      </c>
      <c r="C8" s="55"/>
      <c r="D8" s="56" t="s">
        <v>73</v>
      </c>
      <c r="E8" s="57" t="s">
        <v>23</v>
      </c>
      <c r="F8" s="57">
        <f>4*'HUNG dies'!$G$6</f>
        <v>4</v>
      </c>
    </row>
    <row r="9" spans="1:6" ht="39.950000000000003" customHeight="1">
      <c r="A9" s="54">
        <v>5</v>
      </c>
      <c r="B9" s="54" t="s">
        <v>74</v>
      </c>
      <c r="C9" s="55"/>
      <c r="D9" s="56" t="s">
        <v>75</v>
      </c>
      <c r="E9" s="57" t="s">
        <v>28</v>
      </c>
      <c r="F9" s="67">
        <f>('FSA CORD calculate '!$I$16*2)/1000</f>
        <v>8.327</v>
      </c>
    </row>
    <row r="10" spans="1:6" ht="39.950000000000003" customHeight="1">
      <c r="A10" s="54">
        <v>6</v>
      </c>
      <c r="B10" s="54" t="s">
        <v>76</v>
      </c>
      <c r="C10" s="55"/>
      <c r="D10" s="56" t="s">
        <v>77</v>
      </c>
      <c r="E10" s="57" t="s">
        <v>23</v>
      </c>
      <c r="F10" s="57">
        <f>8*'HUNG dies'!$G$6</f>
        <v>8</v>
      </c>
    </row>
    <row r="11" spans="1:6" ht="39.950000000000003" customHeight="1">
      <c r="A11" s="54">
        <v>7</v>
      </c>
      <c r="B11" s="54" t="s">
        <v>78</v>
      </c>
      <c r="C11" s="55"/>
      <c r="D11" s="56" t="s">
        <v>79</v>
      </c>
      <c r="E11" s="57" t="s">
        <v>49</v>
      </c>
      <c r="F11" s="57">
        <f>2*'HUNG dies'!$G$6</f>
        <v>2</v>
      </c>
    </row>
    <row r="12" spans="1:6" ht="39.950000000000003" customHeight="1">
      <c r="A12" s="54">
        <v>8</v>
      </c>
      <c r="B12" s="54" t="s">
        <v>93</v>
      </c>
      <c r="C12" s="55"/>
      <c r="D12" s="56" t="s">
        <v>80</v>
      </c>
      <c r="E12" s="57" t="s">
        <v>23</v>
      </c>
      <c r="F12" s="57">
        <f>2*'HUNG dies'!$G$6</f>
        <v>2</v>
      </c>
    </row>
    <row r="13" spans="1:6" ht="39.950000000000003" customHeight="1">
      <c r="A13" s="54">
        <v>9</v>
      </c>
      <c r="B13" s="59" t="s">
        <v>88</v>
      </c>
      <c r="C13" s="55"/>
      <c r="D13" s="56" t="s">
        <v>81</v>
      </c>
      <c r="E13" s="57" t="s">
        <v>28</v>
      </c>
      <c r="F13" s="57">
        <f>ROUNDUP(('HUNG dies'!$H$17*4)/1000,0)*'HUNG dies'!$G$6</f>
        <v>12</v>
      </c>
    </row>
    <row r="14" spans="1:6" ht="39.950000000000003" customHeight="1">
      <c r="A14" s="54">
        <v>10</v>
      </c>
      <c r="B14" s="59" t="s">
        <v>94</v>
      </c>
      <c r="C14" s="55"/>
      <c r="D14" s="56" t="s">
        <v>82</v>
      </c>
      <c r="E14" s="57" t="s">
        <v>28</v>
      </c>
      <c r="F14" s="57">
        <f>ROUNDUP((('HUNG dies'!$H$17*4)+('HUNG dies'!$H$11*1)+('HUNG dies'!$H$16*1)+('HUNG dies'!$H$15*2))/1000,0)*'HUNG dies'!$G$6</f>
        <v>16</v>
      </c>
    </row>
    <row r="15" spans="1:6" ht="39.950000000000003" customHeight="1">
      <c r="A15" s="54">
        <v>11</v>
      </c>
      <c r="B15" s="59" t="s">
        <v>100</v>
      </c>
      <c r="C15" s="55"/>
      <c r="D15" s="56" t="s">
        <v>96</v>
      </c>
      <c r="E15" s="57" t="s">
        <v>49</v>
      </c>
      <c r="F15" s="57">
        <f>1*'HUNG dies'!$G$6</f>
        <v>1</v>
      </c>
    </row>
    <row r="16" spans="1:6" ht="39.950000000000003" customHeight="1">
      <c r="A16" s="54">
        <v>12</v>
      </c>
      <c r="B16" s="59" t="s">
        <v>95</v>
      </c>
      <c r="C16" s="55"/>
      <c r="D16" s="56" t="s">
        <v>97</v>
      </c>
      <c r="E16" s="57" t="s">
        <v>49</v>
      </c>
      <c r="F16" s="57">
        <f>1*'HUNG dies'!$G$6</f>
        <v>1</v>
      </c>
    </row>
    <row r="17" spans="1:6" ht="39.950000000000003" customHeight="1">
      <c r="A17" s="54">
        <v>13</v>
      </c>
      <c r="B17" s="59" t="s">
        <v>109</v>
      </c>
      <c r="C17" s="58"/>
      <c r="D17" s="56" t="s">
        <v>104</v>
      </c>
      <c r="E17" s="57" t="s">
        <v>23</v>
      </c>
      <c r="F17" s="57">
        <f>4*'HUNG dies'!$G$6</f>
        <v>4</v>
      </c>
    </row>
    <row r="18" spans="1:6" ht="39.950000000000003" customHeight="1">
      <c r="A18" s="54">
        <v>14</v>
      </c>
      <c r="B18" s="59" t="s">
        <v>111</v>
      </c>
      <c r="C18" s="58"/>
      <c r="D18" s="56" t="s">
        <v>106</v>
      </c>
      <c r="E18" s="57" t="s">
        <v>23</v>
      </c>
      <c r="F18" s="57">
        <f>32*'HUNG dies'!$G$6</f>
        <v>32</v>
      </c>
    </row>
    <row r="19" spans="1:6" ht="39.950000000000003" customHeight="1">
      <c r="A19" s="54">
        <v>15</v>
      </c>
      <c r="B19" s="59" t="s">
        <v>112</v>
      </c>
      <c r="C19" s="58"/>
      <c r="D19" s="56" t="s">
        <v>101</v>
      </c>
      <c r="E19" s="57" t="s">
        <v>23</v>
      </c>
      <c r="F19" s="57">
        <f>8*'HUNG dies'!$G$6</f>
        <v>8</v>
      </c>
    </row>
    <row r="20" spans="1:6" ht="39.950000000000003" customHeight="1">
      <c r="A20" s="54">
        <v>16</v>
      </c>
      <c r="B20" s="59" t="s">
        <v>113</v>
      </c>
      <c r="C20" s="58"/>
      <c r="D20" s="56" t="s">
        <v>102</v>
      </c>
      <c r="E20" s="57" t="s">
        <v>23</v>
      </c>
      <c r="F20" s="57">
        <f>8*'HUNG dies'!$G$6</f>
        <v>8</v>
      </c>
    </row>
    <row r="21" spans="1:6" ht="39.950000000000003" customHeight="1">
      <c r="A21" s="54">
        <v>17</v>
      </c>
      <c r="B21" s="59" t="s">
        <v>110</v>
      </c>
      <c r="C21" s="58"/>
      <c r="D21" s="56" t="s">
        <v>103</v>
      </c>
      <c r="E21" s="57" t="s">
        <v>23</v>
      </c>
      <c r="F21" s="57">
        <f>8*'HUNG dies'!$G$6</f>
        <v>8</v>
      </c>
    </row>
    <row r="22" spans="1:6" ht="39.950000000000003" customHeight="1">
      <c r="A22" s="54">
        <v>18</v>
      </c>
      <c r="B22" s="59" t="s">
        <v>108</v>
      </c>
      <c r="C22" s="58"/>
      <c r="D22" s="56" t="s">
        <v>107</v>
      </c>
      <c r="E22" s="57" t="s">
        <v>23</v>
      </c>
      <c r="F22" s="57">
        <f>2*'HUNG dies'!$G$6</f>
        <v>2</v>
      </c>
    </row>
    <row r="23" spans="1:6" ht="15" customHeight="1">
      <c r="A23" s="117" t="s">
        <v>125</v>
      </c>
      <c r="B23" s="118"/>
      <c r="C23" s="118"/>
      <c r="D23" s="118"/>
      <c r="E23" s="118"/>
      <c r="F23" s="119"/>
    </row>
    <row r="24" spans="1:6" ht="39.950000000000003" customHeight="1">
      <c r="A24" s="54">
        <v>19</v>
      </c>
      <c r="B24" s="59" t="s">
        <v>129</v>
      </c>
      <c r="C24" s="58"/>
      <c r="D24" s="56" t="s">
        <v>116</v>
      </c>
      <c r="E24" s="57" t="s">
        <v>28</v>
      </c>
      <c r="F24" s="57">
        <f>ROUNDUP((((('HUNG dies'!$H$12*'HUNG dies'!$F$12)+('HUNG dies'!$H$13*'HUNG dies'!$F$13))*2)/1000)*'HUNG dies'!$G$6,0)</f>
        <v>19</v>
      </c>
    </row>
    <row r="25" spans="1:6" ht="15" customHeight="1">
      <c r="A25" s="117" t="s">
        <v>126</v>
      </c>
      <c r="B25" s="118"/>
      <c r="C25" s="118"/>
      <c r="D25" s="118"/>
      <c r="E25" s="118"/>
      <c r="F25" s="119"/>
    </row>
    <row r="26" spans="1:6" ht="39.950000000000003" customHeight="1">
      <c r="A26" s="54">
        <v>19</v>
      </c>
      <c r="B26" s="59" t="s">
        <v>129</v>
      </c>
      <c r="C26" s="58"/>
      <c r="D26" s="56" t="s">
        <v>116</v>
      </c>
      <c r="E26" s="57" t="s">
        <v>28</v>
      </c>
      <c r="F26" s="57">
        <f>ROUNDUP(((('HUNG dies'!$H$12*'HUNG dies'!$F$12)+('HUNG dies'!$H$13*'HUNG dies'!$F$13))/1000)*'HUNG dies'!$G$6,0)</f>
        <v>10</v>
      </c>
    </row>
    <row r="27" spans="1:6" ht="39.950000000000003" customHeight="1">
      <c r="A27" s="54">
        <v>20</v>
      </c>
      <c r="B27" s="59" t="s">
        <v>130</v>
      </c>
      <c r="C27" s="58"/>
      <c r="D27" s="56" t="s">
        <v>117</v>
      </c>
      <c r="E27" s="57" t="s">
        <v>28</v>
      </c>
      <c r="F27" s="57">
        <f>ROUNDUP(((('HUNG dies'!$H$12*'HUNG dies'!$F$12)+('HUNG dies'!$H$13*'HUNG dies'!$F$13))/1000)*'HUNG dies'!$G$6,0)</f>
        <v>10</v>
      </c>
    </row>
    <row r="28" spans="1:6" ht="15" customHeight="1">
      <c r="A28" s="117" t="s">
        <v>90</v>
      </c>
      <c r="B28" s="118"/>
      <c r="C28" s="118"/>
      <c r="D28" s="118"/>
      <c r="E28" s="118"/>
      <c r="F28" s="119"/>
    </row>
    <row r="29" spans="1:6" ht="40.15" customHeight="1">
      <c r="A29" s="121">
        <v>1</v>
      </c>
      <c r="B29" s="54" t="s">
        <v>118</v>
      </c>
      <c r="C29" s="78"/>
      <c r="D29" s="55" t="s">
        <v>131</v>
      </c>
      <c r="E29" s="57" t="s">
        <v>23</v>
      </c>
      <c r="F29" s="57">
        <f>1*'HUNG dies'!$G$6</f>
        <v>1</v>
      </c>
    </row>
    <row r="30" spans="1:6" ht="40.15" customHeight="1">
      <c r="A30" s="122"/>
      <c r="B30" s="54" t="s">
        <v>119</v>
      </c>
      <c r="C30" s="55"/>
      <c r="D30" s="55" t="s">
        <v>120</v>
      </c>
      <c r="E30" s="57" t="s">
        <v>23</v>
      </c>
      <c r="F30" s="57">
        <f>1*'HUNG dies'!$G$6</f>
        <v>1</v>
      </c>
    </row>
    <row r="31" spans="1:6" ht="40.15" customHeight="1">
      <c r="A31" s="122"/>
      <c r="B31" s="54" t="s">
        <v>83</v>
      </c>
      <c r="C31" s="55"/>
      <c r="D31" s="56" t="s">
        <v>84</v>
      </c>
      <c r="E31" s="57" t="s">
        <v>23</v>
      </c>
      <c r="F31" s="57">
        <f>1*'HUNG dies'!$G$6</f>
        <v>1</v>
      </c>
    </row>
    <row r="32" spans="1:6" ht="40.15" customHeight="1">
      <c r="A32" s="122"/>
      <c r="B32" s="54" t="s">
        <v>121</v>
      </c>
      <c r="C32" s="55"/>
      <c r="D32" s="55" t="s">
        <v>123</v>
      </c>
      <c r="E32" s="57" t="s">
        <v>23</v>
      </c>
      <c r="F32" s="57">
        <f>1*'HUNG dies'!$G$6</f>
        <v>1</v>
      </c>
    </row>
    <row r="33" spans="1:6" ht="40.15" customHeight="1">
      <c r="A33" s="123"/>
      <c r="B33" s="54" t="s">
        <v>122</v>
      </c>
      <c r="C33" s="55"/>
      <c r="D33" s="55" t="s">
        <v>124</v>
      </c>
      <c r="E33" s="57" t="s">
        <v>23</v>
      </c>
      <c r="F33" s="57">
        <f>1*'HUNG dies'!$G$6</f>
        <v>1</v>
      </c>
    </row>
    <row r="34" spans="1:6" ht="30" customHeight="1">
      <c r="A34" s="54">
        <v>2</v>
      </c>
      <c r="B34" s="59" t="s">
        <v>114</v>
      </c>
      <c r="C34" s="55"/>
      <c r="D34" s="56" t="s">
        <v>85</v>
      </c>
      <c r="E34" s="57" t="s">
        <v>23</v>
      </c>
      <c r="F34" s="57">
        <f>1*'HUNG dies'!$G$6</f>
        <v>1</v>
      </c>
    </row>
    <row r="35" spans="1:6" ht="30" customHeight="1">
      <c r="A35" s="54">
        <v>3</v>
      </c>
      <c r="B35" s="59" t="s">
        <v>115</v>
      </c>
      <c r="C35" s="55"/>
      <c r="D35" s="56" t="s">
        <v>86</v>
      </c>
      <c r="E35" s="57" t="s">
        <v>23</v>
      </c>
      <c r="F35" s="57">
        <f>1*'HUNG dies'!$G$6</f>
        <v>1</v>
      </c>
    </row>
  </sheetData>
  <sheetProtection algorithmName="SHA-512" hashValue="n3l3JgkYHaC2jP/vcE7EEbpK8LQolSRMNLFtNh6RJo963qVGJ24H61QKJszILY0EK80c0QTVzx3YSAeuoli9bw==" saltValue="kjrMFZwXH+VN/h0kMiAO2A==" spinCount="100000" sheet="1" objects="1" scenarios="1"/>
  <mergeCells count="6">
    <mergeCell ref="A4:F4"/>
    <mergeCell ref="A28:F28"/>
    <mergeCell ref="C3:D3"/>
    <mergeCell ref="A29:A33"/>
    <mergeCell ref="A23:F23"/>
    <mergeCell ref="A25:F25"/>
  </mergeCells>
  <phoneticPr fontId="5" type="noConversion"/>
  <pageMargins left="0.31496062992125984" right="0.11811023622047245" top="0.19685039370078741" bottom="0" header="0.31496062992125984" footer="0.31496062992125984"/>
  <pageSetup paperSize="9" scale="13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="160" zoomScaleNormal="160" workbookViewId="0">
      <selection activeCell="J32" sqref="J32"/>
    </sheetView>
  </sheetViews>
  <sheetFormatPr defaultRowHeight="12.75"/>
  <cols>
    <col min="1" max="1" width="11.7109375" style="1" customWidth="1"/>
    <col min="2" max="2" width="13" style="1" hidden="1" customWidth="1"/>
    <col min="3" max="3" width="12.140625" style="1" hidden="1" customWidth="1"/>
    <col min="4" max="4" width="12" style="1" hidden="1" customWidth="1"/>
    <col min="5" max="5" width="14.28515625" hidden="1" customWidth="1"/>
    <col min="6" max="6" width="14.7109375" hidden="1" customWidth="1"/>
    <col min="7" max="7" width="13.85546875" style="1" hidden="1" customWidth="1"/>
    <col min="8" max="8" width="8.7109375" style="1" customWidth="1"/>
    <col min="9" max="9" width="9.85546875" style="1" customWidth="1"/>
    <col min="10" max="10" width="10.42578125" style="1" customWidth="1"/>
    <col min="11" max="11" width="10.85546875" style="1" bestFit="1" customWidth="1"/>
    <col min="12" max="12" width="11.28515625" style="9" hidden="1" customWidth="1"/>
    <col min="13" max="13" width="0" hidden="1" customWidth="1"/>
  </cols>
  <sheetData>
    <row r="1" spans="1:13" ht="30.75" customHeight="1">
      <c r="B1" s="34" t="s">
        <v>29</v>
      </c>
    </row>
    <row r="2" spans="1:13" ht="36">
      <c r="A2" s="5" t="s">
        <v>15</v>
      </c>
      <c r="B2" s="4" t="s">
        <v>0</v>
      </c>
      <c r="C2" s="4" t="s">
        <v>17</v>
      </c>
      <c r="D2" s="5" t="s">
        <v>1</v>
      </c>
      <c r="E2" s="5" t="s">
        <v>2</v>
      </c>
      <c r="F2" s="5" t="s">
        <v>16</v>
      </c>
      <c r="G2" s="5" t="s">
        <v>18</v>
      </c>
      <c r="H2" s="5" t="s">
        <v>3</v>
      </c>
      <c r="I2" s="5" t="s">
        <v>4</v>
      </c>
      <c r="J2" s="6" t="s">
        <v>5</v>
      </c>
    </row>
    <row r="3" spans="1:13">
      <c r="A3" s="12">
        <v>1025</v>
      </c>
      <c r="B3" s="3">
        <f>EVOALU[[#This Row],[Overall Frame Height (OFH)]]-12-17</f>
        <v>996</v>
      </c>
      <c r="C3" s="3">
        <f>EVOALU[[#This Row],[Internal Frame Height (IFH)
Dim "A"]]-15-2</f>
        <v>979</v>
      </c>
      <c r="D3" s="2">
        <f>(EVOALU[[#This Row],[Internal Frame Height (IFH)
Dim "A"]])-150-38</f>
        <v>808</v>
      </c>
      <c r="E3" s="2">
        <f>(EVOALU[[#This Row],[Internal Frame Height (IFH)
Dim "A"]]/2)-137-38</f>
        <v>323</v>
      </c>
      <c r="F3" s="2">
        <f>EVOALU[[#This Row],[Overall Sash Height (OSH)]]/2+13</f>
        <v>502.5</v>
      </c>
      <c r="G3" s="2">
        <v>108</v>
      </c>
      <c r="H3" s="13">
        <f t="shared" ref="H3:H15" si="0">G3+E3+D3</f>
        <v>1239</v>
      </c>
      <c r="I3" s="2">
        <f>EVOALU[[#This Row],[Cord Length (CL)]]+65+65</f>
        <v>1369</v>
      </c>
      <c r="J3" s="15">
        <f>(EVOALU[[#This Row],[Cord Length (CL)]]-EVOALU[[#This Row],[Pulley (PC)]])/2</f>
        <v>565.5</v>
      </c>
      <c r="L3" s="17">
        <f>EVOALU[[#This Row],[Internal Frame Height (IFH)
Dim "A"]]*1.5</f>
        <v>1494</v>
      </c>
      <c r="M3">
        <f>L3-245+65+65</f>
        <v>1379</v>
      </c>
    </row>
    <row r="4" spans="1:13">
      <c r="A4" s="12">
        <v>1200</v>
      </c>
      <c r="B4" s="3">
        <f>EVOALU[[#This Row],[Overall Frame Height (OFH)]]-12-17</f>
        <v>1171</v>
      </c>
      <c r="C4" s="3">
        <f>EVOALU[[#This Row],[Internal Frame Height (IFH)
Dim "A"]]-15-2</f>
        <v>1154</v>
      </c>
      <c r="D4" s="2">
        <f>(EVOALU[[#This Row],[Internal Frame Height (IFH)
Dim "A"]])-150-38</f>
        <v>983</v>
      </c>
      <c r="E4" s="2">
        <f>(EVOALU[[#This Row],[Internal Frame Height (IFH)
Dim "A"]]/2)-137-38</f>
        <v>410.5</v>
      </c>
      <c r="F4" s="2">
        <f>EVOALU[[#This Row],[Overall Sash Height (OSH)]]/2+13</f>
        <v>590</v>
      </c>
      <c r="G4" s="2">
        <v>108</v>
      </c>
      <c r="H4" s="13">
        <f t="shared" si="0"/>
        <v>1501.5</v>
      </c>
      <c r="I4" s="2">
        <f>EVOALU[[#This Row],[Cord Length (CL)]]+65+65</f>
        <v>1631.5</v>
      </c>
      <c r="J4" s="15">
        <f>(EVOALU[[#This Row],[Cord Length (CL)]]-EVOALU[[#This Row],[Pulley (PC)]])/2</f>
        <v>696.75</v>
      </c>
      <c r="L4" s="17">
        <f>EVOALU[[#This Row],[Internal Frame Height (IFH)
Dim "A"]]*1.5</f>
        <v>1756.5</v>
      </c>
      <c r="M4">
        <f t="shared" ref="M4:M15" si="1">L4-245+65+65</f>
        <v>1641.5</v>
      </c>
    </row>
    <row r="5" spans="1:13">
      <c r="A5" s="12">
        <v>1300</v>
      </c>
      <c r="B5" s="3">
        <f>EVOALU[[#This Row],[Overall Frame Height (OFH)]]-12-17</f>
        <v>1271</v>
      </c>
      <c r="C5" s="3">
        <f>EVOALU[[#This Row],[Internal Frame Height (IFH)
Dim "A"]]-15-2</f>
        <v>1254</v>
      </c>
      <c r="D5" s="2">
        <f>(EVOALU[[#This Row],[Internal Frame Height (IFH)
Dim "A"]])-150-38</f>
        <v>1083</v>
      </c>
      <c r="E5" s="2">
        <f>(EVOALU[[#This Row],[Internal Frame Height (IFH)
Dim "A"]]/2)-137-38</f>
        <v>460.5</v>
      </c>
      <c r="F5" s="2">
        <f>EVOALU[[#This Row],[Overall Sash Height (OSH)]]/2+13</f>
        <v>640</v>
      </c>
      <c r="G5" s="2">
        <v>108</v>
      </c>
      <c r="H5" s="13">
        <f t="shared" si="0"/>
        <v>1651.5</v>
      </c>
      <c r="I5" s="2">
        <f>EVOALU[[#This Row],[Cord Length (CL)]]+65+65</f>
        <v>1781.5</v>
      </c>
      <c r="J5" s="15">
        <f>(EVOALU[[#This Row],[Cord Length (CL)]]-EVOALU[[#This Row],[Pulley (PC)]])/2</f>
        <v>771.75</v>
      </c>
      <c r="L5" s="17">
        <f>EVOALU[[#This Row],[Internal Frame Height (IFH)
Dim "A"]]*1.5</f>
        <v>1906.5</v>
      </c>
      <c r="M5">
        <f t="shared" si="1"/>
        <v>1791.5</v>
      </c>
    </row>
    <row r="6" spans="1:13">
      <c r="A6" s="12">
        <v>1400</v>
      </c>
      <c r="B6" s="3">
        <f>EVOALU[[#This Row],[Overall Frame Height (OFH)]]-12-17</f>
        <v>1371</v>
      </c>
      <c r="C6" s="3">
        <f>EVOALU[[#This Row],[Internal Frame Height (IFH)
Dim "A"]]-15-2</f>
        <v>1354</v>
      </c>
      <c r="D6" s="2">
        <f>(EVOALU[[#This Row],[Internal Frame Height (IFH)
Dim "A"]])-150-38</f>
        <v>1183</v>
      </c>
      <c r="E6" s="2">
        <f>(EVOALU[[#This Row],[Internal Frame Height (IFH)
Dim "A"]]/2)-137-38</f>
        <v>510.5</v>
      </c>
      <c r="F6" s="2">
        <f>EVOALU[[#This Row],[Overall Sash Height (OSH)]]/2+13</f>
        <v>690</v>
      </c>
      <c r="G6" s="2">
        <v>108</v>
      </c>
      <c r="H6" s="13">
        <f t="shared" si="0"/>
        <v>1801.5</v>
      </c>
      <c r="I6" s="2">
        <f>EVOALU[[#This Row],[Cord Length (CL)]]+65+65</f>
        <v>1931.5</v>
      </c>
      <c r="J6" s="15">
        <f>(EVOALU[[#This Row],[Cord Length (CL)]]-EVOALU[[#This Row],[Pulley (PC)]])/2</f>
        <v>846.75</v>
      </c>
      <c r="L6" s="17">
        <f>EVOALU[[#This Row],[Internal Frame Height (IFH)
Dim "A"]]*1.5</f>
        <v>2056.5</v>
      </c>
      <c r="M6">
        <f t="shared" si="1"/>
        <v>1941.5</v>
      </c>
    </row>
    <row r="7" spans="1:13">
      <c r="A7" s="12">
        <v>1500</v>
      </c>
      <c r="B7" s="3">
        <f>EVOALU[[#This Row],[Overall Frame Height (OFH)]]-12-17</f>
        <v>1471</v>
      </c>
      <c r="C7" s="3">
        <f>EVOALU[[#This Row],[Internal Frame Height (IFH)
Dim "A"]]-15-2</f>
        <v>1454</v>
      </c>
      <c r="D7" s="2">
        <f>(EVOALU[[#This Row],[Internal Frame Height (IFH)
Dim "A"]])-150-38</f>
        <v>1283</v>
      </c>
      <c r="E7" s="2">
        <f>(EVOALU[[#This Row],[Internal Frame Height (IFH)
Dim "A"]]/2)-137-38</f>
        <v>560.5</v>
      </c>
      <c r="F7" s="2">
        <f>EVOALU[[#This Row],[Overall Sash Height (OSH)]]/2+13</f>
        <v>740</v>
      </c>
      <c r="G7" s="2">
        <v>108</v>
      </c>
      <c r="H7" s="13">
        <f t="shared" si="0"/>
        <v>1951.5</v>
      </c>
      <c r="I7" s="2">
        <f>EVOALU[[#This Row],[Cord Length (CL)]]+65+65</f>
        <v>2081.5</v>
      </c>
      <c r="J7" s="15">
        <f>(EVOALU[[#This Row],[Cord Length (CL)]]-EVOALU[[#This Row],[Pulley (PC)]])/2</f>
        <v>921.75</v>
      </c>
      <c r="L7" s="17">
        <f>EVOALU[[#This Row],[Internal Frame Height (IFH)
Dim "A"]]*1.5</f>
        <v>2206.5</v>
      </c>
      <c r="M7">
        <f t="shared" si="1"/>
        <v>2091.5</v>
      </c>
    </row>
    <row r="8" spans="1:13">
      <c r="A8" s="12">
        <v>1600</v>
      </c>
      <c r="B8" s="3">
        <f>EVOALU[[#This Row],[Overall Frame Height (OFH)]]-12-17</f>
        <v>1571</v>
      </c>
      <c r="C8" s="3">
        <f>EVOALU[[#This Row],[Internal Frame Height (IFH)
Dim "A"]]-15-2</f>
        <v>1554</v>
      </c>
      <c r="D8" s="2">
        <f>(EVOALU[[#This Row],[Internal Frame Height (IFH)
Dim "A"]])-150-38</f>
        <v>1383</v>
      </c>
      <c r="E8" s="2">
        <f>(EVOALU[[#This Row],[Internal Frame Height (IFH)
Dim "A"]]/2)-137-38</f>
        <v>610.5</v>
      </c>
      <c r="F8" s="8">
        <f>EVOALU[[#This Row],[Overall Sash Height (OSH)]]/2+13</f>
        <v>790</v>
      </c>
      <c r="G8" s="8">
        <v>108</v>
      </c>
      <c r="H8" s="14">
        <f t="shared" si="0"/>
        <v>2101.5</v>
      </c>
      <c r="I8" s="8">
        <f>EVOALU[[#This Row],[Cord Length (CL)]]+65+65</f>
        <v>2231.5</v>
      </c>
      <c r="J8" s="16">
        <f>(EVOALU[[#This Row],[Cord Length (CL)]]-EVOALU[[#This Row],[Pulley (PC)]])/2</f>
        <v>996.75</v>
      </c>
      <c r="L8" s="17">
        <f>EVOALU[[#This Row],[Internal Frame Height (IFH)
Dim "A"]]*1.5</f>
        <v>2356.5</v>
      </c>
      <c r="M8">
        <f t="shared" si="1"/>
        <v>2241.5</v>
      </c>
    </row>
    <row r="9" spans="1:13">
      <c r="A9" s="12">
        <v>1700</v>
      </c>
      <c r="B9" s="7">
        <f>EVOALU[[#This Row],[Overall Frame Height (OFH)]]-12-17</f>
        <v>1671</v>
      </c>
      <c r="C9" s="7">
        <f>EVOALU[[#This Row],[Internal Frame Height (IFH)
Dim "A"]]-15-2</f>
        <v>1654</v>
      </c>
      <c r="D9" s="2">
        <f>(EVOALU[[#This Row],[Internal Frame Height (IFH)
Dim "A"]])-150-38</f>
        <v>1483</v>
      </c>
      <c r="E9" s="2">
        <f>(EVOALU[[#This Row],[Internal Frame Height (IFH)
Dim "A"]]/2)-137-38</f>
        <v>660.5</v>
      </c>
      <c r="F9" s="8">
        <f>EVOALU[[#This Row],[Overall Sash Height (OSH)]]/2+13</f>
        <v>840</v>
      </c>
      <c r="G9" s="8">
        <v>108</v>
      </c>
      <c r="H9" s="14">
        <f t="shared" si="0"/>
        <v>2251.5</v>
      </c>
      <c r="I9" s="8">
        <f>EVOALU[[#This Row],[Cord Length (CL)]]+65+65</f>
        <v>2381.5</v>
      </c>
      <c r="J9" s="16">
        <f>(EVOALU[[#This Row],[Cord Length (CL)]]-EVOALU[[#This Row],[Pulley (PC)]])/2</f>
        <v>1071.75</v>
      </c>
      <c r="L9" s="17">
        <f>EVOALU[[#This Row],[Internal Frame Height (IFH)
Dim "A"]]*1.5</f>
        <v>2506.5</v>
      </c>
      <c r="M9">
        <f t="shared" si="1"/>
        <v>2391.5</v>
      </c>
    </row>
    <row r="10" spans="1:13">
      <c r="A10" s="12">
        <v>1800</v>
      </c>
      <c r="B10" s="7">
        <f>EVOALU[[#This Row],[Overall Frame Height (OFH)]]-12-17</f>
        <v>1771</v>
      </c>
      <c r="C10" s="7">
        <f>EVOALU[[#This Row],[Internal Frame Height (IFH)
Dim "A"]]-15-2</f>
        <v>1754</v>
      </c>
      <c r="D10" s="2">
        <f>(EVOALU[[#This Row],[Internal Frame Height (IFH)
Dim "A"]])-150-38</f>
        <v>1583</v>
      </c>
      <c r="E10" s="2">
        <f>(EVOALU[[#This Row],[Internal Frame Height (IFH)
Dim "A"]]/2)-137-38</f>
        <v>710.5</v>
      </c>
      <c r="F10" s="2">
        <f>EVOALU[[#This Row],[Overall Sash Height (OSH)]]/2+13</f>
        <v>890</v>
      </c>
      <c r="G10" s="2">
        <v>108</v>
      </c>
      <c r="H10" s="14">
        <f t="shared" si="0"/>
        <v>2401.5</v>
      </c>
      <c r="I10" s="8">
        <f>EVOALU[[#This Row],[Cord Length (CL)]]+65+65</f>
        <v>2531.5</v>
      </c>
      <c r="J10" s="16">
        <f>(EVOALU[[#This Row],[Cord Length (CL)]]-EVOALU[[#This Row],[Pulley (PC)]])/2</f>
        <v>1146.75</v>
      </c>
      <c r="L10" s="17">
        <f>EVOALU[[#This Row],[Internal Frame Height (IFH)
Dim "A"]]*1.5</f>
        <v>2656.5</v>
      </c>
      <c r="M10">
        <f t="shared" si="1"/>
        <v>2541.5</v>
      </c>
    </row>
    <row r="11" spans="1:13">
      <c r="A11" s="12">
        <v>2000</v>
      </c>
      <c r="B11" s="7">
        <f>EVOALU[[#This Row],[Overall Frame Height (OFH)]]-12-17</f>
        <v>1971</v>
      </c>
      <c r="C11" s="7">
        <f>EVOALU[[#This Row],[Internal Frame Height (IFH)
Dim "A"]]-15-2</f>
        <v>1954</v>
      </c>
      <c r="D11" s="2">
        <f>(EVOALU[[#This Row],[Internal Frame Height (IFH)
Dim "A"]])-150-38</f>
        <v>1783</v>
      </c>
      <c r="E11" s="2">
        <f>(EVOALU[[#This Row],[Internal Frame Height (IFH)
Dim "A"]]/2)-137-38</f>
        <v>810.5</v>
      </c>
      <c r="F11" s="2">
        <f>EVOALU[[#This Row],[Overall Sash Height (OSH)]]/2+13</f>
        <v>990</v>
      </c>
      <c r="G11" s="2">
        <v>108</v>
      </c>
      <c r="H11" s="14">
        <f t="shared" si="0"/>
        <v>2701.5</v>
      </c>
      <c r="I11" s="8">
        <f>EVOALU[[#This Row],[Cord Length (CL)]]+65+65</f>
        <v>2831.5</v>
      </c>
      <c r="J11" s="16">
        <f>(EVOALU[[#This Row],[Cord Length (CL)]]-EVOALU[[#This Row],[Pulley (PC)]])/2</f>
        <v>1296.75</v>
      </c>
      <c r="L11" s="17">
        <f>EVOALU[[#This Row],[Internal Frame Height (IFH)
Dim "A"]]*1.5</f>
        <v>2956.5</v>
      </c>
      <c r="M11">
        <f t="shared" si="1"/>
        <v>2841.5</v>
      </c>
    </row>
    <row r="12" spans="1:13">
      <c r="A12" s="12">
        <v>2100</v>
      </c>
      <c r="B12" s="7">
        <f>EVOALU[[#This Row],[Overall Frame Height (OFH)]]-12-17</f>
        <v>2071</v>
      </c>
      <c r="C12" s="7">
        <f>EVOALU[[#This Row],[Internal Frame Height (IFH)
Dim "A"]]-15-2</f>
        <v>2054</v>
      </c>
      <c r="D12" s="2">
        <f>(EVOALU[[#This Row],[Internal Frame Height (IFH)
Dim "A"]])-150-38</f>
        <v>1883</v>
      </c>
      <c r="E12" s="2">
        <f>(EVOALU[[#This Row],[Internal Frame Height (IFH)
Dim "A"]]/2)-137-38</f>
        <v>860.5</v>
      </c>
      <c r="F12" s="2">
        <f>EVOALU[[#This Row],[Overall Sash Height (OSH)]]/2+13</f>
        <v>1040</v>
      </c>
      <c r="G12" s="2">
        <v>108</v>
      </c>
      <c r="H12" s="14">
        <f t="shared" si="0"/>
        <v>2851.5</v>
      </c>
      <c r="I12" s="8">
        <f>EVOALU[[#This Row],[Cord Length (CL)]]+65+65</f>
        <v>2981.5</v>
      </c>
      <c r="J12" s="16">
        <f>(EVOALU[[#This Row],[Cord Length (CL)]]-EVOALU[[#This Row],[Pulley (PC)]])/2</f>
        <v>1371.75</v>
      </c>
      <c r="L12" s="17">
        <f>EVOALU[[#This Row],[Internal Frame Height (IFH)
Dim "A"]]*1.5</f>
        <v>3106.5</v>
      </c>
      <c r="M12">
        <f t="shared" si="1"/>
        <v>2991.5</v>
      </c>
    </row>
    <row r="13" spans="1:13">
      <c r="A13" s="12">
        <v>2400</v>
      </c>
      <c r="B13" s="7">
        <f>EVOALU[[#This Row],[Overall Frame Height (OFH)]]-12-17</f>
        <v>2371</v>
      </c>
      <c r="C13" s="7">
        <f>EVOALU[[#This Row],[Internal Frame Height (IFH)
Dim "A"]]-15-2</f>
        <v>2354</v>
      </c>
      <c r="D13" s="2">
        <f>(EVOALU[[#This Row],[Internal Frame Height (IFH)
Dim "A"]])-150-38</f>
        <v>2183</v>
      </c>
      <c r="E13" s="2">
        <f>(EVOALU[[#This Row],[Internal Frame Height (IFH)
Dim "A"]]/2)-137-38</f>
        <v>1010.5</v>
      </c>
      <c r="F13" s="2">
        <f>EVOALU[[#This Row],[Overall Sash Height (OSH)]]/2+13</f>
        <v>1190</v>
      </c>
      <c r="G13" s="2">
        <v>108</v>
      </c>
      <c r="H13" s="14">
        <f t="shared" si="0"/>
        <v>3301.5</v>
      </c>
      <c r="I13" s="8">
        <f>EVOALU[[#This Row],[Cord Length (CL)]]+65+65</f>
        <v>3431.5</v>
      </c>
      <c r="J13" s="16">
        <f>(EVOALU[[#This Row],[Cord Length (CL)]]-EVOALU[[#This Row],[Pulley (PC)]])/2</f>
        <v>1596.75</v>
      </c>
      <c r="L13" s="17">
        <f>EVOALU[[#This Row],[Internal Frame Height (IFH)
Dim "A"]]*1.5</f>
        <v>3556.5</v>
      </c>
      <c r="M13">
        <f>L13-245+65+65</f>
        <v>3441.5</v>
      </c>
    </row>
    <row r="14" spans="1:13">
      <c r="A14" s="12">
        <v>2700</v>
      </c>
      <c r="B14" s="7">
        <f>EVOALU[[#This Row],[Overall Frame Height (OFH)]]-12-17</f>
        <v>2671</v>
      </c>
      <c r="C14" s="7">
        <f>EVOALU[[#This Row],[Internal Frame Height (IFH)
Dim "A"]]-15-2</f>
        <v>2654</v>
      </c>
      <c r="D14" s="2">
        <f>(EVOALU[[#This Row],[Internal Frame Height (IFH)
Dim "A"]])-150-38</f>
        <v>2483</v>
      </c>
      <c r="E14" s="2">
        <f>(EVOALU[[#This Row],[Internal Frame Height (IFH)
Dim "A"]]/2)-137-38</f>
        <v>1160.5</v>
      </c>
      <c r="F14" s="2">
        <f>EVOALU[[#This Row],[Overall Sash Height (OSH)]]/2+13</f>
        <v>1340</v>
      </c>
      <c r="G14" s="2">
        <v>108</v>
      </c>
      <c r="H14" s="14">
        <f t="shared" si="0"/>
        <v>3751.5</v>
      </c>
      <c r="I14" s="8">
        <f>EVOALU[[#This Row],[Cord Length (CL)]]+65+65</f>
        <v>3881.5</v>
      </c>
      <c r="J14" s="16">
        <f>(EVOALU[[#This Row],[Cord Length (CL)]]-EVOALU[[#This Row],[Pulley (PC)]])/2</f>
        <v>1821.75</v>
      </c>
      <c r="L14" s="17">
        <f>EVOALU[[#This Row],[Internal Frame Height (IFH)
Dim "A"]]*1.5</f>
        <v>4006.5</v>
      </c>
      <c r="M14">
        <f t="shared" si="1"/>
        <v>3891.5</v>
      </c>
    </row>
    <row r="15" spans="1:13">
      <c r="A15" s="12">
        <v>3000</v>
      </c>
      <c r="B15" s="7">
        <f>EVOALU[[#This Row],[Overall Frame Height (OFH)]]-12-17</f>
        <v>2971</v>
      </c>
      <c r="C15" s="7">
        <f>EVOALU[[#This Row],[Internal Frame Height (IFH)
Dim "A"]]-15-2</f>
        <v>2954</v>
      </c>
      <c r="D15" s="2">
        <f>(EVOALU[[#This Row],[Internal Frame Height (IFH)
Dim "A"]])-150-38</f>
        <v>2783</v>
      </c>
      <c r="E15" s="2">
        <f>(EVOALU[[#This Row],[Internal Frame Height (IFH)
Dim "A"]]/2)-137-38</f>
        <v>1310.5</v>
      </c>
      <c r="F15" s="2">
        <f>EVOALU[[#This Row],[Overall Sash Height (OSH)]]/2+13</f>
        <v>1490</v>
      </c>
      <c r="G15" s="2">
        <v>108</v>
      </c>
      <c r="H15" s="14">
        <f t="shared" si="0"/>
        <v>4201.5</v>
      </c>
      <c r="I15" s="8">
        <f>EVOALU[[#This Row],[Cord Length (CL)]]+65+65</f>
        <v>4331.5</v>
      </c>
      <c r="J15" s="16">
        <f>(EVOALU[[#This Row],[Cord Length (CL)]]-EVOALU[[#This Row],[Pulley (PC)]])/2</f>
        <v>2046.75</v>
      </c>
      <c r="L15" s="17">
        <f>EVOALU[[#This Row],[Internal Frame Height (IFH)
Dim "A"]]*1.5</f>
        <v>4456.5</v>
      </c>
      <c r="M15">
        <f t="shared" si="1"/>
        <v>4341.5</v>
      </c>
    </row>
    <row r="16" spans="1:13" ht="14.25">
      <c r="A16" s="41">
        <f>'HUNG dies'!$D$6</f>
        <v>2888</v>
      </c>
      <c r="B16" s="42">
        <f>EVOALU[[#This Row],[Overall Frame Height (OFH)]]-12-17</f>
        <v>2859</v>
      </c>
      <c r="C16" s="42">
        <f>EVOALU[[#This Row],[Internal Frame Height (IFH)
Dim "A"]]-15-2</f>
        <v>2842</v>
      </c>
      <c r="D16" s="43">
        <f>(EVOALU[[#This Row],[Internal Frame Height (IFH)
Dim "A"]])-150-38</f>
        <v>2671</v>
      </c>
      <c r="E16" s="43">
        <f>(EVOALU[[#This Row],[Internal Frame Height (IFH)
Dim "A"]]/2)-137-38</f>
        <v>1254.5</v>
      </c>
      <c r="F16" s="43">
        <f>EVOALU[[#This Row],[Overall Sash Height (OSH)]]/2+13</f>
        <v>1434</v>
      </c>
      <c r="G16" s="43">
        <v>108</v>
      </c>
      <c r="H16" s="44">
        <f>G16+E16+D16</f>
        <v>4033.5</v>
      </c>
      <c r="I16" s="46">
        <f>EVOALU[[#This Row],[Cord Length (CL)]]+65+65</f>
        <v>4163.5</v>
      </c>
      <c r="J16" s="45">
        <f>(EVOALU[[#This Row],[Cord Length (CL)]]-EVOALU[[#This Row],[Pulley (PC)]])/2</f>
        <v>1962.75</v>
      </c>
    </row>
    <row r="18" spans="1:10">
      <c r="J18" s="48" t="s">
        <v>54</v>
      </c>
    </row>
    <row r="19" spans="1:10" hidden="1">
      <c r="A19" s="10" t="s">
        <v>6</v>
      </c>
      <c r="B19" s="11">
        <v>148</v>
      </c>
      <c r="C19" s="10" t="s">
        <v>9</v>
      </c>
    </row>
    <row r="20" spans="1:10" hidden="1">
      <c r="A20" s="10" t="s">
        <v>7</v>
      </c>
      <c r="B20" s="11">
        <v>10</v>
      </c>
      <c r="C20" s="10" t="s">
        <v>8</v>
      </c>
    </row>
    <row r="21" spans="1:10" hidden="1">
      <c r="A21" s="10" t="s">
        <v>6</v>
      </c>
      <c r="B21" s="11">
        <v>1</v>
      </c>
      <c r="C21" s="10" t="s">
        <v>10</v>
      </c>
    </row>
    <row r="22" spans="1:10" hidden="1">
      <c r="A22" s="10" t="s">
        <v>6</v>
      </c>
      <c r="B22" s="11">
        <v>150</v>
      </c>
      <c r="C22" s="10" t="s">
        <v>11</v>
      </c>
    </row>
    <row r="23" spans="1:10" hidden="1">
      <c r="A23" s="10" t="s">
        <v>19</v>
      </c>
      <c r="B23" s="11">
        <v>65</v>
      </c>
      <c r="C23" s="10" t="s">
        <v>20</v>
      </c>
    </row>
    <row r="24" spans="1:10" hidden="1">
      <c r="A24" s="10" t="s">
        <v>12</v>
      </c>
      <c r="B24" s="11">
        <v>26</v>
      </c>
      <c r="C24" s="10" t="s">
        <v>13</v>
      </c>
    </row>
    <row r="25" spans="1:10" hidden="1">
      <c r="A25" s="10" t="s">
        <v>18</v>
      </c>
      <c r="B25" s="11">
        <v>108</v>
      </c>
      <c r="C25" s="10" t="s">
        <v>14</v>
      </c>
    </row>
    <row r="26" spans="1:10" hidden="1"/>
    <row r="27" spans="1:10" hidden="1"/>
    <row r="28" spans="1:10" hidden="1"/>
    <row r="29" spans="1:10" hidden="1"/>
    <row r="34" spans="10:10">
      <c r="J34" s="1" t="s">
        <v>55</v>
      </c>
    </row>
  </sheetData>
  <sheetProtection algorithmName="SHA-512" hashValue="JFwfwO/wlIQUFSL4pRf2ZsVjNmdRZFpNO6osFQzmguTYnjwl/nuR9hjXrbshwhYH0j/JWT9Jlvzd37pYtzSbdw==" saltValue="kLo4bDFHDG/TVodmLLBUDA==" spinCount="100000" sheet="1" objects="1" scenarios="1"/>
  <phoneticPr fontId="5" type="noConversion"/>
  <pageMargins left="0.7" right="0.7" top="0.75" bottom="0.75" header="0.3" footer="0.3"/>
  <pageSetup paperSize="9" orientation="portrait" horizontalDpi="4294967293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a6d63f-c07e-4a7a-9de3-b301e13bd3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3AB25A4C59644AD1B5DEA69BD7E75" ma:contentTypeVersion="15" ma:contentTypeDescription="Create a new document." ma:contentTypeScope="" ma:versionID="89c85fb19406ee7038479b0def402c3d">
  <xsd:schema xmlns:xsd="http://www.w3.org/2001/XMLSchema" xmlns:xs="http://www.w3.org/2001/XMLSchema" xmlns:p="http://schemas.microsoft.com/office/2006/metadata/properties" xmlns:ns3="867a8167-dbee-4575-883c-6b2ed174d39f" xmlns:ns4="00a6d63f-c07e-4a7a-9de3-b301e13bd3a0" targetNamespace="http://schemas.microsoft.com/office/2006/metadata/properties" ma:root="true" ma:fieldsID="18d2b0bb980156b061e8f16a10ecad9c" ns3:_="" ns4:_="">
    <xsd:import namespace="867a8167-dbee-4575-883c-6b2ed174d39f"/>
    <xsd:import namespace="00a6d63f-c07e-4a7a-9de3-b301e13bd3a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a8167-dbee-4575-883c-6b2ed174d3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6d63f-c07e-4a7a-9de3-b301e13bd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A9E801-075D-4159-9AD6-0E3233E51AC4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867a8167-dbee-4575-883c-6b2ed174d39f"/>
    <ds:schemaRef ds:uri="http://schemas.microsoft.com/office/2006/documentManagement/types"/>
    <ds:schemaRef ds:uri="00a6d63f-c07e-4a7a-9de3-b301e13bd3a0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0F458D9-BA02-496A-B536-242B52667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031B9-F5A2-42A5-B703-1AB624C17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7a8167-dbee-4575-883c-6b2ed174d39f"/>
    <ds:schemaRef ds:uri="00a6d63f-c07e-4a7a-9de3-b301e13bd3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HUNG dies</vt:lpstr>
      <vt:lpstr>HUNG Takeoff</vt:lpstr>
      <vt:lpstr>FSA CORD calculate </vt:lpstr>
      <vt:lpstr>'HUNG dies'!Print_Area</vt:lpstr>
      <vt:lpstr>'HUNG Takeoff'!Print_Area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McDuff</dc:creator>
  <cp:lastModifiedBy>ปภาดา วีรประภานนท์</cp:lastModifiedBy>
  <cp:lastPrinted>2025-12-09T09:22:13Z</cp:lastPrinted>
  <dcterms:created xsi:type="dcterms:W3CDTF">2020-04-14T07:01:27Z</dcterms:created>
  <dcterms:modified xsi:type="dcterms:W3CDTF">2025-12-09T09:23:12Z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0x010100F933AB25A4C59644AD1B5DEA69BD7E75</vt:lpwstr>
  </property>
</Properties>
</file>