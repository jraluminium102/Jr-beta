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357" firstSheet="0" activeTab="0" autoFilterDateGrouping="1"/>
  </bookViews>
  <sheets>
    <sheet xmlns:r="http://schemas.openxmlformats.org/officeDocument/2006/relationships" name="JR คำนวณ" sheetId="1" state="visible" r:id="rId1"/>
    <sheet xmlns:r="http://schemas.openxmlformats.org/officeDocument/2006/relationships" name="อ้างอิง LUT" sheetId="2" state="visible" r:id="rId2"/>
    <sheet xmlns:r="http://schemas.openxmlformats.org/officeDocument/2006/relationships" name="INDEX" sheetId="3" state="visible" r:id="rId3"/>
    <sheet xmlns:r="http://schemas.openxmlformats.org/officeDocument/2006/relationships" name="INDEX เฟรมล่าง" sheetId="4" state="visible" r:id="rId4"/>
    <sheet xmlns:r="http://schemas.openxmlformats.org/officeDocument/2006/relationships" name="INDEX รางยู" sheetId="5" state="visible" r:id="rId5"/>
    <sheet xmlns:r="http://schemas.openxmlformats.org/officeDocument/2006/relationships" name="CORNER คู่+คู่" sheetId="6" state="visible" r:id="rId6"/>
    <sheet xmlns:r="http://schemas.openxmlformats.org/officeDocument/2006/relationships" name="CORNER คี่+คู่" sheetId="7" state="visible" r:id="rId7"/>
    <sheet xmlns:r="http://schemas.openxmlformats.org/officeDocument/2006/relationships" name="CORNER คี่+คี่" sheetId="8" state="visible" r:id="rId8"/>
    <sheet xmlns:r="http://schemas.openxmlformats.org/officeDocument/2006/relationships" name="2P 2-0" sheetId="9" state="visible" r:id="rId9"/>
    <sheet xmlns:r="http://schemas.openxmlformats.org/officeDocument/2006/relationships" name="3P 3-0" sheetId="10" state="visible" r:id="rId10"/>
    <sheet xmlns:r="http://schemas.openxmlformats.org/officeDocument/2006/relationships" name="3P 2-1" sheetId="11" state="visible" r:id="rId11"/>
    <sheet xmlns:r="http://schemas.openxmlformats.org/officeDocument/2006/relationships" name="4P 4-0" sheetId="12" state="visible" r:id="rId12"/>
    <sheet xmlns:r="http://schemas.openxmlformats.org/officeDocument/2006/relationships" name="4P 3-1" sheetId="13" state="visible" r:id="rId13"/>
    <sheet xmlns:r="http://schemas.openxmlformats.org/officeDocument/2006/relationships" name="4P 2-2" sheetId="14" state="visible" r:id="rId14"/>
    <sheet xmlns:r="http://schemas.openxmlformats.org/officeDocument/2006/relationships" name="5P 5-0" sheetId="15" state="visible" r:id="rId15"/>
    <sheet xmlns:r="http://schemas.openxmlformats.org/officeDocument/2006/relationships" name="5P 4-1" sheetId="16" state="visible" r:id="rId16"/>
    <sheet xmlns:r="http://schemas.openxmlformats.org/officeDocument/2006/relationships" name="5P 3-2" sheetId="17" state="visible" r:id="rId17"/>
    <sheet xmlns:r="http://schemas.openxmlformats.org/officeDocument/2006/relationships" name="6P 6-0" sheetId="18" state="visible" r:id="rId18"/>
    <sheet xmlns:r="http://schemas.openxmlformats.org/officeDocument/2006/relationships" name="6P 5-1" sheetId="19" state="visible" r:id="rId19"/>
    <sheet xmlns:r="http://schemas.openxmlformats.org/officeDocument/2006/relationships" name="6P 4-2" sheetId="20" state="visible" r:id="rId20"/>
    <sheet xmlns:r="http://schemas.openxmlformats.org/officeDocument/2006/relationships" name="6P 3-3" sheetId="21" state="visible" r:id="rId21"/>
    <sheet xmlns:r="http://schemas.openxmlformats.org/officeDocument/2006/relationships" name="7P 7-0" sheetId="22" state="visible" r:id="rId22"/>
    <sheet xmlns:r="http://schemas.openxmlformats.org/officeDocument/2006/relationships" name="7P 6-1" sheetId="23" state="visible" r:id="rId23"/>
    <sheet xmlns:r="http://schemas.openxmlformats.org/officeDocument/2006/relationships" name="7P 5-2" sheetId="24" state="visible" r:id="rId24"/>
    <sheet xmlns:r="http://schemas.openxmlformats.org/officeDocument/2006/relationships" name="7P 4-3" sheetId="25" state="visible" r:id="rId25"/>
    <sheet xmlns:r="http://schemas.openxmlformats.org/officeDocument/2006/relationships" name="8P 8-0" sheetId="26" state="visible" r:id="rId26"/>
    <sheet xmlns:r="http://schemas.openxmlformats.org/officeDocument/2006/relationships" name="8P 7-1" sheetId="27" state="visible" r:id="rId27"/>
    <sheet xmlns:r="http://schemas.openxmlformats.org/officeDocument/2006/relationships" name="8P 4-4" sheetId="28" state="visible" r:id="rId28"/>
    <sheet xmlns:r="http://schemas.openxmlformats.org/officeDocument/2006/relationships" name="8P 5-3" sheetId="29" state="visible" r:id="rId29"/>
    <sheet xmlns:r="http://schemas.openxmlformats.org/officeDocument/2006/relationships" name="8P 6-2" sheetId="30" state="visible" r:id="rId30"/>
    <sheet xmlns:r="http://schemas.openxmlformats.org/officeDocument/2006/relationships" name="9P 9-0" sheetId="31" state="visible" r:id="rId31"/>
    <sheet xmlns:r="http://schemas.openxmlformats.org/officeDocument/2006/relationships" name="9P 8-1" sheetId="32" state="visible" r:id="rId32"/>
    <sheet xmlns:r="http://schemas.openxmlformats.org/officeDocument/2006/relationships" name="9P 7-2" sheetId="33" state="visible" r:id="rId33"/>
    <sheet xmlns:r="http://schemas.openxmlformats.org/officeDocument/2006/relationships" name="9P 6-3" sheetId="34" state="visible" r:id="rId34"/>
    <sheet xmlns:r="http://schemas.openxmlformats.org/officeDocument/2006/relationships" name="9P 5-4" sheetId="35" state="visible" r:id="rId35"/>
    <sheet xmlns:r="http://schemas.openxmlformats.org/officeDocument/2006/relationships" name="10P 10-0" sheetId="36" state="visible" r:id="rId36"/>
    <sheet xmlns:r="http://schemas.openxmlformats.org/officeDocument/2006/relationships" name="10P 9-1" sheetId="37" state="visible" r:id="rId37"/>
    <sheet xmlns:r="http://schemas.openxmlformats.org/officeDocument/2006/relationships" name="10P 8-2" sheetId="38" state="visible" r:id="rId38"/>
    <sheet xmlns:r="http://schemas.openxmlformats.org/officeDocument/2006/relationships" name="10P 7-3" sheetId="39" state="visible" r:id="rId39"/>
    <sheet xmlns:r="http://schemas.openxmlformats.org/officeDocument/2006/relationships" name="10P 6-4" sheetId="40" state="visible" r:id="rId40"/>
    <sheet xmlns:r="http://schemas.openxmlformats.org/officeDocument/2006/relationships" name="10P 5-5" sheetId="41" state="visible" r:id="rId41"/>
    <sheet xmlns:r="http://schemas.openxmlformats.org/officeDocument/2006/relationships" name="CORNER คู่+คู่ (U)" sheetId="42" state="visible" r:id="rId42"/>
    <sheet xmlns:r="http://schemas.openxmlformats.org/officeDocument/2006/relationships" name="CORNER คี่+คู่ (U)" sheetId="43" state="visible" r:id="rId43"/>
    <sheet xmlns:r="http://schemas.openxmlformats.org/officeDocument/2006/relationships" name="CORNER คี่+คี่  (U)" sheetId="44" state="visible" r:id="rId44"/>
    <sheet xmlns:r="http://schemas.openxmlformats.org/officeDocument/2006/relationships" name="2P 2-0 (U)" sheetId="45" state="visible" r:id="rId45"/>
    <sheet xmlns:r="http://schemas.openxmlformats.org/officeDocument/2006/relationships" name="3P 3-0 (U)" sheetId="46" state="visible" r:id="rId46"/>
    <sheet xmlns:r="http://schemas.openxmlformats.org/officeDocument/2006/relationships" name="3P 2-1 (U)" sheetId="47" state="visible" r:id="rId47"/>
    <sheet xmlns:r="http://schemas.openxmlformats.org/officeDocument/2006/relationships" name="4P 4-0 (U)" sheetId="48" state="visible" r:id="rId48"/>
    <sheet xmlns:r="http://schemas.openxmlformats.org/officeDocument/2006/relationships" name="4P 3-1 (U)" sheetId="49" state="visible" r:id="rId49"/>
    <sheet xmlns:r="http://schemas.openxmlformats.org/officeDocument/2006/relationships" name="4P 2-2 (U)" sheetId="50" state="visible" r:id="rId50"/>
    <sheet xmlns:r="http://schemas.openxmlformats.org/officeDocument/2006/relationships" name="5P 5-0 (U)" sheetId="51" state="visible" r:id="rId51"/>
    <sheet xmlns:r="http://schemas.openxmlformats.org/officeDocument/2006/relationships" name="5P 4-1 (U)" sheetId="52" state="visible" r:id="rId52"/>
    <sheet xmlns:r="http://schemas.openxmlformats.org/officeDocument/2006/relationships" name="5P 3-2 (U)" sheetId="53" state="visible" r:id="rId53"/>
    <sheet xmlns:r="http://schemas.openxmlformats.org/officeDocument/2006/relationships" name="6P 6-0 (U)" sheetId="54" state="visible" r:id="rId54"/>
    <sheet xmlns:r="http://schemas.openxmlformats.org/officeDocument/2006/relationships" name="6P 5-1 (U)" sheetId="55" state="visible" r:id="rId55"/>
    <sheet xmlns:r="http://schemas.openxmlformats.org/officeDocument/2006/relationships" name="6P 4-2 (U)" sheetId="56" state="visible" r:id="rId56"/>
    <sheet xmlns:r="http://schemas.openxmlformats.org/officeDocument/2006/relationships" name="6P 3-3 (U)" sheetId="57" state="visible" r:id="rId57"/>
    <sheet xmlns:r="http://schemas.openxmlformats.org/officeDocument/2006/relationships" name="7P 7-0 (U)" sheetId="58" state="visible" r:id="rId58"/>
    <sheet xmlns:r="http://schemas.openxmlformats.org/officeDocument/2006/relationships" name="7P 6-1 (U)" sheetId="59" state="visible" r:id="rId59"/>
    <sheet xmlns:r="http://schemas.openxmlformats.org/officeDocument/2006/relationships" name="7P 5-2  (U)" sheetId="60" state="visible" r:id="rId60"/>
    <sheet xmlns:r="http://schemas.openxmlformats.org/officeDocument/2006/relationships" name="7P 4-3 (U)" sheetId="61" state="visible" r:id="rId61"/>
    <sheet xmlns:r="http://schemas.openxmlformats.org/officeDocument/2006/relationships" name="8P 8-0 (U)" sheetId="62" state="visible" r:id="rId62"/>
    <sheet xmlns:r="http://schemas.openxmlformats.org/officeDocument/2006/relationships" name="8P 7-1 (U)" sheetId="63" state="visible" r:id="rId63"/>
    <sheet xmlns:r="http://schemas.openxmlformats.org/officeDocument/2006/relationships" name="8P 4-4 (U)" sheetId="64" state="visible" r:id="rId64"/>
    <sheet xmlns:r="http://schemas.openxmlformats.org/officeDocument/2006/relationships" name="8P 5-3 (U)" sheetId="65" state="visible" r:id="rId65"/>
    <sheet xmlns:r="http://schemas.openxmlformats.org/officeDocument/2006/relationships" name="8P 6-2 (U)" sheetId="66" state="visible" r:id="rId66"/>
    <sheet xmlns:r="http://schemas.openxmlformats.org/officeDocument/2006/relationships" name="9P 9-0 (U)" sheetId="67" state="visible" r:id="rId67"/>
    <sheet xmlns:r="http://schemas.openxmlformats.org/officeDocument/2006/relationships" name="9P 8-1 (U)" sheetId="68" state="visible" r:id="rId68"/>
    <sheet xmlns:r="http://schemas.openxmlformats.org/officeDocument/2006/relationships" name="9P 7-2 (U)" sheetId="69" state="visible" r:id="rId69"/>
    <sheet xmlns:r="http://schemas.openxmlformats.org/officeDocument/2006/relationships" name="9P 6-3 (U)" sheetId="70" state="visible" r:id="rId70"/>
    <sheet xmlns:r="http://schemas.openxmlformats.org/officeDocument/2006/relationships" name="9P 5-4 (U)" sheetId="71" state="visible" r:id="rId71"/>
    <sheet xmlns:r="http://schemas.openxmlformats.org/officeDocument/2006/relationships" name="10P 10-0 (U)" sheetId="72" state="visible" r:id="rId72"/>
    <sheet xmlns:r="http://schemas.openxmlformats.org/officeDocument/2006/relationships" name="10P 9-1 (U)" sheetId="73" state="visible" r:id="rId73"/>
    <sheet xmlns:r="http://schemas.openxmlformats.org/officeDocument/2006/relationships" name="10P 8-2 (U)" sheetId="74" state="visible" r:id="rId74"/>
    <sheet xmlns:r="http://schemas.openxmlformats.org/officeDocument/2006/relationships" name="10P 7-3 (U)" sheetId="75" state="visible" r:id="rId75"/>
    <sheet xmlns:r="http://schemas.openxmlformats.org/officeDocument/2006/relationships" name="10P 6-4 (U)" sheetId="76" state="visible" r:id="rId76"/>
    <sheet xmlns:r="http://schemas.openxmlformats.org/officeDocument/2006/relationships" name="10P 5-5 (U)" sheetId="77" state="visible" r:id="rId77"/>
  </sheets>
  <definedNames>
    <definedName name="RUNON">#REF!+1</definedName>
    <definedName name="RUNON" localSheetId="2">#REF!+1</definedName>
    <definedName name="RUNON" localSheetId="4">#REF!+1</definedName>
    <definedName name="RUNON" localSheetId="5">#REF!+1</definedName>
    <definedName name="_xlnm.Print_Area" localSheetId="5">'CORNER คู่+คู่'!$A$1:$Q$87</definedName>
    <definedName name="RUNON" localSheetId="6">#REF!+1</definedName>
    <definedName name="_xlnm.Print_Area" localSheetId="6">'CORNER คี่+คู่'!$A$1:$Q$87</definedName>
    <definedName name="RUNON" localSheetId="7">#REF!+1</definedName>
    <definedName name="_xlnm.Print_Area" localSheetId="7">'CORNER คี่+คี่'!$A$1:$Q$87</definedName>
    <definedName name="_xlnm.Print_Area" localSheetId="8">'2P 2-0'!$A$1:$Q$30</definedName>
    <definedName name="RUNON" localSheetId="9">#REF!+1</definedName>
    <definedName name="RUNON" localSheetId="10">#REF!+1</definedName>
    <definedName name="_xlnm.Print_Area" localSheetId="10">'3P 2-1'!$A$1:$Q$33</definedName>
    <definedName name="RUNON" localSheetId="11">#REF!+1</definedName>
    <definedName name="_xlnm.Print_Area" localSheetId="11">'4P 4-0'!$A$1:$Q$30</definedName>
    <definedName name="RUNON" localSheetId="12">#REF!+1</definedName>
    <definedName name="_xlnm.Print_Area" localSheetId="12">'4P 3-1'!$A$1:$Q$33</definedName>
    <definedName name="RUNON" localSheetId="13">#REF!+1</definedName>
    <definedName name="_xlnm.Print_Area" localSheetId="13">'4P 2-2'!$A$1:$Q$30</definedName>
    <definedName name="RUNON" localSheetId="14">#REF!+1</definedName>
    <definedName name="_xlnm.Print_Area" localSheetId="14">'5P 5-0'!$A$1:$J$16</definedName>
    <definedName name="RUNON" localSheetId="15">#REF!+1</definedName>
    <definedName name="_xlnm.Print_Area" localSheetId="15">'5P 4-1'!$A$1:$Q$33</definedName>
    <definedName name="RUNON" localSheetId="16">#REF!+1</definedName>
    <definedName name="_xlnm.Print_Area" localSheetId="16">'5P 3-2'!$A$1:$Q$33</definedName>
    <definedName name="RUNON" localSheetId="17">#REF!+1</definedName>
    <definedName name="_xlnm.Print_Area" localSheetId="17">'6P 6-0'!$A$1:$Q$30</definedName>
    <definedName name="RUNON" localSheetId="18">#REF!+1</definedName>
    <definedName name="_xlnm.Print_Area" localSheetId="18">'6P 5-1'!$A$1:$Q$33</definedName>
    <definedName name="RUNON" localSheetId="19">#REF!+1</definedName>
    <definedName name="_xlnm.Print_Area" localSheetId="19">'6P 4-2'!$A$1:$Q$30</definedName>
    <definedName name="RUNON" localSheetId="20">#REF!+1</definedName>
    <definedName name="_xlnm.Print_Area" localSheetId="20">'6P 3-3'!$A$1:$Q$34</definedName>
    <definedName name="RUNON" localSheetId="21">#REF!+1</definedName>
    <definedName name="_xlnm.Print_Area" localSheetId="21">'7P 7-0'!$A$1:$Q$33</definedName>
    <definedName name="RUNON" localSheetId="22">#REF!+1</definedName>
    <definedName name="_xlnm.Print_Area" localSheetId="22">'7P 6-1'!$A$1:$Q$33</definedName>
    <definedName name="RUNON" localSheetId="23">#REF!+1</definedName>
    <definedName name="_xlnm.Print_Area" localSheetId="23">'7P 5-2'!$A$1:$Q$33</definedName>
    <definedName name="RUNON" localSheetId="24">#REF!+1</definedName>
    <definedName name="_xlnm.Print_Area" localSheetId="24">'7P 4-3'!$A$1:$Q$33</definedName>
    <definedName name="RUNON" localSheetId="25">#REF!+1</definedName>
    <definedName name="_xlnm.Print_Area" localSheetId="25">'8P 8-0'!$A$1:$Q$30</definedName>
    <definedName name="RUNON" localSheetId="26">#REF!+1</definedName>
    <definedName name="_xlnm.Print_Area" localSheetId="26">'8P 7-1'!$A$1:$Q$33</definedName>
    <definedName name="RUNON" localSheetId="27">#REF!+1</definedName>
    <definedName name="_xlnm.Print_Area" localSheetId="27">'8P 4-4'!$A$1:$Q$30</definedName>
    <definedName name="RUNON" localSheetId="28">#REF!+1</definedName>
    <definedName name="_xlnm.Print_Area" localSheetId="28">'8P 5-3'!$A$1:$Q$33</definedName>
    <definedName name="RUNON" localSheetId="29">#REF!+1</definedName>
    <definedName name="_xlnm.Print_Area" localSheetId="29">'8P 6-2'!$A$1:$Q$30</definedName>
    <definedName name="RUNON" localSheetId="30">#REF!+1</definedName>
    <definedName name="_xlnm.Print_Area" localSheetId="30">'9P 9-0'!$A$1:$Q$33</definedName>
    <definedName name="RUNON" localSheetId="31">#REF!+1</definedName>
    <definedName name="_xlnm.Print_Area" localSheetId="31">'9P 8-1'!$A$1:$Q$33</definedName>
    <definedName name="RUNON" localSheetId="32">#REF!+1</definedName>
    <definedName name="_xlnm.Print_Area" localSheetId="32">'9P 7-2'!$A$1:$Q$33</definedName>
    <definedName name="RUNON" localSheetId="33">#REF!+1</definedName>
    <definedName name="_xlnm.Print_Area" localSheetId="33">'9P 6-3'!$A$1:$Q$33</definedName>
    <definedName name="RUNON" localSheetId="34">#REF!+1</definedName>
    <definedName name="_xlnm.Print_Area" localSheetId="34">'9P 5-4'!$A$1:$Q$33</definedName>
    <definedName name="RUNON" localSheetId="35">#REF!+1</definedName>
    <definedName name="_xlnm.Print_Area" localSheetId="35">'10P 10-0'!$A$1:$Q$30</definedName>
    <definedName name="RUNON" localSheetId="36">#REF!+1</definedName>
    <definedName name="_xlnm.Print_Area" localSheetId="36">'10P 9-1'!$A$1:$Q$33</definedName>
    <definedName name="RUNON" localSheetId="37">#REF!+1</definedName>
    <definedName name="_xlnm.Print_Area" localSheetId="37">'10P 8-2'!$A$1:$Q$30</definedName>
    <definedName name="RUNON" localSheetId="38">#REF!+1</definedName>
    <definedName name="_xlnm.Print_Area" localSheetId="38">'10P 7-3'!$A$1:$Q$33</definedName>
    <definedName name="RUNON" localSheetId="39">#REF!+1</definedName>
    <definedName name="_xlnm.Print_Area" localSheetId="39">'10P 6-4'!$A$1:$Q$30</definedName>
    <definedName name="RUNON" localSheetId="40">#REF!+1</definedName>
    <definedName name="_xlnm.Print_Area" localSheetId="40">'10P 5-5'!$A$1:$Q$33</definedName>
    <definedName name="RUNON" localSheetId="41">#REF!+1</definedName>
    <definedName name="_xlnm.Print_Area" localSheetId="41">'CORNER คู่+คู่ (U)'!$A$1:$Q$87</definedName>
    <definedName name="RUNON" localSheetId="42">#REF!+1</definedName>
    <definedName name="_xlnm.Print_Area" localSheetId="42">'CORNER คี่+คู่ (U)'!$A$1:$Q$87</definedName>
    <definedName name="RUNON" localSheetId="43">#REF!+1</definedName>
    <definedName name="_xlnm.Print_Area" localSheetId="43">'CORNER คี่+คี่  (U)'!$A$1:$Q$87</definedName>
    <definedName name="_xlnm.Print_Area" localSheetId="44">'2P 2-0 (U)'!$A$1:$Q$30</definedName>
    <definedName name="RUNON" localSheetId="45">#REF!+1</definedName>
    <definedName name="_xlnm.Print_Area" localSheetId="45">'3P 3-0 (U)'!$A$1:$Q$33</definedName>
    <definedName name="RUNON" localSheetId="46">#REF!+1</definedName>
    <definedName name="_xlnm.Print_Area" localSheetId="46">'3P 2-1 (U)'!$A$1:$Q$33</definedName>
    <definedName name="RUNON" localSheetId="47">#REF!+1</definedName>
    <definedName name="_xlnm.Print_Area" localSheetId="47">'4P 4-0 (U)'!$A$1:$Q$30</definedName>
    <definedName name="RUNON" localSheetId="48">#REF!+1</definedName>
    <definedName name="_xlnm.Print_Area" localSheetId="48">'4P 3-1 (U)'!$A$1:$Q$33</definedName>
    <definedName name="RUNON" localSheetId="49">#REF!+1</definedName>
    <definedName name="_xlnm.Print_Area" localSheetId="49">'4P 2-2 (U)'!$A$1:$Q$30</definedName>
    <definedName name="RUNON" localSheetId="50">#REF!+1</definedName>
    <definedName name="_xlnm.Print_Area" localSheetId="50">'5P 5-0 (U)'!$A$1:$Q$33</definedName>
    <definedName name="RUNON" localSheetId="51">#REF!+1</definedName>
    <definedName name="_xlnm.Print_Area" localSheetId="51">'5P 4-1 (U)'!$A$1:$Q$33</definedName>
    <definedName name="RUNON" localSheetId="52">#REF!+1</definedName>
    <definedName name="_xlnm.Print_Area" localSheetId="52">'5P 3-2 (U)'!$A$1:$Q$33</definedName>
    <definedName name="RUNON" localSheetId="53">#REF!+1</definedName>
    <definedName name="_xlnm.Print_Area" localSheetId="53">'6P 6-0 (U)'!$A$1:$Q$30</definedName>
    <definedName name="RUNON" localSheetId="54">#REF!+1</definedName>
    <definedName name="_xlnm.Print_Area" localSheetId="54">'6P 5-1 (U)'!$A$1:$Q$33</definedName>
    <definedName name="RUNON" localSheetId="55">#REF!+1</definedName>
    <definedName name="_xlnm.Print_Area" localSheetId="55">'6P 4-2 (U)'!$A$1:$Q$30</definedName>
    <definedName name="RUNON" localSheetId="56">#REF!+1</definedName>
    <definedName name="_xlnm.Print_Area" localSheetId="56">'6P 3-3 (U)'!$A$1:$Q$33</definedName>
    <definedName name="RUNON" localSheetId="57">#REF!+1</definedName>
    <definedName name="_xlnm.Print_Area" localSheetId="57">'7P 7-0 (U)'!$A$1:$Q$33</definedName>
    <definedName name="RUNON" localSheetId="58">#REF!+1</definedName>
    <definedName name="_xlnm.Print_Area" localSheetId="58">'7P 6-1 (U)'!$A$1:$Q$33</definedName>
    <definedName name="RUNON" localSheetId="59">#REF!+1</definedName>
    <definedName name="_xlnm.Print_Area" localSheetId="59">'7P 5-2  (U)'!$A$1:$Q$33</definedName>
    <definedName name="RUNON" localSheetId="60">#REF!+1</definedName>
    <definedName name="_xlnm.Print_Area" localSheetId="60">'7P 4-3 (U)'!$A$1:$Q$33</definedName>
    <definedName name="RUNON" localSheetId="61">#REF!+1</definedName>
    <definedName name="_xlnm.Print_Area" localSheetId="61">'8P 8-0 (U)'!$A$1:$Q$30</definedName>
    <definedName name="RUNON" localSheetId="62">#REF!+1</definedName>
    <definedName name="_xlnm.Print_Area" localSheetId="62">'8P 7-1 (U)'!$A$1:$Q$33</definedName>
    <definedName name="RUNON" localSheetId="63">#REF!+1</definedName>
    <definedName name="_xlnm.Print_Area" localSheetId="63">'8P 4-4 (U)'!$A$1:$Q$30</definedName>
    <definedName name="RUNON" localSheetId="64">#REF!+1</definedName>
    <definedName name="_xlnm.Print_Area" localSheetId="64">'8P 5-3 (U)'!$A$1:$Q$33</definedName>
    <definedName name="RUNON" localSheetId="65">#REF!+1</definedName>
    <definedName name="_xlnm.Print_Area" localSheetId="65">'8P 6-2 (U)'!$A$1:$Q$30</definedName>
    <definedName name="RUNON" localSheetId="66">#REF!+1</definedName>
    <definedName name="_xlnm.Print_Area" localSheetId="66">'9P 9-0 (U)'!$A$1:$Q$33</definedName>
    <definedName name="RUNON" localSheetId="67">#REF!+1</definedName>
    <definedName name="_xlnm.Print_Area" localSheetId="67">'9P 8-1 (U)'!$A$1:$Q$33</definedName>
    <definedName name="RUNON" localSheetId="68">#REF!+1</definedName>
    <definedName name="_xlnm.Print_Area" localSheetId="68">'9P 7-2 (U)'!$A$1:$Q$33</definedName>
    <definedName name="RUNON" localSheetId="69">#REF!+1</definedName>
    <definedName name="_xlnm.Print_Area" localSheetId="69">'9P 6-3 (U)'!$A$1:$Q$33</definedName>
    <definedName name="RUNON" localSheetId="70">#REF!+1</definedName>
    <definedName name="_xlnm.Print_Area" localSheetId="70">'9P 5-4 (U)'!$A$1:$Q$33</definedName>
    <definedName name="RUNON" localSheetId="71">#REF!+1</definedName>
    <definedName name="_xlnm.Print_Area" localSheetId="71">'10P 10-0 (U)'!$A$1:$Q$30</definedName>
    <definedName name="RUNON" localSheetId="72">#REF!+1</definedName>
    <definedName name="_xlnm.Print_Area" localSheetId="72">'10P 9-1 (U)'!$A$1:$Q$33</definedName>
    <definedName name="RUNON" localSheetId="73">#REF!+1</definedName>
    <definedName name="_xlnm.Print_Area" localSheetId="73">'10P 8-2 (U)'!$A$1:$Q$30</definedName>
    <definedName name="RUNON" localSheetId="74">#REF!+1</definedName>
    <definedName name="_xlnm.Print_Area" localSheetId="74">'10P 7-3 (U)'!$A$1:$Q$33</definedName>
    <definedName name="RUNON" localSheetId="75">#REF!+1</definedName>
    <definedName name="_xlnm.Print_Area" localSheetId="75">'10P 6-4 (U)'!$A$1:$Q$30</definedName>
    <definedName name="RUNON" localSheetId="76">#REF!+1</definedName>
    <definedName name="_xlnm.Print_Area" localSheetId="76">'10P 5-5 (U)'!$A$1:$Q$33</definedName>
  </definedNames>
  <calcPr calcId="162913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#,##0\ &quot;M&quot;"/>
    <numFmt numFmtId="166" formatCode="#,##0\ &quot;mm&quot;"/>
    <numFmt numFmtId="167" formatCode="#,##0.0\ &quot;M&quot;"/>
    <numFmt numFmtId="168" formatCode="#,##0\ &quot;kg.&quot;\ &quot; / บาน&quot;"/>
    <numFmt numFmtId="169" formatCode="&quot;รวม&quot;\ #,##0\ &quot;kg.&quot;"/>
    <numFmt numFmtId="170" formatCode="#,##0.0"/>
    <numFmt numFmtId="171" formatCode="0.000"/>
    <numFmt numFmtId="172" formatCode="0.##"/>
  </numFmts>
  <fonts count="24">
    <font>
      <name val="Tahoma"/>
      <charset val="222"/>
      <family val="2"/>
      <color theme="1"/>
      <sz val="11"/>
      <scheme val="minor"/>
    </font>
    <font>
      <name val="Tahoma"/>
      <family val="2"/>
      <b val="1"/>
      <color theme="1"/>
      <sz val="28"/>
      <scheme val="minor"/>
    </font>
    <font>
      <name val="Tahoma"/>
      <family val="2"/>
      <b val="1"/>
      <color rgb="FF000000"/>
      <sz val="11"/>
    </font>
    <font>
      <name val="Tahoma"/>
      <charset val="222"/>
      <family val="2"/>
      <color theme="1"/>
      <sz val="16"/>
      <scheme val="minor"/>
    </font>
    <font>
      <name val="Tahoma"/>
      <charset val="222"/>
      <family val="2"/>
      <color theme="1"/>
      <sz val="12"/>
      <scheme val="minor"/>
    </font>
    <font>
      <name val="Tahoma"/>
      <family val="2"/>
      <b val="1"/>
      <color theme="1"/>
      <sz val="16"/>
      <scheme val="minor"/>
    </font>
    <font>
      <name val="Tahoma"/>
      <family val="2"/>
      <color theme="1"/>
      <sz val="16"/>
      <scheme val="minor"/>
    </font>
    <font>
      <name val="Tahoma"/>
      <family val="2"/>
      <b val="1"/>
      <color theme="1"/>
      <sz val="20"/>
      <scheme val="minor"/>
    </font>
    <font>
      <name val="Tahoma"/>
      <charset val="222"/>
      <family val="2"/>
      <color theme="1"/>
      <sz val="14"/>
      <scheme val="minor"/>
    </font>
    <font>
      <name val="Tahoma"/>
      <family val="2"/>
      <color theme="1"/>
      <sz val="12"/>
      <scheme val="minor"/>
    </font>
    <font>
      <name val="Tahoma"/>
      <family val="2"/>
      <b val="1"/>
      <color theme="1"/>
      <sz val="12"/>
      <scheme val="minor"/>
    </font>
    <font>
      <name val="Tahoma"/>
      <charset val="222"/>
      <family val="2"/>
      <color theme="1"/>
      <sz val="20"/>
      <scheme val="minor"/>
    </font>
    <font>
      <name val="Tahoma"/>
      <charset val="222"/>
      <family val="2"/>
      <sz val="12"/>
      <scheme val="minor"/>
    </font>
    <font>
      <name val="Tahoma"/>
      <family val="2"/>
      <b val="1"/>
      <color theme="1"/>
      <sz val="26"/>
      <scheme val="minor"/>
    </font>
    <font>
      <name val="Tahoma"/>
      <charset val="222"/>
      <family val="2"/>
      <color theme="1"/>
      <sz val="24"/>
      <scheme val="minor"/>
    </font>
    <font>
      <name val="Tahoma"/>
      <family val="2"/>
      <b val="1"/>
      <color theme="1"/>
      <sz val="14"/>
      <scheme val="minor"/>
    </font>
    <font>
      <name val="Tahoma"/>
      <charset val="222"/>
      <family val="2"/>
      <color theme="1"/>
      <sz val="12.5"/>
      <scheme val="minor"/>
    </font>
    <font>
      <name val="Tahoma"/>
      <b val="1"/>
      <color rgb="00FFFFFF"/>
      <sz val="12"/>
    </font>
    <font>
      <name val="Tahoma"/>
      <b val="1"/>
      <sz val="10"/>
    </font>
    <font>
      <name val="Tahoma"/>
      <sz val="10"/>
    </font>
    <font>
      <name val="Tahoma"/>
      <b val="1"/>
      <color rgb="00FFFFFF"/>
      <sz val="10"/>
    </font>
    <font>
      <name val="Tahoma"/>
      <color rgb="00808080"/>
      <sz val="9"/>
    </font>
    <font>
      <name val="Tahoma"/>
      <b val="1"/>
      <color rgb="00C00000"/>
      <sz val="10"/>
    </font>
    <font>
      <name val="Tahoma"/>
      <b val="1"/>
      <color rgb="00006100"/>
      <sz val="10"/>
    </font>
  </fonts>
  <fills count="16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001F4E79"/>
      </patternFill>
    </fill>
    <fill>
      <patternFill patternType="solid">
        <fgColor rgb="00FFF2A8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2">
    <xf numFmtId="0" fontId="0" fillId="0" borderId="0" pivotButton="0" quotePrefix="0" xfId="0"/>
    <xf numFmtId="0" fontId="5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left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0" applyProtection="1" pivotButton="0" quotePrefix="0" xfId="0">
      <protection locked="0" hidden="0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4" fontId="0" fillId="2" borderId="0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0" fontId="0" fillId="0" borderId="1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left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1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2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0" fillId="5" borderId="1" pivotButton="0" quotePrefix="0" xfId="0"/>
    <xf numFmtId="165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164" fontId="4" fillId="0" borderId="0" applyAlignment="1" applyProtection="1" pivotButton="0" quotePrefix="0" xfId="0">
      <alignment horizontal="center" vertical="center"/>
      <protection locked="0" hidden="0"/>
    </xf>
    <xf numFmtId="164" fontId="4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166" fontId="4" fillId="0" borderId="4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/>
    </xf>
    <xf numFmtId="164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5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7" borderId="0" pivotButton="0" quotePrefix="0" xfId="0"/>
    <xf numFmtId="0" fontId="1" fillId="7" borderId="0" pivotButton="0" quotePrefix="0" xfId="0"/>
    <xf numFmtId="0" fontId="0" fillId="7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2" fillId="7" borderId="0" applyAlignment="1" pivotButton="0" quotePrefix="0" xfId="0">
      <alignment horizontal="left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7" fontId="4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168" fontId="9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166" fontId="4" fillId="0" borderId="1" applyAlignment="1" applyProtection="1" pivotButton="0" quotePrefix="0" xfId="0">
      <alignment horizontal="center" vertical="center"/>
      <protection locked="0" hidden="0"/>
    </xf>
    <xf numFmtId="0" fontId="4" fillId="3" borderId="4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0" fillId="3" borderId="1" applyAlignment="1" applyProtection="1" pivotButton="0" quotePrefix="0" xfId="0">
      <alignment horizontal="center" vertical="center"/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12" fillId="0" borderId="1" applyAlignment="1" pivotButton="0" quotePrefix="0" xfId="0">
      <alignment horizontal="center" vertical="center"/>
    </xf>
    <xf numFmtId="0" fontId="0" fillId="0" borderId="0" applyProtection="1" pivotButton="0" quotePrefix="1" xfId="0">
      <protection locked="0" hidden="0"/>
    </xf>
    <xf numFmtId="164" fontId="12" fillId="0" borderId="1" applyAlignment="1" pivotButton="0" quotePrefix="0" xfId="0">
      <alignment horizontal="center" vertical="center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8" fillId="2" borderId="5" applyAlignment="1" pivotButton="0" quotePrefix="0" xfId="0">
      <alignment horizontal="center" vertical="center" wrapText="1"/>
    </xf>
    <xf numFmtId="0" fontId="4" fillId="0" borderId="6" applyAlignment="1" applyProtection="1" pivotButton="0" quotePrefix="0" xfId="0">
      <alignment horizontal="left" vertical="center"/>
      <protection locked="0" hidden="0"/>
    </xf>
    <xf numFmtId="0" fontId="4" fillId="0" borderId="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13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/>
    </xf>
    <xf numFmtId="164" fontId="4" fillId="0" borderId="6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8" fillId="0" borderId="5" applyAlignment="1" pivotButton="0" quotePrefix="0" xfId="0">
      <alignment horizontal="center" vertical="center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5" applyAlignment="1" applyProtection="1" pivotButton="0" quotePrefix="0" xfId="0">
      <alignment horizontal="center" vertical="center"/>
      <protection locked="0" hidden="0"/>
    </xf>
    <xf numFmtId="0" fontId="3" fillId="8" borderId="10" applyAlignment="1" applyProtection="1" pivotButton="0" quotePrefix="0" xfId="0">
      <alignment horizontal="center" vertical="center"/>
      <protection locked="0" hidden="0"/>
    </xf>
    <xf numFmtId="0" fontId="3" fillId="8" borderId="11" applyAlignment="1" applyProtection="1" pivotButton="0" quotePrefix="0" xfId="0">
      <alignment horizontal="center" vertical="center"/>
      <protection locked="0" hidden="0"/>
    </xf>
    <xf numFmtId="0" fontId="3" fillId="8" borderId="12" applyAlignment="1" applyProtection="1" pivotButton="0" quotePrefix="0" xfId="0">
      <alignment horizontal="center" vertical="center"/>
      <protection locked="0" hidden="0"/>
    </xf>
    <xf numFmtId="0" fontId="5" fillId="0" borderId="0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5" fillId="3" borderId="1" applyAlignment="1" applyProtection="1" pivotButton="0" quotePrefix="0" xfId="0">
      <alignment horizontal="center" vertical="center"/>
      <protection locked="0" hidden="0"/>
    </xf>
    <xf numFmtId="0" fontId="16" fillId="3" borderId="4" applyAlignment="1" applyProtection="1" pivotButton="0" quotePrefix="0" xfId="0">
      <alignment horizontal="center" vertical="center"/>
      <protection locked="0" hidden="0"/>
    </xf>
    <xf numFmtId="0" fontId="8" fillId="3" borderId="1" applyAlignment="1" applyProtection="1" pivotButton="0" quotePrefix="0" xfId="0">
      <alignment horizontal="center" vertical="center"/>
      <protection locked="0" hidden="0"/>
    </xf>
    <xf numFmtId="164" fontId="8" fillId="3" borderId="1" applyAlignment="1" applyProtection="1" pivotButton="0" quotePrefix="0" xfId="0">
      <alignment horizontal="center" vertical="center"/>
      <protection locked="0" hidden="0"/>
    </xf>
    <xf numFmtId="164" fontId="8" fillId="3" borderId="1" applyAlignment="1" applyProtection="1" pivotButton="0" quotePrefix="0" xfId="0">
      <alignment horizontal="center" vertical="center"/>
      <protection locked="0" hidden="0"/>
    </xf>
    <xf numFmtId="166" fontId="8" fillId="0" borderId="1" applyAlignment="1" applyProtection="1" pivotButton="0" quotePrefix="0" xfId="0">
      <alignment horizontal="center" vertical="center"/>
      <protection locked="0" hidden="0"/>
    </xf>
    <xf numFmtId="166" fontId="8" fillId="0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pivotButton="0" quotePrefix="0" xfId="0">
      <alignment horizontal="center" vertical="center"/>
    </xf>
    <xf numFmtId="164" fontId="4" fillId="3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/>
      <protection locked="0" hidden="0"/>
    </xf>
    <xf numFmtId="164" fontId="8" fillId="3" borderId="1" applyAlignment="1" applyProtection="1" pivotButton="0" quotePrefix="0" xfId="0">
      <alignment horizontal="center" vertical="center"/>
      <protection locked="0" hidden="0"/>
    </xf>
    <xf numFmtId="166" fontId="8" fillId="0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 vertical="center"/>
    </xf>
    <xf numFmtId="0" fontId="0" fillId="9" borderId="0" pivotButton="0" quotePrefix="0" xfId="0"/>
    <xf numFmtId="0" fontId="1" fillId="9" borderId="0" pivotButton="0" quotePrefix="0" xfId="0"/>
    <xf numFmtId="0" fontId="0" fillId="9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left" vertical="center"/>
    </xf>
    <xf numFmtId="0" fontId="0" fillId="9" borderId="0" pivotButton="0" quotePrefix="0" xfId="0"/>
    <xf numFmtId="0" fontId="2" fillId="9" borderId="0" applyAlignment="1" pivotButton="0" quotePrefix="0" xfId="0">
      <alignment horizontal="left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0" fillId="0" borderId="0" applyProtection="1" pivotButton="0" quotePrefix="0" xfId="0">
      <protection locked="0" hidden="0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4" fillId="5" borderId="8" applyAlignment="1" pivotButton="0" quotePrefix="0" xfId="0">
      <alignment horizontal="center" vertical="center"/>
    </xf>
    <xf numFmtId="0" fontId="4" fillId="5" borderId="5" applyAlignment="1" pivotButton="0" quotePrefix="0" xfId="0">
      <alignment horizontal="center" vertical="center"/>
    </xf>
    <xf numFmtId="0" fontId="6" fillId="0" borderId="0" applyAlignment="1" applyProtection="1" pivotButton="0" quotePrefix="0" xfId="0">
      <alignment horizontal="left" vertical="center"/>
      <protection locked="0" hidden="0"/>
    </xf>
    <xf numFmtId="0" fontId="5" fillId="0" borderId="2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4" fillId="3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/>
      <protection locked="0" hidden="0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8" fillId="3" borderId="1" applyAlignment="1" applyProtection="1" pivotButton="0" quotePrefix="0" xfId="0">
      <alignment horizontal="center" vertical="center"/>
      <protection locked="0" hidden="0"/>
    </xf>
    <xf numFmtId="166" fontId="8" fillId="0" borderId="1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/>
      <protection locked="0" hidden="0"/>
    </xf>
    <xf numFmtId="0" fontId="6" fillId="0" borderId="7" applyAlignment="1" applyProtection="1" pivotButton="0" quotePrefix="0" xfId="0">
      <alignment horizontal="left" vertical="center"/>
      <protection locked="0" hidden="0"/>
    </xf>
    <xf numFmtId="0" fontId="4" fillId="6" borderId="4" applyAlignment="1" pivotButton="0" quotePrefix="0" xfId="0">
      <alignment horizontal="center" vertical="center"/>
    </xf>
    <xf numFmtId="0" fontId="4" fillId="6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7" fillId="10" borderId="17" applyAlignment="1" pivotButton="0" quotePrefix="0" xfId="0">
      <alignment horizontal="center" vertical="center" wrapText="1"/>
    </xf>
    <xf numFmtId="0" fontId="18" fillId="0" borderId="17" pivotButton="0" quotePrefix="0" xfId="0"/>
    <xf numFmtId="0" fontId="19" fillId="11" borderId="17" pivotButton="0" quotePrefix="0" xfId="0"/>
    <xf numFmtId="0" fontId="0" fillId="0" borderId="20" pivotButton="0" quotePrefix="0" xfId="0"/>
    <xf numFmtId="0" fontId="0" fillId="0" borderId="21" pivotButton="0" quotePrefix="0" xfId="0"/>
    <xf numFmtId="0" fontId="18" fillId="12" borderId="17" pivotButton="0" quotePrefix="0" xfId="0"/>
    <xf numFmtId="0" fontId="20" fillId="13" borderId="17" pivotButton="0" quotePrefix="0" xfId="0"/>
    <xf numFmtId="0" fontId="19" fillId="0" borderId="17" pivotButton="0" quotePrefix="0" xfId="0"/>
    <xf numFmtId="0" fontId="18" fillId="11" borderId="17" pivotButton="0" quotePrefix="0" xfId="0"/>
    <xf numFmtId="0" fontId="21" fillId="0" borderId="0" pivotButton="0" quotePrefix="0" xfId="0"/>
    <xf numFmtId="0" fontId="19" fillId="0" borderId="0" pivotButton="0" quotePrefix="0" xfId="0"/>
    <xf numFmtId="0" fontId="22" fillId="0" borderId="0" pivotButton="0" quotePrefix="0" xfId="0"/>
    <xf numFmtId="0" fontId="18" fillId="14" borderId="17" pivotButton="0" quotePrefix="0" xfId="0"/>
    <xf numFmtId="0" fontId="18" fillId="15" borderId="17" applyAlignment="1" pivotButton="0" quotePrefix="0" xfId="0">
      <alignment horizontal="center" vertical="center" wrapText="1"/>
    </xf>
    <xf numFmtId="3" fontId="19" fillId="0" borderId="17" pivotButton="0" quotePrefix="0" xfId="0"/>
    <xf numFmtId="170" fontId="19" fillId="0" borderId="17" pivotButton="0" quotePrefix="0" xfId="0"/>
    <xf numFmtId="1" fontId="19" fillId="0" borderId="17" pivotButton="0" quotePrefix="0" xfId="0"/>
    <xf numFmtId="4" fontId="23" fillId="14" borderId="17" pivotButton="0" quotePrefix="0" xfId="0"/>
    <xf numFmtId="1" fontId="19" fillId="0" borderId="17" applyAlignment="1" pivotButton="0" quotePrefix="0" xfId="0">
      <alignment horizontal="center" vertical="center" wrapText="1"/>
    </xf>
    <xf numFmtId="0" fontId="19" fillId="0" borderId="17" applyAlignment="1" pivotButton="0" quotePrefix="0" xfId="0">
      <alignment horizontal="center" vertical="center" wrapText="1"/>
    </xf>
    <xf numFmtId="171" fontId="19" fillId="0" borderId="17" applyAlignment="1" pivotButton="0" quotePrefix="0" xfId="0">
      <alignment horizontal="center" vertical="center" wrapText="1"/>
    </xf>
    <xf numFmtId="1" fontId="18" fillId="12" borderId="17" applyAlignment="1" pivotButton="0" quotePrefix="0" xfId="0">
      <alignment horizontal="center" vertical="center" wrapText="1"/>
    </xf>
    <xf numFmtId="0" fontId="21" fillId="0" borderId="17" applyAlignment="1" pivotButton="0" quotePrefix="0" xfId="0">
      <alignment horizontal="center" vertical="center" wrapText="1"/>
    </xf>
    <xf numFmtId="172" fontId="18" fillId="14" borderId="17" applyAlignment="1" pivotButton="0" quotePrefix="0" xfId="0">
      <alignment horizontal="center" vertical="center" wrapText="1"/>
    </xf>
    <xf numFmtId="172" fontId="19" fillId="0" borderId="17" applyAlignment="1" pivotButton="0" quotePrefix="0" xfId="0">
      <alignment horizontal="center" vertical="center" wrapText="1"/>
    </xf>
    <xf numFmtId="1" fontId="23" fillId="14" borderId="17" pivotButton="0" quotePrefix="0" xfId="0"/>
    <xf numFmtId="170" fontId="23" fillId="14" borderId="17" pivotButton="0" quotePrefix="0" xfId="0"/>
    <xf numFmtId="172" fontId="18" fillId="11" borderId="17" applyAlignment="1" pivotButton="0" quotePrefix="0" xfId="0">
      <alignment horizontal="center" vertical="center" wrapText="1"/>
    </xf>
    <xf numFmtId="1" fontId="18" fillId="11" borderId="17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15" borderId="0" pivotButton="0" quotePrefix="0" xfId="0"/>
    <xf numFmtId="164" fontId="0" fillId="0" borderId="0" applyAlignment="1" applyProtection="1" pivotButton="0" quotePrefix="0" xfId="0">
      <alignment horizontal="center" vertical="center"/>
      <protection locked="0" hidden="0"/>
    </xf>
    <xf numFmtId="164" fontId="4" fillId="0" borderId="0" applyAlignment="1" applyProtection="1" pivotButton="0" quotePrefix="0" xfId="0">
      <alignment horizontal="center" vertical="center"/>
      <protection locked="0" hidden="0"/>
    </xf>
    <xf numFmtId="164" fontId="4" fillId="3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6" fontId="4" fillId="0" borderId="1" applyAlignment="1" applyProtection="1" pivotButton="0" quotePrefix="0" xfId="0">
      <alignment horizontal="center" vertical="center"/>
      <protection locked="0" hidden="0"/>
    </xf>
    <xf numFmtId="0" fontId="0" fillId="0" borderId="9" pivotButton="0" quotePrefix="0" xfId="0"/>
    <xf numFmtId="0" fontId="0" fillId="0" borderId="3" pivotButton="0" quotePrefix="0" xfId="0"/>
    <xf numFmtId="164" fontId="3" fillId="2" borderId="1" applyAlignment="1" pivotButton="0" quotePrefix="0" xfId="0">
      <alignment horizontal="center" vertical="center"/>
    </xf>
    <xf numFmtId="164" fontId="0" fillId="2" borderId="0" applyAlignment="1" applyProtection="1" pivotButton="0" quotePrefix="0" xfId="0">
      <alignment horizontal="center" vertical="center"/>
      <protection locked="0" hidden="0"/>
    </xf>
    <xf numFmtId="164" fontId="4" fillId="0" borderId="1" applyAlignment="1" pivotButton="0" quotePrefix="0" xfId="0">
      <alignment horizontal="center" vertical="center"/>
    </xf>
    <xf numFmtId="0" fontId="0" fillId="0" borderId="5" pivotButton="0" quotePrefix="0" xfId="0"/>
    <xf numFmtId="164" fontId="4" fillId="5" borderId="1" applyAlignment="1" pivotButton="0" quotePrefix="0" xfId="0">
      <alignment horizontal="center" vertical="center"/>
    </xf>
    <xf numFmtId="0" fontId="0" fillId="0" borderId="8" pivotButton="0" quotePrefix="0" xfId="0"/>
    <xf numFmtId="165" fontId="4" fillId="5" borderId="1" applyAlignment="1" pivotButton="0" quotePrefix="0" xfId="0">
      <alignment horizontal="center" vertical="center"/>
    </xf>
    <xf numFmtId="164" fontId="12" fillId="0" borderId="1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168" fontId="9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8" fillId="3" borderId="1" applyAlignment="1" applyProtection="1" pivotButton="0" quotePrefix="0" xfId="0">
      <alignment horizontal="center" vertical="center"/>
      <protection locked="0" hidden="0"/>
    </xf>
    <xf numFmtId="166" fontId="8" fillId="0" borderId="1" applyAlignment="1" applyProtection="1" pivotButton="0" quotePrefix="0" xfId="0">
      <alignment horizontal="center" vertical="center"/>
      <protection locked="0" hidden="0"/>
    </xf>
    <xf numFmtId="167" fontId="4" fillId="0" borderId="1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0" fillId="0" borderId="7" applyProtection="1" pivotButton="0" quotePrefix="0" xfId="0">
      <protection locked="0" hidden="0"/>
    </xf>
    <xf numFmtId="166" fontId="4" fillId="0" borderId="4" applyAlignment="1" applyProtection="1" pivotButton="0" quotePrefix="0" xfId="0">
      <alignment horizontal="center" vertical="center"/>
      <protection locked="0" hidden="0"/>
    </xf>
    <xf numFmtId="0" fontId="4" fillId="6" borderId="1" applyAlignment="1" pivotButton="0" quotePrefix="0" xfId="0">
      <alignment horizontal="center" vertical="center"/>
    </xf>
    <xf numFmtId="164" fontId="0" fillId="0" borderId="0" applyProtection="1" pivotButton="0" quotePrefix="0" xfId="0">
      <protection locked="0" hidden="0"/>
    </xf>
    <xf numFmtId="164" fontId="4" fillId="0" borderId="0" applyAlignment="1" pivotButton="0" quotePrefix="0" xfId="0">
      <alignment horizontal="center" vertical="center"/>
    </xf>
  </cellXfs>
  <cellStyles count="1">
    <cellStyle name="Normal" xfId="0" builtinId="0"/>
  </cellStyles>
  <dxfs count="956"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styles" Target="styles.xml" Id="rId78"/><Relationship Type="http://schemas.openxmlformats.org/officeDocument/2006/relationships/theme" Target="theme/theme1.xml" Id="rId7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style="92" min="1" max="1"/>
    <col width="36" customWidth="1" style="92" min="2" max="2"/>
    <col width="15" customWidth="1" style="92" min="3" max="3"/>
    <col width="12" customWidth="1" style="92" min="4" max="4"/>
    <col width="12" customWidth="1" style="92" min="5" max="5"/>
    <col width="11" customWidth="1" style="92" min="6" max="6"/>
    <col width="11" customWidth="1" style="92" min="7" max="7"/>
    <col width="11" customWidth="1" style="92" min="8" max="8"/>
    <col hidden="1" width="10" customWidth="1" style="92" min="16" max="16"/>
  </cols>
  <sheetData>
    <row r="1" ht="24" customHeight="1" s="92">
      <c r="A1" s="162" t="inlineStr">
        <is>
          <t>JR ALUMINIUM &amp; GLASS — เฟี้ยมยูโร 45° (BI-FOLD) · ใบขนาดตัด + อุปกรณ์ · หน่วย ซม.</t>
        </is>
      </c>
    </row>
    <row r="2">
      <c r="B2" s="163" t="inlineStr">
        <is>
          <t>ใบงาน :</t>
        </is>
      </c>
      <c r="C2" s="164" t="inlineStr"/>
      <c r="D2" s="165" t="n"/>
      <c r="E2" s="166" t="n"/>
    </row>
    <row r="3">
      <c r="B3" s="167">
        <f>"ทิศติดตั้ง (มองจากในห้อง): พับซ้าย "&amp;IF($C$13="มองจากในห้อง",$C$8,$C$9)&amp;" บาน / พับขวา "&amp;IF($C$13="มองจากในห้อง",$C$9,$C$8)&amp;" บาน — ใบตัดเหมือนกันทุกมุมมอง สลับเฉพาะตอนประกอบ"</f>
        <v/>
      </c>
    </row>
    <row r="4">
      <c r="A4" s="168" t="inlineStr">
        <is>
          <t>① กรอก + ดรอปดาว (เหลือง = แก้ได้)</t>
        </is>
      </c>
    </row>
    <row r="5">
      <c r="B5" s="169" t="inlineStr">
        <is>
          <t>กว้างช่องปูน W (ซม.)</t>
        </is>
      </c>
      <c r="C5" s="170" t="n">
        <v>249.5</v>
      </c>
      <c r="D5" s="171" t="inlineStr">
        <is>
          <t>ซม. เท่านั้น</t>
        </is>
      </c>
      <c r="P5" s="172">
        <f>MAX($C$8,$C$9)</f>
        <v/>
      </c>
    </row>
    <row r="6">
      <c r="B6" s="169" t="inlineStr">
        <is>
          <t>สูงช่องปูน H (ซม.)</t>
        </is>
      </c>
      <c r="C6" s="170" t="n">
        <v>210</v>
      </c>
      <c r="P6" s="172">
        <f>MIN($C$8,$C$9)</f>
        <v/>
      </c>
    </row>
    <row r="7">
      <c r="B7" s="169" t="inlineStr">
        <is>
          <t>จำนวนบานรวม N</t>
        </is>
      </c>
      <c r="C7" s="170" t="n">
        <v>4</v>
      </c>
      <c r="P7" s="172">
        <f>IF(P6=0,IF(MOD(P5,2)=0,"ชนผนัง-คู่","ชนผนัง-คี่"),IF(AND(MOD(P5,2)=0,MOD(P6,2)=0),"คู่+คู่",IF(AND(MOD(P5,2)=1,MOD(P6,2)=1),"คี่+คี่","คู่+คี่")))</f>
        <v/>
      </c>
    </row>
    <row r="8">
      <c r="B8" s="169" t="inlineStr">
        <is>
          <t>พับซ้าย L (ตามมุมมองข้อล่าง)</t>
        </is>
      </c>
      <c r="C8" s="170" t="n">
        <v>2</v>
      </c>
      <c r="P8" s="172">
        <f>VLOOKUP($P$7,$B$93:$H$97,2,0)</f>
        <v/>
      </c>
    </row>
    <row r="9">
      <c r="B9" s="169" t="inlineStr">
        <is>
          <t>พับขวา R</t>
        </is>
      </c>
      <c r="C9" s="170" t="n">
        <v>2</v>
      </c>
      <c r="P9" s="172">
        <f>$C$7-IF(P6=0,1,2)</f>
        <v/>
      </c>
    </row>
    <row r="10">
      <c r="B10" s="169" t="inlineStr">
        <is>
          <t>เฟรมล่าง</t>
        </is>
      </c>
      <c r="C10" s="170" t="inlineStr">
        <is>
          <t>เฟรมล่าง F7969</t>
        </is>
      </c>
      <c r="P10" s="172">
        <f>IF(P6=0,1,2)</f>
        <v/>
      </c>
    </row>
    <row r="11">
      <c r="B11" s="169" t="inlineStr">
        <is>
          <t>กระจก (มิล)</t>
        </is>
      </c>
      <c r="C11" s="170" t="inlineStr">
        <is>
          <t>6</t>
        </is>
      </c>
      <c r="P11" s="172">
        <f>IF(OR(MOD(P5,2)=1,AND(P6&gt;0,MOD(P6,2)=1)),1,0)</f>
        <v/>
      </c>
    </row>
    <row r="12">
      <c r="B12" s="169" t="inlineStr">
        <is>
          <t>จำนวนชุด</t>
        </is>
      </c>
      <c r="C12" s="170" t="n">
        <v>1</v>
      </c>
      <c r="P12" s="172">
        <f>INT($C$8/2)+INT($C$9/2)</f>
        <v/>
      </c>
    </row>
    <row r="13">
      <c r="B13" s="169" t="inlineStr">
        <is>
          <t>มุมมอง L-R ที่กรอก</t>
        </is>
      </c>
      <c r="C13" s="170" t="inlineStr">
        <is>
          <t>มองจากในห้อง</t>
        </is>
      </c>
      <c r="P13" s="172">
        <f>$C$7&amp;"P "&amp;P5&amp;"-"&amp;P6&amp;IF(LEFT($C$10,3)="ราง"," (U)","")</f>
        <v/>
      </c>
    </row>
    <row r="14">
      <c r="B14" s="169" t="inlineStr">
        <is>
          <t>สีฮาร์ดแวร์</t>
        </is>
      </c>
      <c r="C14" s="170" t="inlineStr">
        <is>
          <t>ดำ</t>
        </is>
      </c>
      <c r="P14" s="172">
        <f>IF(LEFT($C$10,3)="ราง",1,0)</f>
        <v/>
      </c>
    </row>
    <row r="15">
      <c r="B15" s="173">
        <f>IF($C$8+$C$9&lt;&gt;$C$7,"⚠ L + R ไม่เท่ากับ N — แก้ให้ตรงก่อนใช้","✓ L + R ตรงกับจำนวนบานรวม")</f>
        <v/>
      </c>
      <c r="P15" s="172">
        <f>($C$5-2*$C$78-P10*$C$79-P9*$C$80-P8)/$C$7</f>
        <v/>
      </c>
    </row>
    <row r="16">
      <c r="P16" s="172">
        <f>$C$6-$C$84-2*$C$85-IF(P14=1,0,$C$86)</f>
        <v/>
      </c>
    </row>
    <row r="17">
      <c r="A17" s="168" t="inlineStr">
        <is>
          <t>② คำนวณอัตโนมัติ</t>
        </is>
      </c>
      <c r="P17" s="172">
        <f>IF($C$11="มู่ลี่",3,IF(VALUE($C$11)&lt;=12,1,2))</f>
        <v/>
      </c>
    </row>
    <row r="18">
      <c r="B18" s="169" t="inlineStr">
        <is>
          <t>Config (เทียบชีทเดิม)</t>
        </is>
      </c>
      <c r="C18" s="174">
        <f>$P$13</f>
        <v/>
      </c>
      <c r="P18" s="172">
        <f>IFERROR(MATCH($P$13,'อ้างอิง LUT'!$A:$A,0),0)</f>
        <v/>
      </c>
    </row>
    <row r="19">
      <c r="B19" s="169" t="inlineStr">
        <is>
          <t>กรณี</t>
        </is>
      </c>
      <c r="C19" s="174">
        <f>$P$7</f>
        <v/>
      </c>
      <c r="D19" s="169" t="inlineStr">
        <is>
          <t>ค่ากลาง M</t>
        </is>
      </c>
      <c r="E19" s="167">
        <f>$P$8</f>
        <v/>
      </c>
    </row>
    <row r="20">
      <c r="B20" s="169" t="inlineStr">
        <is>
          <t>รอยซ้อน (จุด)</t>
        </is>
      </c>
      <c r="C20" s="167">
        <f>$P$9</f>
        <v/>
      </c>
      <c r="D20" s="169" t="inlineStr">
        <is>
          <t>ค่าข้าง 0.95 ×</t>
        </is>
      </c>
      <c r="E20" s="167">
        <f>$P$10</f>
        <v/>
      </c>
    </row>
    <row r="22">
      <c r="A22" s="168" t="inlineStr">
        <is>
          <t>③ กระดานคำนวณ กรอบบานขวาง 45° (ทีละขั้น · เหลือง = แก้ได้ที่แผง ⑦)</t>
        </is>
      </c>
    </row>
    <row r="23">
      <c r="A23" s="175" t="inlineStr"/>
      <c r="B23" s="175" t="inlineStr">
        <is>
          <t>ฐาน W</t>
        </is>
      </c>
      <c r="C23" s="175" t="inlineStr">
        <is>
          <t>− เฟรม 1.8 ×2</t>
        </is>
      </c>
      <c r="D23" s="175" t="inlineStr">
        <is>
          <t>− ข้าง 0.95 ×s2</t>
        </is>
      </c>
      <c r="E23" s="175" t="inlineStr">
        <is>
          <t>− ซ้อน 0.8 ×รอย</t>
        </is>
      </c>
      <c r="F23" s="175" t="inlineStr">
        <is>
          <t>− กลาง M</t>
        </is>
      </c>
      <c r="G23" s="175" t="inlineStr">
        <is>
          <t>÷ บาน N</t>
        </is>
      </c>
      <c r="H23" s="175" t="inlineStr">
        <is>
          <t>ยาวตัด (ซม.)</t>
        </is>
      </c>
    </row>
    <row r="24">
      <c r="B24" s="176">
        <f>$C$5</f>
        <v/>
      </c>
      <c r="C24" s="177">
        <f>2*$C$78</f>
        <v/>
      </c>
      <c r="D24" s="177">
        <f>$P$10*$C$79</f>
        <v/>
      </c>
      <c r="E24" s="177">
        <f>$P$9*$C$80</f>
        <v/>
      </c>
      <c r="F24" s="176">
        <f>$P$8</f>
        <v/>
      </c>
      <c r="G24" s="178">
        <f>$C$7</f>
        <v/>
      </c>
      <c r="H24" s="179">
        <f>$P$15</f>
        <v/>
      </c>
    </row>
    <row r="25">
      <c r="B25" s="171">
        <f>"เช็คปิดมิด: "&amp;$C$7&amp;" × "&amp;ROUND($P$15,2)&amp;" + ค่าคงที่ "&amp;ROUND(2*$C$78+$P$10*$C$79+$P$9*$C$80+$P$8,1)&amp;" = "&amp;ROUND($C$7*$P$15+2*$C$78+$P$10*$C$79+$P$9*$C$80+$P$8,1)&amp;" ต้องเท่ากับ W = "&amp;$C$5</f>
        <v/>
      </c>
    </row>
    <row r="28">
      <c r="A28" s="168" t="inlineStr">
        <is>
          <t>④ ตารางโปรไฟล์ (หน่วย ซม.)</t>
        </is>
      </c>
    </row>
    <row r="29">
      <c r="A29" s="175" t="inlineStr">
        <is>
          <t>#</t>
        </is>
      </c>
      <c r="B29" s="175" t="inlineStr">
        <is>
          <t>โปรไฟล์</t>
        </is>
      </c>
      <c r="C29" s="175" t="inlineStr">
        <is>
          <t>รหัสดาย</t>
        </is>
      </c>
      <c r="D29" s="175" t="inlineStr">
        <is>
          <t>กก./ม.</t>
        </is>
      </c>
      <c r="E29" s="175" t="inlineStr">
        <is>
          <t>ยาวตัด</t>
        </is>
      </c>
      <c r="F29" s="175" t="inlineStr">
        <is>
          <t>จำนวน/ชุด</t>
        </is>
      </c>
      <c r="G29" s="175" t="inlineStr">
        <is>
          <t>จำนวนรวม</t>
        </is>
      </c>
      <c r="H29" s="175" t="inlineStr">
        <is>
          <t>เส้น 6.4 ม.</t>
        </is>
      </c>
    </row>
    <row r="31">
      <c r="A31" s="180" t="n">
        <v>1</v>
      </c>
      <c r="B31" s="169" t="inlineStr">
        <is>
          <t>เฟรมบนบานเฟี้ยม</t>
        </is>
      </c>
      <c r="C31" s="181" t="inlineStr">
        <is>
          <t>F7968</t>
        </is>
      </c>
      <c r="D31" s="182" t="n">
        <v>2.767</v>
      </c>
      <c r="E31" s="179">
        <f>$C$5-2*$C$78</f>
        <v/>
      </c>
      <c r="F31" s="180" t="n">
        <v>1</v>
      </c>
      <c r="G31" s="180">
        <f>F31*$C$12</f>
        <v/>
      </c>
      <c r="H31" s="183">
        <f>ROUNDUP(E31*G31/$C$90,0)</f>
        <v/>
      </c>
    </row>
    <row r="32">
      <c r="A32" s="180" t="n">
        <v>2</v>
      </c>
      <c r="B32" s="169">
        <f>IF($P$14=1,"รางยู","เฟรมล่างบานเฟี้ยม")</f>
        <v/>
      </c>
      <c r="C32" s="181">
        <f>IF($P$14=1,"F7932","F7969")</f>
        <v/>
      </c>
      <c r="D32" s="182">
        <f>IF($P$14=1,0.303,1.533)</f>
        <v/>
      </c>
      <c r="E32" s="179">
        <f>$C$5-2*$C$78</f>
        <v/>
      </c>
      <c r="F32" s="180" t="n">
        <v>1</v>
      </c>
      <c r="G32" s="180">
        <f>F32*$C$12</f>
        <v/>
      </c>
      <c r="H32" s="183">
        <f>ROUNDUP(E32*G32/$C$90,0)</f>
        <v/>
      </c>
    </row>
    <row r="33">
      <c r="A33" s="180" t="n">
        <v>3</v>
      </c>
      <c r="B33" s="169" t="inlineStr">
        <is>
          <t>เฟรมข้างบานเฟี้ยม</t>
        </is>
      </c>
      <c r="C33" s="181" t="inlineStr">
        <is>
          <t>F7970</t>
        </is>
      </c>
      <c r="D33" s="182" t="n">
        <v>0.9340000000000001</v>
      </c>
      <c r="E33" s="179">
        <f>$C$6</f>
        <v/>
      </c>
      <c r="F33" s="180" t="n">
        <v>2</v>
      </c>
      <c r="G33" s="180">
        <f>F33*$C$12</f>
        <v/>
      </c>
      <c r="H33" s="183">
        <f>ROUNDUP(E33*G33/$C$90,0)</f>
        <v/>
      </c>
    </row>
    <row r="34">
      <c r="A34" s="180" t="n">
        <v>4</v>
      </c>
      <c r="B34" s="169" t="inlineStr">
        <is>
          <t>คิ้วตบเฟรมข้าง</t>
        </is>
      </c>
      <c r="C34" s="181" t="inlineStr">
        <is>
          <t>F7971</t>
        </is>
      </c>
      <c r="D34" s="182" t="n">
        <v>0.4</v>
      </c>
      <c r="E34" s="179">
        <f>$C$6-$C$81-IF($P$14=1,0,$C$82)</f>
        <v/>
      </c>
      <c r="F34" s="180" t="n">
        <v>2</v>
      </c>
      <c r="G34" s="180">
        <f>F34*$C$12</f>
        <v/>
      </c>
      <c r="H34" s="183">
        <f>ROUNDUP(E34*G34/$C$90,0)</f>
        <v/>
      </c>
    </row>
    <row r="35">
      <c r="A35" s="180" t="n">
        <v>5</v>
      </c>
      <c r="B35" s="169" t="inlineStr">
        <is>
          <t>ตบปิดเฟรม (ตั้ง)</t>
        </is>
      </c>
      <c r="C35" s="181" t="inlineStr">
        <is>
          <t>F7973</t>
        </is>
      </c>
      <c r="D35" s="182" t="n">
        <v>0.19</v>
      </c>
      <c r="E35" s="179">
        <f>$C$6-$C$81-IF($P$14=1,0,$C$82)</f>
        <v/>
      </c>
      <c r="F35" s="180" t="n">
        <v>2</v>
      </c>
      <c r="G35" s="180">
        <f>F35*$C$12</f>
        <v/>
      </c>
      <c r="H35" s="183">
        <f>ROUNDUP((E35*G35+E36*G36)/$C$90,0)</f>
        <v/>
      </c>
    </row>
    <row r="36">
      <c r="A36" s="180" t="n">
        <v>6</v>
      </c>
      <c r="B36" s="169" t="inlineStr">
        <is>
          <t>ตบปิดเฟรม (นอน)</t>
        </is>
      </c>
      <c r="C36" s="181" t="inlineStr">
        <is>
          <t>F7973</t>
        </is>
      </c>
      <c r="D36" s="182" t="n">
        <v>0.19</v>
      </c>
      <c r="E36" s="179">
        <f>$C$5-2*$C$83</f>
        <v/>
      </c>
      <c r="F36" s="180">
        <f>IF($P$14=1,1,2)</f>
        <v/>
      </c>
      <c r="G36" s="180">
        <f>F36*$C$12</f>
        <v/>
      </c>
      <c r="H36" s="184" t="inlineStr">
        <is>
          <t>นับรวมแถวบน ↑</t>
        </is>
      </c>
    </row>
    <row r="37">
      <c r="A37" s="180" t="n">
        <v>7</v>
      </c>
      <c r="B37" s="169" t="inlineStr">
        <is>
          <t>กรอบบานเฟี้ยม (ตั้ง)</t>
        </is>
      </c>
      <c r="C37" s="181" t="inlineStr">
        <is>
          <t>F7972</t>
        </is>
      </c>
      <c r="D37" s="182" t="n">
        <v>1.466</v>
      </c>
      <c r="E37" s="179">
        <f>$P$16</f>
        <v/>
      </c>
      <c r="F37" s="180">
        <f>2*$C$7</f>
        <v/>
      </c>
      <c r="G37" s="180">
        <f>F37*$C$12</f>
        <v/>
      </c>
      <c r="H37" s="183">
        <f>ROUNDUP((E37*G37+E38*G38)/$C$90,0)</f>
        <v/>
      </c>
    </row>
    <row r="38">
      <c r="A38" s="180" t="n">
        <v>8</v>
      </c>
      <c r="B38" s="169" t="inlineStr">
        <is>
          <t>กรอบบานเฟี้ยม (ขวาง 45°)</t>
        </is>
      </c>
      <c r="C38" s="181" t="inlineStr">
        <is>
          <t>F7972</t>
        </is>
      </c>
      <c r="D38" s="182" t="n">
        <v>1.466</v>
      </c>
      <c r="E38" s="179">
        <f>$P$15</f>
        <v/>
      </c>
      <c r="F38" s="180">
        <f>2*$C$7</f>
        <v/>
      </c>
      <c r="G38" s="180">
        <f>F38*$C$12</f>
        <v/>
      </c>
      <c r="H38" s="184" t="inlineStr">
        <is>
          <t>นับรวมแถวบน ↑</t>
        </is>
      </c>
    </row>
    <row r="39">
      <c r="A39" s="180" t="n">
        <v>9</v>
      </c>
      <c r="B39" s="169" t="inlineStr">
        <is>
          <t>ชนกลางบานคู่</t>
        </is>
      </c>
      <c r="C39" s="181" t="inlineStr">
        <is>
          <t>F7974</t>
        </is>
      </c>
      <c r="D39" s="182" t="n">
        <v>0.799</v>
      </c>
      <c r="E39" s="179">
        <f>$E$37</f>
        <v/>
      </c>
      <c r="F39" s="180">
        <f>VLOOKUP($P$7,$B$93:$H$97,3,0)</f>
        <v/>
      </c>
      <c r="G39" s="180">
        <f>F39*$C$12</f>
        <v/>
      </c>
      <c r="H39" s="183">
        <f>IF(G39=0,0,ROUNDUP(E39*G39/$C$90,0))</f>
        <v/>
      </c>
    </row>
    <row r="40">
      <c r="A40" s="180" t="n">
        <v>10</v>
      </c>
      <c r="B40" s="169" t="inlineStr">
        <is>
          <t>บังใบ</t>
        </is>
      </c>
      <c r="C40" s="181" t="inlineStr">
        <is>
          <t>F7975</t>
        </is>
      </c>
      <c r="D40" s="182" t="n">
        <v>0.452</v>
      </c>
      <c r="E40" s="179">
        <f>$E$37</f>
        <v/>
      </c>
      <c r="F40" s="180">
        <f>VLOOKUP($P$7,$B$93:$H$97,4,0)</f>
        <v/>
      </c>
      <c r="G40" s="180">
        <f>F40*$C$12</f>
        <v/>
      </c>
      <c r="H40" s="183">
        <f>IF(G40=0,0,ROUNDUP(E40*G40/$C$90,0))</f>
        <v/>
      </c>
    </row>
    <row r="41">
      <c r="A41" s="180" t="n">
        <v>11</v>
      </c>
      <c r="B41" s="169" t="inlineStr">
        <is>
          <t>รับล็อคเฟรมข้างบานคู่</t>
        </is>
      </c>
      <c r="C41" s="181" t="inlineStr">
        <is>
          <t>F7961</t>
        </is>
      </c>
      <c r="D41" s="182" t="n">
        <v>0.496</v>
      </c>
      <c r="E41" s="179">
        <f>$C$6-$C$84-$C$86</f>
        <v/>
      </c>
      <c r="F41" s="180">
        <f>VLOOKUP($P$7,$B$93:$H$97,5,0)</f>
        <v/>
      </c>
      <c r="G41" s="180">
        <f>F41*$C$12</f>
        <v/>
      </c>
      <c r="H41" s="183">
        <f>IF(G41=0,0,ROUNDUP(E41*G41/$C$90,0))</f>
        <v/>
      </c>
    </row>
    <row r="42">
      <c r="A42" s="180" t="n">
        <v>12</v>
      </c>
      <c r="B42" s="169" t="inlineStr">
        <is>
          <t>รับล็อคบานคู่+บานคี่</t>
        </is>
      </c>
      <c r="C42" s="181" t="inlineStr">
        <is>
          <t>F7962</t>
        </is>
      </c>
      <c r="D42" s="182" t="n">
        <v>0.874</v>
      </c>
      <c r="E42" s="179">
        <f>$E$37</f>
        <v/>
      </c>
      <c r="F42" s="180">
        <f>VLOOKUP($P$7,$B$93:$H$97,6,0)</f>
        <v/>
      </c>
      <c r="G42" s="180">
        <f>F42*$C$12</f>
        <v/>
      </c>
      <c r="H42" s="183">
        <f>IF(G42=0,0,ROUNDUP(E42*G42/$C$90,0))</f>
        <v/>
      </c>
    </row>
    <row r="43">
      <c r="A43" s="180" t="n">
        <v>13</v>
      </c>
      <c r="B43" s="169">
        <f>CHOOSE($P$17,"คิ้วกระจก 5-12 มิล (ตั้ง)","คิ้วกระจก 14-20 มิล (ตั้ง)","คิ้วกระจกมู่ลี่ (ตั้ง)")</f>
        <v/>
      </c>
      <c r="C43" s="181">
        <f>CHOOSE($P$17,"F7935","F7949","F7853")</f>
        <v/>
      </c>
      <c r="D43" s="182">
        <f>CHOOSE($P$17,0.285,0.252,0.22)</f>
        <v/>
      </c>
      <c r="E43" s="179">
        <f>$E$37-2*$C$87</f>
        <v/>
      </c>
      <c r="F43" s="180">
        <f>2*$C$7</f>
        <v/>
      </c>
      <c r="G43" s="180">
        <f>F43*$C$12</f>
        <v/>
      </c>
      <c r="H43" s="183">
        <f>ROUNDUP((E43*G43+E44*G44)/$C$90,0)</f>
        <v/>
      </c>
    </row>
    <row r="44">
      <c r="A44" s="180" t="n">
        <v>14</v>
      </c>
      <c r="B44" s="169">
        <f>CHOOSE($P$17,"คิ้วกระจก 5-12 มิล (นอน)","คิ้วกระจก 14-20 มิล (นอน)","คิ้วกระจกมู่ลี่ (นอน)")</f>
        <v/>
      </c>
      <c r="C44" s="181">
        <f>CHOOSE($P$17,"F7935","F7949","F7853")</f>
        <v/>
      </c>
      <c r="D44" s="182">
        <f>CHOOSE($P$17,0.285,0.252,0.22)</f>
        <v/>
      </c>
      <c r="E44" s="179">
        <f>$E$38-2*$C$88</f>
        <v/>
      </c>
      <c r="F44" s="180">
        <f>2*$C$7</f>
        <v/>
      </c>
      <c r="G44" s="180">
        <f>F44*$C$12</f>
        <v/>
      </c>
      <c r="H44" s="184" t="inlineStr">
        <is>
          <t>นับรวมแถวบน ↑</t>
        </is>
      </c>
    </row>
    <row r="45">
      <c r="B45" s="163" t="inlineStr">
        <is>
          <t>น้ำหนักอลูรวม/ชุด (กก.)</t>
        </is>
      </c>
      <c r="E45" s="179">
        <f>ROUND(SUMPRODUCT($E$31:$E$44,$F$31:$F$44,$D$31:$D$44)/100,2)</f>
        <v/>
      </c>
    </row>
    <row r="47">
      <c r="A47" s="168" t="inlineStr">
        <is>
          <t>⑤ อุปกรณ์ (ยาง/สักหลาด = เมตร)</t>
        </is>
      </c>
    </row>
    <row r="48">
      <c r="A48" s="175" t="inlineStr">
        <is>
          <t>#</t>
        </is>
      </c>
      <c r="B48" s="175" t="inlineStr">
        <is>
          <t>รายการ</t>
        </is>
      </c>
      <c r="C48" s="175" t="inlineStr">
        <is>
          <t>สี</t>
        </is>
      </c>
      <c r="D48" s="175" t="inlineStr">
        <is>
          <t>จำนวน/ชุด</t>
        </is>
      </c>
      <c r="E48" s="175" t="inlineStr">
        <is>
          <t>รวม</t>
        </is>
      </c>
    </row>
    <row r="49">
      <c r="A49" s="180" t="n">
        <v>1</v>
      </c>
      <c r="B49" s="169" t="inlineStr">
        <is>
          <t>HD-640 บานพับล้อบนเฟี้ยม</t>
        </is>
      </c>
      <c r="C49" s="181">
        <f>IF($C$14="ขาว","ขาว","ดำ")</f>
        <v/>
      </c>
      <c r="D49" s="185">
        <f>$P$12</f>
        <v/>
      </c>
      <c r="E49" s="186">
        <f>IF(ISNUMBER(D49),D49*$C$12,D49)</f>
        <v/>
      </c>
    </row>
    <row r="50">
      <c r="A50" s="180" t="n">
        <v>2</v>
      </c>
      <c r="B50" s="169" t="inlineStr">
        <is>
          <t>HD-641 บานพับเฟี้ยม (LUT ชีทอ้างอิง)</t>
        </is>
      </c>
      <c r="C50" s="181">
        <f>IF($C$14="ขาว","ขาว","ดำ")</f>
        <v/>
      </c>
      <c r="D50" s="185">
        <f>IF($P$18=0,"เช็คเอง",IF($C$6&lt;=INDEX('อ้างอิง LUT'!$B:$B,$P$18),INDEX('อ้างอิง LUT'!$C:$C,$P$18),IF(INDEX('อ้างอิง LUT'!$D:$D,$P$18)="",INDEX('อ้างอิง LUT'!$E:$E,$P$18),IF($C$6&lt;=INDEX('อ้างอิง LUT'!$D:$D,$P$18),INDEX('อ้างอิง LUT'!$E:$E,$P$18),INDEX('อ้างอิง LUT'!$F:$F,$P$18)))))</f>
        <v/>
      </c>
      <c r="E50" s="186">
        <f>IF(ISNUMBER(D50),D50*$C$12,D50)</f>
        <v/>
      </c>
    </row>
    <row r="51">
      <c r="A51" s="180" t="n">
        <v>3</v>
      </c>
      <c r="B51" s="169" t="inlineStr">
        <is>
          <t>HD-642 บานพับมือจับเฟี้ยม</t>
        </is>
      </c>
      <c r="C51" s="181">
        <f>IF($C$14="ขาว","ขาว","ดำ")</f>
        <v/>
      </c>
      <c r="D51" s="185">
        <f>$P$12</f>
        <v/>
      </c>
      <c r="E51" s="186">
        <f>IF(ISNUMBER(D51),D51*$C$12,D51)</f>
        <v/>
      </c>
    </row>
    <row r="52">
      <c r="A52" s="180" t="n">
        <v>4</v>
      </c>
      <c r="B52" s="169" t="inlineStr">
        <is>
          <t>HD-643 บานพับไกด์ล่างเฟี้ยม</t>
        </is>
      </c>
      <c r="C52" s="181">
        <f>IF($C$14="ขาว","ขาว","ดำ")</f>
        <v/>
      </c>
      <c r="D52" s="185">
        <f>$P$12</f>
        <v/>
      </c>
      <c r="E52" s="186">
        <f>IF(ISNUMBER(D52),D52*$C$12,D52)</f>
        <v/>
      </c>
    </row>
    <row r="53">
      <c r="A53" s="180" t="n">
        <v>5</v>
      </c>
      <c r="B53" s="169" t="inlineStr">
        <is>
          <t>HD-474 มือจับกลอนรุ่นก้านโยก</t>
        </is>
      </c>
      <c r="C53" s="181">
        <f>IF($C$14="ขาว","ขาว","ดำ")</f>
        <v/>
      </c>
      <c r="D53" s="185">
        <f>$P$12</f>
        <v/>
      </c>
      <c r="E53" s="186">
        <f>IF(ISNUMBER(D53),D53*$C$12,D53)</f>
        <v/>
      </c>
    </row>
    <row r="54">
      <c r="A54" s="180" t="n">
        <v>6</v>
      </c>
      <c r="B54" s="169" t="inlineStr">
        <is>
          <t>HD-312 ตลับกลอนก้านโยกมัลติล็อค</t>
        </is>
      </c>
      <c r="C54" s="181">
        <f>IF($C$14="ขาว","ขาว","ดำ")</f>
        <v/>
      </c>
      <c r="D54" s="185">
        <f>$P$12</f>
        <v/>
      </c>
      <c r="E54" s="186">
        <f>IF(ISNUMBER(D54),D54*$C$12,D54)</f>
        <v/>
      </c>
    </row>
    <row r="55">
      <c r="A55" s="180" t="n">
        <v>7</v>
      </c>
      <c r="B55" s="169" t="inlineStr">
        <is>
          <t>HD-1180 ก้าน AL สไลด์ 19.5 mm</t>
        </is>
      </c>
      <c r="C55" s="181">
        <f>IF($C$14="ขาว","ขาว","ดำ")</f>
        <v/>
      </c>
      <c r="D55" s="185">
        <f>2*$P$12</f>
        <v/>
      </c>
      <c r="E55" s="186">
        <f>IF(ISNUMBER(D55),D55*$C$12,D55)</f>
        <v/>
      </c>
    </row>
    <row r="56">
      <c r="A56" s="180" t="n">
        <v>8</v>
      </c>
      <c r="B56" s="169" t="inlineStr">
        <is>
          <t>HD-213 ฉากเข้ามุมปรับได้</t>
        </is>
      </c>
      <c r="C56" s="181" t="inlineStr">
        <is>
          <t>-</t>
        </is>
      </c>
      <c r="D56" s="185">
        <f>4*$C$7</f>
        <v/>
      </c>
      <c r="E56" s="186">
        <f>IF(ISNUMBER(D56),D56*$C$12,D56)</f>
        <v/>
      </c>
    </row>
    <row r="57">
      <c r="A57" s="180" t="n">
        <v>9</v>
      </c>
      <c r="B57" s="169" t="inlineStr">
        <is>
          <t>HD-200 ฉากประคองมุม</t>
        </is>
      </c>
      <c r="C57" s="181" t="inlineStr">
        <is>
          <t>-</t>
        </is>
      </c>
      <c r="D57" s="185">
        <f>12*$C$7</f>
        <v/>
      </c>
      <c r="E57" s="186">
        <f>IF(ISNUMBER(D57),D57*$C$12,D57)</f>
        <v/>
      </c>
    </row>
    <row r="58">
      <c r="A58" s="180" t="n">
        <v>10</v>
      </c>
      <c r="B58" s="169" t="inlineStr">
        <is>
          <t>HD-481A มือจับก้านโยกกุญแจ</t>
        </is>
      </c>
      <c r="C58" s="181">
        <f>IF($C$14="ขาว","ขาว","ดำ")</f>
        <v/>
      </c>
      <c r="D58" s="185">
        <f>$P$11</f>
        <v/>
      </c>
      <c r="E58" s="186">
        <f>IF(ISNUMBER(D58),D58*$C$12,D58)</f>
        <v/>
      </c>
    </row>
    <row r="59">
      <c r="A59" s="180" t="n">
        <v>11</v>
      </c>
      <c r="B59" s="169" t="inlineStr">
        <is>
          <t>HD-1115 แป้นรับล็อคบานเปิด</t>
        </is>
      </c>
      <c r="C59" s="181" t="inlineStr">
        <is>
          <t>-</t>
        </is>
      </c>
      <c r="D59" s="185">
        <f>$P$11</f>
        <v/>
      </c>
      <c r="E59" s="186">
        <f>IF(ISNUMBER(D59),D59*$C$12,D59)</f>
        <v/>
      </c>
    </row>
    <row r="60">
      <c r="A60" s="180" t="n">
        <v>12</v>
      </c>
      <c r="B60" s="169" t="inlineStr">
        <is>
          <t>HD-850 ตลับกุญแจมัลติล็อค (L35)</t>
        </is>
      </c>
      <c r="C60" s="181" t="inlineStr">
        <is>
          <t>-</t>
        </is>
      </c>
      <c r="D60" s="185">
        <f>$P$11</f>
        <v/>
      </c>
      <c r="E60" s="186">
        <f>IF(ISNUMBER(D60),D60*$C$12,D60)</f>
        <v/>
      </c>
    </row>
    <row r="61">
      <c r="A61" s="180" t="n">
        <v>13</v>
      </c>
      <c r="B61" s="169" t="inlineStr">
        <is>
          <t>HD-803 ไส้กุญแจ 1 หน้า คาบ้า (L75)</t>
        </is>
      </c>
      <c r="C61" s="181" t="inlineStr">
        <is>
          <t>-</t>
        </is>
      </c>
      <c r="D61" s="185">
        <f>$P$11</f>
        <v/>
      </c>
      <c r="E61" s="186">
        <f>IF(ISNUMBER(D61),D61*$C$12,D61)</f>
        <v/>
      </c>
    </row>
    <row r="62">
      <c r="A62" s="180" t="n">
        <v>14</v>
      </c>
      <c r="B62" s="169" t="inlineStr">
        <is>
          <t>HD-305 กลอนบานเฟี้ยม</t>
        </is>
      </c>
      <c r="C62" s="181">
        <f>IF($C$14="ขาว","ขาว","ดำ")</f>
        <v/>
      </c>
      <c r="D62" s="185">
        <f>VLOOKUP($P$7,$B$93:$H$97,7,0)</f>
        <v/>
      </c>
      <c r="E62" s="186">
        <f>IF(ISNUMBER(D62),D62*$C$12,D62)</f>
        <v/>
      </c>
    </row>
    <row r="63">
      <c r="A63" s="180" t="n">
        <v>15</v>
      </c>
      <c r="B63" s="169">
        <f>IF($P$6=0,"จุดรับล็อค แบบเจาะ","จุดรับล็อค แบบสกรู")</f>
        <v/>
      </c>
      <c r="C63" s="181" t="inlineStr">
        <is>
          <t>-</t>
        </is>
      </c>
      <c r="D63" s="185">
        <f>IF($P$11=1,IF($C$6&lt;=270,3,4),0)</f>
        <v/>
      </c>
      <c r="E63" s="186">
        <f>IF(ISNUMBER(D63),D63*$C$12,D63)</f>
        <v/>
      </c>
    </row>
    <row r="64">
      <c r="A64" s="180" t="n">
        <v>16</v>
      </c>
      <c r="B64" s="169" t="inlineStr">
        <is>
          <t>หมุดล็อค 9 x 9 (KIN LONG)</t>
        </is>
      </c>
      <c r="C64" s="181" t="inlineStr">
        <is>
          <t>-</t>
        </is>
      </c>
      <c r="D64" s="185">
        <f>IF($P$11=1,IF($C$6&lt;=270,3,4),0)</f>
        <v/>
      </c>
      <c r="E64" s="186">
        <f>IF(ISNUMBER(D64),D64*$C$12,D64)</f>
        <v/>
      </c>
    </row>
    <row r="65">
      <c r="A65" s="180" t="n">
        <v>17</v>
      </c>
      <c r="B65" s="169" t="inlineStr">
        <is>
          <t>ก้านสไลด์มัลติพ้อย (ม.)</t>
        </is>
      </c>
      <c r="C65" s="181" t="inlineStr">
        <is>
          <t>-</t>
        </is>
      </c>
      <c r="D65" s="185">
        <f>IF($P$11=1,ROUNDDOWN($P$16/100,1),0)</f>
        <v/>
      </c>
      <c r="E65" s="186">
        <f>IF(ISNUMBER(D65),D65*$C$12,D65)</f>
        <v/>
      </c>
    </row>
    <row r="66">
      <c r="A66" s="180" t="n">
        <v>18</v>
      </c>
      <c r="B66" s="169" t="inlineStr">
        <is>
          <t>ยางลูกโป่ง 6mm (ม.)</t>
        </is>
      </c>
      <c r="C66" s="181" t="inlineStr">
        <is>
          <t>-</t>
        </is>
      </c>
      <c r="D66" s="185">
        <f>ROUND(IF($P$7="ชนผนัง-คู่",E31+IF($P$14=1,0,E32)+E33+E34*2+E37*F37*2+E39*F38*2+E38*3+E41,IF($P$7="คู่+คู่",E31+IF($P$14=1,0,E32)+E33*2+E34*2+E37*F37*2+E39*2*3+E38*F38*2,IF($P$7="ชนผนัง-คี่",E31+IF($P$14=1,0,E32)+E33+E34*2+E37*F37*2+E38*F38+E40-E37*2,IF($P$7="คู่+คี่",E31+IF($P$14=1,0,E32)+E33+E34*2+E37*F37*2+E38*F38+E40+E42*3,E31+IF($P$14=1,0,E32)+E33+E34*2+E37*F37*2+E38*F38+E40*2-E37*4))))/100,2)</f>
        <v/>
      </c>
      <c r="E66" s="186">
        <f>IF(ISNUMBER(D66),D66*$C$12,D66)</f>
        <v/>
      </c>
    </row>
    <row r="67">
      <c r="A67" s="180" t="n">
        <v>19</v>
      </c>
      <c r="B67" s="169" t="inlineStr">
        <is>
          <t>สักหลาด 5mm (ม.)</t>
        </is>
      </c>
      <c r="C67" s="181" t="inlineStr">
        <is>
          <t>-</t>
        </is>
      </c>
      <c r="D67" s="185">
        <f>ROUND((E39*F39*2+E41*F41*2)/100,2)</f>
        <v/>
      </c>
      <c r="E67" s="186">
        <f>IF(ISNUMBER(D67),D67*$C$12,D67)</f>
        <v/>
      </c>
    </row>
    <row r="68">
      <c r="A68" s="180" t="n">
        <v>20</v>
      </c>
      <c r="B68" s="169" t="inlineStr">
        <is>
          <t>ยางอัด (ม.)</t>
        </is>
      </c>
      <c r="C68" s="181" t="inlineStr">
        <is>
          <t>-</t>
        </is>
      </c>
      <c r="D68" s="185">
        <f>ROUND((($P$16-$C$89)+($P$15-$C$89))*2*$C$7/100,2)</f>
        <v/>
      </c>
      <c r="E68" s="186">
        <f>IF(ISNUMBER(D68),D68*$C$12,D68)</f>
        <v/>
      </c>
    </row>
    <row r="69">
      <c r="A69" s="180" t="n">
        <v>21</v>
      </c>
      <c r="B69" s="169" t="inlineStr">
        <is>
          <t>ยางรอง (ม.)</t>
        </is>
      </c>
      <c r="C69" s="181" t="inlineStr">
        <is>
          <t>-</t>
        </is>
      </c>
      <c r="D69" s="185">
        <f>ROUND((($P$16-$C$89)+($P$15-$C$89))*2*$C$7/100,2)</f>
        <v/>
      </c>
      <c r="E69" s="186">
        <f>IF(ISNUMBER(D69),D69*$C$12,D69)</f>
        <v/>
      </c>
    </row>
    <row r="71">
      <c r="A71" s="168" t="inlineStr">
        <is>
          <t>⑥ กระจก</t>
        </is>
      </c>
    </row>
    <row r="72">
      <c r="B72" s="169" t="inlineStr">
        <is>
          <t>กว้างกระจก WS (ขวาง−130)</t>
        </is>
      </c>
      <c r="C72" s="179">
        <f>$P$15-$C$89</f>
        <v/>
      </c>
      <c r="D72" s="169" t="inlineStr">
        <is>
          <t>สูงกระจก HS (ตั้ง−130)</t>
        </is>
      </c>
      <c r="E72" s="179">
        <f>$P$16-$C$89</f>
        <v/>
      </c>
    </row>
    <row r="73">
      <c r="B73" s="169" t="inlineStr">
        <is>
          <t>จำนวนแผ่น (N × ชุด)</t>
        </is>
      </c>
      <c r="C73" s="187">
        <f>$C$7*$C$12</f>
        <v/>
      </c>
      <c r="D73" s="169" t="inlineStr">
        <is>
          <t>ความหนา (มิล)</t>
        </is>
      </c>
      <c r="E73" s="174">
        <f>$C$11</f>
        <v/>
      </c>
    </row>
    <row r="74">
      <c r="B74" s="169" t="inlineStr">
        <is>
          <t>น้ำหนักกระจกรวม (กก. @2.5/ตร.ม./มิล)</t>
        </is>
      </c>
      <c r="C74" s="188">
        <f>IF($C$11="มู่ลี่","-",ROUND(($P$15-$C$89)*($P$16-$C$89)*VALUE($C$11)*2.5/10000*$C$7*$C$12,1))</f>
        <v/>
      </c>
    </row>
    <row r="77">
      <c r="A77" s="168" t="inlineStr">
        <is>
          <t>⑦ แผงแก้สูตร (เหลือง = แก้ที่เดียว ทั้งใบเปลี่ยน)</t>
        </is>
      </c>
    </row>
    <row r="78">
      <c r="B78" s="169" t="inlineStr">
        <is>
          <t>หักเฟรมข้าง (เฟรมบน/ล่าง/ขวาง) ต่อข้าง</t>
        </is>
      </c>
      <c r="C78" s="189" t="n">
        <v>1.8</v>
      </c>
    </row>
    <row r="79">
      <c r="B79" s="169" t="inlineStr">
        <is>
          <t>ขวาง — ค่าคงที่ข้าง ต่อจุด</t>
        </is>
      </c>
      <c r="C79" s="189" t="n">
        <v>0.95</v>
      </c>
    </row>
    <row r="80">
      <c r="B80" s="169" t="inlineStr">
        <is>
          <t>ขวาง — ระยะซ้อนต่อรอย</t>
        </is>
      </c>
      <c r="C80" s="189" t="n">
        <v>0.8</v>
      </c>
    </row>
    <row r="81">
      <c r="B81" s="169" t="inlineStr">
        <is>
          <t>คิ้วตบ/ตบปิดตั้ง — หักบน</t>
        </is>
      </c>
      <c r="C81" s="189" t="n">
        <v>7.5</v>
      </c>
    </row>
    <row r="82">
      <c r="B82" s="169" t="inlineStr">
        <is>
          <t>คิ้วตบ/ตบปิดตั้ง — หักล่าง (เฟรมล่าง; รางยู=0 อัตโนมัติ)</t>
        </is>
      </c>
      <c r="C82" s="189" t="n">
        <v>4.5</v>
      </c>
    </row>
    <row r="83">
      <c r="B83" s="169" t="inlineStr">
        <is>
          <t>ตบปิดนอน — หักต่อข้าง</t>
        </is>
      </c>
      <c r="C83" s="189" t="n">
        <v>2</v>
      </c>
    </row>
    <row r="84">
      <c r="B84" s="169" t="inlineStr">
        <is>
          <t>กรอบตั้ง/รับล็อค — หักบน</t>
        </is>
      </c>
      <c r="C84" s="189" t="n">
        <v>5.5</v>
      </c>
    </row>
    <row r="85">
      <c r="B85" s="169" t="inlineStr">
        <is>
          <t>กรอบตั้ง — หักกลาง ×2</t>
        </is>
      </c>
      <c r="C85" s="189" t="n">
        <v>0.7</v>
      </c>
    </row>
    <row r="86">
      <c r="B86" s="169" t="inlineStr">
        <is>
          <t>กรอบตั้ง/รับล็อค — หักเฟรมล่าง (รางยู=0 อัตโนมัติ)</t>
        </is>
      </c>
      <c r="C86" s="189" t="n">
        <v>2.5</v>
      </c>
    </row>
    <row r="87">
      <c r="B87" s="169" t="inlineStr">
        <is>
          <t>คิ้วกระจกตั้ง — หักต่อข้าง</t>
        </is>
      </c>
      <c r="C87" s="189" t="n">
        <v>8</v>
      </c>
    </row>
    <row r="88">
      <c r="B88" s="169" t="inlineStr">
        <is>
          <t>คิ้วกระจกนอน — หักต่อข้าง</t>
        </is>
      </c>
      <c r="C88" s="189" t="n">
        <v>6</v>
      </c>
    </row>
    <row r="89">
      <c r="B89" s="169" t="inlineStr">
        <is>
          <t>กระจก — หักจากกรอบ</t>
        </is>
      </c>
      <c r="C89" s="189" t="n">
        <v>13</v>
      </c>
    </row>
    <row r="90">
      <c r="B90" s="169" t="inlineStr">
        <is>
          <t>ความยาวเส้นสต็อก (ซม.)</t>
        </is>
      </c>
      <c r="C90" s="189" t="n">
        <v>640</v>
      </c>
    </row>
    <row r="91">
      <c r="A91" s="168" t="inlineStr">
        <is>
          <t>⑧ ตารางกรณี (M เหลือง = แก้ได้ · จำนวนชิ้นพิเศษต่อกรณี)</t>
        </is>
      </c>
    </row>
    <row r="92">
      <c r="B92" s="175" t="inlineStr">
        <is>
          <t>กรณี</t>
        </is>
      </c>
      <c r="C92" s="175" t="inlineStr">
        <is>
          <t>M กลาง</t>
        </is>
      </c>
      <c r="D92" s="175" t="inlineStr">
        <is>
          <t>ชนกลาง F7974</t>
        </is>
      </c>
      <c r="E92" s="175" t="inlineStr">
        <is>
          <t>บังใบ F7975</t>
        </is>
      </c>
      <c r="F92" s="175" t="inlineStr">
        <is>
          <t>รับล็อค F7961</t>
        </is>
      </c>
      <c r="G92" s="175" t="inlineStr">
        <is>
          <t>รับล็อค F7962</t>
        </is>
      </c>
      <c r="H92" s="175" t="inlineStr">
        <is>
          <t>กลอน HD-305</t>
        </is>
      </c>
    </row>
    <row r="93">
      <c r="B93" s="169" t="inlineStr">
        <is>
          <t>ชนผนัง-คู่</t>
        </is>
      </c>
      <c r="C93" s="190" t="n">
        <v>5</v>
      </c>
      <c r="D93" s="180" t="n">
        <v>1</v>
      </c>
      <c r="E93" s="180" t="n">
        <v>0</v>
      </c>
      <c r="F93" s="180" t="n">
        <v>1</v>
      </c>
      <c r="G93" s="180" t="n">
        <v>0</v>
      </c>
      <c r="H93" s="180" t="n">
        <v>0</v>
      </c>
    </row>
    <row r="94">
      <c r="B94" s="169" t="inlineStr">
        <is>
          <t>ชนผนัง-คี่</t>
        </is>
      </c>
      <c r="C94" s="190" t="n">
        <v>1.8</v>
      </c>
      <c r="D94" s="180" t="n">
        <v>0</v>
      </c>
      <c r="E94" s="180" t="n">
        <v>1</v>
      </c>
      <c r="F94" s="180" t="n">
        <v>0</v>
      </c>
      <c r="G94" s="180" t="n">
        <v>0</v>
      </c>
      <c r="H94" s="180" t="n">
        <v>0</v>
      </c>
    </row>
    <row r="95">
      <c r="B95" s="169" t="inlineStr">
        <is>
          <t>คู่+คู่</t>
        </is>
      </c>
      <c r="C95" s="190" t="n">
        <v>7.1</v>
      </c>
      <c r="D95" s="180" t="n">
        <v>2</v>
      </c>
      <c r="E95" s="180" t="n">
        <v>0</v>
      </c>
      <c r="F95" s="180" t="n">
        <v>0</v>
      </c>
      <c r="G95" s="180" t="n">
        <v>0</v>
      </c>
      <c r="H95" s="180" t="n">
        <v>0</v>
      </c>
    </row>
    <row r="96">
      <c r="B96" s="169" t="inlineStr">
        <is>
          <t>คี่+คี่</t>
        </is>
      </c>
      <c r="C96" s="190" t="n">
        <v>2.3</v>
      </c>
      <c r="D96" s="180" t="n">
        <v>0</v>
      </c>
      <c r="E96" s="180" t="n">
        <v>2</v>
      </c>
      <c r="F96" s="180" t="n">
        <v>0</v>
      </c>
      <c r="G96" s="180" t="n">
        <v>0</v>
      </c>
      <c r="H96" s="180" t="n">
        <v>2</v>
      </c>
    </row>
    <row r="97">
      <c r="B97" s="169" t="inlineStr">
        <is>
          <t>คู่+คี่</t>
        </is>
      </c>
      <c r="C97" s="190" t="n">
        <v>5.8</v>
      </c>
      <c r="D97" s="180" t="n">
        <v>0</v>
      </c>
      <c r="E97" s="180" t="n">
        <v>1</v>
      </c>
      <c r="F97" s="180" t="n">
        <v>0</v>
      </c>
      <c r="G97" s="180" t="n">
        <v>1</v>
      </c>
      <c r="H97" s="180" t="n">
        <v>2</v>
      </c>
    </row>
  </sheetData>
  <mergeCells count="13">
    <mergeCell ref="C2:E2"/>
    <mergeCell ref="A4:H4"/>
    <mergeCell ref="A77:H77"/>
    <mergeCell ref="A91:H91"/>
    <mergeCell ref="B45:D45"/>
    <mergeCell ref="A71:H71"/>
    <mergeCell ref="A28:H28"/>
    <mergeCell ref="B25:H25"/>
    <mergeCell ref="A47:H47"/>
    <mergeCell ref="A1:H1"/>
    <mergeCell ref="B3:H3"/>
    <mergeCell ref="A22:H22"/>
    <mergeCell ref="A17:H17"/>
  </mergeCells>
  <dataValidations count="4">
    <dataValidation sqref="C10" showDropDown="0" showInputMessage="0" showErrorMessage="0" allowBlank="0" type="list">
      <formula1>"เฟรมล่าง F7969,รางยู F7932"</formula1>
    </dataValidation>
    <dataValidation sqref="C11" showDropDown="0" showInputMessage="0" showErrorMessage="0" allowBlank="0" type="list">
      <formula1>"5,6,8,10,12,14,16,19,20,มู่ลี่"</formula1>
    </dataValidation>
    <dataValidation sqref="C13" showDropDown="0" showInputMessage="0" showErrorMessage="0" allowBlank="0" type="list">
      <formula1>"มองจากในห้อง,มองจากนอกห้อง"</formula1>
    </dataValidation>
    <dataValidation sqref="C14" showDropDown="0" showInputMessage="0" showErrorMessage="0" allowBlank="0" type="list">
      <formula1>"ดำ,ขาว"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style="92" min="1" max="1"/>
    <col width="10" customWidth="1" style="92" min="2" max="2"/>
    <col width="10" customWidth="1" style="92" min="3" max="3"/>
    <col width="10" customWidth="1" style="92" min="4" max="4"/>
    <col width="10" customWidth="1" style="92" min="5" max="5"/>
    <col width="10" customWidth="1" style="92" min="6" max="6"/>
  </cols>
  <sheetData>
    <row r="1">
      <c r="A1" s="191" t="inlineStr">
        <is>
          <t>LUT บานพับเฟี้ยม HD-641 — ดึงจากไฟล์ผู้ผลิตทุกชีท (ห้ามเดา แก้ที่นี่ที่เดียว)</t>
        </is>
      </c>
    </row>
    <row r="2">
      <c r="A2" s="192" t="inlineStr">
        <is>
          <t>config</t>
        </is>
      </c>
      <c r="B2" s="192" t="inlineStr">
        <is>
          <t>H ≤ (1)</t>
        </is>
      </c>
      <c r="C2" s="192" t="inlineStr">
        <is>
          <t>จำนวน (1)</t>
        </is>
      </c>
      <c r="D2" s="192" t="inlineStr">
        <is>
          <t>H ≤ (2)</t>
        </is>
      </c>
      <c r="E2" s="192" t="inlineStr">
        <is>
          <t>จำนวน (2)</t>
        </is>
      </c>
      <c r="F2" s="192" t="inlineStr">
        <is>
          <t>จำนวน (3)</t>
        </is>
      </c>
    </row>
    <row r="3">
      <c r="A3" s="172" t="inlineStr">
        <is>
          <t>2P 2-0</t>
        </is>
      </c>
      <c r="B3" s="172" t="n">
        <v>270</v>
      </c>
      <c r="C3" s="172" t="n">
        <v>7</v>
      </c>
      <c r="E3" s="172" t="n">
        <v>10</v>
      </c>
    </row>
    <row r="4">
      <c r="A4" s="172" t="inlineStr">
        <is>
          <t>2P 2-0 (U)</t>
        </is>
      </c>
      <c r="B4" s="172" t="n">
        <v>270</v>
      </c>
      <c r="C4" s="172" t="n">
        <v>7</v>
      </c>
      <c r="E4" s="172" t="n">
        <v>10</v>
      </c>
    </row>
    <row r="5">
      <c r="A5" s="172" t="inlineStr">
        <is>
          <t>3P 3-0</t>
        </is>
      </c>
      <c r="B5" s="172" t="n">
        <v>250</v>
      </c>
      <c r="C5" s="172" t="n">
        <v>7</v>
      </c>
      <c r="D5" s="172" t="n">
        <v>300</v>
      </c>
      <c r="E5" s="172" t="n">
        <v>10</v>
      </c>
      <c r="F5" s="172" t="n">
        <v>13</v>
      </c>
    </row>
    <row r="6">
      <c r="A6" s="172" t="inlineStr">
        <is>
          <t>3P 3-0 (U)</t>
        </is>
      </c>
      <c r="B6" s="172" t="n">
        <v>270</v>
      </c>
      <c r="C6" s="172" t="n">
        <v>7</v>
      </c>
      <c r="E6" s="172" t="n">
        <v>10</v>
      </c>
    </row>
    <row r="7">
      <c r="A7" s="172" t="inlineStr">
        <is>
          <t>3P 2-1</t>
        </is>
      </c>
      <c r="B7" s="172" t="n">
        <v>270</v>
      </c>
      <c r="C7" s="172" t="n">
        <v>9</v>
      </c>
      <c r="E7" s="172" t="n">
        <v>12</v>
      </c>
    </row>
    <row r="8">
      <c r="A8" s="172" t="inlineStr">
        <is>
          <t>3P 2-1 (U)</t>
        </is>
      </c>
      <c r="B8" s="172" t="n">
        <v>270</v>
      </c>
      <c r="C8" s="172" t="n">
        <v>9</v>
      </c>
      <c r="E8" s="172" t="n">
        <v>12</v>
      </c>
    </row>
    <row r="9">
      <c r="A9" s="172" t="inlineStr">
        <is>
          <t>4P 4-0</t>
        </is>
      </c>
      <c r="B9" s="172" t="n">
        <v>270</v>
      </c>
      <c r="C9" s="172" t="n">
        <v>11</v>
      </c>
      <c r="E9" s="172" t="n">
        <v>16</v>
      </c>
    </row>
    <row r="10">
      <c r="A10" s="172" t="inlineStr">
        <is>
          <t>4P 4-0 (U)</t>
        </is>
      </c>
      <c r="B10" s="172" t="n">
        <v>270</v>
      </c>
      <c r="C10" s="172" t="n">
        <v>11</v>
      </c>
      <c r="E10" s="172" t="n">
        <v>16</v>
      </c>
    </row>
    <row r="11">
      <c r="A11" s="172" t="inlineStr">
        <is>
          <t>4P 3-1</t>
        </is>
      </c>
      <c r="B11" s="172" t="n">
        <v>270</v>
      </c>
      <c r="C11" s="172" t="n">
        <v>7</v>
      </c>
      <c r="E11" s="172" t="n">
        <v>10</v>
      </c>
    </row>
    <row r="12">
      <c r="A12" s="172" t="inlineStr">
        <is>
          <t>4P 3-1 (U)</t>
        </is>
      </c>
      <c r="B12" s="172" t="n">
        <v>270</v>
      </c>
      <c r="C12" s="172" t="n">
        <v>7</v>
      </c>
      <c r="E12" s="172" t="n">
        <v>10</v>
      </c>
    </row>
    <row r="13">
      <c r="A13" s="172" t="inlineStr">
        <is>
          <t>4P 2-2</t>
        </is>
      </c>
      <c r="B13" s="172" t="n">
        <v>250</v>
      </c>
      <c r="C13" s="172" t="n">
        <v>14</v>
      </c>
      <c r="D13" s="172" t="n">
        <v>300</v>
      </c>
      <c r="E13" s="172" t="n">
        <v>20</v>
      </c>
      <c r="F13" s="172" t="n">
        <v>26</v>
      </c>
    </row>
    <row r="14">
      <c r="A14" s="172" t="inlineStr">
        <is>
          <t>4P 2-2 (U)</t>
        </is>
      </c>
      <c r="B14" s="172" t="n">
        <v>270</v>
      </c>
      <c r="C14" s="172" t="n">
        <v>12</v>
      </c>
      <c r="E14" s="172" t="n">
        <v>18</v>
      </c>
    </row>
    <row r="15">
      <c r="A15" s="172" t="inlineStr">
        <is>
          <t>5P 5-0</t>
        </is>
      </c>
      <c r="B15" s="172" t="n">
        <v>270</v>
      </c>
      <c r="C15" s="172" t="n">
        <v>11</v>
      </c>
      <c r="E15" s="172" t="n">
        <v>16</v>
      </c>
    </row>
    <row r="16">
      <c r="A16" s="172" t="inlineStr">
        <is>
          <t>5P 5-0 (U)</t>
        </is>
      </c>
      <c r="B16" s="172" t="n">
        <v>270</v>
      </c>
      <c r="C16" s="172" t="n">
        <v>11</v>
      </c>
      <c r="E16" s="172" t="n">
        <v>16</v>
      </c>
    </row>
    <row r="17">
      <c r="A17" s="172" t="inlineStr">
        <is>
          <t>5P 4-1</t>
        </is>
      </c>
      <c r="B17" s="172" t="n">
        <v>270</v>
      </c>
      <c r="C17" s="172" t="n">
        <v>14</v>
      </c>
      <c r="E17" s="172" t="n">
        <v>20</v>
      </c>
    </row>
    <row r="18">
      <c r="A18" s="172" t="inlineStr">
        <is>
          <t>5P 4-1 (U)</t>
        </is>
      </c>
      <c r="B18" s="172" t="n">
        <v>270</v>
      </c>
      <c r="C18" s="172" t="n">
        <v>14</v>
      </c>
      <c r="E18" s="172" t="n">
        <v>20</v>
      </c>
    </row>
    <row r="19">
      <c r="A19" s="172" t="inlineStr">
        <is>
          <t>5P 3-2</t>
        </is>
      </c>
      <c r="B19" s="172" t="n">
        <v>270</v>
      </c>
      <c r="C19" s="172" t="n">
        <v>14</v>
      </c>
      <c r="E19" s="172" t="n">
        <v>20</v>
      </c>
    </row>
    <row r="20">
      <c r="A20" s="172" t="inlineStr">
        <is>
          <t>5P 3-2 (U)</t>
        </is>
      </c>
      <c r="B20" s="172" t="n">
        <v>270</v>
      </c>
      <c r="C20" s="172" t="n">
        <v>14</v>
      </c>
      <c r="E20" s="172" t="n">
        <v>20</v>
      </c>
    </row>
    <row r="21">
      <c r="A21" s="172" t="inlineStr">
        <is>
          <t>6P 6-0</t>
        </is>
      </c>
      <c r="B21" s="172" t="n">
        <v>270</v>
      </c>
      <c r="C21" s="172" t="n">
        <v>15</v>
      </c>
      <c r="E21" s="172" t="n">
        <v>22</v>
      </c>
    </row>
    <row r="22">
      <c r="A22" s="172" t="inlineStr">
        <is>
          <t>6P 6-0 (U)</t>
        </is>
      </c>
      <c r="B22" s="172" t="n">
        <v>270</v>
      </c>
      <c r="C22" s="172" t="n">
        <v>15</v>
      </c>
      <c r="E22" s="172" t="n">
        <v>22</v>
      </c>
    </row>
    <row r="23">
      <c r="A23" s="172" t="inlineStr">
        <is>
          <t>6P 5-1</t>
        </is>
      </c>
      <c r="B23" s="172" t="n">
        <v>270</v>
      </c>
      <c r="C23" s="172" t="n">
        <v>11</v>
      </c>
      <c r="E23" s="172" t="n">
        <v>16</v>
      </c>
    </row>
    <row r="24">
      <c r="A24" s="172" t="inlineStr">
        <is>
          <t>6P 5-1 (U)</t>
        </is>
      </c>
      <c r="B24" s="172" t="n">
        <v>270</v>
      </c>
      <c r="C24" s="172" t="n">
        <v>11</v>
      </c>
      <c r="E24" s="172" t="n">
        <v>16</v>
      </c>
    </row>
    <row r="25">
      <c r="A25" s="172" t="inlineStr">
        <is>
          <t>6P 4-2</t>
        </is>
      </c>
      <c r="B25" s="172" t="n">
        <v>270</v>
      </c>
      <c r="C25" s="172" t="n">
        <v>16</v>
      </c>
      <c r="E25" s="172" t="n">
        <v>24</v>
      </c>
    </row>
    <row r="26">
      <c r="A26" s="172" t="inlineStr">
        <is>
          <t>6P 4-2 (U)</t>
        </is>
      </c>
      <c r="B26" s="172" t="n">
        <v>270</v>
      </c>
      <c r="C26" s="172" t="n">
        <v>16</v>
      </c>
      <c r="E26" s="172" t="n">
        <v>24</v>
      </c>
    </row>
    <row r="27">
      <c r="A27" s="172" t="inlineStr">
        <is>
          <t>6P 3-3</t>
        </is>
      </c>
      <c r="B27" s="172" t="n">
        <v>250</v>
      </c>
      <c r="C27" s="172" t="n">
        <v>14</v>
      </c>
      <c r="D27" s="172" t="n">
        <v>300</v>
      </c>
      <c r="E27" s="172" t="n">
        <v>18</v>
      </c>
      <c r="F27" s="172" t="n">
        <v>22</v>
      </c>
    </row>
    <row r="28">
      <c r="A28" s="172" t="inlineStr">
        <is>
          <t>6P 3-3 (U)</t>
        </is>
      </c>
      <c r="B28" s="172" t="n">
        <v>270</v>
      </c>
      <c r="C28" s="172" t="n">
        <v>14</v>
      </c>
      <c r="E28" s="172" t="n">
        <v>20</v>
      </c>
    </row>
    <row r="29">
      <c r="A29" s="172" t="inlineStr">
        <is>
          <t>7P 7-0</t>
        </is>
      </c>
      <c r="B29" s="172" t="n">
        <v>270</v>
      </c>
      <c r="C29" s="172" t="n">
        <v>15</v>
      </c>
      <c r="E29" s="172" t="n">
        <v>22</v>
      </c>
    </row>
    <row r="30">
      <c r="A30" s="172" t="inlineStr">
        <is>
          <t>7P 7-0 (U)</t>
        </is>
      </c>
      <c r="B30" s="172" t="n">
        <v>270</v>
      </c>
      <c r="C30" s="172" t="n">
        <v>15</v>
      </c>
      <c r="E30" s="172" t="n">
        <v>22</v>
      </c>
    </row>
    <row r="31">
      <c r="A31" s="172" t="inlineStr">
        <is>
          <t>7P 6-1</t>
        </is>
      </c>
      <c r="B31" s="172" t="n">
        <v>270</v>
      </c>
      <c r="C31" s="172" t="n">
        <v>17</v>
      </c>
      <c r="E31" s="172" t="n">
        <v>24</v>
      </c>
    </row>
    <row r="32">
      <c r="A32" s="172" t="inlineStr">
        <is>
          <t>7P 6-1 (U)</t>
        </is>
      </c>
      <c r="B32" s="172" t="n">
        <v>270</v>
      </c>
      <c r="C32" s="172" t="n">
        <v>17</v>
      </c>
      <c r="E32" s="172" t="n">
        <v>24</v>
      </c>
    </row>
    <row r="33">
      <c r="A33" s="172" t="inlineStr">
        <is>
          <t>7P 5-2</t>
        </is>
      </c>
      <c r="B33" s="172" t="n">
        <v>270</v>
      </c>
      <c r="C33" s="172" t="n">
        <v>18</v>
      </c>
      <c r="E33" s="172" t="n">
        <v>26</v>
      </c>
    </row>
    <row r="34">
      <c r="A34" s="172" t="inlineStr">
        <is>
          <t>7P 5-2 (U)</t>
        </is>
      </c>
      <c r="B34" s="172" t="n">
        <v>270</v>
      </c>
      <c r="C34" s="172" t="n">
        <v>18</v>
      </c>
      <c r="E34" s="172" t="n">
        <v>26</v>
      </c>
    </row>
    <row r="35">
      <c r="A35" s="172" t="inlineStr">
        <is>
          <t>7P 4-3</t>
        </is>
      </c>
      <c r="B35" s="172" t="n">
        <v>250</v>
      </c>
      <c r="C35" s="172" t="n">
        <v>18</v>
      </c>
      <c r="D35" s="172" t="n">
        <v>300</v>
      </c>
      <c r="E35" s="172" t="n">
        <v>26</v>
      </c>
      <c r="F35" s="172" t="n">
        <v>34</v>
      </c>
    </row>
    <row r="36">
      <c r="A36" s="172" t="inlineStr">
        <is>
          <t>7P 4-3 (U)</t>
        </is>
      </c>
      <c r="B36" s="172" t="n">
        <v>270</v>
      </c>
      <c r="C36" s="172" t="n">
        <v>18</v>
      </c>
      <c r="E36" s="172" t="n">
        <v>26</v>
      </c>
    </row>
    <row r="37">
      <c r="A37" s="172" t="inlineStr">
        <is>
          <t>8P 8-0</t>
        </is>
      </c>
      <c r="B37" s="172" t="n">
        <v>270</v>
      </c>
      <c r="C37" s="172" t="n">
        <v>19</v>
      </c>
      <c r="E37" s="172" t="n">
        <v>28</v>
      </c>
    </row>
    <row r="38">
      <c r="A38" s="172" t="inlineStr">
        <is>
          <t>8P 8-0 (U)</t>
        </is>
      </c>
      <c r="B38" s="172" t="n">
        <v>270</v>
      </c>
      <c r="C38" s="172" t="n">
        <v>19</v>
      </c>
      <c r="E38" s="172" t="n">
        <v>28</v>
      </c>
    </row>
    <row r="39">
      <c r="A39" s="172" t="inlineStr">
        <is>
          <t>8P 7-1</t>
        </is>
      </c>
      <c r="B39" s="172" t="n">
        <v>270</v>
      </c>
      <c r="C39" s="172" t="n">
        <v>15</v>
      </c>
      <c r="E39" s="172" t="n">
        <v>22</v>
      </c>
    </row>
    <row r="40">
      <c r="A40" s="172" t="inlineStr">
        <is>
          <t>8P 7-1 (U)</t>
        </is>
      </c>
      <c r="B40" s="172" t="n">
        <v>270</v>
      </c>
      <c r="C40" s="172" t="n">
        <v>15</v>
      </c>
      <c r="E40" s="172" t="n">
        <v>22</v>
      </c>
    </row>
    <row r="41">
      <c r="A41" s="172" t="inlineStr">
        <is>
          <t>8P 4-4</t>
        </is>
      </c>
      <c r="B41" s="172" t="n">
        <v>270</v>
      </c>
      <c r="C41" s="172" t="n">
        <v>22</v>
      </c>
      <c r="E41" s="172" t="n">
        <v>32</v>
      </c>
    </row>
    <row r="42">
      <c r="A42" s="172" t="inlineStr">
        <is>
          <t>8P 4-4 (U)</t>
        </is>
      </c>
      <c r="B42" s="172" t="n">
        <v>270</v>
      </c>
      <c r="C42" s="172" t="n">
        <v>22</v>
      </c>
      <c r="E42" s="172" t="n">
        <v>32</v>
      </c>
    </row>
    <row r="43">
      <c r="A43" s="172" t="inlineStr">
        <is>
          <t>8P 5-3</t>
        </is>
      </c>
      <c r="B43" s="172" t="n">
        <v>270</v>
      </c>
      <c r="C43" s="172" t="n">
        <v>18</v>
      </c>
      <c r="E43" s="172" t="n">
        <v>26</v>
      </c>
    </row>
    <row r="44">
      <c r="A44" s="172" t="inlineStr">
        <is>
          <t>8P 5-3 (U)</t>
        </is>
      </c>
      <c r="B44" s="172" t="n">
        <v>270</v>
      </c>
      <c r="C44" s="172" t="n">
        <v>18</v>
      </c>
      <c r="E44" s="172" t="n">
        <v>26</v>
      </c>
    </row>
    <row r="45">
      <c r="A45" s="172" t="inlineStr">
        <is>
          <t>8P 6-2</t>
        </is>
      </c>
      <c r="B45" s="172" t="n">
        <v>270</v>
      </c>
      <c r="C45" s="172" t="n">
        <v>22</v>
      </c>
      <c r="E45" s="172" t="n">
        <v>32</v>
      </c>
    </row>
    <row r="46">
      <c r="A46" s="172" t="inlineStr">
        <is>
          <t>8P 6-2 (U)</t>
        </is>
      </c>
      <c r="B46" s="172" t="n">
        <v>270</v>
      </c>
      <c r="C46" s="172" t="n">
        <v>22</v>
      </c>
      <c r="E46" s="172" t="n">
        <v>32</v>
      </c>
    </row>
    <row r="47">
      <c r="A47" s="172" t="inlineStr">
        <is>
          <t>9P 9-0</t>
        </is>
      </c>
      <c r="B47" s="172" t="n">
        <v>270</v>
      </c>
      <c r="C47" s="172" t="n">
        <v>19</v>
      </c>
      <c r="E47" s="172" t="n">
        <v>28</v>
      </c>
    </row>
    <row r="48">
      <c r="A48" s="172" t="inlineStr">
        <is>
          <t>9P 9-0 (U)</t>
        </is>
      </c>
      <c r="B48" s="172" t="n">
        <v>270</v>
      </c>
      <c r="C48" s="172" t="n">
        <v>19</v>
      </c>
      <c r="E48" s="172" t="n">
        <v>28</v>
      </c>
    </row>
    <row r="49">
      <c r="A49" s="172" t="inlineStr">
        <is>
          <t>9P 8-1</t>
        </is>
      </c>
      <c r="B49" s="172" t="n">
        <v>270</v>
      </c>
      <c r="C49" s="172" t="n">
        <v>21</v>
      </c>
      <c r="E49" s="172" t="n">
        <v>30</v>
      </c>
    </row>
    <row r="50">
      <c r="A50" s="172" t="inlineStr">
        <is>
          <t>9P 8-1 (U)</t>
        </is>
      </c>
      <c r="B50" s="172" t="n">
        <v>270</v>
      </c>
      <c r="C50" s="172" t="n">
        <v>21</v>
      </c>
      <c r="E50" s="172" t="n">
        <v>30</v>
      </c>
    </row>
    <row r="51">
      <c r="A51" s="172" t="inlineStr">
        <is>
          <t>9P 7-2</t>
        </is>
      </c>
      <c r="B51" s="172" t="n">
        <v>270</v>
      </c>
      <c r="C51" s="172" t="n">
        <v>22</v>
      </c>
      <c r="E51" s="172" t="n">
        <v>32</v>
      </c>
    </row>
    <row r="52">
      <c r="A52" s="172" t="inlineStr">
        <is>
          <t>9P 7-2 (U)</t>
        </is>
      </c>
      <c r="B52" s="172" t="n">
        <v>270</v>
      </c>
      <c r="C52" s="172" t="n">
        <v>22</v>
      </c>
      <c r="E52" s="172" t="n">
        <v>32</v>
      </c>
    </row>
    <row r="53">
      <c r="A53" s="172" t="inlineStr">
        <is>
          <t>9P 6-3</t>
        </is>
      </c>
      <c r="B53" s="172" t="n">
        <v>270</v>
      </c>
      <c r="C53" s="172" t="n">
        <v>22</v>
      </c>
      <c r="E53" s="172" t="n">
        <v>32</v>
      </c>
    </row>
    <row r="54">
      <c r="A54" s="172" t="inlineStr">
        <is>
          <t>9P 6-3 (U)</t>
        </is>
      </c>
      <c r="B54" s="172" t="n">
        <v>270</v>
      </c>
      <c r="C54" s="172" t="n">
        <v>22</v>
      </c>
      <c r="E54" s="172" t="n">
        <v>32</v>
      </c>
    </row>
    <row r="55">
      <c r="A55" s="172" t="inlineStr">
        <is>
          <t>9P 5-4</t>
        </is>
      </c>
      <c r="B55" s="172" t="n">
        <v>270</v>
      </c>
      <c r="C55" s="172" t="n">
        <v>22</v>
      </c>
      <c r="E55" s="172" t="n">
        <v>32</v>
      </c>
    </row>
    <row r="56">
      <c r="A56" s="172" t="inlineStr">
        <is>
          <t>9P 5-4 (U)</t>
        </is>
      </c>
      <c r="B56" s="172" t="n">
        <v>270</v>
      </c>
      <c r="C56" s="172" t="n">
        <v>22</v>
      </c>
      <c r="E56" s="172" t="n">
        <v>32</v>
      </c>
    </row>
    <row r="57">
      <c r="A57" s="172" t="inlineStr">
        <is>
          <t>10P 10-0</t>
        </is>
      </c>
      <c r="B57" s="172" t="n">
        <v>270</v>
      </c>
      <c r="C57" s="172" t="n">
        <v>23</v>
      </c>
      <c r="E57" s="172" t="n">
        <v>34</v>
      </c>
    </row>
    <row r="58">
      <c r="A58" s="172" t="inlineStr">
        <is>
          <t>10P 10-0 (U)</t>
        </is>
      </c>
      <c r="B58" s="172" t="n">
        <v>270</v>
      </c>
      <c r="C58" s="172" t="n">
        <v>23</v>
      </c>
      <c r="E58" s="172" t="n">
        <v>34</v>
      </c>
    </row>
    <row r="59">
      <c r="A59" s="172" t="inlineStr">
        <is>
          <t>10P 9-1</t>
        </is>
      </c>
      <c r="B59" s="172" t="n">
        <v>270</v>
      </c>
      <c r="C59" s="172" t="n">
        <v>20</v>
      </c>
      <c r="E59" s="172" t="n">
        <v>30</v>
      </c>
    </row>
    <row r="60">
      <c r="A60" s="172" t="inlineStr">
        <is>
          <t>10P 9-1 (U)</t>
        </is>
      </c>
      <c r="B60" s="172" t="n">
        <v>270</v>
      </c>
      <c r="C60" s="172" t="n">
        <v>20</v>
      </c>
      <c r="E60" s="172" t="n">
        <v>30</v>
      </c>
    </row>
    <row r="61">
      <c r="A61" s="172" t="inlineStr">
        <is>
          <t>10P 8-2</t>
        </is>
      </c>
      <c r="B61" s="172" t="n">
        <v>270</v>
      </c>
      <c r="C61" s="172" t="n">
        <v>26</v>
      </c>
      <c r="E61" s="172" t="n">
        <v>38</v>
      </c>
    </row>
    <row r="62">
      <c r="A62" s="172" t="inlineStr">
        <is>
          <t>10P 8-2 (U)</t>
        </is>
      </c>
      <c r="B62" s="172" t="n">
        <v>270</v>
      </c>
      <c r="C62" s="172" t="n">
        <v>26</v>
      </c>
      <c r="E62" s="172" t="n">
        <v>38</v>
      </c>
    </row>
    <row r="63">
      <c r="A63" s="172" t="inlineStr">
        <is>
          <t>10P 7-3</t>
        </is>
      </c>
      <c r="B63" s="172" t="n">
        <v>270</v>
      </c>
      <c r="C63" s="172" t="n">
        <v>22</v>
      </c>
      <c r="E63" s="172" t="n">
        <v>28</v>
      </c>
    </row>
    <row r="64">
      <c r="A64" s="172" t="inlineStr">
        <is>
          <t>10P 7-3 (U)</t>
        </is>
      </c>
      <c r="B64" s="172" t="n">
        <v>270</v>
      </c>
      <c r="C64" s="172" t="n">
        <v>22</v>
      </c>
      <c r="E64" s="172" t="n">
        <v>28</v>
      </c>
    </row>
    <row r="65">
      <c r="A65" s="172" t="inlineStr">
        <is>
          <t>10P 6-4</t>
        </is>
      </c>
      <c r="B65" s="172" t="n">
        <v>270</v>
      </c>
      <c r="C65" s="172" t="n">
        <v>26</v>
      </c>
      <c r="E65" s="172" t="n">
        <v>38</v>
      </c>
    </row>
    <row r="66">
      <c r="A66" s="172" t="inlineStr">
        <is>
          <t>10P 6-4 (U)</t>
        </is>
      </c>
      <c r="B66" s="172" t="n">
        <v>270</v>
      </c>
      <c r="C66" s="172" t="n">
        <v>26</v>
      </c>
      <c r="E66" s="172" t="n">
        <v>38</v>
      </c>
    </row>
    <row r="67">
      <c r="A67" s="172" t="inlineStr">
        <is>
          <t>10P 5-5</t>
        </is>
      </c>
      <c r="B67" s="172" t="n">
        <v>270</v>
      </c>
      <c r="C67" s="172" t="n">
        <v>22</v>
      </c>
      <c r="E67" s="172" t="n">
        <v>28</v>
      </c>
    </row>
    <row r="68">
      <c r="A68" s="172" t="inlineStr">
        <is>
          <t>10P 5-5 (U)</t>
        </is>
      </c>
      <c r="B68" s="172" t="n">
        <v>270</v>
      </c>
      <c r="C68" s="172" t="n">
        <v>22</v>
      </c>
      <c r="E68" s="172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1"/>
  <sheetViews>
    <sheetView tabSelected="1" zoomScale="70" zoomScaleNormal="70" workbookViewId="0">
      <selection activeCell="A1" sqref="A1"/>
    </sheetView>
  </sheetViews>
  <sheetFormatPr baseColWidth="8" defaultColWidth="9.09765625" defaultRowHeight="13.8"/>
  <cols>
    <col width="9.09765625" customWidth="1" style="66" min="1" max="16384"/>
  </cols>
  <sheetData/>
  <printOptions horizontalCentered="1"/>
  <pageMargins left="0.7" right="0.7" top="0.75" bottom="0.75" header="0.3" footer="0.3"/>
  <pageSetup orientation="portrait" horizontalDpi="1200" verticalDpi="1200"/>
</worksheet>
</file>

<file path=xl/worksheets/sheet4.xml><?xml version="1.0" encoding="utf-8"?>
<worksheet xmlns="http://schemas.openxmlformats.org/spreadsheetml/2006/main">
  <sheetPr codeName="Sheet1">
    <outlinePr summaryBelow="1" summaryRight="1"/>
    <pageSetUpPr/>
  </sheetPr>
  <dimension ref="A2:W91"/>
  <sheetViews>
    <sheetView zoomScale="70" zoomScaleNormal="70" workbookViewId="0">
      <pane ySplit="3" topLeftCell="A10" activePane="bottomLeft" state="frozen"/>
      <selection pane="bottomLeft" activeCell="A1" sqref="A1"/>
    </sheetView>
  </sheetViews>
  <sheetFormatPr baseColWidth="8" defaultColWidth="9.09765625" defaultRowHeight="13.8"/>
  <cols>
    <col width="9.09765625" customWidth="1" style="66" min="1" max="1"/>
    <col width="9.09765625" customWidth="1" style="66" min="2" max="5"/>
    <col width="9.09765625" customWidth="1" style="66" min="6" max="8"/>
    <col width="9.09765625" customWidth="1" style="64" min="9" max="9"/>
    <col width="9.09765625" customWidth="1" style="66" min="10" max="16384"/>
  </cols>
  <sheetData>
    <row r="2" ht="34.8" customHeight="1" s="92">
      <c r="B2" s="63" t="n"/>
    </row>
    <row r="3" ht="34.95" customHeight="1" s="92"/>
    <row r="4" ht="34.95" customHeight="1" s="92">
      <c r="A4" s="65" t="inlineStr">
        <is>
          <t>【2 Panel - 2 บาน】</t>
        </is>
      </c>
    </row>
    <row r="5" ht="34.95" customHeight="1" s="92">
      <c r="A5" s="66" t="n"/>
      <c r="K5" s="66" t="n"/>
    </row>
    <row r="6" ht="34.95" customHeight="1" s="92"/>
    <row r="7" ht="34.95" customHeight="1" s="92"/>
    <row r="8" ht="34.95" customHeight="1" s="92"/>
    <row r="9" ht="34.95" customHeight="1" s="92"/>
    <row r="10" ht="34.95" customHeight="1" s="92"/>
    <row r="11" ht="34.95" customHeight="1" s="92"/>
    <row r="12" ht="34.95" customHeight="1" s="92">
      <c r="A12" s="65" t="inlineStr">
        <is>
          <t>【3 Panel - 3 บาน】</t>
        </is>
      </c>
    </row>
    <row r="13" ht="34.95" customHeight="1" s="92"/>
    <row r="14" ht="34.95" customHeight="1" s="92"/>
    <row r="15" ht="34.95" customHeight="1" s="92"/>
    <row r="16" ht="34.95" customHeight="1" s="92"/>
    <row r="17" ht="34.95" customHeight="1" s="92"/>
    <row r="18" ht="34.95" customHeight="1" s="92"/>
    <row r="19" ht="34.95" customHeight="1" s="92"/>
    <row r="20" ht="34.95" customHeight="1" s="92">
      <c r="A20" s="65" t="inlineStr">
        <is>
          <t>【4 Panel - 4 บาน】</t>
        </is>
      </c>
    </row>
    <row r="21" ht="34.95" customHeight="1" s="92"/>
    <row r="22" ht="34.95" customHeight="1" s="92"/>
    <row r="23" ht="34.95" customHeight="1" s="92"/>
    <row r="24" ht="34.95" customHeight="1" s="92"/>
    <row r="25" ht="34.95" customHeight="1" s="92"/>
    <row r="26" ht="34.95" customHeight="1" s="92">
      <c r="B26" s="67" t="n"/>
      <c r="J26" s="67" t="n"/>
    </row>
    <row r="27" ht="34.95" customHeight="1" s="92"/>
    <row r="28" ht="34.95" customHeight="1" s="92">
      <c r="A28" s="65" t="inlineStr">
        <is>
          <t>【5 Panel - 5 บาน】</t>
        </is>
      </c>
    </row>
    <row r="29" ht="34.95" customHeight="1" s="92"/>
    <row r="30" ht="34.95" customHeight="1" s="92"/>
    <row r="31" ht="34.95" customHeight="1" s="92"/>
    <row r="32" ht="34.95" customHeight="1" s="92"/>
    <row r="33" ht="34.95" customHeight="1" s="92"/>
    <row r="34" ht="34.95" customHeight="1" s="92"/>
    <row r="35" ht="34.95" customHeight="1" s="92"/>
    <row r="36" ht="34.95" customHeight="1" s="92">
      <c r="A36" s="65" t="inlineStr">
        <is>
          <t>【6 Panel - 6 บาน】</t>
        </is>
      </c>
    </row>
    <row r="37" ht="34.95" customHeight="1" s="92"/>
    <row r="38" ht="34.95" customHeight="1" s="92">
      <c r="U38" s="66" t="n">
        <v>1</v>
      </c>
      <c r="V38" s="66" t="n">
        <v>1</v>
      </c>
    </row>
    <row r="39" ht="34.95" customHeight="1" s="92">
      <c r="U39" s="66" t="n">
        <v>1</v>
      </c>
      <c r="V39" s="66" t="n">
        <v>1</v>
      </c>
      <c r="W39" s="66" t="n">
        <v>1</v>
      </c>
    </row>
    <row r="40" ht="34.95" customHeight="1" s="92">
      <c r="U40" s="66" t="n">
        <v>1</v>
      </c>
      <c r="V40" s="66" t="n">
        <v>2</v>
      </c>
      <c r="W40" s="66" t="n">
        <v>1</v>
      </c>
    </row>
    <row r="41" ht="34.95" customHeight="1" s="92">
      <c r="U41" s="66" t="n">
        <v>1</v>
      </c>
      <c r="V41" s="66" t="n">
        <v>1</v>
      </c>
    </row>
    <row r="42" ht="34.95" customHeight="1" s="92"/>
    <row r="43" ht="34.95" customHeight="1" s="92"/>
    <row r="44" ht="34.95" customHeight="1" s="92">
      <c r="A44" s="65" t="inlineStr">
        <is>
          <t>【7 Panel - 7 บาน】</t>
        </is>
      </c>
    </row>
    <row r="45" ht="34.95" customHeight="1" s="92"/>
    <row r="46" ht="34.95" customHeight="1" s="92"/>
    <row r="47" ht="34.95" customHeight="1" s="92"/>
    <row r="48" ht="34.95" customHeight="1" s="92"/>
    <row r="49" ht="34.95" customHeight="1" s="92"/>
    <row r="50" ht="34.95" customHeight="1" s="92"/>
    <row r="51" ht="34.95" customHeight="1" s="92"/>
    <row r="52" ht="34.95" customHeight="1" s="92">
      <c r="A52" s="65" t="inlineStr">
        <is>
          <t>【8 Panel - 8 บาน】</t>
        </is>
      </c>
    </row>
    <row r="53" ht="34.95" customHeight="1" s="92"/>
    <row r="54" ht="34.95" customHeight="1" s="92"/>
    <row r="55" ht="34.95" customHeight="1" s="92"/>
    <row r="56" ht="34.95" customHeight="1" s="92"/>
    <row r="57" ht="34.95" customHeight="1" s="92"/>
    <row r="58" ht="34.95" customHeight="1" s="92"/>
    <row r="59" ht="34.95" customHeight="1" s="92"/>
    <row r="60" ht="34.95" customHeight="1" s="92">
      <c r="A60" s="65" t="inlineStr">
        <is>
          <t>【9 Panel - 9 บาน】</t>
        </is>
      </c>
    </row>
    <row r="61" ht="34.95" customHeight="1" s="92"/>
    <row r="62" ht="34.95" customHeight="1" s="92"/>
    <row r="63" ht="34.95" customHeight="1" s="92"/>
    <row r="64" ht="34.95" customHeight="1" s="92"/>
    <row r="65" ht="34.95" customHeight="1" s="92"/>
    <row r="66" ht="34.95" customHeight="1" s="92"/>
    <row r="67" ht="34.95" customHeight="1" s="92"/>
    <row r="68" ht="34.95" customHeight="1" s="92"/>
    <row r="69" ht="34.95" customHeight="1" s="92"/>
    <row r="70" ht="34.95" customHeight="1" s="92"/>
    <row r="71" ht="34.95" customHeight="1" s="92"/>
    <row r="72" ht="34.95" customHeight="1" s="92"/>
    <row r="73" ht="34.95" customHeight="1" s="92"/>
    <row r="74" ht="34.95" customHeight="1" s="92"/>
    <row r="75" ht="34.95" customHeight="1" s="92">
      <c r="A75" s="65" t="inlineStr">
        <is>
          <t>【10 Panel - 10 บาน】</t>
        </is>
      </c>
    </row>
    <row r="76" ht="34.95" customHeight="1" s="92"/>
    <row r="77" ht="34.95" customHeight="1" s="92"/>
    <row r="78" ht="34.95" customHeight="1" s="92"/>
    <row r="79" ht="34.95" customHeight="1" s="92"/>
    <row r="80" ht="34.95" customHeight="1" s="92"/>
    <row r="81" ht="34.95" customHeight="1" s="92"/>
    <row r="82" ht="34.95" customHeight="1" s="92"/>
    <row r="83" ht="34.95" customHeight="1" s="92"/>
    <row r="84" ht="34.95" customHeight="1" s="92"/>
    <row r="85" ht="34.95" customHeight="1" s="92"/>
    <row r="86" ht="34.95" customHeight="1" s="92"/>
    <row r="87" ht="34.95" customHeight="1" s="92"/>
    <row r="88" ht="34.95" customHeight="1" s="92"/>
    <row r="89" ht="34.95" customHeight="1" s="92"/>
    <row r="90" ht="34.95" customHeight="1" s="92"/>
    <row r="91" ht="34.95" customHeight="1" s="92">
      <c r="A91" s="65" t="inlineStr">
        <is>
          <t>【บานเฟื้ยมเข้ามุม】</t>
        </is>
      </c>
    </row>
    <row r="92" ht="34.95" customHeight="1" s="92"/>
    <row r="93" ht="34.95" customHeight="1" s="92"/>
    <row r="94" ht="34.95" customHeight="1" s="92"/>
    <row r="95" ht="34.95" customHeight="1" s="92"/>
    <row r="96" ht="34.95" customHeight="1" s="92"/>
    <row r="97" ht="34.95" customHeight="1" s="92"/>
    <row r="98" ht="34.95" customHeight="1" s="92"/>
    <row r="99" ht="34.95" customHeight="1" s="92"/>
    <row r="100" ht="34.95" customHeight="1" s="92"/>
    <row r="101" ht="34.95" customHeight="1" s="92"/>
    <row r="102" ht="34.95" customHeight="1" s="92"/>
    <row r="103" ht="34.95" customHeight="1" s="92"/>
    <row r="104" ht="34.95" customHeight="1" s="92"/>
    <row r="105" ht="34.95" customHeight="1" s="92"/>
    <row r="106" ht="34.95" customHeight="1" s="92"/>
    <row r="107" ht="34.95" customHeight="1" s="92"/>
    <row r="108" ht="34.95" customHeight="1" s="92"/>
    <row r="109" ht="34.95" customHeight="1" s="92"/>
    <row r="110" ht="34.95" customHeight="1" s="92"/>
    <row r="111" ht="34.95" customHeight="1" s="92"/>
    <row r="112" ht="34.95" customHeight="1" s="92"/>
    <row r="113" ht="34.95" customHeight="1" s="92"/>
    <row r="114" ht="34.95" customHeight="1" s="92"/>
    <row r="115" ht="34.95" customHeight="1" s="92"/>
    <row r="116" ht="34.95" customHeight="1" s="92"/>
    <row r="117" ht="34.95" customHeight="1" s="92"/>
    <row r="118" ht="34.95" customHeight="1" s="92"/>
    <row r="119" ht="34.95" customHeight="1" s="92"/>
    <row r="120" ht="34.95" customHeight="1" s="92"/>
    <row r="121" ht="34.95" customHeight="1" s="92"/>
    <row r="122" ht="34.95" customHeight="1" s="92"/>
    <row r="123" ht="34.95" customHeight="1" s="92"/>
    <row r="124" ht="34.95" customHeight="1" s="92"/>
    <row r="125" ht="34.95" customHeight="1" s="92"/>
    <row r="126" ht="34.95" customHeight="1" s="92"/>
    <row r="127" ht="34.95" customHeight="1" s="92"/>
    <row r="128" ht="34.95" customHeight="1" s="92"/>
    <row r="129" ht="34.95" customHeight="1" s="92"/>
    <row r="130" ht="34.95" customHeight="1" s="92"/>
    <row r="131" ht="34.95" customHeight="1" s="92"/>
    <row r="132" ht="34.95" customHeight="1" s="92"/>
    <row r="133" ht="34.95" customHeight="1" s="92"/>
    <row r="134" ht="34.95" customHeight="1" s="92"/>
    <row r="135" ht="34.95" customHeight="1" s="92"/>
    <row r="136" ht="34.95" customHeight="1" s="92"/>
    <row r="137" ht="34.95" customHeight="1" s="92"/>
    <row r="138" ht="34.95" customHeight="1" s="92"/>
    <row r="139" ht="34.95" customHeight="1" s="92"/>
    <row r="140" ht="34.95" customHeight="1" s="92"/>
    <row r="141" ht="34.95" customHeight="1" s="92"/>
    <row r="142" ht="34.95" customHeight="1" s="92"/>
    <row r="143" ht="34.95" customHeight="1" s="92"/>
    <row r="144" ht="34.95" customHeight="1" s="92"/>
    <row r="145" ht="34.95" customHeight="1" s="92"/>
    <row r="146" ht="34.95" customHeight="1" s="92"/>
    <row r="147" ht="34.95" customHeight="1" s="92"/>
    <row r="148" ht="34.95" customHeight="1" s="92"/>
    <row r="149" ht="34.95" customHeight="1" s="92"/>
    <row r="150" ht="34.95" customHeight="1" s="92"/>
    <row r="151" ht="34.95" customHeight="1" s="92"/>
    <row r="152" ht="34.95" customHeight="1" s="92"/>
    <row r="153" ht="34.95" customHeight="1" s="92"/>
    <row r="154" ht="34.95" customHeight="1" s="92"/>
    <row r="155" ht="34.95" customHeight="1" s="92"/>
    <row r="156" ht="34.95" customHeight="1" s="92"/>
    <row r="157" ht="34.95" customHeight="1" s="92"/>
    <row r="158" ht="34.95" customHeight="1" s="92"/>
    <row r="159" ht="34.95" customHeight="1" s="92"/>
    <row r="160" ht="34.95" customHeight="1" s="92"/>
    <row r="161" ht="34.95" customHeight="1" s="92"/>
    <row r="162" ht="34.95" customHeight="1" s="92"/>
    <row r="163" ht="34.95" customHeight="1" s="92"/>
    <row r="164" ht="34.95" customHeight="1" s="92"/>
    <row r="165" ht="34.95" customHeight="1" s="92"/>
    <row r="166" ht="34.95" customHeight="1" s="92"/>
    <row r="167" ht="34.95" customHeight="1" s="92"/>
    <row r="168" ht="34.95" customHeight="1" s="92"/>
    <row r="169" ht="34.95" customHeight="1" s="92"/>
    <row r="170" ht="34.95" customHeight="1" s="92"/>
    <row r="171" ht="34.95" customHeight="1" s="92"/>
    <row r="172" ht="34.95" customHeight="1" s="92"/>
    <row r="173" ht="34.95" customHeight="1" s="92"/>
    <row r="174" ht="34.95" customHeight="1" s="92"/>
    <row r="175" ht="34.95" customHeight="1" s="92"/>
    <row r="176" ht="34.95" customHeight="1" s="92"/>
    <row r="177" ht="34.95" customHeight="1" s="92"/>
    <row r="178" ht="34.95" customHeight="1" s="92"/>
    <row r="179" ht="34.95" customHeight="1" s="92"/>
    <row r="180" ht="34.95" customHeight="1" s="92"/>
    <row r="181" ht="34.95" customHeight="1" s="92"/>
    <row r="182" ht="34.95" customHeight="1" s="92"/>
    <row r="183" ht="34.95" customHeight="1" s="92"/>
    <row r="184" ht="34.95" customHeight="1" s="92"/>
    <row r="185" ht="34.95" customHeight="1" s="92"/>
    <row r="186" ht="34.95" customHeight="1" s="92"/>
    <row r="187" ht="34.95" customHeight="1" s="92"/>
    <row r="188" ht="34.95" customHeight="1" s="92"/>
    <row r="189" ht="34.95" customHeight="1" s="92"/>
    <row r="190" ht="34.95" customHeight="1" s="92"/>
    <row r="191" ht="34.95" customHeight="1" s="92"/>
    <row r="192" ht="34.95" customHeight="1" s="92"/>
    <row r="193" ht="34.95" customHeight="1" s="92"/>
    <row r="194" ht="34.95" customHeight="1" s="92"/>
  </sheetData>
  <printOptions horizontalCentered="1"/>
  <pageMargins left="0.7" right="0.7" top="0.75" bottom="0.75" header="0.3" footer="0.3"/>
  <pageSetup orientation="portrait" horizontalDpi="1200" verticalDpi="120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2:K91"/>
  <sheetViews>
    <sheetView zoomScale="70" zoomScaleNormal="70" workbookViewId="0">
      <pane ySplit="3" topLeftCell="A25" activePane="bottomLeft" state="frozen"/>
      <selection pane="bottomLeft" activeCell="A1" sqref="A1"/>
    </sheetView>
  </sheetViews>
  <sheetFormatPr baseColWidth="8" defaultColWidth="9.09765625" defaultRowHeight="13.8"/>
  <cols>
    <col width="9.09765625" customWidth="1" style="129" min="1" max="1"/>
    <col width="9.09765625" customWidth="1" style="129" min="2" max="5"/>
    <col width="9.09765625" customWidth="1" style="129" min="6" max="8"/>
    <col width="9.09765625" customWidth="1" style="127" min="9" max="9"/>
    <col width="9.09765625" customWidth="1" style="129" min="10" max="16384"/>
  </cols>
  <sheetData>
    <row r="2" ht="34.8" customHeight="1" s="92">
      <c r="B2" s="126" t="n"/>
    </row>
    <row r="3" ht="34.95" customHeight="1" s="92"/>
    <row r="4" ht="34.95" customHeight="1" s="92">
      <c r="A4" s="128" t="inlineStr">
        <is>
          <t>【2 Panel - 2 บาน】</t>
        </is>
      </c>
    </row>
    <row r="5" ht="34.95" customHeight="1" s="92">
      <c r="A5" s="129" t="n"/>
      <c r="K5" s="129" t="n"/>
    </row>
    <row r="6" ht="34.95" customHeight="1" s="92"/>
    <row r="7" ht="34.95" customHeight="1" s="92"/>
    <row r="8" ht="34.95" customHeight="1" s="92"/>
    <row r="9" ht="34.95" customHeight="1" s="92"/>
    <row r="10" ht="34.95" customHeight="1" s="92"/>
    <row r="11" ht="34.95" customHeight="1" s="92"/>
    <row r="12" ht="34.95" customHeight="1" s="92">
      <c r="A12" s="128" t="inlineStr">
        <is>
          <t>【3 Panel - 3 บาน】</t>
        </is>
      </c>
    </row>
    <row r="13" ht="34.95" customHeight="1" s="92"/>
    <row r="14" ht="34.95" customHeight="1" s="92"/>
    <row r="15" ht="34.95" customHeight="1" s="92"/>
    <row r="16" ht="34.95" customHeight="1" s="92"/>
    <row r="17" ht="34.95" customHeight="1" s="92"/>
    <row r="18" ht="34.95" customHeight="1" s="92"/>
    <row r="19" ht="34.95" customHeight="1" s="92"/>
    <row r="20" ht="34.95" customHeight="1" s="92">
      <c r="A20" s="128" t="inlineStr">
        <is>
          <t>【4 Panel - 4 บาน】</t>
        </is>
      </c>
    </row>
    <row r="21" ht="34.95" customHeight="1" s="92"/>
    <row r="22" ht="34.95" customHeight="1" s="92"/>
    <row r="23" ht="34.95" customHeight="1" s="92"/>
    <row r="24" ht="34.95" customHeight="1" s="92"/>
    <row r="25" ht="34.95" customHeight="1" s="92"/>
    <row r="26" ht="34.95" customHeight="1" s="92">
      <c r="B26" s="130" t="n"/>
      <c r="J26" s="130" t="n"/>
    </row>
    <row r="27" ht="34.95" customHeight="1" s="92"/>
    <row r="28" ht="34.95" customHeight="1" s="92">
      <c r="A28" s="128" t="inlineStr">
        <is>
          <t>【5 Panel - 5 บาน】</t>
        </is>
      </c>
    </row>
    <row r="29" ht="34.95" customHeight="1" s="92"/>
    <row r="30" ht="34.95" customHeight="1" s="92"/>
    <row r="31" ht="34.95" customHeight="1" s="92"/>
    <row r="32" ht="34.95" customHeight="1" s="92"/>
    <row r="33" ht="34.95" customHeight="1" s="92"/>
    <row r="34" ht="34.95" customHeight="1" s="92"/>
    <row r="35" ht="34.95" customHeight="1" s="92"/>
    <row r="36" ht="34.95" customHeight="1" s="92">
      <c r="A36" s="128" t="inlineStr">
        <is>
          <t>【6 Panel - 6 บาน】</t>
        </is>
      </c>
    </row>
    <row r="37" ht="34.95" customHeight="1" s="92"/>
    <row r="38" ht="34.95" customHeight="1" s="92"/>
    <row r="39" ht="34.95" customHeight="1" s="92"/>
    <row r="40" ht="34.95" customHeight="1" s="92"/>
    <row r="41" ht="34.95" customHeight="1" s="92"/>
    <row r="42" ht="34.95" customHeight="1" s="92"/>
    <row r="43" ht="34.95" customHeight="1" s="92"/>
    <row r="44" ht="34.95" customHeight="1" s="92">
      <c r="A44" s="128" t="inlineStr">
        <is>
          <t>【7 Panel - 7 บาน】</t>
        </is>
      </c>
    </row>
    <row r="45" ht="34.95" customHeight="1" s="92"/>
    <row r="46" ht="34.95" customHeight="1" s="92"/>
    <row r="47" ht="34.95" customHeight="1" s="92"/>
    <row r="48" ht="34.95" customHeight="1" s="92"/>
    <row r="49" ht="34.95" customHeight="1" s="92"/>
    <row r="50" ht="34.95" customHeight="1" s="92"/>
    <row r="51" ht="34.95" customHeight="1" s="92"/>
    <row r="52" ht="34.95" customHeight="1" s="92">
      <c r="A52" s="128" t="inlineStr">
        <is>
          <t>【8 Panel - 8 บาน】</t>
        </is>
      </c>
    </row>
    <row r="53" ht="34.95" customHeight="1" s="92"/>
    <row r="54" ht="34.95" customHeight="1" s="92"/>
    <row r="55" ht="34.95" customHeight="1" s="92"/>
    <row r="56" ht="34.95" customHeight="1" s="92"/>
    <row r="57" ht="34.95" customHeight="1" s="92"/>
    <row r="58" ht="34.95" customHeight="1" s="92"/>
    <row r="59" ht="34.95" customHeight="1" s="92"/>
    <row r="60" ht="34.95" customHeight="1" s="92">
      <c r="A60" s="128" t="inlineStr">
        <is>
          <t>【9 Panel - 9 บาน】</t>
        </is>
      </c>
    </row>
    <row r="61" ht="34.95" customHeight="1" s="92"/>
    <row r="62" ht="34.95" customHeight="1" s="92"/>
    <row r="63" ht="34.95" customHeight="1" s="92"/>
    <row r="64" ht="34.95" customHeight="1" s="92"/>
    <row r="65" ht="34.95" customHeight="1" s="92"/>
    <row r="66" ht="34.95" customHeight="1" s="92"/>
    <row r="67" ht="34.95" customHeight="1" s="92"/>
    <row r="68" ht="34.95" customHeight="1" s="92"/>
    <row r="69" ht="34.95" customHeight="1" s="92"/>
    <row r="70" ht="34.95" customHeight="1" s="92"/>
    <row r="71" ht="34.95" customHeight="1" s="92"/>
    <row r="72" ht="34.95" customHeight="1" s="92"/>
    <row r="73" ht="34.95" customHeight="1" s="92"/>
    <row r="74" ht="34.95" customHeight="1" s="92"/>
    <row r="75" ht="34.95" customHeight="1" s="92">
      <c r="A75" s="128" t="inlineStr">
        <is>
          <t>【10 Panel - 10 บาน】</t>
        </is>
      </c>
    </row>
    <row r="76" ht="34.95" customHeight="1" s="92"/>
    <row r="77" ht="34.95" customHeight="1" s="92"/>
    <row r="78" ht="34.95" customHeight="1" s="92"/>
    <row r="79" ht="34.95" customHeight="1" s="92"/>
    <row r="80" ht="34.95" customHeight="1" s="92"/>
    <row r="81" ht="34.95" customHeight="1" s="92"/>
    <row r="82" ht="34.95" customHeight="1" s="92"/>
    <row r="83" ht="34.95" customHeight="1" s="92"/>
    <row r="84" ht="34.95" customHeight="1" s="92"/>
    <row r="85" ht="34.95" customHeight="1" s="92"/>
    <row r="86" ht="34.95" customHeight="1" s="92"/>
    <row r="87" ht="34.95" customHeight="1" s="92"/>
    <row r="88" ht="34.95" customHeight="1" s="92"/>
    <row r="89" ht="34.95" customHeight="1" s="92"/>
    <row r="90" ht="34.95" customHeight="1" s="92"/>
    <row r="91" ht="34.95" customHeight="1" s="92">
      <c r="A91" s="128" t="inlineStr">
        <is>
          <t>【บานเฟื้ยมเข้ามุม】</t>
        </is>
      </c>
    </row>
    <row r="92" ht="34.95" customHeight="1" s="92"/>
    <row r="93" ht="34.95" customHeight="1" s="92"/>
    <row r="94" ht="34.95" customHeight="1" s="92"/>
    <row r="95" ht="34.95" customHeight="1" s="92"/>
    <row r="96" ht="34.95" customHeight="1" s="92"/>
    <row r="97" ht="34.95" customHeight="1" s="92"/>
    <row r="98" ht="34.95" customHeight="1" s="92"/>
    <row r="99" ht="34.95" customHeight="1" s="92"/>
    <row r="100" ht="34.95" customHeight="1" s="92"/>
    <row r="101" ht="34.95" customHeight="1" s="92"/>
    <row r="102" ht="34.95" customHeight="1" s="92"/>
    <row r="103" ht="34.95" customHeight="1" s="92"/>
    <row r="104" ht="34.95" customHeight="1" s="92"/>
    <row r="105" ht="34.95" customHeight="1" s="92"/>
    <row r="106" ht="34.95" customHeight="1" s="92"/>
    <row r="107" ht="34.95" customHeight="1" s="92"/>
    <row r="108" ht="34.95" customHeight="1" s="92"/>
    <row r="109" ht="34.95" customHeight="1" s="92"/>
    <row r="110" ht="34.95" customHeight="1" s="92"/>
    <row r="111" ht="34.95" customHeight="1" s="92"/>
    <row r="112" ht="34.95" customHeight="1" s="92"/>
    <row r="113" ht="34.95" customHeight="1" s="92"/>
    <row r="114" ht="34.95" customHeight="1" s="92"/>
    <row r="115" ht="34.95" customHeight="1" s="92"/>
    <row r="116" ht="34.95" customHeight="1" s="92"/>
    <row r="117" ht="34.95" customHeight="1" s="92"/>
    <row r="118" ht="34.95" customHeight="1" s="92"/>
    <row r="119" ht="34.95" customHeight="1" s="92"/>
    <row r="120" ht="34.95" customHeight="1" s="92"/>
    <row r="121" ht="34.95" customHeight="1" s="92"/>
    <row r="122" ht="34.95" customHeight="1" s="92"/>
    <row r="123" ht="34.95" customHeight="1" s="92"/>
    <row r="124" ht="34.95" customHeight="1" s="92"/>
    <row r="125" ht="34.95" customHeight="1" s="92"/>
    <row r="126" ht="34.95" customHeight="1" s="92"/>
    <row r="127" ht="34.95" customHeight="1" s="92"/>
    <row r="128" ht="34.95" customHeight="1" s="92"/>
    <row r="129" ht="34.95" customHeight="1" s="92"/>
    <row r="130" ht="34.95" customHeight="1" s="92"/>
    <row r="131" ht="34.95" customHeight="1" s="92"/>
    <row r="132" ht="34.95" customHeight="1" s="92"/>
    <row r="133" ht="34.95" customHeight="1" s="92"/>
    <row r="134" ht="34.95" customHeight="1" s="92"/>
    <row r="135" ht="34.95" customHeight="1" s="92"/>
    <row r="136" ht="34.95" customHeight="1" s="92"/>
    <row r="137" ht="34.95" customHeight="1" s="92"/>
    <row r="138" ht="34.95" customHeight="1" s="92"/>
    <row r="139" ht="34.95" customHeight="1" s="92"/>
    <row r="140" ht="34.95" customHeight="1" s="92"/>
    <row r="141" ht="34.95" customHeight="1" s="92"/>
    <row r="142" ht="34.95" customHeight="1" s="92"/>
    <row r="143" ht="34.95" customHeight="1" s="92"/>
    <row r="144" ht="34.95" customHeight="1" s="92"/>
    <row r="145" ht="34.95" customHeight="1" s="92"/>
    <row r="146" ht="34.95" customHeight="1" s="92"/>
    <row r="147" ht="34.95" customHeight="1" s="92"/>
    <row r="148" ht="34.95" customHeight="1" s="92"/>
    <row r="149" ht="34.95" customHeight="1" s="92"/>
    <row r="150" ht="34.95" customHeight="1" s="92"/>
    <row r="151" ht="34.95" customHeight="1" s="92"/>
    <row r="152" ht="34.95" customHeight="1" s="92"/>
    <row r="153" ht="34.95" customHeight="1" s="92"/>
    <row r="154" ht="34.95" customHeight="1" s="92"/>
    <row r="155" ht="34.95" customHeight="1" s="92"/>
    <row r="156" ht="34.95" customHeight="1" s="92"/>
    <row r="157" ht="34.95" customHeight="1" s="92"/>
    <row r="158" ht="34.95" customHeight="1" s="92"/>
    <row r="159" ht="34.95" customHeight="1" s="92"/>
    <row r="160" ht="34.95" customHeight="1" s="92"/>
    <row r="161" ht="34.95" customHeight="1" s="92"/>
    <row r="162" ht="34.95" customHeight="1" s="92"/>
    <row r="163" ht="34.95" customHeight="1" s="92"/>
    <row r="164" ht="34.95" customHeight="1" s="92"/>
    <row r="165" ht="34.95" customHeight="1" s="92"/>
    <row r="166" ht="34.95" customHeight="1" s="92"/>
    <row r="167" ht="34.95" customHeight="1" s="92"/>
    <row r="168" ht="34.95" customHeight="1" s="92"/>
    <row r="169" ht="34.95" customHeight="1" s="92"/>
    <row r="170" ht="34.95" customHeight="1" s="92"/>
    <row r="171" ht="34.95" customHeight="1" s="92"/>
    <row r="172" ht="34.95" customHeight="1" s="92"/>
    <row r="173" ht="34.95" customHeight="1" s="92"/>
    <row r="174" ht="34.95" customHeight="1" s="92"/>
    <row r="175" ht="34.95" customHeight="1" s="92"/>
    <row r="176" ht="34.95" customHeight="1" s="92"/>
    <row r="177" ht="34.95" customHeight="1" s="92"/>
    <row r="178" ht="34.95" customHeight="1" s="92"/>
    <row r="179" ht="34.95" customHeight="1" s="92"/>
    <row r="180" ht="34.95" customHeight="1" s="92"/>
    <row r="181" ht="34.95" customHeight="1" s="92"/>
    <row r="182" ht="34.95" customHeight="1" s="92"/>
    <row r="183" ht="34.95" customHeight="1" s="92"/>
    <row r="184" ht="34.95" customHeight="1" s="92"/>
    <row r="185" ht="34.95" customHeight="1" s="92"/>
    <row r="186" ht="34.95" customHeight="1" s="92"/>
    <row r="187" ht="34.95" customHeight="1" s="92"/>
    <row r="188" ht="34.95" customHeight="1" s="92"/>
    <row r="189" ht="34.95" customHeight="1" s="92"/>
    <row r="190" ht="34.95" customHeight="1" s="92"/>
    <row r="191" ht="34.95" customHeight="1" s="92"/>
    <row r="192" ht="34.95" customHeight="1" s="92"/>
    <row r="193" ht="34.95" customHeight="1" s="92"/>
    <row r="194" ht="34.95" customHeight="1" s="92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rintOptions horizontalCentered="1"/>
  <pageMargins left="0.7" right="0.7" top="0.75" bottom="0.75" header="0.3" footer="0.3"/>
  <pageSetup orientation="portrait" horizontalDpi="1200" verticalDpi="1200"/>
</worksheet>
</file>

<file path=xl/worksheets/sheet6.xml><?xml version="1.0" encoding="utf-8"?>
<worksheet xmlns="http://schemas.openxmlformats.org/spreadsheetml/2006/main">
  <sheetPr codeName="Sheet6">
    <tabColor rgb="FFFFFF00"/>
    <outlinePr summaryBelow="1" summaryRight="1"/>
    <pageSetUpPr/>
  </sheetPr>
  <dimension ref="A1:AT44"/>
  <sheetViews>
    <sheetView view="pageBreakPreview" topLeftCell="A7" zoomScale="70" zoomScaleNormal="55" zoomScaleSheetLayoutView="70" workbookViewId="0">
      <selection activeCell="H16" sqref="H16"/>
    </sheetView>
  </sheetViews>
  <sheetFormatPr baseColWidth="8" defaultColWidth="8.8984375" defaultRowHeight="13.8"/>
  <cols>
    <col width="8.69921875" customWidth="1" style="6" min="1" max="1"/>
    <col width="24.69921875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10.09765625" bestFit="1" customWidth="1" style="17" min="9" max="9"/>
    <col width="8.69921875" customWidth="1" style="17" min="10" max="10"/>
    <col width="5.699218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outlineLevel="1" width="24.3984375" customWidth="1" style="6" min="22" max="22"/>
    <col outlineLevel="1" width="8.8984375" customWidth="1" style="6" min="23" max="23"/>
    <col outlineLevel="1" width="10.69921875" customWidth="1" style="6" min="24" max="25"/>
    <col outlineLevel="1" width="5.69921875" customWidth="1" style="6" min="26" max="26"/>
    <col outlineLevel="1" width="10.69921875" customWidth="1" style="6" min="27" max="28"/>
    <col outlineLevel="1" width="22" customWidth="1" style="6" min="29" max="29"/>
    <col outlineLevel="1" width="15.69921875" customWidth="1" style="6" min="30" max="30"/>
    <col outlineLevel="1" width="8.8984375" customWidth="1" style="6" min="31" max="33"/>
    <col outlineLevel="1" width="28" customWidth="1" style="6" min="34" max="34"/>
    <col outlineLevel="1" width="8.8984375" customWidth="1" style="6" min="35" max="37"/>
    <col outlineLevel="1" width="11.69921875" bestFit="1" customWidth="1" style="6" min="38" max="38"/>
    <col outlineLevel="1" width="22" customWidth="1" style="6" min="39" max="39"/>
    <col outlineLevel="1" width="15.69921875" customWidth="1" style="6" min="40" max="40"/>
    <col outlineLevel="1" width="8.8984375" customWidth="1" style="6" min="41" max="43"/>
    <col outlineLevel="1" width="23" customWidth="1" style="6" min="44" max="44"/>
    <col outlineLevel="1" width="8.8984375" customWidth="1" style="6" min="45" max="46"/>
    <col width="8.8984375" customWidth="1" style="6" min="47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7" t="inlineStr">
        <is>
          <t xml:space="preserve">ใบงาน : </t>
        </is>
      </c>
      <c r="D2" s="6" t="n"/>
      <c r="E2" s="6" t="n"/>
      <c r="F2" s="6" t="n"/>
      <c r="J2" s="50" t="inlineStr">
        <is>
          <t>H</t>
        </is>
      </c>
    </row>
    <row r="3" ht="19.95" customHeight="1" s="92">
      <c r="G3" s="6" t="n"/>
      <c r="H3" s="6" t="n"/>
      <c r="I3" s="6" t="n"/>
      <c r="J3" s="11" t="n">
        <v>2600</v>
      </c>
      <c r="W3" s="17" t="inlineStr">
        <is>
          <t>เปิดบาน A</t>
        </is>
      </c>
      <c r="X3" s="17" t="n">
        <v>2</v>
      </c>
    </row>
    <row r="4" ht="19.95" customHeight="1" s="92">
      <c r="G4" s="17" t="n"/>
      <c r="H4" s="76">
        <f>IF($H$6="เปิดบาน B","ปิดบาน A","เปิดบาน A")</f>
        <v/>
      </c>
      <c r="I4" s="74" t="inlineStr">
        <is>
          <t>จำนวนบาน</t>
        </is>
      </c>
      <c r="J4" s="50" t="inlineStr">
        <is>
          <t>W A</t>
        </is>
      </c>
      <c r="K4" s="17" t="n"/>
      <c r="W4" s="17" t="inlineStr">
        <is>
          <t>ปิดบาน A</t>
        </is>
      </c>
      <c r="X4" s="17" t="n">
        <v>4</v>
      </c>
    </row>
    <row r="5" ht="19.95" customHeight="1" s="92">
      <c r="D5" s="195" t="inlineStr">
        <is>
          <t>สีฮาร์ดแวร์</t>
        </is>
      </c>
      <c r="E5" s="195" t="inlineStr">
        <is>
          <t>GLASS กระจก</t>
        </is>
      </c>
      <c r="F5" s="196" t="n"/>
      <c r="G5" s="17" t="n"/>
      <c r="H5" s="17" t="n"/>
      <c r="I5" s="11" t="n">
        <v>6</v>
      </c>
      <c r="J5" s="11" t="n">
        <v>5000</v>
      </c>
      <c r="W5" s="17" t="inlineStr">
        <is>
          <t>เปิดบาน B</t>
        </is>
      </c>
      <c r="X5" s="17" t="n">
        <v>6</v>
      </c>
    </row>
    <row r="6" ht="19.95" customHeight="1" s="92">
      <c r="D6" s="197" t="inlineStr">
        <is>
          <t>ดำ</t>
        </is>
      </c>
      <c r="E6" s="197" t="n">
        <v>6</v>
      </c>
      <c r="F6" s="196" t="n"/>
      <c r="G6" s="17" t="n"/>
      <c r="H6" s="77" t="inlineStr">
        <is>
          <t>ปิดบาน B</t>
        </is>
      </c>
      <c r="I6" s="74" t="inlineStr">
        <is>
          <t>จำนวนบาน</t>
        </is>
      </c>
      <c r="J6" s="50" t="inlineStr">
        <is>
          <t>W B</t>
        </is>
      </c>
      <c r="T6" s="79" t="n"/>
      <c r="W6" s="17" t="inlineStr">
        <is>
          <t>ปิดบาน B</t>
        </is>
      </c>
      <c r="X6" s="17" t="n">
        <v>8</v>
      </c>
    </row>
    <row r="7" ht="19.95" customHeight="1" s="92">
      <c r="G7" s="17" t="n"/>
      <c r="H7" s="17" t="n"/>
      <c r="I7" s="11" t="n">
        <v>4</v>
      </c>
      <c r="J7" s="11" t="n">
        <v>3000</v>
      </c>
      <c r="X7" s="17" t="n">
        <v>10</v>
      </c>
    </row>
    <row r="8" ht="19.95" customFormat="1" customHeight="1" s="9">
      <c r="A8" s="148" t="inlineStr">
        <is>
          <t>Die list  รายการดาย</t>
        </is>
      </c>
      <c r="B8" s="198" t="n"/>
      <c r="C8" s="198" t="n"/>
      <c r="D8" s="198" t="n"/>
      <c r="E8" s="198" t="n"/>
      <c r="F8" s="198" t="n"/>
      <c r="G8" s="198" t="n"/>
      <c r="H8" s="198" t="n"/>
      <c r="I8" s="198" t="n"/>
      <c r="J8" s="199" t="n"/>
      <c r="K8" s="19" t="n"/>
      <c r="L8" s="148" t="inlineStr">
        <is>
          <t>Parts list รายการฮาร์ดแวร์</t>
        </is>
      </c>
      <c r="M8" s="198" t="n"/>
      <c r="N8" s="198" t="n"/>
      <c r="O8" s="198" t="n"/>
      <c r="P8" s="198" t="n"/>
      <c r="Q8" s="199" t="n"/>
    </row>
    <row r="9" ht="40.2" customHeight="1" s="92">
      <c r="A9" s="20" t="inlineStr">
        <is>
          <t>No.</t>
        </is>
      </c>
      <c r="B9" s="20" t="inlineStr">
        <is>
          <t>ชื่อ</t>
        </is>
      </c>
      <c r="C9" s="20" t="inlineStr">
        <is>
          <t>หน้าดาย</t>
        </is>
      </c>
      <c r="D9" s="20" t="inlineStr">
        <is>
          <t>เบอร์ดาย</t>
        </is>
      </c>
      <c r="E9" s="20" t="inlineStr">
        <is>
          <t>น้ำหนัก</t>
        </is>
      </c>
      <c r="F9" s="22" t="inlineStr">
        <is>
          <t>จำนวน
/ชุด</t>
        </is>
      </c>
      <c r="G9" s="20" t="inlineStr">
        <is>
          <t>สูตรตัด</t>
        </is>
      </c>
      <c r="H9" s="200" t="inlineStr">
        <is>
          <t>ระยะตัด</t>
        </is>
      </c>
      <c r="I9" s="22" t="inlineStr">
        <is>
          <t>จำนวน
รวม</t>
        </is>
      </c>
      <c r="J9" s="22" t="inlineStr">
        <is>
          <t>เส้น 
6.4</t>
        </is>
      </c>
      <c r="K9" s="23" t="n"/>
      <c r="L9" s="20" t="inlineStr">
        <is>
          <t>No.</t>
        </is>
      </c>
      <c r="M9" s="20" t="inlineStr">
        <is>
          <t>ชื่อ</t>
        </is>
      </c>
      <c r="N9" s="20" t="inlineStr">
        <is>
          <t>รูป</t>
        </is>
      </c>
      <c r="O9" s="20" t="inlineStr">
        <is>
          <t>สี</t>
        </is>
      </c>
      <c r="P9" s="22" t="inlineStr">
        <is>
          <t>จำนวน
/ชุด</t>
        </is>
      </c>
      <c r="Q9" s="20" t="inlineStr">
        <is>
          <t>รวม</t>
        </is>
      </c>
      <c r="R9" s="201" t="inlineStr">
        <is>
          <t>บาท/ชิ้น</t>
        </is>
      </c>
    </row>
    <row r="10" ht="34.95" customHeight="1" s="92">
      <c r="A10" s="161" t="n">
        <v>1</v>
      </c>
      <c r="B10" s="56" t="inlineStr">
        <is>
          <t>เฟรมบนบานเฟี้ยม A</t>
        </is>
      </c>
      <c r="C10" s="161" t="n"/>
      <c r="D10" s="161" t="inlineStr">
        <is>
          <t>F7968</t>
        </is>
      </c>
      <c r="E10" s="161" t="n">
        <v>2.767</v>
      </c>
      <c r="F10" s="161" t="n">
        <v>1</v>
      </c>
      <c r="G10" s="161" t="inlineStr">
        <is>
          <t>W A-18</t>
        </is>
      </c>
      <c r="H10" s="202">
        <f>$J$5-18</f>
        <v/>
      </c>
      <c r="I10" s="161">
        <f>F10*$J$1</f>
        <v/>
      </c>
      <c r="J10" s="161">
        <f>ROUNDUP(((H10*I10)+(H11*I11))/6400,0)</f>
        <v/>
      </c>
      <c r="L10" s="161" t="n">
        <v>1</v>
      </c>
      <c r="M10" s="29" t="inlineStr">
        <is>
          <t>HD-640 บานพับล้อบนเฟี้ยม</t>
        </is>
      </c>
      <c r="N10" s="161" t="n"/>
      <c r="O10" s="161">
        <f>IF($D$6="ขาว","ขาว","ดำ")</f>
        <v/>
      </c>
      <c r="P10" s="161">
        <f>(($F$19+$F$20)/2)/2</f>
        <v/>
      </c>
      <c r="Q10" s="161">
        <f>$J$1*P10</f>
        <v/>
      </c>
      <c r="R10" s="193" t="n">
        <v>299</v>
      </c>
    </row>
    <row r="11" ht="34.95" customHeight="1" s="92">
      <c r="A11" s="203" t="n"/>
      <c r="B11" s="56" t="inlineStr">
        <is>
          <t>เฟรมบนบานเฟี้ยม B</t>
        </is>
      </c>
      <c r="C11" s="203" t="n"/>
      <c r="D11" s="203" t="n"/>
      <c r="E11" s="203" t="n"/>
      <c r="F11" s="161" t="n">
        <v>1</v>
      </c>
      <c r="G11" s="161" t="inlineStr">
        <is>
          <t>W B-18</t>
        </is>
      </c>
      <c r="H11" s="202">
        <f>$J$7-18</f>
        <v/>
      </c>
      <c r="I11" s="161">
        <f>F11*$J$1</f>
        <v/>
      </c>
      <c r="J11" s="203" t="n"/>
      <c r="L11" s="161" t="n">
        <v>2</v>
      </c>
      <c r="M11" s="29" t="inlineStr">
        <is>
          <t>HD-641 บานพับเฟี้ยม</t>
        </is>
      </c>
      <c r="N11" s="161" t="n"/>
      <c r="O11" s="161">
        <f>IF($D$6="ขาว","ขาว","ดำ")</f>
        <v/>
      </c>
      <c r="P11" s="161">
        <f>IF($J$3&lt;=2700,11,16)</f>
        <v/>
      </c>
      <c r="Q11" s="161">
        <f>$J$1*P11</f>
        <v/>
      </c>
      <c r="R11" s="193" t="n">
        <v>72</v>
      </c>
    </row>
    <row r="12" ht="34.95" customHeight="1" s="92">
      <c r="A12" s="153" t="n">
        <v>2</v>
      </c>
      <c r="B12" s="46" t="inlineStr">
        <is>
          <t>เฟรมล่างบานเฟี้ยม A</t>
        </is>
      </c>
      <c r="C12" s="153" t="n"/>
      <c r="D12" s="153" t="inlineStr">
        <is>
          <t>F7969</t>
        </is>
      </c>
      <c r="E12" s="153" t="n">
        <v>1.533</v>
      </c>
      <c r="F12" s="153" t="n">
        <v>1</v>
      </c>
      <c r="G12" s="153" t="inlineStr">
        <is>
          <t>W A-18</t>
        </is>
      </c>
      <c r="H12" s="204">
        <f>$J$5-18</f>
        <v/>
      </c>
      <c r="I12" s="153">
        <f>F12*$J$1</f>
        <v/>
      </c>
      <c r="J12" s="153">
        <f>ROUNDUP(((H12*I12)+(H13*I13))/6400,0)</f>
        <v/>
      </c>
      <c r="L12" s="161" t="n">
        <v>3</v>
      </c>
      <c r="M12" s="29" t="inlineStr">
        <is>
          <t>HD-642 บานพับมือจับเฟี้ยม</t>
        </is>
      </c>
      <c r="N12" s="161" t="n"/>
      <c r="O12" s="161">
        <f>IF($D$6="ขาว","ขาว","ดำ")</f>
        <v/>
      </c>
      <c r="P12" s="161">
        <f>(($F$19+$F$20)/2)/2</f>
        <v/>
      </c>
      <c r="Q12" s="161">
        <f>$J$1*P12</f>
        <v/>
      </c>
      <c r="R12" s="193" t="n">
        <v>109</v>
      </c>
    </row>
    <row r="13" ht="34.95" customHeight="1" s="92">
      <c r="A13" s="203" t="n"/>
      <c r="B13" s="46" t="inlineStr">
        <is>
          <t>เฟรมล่างบานเฟี้ยม B</t>
        </is>
      </c>
      <c r="C13" s="203" t="n"/>
      <c r="D13" s="203" t="n"/>
      <c r="E13" s="203" t="n"/>
      <c r="F13" s="153" t="n">
        <v>1</v>
      </c>
      <c r="G13" s="153" t="inlineStr">
        <is>
          <t>W B-18</t>
        </is>
      </c>
      <c r="H13" s="204">
        <f>$J$7-18</f>
        <v/>
      </c>
      <c r="I13" s="153">
        <f>F13*$J$1</f>
        <v/>
      </c>
      <c r="J13" s="203" t="n"/>
      <c r="L13" s="161" t="n">
        <v>4</v>
      </c>
      <c r="M13" s="29" t="inlineStr">
        <is>
          <t>HD-643 บานพับไกด์ล่างเฟี้ยม</t>
        </is>
      </c>
      <c r="N13" s="161" t="n"/>
      <c r="O13" s="161">
        <f>IF($D$6="ขาว","ขาว","ดำ")</f>
        <v/>
      </c>
      <c r="P13" s="161">
        <f>(($F$19+$F$20)/2)/2</f>
        <v/>
      </c>
      <c r="Q13" s="161">
        <f>$J$1*P13</f>
        <v/>
      </c>
      <c r="R13" s="193" t="n">
        <v>199</v>
      </c>
    </row>
    <row r="14" ht="34.95" customHeight="1" s="92">
      <c r="A14" s="161" t="n">
        <v>3</v>
      </c>
      <c r="B14" s="56" t="inlineStr">
        <is>
          <t>เฟรมข้างบานเฟี้ยม</t>
        </is>
      </c>
      <c r="C14" s="56" t="n"/>
      <c r="D14" s="161" t="inlineStr">
        <is>
          <t>F7970</t>
        </is>
      </c>
      <c r="E14" s="161" t="n">
        <v>0.9340000000000001</v>
      </c>
      <c r="F14" s="161" t="n">
        <v>2</v>
      </c>
      <c r="G14" s="161" t="inlineStr">
        <is>
          <t>H</t>
        </is>
      </c>
      <c r="H14" s="202">
        <f>$J$3</f>
        <v/>
      </c>
      <c r="I14" s="161">
        <f>F14*$J$1</f>
        <v/>
      </c>
      <c r="J14" s="161">
        <f>ROUNDUP((H14*I14)/6400,0)</f>
        <v/>
      </c>
      <c r="L14" s="161" t="n">
        <v>5</v>
      </c>
      <c r="M14" s="29" t="inlineStr">
        <is>
          <t>HD-474 มือจับกลอนรุ่นก้านโยก</t>
        </is>
      </c>
      <c r="N14" s="161" t="n"/>
      <c r="O14" s="161">
        <f>IF($D$6="ขาว","ขาว","ดำ")</f>
        <v/>
      </c>
      <c r="P14" s="161">
        <f>(($F$19+$F$20)/2)/2</f>
        <v/>
      </c>
      <c r="Q14" s="161">
        <f>$J$1*P14</f>
        <v/>
      </c>
      <c r="R14" s="193" t="n">
        <v>85</v>
      </c>
    </row>
    <row r="15" ht="34.95" customHeight="1" s="92">
      <c r="A15" s="161" t="n">
        <v>4</v>
      </c>
      <c r="B15" s="56" t="inlineStr">
        <is>
          <t>คิ้วตบเฟรมข้าง</t>
        </is>
      </c>
      <c r="C15" s="56" t="n"/>
      <c r="D15" s="161" t="inlineStr">
        <is>
          <t>F7971</t>
        </is>
      </c>
      <c r="E15" s="161" t="n">
        <v>0.4</v>
      </c>
      <c r="F15" s="161" t="n">
        <v>2</v>
      </c>
      <c r="G15" s="161" t="inlineStr">
        <is>
          <t>H-75-45</t>
        </is>
      </c>
      <c r="H15" s="202">
        <f>$J$3-75-45</f>
        <v/>
      </c>
      <c r="I15" s="161">
        <f>F15*$J$1</f>
        <v/>
      </c>
      <c r="J15" s="161">
        <f>ROUNDUP((H15*I15)/6400,0)</f>
        <v/>
      </c>
      <c r="L15" s="161" t="n">
        <v>6</v>
      </c>
      <c r="M15" s="29" t="inlineStr">
        <is>
          <t>HD-312 ตลับกลอนก้านโยกมัลติล็อค</t>
        </is>
      </c>
      <c r="N15" s="161" t="n"/>
      <c r="O15" s="161">
        <f>IF($D$6="ขาว","ขาว","ดำ")</f>
        <v/>
      </c>
      <c r="P15" s="161">
        <f>(($F$19+$F$20)/2)/2</f>
        <v/>
      </c>
      <c r="Q15" s="161">
        <f>$J$1*P15</f>
        <v/>
      </c>
      <c r="R15" s="193" t="n">
        <v>88</v>
      </c>
      <c r="AB15" s="75" t="inlineStr">
        <is>
          <t>คู่ปิด A</t>
        </is>
      </c>
      <c r="AC15" s="75" t="inlineStr">
        <is>
          <t>นอน</t>
        </is>
      </c>
      <c r="AD15" s="75" t="n"/>
      <c r="AL15" s="75" t="inlineStr">
        <is>
          <t>คู่ปิด B</t>
        </is>
      </c>
      <c r="AM15" s="75" t="inlineStr">
        <is>
          <t>นอน</t>
        </is>
      </c>
      <c r="AN15" s="75" t="n"/>
    </row>
    <row r="16" ht="34.95" customHeight="1" s="92">
      <c r="A16" s="153" t="n">
        <v>5</v>
      </c>
      <c r="B16" s="46" t="inlineStr">
        <is>
          <t>ตบปิดเฟรม (ตั้ง)</t>
        </is>
      </c>
      <c r="C16" s="153" t="n"/>
      <c r="D16" s="153" t="inlineStr">
        <is>
          <t>F7973</t>
        </is>
      </c>
      <c r="E16" s="153" t="n">
        <v>0.19</v>
      </c>
      <c r="F16" s="153" t="n">
        <v>2</v>
      </c>
      <c r="G16" s="153" t="inlineStr">
        <is>
          <t>H-75-45</t>
        </is>
      </c>
      <c r="H16" s="204">
        <f>$J$3-75-45</f>
        <v/>
      </c>
      <c r="I16" s="153">
        <f>F16*$J$1</f>
        <v/>
      </c>
      <c r="J16" s="153">
        <f>ROUNDUP(((H16*I16)+(H17*I17)+(H18*I18))/6400,0)</f>
        <v/>
      </c>
      <c r="L16" s="161" t="n">
        <v>7</v>
      </c>
      <c r="M16" s="29" t="inlineStr">
        <is>
          <t>HD-1180 ก้าน AL สไลด์ 19.5 mm</t>
        </is>
      </c>
      <c r="N16" s="161" t="n"/>
      <c r="O16" s="161">
        <f>IF($D$6="ขาว","ขาว","ดำ")</f>
        <v/>
      </c>
      <c r="P16" s="161">
        <f>(($F$19+$F$20)/2)</f>
        <v/>
      </c>
      <c r="Q16" s="161">
        <f>$J$1*P16</f>
        <v/>
      </c>
      <c r="R16" s="193" t="n">
        <v>73</v>
      </c>
      <c r="S16" s="6">
        <f>((H19*I19)/1000)*E19</f>
        <v/>
      </c>
      <c r="V16" s="81" t="inlineStr">
        <is>
          <t>A</t>
        </is>
      </c>
      <c r="AB16" s="153" t="n">
        <v>2</v>
      </c>
      <c r="AC16" s="46" t="inlineStr">
        <is>
          <t>กรอบบานเฟี้ยม (ขวาง) A</t>
        </is>
      </c>
      <c r="AD16" s="46" t="n"/>
      <c r="AE16" s="153" t="inlineStr">
        <is>
          <t>F7972</t>
        </is>
      </c>
      <c r="AF16" s="153" t="n">
        <v>1.466</v>
      </c>
      <c r="AG16" s="153">
        <f>2*AB16</f>
        <v/>
      </c>
      <c r="AH16" s="59" t="inlineStr">
        <is>
          <t>(W-18-9.5-(8x1)-62)/2</t>
        </is>
      </c>
      <c r="AI16" s="204">
        <f>($J$5-18-9.5-(8*1)-62)/AB16</f>
        <v/>
      </c>
      <c r="AJ16" s="153">
        <f>AG16*$J$1</f>
        <v/>
      </c>
      <c r="AL16" s="153" t="n">
        <v>2</v>
      </c>
      <c r="AM16" s="46" t="inlineStr">
        <is>
          <t>กรอบบานเฟี้ยม (ขวาง) B</t>
        </is>
      </c>
      <c r="AN16" s="46" t="n"/>
      <c r="AO16" s="153" t="inlineStr">
        <is>
          <t>F7972</t>
        </is>
      </c>
      <c r="AP16" s="153" t="n">
        <v>1.466</v>
      </c>
      <c r="AQ16" s="153">
        <f>2*AL16</f>
        <v/>
      </c>
      <c r="AR16" s="59" t="inlineStr">
        <is>
          <t>(W-18-9.5-(8x1)-62)/2</t>
        </is>
      </c>
      <c r="AS16" s="204">
        <f>($J$5-18-9.5-(8*1)-62)/AL16</f>
        <v/>
      </c>
      <c r="AT16" s="153">
        <f>AQ16*$J$1</f>
        <v/>
      </c>
    </row>
    <row r="17" ht="34.95" customHeight="1" s="92">
      <c r="A17" s="205" t="n"/>
      <c r="B17" s="46" t="inlineStr">
        <is>
          <t>ตบปิดเฟรม (นอน) A</t>
        </is>
      </c>
      <c r="C17" s="205" t="n"/>
      <c r="D17" s="205" t="n"/>
      <c r="E17" s="205" t="n"/>
      <c r="F17" s="153" t="n">
        <v>2</v>
      </c>
      <c r="G17" s="153" t="inlineStr">
        <is>
          <t>W A-18-58</t>
        </is>
      </c>
      <c r="H17" s="204">
        <f>$J$5-18-58</f>
        <v/>
      </c>
      <c r="I17" s="153">
        <f>F17*$J$1</f>
        <v/>
      </c>
      <c r="J17" s="205" t="n"/>
      <c r="L17" s="161" t="n">
        <v>8</v>
      </c>
      <c r="M17" s="29" t="inlineStr">
        <is>
          <t>HD-213 ฉากเข้ามุมปรับได้</t>
        </is>
      </c>
      <c r="N17" s="30" t="n"/>
      <c r="O17" s="161" t="inlineStr">
        <is>
          <t>-</t>
        </is>
      </c>
      <c r="P17" s="161">
        <f>(($F$19+$F$20)/2)*4</f>
        <v/>
      </c>
      <c r="Q17" s="161">
        <f>$J$1*P17</f>
        <v/>
      </c>
      <c r="R17" s="193" t="n">
        <v>15</v>
      </c>
      <c r="S17" s="6">
        <f>((H21*I21)/1000)*E21</f>
        <v/>
      </c>
      <c r="V17" s="8" t="inlineStr">
        <is>
          <t>ชื่อ</t>
        </is>
      </c>
      <c r="W17" s="8" t="inlineStr">
        <is>
          <t>หน้าดาย</t>
        </is>
      </c>
      <c r="X17" s="8" t="inlineStr">
        <is>
          <t>เบอร์ดาย</t>
        </is>
      </c>
      <c r="Y17" s="8" t="inlineStr">
        <is>
          <t>น้ำหนัก</t>
        </is>
      </c>
      <c r="AB17" s="153" t="n">
        <v>4</v>
      </c>
      <c r="AC17" s="46" t="inlineStr">
        <is>
          <t>กรอบบานเฟี้ยม (ขวาง) A</t>
        </is>
      </c>
      <c r="AD17" s="46" t="n"/>
      <c r="AE17" s="153" t="inlineStr">
        <is>
          <t>F7972</t>
        </is>
      </c>
      <c r="AF17" s="153" t="n">
        <v>1.466</v>
      </c>
      <c r="AG17" s="153">
        <f>2*AB17</f>
        <v/>
      </c>
      <c r="AH17" s="59" t="inlineStr">
        <is>
          <t>(W-18-9.5-(8x3)-62)/4</t>
        </is>
      </c>
      <c r="AI17" s="204">
        <f>($J$5-18-9.5-(8*3)-62)/AB17</f>
        <v/>
      </c>
      <c r="AJ17" s="153">
        <f>AG17*$J$1</f>
        <v/>
      </c>
      <c r="AL17" s="153" t="n">
        <v>4</v>
      </c>
      <c r="AM17" s="46" t="inlineStr">
        <is>
          <t>กรอบบานเฟี้ยม (ขวาง) B</t>
        </is>
      </c>
      <c r="AN17" s="46" t="n"/>
      <c r="AO17" s="153" t="inlineStr">
        <is>
          <t>F7972</t>
        </is>
      </c>
      <c r="AP17" s="153" t="n">
        <v>1.466</v>
      </c>
      <c r="AQ17" s="153">
        <f>2*AL17</f>
        <v/>
      </c>
      <c r="AR17" s="59" t="inlineStr">
        <is>
          <t>(W-18-9.5-(8x3)-62)/4</t>
        </is>
      </c>
      <c r="AS17" s="204">
        <f>($J$5-18-9.5-(8*3)-62)/AL17</f>
        <v/>
      </c>
      <c r="AT17" s="153">
        <f>AQ17*$J$1</f>
        <v/>
      </c>
    </row>
    <row r="18" ht="34.95" customHeight="1" s="92">
      <c r="A18" s="203" t="n"/>
      <c r="B18" s="46" t="inlineStr">
        <is>
          <t>ตบปิดเฟรม (นอน) B</t>
        </is>
      </c>
      <c r="C18" s="203" t="n"/>
      <c r="D18" s="203" t="n"/>
      <c r="E18" s="203" t="n"/>
      <c r="F18" s="153" t="n">
        <v>2</v>
      </c>
      <c r="G18" s="153" t="inlineStr">
        <is>
          <t>W B-18-58</t>
        </is>
      </c>
      <c r="H18" s="204">
        <f>$J$7-18-58</f>
        <v/>
      </c>
      <c r="I18" s="153">
        <f>F18*$J$1</f>
        <v/>
      </c>
      <c r="J18" s="203" t="n"/>
      <c r="L18" s="161" t="n">
        <v>9</v>
      </c>
      <c r="M18" s="29" t="inlineStr">
        <is>
          <t>HD-200 ฉากประคองมุม</t>
        </is>
      </c>
      <c r="N18" s="30" t="n"/>
      <c r="O18" s="161" t="inlineStr">
        <is>
          <t>-</t>
        </is>
      </c>
      <c r="P18" s="161">
        <f>(($F$19+$F$20)/2)*12</f>
        <v/>
      </c>
      <c r="Q18" s="161">
        <f>$J$1*P18</f>
        <v/>
      </c>
      <c r="R18" s="193" t="n">
        <v>1.5</v>
      </c>
      <c r="V18" s="12" t="inlineStr">
        <is>
          <t>คิ้วกระจก5-12มิล (ตั้ง) A</t>
        </is>
      </c>
      <c r="W18" s="12" t="n"/>
      <c r="X18" s="11" t="inlineStr">
        <is>
          <t>F7935</t>
        </is>
      </c>
      <c r="Y18" s="11" t="n">
        <v>0.285</v>
      </c>
      <c r="AB18" s="153" t="n">
        <v>6</v>
      </c>
      <c r="AC18" s="46" t="inlineStr">
        <is>
          <t>กรอบบานเฟี้ยม (ขวาง) A</t>
        </is>
      </c>
      <c r="AD18" s="46" t="n"/>
      <c r="AE18" s="153" t="inlineStr">
        <is>
          <t>F7972</t>
        </is>
      </c>
      <c r="AF18" s="153" t="n">
        <v>1.466</v>
      </c>
      <c r="AG18" s="153">
        <f>2*AB18</f>
        <v/>
      </c>
      <c r="AH18" s="59" t="inlineStr">
        <is>
          <t>(W-18-9.5-(8x5)-62)/6</t>
        </is>
      </c>
      <c r="AI18" s="204">
        <f>($J$5-18-9.5-(8*5)-62)/AB18</f>
        <v/>
      </c>
      <c r="AJ18" s="153">
        <f>AG18*$J$1</f>
        <v/>
      </c>
      <c r="AL18" s="153" t="n">
        <v>6</v>
      </c>
      <c r="AM18" s="46" t="inlineStr">
        <is>
          <t>กรอบบานเฟี้ยม (ขวาง) B</t>
        </is>
      </c>
      <c r="AN18" s="46" t="n"/>
      <c r="AO18" s="153" t="inlineStr">
        <is>
          <t>F7972</t>
        </is>
      </c>
      <c r="AP18" s="153" t="n">
        <v>1.466</v>
      </c>
      <c r="AQ18" s="153">
        <f>2*AL18</f>
        <v/>
      </c>
      <c r="AR18" s="59" t="inlineStr">
        <is>
          <t>(W-18-9.5-(8x5)-62)/6</t>
        </is>
      </c>
      <c r="AS18" s="204">
        <f>($J$5-18-9.5-(8*5)-62)/AL18</f>
        <v/>
      </c>
      <c r="AT18" s="153">
        <f>AQ18*$J$1</f>
        <v/>
      </c>
    </row>
    <row r="19" ht="34.95" customHeight="1" s="92">
      <c r="A19" s="161" t="n">
        <v>6</v>
      </c>
      <c r="B19" s="56" t="inlineStr">
        <is>
          <t>กรอบบานเฟี้ยม (ตั้ง) A</t>
        </is>
      </c>
      <c r="C19" s="161" t="n"/>
      <c r="D19" s="161" t="inlineStr">
        <is>
          <t>F7972</t>
        </is>
      </c>
      <c r="E19" s="161" t="n">
        <v>1.466</v>
      </c>
      <c r="F19" s="161">
        <f>IF($I$5=2,$AG$30,IF($I$5=4,$AG$31,IF($I$5=6,$AG$32,IF($I$5=8,$AG$33,IF($I$5=10,$AG$34,)))))</f>
        <v/>
      </c>
      <c r="G19" s="161" t="inlineStr">
        <is>
          <t>H-55-7-7-25</t>
        </is>
      </c>
      <c r="H19" s="202">
        <f>$J$3-55-7-7-25</f>
        <v/>
      </c>
      <c r="I19" s="161">
        <f>F19*$J$1</f>
        <v/>
      </c>
      <c r="J19" s="161">
        <f>ROUNDUP(((H19*I19)+(H20*I20)+(H21*I21+(H22*I22)))/6400,0)</f>
        <v/>
      </c>
      <c r="L19" s="161" t="n">
        <v>10</v>
      </c>
      <c r="M19" s="61" t="inlineStr">
        <is>
          <t>HD-305  กลอนบานเฟี้ยม</t>
        </is>
      </c>
      <c r="N19" s="60" t="n"/>
      <c r="O19" s="161">
        <f>IF($D$6="ขาว","ขาว","ดำ")</f>
        <v/>
      </c>
      <c r="P19" s="161" t="n">
        <v>2</v>
      </c>
      <c r="Q19" s="161">
        <f>$J$1*P19</f>
        <v/>
      </c>
      <c r="V19" s="12" t="inlineStr">
        <is>
          <t>คิ้วกระจก5-12มิล (นอน) A</t>
        </is>
      </c>
      <c r="W19" s="12" t="n"/>
      <c r="X19" s="11" t="inlineStr">
        <is>
          <t>F7935</t>
        </is>
      </c>
      <c r="Y19" s="11" t="n">
        <v>0.285</v>
      </c>
      <c r="AB19" s="153" t="n">
        <v>8</v>
      </c>
      <c r="AC19" s="46" t="inlineStr">
        <is>
          <t>กรอบบานเฟี้ยม (ขวาง) A</t>
        </is>
      </c>
      <c r="AD19" s="46" t="n"/>
      <c r="AE19" s="153" t="inlineStr">
        <is>
          <t>F7972</t>
        </is>
      </c>
      <c r="AF19" s="153" t="n">
        <v>1.466</v>
      </c>
      <c r="AG19" s="153">
        <f>2*AB19</f>
        <v/>
      </c>
      <c r="AH19" s="59" t="inlineStr">
        <is>
          <t>(W-18-9.5-(8x7)-62)/8</t>
        </is>
      </c>
      <c r="AI19" s="204">
        <f>($J$5-18-9.5-(8*7)-62)/AB19</f>
        <v/>
      </c>
      <c r="AJ19" s="153">
        <f>AG19*$J$1</f>
        <v/>
      </c>
      <c r="AL19" s="153" t="n">
        <v>8</v>
      </c>
      <c r="AM19" s="46" t="inlineStr">
        <is>
          <t>กรอบบานเฟี้ยม (ขวาง) B</t>
        </is>
      </c>
      <c r="AN19" s="46" t="n"/>
      <c r="AO19" s="153" t="inlineStr">
        <is>
          <t>F7972</t>
        </is>
      </c>
      <c r="AP19" s="153" t="n">
        <v>1.466</v>
      </c>
      <c r="AQ19" s="153">
        <f>2*AL19</f>
        <v/>
      </c>
      <c r="AR19" s="59" t="inlineStr">
        <is>
          <t>(W-18-9.5-(8x7)-62)/8</t>
        </is>
      </c>
      <c r="AS19" s="204">
        <f>($J$5-18-9.5-(8*7)-62)/AL19</f>
        <v/>
      </c>
      <c r="AT19" s="153">
        <f>AQ19*$J$1</f>
        <v/>
      </c>
    </row>
    <row r="20" ht="34.95" customHeight="1" s="92">
      <c r="A20" s="205" t="n"/>
      <c r="B20" s="56" t="inlineStr">
        <is>
          <t>กรอบบานเฟี้ยม (ตั้ง) B</t>
        </is>
      </c>
      <c r="C20" s="203" t="n"/>
      <c r="D20" s="205" t="n"/>
      <c r="E20" s="205" t="n"/>
      <c r="F20" s="161">
        <f>IF($I$7=2,$AQ$30,IF($I$7=4,$AQ$31,IF($I$7=6,$AQ$32,IF($I$7=8,$AQ$33,IF($I$7=10,$AQ$34,)))))</f>
        <v/>
      </c>
      <c r="G20" s="161" t="inlineStr">
        <is>
          <t>H-55-7-7-25</t>
        </is>
      </c>
      <c r="H20" s="202">
        <f>$J$3-55-7-7-25</f>
        <v/>
      </c>
      <c r="I20" s="161">
        <f>F20*$J$1</f>
        <v/>
      </c>
      <c r="J20" s="205" t="n"/>
      <c r="L20" s="153" t="n">
        <v>11</v>
      </c>
      <c r="M20" s="43" t="inlineStr">
        <is>
          <t>ยางลูกโป่ง 6mm</t>
        </is>
      </c>
      <c r="N20" s="58" t="n"/>
      <c r="O20" s="153" t="inlineStr">
        <is>
          <t>-</t>
        </is>
      </c>
      <c r="P20" s="206">
        <f>(($H$10*$I$10)+($H$12*$I$12)+($H$14*1)+($H$15*$I$15)+($H$19*$I$19*2)+($H$21*$I$21)+($H$28*$I$28)-($H$19*4))/1000</f>
        <v/>
      </c>
      <c r="Q20" s="206">
        <f>$J$1*P20</f>
        <v/>
      </c>
      <c r="S20" s="6">
        <f>((H23*I23)/1000)*E23</f>
        <v/>
      </c>
      <c r="V20" s="12" t="inlineStr">
        <is>
          <t>คิ้วกระจก14-20มิล (ตั้ง) A</t>
        </is>
      </c>
      <c r="W20" s="12" t="n"/>
      <c r="X20" s="11" t="inlineStr">
        <is>
          <t>F7949</t>
        </is>
      </c>
      <c r="Y20" s="11" t="n">
        <v>0.252</v>
      </c>
      <c r="AB20" s="153" t="n">
        <v>10</v>
      </c>
      <c r="AC20" s="46" t="inlineStr">
        <is>
          <t>กรอบบานเฟี้ยม (ขวาง) A</t>
        </is>
      </c>
      <c r="AD20" s="46" t="n"/>
      <c r="AE20" s="153" t="inlineStr">
        <is>
          <t>F7972</t>
        </is>
      </c>
      <c r="AF20" s="153" t="n">
        <v>1.466</v>
      </c>
      <c r="AG20" s="153">
        <f>2*AB20</f>
        <v/>
      </c>
      <c r="AH20" s="59" t="inlineStr">
        <is>
          <t>(W-18-9.5-(8x9)-62)/10</t>
        </is>
      </c>
      <c r="AI20" s="204">
        <f>($J$5-18-9.5-(8*9)-62)/AB20</f>
        <v/>
      </c>
      <c r="AJ20" s="153">
        <f>AG20*$J$1</f>
        <v/>
      </c>
      <c r="AL20" s="153" t="n">
        <v>10</v>
      </c>
      <c r="AM20" s="46" t="inlineStr">
        <is>
          <t>กรอบบานเฟี้ยม (ขวาง) B</t>
        </is>
      </c>
      <c r="AN20" s="46" t="n"/>
      <c r="AO20" s="153" t="inlineStr">
        <is>
          <t>F7972</t>
        </is>
      </c>
      <c r="AP20" s="153" t="n">
        <v>1.466</v>
      </c>
      <c r="AQ20" s="153">
        <f>2*AL20</f>
        <v/>
      </c>
      <c r="AR20" s="59" t="inlineStr">
        <is>
          <t>(W-18-9.5-(8x9)-62)/10</t>
        </is>
      </c>
      <c r="AS20" s="204">
        <f>($J$5-18-9.5-(8*9)-62)/AL20</f>
        <v/>
      </c>
      <c r="AT20" s="153">
        <f>AQ20*$J$1</f>
        <v/>
      </c>
    </row>
    <row r="21" ht="34.95" customHeight="1" s="92">
      <c r="A21" s="205" t="n"/>
      <c r="B21" s="56" t="inlineStr">
        <is>
          <t>กรอบบานเฟี้ยม (ขวาง) A</t>
        </is>
      </c>
      <c r="C21" s="161" t="n"/>
      <c r="D21" s="205" t="n"/>
      <c r="E21" s="205" t="n"/>
      <c r="F21" s="109">
        <f>IF(AND($H$4=$W$3,$I$5=$X$3),AG$23,"")&amp;IF(AND($H$4=$W$3,$I$5=$X$4),AG$24,"")&amp;IF(AND($H$4=$W$3,$I$5=$X$5),AG$25,"")&amp;IF(AND($H$4=$W$3,$I$5=$X$6),AG$26,"")&amp;IF(AND($H$4=$W$3,$I$5=$X$7),AG$27,"")&amp;IF(AND($H$4=$W$4,$I$5=$X$3),AG$16,"")&amp;IF(AND($H$4=$W$4,$I$5=$X$4),AG$17,"")&amp;IF(AND($H$4=$W$4,$I$5=$X$5),AG$18,"")&amp;IF(AND($H$4=$W$4,$I$5=$X$6),AG$19,"")&amp;IF(AND($H$4=$W$4,$I$5=$X$7),AG$20,"")</f>
        <v/>
      </c>
      <c r="G21" s="109">
        <f>IF(AND($H$4=$W$3,$I$5=$X$3),AH$23,"")&amp;IF(AND($H$4=$W$3,$I$5=$X$4),AH$24,"")&amp;IF(AND($H$4=$W$3,$I$5=$X$5),AH$25,"")&amp;IF(AND($H$4=$W$3,$I$5=$X$6),AH$26,"")&amp;IF(AND($H$4=$W$3,$I$5=$X$7),AH$27,"")&amp;IF(AND($H$4=$W$4,$I$5=$X$3),AH$16,"")&amp;IF(AND($H$4=$W$4,$I$5=$X$4),AH$17,"")&amp;IF(AND($H$4=$W$4,$I$5=$X$5),AH$18,"")&amp;IF(AND($H$4=$W$4,$I$5=$X$6),AH$19,"")&amp;IF(AND($H$4=$W$4,$I$5=$X$7),AH$20,"")</f>
        <v/>
      </c>
      <c r="H21" s="207">
        <f>VALUE(IF(AND($H$4=$W$3,$I$5=$X$3),AI$23,"")&amp;IF(AND($H$4=$W$3,$I$5=$X$4),AI$24,"")&amp;IF(AND($H$4=$W$3,$I$5=$X$5),AI$25,"")&amp;IF(AND($H$4=$W$3,$I$5=$X$6),AI$26,"")&amp;IF(AND($H$4=$W$3,$I$5=$X$7),AI$27,"")&amp;IF(AND($H$4=$W$4,$I$5=$X$3),AI$16,"")&amp;IF(AND($H$4=$W$4,$I$5=$X$4),AI$17,"")&amp;IF(AND($H$4=$W$4,$I$5=$X$5),AI$18,"")&amp;IF(AND($H$4=$W$4,$I$5=$X$6),AI$19,"")&amp;IF(AND($H$4=$W$4,$I$5=$X$7),AI$20,""))</f>
        <v/>
      </c>
      <c r="I21" s="161">
        <f>F21*$J$1</f>
        <v/>
      </c>
      <c r="J21" s="205" t="n"/>
      <c r="L21" s="153" t="n">
        <v>12</v>
      </c>
      <c r="M21" s="43" t="inlineStr">
        <is>
          <t>ยางอัด</t>
        </is>
      </c>
      <c r="N21" s="58" t="n"/>
      <c r="O21" s="153" t="inlineStr">
        <is>
          <t>-</t>
        </is>
      </c>
      <c r="P21" s="206">
        <f>(($O$32+$P$32)*2)*$Q$32/1000</f>
        <v/>
      </c>
      <c r="Q21" s="206">
        <f>$J$1*P21</f>
        <v/>
      </c>
      <c r="S21" s="6">
        <f>((H25*I25)/1000)*E25</f>
        <v/>
      </c>
      <c r="V21" s="12" t="inlineStr">
        <is>
          <t>คิ้วกระจก14-20มิล (นอน) A</t>
        </is>
      </c>
      <c r="W21" s="12" t="inlineStr">
        <is>
          <t xml:space="preserve"> </t>
        </is>
      </c>
      <c r="X21" s="11" t="inlineStr">
        <is>
          <t>F7949</t>
        </is>
      </c>
      <c r="Y21" s="11" t="n">
        <v>0.252</v>
      </c>
    </row>
    <row r="22" ht="34.95" customHeight="1" s="92">
      <c r="A22" s="203" t="n"/>
      <c r="B22" s="56" t="inlineStr">
        <is>
          <t>กรอบบานเฟี้ยม (ขวาง) B</t>
        </is>
      </c>
      <c r="C22" s="203" t="n"/>
      <c r="D22" s="203" t="n"/>
      <c r="E22" s="203" t="n"/>
      <c r="F22" s="109">
        <f>IF(AND($H$6=$W$5,$I$7=$X$3),AQ$23,"")&amp;IF(AND($H$6=$W$5,$I$7=$X$4),AQ$24,"")&amp;IF(AND($H$6=$W$5,$I$7=$X$5),AQ$25,"")&amp;IF(AND($H$6=$W$5,$I$7=$X$6),AQ$26,"")&amp;IF(AND($H$6=$W$5,$I$7=$X$7),AQ$27,"")&amp;IF(AND($H$6=$W$6,$I$7=$X$3),AQ$16,"")&amp;IF(AND($H$6=$W$6,$I$7=$X$4),AQ$17,"")&amp;IF(AND($H$6=$W$6,$I$7=$X$5),AQ$18,"")&amp;IF(AND($H$6=$W$6,$I$7=$X$6),AQ$19,"")&amp;IF(AND($H$6=$W$6,$I$7=$X$7),AQ$20,"")</f>
        <v/>
      </c>
      <c r="G22" s="109">
        <f>IF(AND($H$6=$W$5,$I$7=$X$3),AR$23,"")&amp;IF(AND($H$6=$W$5,$I$7=$X$4),AR$24,"")&amp;IF(AND($H$6=$W$5,$I$7=$X$5),AR$25,"")&amp;IF(AND($H$6=$W$5,$I$7=$X$6),AR$26,"")&amp;IF(AND($H$6=$W$5,$I$7=$X$7),AR$27,"")&amp;IF(AND($H$6=$W$6,$I$7=$X$3),AR$16,"")&amp;IF(AND($H$6=$W$6,$I$7=$X$4),AR$17,"")&amp;IF(AND($H$6=$W$6,$I$7=$X$5),AR$18,"")&amp;IF(AND($H$6=$W$6,$I$7=$X$6),AR$19,"")&amp;IF(AND($H$6=$W$6,$I$7=$X$7),AR$20,"")</f>
        <v/>
      </c>
      <c r="H22" s="207">
        <f>VALUE(IF(AND($H$6=$W$5,$I$7=$X$3),AS$23,"")&amp;IF(AND($H$6=$W$5,$I$7=$X$4),AS$24,"")&amp;IF(AND($H$6=$W$5,$I$7=$X$5),AS$25,"")&amp;IF(AND($H$6=$W$5,$I$7=$X$6),AS$26,"")&amp;IF(AND($H$6=$W$5,$I$7=$X$7),AS$27,"")&amp;IF(AND($H$6=$W$6,$I$7=$X$3),AS$16,"")&amp;IF(AND($H$6=$W$6,$I$7=$X$4),AS$17,"")&amp;IF(AND($H$6=$W$6,$I$7=$X$5),AS$18,"")&amp;IF(AND($H$6=$W$6,$I$7=$X$6),AS$19,"")&amp;IF(AND($H$6=$W$6,$I$7=$X$7),AS$20,""))</f>
        <v/>
      </c>
      <c r="I22" s="161">
        <f>F22*$J$1</f>
        <v/>
      </c>
      <c r="J22" s="203" t="n"/>
      <c r="L22" s="153" t="n">
        <v>13</v>
      </c>
      <c r="M22" s="43" t="inlineStr">
        <is>
          <t>ยางรอง</t>
        </is>
      </c>
      <c r="N22" s="58" t="n"/>
      <c r="O22" s="153" t="inlineStr">
        <is>
          <t>-</t>
        </is>
      </c>
      <c r="P22" s="206">
        <f>(($O$32+$P$32)*2)*$Q$32/1000</f>
        <v/>
      </c>
      <c r="Q22" s="206">
        <f>$J$1*P22</f>
        <v/>
      </c>
      <c r="V22" s="12" t="inlineStr">
        <is>
          <t>คิ้วสำหรับกระจกมู่ลี่ (ตั้ง) A</t>
        </is>
      </c>
      <c r="W22" s="14" t="n"/>
      <c r="X22" s="11" t="inlineStr">
        <is>
          <t>F7853</t>
        </is>
      </c>
      <c r="Y22" s="11" t="n">
        <v>0.22</v>
      </c>
      <c r="AB22" s="75" t="inlineStr">
        <is>
          <t>คู่เปิด A</t>
        </is>
      </c>
      <c r="AC22" s="75" t="inlineStr">
        <is>
          <t>นอน</t>
        </is>
      </c>
      <c r="AD22" s="75" t="n"/>
      <c r="AL22" s="75" t="inlineStr">
        <is>
          <t>คู่เปิด B</t>
        </is>
      </c>
      <c r="AM22" s="75" t="inlineStr">
        <is>
          <t>นอน</t>
        </is>
      </c>
      <c r="AN22" s="75" t="n"/>
    </row>
    <row r="23" ht="34.95" customHeight="1" s="92">
      <c r="A23" s="153" t="n">
        <v>7</v>
      </c>
      <c r="B23" s="46">
        <f>IF($E$6&lt;=12,V18,IF($E$6&lt;=20,V20,V22))</f>
        <v/>
      </c>
      <c r="C23" s="153" t="n"/>
      <c r="D23" s="153">
        <f>IF($E$6&lt;=12,X18,IF($E$6&lt;=20,X20,X22))</f>
        <v/>
      </c>
      <c r="E23" s="153">
        <f>IF($E$6&lt;=12,Y18,IF($E$6&lt;=20,Y20,Y22))</f>
        <v/>
      </c>
      <c r="F23" s="153">
        <f>$F$19</f>
        <v/>
      </c>
      <c r="G23" s="153" t="inlineStr">
        <is>
          <t>SH-80-80</t>
        </is>
      </c>
      <c r="H23" s="204">
        <f>$H$19-80-80</f>
        <v/>
      </c>
      <c r="I23" s="153">
        <f>F23*$J$1</f>
        <v/>
      </c>
      <c r="J23" s="153">
        <f>ROUNDUP(((H23*I23)+(H24*I24)+(H25*I25+(H26*I26)))/6400,0)</f>
        <v/>
      </c>
      <c r="L23" s="95" t="n"/>
      <c r="M23" s="86" t="n"/>
      <c r="N23" s="95" t="n"/>
      <c r="O23" s="95" t="n"/>
      <c r="P23" s="95" t="n"/>
      <c r="Q23" s="95" t="n"/>
      <c r="V23" s="12" t="inlineStr">
        <is>
          <t>คิ้วสำหรับกระจกมู่ลี่ (นอน) A</t>
        </is>
      </c>
      <c r="W23" s="14" t="n"/>
      <c r="X23" s="11" t="inlineStr">
        <is>
          <t>F7853</t>
        </is>
      </c>
      <c r="Y23" s="11" t="n">
        <v>0.22</v>
      </c>
      <c r="AB23" s="153" t="n">
        <v>2</v>
      </c>
      <c r="AC23" s="46" t="inlineStr">
        <is>
          <t>กรอบบานเฟี้ยม (ขวาง) A</t>
        </is>
      </c>
      <c r="AD23" s="46" t="n"/>
      <c r="AE23" s="153" t="inlineStr">
        <is>
          <t>F7972</t>
        </is>
      </c>
      <c r="AF23" s="153" t="n">
        <v>1.466</v>
      </c>
      <c r="AG23" s="153">
        <f>2*AB23</f>
        <v/>
      </c>
      <c r="AH23" s="59" t="inlineStr">
        <is>
          <t>(W-18-9.5-(8x1)-102)/2</t>
        </is>
      </c>
      <c r="AI23" s="204">
        <f>($J$5-18-9.5-(8*1)-102)/AB23</f>
        <v/>
      </c>
      <c r="AJ23" s="153">
        <f>AG23*$J$1</f>
        <v/>
      </c>
      <c r="AL23" s="153" t="n">
        <v>2</v>
      </c>
      <c r="AM23" s="46" t="inlineStr">
        <is>
          <t>กรอบบานเฟี้ยม (ขวาง) B</t>
        </is>
      </c>
      <c r="AN23" s="46" t="n"/>
      <c r="AO23" s="153" t="inlineStr">
        <is>
          <t>F7972</t>
        </is>
      </c>
      <c r="AP23" s="153" t="n">
        <v>1.466</v>
      </c>
      <c r="AQ23" s="153">
        <f>2*AL23</f>
        <v/>
      </c>
      <c r="AR23" s="59" t="inlineStr">
        <is>
          <t>(W-18-9.5-(8x1)-102)/2</t>
        </is>
      </c>
      <c r="AS23" s="204">
        <f>($J$5-18-9.5-(8*1)-102)/AL23</f>
        <v/>
      </c>
      <c r="AT23" s="153">
        <f>AQ23*$J$1</f>
        <v/>
      </c>
    </row>
    <row r="24" ht="34.95" customHeight="1" s="92">
      <c r="A24" s="205" t="n"/>
      <c r="B24" s="46">
        <f>IF($E$6&lt;=12,V25,IF($E$6&lt;=20,V27,V29))</f>
        <v/>
      </c>
      <c r="C24" s="203" t="n"/>
      <c r="D24" s="205" t="n"/>
      <c r="E24" s="205" t="n"/>
      <c r="F24" s="153">
        <f>$F$20</f>
        <v/>
      </c>
      <c r="G24" s="153" t="inlineStr">
        <is>
          <t>SH-80-80</t>
        </is>
      </c>
      <c r="H24" s="204">
        <f>$H$20-80-80</f>
        <v/>
      </c>
      <c r="I24" s="153">
        <f>F24*$J$1</f>
        <v/>
      </c>
      <c r="J24" s="205" t="n"/>
      <c r="L24" s="90" t="n"/>
      <c r="M24" s="89" t="n"/>
      <c r="N24" s="136" t="inlineStr">
        <is>
          <t>ด้าน A</t>
        </is>
      </c>
      <c r="O24" s="198" t="n"/>
      <c r="P24" s="198" t="n"/>
      <c r="Q24" s="199" t="n"/>
      <c r="V24" s="81" t="inlineStr">
        <is>
          <t>B</t>
        </is>
      </c>
      <c r="AB24" s="153" t="n">
        <v>4</v>
      </c>
      <c r="AC24" s="46" t="inlineStr">
        <is>
          <t>กรอบบานเฟี้ยม (ขวาง) A</t>
        </is>
      </c>
      <c r="AD24" s="46" t="n"/>
      <c r="AE24" s="153" t="inlineStr">
        <is>
          <t>F7972</t>
        </is>
      </c>
      <c r="AF24" s="153" t="n">
        <v>1.466</v>
      </c>
      <c r="AG24" s="153">
        <f>VALUE(2*AB24)</f>
        <v/>
      </c>
      <c r="AH24" s="59" t="inlineStr">
        <is>
          <t>(W-18-9.5-(8x3)-102)/4</t>
        </is>
      </c>
      <c r="AI24" s="204">
        <f>($J$5-18-9.5-(8*3)-102)/AB24</f>
        <v/>
      </c>
      <c r="AJ24" s="153">
        <f>AG24*$J$1</f>
        <v/>
      </c>
      <c r="AL24" s="153" t="n">
        <v>4</v>
      </c>
      <c r="AM24" s="46" t="inlineStr">
        <is>
          <t>กรอบบานเฟี้ยม (ขวาง) B</t>
        </is>
      </c>
      <c r="AN24" s="46" t="n"/>
      <c r="AO24" s="153" t="inlineStr">
        <is>
          <t>F7972</t>
        </is>
      </c>
      <c r="AP24" s="153" t="n">
        <v>1.466</v>
      </c>
      <c r="AQ24" s="153">
        <f>2*AL24</f>
        <v/>
      </c>
      <c r="AR24" s="59" t="inlineStr">
        <is>
          <t>(W-18-9.5-(8x3)-102)/4</t>
        </is>
      </c>
      <c r="AS24" s="204">
        <f>($J$5-18-9.5-(8*3)-102)/AL24</f>
        <v/>
      </c>
      <c r="AT24" s="153">
        <f>AQ24*$J$1</f>
        <v/>
      </c>
    </row>
    <row r="25" ht="34.95" customHeight="1" s="92">
      <c r="A25" s="205" t="n"/>
      <c r="B25" s="46">
        <f>IF($E$6&lt;=12,V19,IF($E$6&lt;=20,V21,V23))</f>
        <v/>
      </c>
      <c r="C25" s="153" t="n"/>
      <c r="D25" s="205" t="n"/>
      <c r="E25" s="205" t="n"/>
      <c r="F25" s="153">
        <f>$F$21</f>
        <v/>
      </c>
      <c r="G25" s="153" t="inlineStr">
        <is>
          <t>SW-60-60</t>
        </is>
      </c>
      <c r="H25" s="204">
        <f>$H$21-60-60</f>
        <v/>
      </c>
      <c r="I25" s="153">
        <f>F25*$J$1</f>
        <v/>
      </c>
      <c r="J25" s="205" t="n"/>
      <c r="L25" s="90" t="n"/>
      <c r="M25" s="89" t="n"/>
      <c r="N25" s="85" t="inlineStr">
        <is>
          <t>น้ำหนักรวม
ต่อ บาน B</t>
        </is>
      </c>
      <c r="O25" s="137" t="inlineStr">
        <is>
          <t>กระจก A</t>
        </is>
      </c>
      <c r="P25" s="208" t="n"/>
      <c r="Q25" s="209" t="n"/>
      <c r="V25" s="12" t="inlineStr">
        <is>
          <t>คิ้วกระจก5-12มิล (ตั้ง) B</t>
        </is>
      </c>
      <c r="W25" s="12" t="n"/>
      <c r="X25" s="11" t="inlineStr">
        <is>
          <t>F7935</t>
        </is>
      </c>
      <c r="Y25" s="11" t="n">
        <v>0.285</v>
      </c>
      <c r="AB25" s="153" t="n">
        <v>6</v>
      </c>
      <c r="AC25" s="46" t="inlineStr">
        <is>
          <t>กรอบบานเฟี้ยม (ขวาง) A</t>
        </is>
      </c>
      <c r="AD25" s="46" t="n"/>
      <c r="AE25" s="153" t="inlineStr">
        <is>
          <t>F7972</t>
        </is>
      </c>
      <c r="AF25" s="153" t="n">
        <v>1.466</v>
      </c>
      <c r="AG25" s="153">
        <f>VALUE(2*AB25)</f>
        <v/>
      </c>
      <c r="AH25" s="59" t="inlineStr">
        <is>
          <t>(W-18-9.5-(8x5)-102)/6</t>
        </is>
      </c>
      <c r="AI25" s="204">
        <f>($J$5-18-9.5-(8*5)-102)/AB25</f>
        <v/>
      </c>
      <c r="AJ25" s="153">
        <f>AG25*$J$1</f>
        <v/>
      </c>
      <c r="AL25" s="153" t="n">
        <v>6</v>
      </c>
      <c r="AM25" s="46" t="inlineStr">
        <is>
          <t>กรอบบานเฟี้ยม (ขวาง) B</t>
        </is>
      </c>
      <c r="AN25" s="46" t="n"/>
      <c r="AO25" s="153" t="inlineStr">
        <is>
          <t>F7972</t>
        </is>
      </c>
      <c r="AP25" s="153" t="n">
        <v>1.466</v>
      </c>
      <c r="AQ25" s="153">
        <f>2*AL25</f>
        <v/>
      </c>
      <c r="AR25" s="59" t="inlineStr">
        <is>
          <t>(W-18-9.5-(8x5)-102)/6</t>
        </is>
      </c>
      <c r="AS25" s="204">
        <f>($J$5-18-9.5-(8*5)-102)/AL25</f>
        <v/>
      </c>
      <c r="AT25" s="153">
        <f>AQ25*$J$1</f>
        <v/>
      </c>
    </row>
    <row r="26" ht="34.95" customHeight="1" s="92">
      <c r="A26" s="203" t="n"/>
      <c r="B26" s="46">
        <f>IF($E$6&lt;=12,V26,IF($E$6&lt;=20,V28,V30))</f>
        <v/>
      </c>
      <c r="C26" s="203" t="n"/>
      <c r="D26" s="203" t="n"/>
      <c r="E26" s="203" t="n"/>
      <c r="F26" s="153">
        <f>$F$22</f>
        <v/>
      </c>
      <c r="G26" s="153" t="inlineStr">
        <is>
          <t>SW-60-60</t>
        </is>
      </c>
      <c r="H26" s="204">
        <f>$H$22-60-60</f>
        <v/>
      </c>
      <c r="I26" s="153">
        <f>F26*$J$1</f>
        <v/>
      </c>
      <c r="J26" s="203" t="n"/>
      <c r="L26" s="90" t="n"/>
      <c r="M26" s="123" t="n"/>
      <c r="N26" s="210">
        <f>((($H$19*$F$19*$E$19/1000)+($H$21*$F$21*$E$19/1000)+($H$23*$F$23*$E$23/1000)+($H$25*$F$25*$E$23/1000))+($O$32*$P$32*$E$6*2.5*$I$7/1000000))/$I$7</f>
        <v/>
      </c>
      <c r="O26" s="161" t="inlineStr">
        <is>
          <t>HS-130</t>
        </is>
      </c>
      <c r="P26" s="161" t="inlineStr">
        <is>
          <t>WS-130</t>
        </is>
      </c>
      <c r="Q26" s="202" t="inlineStr">
        <is>
          <t>จำนวน</t>
        </is>
      </c>
      <c r="V26" s="12" t="inlineStr">
        <is>
          <t>คิ้วกระจก5-12มิล (นอน) B</t>
        </is>
      </c>
      <c r="W26" s="12" t="n"/>
      <c r="X26" s="11" t="inlineStr">
        <is>
          <t>F7935</t>
        </is>
      </c>
      <c r="Y26" s="11" t="n">
        <v>0.285</v>
      </c>
      <c r="AB26" s="153" t="n">
        <v>8</v>
      </c>
      <c r="AC26" s="46" t="inlineStr">
        <is>
          <t>กรอบบานเฟี้ยม (ขวาง) A</t>
        </is>
      </c>
      <c r="AD26" s="46" t="n"/>
      <c r="AE26" s="153" t="inlineStr">
        <is>
          <t>F7972</t>
        </is>
      </c>
      <c r="AF26" s="153" t="n">
        <v>1.466</v>
      </c>
      <c r="AG26" s="153">
        <f>VALUE(2*AB26)</f>
        <v/>
      </c>
      <c r="AH26" s="59" t="inlineStr">
        <is>
          <t>(W-18-9.5-(8x7)-102)/8</t>
        </is>
      </c>
      <c r="AI26" s="204">
        <f>($J$5-18-9.5-(8*7)-102)/AB26</f>
        <v/>
      </c>
      <c r="AJ26" s="153">
        <f>AG26*$J$1</f>
        <v/>
      </c>
      <c r="AL26" s="153" t="n">
        <v>8</v>
      </c>
      <c r="AM26" s="46" t="inlineStr">
        <is>
          <t>กรอบบานเฟี้ยม (ขวาง) B</t>
        </is>
      </c>
      <c r="AN26" s="46" t="n"/>
      <c r="AO26" s="153" t="inlineStr">
        <is>
          <t>F7972</t>
        </is>
      </c>
      <c r="AP26" s="153" t="n">
        <v>1.466</v>
      </c>
      <c r="AQ26" s="153">
        <f>2*AL26</f>
        <v/>
      </c>
      <c r="AR26" s="59" t="inlineStr">
        <is>
          <t>(W-18-9.5-(8x7)-102)/8</t>
        </is>
      </c>
      <c r="AS26" s="204">
        <f>($J$5-18-9.5-(8*7)-102)/AL26</f>
        <v/>
      </c>
      <c r="AT26" s="153">
        <f>AQ26*$J$1</f>
        <v/>
      </c>
    </row>
    <row r="27" ht="34.95" customHeight="1" s="92">
      <c r="A27" s="161" t="n">
        <v>8</v>
      </c>
      <c r="B27" s="56" t="inlineStr">
        <is>
          <t>ชนกลางบานคู่</t>
        </is>
      </c>
      <c r="C27" s="56" t="n"/>
      <c r="D27" s="161" t="inlineStr">
        <is>
          <t>F7974</t>
        </is>
      </c>
      <c r="E27" s="161" t="n">
        <v>0.799</v>
      </c>
      <c r="F27" s="161" t="n">
        <v>1</v>
      </c>
      <c r="G27" s="161" t="inlineStr">
        <is>
          <t>HS+4</t>
        </is>
      </c>
      <c r="H27" s="202">
        <f>$H$19+4</f>
        <v/>
      </c>
      <c r="I27" s="161">
        <f>F27*$J$1</f>
        <v/>
      </c>
      <c r="J27" s="161">
        <f>ROUNDUP((H27*I27)/6400,0)</f>
        <v/>
      </c>
      <c r="L27" s="90" t="n"/>
      <c r="M27" s="89" t="n"/>
      <c r="N27" s="211">
        <f>$N$31*$I$5</f>
        <v/>
      </c>
      <c r="O27" s="41">
        <f>$H$19-130</f>
        <v/>
      </c>
      <c r="P27" s="41">
        <f>$H$21-130</f>
        <v/>
      </c>
      <c r="Q27" s="41">
        <f>$I$5*$J$1</f>
        <v/>
      </c>
      <c r="S27" s="6">
        <f>O32*P32*6*Q32*2.5/1000000</f>
        <v/>
      </c>
      <c r="V27" s="12" t="inlineStr">
        <is>
          <t>คิ้วกระจก14-20มิล (ตั้ง) B</t>
        </is>
      </c>
      <c r="W27" s="12" t="n"/>
      <c r="X27" s="11" t="inlineStr">
        <is>
          <t>F7949</t>
        </is>
      </c>
      <c r="Y27" s="11" t="n">
        <v>0.252</v>
      </c>
      <c r="AB27" s="153" t="n">
        <v>10</v>
      </c>
      <c r="AC27" s="46" t="inlineStr">
        <is>
          <t>กรอบบานเฟี้ยม (ขวาง) A</t>
        </is>
      </c>
      <c r="AD27" s="46" t="n"/>
      <c r="AE27" s="153" t="inlineStr">
        <is>
          <t>F7972</t>
        </is>
      </c>
      <c r="AF27" s="153" t="n">
        <v>1.466</v>
      </c>
      <c r="AG27" s="153">
        <f>VALUE(2*AB27)</f>
        <v/>
      </c>
      <c r="AH27" s="59" t="inlineStr">
        <is>
          <t>(W-18-9.5-(8x9)-102)/10</t>
        </is>
      </c>
      <c r="AI27" s="204">
        <f>($J$5-18-9.5-(8*9)-102)/AB27</f>
        <v/>
      </c>
      <c r="AJ27" s="153">
        <f>AG27*$J$1</f>
        <v/>
      </c>
      <c r="AL27" s="153" t="n">
        <v>10</v>
      </c>
      <c r="AM27" s="46" t="inlineStr">
        <is>
          <t>กรอบบานเฟี้ยม (ขวาง) B</t>
        </is>
      </c>
      <c r="AN27" s="46" t="n"/>
      <c r="AO27" s="153" t="inlineStr">
        <is>
          <t>F7972</t>
        </is>
      </c>
      <c r="AP27" s="153" t="n">
        <v>1.466</v>
      </c>
      <c r="AQ27" s="153">
        <f>2*AL27</f>
        <v/>
      </c>
      <c r="AR27" s="59" t="inlineStr">
        <is>
          <t>(W-18-9.5-(8x9)-102)/10</t>
        </is>
      </c>
      <c r="AS27" s="204">
        <f>($J$5-18-9.5-(8*9)-102)/AL27</f>
        <v/>
      </c>
      <c r="AT27" s="153">
        <f>AQ27*$J$1</f>
        <v/>
      </c>
    </row>
    <row r="28" ht="34.95" customHeight="1" s="92">
      <c r="A28" s="153" t="n">
        <v>9</v>
      </c>
      <c r="B28" s="46" t="inlineStr">
        <is>
          <t>รับล็อคเสาเข้ามุมบานคู่</t>
        </is>
      </c>
      <c r="C28" s="46" t="n"/>
      <c r="D28" s="153" t="inlineStr">
        <is>
          <t>F7963</t>
        </is>
      </c>
      <c r="E28" s="153" t="n">
        <v>0.438</v>
      </c>
      <c r="F28" s="153" t="n">
        <v>1</v>
      </c>
      <c r="G28" s="153" t="inlineStr">
        <is>
          <t>HS+4</t>
        </is>
      </c>
      <c r="H28" s="204">
        <f>$H$19+4</f>
        <v/>
      </c>
      <c r="I28" s="153">
        <f>F28*$J$1</f>
        <v/>
      </c>
      <c r="J28" s="153">
        <f>ROUNDUP((H28*I28)/6400,0)</f>
        <v/>
      </c>
      <c r="L28" s="90" t="n"/>
      <c r="M28" s="89" t="n"/>
      <c r="O28" s="90" t="n"/>
      <c r="P28" s="90" t="n"/>
      <c r="Q28" s="90" t="n"/>
      <c r="S28" s="18">
        <f>SUM(S16:S27)</f>
        <v/>
      </c>
      <c r="V28" s="12" t="inlineStr">
        <is>
          <t>คิ้วกระจก14-20มิล (นอน) B</t>
        </is>
      </c>
      <c r="W28" s="12" t="n"/>
      <c r="X28" s="11" t="inlineStr">
        <is>
          <t>F7949</t>
        </is>
      </c>
      <c r="Y28" s="11" t="n">
        <v>0.252</v>
      </c>
    </row>
    <row r="29" ht="34.95" customHeight="1" s="92">
      <c r="A29" s="161" t="n">
        <v>10</v>
      </c>
      <c r="B29" s="56" t="inlineStr">
        <is>
          <t>เสาเข้ามุม</t>
        </is>
      </c>
      <c r="C29" s="84" t="n"/>
      <c r="D29" s="161" t="inlineStr">
        <is>
          <t>F7964</t>
        </is>
      </c>
      <c r="E29" s="161" t="n">
        <v>1.03</v>
      </c>
      <c r="F29" s="161" t="n">
        <v>1</v>
      </c>
      <c r="G29" s="161" t="inlineStr">
        <is>
          <t>HS+4</t>
        </is>
      </c>
      <c r="H29" s="202">
        <f>$H$19+4</f>
        <v/>
      </c>
      <c r="I29" s="161">
        <f>F29*$J$1</f>
        <v/>
      </c>
      <c r="J29" s="161">
        <f>ROUNDUP((H29*I29)/6400,0)</f>
        <v/>
      </c>
      <c r="L29" s="90" t="n"/>
      <c r="M29" s="93" t="n"/>
      <c r="N29" s="136" t="inlineStr">
        <is>
          <t>ด้าน B</t>
        </is>
      </c>
      <c r="O29" s="198" t="n"/>
      <c r="P29" s="198" t="n"/>
      <c r="Q29" s="199" t="n"/>
      <c r="V29" s="12" t="inlineStr">
        <is>
          <t>คิ้วสำหรับกระจกมู่ลี่ (ตั้ง) B</t>
        </is>
      </c>
      <c r="W29" s="14" t="n"/>
      <c r="X29" s="11" t="inlineStr">
        <is>
          <t>F7853</t>
        </is>
      </c>
      <c r="Y29" s="11" t="n">
        <v>0.22</v>
      </c>
      <c r="AB29" s="75" t="inlineStr">
        <is>
          <t>ตั้ง A</t>
        </is>
      </c>
      <c r="AC29" s="75" t="n"/>
      <c r="AD29" s="75" t="n"/>
      <c r="AL29" s="75" t="inlineStr">
        <is>
          <t>ตั้ง B</t>
        </is>
      </c>
      <c r="AM29" s="75" t="n"/>
      <c r="AN29" s="75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  <c r="M30" s="94" t="n"/>
      <c r="N30" s="85" t="inlineStr">
        <is>
          <t>น้ำหนักรวม
ต่อ บาน B</t>
        </is>
      </c>
      <c r="O30" s="137" t="inlineStr">
        <is>
          <t>กระจก B</t>
        </is>
      </c>
      <c r="P30" s="208" t="n"/>
      <c r="Q30" s="209" t="n"/>
      <c r="V30" s="12" t="inlineStr">
        <is>
          <t>คิ้วสำหรับกระจกมู่ลี่ (นอน) B</t>
        </is>
      </c>
      <c r="W30" s="14" t="n"/>
      <c r="X30" s="11" t="inlineStr">
        <is>
          <t>F7853</t>
        </is>
      </c>
      <c r="Y30" s="11" t="n">
        <v>0.22</v>
      </c>
      <c r="AB30" s="153" t="n">
        <v>2</v>
      </c>
      <c r="AC30" s="46" t="inlineStr">
        <is>
          <t>กรอบบานเฟี้ยม (ตั้ง) A</t>
        </is>
      </c>
      <c r="AD30" s="46" t="n"/>
      <c r="AE30" s="153" t="inlineStr">
        <is>
          <t>F7972</t>
        </is>
      </c>
      <c r="AF30" s="153" t="n">
        <v>1.466</v>
      </c>
      <c r="AG30" s="153">
        <f>2*AB30</f>
        <v/>
      </c>
      <c r="AH30" s="153" t="inlineStr">
        <is>
          <t>H-55-6-6-25</t>
        </is>
      </c>
      <c r="AI30" s="204">
        <f>$J$3-55-6-6-25</f>
        <v/>
      </c>
      <c r="AJ30" s="153">
        <f>AG30*$J$1</f>
        <v/>
      </c>
      <c r="AL30" s="153" t="n">
        <v>2</v>
      </c>
      <c r="AM30" s="46" t="inlineStr">
        <is>
          <t>กรอบบานเฟี้ยม (ตั้ง) B</t>
        </is>
      </c>
      <c r="AN30" s="46" t="n"/>
      <c r="AO30" s="153" t="inlineStr">
        <is>
          <t>F7972</t>
        </is>
      </c>
      <c r="AP30" s="153" t="n">
        <v>1.466</v>
      </c>
      <c r="AQ30" s="153">
        <f>2*AL30</f>
        <v/>
      </c>
      <c r="AR30" s="153" t="inlineStr">
        <is>
          <t>H-55-6-6-25</t>
        </is>
      </c>
      <c r="AS30" s="204">
        <f>$J$3-55-6-6-25</f>
        <v/>
      </c>
      <c r="AT30" s="153">
        <f>AQ30*$J$1</f>
        <v/>
      </c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  <c r="N31" s="210">
        <f>((($H$20*$F$20*$E$19/1000)+($H$22*$F$22*$E$19/1000)+($H$24*$F$24*$E$23/1000)+($H$26*$F$26*$E$23/1000))+($O$32*$P$32*$E$6*2.5*$I$7/1000000))/$I$7</f>
        <v/>
      </c>
      <c r="O31" s="161" t="inlineStr">
        <is>
          <t>HS-130</t>
        </is>
      </c>
      <c r="P31" s="161" t="inlineStr">
        <is>
          <t>WS-130</t>
        </is>
      </c>
      <c r="Q31" s="202" t="inlineStr">
        <is>
          <t>จำนวน</t>
        </is>
      </c>
      <c r="AB31" s="153" t="n">
        <v>4</v>
      </c>
      <c r="AC31" s="46" t="inlineStr">
        <is>
          <t>กรอบบานเฟี้ยม (ตั้ง) A</t>
        </is>
      </c>
      <c r="AD31" s="46" t="n"/>
      <c r="AE31" s="153" t="inlineStr">
        <is>
          <t>F7972</t>
        </is>
      </c>
      <c r="AF31" s="153" t="n">
        <v>1.466</v>
      </c>
      <c r="AG31" s="153">
        <f>2*AB31</f>
        <v/>
      </c>
      <c r="AH31" s="153" t="inlineStr">
        <is>
          <t>H-55-6-6-25</t>
        </is>
      </c>
      <c r="AI31" s="204">
        <f>$J$3-55-6-6-25</f>
        <v/>
      </c>
      <c r="AJ31" s="153">
        <f>AG31*$J$1</f>
        <v/>
      </c>
      <c r="AL31" s="153" t="n">
        <v>4</v>
      </c>
      <c r="AM31" s="46" t="inlineStr">
        <is>
          <t>กรอบบานเฟี้ยม (ตั้ง) B</t>
        </is>
      </c>
      <c r="AN31" s="46" t="n"/>
      <c r="AO31" s="153" t="inlineStr">
        <is>
          <t>F7972</t>
        </is>
      </c>
      <c r="AP31" s="153" t="n">
        <v>1.466</v>
      </c>
      <c r="AQ31" s="153">
        <f>2*AL31</f>
        <v/>
      </c>
      <c r="AR31" s="153" t="inlineStr">
        <is>
          <t>H-55-6-6-25</t>
        </is>
      </c>
      <c r="AS31" s="204">
        <f>$J$3-55-6-6-25</f>
        <v/>
      </c>
      <c r="AT31" s="153">
        <f>AQ31*$J$1</f>
        <v/>
      </c>
    </row>
    <row r="32" ht="34.95" customHeight="1" s="92"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  <c r="N32" s="211">
        <f>$N$31*$I$7</f>
        <v/>
      </c>
      <c r="O32" s="41">
        <f>$H$20-130</f>
        <v/>
      </c>
      <c r="P32" s="41">
        <f>$H$22-130</f>
        <v/>
      </c>
      <c r="Q32" s="41">
        <f>$I$7*$J$1</f>
        <v/>
      </c>
      <c r="AB32" s="153" t="n">
        <v>6</v>
      </c>
      <c r="AC32" s="46" t="inlineStr">
        <is>
          <t>กรอบบานเฟี้ยม (ตั้ง) A</t>
        </is>
      </c>
      <c r="AD32" s="46" t="n"/>
      <c r="AE32" s="153" t="inlineStr">
        <is>
          <t>F7972</t>
        </is>
      </c>
      <c r="AF32" s="153" t="n">
        <v>1.466</v>
      </c>
      <c r="AG32" s="153">
        <f>2*AB32</f>
        <v/>
      </c>
      <c r="AH32" s="153" t="inlineStr">
        <is>
          <t>H-55-6-6-25</t>
        </is>
      </c>
      <c r="AI32" s="204">
        <f>$J$3-55-6-6-25</f>
        <v/>
      </c>
      <c r="AJ32" s="153">
        <f>AG32*$J$1</f>
        <v/>
      </c>
      <c r="AL32" s="153" t="n">
        <v>6</v>
      </c>
      <c r="AM32" s="46" t="inlineStr">
        <is>
          <t>กรอบบานเฟี้ยม (ตั้ง) B</t>
        </is>
      </c>
      <c r="AN32" s="46" t="n"/>
      <c r="AO32" s="153" t="inlineStr">
        <is>
          <t>F7972</t>
        </is>
      </c>
      <c r="AP32" s="153" t="n">
        <v>1.466</v>
      </c>
      <c r="AQ32" s="153">
        <f>2*AL32</f>
        <v/>
      </c>
      <c r="AR32" s="153" t="inlineStr">
        <is>
          <t>H-55-6-6-25</t>
        </is>
      </c>
      <c r="AS32" s="204">
        <f>$J$3-55-6-6-25</f>
        <v/>
      </c>
      <c r="AT32" s="153">
        <f>AQ32*$J$1</f>
        <v/>
      </c>
    </row>
    <row r="33" ht="34.95" customHeight="1" s="92"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  <c r="AB33" s="153" t="n">
        <v>8</v>
      </c>
      <c r="AC33" s="46" t="inlineStr">
        <is>
          <t>กรอบบานเฟี้ยม (ตั้ง) A</t>
        </is>
      </c>
      <c r="AD33" s="46" t="n"/>
      <c r="AE33" s="153" t="inlineStr">
        <is>
          <t>F7972</t>
        </is>
      </c>
      <c r="AF33" s="153" t="n">
        <v>1.466</v>
      </c>
      <c r="AG33" s="153">
        <f>2*AB33</f>
        <v/>
      </c>
      <c r="AH33" s="153" t="inlineStr">
        <is>
          <t>H-55-6-6-25</t>
        </is>
      </c>
      <c r="AI33" s="204">
        <f>$J$3-55-6-6-25</f>
        <v/>
      </c>
      <c r="AJ33" s="153">
        <f>AG33*$J$1</f>
        <v/>
      </c>
      <c r="AL33" s="153" t="n">
        <v>8</v>
      </c>
      <c r="AM33" s="46" t="inlineStr">
        <is>
          <t>กรอบบานเฟี้ยม (ตั้ง) B</t>
        </is>
      </c>
      <c r="AN33" s="46" t="n"/>
      <c r="AO33" s="153" t="inlineStr">
        <is>
          <t>F7972</t>
        </is>
      </c>
      <c r="AP33" s="153" t="n">
        <v>1.466</v>
      </c>
      <c r="AQ33" s="153">
        <f>2*AL33</f>
        <v/>
      </c>
      <c r="AR33" s="153" t="inlineStr">
        <is>
          <t>H-55-6-6-25</t>
        </is>
      </c>
      <c r="AS33" s="204">
        <f>$J$3-55-6-6-25</f>
        <v/>
      </c>
      <c r="AT33" s="153">
        <f>AQ33*$J$1</f>
        <v/>
      </c>
    </row>
    <row r="34" ht="34.95" customHeight="1" s="92">
      <c r="B34" s="35" t="n"/>
      <c r="C34" s="35" t="n"/>
      <c r="D34" s="36" t="n"/>
      <c r="E34" s="36" t="n"/>
      <c r="F34" s="37" t="n"/>
      <c r="G34" s="36" t="n"/>
      <c r="H34" s="212" t="n"/>
      <c r="I34" s="37" t="n"/>
      <c r="J34" s="37" t="n"/>
      <c r="AB34" s="153" t="n">
        <v>10</v>
      </c>
      <c r="AC34" s="46" t="inlineStr">
        <is>
          <t>กรอบบานเฟี้ยม (ตั้ง) A</t>
        </is>
      </c>
      <c r="AD34" s="46" t="n"/>
      <c r="AE34" s="153" t="inlineStr">
        <is>
          <t>F7972</t>
        </is>
      </c>
      <c r="AF34" s="153" t="n">
        <v>1.466</v>
      </c>
      <c r="AG34" s="153">
        <f>2*AB34</f>
        <v/>
      </c>
      <c r="AH34" s="153" t="inlineStr">
        <is>
          <t>H-55-6-6-25</t>
        </is>
      </c>
      <c r="AI34" s="204">
        <f>$J$3-55-6-6-25</f>
        <v/>
      </c>
      <c r="AJ34" s="153">
        <f>AG34*$J$1</f>
        <v/>
      </c>
      <c r="AL34" s="153" t="n">
        <v>10</v>
      </c>
      <c r="AM34" s="46" t="inlineStr">
        <is>
          <t>กรอบบานเฟี้ยม (ตั้ง) B</t>
        </is>
      </c>
      <c r="AN34" s="46" t="n"/>
      <c r="AO34" s="153" t="inlineStr">
        <is>
          <t>F7972</t>
        </is>
      </c>
      <c r="AP34" s="153" t="n">
        <v>1.466</v>
      </c>
      <c r="AQ34" s="153">
        <f>2*AL34</f>
        <v/>
      </c>
      <c r="AR34" s="153" t="inlineStr">
        <is>
          <t>H-55-6-6-25</t>
        </is>
      </c>
      <c r="AS34" s="204">
        <f>$J$3-55-6-6-25</f>
        <v/>
      </c>
      <c r="AT34" s="153">
        <f>AQ34*$J$1</f>
        <v/>
      </c>
    </row>
    <row r="35" ht="34.95" customHeight="1" s="92">
      <c r="B35" s="35" t="n"/>
      <c r="C35" s="35" t="n"/>
      <c r="D35" s="36" t="n"/>
      <c r="E35" s="36" t="n"/>
      <c r="F35" s="37" t="n"/>
      <c r="G35" s="36" t="n"/>
      <c r="H35" s="212" t="n"/>
      <c r="I35" s="37" t="n"/>
      <c r="J35" s="37" t="n"/>
    </row>
    <row r="36" ht="34.95" customHeight="1" s="92">
      <c r="B36" s="35" t="n"/>
      <c r="C36" s="35" t="n"/>
      <c r="D36" s="36" t="n"/>
      <c r="E36" s="36" t="n"/>
      <c r="F36" s="37" t="n"/>
      <c r="G36" s="36" t="n"/>
      <c r="H36" s="212" t="n"/>
      <c r="I36" s="37" t="n"/>
      <c r="J36" s="37" t="n"/>
    </row>
    <row r="37" ht="34.95" customHeight="1" s="92">
      <c r="B37" s="35" t="n"/>
      <c r="C37" s="35" t="n"/>
      <c r="D37" s="36" t="n"/>
      <c r="E37" s="36" t="n"/>
      <c r="F37" s="37" t="n"/>
      <c r="G37" s="36" t="n"/>
      <c r="H37" s="212" t="n"/>
      <c r="I37" s="37" t="n"/>
      <c r="J37" s="37" t="n"/>
    </row>
    <row r="38" ht="34.95" customHeight="1" s="92">
      <c r="B38" s="35" t="n"/>
      <c r="C38" s="35" t="n"/>
      <c r="D38" s="36" t="n"/>
      <c r="E38" s="36" t="n"/>
      <c r="F38" s="37" t="n"/>
      <c r="G38" s="36" t="n"/>
      <c r="H38" s="212" t="n"/>
      <c r="I38" s="37" t="n"/>
      <c r="J38" s="37" t="n"/>
    </row>
    <row r="39" ht="34.95" customHeight="1" s="92">
      <c r="B39" s="35" t="n"/>
      <c r="C39" s="35" t="n"/>
      <c r="D39" s="36" t="n"/>
      <c r="E39" s="36" t="n"/>
      <c r="F39" s="37" t="n"/>
      <c r="G39" s="36" t="n"/>
      <c r="H39" s="212" t="n"/>
      <c r="I39" s="37" t="n"/>
      <c r="J39" s="37" t="n"/>
    </row>
    <row r="40" ht="34.95" customHeight="1" s="92">
      <c r="B40" s="35" t="n"/>
      <c r="C40" s="35" t="n"/>
      <c r="D40" s="36" t="n"/>
      <c r="E40" s="36" t="n"/>
      <c r="F40" s="37" t="n"/>
      <c r="G40" s="36" t="n"/>
      <c r="H40" s="212" t="n"/>
      <c r="I40" s="37" t="n"/>
      <c r="J40" s="37" t="n"/>
    </row>
    <row r="41" ht="34.95" customHeight="1" s="92">
      <c r="A41" s="36" t="n"/>
      <c r="B41" s="35" t="n"/>
      <c r="C41" s="35" t="n"/>
      <c r="D41" s="36" t="n"/>
      <c r="E41" s="36" t="n"/>
      <c r="F41" s="37" t="n"/>
      <c r="G41" s="36" t="n"/>
      <c r="H41" s="212" t="n"/>
      <c r="I41" s="37" t="n"/>
      <c r="J41" s="37" t="n"/>
    </row>
    <row r="42" ht="34.95" customHeight="1" s="92">
      <c r="A42" s="36" t="n"/>
      <c r="B42" s="35" t="n"/>
      <c r="C42" s="35" t="n"/>
      <c r="D42" s="36" t="n"/>
      <c r="E42" s="36" t="n"/>
      <c r="F42" s="37" t="n"/>
      <c r="G42" s="36" t="n"/>
      <c r="H42" s="212" t="n"/>
      <c r="I42" s="37" t="n"/>
      <c r="J42" s="37" t="n"/>
    </row>
    <row r="43" ht="34.95" customHeight="1" s="92">
      <c r="A43" s="15" t="n"/>
      <c r="B43" s="16" t="n"/>
      <c r="F43" s="17" t="n"/>
      <c r="G43" s="6" t="n"/>
      <c r="H43" s="193" t="n"/>
      <c r="I43" s="17" t="n"/>
      <c r="J43" s="17" t="n"/>
    </row>
    <row r="44" ht="34.95" customHeight="1" s="92">
      <c r="G44" s="6" t="n"/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36">
    <mergeCell ref="A8:J8"/>
    <mergeCell ref="E23:E26"/>
    <mergeCell ref="J16:J18"/>
    <mergeCell ref="E5:F5"/>
    <mergeCell ref="J19:J22"/>
    <mergeCell ref="L8:Q8"/>
    <mergeCell ref="C10:C11"/>
    <mergeCell ref="O25:Q25"/>
    <mergeCell ref="N24:Q24"/>
    <mergeCell ref="E10:E11"/>
    <mergeCell ref="E19:E22"/>
    <mergeCell ref="A12:A13"/>
    <mergeCell ref="E16:E18"/>
    <mergeCell ref="C12:C13"/>
    <mergeCell ref="C25:C26"/>
    <mergeCell ref="C21:C22"/>
    <mergeCell ref="D12:D13"/>
    <mergeCell ref="C23:C24"/>
    <mergeCell ref="E6:F6"/>
    <mergeCell ref="A23:A26"/>
    <mergeCell ref="J12:J13"/>
    <mergeCell ref="A10:A11"/>
    <mergeCell ref="A19:A22"/>
    <mergeCell ref="C19:C20"/>
    <mergeCell ref="D23:D26"/>
    <mergeCell ref="D10:D11"/>
    <mergeCell ref="A16:A18"/>
    <mergeCell ref="E12:E13"/>
    <mergeCell ref="C16:C18"/>
    <mergeCell ref="J10:J11"/>
    <mergeCell ref="O30:Q30"/>
    <mergeCell ref="D16:D18"/>
    <mergeCell ref="C2:F2"/>
    <mergeCell ref="N29:Q29"/>
    <mergeCell ref="D19:D22"/>
    <mergeCell ref="J23:J26"/>
  </mergeCells>
  <conditionalFormatting sqref="N31">
    <cfRule type="cellIs" priority="3" operator="greaterThanOrEqual" dxfId="1">
      <formula>45.5</formula>
    </cfRule>
    <cfRule type="cellIs" priority="4" operator="greaterThanOrEqual" dxfId="0">
      <formula>40</formula>
    </cfRule>
  </conditionalFormatting>
  <conditionalFormatting sqref="M21:Q22">
    <cfRule type="expression" priority="27" dxfId="2">
      <formula>$E$6=33</formula>
    </cfRule>
    <cfRule type="expression" priority="28" dxfId="2">
      <formula>$E$6=20</formula>
    </cfRule>
    <cfRule type="expression" priority="29" dxfId="2">
      <formula>$E$6=18</formula>
    </cfRule>
    <cfRule type="expression" priority="30" dxfId="2">
      <formula>$E$6=12</formula>
    </cfRule>
    <cfRule type="expression" priority="31" dxfId="2">
      <formula>$E$6=10</formula>
    </cfRule>
  </conditionalFormatting>
  <conditionalFormatting sqref="N26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4">
    <dataValidation sqref="D6" showDropDown="0" showInputMessage="1" showErrorMessage="1" allowBlank="1" type="list">
      <formula1>"ขาว,ดำ"</formula1>
    </dataValidation>
    <dataValidation sqref="E6" showDropDown="0" showInputMessage="1" showErrorMessage="1" allowBlank="1" type="list">
      <formula1>"5,6,8,10,12,14,16,18,20,29,30,33"</formula1>
    </dataValidation>
    <dataValidation sqref="H6" showDropDown="0" showInputMessage="1" showErrorMessage="1" allowBlank="1" type="list">
      <formula1>"เปิดบาน B,ปิดบาน B"</formula1>
    </dataValidation>
    <dataValidation sqref="I5 I7" showDropDown="0" showInputMessage="1" showErrorMessage="1" allowBlank="1" type="list">
      <formula1>"2,4,6,8,10"</formula1>
    </dataValidation>
  </dataValidations>
  <printOptions horizontalCentered="1"/>
  <pageMargins left="0" right="0" top="0.4724409448818898" bottom="0" header="0.3149606299212598" footer="0.3149606299212598"/>
  <pageSetup orientation="landscape" scale="54"/>
</worksheet>
</file>

<file path=xl/worksheets/sheet7.xml><?xml version="1.0" encoding="utf-8"?>
<worksheet xmlns="http://schemas.openxmlformats.org/spreadsheetml/2006/main">
  <sheetPr codeName="Sheet7">
    <tabColor rgb="FFFFFF00"/>
    <outlinePr summaryBelow="1" summaryRight="1"/>
    <pageSetUpPr/>
  </sheetPr>
  <dimension ref="A1:AS44"/>
  <sheetViews>
    <sheetView zoomScale="70" zoomScaleNormal="70" zoomScaleSheetLayoutView="55" workbookViewId="0">
      <selection activeCell="A8" sqref="A8:J8"/>
    </sheetView>
  </sheetViews>
  <sheetFormatPr baseColWidth="8" defaultColWidth="8.8984375" defaultRowHeight="13.8"/>
  <cols>
    <col width="8.69921875" customWidth="1" style="6" min="1" max="1"/>
    <col width="30.3984375" bestFit="1" customWidth="1" style="16" min="2" max="2"/>
    <col width="16" customWidth="1" style="16" min="3" max="3"/>
    <col width="13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10.09765625" bestFit="1" customWidth="1" style="17" min="9" max="9"/>
    <col width="8.69921875" customWidth="1" style="17" min="10" max="10"/>
    <col width="5.699218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outlineLevel="1" width="8.69921875" customWidth="1" style="6" min="22" max="22"/>
    <col outlineLevel="1" width="35.69921875" customWidth="1" style="6" min="23" max="23"/>
    <col outlineLevel="1" width="10.69921875" customWidth="1" style="6" min="24" max="28"/>
    <col outlineLevel="1" width="22" customWidth="1" style="6" min="29" max="29"/>
    <col outlineLevel="1" width="10.69921875" customWidth="1" style="6" min="30" max="32"/>
    <col outlineLevel="1" width="23.69921875" customWidth="1" style="6" min="33" max="33"/>
    <col outlineLevel="1" width="10.69921875" customWidth="1" style="6" min="34" max="35"/>
    <col outlineLevel="1" width="8.8984375" customWidth="1" style="6" min="36" max="37"/>
    <col outlineLevel="1" width="10.69921875" customWidth="1" style="6" min="38" max="38"/>
    <col outlineLevel="1" width="22" customWidth="1" style="6" min="39" max="39"/>
    <col outlineLevel="1" width="10.69921875" customWidth="1" style="6" min="40" max="42"/>
    <col outlineLevel="1" width="23.69921875" customWidth="1" style="6" min="43" max="43"/>
    <col outlineLevel="1" width="10.69921875" customWidth="1" style="6" min="44" max="45"/>
    <col outlineLevel="1" width="8.8984375" customWidth="1" style="6" min="46" max="46"/>
    <col width="9.09765625" customWidth="1" style="92" min="47" max="47"/>
    <col width="8.8984375" customWidth="1" style="6" min="48" max="16384"/>
  </cols>
  <sheetData>
    <row r="1" ht="19.95" customHeight="1" s="92">
      <c r="A1" s="1" t="n"/>
      <c r="H1" s="194" t="n"/>
      <c r="I1" s="101" t="inlineStr">
        <is>
          <t>Quantity</t>
        </is>
      </c>
      <c r="J1" s="101" t="n">
        <v>1</v>
      </c>
    </row>
    <row r="2" ht="19.95" customHeight="1" s="92">
      <c r="A2" s="7" t="n"/>
      <c r="C2" s="157" t="inlineStr">
        <is>
          <t>ใบงาน :  เฟื้ยมเข้ามุม3+2 บูทเชียงใหม่</t>
        </is>
      </c>
      <c r="D2" s="6" t="n"/>
      <c r="E2" s="6" t="n"/>
      <c r="F2" s="6" t="n"/>
      <c r="J2" s="112" t="inlineStr">
        <is>
          <t>H</t>
        </is>
      </c>
    </row>
    <row r="3" ht="19.95" customHeight="1" s="92">
      <c r="G3" s="6" t="n"/>
      <c r="H3" s="6" t="n"/>
      <c r="I3" s="6" t="n"/>
      <c r="J3" s="101" t="n">
        <v>2790</v>
      </c>
      <c r="Q3" s="6" t="inlineStr">
        <is>
          <t xml:space="preserve"> </t>
        </is>
      </c>
      <c r="AA3" s="17" t="n"/>
    </row>
    <row r="4" ht="19.95" customHeight="1" s="92">
      <c r="G4" s="17" t="n"/>
      <c r="H4" s="110" t="inlineStr">
        <is>
          <t>บานคี่</t>
        </is>
      </c>
      <c r="I4" s="111" t="inlineStr">
        <is>
          <t>จำนวนบาน</t>
        </is>
      </c>
      <c r="J4" s="112" t="inlineStr">
        <is>
          <t>W</t>
        </is>
      </c>
      <c r="K4" s="17" t="n"/>
    </row>
    <row r="5" ht="19.95" customHeight="1" s="92">
      <c r="D5" s="213" t="inlineStr">
        <is>
          <t>สีฮาร์ดแวร์</t>
        </is>
      </c>
      <c r="E5" s="213" t="inlineStr">
        <is>
          <t>GLASS กระจก</t>
        </is>
      </c>
      <c r="F5" s="196" t="n"/>
      <c r="G5" s="17" t="n"/>
      <c r="H5" s="17" t="n"/>
      <c r="I5" s="101" t="n">
        <v>3</v>
      </c>
      <c r="J5" s="101" t="n">
        <v>1995</v>
      </c>
    </row>
    <row r="6" ht="19.95" customHeight="1" s="92">
      <c r="D6" s="214" t="inlineStr">
        <is>
          <t>ดำ</t>
        </is>
      </c>
      <c r="E6" s="214" t="n">
        <v>6</v>
      </c>
      <c r="F6" s="196" t="n"/>
      <c r="G6" s="17" t="n"/>
      <c r="H6" s="110" t="inlineStr">
        <is>
          <t>บานคู่</t>
        </is>
      </c>
      <c r="I6" s="111" t="inlineStr">
        <is>
          <t>จำนวนบาน</t>
        </is>
      </c>
      <c r="J6" s="112" t="inlineStr">
        <is>
          <t>W</t>
        </is>
      </c>
      <c r="T6" s="79" t="n"/>
    </row>
    <row r="7" ht="19.95" customHeight="1" s="92">
      <c r="G7" s="17" t="n"/>
      <c r="H7" s="17" t="n"/>
      <c r="I7" s="101" t="n">
        <v>2</v>
      </c>
      <c r="J7" s="101" t="n">
        <v>1445</v>
      </c>
    </row>
    <row r="8" ht="19.95" customFormat="1" customHeight="1" s="9" thickBot="1">
      <c r="A8" s="148" t="inlineStr">
        <is>
          <t>Die list  รายการดาย</t>
        </is>
      </c>
      <c r="B8" s="198" t="n"/>
      <c r="C8" s="198" t="n"/>
      <c r="D8" s="198" t="n"/>
      <c r="E8" s="198" t="n"/>
      <c r="F8" s="198" t="n"/>
      <c r="G8" s="198" t="n"/>
      <c r="H8" s="198" t="n"/>
      <c r="I8" s="198" t="n"/>
      <c r="J8" s="199" t="n"/>
      <c r="K8" s="19" t="n"/>
      <c r="L8" s="148" t="inlineStr">
        <is>
          <t>Parts list รายการฮาร์ดแวร์</t>
        </is>
      </c>
      <c r="M8" s="198" t="n"/>
      <c r="N8" s="198" t="n"/>
      <c r="O8" s="198" t="n"/>
      <c r="P8" s="198" t="n"/>
      <c r="Q8" s="199" t="n"/>
      <c r="W8" s="6" t="n"/>
      <c r="X8" s="6" t="n"/>
      <c r="Y8" s="6" t="n"/>
      <c r="Z8" s="6" t="n"/>
    </row>
    <row r="9" ht="40.2" customHeight="1" s="92" thickBot="1" thickTop="1">
      <c r="A9" s="20" t="inlineStr">
        <is>
          <t>No.</t>
        </is>
      </c>
      <c r="B9" s="20" t="inlineStr">
        <is>
          <t>ชื่อ</t>
        </is>
      </c>
      <c r="C9" s="20" t="inlineStr">
        <is>
          <t>หน้าดาย</t>
        </is>
      </c>
      <c r="D9" s="20" t="inlineStr">
        <is>
          <t>เบอร์ดาย</t>
        </is>
      </c>
      <c r="E9" s="20" t="inlineStr">
        <is>
          <t>น้ำหนัก</t>
        </is>
      </c>
      <c r="F9" s="22" t="inlineStr">
        <is>
          <t>จำนวน
/ชุด</t>
        </is>
      </c>
      <c r="G9" s="20" t="inlineStr">
        <is>
          <t>สูตรตัด</t>
        </is>
      </c>
      <c r="H9" s="200" t="inlineStr">
        <is>
          <t>ระยะตัด</t>
        </is>
      </c>
      <c r="I9" s="22" t="inlineStr">
        <is>
          <t>จำนวน
รวม</t>
        </is>
      </c>
      <c r="J9" s="22" t="inlineStr">
        <is>
          <t>เส้น 
6.4</t>
        </is>
      </c>
      <c r="K9" s="23" t="n"/>
      <c r="L9" s="20" t="inlineStr">
        <is>
          <t>No.</t>
        </is>
      </c>
      <c r="M9" s="20" t="inlineStr">
        <is>
          <t>ชื่อ</t>
        </is>
      </c>
      <c r="N9" s="20" t="inlineStr">
        <is>
          <t>รูป</t>
        </is>
      </c>
      <c r="O9" s="20" t="inlineStr">
        <is>
          <t>สี</t>
        </is>
      </c>
      <c r="P9" s="22" t="inlineStr">
        <is>
          <t>จำนวน
/ชุด</t>
        </is>
      </c>
      <c r="Q9" s="20" t="inlineStr">
        <is>
          <t>รวม</t>
        </is>
      </c>
      <c r="R9" s="201" t="inlineStr">
        <is>
          <t>บาท/ชิ้น</t>
        </is>
      </c>
      <c r="V9" s="81" t="inlineStr">
        <is>
          <t>บานคี่</t>
        </is>
      </c>
      <c r="X9" s="104" t="n">
        <v>1</v>
      </c>
      <c r="Y9" s="105" t="n">
        <v>3</v>
      </c>
      <c r="Z9" s="105" t="n">
        <v>5</v>
      </c>
      <c r="AA9" s="105" t="n">
        <v>7</v>
      </c>
      <c r="AB9" s="106" t="n">
        <v>9</v>
      </c>
      <c r="AC9" s="75" t="inlineStr">
        <is>
          <t>บานคู่</t>
        </is>
      </c>
      <c r="AD9" s="104" t="n">
        <v>2</v>
      </c>
      <c r="AE9" s="105" t="n">
        <v>4</v>
      </c>
      <c r="AF9" s="105" t="n">
        <v>6</v>
      </c>
      <c r="AG9" s="105" t="n">
        <v>8</v>
      </c>
      <c r="AH9" s="106" t="n">
        <v>10</v>
      </c>
    </row>
    <row r="10" ht="34.95" customHeight="1" s="92" thickTop="1">
      <c r="A10" s="161" t="n">
        <v>1</v>
      </c>
      <c r="B10" s="56" t="inlineStr">
        <is>
          <t>เฟรมบนบานเฟี้ยม (บานคี่)</t>
        </is>
      </c>
      <c r="C10" s="161" t="n"/>
      <c r="D10" s="161" t="inlineStr">
        <is>
          <t>F7968</t>
        </is>
      </c>
      <c r="E10" s="161" t="n">
        <v>2.767</v>
      </c>
      <c r="F10" s="161" t="n">
        <v>1</v>
      </c>
      <c r="G10" s="161" t="inlineStr">
        <is>
          <t>W A-18</t>
        </is>
      </c>
      <c r="H10" s="202">
        <f>$J$5-18</f>
        <v/>
      </c>
      <c r="I10" s="161">
        <f>F10*$J$1</f>
        <v/>
      </c>
      <c r="J10" s="161">
        <f>ROUNDUP(((H10*I10)+(H11*I11))/6400,0)</f>
        <v/>
      </c>
      <c r="L10" s="161" t="n">
        <v>1</v>
      </c>
      <c r="M10" s="29" t="inlineStr">
        <is>
          <t>HD-640 บานพับล้อบนเฟี้ยม</t>
        </is>
      </c>
      <c r="N10" s="161" t="n"/>
      <c r="O10" s="161">
        <f>IF($D$6="ขาว","ขาว","ดำ")</f>
        <v/>
      </c>
      <c r="P10" s="109">
        <f>IF(AND($I$5=1,$I$7=2),X10+AD10,"")&amp;IF(AND($I$5=1,$I$7=4),X10+AE10,"")&amp;IF(AND($I$5=1,$I$7=6),X10+AF10,"")&amp;IF(AND($I$5=1,$I$7=8),X10+AG10,"")&amp;IF(AND($I$5=1,$I$7=10),X10+AH10,"")&amp;IF(AND($I$5=3,$I$7=2),Y10+AD10,"")&amp;IF(AND($I$5=3,$I$7=4),Y10+AE10,"")&amp;IF(AND($I$5=3,$I$7=6),Y10+AF10,"")&amp;IF(AND($I$5=3,$I$7=8),Y10+AG10,"")&amp;IF(AND($I$5=3,$I$7=10),Y10+AH10,"")&amp;IF(AND($I$5=5,$I$7=2),Z10+AD10,"")&amp;IF(AND($I$5=5,$I$7=4),Z10+AE10,"")&amp;IF(AND($I$5=5,$I$7=6),Z10+AF10,"")&amp;IF(AND($I$5=5,$I$7=8),Z10+AG10,"")&amp;IF(AND($I$5=5,$I$7=10),Z10+AH10,"")&amp;IF(AND($I$5=7,$I$7=2),AA10+AD10,"")&amp;IF(AND($I$5=7,$I$7=4),AA10+AE10,"")&amp;IF(AND($I$5=7,$I$7=6),AA10+AF10,"")&amp;IF(AND($I$5=7,$I$7=8),AA10+AG10,"")&amp;IF(AND($I$5=7,$I$7=10),AA10+AH10,"")&amp;IF(AND($I$5=9,$I$7=2),AB10+AD10,"")&amp;IF(AND($I$5=9,$I$7=4),AB10+AE10,"")&amp;IF(AND($I$5=9,$I$7=6),AB10+AF10,"")&amp;IF(AND($I$5=9,$I$7=8),AB10+AG10,"")&amp;IF(AND($I$5=9,$I$7=10),AB10+AH10,"")</f>
        <v/>
      </c>
      <c r="Q10" s="161">
        <f>$J$1*P10</f>
        <v/>
      </c>
      <c r="R10" s="193" t="n">
        <v>299</v>
      </c>
      <c r="V10" s="98" t="n">
        <v>1</v>
      </c>
      <c r="W10" s="99" t="inlineStr">
        <is>
          <t>HD-640 บานพับล้อบนเฟี้ยม</t>
        </is>
      </c>
      <c r="X10" s="100" t="n">
        <v>0</v>
      </c>
      <c r="Y10" s="103" t="n">
        <v>1</v>
      </c>
      <c r="Z10" s="103" t="n">
        <v>2</v>
      </c>
      <c r="AA10" s="103" t="n">
        <v>3</v>
      </c>
      <c r="AB10" s="103" t="n">
        <v>4</v>
      </c>
      <c r="AC10" s="102" t="n"/>
      <c r="AD10" s="103" t="n">
        <v>1</v>
      </c>
      <c r="AE10" s="103" t="n">
        <v>2</v>
      </c>
      <c r="AF10" s="103" t="n">
        <v>3</v>
      </c>
      <c r="AG10" s="103" t="n">
        <v>4</v>
      </c>
      <c r="AH10" s="103" t="n">
        <v>5</v>
      </c>
    </row>
    <row r="11" ht="34.95" customHeight="1" s="92">
      <c r="A11" s="203" t="n"/>
      <c r="B11" s="56" t="inlineStr">
        <is>
          <t>เฟรมบนบานเฟี้ยม  (บานคี่)</t>
        </is>
      </c>
      <c r="C11" s="203" t="n"/>
      <c r="D11" s="203" t="n"/>
      <c r="E11" s="203" t="n"/>
      <c r="F11" s="161" t="n">
        <v>1</v>
      </c>
      <c r="G11" s="161" t="inlineStr">
        <is>
          <t>W B-18</t>
        </is>
      </c>
      <c r="H11" s="202">
        <f>$J$7-18</f>
        <v/>
      </c>
      <c r="I11" s="161">
        <f>F11*$J$1</f>
        <v/>
      </c>
      <c r="J11" s="203" t="n"/>
      <c r="L11" s="161" t="n">
        <v>2</v>
      </c>
      <c r="M11" s="29" t="inlineStr">
        <is>
          <t>HD-641 บานพับเฟี้ยม</t>
        </is>
      </c>
      <c r="N11" s="161" t="n"/>
      <c r="O11" s="161">
        <f>IF($D$6="ขาว","ขาว","ดำ")</f>
        <v/>
      </c>
      <c r="P11" s="109">
        <f>IF(AND($I$5=1,$I$7=2),X11+AD11,"")&amp;IF(AND($I$5=1,$I$7=4),X11+AE11,"")&amp;IF(AND($I$5=1,$I$7=6),X11+AF11,"")&amp;IF(AND($I$5=1,$I$7=8),X11+AG11,"")&amp;IF(AND($I$5=1,$I$7=10),X11+AH11,"")&amp;IF(AND($I$5=3,$I$7=2),Y11+AD11,"")&amp;IF(AND($I$5=3,$I$7=4),Y11+AE11,"")&amp;IF(AND($I$5=3,$I$7=6),Y11+AF11,"")&amp;IF(AND($I$5=3,$I$7=8),Y11+AG11,"")&amp;IF(AND($I$5=3,$I$7=10),Y11+AH11,"")&amp;IF(AND($I$5=5,$I$7=2),Z11+AD11,"")&amp;IF(AND($I$5=5,$I$7=4),Z11+AE11,"")&amp;IF(AND($I$5=5,$I$7=6),Z11+AF11,"")&amp;IF(AND($I$5=5,$I$7=8),Z11+AG11,"")&amp;IF(AND($I$5=5,$I$7=10),Z11+AH11,"")&amp;IF(AND($I$5=7,$I$7=2),AA11+AD11,"")&amp;IF(AND($I$5=7,$I$7=4),AA11+AE11,"")&amp;IF(AND($I$5=7,$I$7=6),AA11+AF11,"")&amp;IF(AND($I$5=7,$I$7=8),AA11+AG11,"")&amp;IF(AND($I$5=7,$I$7=10),AA11+AH11,"")&amp;IF(AND($I$5=9,$I$7=2),AB11+AD11,"")&amp;IF(AND($I$5=9,$I$7=4),AB11+AE11,"")&amp;IF(AND($I$5=9,$I$7=6),AB11+AF11,"")&amp;IF(AND($I$5=9,$I$7=8),AB11+AG11,"")&amp;IF(AND($I$5=9,$I$7=10),AB11+AH11,"")</f>
        <v/>
      </c>
      <c r="Q11" s="161">
        <f>$J$1*P11</f>
        <v/>
      </c>
      <c r="R11" s="193" t="n">
        <v>72</v>
      </c>
      <c r="V11" s="98" t="n">
        <v>2</v>
      </c>
      <c r="W11" s="99" t="inlineStr">
        <is>
          <t>HD-641 บานพับเฟี้ยม</t>
        </is>
      </c>
      <c r="X11" s="101">
        <f>IF($J$3&lt;=2700,3,4)</f>
        <v/>
      </c>
      <c r="Y11" s="101">
        <f>IF($J$3&lt;=2700,7,10)</f>
        <v/>
      </c>
      <c r="Z11" s="101">
        <f>IF($J$3&lt;=2700,11,16)</f>
        <v/>
      </c>
      <c r="AA11" s="101">
        <f>IF($J$3&lt;=2700,15,22)</f>
        <v/>
      </c>
      <c r="AB11" s="101">
        <f>IF($J$3&lt;=2700,19,28)</f>
        <v/>
      </c>
      <c r="AC11" s="102" t="n"/>
      <c r="AD11" s="101">
        <f>IF($J$3&lt;=2700,7,10)</f>
        <v/>
      </c>
      <c r="AE11" s="101">
        <f>IF($J$3&lt;=2700,11,16)</f>
        <v/>
      </c>
      <c r="AF11" s="101">
        <f>IF($J$3&lt;=2700,15,22)</f>
        <v/>
      </c>
      <c r="AG11" s="101">
        <f>IF($J$3&lt;=2700,19,28)</f>
        <v/>
      </c>
      <c r="AH11" s="101">
        <f>IF($J$3&lt;=2700,23,34)</f>
        <v/>
      </c>
    </row>
    <row r="12" ht="34.95" customHeight="1" s="92">
      <c r="A12" s="153" t="n">
        <v>2</v>
      </c>
      <c r="B12" s="46" t="inlineStr">
        <is>
          <t>เฟรมล่างบานเฟี้ยม (บานคี่)</t>
        </is>
      </c>
      <c r="C12" s="153" t="n"/>
      <c r="D12" s="153" t="inlineStr">
        <is>
          <t>F7969</t>
        </is>
      </c>
      <c r="E12" s="153" t="n">
        <v>1.533</v>
      </c>
      <c r="F12" s="153" t="n">
        <v>1</v>
      </c>
      <c r="G12" s="153" t="inlineStr">
        <is>
          <t>W A-18</t>
        </is>
      </c>
      <c r="H12" s="204">
        <f>$J$5-18</f>
        <v/>
      </c>
      <c r="I12" s="153">
        <f>F12*$J$1</f>
        <v/>
      </c>
      <c r="J12" s="153">
        <f>ROUNDUP(((H12*I12)+(H13*I13))/6400,0)</f>
        <v/>
      </c>
      <c r="L12" s="161" t="n">
        <v>3</v>
      </c>
      <c r="M12" s="29" t="inlineStr">
        <is>
          <t>HD-642 บานพับมือจับเฟี้ยม</t>
        </is>
      </c>
      <c r="N12" s="161" t="n"/>
      <c r="O12" s="161">
        <f>IF($D$6="ขาว","ขาว","ดำ")</f>
        <v/>
      </c>
      <c r="P12" s="109">
        <f>IF(AND($I$5=1,$I$7=2),X12+AD12,"")&amp;IF(AND($I$5=1,$I$7=4),X12+AE12,"")&amp;IF(AND($I$5=1,$I$7=6),X12+AF12,"")&amp;IF(AND($I$5=1,$I$7=8),X12+AG12,"")&amp;IF(AND($I$5=1,$I$7=10),X12+AH12,"")&amp;IF(AND($I$5=3,$I$7=2),Y12+AD12,"")&amp;IF(AND($I$5=3,$I$7=4),Y12+AE12,"")&amp;IF(AND($I$5=3,$I$7=6),Y12+AF12,"")&amp;IF(AND($I$5=3,$I$7=8),Y12+AG12,"")&amp;IF(AND($I$5=3,$I$7=10),Y12+AH12,"")&amp;IF(AND($I$5=5,$I$7=2),Z12+AD12,"")&amp;IF(AND($I$5=5,$I$7=4),Z12+AE12,"")&amp;IF(AND($I$5=5,$I$7=6),Z12+AF12,"")&amp;IF(AND($I$5=5,$I$7=8),Z12+AG12,"")&amp;IF(AND($I$5=5,$I$7=10),Z12+AH12,"")&amp;IF(AND($I$5=7,$I$7=2),AA12+AD12,"")&amp;IF(AND($I$5=7,$I$7=4),AA12+AE12,"")&amp;IF(AND($I$5=7,$I$7=6),AA12+AF12,"")&amp;IF(AND($I$5=7,$I$7=8),AA12+AG12,"")&amp;IF(AND($I$5=7,$I$7=10),AA12+AH12,"")&amp;IF(AND($I$5=9,$I$7=2),AB12+AD12,"")&amp;IF(AND($I$5=9,$I$7=4),AB12+AE12,"")&amp;IF(AND($I$5=9,$I$7=6),AB12+AF12,"")&amp;IF(AND($I$5=9,$I$7=8),AB12+AG12,"")&amp;IF(AND($I$5=9,$I$7=10),AB12+AH12,"")</f>
        <v/>
      </c>
      <c r="Q12" s="161">
        <f>$J$1*P12</f>
        <v/>
      </c>
      <c r="R12" s="193" t="n">
        <v>109</v>
      </c>
      <c r="V12" s="98" t="n">
        <v>3</v>
      </c>
      <c r="W12" s="99" t="inlineStr">
        <is>
          <t>HD-642 บานพับมือจับเฟี้ยม</t>
        </is>
      </c>
      <c r="X12" s="98" t="n">
        <v>0</v>
      </c>
      <c r="Y12" s="101" t="n">
        <v>1</v>
      </c>
      <c r="Z12" s="101" t="n">
        <v>2</v>
      </c>
      <c r="AA12" s="101" t="n">
        <v>3</v>
      </c>
      <c r="AB12" s="101" t="n">
        <v>4</v>
      </c>
      <c r="AC12" s="102" t="n"/>
      <c r="AD12" s="101" t="n">
        <v>1</v>
      </c>
      <c r="AE12" s="101" t="n">
        <v>2</v>
      </c>
      <c r="AF12" s="101" t="n">
        <v>3</v>
      </c>
      <c r="AG12" s="101" t="n">
        <v>4</v>
      </c>
      <c r="AH12" s="101" t="n">
        <v>5</v>
      </c>
    </row>
    <row r="13" ht="34.95" customHeight="1" s="92">
      <c r="A13" s="203" t="n"/>
      <c r="B13" s="46" t="inlineStr">
        <is>
          <t>เฟรมล่างบานเฟี้ยม (บานคู่)</t>
        </is>
      </c>
      <c r="C13" s="203" t="n"/>
      <c r="D13" s="203" t="n"/>
      <c r="E13" s="203" t="n"/>
      <c r="F13" s="153" t="n">
        <v>1</v>
      </c>
      <c r="G13" s="153" t="inlineStr">
        <is>
          <t>W B-18</t>
        </is>
      </c>
      <c r="H13" s="204">
        <f>$J$7-18</f>
        <v/>
      </c>
      <c r="I13" s="153">
        <f>F13*$J$1</f>
        <v/>
      </c>
      <c r="J13" s="203" t="n"/>
      <c r="L13" s="161" t="n">
        <v>4</v>
      </c>
      <c r="M13" s="29" t="inlineStr">
        <is>
          <t>HD-643 บานพับไกด์ล่างเฟี้ยม</t>
        </is>
      </c>
      <c r="N13" s="161" t="n"/>
      <c r="O13" s="161">
        <f>IF($D$6="ขาว","ขาว","ดำ")</f>
        <v/>
      </c>
      <c r="P13" s="109">
        <f>IF(AND($I$5=1,$I$7=2),X13+AD13,"")&amp;IF(AND($I$5=1,$I$7=4),X13+AE13,"")&amp;IF(AND($I$5=1,$I$7=6),X13+AF13,"")&amp;IF(AND($I$5=1,$I$7=8),X13+AG13,"")&amp;IF(AND($I$5=1,$I$7=10),X13+AH13,"")&amp;IF(AND($I$5=3,$I$7=2),Y13+AD13,"")&amp;IF(AND($I$5=3,$I$7=4),Y13+AE13,"")&amp;IF(AND($I$5=3,$I$7=6),Y13+AF13,"")&amp;IF(AND($I$5=3,$I$7=8),Y13+AG13,"")&amp;IF(AND($I$5=3,$I$7=10),Y13+AH13,"")&amp;IF(AND($I$5=5,$I$7=2),Z13+AD13,"")&amp;IF(AND($I$5=5,$I$7=4),Z13+AE13,"")&amp;IF(AND($I$5=5,$I$7=6),Z13+AF13,"")&amp;IF(AND($I$5=5,$I$7=8),Z13+AG13,"")&amp;IF(AND($I$5=5,$I$7=10),Z13+AH13,"")&amp;IF(AND($I$5=7,$I$7=2),AA13+AD13,"")&amp;IF(AND($I$5=7,$I$7=4),AA13+AE13,"")&amp;IF(AND($I$5=7,$I$7=6),AA13+AF13,"")&amp;IF(AND($I$5=7,$I$7=8),AA13+AG13,"")&amp;IF(AND($I$5=7,$I$7=10),AA13+AH13,"")&amp;IF(AND($I$5=9,$I$7=2),AB13+AD13,"")&amp;IF(AND($I$5=9,$I$7=4),AB13+AE13,"")&amp;IF(AND($I$5=9,$I$7=6),AB13+AF13,"")&amp;IF(AND($I$5=9,$I$7=8),AB13+AG13,"")&amp;IF(AND($I$5=9,$I$7=10),AB13+AH13,"")</f>
        <v/>
      </c>
      <c r="Q13" s="161">
        <f>$J$1*P13</f>
        <v/>
      </c>
      <c r="R13" s="193" t="n">
        <v>199</v>
      </c>
      <c r="V13" s="98" t="n">
        <v>4</v>
      </c>
      <c r="W13" s="99" t="inlineStr">
        <is>
          <t>HD-643 บานพับไกด์ล่างเฟี้ยม</t>
        </is>
      </c>
      <c r="X13" s="98" t="n">
        <v>0</v>
      </c>
      <c r="Y13" s="101" t="n">
        <v>1</v>
      </c>
      <c r="Z13" s="101" t="n">
        <v>2</v>
      </c>
      <c r="AA13" s="101" t="n">
        <v>3</v>
      </c>
      <c r="AB13" s="101" t="n">
        <v>4</v>
      </c>
      <c r="AC13" s="102" t="n"/>
      <c r="AD13" s="101" t="n">
        <v>1</v>
      </c>
      <c r="AE13" s="101" t="n">
        <v>2</v>
      </c>
      <c r="AF13" s="101" t="n">
        <v>3</v>
      </c>
      <c r="AG13" s="101" t="n">
        <v>4</v>
      </c>
      <c r="AH13" s="101" t="n">
        <v>5</v>
      </c>
    </row>
    <row r="14" ht="34.95" customHeight="1" s="92">
      <c r="A14" s="161" t="n">
        <v>3</v>
      </c>
      <c r="B14" s="56" t="inlineStr">
        <is>
          <t>เฟรมข้างบานเฟี้ยม</t>
        </is>
      </c>
      <c r="C14" s="56" t="n"/>
      <c r="D14" s="161" t="inlineStr">
        <is>
          <t>F7970</t>
        </is>
      </c>
      <c r="E14" s="161" t="n">
        <v>0.9340000000000001</v>
      </c>
      <c r="F14" s="161" t="n">
        <v>2</v>
      </c>
      <c r="G14" s="161" t="inlineStr">
        <is>
          <t>H</t>
        </is>
      </c>
      <c r="H14" s="202">
        <f>$J$3</f>
        <v/>
      </c>
      <c r="I14" s="161">
        <f>F14*$J$1</f>
        <v/>
      </c>
      <c r="J14" s="161">
        <f>ROUNDUP((H14*I14)/6400,0)</f>
        <v/>
      </c>
      <c r="L14" s="161" t="n">
        <v>5</v>
      </c>
      <c r="M14" s="29" t="inlineStr">
        <is>
          <t>HD-474 มือจับกลอนรุ่นก้านโยก</t>
        </is>
      </c>
      <c r="N14" s="161" t="n"/>
      <c r="O14" s="161">
        <f>IF($D$6="ขาว","ขาว","ดำ")</f>
        <v/>
      </c>
      <c r="P14" s="109">
        <f>IF(AND($I$5=1,$I$7=2),X14+AD14,"")&amp;IF(AND($I$5=1,$I$7=4),X14+AE14,"")&amp;IF(AND($I$5=1,$I$7=6),X14+AF14,"")&amp;IF(AND($I$5=1,$I$7=8),X14+AG14,"")&amp;IF(AND($I$5=1,$I$7=10),X14+AH14,"")&amp;IF(AND($I$5=3,$I$7=2),Y14+AD14,"")&amp;IF(AND($I$5=3,$I$7=4),Y14+AE14,"")&amp;IF(AND($I$5=3,$I$7=6),Y14+AF14,"")&amp;IF(AND($I$5=3,$I$7=8),Y14+AG14,"")&amp;IF(AND($I$5=3,$I$7=10),Y14+AH14,"")&amp;IF(AND($I$5=5,$I$7=2),Z14+AD14,"")&amp;IF(AND($I$5=5,$I$7=4),Z14+AE14,"")&amp;IF(AND($I$5=5,$I$7=6),Z14+AF14,"")&amp;IF(AND($I$5=5,$I$7=8),Z14+AG14,"")&amp;IF(AND($I$5=5,$I$7=10),Z14+AH14,"")&amp;IF(AND($I$5=7,$I$7=2),AA14+AD14,"")&amp;IF(AND($I$5=7,$I$7=4),AA14+AE14,"")&amp;IF(AND($I$5=7,$I$7=6),AA14+AF14,"")&amp;IF(AND($I$5=7,$I$7=8),AA14+AG14,"")&amp;IF(AND($I$5=7,$I$7=10),AA14+AH14,"")&amp;IF(AND($I$5=9,$I$7=2),AB14+AD14,"")&amp;IF(AND($I$5=9,$I$7=4),AB14+AE14,"")&amp;IF(AND($I$5=9,$I$7=6),AB14+AF14,"")&amp;IF(AND($I$5=9,$I$7=8),AB14+AG14,"")&amp;IF(AND($I$5=9,$I$7=10),AB14+AH14,"")</f>
        <v/>
      </c>
      <c r="Q14" s="161">
        <f>$J$1*P14</f>
        <v/>
      </c>
      <c r="R14" s="193" t="n">
        <v>85</v>
      </c>
      <c r="V14" s="98" t="n">
        <v>5</v>
      </c>
      <c r="W14" s="99" t="inlineStr">
        <is>
          <t>HD-474 มือจับกลอนรุ่นก้านโยก</t>
        </is>
      </c>
      <c r="X14" s="98" t="n">
        <v>0</v>
      </c>
      <c r="Y14" s="101" t="n">
        <v>1</v>
      </c>
      <c r="Z14" s="101" t="n">
        <v>2</v>
      </c>
      <c r="AA14" s="101" t="n">
        <v>3</v>
      </c>
      <c r="AB14" s="101" t="n">
        <v>4</v>
      </c>
      <c r="AC14" s="102" t="n"/>
      <c r="AD14" s="101" t="n">
        <v>1</v>
      </c>
      <c r="AE14" s="101" t="n">
        <v>2</v>
      </c>
      <c r="AF14" s="101" t="n">
        <v>3</v>
      </c>
      <c r="AG14" s="101" t="n">
        <v>4</v>
      </c>
      <c r="AH14" s="101" t="n">
        <v>5</v>
      </c>
    </row>
    <row r="15" ht="34.95" customHeight="1" s="92">
      <c r="A15" s="161" t="n">
        <v>4</v>
      </c>
      <c r="B15" s="56" t="inlineStr">
        <is>
          <t>คิ้วตบเฟรมข้าง</t>
        </is>
      </c>
      <c r="C15" s="56" t="n"/>
      <c r="D15" s="161" t="inlineStr">
        <is>
          <t>F7971</t>
        </is>
      </c>
      <c r="E15" s="161" t="n">
        <v>0.4</v>
      </c>
      <c r="F15" s="161" t="n">
        <v>2</v>
      </c>
      <c r="G15" s="161" t="inlineStr">
        <is>
          <t>H-75-45</t>
        </is>
      </c>
      <c r="H15" s="202">
        <f>$J$3-75-45</f>
        <v/>
      </c>
      <c r="I15" s="161">
        <f>F15*$J$1</f>
        <v/>
      </c>
      <c r="J15" s="161">
        <f>ROUNDUP((H15*I15)/6400,0)</f>
        <v/>
      </c>
      <c r="L15" s="161" t="n">
        <v>6</v>
      </c>
      <c r="M15" s="29" t="inlineStr">
        <is>
          <t>HD-312 ตลับกลอนก้านโยกมัลติล็อค</t>
        </is>
      </c>
      <c r="N15" s="161" t="n"/>
      <c r="O15" s="161">
        <f>IF($D$6="ขาว","ขาว","ดำ")</f>
        <v/>
      </c>
      <c r="P15" s="109">
        <f>IF(AND($I$5=1,$I$7=2),X15+AD15,"")&amp;IF(AND($I$5=1,$I$7=4),X15+AE15,"")&amp;IF(AND($I$5=1,$I$7=6),X15+AF15,"")&amp;IF(AND($I$5=1,$I$7=8),X15+AG15,"")&amp;IF(AND($I$5=1,$I$7=10),X15+AH15,"")&amp;IF(AND($I$5=3,$I$7=2),Y15+AD15,"")&amp;IF(AND($I$5=3,$I$7=4),Y15+AE15,"")&amp;IF(AND($I$5=3,$I$7=6),Y15+AF15,"")&amp;IF(AND($I$5=3,$I$7=8),Y15+AG15,"")&amp;IF(AND($I$5=3,$I$7=10),Y15+AH15,"")&amp;IF(AND($I$5=5,$I$7=2),Z15+AD15,"")&amp;IF(AND($I$5=5,$I$7=4),Z15+AE15,"")&amp;IF(AND($I$5=5,$I$7=6),Z15+AF15,"")&amp;IF(AND($I$5=5,$I$7=8),Z15+AG15,"")&amp;IF(AND($I$5=5,$I$7=10),Z15+AH15,"")&amp;IF(AND($I$5=7,$I$7=2),AA15+AD15,"")&amp;IF(AND($I$5=7,$I$7=4),AA15+AE15,"")&amp;IF(AND($I$5=7,$I$7=6),AA15+AF15,"")&amp;IF(AND($I$5=7,$I$7=8),AA15+AG15,"")&amp;IF(AND($I$5=7,$I$7=10),AA15+AH15,"")&amp;IF(AND($I$5=9,$I$7=2),AB15+AD15,"")&amp;IF(AND($I$5=9,$I$7=4),AB15+AE15,"")&amp;IF(AND($I$5=9,$I$7=6),AB15+AF15,"")&amp;IF(AND($I$5=9,$I$7=8),AB15+AG15,"")&amp;IF(AND($I$5=9,$I$7=10),AB15+AH15,"")</f>
        <v/>
      </c>
      <c r="Q15" s="161">
        <f>$J$1*P15</f>
        <v/>
      </c>
      <c r="R15" s="193" t="n">
        <v>88</v>
      </c>
      <c r="V15" s="98" t="n">
        <v>6</v>
      </c>
      <c r="W15" s="99" t="inlineStr">
        <is>
          <t>HD-312 ตลับกลอนก้านโยกมัลติล็อค</t>
        </is>
      </c>
      <c r="X15" s="98" t="n">
        <v>0</v>
      </c>
      <c r="Y15" s="101" t="n">
        <v>1</v>
      </c>
      <c r="Z15" s="101" t="n">
        <v>2</v>
      </c>
      <c r="AA15" s="101" t="n">
        <v>3</v>
      </c>
      <c r="AB15" s="101" t="n">
        <v>4</v>
      </c>
      <c r="AC15" s="102" t="n"/>
      <c r="AD15" s="101" t="n">
        <v>1</v>
      </c>
      <c r="AE15" s="101" t="n">
        <v>2</v>
      </c>
      <c r="AF15" s="101" t="n">
        <v>3</v>
      </c>
      <c r="AG15" s="101" t="n">
        <v>4</v>
      </c>
      <c r="AH15" s="101" t="n">
        <v>5</v>
      </c>
    </row>
    <row r="16" ht="34.95" customHeight="1" s="92">
      <c r="A16" s="153" t="n">
        <v>5</v>
      </c>
      <c r="B16" s="46" t="inlineStr">
        <is>
          <t>ตบปิดเฟรม (ตั้ง)</t>
        </is>
      </c>
      <c r="C16" s="153" t="n"/>
      <c r="D16" s="153" t="inlineStr">
        <is>
          <t>F7973</t>
        </is>
      </c>
      <c r="E16" s="153" t="n">
        <v>0.19</v>
      </c>
      <c r="F16" s="153" t="n">
        <v>2</v>
      </c>
      <c r="G16" s="153" t="inlineStr">
        <is>
          <t>H-75-45</t>
        </is>
      </c>
      <c r="H16" s="204">
        <f>$J$3-75-45</f>
        <v/>
      </c>
      <c r="I16" s="153">
        <f>F16*$J$1</f>
        <v/>
      </c>
      <c r="J16" s="153">
        <f>ROUNDUP(((H16*I16)+(H17*I17)+(H18*I18))/6400,0)</f>
        <v/>
      </c>
      <c r="L16" s="161" t="n">
        <v>7</v>
      </c>
      <c r="M16" s="29" t="inlineStr">
        <is>
          <t>HD-1180 ก้าน AL สไลด์ 19.5 mm</t>
        </is>
      </c>
      <c r="N16" s="161" t="n"/>
      <c r="O16" s="161">
        <f>IF($D$6="ขาว","ขาว","ดำ")</f>
        <v/>
      </c>
      <c r="P16" s="109">
        <f>IF(AND($I$5=1,$I$7=2),X16+AD16,"")&amp;IF(AND($I$5=1,$I$7=4),X16+AE16,"")&amp;IF(AND($I$5=1,$I$7=6),X16+AF16,"")&amp;IF(AND($I$5=1,$I$7=8),X16+AG16,"")&amp;IF(AND($I$5=1,$I$7=10),X16+AH16,"")&amp;IF(AND($I$5=3,$I$7=2),Y16+AD16,"")&amp;IF(AND($I$5=3,$I$7=4),Y16+AE16,"")&amp;IF(AND($I$5=3,$I$7=6),Y16+AF16,"")&amp;IF(AND($I$5=3,$I$7=8),Y16+AG16,"")&amp;IF(AND($I$5=3,$I$7=10),Y16+AH16,"")&amp;IF(AND($I$5=5,$I$7=2),Z16+AD16,"")&amp;IF(AND($I$5=5,$I$7=4),Z16+AE16,"")&amp;IF(AND($I$5=5,$I$7=6),Z16+AF16,"")&amp;IF(AND($I$5=5,$I$7=8),Z16+AG16,"")&amp;IF(AND($I$5=5,$I$7=10),Z16+AH16,"")&amp;IF(AND($I$5=7,$I$7=2),AA16+AD16,"")&amp;IF(AND($I$5=7,$I$7=4),AA16+AE16,"")&amp;IF(AND($I$5=7,$I$7=6),AA16+AF16,"")&amp;IF(AND($I$5=7,$I$7=8),AA16+AG16,"")&amp;IF(AND($I$5=7,$I$7=10),AA16+AH16,"")&amp;IF(AND($I$5=9,$I$7=2),AB16+AD16,"")&amp;IF(AND($I$5=9,$I$7=4),AB16+AE16,"")&amp;IF(AND($I$5=9,$I$7=6),AB16+AF16,"")&amp;IF(AND($I$5=9,$I$7=8),AB16+AG16,"")&amp;IF(AND($I$5=9,$I$7=10),AB16+AH16,"")</f>
        <v/>
      </c>
      <c r="Q16" s="161">
        <f>$J$1*P16</f>
        <v/>
      </c>
      <c r="R16" s="193" t="n">
        <v>73</v>
      </c>
      <c r="S16" s="6">
        <f>((H19*I19)/1000)*E19</f>
        <v/>
      </c>
      <c r="V16" s="98" t="n">
        <v>7</v>
      </c>
      <c r="W16" s="99" t="inlineStr">
        <is>
          <t>HD-1180 ก้าน AL สไลด์ 19.5 mm</t>
        </is>
      </c>
      <c r="X16" s="98" t="n">
        <v>0</v>
      </c>
      <c r="Y16" s="101">
        <f>Y15*2</f>
        <v/>
      </c>
      <c r="Z16" s="101">
        <f>Z15*2</f>
        <v/>
      </c>
      <c r="AA16" s="101">
        <f>AA15*2</f>
        <v/>
      </c>
      <c r="AB16" s="101">
        <f>AB15*2</f>
        <v/>
      </c>
      <c r="AC16" s="102" t="n"/>
      <c r="AD16" s="101">
        <f>AD15*2</f>
        <v/>
      </c>
      <c r="AE16" s="101">
        <f>AE15*2</f>
        <v/>
      </c>
      <c r="AF16" s="101">
        <f>AF15*2</f>
        <v/>
      </c>
      <c r="AG16" s="101">
        <f>AG15*2</f>
        <v/>
      </c>
      <c r="AH16" s="101">
        <f>AH15*2</f>
        <v/>
      </c>
    </row>
    <row r="17" ht="34.95" customHeight="1" s="92">
      <c r="A17" s="205" t="n"/>
      <c r="B17" s="46" t="inlineStr">
        <is>
          <t>ตบปิดเฟรม (นอน) (บานคี่)</t>
        </is>
      </c>
      <c r="C17" s="205" t="n"/>
      <c r="D17" s="205" t="n"/>
      <c r="E17" s="205" t="n"/>
      <c r="F17" s="153" t="n">
        <v>2</v>
      </c>
      <c r="G17" s="153" t="inlineStr">
        <is>
          <t>W A-18-58</t>
        </is>
      </c>
      <c r="H17" s="204">
        <f>$J$5-18-58</f>
        <v/>
      </c>
      <c r="I17" s="153">
        <f>F17*$J$1</f>
        <v/>
      </c>
      <c r="J17" s="205" t="n"/>
      <c r="L17" s="161" t="n">
        <v>12</v>
      </c>
      <c r="M17" s="29" t="inlineStr">
        <is>
          <t>HD-213 ฉากเข้ามุมปรับได้</t>
        </is>
      </c>
      <c r="N17" s="30" t="n"/>
      <c r="O17" s="161" t="inlineStr">
        <is>
          <t>-</t>
        </is>
      </c>
      <c r="P17" s="109">
        <f>IF(AND($I$5=1,$I$7=2),X17+AD17,"")&amp;IF(AND($I$5=1,$I$7=4),X17+AE17,"")&amp;IF(AND($I$5=1,$I$7=6),X17+AF17,"")&amp;IF(AND($I$5=1,$I$7=8),X17+AG17,"")&amp;IF(AND($I$5=1,$I$7=10),X17+AH17,"")&amp;IF(AND($I$5=3,$I$7=2),Y17+AD17,"")&amp;IF(AND($I$5=3,$I$7=4),Y17+AE17,"")&amp;IF(AND($I$5=3,$I$7=6),Y17+AF17,"")&amp;IF(AND($I$5=3,$I$7=8),Y17+AG17,"")&amp;IF(AND($I$5=3,$I$7=10),Y17+AH17,"")&amp;IF(AND($I$5=5,$I$7=2),Z17+AD17,"")&amp;IF(AND($I$5=5,$I$7=4),Z17+AE17,"")&amp;IF(AND($I$5=5,$I$7=6),Z17+AF17,"")&amp;IF(AND($I$5=5,$I$7=8),Z17+AG17,"")&amp;IF(AND($I$5=5,$I$7=10),Z17+AH17,"")&amp;IF(AND($I$5=7,$I$7=2),AA17+AD17,"")&amp;IF(AND($I$5=7,$I$7=4),AA17+AE17,"")&amp;IF(AND($I$5=7,$I$7=6),AA17+AF17,"")&amp;IF(AND($I$5=7,$I$7=8),AA17+AG17,"")&amp;IF(AND($I$5=7,$I$7=10),AA17+AH17,"")&amp;IF(AND($I$5=9,$I$7=2),AB17+AD17,"")&amp;IF(AND($I$5=9,$I$7=4),AB17+AE17,"")&amp;IF(AND($I$5=9,$I$7=6),AB17+AF17,"")&amp;IF(AND($I$5=9,$I$7=8),AB17+AG17,"")&amp;IF(AND($I$5=9,$I$7=10),AB17+AH17,"")</f>
        <v/>
      </c>
      <c r="Q17" s="161">
        <f>$J$1*P17</f>
        <v/>
      </c>
      <c r="R17" s="193" t="n">
        <v>15</v>
      </c>
      <c r="S17" s="6">
        <f>((H21*I21)/1000)*E21</f>
        <v/>
      </c>
      <c r="V17" s="98" t="n">
        <v>12</v>
      </c>
      <c r="W17" s="99" t="inlineStr">
        <is>
          <t>HD-213 ฉากเข้ามุมปรับได้</t>
        </is>
      </c>
      <c r="X17" s="98">
        <f>X$9*4</f>
        <v/>
      </c>
      <c r="Y17" s="98">
        <f>Y$9*4</f>
        <v/>
      </c>
      <c r="Z17" s="98">
        <f>Z$9*4</f>
        <v/>
      </c>
      <c r="AA17" s="98">
        <f>AA$9*4</f>
        <v/>
      </c>
      <c r="AB17" s="98">
        <f>AB$9*4</f>
        <v/>
      </c>
      <c r="AC17" s="102" t="n"/>
      <c r="AD17" s="98">
        <f>AD$9*4</f>
        <v/>
      </c>
      <c r="AE17" s="98">
        <f>AE$9*4</f>
        <v/>
      </c>
      <c r="AF17" s="98">
        <f>AF$9*4</f>
        <v/>
      </c>
      <c r="AG17" s="98">
        <f>AG$9*4</f>
        <v/>
      </c>
      <c r="AH17" s="98">
        <f>AH$9*4</f>
        <v/>
      </c>
    </row>
    <row r="18" ht="34.95" customHeight="1" s="92">
      <c r="A18" s="203" t="n"/>
      <c r="B18" s="46" t="inlineStr">
        <is>
          <t>ตบปิดเฟรม (นอน) (บานคู่)</t>
        </is>
      </c>
      <c r="C18" s="203" t="n"/>
      <c r="D18" s="203" t="n"/>
      <c r="E18" s="203" t="n"/>
      <c r="F18" s="153" t="n">
        <v>2</v>
      </c>
      <c r="G18" s="153" t="inlineStr">
        <is>
          <t>W B-18-58</t>
        </is>
      </c>
      <c r="H18" s="204">
        <f>$J$7-18-58</f>
        <v/>
      </c>
      <c r="I18" s="153">
        <f>F18*$J$1</f>
        <v/>
      </c>
      <c r="J18" s="203" t="n"/>
      <c r="L18" s="161" t="n">
        <v>13</v>
      </c>
      <c r="M18" s="29" t="inlineStr">
        <is>
          <t>HD-200 ฉากประคองมุม</t>
        </is>
      </c>
      <c r="N18" s="30" t="n"/>
      <c r="O18" s="161" t="inlineStr">
        <is>
          <t>-</t>
        </is>
      </c>
      <c r="P18" s="109">
        <f>IF(AND($I$5=1,$I$7=2),X18+AD18,"")&amp;IF(AND($I$5=1,$I$7=4),X18+AE18,"")&amp;IF(AND($I$5=1,$I$7=6),X18+AF18,"")&amp;IF(AND($I$5=1,$I$7=8),X18+AG18,"")&amp;IF(AND($I$5=1,$I$7=10),X18+AH18,"")&amp;IF(AND($I$5=3,$I$7=2),Y18+AD18,"")&amp;IF(AND($I$5=3,$I$7=4),Y18+AE18,"")&amp;IF(AND($I$5=3,$I$7=6),Y18+AF18,"")&amp;IF(AND($I$5=3,$I$7=8),Y18+AG18,"")&amp;IF(AND($I$5=3,$I$7=10),Y18+AH18,"")&amp;IF(AND($I$5=5,$I$7=2),Z18+AD18,"")&amp;IF(AND($I$5=5,$I$7=4),Z18+AE18,"")&amp;IF(AND($I$5=5,$I$7=6),Z18+AF18,"")&amp;IF(AND($I$5=5,$I$7=8),Z18+AG18,"")&amp;IF(AND($I$5=5,$I$7=10),Z18+AH18,"")&amp;IF(AND($I$5=7,$I$7=2),AA18+AD18,"")&amp;IF(AND($I$5=7,$I$7=4),AA18+AE18,"")&amp;IF(AND($I$5=7,$I$7=6),AA18+AF18,"")&amp;IF(AND($I$5=7,$I$7=8),AA18+AG18,"")&amp;IF(AND($I$5=7,$I$7=10),AA18+AH18,"")&amp;IF(AND($I$5=9,$I$7=2),AB18+AD18,"")&amp;IF(AND($I$5=9,$I$7=4),AB18+AE18,"")&amp;IF(AND($I$5=9,$I$7=6),AB18+AF18,"")&amp;IF(AND($I$5=9,$I$7=8),AB18+AG18,"")&amp;IF(AND($I$5=9,$I$7=10),AB18+AH18,"")</f>
        <v/>
      </c>
      <c r="Q18" s="161">
        <f>$J$1*P18</f>
        <v/>
      </c>
      <c r="R18" s="193" t="n">
        <v>1.5</v>
      </c>
      <c r="V18" s="98" t="n">
        <v>13</v>
      </c>
      <c r="W18" s="99" t="inlineStr">
        <is>
          <t>HD-200 ฉากประคองมุม</t>
        </is>
      </c>
      <c r="X18" s="98">
        <f>X$9*12</f>
        <v/>
      </c>
      <c r="Y18" s="98">
        <f>Y$9*12</f>
        <v/>
      </c>
      <c r="Z18" s="98">
        <f>Z$9*12</f>
        <v/>
      </c>
      <c r="AA18" s="98">
        <f>AA$9*12</f>
        <v/>
      </c>
      <c r="AB18" s="98">
        <f>AB$9*12</f>
        <v/>
      </c>
      <c r="AC18" s="102" t="n"/>
      <c r="AD18" s="98">
        <f>AD$9*12</f>
        <v/>
      </c>
      <c r="AE18" s="98">
        <f>AE$9*12</f>
        <v/>
      </c>
      <c r="AF18" s="98">
        <f>AF$9*12</f>
        <v/>
      </c>
      <c r="AG18" s="98">
        <f>AG$9*12</f>
        <v/>
      </c>
      <c r="AH18" s="98">
        <f>AH$9*12</f>
        <v/>
      </c>
    </row>
    <row r="19" ht="34.95" customHeight="1" s="92">
      <c r="A19" s="161" t="n">
        <v>6</v>
      </c>
      <c r="B19" s="56" t="inlineStr">
        <is>
          <t>กรอบบานเฟี้ยม (ตั้ง) (บานคี่)</t>
        </is>
      </c>
      <c r="C19" s="161" t="n"/>
      <c r="D19" s="161" t="inlineStr">
        <is>
          <t>F7972</t>
        </is>
      </c>
      <c r="E19" s="161" t="n">
        <v>1.466</v>
      </c>
      <c r="F19" s="161">
        <f>IF($I$5=1,$AP$25,IF($I$5=3,$AP$26,IF($I$5=5,$AP$27,IF($I$5=7,$AP$28,IF($I$5=9,$AP$29,)))))</f>
        <v/>
      </c>
      <c r="G19" s="161" t="inlineStr">
        <is>
          <t>H-55-7-7-25</t>
        </is>
      </c>
      <c r="H19" s="202">
        <f>$J$3-55-7-7-25</f>
        <v/>
      </c>
      <c r="I19" s="161">
        <f>F19*$J$1</f>
        <v/>
      </c>
      <c r="J19" s="161">
        <f>ROUNDUP(((H19*I19)+(H20*I20)+(H21*I21+(H22*I22)))/6400,0)</f>
        <v/>
      </c>
      <c r="L19" s="161" t="n">
        <v>14</v>
      </c>
      <c r="M19" s="12" t="inlineStr">
        <is>
          <t>HD-481A มือจับก้านโยกกุญแจ</t>
        </is>
      </c>
      <c r="N19" s="161" t="n"/>
      <c r="O19" s="161">
        <f>IF($D$6="ขาว","ขาว","ดำ")</f>
        <v/>
      </c>
      <c r="P19" s="161" t="n">
        <v>1</v>
      </c>
      <c r="Q19" s="161">
        <f>$J$1*P19</f>
        <v/>
      </c>
    </row>
    <row r="20" ht="34.95" customHeight="1" s="92">
      <c r="A20" s="205" t="n"/>
      <c r="B20" s="56" t="inlineStr">
        <is>
          <t>กรอบบานเฟี้ยม (ตั้ง) (บานคู่)</t>
        </is>
      </c>
      <c r="C20" s="203" t="n"/>
      <c r="D20" s="205" t="n"/>
      <c r="E20" s="205" t="n"/>
      <c r="F20" s="161">
        <f>IF($I$7=2,$AF$25,IF($I$7=4,$AF$26,IF($I$7=6,$AF$27,IF($I$7=8,$AF$28,IF($I$7=10,$AF$29,)))))</f>
        <v/>
      </c>
      <c r="G20" s="161" t="inlineStr">
        <is>
          <t>H-55-7-7-25</t>
        </is>
      </c>
      <c r="H20" s="202">
        <f>$J$3-55-7-7-25</f>
        <v/>
      </c>
      <c r="I20" s="161">
        <f>F20*$J$1</f>
        <v/>
      </c>
      <c r="J20" s="205" t="n"/>
      <c r="L20" s="161" t="n">
        <v>15</v>
      </c>
      <c r="M20" s="12" t="inlineStr">
        <is>
          <t>HD-1115 แป้นรับล็อคบานเปิด</t>
        </is>
      </c>
      <c r="N20" s="161" t="n"/>
      <c r="O20" s="161" t="inlineStr">
        <is>
          <t>-</t>
        </is>
      </c>
      <c r="P20" s="161" t="n">
        <v>1</v>
      </c>
      <c r="Q20" s="161">
        <f>$J$1*P20</f>
        <v/>
      </c>
      <c r="S20" s="6">
        <f>((H23*I23)/1000)*E23</f>
        <v/>
      </c>
    </row>
    <row r="21" ht="34.95" customHeight="1" s="92">
      <c r="A21" s="205" t="n"/>
      <c r="B21" s="56" t="inlineStr">
        <is>
          <t>กรอบบานเฟี้ยม (ขวาง) (บานคี่)</t>
        </is>
      </c>
      <c r="C21" s="161" t="n"/>
      <c r="D21" s="205" t="n"/>
      <c r="E21" s="205" t="n"/>
      <c r="F21" s="161">
        <f>IF($I$5=1,$AP$25,IF($I$5=3,$AP$26,IF($I$5=5,$AP$27,IF($I$5=7,$AP$28,IF($I$5=9,$AP$29,)))))</f>
        <v/>
      </c>
      <c r="G21" s="161">
        <f>IF($I$5=1,$AQ$25,IF($I$5=3,$AQ$26,IF($I$5=5,$AQ$27,IF($I$5=7,$AQ$28,IF($I$5=9,$AQ$29,)))))</f>
        <v/>
      </c>
      <c r="H21" s="202">
        <f>IF($I$5=1,$AR$25,IF($I$5=3,$AR$26,IF($I$5=5,$AR$27,IF($I$5=7,$AR$28,IF($I$5=9,$AR$29,)))))</f>
        <v/>
      </c>
      <c r="I21" s="161">
        <f>F21*$J$1</f>
        <v/>
      </c>
      <c r="J21" s="205" t="n"/>
      <c r="L21" s="161" t="n">
        <v>16</v>
      </c>
      <c r="M21" s="12" t="inlineStr">
        <is>
          <t>HD-850 ตลับกุญแจมัลติล็อค (L35)</t>
        </is>
      </c>
      <c r="N21" s="161" t="n"/>
      <c r="O21" s="161" t="inlineStr">
        <is>
          <t>-</t>
        </is>
      </c>
      <c r="P21" s="161" t="n">
        <v>1</v>
      </c>
      <c r="Q21" s="161">
        <f>$J$1*P21</f>
        <v/>
      </c>
      <c r="S21" s="6">
        <f>((H25*I25)/1000)*E25</f>
        <v/>
      </c>
    </row>
    <row r="22" ht="34.95" customHeight="1" s="92">
      <c r="A22" s="203" t="n"/>
      <c r="B22" s="56" t="inlineStr">
        <is>
          <t>กรอบบานเฟี้ยม (ขวาง) (บานคู่)</t>
        </is>
      </c>
      <c r="C22" s="203" t="n"/>
      <c r="D22" s="203" t="n"/>
      <c r="E22" s="203" t="n"/>
      <c r="F22" s="161">
        <f>IF($I$7=2,$AF$25,IF($I$7=4,$AF$26,IF($I$7=6,$AF$27,IF($I$7=8,$AF$28,IF($I$7=10,$AF$29,)))))</f>
        <v/>
      </c>
      <c r="G22" s="161">
        <f>IF($I$7=2,$AG$25,IF($I$7=4,$AG$26,IF($I$7=6,$AG$27,IF($I$7=8,$AG$28,IF($I$7=10,$AG$29,)))))</f>
        <v/>
      </c>
      <c r="H22" s="202">
        <f>IF($I$7=2,$AH$25,IF($I$7=4,$AH$26,IF($I$7=6,$AH$27,IF($I$7=8,$AH$28,IF($I$7=10,$AH$29,)))))</f>
        <v/>
      </c>
      <c r="I22" s="161">
        <f>F22*$J$1</f>
        <v/>
      </c>
      <c r="J22" s="203" t="n"/>
      <c r="L22" s="161" t="n">
        <v>17</v>
      </c>
      <c r="M22" s="56" t="inlineStr">
        <is>
          <t>HD-803 ไส้กุญแจ1หน้า คาบ้า (L75)</t>
        </is>
      </c>
      <c r="N22" s="161" t="n"/>
      <c r="O22" s="161" t="inlineStr">
        <is>
          <t>-</t>
        </is>
      </c>
      <c r="P22" s="161" t="n">
        <v>1</v>
      </c>
      <c r="Q22" s="161">
        <f>$J$1*P22</f>
        <v/>
      </c>
    </row>
    <row r="23" ht="34.95" customHeight="1" s="92">
      <c r="A23" s="153" t="n">
        <v>7</v>
      </c>
      <c r="B23" s="46">
        <f>IF($E$6&lt;=12,W33,IF($E$6&lt;=20,W35,W37))</f>
        <v/>
      </c>
      <c r="C23" s="153" t="n"/>
      <c r="D23" s="153">
        <f>IF($E$6&lt;=12,X26,IF($E$6&lt;=20,X28,X30))</f>
        <v/>
      </c>
      <c r="E23" s="153">
        <f>IF($E$6&lt;=12,Y26,IF($E$6&lt;=20,Y28,Y30))</f>
        <v/>
      </c>
      <c r="F23" s="161">
        <f>IF($I$5=1,$AP$25,IF($I$5=3,$AP$26,IF($I$5=5,$AP$27,IF($I$5=7,$AP$28,IF($I$5=9,$AP$29,)))))</f>
        <v/>
      </c>
      <c r="G23" s="153" t="inlineStr">
        <is>
          <t>SH-80-80</t>
        </is>
      </c>
      <c r="H23" s="204">
        <f>$H$19-80-80</f>
        <v/>
      </c>
      <c r="I23" s="153">
        <f>F23*$J$1</f>
        <v/>
      </c>
      <c r="J23" s="153">
        <f>ROUNDUP(((H23*I23)+(H24*I24)+(H25*I25+(H26*I26)))/6400,0)</f>
        <v/>
      </c>
      <c r="L23" s="161" t="n">
        <v>18</v>
      </c>
      <c r="M23" s="61" t="inlineStr">
        <is>
          <t>HD-305  กลอนบานเฟี้ยม</t>
        </is>
      </c>
      <c r="N23" s="60" t="n"/>
      <c r="O23" s="161">
        <f>IF($D$6="ขาว","ขาว","ดำ")</f>
        <v/>
      </c>
      <c r="P23" s="161" t="n">
        <v>2</v>
      </c>
      <c r="Q23" s="161">
        <f>$J$1*P23</f>
        <v/>
      </c>
      <c r="W23" s="81" t="inlineStr">
        <is>
          <t>คิ้ว</t>
        </is>
      </c>
      <c r="AB23" s="75" t="inlineStr">
        <is>
          <t>ขวาง</t>
        </is>
      </c>
    </row>
    <row r="24" ht="34.95" customHeight="1" s="92">
      <c r="A24" s="205" t="n"/>
      <c r="B24" s="46">
        <f>IF($E$6&lt;=12,W26,IF($E$6&lt;=20,W28,W30))</f>
        <v/>
      </c>
      <c r="C24" s="203" t="n"/>
      <c r="D24" s="205" t="n"/>
      <c r="E24" s="205" t="n"/>
      <c r="F24" s="161">
        <f>IF($I$7=2,$AF$25,IF($I$7=4,$AF$26,IF($I$7=6,$AF$27,IF($I$7=8,$AF$28,IF($I$7=10,$AF$29,)))))</f>
        <v/>
      </c>
      <c r="G24" s="153" t="inlineStr">
        <is>
          <t>SH-80-80</t>
        </is>
      </c>
      <c r="H24" s="204">
        <f>$H$20-80-80</f>
        <v/>
      </c>
      <c r="I24" s="153">
        <f>F24*$J$1</f>
        <v/>
      </c>
      <c r="J24" s="205" t="n"/>
      <c r="L24" s="161" t="n">
        <v>19</v>
      </c>
      <c r="M24" s="12" t="inlineStr">
        <is>
          <t>จุดรับล็อค แบบสกรู</t>
        </is>
      </c>
      <c r="N24" s="60" t="n"/>
      <c r="O24" s="161" t="inlineStr">
        <is>
          <t>-</t>
        </is>
      </c>
      <c r="P24" s="161">
        <f>IF($J$3&lt;=2700,3,4)</f>
        <v/>
      </c>
      <c r="Q24" s="161">
        <f>$J$1*P24</f>
        <v/>
      </c>
      <c r="W24" s="81" t="inlineStr">
        <is>
          <t>บานคู่</t>
        </is>
      </c>
      <c r="AB24" s="75" t="inlineStr">
        <is>
          <t>บานคู่</t>
        </is>
      </c>
      <c r="AC24" s="75" t="n"/>
      <c r="AD24" s="75" t="n"/>
      <c r="AL24" s="75" t="inlineStr">
        <is>
          <t>บานคี่</t>
        </is>
      </c>
      <c r="AM24" s="75" t="n"/>
      <c r="AN24" s="75" t="n"/>
    </row>
    <row r="25" ht="34.95" customHeight="1" s="92">
      <c r="A25" s="205" t="n"/>
      <c r="B25" s="46">
        <f>IF($E$6&lt;=12,W34,IF($E$6&lt;=20,W36,W38))</f>
        <v/>
      </c>
      <c r="C25" s="153" t="n"/>
      <c r="D25" s="205" t="n"/>
      <c r="E25" s="205" t="n"/>
      <c r="F25" s="161">
        <f>IF($I$5=1,$AP$25,IF($I$5=3,$AP$26,IF($I$5=5,$AP$27,IF($I$5=7,$AP$28,IF($I$5=9,$AP$29,)))))</f>
        <v/>
      </c>
      <c r="G25" s="153" t="inlineStr">
        <is>
          <t>SW-60-60</t>
        </is>
      </c>
      <c r="H25" s="204">
        <f>$H$21-60-60</f>
        <v/>
      </c>
      <c r="I25" s="153">
        <f>F25*$J$1</f>
        <v/>
      </c>
      <c r="J25" s="205" t="n"/>
      <c r="L25" s="161" t="n">
        <v>20</v>
      </c>
      <c r="M25" s="12" t="inlineStr">
        <is>
          <t>หมุดล็อค 9 x 9 (KIN LONG)</t>
        </is>
      </c>
      <c r="N25" s="60" t="n"/>
      <c r="O25" s="161" t="n"/>
      <c r="P25" s="161">
        <f>IF($J$3&lt;=2700,3,4)</f>
        <v/>
      </c>
      <c r="Q25" s="161">
        <f>$J$1*P25</f>
        <v/>
      </c>
      <c r="W25" s="8" t="inlineStr">
        <is>
          <t>ชื่อ</t>
        </is>
      </c>
      <c r="X25" s="8" t="inlineStr">
        <is>
          <t>เบอร์ดาย</t>
        </is>
      </c>
      <c r="Y25" s="8" t="inlineStr">
        <is>
          <t>น้ำหนัก</t>
        </is>
      </c>
      <c r="AB25" s="153" t="n">
        <v>2</v>
      </c>
      <c r="AC25" s="46" t="inlineStr">
        <is>
          <t>กรอบบานเฟี้ยม (บานคู่)</t>
        </is>
      </c>
      <c r="AD25" s="153" t="inlineStr">
        <is>
          <t>F7972</t>
        </is>
      </c>
      <c r="AE25" s="153" t="n">
        <v>1.466</v>
      </c>
      <c r="AF25" s="153">
        <f>2*AB25</f>
        <v/>
      </c>
      <c r="AG25" s="59" t="inlineStr">
        <is>
          <t>(W-18-9.5-(8x1)-62)/2</t>
        </is>
      </c>
      <c r="AH25" s="204">
        <f>($J$7-18-9.5-(8*1)-62)/AB25</f>
        <v/>
      </c>
      <c r="AI25" s="153">
        <f>AF25*$J$1</f>
        <v/>
      </c>
      <c r="AL25" s="153" t="n">
        <v>1</v>
      </c>
      <c r="AM25" s="46" t="inlineStr">
        <is>
          <t>กรอบบานเฟี้ยม (บานคี่)</t>
        </is>
      </c>
      <c r="AN25" s="153" t="inlineStr">
        <is>
          <t>F7972</t>
        </is>
      </c>
      <c r="AO25" s="153" t="n">
        <v>1.466</v>
      </c>
      <c r="AP25" s="153">
        <f>2*AL25</f>
        <v/>
      </c>
      <c r="AQ25" s="59" t="inlineStr">
        <is>
          <t>W-18-9.5-77</t>
        </is>
      </c>
      <c r="AR25" s="204">
        <f>($J$5-18-9.5-77)</f>
        <v/>
      </c>
      <c r="AS25" s="153">
        <f>AP25*$J$1</f>
        <v/>
      </c>
    </row>
    <row r="26" ht="34.95" customHeight="1" s="92">
      <c r="A26" s="203" t="n"/>
      <c r="B26" s="46">
        <f>IF($E$6&lt;=12,W27,IF($E$6&lt;=20,W29,W31))</f>
        <v/>
      </c>
      <c r="C26" s="203" t="n"/>
      <c r="D26" s="203" t="n"/>
      <c r="E26" s="203" t="n"/>
      <c r="F26" s="161">
        <f>IF($I$7=2,$AF$25,IF($I$7=4,$AF$26,IF($I$7=6,$AF$27,IF($I$7=8,$AF$28,IF($I$7=10,$AF$29,)))))</f>
        <v/>
      </c>
      <c r="G26" s="153" t="inlineStr">
        <is>
          <t>SW-60-60</t>
        </is>
      </c>
      <c r="H26" s="204">
        <f>$H$22-60-60</f>
        <v/>
      </c>
      <c r="I26" s="153">
        <f>F26*$J$1</f>
        <v/>
      </c>
      <c r="J26" s="203" t="n"/>
      <c r="L26" s="161" t="n">
        <v>21</v>
      </c>
      <c r="M26" s="68" t="inlineStr">
        <is>
          <t>ก้านสไลด์มัลติพ้อย (F7800 ฟูจิ) 
หรือตลาด</t>
        </is>
      </c>
      <c r="N26" s="60" t="n"/>
      <c r="O26" s="161" t="n"/>
      <c r="P26" s="215">
        <f>ROUNDDOWN($H$19/1000,1)</f>
        <v/>
      </c>
      <c r="Q26" s="215">
        <f>$J$1*P26</f>
        <v/>
      </c>
      <c r="W26" s="12" t="inlineStr">
        <is>
          <t>คิ้วกระจก5-12มิล (ตั้ง) (บานคู่)</t>
        </is>
      </c>
      <c r="X26" s="11" t="inlineStr">
        <is>
          <t>F7935</t>
        </is>
      </c>
      <c r="Y26" s="11" t="n">
        <v>0.285</v>
      </c>
      <c r="AB26" s="153" t="n">
        <v>4</v>
      </c>
      <c r="AC26" s="46" t="inlineStr">
        <is>
          <t>กรอบบานเฟี้ยม (บานคู่)</t>
        </is>
      </c>
      <c r="AD26" s="153" t="inlineStr">
        <is>
          <t>F7972</t>
        </is>
      </c>
      <c r="AE26" s="153" t="n">
        <v>1.466</v>
      </c>
      <c r="AF26" s="153">
        <f>2*AB26</f>
        <v/>
      </c>
      <c r="AG26" s="59" t="inlineStr">
        <is>
          <t>(W-18-9.5-(8x3)-62)/4</t>
        </is>
      </c>
      <c r="AH26" s="204">
        <f>($J$7-18-9.5-(8*3)-62)/AB26</f>
        <v/>
      </c>
      <c r="AI26" s="153">
        <f>AF26*$J$1</f>
        <v/>
      </c>
      <c r="AL26" s="153" t="n">
        <v>3</v>
      </c>
      <c r="AM26" s="46" t="inlineStr">
        <is>
          <t>กรอบบานเฟี้ยม (บานคี่)</t>
        </is>
      </c>
      <c r="AN26" s="153" t="inlineStr">
        <is>
          <t>F7972</t>
        </is>
      </c>
      <c r="AO26" s="153" t="n">
        <v>1.466</v>
      </c>
      <c r="AP26" s="153">
        <f>2*AL26</f>
        <v/>
      </c>
      <c r="AQ26" s="59" t="inlineStr">
        <is>
          <t>(W-18-9.5-(8x2)-77)/3</t>
        </is>
      </c>
      <c r="AR26" s="204">
        <f>($J$5-18-9.5-(8*2)-77)/AL26</f>
        <v/>
      </c>
      <c r="AS26" s="153">
        <f>AP26*$J$1</f>
        <v/>
      </c>
    </row>
    <row r="27" ht="34.95" customHeight="1" s="92">
      <c r="A27" s="161" t="n">
        <v>8</v>
      </c>
      <c r="B27" s="56" t="inlineStr">
        <is>
          <t>บังใบ</t>
        </is>
      </c>
      <c r="C27" s="56" t="n"/>
      <c r="D27" s="161" t="inlineStr">
        <is>
          <t>F7975</t>
        </is>
      </c>
      <c r="E27" s="161" t="n">
        <v>0.452</v>
      </c>
      <c r="F27" s="161" t="n">
        <v>2</v>
      </c>
      <c r="G27" s="161" t="inlineStr">
        <is>
          <t>HS+4</t>
        </is>
      </c>
      <c r="H27" s="202">
        <f>$H$19+4</f>
        <v/>
      </c>
      <c r="I27" s="161">
        <f>F27*$J$1</f>
        <v/>
      </c>
      <c r="J27" s="161">
        <f>ROUNDUP((H27*I27)/6400,0)</f>
        <v/>
      </c>
      <c r="L27" s="153" t="n">
        <v>22</v>
      </c>
      <c r="M27" s="43" t="inlineStr">
        <is>
          <t>ยางลูกโป่ง 6mm</t>
        </is>
      </c>
      <c r="N27" s="58" t="n"/>
      <c r="O27" s="153" t="inlineStr">
        <is>
          <t>-</t>
        </is>
      </c>
      <c r="P27" s="206">
        <f>(($H$10*$I$10)+($H$11*$I$11)+($H$12*$I$12)+($H$13*$I$13)+($H$14*$I$14)+($H$15*$I$15)+($H$19*$I$19*2)+($H$20*$I$20*2)+($H$21*$I$21*2)+($H$22*$I$22*2)+($H$27*$I$27)+($H$28*$I$28*2)-($H$19*2))/1000</f>
        <v/>
      </c>
      <c r="Q27" s="206">
        <f>$J$1*P27</f>
        <v/>
      </c>
      <c r="S27" s="6">
        <f>O32*P32*6*Q32*2.5/1000000</f>
        <v/>
      </c>
      <c r="W27" s="12" t="inlineStr">
        <is>
          <t>คิ้วกระจก5-12มิล (ขวาง) (บานคู่)</t>
        </is>
      </c>
      <c r="X27" s="11" t="inlineStr">
        <is>
          <t>F7935</t>
        </is>
      </c>
      <c r="Y27" s="11" t="n">
        <v>0.285</v>
      </c>
      <c r="AB27" s="153" t="n">
        <v>6</v>
      </c>
      <c r="AC27" s="46" t="inlineStr">
        <is>
          <t>กรอบบานเฟี้ยม (บานคู่)</t>
        </is>
      </c>
      <c r="AD27" s="153" t="inlineStr">
        <is>
          <t>F7972</t>
        </is>
      </c>
      <c r="AE27" s="153" t="n">
        <v>1.466</v>
      </c>
      <c r="AF27" s="153">
        <f>2*AB27</f>
        <v/>
      </c>
      <c r="AG27" s="59" t="inlineStr">
        <is>
          <t>(W-18-9.5-(8x5)-62)/6</t>
        </is>
      </c>
      <c r="AH27" s="204">
        <f>($J$7-18-9.5-(8*5)-62)/AB27</f>
        <v/>
      </c>
      <c r="AI27" s="153">
        <f>AF27*$J$1</f>
        <v/>
      </c>
      <c r="AL27" s="153" t="n">
        <v>5</v>
      </c>
      <c r="AM27" s="46" t="inlineStr">
        <is>
          <t>กรอบบานเฟี้ยม (บานคี่)</t>
        </is>
      </c>
      <c r="AN27" s="153" t="inlineStr">
        <is>
          <t>F7972</t>
        </is>
      </c>
      <c r="AO27" s="153" t="n">
        <v>1.466</v>
      </c>
      <c r="AP27" s="153">
        <f>2*AL27</f>
        <v/>
      </c>
      <c r="AQ27" s="59" t="inlineStr">
        <is>
          <t>(W-18-9.5-(8x4)-77)/5</t>
        </is>
      </c>
      <c r="AR27" s="204">
        <f>($J$5-18-9.5-(8*4)-77)/AL27</f>
        <v/>
      </c>
      <c r="AS27" s="153">
        <f>AP27*$J$1</f>
        <v/>
      </c>
    </row>
    <row r="28" ht="34.95" customHeight="1" s="92">
      <c r="A28" s="161" t="n">
        <v>9</v>
      </c>
      <c r="B28" s="56" t="inlineStr">
        <is>
          <t>เสาเข้ามุม</t>
        </is>
      </c>
      <c r="C28" s="84" t="n"/>
      <c r="D28" s="161" t="inlineStr">
        <is>
          <t>F7964</t>
        </is>
      </c>
      <c r="E28" s="161" t="n">
        <v>1.03</v>
      </c>
      <c r="F28" s="161" t="n">
        <v>1</v>
      </c>
      <c r="G28" s="161" t="inlineStr">
        <is>
          <t>HS+4</t>
        </is>
      </c>
      <c r="H28" s="202">
        <f>$H$19+4</f>
        <v/>
      </c>
      <c r="I28" s="161">
        <f>F28*$J$1</f>
        <v/>
      </c>
      <c r="J28" s="161">
        <f>ROUNDUP((H28*I28)/6400,0)</f>
        <v/>
      </c>
      <c r="L28" s="153" t="n">
        <v>23</v>
      </c>
      <c r="M28" s="43" t="inlineStr">
        <is>
          <t>ยางอัด</t>
        </is>
      </c>
      <c r="N28" s="58" t="n"/>
      <c r="O28" s="153" t="inlineStr">
        <is>
          <t>-</t>
        </is>
      </c>
      <c r="P28" s="206">
        <f>((($D$32+$E$32)*2)*$F$32/1000)+(($O$32+$P$32)*2)*$Q$32/1000</f>
        <v/>
      </c>
      <c r="Q28" s="206">
        <f>$J$1*P28</f>
        <v/>
      </c>
      <c r="S28" s="18">
        <f>SUM(S16:S27)</f>
        <v/>
      </c>
      <c r="W28" s="12" t="inlineStr">
        <is>
          <t>คิ้วกระจก14-20มิล (ตั้ง) (บานคู่)</t>
        </is>
      </c>
      <c r="X28" s="11" t="inlineStr">
        <is>
          <t>F7949</t>
        </is>
      </c>
      <c r="Y28" s="11" t="n">
        <v>0.252</v>
      </c>
      <c r="AB28" s="153" t="n">
        <v>8</v>
      </c>
      <c r="AC28" s="46" t="inlineStr">
        <is>
          <t>กรอบบานเฟี้ยม (บานคู่)</t>
        </is>
      </c>
      <c r="AD28" s="153" t="inlineStr">
        <is>
          <t>F7972</t>
        </is>
      </c>
      <c r="AE28" s="153" t="n">
        <v>1.466</v>
      </c>
      <c r="AF28" s="153">
        <f>2*AB28</f>
        <v/>
      </c>
      <c r="AG28" s="59" t="inlineStr">
        <is>
          <t>(W-18-9.5-(8x7)-62)/8</t>
        </is>
      </c>
      <c r="AH28" s="204">
        <f>($J$7-18-9.5-(8*7)-62)/AB28</f>
        <v/>
      </c>
      <c r="AI28" s="153">
        <f>AF28*$J$1</f>
        <v/>
      </c>
      <c r="AL28" s="153" t="n">
        <v>7</v>
      </c>
      <c r="AM28" s="46" t="inlineStr">
        <is>
          <t>กรอบบานเฟี้ยม (บานคี่)</t>
        </is>
      </c>
      <c r="AN28" s="153" t="inlineStr">
        <is>
          <t>F7972</t>
        </is>
      </c>
      <c r="AO28" s="153" t="n">
        <v>1.466</v>
      </c>
      <c r="AP28" s="153">
        <f>2*AL28</f>
        <v/>
      </c>
      <c r="AQ28" s="59" t="inlineStr">
        <is>
          <t>(W-18-9.5-(8x6)-77)/7</t>
        </is>
      </c>
      <c r="AR28" s="204">
        <f>($J$5-18-9.5-(8*6)-77)/AL28</f>
        <v/>
      </c>
      <c r="AS28" s="153">
        <f>AP28*$J$1</f>
        <v/>
      </c>
    </row>
    <row r="29" ht="34.95" customHeight="1" s="92">
      <c r="A29" s="95" t="n"/>
      <c r="B29" s="96" t="n"/>
      <c r="C29" s="96" t="n"/>
      <c r="D29" s="95" t="n"/>
      <c r="E29" s="95" t="n"/>
      <c r="F29" s="95" t="n"/>
      <c r="G29" s="95" t="n"/>
      <c r="H29" s="216" t="n"/>
      <c r="I29" s="95" t="n"/>
      <c r="J29" s="95" t="n"/>
      <c r="L29" s="153" t="n">
        <v>24</v>
      </c>
      <c r="M29" s="43" t="inlineStr">
        <is>
          <t>ยางรอง</t>
        </is>
      </c>
      <c r="N29" s="58" t="n"/>
      <c r="O29" s="153" t="inlineStr">
        <is>
          <t>-</t>
        </is>
      </c>
      <c r="P29" s="206">
        <f>(($O$32+$P$32)*2)*$Q$32/1000</f>
        <v/>
      </c>
      <c r="Q29" s="206">
        <f>$J$1*P29</f>
        <v/>
      </c>
      <c r="W29" s="12" t="inlineStr">
        <is>
          <t>คิ้วกระจก14-20มิล (ขวาง) (บานคู่)</t>
        </is>
      </c>
      <c r="X29" s="11" t="inlineStr">
        <is>
          <t>F7949</t>
        </is>
      </c>
      <c r="Y29" s="11" t="n">
        <v>0.252</v>
      </c>
      <c r="AB29" s="153" t="n">
        <v>10</v>
      </c>
      <c r="AC29" s="46" t="inlineStr">
        <is>
          <t>กรอบบานเฟี้ยม (บานคู่)</t>
        </is>
      </c>
      <c r="AD29" s="153" t="inlineStr">
        <is>
          <t>F7972</t>
        </is>
      </c>
      <c r="AE29" s="153" t="n">
        <v>1.466</v>
      </c>
      <c r="AF29" s="153">
        <f>2*AB29</f>
        <v/>
      </c>
      <c r="AG29" s="59" t="inlineStr">
        <is>
          <t>(W-18-9.5-(8x9)-62)/10</t>
        </is>
      </c>
      <c r="AH29" s="204">
        <f>($J$7-18-9.5-(8*9)-62)/AB29</f>
        <v/>
      </c>
      <c r="AI29" s="153">
        <f>AF29*$J$1</f>
        <v/>
      </c>
      <c r="AL29" s="153" t="n">
        <v>9</v>
      </c>
      <c r="AM29" s="46" t="inlineStr">
        <is>
          <t>กรอบบานเฟี้ยม (บานคี่)</t>
        </is>
      </c>
      <c r="AN29" s="153" t="inlineStr">
        <is>
          <t>F7972</t>
        </is>
      </c>
      <c r="AO29" s="153" t="n">
        <v>1.466</v>
      </c>
      <c r="AP29" s="153">
        <f>2*AL29</f>
        <v/>
      </c>
      <c r="AQ29" s="59" t="inlineStr">
        <is>
          <t>(W-18-9.5-(8x8)-77)/9</t>
        </is>
      </c>
      <c r="AR29" s="204">
        <f>($J$5-18-9.5-(8*8)-77)/AL29</f>
        <v/>
      </c>
      <c r="AS29" s="153">
        <f>AP29*$J$1</f>
        <v/>
      </c>
    </row>
    <row r="30" ht="34.95" customHeight="1" s="92">
      <c r="A30" s="36" t="n"/>
      <c r="B30" s="107" t="inlineStr">
        <is>
          <t>บานคู่</t>
        </is>
      </c>
      <c r="C30" s="70" t="inlineStr">
        <is>
          <t>น้ำหนักรวม
ต่อ บาน</t>
        </is>
      </c>
      <c r="D30" s="154" t="inlineStr">
        <is>
          <t>กระจก</t>
        </is>
      </c>
      <c r="E30" s="198" t="n"/>
      <c r="F30" s="199" t="n"/>
      <c r="G30" s="36" t="n"/>
      <c r="H30" s="212" t="n"/>
      <c r="I30" s="37" t="n"/>
      <c r="J30" s="37" t="n"/>
      <c r="M30" s="107" t="inlineStr">
        <is>
          <t>บานคี่</t>
        </is>
      </c>
      <c r="N30" s="70" t="inlineStr">
        <is>
          <t>น้ำหนักรวม
ต่อ บาน</t>
        </is>
      </c>
      <c r="O30" s="154" t="inlineStr">
        <is>
          <t>กระจก</t>
        </is>
      </c>
      <c r="P30" s="198" t="n"/>
      <c r="Q30" s="199" t="n"/>
      <c r="W30" s="12" t="inlineStr">
        <is>
          <t>คิ้วสำหรับกระจกมู่ลี่ (ตั้ง) (บานคู่)</t>
        </is>
      </c>
      <c r="X30" s="11" t="inlineStr">
        <is>
          <t>F7853</t>
        </is>
      </c>
      <c r="Y30" s="11" t="n">
        <v>0.22</v>
      </c>
    </row>
    <row r="31" ht="34.95" customHeight="1" s="92">
      <c r="B31" s="35" t="n"/>
      <c r="C31" s="210">
        <f>((($E$19*$F$20*$H$20/1000)+($E$19*$F$22*$H$22/1000)+($E$23*$F$24*$H$24/1000)+($E$23*$F$26*$H$26/1000))+($D$32*$E$32*$E$6*2.5*$F$32/1000000))/$F$32</f>
        <v/>
      </c>
      <c r="D31" s="161" t="inlineStr">
        <is>
          <t>HS-130</t>
        </is>
      </c>
      <c r="E31" s="161" t="inlineStr">
        <is>
          <t>WS-130</t>
        </is>
      </c>
      <c r="F31" s="202" t="inlineStr">
        <is>
          <t>จำนวน</t>
        </is>
      </c>
      <c r="G31" s="36" t="n"/>
      <c r="H31" s="212" t="n"/>
      <c r="I31" s="37" t="n"/>
      <c r="J31" s="37" t="n"/>
      <c r="N31" s="210">
        <f>((($H$19*$F$19*$E$19/1000)+($H$21*$F$21*$E$19/1000)+($H$23*$F$23*$E$23/1000)+($H$25*$F$25*$E$23/1000))+($O$32*$P$32*$E$6*2.5*$Q$32/1000000))/$Q$32</f>
        <v/>
      </c>
      <c r="O31" s="161" t="inlineStr">
        <is>
          <t>HS-130</t>
        </is>
      </c>
      <c r="P31" s="161" t="inlineStr">
        <is>
          <t>WS-130</t>
        </is>
      </c>
      <c r="Q31" s="202" t="inlineStr">
        <is>
          <t>จำนวน</t>
        </is>
      </c>
      <c r="W31" s="12" t="inlineStr">
        <is>
          <t>คิ้วสำหรับกระจกมู่ลี่ (ขวาง) (บานคู่)</t>
        </is>
      </c>
      <c r="X31" s="11" t="inlineStr">
        <is>
          <t>F7853</t>
        </is>
      </c>
      <c r="Y31" s="11" t="n">
        <v>0.22</v>
      </c>
    </row>
    <row r="32" ht="34.95" customHeight="1" s="92">
      <c r="B32" s="35" t="n"/>
      <c r="C32" s="211">
        <f>$N$31*$F$32</f>
        <v/>
      </c>
      <c r="D32" s="41">
        <f>$H$20-130</f>
        <v/>
      </c>
      <c r="E32" s="41">
        <f>$H$22-130</f>
        <v/>
      </c>
      <c r="F32" s="41">
        <f>$I$7*$J$1</f>
        <v/>
      </c>
      <c r="G32" s="36" t="n"/>
      <c r="H32" s="212" t="n"/>
      <c r="I32" s="37" t="n"/>
      <c r="J32" s="37" t="n"/>
      <c r="N32" s="211">
        <f>$N$31*$Q$32</f>
        <v/>
      </c>
      <c r="O32" s="41">
        <f>$H$19-130</f>
        <v/>
      </c>
      <c r="P32" s="41">
        <f>$H$21-130</f>
        <v/>
      </c>
      <c r="Q32" s="41">
        <f>$I$5*$J$1</f>
        <v/>
      </c>
      <c r="W32" s="81" t="inlineStr">
        <is>
          <t>บานคี่</t>
        </is>
      </c>
    </row>
    <row r="33" ht="34.95" customHeight="1" s="92"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  <c r="W33" s="12" t="inlineStr">
        <is>
          <t>คิ้วกระจก5-12มิล (ตั้ง) (บานคี่)</t>
        </is>
      </c>
      <c r="X33" s="11" t="inlineStr">
        <is>
          <t>F7935</t>
        </is>
      </c>
      <c r="Y33" s="11" t="n">
        <v>0.285</v>
      </c>
    </row>
    <row r="34" ht="34.95" customHeight="1" s="92">
      <c r="B34" s="35" t="n"/>
      <c r="C34" s="35" t="n"/>
      <c r="D34" s="36" t="n"/>
      <c r="E34" s="36" t="n"/>
      <c r="F34" s="37" t="n"/>
      <c r="G34" s="36" t="n"/>
      <c r="H34" s="212" t="n"/>
      <c r="I34" s="37" t="n"/>
      <c r="J34" s="37" t="n"/>
      <c r="W34" s="12" t="inlineStr">
        <is>
          <t>คิ้วกระจก5-12มิล (ขวาง) (บานคี่)</t>
        </is>
      </c>
      <c r="X34" s="11" t="inlineStr">
        <is>
          <t>F7935</t>
        </is>
      </c>
      <c r="Y34" s="11" t="n">
        <v>0.285</v>
      </c>
    </row>
    <row r="35" ht="34.95" customHeight="1" s="92">
      <c r="B35" s="35" t="n"/>
      <c r="C35" s="35" t="n"/>
      <c r="D35" s="36" t="n"/>
      <c r="E35" s="36" t="n"/>
      <c r="F35" s="37" t="n"/>
      <c r="G35" s="36" t="n"/>
      <c r="H35" s="212" t="n"/>
      <c r="I35" s="37" t="n"/>
      <c r="J35" s="37" t="n"/>
      <c r="W35" s="12" t="inlineStr">
        <is>
          <t>คิ้วกระจก14-20มิล (ตั้ง) (บานคี่)</t>
        </is>
      </c>
      <c r="X35" s="11" t="inlineStr">
        <is>
          <t>F7949</t>
        </is>
      </c>
      <c r="Y35" s="11" t="n">
        <v>0.252</v>
      </c>
    </row>
    <row r="36" ht="34.95" customHeight="1" s="92">
      <c r="B36" s="35" t="n"/>
      <c r="C36" s="35" t="n"/>
      <c r="D36" s="36" t="n"/>
      <c r="E36" s="36" t="n"/>
      <c r="F36" s="37" t="n"/>
      <c r="G36" s="36" t="n"/>
      <c r="H36" s="212" t="n"/>
      <c r="I36" s="37" t="n"/>
      <c r="J36" s="37" t="n"/>
      <c r="W36" s="12" t="inlineStr">
        <is>
          <t>คิ้วกระจก14-20มิล (ขวาง) (บานคี่)</t>
        </is>
      </c>
      <c r="X36" s="11" t="inlineStr">
        <is>
          <t>F7949</t>
        </is>
      </c>
      <c r="Y36" s="11" t="n">
        <v>0.252</v>
      </c>
    </row>
    <row r="37" ht="34.95" customHeight="1" s="92">
      <c r="B37" s="35" t="n"/>
      <c r="C37" s="35" t="n"/>
      <c r="D37" s="36" t="n"/>
      <c r="E37" s="36" t="n"/>
      <c r="F37" s="37" t="n"/>
      <c r="G37" s="36" t="n"/>
      <c r="H37" s="212" t="n"/>
      <c r="I37" s="37" t="n"/>
      <c r="J37" s="37" t="n"/>
      <c r="W37" s="12" t="inlineStr">
        <is>
          <t>คิ้วสำหรับกระจกมู่ลี่ (ตั้ง) (บานคี่)</t>
        </is>
      </c>
      <c r="X37" s="11" t="inlineStr">
        <is>
          <t>F7853</t>
        </is>
      </c>
      <c r="Y37" s="11" t="n">
        <v>0.22</v>
      </c>
    </row>
    <row r="38" ht="34.95" customHeight="1" s="92">
      <c r="B38" s="35" t="n"/>
      <c r="C38" s="35" t="n"/>
      <c r="D38" s="36" t="n"/>
      <c r="E38" s="36" t="n"/>
      <c r="F38" s="37" t="n"/>
      <c r="G38" s="36" t="n"/>
      <c r="H38" s="212" t="n"/>
      <c r="I38" s="37" t="n"/>
      <c r="J38" s="37" t="n"/>
      <c r="W38" s="12" t="inlineStr">
        <is>
          <t>คิ้วสำหรับกระจกมู่ลี่ (ขวาง) (บานคี่)</t>
        </is>
      </c>
      <c r="X38" s="11" t="inlineStr">
        <is>
          <t>F7853</t>
        </is>
      </c>
      <c r="Y38" s="11" t="n">
        <v>0.22</v>
      </c>
    </row>
    <row r="39" ht="34.95" customHeight="1" s="92">
      <c r="B39" s="35" t="n"/>
      <c r="C39" s="35" t="n"/>
      <c r="D39" s="36" t="n"/>
      <c r="E39" s="36" t="n"/>
      <c r="F39" s="37" t="n"/>
      <c r="G39" s="36" t="n"/>
      <c r="H39" s="212" t="n"/>
      <c r="I39" s="37" t="n"/>
      <c r="J39" s="37" t="n"/>
    </row>
    <row r="40" ht="34.95" customHeight="1" s="92">
      <c r="B40" s="35" t="n"/>
      <c r="C40" s="35" t="n"/>
      <c r="D40" s="36" t="n"/>
      <c r="E40" s="36" t="n"/>
      <c r="F40" s="37" t="n"/>
      <c r="G40" s="36" t="n"/>
      <c r="H40" s="212" t="n"/>
      <c r="I40" s="37" t="n"/>
      <c r="J40" s="37" t="n"/>
    </row>
    <row r="41" ht="34.95" customHeight="1" s="92">
      <c r="A41" s="36" t="n"/>
      <c r="B41" s="35" t="n"/>
      <c r="C41" s="35" t="n"/>
      <c r="D41" s="36" t="n"/>
      <c r="E41" s="36" t="n"/>
      <c r="F41" s="37" t="n"/>
      <c r="G41" s="36" t="n"/>
      <c r="H41" s="212" t="n"/>
      <c r="I41" s="37" t="n"/>
      <c r="J41" s="37" t="n"/>
    </row>
    <row r="42" ht="34.95" customHeight="1" s="92">
      <c r="A42" s="36" t="n"/>
      <c r="B42" s="35" t="n"/>
      <c r="C42" s="35" t="n"/>
      <c r="D42" s="36" t="n"/>
      <c r="E42" s="36" t="n"/>
      <c r="F42" s="37" t="n"/>
      <c r="G42" s="36" t="n"/>
      <c r="H42" s="212" t="n"/>
      <c r="I42" s="37" t="n"/>
      <c r="J42" s="37" t="n"/>
    </row>
    <row r="43" ht="34.95" customHeight="1" s="92">
      <c r="A43" s="15" t="n"/>
      <c r="B43" s="16" t="n"/>
      <c r="F43" s="17" t="n"/>
      <c r="G43" s="6" t="n"/>
      <c r="H43" s="193" t="n"/>
      <c r="I43" s="17" t="n"/>
      <c r="J43" s="17" t="n"/>
    </row>
    <row r="44" ht="34.95" customHeight="1" s="92">
      <c r="G44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mergeCells count="34">
    <mergeCell ref="A8:J8"/>
    <mergeCell ref="E23:E26"/>
    <mergeCell ref="J16:J18"/>
    <mergeCell ref="E5:F5"/>
    <mergeCell ref="J19:J22"/>
    <mergeCell ref="L8:Q8"/>
    <mergeCell ref="C10:C11"/>
    <mergeCell ref="E10:E11"/>
    <mergeCell ref="E19:E22"/>
    <mergeCell ref="A12:A13"/>
    <mergeCell ref="E16:E18"/>
    <mergeCell ref="C12:C13"/>
    <mergeCell ref="C25:C26"/>
    <mergeCell ref="C21:C22"/>
    <mergeCell ref="D12:D13"/>
    <mergeCell ref="D30:F30"/>
    <mergeCell ref="E6:F6"/>
    <mergeCell ref="C23:C24"/>
    <mergeCell ref="A23:A26"/>
    <mergeCell ref="J12:J13"/>
    <mergeCell ref="A10:A11"/>
    <mergeCell ref="A19:A22"/>
    <mergeCell ref="C19:C20"/>
    <mergeCell ref="D10:D11"/>
    <mergeCell ref="D23:D26"/>
    <mergeCell ref="A16:A18"/>
    <mergeCell ref="E12:E13"/>
    <mergeCell ref="C16:C18"/>
    <mergeCell ref="J10:J11"/>
    <mergeCell ref="O30:Q30"/>
    <mergeCell ref="D16:D18"/>
    <mergeCell ref="C2:F2"/>
    <mergeCell ref="D19:D22"/>
    <mergeCell ref="J23:J26"/>
  </mergeCells>
  <conditionalFormatting sqref="N31">
    <cfRule type="cellIs" priority="20" operator="greaterThanOrEqual" dxfId="1">
      <formula>45.5</formula>
    </cfRule>
    <cfRule type="cellIs" priority="21" operator="greaterThanOrEqual" dxfId="0">
      <formula>40</formula>
    </cfRule>
  </conditionalFormatting>
  <conditionalFormatting sqref="M28:Q29 P26:Q26">
    <cfRule type="expression" priority="22" dxfId="2">
      <formula>$E$6=33</formula>
    </cfRule>
    <cfRule type="expression" priority="23" dxfId="2">
      <formula>$E$6=20</formula>
    </cfRule>
    <cfRule type="expression" priority="24" dxfId="2">
      <formula>$E$6=18</formula>
    </cfRule>
    <cfRule type="expression" priority="25" dxfId="2">
      <formula>$E$6=12</formula>
    </cfRule>
    <cfRule type="expression" priority="26" dxfId="2">
      <formula>$E$6=10</formula>
    </cfRule>
  </conditionalFormatting>
  <conditionalFormatting sqref="C31">
    <cfRule type="cellIs" priority="1" operator="greaterThanOrEqual" dxfId="1">
      <formula>50.5</formula>
    </cfRule>
    <cfRule type="cellIs" priority="2" operator="greaterThanOrEqual" dxfId="0">
      <formula>45</formula>
    </cfRule>
  </conditionalFormatting>
  <dataValidations count="4">
    <dataValidation sqref="I7" showDropDown="0" showInputMessage="1" showErrorMessage="1" allowBlank="1" type="list">
      <formula1>"2,4,6,8,10"</formula1>
    </dataValidation>
    <dataValidation sqref="E6" showDropDown="0" showInputMessage="1" showErrorMessage="1" allowBlank="1" type="list">
      <formula1>"5,6,8,10,12,14,16,18,20,29,30,33"</formula1>
    </dataValidation>
    <dataValidation sqref="D6" showDropDown="0" showInputMessage="1" showErrorMessage="1" allowBlank="1" type="list">
      <formula1>"ขาว,ดำ"</formula1>
    </dataValidation>
    <dataValidation sqref="I5" showDropDown="0" showInputMessage="1" showErrorMessage="1" allowBlank="1" type="list">
      <formula1>"1,3,5,7,9"</formula1>
    </dataValidation>
  </dataValidations>
  <printOptions horizontalCentered="1"/>
  <pageMargins left="0" right="0" top="0.4724409448818898" bottom="0" header="0.3149606299212598" footer="0.3149606299212598"/>
  <pageSetup orientation="landscape" scale="54"/>
</worksheet>
</file>

<file path=xl/worksheets/sheet8.xml><?xml version="1.0" encoding="utf-8"?>
<worksheet xmlns="http://schemas.openxmlformats.org/spreadsheetml/2006/main">
  <sheetPr codeName="Sheet8">
    <tabColor rgb="FFFFFF00"/>
    <outlinePr summaryBelow="1" summaryRight="1"/>
    <pageSetUpPr/>
  </sheetPr>
  <dimension ref="A1:AS44"/>
  <sheetViews>
    <sheetView view="pageBreakPreview" zoomScale="70" zoomScaleNormal="55" zoomScaleSheetLayoutView="70" workbookViewId="0">
      <selection activeCell="K12" sqref="K12"/>
    </sheetView>
  </sheetViews>
  <sheetFormatPr baseColWidth="8" defaultColWidth="8.8984375" defaultRowHeight="13.8"/>
  <cols>
    <col width="8.69921875" customWidth="1" style="6" min="1" max="1"/>
    <col width="30.3984375" bestFit="1" customWidth="1" style="16" min="2" max="2"/>
    <col width="16" customWidth="1" style="16" min="3" max="3"/>
    <col width="13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10.09765625" bestFit="1" customWidth="1" style="17" min="9" max="9"/>
    <col width="8.69921875" customWidth="1" style="17" min="10" max="10"/>
    <col width="5.699218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outlineLevel="1" width="8.69921875" customWidth="1" style="6" min="22" max="22"/>
    <col outlineLevel="1" width="35.69921875" customWidth="1" style="6" min="23" max="23"/>
    <col outlineLevel="1" width="10.69921875" customWidth="1" style="6" min="24" max="28"/>
    <col outlineLevel="1" width="22" customWidth="1" style="6" min="29" max="29"/>
    <col outlineLevel="1" width="10.69921875" customWidth="1" style="6" min="30" max="32"/>
    <col outlineLevel="1" width="23.69921875" customWidth="1" style="6" min="33" max="33"/>
    <col outlineLevel="1" width="10.69921875" customWidth="1" style="6" min="34" max="35"/>
    <col outlineLevel="1" width="8.8984375" customWidth="1" style="6" min="36" max="37"/>
    <col outlineLevel="1" width="10.69921875" customWidth="1" style="6" min="38" max="38"/>
    <col outlineLevel="1" width="22" customWidth="1" style="6" min="39" max="39"/>
    <col outlineLevel="1" width="10.69921875" customWidth="1" style="6" min="40" max="42"/>
    <col outlineLevel="1" width="23.69921875" customWidth="1" style="6" min="43" max="43"/>
    <col outlineLevel="1" width="10.69921875" customWidth="1" style="6" min="44" max="45"/>
    <col outlineLevel="1" width="8.8984375" customWidth="1" style="6" min="46" max="46"/>
    <col width="9.09765625" customWidth="1" style="92" min="47" max="47"/>
    <col width="8.8984375" customWidth="1" style="6" min="48" max="16384"/>
  </cols>
  <sheetData>
    <row r="1" ht="19.95" customHeight="1" s="92">
      <c r="A1" s="1" t="n"/>
      <c r="H1" s="194" t="n"/>
      <c r="I1" s="101" t="inlineStr">
        <is>
          <t>Quantity</t>
        </is>
      </c>
      <c r="J1" s="101" t="n">
        <v>1</v>
      </c>
    </row>
    <row r="2" ht="19.95" customHeight="1" s="92">
      <c r="A2" s="7" t="n"/>
      <c r="C2" s="157" t="inlineStr">
        <is>
          <t xml:space="preserve">ใบงาน : </t>
        </is>
      </c>
      <c r="D2" s="6" t="n"/>
      <c r="E2" s="6" t="n"/>
      <c r="F2" s="6" t="n"/>
      <c r="J2" s="112" t="inlineStr">
        <is>
          <t>H</t>
        </is>
      </c>
    </row>
    <row r="3" ht="19.95" customHeight="1" s="92">
      <c r="G3" s="6" t="n"/>
      <c r="H3" s="6" t="n"/>
      <c r="I3" s="6" t="n"/>
      <c r="J3" s="101" t="n">
        <v>3000</v>
      </c>
      <c r="AA3" s="17" t="n"/>
    </row>
    <row r="4" ht="19.95" customHeight="1" s="92">
      <c r="G4" s="17" t="n"/>
      <c r="H4" s="110" t="inlineStr">
        <is>
          <t>บานคี่ เปิด</t>
        </is>
      </c>
      <c r="I4" s="111" t="inlineStr">
        <is>
          <t>จำนวนบาน</t>
        </is>
      </c>
      <c r="J4" s="112" t="inlineStr">
        <is>
          <t>W</t>
        </is>
      </c>
      <c r="K4" s="17" t="n"/>
    </row>
    <row r="5" ht="19.95" customHeight="1" s="92">
      <c r="D5" s="213" t="inlineStr">
        <is>
          <t>สีฮาร์ดแวร์</t>
        </is>
      </c>
      <c r="E5" s="213" t="inlineStr">
        <is>
          <t>GLASS กระจก</t>
        </is>
      </c>
      <c r="F5" s="196" t="n"/>
      <c r="G5" s="17" t="n"/>
      <c r="H5" s="17" t="n"/>
      <c r="I5" s="101" t="n">
        <v>3</v>
      </c>
      <c r="J5" s="101" t="n">
        <v>2500</v>
      </c>
    </row>
    <row r="6" ht="19.95" customHeight="1" s="92">
      <c r="D6" s="214" t="inlineStr">
        <is>
          <t>ขาว</t>
        </is>
      </c>
      <c r="E6" s="214" t="n">
        <v>6</v>
      </c>
      <c r="F6" s="196" t="n"/>
      <c r="G6" s="17" t="n"/>
      <c r="H6" s="110" t="inlineStr">
        <is>
          <t>บานคี่ ปิด</t>
        </is>
      </c>
      <c r="I6" s="111" t="inlineStr">
        <is>
          <t>จำนวนบาน</t>
        </is>
      </c>
      <c r="J6" s="112" t="inlineStr">
        <is>
          <t>W</t>
        </is>
      </c>
      <c r="T6" s="79" t="n"/>
    </row>
    <row r="7" ht="19.95" customHeight="1" s="92">
      <c r="G7" s="17" t="n"/>
      <c r="H7" s="17" t="n"/>
      <c r="I7" s="101" t="n">
        <v>3</v>
      </c>
      <c r="J7" s="101" t="n">
        <v>2500</v>
      </c>
    </row>
    <row r="8" ht="19.95" customFormat="1" customHeight="1" s="9" thickBot="1">
      <c r="A8" s="148" t="inlineStr">
        <is>
          <t>Die list  รายการดาย</t>
        </is>
      </c>
      <c r="B8" s="198" t="n"/>
      <c r="C8" s="198" t="n"/>
      <c r="D8" s="198" t="n"/>
      <c r="E8" s="198" t="n"/>
      <c r="F8" s="198" t="n"/>
      <c r="G8" s="198" t="n"/>
      <c r="H8" s="198" t="n"/>
      <c r="I8" s="198" t="n"/>
      <c r="J8" s="199" t="n"/>
      <c r="K8" s="19" t="n"/>
      <c r="L8" s="148" t="inlineStr">
        <is>
          <t>Parts list รายการฮาร์ดแวร์</t>
        </is>
      </c>
      <c r="M8" s="198" t="n"/>
      <c r="N8" s="198" t="n"/>
      <c r="O8" s="198" t="n"/>
      <c r="P8" s="198" t="n"/>
      <c r="Q8" s="199" t="n"/>
      <c r="W8" s="6" t="n"/>
      <c r="X8" s="6" t="n"/>
      <c r="Y8" s="6" t="n"/>
      <c r="Z8" s="6" t="n"/>
    </row>
    <row r="9" ht="40.2" customHeight="1" s="92" thickBot="1" thickTop="1">
      <c r="A9" s="20" t="inlineStr">
        <is>
          <t>No.</t>
        </is>
      </c>
      <c r="B9" s="20" t="inlineStr">
        <is>
          <t>ชื่อ</t>
        </is>
      </c>
      <c r="C9" s="20" t="inlineStr">
        <is>
          <t>หน้าดาย</t>
        </is>
      </c>
      <c r="D9" s="20" t="inlineStr">
        <is>
          <t>เบอร์ดาย</t>
        </is>
      </c>
      <c r="E9" s="20" t="inlineStr">
        <is>
          <t>น้ำหนัก</t>
        </is>
      </c>
      <c r="F9" s="22" t="inlineStr">
        <is>
          <t>จำนวน
/ชุด</t>
        </is>
      </c>
      <c r="G9" s="20" t="inlineStr">
        <is>
          <t>สูตรตัด</t>
        </is>
      </c>
      <c r="H9" s="200" t="inlineStr">
        <is>
          <t>ระยะตัด</t>
        </is>
      </c>
      <c r="I9" s="22" t="inlineStr">
        <is>
          <t>จำนวน
รวม</t>
        </is>
      </c>
      <c r="J9" s="22" t="inlineStr">
        <is>
          <t>เส้น 
6.4</t>
        </is>
      </c>
      <c r="K9" s="23" t="n"/>
      <c r="L9" s="20" t="inlineStr">
        <is>
          <t>No.</t>
        </is>
      </c>
      <c r="M9" s="20" t="inlineStr">
        <is>
          <t>ชื่อ</t>
        </is>
      </c>
      <c r="N9" s="20" t="inlineStr">
        <is>
          <t>รูป</t>
        </is>
      </c>
      <c r="O9" s="20" t="inlineStr">
        <is>
          <t>สี</t>
        </is>
      </c>
      <c r="P9" s="22" t="inlineStr">
        <is>
          <t>จำนวน
/ชุด</t>
        </is>
      </c>
      <c r="Q9" s="20" t="inlineStr">
        <is>
          <t>รวม</t>
        </is>
      </c>
      <c r="R9" s="201" t="inlineStr">
        <is>
          <t>บาท/ชิ้น</t>
        </is>
      </c>
      <c r="V9" s="81" t="inlineStr">
        <is>
          <t>บานคี่ เปิด</t>
        </is>
      </c>
      <c r="X9" s="104" t="n">
        <v>1</v>
      </c>
      <c r="Y9" s="105" t="n">
        <v>3</v>
      </c>
      <c r="Z9" s="105" t="n">
        <v>5</v>
      </c>
      <c r="AA9" s="105" t="n">
        <v>7</v>
      </c>
      <c r="AB9" s="106" t="n">
        <v>9</v>
      </c>
      <c r="AC9" s="75" t="inlineStr">
        <is>
          <t>บานคู่ ปิด</t>
        </is>
      </c>
      <c r="AD9" s="104" t="n">
        <v>1</v>
      </c>
      <c r="AE9" s="105" t="n">
        <v>3</v>
      </c>
      <c r="AF9" s="105" t="n">
        <v>5</v>
      </c>
      <c r="AG9" s="105" t="n">
        <v>7</v>
      </c>
      <c r="AH9" s="106" t="n">
        <v>9</v>
      </c>
    </row>
    <row r="10" ht="34.95" customHeight="1" s="92" thickTop="1">
      <c r="A10" s="161" t="n">
        <v>1</v>
      </c>
      <c r="B10" s="56" t="inlineStr">
        <is>
          <t>เฟรมบนบานเฟี้ยม (บานคี่ เปิด)</t>
        </is>
      </c>
      <c r="C10" s="161" t="n"/>
      <c r="D10" s="161" t="inlineStr">
        <is>
          <t>F7968</t>
        </is>
      </c>
      <c r="E10" s="161" t="n">
        <v>2.767</v>
      </c>
      <c r="F10" s="161" t="n">
        <v>1</v>
      </c>
      <c r="G10" s="161" t="inlineStr">
        <is>
          <t>W A-18</t>
        </is>
      </c>
      <c r="H10" s="202">
        <f>$J$5-18</f>
        <v/>
      </c>
      <c r="I10" s="161">
        <f>F10*$J$1</f>
        <v/>
      </c>
      <c r="J10" s="161">
        <f>ROUNDUP(((H10*I10)+(H11*I11))/6400,0)</f>
        <v/>
      </c>
      <c r="L10" s="161" t="n">
        <v>1</v>
      </c>
      <c r="M10" s="29" t="inlineStr">
        <is>
          <t>HD-640 บานพับล้อบนเฟี้ยม</t>
        </is>
      </c>
      <c r="N10" s="161" t="n"/>
      <c r="O10" s="161">
        <f>IF($D$6="ขาว","ขาว","ดำ")</f>
        <v/>
      </c>
      <c r="P10" s="109">
        <f>IF(AND($I$5=1,$I$7=1),X10+AD10,"")&amp;IF(AND($I$5=1,$I$7=3),X10+AE10,"")&amp;IF(AND($I$5=1,$I$7=5),X10+AF10,"")&amp;IF(AND($I$5=1,$I$7=7),X10+AG10,"")&amp;IF(AND($I$5=1,$I$7=9),X10+AH10,"")&amp;IF(AND($I$5=3,$I$7=1),Y10+AD10,"")&amp;IF(AND($I$5=3,$I$7=3),Y10+AE10,"")&amp;IF(AND($I$5=3,$I$7=5),Y10+AF10,"")&amp;IF(AND($I$5=3,$I$7=7),Y10+AG10,"")&amp;IF(AND($I$5=3,$I$7=9),Y10+AH10,"")&amp;IF(AND($I$5=5,$I$7=1),Z10+AD10,"")&amp;IF(AND($I$5=5,$I$7=3),Z10+AE10,"")&amp;IF(AND($I$5=5,$I$7=5),Z10+AF10,"")&amp;IF(AND($I$5=5,$I$7=7),Z10+AG10,"")&amp;IF(AND($I$5=5,$I$7=9),Z10+AH10,"")&amp;IF(AND($I$5=7,$I$7=1),AA10+AD10,"")&amp;IF(AND($I$5=7,$I$7=3),AA10+AE10,"")&amp;IF(AND($I$5=7,$I$7=5),AA10+AF10,"")&amp;IF(AND($I$5=7,$I$7=7),AA10+AG10,"")&amp;IF(AND($I$5=7,$I$7=9),AA10+AH10,"")&amp;IF(AND($I$5=9,$I$7=1),AB10+AD10,"")&amp;IF(AND($I$5=9,$I$7=3),AB10+AE10,"")&amp;IF(AND($I$5=9,$I$7=5),AB10+AF10,"")&amp;IF(AND($I$5=9,$I$7=7),AB10+AG10,"")&amp;IF(AND($I$5=9,$I$7=9),AB10+AH10,"")</f>
        <v/>
      </c>
      <c r="Q10" s="161">
        <f>$J$1*P10</f>
        <v/>
      </c>
      <c r="R10" s="193" t="n">
        <v>299</v>
      </c>
      <c r="V10" s="98" t="n">
        <v>1</v>
      </c>
      <c r="W10" s="99" t="inlineStr">
        <is>
          <t>HD-640 บานพับล้อบนเฟี้ยม</t>
        </is>
      </c>
      <c r="X10" s="100" t="n">
        <v>0</v>
      </c>
      <c r="Y10" s="103" t="n">
        <v>1</v>
      </c>
      <c r="Z10" s="103" t="n">
        <v>2</v>
      </c>
      <c r="AA10" s="103" t="n">
        <v>3</v>
      </c>
      <c r="AB10" s="103" t="n">
        <v>4</v>
      </c>
      <c r="AC10" s="102" t="n"/>
      <c r="AD10" s="100" t="n">
        <v>0</v>
      </c>
      <c r="AE10" s="103" t="n">
        <v>1</v>
      </c>
      <c r="AF10" s="103" t="n">
        <v>2</v>
      </c>
      <c r="AG10" s="103" t="n">
        <v>3</v>
      </c>
      <c r="AH10" s="103" t="n">
        <v>4</v>
      </c>
    </row>
    <row r="11" ht="34.95" customHeight="1" s="92">
      <c r="A11" s="203" t="n"/>
      <c r="B11" s="56" t="inlineStr">
        <is>
          <t>เฟรมบนบานเฟี้ยม  (บานคี่ ปิด)</t>
        </is>
      </c>
      <c r="C11" s="203" t="n"/>
      <c r="D11" s="203" t="n"/>
      <c r="E11" s="203" t="n"/>
      <c r="F11" s="161" t="n">
        <v>1</v>
      </c>
      <c r="G11" s="161" t="inlineStr">
        <is>
          <t>W B-18</t>
        </is>
      </c>
      <c r="H11" s="202">
        <f>$J$7-18</f>
        <v/>
      </c>
      <c r="I11" s="161">
        <f>F11*$J$1</f>
        <v/>
      </c>
      <c r="J11" s="203" t="n"/>
      <c r="L11" s="161" t="n">
        <v>2</v>
      </c>
      <c r="M11" s="29" t="inlineStr">
        <is>
          <t>HD-641 บานพับเฟี้ยม</t>
        </is>
      </c>
      <c r="N11" s="161" t="n"/>
      <c r="O11" s="161">
        <f>IF($D$6="ขาว","ขาว","ดำ")</f>
        <v/>
      </c>
      <c r="P11" s="109">
        <f>IF(AND($I$5=1,$I$7=1),X11+AD11,"")&amp;IF(AND($I$5=1,$I$7=3),X11+AE11,"")&amp;IF(AND($I$5=1,$I$7=5),X11+AF11,"")&amp;IF(AND($I$5=1,$I$7=7),X11+AG11,"")&amp;IF(AND($I$5=1,$I$7=9),X11+AH11,"")&amp;IF(AND($I$5=3,$I$7=1),Y11+AD11,"")&amp;IF(AND($I$5=3,$I$7=3),Y11+AE11,"")&amp;IF(AND($I$5=3,$I$7=5),Y11+AF11,"")&amp;IF(AND($I$5=3,$I$7=7),Y11+AG11,"")&amp;IF(AND($I$5=3,$I$7=9),Y11+AH11,"")&amp;IF(AND($I$5=5,$I$7=1),Z11+AD11,"")&amp;IF(AND($I$5=5,$I$7=3),Z11+AE11,"")&amp;IF(AND($I$5=5,$I$7=5),Z11+AF11,"")&amp;IF(AND($I$5=5,$I$7=7),Z11+AG11,"")&amp;IF(AND($I$5=5,$I$7=9),Z11+AH11,"")&amp;IF(AND($I$5=7,$I$7=1),AA11+AD11,"")&amp;IF(AND($I$5=7,$I$7=3),AA11+AE11,"")&amp;IF(AND($I$5=7,$I$7=5),AA11+AF11,"")&amp;IF(AND($I$5=7,$I$7=7),AA11+AG11,"")&amp;IF(AND($I$5=7,$I$7=9),AA11+AH11,"")&amp;IF(AND($I$5=9,$I$7=1),AB11+AD11,"")&amp;IF(AND($I$5=9,$I$7=3),AB11+AE11,"")&amp;IF(AND($I$5=9,$I$7=5),AB11+AF11,"")&amp;IF(AND($I$5=9,$I$7=7),AB11+AG11,"")&amp;IF(AND($I$5=9,$I$7=9),AB11+AH11,"")</f>
        <v/>
      </c>
      <c r="Q11" s="161">
        <f>$J$1*P11</f>
        <v/>
      </c>
      <c r="R11" s="193" t="n">
        <v>72</v>
      </c>
      <c r="V11" s="98" t="n">
        <v>2</v>
      </c>
      <c r="W11" s="99" t="inlineStr">
        <is>
          <t>HD-641 บานพับเฟี้ยม</t>
        </is>
      </c>
      <c r="X11" s="101">
        <f>IF($J$3&lt;=2700,3,4)</f>
        <v/>
      </c>
      <c r="Y11" s="101">
        <f>IF($J$3&lt;=2700,7,10)</f>
        <v/>
      </c>
      <c r="Z11" s="101">
        <f>IF($J$3&lt;=2700,11,16)</f>
        <v/>
      </c>
      <c r="AA11" s="101">
        <f>IF($J$3&lt;=2700,15,22)</f>
        <v/>
      </c>
      <c r="AB11" s="101">
        <f>IF($J$3&lt;=2700,19,28)</f>
        <v/>
      </c>
      <c r="AC11" s="102" t="n"/>
      <c r="AD11" s="101">
        <f>IF($J$3&lt;=2700,3,4)</f>
        <v/>
      </c>
      <c r="AE11" s="101">
        <f>IF($J$3&lt;=2700,7,10)</f>
        <v/>
      </c>
      <c r="AF11" s="101">
        <f>IF($J$3&lt;=2700,11,16)</f>
        <v/>
      </c>
      <c r="AG11" s="101">
        <f>IF($J$3&lt;=2700,15,22)</f>
        <v/>
      </c>
      <c r="AH11" s="101">
        <f>IF($J$3&lt;=2700,19,28)</f>
        <v/>
      </c>
    </row>
    <row r="12" ht="34.95" customHeight="1" s="92">
      <c r="A12" s="153" t="n">
        <v>2</v>
      </c>
      <c r="B12" s="46" t="inlineStr">
        <is>
          <t>เฟรมล่างบานเฟี้ยม (บานคี่ เปิด)</t>
        </is>
      </c>
      <c r="C12" s="153" t="n"/>
      <c r="D12" s="153" t="inlineStr">
        <is>
          <t>F7969</t>
        </is>
      </c>
      <c r="E12" s="153" t="n">
        <v>1.533</v>
      </c>
      <c r="F12" s="153" t="n">
        <v>1</v>
      </c>
      <c r="G12" s="153" t="inlineStr">
        <is>
          <t>W A-18</t>
        </is>
      </c>
      <c r="H12" s="204">
        <f>$J$5-18</f>
        <v/>
      </c>
      <c r="I12" s="153">
        <f>F12*$J$1</f>
        <v/>
      </c>
      <c r="J12" s="153">
        <f>ROUNDUP(((H12*I12)+(H13*I13))/6400,0)</f>
        <v/>
      </c>
      <c r="L12" s="161" t="n">
        <v>3</v>
      </c>
      <c r="M12" s="29" t="inlineStr">
        <is>
          <t>HD-642 บานพับมือจับเฟี้ยม</t>
        </is>
      </c>
      <c r="N12" s="161" t="n"/>
      <c r="O12" s="161">
        <f>IF($D$6="ขาว","ขาว","ดำ")</f>
        <v/>
      </c>
      <c r="P12" s="109">
        <f>IF(AND($I$5=1,$I$7=1),X12+AD12,"")&amp;IF(AND($I$5=1,$I$7=3),X12+AE12,"")&amp;IF(AND($I$5=1,$I$7=5),X12+AF12,"")&amp;IF(AND($I$5=1,$I$7=7),X12+AG12,"")&amp;IF(AND($I$5=1,$I$7=9),X12+AH12,"")&amp;IF(AND($I$5=3,$I$7=1),Y12+AD12,"")&amp;IF(AND($I$5=3,$I$7=3),Y12+AE12,"")&amp;IF(AND($I$5=3,$I$7=5),Y12+AF12,"")&amp;IF(AND($I$5=3,$I$7=7),Y12+AG12,"")&amp;IF(AND($I$5=3,$I$7=9),Y12+AH12,"")&amp;IF(AND($I$5=5,$I$7=1),Z12+AD12,"")&amp;IF(AND($I$5=5,$I$7=3),Z12+AE12,"")&amp;IF(AND($I$5=5,$I$7=5),Z12+AF12,"")&amp;IF(AND($I$5=5,$I$7=7),Z12+AG12,"")&amp;IF(AND($I$5=5,$I$7=9),Z12+AH12,"")&amp;IF(AND($I$5=7,$I$7=1),AA12+AD12,"")&amp;IF(AND($I$5=7,$I$7=3),AA12+AE12,"")&amp;IF(AND($I$5=7,$I$7=5),AA12+AF12,"")&amp;IF(AND($I$5=7,$I$7=7),AA12+AG12,"")&amp;IF(AND($I$5=7,$I$7=9),AA12+AH12,"")&amp;IF(AND($I$5=9,$I$7=1),AB12+AD12,"")&amp;IF(AND($I$5=9,$I$7=3),AB12+AE12,"")&amp;IF(AND($I$5=9,$I$7=5),AB12+AF12,"")&amp;IF(AND($I$5=9,$I$7=7),AB12+AG12,"")&amp;IF(AND($I$5=9,$I$7=9),AB12+AH12,"")</f>
        <v/>
      </c>
      <c r="Q12" s="161">
        <f>$J$1*P12</f>
        <v/>
      </c>
      <c r="R12" s="193" t="n">
        <v>109</v>
      </c>
      <c r="V12" s="98" t="n">
        <v>3</v>
      </c>
      <c r="W12" s="99" t="inlineStr">
        <is>
          <t>HD-642 บานพับมือจับเฟี้ยม</t>
        </is>
      </c>
      <c r="X12" s="98" t="n">
        <v>0</v>
      </c>
      <c r="Y12" s="101" t="n">
        <v>1</v>
      </c>
      <c r="Z12" s="101" t="n">
        <v>2</v>
      </c>
      <c r="AA12" s="101" t="n">
        <v>3</v>
      </c>
      <c r="AB12" s="101" t="n">
        <v>4</v>
      </c>
      <c r="AC12" s="102" t="n"/>
      <c r="AD12" s="98" t="n">
        <v>0</v>
      </c>
      <c r="AE12" s="101" t="n">
        <v>1</v>
      </c>
      <c r="AF12" s="101" t="n">
        <v>2</v>
      </c>
      <c r="AG12" s="101" t="n">
        <v>3</v>
      </c>
      <c r="AH12" s="101" t="n">
        <v>4</v>
      </c>
    </row>
    <row r="13" ht="34.95" customHeight="1" s="92">
      <c r="A13" s="203" t="n"/>
      <c r="B13" s="46" t="inlineStr">
        <is>
          <t>เฟรมล่างบานเฟี้ยม (บานคี่ ปิด)</t>
        </is>
      </c>
      <c r="C13" s="203" t="n"/>
      <c r="D13" s="203" t="n"/>
      <c r="E13" s="203" t="n"/>
      <c r="F13" s="153" t="n">
        <v>1</v>
      </c>
      <c r="G13" s="153" t="inlineStr">
        <is>
          <t>W B-18</t>
        </is>
      </c>
      <c r="H13" s="204">
        <f>$J$7-18</f>
        <v/>
      </c>
      <c r="I13" s="153">
        <f>F13*$J$1</f>
        <v/>
      </c>
      <c r="J13" s="203" t="n"/>
      <c r="L13" s="161" t="n">
        <v>4</v>
      </c>
      <c r="M13" s="29" t="inlineStr">
        <is>
          <t>HD-643 บานพับไกด์ล่างเฟี้ยม</t>
        </is>
      </c>
      <c r="N13" s="161" t="n"/>
      <c r="O13" s="161">
        <f>IF($D$6="ขาว","ขาว","ดำ")</f>
        <v/>
      </c>
      <c r="P13" s="109">
        <f>IF(AND($I$5=1,$I$7=1),X13+AD13,"")&amp;IF(AND($I$5=1,$I$7=3),X13+AE13,"")&amp;IF(AND($I$5=1,$I$7=5),X13+AF13,"")&amp;IF(AND($I$5=1,$I$7=7),X13+AG13,"")&amp;IF(AND($I$5=1,$I$7=9),X13+AH13,"")&amp;IF(AND($I$5=3,$I$7=1),Y13+AD13,"")&amp;IF(AND($I$5=3,$I$7=3),Y13+AE13,"")&amp;IF(AND($I$5=3,$I$7=5),Y13+AF13,"")&amp;IF(AND($I$5=3,$I$7=7),Y13+AG13,"")&amp;IF(AND($I$5=3,$I$7=9),Y13+AH13,"")&amp;IF(AND($I$5=5,$I$7=1),Z13+AD13,"")&amp;IF(AND($I$5=5,$I$7=3),Z13+AE13,"")&amp;IF(AND($I$5=5,$I$7=5),Z13+AF13,"")&amp;IF(AND($I$5=5,$I$7=7),Z13+AG13,"")&amp;IF(AND($I$5=5,$I$7=9),Z13+AH13,"")&amp;IF(AND($I$5=7,$I$7=1),AA13+AD13,"")&amp;IF(AND($I$5=7,$I$7=3),AA13+AE13,"")&amp;IF(AND($I$5=7,$I$7=5),AA13+AF13,"")&amp;IF(AND($I$5=7,$I$7=7),AA13+AG13,"")&amp;IF(AND($I$5=7,$I$7=9),AA13+AH13,"")&amp;IF(AND($I$5=9,$I$7=1),AB13+AD13,"")&amp;IF(AND($I$5=9,$I$7=3),AB13+AE13,"")&amp;IF(AND($I$5=9,$I$7=5),AB13+AF13,"")&amp;IF(AND($I$5=9,$I$7=7),AB13+AG13,"")&amp;IF(AND($I$5=9,$I$7=9),AB13+AH13,"")</f>
        <v/>
      </c>
      <c r="Q13" s="161">
        <f>$J$1*P13</f>
        <v/>
      </c>
      <c r="R13" s="193" t="n">
        <v>199</v>
      </c>
      <c r="V13" s="98" t="n">
        <v>4</v>
      </c>
      <c r="W13" s="99" t="inlineStr">
        <is>
          <t>HD-643 บานพับไกด์ล่างเฟี้ยม</t>
        </is>
      </c>
      <c r="X13" s="98" t="n">
        <v>0</v>
      </c>
      <c r="Y13" s="101" t="n">
        <v>1</v>
      </c>
      <c r="Z13" s="101" t="n">
        <v>2</v>
      </c>
      <c r="AA13" s="101" t="n">
        <v>3</v>
      </c>
      <c r="AB13" s="101" t="n">
        <v>4</v>
      </c>
      <c r="AC13" s="102" t="n"/>
      <c r="AD13" s="98" t="n">
        <v>0</v>
      </c>
      <c r="AE13" s="101" t="n">
        <v>1</v>
      </c>
      <c r="AF13" s="101" t="n">
        <v>2</v>
      </c>
      <c r="AG13" s="101" t="n">
        <v>3</v>
      </c>
      <c r="AH13" s="101" t="n">
        <v>4</v>
      </c>
    </row>
    <row r="14" ht="34.95" customHeight="1" s="92">
      <c r="A14" s="161" t="n">
        <v>3</v>
      </c>
      <c r="B14" s="56" t="inlineStr">
        <is>
          <t>เฟรมข้างบานเฟี้ยม</t>
        </is>
      </c>
      <c r="C14" s="56" t="n"/>
      <c r="D14" s="161" t="inlineStr">
        <is>
          <t>F7970</t>
        </is>
      </c>
      <c r="E14" s="161" t="n">
        <v>0.9340000000000001</v>
      </c>
      <c r="F14" s="161" t="n">
        <v>2</v>
      </c>
      <c r="G14" s="161" t="inlineStr">
        <is>
          <t>H</t>
        </is>
      </c>
      <c r="H14" s="202">
        <f>$J$3</f>
        <v/>
      </c>
      <c r="I14" s="161">
        <f>F14*$J$1</f>
        <v/>
      </c>
      <c r="J14" s="161">
        <f>ROUNDUP((H14*I14)/6400,0)</f>
        <v/>
      </c>
      <c r="L14" s="161" t="n">
        <v>5</v>
      </c>
      <c r="M14" s="29" t="inlineStr">
        <is>
          <t>HD-474 มือจับกลอนรุ่นก้านโยก</t>
        </is>
      </c>
      <c r="N14" s="161" t="n"/>
      <c r="O14" s="161">
        <f>IF($D$6="ขาว","ขาว","ดำ")</f>
        <v/>
      </c>
      <c r="P14" s="109">
        <f>IF(AND($I$5=1,$I$7=1),X14+AD14,"")&amp;IF(AND($I$5=1,$I$7=3),X14+AE14,"")&amp;IF(AND($I$5=1,$I$7=5),X14+AF14,"")&amp;IF(AND($I$5=1,$I$7=7),X14+AG14,"")&amp;IF(AND($I$5=1,$I$7=9),X14+AH14,"")&amp;IF(AND($I$5=3,$I$7=1),Y14+AD14,"")&amp;IF(AND($I$5=3,$I$7=3),Y14+AE14,"")&amp;IF(AND($I$5=3,$I$7=5),Y14+AF14,"")&amp;IF(AND($I$5=3,$I$7=7),Y14+AG14,"")&amp;IF(AND($I$5=3,$I$7=9),Y14+AH14,"")&amp;IF(AND($I$5=5,$I$7=1),Z14+AD14,"")&amp;IF(AND($I$5=5,$I$7=3),Z14+AE14,"")&amp;IF(AND($I$5=5,$I$7=5),Z14+AF14,"")&amp;IF(AND($I$5=5,$I$7=7),Z14+AG14,"")&amp;IF(AND($I$5=5,$I$7=9),Z14+AH14,"")&amp;IF(AND($I$5=7,$I$7=1),AA14+AD14,"")&amp;IF(AND($I$5=7,$I$7=3),AA14+AE14,"")&amp;IF(AND($I$5=7,$I$7=5),AA14+AF14,"")&amp;IF(AND($I$5=7,$I$7=7),AA14+AG14,"")&amp;IF(AND($I$5=7,$I$7=9),AA14+AH14,"")&amp;IF(AND($I$5=9,$I$7=1),AB14+AD14,"")&amp;IF(AND($I$5=9,$I$7=3),AB14+AE14,"")&amp;IF(AND($I$5=9,$I$7=5),AB14+AF14,"")&amp;IF(AND($I$5=9,$I$7=7),AB14+AG14,"")&amp;IF(AND($I$5=9,$I$7=9),AB14+AH14,"")</f>
        <v/>
      </c>
      <c r="Q14" s="161">
        <f>$J$1*P14</f>
        <v/>
      </c>
      <c r="R14" s="193" t="n">
        <v>85</v>
      </c>
      <c r="V14" s="98" t="n">
        <v>5</v>
      </c>
      <c r="W14" s="99" t="inlineStr">
        <is>
          <t>HD-474 มือจับกลอนรุ่นก้านโยก</t>
        </is>
      </c>
      <c r="X14" s="98" t="n">
        <v>0</v>
      </c>
      <c r="Y14" s="101" t="n">
        <v>1</v>
      </c>
      <c r="Z14" s="101" t="n">
        <v>2</v>
      </c>
      <c r="AA14" s="101" t="n">
        <v>3</v>
      </c>
      <c r="AB14" s="101" t="n">
        <v>4</v>
      </c>
      <c r="AC14" s="102" t="n"/>
      <c r="AD14" s="98" t="n">
        <v>0</v>
      </c>
      <c r="AE14" s="101" t="n">
        <v>1</v>
      </c>
      <c r="AF14" s="101" t="n">
        <v>2</v>
      </c>
      <c r="AG14" s="101" t="n">
        <v>3</v>
      </c>
      <c r="AH14" s="101" t="n">
        <v>4</v>
      </c>
    </row>
    <row r="15" ht="34.95" customHeight="1" s="92">
      <c r="A15" s="161" t="n">
        <v>4</v>
      </c>
      <c r="B15" s="56" t="inlineStr">
        <is>
          <t>คิ้วตบเฟรมข้าง</t>
        </is>
      </c>
      <c r="C15" s="56" t="n"/>
      <c r="D15" s="161" t="inlineStr">
        <is>
          <t>F7971</t>
        </is>
      </c>
      <c r="E15" s="161" t="n">
        <v>0.4</v>
      </c>
      <c r="F15" s="161" t="n">
        <v>2</v>
      </c>
      <c r="G15" s="161" t="inlineStr">
        <is>
          <t>H-75-45</t>
        </is>
      </c>
      <c r="H15" s="202">
        <f>$J$3-75-45</f>
        <v/>
      </c>
      <c r="I15" s="161">
        <f>F15*$J$1</f>
        <v/>
      </c>
      <c r="J15" s="161">
        <f>ROUNDUP((H15*I15)/6400,0)</f>
        <v/>
      </c>
      <c r="L15" s="161" t="n">
        <v>6</v>
      </c>
      <c r="M15" s="29" t="inlineStr">
        <is>
          <t>HD-312 ตลับกลอนก้านโยกมัลติล็อค</t>
        </is>
      </c>
      <c r="N15" s="161" t="n"/>
      <c r="O15" s="161">
        <f>IF($D$6="ขาว","ขาว","ดำ")</f>
        <v/>
      </c>
      <c r="P15" s="109">
        <f>IF(AND($I$5=1,$I$7=1),X15+AD15,"")&amp;IF(AND($I$5=1,$I$7=3),X15+AE15,"")&amp;IF(AND($I$5=1,$I$7=5),X15+AF15,"")&amp;IF(AND($I$5=1,$I$7=7),X15+AG15,"")&amp;IF(AND($I$5=1,$I$7=9),X15+AH15,"")&amp;IF(AND($I$5=3,$I$7=1),Y15+AD15,"")&amp;IF(AND($I$5=3,$I$7=3),Y15+AE15,"")&amp;IF(AND($I$5=3,$I$7=5),Y15+AF15,"")&amp;IF(AND($I$5=3,$I$7=7),Y15+AG15,"")&amp;IF(AND($I$5=3,$I$7=9),Y15+AH15,"")&amp;IF(AND($I$5=5,$I$7=1),Z15+AD15,"")&amp;IF(AND($I$5=5,$I$7=3),Z15+AE15,"")&amp;IF(AND($I$5=5,$I$7=5),Z15+AF15,"")&amp;IF(AND($I$5=5,$I$7=7),Z15+AG15,"")&amp;IF(AND($I$5=5,$I$7=9),Z15+AH15,"")&amp;IF(AND($I$5=7,$I$7=1),AA15+AD15,"")&amp;IF(AND($I$5=7,$I$7=3),AA15+AE15,"")&amp;IF(AND($I$5=7,$I$7=5),AA15+AF15,"")&amp;IF(AND($I$5=7,$I$7=7),AA15+AG15,"")&amp;IF(AND($I$5=7,$I$7=9),AA15+AH15,"")&amp;IF(AND($I$5=9,$I$7=1),AB15+AD15,"")&amp;IF(AND($I$5=9,$I$7=3),AB15+AE15,"")&amp;IF(AND($I$5=9,$I$7=5),AB15+AF15,"")&amp;IF(AND($I$5=9,$I$7=7),AB15+AG15,"")&amp;IF(AND($I$5=9,$I$7=9),AB15+AH15,"")</f>
        <v/>
      </c>
      <c r="Q15" s="161">
        <f>$J$1*P15</f>
        <v/>
      </c>
      <c r="R15" s="193" t="n">
        <v>88</v>
      </c>
      <c r="V15" s="98" t="n">
        <v>6</v>
      </c>
      <c r="W15" s="99" t="inlineStr">
        <is>
          <t>HD-312 ตลับกลอนก้านโยกมัลติล็อค</t>
        </is>
      </c>
      <c r="X15" s="98" t="n">
        <v>0</v>
      </c>
      <c r="Y15" s="101" t="n">
        <v>1</v>
      </c>
      <c r="Z15" s="101" t="n">
        <v>2</v>
      </c>
      <c r="AA15" s="101" t="n">
        <v>3</v>
      </c>
      <c r="AB15" s="101" t="n">
        <v>4</v>
      </c>
      <c r="AC15" s="102" t="n"/>
      <c r="AD15" s="98" t="n">
        <v>0</v>
      </c>
      <c r="AE15" s="101" t="n">
        <v>1</v>
      </c>
      <c r="AF15" s="101" t="n">
        <v>2</v>
      </c>
      <c r="AG15" s="101" t="n">
        <v>3</v>
      </c>
      <c r="AH15" s="101" t="n">
        <v>4</v>
      </c>
    </row>
    <row r="16" ht="34.95" customHeight="1" s="92">
      <c r="A16" s="153" t="n">
        <v>5</v>
      </c>
      <c r="B16" s="46" t="inlineStr">
        <is>
          <t>ตบปิดเฟรม (ตั้ง)</t>
        </is>
      </c>
      <c r="C16" s="153" t="n"/>
      <c r="D16" s="153" t="inlineStr">
        <is>
          <t>F7973</t>
        </is>
      </c>
      <c r="E16" s="153" t="n">
        <v>0.19</v>
      </c>
      <c r="F16" s="153" t="n">
        <v>2</v>
      </c>
      <c r="G16" s="153" t="inlineStr">
        <is>
          <t>H-75-45</t>
        </is>
      </c>
      <c r="H16" s="204">
        <f>$J$3-75-45</f>
        <v/>
      </c>
      <c r="I16" s="153">
        <f>F16*$J$1</f>
        <v/>
      </c>
      <c r="J16" s="153">
        <f>ROUNDUP(((H16*I16)+(H17*I17)+(H18*I18))/6400,0)</f>
        <v/>
      </c>
      <c r="L16" s="161" t="n">
        <v>7</v>
      </c>
      <c r="M16" s="29" t="inlineStr">
        <is>
          <t>HD-1180 ก้าน AL สไลด์ 19.5 mm</t>
        </is>
      </c>
      <c r="N16" s="161" t="n"/>
      <c r="O16" s="161">
        <f>IF($D$6="ขาว","ขาว","ดำ")</f>
        <v/>
      </c>
      <c r="P16" s="109">
        <f>IF(AND($I$5=1,$I$7=1),X16+AD16,"")&amp;IF(AND($I$5=1,$I$7=3),X16+AE16,"")&amp;IF(AND($I$5=1,$I$7=5),X16+AF16,"")&amp;IF(AND($I$5=1,$I$7=7),X16+AG16,"")&amp;IF(AND($I$5=1,$I$7=9),X16+AH16,"")&amp;IF(AND($I$5=3,$I$7=1),Y16+AD16,"")&amp;IF(AND($I$5=3,$I$7=3),Y16+AE16,"")&amp;IF(AND($I$5=3,$I$7=5),Y16+AF16,"")&amp;IF(AND($I$5=3,$I$7=7),Y16+AG16,"")&amp;IF(AND($I$5=3,$I$7=9),Y16+AH16,"")&amp;IF(AND($I$5=5,$I$7=1),Z16+AD16,"")&amp;IF(AND($I$5=5,$I$7=3),Z16+AE16,"")&amp;IF(AND($I$5=5,$I$7=5),Z16+AF16,"")&amp;IF(AND($I$5=5,$I$7=7),Z16+AG16,"")&amp;IF(AND($I$5=5,$I$7=9),Z16+AH16,"")&amp;IF(AND($I$5=7,$I$7=1),AA16+AD16,"")&amp;IF(AND($I$5=7,$I$7=3),AA16+AE16,"")&amp;IF(AND($I$5=7,$I$7=5),AA16+AF16,"")&amp;IF(AND($I$5=7,$I$7=7),AA16+AG16,"")&amp;IF(AND($I$5=7,$I$7=9),AA16+AH16,"")&amp;IF(AND($I$5=9,$I$7=1),AB16+AD16,"")&amp;IF(AND($I$5=9,$I$7=3),AB16+AE16,"")&amp;IF(AND($I$5=9,$I$7=5),AB16+AF16,"")&amp;IF(AND($I$5=9,$I$7=7),AB16+AG16,"")&amp;IF(AND($I$5=9,$I$7=9),AB16+AH16,"")</f>
        <v/>
      </c>
      <c r="Q16" s="161">
        <f>$J$1*P16</f>
        <v/>
      </c>
      <c r="R16" s="193" t="n">
        <v>73</v>
      </c>
      <c r="S16" s="6">
        <f>((H19*I19)/1000)*E19</f>
        <v/>
      </c>
      <c r="V16" s="98" t="n">
        <v>7</v>
      </c>
      <c r="W16" s="99" t="inlineStr">
        <is>
          <t>HD-1180 ก้าน AL สไลด์ 19.5 mm</t>
        </is>
      </c>
      <c r="X16" s="98" t="n">
        <v>0</v>
      </c>
      <c r="Y16" s="101">
        <f>Y15*2</f>
        <v/>
      </c>
      <c r="Z16" s="101">
        <f>Z15*2</f>
        <v/>
      </c>
      <c r="AA16" s="101">
        <f>AA15*2</f>
        <v/>
      </c>
      <c r="AB16" s="101">
        <f>AB15*2</f>
        <v/>
      </c>
      <c r="AC16" s="102" t="n"/>
      <c r="AD16" s="98" t="n">
        <v>0</v>
      </c>
      <c r="AE16" s="101">
        <f>AE15*2</f>
        <v/>
      </c>
      <c r="AF16" s="101">
        <f>AF15*2</f>
        <v/>
      </c>
      <c r="AG16" s="101">
        <f>AG15*2</f>
        <v/>
      </c>
      <c r="AH16" s="101">
        <f>AH15*2</f>
        <v/>
      </c>
    </row>
    <row r="17" ht="34.95" customHeight="1" s="92">
      <c r="A17" s="205" t="n"/>
      <c r="B17" s="46" t="inlineStr">
        <is>
          <t>ตบปิดเฟรม (นอน) (บานคี่ เปิด)</t>
        </is>
      </c>
      <c r="C17" s="205" t="n"/>
      <c r="D17" s="205" t="n"/>
      <c r="E17" s="205" t="n"/>
      <c r="F17" s="153" t="n">
        <v>2</v>
      </c>
      <c r="G17" s="153" t="inlineStr">
        <is>
          <t>W A-18-58</t>
        </is>
      </c>
      <c r="H17" s="204">
        <f>$J$5-18-58</f>
        <v/>
      </c>
      <c r="I17" s="153">
        <f>F17*$J$1</f>
        <v/>
      </c>
      <c r="J17" s="205" t="n"/>
      <c r="L17" s="161" t="n">
        <v>12</v>
      </c>
      <c r="M17" s="29" t="inlineStr">
        <is>
          <t>HD-213 ฉากเข้ามุมปรับได้</t>
        </is>
      </c>
      <c r="N17" s="30" t="n"/>
      <c r="O17" s="161" t="inlineStr">
        <is>
          <t>-</t>
        </is>
      </c>
      <c r="P17" s="109">
        <f>IF(AND($I$5=1,$I$7=1),X17+AD17,"")&amp;IF(AND($I$5=1,$I$7=3),X17+AE17,"")&amp;IF(AND($I$5=1,$I$7=5),X17+AF17,"")&amp;IF(AND($I$5=1,$I$7=7),X17+AG17,"")&amp;IF(AND($I$5=1,$I$7=9),X17+AH17,"")&amp;IF(AND($I$5=3,$I$7=1),Y17+AD17,"")&amp;IF(AND($I$5=3,$I$7=3),Y17+AE17,"")&amp;IF(AND($I$5=3,$I$7=5),Y17+AF17,"")&amp;IF(AND($I$5=3,$I$7=7),Y17+AG17,"")&amp;IF(AND($I$5=3,$I$7=9),Y17+AH17,"")&amp;IF(AND($I$5=5,$I$7=1),Z17+AD17,"")&amp;IF(AND($I$5=5,$I$7=3),Z17+AE17,"")&amp;IF(AND($I$5=5,$I$7=5),Z17+AF17,"")&amp;IF(AND($I$5=5,$I$7=7),Z17+AG17,"")&amp;IF(AND($I$5=5,$I$7=9),Z17+AH17,"")&amp;IF(AND($I$5=7,$I$7=1),AA17+AD17,"")&amp;IF(AND($I$5=7,$I$7=3),AA17+AE17,"")&amp;IF(AND($I$5=7,$I$7=5),AA17+AF17,"")&amp;IF(AND($I$5=7,$I$7=7),AA17+AG17,"")&amp;IF(AND($I$5=7,$I$7=9),AA17+AH17,"")&amp;IF(AND($I$5=9,$I$7=1),AB17+AD17,"")&amp;IF(AND($I$5=9,$I$7=3),AB17+AE17,"")&amp;IF(AND($I$5=9,$I$7=5),AB17+AF17,"")&amp;IF(AND($I$5=9,$I$7=7),AB17+AG17,"")&amp;IF(AND($I$5=9,$I$7=9),AB17+AH17,"")</f>
        <v/>
      </c>
      <c r="Q17" s="161">
        <f>$J$1*P17</f>
        <v/>
      </c>
      <c r="R17" s="193" t="n">
        <v>15</v>
      </c>
      <c r="S17" s="6">
        <f>((H21*I21)/1000)*E21</f>
        <v/>
      </c>
      <c r="V17" s="98" t="n">
        <v>12</v>
      </c>
      <c r="W17" s="99" t="inlineStr">
        <is>
          <t>HD-213 ฉากเข้ามุมปรับได้</t>
        </is>
      </c>
      <c r="X17" s="98">
        <f>X$9*4</f>
        <v/>
      </c>
      <c r="Y17" s="98">
        <f>Y$9*4</f>
        <v/>
      </c>
      <c r="Z17" s="98">
        <f>Z$9*4</f>
        <v/>
      </c>
      <c r="AA17" s="98">
        <f>AA$9*4</f>
        <v/>
      </c>
      <c r="AB17" s="98">
        <f>AB$9*4</f>
        <v/>
      </c>
      <c r="AC17" s="102" t="n"/>
      <c r="AD17" s="98">
        <f>AD$9*4</f>
        <v/>
      </c>
      <c r="AE17" s="98">
        <f>AE$9*4</f>
        <v/>
      </c>
      <c r="AF17" s="98">
        <f>AF$9*4</f>
        <v/>
      </c>
      <c r="AG17" s="98">
        <f>AG$9*4</f>
        <v/>
      </c>
      <c r="AH17" s="98">
        <f>AH$9*4</f>
        <v/>
      </c>
    </row>
    <row r="18" ht="34.95" customHeight="1" s="92">
      <c r="A18" s="203" t="n"/>
      <c r="B18" s="46" t="inlineStr">
        <is>
          <t>ตบปิดเฟรม (นอน) (บานคี่ ปิด)</t>
        </is>
      </c>
      <c r="C18" s="203" t="n"/>
      <c r="D18" s="203" t="n"/>
      <c r="E18" s="203" t="n"/>
      <c r="F18" s="153" t="n">
        <v>2</v>
      </c>
      <c r="G18" s="153" t="inlineStr">
        <is>
          <t>W B-18-58</t>
        </is>
      </c>
      <c r="H18" s="204">
        <f>$J$7-18-58</f>
        <v/>
      </c>
      <c r="I18" s="153">
        <f>F18*$J$1</f>
        <v/>
      </c>
      <c r="J18" s="203" t="n"/>
      <c r="L18" s="161" t="n">
        <v>13</v>
      </c>
      <c r="M18" s="29" t="inlineStr">
        <is>
          <t>HD-200 ฉากประคองมุม</t>
        </is>
      </c>
      <c r="N18" s="30" t="n"/>
      <c r="O18" s="161" t="inlineStr">
        <is>
          <t>-</t>
        </is>
      </c>
      <c r="P18" s="109">
        <f>IF(AND($I$5=1,$I$7=1),X18+AD18,"")&amp;IF(AND($I$5=1,$I$7=3),X18+AE18,"")&amp;IF(AND($I$5=1,$I$7=5),X18+AF18,"")&amp;IF(AND($I$5=1,$I$7=7),X18+AG18,"")&amp;IF(AND($I$5=1,$I$7=9),X18+AH18,"")&amp;IF(AND($I$5=3,$I$7=1),Y18+AD18,"")&amp;IF(AND($I$5=3,$I$7=3),Y18+AE18,"")&amp;IF(AND($I$5=3,$I$7=5),Y18+AF18,"")&amp;IF(AND($I$5=3,$I$7=7),Y18+AG18,"")&amp;IF(AND($I$5=3,$I$7=9),Y18+AH18,"")&amp;IF(AND($I$5=5,$I$7=1),Z18+AD18,"")&amp;IF(AND($I$5=5,$I$7=3),Z18+AE18,"")&amp;IF(AND($I$5=5,$I$7=5),Z18+AF18,"")&amp;IF(AND($I$5=5,$I$7=7),Z18+AG18,"")&amp;IF(AND($I$5=5,$I$7=9),Z18+AH18,"")&amp;IF(AND($I$5=7,$I$7=1),AA18+AD18,"")&amp;IF(AND($I$5=7,$I$7=3),AA18+AE18,"")&amp;IF(AND($I$5=7,$I$7=5),AA18+AF18,"")&amp;IF(AND($I$5=7,$I$7=7),AA18+AG18,"")&amp;IF(AND($I$5=7,$I$7=9),AA18+AH18,"")&amp;IF(AND($I$5=9,$I$7=1),AB18+AD18,"")&amp;IF(AND($I$5=9,$I$7=3),AB18+AE18,"")&amp;IF(AND($I$5=9,$I$7=5),AB18+AF18,"")&amp;IF(AND($I$5=9,$I$7=7),AB18+AG18,"")&amp;IF(AND($I$5=9,$I$7=9),AB18+AH18,"")</f>
        <v/>
      </c>
      <c r="Q18" s="161">
        <f>$J$1*P18</f>
        <v/>
      </c>
      <c r="R18" s="193" t="n">
        <v>1.5</v>
      </c>
      <c r="V18" s="98" t="n">
        <v>13</v>
      </c>
      <c r="W18" s="99" t="inlineStr">
        <is>
          <t>HD-200 ฉากประคองมุม</t>
        </is>
      </c>
      <c r="X18" s="98">
        <f>X$9*12</f>
        <v/>
      </c>
      <c r="Y18" s="98">
        <f>Y$9*12</f>
        <v/>
      </c>
      <c r="Z18" s="98">
        <f>Z$9*12</f>
        <v/>
      </c>
      <c r="AA18" s="98">
        <f>AA$9*12</f>
        <v/>
      </c>
      <c r="AB18" s="98">
        <f>AB$9*12</f>
        <v/>
      </c>
      <c r="AC18" s="102" t="n"/>
      <c r="AD18" s="98">
        <f>AD$9*12</f>
        <v/>
      </c>
      <c r="AE18" s="98">
        <f>AE$9*12</f>
        <v/>
      </c>
      <c r="AF18" s="98">
        <f>AF$9*12</f>
        <v/>
      </c>
      <c r="AG18" s="98">
        <f>AG$9*12</f>
        <v/>
      </c>
      <c r="AH18" s="98">
        <f>AH$9*12</f>
        <v/>
      </c>
    </row>
    <row r="19" ht="34.95" customHeight="1" s="92">
      <c r="A19" s="161" t="n">
        <v>6</v>
      </c>
      <c r="B19" s="56" t="inlineStr">
        <is>
          <t>กรอบบานเฟี้ยม (ตั้ง) (บานคี่ เปิด)</t>
        </is>
      </c>
      <c r="C19" s="161" t="n"/>
      <c r="D19" s="161" t="inlineStr">
        <is>
          <t>F7972</t>
        </is>
      </c>
      <c r="E19" s="161" t="n">
        <v>1.466</v>
      </c>
      <c r="F19" s="161">
        <f>IF($I$5=1,$AP$25,IF($I$5=3,$AP$26,IF($I$5=5,$AP$27,IF($I$5=7,$AP$28,IF($I$5=9,$AP$29,)))))</f>
        <v/>
      </c>
      <c r="G19" s="161" t="inlineStr">
        <is>
          <t>H-55-7-7-25</t>
        </is>
      </c>
      <c r="H19" s="202">
        <f>$J$3-55-7-7-25</f>
        <v/>
      </c>
      <c r="I19" s="161">
        <f>F19*$J$1</f>
        <v/>
      </c>
      <c r="J19" s="161">
        <f>ROUNDUP(((H19*I19)+(H20*I20)+(H21*I21+(H22*I22)))/6400,0)</f>
        <v/>
      </c>
      <c r="L19" s="161" t="n">
        <v>14</v>
      </c>
      <c r="M19" s="12" t="inlineStr">
        <is>
          <t>HD-481A มือจับก้านโยกกุญแจ</t>
        </is>
      </c>
      <c r="N19" s="161" t="n"/>
      <c r="O19" s="161">
        <f>IF($D$6="ขาว","ขาว","ดำ")</f>
        <v/>
      </c>
      <c r="P19" s="161" t="n">
        <v>1</v>
      </c>
      <c r="Q19" s="161">
        <f>$J$1*P19</f>
        <v/>
      </c>
    </row>
    <row r="20" ht="34.95" customHeight="1" s="92">
      <c r="A20" s="205" t="n"/>
      <c r="B20" s="56" t="inlineStr">
        <is>
          <t>กรอบบานเฟี้ยม (ตั้ง) (บานคี่ ปิด)</t>
        </is>
      </c>
      <c r="C20" s="203" t="n"/>
      <c r="D20" s="205" t="n"/>
      <c r="E20" s="205" t="n"/>
      <c r="F20" s="161">
        <f>IF($I$7=2,$AF$25,IF($I$7=4,$AF$26,IF($I$7=6,$AF$27,IF($I$7=8,$AF$28,IF($I$7=10,$AF$29,)))))</f>
        <v/>
      </c>
      <c r="G20" s="161" t="inlineStr">
        <is>
          <t>H-55-7-7-25</t>
        </is>
      </c>
      <c r="H20" s="202">
        <f>$J$3-55-7-7-25</f>
        <v/>
      </c>
      <c r="I20" s="161">
        <f>F20*$J$1</f>
        <v/>
      </c>
      <c r="J20" s="205" t="n"/>
      <c r="L20" s="161" t="n">
        <v>15</v>
      </c>
      <c r="M20" s="12" t="inlineStr">
        <is>
          <t>HD-1115 แป้นรับล็อคบานเปิด</t>
        </is>
      </c>
      <c r="N20" s="161" t="n"/>
      <c r="O20" s="161" t="inlineStr">
        <is>
          <t>-</t>
        </is>
      </c>
      <c r="P20" s="161" t="n">
        <v>1</v>
      </c>
      <c r="Q20" s="161">
        <f>$J$1*P20</f>
        <v/>
      </c>
      <c r="S20" s="6">
        <f>((H23*I23)/1000)*E23</f>
        <v/>
      </c>
    </row>
    <row r="21" ht="34.95" customHeight="1" s="92">
      <c r="A21" s="205" t="n"/>
      <c r="B21" s="56" t="inlineStr">
        <is>
          <t>กรอบบานเฟี้ยม (ขวาง) (บานคี่ เปิด)</t>
        </is>
      </c>
      <c r="C21" s="161" t="n"/>
      <c r="D21" s="205" t="n"/>
      <c r="E21" s="205" t="n"/>
      <c r="F21" s="161">
        <f>IF($I$5=1,$AP$25,IF($I$5=3,$AP$26,IF($I$5=5,$AP$27,IF($I$5=7,$AP$28,IF($I$5=9,$AP$29,)))))</f>
        <v/>
      </c>
      <c r="G21" s="161">
        <f>IF($I$5=1,$AQ$25,IF($I$5=3,$AQ$26,IF($I$5=5,$AQ$27,IF($I$5=7,$AQ$28,IF($I$5=9,$AQ$29,)))))</f>
        <v/>
      </c>
      <c r="H21" s="202">
        <f>IF($I$5=1,$AR$25,IF($I$5=3,$AR$26,IF($I$5=5,$AR$27,IF($I$5=7,$AR$28,IF($I$5=9,$AR$29,)))))</f>
        <v/>
      </c>
      <c r="I21" s="161">
        <f>F21*$J$1</f>
        <v/>
      </c>
      <c r="J21" s="205" t="n"/>
      <c r="L21" s="161" t="n">
        <v>16</v>
      </c>
      <c r="M21" s="12" t="inlineStr">
        <is>
          <t>HD-850 ตลับกุญแจมัลติล็อค (L35)</t>
        </is>
      </c>
      <c r="N21" s="161" t="n"/>
      <c r="O21" s="161" t="inlineStr">
        <is>
          <t>-</t>
        </is>
      </c>
      <c r="P21" s="161" t="n">
        <v>1</v>
      </c>
      <c r="Q21" s="161">
        <f>$J$1*P21</f>
        <v/>
      </c>
      <c r="S21" s="6">
        <f>((H25*I25)/1000)*E25</f>
        <v/>
      </c>
    </row>
    <row r="22" ht="34.95" customHeight="1" s="92">
      <c r="A22" s="203" t="n"/>
      <c r="B22" s="56" t="inlineStr">
        <is>
          <t>กรอบบานเฟี้ยม (ขวาง) (บานคี่ ปิด)</t>
        </is>
      </c>
      <c r="C22" s="203" t="n"/>
      <c r="D22" s="203" t="n"/>
      <c r="E22" s="203" t="n"/>
      <c r="F22" s="161">
        <f>IF($I$7=2,$AF$25,IF($I$7=4,$AF$26,IF($I$7=6,$AF$27,IF($I$7=8,$AF$28,IF($I$7=10,$AF$29,)))))</f>
        <v/>
      </c>
      <c r="G22" s="161">
        <f>IF($I$7=2,$AG$25,IF($I$7=4,$AG$26,IF($I$7=6,$AG$27,IF($I$7=8,$AG$28,IF($I$7=10,$AG$29,)))))</f>
        <v/>
      </c>
      <c r="H22" s="202">
        <f>IF($I$7=2,$AH$25,IF($I$7=4,$AH$26,IF($I$7=6,$AH$27,IF($I$7=8,$AH$28,IF($I$7=10,$AH$29,)))))</f>
        <v/>
      </c>
      <c r="I22" s="161">
        <f>F22*$J$1</f>
        <v/>
      </c>
      <c r="J22" s="203" t="n"/>
      <c r="L22" s="161" t="n">
        <v>17</v>
      </c>
      <c r="M22" s="56" t="inlineStr">
        <is>
          <t>HD-803 ไส้กุญแจ1หน้า คาบ้า (L75)</t>
        </is>
      </c>
      <c r="N22" s="161" t="n"/>
      <c r="O22" s="161" t="inlineStr">
        <is>
          <t>-</t>
        </is>
      </c>
      <c r="P22" s="161" t="n">
        <v>1</v>
      </c>
      <c r="Q22" s="161">
        <f>$J$1*P22</f>
        <v/>
      </c>
    </row>
    <row r="23" ht="34.95" customHeight="1" s="92">
      <c r="A23" s="153" t="n">
        <v>7</v>
      </c>
      <c r="B23" s="46">
        <f>IF($E$6&lt;=12,W33,IF($E$6&lt;=20,W35,W37))</f>
        <v/>
      </c>
      <c r="C23" s="153" t="n"/>
      <c r="D23" s="153">
        <f>IF($E$6&lt;=12,X26,IF($E$6&lt;=20,X28,X30))</f>
        <v/>
      </c>
      <c r="E23" s="153">
        <f>IF($E$6&lt;=12,Y26,IF($E$6&lt;=20,Y28,Y30))</f>
        <v/>
      </c>
      <c r="F23" s="161">
        <f>IF($I$5=1,$AP$25,IF($I$5=3,$AP$26,IF($I$5=5,$AP$27,IF($I$5=7,$AP$28,IF($I$5=9,$AP$29,)))))</f>
        <v/>
      </c>
      <c r="G23" s="153" t="inlineStr">
        <is>
          <t>SH-80-80</t>
        </is>
      </c>
      <c r="H23" s="204">
        <f>$H$19-80-80</f>
        <v/>
      </c>
      <c r="I23" s="153">
        <f>F23*$J$1</f>
        <v/>
      </c>
      <c r="J23" s="153">
        <f>ROUNDUP(((H23*I23)+(H24*I24)+(H25*I25+(H26*I26)))/6400,0)</f>
        <v/>
      </c>
      <c r="L23" s="161" t="n">
        <v>18</v>
      </c>
      <c r="M23" s="61" t="inlineStr">
        <is>
          <t>HD-305  กลอนบานเฟี้ยม</t>
        </is>
      </c>
      <c r="N23" s="60" t="n"/>
      <c r="O23" s="161">
        <f>IF($D$6="ขาว","ขาว","ดำ")</f>
        <v/>
      </c>
      <c r="P23" s="161" t="n">
        <v>2</v>
      </c>
      <c r="Q23" s="161">
        <f>$J$1*P23</f>
        <v/>
      </c>
      <c r="W23" s="81" t="inlineStr">
        <is>
          <t>คิ้ว</t>
        </is>
      </c>
      <c r="AB23" s="75" t="inlineStr">
        <is>
          <t>ขวาง</t>
        </is>
      </c>
    </row>
    <row r="24" ht="34.95" customHeight="1" s="92">
      <c r="A24" s="205" t="n"/>
      <c r="B24" s="46">
        <f>IF($E$6&lt;=12,W26,IF($E$6&lt;=20,W28,W30))</f>
        <v/>
      </c>
      <c r="C24" s="203" t="n"/>
      <c r="D24" s="205" t="n"/>
      <c r="E24" s="205" t="n"/>
      <c r="F24" s="161">
        <f>IF($I$7=2,$AF$25,IF($I$7=4,$AF$26,IF($I$7=6,$AF$27,IF($I$7=8,$AF$28,IF($I$7=10,$AF$29,)))))</f>
        <v/>
      </c>
      <c r="G24" s="153" t="inlineStr">
        <is>
          <t>SH-80-80</t>
        </is>
      </c>
      <c r="H24" s="204">
        <f>$H$20-80-80</f>
        <v/>
      </c>
      <c r="I24" s="153">
        <f>F24*$J$1</f>
        <v/>
      </c>
      <c r="J24" s="205" t="n"/>
      <c r="L24" s="161" t="n">
        <v>19</v>
      </c>
      <c r="M24" s="12" t="inlineStr">
        <is>
          <t>จุดรับล็อค แบบสกรู</t>
        </is>
      </c>
      <c r="N24" s="60" t="n"/>
      <c r="O24" s="161" t="inlineStr">
        <is>
          <t>-</t>
        </is>
      </c>
      <c r="P24" s="161">
        <f>IF($J$3&lt;=2700,3,4)</f>
        <v/>
      </c>
      <c r="Q24" s="161">
        <f>$J$1*P24</f>
        <v/>
      </c>
      <c r="W24" s="81" t="inlineStr">
        <is>
          <t>บานคี่ ปิด</t>
        </is>
      </c>
      <c r="AB24" s="81" t="inlineStr">
        <is>
          <t>บานคี่ ปิด</t>
        </is>
      </c>
      <c r="AC24" s="75" t="n"/>
      <c r="AD24" s="75" t="n"/>
      <c r="AL24" s="75" t="inlineStr">
        <is>
          <t>บานคี่ เปิด</t>
        </is>
      </c>
      <c r="AM24" s="75" t="n"/>
      <c r="AN24" s="75" t="n"/>
    </row>
    <row r="25" ht="34.95" customHeight="1" s="92">
      <c r="A25" s="205" t="n"/>
      <c r="B25" s="46">
        <f>IF($E$6&lt;=12,W34,IF($E$6&lt;=20,W36,W38))</f>
        <v/>
      </c>
      <c r="C25" s="153" t="n"/>
      <c r="D25" s="205" t="n"/>
      <c r="E25" s="205" t="n"/>
      <c r="F25" s="161">
        <f>IF($I$5=1,$AP$25,IF($I$5=3,$AP$26,IF($I$5=5,$AP$27,IF($I$5=7,$AP$28,IF($I$5=9,$AP$29,)))))</f>
        <v/>
      </c>
      <c r="G25" s="153" t="inlineStr">
        <is>
          <t>SW-60-60</t>
        </is>
      </c>
      <c r="H25" s="204">
        <f>$H$21-60-60</f>
        <v/>
      </c>
      <c r="I25" s="153">
        <f>F25*$J$1</f>
        <v/>
      </c>
      <c r="J25" s="205" t="n"/>
      <c r="L25" s="161" t="n">
        <v>20</v>
      </c>
      <c r="M25" s="12" t="inlineStr">
        <is>
          <t>หมุดล็อค 9 x 9 (KIN LONG)</t>
        </is>
      </c>
      <c r="N25" s="60" t="n"/>
      <c r="O25" s="161" t="n"/>
      <c r="P25" s="161">
        <f>IF($J$3&lt;=2700,3,4)</f>
        <v/>
      </c>
      <c r="Q25" s="161">
        <f>$J$1*P25</f>
        <v/>
      </c>
      <c r="W25" s="8" t="inlineStr">
        <is>
          <t>ชื่อ</t>
        </is>
      </c>
      <c r="X25" s="8" t="inlineStr">
        <is>
          <t>เบอร์ดาย</t>
        </is>
      </c>
      <c r="Y25" s="8" t="inlineStr">
        <is>
          <t>น้ำหนัก</t>
        </is>
      </c>
      <c r="AB25" s="153" t="n">
        <v>1</v>
      </c>
      <c r="AC25" s="46" t="inlineStr">
        <is>
          <t>กรอบบานเฟี้ยม (บานคู่)</t>
        </is>
      </c>
      <c r="AD25" s="153" t="inlineStr">
        <is>
          <t>F7972</t>
        </is>
      </c>
      <c r="AE25" s="153" t="n">
        <v>1.466</v>
      </c>
      <c r="AF25" s="153">
        <f>2*AB25</f>
        <v/>
      </c>
      <c r="AG25" s="59" t="inlineStr">
        <is>
          <t>W-18-9.5-62</t>
        </is>
      </c>
      <c r="AH25" s="204">
        <f>$J$5-18-9.5-62</f>
        <v/>
      </c>
      <c r="AI25" s="153">
        <f>AF25*$J$1</f>
        <v/>
      </c>
      <c r="AL25" s="153" t="n">
        <v>1</v>
      </c>
      <c r="AM25" s="46" t="inlineStr">
        <is>
          <t>กรอบบานเฟี้ยม (บานคี่)</t>
        </is>
      </c>
      <c r="AN25" s="153" t="inlineStr">
        <is>
          <t>F7972</t>
        </is>
      </c>
      <c r="AO25" s="153" t="n">
        <v>1.466</v>
      </c>
      <c r="AP25" s="153">
        <f>2*AL25</f>
        <v/>
      </c>
      <c r="AQ25" s="59" t="inlineStr">
        <is>
          <t>W-18-9.5-77</t>
        </is>
      </c>
      <c r="AR25" s="204">
        <f>($J$5-18-9.5-77)</f>
        <v/>
      </c>
      <c r="AS25" s="153">
        <f>AP25*$J$1</f>
        <v/>
      </c>
    </row>
    <row r="26" ht="34.95" customHeight="1" s="92">
      <c r="A26" s="203" t="n"/>
      <c r="B26" s="46">
        <f>IF($E$6&lt;=12,W27,IF($E$6&lt;=20,W29,W31))</f>
        <v/>
      </c>
      <c r="C26" s="203" t="n"/>
      <c r="D26" s="203" t="n"/>
      <c r="E26" s="203" t="n"/>
      <c r="F26" s="161">
        <f>IF($I$7=2,$AF$25,IF($I$7=4,$AF$26,IF($I$7=6,$AF$27,IF($I$7=8,$AF$28,IF($I$7=10,$AF$29,)))))</f>
        <v/>
      </c>
      <c r="G26" s="153" t="inlineStr">
        <is>
          <t>SW-60-60</t>
        </is>
      </c>
      <c r="H26" s="204">
        <f>$H$22-60-60</f>
        <v/>
      </c>
      <c r="I26" s="153">
        <f>F26*$J$1</f>
        <v/>
      </c>
      <c r="J26" s="203" t="n"/>
      <c r="L26" s="161" t="n">
        <v>21</v>
      </c>
      <c r="M26" s="68" t="inlineStr">
        <is>
          <t>ก้านสไลด์มัลติพ้อย (F7800 ฟูจิ) 
หรือตลาด</t>
        </is>
      </c>
      <c r="N26" s="60" t="n"/>
      <c r="O26" s="161" t="n"/>
      <c r="P26" s="215">
        <f>ROUNDDOWN($H$19/1000,1)</f>
        <v/>
      </c>
      <c r="Q26" s="215">
        <f>$J$1*P26</f>
        <v/>
      </c>
      <c r="W26" s="12" t="inlineStr">
        <is>
          <t>คิ้วกระจก5-12มิล (ตั้ง) (บานคี่ ปิด)</t>
        </is>
      </c>
      <c r="X26" s="11" t="inlineStr">
        <is>
          <t>F7935</t>
        </is>
      </c>
      <c r="Y26" s="11" t="n">
        <v>0.285</v>
      </c>
      <c r="AB26" s="153" t="n">
        <v>3</v>
      </c>
      <c r="AC26" s="46" t="inlineStr">
        <is>
          <t>กรอบบานเฟี้ยม (บานคู่)</t>
        </is>
      </c>
      <c r="AD26" s="153" t="inlineStr">
        <is>
          <t>F7972</t>
        </is>
      </c>
      <c r="AE26" s="153" t="n">
        <v>1.466</v>
      </c>
      <c r="AF26" s="153">
        <f>2*AB26</f>
        <v/>
      </c>
      <c r="AG26" s="59" t="inlineStr">
        <is>
          <t>(W-18-9.5-(8x2)-62)/3</t>
        </is>
      </c>
      <c r="AH26" s="204">
        <f>($J$5-18-9.5-(8*2)-62)/AB26</f>
        <v/>
      </c>
      <c r="AI26" s="153">
        <f>AF26*$J$1</f>
        <v/>
      </c>
      <c r="AL26" s="153" t="n">
        <v>3</v>
      </c>
      <c r="AM26" s="46" t="inlineStr">
        <is>
          <t>กรอบบานเฟี้ยม (บานคี่)</t>
        </is>
      </c>
      <c r="AN26" s="153" t="inlineStr">
        <is>
          <t>F7972</t>
        </is>
      </c>
      <c r="AO26" s="153" t="n">
        <v>1.466</v>
      </c>
      <c r="AP26" s="153">
        <f>2*AL26</f>
        <v/>
      </c>
      <c r="AQ26" s="59" t="inlineStr">
        <is>
          <t>(W-18-9.5-(8x2)-77)/3</t>
        </is>
      </c>
      <c r="AR26" s="204">
        <f>($J$5-18-9.5-(8*2)-77)/AL26</f>
        <v/>
      </c>
      <c r="AS26" s="153">
        <f>AP26*$J$1</f>
        <v/>
      </c>
    </row>
    <row r="27" ht="34.95" customHeight="1" s="92">
      <c r="A27" s="161" t="n">
        <v>8</v>
      </c>
      <c r="B27" s="56" t="inlineStr">
        <is>
          <t>บังใบ</t>
        </is>
      </c>
      <c r="C27" s="56" t="n"/>
      <c r="D27" s="161" t="inlineStr">
        <is>
          <t>F7975</t>
        </is>
      </c>
      <c r="E27" s="161" t="n">
        <v>0.452</v>
      </c>
      <c r="F27" s="161" t="n">
        <v>2</v>
      </c>
      <c r="G27" s="161" t="inlineStr">
        <is>
          <t>HS+4</t>
        </is>
      </c>
      <c r="H27" s="202">
        <f>$H$19+4</f>
        <v/>
      </c>
      <c r="I27" s="161">
        <f>F27*$J$1</f>
        <v/>
      </c>
      <c r="J27" s="161">
        <f>ROUNDUP((H27*I27)/6400,0)</f>
        <v/>
      </c>
      <c r="L27" s="153" t="n">
        <v>22</v>
      </c>
      <c r="M27" s="43" t="inlineStr">
        <is>
          <t>ยางลูกโป่ง 6mm</t>
        </is>
      </c>
      <c r="N27" s="58" t="n"/>
      <c r="O27" s="153" t="inlineStr">
        <is>
          <t>-</t>
        </is>
      </c>
      <c r="P27" s="206">
        <f>(($H$10*$I$10)+($H$11*$I$11)+($H$12*$I$12)+($H$13*$I$13)+($H$14*$I$14)+($H$15*$I$15)+($H$19*$I$19*2)+($H$20*$I$20*2)+($H$21*$I$21*2)+($H$22*$I$22*2)+($H$27*$I$27)+($H$28*$I$28*2)-($H$19*2))/1000</f>
        <v/>
      </c>
      <c r="Q27" s="206">
        <f>$J$1*P27</f>
        <v/>
      </c>
      <c r="S27" s="6">
        <f>O32*P32*6*Q32*2.5/1000000</f>
        <v/>
      </c>
      <c r="W27" s="12" t="inlineStr">
        <is>
          <t>คิ้วกระจก5-12มิล (ขวาง) (บานคี่ ปิด)</t>
        </is>
      </c>
      <c r="X27" s="11" t="inlineStr">
        <is>
          <t>F7935</t>
        </is>
      </c>
      <c r="Y27" s="11" t="n">
        <v>0.285</v>
      </c>
      <c r="AB27" s="153" t="n">
        <v>5</v>
      </c>
      <c r="AC27" s="46" t="inlineStr">
        <is>
          <t>กรอบบานเฟี้ยม (บานคู่)</t>
        </is>
      </c>
      <c r="AD27" s="153" t="inlineStr">
        <is>
          <t>F7972</t>
        </is>
      </c>
      <c r="AE27" s="153" t="n">
        <v>1.466</v>
      </c>
      <c r="AF27" s="153">
        <f>2*AB27</f>
        <v/>
      </c>
      <c r="AG27" s="59" t="inlineStr">
        <is>
          <t>(W-18-9.5-(8x4)-62)/5</t>
        </is>
      </c>
      <c r="AH27" s="204">
        <f>($J$5-18-9.5-(8*4)-62)/AB27</f>
        <v/>
      </c>
      <c r="AI27" s="153">
        <f>AF27*$J$1</f>
        <v/>
      </c>
      <c r="AL27" s="153" t="n">
        <v>5</v>
      </c>
      <c r="AM27" s="46" t="inlineStr">
        <is>
          <t>กรอบบานเฟี้ยม (บานคี่)</t>
        </is>
      </c>
      <c r="AN27" s="153" t="inlineStr">
        <is>
          <t>F7972</t>
        </is>
      </c>
      <c r="AO27" s="153" t="n">
        <v>1.466</v>
      </c>
      <c r="AP27" s="153">
        <f>2*AL27</f>
        <v/>
      </c>
      <c r="AQ27" s="59" t="inlineStr">
        <is>
          <t>(W-18-9.5-(8x4)-77)/5</t>
        </is>
      </c>
      <c r="AR27" s="204">
        <f>($J$5-18-9.5-(8*4)-77)/AL27</f>
        <v/>
      </c>
      <c r="AS27" s="153">
        <f>AP27*$J$1</f>
        <v/>
      </c>
    </row>
    <row r="28" ht="34.95" customHeight="1" s="92">
      <c r="A28" s="161" t="n">
        <v>9</v>
      </c>
      <c r="B28" s="56" t="inlineStr">
        <is>
          <t>เสาเข้ามุม</t>
        </is>
      </c>
      <c r="C28" s="84" t="n"/>
      <c r="D28" s="161" t="inlineStr">
        <is>
          <t>F7964</t>
        </is>
      </c>
      <c r="E28" s="161" t="n">
        <v>1.03</v>
      </c>
      <c r="F28" s="161" t="n">
        <v>1</v>
      </c>
      <c r="G28" s="161" t="inlineStr">
        <is>
          <t>HS+4</t>
        </is>
      </c>
      <c r="H28" s="202">
        <f>$H$19+4</f>
        <v/>
      </c>
      <c r="I28" s="161">
        <f>F28*$J$1</f>
        <v/>
      </c>
      <c r="J28" s="161">
        <f>ROUNDUP((H28*I28)/6400,0)</f>
        <v/>
      </c>
      <c r="L28" s="153" t="n">
        <v>23</v>
      </c>
      <c r="M28" s="43" t="inlineStr">
        <is>
          <t>ยางอัด</t>
        </is>
      </c>
      <c r="N28" s="58" t="n"/>
      <c r="O28" s="153" t="inlineStr">
        <is>
          <t>-</t>
        </is>
      </c>
      <c r="P28" s="206">
        <f>((($D$32+$E$32)*2)*$F$32/1000)+(($O$32+$P$32)*2)*$Q$32/1000</f>
        <v/>
      </c>
      <c r="Q28" s="206">
        <f>$J$1*P28</f>
        <v/>
      </c>
      <c r="S28" s="18">
        <f>SUM(S16:S27)</f>
        <v/>
      </c>
      <c r="W28" s="12" t="inlineStr">
        <is>
          <t>คิ้วกระจก14-20มิล (ตั้ง) (บานคี่ ปิด)</t>
        </is>
      </c>
      <c r="X28" s="11" t="inlineStr">
        <is>
          <t>F7949</t>
        </is>
      </c>
      <c r="Y28" s="11" t="n">
        <v>0.252</v>
      </c>
      <c r="AB28" s="153" t="n">
        <v>7</v>
      </c>
      <c r="AC28" s="46" t="inlineStr">
        <is>
          <t>กรอบบานเฟี้ยม (บานคู่)</t>
        </is>
      </c>
      <c r="AD28" s="153" t="inlineStr">
        <is>
          <t>F7972</t>
        </is>
      </c>
      <c r="AE28" s="153" t="n">
        <v>1.466</v>
      </c>
      <c r="AF28" s="153">
        <f>2*AB28</f>
        <v/>
      </c>
      <c r="AG28" s="59" t="inlineStr">
        <is>
          <t>(W-18-9.5-(8x6)-62)/7</t>
        </is>
      </c>
      <c r="AH28" s="204">
        <f>($J$5-18-9.5-(8*6)-62)/AB28</f>
        <v/>
      </c>
      <c r="AI28" s="153">
        <f>AF28*$J$1</f>
        <v/>
      </c>
      <c r="AL28" s="153" t="n">
        <v>7</v>
      </c>
      <c r="AM28" s="46" t="inlineStr">
        <is>
          <t>กรอบบานเฟี้ยม (บานคี่)</t>
        </is>
      </c>
      <c r="AN28" s="153" t="inlineStr">
        <is>
          <t>F7972</t>
        </is>
      </c>
      <c r="AO28" s="153" t="n">
        <v>1.466</v>
      </c>
      <c r="AP28" s="153">
        <f>2*AL28</f>
        <v/>
      </c>
      <c r="AQ28" s="59" t="inlineStr">
        <is>
          <t>(W-18-9.5-(8x6)-77)/7</t>
        </is>
      </c>
      <c r="AR28" s="204">
        <f>($J$5-18-9.5-(8*6)-77)/AL28</f>
        <v/>
      </c>
      <c r="AS28" s="153">
        <f>AP28*$J$1</f>
        <v/>
      </c>
    </row>
    <row r="29" ht="34.95" customHeight="1" s="92">
      <c r="A29" s="95" t="n"/>
      <c r="B29" s="96" t="n"/>
      <c r="C29" s="96" t="n"/>
      <c r="D29" s="95" t="n"/>
      <c r="E29" s="95" t="n"/>
      <c r="F29" s="95" t="n"/>
      <c r="G29" s="95" t="n"/>
      <c r="H29" s="216" t="n"/>
      <c r="I29" s="95" t="n"/>
      <c r="J29" s="95" t="n"/>
      <c r="L29" s="153" t="n">
        <v>24</v>
      </c>
      <c r="M29" s="43" t="inlineStr">
        <is>
          <t>ยางรอง</t>
        </is>
      </c>
      <c r="N29" s="58" t="n"/>
      <c r="O29" s="153" t="inlineStr">
        <is>
          <t>-</t>
        </is>
      </c>
      <c r="P29" s="206">
        <f>(($O$32+$P$32)*2)*$Q$32/1000</f>
        <v/>
      </c>
      <c r="Q29" s="206">
        <f>$J$1*P29</f>
        <v/>
      </c>
      <c r="W29" s="12" t="inlineStr">
        <is>
          <t>คิ้วกระจก14-20มิล (ขวาง) (บานคี่ ปิด)</t>
        </is>
      </c>
      <c r="X29" s="11" t="inlineStr">
        <is>
          <t>F7949</t>
        </is>
      </c>
      <c r="Y29" s="11" t="n">
        <v>0.252</v>
      </c>
      <c r="AB29" s="153" t="n">
        <v>9</v>
      </c>
      <c r="AC29" s="46" t="inlineStr">
        <is>
          <t>กรอบบานเฟี้ยม (บานคู่)</t>
        </is>
      </c>
      <c r="AD29" s="153" t="inlineStr">
        <is>
          <t>F7972</t>
        </is>
      </c>
      <c r="AE29" s="153" t="n">
        <v>1.466</v>
      </c>
      <c r="AF29" s="153">
        <f>2*AB29</f>
        <v/>
      </c>
      <c r="AG29" s="59" t="inlineStr">
        <is>
          <t>(W-18-9.5-(8x8)-62)/9</t>
        </is>
      </c>
      <c r="AH29" s="204">
        <f>($J$5-18-9.5-(8*8)-62)/AB29</f>
        <v/>
      </c>
      <c r="AI29" s="153">
        <f>AF29*$J$1</f>
        <v/>
      </c>
      <c r="AL29" s="153" t="n">
        <v>9</v>
      </c>
      <c r="AM29" s="46" t="inlineStr">
        <is>
          <t>กรอบบานเฟี้ยม (บานคี่)</t>
        </is>
      </c>
      <c r="AN29" s="153" t="inlineStr">
        <is>
          <t>F7972</t>
        </is>
      </c>
      <c r="AO29" s="153" t="n">
        <v>1.466</v>
      </c>
      <c r="AP29" s="153">
        <f>2*AL29</f>
        <v/>
      </c>
      <c r="AQ29" s="59" t="inlineStr">
        <is>
          <t>(W-18-9.5-(8x8)-77)/9</t>
        </is>
      </c>
      <c r="AR29" s="204">
        <f>($J$5-18-9.5-(8*8)-77)/AL29</f>
        <v/>
      </c>
      <c r="AS29" s="153">
        <f>AP29*$J$1</f>
        <v/>
      </c>
    </row>
    <row r="30" ht="34.95" customHeight="1" s="92">
      <c r="A30" s="36" t="n"/>
      <c r="B30" s="107" t="inlineStr">
        <is>
          <t>บานคี่ ปิด</t>
        </is>
      </c>
      <c r="C30" s="70" t="inlineStr">
        <is>
          <t>น้ำหนักรวม
ต่อ บาน</t>
        </is>
      </c>
      <c r="D30" s="154" t="inlineStr">
        <is>
          <t>กระจก</t>
        </is>
      </c>
      <c r="E30" s="198" t="n"/>
      <c r="F30" s="199" t="n"/>
      <c r="G30" s="36" t="n"/>
      <c r="H30" s="212" t="n"/>
      <c r="I30" s="37" t="n"/>
      <c r="J30" s="37" t="n"/>
      <c r="M30" s="107" t="inlineStr">
        <is>
          <t>บานคี่ เปิด</t>
        </is>
      </c>
      <c r="N30" s="70" t="inlineStr">
        <is>
          <t>น้ำหนักรวม
ต่อ บาน</t>
        </is>
      </c>
      <c r="O30" s="154" t="inlineStr">
        <is>
          <t>กระจก</t>
        </is>
      </c>
      <c r="P30" s="198" t="n"/>
      <c r="Q30" s="199" t="n"/>
      <c r="W30" s="12" t="inlineStr">
        <is>
          <t>คิ้วสำหรับกระจกมู่ลี่ (ตั้ง) (บานคี่ ปิด)</t>
        </is>
      </c>
      <c r="X30" s="11" t="inlineStr">
        <is>
          <t>F7853</t>
        </is>
      </c>
      <c r="Y30" s="11" t="n">
        <v>0.22</v>
      </c>
    </row>
    <row r="31" ht="34.95" customHeight="1" s="92">
      <c r="B31" s="35" t="n"/>
      <c r="C31" s="210">
        <f>((($E$19*$F$20*$H$20/1000)+($E$19*$F$22*$H$22/1000)+($E$23*$F$24*$H$24/1000)+($E$23*$F$26*$H$26/1000))+($D$32*$E$32*$E$6*2.5*$F$32/1000000))/$F$32</f>
        <v/>
      </c>
      <c r="D31" s="161" t="inlineStr">
        <is>
          <t>HS-130</t>
        </is>
      </c>
      <c r="E31" s="161" t="inlineStr">
        <is>
          <t>WS-130</t>
        </is>
      </c>
      <c r="F31" s="202" t="inlineStr">
        <is>
          <t>จำนวน</t>
        </is>
      </c>
      <c r="G31" s="36" t="n"/>
      <c r="H31" s="212" t="n"/>
      <c r="I31" s="37" t="n"/>
      <c r="J31" s="37" t="n"/>
      <c r="N31" s="210">
        <f>((($H$19*$F$19*$E$19/1000)+($H$21*$F$21*$E$19/1000)+($H$23*$F$23*$E$23/1000)+($H$25*$F$25*$E$23/1000))+($O$32*$P$32*$E$6*2.5*$Q$32/1000000))/$Q$32</f>
        <v/>
      </c>
      <c r="O31" s="161" t="inlineStr">
        <is>
          <t>HS-130</t>
        </is>
      </c>
      <c r="P31" s="161" t="inlineStr">
        <is>
          <t>WS-130</t>
        </is>
      </c>
      <c r="Q31" s="202" t="inlineStr">
        <is>
          <t>จำนวน</t>
        </is>
      </c>
      <c r="W31" s="12" t="inlineStr">
        <is>
          <t>คิ้วสำหรับกระจกมู่ลี่ (ขวาง) (บานคี่ ปิด)</t>
        </is>
      </c>
      <c r="X31" s="11" t="inlineStr">
        <is>
          <t>F7853</t>
        </is>
      </c>
      <c r="Y31" s="11" t="n">
        <v>0.22</v>
      </c>
    </row>
    <row r="32" ht="34.95" customHeight="1" s="92">
      <c r="B32" s="35" t="n"/>
      <c r="C32" s="211">
        <f>$N$31*$F$32</f>
        <v/>
      </c>
      <c r="D32" s="41">
        <f>$H$20-130</f>
        <v/>
      </c>
      <c r="E32" s="41">
        <f>$H$22-130</f>
        <v/>
      </c>
      <c r="F32" s="41">
        <f>$I$7*$J$1</f>
        <v/>
      </c>
      <c r="G32" s="36" t="n"/>
      <c r="H32" s="212" t="n"/>
      <c r="I32" s="37" t="n"/>
      <c r="J32" s="37" t="n"/>
      <c r="N32" s="211">
        <f>$N$31*$Q$32</f>
        <v/>
      </c>
      <c r="O32" s="41">
        <f>$H$19-130</f>
        <v/>
      </c>
      <c r="P32" s="41">
        <f>$H$21-130</f>
        <v/>
      </c>
      <c r="Q32" s="41">
        <f>$I$5*$J$1</f>
        <v/>
      </c>
      <c r="W32" s="81" t="inlineStr">
        <is>
          <t>บานคี่ เปิด</t>
        </is>
      </c>
    </row>
    <row r="33" ht="34.95" customHeight="1" s="92"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  <c r="W33" s="12" t="inlineStr">
        <is>
          <t>คิ้วกระจก5-12มิล (ตั้ง) (บานคี่ เปิด)</t>
        </is>
      </c>
      <c r="X33" s="11" t="inlineStr">
        <is>
          <t>F7935</t>
        </is>
      </c>
      <c r="Y33" s="11" t="n">
        <v>0.285</v>
      </c>
    </row>
    <row r="34" ht="34.95" customHeight="1" s="92">
      <c r="B34" s="35" t="n"/>
      <c r="C34" s="35" t="n"/>
      <c r="D34" s="36" t="n"/>
      <c r="E34" s="36" t="n"/>
      <c r="F34" s="37" t="n"/>
      <c r="G34" s="36" t="n"/>
      <c r="H34" s="212" t="n"/>
      <c r="I34" s="37" t="n"/>
      <c r="J34" s="37" t="n"/>
      <c r="W34" s="12" t="inlineStr">
        <is>
          <t>คิ้วกระจก5-12มิล (ขวาง) (บานคี่ เปิด)</t>
        </is>
      </c>
      <c r="X34" s="11" t="inlineStr">
        <is>
          <t>F7935</t>
        </is>
      </c>
      <c r="Y34" s="11" t="n">
        <v>0.285</v>
      </c>
    </row>
    <row r="35" ht="34.95" customHeight="1" s="92">
      <c r="B35" s="35" t="n"/>
      <c r="C35" s="35" t="n"/>
      <c r="D35" s="36" t="n"/>
      <c r="E35" s="36" t="n"/>
      <c r="F35" s="37" t="n"/>
      <c r="G35" s="36" t="n"/>
      <c r="H35" s="212" t="n"/>
      <c r="I35" s="37" t="n"/>
      <c r="J35" s="37" t="n"/>
      <c r="W35" s="12" t="inlineStr">
        <is>
          <t>คิ้วกระจก14-20มิล (ตั้ง) (บานคี่ เปิด)</t>
        </is>
      </c>
      <c r="X35" s="11" t="inlineStr">
        <is>
          <t>F7949</t>
        </is>
      </c>
      <c r="Y35" s="11" t="n">
        <v>0.252</v>
      </c>
    </row>
    <row r="36" ht="34.95" customHeight="1" s="92">
      <c r="B36" s="35" t="n"/>
      <c r="C36" s="35" t="n"/>
      <c r="D36" s="36" t="n"/>
      <c r="E36" s="36" t="n"/>
      <c r="F36" s="37" t="n"/>
      <c r="G36" s="36" t="n"/>
      <c r="H36" s="212" t="n"/>
      <c r="I36" s="37" t="n"/>
      <c r="J36" s="37" t="n"/>
      <c r="W36" s="12" t="inlineStr">
        <is>
          <t>คิ้วกระจก14-20มิล (ขวาง) (บานคี่ เปิด)</t>
        </is>
      </c>
      <c r="X36" s="11" t="inlineStr">
        <is>
          <t>F7949</t>
        </is>
      </c>
      <c r="Y36" s="11" t="n">
        <v>0.252</v>
      </c>
    </row>
    <row r="37" ht="34.95" customHeight="1" s="92">
      <c r="B37" s="35" t="n"/>
      <c r="C37" s="35" t="n"/>
      <c r="D37" s="36" t="n"/>
      <c r="E37" s="36" t="n"/>
      <c r="F37" s="37" t="n"/>
      <c r="G37" s="36" t="n"/>
      <c r="H37" s="212" t="n"/>
      <c r="I37" s="37" t="n"/>
      <c r="J37" s="37" t="n"/>
      <c r="W37" s="12" t="inlineStr">
        <is>
          <t>คิ้วสำหรับกระจกมู่ลี่ (ตั้ง) (บานคี่ เปิด)</t>
        </is>
      </c>
      <c r="X37" s="11" t="inlineStr">
        <is>
          <t>F7853</t>
        </is>
      </c>
      <c r="Y37" s="11" t="n">
        <v>0.22</v>
      </c>
    </row>
    <row r="38" ht="34.95" customHeight="1" s="92">
      <c r="B38" s="35" t="n"/>
      <c r="C38" s="35" t="n"/>
      <c r="D38" s="36" t="n"/>
      <c r="E38" s="36" t="n"/>
      <c r="F38" s="37" t="n"/>
      <c r="G38" s="36" t="n"/>
      <c r="H38" s="212" t="n"/>
      <c r="I38" s="37" t="n"/>
      <c r="J38" s="37" t="n"/>
      <c r="W38" s="12" t="inlineStr">
        <is>
          <t>คิ้วสำหรับกระจกมู่ลี่ (ขวาง) (บานคี่ เปิด)</t>
        </is>
      </c>
      <c r="X38" s="11" t="inlineStr">
        <is>
          <t>F7853</t>
        </is>
      </c>
      <c r="Y38" s="11" t="n">
        <v>0.22</v>
      </c>
    </row>
    <row r="39" ht="34.95" customHeight="1" s="92">
      <c r="B39" s="35" t="n"/>
      <c r="C39" s="35" t="n"/>
      <c r="D39" s="36" t="n"/>
      <c r="E39" s="36" t="n"/>
      <c r="F39" s="37" t="n"/>
      <c r="G39" s="36" t="n"/>
      <c r="H39" s="212" t="n"/>
      <c r="I39" s="37" t="n"/>
      <c r="J39" s="37" t="n"/>
    </row>
    <row r="40" ht="34.95" customHeight="1" s="92">
      <c r="B40" s="35" t="n"/>
      <c r="C40" s="35" t="n"/>
      <c r="D40" s="36" t="n"/>
      <c r="E40" s="36" t="n"/>
      <c r="F40" s="37" t="n"/>
      <c r="G40" s="36" t="n"/>
      <c r="H40" s="212" t="n"/>
      <c r="I40" s="37" t="n"/>
      <c r="J40" s="37" t="n"/>
    </row>
    <row r="41" ht="34.95" customHeight="1" s="92">
      <c r="A41" s="36" t="n"/>
      <c r="B41" s="35" t="n"/>
      <c r="C41" s="35" t="n"/>
      <c r="D41" s="36" t="n"/>
      <c r="E41" s="36" t="n"/>
      <c r="F41" s="37" t="n"/>
      <c r="G41" s="36" t="n"/>
      <c r="H41" s="212" t="n"/>
      <c r="I41" s="37" t="n"/>
      <c r="J41" s="37" t="n"/>
    </row>
    <row r="42" ht="34.95" customHeight="1" s="92">
      <c r="A42" s="36" t="n"/>
      <c r="B42" s="35" t="n"/>
      <c r="C42" s="35" t="n"/>
      <c r="D42" s="36" t="n"/>
      <c r="E42" s="36" t="n"/>
      <c r="F42" s="37" t="n"/>
      <c r="G42" s="36" t="n"/>
      <c r="H42" s="212" t="n"/>
      <c r="I42" s="37" t="n"/>
      <c r="J42" s="37" t="n"/>
    </row>
    <row r="43" ht="34.95" customHeight="1" s="92">
      <c r="A43" s="15" t="n"/>
      <c r="B43" s="16" t="n"/>
      <c r="F43" s="17" t="n"/>
      <c r="G43" s="6" t="n"/>
      <c r="H43" s="193" t="n"/>
      <c r="I43" s="17" t="n"/>
      <c r="J43" s="17" t="n"/>
    </row>
    <row r="44" ht="34.95" customHeight="1" s="92">
      <c r="G44" s="6" t="n"/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34">
    <mergeCell ref="A8:J8"/>
    <mergeCell ref="E23:E26"/>
    <mergeCell ref="J16:J18"/>
    <mergeCell ref="E5:F5"/>
    <mergeCell ref="J19:J22"/>
    <mergeCell ref="L8:Q8"/>
    <mergeCell ref="C10:C11"/>
    <mergeCell ref="E10:E11"/>
    <mergeCell ref="E19:E22"/>
    <mergeCell ref="A12:A13"/>
    <mergeCell ref="E16:E18"/>
    <mergeCell ref="C12:C13"/>
    <mergeCell ref="C25:C26"/>
    <mergeCell ref="C21:C22"/>
    <mergeCell ref="D12:D13"/>
    <mergeCell ref="D30:F30"/>
    <mergeCell ref="E6:F6"/>
    <mergeCell ref="C23:C24"/>
    <mergeCell ref="A23:A26"/>
    <mergeCell ref="J12:J13"/>
    <mergeCell ref="A10:A11"/>
    <mergeCell ref="A19:A22"/>
    <mergeCell ref="C19:C20"/>
    <mergeCell ref="D10:D11"/>
    <mergeCell ref="D23:D26"/>
    <mergeCell ref="A16:A18"/>
    <mergeCell ref="E12:E13"/>
    <mergeCell ref="C16:C18"/>
    <mergeCell ref="J10:J11"/>
    <mergeCell ref="O30:Q30"/>
    <mergeCell ref="D16:D18"/>
    <mergeCell ref="C2:F2"/>
    <mergeCell ref="D19:D22"/>
    <mergeCell ref="J23:J26"/>
  </mergeCells>
  <conditionalFormatting sqref="N31">
    <cfRule type="cellIs" priority="3" operator="greaterThanOrEqual" dxfId="1">
      <formula>45.5</formula>
    </cfRule>
    <cfRule type="cellIs" priority="4" operator="greaterThanOrEqual" dxfId="0">
      <formula>40</formula>
    </cfRule>
  </conditionalFormatting>
  <conditionalFormatting sqref="M28:Q29 P26:Q26">
    <cfRule type="expression" priority="5" dxfId="2">
      <formula>$E$6=33</formula>
    </cfRule>
    <cfRule type="expression" priority="6" dxfId="2">
      <formula>$E$6=20</formula>
    </cfRule>
    <cfRule type="expression" priority="7" dxfId="2">
      <formula>$E$6=18</formula>
    </cfRule>
    <cfRule type="expression" priority="8" dxfId="2">
      <formula>$E$6=12</formula>
    </cfRule>
    <cfRule type="expression" priority="9" dxfId="2">
      <formula>$E$6=10</formula>
    </cfRule>
  </conditionalFormatting>
  <conditionalFormatting sqref="C31">
    <cfRule type="cellIs" priority="1" operator="greaterThanOrEqual" dxfId="1">
      <formula>50.5</formula>
    </cfRule>
    <cfRule type="cellIs" priority="2" operator="greaterThanOrEqual" dxfId="0">
      <formula>45</formula>
    </cfRule>
  </conditionalFormatting>
  <dataValidations count="3">
    <dataValidation sqref="I5 I7" showDropDown="0" showInputMessage="1" showErrorMessage="1" allowBlank="1" type="list">
      <formula1>"1,3,5,7,9"</formula1>
    </dataValidation>
    <dataValidation sqref="D6" showDropDown="0" showInputMessage="1" showErrorMessage="1" allowBlank="1" type="list">
      <formula1>"ขาว,ดำ"</formula1>
    </dataValidation>
    <dataValidation sqref="E6" showDropDown="0" showInputMessage="1" showErrorMessage="1" allowBlank="1" type="list">
      <formula1>"5,6,8,10,12,14,16,18,20,29,30,33"</formula1>
    </dataValidation>
  </dataValidations>
  <printOptions horizontalCentered="1"/>
  <pageMargins left="0" right="0" top="0.4724409448818898" bottom="0" header="0.3149606299212598" footer="0.3149606299212598"/>
  <pageSetup orientation="landscape" scale="54"/>
</worksheet>
</file>

<file path=xl/worksheets/sheet9.xml><?xml version="1.0" encoding="utf-8"?>
<worksheet xmlns="http://schemas.openxmlformats.org/spreadsheetml/2006/main">
  <sheetPr codeName="Sheet4">
    <tabColor rgb="FFFFC000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2" sqref="H12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2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1900</v>
      </c>
      <c r="J3" s="52" t="n">
        <v>4000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1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IF($J$3&lt;=2700,7,10)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1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1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1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1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4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2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4</v>
      </c>
      <c r="G13" s="153" t="inlineStr">
        <is>
          <t>(W-18-9.5-(8x1)-50-18)/2</t>
        </is>
      </c>
      <c r="H13" s="204">
        <f>($I$3-18-9.5-(8*1)-50-18)/2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8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24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รับล็อคเฟรมข้างบานคู่</t>
        </is>
      </c>
      <c r="C15" s="56" t="n"/>
      <c r="D15" s="161" t="inlineStr">
        <is>
          <t>F7961</t>
        </is>
      </c>
      <c r="E15" s="161" t="n">
        <v>0.496</v>
      </c>
      <c r="F15" s="161" t="n">
        <v>1</v>
      </c>
      <c r="G15" s="161" t="inlineStr">
        <is>
          <t>H-55-25</t>
        </is>
      </c>
      <c r="H15" s="202">
        <f>$J$3-55-25</f>
        <v/>
      </c>
      <c r="I15" s="161">
        <f>F15*$J$1</f>
        <v/>
      </c>
      <c r="J15" s="161">
        <f>ROUNDUP((H15*I15)/6400,0)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(($H$6*$I$6)+($H$7*$I$7)+($H$8*1)+($H$9*$I$9)+($H$12*$I$12*2)+($H$14*$I$13*2)+($H$13*3)+($H$15*$I$15))/1000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4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(($H$14*2)+($H$15*2))/1000</f>
        <v/>
      </c>
      <c r="Q16" s="206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IF($H$3&lt;=12,V15,IF($H$3&lt;=20,V17,V19))</f>
        <v/>
      </c>
      <c r="C17" s="203" t="n"/>
      <c r="D17" s="203" t="n"/>
      <c r="E17" s="203" t="n"/>
      <c r="F17" s="153" t="n">
        <v>4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O25*P25*$H$3*Q25*2.5/1000000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18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22" t="inlineStr">
        <is>
          <t>น้ำหนักรวม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((($H$12*$F$12*$E$12/1000)+($H$13*$F$13*$E$13/1000)+($H$16*$F$16*$E$16/1000)+($H$17*$F$17*$E$17/1000))+($O$25*$P$25*$H$3*2.5*2/1000000))/2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$N$24*2</f>
        <v/>
      </c>
      <c r="O25" s="41">
        <f>$H$12-130</f>
        <v/>
      </c>
      <c r="P25" s="41">
        <f>$H$13-130</f>
        <v/>
      </c>
      <c r="Q25" s="41">
        <f>2*$J$1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O23:Q23"/>
    <mergeCell ref="E12:E13"/>
    <mergeCell ref="C12:C13"/>
    <mergeCell ref="J12:J13"/>
    <mergeCell ref="L4:Q4"/>
    <mergeCell ref="A4:J4"/>
    <mergeCell ref="D16:D17"/>
    <mergeCell ref="C10:C11"/>
    <mergeCell ref="D12:D13"/>
    <mergeCell ref="E16:E17"/>
    <mergeCell ref="C16:C17"/>
    <mergeCell ref="C2:F2"/>
    <mergeCell ref="E10:E11"/>
    <mergeCell ref="J16:J17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90.5</formula>
    </cfRule>
    <cfRule type="cellIs" priority="2" operator="greaterThanOrEqual" dxfId="0">
      <formula>80</formula>
    </cfRule>
  </conditionalFormatting>
  <dataValidations disablePrompts="1"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10.xml><?xml version="1.0" encoding="utf-8"?>
<worksheet xmlns="http://schemas.openxmlformats.org/spreadsheetml/2006/main">
  <sheetPr codeName="Sheet9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A4" sqref="A4:J4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30</v>
      </c>
    </row>
    <row r="2" ht="19.95" customHeight="1" s="92">
      <c r="A2" s="7" t="n"/>
      <c r="C2" s="158" t="inlineStr">
        <is>
          <t>ใบงาน :  ไทยรุ่งกิจ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850</v>
      </c>
      <c r="J3" s="52" t="n">
        <v>700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1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IF($J$3&lt;=2500,7,IF($J$3&lt;=3000,10,13))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1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1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1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1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6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2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6</v>
      </c>
      <c r="G13" s="153" t="inlineStr">
        <is>
          <t>(W-18-9.5-(8x2)-18-18)/3</t>
        </is>
      </c>
      <c r="H13" s="204">
        <f>($I$3-18-9.5-(8*2)-18-18)/3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12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36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10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6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IF($H$3&lt;=12,V15,IF($H$3&lt;=20,V17,V22))</f>
        <v/>
      </c>
      <c r="C16" s="203" t="n"/>
      <c r="D16" s="203" t="n"/>
      <c r="E16" s="203" t="n"/>
      <c r="F16" s="153" t="n">
        <v>6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แบบเจาะ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(($H$6*$I$6)+($H$7*$I$7)+($H$8*1)+($H$9*$I$9)+($H$12*$I$12*2)+($H$13*$I$13)+($H$14*$I$14)-($H$12*2))/1000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((($H$12*$F$12*$E$12/1000)+($H$13*$F$13*$E$13/1000)+($H$15*$F$15*$E$15/1000)+($H$16*$F$16*$E$16/1000))+($O$28*$P$28*$H$3*2.5*3/1000000))/3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$N$27*3</f>
        <v/>
      </c>
      <c r="O28" s="41">
        <f>$H$12-130</f>
        <v/>
      </c>
      <c r="P28" s="41">
        <f>$H$13-130</f>
        <v/>
      </c>
      <c r="Q28" s="41">
        <f>3*$J$1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</formula>
    </cfRule>
    <cfRule type="cellIs" priority="2" operator="greaterThanOrEqual" dxfId="0">
      <formula>40</formula>
    </cfRule>
  </conditionalFormatting>
  <dataValidations disablePrompts="1"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80"/>
</worksheet>
</file>

<file path=xl/worksheets/sheet11.xml><?xml version="1.0" encoding="utf-8"?>
<worksheet xmlns="http://schemas.openxmlformats.org/spreadsheetml/2006/main">
  <sheetPr codeName="Sheet10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2400</v>
      </c>
      <c r="J3" s="52" t="n">
        <v>4000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1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IF($J$3&lt;=2700,9,12)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1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1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1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1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6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2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6</v>
      </c>
      <c r="G13" s="59" t="inlineStr">
        <is>
          <t>(W-18-9.5-(8x1)
-58-9.5-18)/3</t>
        </is>
      </c>
      <c r="H13" s="204">
        <f>($I$3-18-9.5-(8*1)-58-9.5-18)/3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12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36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6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6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21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(($H$6*$I$6)+($H$7*$I$7)+($H$8*1)+($H$9*$I$9)+($H$12*$I$12*2)+($H$13*$I$13)+($H$14*$I$14)+($H$15*3))/1000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24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((($H$12*$F$12*$E$12/1000)+($H$13*$F$13*$E$13/1000)+($H$16*$F$16*$E$16/1000)+($H$17*$F$17*$E$17/1000))+($O$28*$P$28*$H$3*2.5*3/1000000))/3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$N$27*3</f>
        <v/>
      </c>
      <c r="O28" s="41">
        <f>$H$12-130</f>
        <v/>
      </c>
      <c r="P28" s="41">
        <f>$H$13-130</f>
        <v/>
      </c>
      <c r="Q28" s="41">
        <f>3*$J$1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E12:E13"/>
    <mergeCell ref="C12:C13"/>
    <mergeCell ref="O26:Q26"/>
    <mergeCell ref="E16:E17"/>
    <mergeCell ref="J12:J13"/>
    <mergeCell ref="L4:Q4"/>
    <mergeCell ref="A4:J4"/>
    <mergeCell ref="D16:D17"/>
    <mergeCell ref="D12:D13"/>
    <mergeCell ref="C10:C11"/>
    <mergeCell ref="C16:C17"/>
    <mergeCell ref="C2:F2"/>
    <mergeCell ref="E10:E11"/>
    <mergeCell ref="J16:J17"/>
    <mergeCell ref="J10:J11"/>
  </mergeCells>
  <conditionalFormatting sqref="M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90</formula>
    </cfRule>
    <cfRule type="cellIs" priority="2" operator="greaterThanOrEqual" dxfId="0">
      <formula>80</formula>
    </cfRule>
  </conditionalFormatting>
  <dataValidations disablePrompts="1"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12.xml><?xml version="1.0" encoding="utf-8"?>
<worksheet xmlns="http://schemas.openxmlformats.org/spreadsheetml/2006/main">
  <sheetPr codeName="Sheet11">
    <tabColor theme="5" tint="-0.249977111117893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2" sqref="H12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2358</v>
      </c>
      <c r="J3" s="52" t="n">
        <v>1929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2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IF($J$3&lt;=2700,11,16)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2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2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2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2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8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4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8</v>
      </c>
      <c r="G13" s="153" t="inlineStr">
        <is>
          <t>(W-18-9.5-(8x3)-50-18)/4</t>
        </is>
      </c>
      <c r="H13" s="204">
        <f>($I$3-18-9.5-(8*3)-50-18)/4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16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48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รับล็อคเฟรมข้างบานคู่</t>
        </is>
      </c>
      <c r="C15" s="56" t="n"/>
      <c r="D15" s="161" t="inlineStr">
        <is>
          <t>F7961</t>
        </is>
      </c>
      <c r="E15" s="161" t="n">
        <v>0.496</v>
      </c>
      <c r="F15" s="161" t="n">
        <v>1</v>
      </c>
      <c r="G15" s="161" t="inlineStr">
        <is>
          <t>H-55-25</t>
        </is>
      </c>
      <c r="H15" s="202">
        <f>$J$3-55-25</f>
        <v/>
      </c>
      <c r="I15" s="161">
        <f>F15*$J$1</f>
        <v/>
      </c>
      <c r="J15" s="161">
        <f>ROUNDUP((H15*I15)/6400,0)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(($H$6*$I$6)+($H$7*$I$7)+($H$8*1)+($H$9*$I$9)+($H$12*$I$12*2)+($H$14*$I$13*2)+($H$13*3)+($H$15*$I$15))/1000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8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(($H$14*2)+($H$15*2))/1000</f>
        <v/>
      </c>
      <c r="Q16" s="206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IF($H$3&lt;=12,V15,IF($H$3&lt;=20,V17,V19))</f>
        <v/>
      </c>
      <c r="C17" s="203" t="n"/>
      <c r="D17" s="203" t="n"/>
      <c r="E17" s="203" t="n"/>
      <c r="F17" s="153" t="n">
        <v>8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18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((($H$12*$F$12*$E$12/1000)+($H$13*$F$13*$E$13/1000)+($H$16*$F$16*$E$16/1000)+($H$17*$F$17*$E$17/1000))+($O$25*$P$25*$H$3*2.5*4/1000000))/4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$N$24*4</f>
        <v/>
      </c>
      <c r="O25" s="41">
        <f>$H$12-130</f>
        <v/>
      </c>
      <c r="P25" s="41">
        <f>$H$13-130</f>
        <v/>
      </c>
      <c r="Q25" s="41">
        <f>4*$J$1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mergeCells count="16">
    <mergeCell ref="D10:D11"/>
    <mergeCell ref="O23:Q23"/>
    <mergeCell ref="E12:E13"/>
    <mergeCell ref="C12:C13"/>
    <mergeCell ref="E16:E17"/>
    <mergeCell ref="J12:J13"/>
    <mergeCell ref="L4:Q4"/>
    <mergeCell ref="A4:J4"/>
    <mergeCell ref="D16:D17"/>
    <mergeCell ref="D12:D13"/>
    <mergeCell ref="C10:C11"/>
    <mergeCell ref="C16:C17"/>
    <mergeCell ref="C2:F2"/>
    <mergeCell ref="E10:E11"/>
    <mergeCell ref="J16:J17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60.5</formula>
    </cfRule>
    <cfRule type="cellIs" priority="2" operator="greaterThanOrEqual" dxfId="0">
      <formula>55</formula>
    </cfRule>
  </conditionalFormatting>
  <dataValidations disablePrompts="1"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13.xml><?xml version="1.0" encoding="utf-8"?>
<worksheet xmlns="http://schemas.openxmlformats.org/spreadsheetml/2006/main">
  <sheetPr codeName="Sheet12">
    <tabColor theme="5" tint="-0.249977111117893"/>
    <outlinePr summaryBelow="1" summaryRight="1"/>
    <pageSetUpPr/>
  </sheetPr>
  <dimension ref="A1:Y35"/>
  <sheetViews>
    <sheetView view="pageBreakPreview" topLeftCell="B1" zoomScale="70" zoomScaleNormal="55" zoomScaleSheetLayoutView="70" workbookViewId="0">
      <selection activeCell="H12" sqref="H12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3400</v>
      </c>
      <c r="J3" s="52" t="n">
        <v>3200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1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IF($J$3&lt;=2700,7,10)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1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1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1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1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8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2</v>
      </c>
      <c r="Q12" s="161">
        <f>$J$1*P12</f>
        <v/>
      </c>
      <c r="R12" s="193" t="n">
        <v>73</v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8</v>
      </c>
      <c r="G13" s="59" t="inlineStr">
        <is>
          <t>(W-18-9.5-(8x2)
-23-9.5-18)/4</t>
        </is>
      </c>
      <c r="H13" s="204">
        <f>($I$3-18-9.5-(8*2)-23-9.5-18)/4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16</v>
      </c>
      <c r="Q13" s="161">
        <f>$J$1*P13</f>
        <v/>
      </c>
      <c r="R13" s="193" t="n">
        <v>15</v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48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8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IF($H$3&lt;=12,V15,IF($H$3&lt;=20,V17,V22))</f>
        <v/>
      </c>
      <c r="C16" s="203" t="n"/>
      <c r="D16" s="203" t="n"/>
      <c r="E16" s="203" t="n"/>
      <c r="F16" s="153" t="n">
        <v>8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21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(($H$6*$I$6)+($H$7*$I$7)+($H$8*1)+($H$9*$I$9)+($H$12*$I$12*2)+($H$13*$I$13)+($H$14*$I$14)-($H$12*4))/1000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24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((($H$12*$F$12*$E$12/1000)+($H$13*$F$13*$E$13/1000)+($H$15*$F$15*$E$15/1000)+($H$16*$F$16*$E$16/1000))+($O$28*$P$28*$H$3*2.5*4/1000000))/4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$N$27*4</f>
        <v/>
      </c>
      <c r="O28" s="41">
        <f>$H$12-130</f>
        <v/>
      </c>
      <c r="P28" s="41">
        <f>$H$13-130</f>
        <v/>
      </c>
      <c r="Q28" s="41">
        <f>4*$J$1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M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14.xml><?xml version="1.0" encoding="utf-8"?>
<worksheet xmlns="http://schemas.openxmlformats.org/spreadsheetml/2006/main">
  <sheetPr codeName="Sheet13">
    <tabColor theme="5" tint="-0.249977111117893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C3" sqref="C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>ใบงาน :  ซิตี้กาลส สุพรรณ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2495</v>
      </c>
      <c r="J3" s="52" t="n">
        <v>2100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2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IF($J$3&lt;=2500,14,IF($J$3&lt;=3000,20,26))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2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2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2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2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8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4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8</v>
      </c>
      <c r="G13" s="59" t="inlineStr">
        <is>
          <t>(W-18-9.5-(8x2)-71
-9.5-18)/4</t>
        </is>
      </c>
      <c r="H13" s="204">
        <f>($I$3-18-9.5-(8*2)-71-9.5-18)/4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16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48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8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(($H$6*$I$6)+($H$7*$I$7)+($H$8*I8)+($H$9*$I$9)+($H$12*$I$12*2)+($H$14*$I$14*3)+($H$13*$I$13*2))/1000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IF($H$3&lt;=12,V15,IF($H$3&lt;=20,V17,V19))</f>
        <v/>
      </c>
      <c r="C16" s="203" t="n"/>
      <c r="D16" s="203" t="n"/>
      <c r="E16" s="203" t="n"/>
      <c r="F16" s="153" t="n">
        <v>8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($H$14*$I$14*2)/1000</f>
        <v/>
      </c>
      <c r="Q16" s="206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18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((($H$12*$F$12*$E$12/1000)+($H$13*$F$13*$E$13/1000)+($H$15*$F$15*$E$15/1000)+($H$16*$F$16*$E$16/1000))+($O$25*$P$25*$H$3*2.5*4/1000000))/4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$N$24*4</f>
        <v/>
      </c>
      <c r="O25" s="41">
        <f>$H$12-130</f>
        <v/>
      </c>
      <c r="P25" s="41">
        <f>$H$13-130</f>
        <v/>
      </c>
      <c r="Q25" s="41">
        <f>4*$J$1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mergeCells count="16">
    <mergeCell ref="J15:J16"/>
    <mergeCell ref="D15:D16"/>
    <mergeCell ref="D10:D11"/>
    <mergeCell ref="O23:Q23"/>
    <mergeCell ref="E12:E13"/>
    <mergeCell ref="C12:C13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L17:Q18">
    <cfRule type="expression" priority="5" dxfId="2">
      <formula>$H$3=33</formula>
    </cfRule>
    <cfRule type="expression" priority="6" dxfId="2">
      <formula>$H$3=20</formula>
    </cfRule>
    <cfRule type="expression" priority="7" dxfId="2">
      <formula>$H$3=18</formula>
    </cfRule>
    <cfRule type="expression" priority="8" dxfId="2">
      <formula>$H$3=12</formula>
    </cfRule>
    <cfRule type="expression" priority="9" dxfId="2">
      <formula>$H$3=10</formula>
    </cfRule>
  </conditionalFormatting>
  <conditionalFormatting sqref="N24">
    <cfRule type="cellIs" priority="1" operator="greaterThanOrEqual" dxfId="1">
      <formula>90.5</formula>
    </cfRule>
    <cfRule type="cellIs" priority="2" operator="greaterThanOrEqual" dxfId="0">
      <formula>80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15.xml><?xml version="1.0" encoding="utf-8"?>
<worksheet xmlns="http://schemas.openxmlformats.org/spreadsheetml/2006/main">
  <sheetPr codeName="Sheet14">
    <tabColor theme="4" tint="-0.249977111117893"/>
    <outlinePr summaryBelow="1" summaryRight="1"/>
    <pageSetUpPr fitToPage="1"/>
  </sheetPr>
  <dimension ref="A1:Y35"/>
  <sheetViews>
    <sheetView zoomScale="70" zoomScaleNormal="70" zoomScaleSheetLayoutView="70" workbookViewId="0">
      <selection activeCell="H12" sqref="H12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>ใบงาน : คุณหลิว D1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ขาว</t>
        </is>
      </c>
      <c r="H3" s="218" t="n">
        <v>6</v>
      </c>
      <c r="I3" s="52" t="n">
        <v>18</v>
      </c>
      <c r="J3" s="52" t="n">
        <v>2383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2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IF($J$3&lt;=2700,11,16)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2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2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2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2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10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4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10</v>
      </c>
      <c r="G13" s="153" t="inlineStr">
        <is>
          <t>(W-18-9.5-(8x4)-18-18)/5</t>
        </is>
      </c>
      <c r="H13" s="204">
        <f>($I$3-18-9.5-(8*4)-18-18)/5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60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10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10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IF($H$3&lt;=12,V15,IF($H$3&lt;=20,V17,V22))</f>
        <v/>
      </c>
      <c r="C16" s="203" t="n"/>
      <c r="D16" s="203" t="n"/>
      <c r="E16" s="203" t="n"/>
      <c r="F16" s="153" t="n">
        <v>10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แบบเจาะ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(($H$6*$I$6)+($H$7*$I$7)+($H$8*1)+($H$9*$I$9)+($H$12*$I$12*2)+($H$13*$I$13)+($H$14*$I$14)-($H$12*2))/1000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((($H$12*$F$12*$E$12/1000)+($H$13*$F$13*$E$13/1000)+($H$15*$F$15*$E$15/1000)+($H$16*$F$16*$E$16/1000))+($O$28*$P$28*$H$3*2.5*5/1000000))/5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$N$27*5</f>
        <v/>
      </c>
      <c r="O28" s="41">
        <f>$H$12-130</f>
        <v/>
      </c>
      <c r="P28" s="41">
        <f>$H$13-130</f>
        <v/>
      </c>
      <c r="Q28" s="41">
        <f>5*$J$1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6" dxfId="2">
      <formula>$H$3=20</formula>
    </cfRule>
    <cfRule type="expression" priority="17" dxfId="2">
      <formula>$H$3=18</formula>
    </cfRule>
    <cfRule type="expression" priority="18" dxfId="2">
      <formula>$H$3=12</formula>
    </cfRule>
    <cfRule type="expression" priority="19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92"/>
  <rowBreaks count="1" manualBreakCount="1">
    <brk id="10" min="0" max="9" man="1"/>
  </rowBreaks>
</worksheet>
</file>

<file path=xl/worksheets/sheet16.xml><?xml version="1.0" encoding="utf-8"?>
<worksheet xmlns="http://schemas.openxmlformats.org/spreadsheetml/2006/main">
  <sheetPr codeName="Sheet15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>ใบงาน : คุณหลิว  WA-01.2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3480</v>
      </c>
      <c r="J3" s="52" t="n">
        <v>2107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2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IF($J$3&lt;=2700,14,20)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2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2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2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2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10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4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10</v>
      </c>
      <c r="G13" s="59" t="inlineStr">
        <is>
          <t>(W-18-9.5-(8x3)
-58-9.5-18)/5</t>
        </is>
      </c>
      <c r="H13" s="204">
        <f>($I$3-18-9.5-(8*3)-58-9.5-18)/5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60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10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10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(($H$6*$I$6)+($H$7*$I$7)+($H$8*1)+($H$9*$I$9)+($H$12*$I$12*2)+($H$13*$I$13)+($H$14*$I$14)+($H$15*3))/1000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((($H$12*$F$12*$E$12/1000)+($H$13*$F$13*$E$13/1000)+($H$16*$F$16*$E$16/1000)+($H$17*$F$17*$E$17/1000))+($O$28*$P$28*$H$3*2.5*5/1000000))/5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$N$27*5</f>
        <v/>
      </c>
      <c r="O28" s="41">
        <f>$H$12-130</f>
        <v/>
      </c>
      <c r="P28" s="41">
        <f>$H$13-130</f>
        <v/>
      </c>
      <c r="Q28" s="41">
        <f>5*$J$1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mergeCells count="16">
    <mergeCell ref="D10:D11"/>
    <mergeCell ref="E12:E13"/>
    <mergeCell ref="C12:C13"/>
    <mergeCell ref="O26:Q26"/>
    <mergeCell ref="J12:J13"/>
    <mergeCell ref="L4:Q4"/>
    <mergeCell ref="A4:J4"/>
    <mergeCell ref="D16:D17"/>
    <mergeCell ref="C10:C11"/>
    <mergeCell ref="D12:D13"/>
    <mergeCell ref="E16:E17"/>
    <mergeCell ref="C16:C17"/>
    <mergeCell ref="C2:F2"/>
    <mergeCell ref="E10:E11"/>
    <mergeCell ref="J16:J17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60.5</formula>
    </cfRule>
    <cfRule type="cellIs" priority="2" operator="greaterThanOrEqual" dxfId="0">
      <formula>55</formula>
    </cfRule>
  </conditionalFormatting>
  <dataValidations disablePrompts="1"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17.xml><?xml version="1.0" encoding="utf-8"?>
<worksheet xmlns="http://schemas.openxmlformats.org/spreadsheetml/2006/main">
  <sheetPr codeName="Sheet16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C2" sqref="C2:F2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2790</v>
      </c>
      <c r="J3" s="52" t="n">
        <v>2790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2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IF($J$3&lt;=2700,14,20)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2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2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2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2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10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4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10</v>
      </c>
      <c r="G13" s="59" t="inlineStr">
        <is>
          <t>(W-18-9.5-(8x3)
-58-9.5-18)/5</t>
        </is>
      </c>
      <c r="H13" s="204">
        <f>($I$3-18-9.5-(8*3)-58-9.5-18)/5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60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10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10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(($H$6*$I$6)+($H$7*$I$7)+($H$8*1)+($H$9*$I$9)+($H$12*$I$12*2)+($H$13*$I$13)+($H$14*$I$14)+($H$15*3))/1000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((($H$12*$F$12*$E$12/1000)+($H$13*$F$13*$E$13/1000)+($H$16*$F$16*$E$16/1000)+($H$17*$F$17*$E$17/1000))+($O$28*$P$28*$H$3*2.5*5/1000000))/5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$N$27*5</f>
        <v/>
      </c>
      <c r="O28" s="41">
        <f>$H$12-130</f>
        <v/>
      </c>
      <c r="P28" s="41">
        <f>$H$13-130</f>
        <v/>
      </c>
      <c r="Q28" s="41">
        <f>5*$J$1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E12:E13"/>
    <mergeCell ref="C12:C13"/>
    <mergeCell ref="O26:Q26"/>
    <mergeCell ref="J12:J13"/>
    <mergeCell ref="L4:Q4"/>
    <mergeCell ref="A4:J4"/>
    <mergeCell ref="D16:D17"/>
    <mergeCell ref="C10:C11"/>
    <mergeCell ref="D12:D13"/>
    <mergeCell ref="E16:E17"/>
    <mergeCell ref="C16:C17"/>
    <mergeCell ref="C2:F2"/>
    <mergeCell ref="E10:E11"/>
    <mergeCell ref="J16:J17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 horizontalDpi="300" verticalDpi="300"/>
</worksheet>
</file>

<file path=xl/worksheets/sheet18.xml><?xml version="1.0" encoding="utf-8"?>
<worksheet xmlns="http://schemas.openxmlformats.org/spreadsheetml/2006/main">
  <sheetPr codeName="Sheet17">
    <tabColor theme="9" tint="-0.249977111117893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5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ขาว</t>
        </is>
      </c>
      <c r="H3" s="218" t="n">
        <v>8</v>
      </c>
      <c r="I3" s="52" t="n">
        <v>6000</v>
      </c>
      <c r="J3" s="52" t="n">
        <v>3000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3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IF($J$3&lt;=2700,15,22)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3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3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3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3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12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6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12</v>
      </c>
      <c r="G13" s="153" t="inlineStr">
        <is>
          <t>(W-18-9.5-(8x5)-50-18)/6</t>
        </is>
      </c>
      <c r="H13" s="204">
        <f>($I$3-18-9.5-(8*5)-50-18)/6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24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72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รับล็อคเฟรมข้างบานคู่</t>
        </is>
      </c>
      <c r="C15" s="56" t="n"/>
      <c r="D15" s="161" t="inlineStr">
        <is>
          <t>F7961</t>
        </is>
      </c>
      <c r="E15" s="161" t="n">
        <v>0.496</v>
      </c>
      <c r="F15" s="161" t="n">
        <v>1</v>
      </c>
      <c r="G15" s="161" t="inlineStr">
        <is>
          <t>H-55-25</t>
        </is>
      </c>
      <c r="H15" s="202">
        <f>$J$3-55-25</f>
        <v/>
      </c>
      <c r="I15" s="161">
        <f>F15*$J$1</f>
        <v/>
      </c>
      <c r="J15" s="161">
        <f>ROUNDUP((H15*I15)/6400,0)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(($H$6*$I$6)+($H$7*$I$7)+($H$8*1)+($H$9*$I$9)+($H$12*$I$12*2)+($H$14*$I$13*2)+($H$13*3)+($H$15*$I$15))/1000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12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(($H$14*2)+($H$15*2))/1000</f>
        <v/>
      </c>
      <c r="Q16" s="206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IF($H$3&lt;=12,V15,IF($H$3&lt;=20,V17,V19))</f>
        <v/>
      </c>
      <c r="C17" s="203" t="n"/>
      <c r="D17" s="203" t="n"/>
      <c r="E17" s="203" t="n"/>
      <c r="F17" s="153" t="n">
        <v>12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18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((($H$12*$F$12*$E$12/1000)+($H$13*$F$13*$E$13/1000)+($H$16*$F$16*$E$16/1000)+($H$17*$F$17*$E$17/1000))+($O$25*$P$25*$H$3*2.5*6/1000000))/6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$N$24*6</f>
        <v/>
      </c>
      <c r="O25" s="41">
        <f>$H$12-130</f>
        <v/>
      </c>
      <c r="P25" s="41">
        <f>$H$13-130</f>
        <v/>
      </c>
      <c r="Q25" s="41">
        <f>6*$J$1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O23:Q23"/>
    <mergeCell ref="E12:E13"/>
    <mergeCell ref="C12:C13"/>
    <mergeCell ref="J12:J13"/>
    <mergeCell ref="L4:Q4"/>
    <mergeCell ref="A4:J4"/>
    <mergeCell ref="D16:D17"/>
    <mergeCell ref="C10:C11"/>
    <mergeCell ref="D12:D13"/>
    <mergeCell ref="E16:E17"/>
    <mergeCell ref="C16:C17"/>
    <mergeCell ref="C2:F2"/>
    <mergeCell ref="E10:E11"/>
    <mergeCell ref="J16:J17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54.5</formula>
    </cfRule>
    <cfRule type="cellIs" priority="2" operator="greaterThanOrEqual" dxfId="0">
      <formula>49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19.xml><?xml version="1.0" encoding="utf-8"?>
<worksheet xmlns="http://schemas.openxmlformats.org/spreadsheetml/2006/main">
  <sheetPr codeName="Sheet18">
    <tabColor theme="9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1500</v>
      </c>
      <c r="J3" s="52" t="n">
        <v>2600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2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IF($J$3&lt;=2700,11,16)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2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2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2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2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12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4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12</v>
      </c>
      <c r="G13" s="59" t="inlineStr">
        <is>
          <t>(W-18-9.5-(8x4)
-23-9.5-18)/6</t>
        </is>
      </c>
      <c r="H13" s="204">
        <f>($I$3-18-9.5-(8*4)-23-9.5-18)/6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24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48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12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IF($H$3&lt;=12,V15,IF($H$3&lt;=20,V17,V22))</f>
        <v/>
      </c>
      <c r="C16" s="203" t="n"/>
      <c r="D16" s="203" t="n"/>
      <c r="E16" s="203" t="n"/>
      <c r="F16" s="153" t="n">
        <v>12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21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(($H$6*$I$6)+($H$7*$I$7)+($H$8*1)+($H$9*$I$9)+($H$12*$I$12*2)+($H$13*$I$13)+($H$14*$I$14)-($H$12*4))/1000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24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((($H$12*$F$12*$E$12/1000)+($H$13*$F$13*$E$13/1000)+($H$15*$F$15*$E$15/1000)+($H$16*$F$16*$E$16/1000))+($O$28*$P$28*$H$3*2.5*6/1000000))/6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$N$27*6</f>
        <v/>
      </c>
      <c r="O28" s="41">
        <f>$H$12-130</f>
        <v/>
      </c>
      <c r="P28" s="41">
        <f>$H$13-130</f>
        <v/>
      </c>
      <c r="Q28" s="41">
        <f>6*$J$1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M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20.xml><?xml version="1.0" encoding="utf-8"?>
<worksheet xmlns="http://schemas.openxmlformats.org/spreadsheetml/2006/main">
  <sheetPr codeName="Sheet19">
    <tabColor theme="9" tint="-0.249977111117893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3750</v>
      </c>
      <c r="J3" s="52" t="n">
        <v>3500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3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IF($J$3&lt;=2700,16,24)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3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3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3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3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12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6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12</v>
      </c>
      <c r="G13" s="59" t="inlineStr">
        <is>
          <t>(W-18-9.5-(8x4)-71
-9.5-18)/6</t>
        </is>
      </c>
      <c r="H13" s="204">
        <f>($I$3-18-9.5-(8*4)-71-9.5-18)/6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24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72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12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(($H$6*$I$6)+($H$7*$I$7)+($H$8*I8)+($H$9*$I$9)+($H$12*$I$12*2)+($H$14*$I$14*3)+($H$13*$I$13*2))/1000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IF($H$3&lt;=12,V15,IF($H$3&lt;=20,V17,V19))</f>
        <v/>
      </c>
      <c r="C16" s="203" t="n"/>
      <c r="D16" s="203" t="n"/>
      <c r="E16" s="203" t="n"/>
      <c r="F16" s="153" t="n">
        <v>12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($H$14*$I$14*2)/1000</f>
        <v/>
      </c>
      <c r="Q16" s="206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18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((($H$12*$F$12*$E$12/1000)+($H$13*$F$13*$E$13/1000)+($H$15*$F$15*$E$15/1000)+($H$16*$F$16*$E$16/1000))+($O$25*$P$25*$H$3*2.5*6/1000000))/6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$N$24*6</f>
        <v/>
      </c>
      <c r="O25" s="41">
        <f>$H$12-130</f>
        <v/>
      </c>
      <c r="P25" s="41">
        <f>$H$13-130</f>
        <v/>
      </c>
      <c r="Q25" s="41">
        <f>6*$J$1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O23:Q23"/>
    <mergeCell ref="E12:E13"/>
    <mergeCell ref="C12:C13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67.5</formula>
    </cfRule>
    <cfRule type="cellIs" priority="2" operator="greaterThanOrEqual" dxfId="0">
      <formula>62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21.xml><?xml version="1.0" encoding="utf-8"?>
<worksheet xmlns="http://schemas.openxmlformats.org/spreadsheetml/2006/main">
  <sheetPr codeName="Sheet20">
    <tabColor theme="9" tint="-0.249977111117893"/>
    <outlinePr summaryBelow="1" summaryRight="1"/>
    <pageSetUpPr/>
  </sheetPr>
  <dimension ref="A1:Y35"/>
  <sheetViews>
    <sheetView zoomScale="70" zoomScaleNormal="70" zoomScaleSheetLayoutView="70" workbookViewId="0">
      <selection activeCell="A4" sqref="A4:J4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>ใบงาน : คุณจิว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4298</v>
      </c>
      <c r="J3" s="52" t="n">
        <v>2452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2</v>
      </c>
      <c r="Q6" s="161">
        <f>$J$1*P6</f>
        <v/>
      </c>
      <c r="R6" s="193" t="n">
        <v>1200</v>
      </c>
      <c r="S6" s="6">
        <f>((H6*I6)/1000)*E6</f>
        <v/>
      </c>
      <c r="U6" s="6">
        <f>((E6*J6)*6.4)</f>
        <v/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IF($J$3&lt;=2500,14,IF($J$3&lt;=3000,18,22))</f>
        <v/>
      </c>
      <c r="Q7" s="161">
        <f>$J$1*P7</f>
        <v/>
      </c>
      <c r="R7" s="193" t="n">
        <v>250</v>
      </c>
      <c r="S7" s="6">
        <f>((H7*I7)/1000)*E7</f>
        <v/>
      </c>
      <c r="U7" s="6">
        <f>((E7*J7)*6.4)</f>
        <v/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2</v>
      </c>
      <c r="Q8" s="161">
        <f>$J$1*P8</f>
        <v/>
      </c>
      <c r="R8" s="193" t="n">
        <v>250</v>
      </c>
      <c r="S8" s="6">
        <f>((H8*I8)/1000)*E8</f>
        <v/>
      </c>
      <c r="U8" s="6">
        <f>((E8*J8)*6.4)</f>
        <v/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2</v>
      </c>
      <c r="Q9" s="161">
        <f>$J$1*P9</f>
        <v/>
      </c>
      <c r="R9" s="193" t="n">
        <v>500</v>
      </c>
      <c r="S9" s="6">
        <f>((H9*I9)/1000)*E9</f>
        <v/>
      </c>
      <c r="U9" s="6">
        <f>((E9*J9)*6.4)</f>
        <v/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2</v>
      </c>
      <c r="Q10" s="161">
        <f>$J$1*P10</f>
        <v/>
      </c>
      <c r="R10" s="193" t="n">
        <v>630</v>
      </c>
      <c r="S10" s="6">
        <f>((H10*I10)/1000)*E10</f>
        <v/>
      </c>
      <c r="U10" s="6">
        <f>((E10*J10)*6.4)</f>
        <v/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2</v>
      </c>
      <c r="Q11" s="161">
        <f>$J$1*P11</f>
        <v/>
      </c>
      <c r="R11" s="193" t="n">
        <v>170</v>
      </c>
      <c r="S11" s="6">
        <f>((H11*I11)/1000)*E10</f>
        <v/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12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4</v>
      </c>
      <c r="Q12" s="161">
        <f>$J$1*P12</f>
        <v/>
      </c>
      <c r="R12" s="193" t="n">
        <v>73</v>
      </c>
      <c r="S12" s="6">
        <f>((H12*I12)/1000)*E12</f>
        <v/>
      </c>
      <c r="U12" s="6">
        <f>((E12*J12)*6.4)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12</v>
      </c>
      <c r="G13" s="59" t="inlineStr">
        <is>
          <t>(W-18-9.5-(8x4)
-23-9.5-18)/6</t>
        </is>
      </c>
      <c r="H13" s="204">
        <f>($I$3-18-9.5-(8*4)-23-9.5-18)/6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24</v>
      </c>
      <c r="Q13" s="161">
        <f>$J$1*P13</f>
        <v/>
      </c>
      <c r="R13" s="193" t="n">
        <v>15</v>
      </c>
      <c r="S13" s="6">
        <f>((H13*I13)/1000)*E12</f>
        <v/>
      </c>
      <c r="U13" s="6">
        <f>((E14*J14)*6.4)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72</v>
      </c>
      <c r="Q14" s="161">
        <f>$J$1*P14</f>
        <v/>
      </c>
      <c r="R14" s="193" t="n">
        <v>1.5</v>
      </c>
      <c r="U14" s="6">
        <f>((E15*J15)*6.4)</f>
        <v/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12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R15" s="6" t="n">
        <v>1100</v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IF($H$3&lt;=12,V15,IF($H$3&lt;=20,V17,V22))</f>
        <v/>
      </c>
      <c r="C16" s="203" t="n"/>
      <c r="D16" s="203" t="n"/>
      <c r="E16" s="203" t="n"/>
      <c r="F16" s="153" t="n">
        <v>12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R17" s="6" t="n">
        <v>950</v>
      </c>
      <c r="S17" s="6">
        <f>((H16*I16)/1000)*E15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R18" s="6" t="n">
        <v>300</v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R20" s="6" t="n">
        <v>15</v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21</v>
      </c>
      <c r="M22" s="68" t="inlineStr">
        <is>
          <t>ก้านสไลด์มัลติพ้อย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R22" s="220">
        <f>SUM(R6:R21)</f>
        <v/>
      </c>
      <c r="S22" s="18">
        <f>SUM(S6:S21)</f>
        <v/>
      </c>
      <c r="T22" s="6">
        <f>S22*195</f>
        <v/>
      </c>
      <c r="U22" s="6">
        <f>SUM(U6:U17)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(($H$6*$I$6)+($H$7*$I$7)+($H$8*1)+($H$9*$I$9)+($H$12*$I$12*2)+($H$13*$I$13)+($H$14*$I$14)-($H$12*4))/1000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24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((($H$12*$F$12*$E$12/1000)+($H$13*$F$13*$E$13/1000)+($H$15*$F$15*$E$15/1000)+($H$16*$F$16*$E$16/1000))+($O$28*$P$28*$H$3*2.5*6/1000000))/6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$N$27*6</f>
        <v/>
      </c>
      <c r="O28" s="41">
        <f>$H$12-130</f>
        <v/>
      </c>
      <c r="P28" s="41">
        <f>$H$13-130</f>
        <v/>
      </c>
      <c r="Q28" s="41">
        <f>6*$J$1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M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paperSize="9" scale="50"/>
</worksheet>
</file>

<file path=xl/worksheets/sheet22.xml><?xml version="1.0" encoding="utf-8"?>
<worksheet xmlns="http://schemas.openxmlformats.org/spreadsheetml/2006/main">
  <sheetPr codeName="Sheet21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2" sqref="H12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8</v>
      </c>
      <c r="I3" s="52" t="n">
        <v>4000</v>
      </c>
      <c r="J3" s="52" t="n">
        <v>3500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3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IF($J$3&lt;=2700,15,22)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3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3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3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3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14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6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14</v>
      </c>
      <c r="G13" s="153" t="inlineStr">
        <is>
          <t>(W-18-9.5-(8x6)-18-18)/7</t>
        </is>
      </c>
      <c r="H13" s="204">
        <f>($I$3-18-9.5-(8*6)-18-18)/7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28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84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10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14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IF($H$3&lt;=12,V15,IF($H$3&lt;=20,V17,V22))</f>
        <v/>
      </c>
      <c r="C16" s="203" t="n"/>
      <c r="D16" s="203" t="n"/>
      <c r="E16" s="203" t="n"/>
      <c r="F16" s="153" t="n">
        <v>14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แบบเจาะ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(($H$6*$I$6)+($H$7*$I$7)+($H$8*1)+($H$9*$I$9)+($H$12*$I$12*2)+($H$13*$I$13)+($H$14*$I$14)-($H$12*2))/1000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((($H$12*$F$12*$E$12/1000)+($H$13*$F$13*$E$13/1000)+($H$15*$F$15*$E$15/1000)+($H$16*$F$16*$E$16/1000))+($O$28*$P$28*$H$3*2.5*7/1000000))/7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$N$27*7</f>
        <v/>
      </c>
      <c r="O28" s="41">
        <f>$H$12-130</f>
        <v/>
      </c>
      <c r="P28" s="41">
        <f>$H$13-130</f>
        <v/>
      </c>
      <c r="Q28" s="41">
        <f>7*$J$1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23.xml><?xml version="1.0" encoding="utf-8"?>
<worksheet xmlns="http://schemas.openxmlformats.org/spreadsheetml/2006/main">
  <sheetPr codeName="Sheet22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1500</v>
      </c>
      <c r="J3" s="52" t="n">
        <v>2600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3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IF($J$3&lt;=2700,17,24)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3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3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3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3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14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6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14</v>
      </c>
      <c r="G13" s="59" t="inlineStr">
        <is>
          <t>(W-18-9.5-(8x5)
-58-9.5-18)/7</t>
        </is>
      </c>
      <c r="H13" s="204">
        <f>($I$3-18-9.5-(8*5)-58-9.5-18)/7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28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84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14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14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(($H$6*$I$6)+($H$7*$I$7)+($H$8*1)+($H$9*$I$9)+($H$12*$I$12*2)+($H$13*$I$13)+($H$14*$I$14)+($H$15*3))/1000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((($H$12*$F$12*$E$12/1000)+($H$13*$F$13*$E$13/1000)+($H$16*$F$16*$E$16/1000)+($H$17*$F$17*$E$17/1000))+($O$28*$P$28*$H$3*2.5*7/1000000))/7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$N$27*7</f>
        <v/>
      </c>
      <c r="O28" s="41">
        <f>$H$12-130</f>
        <v/>
      </c>
      <c r="P28" s="41">
        <f>$H$13-130</f>
        <v/>
      </c>
      <c r="Q28" s="41">
        <f>7*$J$1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E12:E13"/>
    <mergeCell ref="C12:C13"/>
    <mergeCell ref="O26:Q26"/>
    <mergeCell ref="J12:J13"/>
    <mergeCell ref="L4:Q4"/>
    <mergeCell ref="A4:J4"/>
    <mergeCell ref="D16:D17"/>
    <mergeCell ref="C10:C11"/>
    <mergeCell ref="D12:D13"/>
    <mergeCell ref="E16:E17"/>
    <mergeCell ref="C16:C17"/>
    <mergeCell ref="C2:F2"/>
    <mergeCell ref="E10:E11"/>
    <mergeCell ref="J16:J17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54.5</formula>
    </cfRule>
    <cfRule type="cellIs" priority="2" operator="greaterThanOrEqual" dxfId="0">
      <formula>49</formula>
    </cfRule>
  </conditionalFormatting>
  <dataValidations disablePrompts="1"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24.xml><?xml version="1.0" encoding="utf-8"?>
<worksheet xmlns="http://schemas.openxmlformats.org/spreadsheetml/2006/main">
  <sheetPr codeName="Sheet23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4500</v>
      </c>
      <c r="J3" s="52" t="n">
        <v>2750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3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IF($J$3&lt;=2700,18,26)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3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3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3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3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14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6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14</v>
      </c>
      <c r="G13" s="59" t="inlineStr">
        <is>
          <t>(W-18-9.5-(8x5)
-58-9.5-18)/7</t>
        </is>
      </c>
      <c r="H13" s="204">
        <f>($I$3-18-9.5-(8*5)-58-9.5-18)/7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28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84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14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14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(($H$6*$I$6)+($H$7*$I$7)+($H$8*1)+($H$9*$I$9)+($H$12*$I$12*2)+($H$13*$I$13)+($H$14*$I$14)+($H$15*3))/1000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((($H$12*$F$12*$E$12/1000)+($H$13*$F$13*$E$13/1000)+($H$16*$F$16*$E$16/1000)+($H$17*$F$17*$E$17/1000))+($O$28*$P$28*$H$3*2.5*7/1000000))/7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$N$27*7</f>
        <v/>
      </c>
      <c r="O28" s="41">
        <f>$H$12-130</f>
        <v/>
      </c>
      <c r="P28" s="41">
        <f>$H$13-130</f>
        <v/>
      </c>
      <c r="Q28" s="41">
        <f>7*$J$1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E12:E13"/>
    <mergeCell ref="C12:C13"/>
    <mergeCell ref="O26:Q26"/>
    <mergeCell ref="J12:J13"/>
    <mergeCell ref="L4:Q4"/>
    <mergeCell ref="A4:J4"/>
    <mergeCell ref="D16:D17"/>
    <mergeCell ref="C10:C11"/>
    <mergeCell ref="D12:D13"/>
    <mergeCell ref="E16:E17"/>
    <mergeCell ref="C16:C17"/>
    <mergeCell ref="C2:F2"/>
    <mergeCell ref="E10:E11"/>
    <mergeCell ref="J16:J17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25.xml><?xml version="1.0" encoding="utf-8"?>
<worksheet xmlns="http://schemas.openxmlformats.org/spreadsheetml/2006/main">
  <sheetPr codeName="Sheet24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4770</v>
      </c>
      <c r="J3" s="52" t="n">
        <v>2960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3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IF($J$3&lt;=2500,18,IF($J$3&lt;=3000,26,34))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3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3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3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3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14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6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14</v>
      </c>
      <c r="G13" s="59" t="inlineStr">
        <is>
          <t>(W-18-9.5-(8x5)
-58-9.5-18)/7</t>
        </is>
      </c>
      <c r="H13" s="204">
        <f>($I$3-18-9.5-(8*5)-58-9.5-18)/7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28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84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14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14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(($H$6*$I$6)+($H$7*$I$7)+($H$8*1)+($H$9*$I$9)+($H$12*$I$12*2)+($H$13*$I$13)+($H$14*$I$14)+($H$15*3))/1000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((($H$12*$F$12*$E$12/1000)+($H$13*$F$13*$E$13/1000)+($H$16*$F$16*$E$16/1000)+($H$17*$F$17*$E$17/1000))+($O$28*$P$28*$H$3*2.5*7/1000000))/7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$N$27*7</f>
        <v/>
      </c>
      <c r="O28" s="41">
        <f>$H$12-130</f>
        <v/>
      </c>
      <c r="P28" s="41">
        <f>$H$13-130</f>
        <v/>
      </c>
      <c r="Q28" s="41">
        <f>7*$J$1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mergeCells count="16">
    <mergeCell ref="D10:D11"/>
    <mergeCell ref="E12:E13"/>
    <mergeCell ref="C12:C13"/>
    <mergeCell ref="O26:Q26"/>
    <mergeCell ref="J12:J13"/>
    <mergeCell ref="L4:Q4"/>
    <mergeCell ref="A4:J4"/>
    <mergeCell ref="D16:D17"/>
    <mergeCell ref="C10:C11"/>
    <mergeCell ref="D12:D13"/>
    <mergeCell ref="E16:E17"/>
    <mergeCell ref="C16:C17"/>
    <mergeCell ref="C2:F2"/>
    <mergeCell ref="E10:E11"/>
    <mergeCell ref="J16:J17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26.xml><?xml version="1.0" encoding="utf-8"?>
<worksheet xmlns="http://schemas.openxmlformats.org/spreadsheetml/2006/main">
  <sheetPr codeName="Sheet25">
    <tabColor theme="7" tint="-0.249977111117893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1300</v>
      </c>
      <c r="J3" s="52" t="n">
        <v>2750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IF($J$3&lt;=2700,19,28)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16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16</v>
      </c>
      <c r="G13" s="153" t="inlineStr">
        <is>
          <t>(W-18-9.5-(8x7)-50-18)/8</t>
        </is>
      </c>
      <c r="H13" s="204">
        <f>($I$3-18-9.5-(8*7)-50-18)/8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32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96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รับล็อคเฟรมข้างบานคู่</t>
        </is>
      </c>
      <c r="C15" s="56" t="n"/>
      <c r="D15" s="161" t="inlineStr">
        <is>
          <t>F7961</t>
        </is>
      </c>
      <c r="E15" s="161" t="n">
        <v>0.496</v>
      </c>
      <c r="F15" s="161" t="n">
        <v>1</v>
      </c>
      <c r="G15" s="161" t="inlineStr">
        <is>
          <t>H-55-25</t>
        </is>
      </c>
      <c r="H15" s="202">
        <f>$J$3-55-25</f>
        <v/>
      </c>
      <c r="I15" s="161">
        <f>F15*$J$1</f>
        <v/>
      </c>
      <c r="J15" s="161">
        <f>ROUNDUP((H15*I15)/6400,0)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(($H$6*$I$6)+($H$7*$I$7)+($H$8*1)+($H$9*$I$9)+($H$12*$I$12*2)+($H$14*$I$13*2)+($H$13*3)+($H$15*$I$15))/1000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16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(($H$14*2)+($H$15*2))/1000</f>
        <v/>
      </c>
      <c r="Q16" s="206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IF($H$3&lt;=12,V15,IF($H$3&lt;=20,V17,V19))</f>
        <v/>
      </c>
      <c r="C17" s="203" t="n"/>
      <c r="D17" s="203" t="n"/>
      <c r="E17" s="203" t="n"/>
      <c r="F17" s="153" t="n">
        <v>16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18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((($H$12*$F$12*$E$12/1000)+($H$13*$F$13*$E$13/1000)+($H$16*$F$16*$E$16/1000)+($H$17*$F$17*$E$17/1000))+($O$25*$P$25*$H$3*2.5*8/1000000))/8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$N$24*8</f>
        <v/>
      </c>
      <c r="O25" s="41">
        <f>$H$12-130</f>
        <v/>
      </c>
      <c r="P25" s="41">
        <f>$H$13-130</f>
        <v/>
      </c>
      <c r="Q25" s="41">
        <f>8*$J$1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O23:Q23"/>
    <mergeCell ref="E12:E13"/>
    <mergeCell ref="C12:C13"/>
    <mergeCell ref="J12:J13"/>
    <mergeCell ref="L4:Q4"/>
    <mergeCell ref="A4:J4"/>
    <mergeCell ref="D16:D17"/>
    <mergeCell ref="C10:C11"/>
    <mergeCell ref="D12:D13"/>
    <mergeCell ref="E16:E17"/>
    <mergeCell ref="C16:C17"/>
    <mergeCell ref="C2:F2"/>
    <mergeCell ref="E10:E11"/>
    <mergeCell ref="J16:J17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52.5</formula>
    </cfRule>
    <cfRule type="cellIs" priority="2" operator="greaterThanOrEqual" dxfId="0">
      <formula>47</formula>
    </cfRule>
  </conditionalFormatting>
  <dataValidations disablePrompts="1"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27.xml><?xml version="1.0" encoding="utf-8"?>
<worksheet xmlns="http://schemas.openxmlformats.org/spreadsheetml/2006/main">
  <sheetPr codeName="Sheet26">
    <tabColor theme="7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1500</v>
      </c>
      <c r="J3" s="52" t="n">
        <v>2600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3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IF($J$3&lt;=2700,15,22)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3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3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3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3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16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6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16</v>
      </c>
      <c r="G13" s="59" t="inlineStr">
        <is>
          <t>(W-18-9.5-(8x6)
-23-9.5-18)/8</t>
        </is>
      </c>
      <c r="H13" s="204">
        <f>($I$3-18-9.5-(8*6)-23-9.5-18)/8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32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96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16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IF($H$3&lt;=12,V15,IF($H$3&lt;=20,V17,V22))</f>
        <v/>
      </c>
      <c r="C16" s="203" t="n"/>
      <c r="D16" s="203" t="n"/>
      <c r="E16" s="203" t="n"/>
      <c r="F16" s="153" t="n">
        <v>16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18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19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20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19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(($H$6*$I$6)+($H$7*$I$7)+($H$8*1)+($H$9*$I$9)+($H$12*$I$12*2)+($H$13*$I$13)+($H$14*$I$14)-($H$12*4))/1000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20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21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((($H$12*$F$12*$E$12/1000)+($H$13*$F$13*$E$13/1000)+($H$15*$F$15*$E$15/1000)+($H$16*$F$16*$E$16/1000))+($O$28*$P$28*$H$3*2.5*8/1000000))/8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$N$27*8</f>
        <v/>
      </c>
      <c r="O28" s="41">
        <f>$H$12-130</f>
        <v/>
      </c>
      <c r="P28" s="41">
        <f>$H$13-130</f>
        <v/>
      </c>
      <c r="Q28" s="41">
        <f>8*$J$1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L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28.xml><?xml version="1.0" encoding="utf-8"?>
<worksheet xmlns="http://schemas.openxmlformats.org/spreadsheetml/2006/main">
  <sheetPr codeName="Sheet27">
    <tabColor theme="7" tint="-0.249977111117893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A4" sqref="A4:J4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4710</v>
      </c>
      <c r="J3" s="52" t="n">
        <v>2400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IF($J$3&lt;=2700,22,32)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16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16</v>
      </c>
      <c r="G13" s="59" t="inlineStr">
        <is>
          <t>(W-18-9.5-(8x6)-71
-9.5-18)/8</t>
        </is>
      </c>
      <c r="H13" s="204">
        <f>($I$3-18-9.5-(8*6)-71-9.5-18)/8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32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96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16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(($H$6*$I$6)+($H$7*$I$7)+($H$8*I8)+($H$9*$I$9)+($H$12*$I$12*2)+($H$14*$I$14*3)+($H$13*$I$13*2))/1000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IF($H$3&lt;=12,V15,IF($H$3&lt;=20,V17,V19))</f>
        <v/>
      </c>
      <c r="C16" s="203" t="n"/>
      <c r="D16" s="203" t="n"/>
      <c r="E16" s="203" t="n"/>
      <c r="F16" s="153" t="n">
        <v>16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($H$14*$I$14*2)/1000</f>
        <v/>
      </c>
      <c r="Q16" s="206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18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((($H$12*$F$12*$E$12/1000)+($H$13*$F$13*$E$13/1000)+($H$15*$F$15*$E$15/1000)+($H$16*$F$16*$E$16/1000))+($O$25*$P$25*$H$3*2.5*8/1000000))/8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$N$24*8</f>
        <v/>
      </c>
      <c r="O25" s="41">
        <f>$H$12-130</f>
        <v/>
      </c>
      <c r="P25" s="41">
        <f>$H$13-130</f>
        <v/>
      </c>
      <c r="Q25" s="41">
        <f>8*$J$1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O23:Q23"/>
    <mergeCell ref="E12:E13"/>
    <mergeCell ref="C12:C13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60.5</formula>
    </cfRule>
    <cfRule type="cellIs" priority="2" operator="greaterThanOrEqual" dxfId="0">
      <formula>55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29.xml><?xml version="1.0" encoding="utf-8"?>
<worksheet xmlns="http://schemas.openxmlformats.org/spreadsheetml/2006/main">
  <sheetPr codeName="Sheet28">
    <tabColor theme="7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3400</v>
      </c>
      <c r="J3" s="52" t="n">
        <v>3200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3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IF($J$3&lt;=2700,18,26)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3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3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3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3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16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6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16</v>
      </c>
      <c r="G13" s="59" t="inlineStr">
        <is>
          <t>(W-18-9.5-(8x6)
-23-9.5-18)/8</t>
        </is>
      </c>
      <c r="H13" s="204">
        <f>($I$3-18-9.5-(8*6)-23-9.5-18)/8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32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96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16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IF($H$3&lt;=12,V15,IF($H$3&lt;=20,V17,V22))</f>
        <v/>
      </c>
      <c r="C16" s="203" t="n"/>
      <c r="D16" s="203" t="n"/>
      <c r="E16" s="203" t="n"/>
      <c r="F16" s="153" t="n">
        <v>16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21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(($H$6*$I$6)+($H$7*$I$7)+($H$8*1)+($H$9*$I$9)+($H$12*$I$12*2)+($H$13*$I$13)+($H$14*$I$14)-($H$12*4))/1000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24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((($H$12*$F$12*$E$12/1000)+($H$13*$F$13*$E$13/1000)+($H$15*$F$15*$E$15/1000)+($H$16*$F$16*$E$16/1000))+($O$28*$P$28*$H$3*2.5*8/1000000))/8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$N$27*8</f>
        <v/>
      </c>
      <c r="O28" s="41">
        <f>$H$12-130</f>
        <v/>
      </c>
      <c r="P28" s="41">
        <f>$H$13-130</f>
        <v/>
      </c>
      <c r="Q28" s="41">
        <f>8*$J$1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M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30.xml><?xml version="1.0" encoding="utf-8"?>
<worksheet xmlns="http://schemas.openxmlformats.org/spreadsheetml/2006/main">
  <sheetPr codeName="Sheet29">
    <tabColor theme="7" tint="-0.249977111117893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2" sqref="H12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6000</v>
      </c>
      <c r="J3" s="52" t="n">
        <v>3000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IF($J$3&lt;=2700,22,32)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16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16</v>
      </c>
      <c r="G13" s="59" t="inlineStr">
        <is>
          <t>(W-18-9.5-(8x6)-71
-9.5-18)/8</t>
        </is>
      </c>
      <c r="H13" s="204">
        <f>($I$3-18-9.5-(8*6)-71-9.5-18)/8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32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96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16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(($H$6*$I$6)+($H$7*$I$7)+($H$8*I8)+($H$9*$I$9)+($H$12*$I$12*2)+($H$14*$I$14*3)+($H$13*$I$13*2))/1000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IF($H$3&lt;=12,V15,IF($H$3&lt;=20,V17,V19))</f>
        <v/>
      </c>
      <c r="C16" s="203" t="n"/>
      <c r="D16" s="203" t="n"/>
      <c r="E16" s="203" t="n"/>
      <c r="F16" s="153" t="n">
        <v>16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($H$14*$I$14*2)/1000</f>
        <v/>
      </c>
      <c r="Q16" s="206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18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((($H$12*$F$12*$E$12/1000)+($H$13*$F$13*$E$13/1000)+($H$15*$F$15*$E$15/1000)+($H$16*$F$16*$E$16/1000))+($O$25*$P$25*$H$3*2.5*8/1000000))/8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$N$24*8</f>
        <v/>
      </c>
      <c r="O25" s="41">
        <f>$H$12-130</f>
        <v/>
      </c>
      <c r="P25" s="41">
        <f>$H$13-130</f>
        <v/>
      </c>
      <c r="Q25" s="41">
        <f>8*$J$1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O23:Q23"/>
    <mergeCell ref="E12:E13"/>
    <mergeCell ref="C12:C13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54.5</formula>
    </cfRule>
    <cfRule type="cellIs" priority="2" operator="greaterThanOrEqual" dxfId="0">
      <formula>49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31.xml><?xml version="1.0" encoding="utf-8"?>
<worksheet xmlns="http://schemas.openxmlformats.org/spreadsheetml/2006/main">
  <sheetPr codeName="Sheet30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8</v>
      </c>
      <c r="I3" s="52" t="n">
        <v>6000</v>
      </c>
      <c r="J3" s="52" t="n">
        <v>3000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IF($J$3&lt;=2700,19,28)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18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18</v>
      </c>
      <c r="G13" s="153" t="inlineStr">
        <is>
          <t>(W-18-9.5-(8x8)-18-18)/9</t>
        </is>
      </c>
      <c r="H13" s="204">
        <f>($I$3-18-9.5-(8*8)-18-18)/9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36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108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10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18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IF($H$3&lt;=12,V15,IF($H$3&lt;=20,V17,V22))</f>
        <v/>
      </c>
      <c r="C16" s="203" t="n"/>
      <c r="D16" s="203" t="n"/>
      <c r="E16" s="203" t="n"/>
      <c r="F16" s="153" t="n">
        <v>18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แบบเจาะ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(($H$6*$I$6)+($H$7*$I$7)+($H$8*1)+($H$9*$I$9)+($H$12*$I$12*2)+($H$13*$I$13)+($H$14*$I$14)-($H$12*2))/1000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((($H$12*$F$12*$E$12/1000)+($H$13*$F$13*$E$13/1000)+($H$15*$F$15*$E$15/1000)+($H$16*$F$16*$E$16/1000))+($O$28*$P$28*$H$3*2.5*9/1000000))/9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$N$27*9</f>
        <v/>
      </c>
      <c r="O28" s="41">
        <f>$H$12-130</f>
        <v/>
      </c>
      <c r="P28" s="41">
        <f>$H$13-130</f>
        <v/>
      </c>
      <c r="Q28" s="41">
        <f>9*$J$1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32.xml><?xml version="1.0" encoding="utf-8"?>
<worksheet xmlns="http://schemas.openxmlformats.org/spreadsheetml/2006/main">
  <sheetPr codeName="Sheet31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2500</v>
      </c>
      <c r="J3" s="52" t="n">
        <v>2600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IF($J$3&lt;=2700,21,30)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18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18</v>
      </c>
      <c r="G13" s="59" t="inlineStr">
        <is>
          <t>(W-18-9.5-(8x7)
-58-9.5-18)/9</t>
        </is>
      </c>
      <c r="H13" s="204">
        <f>($I$3-18-9.5-(8*7)-58-9.5-18)/9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36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108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18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18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(($H$6*$I$6)+($H$7*$I$7)+($H$8*1)+($H$9*$I$9)+($H$12*$I$12*2)+($H$13*$I$13)+($H$14*$I$14)+($H$15*3))/1000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((($H$12*$F$12*$E$12/1000)+($H$13*$F$13*$E$13/1000)+($H$16*$F$16*$E$16/1000)+($H$17*$F$17*$E$17/1000))+($O$28*$P$28*$H$3*2.5*9/1000000))/9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$N$27*9</f>
        <v/>
      </c>
      <c r="O28" s="41">
        <f>$H$12-130</f>
        <v/>
      </c>
      <c r="P28" s="41">
        <f>$H$13-130</f>
        <v/>
      </c>
      <c r="Q28" s="41">
        <f>9*$J$1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E12:E13"/>
    <mergeCell ref="C12:C13"/>
    <mergeCell ref="O26:Q26"/>
    <mergeCell ref="E16:E17"/>
    <mergeCell ref="J12:J13"/>
    <mergeCell ref="L4:Q4"/>
    <mergeCell ref="A4:J4"/>
    <mergeCell ref="D16:D17"/>
    <mergeCell ref="D12:D13"/>
    <mergeCell ref="C10:C11"/>
    <mergeCell ref="C16:C17"/>
    <mergeCell ref="C2:F2"/>
    <mergeCell ref="E10:E11"/>
    <mergeCell ref="J16:J17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52.5</formula>
    </cfRule>
    <cfRule type="cellIs" priority="2" operator="greaterThanOrEqual" dxfId="0">
      <formula>47</formula>
    </cfRule>
  </conditionalFormatting>
  <dataValidations disablePrompts="1"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33.xml><?xml version="1.0" encoding="utf-8"?>
<worksheet xmlns="http://schemas.openxmlformats.org/spreadsheetml/2006/main">
  <sheetPr codeName="Sheet32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4500</v>
      </c>
      <c r="J3" s="52" t="n">
        <v>2750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IF($J$3&lt;=2700,22,32)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18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18</v>
      </c>
      <c r="G13" s="59" t="inlineStr">
        <is>
          <t>(W-18-9.5-(8x7)
-58-9.5-18)/9</t>
        </is>
      </c>
      <c r="H13" s="204">
        <f>($I$3-18-9.5-(8*7)-58-9.5-18)/9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36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108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18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18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(($H$6*$I$6)+($H$7*$I$7)+($H$8*1)+($H$9*$I$9)+($H$12*$I$12*2)+($H$13*$I$13)+($H$14*$I$14)+($H$15*3))/1000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((($H$12*$F$12*$E$12/1000)+($H$13*$F$13*$E$13/1000)+($H$16*$F$16*$E$16/1000)+($H$17*$F$17*$E$17/1000))+($O$28*$P$28*$H$3*2.5*9/1000000))/9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$N$27*9</f>
        <v/>
      </c>
      <c r="O28" s="41">
        <f>$H$12-130</f>
        <v/>
      </c>
      <c r="P28" s="41">
        <f>$H$13-130</f>
        <v/>
      </c>
      <c r="Q28" s="41">
        <f>9*$J$1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E12:E13"/>
    <mergeCell ref="C12:C13"/>
    <mergeCell ref="O26:Q26"/>
    <mergeCell ref="E16:E17"/>
    <mergeCell ref="J12:J13"/>
    <mergeCell ref="L4:Q4"/>
    <mergeCell ref="A4:J4"/>
    <mergeCell ref="D16:D17"/>
    <mergeCell ref="D12:D13"/>
    <mergeCell ref="C10:C11"/>
    <mergeCell ref="C16:C17"/>
    <mergeCell ref="C2:F2"/>
    <mergeCell ref="E10:E11"/>
    <mergeCell ref="J16:J17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34.xml><?xml version="1.0" encoding="utf-8"?>
<worksheet xmlns="http://schemas.openxmlformats.org/spreadsheetml/2006/main">
  <sheetPr codeName="Sheet33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4500</v>
      </c>
      <c r="J3" s="52" t="n">
        <v>2750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IF($J$3&lt;=2700,22,32)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18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18</v>
      </c>
      <c r="G13" s="59" t="inlineStr">
        <is>
          <t>(W-18-9.5-(8x7)
-58-9.5-18)/9</t>
        </is>
      </c>
      <c r="H13" s="204">
        <f>($I$3-18-9.5-(8*7)-58-9.5-18)/9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36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108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18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18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(($H$6*$I$6)+($H$7*$I$7)+($H$8*1)+($H$9*$I$9)+($H$12*$I$12*2)+($H$13*$I$13)+($H$14*$I$14)+($H$15*3))/1000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((($H$12*$F$12*$E$12/1000)+($H$13*$F$13*$E$13/1000)+($H$16*$F$16*$E$16/1000)+($H$17*$F$17*$E$17/1000))+($O$28*$P$28*$H$3*2.5*9/1000000))/9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$N$27*9</f>
        <v/>
      </c>
      <c r="O28" s="41">
        <f>$H$12-130</f>
        <v/>
      </c>
      <c r="P28" s="41">
        <f>$H$13-130</f>
        <v/>
      </c>
      <c r="Q28" s="41">
        <f>9*$J$1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E12:E13"/>
    <mergeCell ref="C12:C13"/>
    <mergeCell ref="O26:Q26"/>
    <mergeCell ref="J12:J13"/>
    <mergeCell ref="L4:Q4"/>
    <mergeCell ref="A4:J4"/>
    <mergeCell ref="D16:D17"/>
    <mergeCell ref="C10:C11"/>
    <mergeCell ref="D12:D13"/>
    <mergeCell ref="E16:E17"/>
    <mergeCell ref="C16:C17"/>
    <mergeCell ref="C2:F2"/>
    <mergeCell ref="E10:E11"/>
    <mergeCell ref="J16:J17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35.xml><?xml version="1.0" encoding="utf-8"?>
<worksheet xmlns="http://schemas.openxmlformats.org/spreadsheetml/2006/main">
  <sheetPr codeName="Sheet34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2" sqref="H12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4500</v>
      </c>
      <c r="J3" s="52" t="n">
        <v>2750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IF($J$3&lt;=2700,22,32)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18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18</v>
      </c>
      <c r="G13" s="59" t="inlineStr">
        <is>
          <t>(W-18-9.5-(8x7)
-58-9.5-18)/9</t>
        </is>
      </c>
      <c r="H13" s="204">
        <f>($I$3-18-9.5-(8*7)-58-9.5-18)/9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36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108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18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18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(($H$6*$I$6)+($H$7*$I$7)+($H$8*1)+($H$9*$I$9)+($H$12*$I$12*2)+($H$13*$I$13)+($H$14*$I$14)+($H$15*3))/1000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((($H$12*$F$12*$E$12/1000)+($H$13*$F$13*$E$13/1000)+($H$16*$F$16*$E$16/1000)+($H$17*$F$17*$E$17/1000))+($O$28*$P$28*$H$3*2.5*9/1000000))/9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$N$27*9</f>
        <v/>
      </c>
      <c r="O28" s="41">
        <f>$H$12-130</f>
        <v/>
      </c>
      <c r="P28" s="41">
        <f>$H$13-130</f>
        <v/>
      </c>
      <c r="Q28" s="41">
        <f>9*$J$1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E12:E13"/>
    <mergeCell ref="C12:C13"/>
    <mergeCell ref="O26:Q26"/>
    <mergeCell ref="J12:J13"/>
    <mergeCell ref="L4:Q4"/>
    <mergeCell ref="A4:J4"/>
    <mergeCell ref="D16:D17"/>
    <mergeCell ref="C10:C11"/>
    <mergeCell ref="D12:D13"/>
    <mergeCell ref="E16:E17"/>
    <mergeCell ref="C16:C17"/>
    <mergeCell ref="C2:F2"/>
    <mergeCell ref="E10:E11"/>
    <mergeCell ref="J16:J17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36.xml><?xml version="1.0" encoding="utf-8"?>
<worksheet xmlns="http://schemas.openxmlformats.org/spreadsheetml/2006/main">
  <sheetPr codeName="Sheet35">
    <tabColor rgb="FFFFFF00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2" sqref="H12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6000</v>
      </c>
      <c r="J3" s="52" t="n">
        <v>3000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5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IF($J$3&lt;=2700,23,34)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5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5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5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5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20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10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20</v>
      </c>
      <c r="G13" s="153" t="inlineStr">
        <is>
          <t>(W-18-9.5-(8x9)-50-18)/10</t>
        </is>
      </c>
      <c r="H13" s="204">
        <f>($I$3-18-9.5-(8*9)-50-18)/10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40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120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รับล็อคเฟรมข้างบานคู่</t>
        </is>
      </c>
      <c r="C15" s="56" t="n"/>
      <c r="D15" s="161" t="inlineStr">
        <is>
          <t>F7961</t>
        </is>
      </c>
      <c r="E15" s="161" t="n">
        <v>0.496</v>
      </c>
      <c r="F15" s="161" t="n">
        <v>1</v>
      </c>
      <c r="G15" s="161" t="inlineStr">
        <is>
          <t>H-55-25</t>
        </is>
      </c>
      <c r="H15" s="202">
        <f>$J$3-55-25</f>
        <v/>
      </c>
      <c r="I15" s="161">
        <f>F15*$J$1</f>
        <v/>
      </c>
      <c r="J15" s="161">
        <f>ROUNDUP((H15*I15)/6400,0)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(($H$6*$I$6)+($H$7*$I$7)+($H$8*1)+($H$9*$I$9)+($H$12*$I$12*2)+($H$14*$I$13*2)+($H$13*3)+($H$15*$I$15))/1000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20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(($H$14*2)+($H$15*2))/1000</f>
        <v/>
      </c>
      <c r="Q16" s="206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IF($H$3&lt;=12,V15,IF($H$3&lt;=20,V17,V19))</f>
        <v/>
      </c>
      <c r="C17" s="203" t="n"/>
      <c r="D17" s="203" t="n"/>
      <c r="E17" s="203" t="n"/>
      <c r="F17" s="153" t="n">
        <v>20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18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((($H$12*$F$12*$E$12/1000)+($H$13*$F$13*$E$13/1000)+($H$16*$F$16*$E$16/1000)+($H$17*$F$17*$E$17/1000))+($O$25*$P$25*$H$3*2.5*10/1000000))/10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$N$24*10</f>
        <v/>
      </c>
      <c r="O25" s="41">
        <f>$H$12-130</f>
        <v/>
      </c>
      <c r="P25" s="41">
        <f>$H$13-130</f>
        <v/>
      </c>
      <c r="Q25" s="41">
        <f>10*$J$1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O23:Q23"/>
    <mergeCell ref="E12:E13"/>
    <mergeCell ref="C12:C13"/>
    <mergeCell ref="J12:J13"/>
    <mergeCell ref="L4:Q4"/>
    <mergeCell ref="A4:J4"/>
    <mergeCell ref="D16:D17"/>
    <mergeCell ref="C10:C11"/>
    <mergeCell ref="D12:D13"/>
    <mergeCell ref="E16:E17"/>
    <mergeCell ref="C16:C17"/>
    <mergeCell ref="C2:F2"/>
    <mergeCell ref="E10:E11"/>
    <mergeCell ref="J16:J17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50.5</formula>
    </cfRule>
    <cfRule type="cellIs" priority="2" operator="greaterThanOrEqual" dxfId="0">
      <formula>45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37.xml><?xml version="1.0" encoding="utf-8"?>
<worksheet xmlns="http://schemas.openxmlformats.org/spreadsheetml/2006/main">
  <sheetPr codeName="Sheet36">
    <tabColor rgb="FFFFFF00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6000</v>
      </c>
      <c r="J3" s="52" t="n">
        <v>3000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IF($J$3&lt;=2700,20,30)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20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20</v>
      </c>
      <c r="G13" s="59" t="inlineStr">
        <is>
          <t>(W-18-9.5-(8x8)
-23-9.5-18)/10</t>
        </is>
      </c>
      <c r="H13" s="204">
        <f>($I$3-18-9.5-(8*8)-23-9.5-18)/10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40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120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20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IF($H$3&lt;=12,V15,IF($H$3&lt;=20,V17,V22))</f>
        <v/>
      </c>
      <c r="C16" s="203" t="n"/>
      <c r="D16" s="203" t="n"/>
      <c r="E16" s="203" t="n"/>
      <c r="F16" s="153" t="n">
        <v>20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18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19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20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19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(($H$6*$I$6)+($H$7*$I$7)+($H$8*1)+($H$9*$I$9)+($H$12*$I$12*2)+($H$13*$I$13)+($H$14*$I$14)-($H$12*4))/1000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20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21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((($H$12*$F$12*$E$12/1000)+($H$13*$F$13*$E$13/1000)+($H$15*$F$15*$E$15/1000)+($H$16*$F$16*$E$16/1000))+($O$28*$P$28*$H$3*2.5*10/1000000))/10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$N$27*10</f>
        <v/>
      </c>
      <c r="O28" s="41">
        <f>$H$12-130</f>
        <v/>
      </c>
      <c r="P28" s="41">
        <f>$H$13-130</f>
        <v/>
      </c>
      <c r="Q28" s="41">
        <f>10*$J$1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L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38.xml><?xml version="1.0" encoding="utf-8"?>
<worksheet xmlns="http://schemas.openxmlformats.org/spreadsheetml/2006/main">
  <sheetPr codeName="Sheet37">
    <tabColor rgb="FFFFFF00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6000</v>
      </c>
      <c r="J3" s="52" t="n">
        <v>3000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5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IF($J$3&lt;=2700,26,38)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5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5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5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5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20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10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20</v>
      </c>
      <c r="G13" s="59" t="inlineStr">
        <is>
          <t>(W-18-9.5-(8x8)-71
-9.5-18)/10</t>
        </is>
      </c>
      <c r="H13" s="204">
        <f>($I$3-18-9.5-(8*8)-71-9.5-18)/10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40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120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20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(($H$6*$I$6)+($H$7*$I$7)+($H$8*I8)+($H$9*$I$9)+($H$12*$I$12*2)+($H$14*$I$14*3)+($H$13*$I$13*2))/1000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IF($H$3&lt;=12,V15,IF($H$3&lt;=20,V17,V19))</f>
        <v/>
      </c>
      <c r="C16" s="203" t="n"/>
      <c r="D16" s="203" t="n"/>
      <c r="E16" s="203" t="n"/>
      <c r="F16" s="153" t="n">
        <v>20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($H$14*$I$14*2)/1000</f>
        <v/>
      </c>
      <c r="Q16" s="206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18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((($H$12*$F$12*$E$12/1000)+($H$13*$F$13*$E$13/1000)+($H$15*$F$15*$E$15/1000)+($H$16*$F$16*$E$16/1000))+($O$25*$P$25*$H$3*2.5*10/1000000))/10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$N$24*10</f>
        <v/>
      </c>
      <c r="O25" s="41">
        <f>$H$12-130</f>
        <v/>
      </c>
      <c r="P25" s="41">
        <f>$H$13-130</f>
        <v/>
      </c>
      <c r="Q25" s="41">
        <f>10*$J$1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O23:Q23"/>
    <mergeCell ref="E12:E13"/>
    <mergeCell ref="C12:C13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52.5</formula>
    </cfRule>
    <cfRule type="cellIs" priority="2" operator="greaterThanOrEqual" dxfId="0">
      <formula>47</formula>
    </cfRule>
  </conditionalFormatting>
  <dataValidations disablePrompts="1"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39.xml><?xml version="1.0" encoding="utf-8"?>
<worksheet xmlns="http://schemas.openxmlformats.org/spreadsheetml/2006/main">
  <sheetPr codeName="Sheet38">
    <tabColor rgb="FFFFFF00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G12" sqref="G12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3400</v>
      </c>
      <c r="J3" s="52" t="n">
        <v>3200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IF($J$3&lt;=2700,22,28)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20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20</v>
      </c>
      <c r="G13" s="59" t="inlineStr">
        <is>
          <t>(W-18-9.5-(8x8)
-23-9.5-18)/10</t>
        </is>
      </c>
      <c r="H13" s="204">
        <f>($I$3-18-9.5-(8*8)-23-9.5-18)/10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40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120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20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IF($H$3&lt;=12,V15,IF($H$3&lt;=20,V17,V22))</f>
        <v/>
      </c>
      <c r="C16" s="203" t="n"/>
      <c r="D16" s="203" t="n"/>
      <c r="E16" s="203" t="n"/>
      <c r="F16" s="153" t="n">
        <v>20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21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(($H$6*$I$6)+($H$7*$I$7)+($H$8*1)+($H$9*$I$9)+($H$12*$I$12*2)+($H$13*$I$13)+($H$14*$I$14)-($H$12*4))/1000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24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((($H$12*$F$12*$E$12/1000)+($H$13*$F$13*$E$13/1000)+($H$15*$F$15*$E$15/1000)+($H$16*$F$16*$E$16/1000))+($O$28*$P$28*$H$3*2.5*10/1000000))/10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$N$27*10</f>
        <v/>
      </c>
      <c r="O28" s="41">
        <f>$H$12-130</f>
        <v/>
      </c>
      <c r="P28" s="41">
        <f>$H$13-130</f>
        <v/>
      </c>
      <c r="Q28" s="41">
        <f>10*$J$1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M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40.xml><?xml version="1.0" encoding="utf-8"?>
<worksheet xmlns="http://schemas.openxmlformats.org/spreadsheetml/2006/main">
  <sheetPr codeName="Sheet39">
    <tabColor rgb="FFFFFF00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6000</v>
      </c>
      <c r="J3" s="52" t="n">
        <v>3000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5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IF($J$3&lt;=2700,26,38)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5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5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5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5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20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10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20</v>
      </c>
      <c r="G13" s="59" t="inlineStr">
        <is>
          <t>(W-18-9.5-(8x8)-71
-9.5-18)/10</t>
        </is>
      </c>
      <c r="H13" s="204">
        <f>($I$3-18-9.5-(8*8)-71-9.5-18)/10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40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120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20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(($H$6*$I$6)+($H$7*$I$7)+($H$8*I8)+($H$9*$I$9)+($H$12*$I$12*2)+($H$14*$I$14*3)+($H$13*$I$13*2))/1000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IF($H$3&lt;=12,V15,IF($H$3&lt;=20,V17,V19))</f>
        <v/>
      </c>
      <c r="C16" s="203" t="n"/>
      <c r="D16" s="203" t="n"/>
      <c r="E16" s="203" t="n"/>
      <c r="F16" s="153" t="n">
        <v>20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($H$14*$I$14*2)/1000</f>
        <v/>
      </c>
      <c r="Q16" s="206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18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((($H$12*$F$12*$E$12/1000)+($H$13*$F$13*$E$13/1000)+($H$15*$F$15*$E$15/1000)+($H$16*$F$16*$E$16/1000))+($O$25*$P$25*$H$3*2.5*10/1000000))/10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$N$24*10</f>
        <v/>
      </c>
      <c r="O25" s="41">
        <f>$H$12-130</f>
        <v/>
      </c>
      <c r="P25" s="41">
        <f>$H$13-130</f>
        <v/>
      </c>
      <c r="Q25" s="41">
        <f>10*$J$1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O23:Q23"/>
    <mergeCell ref="E12:E13"/>
    <mergeCell ref="C12:C13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54.5</formula>
    </cfRule>
    <cfRule type="cellIs" priority="2" operator="greaterThanOrEqual" dxfId="0">
      <formula>49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41.xml><?xml version="1.0" encoding="utf-8"?>
<worksheet xmlns="http://schemas.openxmlformats.org/spreadsheetml/2006/main">
  <sheetPr codeName="Sheet40">
    <tabColor rgb="FFFFFF00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2" sqref="H12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3400</v>
      </c>
      <c r="J3" s="52" t="n">
        <v>3200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เฟรมล่างบานเฟี้ยม</t>
        </is>
      </c>
      <c r="C7" s="56" t="n"/>
      <c r="D7" s="161" t="inlineStr">
        <is>
          <t>F7969</t>
        </is>
      </c>
      <c r="E7" s="161" t="n">
        <v>1.533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IF($J$3&lt;=2700,22,28)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H-75-45</t>
        </is>
      </c>
      <c r="H9" s="204">
        <f>$J$3-75-45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H-75-45</t>
        </is>
      </c>
      <c r="H10" s="202">
        <f>$J$3-75-45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2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20</v>
      </c>
      <c r="G12" s="153" t="inlineStr">
        <is>
          <t>H-55-7-7-25</t>
        </is>
      </c>
      <c r="H12" s="204">
        <f>$J$3-55-7-7-25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20</v>
      </c>
      <c r="G13" s="59" t="inlineStr">
        <is>
          <t>(W-18-9.5-(8x8)
-23-9.5-18)/10</t>
        </is>
      </c>
      <c r="H13" s="204">
        <f>($I$3-18-9.5-(8*8)-23-9.5-18)/10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40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120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20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IF($H$3&lt;=12,V15,IF($H$3&lt;=20,V17,V22))</f>
        <v/>
      </c>
      <c r="C16" s="203" t="n"/>
      <c r="D16" s="203" t="n"/>
      <c r="E16" s="203" t="n"/>
      <c r="F16" s="153" t="n">
        <v>20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21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(($H$6*$I$6)+($H$7*$I$7)+($H$8*1)+($H$9*$I$9)+($H$12*$I$12*2)+($H$13*$I$13)+($H$14*$I$14)-($H$12*4))/1000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24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((($H$12*$F$12*$E$12/1000)+($H$13*$F$13*$E$13/1000)+($H$15*$F$15*$E$15/1000)+($H$16*$F$16*$E$16/1000))+($O$28*$P$28*$H$3*2.5*10/1000000))/10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$N$27*10</f>
        <v/>
      </c>
      <c r="O28" s="41">
        <f>$H$12-130</f>
        <v/>
      </c>
      <c r="P28" s="41">
        <f>$H$13-130</f>
        <v/>
      </c>
      <c r="Q28" s="41">
        <f>10*$J$1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M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42.xml><?xml version="1.0" encoding="utf-8"?>
<worksheet xmlns="http://schemas.openxmlformats.org/spreadsheetml/2006/main">
  <sheetPr codeName="Sheet41">
    <tabColor rgb="FFFF0000"/>
    <outlinePr summaryBelow="1" summaryRight="1"/>
    <pageSetUpPr/>
  </sheetPr>
  <dimension ref="A1:AT44"/>
  <sheetViews>
    <sheetView view="pageBreakPreview" topLeftCell="A10" zoomScale="70" zoomScaleNormal="55" zoomScaleSheetLayoutView="70" workbookViewId="0">
      <selection activeCell="H21" sqref="H21"/>
    </sheetView>
  </sheetViews>
  <sheetFormatPr baseColWidth="8" defaultColWidth="8.8984375" defaultRowHeight="13.8"/>
  <cols>
    <col width="8.69921875" customWidth="1" style="6" min="1" max="1"/>
    <col width="24.69921875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10.09765625" bestFit="1" customWidth="1" style="17" min="9" max="9"/>
    <col width="8.69921875" customWidth="1" style="17" min="10" max="10"/>
    <col width="5.699218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outlineLevel="1" width="24.3984375" customWidth="1" style="6" min="22" max="22"/>
    <col outlineLevel="1" width="8.8984375" customWidth="1" style="6" min="23" max="23"/>
    <col outlineLevel="1" width="10.69921875" customWidth="1" style="6" min="24" max="25"/>
    <col outlineLevel="1" width="5.69921875" customWidth="1" style="6" min="26" max="26"/>
    <col outlineLevel="1" width="10.69921875" customWidth="1" style="6" min="27" max="28"/>
    <col outlineLevel="1" width="22" customWidth="1" style="6" min="29" max="29"/>
    <col outlineLevel="1" width="15.69921875" customWidth="1" style="6" min="30" max="30"/>
    <col outlineLevel="1" width="8.8984375" customWidth="1" style="6" min="31" max="33"/>
    <col outlineLevel="1" width="28" customWidth="1" style="6" min="34" max="34"/>
    <col outlineLevel="1" width="8.8984375" customWidth="1" style="6" min="35" max="37"/>
    <col outlineLevel="1" width="11.69921875" bestFit="1" customWidth="1" style="6" min="38" max="38"/>
    <col outlineLevel="1" width="22" customWidth="1" style="6" min="39" max="39"/>
    <col outlineLevel="1" width="15.69921875" customWidth="1" style="6" min="40" max="40"/>
    <col outlineLevel="1" width="8.8984375" customWidth="1" style="6" min="41" max="43"/>
    <col outlineLevel="1" width="23" customWidth="1" style="6" min="44" max="44"/>
    <col outlineLevel="1" width="8.8984375" customWidth="1" style="6" min="45" max="46"/>
    <col width="8.8984375" customWidth="1" style="6" min="47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7" t="inlineStr">
        <is>
          <t xml:space="preserve">ใบงาน : </t>
        </is>
      </c>
      <c r="D2" s="6" t="n"/>
      <c r="E2" s="6" t="n"/>
      <c r="F2" s="6" t="n"/>
      <c r="J2" s="50" t="inlineStr">
        <is>
          <t>H</t>
        </is>
      </c>
    </row>
    <row r="3" ht="19.95" customHeight="1" s="92">
      <c r="G3" s="6" t="n"/>
      <c r="H3" s="6" t="n"/>
      <c r="I3" s="6" t="n"/>
      <c r="J3" s="11" t="n">
        <v>2600</v>
      </c>
      <c r="W3" s="17" t="inlineStr">
        <is>
          <t>เปิดบาน A</t>
        </is>
      </c>
      <c r="X3" s="17" t="n">
        <v>2</v>
      </c>
    </row>
    <row r="4" ht="19.95" customHeight="1" s="92">
      <c r="G4" s="17" t="n"/>
      <c r="H4" s="76">
        <f>IF($H$6="เปิดบาน B","ปิดบาน A","เปิดบาน A")</f>
        <v/>
      </c>
      <c r="I4" s="74" t="inlineStr">
        <is>
          <t>จำนวนบาน</t>
        </is>
      </c>
      <c r="J4" s="50" t="inlineStr">
        <is>
          <t>W A</t>
        </is>
      </c>
      <c r="K4" s="17" t="n"/>
      <c r="W4" s="17" t="inlineStr">
        <is>
          <t>ปิดบาน A</t>
        </is>
      </c>
      <c r="X4" s="17" t="n">
        <v>4</v>
      </c>
    </row>
    <row r="5" ht="19.95" customHeight="1" s="92">
      <c r="D5" s="195" t="inlineStr">
        <is>
          <t>สีฮาร์ดแวร์</t>
        </is>
      </c>
      <c r="E5" s="195" t="inlineStr">
        <is>
          <t>GLASS กระจก</t>
        </is>
      </c>
      <c r="F5" s="196" t="n"/>
      <c r="G5" s="17" t="n"/>
      <c r="H5" s="17" t="n"/>
      <c r="I5" s="11" t="n">
        <v>6</v>
      </c>
      <c r="J5" s="11" t="n">
        <v>5000</v>
      </c>
      <c r="W5" s="17" t="inlineStr">
        <is>
          <t>เปิดบาน B</t>
        </is>
      </c>
      <c r="X5" s="17" t="n">
        <v>6</v>
      </c>
    </row>
    <row r="6" ht="19.95" customHeight="1" s="92">
      <c r="D6" s="197" t="inlineStr">
        <is>
          <t>ดำ</t>
        </is>
      </c>
      <c r="E6" s="197" t="n">
        <v>6</v>
      </c>
      <c r="F6" s="196" t="n"/>
      <c r="G6" s="17" t="n"/>
      <c r="H6" s="77" t="inlineStr">
        <is>
          <t>เปิดบาน B</t>
        </is>
      </c>
      <c r="I6" s="74" t="inlineStr">
        <is>
          <t>จำนวนบาน</t>
        </is>
      </c>
      <c r="J6" s="50" t="inlineStr">
        <is>
          <t>W B</t>
        </is>
      </c>
      <c r="T6" s="79" t="n"/>
      <c r="W6" s="17" t="inlineStr">
        <is>
          <t>ปิดบาน B</t>
        </is>
      </c>
      <c r="X6" s="17" t="n">
        <v>8</v>
      </c>
    </row>
    <row r="7" ht="19.95" customHeight="1" s="92">
      <c r="G7" s="17" t="n"/>
      <c r="H7" s="17" t="n"/>
      <c r="I7" s="11" t="n">
        <v>8</v>
      </c>
      <c r="J7" s="11" t="n">
        <v>3000</v>
      </c>
      <c r="X7" s="17" t="n">
        <v>10</v>
      </c>
    </row>
    <row r="8" ht="19.95" customFormat="1" customHeight="1" s="9">
      <c r="A8" s="148" t="inlineStr">
        <is>
          <t>Die list  รายการดาย</t>
        </is>
      </c>
      <c r="B8" s="198" t="n"/>
      <c r="C8" s="198" t="n"/>
      <c r="D8" s="198" t="n"/>
      <c r="E8" s="198" t="n"/>
      <c r="F8" s="198" t="n"/>
      <c r="G8" s="198" t="n"/>
      <c r="H8" s="198" t="n"/>
      <c r="I8" s="198" t="n"/>
      <c r="J8" s="199" t="n"/>
      <c r="K8" s="19" t="n"/>
      <c r="L8" s="148" t="inlineStr">
        <is>
          <t>Parts list รายการฮาร์ดแวร์</t>
        </is>
      </c>
      <c r="M8" s="198" t="n"/>
      <c r="N8" s="198" t="n"/>
      <c r="O8" s="198" t="n"/>
      <c r="P8" s="198" t="n"/>
      <c r="Q8" s="199" t="n"/>
    </row>
    <row r="9" ht="40.2" customHeight="1" s="92">
      <c r="A9" s="20" t="inlineStr">
        <is>
          <t>No.</t>
        </is>
      </c>
      <c r="B9" s="20" t="inlineStr">
        <is>
          <t>ชื่อ</t>
        </is>
      </c>
      <c r="C9" s="20" t="inlineStr">
        <is>
          <t>หน้าดาย</t>
        </is>
      </c>
      <c r="D9" s="20" t="inlineStr">
        <is>
          <t>เบอร์ดาย</t>
        </is>
      </c>
      <c r="E9" s="20" t="inlineStr">
        <is>
          <t>น้ำหนัก</t>
        </is>
      </c>
      <c r="F9" s="22" t="inlineStr">
        <is>
          <t>จำนวน
/ชุด</t>
        </is>
      </c>
      <c r="G9" s="20" t="inlineStr">
        <is>
          <t>สูตรตัด</t>
        </is>
      </c>
      <c r="H9" s="200" t="inlineStr">
        <is>
          <t>ระยะตัด</t>
        </is>
      </c>
      <c r="I9" s="22" t="inlineStr">
        <is>
          <t>จำนวน
รวม</t>
        </is>
      </c>
      <c r="J9" s="22" t="inlineStr">
        <is>
          <t>เส้น 
6.4</t>
        </is>
      </c>
      <c r="K9" s="23" t="n"/>
      <c r="L9" s="20" t="inlineStr">
        <is>
          <t>No.</t>
        </is>
      </c>
      <c r="M9" s="20" t="inlineStr">
        <is>
          <t>ชื่อ</t>
        </is>
      </c>
      <c r="N9" s="20" t="inlineStr">
        <is>
          <t>รูป</t>
        </is>
      </c>
      <c r="O9" s="20" t="inlineStr">
        <is>
          <t>สี</t>
        </is>
      </c>
      <c r="P9" s="22" t="inlineStr">
        <is>
          <t>จำนวน
/ชุด</t>
        </is>
      </c>
      <c r="Q9" s="20" t="inlineStr">
        <is>
          <t>รวม</t>
        </is>
      </c>
      <c r="R9" s="201" t="inlineStr">
        <is>
          <t>บาท/ชิ้น</t>
        </is>
      </c>
    </row>
    <row r="10" ht="34.95" customHeight="1" s="92">
      <c r="A10" s="161" t="n">
        <v>1</v>
      </c>
      <c r="B10" s="56" t="inlineStr">
        <is>
          <t>เฟรมบนบานเฟี้ยม A</t>
        </is>
      </c>
      <c r="C10" s="161" t="n"/>
      <c r="D10" s="161" t="inlineStr">
        <is>
          <t>F7968</t>
        </is>
      </c>
      <c r="E10" s="161" t="n">
        <v>2.767</v>
      </c>
      <c r="F10" s="161" t="n">
        <v>1</v>
      </c>
      <c r="G10" s="161" t="inlineStr">
        <is>
          <t>W A-18</t>
        </is>
      </c>
      <c r="H10" s="202">
        <f>$J$5-18</f>
        <v/>
      </c>
      <c r="I10" s="161">
        <f>F10*$J$1</f>
        <v/>
      </c>
      <c r="J10" s="161">
        <f>ROUNDUP(((H10*I10)+(H11*I11))/6400,0)</f>
        <v/>
      </c>
      <c r="L10" s="161" t="n">
        <v>1</v>
      </c>
      <c r="M10" s="29" t="inlineStr">
        <is>
          <t>HD-640 บานพับล้อบนเฟี้ยม</t>
        </is>
      </c>
      <c r="N10" s="161" t="n"/>
      <c r="O10" s="161">
        <f>IF($D$6="ขาว","ขาว","ดำ")</f>
        <v/>
      </c>
      <c r="P10" s="161">
        <f>(($F$19+$F$20)/2)/2</f>
        <v/>
      </c>
      <c r="Q10" s="161">
        <f>$J$1*P10</f>
        <v/>
      </c>
      <c r="R10" s="193" t="n">
        <v>299</v>
      </c>
    </row>
    <row r="11" ht="34.95" customHeight="1" s="92">
      <c r="A11" s="203" t="n"/>
      <c r="B11" s="56" t="inlineStr">
        <is>
          <t>เฟรมบนบานเฟี้ยม B</t>
        </is>
      </c>
      <c r="C11" s="203" t="n"/>
      <c r="D11" s="203" t="n"/>
      <c r="E11" s="203" t="n"/>
      <c r="F11" s="161" t="n">
        <v>1</v>
      </c>
      <c r="G11" s="161" t="inlineStr">
        <is>
          <t>W B-18</t>
        </is>
      </c>
      <c r="H11" s="202">
        <f>$J$7-18</f>
        <v/>
      </c>
      <c r="I11" s="161">
        <f>F11*$J$1</f>
        <v/>
      </c>
      <c r="J11" s="203" t="n"/>
      <c r="L11" s="161" t="n">
        <v>2</v>
      </c>
      <c r="M11" s="29" t="inlineStr">
        <is>
          <t>HD-641 บานพับเฟี้ยม</t>
        </is>
      </c>
      <c r="N11" s="161" t="n"/>
      <c r="O11" s="161">
        <f>IF($D$6="ขาว","ขาว","ดำ")</f>
        <v/>
      </c>
      <c r="P11" s="161">
        <f>IF($J$3&lt;=2700,11,16)</f>
        <v/>
      </c>
      <c r="Q11" s="161">
        <f>$J$1*P11</f>
        <v/>
      </c>
      <c r="R11" s="193" t="n">
        <v>72</v>
      </c>
    </row>
    <row r="12" ht="34.95" customHeight="1" s="92">
      <c r="A12" s="153" t="n">
        <v>2</v>
      </c>
      <c r="B12" s="46" t="inlineStr">
        <is>
          <t>รางยู A</t>
        </is>
      </c>
      <c r="C12" s="153" t="n"/>
      <c r="D12" s="153" t="inlineStr">
        <is>
          <t>F7932</t>
        </is>
      </c>
      <c r="E12" s="153" t="n">
        <v>0.303</v>
      </c>
      <c r="F12" s="153" t="n">
        <v>1</v>
      </c>
      <c r="G12" s="153" t="inlineStr">
        <is>
          <t>W A-18</t>
        </is>
      </c>
      <c r="H12" s="204">
        <f>$J$5-18</f>
        <v/>
      </c>
      <c r="I12" s="153">
        <f>F12*$J$1</f>
        <v/>
      </c>
      <c r="J12" s="153">
        <f>ROUNDUP(((H12*I12)+(H13*I13))/6400,0)</f>
        <v/>
      </c>
      <c r="L12" s="161" t="n">
        <v>3</v>
      </c>
      <c r="M12" s="29" t="inlineStr">
        <is>
          <t>HD-642 บานพับมือจับเฟี้ยม</t>
        </is>
      </c>
      <c r="N12" s="161" t="n"/>
      <c r="O12" s="161">
        <f>IF($D$6="ขาว","ขาว","ดำ")</f>
        <v/>
      </c>
      <c r="P12" s="161">
        <f>(($F$19+$F$20)/2)/2</f>
        <v/>
      </c>
      <c r="Q12" s="161">
        <f>$J$1*P12</f>
        <v/>
      </c>
      <c r="R12" s="193" t="n">
        <v>109</v>
      </c>
    </row>
    <row r="13" ht="34.95" customHeight="1" s="92">
      <c r="A13" s="203" t="n"/>
      <c r="B13" s="46" t="inlineStr">
        <is>
          <t>รางยู B</t>
        </is>
      </c>
      <c r="C13" s="203" t="n"/>
      <c r="D13" s="203" t="n"/>
      <c r="E13" s="203" t="n"/>
      <c r="F13" s="153" t="n">
        <v>1</v>
      </c>
      <c r="G13" s="153" t="inlineStr">
        <is>
          <t>W B-18</t>
        </is>
      </c>
      <c r="H13" s="204">
        <f>$J$7-18</f>
        <v/>
      </c>
      <c r="I13" s="153">
        <f>F13*$J$1</f>
        <v/>
      </c>
      <c r="J13" s="203" t="n"/>
      <c r="L13" s="161" t="n">
        <v>4</v>
      </c>
      <c r="M13" s="29" t="inlineStr">
        <is>
          <t>HD-643 บานพับไกด์ล่างเฟี้ยม</t>
        </is>
      </c>
      <c r="N13" s="161" t="n"/>
      <c r="O13" s="161">
        <f>IF($D$6="ขาว","ขาว","ดำ")</f>
        <v/>
      </c>
      <c r="P13" s="161">
        <f>(($F$19+$F$20)/2)/2</f>
        <v/>
      </c>
      <c r="Q13" s="161">
        <f>$J$1*P13</f>
        <v/>
      </c>
      <c r="R13" s="193" t="n">
        <v>199</v>
      </c>
    </row>
    <row r="14" ht="34.95" customHeight="1" s="92">
      <c r="A14" s="161" t="n">
        <v>3</v>
      </c>
      <c r="B14" s="56" t="inlineStr">
        <is>
          <t>เฟรมข้างบานเฟี้ยม</t>
        </is>
      </c>
      <c r="C14" s="56" t="n"/>
      <c r="D14" s="161" t="inlineStr">
        <is>
          <t>F7970</t>
        </is>
      </c>
      <c r="E14" s="161" t="n">
        <v>0.9340000000000001</v>
      </c>
      <c r="F14" s="161" t="n">
        <v>2</v>
      </c>
      <c r="G14" s="161" t="inlineStr">
        <is>
          <t>H</t>
        </is>
      </c>
      <c r="H14" s="202">
        <f>$J$3</f>
        <v/>
      </c>
      <c r="I14" s="161">
        <f>F14*$J$1</f>
        <v/>
      </c>
      <c r="J14" s="161">
        <f>ROUNDUP((H14*I14)/6400,0)</f>
        <v/>
      </c>
      <c r="L14" s="161" t="n">
        <v>5</v>
      </c>
      <c r="M14" s="29" t="inlineStr">
        <is>
          <t>HD-474 มือจับกลอนรุ่นก้านโยก</t>
        </is>
      </c>
      <c r="N14" s="161" t="n"/>
      <c r="O14" s="161">
        <f>IF($D$6="ขาว","ขาว","ดำ")</f>
        <v/>
      </c>
      <c r="P14" s="161">
        <f>(($F$19+$F$20)/2)/2</f>
        <v/>
      </c>
      <c r="Q14" s="161">
        <f>$J$1*P14</f>
        <v/>
      </c>
      <c r="R14" s="193" t="n">
        <v>85</v>
      </c>
    </row>
    <row r="15" ht="34.95" customHeight="1" s="92">
      <c r="A15" s="161" t="n">
        <v>4</v>
      </c>
      <c r="B15" s="56" t="inlineStr">
        <is>
          <t>คิ้วตบเฟรมข้าง</t>
        </is>
      </c>
      <c r="C15" s="56" t="n"/>
      <c r="D15" s="161" t="inlineStr">
        <is>
          <t>F7971</t>
        </is>
      </c>
      <c r="E15" s="161" t="n">
        <v>0.4</v>
      </c>
      <c r="F15" s="161" t="n">
        <v>2</v>
      </c>
      <c r="G15" s="161" t="inlineStr">
        <is>
          <t>H-75-45</t>
        </is>
      </c>
      <c r="H15" s="202">
        <f>$J$3-75-45</f>
        <v/>
      </c>
      <c r="I15" s="161">
        <f>F15*$J$1</f>
        <v/>
      </c>
      <c r="J15" s="161">
        <f>ROUNDUP((H15*I15)/6400,0)</f>
        <v/>
      </c>
      <c r="L15" s="161" t="n">
        <v>6</v>
      </c>
      <c r="M15" s="29" t="inlineStr">
        <is>
          <t>HD-312 ตลับกลอนก้านโยกมัลติล็อค</t>
        </is>
      </c>
      <c r="N15" s="161" t="n"/>
      <c r="O15" s="161">
        <f>IF($D$6="ขาว","ขาว","ดำ")</f>
        <v/>
      </c>
      <c r="P15" s="161">
        <f>(($F$19+$F$20)/2)/2</f>
        <v/>
      </c>
      <c r="Q15" s="161">
        <f>$J$1*P15</f>
        <v/>
      </c>
      <c r="R15" s="193" t="n">
        <v>88</v>
      </c>
      <c r="AB15" s="75" t="inlineStr">
        <is>
          <t>คู่ปิด A</t>
        </is>
      </c>
      <c r="AC15" s="75" t="inlineStr">
        <is>
          <t>นอน</t>
        </is>
      </c>
      <c r="AD15" s="75" t="n"/>
      <c r="AL15" s="75" t="inlineStr">
        <is>
          <t>คู่ปิด B</t>
        </is>
      </c>
      <c r="AM15" s="75" t="inlineStr">
        <is>
          <t>นอน</t>
        </is>
      </c>
      <c r="AN15" s="75" t="n"/>
    </row>
    <row r="16" ht="34.95" customHeight="1" s="92">
      <c r="A16" s="153" t="n">
        <v>5</v>
      </c>
      <c r="B16" s="46" t="inlineStr">
        <is>
          <t>ตบปิดเฟรม (ตั้ง)</t>
        </is>
      </c>
      <c r="C16" s="153" t="n"/>
      <c r="D16" s="153" t="inlineStr">
        <is>
          <t>F7973</t>
        </is>
      </c>
      <c r="E16" s="153" t="n">
        <v>0.19</v>
      </c>
      <c r="F16" s="153" t="n">
        <v>2</v>
      </c>
      <c r="G16" s="153" t="inlineStr">
        <is>
          <t>H-75-45</t>
        </is>
      </c>
      <c r="H16" s="204">
        <f>$J$3-75-45</f>
        <v/>
      </c>
      <c r="I16" s="153">
        <f>F16*$J$1</f>
        <v/>
      </c>
      <c r="J16" s="153">
        <f>ROUNDUP(((H16*I16)+(H17*I17)+(H18*I18))/6400,0)</f>
        <v/>
      </c>
      <c r="L16" s="161" t="n">
        <v>7</v>
      </c>
      <c r="M16" s="29" t="inlineStr">
        <is>
          <t>HD-1180 ก้าน AL สไลด์ 19.5 mm</t>
        </is>
      </c>
      <c r="N16" s="161" t="n"/>
      <c r="O16" s="161">
        <f>IF($D$6="ขาว","ขาว","ดำ")</f>
        <v/>
      </c>
      <c r="P16" s="161">
        <f>(($F$19+$F$20)/2)</f>
        <v/>
      </c>
      <c r="Q16" s="161">
        <f>$J$1*P16</f>
        <v/>
      </c>
      <c r="R16" s="193" t="n">
        <v>73</v>
      </c>
      <c r="S16" s="6">
        <f>((H19*I19)/1000)*E19</f>
        <v/>
      </c>
      <c r="V16" s="81" t="inlineStr">
        <is>
          <t>A</t>
        </is>
      </c>
      <c r="AB16" s="153" t="n">
        <v>2</v>
      </c>
      <c r="AC16" s="46" t="inlineStr">
        <is>
          <t>กรอบบานเฟี้ยม (ขวาง) A</t>
        </is>
      </c>
      <c r="AD16" s="46" t="n"/>
      <c r="AE16" s="153" t="inlineStr">
        <is>
          <t>F7972</t>
        </is>
      </c>
      <c r="AF16" s="153" t="n">
        <v>1.466</v>
      </c>
      <c r="AG16" s="153">
        <f>2*AB16</f>
        <v/>
      </c>
      <c r="AH16" s="59" t="inlineStr">
        <is>
          <t>(W-18-9.5-(8x1)-62)/2</t>
        </is>
      </c>
      <c r="AI16" s="204">
        <f>($J$5-18-9.5-(8*1)-62)/AB16</f>
        <v/>
      </c>
      <c r="AJ16" s="153">
        <f>AG16*$J$1</f>
        <v/>
      </c>
      <c r="AL16" s="153" t="n">
        <v>2</v>
      </c>
      <c r="AM16" s="46" t="inlineStr">
        <is>
          <t>กรอบบานเฟี้ยม (ขวาง) B</t>
        </is>
      </c>
      <c r="AN16" s="46" t="n"/>
      <c r="AO16" s="153" t="inlineStr">
        <is>
          <t>F7972</t>
        </is>
      </c>
      <c r="AP16" s="153" t="n">
        <v>1.466</v>
      </c>
      <c r="AQ16" s="153">
        <f>2*AL16</f>
        <v/>
      </c>
      <c r="AR16" s="59" t="inlineStr">
        <is>
          <t>(W-18-9.5-(8x1)-62)/2</t>
        </is>
      </c>
      <c r="AS16" s="204">
        <f>($J$5-18-9.5-(8*1)-62)/AL16</f>
        <v/>
      </c>
      <c r="AT16" s="153">
        <f>AQ16*$J$1</f>
        <v/>
      </c>
    </row>
    <row r="17" ht="34.95" customHeight="1" s="92">
      <c r="A17" s="205" t="n"/>
      <c r="B17" s="46" t="inlineStr">
        <is>
          <t>ตบปิดเฟรม (นอน) A</t>
        </is>
      </c>
      <c r="C17" s="205" t="n"/>
      <c r="D17" s="205" t="n"/>
      <c r="E17" s="205" t="n"/>
      <c r="F17" s="153" t="n">
        <v>1</v>
      </c>
      <c r="G17" s="153" t="inlineStr">
        <is>
          <t>W A-18-58</t>
        </is>
      </c>
      <c r="H17" s="204">
        <f>$J$5-18-58</f>
        <v/>
      </c>
      <c r="I17" s="153">
        <f>F17*$J$1</f>
        <v/>
      </c>
      <c r="J17" s="205" t="n"/>
      <c r="L17" s="161" t="n">
        <v>8</v>
      </c>
      <c r="M17" s="29" t="inlineStr">
        <is>
          <t>HD-213 ฉากเข้ามุมปรับได้</t>
        </is>
      </c>
      <c r="N17" s="30" t="n"/>
      <c r="O17" s="161" t="inlineStr">
        <is>
          <t>-</t>
        </is>
      </c>
      <c r="P17" s="161">
        <f>(($F$19+$F$20)/2)*4</f>
        <v/>
      </c>
      <c r="Q17" s="161">
        <f>$J$1*P17</f>
        <v/>
      </c>
      <c r="R17" s="193" t="n">
        <v>15</v>
      </c>
      <c r="S17" s="6">
        <f>((H21*I21)/1000)*E21</f>
        <v/>
      </c>
      <c r="V17" s="8" t="inlineStr">
        <is>
          <t>ชื่อ</t>
        </is>
      </c>
      <c r="W17" s="8" t="inlineStr">
        <is>
          <t>หน้าดาย</t>
        </is>
      </c>
      <c r="X17" s="8" t="inlineStr">
        <is>
          <t>เบอร์ดาย</t>
        </is>
      </c>
      <c r="Y17" s="8" t="inlineStr">
        <is>
          <t>น้ำหนัก</t>
        </is>
      </c>
      <c r="AB17" s="153" t="n">
        <v>4</v>
      </c>
      <c r="AC17" s="46" t="inlineStr">
        <is>
          <t>กรอบบานเฟี้ยม (ขวาง) A</t>
        </is>
      </c>
      <c r="AD17" s="46" t="n"/>
      <c r="AE17" s="153" t="inlineStr">
        <is>
          <t>F7972</t>
        </is>
      </c>
      <c r="AF17" s="153" t="n">
        <v>1.466</v>
      </c>
      <c r="AG17" s="153">
        <f>2*AB17</f>
        <v/>
      </c>
      <c r="AH17" s="59" t="inlineStr">
        <is>
          <t>(W-18-9.5-(8x3)-62)/4</t>
        </is>
      </c>
      <c r="AI17" s="204">
        <f>($J$5-18-9.5-(8*3)-62)/AB17</f>
        <v/>
      </c>
      <c r="AJ17" s="153">
        <f>AG17*$J$1</f>
        <v/>
      </c>
      <c r="AL17" s="153" t="n">
        <v>4</v>
      </c>
      <c r="AM17" s="46" t="inlineStr">
        <is>
          <t>กรอบบานเฟี้ยม (ขวาง) B</t>
        </is>
      </c>
      <c r="AN17" s="46" t="n"/>
      <c r="AO17" s="153" t="inlineStr">
        <is>
          <t>F7972</t>
        </is>
      </c>
      <c r="AP17" s="153" t="n">
        <v>1.466</v>
      </c>
      <c r="AQ17" s="153">
        <f>2*AL17</f>
        <v/>
      </c>
      <c r="AR17" s="59" t="inlineStr">
        <is>
          <t>(W-18-9.5-(8x3)-62)/4</t>
        </is>
      </c>
      <c r="AS17" s="204">
        <f>($J$5-18-9.5-(8*3)-62)/AL17</f>
        <v/>
      </c>
      <c r="AT17" s="153">
        <f>AQ17*$J$1</f>
        <v/>
      </c>
    </row>
    <row r="18" ht="34.95" customHeight="1" s="92">
      <c r="A18" s="203" t="n"/>
      <c r="B18" s="46" t="inlineStr">
        <is>
          <t>ตบปิดเฟรม (นอน) B</t>
        </is>
      </c>
      <c r="C18" s="203" t="n"/>
      <c r="D18" s="203" t="n"/>
      <c r="E18" s="203" t="n"/>
      <c r="F18" s="153" t="n">
        <v>1</v>
      </c>
      <c r="G18" s="153" t="inlineStr">
        <is>
          <t>W B-18-58</t>
        </is>
      </c>
      <c r="H18" s="204">
        <f>$J$7-18-58</f>
        <v/>
      </c>
      <c r="I18" s="153">
        <f>F18*$J$1</f>
        <v/>
      </c>
      <c r="J18" s="203" t="n"/>
      <c r="L18" s="161" t="n">
        <v>9</v>
      </c>
      <c r="M18" s="29" t="inlineStr">
        <is>
          <t>HD-200 ฉากประคองมุม</t>
        </is>
      </c>
      <c r="N18" s="30" t="n"/>
      <c r="O18" s="161" t="inlineStr">
        <is>
          <t>-</t>
        </is>
      </c>
      <c r="P18" s="161">
        <f>(($F$19+$F$20)/2)*12</f>
        <v/>
      </c>
      <c r="Q18" s="161">
        <f>$J$1*P18</f>
        <v/>
      </c>
      <c r="R18" s="193" t="n">
        <v>1.5</v>
      </c>
      <c r="V18" s="12" t="inlineStr">
        <is>
          <t>คิ้วกระจก5-12มิล (ตั้ง) A</t>
        </is>
      </c>
      <c r="W18" s="12" t="n"/>
      <c r="X18" s="11" t="inlineStr">
        <is>
          <t>F7935</t>
        </is>
      </c>
      <c r="Y18" s="11" t="n">
        <v>0.285</v>
      </c>
      <c r="AB18" s="153" t="n">
        <v>6</v>
      </c>
      <c r="AC18" s="46" t="inlineStr">
        <is>
          <t>กรอบบานเฟี้ยม (ขวาง) A</t>
        </is>
      </c>
      <c r="AD18" s="46" t="n"/>
      <c r="AE18" s="153" t="inlineStr">
        <is>
          <t>F7972</t>
        </is>
      </c>
      <c r="AF18" s="153" t="n">
        <v>1.466</v>
      </c>
      <c r="AG18" s="153">
        <f>2*AB18</f>
        <v/>
      </c>
      <c r="AH18" s="59" t="inlineStr">
        <is>
          <t>(W-18-9.5-(8x5)-62)/6</t>
        </is>
      </c>
      <c r="AI18" s="204">
        <f>($J$5-18-9.5-(8*5)-62)/AB18</f>
        <v/>
      </c>
      <c r="AJ18" s="153">
        <f>AG18*$J$1</f>
        <v/>
      </c>
      <c r="AL18" s="153" t="n">
        <v>6</v>
      </c>
      <c r="AM18" s="46" t="inlineStr">
        <is>
          <t>กรอบบานเฟี้ยม (ขวาง) B</t>
        </is>
      </c>
      <c r="AN18" s="46" t="n"/>
      <c r="AO18" s="153" t="inlineStr">
        <is>
          <t>F7972</t>
        </is>
      </c>
      <c r="AP18" s="153" t="n">
        <v>1.466</v>
      </c>
      <c r="AQ18" s="153">
        <f>2*AL18</f>
        <v/>
      </c>
      <c r="AR18" s="59" t="inlineStr">
        <is>
          <t>(W-18-9.5-(8x5)-62)/6</t>
        </is>
      </c>
      <c r="AS18" s="204">
        <f>($J$5-18-9.5-(8*5)-62)/AL18</f>
        <v/>
      </c>
      <c r="AT18" s="153">
        <f>AQ18*$J$1</f>
        <v/>
      </c>
    </row>
    <row r="19" ht="34.95" customHeight="1" s="92">
      <c r="A19" s="161" t="n">
        <v>6</v>
      </c>
      <c r="B19" s="56" t="inlineStr">
        <is>
          <t>กรอบบานเฟี้ยม (ตั้ง) A</t>
        </is>
      </c>
      <c r="C19" s="161" t="n"/>
      <c r="D19" s="161" t="inlineStr">
        <is>
          <t>F7972</t>
        </is>
      </c>
      <c r="E19" s="161" t="n">
        <v>1.466</v>
      </c>
      <c r="F19" s="161">
        <f>IF($I$5=2,$AG$30,IF($I$5=4,$AG$31,IF($I$5=6,$AG$32,IF($I$5=8,$AG$33,IF($I$5=10,$AG$34,)))))</f>
        <v/>
      </c>
      <c r="G19" s="161" t="inlineStr">
        <is>
          <t>H-55-7-7</t>
        </is>
      </c>
      <c r="H19" s="202">
        <f>$J$3-55-7-7</f>
        <v/>
      </c>
      <c r="I19" s="161">
        <f>F19*$J$1</f>
        <v/>
      </c>
      <c r="J19" s="161">
        <f>ROUNDUP(((H19*I19)+(H20*I20)+(H21*I21+(H22*I22)))/6400,0)</f>
        <v/>
      </c>
      <c r="L19" s="161" t="n">
        <v>10</v>
      </c>
      <c r="M19" s="61" t="inlineStr">
        <is>
          <t>HD-305  กลอนบานเฟี้ยม</t>
        </is>
      </c>
      <c r="N19" s="60" t="n"/>
      <c r="O19" s="161">
        <f>IF($D$6="ขาว","ขาว","ดำ")</f>
        <v/>
      </c>
      <c r="P19" s="161" t="n">
        <v>2</v>
      </c>
      <c r="Q19" s="161">
        <f>$J$1*P19</f>
        <v/>
      </c>
      <c r="V19" s="12" t="inlineStr">
        <is>
          <t>คิ้วกระจก5-12มิล (นอน) A</t>
        </is>
      </c>
      <c r="W19" s="12" t="n"/>
      <c r="X19" s="11" t="inlineStr">
        <is>
          <t>F7935</t>
        </is>
      </c>
      <c r="Y19" s="11" t="n">
        <v>0.285</v>
      </c>
      <c r="AB19" s="153" t="n">
        <v>8</v>
      </c>
      <c r="AC19" s="46" t="inlineStr">
        <is>
          <t>กรอบบานเฟี้ยม (ขวาง) A</t>
        </is>
      </c>
      <c r="AD19" s="46" t="n"/>
      <c r="AE19" s="153" t="inlineStr">
        <is>
          <t>F7972</t>
        </is>
      </c>
      <c r="AF19" s="153" t="n">
        <v>1.466</v>
      </c>
      <c r="AG19" s="153">
        <f>2*AB19</f>
        <v/>
      </c>
      <c r="AH19" s="59" t="inlineStr">
        <is>
          <t>(W-18-9.5-(8x7)-62)/8</t>
        </is>
      </c>
      <c r="AI19" s="204">
        <f>($J$5-18-9.5-(8*7)-62)/AB19</f>
        <v/>
      </c>
      <c r="AJ19" s="153">
        <f>AG19*$J$1</f>
        <v/>
      </c>
      <c r="AL19" s="153" t="n">
        <v>8</v>
      </c>
      <c r="AM19" s="46" t="inlineStr">
        <is>
          <t>กรอบบานเฟี้ยม (ขวาง) B</t>
        </is>
      </c>
      <c r="AN19" s="46" t="n"/>
      <c r="AO19" s="153" t="inlineStr">
        <is>
          <t>F7972</t>
        </is>
      </c>
      <c r="AP19" s="153" t="n">
        <v>1.466</v>
      </c>
      <c r="AQ19" s="153">
        <f>2*AL19</f>
        <v/>
      </c>
      <c r="AR19" s="59" t="inlineStr">
        <is>
          <t>(W-18-9.5-(8x7)-62)/8</t>
        </is>
      </c>
      <c r="AS19" s="204">
        <f>($J$5-18-9.5-(8*7)-62)/AL19</f>
        <v/>
      </c>
      <c r="AT19" s="153">
        <f>AQ19*$J$1</f>
        <v/>
      </c>
    </row>
    <row r="20" ht="34.95" customHeight="1" s="92">
      <c r="A20" s="205" t="n"/>
      <c r="B20" s="56" t="inlineStr">
        <is>
          <t>กรอบบานเฟี้ยม (ตั้ง) B</t>
        </is>
      </c>
      <c r="C20" s="203" t="n"/>
      <c r="D20" s="205" t="n"/>
      <c r="E20" s="205" t="n"/>
      <c r="F20" s="161">
        <f>IF($I$7=2,$AQ$30,IF($I$7=4,$AQ$31,IF($I$7=6,$AQ$32,IF($I$7=8,$AQ$33,IF($I$7=10,$AQ$34,)))))</f>
        <v/>
      </c>
      <c r="G20" s="161" t="inlineStr">
        <is>
          <t>H-55-7-7</t>
        </is>
      </c>
      <c r="H20" s="202">
        <f>$J$3-55-7-7</f>
        <v/>
      </c>
      <c r="I20" s="161">
        <f>F20*$J$1</f>
        <v/>
      </c>
      <c r="J20" s="205" t="n"/>
      <c r="L20" s="153" t="n">
        <v>11</v>
      </c>
      <c r="M20" s="43" t="inlineStr">
        <is>
          <t>ยางลูกโป่ง 6mm</t>
        </is>
      </c>
      <c r="N20" s="58" t="n"/>
      <c r="O20" s="153" t="inlineStr">
        <is>
          <t>-</t>
        </is>
      </c>
      <c r="P20" s="206">
        <f>(($H$10*$I$10)+($H$14*1)+($H$15*$I$15)+($H$19*$I$19*2)+($H$21*$I$21)+($H$28*$I$28)-($H$19*4))/1000</f>
        <v/>
      </c>
      <c r="Q20" s="206">
        <f>$J$1*P20</f>
        <v/>
      </c>
      <c r="S20" s="6">
        <f>((H23*I23)/1000)*E23</f>
        <v/>
      </c>
      <c r="V20" s="12" t="inlineStr">
        <is>
          <t>คิ้วกระจก14-20มิล (ตั้ง) A</t>
        </is>
      </c>
      <c r="W20" s="12" t="n"/>
      <c r="X20" s="11" t="inlineStr">
        <is>
          <t>F7949</t>
        </is>
      </c>
      <c r="Y20" s="11" t="n">
        <v>0.252</v>
      </c>
      <c r="AB20" s="153" t="n">
        <v>10</v>
      </c>
      <c r="AC20" s="46" t="inlineStr">
        <is>
          <t>กรอบบานเฟี้ยม (ขวาง) A</t>
        </is>
      </c>
      <c r="AD20" s="46" t="n"/>
      <c r="AE20" s="153" t="inlineStr">
        <is>
          <t>F7972</t>
        </is>
      </c>
      <c r="AF20" s="153" t="n">
        <v>1.466</v>
      </c>
      <c r="AG20" s="153">
        <f>2*AB20</f>
        <v/>
      </c>
      <c r="AH20" s="59" t="inlineStr">
        <is>
          <t>(W-18-9.5-(8x9)-62)/10</t>
        </is>
      </c>
      <c r="AI20" s="204">
        <f>($J$5-18-9.5-(8*9)-62)/AB20</f>
        <v/>
      </c>
      <c r="AJ20" s="153">
        <f>AG20*$J$1</f>
        <v/>
      </c>
      <c r="AL20" s="153" t="n">
        <v>10</v>
      </c>
      <c r="AM20" s="46" t="inlineStr">
        <is>
          <t>กรอบบานเฟี้ยม (ขวาง) B</t>
        </is>
      </c>
      <c r="AN20" s="46" t="n"/>
      <c r="AO20" s="153" t="inlineStr">
        <is>
          <t>F7972</t>
        </is>
      </c>
      <c r="AP20" s="153" t="n">
        <v>1.466</v>
      </c>
      <c r="AQ20" s="153">
        <f>2*AL20</f>
        <v/>
      </c>
      <c r="AR20" s="59" t="inlineStr">
        <is>
          <t>(W-18-9.5-(8x9)-62)/10</t>
        </is>
      </c>
      <c r="AS20" s="204">
        <f>($J$5-18-9.5-(8*9)-62)/AL20</f>
        <v/>
      </c>
      <c r="AT20" s="153">
        <f>AQ20*$J$1</f>
        <v/>
      </c>
    </row>
    <row r="21" ht="34.95" customHeight="1" s="92">
      <c r="A21" s="205" t="n"/>
      <c r="B21" s="56" t="inlineStr">
        <is>
          <t>กรอบบานเฟี้ยม (ขวาง) A</t>
        </is>
      </c>
      <c r="C21" s="161" t="n"/>
      <c r="D21" s="205" t="n"/>
      <c r="E21" s="205" t="n"/>
      <c r="F21" s="109">
        <f>IF(AND($H$4=$W$3,$I$5=$X$3),AG$23,"")&amp;IF(AND($H$4=$W$3,$I$5=$X$4),AG$24,"")&amp;IF(AND($H$4=$W$3,$I$5=$X$5),AG$25,"")&amp;IF(AND($H$4=$W$3,$I$5=$X$6),AG$26,"")&amp;IF(AND($H$4=$W$3,$I$5=$X$7),AG$27,"")&amp;IF(AND($H$4=$W$4,$I$5=$X$3),AG$16,"")&amp;IF(AND($H$4=$W$4,$I$5=$X$4),AG$17,"")&amp;IF(AND($H$4=$W$4,$I$5=$X$5),AG$18,"")&amp;IF(AND($H$4=$W$4,$I$5=$X$6),AG$19,"")&amp;IF(AND($H$4=$W$4,$I$5=$X$7),AG$20,"")</f>
        <v/>
      </c>
      <c r="G21" s="109">
        <f>IF(AND($H$4=$W$3,$I$5=$X$3),AH$23,"")&amp;IF(AND($H$4=$W$3,$I$5=$X$4),AH$24,"")&amp;IF(AND($H$4=$W$3,$I$5=$X$5),AH$25,"")&amp;IF(AND($H$4=$W$3,$I$5=$X$6),AH$26,"")&amp;IF(AND($H$4=$W$3,$I$5=$X$7),AH$27,"")&amp;IF(AND($H$4=$W$4,$I$5=$X$3),AH$16,"")&amp;IF(AND($H$4=$W$4,$I$5=$X$4),AH$17,"")&amp;IF(AND($H$4=$W$4,$I$5=$X$5),AH$18,"")&amp;IF(AND($H$4=$W$4,$I$5=$X$6),AH$19,"")&amp;IF(AND($H$4=$W$4,$I$5=$X$7),AH$20,"")</f>
        <v/>
      </c>
      <c r="H21" s="207">
        <f>VALUE(IF(AND($H$4=$W$3,$I$5=$X$3),AI$23,"")&amp;IF(AND($H$4=$W$3,$I$5=$X$4),AI$24,"")&amp;IF(AND($H$4=$W$3,$I$5=$X$5),AI$25,"")&amp;IF(AND($H$4=$W$3,$I$5=$X$6),AI$26,"")&amp;IF(AND($H$4=$W$3,$I$5=$X$7),AI$27,"")&amp;IF(AND($H$4=$W$4,$I$5=$X$3),AI$16,"")&amp;IF(AND($H$4=$W$4,$I$5=$X$4),AI$17,"")&amp;IF(AND($H$4=$W$4,$I$5=$X$5),AI$18,"")&amp;IF(AND($H$4=$W$4,$I$5=$X$6),AI$19,"")&amp;IF(AND($H$4=$W$4,$I$5=$X$7),AI$20,""))</f>
        <v/>
      </c>
      <c r="I21" s="161">
        <f>F21*$J$1</f>
        <v/>
      </c>
      <c r="J21" s="205" t="n"/>
      <c r="L21" s="153" t="n">
        <v>12</v>
      </c>
      <c r="M21" s="43" t="inlineStr">
        <is>
          <t>ยางอัด</t>
        </is>
      </c>
      <c r="N21" s="58" t="n"/>
      <c r="O21" s="153" t="inlineStr">
        <is>
          <t>-</t>
        </is>
      </c>
      <c r="P21" s="206">
        <f>(($O$32+$P$32)*2)*$Q$32/1000</f>
        <v/>
      </c>
      <c r="Q21" s="206">
        <f>$J$1*P21</f>
        <v/>
      </c>
      <c r="S21" s="6">
        <f>((H25*I25)/1000)*E25</f>
        <v/>
      </c>
      <c r="V21" s="12" t="inlineStr">
        <is>
          <t>คิ้วกระจก14-20มิล (นอน) A</t>
        </is>
      </c>
      <c r="W21" s="12" t="inlineStr">
        <is>
          <t xml:space="preserve"> </t>
        </is>
      </c>
      <c r="X21" s="11" t="inlineStr">
        <is>
          <t>F7949</t>
        </is>
      </c>
      <c r="Y21" s="11" t="n">
        <v>0.252</v>
      </c>
    </row>
    <row r="22" ht="34.95" customHeight="1" s="92">
      <c r="A22" s="203" t="n"/>
      <c r="B22" s="56" t="inlineStr">
        <is>
          <t>กรอบบานเฟี้ยม (ขวาง) B</t>
        </is>
      </c>
      <c r="C22" s="203" t="n"/>
      <c r="D22" s="203" t="n"/>
      <c r="E22" s="203" t="n"/>
      <c r="F22" s="109">
        <f>IF(AND($H$6=$W$5,$I$7=$X$3),AQ$23,"")&amp;IF(AND($H$6=$W$5,$I$7=$X$4),AQ$24,"")&amp;IF(AND($H$6=$W$5,$I$7=$X$5),AQ$25,"")&amp;IF(AND($H$6=$W$5,$I$7=$X$6),AQ$26,"")&amp;IF(AND($H$6=$W$5,$I$7=$X$7),AQ$27,"")&amp;IF(AND($H$6=$W$6,$I$7=$X$3),AQ$16,"")&amp;IF(AND($H$6=$W$6,$I$7=$X$4),AQ$17,"")&amp;IF(AND($H$6=$W$6,$I$7=$X$5),AQ$18,"")&amp;IF(AND($H$6=$W$6,$I$7=$X$6),AQ$19,"")&amp;IF(AND($H$6=$W$6,$I$7=$X$7),AQ$20,"")</f>
        <v/>
      </c>
      <c r="G22" s="109">
        <f>IF(AND($H$6=$W$5,$I$7=$X$3),AR$23,"")&amp;IF(AND($H$6=$W$5,$I$7=$X$4),AR$24,"")&amp;IF(AND($H$6=$W$5,$I$7=$X$5),AR$25,"")&amp;IF(AND($H$6=$W$5,$I$7=$X$6),AR$26,"")&amp;IF(AND($H$6=$W$5,$I$7=$X$7),AR$27,"")&amp;IF(AND($H$6=$W$6,$I$7=$X$3),AR$16,"")&amp;IF(AND($H$6=$W$6,$I$7=$X$4),AR$17,"")&amp;IF(AND($H$6=$W$6,$I$7=$X$5),AR$18,"")&amp;IF(AND($H$6=$W$6,$I$7=$X$6),AR$19,"")&amp;IF(AND($H$6=$W$6,$I$7=$X$7),AR$20,"")</f>
        <v/>
      </c>
      <c r="H22" s="207">
        <f>VALUE(IF(AND($H$6=$W$5,$I$7=$X$3),AS$23,"")&amp;IF(AND($H$6=$W$5,$I$7=$X$4),AS$24,"")&amp;IF(AND($H$6=$W$5,$I$7=$X$5),AS$25,"")&amp;IF(AND($H$6=$W$5,$I$7=$X$6),AS$26,"")&amp;IF(AND($H$6=$W$5,$I$7=$X$7),AS$27,"")&amp;IF(AND($H$6=$W$6,$I$7=$X$3),AS$16,"")&amp;IF(AND($H$6=$W$6,$I$7=$X$4),AS$17,"")&amp;IF(AND($H$6=$W$6,$I$7=$X$5),AS$18,"")&amp;IF(AND($H$6=$W$6,$I$7=$X$6),AS$19,"")&amp;IF(AND($H$6=$W$6,$I$7=$X$7),AS$20,""))</f>
        <v/>
      </c>
      <c r="I22" s="161">
        <f>F22*$J$1</f>
        <v/>
      </c>
      <c r="J22" s="203" t="n"/>
      <c r="L22" s="153" t="n">
        <v>13</v>
      </c>
      <c r="M22" s="43" t="inlineStr">
        <is>
          <t>ยางรอง</t>
        </is>
      </c>
      <c r="N22" s="58" t="n"/>
      <c r="O22" s="153" t="inlineStr">
        <is>
          <t>-</t>
        </is>
      </c>
      <c r="P22" s="206">
        <f>(($O$32+$P$32)*2)*$Q$32/1000</f>
        <v/>
      </c>
      <c r="Q22" s="206">
        <f>$J$1*P22</f>
        <v/>
      </c>
      <c r="V22" s="12" t="inlineStr">
        <is>
          <t>คิ้วสำหรับกระจกมู่ลี่ (ตั้ง) A</t>
        </is>
      </c>
      <c r="W22" s="14" t="n"/>
      <c r="X22" s="11" t="inlineStr">
        <is>
          <t>F7853</t>
        </is>
      </c>
      <c r="Y22" s="11" t="n">
        <v>0.22</v>
      </c>
      <c r="AB22" s="75" t="inlineStr">
        <is>
          <t>คู่เปิด A</t>
        </is>
      </c>
      <c r="AC22" s="75" t="inlineStr">
        <is>
          <t>นอน</t>
        </is>
      </c>
      <c r="AD22" s="75" t="n"/>
      <c r="AL22" s="75" t="inlineStr">
        <is>
          <t>คู่เปิด B</t>
        </is>
      </c>
      <c r="AM22" s="75" t="inlineStr">
        <is>
          <t>นอน</t>
        </is>
      </c>
      <c r="AN22" s="75" t="n"/>
    </row>
    <row r="23" ht="34.95" customHeight="1" s="92">
      <c r="A23" s="153" t="n">
        <v>7</v>
      </c>
      <c r="B23" s="46">
        <f>IF($E$6&lt;=12,V18,IF($E$6&lt;=20,V20,V22))</f>
        <v/>
      </c>
      <c r="C23" s="153" t="n"/>
      <c r="D23" s="153">
        <f>IF($E$6&lt;=12,X18,IF($E$6&lt;=20,X20,X22))</f>
        <v/>
      </c>
      <c r="E23" s="153">
        <f>IF($E$6&lt;=12,Y18,IF($E$6&lt;=20,Y20,Y22))</f>
        <v/>
      </c>
      <c r="F23" s="153">
        <f>$F$19</f>
        <v/>
      </c>
      <c r="G23" s="153" t="inlineStr">
        <is>
          <t>SH-80-80</t>
        </is>
      </c>
      <c r="H23" s="204">
        <f>$H$19-80-80</f>
        <v/>
      </c>
      <c r="I23" s="153">
        <f>F23*$J$1</f>
        <v/>
      </c>
      <c r="J23" s="153">
        <f>ROUNDUP(((H23*I23)+(H24*I24)+(H25*I25+(H26*I26)))/6400,0)</f>
        <v/>
      </c>
      <c r="L23" s="95" t="n"/>
      <c r="M23" s="86" t="n"/>
      <c r="N23" s="95" t="n"/>
      <c r="O23" s="95" t="n"/>
      <c r="P23" s="95" t="n"/>
      <c r="Q23" s="95" t="n"/>
      <c r="V23" s="12" t="inlineStr">
        <is>
          <t>คิ้วสำหรับกระจกมู่ลี่ (นอน) A</t>
        </is>
      </c>
      <c r="W23" s="14" t="n"/>
      <c r="X23" s="11" t="inlineStr">
        <is>
          <t>F7853</t>
        </is>
      </c>
      <c r="Y23" s="11" t="n">
        <v>0.22</v>
      </c>
      <c r="AB23" s="153" t="n">
        <v>2</v>
      </c>
      <c r="AC23" s="46" t="inlineStr">
        <is>
          <t>กรอบบานเฟี้ยม (ขวาง) A</t>
        </is>
      </c>
      <c r="AD23" s="46" t="n"/>
      <c r="AE23" s="153" t="inlineStr">
        <is>
          <t>F7972</t>
        </is>
      </c>
      <c r="AF23" s="153" t="n">
        <v>1.466</v>
      </c>
      <c r="AG23" s="153">
        <f>2*AB23</f>
        <v/>
      </c>
      <c r="AH23" s="59" t="inlineStr">
        <is>
          <t>(W-18-9.5-(8x1)-102)/2</t>
        </is>
      </c>
      <c r="AI23" s="204">
        <f>($J$5-18-9.5-(8*1)-102)/AB23</f>
        <v/>
      </c>
      <c r="AJ23" s="153">
        <f>AG23*$J$1</f>
        <v/>
      </c>
      <c r="AL23" s="153" t="n">
        <v>2</v>
      </c>
      <c r="AM23" s="46" t="inlineStr">
        <is>
          <t>กรอบบานเฟี้ยม (ขวาง) B</t>
        </is>
      </c>
      <c r="AN23" s="46" t="n"/>
      <c r="AO23" s="153" t="inlineStr">
        <is>
          <t>F7972</t>
        </is>
      </c>
      <c r="AP23" s="153" t="n">
        <v>1.466</v>
      </c>
      <c r="AQ23" s="153">
        <f>2*AL23</f>
        <v/>
      </c>
      <c r="AR23" s="59" t="inlineStr">
        <is>
          <t>(W-18-9.5-(8x1)-102)/2</t>
        </is>
      </c>
      <c r="AS23" s="204">
        <f>($J$5-18-9.5-(8*1)-102)/AL23</f>
        <v/>
      </c>
      <c r="AT23" s="153">
        <f>AQ23*$J$1</f>
        <v/>
      </c>
    </row>
    <row r="24" ht="34.95" customHeight="1" s="92">
      <c r="A24" s="205" t="n"/>
      <c r="B24" s="46">
        <f>IF($E$6&lt;=12,V25,IF($E$6&lt;=20,V27,V29))</f>
        <v/>
      </c>
      <c r="C24" s="203" t="n"/>
      <c r="D24" s="205" t="n"/>
      <c r="E24" s="205" t="n"/>
      <c r="F24" s="153">
        <f>$F$20</f>
        <v/>
      </c>
      <c r="G24" s="153" t="inlineStr">
        <is>
          <t>SH-80-80</t>
        </is>
      </c>
      <c r="H24" s="204">
        <f>$H$20-80-80</f>
        <v/>
      </c>
      <c r="I24" s="153">
        <f>F24*$J$1</f>
        <v/>
      </c>
      <c r="J24" s="205" t="n"/>
      <c r="L24" s="90" t="n"/>
      <c r="M24" s="89" t="n"/>
      <c r="N24" s="136" t="inlineStr">
        <is>
          <t>ด้าน A</t>
        </is>
      </c>
      <c r="O24" s="198" t="n"/>
      <c r="P24" s="198" t="n"/>
      <c r="Q24" s="199" t="n"/>
      <c r="V24" s="81" t="inlineStr">
        <is>
          <t>B</t>
        </is>
      </c>
      <c r="AB24" s="153" t="n">
        <v>4</v>
      </c>
      <c r="AC24" s="46" t="inlineStr">
        <is>
          <t>กรอบบานเฟี้ยม (ขวาง) A</t>
        </is>
      </c>
      <c r="AD24" s="46" t="n"/>
      <c r="AE24" s="153" t="inlineStr">
        <is>
          <t>F7972</t>
        </is>
      </c>
      <c r="AF24" s="153" t="n">
        <v>1.466</v>
      </c>
      <c r="AG24" s="153">
        <f>VALUE(2*AB24)</f>
        <v/>
      </c>
      <c r="AH24" s="59" t="inlineStr">
        <is>
          <t>(W-18-9.5-(8x3)-102)/4</t>
        </is>
      </c>
      <c r="AI24" s="204">
        <f>($J$5-18-9.5-(8*3)-102)/AB24</f>
        <v/>
      </c>
      <c r="AJ24" s="153">
        <f>AG24*$J$1</f>
        <v/>
      </c>
      <c r="AL24" s="153" t="n">
        <v>4</v>
      </c>
      <c r="AM24" s="46" t="inlineStr">
        <is>
          <t>กรอบบานเฟี้ยม (ขวาง) B</t>
        </is>
      </c>
      <c r="AN24" s="46" t="n"/>
      <c r="AO24" s="153" t="inlineStr">
        <is>
          <t>F7972</t>
        </is>
      </c>
      <c r="AP24" s="153" t="n">
        <v>1.466</v>
      </c>
      <c r="AQ24" s="153">
        <f>2*AL24</f>
        <v/>
      </c>
      <c r="AR24" s="59" t="inlineStr">
        <is>
          <t>(W-18-9.5-(8x3)-102)/4</t>
        </is>
      </c>
      <c r="AS24" s="204">
        <f>($J$5-18-9.5-(8*3)-102)/AL24</f>
        <v/>
      </c>
      <c r="AT24" s="153">
        <f>AQ24*$J$1</f>
        <v/>
      </c>
    </row>
    <row r="25" ht="34.95" customHeight="1" s="92">
      <c r="A25" s="205" t="n"/>
      <c r="B25" s="46">
        <f>IF($E$6&lt;=12,V19,IF($E$6&lt;=20,V21,V23))</f>
        <v/>
      </c>
      <c r="C25" s="153" t="n"/>
      <c r="D25" s="205" t="n"/>
      <c r="E25" s="205" t="n"/>
      <c r="F25" s="153">
        <f>$F$21</f>
        <v/>
      </c>
      <c r="G25" s="153" t="inlineStr">
        <is>
          <t>SW-60-60</t>
        </is>
      </c>
      <c r="H25" s="204">
        <f>$H$21-60-60</f>
        <v/>
      </c>
      <c r="I25" s="153">
        <f>F25*$J$1</f>
        <v/>
      </c>
      <c r="J25" s="205" t="n"/>
      <c r="L25" s="90" t="n"/>
      <c r="M25" s="89" t="n"/>
      <c r="N25" s="85" t="inlineStr">
        <is>
          <t>น้ำหนักรวม
ต่อ บาน B</t>
        </is>
      </c>
      <c r="O25" s="137" t="inlineStr">
        <is>
          <t>กระจก A</t>
        </is>
      </c>
      <c r="P25" s="208" t="n"/>
      <c r="Q25" s="209" t="n"/>
      <c r="V25" s="12" t="inlineStr">
        <is>
          <t>คิ้วกระจก5-12มิล (ตั้ง) B</t>
        </is>
      </c>
      <c r="W25" s="12" t="n"/>
      <c r="X25" s="11" t="inlineStr">
        <is>
          <t>F7935</t>
        </is>
      </c>
      <c r="Y25" s="11" t="n">
        <v>0.285</v>
      </c>
      <c r="AB25" s="153" t="n">
        <v>6</v>
      </c>
      <c r="AC25" s="46" t="inlineStr">
        <is>
          <t>กรอบบานเฟี้ยม (ขวาง) A</t>
        </is>
      </c>
      <c r="AD25" s="46" t="n"/>
      <c r="AE25" s="153" t="inlineStr">
        <is>
          <t>F7972</t>
        </is>
      </c>
      <c r="AF25" s="153" t="n">
        <v>1.466</v>
      </c>
      <c r="AG25" s="153">
        <f>VALUE(2*AB25)</f>
        <v/>
      </c>
      <c r="AH25" s="59" t="inlineStr">
        <is>
          <t>(W-18-9.5-(8x5)-102)/6</t>
        </is>
      </c>
      <c r="AI25" s="204">
        <f>($J$5-18-9.5-(8*5)-102)/AB25</f>
        <v/>
      </c>
      <c r="AJ25" s="153">
        <f>AG25*$J$1</f>
        <v/>
      </c>
      <c r="AL25" s="153" t="n">
        <v>6</v>
      </c>
      <c r="AM25" s="46" t="inlineStr">
        <is>
          <t>กรอบบานเฟี้ยม (ขวาง) B</t>
        </is>
      </c>
      <c r="AN25" s="46" t="n"/>
      <c r="AO25" s="153" t="inlineStr">
        <is>
          <t>F7972</t>
        </is>
      </c>
      <c r="AP25" s="153" t="n">
        <v>1.466</v>
      </c>
      <c r="AQ25" s="153">
        <f>2*AL25</f>
        <v/>
      </c>
      <c r="AR25" s="59" t="inlineStr">
        <is>
          <t>(W-18-9.5-(8x5)-102)/6</t>
        </is>
      </c>
      <c r="AS25" s="204">
        <f>($J$5-18-9.5-(8*5)-102)/AL25</f>
        <v/>
      </c>
      <c r="AT25" s="153">
        <f>AQ25*$J$1</f>
        <v/>
      </c>
    </row>
    <row r="26" ht="34.95" customHeight="1" s="92">
      <c r="A26" s="203" t="n"/>
      <c r="B26" s="46">
        <f>IF($E$6&lt;=12,V26,IF($E$6&lt;=20,V28,V30))</f>
        <v/>
      </c>
      <c r="C26" s="203" t="n"/>
      <c r="D26" s="203" t="n"/>
      <c r="E26" s="203" t="n"/>
      <c r="F26" s="153">
        <f>$F$22</f>
        <v/>
      </c>
      <c r="G26" s="153" t="inlineStr">
        <is>
          <t>SW-60-60</t>
        </is>
      </c>
      <c r="H26" s="204">
        <f>$H$22-60-60</f>
        <v/>
      </c>
      <c r="I26" s="153">
        <f>F26*$J$1</f>
        <v/>
      </c>
      <c r="J26" s="203" t="n"/>
      <c r="L26" s="90" t="n"/>
      <c r="M26" s="123" t="n"/>
      <c r="N26" s="210">
        <f>((($H$19*$F$19*$E$19/1000)+($H$21*$F$21*$E$19/1000)+($H$23*$F$23*$E$23/1000)+($H$25*$F$25*$E$23/1000))+($O$32*$P$32*$E$6*2.5*$I$7/1000000))/$I$7</f>
        <v/>
      </c>
      <c r="O26" s="161" t="inlineStr">
        <is>
          <t>HS-130</t>
        </is>
      </c>
      <c r="P26" s="161" t="inlineStr">
        <is>
          <t>WS-130</t>
        </is>
      </c>
      <c r="Q26" s="202" t="inlineStr">
        <is>
          <t>จำนวน</t>
        </is>
      </c>
      <c r="V26" s="12" t="inlineStr">
        <is>
          <t>คิ้วกระจก5-12มิล (นอน) B</t>
        </is>
      </c>
      <c r="W26" s="12" t="n"/>
      <c r="X26" s="11" t="inlineStr">
        <is>
          <t>F7935</t>
        </is>
      </c>
      <c r="Y26" s="11" t="n">
        <v>0.285</v>
      </c>
      <c r="AB26" s="153" t="n">
        <v>8</v>
      </c>
      <c r="AC26" s="46" t="inlineStr">
        <is>
          <t>กรอบบานเฟี้ยม (ขวาง) A</t>
        </is>
      </c>
      <c r="AD26" s="46" t="n"/>
      <c r="AE26" s="153" t="inlineStr">
        <is>
          <t>F7972</t>
        </is>
      </c>
      <c r="AF26" s="153" t="n">
        <v>1.466</v>
      </c>
      <c r="AG26" s="153">
        <f>VALUE(2*AB26)</f>
        <v/>
      </c>
      <c r="AH26" s="59" t="inlineStr">
        <is>
          <t>(W-18-9.5-(8x7)-102)/8</t>
        </is>
      </c>
      <c r="AI26" s="204">
        <f>($J$5-18-9.5-(8*7)-102)/AB26</f>
        <v/>
      </c>
      <c r="AJ26" s="153">
        <f>AG26*$J$1</f>
        <v/>
      </c>
      <c r="AL26" s="153" t="n">
        <v>8</v>
      </c>
      <c r="AM26" s="46" t="inlineStr">
        <is>
          <t>กรอบบานเฟี้ยม (ขวาง) B</t>
        </is>
      </c>
      <c r="AN26" s="46" t="n"/>
      <c r="AO26" s="153" t="inlineStr">
        <is>
          <t>F7972</t>
        </is>
      </c>
      <c r="AP26" s="153" t="n">
        <v>1.466</v>
      </c>
      <c r="AQ26" s="153">
        <f>2*AL26</f>
        <v/>
      </c>
      <c r="AR26" s="59" t="inlineStr">
        <is>
          <t>(W-18-9.5-(8x7)-102)/8</t>
        </is>
      </c>
      <c r="AS26" s="204">
        <f>($J$5-18-9.5-(8*7)-102)/AL26</f>
        <v/>
      </c>
      <c r="AT26" s="153">
        <f>AQ26*$J$1</f>
        <v/>
      </c>
    </row>
    <row r="27" ht="34.95" customHeight="1" s="92">
      <c r="A27" s="161" t="n">
        <v>8</v>
      </c>
      <c r="B27" s="56" t="inlineStr">
        <is>
          <t>ชนกลางบานคู่</t>
        </is>
      </c>
      <c r="C27" s="56" t="n"/>
      <c r="D27" s="161" t="inlineStr">
        <is>
          <t>F7974</t>
        </is>
      </c>
      <c r="E27" s="161" t="n">
        <v>0.799</v>
      </c>
      <c r="F27" s="161" t="n">
        <v>1</v>
      </c>
      <c r="G27" s="161" t="inlineStr">
        <is>
          <t>HS</t>
        </is>
      </c>
      <c r="H27" s="202">
        <f>$H$19</f>
        <v/>
      </c>
      <c r="I27" s="161">
        <f>F27*$J$1</f>
        <v/>
      </c>
      <c r="J27" s="161">
        <f>ROUNDUP((H27*I27)/6400,0)</f>
        <v/>
      </c>
      <c r="L27" s="90" t="n"/>
      <c r="M27" s="89" t="n"/>
      <c r="N27" s="211">
        <f>$N$31*$I$5</f>
        <v/>
      </c>
      <c r="O27" s="41">
        <f>$H$19-130</f>
        <v/>
      </c>
      <c r="P27" s="41">
        <f>$H$21-130</f>
        <v/>
      </c>
      <c r="Q27" s="41">
        <f>$I$5*$J$1</f>
        <v/>
      </c>
      <c r="S27" s="6">
        <f>O32*P32*6*Q32*2.5/1000000</f>
        <v/>
      </c>
      <c r="V27" s="12" t="inlineStr">
        <is>
          <t>คิ้วกระจก14-20มิล (ตั้ง) B</t>
        </is>
      </c>
      <c r="W27" s="12" t="n"/>
      <c r="X27" s="11" t="inlineStr">
        <is>
          <t>F7949</t>
        </is>
      </c>
      <c r="Y27" s="11" t="n">
        <v>0.252</v>
      </c>
      <c r="AB27" s="153" t="n">
        <v>10</v>
      </c>
      <c r="AC27" s="46" t="inlineStr">
        <is>
          <t>กรอบบานเฟี้ยม (ขวาง) A</t>
        </is>
      </c>
      <c r="AD27" s="46" t="n"/>
      <c r="AE27" s="153" t="inlineStr">
        <is>
          <t>F7972</t>
        </is>
      </c>
      <c r="AF27" s="153" t="n">
        <v>1.466</v>
      </c>
      <c r="AG27" s="153">
        <f>VALUE(2*AB27)</f>
        <v/>
      </c>
      <c r="AH27" s="59" t="inlineStr">
        <is>
          <t>(W-18-9.5-(8x9)-102)/10</t>
        </is>
      </c>
      <c r="AI27" s="204">
        <f>($J$5-18-9.5-(8*9)-102)/AB27</f>
        <v/>
      </c>
      <c r="AJ27" s="153">
        <f>AG27*$J$1</f>
        <v/>
      </c>
      <c r="AL27" s="153" t="n">
        <v>10</v>
      </c>
      <c r="AM27" s="46" t="inlineStr">
        <is>
          <t>กรอบบานเฟี้ยม (ขวาง) B</t>
        </is>
      </c>
      <c r="AN27" s="46" t="n"/>
      <c r="AO27" s="153" t="inlineStr">
        <is>
          <t>F7972</t>
        </is>
      </c>
      <c r="AP27" s="153" t="n">
        <v>1.466</v>
      </c>
      <c r="AQ27" s="153">
        <f>2*AL27</f>
        <v/>
      </c>
      <c r="AR27" s="59" t="inlineStr">
        <is>
          <t>(W-18-9.5-(8x9)-102)/10</t>
        </is>
      </c>
      <c r="AS27" s="204">
        <f>($J$5-18-9.5-(8*9)-102)/AL27</f>
        <v/>
      </c>
      <c r="AT27" s="153">
        <f>AQ27*$J$1</f>
        <v/>
      </c>
    </row>
    <row r="28" ht="34.95" customHeight="1" s="92">
      <c r="A28" s="153" t="n">
        <v>9</v>
      </c>
      <c r="B28" s="46" t="inlineStr">
        <is>
          <t>รับล็อคเสาเข้ามุมบานคู่</t>
        </is>
      </c>
      <c r="C28" s="46" t="n"/>
      <c r="D28" s="153" t="inlineStr">
        <is>
          <t>F7963</t>
        </is>
      </c>
      <c r="E28" s="153" t="n">
        <v>0.438</v>
      </c>
      <c r="F28" s="153" t="n">
        <v>1</v>
      </c>
      <c r="G28" s="153" t="inlineStr">
        <is>
          <t>HS</t>
        </is>
      </c>
      <c r="H28" s="204">
        <f>$H$19</f>
        <v/>
      </c>
      <c r="I28" s="153">
        <f>F28*$J$1</f>
        <v/>
      </c>
      <c r="J28" s="153">
        <f>ROUNDUP((H28*I28)/6400,0)</f>
        <v/>
      </c>
      <c r="L28" s="90" t="n"/>
      <c r="M28" s="89" t="n"/>
      <c r="O28" s="90" t="n"/>
      <c r="P28" s="90" t="n"/>
      <c r="Q28" s="90" t="n"/>
      <c r="S28" s="18">
        <f>SUM(S16:S27)</f>
        <v/>
      </c>
      <c r="V28" s="12" t="inlineStr">
        <is>
          <t>คิ้วกระจก14-20มิล (นอน) B</t>
        </is>
      </c>
      <c r="W28" s="12" t="n"/>
      <c r="X28" s="11" t="inlineStr">
        <is>
          <t>F7949</t>
        </is>
      </c>
      <c r="Y28" s="11" t="n">
        <v>0.252</v>
      </c>
    </row>
    <row r="29" ht="34.95" customHeight="1" s="92">
      <c r="A29" s="161" t="n">
        <v>10</v>
      </c>
      <c r="B29" s="56" t="inlineStr">
        <is>
          <t>เสาเข้ามุม</t>
        </is>
      </c>
      <c r="C29" s="84" t="n"/>
      <c r="D29" s="161" t="inlineStr">
        <is>
          <t>F7964</t>
        </is>
      </c>
      <c r="E29" s="161" t="n">
        <v>1.03</v>
      </c>
      <c r="F29" s="161" t="n">
        <v>1</v>
      </c>
      <c r="G29" s="161" t="inlineStr">
        <is>
          <t>HS</t>
        </is>
      </c>
      <c r="H29" s="202">
        <f>$H$19</f>
        <v/>
      </c>
      <c r="I29" s="161">
        <f>F29*$J$1</f>
        <v/>
      </c>
      <c r="J29" s="161">
        <f>ROUNDUP((H29*I29)/6400,0)</f>
        <v/>
      </c>
      <c r="L29" s="90" t="n"/>
      <c r="M29" s="93" t="n"/>
      <c r="N29" s="136" t="inlineStr">
        <is>
          <t>ด้าน B</t>
        </is>
      </c>
      <c r="O29" s="198" t="n"/>
      <c r="P29" s="198" t="n"/>
      <c r="Q29" s="199" t="n"/>
      <c r="V29" s="12" t="inlineStr">
        <is>
          <t>คิ้วสำหรับกระจกมู่ลี่ (ตั้ง) B</t>
        </is>
      </c>
      <c r="W29" s="14" t="n"/>
      <c r="X29" s="11" t="inlineStr">
        <is>
          <t>F7853</t>
        </is>
      </c>
      <c r="Y29" s="11" t="n">
        <v>0.22</v>
      </c>
      <c r="AB29" s="75" t="inlineStr">
        <is>
          <t>ตั้ง A</t>
        </is>
      </c>
      <c r="AC29" s="75" t="n"/>
      <c r="AD29" s="75" t="n"/>
      <c r="AL29" s="75" t="inlineStr">
        <is>
          <t>ตั้ง B</t>
        </is>
      </c>
      <c r="AM29" s="75" t="n"/>
      <c r="AN29" s="75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  <c r="M30" s="94" t="n"/>
      <c r="N30" s="85" t="inlineStr">
        <is>
          <t>น้ำหนักรวม
ต่อ บาน B</t>
        </is>
      </c>
      <c r="O30" s="137" t="inlineStr">
        <is>
          <t>กระจก B</t>
        </is>
      </c>
      <c r="P30" s="208" t="n"/>
      <c r="Q30" s="209" t="n"/>
      <c r="V30" s="12" t="inlineStr">
        <is>
          <t>คิ้วสำหรับกระจกมู่ลี่ (นอน) B</t>
        </is>
      </c>
      <c r="W30" s="14" t="n"/>
      <c r="X30" s="11" t="inlineStr">
        <is>
          <t>F7853</t>
        </is>
      </c>
      <c r="Y30" s="11" t="n">
        <v>0.22</v>
      </c>
      <c r="AB30" s="153" t="n">
        <v>2</v>
      </c>
      <c r="AC30" s="46" t="inlineStr">
        <is>
          <t>กรอบบานเฟี้ยม (ตั้ง) A</t>
        </is>
      </c>
      <c r="AD30" s="46" t="n"/>
      <c r="AE30" s="153" t="inlineStr">
        <is>
          <t>F7972</t>
        </is>
      </c>
      <c r="AF30" s="153" t="n">
        <v>1.466</v>
      </c>
      <c r="AG30" s="153">
        <f>2*AB30</f>
        <v/>
      </c>
      <c r="AH30" s="153" t="inlineStr">
        <is>
          <t>H-55-6-6-25</t>
        </is>
      </c>
      <c r="AI30" s="204">
        <f>$J$3-55-6-6-25</f>
        <v/>
      </c>
      <c r="AJ30" s="153">
        <f>AG30*$J$1</f>
        <v/>
      </c>
      <c r="AL30" s="153" t="n">
        <v>2</v>
      </c>
      <c r="AM30" s="46" t="inlineStr">
        <is>
          <t>กรอบบานเฟี้ยม (ตั้ง) B</t>
        </is>
      </c>
      <c r="AN30" s="46" t="n"/>
      <c r="AO30" s="153" t="inlineStr">
        <is>
          <t>F7972</t>
        </is>
      </c>
      <c r="AP30" s="153" t="n">
        <v>1.466</v>
      </c>
      <c r="AQ30" s="153">
        <f>2*AL30</f>
        <v/>
      </c>
      <c r="AR30" s="153" t="inlineStr">
        <is>
          <t>H-55-6-6-25</t>
        </is>
      </c>
      <c r="AS30" s="204">
        <f>$J$3-55-6-6-25</f>
        <v/>
      </c>
      <c r="AT30" s="153">
        <f>AQ30*$J$1</f>
        <v/>
      </c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  <c r="N31" s="210">
        <f>((($H$20*$F$20*$E$19/1000)+($H$22*$F$22*$E$19/1000)+($H$24*$F$24*$E$23/1000)+($H$26*$F$26*$E$23/1000))+($O$32*$P$32*$E$6*2.5*$I$7/1000000))/$I$7</f>
        <v/>
      </c>
      <c r="O31" s="161" t="inlineStr">
        <is>
          <t>HS-130</t>
        </is>
      </c>
      <c r="P31" s="161" t="inlineStr">
        <is>
          <t>WS-130</t>
        </is>
      </c>
      <c r="Q31" s="202" t="inlineStr">
        <is>
          <t>จำนวน</t>
        </is>
      </c>
      <c r="AB31" s="153" t="n">
        <v>4</v>
      </c>
      <c r="AC31" s="46" t="inlineStr">
        <is>
          <t>กรอบบานเฟี้ยม (ตั้ง) A</t>
        </is>
      </c>
      <c r="AD31" s="46" t="n"/>
      <c r="AE31" s="153" t="inlineStr">
        <is>
          <t>F7972</t>
        </is>
      </c>
      <c r="AF31" s="153" t="n">
        <v>1.466</v>
      </c>
      <c r="AG31" s="153">
        <f>2*AB31</f>
        <v/>
      </c>
      <c r="AH31" s="153" t="inlineStr">
        <is>
          <t>H-55-6-6-25</t>
        </is>
      </c>
      <c r="AI31" s="204">
        <f>$J$3-55-6-6-25</f>
        <v/>
      </c>
      <c r="AJ31" s="153">
        <f>AG31*$J$1</f>
        <v/>
      </c>
      <c r="AL31" s="153" t="n">
        <v>4</v>
      </c>
      <c r="AM31" s="46" t="inlineStr">
        <is>
          <t>กรอบบานเฟี้ยม (ตั้ง) B</t>
        </is>
      </c>
      <c r="AN31" s="46" t="n"/>
      <c r="AO31" s="153" t="inlineStr">
        <is>
          <t>F7972</t>
        </is>
      </c>
      <c r="AP31" s="153" t="n">
        <v>1.466</v>
      </c>
      <c r="AQ31" s="153">
        <f>2*AL31</f>
        <v/>
      </c>
      <c r="AR31" s="153" t="inlineStr">
        <is>
          <t>H-55-6-6-25</t>
        </is>
      </c>
      <c r="AS31" s="204">
        <f>$J$3-55-6-6-25</f>
        <v/>
      </c>
      <c r="AT31" s="153">
        <f>AQ31*$J$1</f>
        <v/>
      </c>
    </row>
    <row r="32" ht="34.95" customHeight="1" s="92"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  <c r="N32" s="211">
        <f>$N$31*$I$7</f>
        <v/>
      </c>
      <c r="O32" s="41">
        <f>$H$20-130</f>
        <v/>
      </c>
      <c r="P32" s="41">
        <f>$H$22-130</f>
        <v/>
      </c>
      <c r="Q32" s="41">
        <f>$I$7*$J$1</f>
        <v/>
      </c>
      <c r="AB32" s="153" t="n">
        <v>6</v>
      </c>
      <c r="AC32" s="46" t="inlineStr">
        <is>
          <t>กรอบบานเฟี้ยม (ตั้ง) A</t>
        </is>
      </c>
      <c r="AD32" s="46" t="n"/>
      <c r="AE32" s="153" t="inlineStr">
        <is>
          <t>F7972</t>
        </is>
      </c>
      <c r="AF32" s="153" t="n">
        <v>1.466</v>
      </c>
      <c r="AG32" s="153">
        <f>2*AB32</f>
        <v/>
      </c>
      <c r="AH32" s="153" t="inlineStr">
        <is>
          <t>H-55-6-6-25</t>
        </is>
      </c>
      <c r="AI32" s="204">
        <f>$J$3-55-6-6-25</f>
        <v/>
      </c>
      <c r="AJ32" s="153">
        <f>AG32*$J$1</f>
        <v/>
      </c>
      <c r="AL32" s="153" t="n">
        <v>6</v>
      </c>
      <c r="AM32" s="46" t="inlineStr">
        <is>
          <t>กรอบบานเฟี้ยม (ตั้ง) B</t>
        </is>
      </c>
      <c r="AN32" s="46" t="n"/>
      <c r="AO32" s="153" t="inlineStr">
        <is>
          <t>F7972</t>
        </is>
      </c>
      <c r="AP32" s="153" t="n">
        <v>1.466</v>
      </c>
      <c r="AQ32" s="153">
        <f>2*AL32</f>
        <v/>
      </c>
      <c r="AR32" s="153" t="inlineStr">
        <is>
          <t>H-55-6-6-25</t>
        </is>
      </c>
      <c r="AS32" s="204">
        <f>$J$3-55-6-6-25</f>
        <v/>
      </c>
      <c r="AT32" s="153">
        <f>AQ32*$J$1</f>
        <v/>
      </c>
    </row>
    <row r="33" ht="34.95" customHeight="1" s="92"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  <c r="AB33" s="153" t="n">
        <v>8</v>
      </c>
      <c r="AC33" s="46" t="inlineStr">
        <is>
          <t>กรอบบานเฟี้ยม (ตั้ง) A</t>
        </is>
      </c>
      <c r="AD33" s="46" t="n"/>
      <c r="AE33" s="153" t="inlineStr">
        <is>
          <t>F7972</t>
        </is>
      </c>
      <c r="AF33" s="153" t="n">
        <v>1.466</v>
      </c>
      <c r="AG33" s="153">
        <f>2*AB33</f>
        <v/>
      </c>
      <c r="AH33" s="153" t="inlineStr">
        <is>
          <t>H-55-6-6-25</t>
        </is>
      </c>
      <c r="AI33" s="204">
        <f>$J$3-55-6-6-25</f>
        <v/>
      </c>
      <c r="AJ33" s="153">
        <f>AG33*$J$1</f>
        <v/>
      </c>
      <c r="AL33" s="153" t="n">
        <v>8</v>
      </c>
      <c r="AM33" s="46" t="inlineStr">
        <is>
          <t>กรอบบานเฟี้ยม (ตั้ง) B</t>
        </is>
      </c>
      <c r="AN33" s="46" t="n"/>
      <c r="AO33" s="153" t="inlineStr">
        <is>
          <t>F7972</t>
        </is>
      </c>
      <c r="AP33" s="153" t="n">
        <v>1.466</v>
      </c>
      <c r="AQ33" s="153">
        <f>2*AL33</f>
        <v/>
      </c>
      <c r="AR33" s="153" t="inlineStr">
        <is>
          <t>H-55-6-6-25</t>
        </is>
      </c>
      <c r="AS33" s="204">
        <f>$J$3-55-6-6-25</f>
        <v/>
      </c>
      <c r="AT33" s="153">
        <f>AQ33*$J$1</f>
        <v/>
      </c>
    </row>
    <row r="34" ht="34.95" customHeight="1" s="92">
      <c r="B34" s="35" t="n"/>
      <c r="C34" s="35" t="n"/>
      <c r="D34" s="36" t="n"/>
      <c r="E34" s="36" t="n"/>
      <c r="F34" s="37" t="n"/>
      <c r="G34" s="36" t="n"/>
      <c r="H34" s="212" t="n"/>
      <c r="I34" s="37" t="n"/>
      <c r="J34" s="37" t="n"/>
      <c r="AB34" s="153" t="n">
        <v>10</v>
      </c>
      <c r="AC34" s="46" t="inlineStr">
        <is>
          <t>กรอบบานเฟี้ยม (ตั้ง) A</t>
        </is>
      </c>
      <c r="AD34" s="46" t="n"/>
      <c r="AE34" s="153" t="inlineStr">
        <is>
          <t>F7972</t>
        </is>
      </c>
      <c r="AF34" s="153" t="n">
        <v>1.466</v>
      </c>
      <c r="AG34" s="153">
        <f>2*AB34</f>
        <v/>
      </c>
      <c r="AH34" s="153" t="inlineStr">
        <is>
          <t>H-55-6-6-25</t>
        </is>
      </c>
      <c r="AI34" s="204">
        <f>$J$3-55-6-6-25</f>
        <v/>
      </c>
      <c r="AJ34" s="153">
        <f>AG34*$J$1</f>
        <v/>
      </c>
      <c r="AL34" s="153" t="n">
        <v>10</v>
      </c>
      <c r="AM34" s="46" t="inlineStr">
        <is>
          <t>กรอบบานเฟี้ยม (ตั้ง) B</t>
        </is>
      </c>
      <c r="AN34" s="46" t="n"/>
      <c r="AO34" s="153" t="inlineStr">
        <is>
          <t>F7972</t>
        </is>
      </c>
      <c r="AP34" s="153" t="n">
        <v>1.466</v>
      </c>
      <c r="AQ34" s="153">
        <f>2*AL34</f>
        <v/>
      </c>
      <c r="AR34" s="153" t="inlineStr">
        <is>
          <t>H-55-6-6-25</t>
        </is>
      </c>
      <c r="AS34" s="204">
        <f>$J$3-55-6-6-25</f>
        <v/>
      </c>
      <c r="AT34" s="153">
        <f>AQ34*$J$1</f>
        <v/>
      </c>
    </row>
    <row r="35" ht="34.95" customHeight="1" s="92">
      <c r="B35" s="35" t="n"/>
      <c r="C35" s="35" t="n"/>
      <c r="D35" s="36" t="n"/>
      <c r="E35" s="36" t="n"/>
      <c r="F35" s="37" t="n"/>
      <c r="G35" s="36" t="n"/>
      <c r="H35" s="212" t="n"/>
      <c r="I35" s="37" t="n"/>
      <c r="J35" s="37" t="n"/>
    </row>
    <row r="36" ht="34.95" customHeight="1" s="92">
      <c r="B36" s="35" t="n"/>
      <c r="C36" s="35" t="n"/>
      <c r="D36" s="36" t="n"/>
      <c r="E36" s="36" t="n"/>
      <c r="F36" s="37" t="n"/>
      <c r="G36" s="36" t="n"/>
      <c r="H36" s="212" t="n"/>
      <c r="I36" s="37" t="n"/>
      <c r="J36" s="37" t="n"/>
    </row>
    <row r="37" ht="34.95" customHeight="1" s="92">
      <c r="B37" s="35" t="n"/>
      <c r="C37" s="35" t="n"/>
      <c r="D37" s="36" t="n"/>
      <c r="E37" s="36" t="n"/>
      <c r="F37" s="37" t="n"/>
      <c r="G37" s="36" t="n"/>
      <c r="H37" s="212" t="n"/>
      <c r="I37" s="37" t="n"/>
      <c r="J37" s="37" t="n"/>
    </row>
    <row r="38" ht="34.95" customHeight="1" s="92">
      <c r="B38" s="35" t="n"/>
      <c r="C38" s="35" t="n"/>
      <c r="D38" s="36" t="n"/>
      <c r="E38" s="36" t="n"/>
      <c r="F38" s="37" t="n"/>
      <c r="G38" s="36" t="n"/>
      <c r="H38" s="212" t="n"/>
      <c r="I38" s="37" t="n"/>
      <c r="J38" s="37" t="n"/>
    </row>
    <row r="39" ht="34.95" customHeight="1" s="92">
      <c r="B39" s="35" t="n"/>
      <c r="C39" s="35" t="n"/>
      <c r="D39" s="36" t="n"/>
      <c r="E39" s="36" t="n"/>
      <c r="F39" s="37" t="n"/>
      <c r="G39" s="36" t="n"/>
      <c r="H39" s="212" t="n"/>
      <c r="I39" s="37" t="n"/>
      <c r="J39" s="37" t="n"/>
    </row>
    <row r="40" ht="34.95" customHeight="1" s="92">
      <c r="B40" s="35" t="n"/>
      <c r="C40" s="35" t="n"/>
      <c r="D40" s="36" t="n"/>
      <c r="E40" s="36" t="n"/>
      <c r="F40" s="37" t="n"/>
      <c r="G40" s="36" t="n"/>
      <c r="H40" s="212" t="n"/>
      <c r="I40" s="37" t="n"/>
      <c r="J40" s="37" t="n"/>
    </row>
    <row r="41" ht="34.95" customHeight="1" s="92">
      <c r="A41" s="36" t="n"/>
      <c r="B41" s="35" t="n"/>
      <c r="C41" s="35" t="n"/>
      <c r="D41" s="36" t="n"/>
      <c r="E41" s="36" t="n"/>
      <c r="F41" s="37" t="n"/>
      <c r="G41" s="36" t="n"/>
      <c r="H41" s="212" t="n"/>
      <c r="I41" s="37" t="n"/>
      <c r="J41" s="37" t="n"/>
    </row>
    <row r="42" ht="34.95" customHeight="1" s="92">
      <c r="A42" s="36" t="n"/>
      <c r="B42" s="35" t="n"/>
      <c r="C42" s="35" t="n"/>
      <c r="D42" s="36" t="n"/>
      <c r="E42" s="36" t="n"/>
      <c r="F42" s="37" t="n"/>
      <c r="G42" s="36" t="n"/>
      <c r="H42" s="212" t="n"/>
      <c r="I42" s="37" t="n"/>
      <c r="J42" s="37" t="n"/>
    </row>
    <row r="43" ht="34.95" customHeight="1" s="92">
      <c r="A43" s="15" t="n"/>
      <c r="B43" s="16" t="n"/>
      <c r="F43" s="17" t="n"/>
      <c r="G43" s="6" t="n"/>
      <c r="H43" s="193" t="n"/>
      <c r="I43" s="17" t="n"/>
      <c r="J43" s="17" t="n"/>
    </row>
    <row r="44" ht="34.95" customHeight="1" s="92">
      <c r="G44" s="6" t="n"/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36">
    <mergeCell ref="A8:J8"/>
    <mergeCell ref="E23:E26"/>
    <mergeCell ref="J16:J18"/>
    <mergeCell ref="E5:F5"/>
    <mergeCell ref="J19:J22"/>
    <mergeCell ref="L8:Q8"/>
    <mergeCell ref="C10:C11"/>
    <mergeCell ref="N24:Q24"/>
    <mergeCell ref="O25:Q25"/>
    <mergeCell ref="E10:E11"/>
    <mergeCell ref="E19:E22"/>
    <mergeCell ref="A12:A13"/>
    <mergeCell ref="E16:E18"/>
    <mergeCell ref="C12:C13"/>
    <mergeCell ref="C25:C26"/>
    <mergeCell ref="C21:C22"/>
    <mergeCell ref="J23:J26"/>
    <mergeCell ref="D12:D13"/>
    <mergeCell ref="C23:C24"/>
    <mergeCell ref="E6:F6"/>
    <mergeCell ref="A23:A26"/>
    <mergeCell ref="J12:J13"/>
    <mergeCell ref="A10:A11"/>
    <mergeCell ref="A19:A22"/>
    <mergeCell ref="C19:C20"/>
    <mergeCell ref="D23:D26"/>
    <mergeCell ref="D10:D11"/>
    <mergeCell ref="A16:A18"/>
    <mergeCell ref="E12:E13"/>
    <mergeCell ref="C16:C18"/>
    <mergeCell ref="O30:Q30"/>
    <mergeCell ref="D16:D18"/>
    <mergeCell ref="C2:F2"/>
    <mergeCell ref="N29:Q29"/>
    <mergeCell ref="D19:D22"/>
    <mergeCell ref="J10:J11"/>
  </mergeCells>
  <conditionalFormatting sqref="N31">
    <cfRule type="cellIs" priority="3" operator="greaterThanOrEqual" dxfId="1">
      <formula>45.5</formula>
    </cfRule>
    <cfRule type="cellIs" priority="4" operator="greaterThanOrEqual" dxfId="0">
      <formula>40</formula>
    </cfRule>
  </conditionalFormatting>
  <conditionalFormatting sqref="M21:Q22">
    <cfRule type="expression" priority="5" dxfId="2">
      <formula>$E$6=33</formula>
    </cfRule>
    <cfRule type="expression" priority="6" dxfId="2">
      <formula>$E$6=20</formula>
    </cfRule>
    <cfRule type="expression" priority="7" dxfId="2">
      <formula>$E$6=18</formula>
    </cfRule>
    <cfRule type="expression" priority="8" dxfId="2">
      <formula>$E$6=12</formula>
    </cfRule>
    <cfRule type="expression" priority="9" dxfId="2">
      <formula>$E$6=10</formula>
    </cfRule>
  </conditionalFormatting>
  <conditionalFormatting sqref="N26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4">
    <dataValidation sqref="I5 I7" showDropDown="0" showInputMessage="1" showErrorMessage="1" allowBlank="1" type="list">
      <formula1>"2,4,6,8,10"</formula1>
    </dataValidation>
    <dataValidation sqref="H6" showDropDown="0" showInputMessage="1" showErrorMessage="1" allowBlank="1" type="list">
      <formula1>"เปิดบาน B,ปิดบาน B"</formula1>
    </dataValidation>
    <dataValidation sqref="E6" showDropDown="0" showInputMessage="1" showErrorMessage="1" allowBlank="1" type="list">
      <formula1>"5,6,8,10,12,14,16,18,20,29,30,33"</formula1>
    </dataValidation>
    <dataValidation sqref="D6" showDropDown="0" showInputMessage="1" showErrorMessage="1" allowBlank="1" type="list">
      <formula1>"ขาว,ดำ"</formula1>
    </dataValidation>
  </dataValidations>
  <printOptions horizontalCentered="1"/>
  <pageMargins left="0" right="0" top="0.4724409448818898" bottom="0" header="0.3149606299212598" footer="0.3149606299212598"/>
  <pageSetup orientation="landscape" scale="54"/>
</worksheet>
</file>

<file path=xl/worksheets/sheet43.xml><?xml version="1.0" encoding="utf-8"?>
<worksheet xmlns="http://schemas.openxmlformats.org/spreadsheetml/2006/main">
  <sheetPr codeName="Sheet42">
    <tabColor rgb="FFFF0000"/>
    <outlinePr summaryBelow="1" summaryRight="1"/>
    <pageSetUpPr/>
  </sheetPr>
  <dimension ref="A1:AS44"/>
  <sheetViews>
    <sheetView view="pageBreakPreview" topLeftCell="A10" zoomScale="70" zoomScaleNormal="55" zoomScaleSheetLayoutView="70" workbookViewId="0">
      <selection activeCell="H21" sqref="H21"/>
    </sheetView>
  </sheetViews>
  <sheetFormatPr baseColWidth="8" defaultColWidth="8.8984375" defaultRowHeight="13.8"/>
  <cols>
    <col width="8.69921875" customWidth="1" style="6" min="1" max="1"/>
    <col width="30.3984375" bestFit="1" customWidth="1" style="16" min="2" max="2"/>
    <col width="16" customWidth="1" style="16" min="3" max="3"/>
    <col width="13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10.09765625" bestFit="1" customWidth="1" style="17" min="9" max="9"/>
    <col width="8.69921875" customWidth="1" style="17" min="10" max="10"/>
    <col width="5.699218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outlineLevel="1" width="8.69921875" customWidth="1" style="6" min="22" max="22"/>
    <col outlineLevel="1" width="35.69921875" customWidth="1" style="6" min="23" max="23"/>
    <col outlineLevel="1" width="10.69921875" customWidth="1" style="6" min="24" max="28"/>
    <col outlineLevel="1" width="22" customWidth="1" style="6" min="29" max="29"/>
    <col outlineLevel="1" width="10.69921875" customWidth="1" style="6" min="30" max="32"/>
    <col outlineLevel="1" width="23.69921875" customWidth="1" style="6" min="33" max="33"/>
    <col outlineLevel="1" width="10.69921875" customWidth="1" style="6" min="34" max="35"/>
    <col outlineLevel="1" width="8.8984375" customWidth="1" style="6" min="36" max="37"/>
    <col outlineLevel="1" width="10.69921875" customWidth="1" style="6" min="38" max="38"/>
    <col outlineLevel="1" width="22" customWidth="1" style="6" min="39" max="39"/>
    <col outlineLevel="1" width="10.69921875" customWidth="1" style="6" min="40" max="42"/>
    <col outlineLevel="1" width="23.69921875" customWidth="1" style="6" min="43" max="43"/>
    <col outlineLevel="1" width="10.69921875" customWidth="1" style="6" min="44" max="45"/>
    <col outlineLevel="1" width="8.8984375" customWidth="1" style="6" min="46" max="46"/>
    <col width="9.09765625" customWidth="1" style="92" min="47" max="47"/>
    <col width="8.8984375" customWidth="1" style="6" min="48" max="16384"/>
  </cols>
  <sheetData>
    <row r="1" ht="19.95" customHeight="1" s="92">
      <c r="A1" s="1" t="n"/>
      <c r="H1" s="194" t="n"/>
      <c r="I1" s="101" t="inlineStr">
        <is>
          <t>Quantity</t>
        </is>
      </c>
      <c r="J1" s="101" t="n">
        <v>1</v>
      </c>
    </row>
    <row r="2" ht="19.95" customHeight="1" s="92">
      <c r="A2" s="7" t="n"/>
      <c r="C2" s="157" t="inlineStr">
        <is>
          <t xml:space="preserve">ใบงาน : </t>
        </is>
      </c>
      <c r="D2" s="6" t="n"/>
      <c r="E2" s="6" t="n"/>
      <c r="F2" s="6" t="n"/>
      <c r="J2" s="112" t="inlineStr">
        <is>
          <t>H</t>
        </is>
      </c>
    </row>
    <row r="3" ht="19.95" customHeight="1" s="92">
      <c r="G3" s="6" t="n"/>
      <c r="H3" s="6" t="n"/>
      <c r="I3" s="6" t="n"/>
      <c r="J3" s="101" t="n">
        <v>4000</v>
      </c>
      <c r="AA3" s="17" t="n"/>
    </row>
    <row r="4" ht="19.95" customHeight="1" s="92">
      <c r="G4" s="17" t="n"/>
      <c r="H4" s="110" t="inlineStr">
        <is>
          <t>บานคี่</t>
        </is>
      </c>
      <c r="I4" s="111" t="inlineStr">
        <is>
          <t>จำนวนบาน</t>
        </is>
      </c>
      <c r="J4" s="112" t="inlineStr">
        <is>
          <t>W</t>
        </is>
      </c>
      <c r="K4" s="17" t="n"/>
    </row>
    <row r="5" ht="19.95" customHeight="1" s="92">
      <c r="D5" s="213" t="inlineStr">
        <is>
          <t>สีฮาร์ดแวร์</t>
        </is>
      </c>
      <c r="E5" s="213" t="inlineStr">
        <is>
          <t>GLASS กระจก</t>
        </is>
      </c>
      <c r="F5" s="196" t="n"/>
      <c r="G5" s="17" t="n"/>
      <c r="H5" s="17" t="n"/>
      <c r="I5" s="101" t="n">
        <v>3</v>
      </c>
      <c r="J5" s="101" t="n">
        <v>1900</v>
      </c>
    </row>
    <row r="6" ht="19.95" customHeight="1" s="92">
      <c r="D6" s="214" t="inlineStr">
        <is>
          <t>ดำ</t>
        </is>
      </c>
      <c r="E6" s="214" t="n">
        <v>6</v>
      </c>
      <c r="F6" s="196" t="n"/>
      <c r="G6" s="17" t="n"/>
      <c r="H6" s="110" t="inlineStr">
        <is>
          <t>บานคู่</t>
        </is>
      </c>
      <c r="I6" s="111" t="inlineStr">
        <is>
          <t>จำนวนบาน</t>
        </is>
      </c>
      <c r="J6" s="112" t="inlineStr">
        <is>
          <t>W</t>
        </is>
      </c>
      <c r="T6" s="79" t="n"/>
    </row>
    <row r="7" ht="19.95" customHeight="1" s="92">
      <c r="G7" s="17" t="n"/>
      <c r="H7" s="17" t="n"/>
      <c r="I7" s="101" t="n">
        <v>2</v>
      </c>
      <c r="J7" s="101" t="n">
        <v>2000</v>
      </c>
    </row>
    <row r="8" ht="19.95" customFormat="1" customHeight="1" s="9" thickBot="1">
      <c r="A8" s="148" t="inlineStr">
        <is>
          <t>Die list  รายการดาย</t>
        </is>
      </c>
      <c r="B8" s="198" t="n"/>
      <c r="C8" s="198" t="n"/>
      <c r="D8" s="198" t="n"/>
      <c r="E8" s="198" t="n"/>
      <c r="F8" s="198" t="n"/>
      <c r="G8" s="198" t="n"/>
      <c r="H8" s="198" t="n"/>
      <c r="I8" s="198" t="n"/>
      <c r="J8" s="199" t="n"/>
      <c r="K8" s="19" t="n"/>
      <c r="L8" s="148" t="inlineStr">
        <is>
          <t>Parts list รายการฮาร์ดแวร์</t>
        </is>
      </c>
      <c r="M8" s="198" t="n"/>
      <c r="N8" s="198" t="n"/>
      <c r="O8" s="198" t="n"/>
      <c r="P8" s="198" t="n"/>
      <c r="Q8" s="199" t="n"/>
      <c r="W8" s="6" t="n"/>
      <c r="X8" s="6" t="n"/>
      <c r="Y8" s="6" t="n"/>
      <c r="Z8" s="6" t="n"/>
    </row>
    <row r="9" ht="40.2" customHeight="1" s="92" thickBot="1" thickTop="1">
      <c r="A9" s="20" t="inlineStr">
        <is>
          <t>No.</t>
        </is>
      </c>
      <c r="B9" s="20" t="inlineStr">
        <is>
          <t>ชื่อ</t>
        </is>
      </c>
      <c r="C9" s="20" t="inlineStr">
        <is>
          <t>หน้าดาย</t>
        </is>
      </c>
      <c r="D9" s="20" t="inlineStr">
        <is>
          <t>เบอร์ดาย</t>
        </is>
      </c>
      <c r="E9" s="20" t="inlineStr">
        <is>
          <t>น้ำหนัก</t>
        </is>
      </c>
      <c r="F9" s="22" t="inlineStr">
        <is>
          <t>จำนวน
/ชุด</t>
        </is>
      </c>
      <c r="G9" s="20" t="inlineStr">
        <is>
          <t>สูตรตัด</t>
        </is>
      </c>
      <c r="H9" s="200" t="inlineStr">
        <is>
          <t>ระยะตัด</t>
        </is>
      </c>
      <c r="I9" s="22" t="inlineStr">
        <is>
          <t>จำนวน
รวม</t>
        </is>
      </c>
      <c r="J9" s="22" t="inlineStr">
        <is>
          <t>เส้น 
6.4</t>
        </is>
      </c>
      <c r="K9" s="23" t="n"/>
      <c r="L9" s="20" t="inlineStr">
        <is>
          <t>No.</t>
        </is>
      </c>
      <c r="M9" s="20" t="inlineStr">
        <is>
          <t>ชื่อ</t>
        </is>
      </c>
      <c r="N9" s="20" t="inlineStr">
        <is>
          <t>รูป</t>
        </is>
      </c>
      <c r="O9" s="20" t="inlineStr">
        <is>
          <t>สี</t>
        </is>
      </c>
      <c r="P9" s="22" t="inlineStr">
        <is>
          <t>จำนวน
/ชุด</t>
        </is>
      </c>
      <c r="Q9" s="20" t="inlineStr">
        <is>
          <t>รวม</t>
        </is>
      </c>
      <c r="R9" s="201" t="inlineStr">
        <is>
          <t>บาท/ชิ้น</t>
        </is>
      </c>
      <c r="V9" s="81" t="inlineStr">
        <is>
          <t>บานคี่</t>
        </is>
      </c>
      <c r="X9" s="104" t="n">
        <v>1</v>
      </c>
      <c r="Y9" s="105" t="n">
        <v>3</v>
      </c>
      <c r="Z9" s="105" t="n">
        <v>5</v>
      </c>
      <c r="AA9" s="105" t="n">
        <v>7</v>
      </c>
      <c r="AB9" s="106" t="n">
        <v>9</v>
      </c>
      <c r="AC9" s="75" t="inlineStr">
        <is>
          <t>บานคู่</t>
        </is>
      </c>
      <c r="AD9" s="104" t="n">
        <v>2</v>
      </c>
      <c r="AE9" s="105" t="n">
        <v>4</v>
      </c>
      <c r="AF9" s="105" t="n">
        <v>6</v>
      </c>
      <c r="AG9" s="105" t="n">
        <v>8</v>
      </c>
      <c r="AH9" s="106" t="n">
        <v>10</v>
      </c>
    </row>
    <row r="10" ht="34.95" customHeight="1" s="92" thickTop="1">
      <c r="A10" s="161" t="n">
        <v>1</v>
      </c>
      <c r="B10" s="56" t="inlineStr">
        <is>
          <t>เฟรมบนบานเฟี้ยม (บานคี่)</t>
        </is>
      </c>
      <c r="C10" s="161" t="n"/>
      <c r="D10" s="161" t="inlineStr">
        <is>
          <t>F7968</t>
        </is>
      </c>
      <c r="E10" s="161" t="n">
        <v>2.767</v>
      </c>
      <c r="F10" s="161" t="n">
        <v>1</v>
      </c>
      <c r="G10" s="161" t="inlineStr">
        <is>
          <t>W A-18</t>
        </is>
      </c>
      <c r="H10" s="202">
        <f>$J$5-18</f>
        <v/>
      </c>
      <c r="I10" s="161">
        <f>F10*$J$1</f>
        <v/>
      </c>
      <c r="J10" s="161">
        <f>ROUNDUP(((H10*I10)+(H11*I11))/6400,0)</f>
        <v/>
      </c>
      <c r="L10" s="161" t="n">
        <v>1</v>
      </c>
      <c r="M10" s="29" t="inlineStr">
        <is>
          <t>HD-640 บานพับล้อบนเฟี้ยม</t>
        </is>
      </c>
      <c r="N10" s="161" t="n"/>
      <c r="O10" s="161">
        <f>IF($D$6="ขาว","ขาว","ดำ")</f>
        <v/>
      </c>
      <c r="P10" s="109">
        <f>IF(AND($I$5=1,$I$7=2),X10+AD10,"")&amp;IF(AND($I$5=1,$I$7=4),X10+AE10,"")&amp;IF(AND($I$5=1,$I$7=6),X10+AF10,"")&amp;IF(AND($I$5=1,$I$7=8),X10+AG10,"")&amp;IF(AND($I$5=1,$I$7=10),X10+AH10,"")&amp;IF(AND($I$5=3,$I$7=2),Y10+AD10,"")&amp;IF(AND($I$5=3,$I$7=4),Y10+AE10,"")&amp;IF(AND($I$5=3,$I$7=6),Y10+AF10,"")&amp;IF(AND($I$5=3,$I$7=8),Y10+AG10,"")&amp;IF(AND($I$5=3,$I$7=10),Y10+AH10,"")&amp;IF(AND($I$5=5,$I$7=2),Z10+AD10,"")&amp;IF(AND($I$5=5,$I$7=4),Z10+AE10,"")&amp;IF(AND($I$5=5,$I$7=6),Z10+AF10,"")&amp;IF(AND($I$5=5,$I$7=8),Z10+AG10,"")&amp;IF(AND($I$5=5,$I$7=10),Z10+AH10,"")&amp;IF(AND($I$5=7,$I$7=2),AA10+AD10,"")&amp;IF(AND($I$5=7,$I$7=4),AA10+AE10,"")&amp;IF(AND($I$5=7,$I$7=6),AA10+AF10,"")&amp;IF(AND($I$5=7,$I$7=8),AA10+AG10,"")&amp;IF(AND($I$5=7,$I$7=10),AA10+AH10,"")&amp;IF(AND($I$5=9,$I$7=2),AB10+AD10,"")&amp;IF(AND($I$5=9,$I$7=4),AB10+AE10,"")&amp;IF(AND($I$5=9,$I$7=6),AB10+AF10,"")&amp;IF(AND($I$5=9,$I$7=8),AB10+AG10,"")&amp;IF(AND($I$5=9,$I$7=10),AB10+AH10,"")</f>
        <v/>
      </c>
      <c r="Q10" s="161">
        <f>$J$1*P10</f>
        <v/>
      </c>
      <c r="R10" s="193" t="n">
        <v>299</v>
      </c>
      <c r="V10" s="98" t="n">
        <v>1</v>
      </c>
      <c r="W10" s="99" t="inlineStr">
        <is>
          <t>HD-640 บานพับล้อบนเฟี้ยม</t>
        </is>
      </c>
      <c r="X10" s="100" t="n">
        <v>0</v>
      </c>
      <c r="Y10" s="103" t="n">
        <v>1</v>
      </c>
      <c r="Z10" s="103" t="n">
        <v>2</v>
      </c>
      <c r="AA10" s="103" t="n">
        <v>3</v>
      </c>
      <c r="AB10" s="103" t="n">
        <v>4</v>
      </c>
      <c r="AC10" s="102" t="n"/>
      <c r="AD10" s="103" t="n">
        <v>1</v>
      </c>
      <c r="AE10" s="103" t="n">
        <v>2</v>
      </c>
      <c r="AF10" s="103" t="n">
        <v>3</v>
      </c>
      <c r="AG10" s="103" t="n">
        <v>4</v>
      </c>
      <c r="AH10" s="103" t="n">
        <v>5</v>
      </c>
    </row>
    <row r="11" ht="34.95" customHeight="1" s="92">
      <c r="A11" s="203" t="n"/>
      <c r="B11" s="56" t="inlineStr">
        <is>
          <t>เฟรมบนบานเฟี้ยม  (บานคี่)</t>
        </is>
      </c>
      <c r="C11" s="203" t="n"/>
      <c r="D11" s="203" t="n"/>
      <c r="E11" s="203" t="n"/>
      <c r="F11" s="161" t="n">
        <v>1</v>
      </c>
      <c r="G11" s="161" t="inlineStr">
        <is>
          <t>W B-18</t>
        </is>
      </c>
      <c r="H11" s="202">
        <f>$J$7-18</f>
        <v/>
      </c>
      <c r="I11" s="161">
        <f>F11*$J$1</f>
        <v/>
      </c>
      <c r="J11" s="203" t="n"/>
      <c r="L11" s="161" t="n">
        <v>2</v>
      </c>
      <c r="M11" s="29" t="inlineStr">
        <is>
          <t>HD-641 บานพับเฟี้ยม</t>
        </is>
      </c>
      <c r="N11" s="161" t="n"/>
      <c r="O11" s="161">
        <f>IF($D$6="ขาว","ขาว","ดำ")</f>
        <v/>
      </c>
      <c r="P11" s="109">
        <f>IF(AND($I$5=1,$I$7=2),X11+AD11,"")&amp;IF(AND($I$5=1,$I$7=4),X11+AE11,"")&amp;IF(AND($I$5=1,$I$7=6),X11+AF11,"")&amp;IF(AND($I$5=1,$I$7=8),X11+AG11,"")&amp;IF(AND($I$5=1,$I$7=10),X11+AH11,"")&amp;IF(AND($I$5=3,$I$7=2),Y11+AD11,"")&amp;IF(AND($I$5=3,$I$7=4),Y11+AE11,"")&amp;IF(AND($I$5=3,$I$7=6),Y11+AF11,"")&amp;IF(AND($I$5=3,$I$7=8),Y11+AG11,"")&amp;IF(AND($I$5=3,$I$7=10),Y11+AH11,"")&amp;IF(AND($I$5=5,$I$7=2),Z11+AD11,"")&amp;IF(AND($I$5=5,$I$7=4),Z11+AE11,"")&amp;IF(AND($I$5=5,$I$7=6),Z11+AF11,"")&amp;IF(AND($I$5=5,$I$7=8),Z11+AG11,"")&amp;IF(AND($I$5=5,$I$7=10),Z11+AH11,"")&amp;IF(AND($I$5=7,$I$7=2),AA11+AD11,"")&amp;IF(AND($I$5=7,$I$7=4),AA11+AE11,"")&amp;IF(AND($I$5=7,$I$7=6),AA11+AF11,"")&amp;IF(AND($I$5=7,$I$7=8),AA11+AG11,"")&amp;IF(AND($I$5=7,$I$7=10),AA11+AH11,"")&amp;IF(AND($I$5=9,$I$7=2),AB11+AD11,"")&amp;IF(AND($I$5=9,$I$7=4),AB11+AE11,"")&amp;IF(AND($I$5=9,$I$7=6),AB11+AF11,"")&amp;IF(AND($I$5=9,$I$7=8),AB11+AG11,"")&amp;IF(AND($I$5=9,$I$7=10),AB11+AH11,"")</f>
        <v/>
      </c>
      <c r="Q11" s="161">
        <f>$J$1*P11</f>
        <v/>
      </c>
      <c r="R11" s="193" t="n">
        <v>72</v>
      </c>
      <c r="V11" s="98" t="n">
        <v>2</v>
      </c>
      <c r="W11" s="99" t="inlineStr">
        <is>
          <t>HD-641 บานพับเฟี้ยม</t>
        </is>
      </c>
      <c r="X11" s="101">
        <f>IF($J$3&lt;=2700,3,4)</f>
        <v/>
      </c>
      <c r="Y11" s="101">
        <f>IF($J$3&lt;=2700,7,10)</f>
        <v/>
      </c>
      <c r="Z11" s="101">
        <f>IF($J$3&lt;=2700,11,16)</f>
        <v/>
      </c>
      <c r="AA11" s="101">
        <f>IF($J$3&lt;=2700,15,22)</f>
        <v/>
      </c>
      <c r="AB11" s="101">
        <f>IF($J$3&lt;=2700,19,28)</f>
        <v/>
      </c>
      <c r="AC11" s="102" t="n"/>
      <c r="AD11" s="101">
        <f>IF($J$3&lt;=2700,7,10)</f>
        <v/>
      </c>
      <c r="AE11" s="101">
        <f>IF($J$3&lt;=2700,11,16)</f>
        <v/>
      </c>
      <c r="AF11" s="101">
        <f>IF($J$3&lt;=2700,15,22)</f>
        <v/>
      </c>
      <c r="AG11" s="101">
        <f>IF($J$3&lt;=2700,19,28)</f>
        <v/>
      </c>
      <c r="AH11" s="101">
        <f>IF($J$3&lt;=2700,23,34)</f>
        <v/>
      </c>
    </row>
    <row r="12" ht="34.95" customHeight="1" s="92">
      <c r="A12" s="153" t="n">
        <v>2</v>
      </c>
      <c r="B12" s="46" t="inlineStr">
        <is>
          <t>รางยู (บานคี่)</t>
        </is>
      </c>
      <c r="C12" s="153" t="n"/>
      <c r="D12" s="153" t="inlineStr">
        <is>
          <t>F7932</t>
        </is>
      </c>
      <c r="E12" s="153" t="n">
        <v>0.303</v>
      </c>
      <c r="F12" s="153" t="n">
        <v>1</v>
      </c>
      <c r="G12" s="153" t="inlineStr">
        <is>
          <t>W A-18</t>
        </is>
      </c>
      <c r="H12" s="204">
        <f>$J$5-18</f>
        <v/>
      </c>
      <c r="I12" s="153">
        <f>F12*$J$1</f>
        <v/>
      </c>
      <c r="J12" s="153">
        <f>ROUNDUP(((H12*I12)+(H13*I13))/6400,0)</f>
        <v/>
      </c>
      <c r="L12" s="161" t="n">
        <v>3</v>
      </c>
      <c r="M12" s="29" t="inlineStr">
        <is>
          <t>HD-642 บานพับมือจับเฟี้ยม</t>
        </is>
      </c>
      <c r="N12" s="161" t="n"/>
      <c r="O12" s="161">
        <f>IF($D$6="ขาว","ขาว","ดำ")</f>
        <v/>
      </c>
      <c r="P12" s="109">
        <f>IF(AND($I$5=1,$I$7=2),X12+AD12,"")&amp;IF(AND($I$5=1,$I$7=4),X12+AE12,"")&amp;IF(AND($I$5=1,$I$7=6),X12+AF12,"")&amp;IF(AND($I$5=1,$I$7=8),X12+AG12,"")&amp;IF(AND($I$5=1,$I$7=10),X12+AH12,"")&amp;IF(AND($I$5=3,$I$7=2),Y12+AD12,"")&amp;IF(AND($I$5=3,$I$7=4),Y12+AE12,"")&amp;IF(AND($I$5=3,$I$7=6),Y12+AF12,"")&amp;IF(AND($I$5=3,$I$7=8),Y12+AG12,"")&amp;IF(AND($I$5=3,$I$7=10),Y12+AH12,"")&amp;IF(AND($I$5=5,$I$7=2),Z12+AD12,"")&amp;IF(AND($I$5=5,$I$7=4),Z12+AE12,"")&amp;IF(AND($I$5=5,$I$7=6),Z12+AF12,"")&amp;IF(AND($I$5=5,$I$7=8),Z12+AG12,"")&amp;IF(AND($I$5=5,$I$7=10),Z12+AH12,"")&amp;IF(AND($I$5=7,$I$7=2),AA12+AD12,"")&amp;IF(AND($I$5=7,$I$7=4),AA12+AE12,"")&amp;IF(AND($I$5=7,$I$7=6),AA12+AF12,"")&amp;IF(AND($I$5=7,$I$7=8),AA12+AG12,"")&amp;IF(AND($I$5=7,$I$7=10),AA12+AH12,"")&amp;IF(AND($I$5=9,$I$7=2),AB12+AD12,"")&amp;IF(AND($I$5=9,$I$7=4),AB12+AE12,"")&amp;IF(AND($I$5=9,$I$7=6),AB12+AF12,"")&amp;IF(AND($I$5=9,$I$7=8),AB12+AG12,"")&amp;IF(AND($I$5=9,$I$7=10),AB12+AH12,"")</f>
        <v/>
      </c>
      <c r="Q12" s="161">
        <f>$J$1*P12</f>
        <v/>
      </c>
      <c r="R12" s="193" t="n">
        <v>109</v>
      </c>
      <c r="V12" s="98" t="n">
        <v>3</v>
      </c>
      <c r="W12" s="99" t="inlineStr">
        <is>
          <t>HD-642 บานพับมือจับเฟี้ยม</t>
        </is>
      </c>
      <c r="X12" s="98" t="n">
        <v>0</v>
      </c>
      <c r="Y12" s="101" t="n">
        <v>1</v>
      </c>
      <c r="Z12" s="101" t="n">
        <v>2</v>
      </c>
      <c r="AA12" s="101" t="n">
        <v>3</v>
      </c>
      <c r="AB12" s="101" t="n">
        <v>4</v>
      </c>
      <c r="AC12" s="102" t="n"/>
      <c r="AD12" s="101" t="n">
        <v>1</v>
      </c>
      <c r="AE12" s="101" t="n">
        <v>2</v>
      </c>
      <c r="AF12" s="101" t="n">
        <v>3</v>
      </c>
      <c r="AG12" s="101" t="n">
        <v>4</v>
      </c>
      <c r="AH12" s="101" t="n">
        <v>5</v>
      </c>
    </row>
    <row r="13" ht="34.95" customHeight="1" s="92">
      <c r="A13" s="203" t="n"/>
      <c r="B13" s="46" t="inlineStr">
        <is>
          <t>รางยู (บานคู่)</t>
        </is>
      </c>
      <c r="C13" s="203" t="n"/>
      <c r="D13" s="203" t="n"/>
      <c r="E13" s="203" t="n"/>
      <c r="F13" s="153" t="n">
        <v>1</v>
      </c>
      <c r="G13" s="153" t="inlineStr">
        <is>
          <t>W B-18</t>
        </is>
      </c>
      <c r="H13" s="204">
        <f>$J$7-18</f>
        <v/>
      </c>
      <c r="I13" s="153">
        <f>F13*$J$1</f>
        <v/>
      </c>
      <c r="J13" s="203" t="n"/>
      <c r="L13" s="161" t="n">
        <v>4</v>
      </c>
      <c r="M13" s="29" t="inlineStr">
        <is>
          <t>HD-643 บานพับไกด์ล่างเฟี้ยม</t>
        </is>
      </c>
      <c r="N13" s="161" t="n"/>
      <c r="O13" s="161">
        <f>IF($D$6="ขาว","ขาว","ดำ")</f>
        <v/>
      </c>
      <c r="P13" s="109">
        <f>IF(AND($I$5=1,$I$7=2),X13+AD13,"")&amp;IF(AND($I$5=1,$I$7=4),X13+AE13,"")&amp;IF(AND($I$5=1,$I$7=6),X13+AF13,"")&amp;IF(AND($I$5=1,$I$7=8),X13+AG13,"")&amp;IF(AND($I$5=1,$I$7=10),X13+AH13,"")&amp;IF(AND($I$5=3,$I$7=2),Y13+AD13,"")&amp;IF(AND($I$5=3,$I$7=4),Y13+AE13,"")&amp;IF(AND($I$5=3,$I$7=6),Y13+AF13,"")&amp;IF(AND($I$5=3,$I$7=8),Y13+AG13,"")&amp;IF(AND($I$5=3,$I$7=10),Y13+AH13,"")&amp;IF(AND($I$5=5,$I$7=2),Z13+AD13,"")&amp;IF(AND($I$5=5,$I$7=4),Z13+AE13,"")&amp;IF(AND($I$5=5,$I$7=6),Z13+AF13,"")&amp;IF(AND($I$5=5,$I$7=8),Z13+AG13,"")&amp;IF(AND($I$5=5,$I$7=10),Z13+AH13,"")&amp;IF(AND($I$5=7,$I$7=2),AA13+AD13,"")&amp;IF(AND($I$5=7,$I$7=4),AA13+AE13,"")&amp;IF(AND($I$5=7,$I$7=6),AA13+AF13,"")&amp;IF(AND($I$5=7,$I$7=8),AA13+AG13,"")&amp;IF(AND($I$5=7,$I$7=10),AA13+AH13,"")&amp;IF(AND($I$5=9,$I$7=2),AB13+AD13,"")&amp;IF(AND($I$5=9,$I$7=4),AB13+AE13,"")&amp;IF(AND($I$5=9,$I$7=6),AB13+AF13,"")&amp;IF(AND($I$5=9,$I$7=8),AB13+AG13,"")&amp;IF(AND($I$5=9,$I$7=10),AB13+AH13,"")</f>
        <v/>
      </c>
      <c r="Q13" s="161">
        <f>$J$1*P13</f>
        <v/>
      </c>
      <c r="R13" s="193" t="n">
        <v>199</v>
      </c>
      <c r="V13" s="98" t="n">
        <v>4</v>
      </c>
      <c r="W13" s="99" t="inlineStr">
        <is>
          <t>HD-643 บานพับไกด์ล่างเฟี้ยม</t>
        </is>
      </c>
      <c r="X13" s="98" t="n">
        <v>0</v>
      </c>
      <c r="Y13" s="101" t="n">
        <v>1</v>
      </c>
      <c r="Z13" s="101" t="n">
        <v>2</v>
      </c>
      <c r="AA13" s="101" t="n">
        <v>3</v>
      </c>
      <c r="AB13" s="101" t="n">
        <v>4</v>
      </c>
      <c r="AC13" s="102" t="n"/>
      <c r="AD13" s="101" t="n">
        <v>1</v>
      </c>
      <c r="AE13" s="101" t="n">
        <v>2</v>
      </c>
      <c r="AF13" s="101" t="n">
        <v>3</v>
      </c>
      <c r="AG13" s="101" t="n">
        <v>4</v>
      </c>
      <c r="AH13" s="101" t="n">
        <v>5</v>
      </c>
    </row>
    <row r="14" ht="34.95" customHeight="1" s="92">
      <c r="A14" s="161" t="n">
        <v>3</v>
      </c>
      <c r="B14" s="56" t="inlineStr">
        <is>
          <t>เฟรมข้างบานเฟี้ยม</t>
        </is>
      </c>
      <c r="C14" s="56" t="n"/>
      <c r="D14" s="161" t="inlineStr">
        <is>
          <t>F7970</t>
        </is>
      </c>
      <c r="E14" s="161" t="n">
        <v>0.9340000000000001</v>
      </c>
      <c r="F14" s="161" t="n">
        <v>2</v>
      </c>
      <c r="G14" s="161" t="inlineStr">
        <is>
          <t>H</t>
        </is>
      </c>
      <c r="H14" s="202">
        <f>$J$3</f>
        <v/>
      </c>
      <c r="I14" s="161">
        <f>F14*$J$1</f>
        <v/>
      </c>
      <c r="J14" s="161">
        <f>ROUNDUP((H14*I14)/6400,0)</f>
        <v/>
      </c>
      <c r="L14" s="161" t="n">
        <v>5</v>
      </c>
      <c r="M14" s="29" t="inlineStr">
        <is>
          <t>HD-474 มือจับกลอนรุ่นก้านโยก</t>
        </is>
      </c>
      <c r="N14" s="161" t="n"/>
      <c r="O14" s="161">
        <f>IF($D$6="ขาว","ขาว","ดำ")</f>
        <v/>
      </c>
      <c r="P14" s="109">
        <f>IF(AND($I$5=1,$I$7=2),X14+AD14,"")&amp;IF(AND($I$5=1,$I$7=4),X14+AE14,"")&amp;IF(AND($I$5=1,$I$7=6),X14+AF14,"")&amp;IF(AND($I$5=1,$I$7=8),X14+AG14,"")&amp;IF(AND($I$5=1,$I$7=10),X14+AH14,"")&amp;IF(AND($I$5=3,$I$7=2),Y14+AD14,"")&amp;IF(AND($I$5=3,$I$7=4),Y14+AE14,"")&amp;IF(AND($I$5=3,$I$7=6),Y14+AF14,"")&amp;IF(AND($I$5=3,$I$7=8),Y14+AG14,"")&amp;IF(AND($I$5=3,$I$7=10),Y14+AH14,"")&amp;IF(AND($I$5=5,$I$7=2),Z14+AD14,"")&amp;IF(AND($I$5=5,$I$7=4),Z14+AE14,"")&amp;IF(AND($I$5=5,$I$7=6),Z14+AF14,"")&amp;IF(AND($I$5=5,$I$7=8),Z14+AG14,"")&amp;IF(AND($I$5=5,$I$7=10),Z14+AH14,"")&amp;IF(AND($I$5=7,$I$7=2),AA14+AD14,"")&amp;IF(AND($I$5=7,$I$7=4),AA14+AE14,"")&amp;IF(AND($I$5=7,$I$7=6),AA14+AF14,"")&amp;IF(AND($I$5=7,$I$7=8),AA14+AG14,"")&amp;IF(AND($I$5=7,$I$7=10),AA14+AH14,"")&amp;IF(AND($I$5=9,$I$7=2),AB14+AD14,"")&amp;IF(AND($I$5=9,$I$7=4),AB14+AE14,"")&amp;IF(AND($I$5=9,$I$7=6),AB14+AF14,"")&amp;IF(AND($I$5=9,$I$7=8),AB14+AG14,"")&amp;IF(AND($I$5=9,$I$7=10),AB14+AH14,"")</f>
        <v/>
      </c>
      <c r="Q14" s="161">
        <f>$J$1*P14</f>
        <v/>
      </c>
      <c r="R14" s="193" t="n">
        <v>85</v>
      </c>
      <c r="V14" s="98" t="n">
        <v>5</v>
      </c>
      <c r="W14" s="99" t="inlineStr">
        <is>
          <t>HD-474 มือจับกลอนรุ่นก้านโยก</t>
        </is>
      </c>
      <c r="X14" s="98" t="n">
        <v>0</v>
      </c>
      <c r="Y14" s="101" t="n">
        <v>1</v>
      </c>
      <c r="Z14" s="101" t="n">
        <v>2</v>
      </c>
      <c r="AA14" s="101" t="n">
        <v>3</v>
      </c>
      <c r="AB14" s="101" t="n">
        <v>4</v>
      </c>
      <c r="AC14" s="102" t="n"/>
      <c r="AD14" s="101" t="n">
        <v>1</v>
      </c>
      <c r="AE14" s="101" t="n">
        <v>2</v>
      </c>
      <c r="AF14" s="101" t="n">
        <v>3</v>
      </c>
      <c r="AG14" s="101" t="n">
        <v>4</v>
      </c>
      <c r="AH14" s="101" t="n">
        <v>5</v>
      </c>
    </row>
    <row r="15" ht="34.95" customHeight="1" s="92">
      <c r="A15" s="161" t="n">
        <v>4</v>
      </c>
      <c r="B15" s="56" t="inlineStr">
        <is>
          <t>คิ้วตบเฟรมข้าง</t>
        </is>
      </c>
      <c r="C15" s="56" t="n"/>
      <c r="D15" s="161" t="inlineStr">
        <is>
          <t>F7971</t>
        </is>
      </c>
      <c r="E15" s="161" t="n">
        <v>0.4</v>
      </c>
      <c r="F15" s="161" t="n">
        <v>2</v>
      </c>
      <c r="G15" s="161" t="inlineStr">
        <is>
          <t>H-75-45</t>
        </is>
      </c>
      <c r="H15" s="202">
        <f>$J$3-75-45</f>
        <v/>
      </c>
      <c r="I15" s="161">
        <f>F15*$J$1</f>
        <v/>
      </c>
      <c r="J15" s="161">
        <f>ROUNDUP((H15*I15)/6400,0)</f>
        <v/>
      </c>
      <c r="L15" s="161" t="n">
        <v>6</v>
      </c>
      <c r="M15" s="29" t="inlineStr">
        <is>
          <t>HD-312 ตลับกลอนก้านโยกมัลติล็อค</t>
        </is>
      </c>
      <c r="N15" s="161" t="n"/>
      <c r="O15" s="161">
        <f>IF($D$6="ขาว","ขาว","ดำ")</f>
        <v/>
      </c>
      <c r="P15" s="109">
        <f>IF(AND($I$5=1,$I$7=2),X15+AD15,"")&amp;IF(AND($I$5=1,$I$7=4),X15+AE15,"")&amp;IF(AND($I$5=1,$I$7=6),X15+AF15,"")&amp;IF(AND($I$5=1,$I$7=8),X15+AG15,"")&amp;IF(AND($I$5=1,$I$7=10),X15+AH15,"")&amp;IF(AND($I$5=3,$I$7=2),Y15+AD15,"")&amp;IF(AND($I$5=3,$I$7=4),Y15+AE15,"")&amp;IF(AND($I$5=3,$I$7=6),Y15+AF15,"")&amp;IF(AND($I$5=3,$I$7=8),Y15+AG15,"")&amp;IF(AND($I$5=3,$I$7=10),Y15+AH15,"")&amp;IF(AND($I$5=5,$I$7=2),Z15+AD15,"")&amp;IF(AND($I$5=5,$I$7=4),Z15+AE15,"")&amp;IF(AND($I$5=5,$I$7=6),Z15+AF15,"")&amp;IF(AND($I$5=5,$I$7=8),Z15+AG15,"")&amp;IF(AND($I$5=5,$I$7=10),Z15+AH15,"")&amp;IF(AND($I$5=7,$I$7=2),AA15+AD15,"")&amp;IF(AND($I$5=7,$I$7=4),AA15+AE15,"")&amp;IF(AND($I$5=7,$I$7=6),AA15+AF15,"")&amp;IF(AND($I$5=7,$I$7=8),AA15+AG15,"")&amp;IF(AND($I$5=7,$I$7=10),AA15+AH15,"")&amp;IF(AND($I$5=9,$I$7=2),AB15+AD15,"")&amp;IF(AND($I$5=9,$I$7=4),AB15+AE15,"")&amp;IF(AND($I$5=9,$I$7=6),AB15+AF15,"")&amp;IF(AND($I$5=9,$I$7=8),AB15+AG15,"")&amp;IF(AND($I$5=9,$I$7=10),AB15+AH15,"")</f>
        <v/>
      </c>
      <c r="Q15" s="161">
        <f>$J$1*P15</f>
        <v/>
      </c>
      <c r="R15" s="193" t="n">
        <v>88</v>
      </c>
      <c r="V15" s="98" t="n">
        <v>6</v>
      </c>
      <c r="W15" s="99" t="inlineStr">
        <is>
          <t>HD-312 ตลับกลอนก้านโยกมัลติล็อค</t>
        </is>
      </c>
      <c r="X15" s="98" t="n">
        <v>0</v>
      </c>
      <c r="Y15" s="101" t="n">
        <v>1</v>
      </c>
      <c r="Z15" s="101" t="n">
        <v>2</v>
      </c>
      <c r="AA15" s="101" t="n">
        <v>3</v>
      </c>
      <c r="AB15" s="101" t="n">
        <v>4</v>
      </c>
      <c r="AC15" s="102" t="n"/>
      <c r="AD15" s="101" t="n">
        <v>1</v>
      </c>
      <c r="AE15" s="101" t="n">
        <v>2</v>
      </c>
      <c r="AF15" s="101" t="n">
        <v>3</v>
      </c>
      <c r="AG15" s="101" t="n">
        <v>4</v>
      </c>
      <c r="AH15" s="101" t="n">
        <v>5</v>
      </c>
    </row>
    <row r="16" ht="34.95" customHeight="1" s="92">
      <c r="A16" s="153" t="n">
        <v>5</v>
      </c>
      <c r="B16" s="46" t="inlineStr">
        <is>
          <t>ตบปิดเฟรม (ตั้ง)</t>
        </is>
      </c>
      <c r="C16" s="153" t="n"/>
      <c r="D16" s="153" t="inlineStr">
        <is>
          <t>F7973</t>
        </is>
      </c>
      <c r="E16" s="153" t="n">
        <v>0.19</v>
      </c>
      <c r="F16" s="153" t="n">
        <v>2</v>
      </c>
      <c r="G16" s="153" t="inlineStr">
        <is>
          <t>H-75-45</t>
        </is>
      </c>
      <c r="H16" s="204">
        <f>$J$3-75-45</f>
        <v/>
      </c>
      <c r="I16" s="153">
        <f>F16*$J$1</f>
        <v/>
      </c>
      <c r="J16" s="153">
        <f>ROUNDUP(((H16*I16)+(H17*I17)+(H18*I18))/6400,0)</f>
        <v/>
      </c>
      <c r="L16" s="161" t="n">
        <v>7</v>
      </c>
      <c r="M16" s="29" t="inlineStr">
        <is>
          <t>HD-1180 ก้าน AL สไลด์ 19.5 mm</t>
        </is>
      </c>
      <c r="N16" s="161" t="n"/>
      <c r="O16" s="161">
        <f>IF($D$6="ขาว","ขาว","ดำ")</f>
        <v/>
      </c>
      <c r="P16" s="109">
        <f>IF(AND($I$5=1,$I$7=2),X16+AD16,"")&amp;IF(AND($I$5=1,$I$7=4),X16+AE16,"")&amp;IF(AND($I$5=1,$I$7=6),X16+AF16,"")&amp;IF(AND($I$5=1,$I$7=8),X16+AG16,"")&amp;IF(AND($I$5=1,$I$7=10),X16+AH16,"")&amp;IF(AND($I$5=3,$I$7=2),Y16+AD16,"")&amp;IF(AND($I$5=3,$I$7=4),Y16+AE16,"")&amp;IF(AND($I$5=3,$I$7=6),Y16+AF16,"")&amp;IF(AND($I$5=3,$I$7=8),Y16+AG16,"")&amp;IF(AND($I$5=3,$I$7=10),Y16+AH16,"")&amp;IF(AND($I$5=5,$I$7=2),Z16+AD16,"")&amp;IF(AND($I$5=5,$I$7=4),Z16+AE16,"")&amp;IF(AND($I$5=5,$I$7=6),Z16+AF16,"")&amp;IF(AND($I$5=5,$I$7=8),Z16+AG16,"")&amp;IF(AND($I$5=5,$I$7=10),Z16+AH16,"")&amp;IF(AND($I$5=7,$I$7=2),AA16+AD16,"")&amp;IF(AND($I$5=7,$I$7=4),AA16+AE16,"")&amp;IF(AND($I$5=7,$I$7=6),AA16+AF16,"")&amp;IF(AND($I$5=7,$I$7=8),AA16+AG16,"")&amp;IF(AND($I$5=7,$I$7=10),AA16+AH16,"")&amp;IF(AND($I$5=9,$I$7=2),AB16+AD16,"")&amp;IF(AND($I$5=9,$I$7=4),AB16+AE16,"")&amp;IF(AND($I$5=9,$I$7=6),AB16+AF16,"")&amp;IF(AND($I$5=9,$I$7=8),AB16+AG16,"")&amp;IF(AND($I$5=9,$I$7=10),AB16+AH16,"")</f>
        <v/>
      </c>
      <c r="Q16" s="161">
        <f>$J$1*P16</f>
        <v/>
      </c>
      <c r="R16" s="193" t="n">
        <v>73</v>
      </c>
      <c r="S16" s="6">
        <f>((H19*I19)/1000)*E19</f>
        <v/>
      </c>
      <c r="V16" s="98" t="n">
        <v>7</v>
      </c>
      <c r="W16" s="99" t="inlineStr">
        <is>
          <t>HD-1180 ก้าน AL สไลด์ 19.5 mm</t>
        </is>
      </c>
      <c r="X16" s="98" t="n">
        <v>0</v>
      </c>
      <c r="Y16" s="101">
        <f>Y15*2</f>
        <v/>
      </c>
      <c r="Z16" s="101">
        <f>Z15*2</f>
        <v/>
      </c>
      <c r="AA16" s="101">
        <f>AA15*2</f>
        <v/>
      </c>
      <c r="AB16" s="101">
        <f>AB15*2</f>
        <v/>
      </c>
      <c r="AC16" s="102" t="n"/>
      <c r="AD16" s="101">
        <f>AD15*2</f>
        <v/>
      </c>
      <c r="AE16" s="101">
        <f>AE15*2</f>
        <v/>
      </c>
      <c r="AF16" s="101">
        <f>AF15*2</f>
        <v/>
      </c>
      <c r="AG16" s="101">
        <f>AG15*2</f>
        <v/>
      </c>
      <c r="AH16" s="101">
        <f>AH15*2</f>
        <v/>
      </c>
    </row>
    <row r="17" ht="34.95" customHeight="1" s="92">
      <c r="A17" s="205" t="n"/>
      <c r="B17" s="46" t="inlineStr">
        <is>
          <t>ตบปิดเฟรม (นอน) (บานคี่)</t>
        </is>
      </c>
      <c r="C17" s="205" t="n"/>
      <c r="D17" s="205" t="n"/>
      <c r="E17" s="205" t="n"/>
      <c r="F17" s="153" t="n">
        <v>1</v>
      </c>
      <c r="G17" s="153" t="inlineStr">
        <is>
          <t>W A-18-58</t>
        </is>
      </c>
      <c r="H17" s="204">
        <f>$J$5-18-58</f>
        <v/>
      </c>
      <c r="I17" s="153">
        <f>F17*$J$1</f>
        <v/>
      </c>
      <c r="J17" s="205" t="n"/>
      <c r="L17" s="161" t="n">
        <v>12</v>
      </c>
      <c r="M17" s="29" t="inlineStr">
        <is>
          <t>HD-213 ฉากเข้ามุมปรับได้</t>
        </is>
      </c>
      <c r="N17" s="30" t="n"/>
      <c r="O17" s="161" t="inlineStr">
        <is>
          <t>-</t>
        </is>
      </c>
      <c r="P17" s="109">
        <f>IF(AND($I$5=1,$I$7=2),X17+AD17,"")&amp;IF(AND($I$5=1,$I$7=4),X17+AE17,"")&amp;IF(AND($I$5=1,$I$7=6),X17+AF17,"")&amp;IF(AND($I$5=1,$I$7=8),X17+AG17,"")&amp;IF(AND($I$5=1,$I$7=10),X17+AH17,"")&amp;IF(AND($I$5=3,$I$7=2),Y17+AD17,"")&amp;IF(AND($I$5=3,$I$7=4),Y17+AE17,"")&amp;IF(AND($I$5=3,$I$7=6),Y17+AF17,"")&amp;IF(AND($I$5=3,$I$7=8),Y17+AG17,"")&amp;IF(AND($I$5=3,$I$7=10),Y17+AH17,"")&amp;IF(AND($I$5=5,$I$7=2),Z17+AD17,"")&amp;IF(AND($I$5=5,$I$7=4),Z17+AE17,"")&amp;IF(AND($I$5=5,$I$7=6),Z17+AF17,"")&amp;IF(AND($I$5=5,$I$7=8),Z17+AG17,"")&amp;IF(AND($I$5=5,$I$7=10),Z17+AH17,"")&amp;IF(AND($I$5=7,$I$7=2),AA17+AD17,"")&amp;IF(AND($I$5=7,$I$7=4),AA17+AE17,"")&amp;IF(AND($I$5=7,$I$7=6),AA17+AF17,"")&amp;IF(AND($I$5=7,$I$7=8),AA17+AG17,"")&amp;IF(AND($I$5=7,$I$7=10),AA17+AH17,"")&amp;IF(AND($I$5=9,$I$7=2),AB17+AD17,"")&amp;IF(AND($I$5=9,$I$7=4),AB17+AE17,"")&amp;IF(AND($I$5=9,$I$7=6),AB17+AF17,"")&amp;IF(AND($I$5=9,$I$7=8),AB17+AG17,"")&amp;IF(AND($I$5=9,$I$7=10),AB17+AH17,"")</f>
        <v/>
      </c>
      <c r="Q17" s="161">
        <f>$J$1*P17</f>
        <v/>
      </c>
      <c r="R17" s="193" t="n">
        <v>15</v>
      </c>
      <c r="S17" s="6">
        <f>((H21*I21)/1000)*E21</f>
        <v/>
      </c>
      <c r="V17" s="98" t="n">
        <v>12</v>
      </c>
      <c r="W17" s="99" t="inlineStr">
        <is>
          <t>HD-213 ฉากเข้ามุมปรับได้</t>
        </is>
      </c>
      <c r="X17" s="98">
        <f>X$9*4</f>
        <v/>
      </c>
      <c r="Y17" s="98">
        <f>Y$9*4</f>
        <v/>
      </c>
      <c r="Z17" s="98">
        <f>Z$9*4</f>
        <v/>
      </c>
      <c r="AA17" s="98">
        <f>AA$9*4</f>
        <v/>
      </c>
      <c r="AB17" s="98">
        <f>AB$9*4</f>
        <v/>
      </c>
      <c r="AC17" s="102" t="n"/>
      <c r="AD17" s="98">
        <f>AD$9*4</f>
        <v/>
      </c>
      <c r="AE17" s="98">
        <f>AE$9*4</f>
        <v/>
      </c>
      <c r="AF17" s="98">
        <f>AF$9*4</f>
        <v/>
      </c>
      <c r="AG17" s="98">
        <f>AG$9*4</f>
        <v/>
      </c>
      <c r="AH17" s="98">
        <f>AH$9*4</f>
        <v/>
      </c>
    </row>
    <row r="18" ht="34.95" customHeight="1" s="92">
      <c r="A18" s="203" t="n"/>
      <c r="B18" s="46" t="inlineStr">
        <is>
          <t>ตบปิดเฟรม (นอน) (บานคู่)</t>
        </is>
      </c>
      <c r="C18" s="203" t="n"/>
      <c r="D18" s="203" t="n"/>
      <c r="E18" s="203" t="n"/>
      <c r="F18" s="153" t="n">
        <v>1</v>
      </c>
      <c r="G18" s="153" t="inlineStr">
        <is>
          <t>W B-18-58</t>
        </is>
      </c>
      <c r="H18" s="204">
        <f>$J$7-18-58</f>
        <v/>
      </c>
      <c r="I18" s="153">
        <f>F18*$J$1</f>
        <v/>
      </c>
      <c r="J18" s="203" t="n"/>
      <c r="L18" s="161" t="n">
        <v>13</v>
      </c>
      <c r="M18" s="29" t="inlineStr">
        <is>
          <t>HD-200 ฉากประคองมุม</t>
        </is>
      </c>
      <c r="N18" s="30" t="n"/>
      <c r="O18" s="161" t="inlineStr">
        <is>
          <t>-</t>
        </is>
      </c>
      <c r="P18" s="109">
        <f>IF(AND($I$5=1,$I$7=2),X18+AD18,"")&amp;IF(AND($I$5=1,$I$7=4),X18+AE18,"")&amp;IF(AND($I$5=1,$I$7=6),X18+AF18,"")&amp;IF(AND($I$5=1,$I$7=8),X18+AG18,"")&amp;IF(AND($I$5=1,$I$7=10),X18+AH18,"")&amp;IF(AND($I$5=3,$I$7=2),Y18+AD18,"")&amp;IF(AND($I$5=3,$I$7=4),Y18+AE18,"")&amp;IF(AND($I$5=3,$I$7=6),Y18+AF18,"")&amp;IF(AND($I$5=3,$I$7=8),Y18+AG18,"")&amp;IF(AND($I$5=3,$I$7=10),Y18+AH18,"")&amp;IF(AND($I$5=5,$I$7=2),Z18+AD18,"")&amp;IF(AND($I$5=5,$I$7=4),Z18+AE18,"")&amp;IF(AND($I$5=5,$I$7=6),Z18+AF18,"")&amp;IF(AND($I$5=5,$I$7=8),Z18+AG18,"")&amp;IF(AND($I$5=5,$I$7=10),Z18+AH18,"")&amp;IF(AND($I$5=7,$I$7=2),AA18+AD18,"")&amp;IF(AND($I$5=7,$I$7=4),AA18+AE18,"")&amp;IF(AND($I$5=7,$I$7=6),AA18+AF18,"")&amp;IF(AND($I$5=7,$I$7=8),AA18+AG18,"")&amp;IF(AND($I$5=7,$I$7=10),AA18+AH18,"")&amp;IF(AND($I$5=9,$I$7=2),AB18+AD18,"")&amp;IF(AND($I$5=9,$I$7=4),AB18+AE18,"")&amp;IF(AND($I$5=9,$I$7=6),AB18+AF18,"")&amp;IF(AND($I$5=9,$I$7=8),AB18+AG18,"")&amp;IF(AND($I$5=9,$I$7=10),AB18+AH18,"")</f>
        <v/>
      </c>
      <c r="Q18" s="161">
        <f>$J$1*P18</f>
        <v/>
      </c>
      <c r="R18" s="193" t="n">
        <v>1.5</v>
      </c>
      <c r="V18" s="98" t="n">
        <v>13</v>
      </c>
      <c r="W18" s="99" t="inlineStr">
        <is>
          <t>HD-200 ฉากประคองมุม</t>
        </is>
      </c>
      <c r="X18" s="98">
        <f>X$9*12</f>
        <v/>
      </c>
      <c r="Y18" s="98">
        <f>Y$9*12</f>
        <v/>
      </c>
      <c r="Z18" s="98">
        <f>Z$9*12</f>
        <v/>
      </c>
      <c r="AA18" s="98">
        <f>AA$9*12</f>
        <v/>
      </c>
      <c r="AB18" s="98">
        <f>AB$9*12</f>
        <v/>
      </c>
      <c r="AC18" s="102" t="n"/>
      <c r="AD18" s="98">
        <f>AD$9*12</f>
        <v/>
      </c>
      <c r="AE18" s="98">
        <f>AE$9*12</f>
        <v/>
      </c>
      <c r="AF18" s="98">
        <f>AF$9*12</f>
        <v/>
      </c>
      <c r="AG18" s="98">
        <f>AG$9*12</f>
        <v/>
      </c>
      <c r="AH18" s="98">
        <f>AH$9*12</f>
        <v/>
      </c>
    </row>
    <row r="19" ht="34.95" customHeight="1" s="92">
      <c r="A19" s="161" t="n">
        <v>6</v>
      </c>
      <c r="B19" s="56" t="inlineStr">
        <is>
          <t>กรอบบานเฟี้ยม (ตั้ง) (บานคี่)</t>
        </is>
      </c>
      <c r="C19" s="161" t="n"/>
      <c r="D19" s="161" t="inlineStr">
        <is>
          <t>F7972</t>
        </is>
      </c>
      <c r="E19" s="161" t="n">
        <v>1.466</v>
      </c>
      <c r="F19" s="161">
        <f>IF($I$5=1,$AP$25,IF($I$5=3,$AP$26,IF($I$5=5,$AP$27,IF($I$5=7,$AP$28,IF($I$5=9,$AP$29,)))))</f>
        <v/>
      </c>
      <c r="G19" s="161" t="inlineStr">
        <is>
          <t>H-55-7-7</t>
        </is>
      </c>
      <c r="H19" s="202">
        <f>$J$3-55-7-7</f>
        <v/>
      </c>
      <c r="I19" s="161">
        <f>F19*$J$1</f>
        <v/>
      </c>
      <c r="J19" s="161">
        <f>ROUNDUP(((H19*I19)+(H20*I20)+(H21*I21+(H22*I22)))/6400,0)</f>
        <v/>
      </c>
      <c r="L19" s="161" t="n">
        <v>14</v>
      </c>
      <c r="M19" s="12" t="inlineStr">
        <is>
          <t>HD-481A มือจับก้านโยกกุญแจ</t>
        </is>
      </c>
      <c r="N19" s="161" t="n"/>
      <c r="O19" s="161">
        <f>IF($D$6="ขาว","ขาว","ดำ")</f>
        <v/>
      </c>
      <c r="P19" s="161" t="n">
        <v>1</v>
      </c>
      <c r="Q19" s="161">
        <f>$J$1*P19</f>
        <v/>
      </c>
    </row>
    <row r="20" ht="34.95" customHeight="1" s="92">
      <c r="A20" s="205" t="n"/>
      <c r="B20" s="56" t="inlineStr">
        <is>
          <t>กรอบบานเฟี้ยม (ตั้ง) (บานคู่)</t>
        </is>
      </c>
      <c r="C20" s="203" t="n"/>
      <c r="D20" s="205" t="n"/>
      <c r="E20" s="205" t="n"/>
      <c r="F20" s="161">
        <f>IF($I$7=2,$AF$25,IF($I$7=4,$AF$26,IF($I$7=6,$AF$27,IF($I$7=8,$AF$28,IF($I$7=10,$AF$29,)))))</f>
        <v/>
      </c>
      <c r="G20" s="161" t="inlineStr">
        <is>
          <t>H-55-7-7</t>
        </is>
      </c>
      <c r="H20" s="202">
        <f>$J$3-55-7-7</f>
        <v/>
      </c>
      <c r="I20" s="161">
        <f>F20*$J$1</f>
        <v/>
      </c>
      <c r="J20" s="205" t="n"/>
      <c r="L20" s="161" t="n">
        <v>15</v>
      </c>
      <c r="M20" s="12" t="inlineStr">
        <is>
          <t>HD-1115 แป้นรับล็อคบานเปิด</t>
        </is>
      </c>
      <c r="N20" s="161" t="n"/>
      <c r="O20" s="161" t="inlineStr">
        <is>
          <t>-</t>
        </is>
      </c>
      <c r="P20" s="161" t="n">
        <v>1</v>
      </c>
      <c r="Q20" s="161">
        <f>$J$1*P20</f>
        <v/>
      </c>
      <c r="S20" s="6">
        <f>((H23*I23)/1000)*E23</f>
        <v/>
      </c>
    </row>
    <row r="21" ht="34.95" customHeight="1" s="92">
      <c r="A21" s="205" t="n"/>
      <c r="B21" s="56" t="inlineStr">
        <is>
          <t>กรอบบานเฟี้ยม (ขวาง) (บานคี่)</t>
        </is>
      </c>
      <c r="C21" s="161" t="n"/>
      <c r="D21" s="205" t="n"/>
      <c r="E21" s="205" t="n"/>
      <c r="F21" s="161">
        <f>IF($I$5=1,$AP$25,IF($I$5=3,$AP$26,IF($I$5=5,$AP$27,IF($I$5=7,$AP$28,IF($I$5=9,$AP$29,)))))</f>
        <v/>
      </c>
      <c r="G21" s="161">
        <f>IF($I$5=1,$AQ$25,IF($I$5=3,$AQ$26,IF($I$5=5,$AQ$27,IF($I$5=7,$AQ$28,IF($I$5=9,$AQ$29,)))))</f>
        <v/>
      </c>
      <c r="H21" s="202">
        <f>IF($I$5=1,$AR$25,IF($I$5=3,$AR$26,IF($I$5=5,$AR$27,IF($I$5=7,$AR$28,IF($I$5=9,$AR$29,)))))</f>
        <v/>
      </c>
      <c r="I21" s="161">
        <f>F21*$J$1</f>
        <v/>
      </c>
      <c r="J21" s="205" t="n"/>
      <c r="L21" s="161" t="n">
        <v>16</v>
      </c>
      <c r="M21" s="12" t="inlineStr">
        <is>
          <t>HD-850 ตลับกุญแจมัลติล็อค (L35)</t>
        </is>
      </c>
      <c r="N21" s="161" t="n"/>
      <c r="O21" s="161" t="inlineStr">
        <is>
          <t>-</t>
        </is>
      </c>
      <c r="P21" s="161" t="n">
        <v>1</v>
      </c>
      <c r="Q21" s="161">
        <f>$J$1*P21</f>
        <v/>
      </c>
      <c r="S21" s="6">
        <f>((H25*I25)/1000)*E25</f>
        <v/>
      </c>
    </row>
    <row r="22" ht="34.95" customHeight="1" s="92">
      <c r="A22" s="203" t="n"/>
      <c r="B22" s="56" t="inlineStr">
        <is>
          <t>กรอบบานเฟี้ยม (ขวาง) (บานคู่)</t>
        </is>
      </c>
      <c r="C22" s="203" t="n"/>
      <c r="D22" s="203" t="n"/>
      <c r="E22" s="203" t="n"/>
      <c r="F22" s="161">
        <f>IF($I$7=2,$AF$25,IF($I$7=4,$AF$26,IF($I$7=6,$AF$27,IF($I$7=8,$AF$28,IF($I$7=10,$AF$29,)))))</f>
        <v/>
      </c>
      <c r="G22" s="161">
        <f>IF($I$7=2,$AG$25,IF($I$7=4,$AG$26,IF($I$7=6,$AG$27,IF($I$7=8,$AG$28,IF($I$7=10,$AG$29,)))))</f>
        <v/>
      </c>
      <c r="H22" s="202">
        <f>IF($I$7=2,$AH$25,IF($I$7=4,$AH$26,IF($I$7=6,$AH$27,IF($I$7=8,$AH$28,IF($I$7=10,$AH$29,)))))</f>
        <v/>
      </c>
      <c r="I22" s="161">
        <f>F22*$J$1</f>
        <v/>
      </c>
      <c r="J22" s="203" t="n"/>
      <c r="L22" s="161" t="n">
        <v>17</v>
      </c>
      <c r="M22" s="56" t="inlineStr">
        <is>
          <t>HD-803 ไส้กุญแจ1หน้า คาบ้า (L75)</t>
        </is>
      </c>
      <c r="N22" s="161" t="n"/>
      <c r="O22" s="161" t="inlineStr">
        <is>
          <t>-</t>
        </is>
      </c>
      <c r="P22" s="161" t="n">
        <v>1</v>
      </c>
      <c r="Q22" s="161">
        <f>$J$1*P22</f>
        <v/>
      </c>
    </row>
    <row r="23" ht="34.95" customHeight="1" s="92">
      <c r="A23" s="153" t="n">
        <v>7</v>
      </c>
      <c r="B23" s="46">
        <f>IF($E$6&lt;=12,W33,IF($E$6&lt;=20,W35,W37))</f>
        <v/>
      </c>
      <c r="C23" s="153" t="n"/>
      <c r="D23" s="153">
        <f>IF($E$6&lt;=12,X26,IF($E$6&lt;=20,X28,X30))</f>
        <v/>
      </c>
      <c r="E23" s="153">
        <f>IF($E$6&lt;=12,Y26,IF($E$6&lt;=20,Y28,Y30))</f>
        <v/>
      </c>
      <c r="F23" s="161">
        <f>IF($I$5=1,$AP$25,IF($I$5=3,$AP$26,IF($I$5=5,$AP$27,IF($I$5=7,$AP$28,IF($I$5=9,$AP$29,)))))</f>
        <v/>
      </c>
      <c r="G23" s="153" t="inlineStr">
        <is>
          <t>SH-80-80</t>
        </is>
      </c>
      <c r="H23" s="204">
        <f>$H$19-80-80</f>
        <v/>
      </c>
      <c r="I23" s="153">
        <f>F23*$J$1</f>
        <v/>
      </c>
      <c r="J23" s="153">
        <f>ROUNDUP(((H23*I23)+(H24*I24)+(H25*I25+(H26*I26)))/6400,0)</f>
        <v/>
      </c>
      <c r="L23" s="161" t="n">
        <v>18</v>
      </c>
      <c r="M23" s="61" t="inlineStr">
        <is>
          <t>HD-305  กลอนบานเฟี้ยม</t>
        </is>
      </c>
      <c r="N23" s="60" t="n"/>
      <c r="O23" s="161">
        <f>IF($D$6="ขาว","ขาว","ดำ")</f>
        <v/>
      </c>
      <c r="P23" s="161" t="n">
        <v>2</v>
      </c>
      <c r="Q23" s="161">
        <f>$J$1*P23</f>
        <v/>
      </c>
      <c r="W23" s="81" t="inlineStr">
        <is>
          <t>คิ้ว</t>
        </is>
      </c>
      <c r="AB23" s="75" t="inlineStr">
        <is>
          <t>ขวาง</t>
        </is>
      </c>
    </row>
    <row r="24" ht="34.95" customHeight="1" s="92">
      <c r="A24" s="205" t="n"/>
      <c r="B24" s="46">
        <f>IF($E$6&lt;=12,W26,IF($E$6&lt;=20,W28,W30))</f>
        <v/>
      </c>
      <c r="C24" s="203" t="n"/>
      <c r="D24" s="205" t="n"/>
      <c r="E24" s="205" t="n"/>
      <c r="F24" s="161">
        <f>IF($I$7=2,$AF$25,IF($I$7=4,$AF$26,IF($I$7=6,$AF$27,IF($I$7=8,$AF$28,IF($I$7=10,$AF$29,)))))</f>
        <v/>
      </c>
      <c r="G24" s="153" t="inlineStr">
        <is>
          <t>SH-80-80</t>
        </is>
      </c>
      <c r="H24" s="204">
        <f>$H$20-80-80</f>
        <v/>
      </c>
      <c r="I24" s="153">
        <f>F24*$J$1</f>
        <v/>
      </c>
      <c r="J24" s="205" t="n"/>
      <c r="L24" s="161" t="n">
        <v>19</v>
      </c>
      <c r="M24" s="12" t="inlineStr">
        <is>
          <t>จุดรับล็อค แบบสกรู</t>
        </is>
      </c>
      <c r="N24" s="60" t="n"/>
      <c r="O24" s="161" t="inlineStr">
        <is>
          <t>-</t>
        </is>
      </c>
      <c r="P24" s="161">
        <f>IF($J$3&lt;=2700,3,4)</f>
        <v/>
      </c>
      <c r="Q24" s="161">
        <f>$J$1*P24</f>
        <v/>
      </c>
      <c r="W24" s="81" t="inlineStr">
        <is>
          <t>บานคู่</t>
        </is>
      </c>
      <c r="AB24" s="75" t="inlineStr">
        <is>
          <t>บานคู่</t>
        </is>
      </c>
      <c r="AC24" s="75" t="n"/>
      <c r="AD24" s="75" t="n"/>
      <c r="AL24" s="75" t="inlineStr">
        <is>
          <t>บานคี่</t>
        </is>
      </c>
      <c r="AM24" s="75" t="n"/>
      <c r="AN24" s="75" t="n"/>
    </row>
    <row r="25" ht="34.95" customHeight="1" s="92">
      <c r="A25" s="205" t="n"/>
      <c r="B25" s="46">
        <f>IF($E$6&lt;=12,W34,IF($E$6&lt;=20,W36,W38))</f>
        <v/>
      </c>
      <c r="C25" s="153" t="n"/>
      <c r="D25" s="205" t="n"/>
      <c r="E25" s="205" t="n"/>
      <c r="F25" s="161">
        <f>IF($I$5=1,$AP$25,IF($I$5=3,$AP$26,IF($I$5=5,$AP$27,IF($I$5=7,$AP$28,IF($I$5=9,$AP$29,)))))</f>
        <v/>
      </c>
      <c r="G25" s="153" t="inlineStr">
        <is>
          <t>SW-60-60</t>
        </is>
      </c>
      <c r="H25" s="204">
        <f>$H$21-60-60</f>
        <v/>
      </c>
      <c r="I25" s="153">
        <f>F25*$J$1</f>
        <v/>
      </c>
      <c r="J25" s="205" t="n"/>
      <c r="L25" s="161" t="n">
        <v>20</v>
      </c>
      <c r="M25" s="12" t="inlineStr">
        <is>
          <t>หมุดล็อค 9 x 9 (KIN LONG)</t>
        </is>
      </c>
      <c r="N25" s="60" t="n"/>
      <c r="O25" s="161" t="n"/>
      <c r="P25" s="161">
        <f>IF($J$3&lt;=2700,3,4)</f>
        <v/>
      </c>
      <c r="Q25" s="161">
        <f>$J$1*P25</f>
        <v/>
      </c>
      <c r="W25" s="8" t="inlineStr">
        <is>
          <t>ชื่อ</t>
        </is>
      </c>
      <c r="X25" s="8" t="inlineStr">
        <is>
          <t>เบอร์ดาย</t>
        </is>
      </c>
      <c r="Y25" s="8" t="inlineStr">
        <is>
          <t>น้ำหนัก</t>
        </is>
      </c>
      <c r="AB25" s="153" t="n">
        <v>2</v>
      </c>
      <c r="AC25" s="46" t="inlineStr">
        <is>
          <t>กรอบบานเฟี้ยม (บานคู่)</t>
        </is>
      </c>
      <c r="AD25" s="153" t="inlineStr">
        <is>
          <t>F7972</t>
        </is>
      </c>
      <c r="AE25" s="153" t="n">
        <v>1.466</v>
      </c>
      <c r="AF25" s="153">
        <f>2*AB25</f>
        <v/>
      </c>
      <c r="AG25" s="59" t="inlineStr">
        <is>
          <t>(W-18-9.5-(8x1)-62)/2</t>
        </is>
      </c>
      <c r="AH25" s="204">
        <f>($J$7-18-9.5-(8*1)-62)/AB25</f>
        <v/>
      </c>
      <c r="AI25" s="153">
        <f>AF25*$J$1</f>
        <v/>
      </c>
      <c r="AL25" s="153" t="n">
        <v>1</v>
      </c>
      <c r="AM25" s="46" t="inlineStr">
        <is>
          <t>กรอบบานเฟี้ยม (บานคี่)</t>
        </is>
      </c>
      <c r="AN25" s="153" t="inlineStr">
        <is>
          <t>F7972</t>
        </is>
      </c>
      <c r="AO25" s="153" t="n">
        <v>1.466</v>
      </c>
      <c r="AP25" s="153">
        <f>2*AL25</f>
        <v/>
      </c>
      <c r="AQ25" s="59" t="inlineStr">
        <is>
          <t>W-18-9.5-77</t>
        </is>
      </c>
      <c r="AR25" s="204">
        <f>($J$5-18-9.5-77)</f>
        <v/>
      </c>
      <c r="AS25" s="153">
        <f>AP25*$J$1</f>
        <v/>
      </c>
    </row>
    <row r="26" ht="34.95" customHeight="1" s="92">
      <c r="A26" s="203" t="n"/>
      <c r="B26" s="46">
        <f>IF($E$6&lt;=12,W27,IF($E$6&lt;=20,W29,W31))</f>
        <v/>
      </c>
      <c r="C26" s="203" t="n"/>
      <c r="D26" s="203" t="n"/>
      <c r="E26" s="203" t="n"/>
      <c r="F26" s="161">
        <f>IF($I$7=2,$AF$25,IF($I$7=4,$AF$26,IF($I$7=6,$AF$27,IF($I$7=8,$AF$28,IF($I$7=10,$AF$29,)))))</f>
        <v/>
      </c>
      <c r="G26" s="153" t="inlineStr">
        <is>
          <t>SW-60-60</t>
        </is>
      </c>
      <c r="H26" s="204">
        <f>$H$22-60-60</f>
        <v/>
      </c>
      <c r="I26" s="153">
        <f>F26*$J$1</f>
        <v/>
      </c>
      <c r="J26" s="203" t="n"/>
      <c r="L26" s="161" t="n">
        <v>21</v>
      </c>
      <c r="M26" s="68" t="inlineStr">
        <is>
          <t>ก้านสไลด์มัลติพ้อย (F7800 ฟูจิ) 
หรือตลาด</t>
        </is>
      </c>
      <c r="N26" s="60" t="n"/>
      <c r="O26" s="161" t="n"/>
      <c r="P26" s="215">
        <f>ROUNDDOWN($H$19/1000,1)</f>
        <v/>
      </c>
      <c r="Q26" s="215">
        <f>$J$1*P26</f>
        <v/>
      </c>
      <c r="W26" s="12" t="inlineStr">
        <is>
          <t>คิ้วกระจก5-12มิล (ตั้ง) (บานคู่)</t>
        </is>
      </c>
      <c r="X26" s="11" t="inlineStr">
        <is>
          <t>F7935</t>
        </is>
      </c>
      <c r="Y26" s="11" t="n">
        <v>0.285</v>
      </c>
      <c r="AB26" s="153" t="n">
        <v>4</v>
      </c>
      <c r="AC26" s="46" t="inlineStr">
        <is>
          <t>กรอบบานเฟี้ยม (บานคู่)</t>
        </is>
      </c>
      <c r="AD26" s="153" t="inlineStr">
        <is>
          <t>F7972</t>
        </is>
      </c>
      <c r="AE26" s="153" t="n">
        <v>1.466</v>
      </c>
      <c r="AF26" s="153">
        <f>2*AB26</f>
        <v/>
      </c>
      <c r="AG26" s="59" t="inlineStr">
        <is>
          <t>(W-18-9.5-(8x3)-62)/4</t>
        </is>
      </c>
      <c r="AH26" s="204">
        <f>($J$7-18-9.5-(8*3)-62)/AB26</f>
        <v/>
      </c>
      <c r="AI26" s="153">
        <f>AF26*$J$1</f>
        <v/>
      </c>
      <c r="AL26" s="153" t="n">
        <v>3</v>
      </c>
      <c r="AM26" s="46" t="inlineStr">
        <is>
          <t>กรอบบานเฟี้ยม (บานคี่)</t>
        </is>
      </c>
      <c r="AN26" s="153" t="inlineStr">
        <is>
          <t>F7972</t>
        </is>
      </c>
      <c r="AO26" s="153" t="n">
        <v>1.466</v>
      </c>
      <c r="AP26" s="153">
        <f>2*AL26</f>
        <v/>
      </c>
      <c r="AQ26" s="59" t="inlineStr">
        <is>
          <t>(W-18-9.5-(8x2)-77)/3</t>
        </is>
      </c>
      <c r="AR26" s="204">
        <f>($J$5-18-9.5-(8*2)-77)/AL26</f>
        <v/>
      </c>
      <c r="AS26" s="153">
        <f>AP26*$J$1</f>
        <v/>
      </c>
    </row>
    <row r="27" ht="34.95" customHeight="1" s="92">
      <c r="A27" s="161" t="n">
        <v>8</v>
      </c>
      <c r="B27" s="56" t="inlineStr">
        <is>
          <t>บังใบ</t>
        </is>
      </c>
      <c r="C27" s="56" t="n"/>
      <c r="D27" s="161" t="inlineStr">
        <is>
          <t>F7975</t>
        </is>
      </c>
      <c r="E27" s="161" t="n">
        <v>0.452</v>
      </c>
      <c r="F27" s="161" t="n">
        <v>2</v>
      </c>
      <c r="G27" s="161" t="inlineStr">
        <is>
          <t>HS</t>
        </is>
      </c>
      <c r="H27" s="202">
        <f>$H$19</f>
        <v/>
      </c>
      <c r="I27" s="161">
        <f>F27*$J$1</f>
        <v/>
      </c>
      <c r="J27" s="161">
        <f>ROUNDUP((H27*I27)/6400,0)</f>
        <v/>
      </c>
      <c r="L27" s="153" t="n">
        <v>22</v>
      </c>
      <c r="M27" s="43" t="inlineStr">
        <is>
          <t>ยางลูกโป่ง 6mm</t>
        </is>
      </c>
      <c r="N27" s="58" t="n"/>
      <c r="O27" s="153" t="inlineStr">
        <is>
          <t>-</t>
        </is>
      </c>
      <c r="P27" s="206">
        <f>(($H$10*$I$10)+($H$11*$I$11)+($H$14*$I$14)+($H$15*$I$15)+($H$19*$I$19*2)+($H$20*$I$20*2)+($H$21*$I$21*2)+($H$22*$I$22*2)+($H$27*$I$27)+($H$28*$I$28*2)-($H$19*2))/1000</f>
        <v/>
      </c>
      <c r="Q27" s="206">
        <f>$J$1*P27</f>
        <v/>
      </c>
      <c r="S27" s="6">
        <f>O32*P32*6*Q32*2.5/1000000</f>
        <v/>
      </c>
      <c r="W27" s="12" t="inlineStr">
        <is>
          <t>คิ้วกระจก5-12มิล (ขวาง) (บานคู่)</t>
        </is>
      </c>
      <c r="X27" s="11" t="inlineStr">
        <is>
          <t>F7935</t>
        </is>
      </c>
      <c r="Y27" s="11" t="n">
        <v>0.285</v>
      </c>
      <c r="AB27" s="153" t="n">
        <v>6</v>
      </c>
      <c r="AC27" s="46" t="inlineStr">
        <is>
          <t>กรอบบานเฟี้ยม (บานคู่)</t>
        </is>
      </c>
      <c r="AD27" s="153" t="inlineStr">
        <is>
          <t>F7972</t>
        </is>
      </c>
      <c r="AE27" s="153" t="n">
        <v>1.466</v>
      </c>
      <c r="AF27" s="153">
        <f>2*AB27</f>
        <v/>
      </c>
      <c r="AG27" s="59" t="inlineStr">
        <is>
          <t>(W-18-9.5-(8x5)-62)/6</t>
        </is>
      </c>
      <c r="AH27" s="204">
        <f>($J$7-18-9.5-(8*5)-62)/AB27</f>
        <v/>
      </c>
      <c r="AI27" s="153">
        <f>AF27*$J$1</f>
        <v/>
      </c>
      <c r="AL27" s="153" t="n">
        <v>5</v>
      </c>
      <c r="AM27" s="46" t="inlineStr">
        <is>
          <t>กรอบบานเฟี้ยม (บานคี่)</t>
        </is>
      </c>
      <c r="AN27" s="153" t="inlineStr">
        <is>
          <t>F7972</t>
        </is>
      </c>
      <c r="AO27" s="153" t="n">
        <v>1.466</v>
      </c>
      <c r="AP27" s="153">
        <f>2*AL27</f>
        <v/>
      </c>
      <c r="AQ27" s="59" t="inlineStr">
        <is>
          <t>(W-18-9.5-(8x4)-77)/5</t>
        </is>
      </c>
      <c r="AR27" s="204">
        <f>($J$5-18-9.5-(8*4)-77)/AL27</f>
        <v/>
      </c>
      <c r="AS27" s="153">
        <f>AP27*$J$1</f>
        <v/>
      </c>
    </row>
    <row r="28" ht="34.95" customHeight="1" s="92">
      <c r="A28" s="161" t="n">
        <v>9</v>
      </c>
      <c r="B28" s="56" t="inlineStr">
        <is>
          <t>เสาเข้ามุม</t>
        </is>
      </c>
      <c r="C28" s="84" t="n"/>
      <c r="D28" s="161" t="inlineStr">
        <is>
          <t>F7964</t>
        </is>
      </c>
      <c r="E28" s="161" t="n">
        <v>1.03</v>
      </c>
      <c r="F28" s="161" t="n">
        <v>1</v>
      </c>
      <c r="G28" s="161" t="inlineStr">
        <is>
          <t>HS</t>
        </is>
      </c>
      <c r="H28" s="202">
        <f>$H$19</f>
        <v/>
      </c>
      <c r="I28" s="161">
        <f>F28*$J$1</f>
        <v/>
      </c>
      <c r="J28" s="161">
        <f>ROUNDUP((H28*I28)/6400,0)</f>
        <v/>
      </c>
      <c r="L28" s="153" t="n">
        <v>23</v>
      </c>
      <c r="M28" s="43" t="inlineStr">
        <is>
          <t>ยางอัด</t>
        </is>
      </c>
      <c r="N28" s="58" t="n"/>
      <c r="O28" s="153" t="inlineStr">
        <is>
          <t>-</t>
        </is>
      </c>
      <c r="P28" s="206">
        <f>((($D$32+$E$32)*2)*$F$32/1000)+(($O$32+$P$32)*2)*$Q$32/1000</f>
        <v/>
      </c>
      <c r="Q28" s="206">
        <f>$J$1*P28</f>
        <v/>
      </c>
      <c r="S28" s="18">
        <f>SUM(S16:S27)</f>
        <v/>
      </c>
      <c r="W28" s="12" t="inlineStr">
        <is>
          <t>คิ้วกระจก14-20มิล (ตั้ง) (บานคู่)</t>
        </is>
      </c>
      <c r="X28" s="11" t="inlineStr">
        <is>
          <t>F7949</t>
        </is>
      </c>
      <c r="Y28" s="11" t="n">
        <v>0.252</v>
      </c>
      <c r="AB28" s="153" t="n">
        <v>8</v>
      </c>
      <c r="AC28" s="46" t="inlineStr">
        <is>
          <t>กรอบบานเฟี้ยม (บานคู่)</t>
        </is>
      </c>
      <c r="AD28" s="153" t="inlineStr">
        <is>
          <t>F7972</t>
        </is>
      </c>
      <c r="AE28" s="153" t="n">
        <v>1.466</v>
      </c>
      <c r="AF28" s="153">
        <f>2*AB28</f>
        <v/>
      </c>
      <c r="AG28" s="59" t="inlineStr">
        <is>
          <t>(W-18-9.5-(8x7)-62)/8</t>
        </is>
      </c>
      <c r="AH28" s="204">
        <f>($J$7-18-9.5-(8*7)-62)/AB28</f>
        <v/>
      </c>
      <c r="AI28" s="153">
        <f>AF28*$J$1</f>
        <v/>
      </c>
      <c r="AL28" s="153" t="n">
        <v>7</v>
      </c>
      <c r="AM28" s="46" t="inlineStr">
        <is>
          <t>กรอบบานเฟี้ยม (บานคี่)</t>
        </is>
      </c>
      <c r="AN28" s="153" t="inlineStr">
        <is>
          <t>F7972</t>
        </is>
      </c>
      <c r="AO28" s="153" t="n">
        <v>1.466</v>
      </c>
      <c r="AP28" s="153">
        <f>2*AL28</f>
        <v/>
      </c>
      <c r="AQ28" s="59" t="inlineStr">
        <is>
          <t>(W-18-9.5-(8x6)-77)/7</t>
        </is>
      </c>
      <c r="AR28" s="204">
        <f>($J$5-18-9.5-(8*6)-77)/AL28</f>
        <v/>
      </c>
      <c r="AS28" s="153">
        <f>AP28*$J$1</f>
        <v/>
      </c>
    </row>
    <row r="29" ht="34.95" customHeight="1" s="92">
      <c r="A29" s="95" t="n"/>
      <c r="B29" s="96" t="n"/>
      <c r="C29" s="96" t="n"/>
      <c r="D29" s="95" t="n"/>
      <c r="E29" s="95" t="n"/>
      <c r="F29" s="95" t="n"/>
      <c r="G29" s="95" t="n"/>
      <c r="H29" s="216" t="n"/>
      <c r="I29" s="95" t="n"/>
      <c r="J29" s="95" t="n"/>
      <c r="L29" s="153" t="n">
        <v>24</v>
      </c>
      <c r="M29" s="43" t="inlineStr">
        <is>
          <t>ยางรอง</t>
        </is>
      </c>
      <c r="N29" s="58" t="n"/>
      <c r="O29" s="153" t="inlineStr">
        <is>
          <t>-</t>
        </is>
      </c>
      <c r="P29" s="206">
        <f>(($O$32+$P$32)*2)*$Q$32/1000</f>
        <v/>
      </c>
      <c r="Q29" s="206">
        <f>$J$1*P29</f>
        <v/>
      </c>
      <c r="W29" s="12" t="inlineStr">
        <is>
          <t>คิ้วกระจก14-20มิล (ขวาง) (บานคู่)</t>
        </is>
      </c>
      <c r="X29" s="11" t="inlineStr">
        <is>
          <t>F7949</t>
        </is>
      </c>
      <c r="Y29" s="11" t="n">
        <v>0.252</v>
      </c>
      <c r="AB29" s="153" t="n">
        <v>10</v>
      </c>
      <c r="AC29" s="46" t="inlineStr">
        <is>
          <t>กรอบบานเฟี้ยม (บานคู่)</t>
        </is>
      </c>
      <c r="AD29" s="153" t="inlineStr">
        <is>
          <t>F7972</t>
        </is>
      </c>
      <c r="AE29" s="153" t="n">
        <v>1.466</v>
      </c>
      <c r="AF29" s="153">
        <f>2*AB29</f>
        <v/>
      </c>
      <c r="AG29" s="59" t="inlineStr">
        <is>
          <t>(W-18-9.5-(8x9)-62)/10</t>
        </is>
      </c>
      <c r="AH29" s="204">
        <f>($J$7-18-9.5-(8*9)-62)/AB29</f>
        <v/>
      </c>
      <c r="AI29" s="153">
        <f>AF29*$J$1</f>
        <v/>
      </c>
      <c r="AL29" s="153" t="n">
        <v>9</v>
      </c>
      <c r="AM29" s="46" t="inlineStr">
        <is>
          <t>กรอบบานเฟี้ยม (บานคี่)</t>
        </is>
      </c>
      <c r="AN29" s="153" t="inlineStr">
        <is>
          <t>F7972</t>
        </is>
      </c>
      <c r="AO29" s="153" t="n">
        <v>1.466</v>
      </c>
      <c r="AP29" s="153">
        <f>2*AL29</f>
        <v/>
      </c>
      <c r="AQ29" s="59" t="inlineStr">
        <is>
          <t>(W-18-9.5-(8x8)-77)/9</t>
        </is>
      </c>
      <c r="AR29" s="204">
        <f>($J$5-18-9.5-(8*8)-77)/AL29</f>
        <v/>
      </c>
      <c r="AS29" s="153">
        <f>AP29*$J$1</f>
        <v/>
      </c>
    </row>
    <row r="30" ht="34.95" customHeight="1" s="92">
      <c r="A30" s="36" t="n"/>
      <c r="B30" s="107" t="inlineStr">
        <is>
          <t>บานคู่</t>
        </is>
      </c>
      <c r="C30" s="70" t="inlineStr">
        <is>
          <t>น้ำหนักรวม
ต่อ บาน</t>
        </is>
      </c>
      <c r="D30" s="154" t="inlineStr">
        <is>
          <t>กระจก</t>
        </is>
      </c>
      <c r="E30" s="198" t="n"/>
      <c r="F30" s="199" t="n"/>
      <c r="G30" s="36" t="n"/>
      <c r="H30" s="212" t="n"/>
      <c r="I30" s="37" t="n"/>
      <c r="J30" s="37" t="n"/>
      <c r="M30" s="107" t="inlineStr">
        <is>
          <t>บานคี่</t>
        </is>
      </c>
      <c r="N30" s="70" t="inlineStr">
        <is>
          <t>น้ำหนักรวม
ต่อ บาน</t>
        </is>
      </c>
      <c r="O30" s="154" t="inlineStr">
        <is>
          <t>กระจก</t>
        </is>
      </c>
      <c r="P30" s="198" t="n"/>
      <c r="Q30" s="199" t="n"/>
      <c r="W30" s="12" t="inlineStr">
        <is>
          <t>คิ้วสำหรับกระจกมู่ลี่ (ตั้ง) (บานคู่)</t>
        </is>
      </c>
      <c r="X30" s="11" t="inlineStr">
        <is>
          <t>F7853</t>
        </is>
      </c>
      <c r="Y30" s="11" t="n">
        <v>0.22</v>
      </c>
    </row>
    <row r="31" ht="34.95" customHeight="1" s="92">
      <c r="B31" s="35" t="n"/>
      <c r="C31" s="210">
        <f>((($E$19*$F$20*$H$20/1000)+($E$19*$F$22*$H$22/1000)+($E$23*$F$24*$H$24/1000)+($E$23*$F$26*$H$26/1000))+($D$32*$E$32*$E$6*2.5*$F$32/1000000))/$F$32</f>
        <v/>
      </c>
      <c r="D31" s="161" t="inlineStr">
        <is>
          <t>HS-130</t>
        </is>
      </c>
      <c r="E31" s="161" t="inlineStr">
        <is>
          <t>WS-130</t>
        </is>
      </c>
      <c r="F31" s="202" t="inlineStr">
        <is>
          <t>จำนวน</t>
        </is>
      </c>
      <c r="G31" s="36" t="n"/>
      <c r="H31" s="212" t="n"/>
      <c r="I31" s="37" t="n"/>
      <c r="J31" s="37" t="n"/>
      <c r="N31" s="210">
        <f>((($H$19*$F$19*$E$19/1000)+($H$21*$F$21*$E$19/1000)+($H$23*$F$23*$E$23/1000)+($H$25*$F$25*$E$23/1000))+($O$32*$P$32*$E$6*2.5*$Q$32/1000000))/$Q$32</f>
        <v/>
      </c>
      <c r="O31" s="161" t="inlineStr">
        <is>
          <t>HS-130</t>
        </is>
      </c>
      <c r="P31" s="161" t="inlineStr">
        <is>
          <t>WS-130</t>
        </is>
      </c>
      <c r="Q31" s="202" t="inlineStr">
        <is>
          <t>จำนวน</t>
        </is>
      </c>
      <c r="W31" s="12" t="inlineStr">
        <is>
          <t>คิ้วสำหรับกระจกมู่ลี่ (ขวาง) (บานคู่)</t>
        </is>
      </c>
      <c r="X31" s="11" t="inlineStr">
        <is>
          <t>F7853</t>
        </is>
      </c>
      <c r="Y31" s="11" t="n">
        <v>0.22</v>
      </c>
    </row>
    <row r="32" ht="34.95" customHeight="1" s="92">
      <c r="B32" s="35" t="n"/>
      <c r="C32" s="211">
        <f>$N$31*$F$32</f>
        <v/>
      </c>
      <c r="D32" s="41">
        <f>$H$20-130</f>
        <v/>
      </c>
      <c r="E32" s="41">
        <f>$H$22-130</f>
        <v/>
      </c>
      <c r="F32" s="41">
        <f>$I$7*$J$1</f>
        <v/>
      </c>
      <c r="G32" s="36" t="n"/>
      <c r="H32" s="212" t="n"/>
      <c r="I32" s="37" t="n"/>
      <c r="J32" s="37" t="n"/>
      <c r="N32" s="211">
        <f>$N$31*$Q$32</f>
        <v/>
      </c>
      <c r="O32" s="41">
        <f>$H$19-130</f>
        <v/>
      </c>
      <c r="P32" s="41">
        <f>$H$21-130</f>
        <v/>
      </c>
      <c r="Q32" s="41">
        <f>$I$5*$J$1</f>
        <v/>
      </c>
      <c r="W32" s="81" t="inlineStr">
        <is>
          <t>บานคี่</t>
        </is>
      </c>
    </row>
    <row r="33" ht="34.95" customHeight="1" s="92"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  <c r="W33" s="12" t="inlineStr">
        <is>
          <t>คิ้วกระจก5-12มิล (ตั้ง) (บานคี่)</t>
        </is>
      </c>
      <c r="X33" s="11" t="inlineStr">
        <is>
          <t>F7935</t>
        </is>
      </c>
      <c r="Y33" s="11" t="n">
        <v>0.285</v>
      </c>
    </row>
    <row r="34" ht="34.95" customHeight="1" s="92">
      <c r="B34" s="35" t="n"/>
      <c r="C34" s="35" t="n"/>
      <c r="D34" s="36" t="n"/>
      <c r="E34" s="36" t="n"/>
      <c r="F34" s="37" t="n"/>
      <c r="G34" s="36" t="n"/>
      <c r="H34" s="212" t="n"/>
      <c r="I34" s="37" t="n"/>
      <c r="J34" s="37" t="n"/>
      <c r="W34" s="12" t="inlineStr">
        <is>
          <t>คิ้วกระจก5-12มิล (ขวาง) (บานคี่)</t>
        </is>
      </c>
      <c r="X34" s="11" t="inlineStr">
        <is>
          <t>F7935</t>
        </is>
      </c>
      <c r="Y34" s="11" t="n">
        <v>0.285</v>
      </c>
    </row>
    <row r="35" ht="34.95" customHeight="1" s="92">
      <c r="B35" s="35" t="n"/>
      <c r="C35" s="35" t="n"/>
      <c r="D35" s="36" t="n"/>
      <c r="E35" s="36" t="n"/>
      <c r="F35" s="37" t="n"/>
      <c r="G35" s="36" t="n"/>
      <c r="H35" s="212" t="n"/>
      <c r="I35" s="37" t="n"/>
      <c r="J35" s="37" t="n"/>
      <c r="W35" s="12" t="inlineStr">
        <is>
          <t>คิ้วกระจก14-20มิล (ตั้ง) (บานคี่)</t>
        </is>
      </c>
      <c r="X35" s="11" t="inlineStr">
        <is>
          <t>F7949</t>
        </is>
      </c>
      <c r="Y35" s="11" t="n">
        <v>0.252</v>
      </c>
    </row>
    <row r="36" ht="34.95" customHeight="1" s="92">
      <c r="B36" s="35" t="n"/>
      <c r="C36" s="35" t="n"/>
      <c r="D36" s="36" t="n"/>
      <c r="E36" s="36" t="n"/>
      <c r="F36" s="37" t="n"/>
      <c r="G36" s="36" t="n"/>
      <c r="H36" s="212" t="n"/>
      <c r="I36" s="37" t="n"/>
      <c r="J36" s="37" t="n"/>
      <c r="W36" s="12" t="inlineStr">
        <is>
          <t>คิ้วกระจก14-20มิล (ขวาง) (บานคี่)</t>
        </is>
      </c>
      <c r="X36" s="11" t="inlineStr">
        <is>
          <t>F7949</t>
        </is>
      </c>
      <c r="Y36" s="11" t="n">
        <v>0.252</v>
      </c>
    </row>
    <row r="37" ht="34.95" customHeight="1" s="92">
      <c r="B37" s="35" t="n"/>
      <c r="C37" s="35" t="n"/>
      <c r="D37" s="36" t="n"/>
      <c r="E37" s="36" t="n"/>
      <c r="F37" s="37" t="n"/>
      <c r="G37" s="36" t="n"/>
      <c r="H37" s="212" t="n"/>
      <c r="I37" s="37" t="n"/>
      <c r="J37" s="37" t="n"/>
      <c r="W37" s="12" t="inlineStr">
        <is>
          <t>คิ้วสำหรับกระจกมู่ลี่ (ตั้ง) (บานคี่)</t>
        </is>
      </c>
      <c r="X37" s="11" t="inlineStr">
        <is>
          <t>F7853</t>
        </is>
      </c>
      <c r="Y37" s="11" t="n">
        <v>0.22</v>
      </c>
    </row>
    <row r="38" ht="34.95" customHeight="1" s="92">
      <c r="B38" s="35" t="n"/>
      <c r="C38" s="35" t="n"/>
      <c r="D38" s="36" t="n"/>
      <c r="E38" s="36" t="n"/>
      <c r="F38" s="37" t="n"/>
      <c r="G38" s="36" t="n"/>
      <c r="H38" s="212" t="n"/>
      <c r="I38" s="37" t="n"/>
      <c r="J38" s="37" t="n"/>
      <c r="W38" s="12" t="inlineStr">
        <is>
          <t>คิ้วสำหรับกระจกมู่ลี่ (ขวาง) (บานคี่)</t>
        </is>
      </c>
      <c r="X38" s="11" t="inlineStr">
        <is>
          <t>F7853</t>
        </is>
      </c>
      <c r="Y38" s="11" t="n">
        <v>0.22</v>
      </c>
    </row>
    <row r="39" ht="34.95" customHeight="1" s="92">
      <c r="B39" s="35" t="n"/>
      <c r="C39" s="35" t="n"/>
      <c r="D39" s="36" t="n"/>
      <c r="E39" s="36" t="n"/>
      <c r="F39" s="37" t="n"/>
      <c r="G39" s="36" t="n"/>
      <c r="H39" s="212" t="n"/>
      <c r="I39" s="37" t="n"/>
      <c r="J39" s="37" t="n"/>
    </row>
    <row r="40" ht="34.95" customHeight="1" s="92">
      <c r="B40" s="35" t="n"/>
      <c r="C40" s="35" t="n"/>
      <c r="D40" s="36" t="n"/>
      <c r="E40" s="36" t="n"/>
      <c r="F40" s="37" t="n"/>
      <c r="G40" s="36" t="n"/>
      <c r="H40" s="212" t="n"/>
      <c r="I40" s="37" t="n"/>
      <c r="J40" s="37" t="n"/>
    </row>
    <row r="41" ht="34.95" customHeight="1" s="92">
      <c r="A41" s="36" t="n"/>
      <c r="B41" s="35" t="n"/>
      <c r="C41" s="35" t="n"/>
      <c r="D41" s="36" t="n"/>
      <c r="E41" s="36" t="n"/>
      <c r="F41" s="37" t="n"/>
      <c r="G41" s="36" t="n"/>
      <c r="H41" s="212" t="n"/>
      <c r="I41" s="37" t="n"/>
      <c r="J41" s="37" t="n"/>
    </row>
    <row r="42" ht="34.95" customHeight="1" s="92">
      <c r="A42" s="36" t="n"/>
      <c r="B42" s="35" t="n"/>
      <c r="C42" s="35" t="n"/>
      <c r="D42" s="36" t="n"/>
      <c r="E42" s="36" t="n"/>
      <c r="F42" s="37" t="n"/>
      <c r="G42" s="36" t="n"/>
      <c r="H42" s="212" t="n"/>
      <c r="I42" s="37" t="n"/>
      <c r="J42" s="37" t="n"/>
    </row>
    <row r="43" ht="34.95" customHeight="1" s="92">
      <c r="A43" s="15" t="n"/>
      <c r="B43" s="16" t="n"/>
      <c r="F43" s="17" t="n"/>
      <c r="G43" s="6" t="n"/>
      <c r="H43" s="193" t="n"/>
      <c r="I43" s="17" t="n"/>
      <c r="J43" s="17" t="n"/>
    </row>
    <row r="44" ht="34.95" customHeight="1" s="92">
      <c r="G44" s="6" t="n"/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34">
    <mergeCell ref="A8:J8"/>
    <mergeCell ref="E23:E26"/>
    <mergeCell ref="J16:J18"/>
    <mergeCell ref="E5:F5"/>
    <mergeCell ref="J19:J22"/>
    <mergeCell ref="L8:Q8"/>
    <mergeCell ref="C10:C11"/>
    <mergeCell ref="E10:E11"/>
    <mergeCell ref="E19:E22"/>
    <mergeCell ref="A12:A13"/>
    <mergeCell ref="E16:E18"/>
    <mergeCell ref="C12:C13"/>
    <mergeCell ref="C25:C26"/>
    <mergeCell ref="C21:C22"/>
    <mergeCell ref="J23:J26"/>
    <mergeCell ref="D12:D13"/>
    <mergeCell ref="D30:F30"/>
    <mergeCell ref="C23:C24"/>
    <mergeCell ref="E6:F6"/>
    <mergeCell ref="A23:A26"/>
    <mergeCell ref="J12:J13"/>
    <mergeCell ref="A10:A11"/>
    <mergeCell ref="A19:A22"/>
    <mergeCell ref="C19:C20"/>
    <mergeCell ref="D23:D26"/>
    <mergeCell ref="D10:D11"/>
    <mergeCell ref="A16:A18"/>
    <mergeCell ref="E12:E13"/>
    <mergeCell ref="C16:C18"/>
    <mergeCell ref="O30:Q30"/>
    <mergeCell ref="D16:D18"/>
    <mergeCell ref="C2:F2"/>
    <mergeCell ref="D19:D22"/>
    <mergeCell ref="J10:J11"/>
  </mergeCells>
  <conditionalFormatting sqref="N31">
    <cfRule type="cellIs" priority="3" operator="greaterThanOrEqual" dxfId="1">
      <formula>45.5</formula>
    </cfRule>
    <cfRule type="cellIs" priority="4" operator="greaterThanOrEqual" dxfId="0">
      <formula>40</formula>
    </cfRule>
  </conditionalFormatting>
  <conditionalFormatting sqref="M28:Q29 P26:Q26">
    <cfRule type="expression" priority="5" dxfId="2">
      <formula>$E$6=33</formula>
    </cfRule>
    <cfRule type="expression" priority="6" dxfId="2">
      <formula>$E$6=20</formula>
    </cfRule>
    <cfRule type="expression" priority="7" dxfId="2">
      <formula>$E$6=18</formula>
    </cfRule>
    <cfRule type="expression" priority="8" dxfId="2">
      <formula>$E$6=12</formula>
    </cfRule>
    <cfRule type="expression" priority="9" dxfId="2">
      <formula>$E$6=10</formula>
    </cfRule>
  </conditionalFormatting>
  <conditionalFormatting sqref="C31">
    <cfRule type="cellIs" priority="1" operator="greaterThanOrEqual" dxfId="1">
      <formula>50.5</formula>
    </cfRule>
    <cfRule type="cellIs" priority="2" operator="greaterThanOrEqual" dxfId="0">
      <formula>45</formula>
    </cfRule>
  </conditionalFormatting>
  <dataValidations disablePrompts="1" count="4">
    <dataValidation sqref="I5" showDropDown="0" showInputMessage="1" showErrorMessage="1" allowBlank="1" type="list">
      <formula1>"1,3,5,7,9"</formula1>
    </dataValidation>
    <dataValidation sqref="D6" showDropDown="0" showInputMessage="1" showErrorMessage="1" allowBlank="1" type="list">
      <formula1>"ขาว,ดำ"</formula1>
    </dataValidation>
    <dataValidation sqref="E6" showDropDown="0" showInputMessage="1" showErrorMessage="1" allowBlank="1" type="list">
      <formula1>"5,6,8,10,12,14,16,18,20,29,30,33"</formula1>
    </dataValidation>
    <dataValidation sqref="I7" showDropDown="0" showInputMessage="1" showErrorMessage="1" allowBlank="1" type="list">
      <formula1>"2,4,6,8,10"</formula1>
    </dataValidation>
  </dataValidations>
  <printOptions horizontalCentered="1"/>
  <pageMargins left="0" right="0" top="0.4724409448818898" bottom="0" header="0.3149606299212598" footer="0.3149606299212598"/>
  <pageSetup orientation="landscape" scale="54"/>
</worksheet>
</file>

<file path=xl/worksheets/sheet44.xml><?xml version="1.0" encoding="utf-8"?>
<worksheet xmlns="http://schemas.openxmlformats.org/spreadsheetml/2006/main">
  <sheetPr codeName="Sheet43">
    <tabColor rgb="FFFF0000"/>
    <outlinePr summaryBelow="1" summaryRight="1"/>
    <pageSetUpPr/>
  </sheetPr>
  <dimension ref="A1:AS44"/>
  <sheetViews>
    <sheetView view="pageBreakPreview" topLeftCell="B10" zoomScale="70" zoomScaleNormal="55" zoomScaleSheetLayoutView="70" workbookViewId="0">
      <selection activeCell="J19" sqref="J19:J22"/>
    </sheetView>
  </sheetViews>
  <sheetFormatPr baseColWidth="8" defaultColWidth="8.8984375" defaultRowHeight="13.8"/>
  <cols>
    <col width="8.69921875" customWidth="1" style="6" min="1" max="1"/>
    <col width="30.3984375" bestFit="1" customWidth="1" style="16" min="2" max="2"/>
    <col width="16" customWidth="1" style="16" min="3" max="3"/>
    <col width="13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10.09765625" bestFit="1" customWidth="1" style="17" min="9" max="9"/>
    <col width="8.69921875" customWidth="1" style="17" min="10" max="10"/>
    <col width="5.699218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outlineLevel="1" width="8.69921875" customWidth="1" style="6" min="22" max="22"/>
    <col outlineLevel="1" width="35.69921875" customWidth="1" style="6" min="23" max="23"/>
    <col outlineLevel="1" width="10.69921875" customWidth="1" style="6" min="24" max="28"/>
    <col outlineLevel="1" width="22" customWidth="1" style="6" min="29" max="29"/>
    <col outlineLevel="1" width="10.69921875" customWidth="1" style="6" min="30" max="32"/>
    <col outlineLevel="1" width="23.69921875" customWidth="1" style="6" min="33" max="33"/>
    <col outlineLevel="1" width="10.69921875" customWidth="1" style="6" min="34" max="35"/>
    <col outlineLevel="1" width="8.8984375" customWidth="1" style="6" min="36" max="37"/>
    <col outlineLevel="1" width="10.69921875" customWidth="1" style="6" min="38" max="38"/>
    <col outlineLevel="1" width="22" customWidth="1" style="6" min="39" max="39"/>
    <col outlineLevel="1" width="10.69921875" customWidth="1" style="6" min="40" max="42"/>
    <col outlineLevel="1" width="23.69921875" customWidth="1" style="6" min="43" max="43"/>
    <col outlineLevel="1" width="10.69921875" customWidth="1" style="6" min="44" max="45"/>
    <col outlineLevel="1" width="8.8984375" customWidth="1" style="6" min="46" max="46"/>
    <col width="9.09765625" customWidth="1" style="92" min="47" max="47"/>
    <col width="8.8984375" customWidth="1" style="6" min="48" max="16384"/>
  </cols>
  <sheetData>
    <row r="1" ht="19.95" customHeight="1" s="92">
      <c r="A1" s="1" t="n"/>
      <c r="H1" s="194" t="n"/>
      <c r="I1" s="101" t="inlineStr">
        <is>
          <t>Quantity</t>
        </is>
      </c>
      <c r="J1" s="101" t="n">
        <v>1</v>
      </c>
    </row>
    <row r="2" ht="19.95" customHeight="1" s="92">
      <c r="A2" s="7" t="n"/>
      <c r="C2" s="157" t="inlineStr">
        <is>
          <t xml:space="preserve">ใบงาน : </t>
        </is>
      </c>
      <c r="D2" s="6" t="n"/>
      <c r="E2" s="6" t="n"/>
      <c r="F2" s="6" t="n"/>
      <c r="J2" s="112" t="inlineStr">
        <is>
          <t>H</t>
        </is>
      </c>
    </row>
    <row r="3" ht="19.95" customHeight="1" s="92">
      <c r="G3" s="6" t="n"/>
      <c r="H3" s="6" t="n"/>
      <c r="I3" s="6" t="n"/>
      <c r="J3" s="101" t="n">
        <v>2700</v>
      </c>
      <c r="AA3" s="17" t="n"/>
    </row>
    <row r="4" ht="19.95" customHeight="1" s="92">
      <c r="G4" s="17" t="n"/>
      <c r="H4" s="110" t="inlineStr">
        <is>
          <t>บานคี่ เปิด</t>
        </is>
      </c>
      <c r="I4" s="111" t="inlineStr">
        <is>
          <t>จำนวนบาน</t>
        </is>
      </c>
      <c r="J4" s="112" t="inlineStr">
        <is>
          <t>W</t>
        </is>
      </c>
      <c r="K4" s="17" t="n"/>
    </row>
    <row r="5" ht="19.95" customHeight="1" s="92">
      <c r="D5" s="213" t="inlineStr">
        <is>
          <t>สีฮาร์ดแวร์</t>
        </is>
      </c>
      <c r="E5" s="213" t="inlineStr">
        <is>
          <t>GLASS กระจก</t>
        </is>
      </c>
      <c r="F5" s="196" t="n"/>
      <c r="G5" s="17" t="n"/>
      <c r="H5" s="17" t="n"/>
      <c r="I5" s="101" t="n">
        <v>5</v>
      </c>
      <c r="J5" s="101" t="n">
        <v>3000</v>
      </c>
    </row>
    <row r="6" ht="19.95" customHeight="1" s="92">
      <c r="D6" s="214" t="inlineStr">
        <is>
          <t>ขาว</t>
        </is>
      </c>
      <c r="E6" s="214" t="n">
        <v>6</v>
      </c>
      <c r="F6" s="196" t="n"/>
      <c r="G6" s="17" t="n"/>
      <c r="H6" s="110" t="inlineStr">
        <is>
          <t>บานคี่ ปิด</t>
        </is>
      </c>
      <c r="I6" s="111" t="inlineStr">
        <is>
          <t>จำนวนบาน</t>
        </is>
      </c>
      <c r="J6" s="112" t="inlineStr">
        <is>
          <t>W</t>
        </is>
      </c>
      <c r="T6" s="79" t="n"/>
    </row>
    <row r="7" ht="19.95" customHeight="1" s="92">
      <c r="G7" s="17" t="n"/>
      <c r="H7" s="17" t="n"/>
      <c r="I7" s="101" t="n">
        <v>9</v>
      </c>
      <c r="J7" s="101" t="n">
        <v>3000</v>
      </c>
    </row>
    <row r="8" ht="19.95" customFormat="1" customHeight="1" s="9" thickBot="1">
      <c r="A8" s="148" t="inlineStr">
        <is>
          <t>Die list  รายการดาย</t>
        </is>
      </c>
      <c r="B8" s="198" t="n"/>
      <c r="C8" s="198" t="n"/>
      <c r="D8" s="198" t="n"/>
      <c r="E8" s="198" t="n"/>
      <c r="F8" s="198" t="n"/>
      <c r="G8" s="198" t="n"/>
      <c r="H8" s="198" t="n"/>
      <c r="I8" s="198" t="n"/>
      <c r="J8" s="199" t="n"/>
      <c r="K8" s="19" t="n"/>
      <c r="L8" s="148" t="inlineStr">
        <is>
          <t>Parts list รายการฮาร์ดแวร์</t>
        </is>
      </c>
      <c r="M8" s="198" t="n"/>
      <c r="N8" s="198" t="n"/>
      <c r="O8" s="198" t="n"/>
      <c r="P8" s="198" t="n"/>
      <c r="Q8" s="199" t="n"/>
      <c r="W8" s="6" t="n"/>
      <c r="X8" s="6" t="n"/>
      <c r="Y8" s="6" t="n"/>
      <c r="Z8" s="6" t="n"/>
    </row>
    <row r="9" ht="40.2" customHeight="1" s="92" thickBot="1" thickTop="1">
      <c r="A9" s="20" t="inlineStr">
        <is>
          <t>No.</t>
        </is>
      </c>
      <c r="B9" s="20" t="inlineStr">
        <is>
          <t>ชื่อ</t>
        </is>
      </c>
      <c r="C9" s="20" t="inlineStr">
        <is>
          <t>หน้าดาย</t>
        </is>
      </c>
      <c r="D9" s="20" t="inlineStr">
        <is>
          <t>เบอร์ดาย</t>
        </is>
      </c>
      <c r="E9" s="20" t="inlineStr">
        <is>
          <t>น้ำหนัก</t>
        </is>
      </c>
      <c r="F9" s="22" t="inlineStr">
        <is>
          <t>จำนวน
/ชุด</t>
        </is>
      </c>
      <c r="G9" s="20" t="inlineStr">
        <is>
          <t>สูตรตัด</t>
        </is>
      </c>
      <c r="H9" s="200" t="inlineStr">
        <is>
          <t>ระยะตัด</t>
        </is>
      </c>
      <c r="I9" s="22" t="inlineStr">
        <is>
          <t>จำนวน
รวม</t>
        </is>
      </c>
      <c r="J9" s="22" t="inlineStr">
        <is>
          <t>เส้น 
6.4</t>
        </is>
      </c>
      <c r="K9" s="23" t="n"/>
      <c r="L9" s="20" t="inlineStr">
        <is>
          <t>No.</t>
        </is>
      </c>
      <c r="M9" s="20" t="inlineStr">
        <is>
          <t>ชื่อ</t>
        </is>
      </c>
      <c r="N9" s="20" t="inlineStr">
        <is>
          <t>รูป</t>
        </is>
      </c>
      <c r="O9" s="20" t="inlineStr">
        <is>
          <t>สี</t>
        </is>
      </c>
      <c r="P9" s="22" t="inlineStr">
        <is>
          <t>จำนวน
/ชุด</t>
        </is>
      </c>
      <c r="Q9" s="20" t="inlineStr">
        <is>
          <t>รวม</t>
        </is>
      </c>
      <c r="R9" s="201" t="inlineStr">
        <is>
          <t>บาท/ชิ้น</t>
        </is>
      </c>
      <c r="V9" s="81" t="inlineStr">
        <is>
          <t>บานคี่ เปิด</t>
        </is>
      </c>
      <c r="X9" s="104" t="n">
        <v>1</v>
      </c>
      <c r="Y9" s="105" t="n">
        <v>3</v>
      </c>
      <c r="Z9" s="105" t="n">
        <v>5</v>
      </c>
      <c r="AA9" s="105" t="n">
        <v>7</v>
      </c>
      <c r="AB9" s="106" t="n">
        <v>9</v>
      </c>
      <c r="AC9" s="75" t="inlineStr">
        <is>
          <t>บานคู่ ปิด</t>
        </is>
      </c>
      <c r="AD9" s="104" t="n">
        <v>1</v>
      </c>
      <c r="AE9" s="105" t="n">
        <v>3</v>
      </c>
      <c r="AF9" s="105" t="n">
        <v>5</v>
      </c>
      <c r="AG9" s="105" t="n">
        <v>7</v>
      </c>
      <c r="AH9" s="106" t="n">
        <v>9</v>
      </c>
    </row>
    <row r="10" ht="34.95" customHeight="1" s="92" thickTop="1">
      <c r="A10" s="161" t="n">
        <v>1</v>
      </c>
      <c r="B10" s="56" t="inlineStr">
        <is>
          <t>เฟรมบนบานเฟี้ยม (บานคี่ เปิด)</t>
        </is>
      </c>
      <c r="C10" s="161" t="n"/>
      <c r="D10" s="161" t="inlineStr">
        <is>
          <t>F7968</t>
        </is>
      </c>
      <c r="E10" s="161" t="n">
        <v>2.767</v>
      </c>
      <c r="F10" s="161" t="n">
        <v>1</v>
      </c>
      <c r="G10" s="161" t="inlineStr">
        <is>
          <t>W A-18</t>
        </is>
      </c>
      <c r="H10" s="202">
        <f>$J$5-18</f>
        <v/>
      </c>
      <c r="I10" s="161">
        <f>F10*$J$1</f>
        <v/>
      </c>
      <c r="J10" s="161">
        <f>ROUNDUP(((H10*I10)+(H11*I11))/6400,0)</f>
        <v/>
      </c>
      <c r="L10" s="161" t="n">
        <v>1</v>
      </c>
      <c r="M10" s="29" t="inlineStr">
        <is>
          <t>HD-640 บานพับล้อบนเฟี้ยม</t>
        </is>
      </c>
      <c r="N10" s="161" t="n"/>
      <c r="O10" s="161">
        <f>IF($D$6="ขาว","ขาว","ดำ")</f>
        <v/>
      </c>
      <c r="P10" s="109">
        <f>IF(AND($I$5=1,$I$7=1),X10+AD10,"")&amp;IF(AND($I$5=1,$I$7=3),X10+AE10,"")&amp;IF(AND($I$5=1,$I$7=5),X10+AF10,"")&amp;IF(AND($I$5=1,$I$7=7),X10+AG10,"")&amp;IF(AND($I$5=1,$I$7=9),X10+AH10,"")&amp;IF(AND($I$5=3,$I$7=1),Y10+AD10,"")&amp;IF(AND($I$5=3,$I$7=3),Y10+AE10,"")&amp;IF(AND($I$5=3,$I$7=5),Y10+AF10,"")&amp;IF(AND($I$5=3,$I$7=7),Y10+AG10,"")&amp;IF(AND($I$5=3,$I$7=9),Y10+AH10,"")&amp;IF(AND($I$5=5,$I$7=1),Z10+AD10,"")&amp;IF(AND($I$5=5,$I$7=3),Z10+AE10,"")&amp;IF(AND($I$5=5,$I$7=5),Z10+AF10,"")&amp;IF(AND($I$5=5,$I$7=7),Z10+AG10,"")&amp;IF(AND($I$5=5,$I$7=9),Z10+AH10,"")&amp;IF(AND($I$5=7,$I$7=1),AA10+AD10,"")&amp;IF(AND($I$5=7,$I$7=3),AA10+AE10,"")&amp;IF(AND($I$5=7,$I$7=5),AA10+AF10,"")&amp;IF(AND($I$5=7,$I$7=7),AA10+AG10,"")&amp;IF(AND($I$5=7,$I$7=9),AA10+AH10,"")&amp;IF(AND($I$5=9,$I$7=1),AB10+AD10,"")&amp;IF(AND($I$5=9,$I$7=3),AB10+AE10,"")&amp;IF(AND($I$5=9,$I$7=5),AB10+AF10,"")&amp;IF(AND($I$5=9,$I$7=7),AB10+AG10,"")&amp;IF(AND($I$5=9,$I$7=9),AB10+AH10,"")</f>
        <v/>
      </c>
      <c r="Q10" s="161">
        <f>$J$1*P10</f>
        <v/>
      </c>
      <c r="R10" s="193" t="n">
        <v>299</v>
      </c>
      <c r="V10" s="98" t="n">
        <v>1</v>
      </c>
      <c r="W10" s="99" t="inlineStr">
        <is>
          <t>HD-640 บานพับล้อบนเฟี้ยม</t>
        </is>
      </c>
      <c r="X10" s="100" t="n">
        <v>0</v>
      </c>
      <c r="Y10" s="103" t="n">
        <v>1</v>
      </c>
      <c r="Z10" s="103" t="n">
        <v>2</v>
      </c>
      <c r="AA10" s="103" t="n">
        <v>3</v>
      </c>
      <c r="AB10" s="103" t="n">
        <v>4</v>
      </c>
      <c r="AC10" s="102" t="n"/>
      <c r="AD10" s="100" t="n">
        <v>0</v>
      </c>
      <c r="AE10" s="103" t="n">
        <v>1</v>
      </c>
      <c r="AF10" s="103" t="n">
        <v>2</v>
      </c>
      <c r="AG10" s="103" t="n">
        <v>3</v>
      </c>
      <c r="AH10" s="103" t="n">
        <v>4</v>
      </c>
    </row>
    <row r="11" ht="34.95" customHeight="1" s="92">
      <c r="A11" s="203" t="n"/>
      <c r="B11" s="56" t="inlineStr">
        <is>
          <t>เฟรมบนบานเฟี้ยม  (บานคี่ ปิด)</t>
        </is>
      </c>
      <c r="C11" s="203" t="n"/>
      <c r="D11" s="203" t="n"/>
      <c r="E11" s="203" t="n"/>
      <c r="F11" s="161" t="n">
        <v>1</v>
      </c>
      <c r="G11" s="161" t="inlineStr">
        <is>
          <t>W B-18</t>
        </is>
      </c>
      <c r="H11" s="202">
        <f>$J$7-18</f>
        <v/>
      </c>
      <c r="I11" s="161">
        <f>F11*$J$1</f>
        <v/>
      </c>
      <c r="J11" s="203" t="n"/>
      <c r="L11" s="161" t="n">
        <v>2</v>
      </c>
      <c r="M11" s="29" t="inlineStr">
        <is>
          <t>HD-641 บานพับเฟี้ยม</t>
        </is>
      </c>
      <c r="N11" s="161" t="n"/>
      <c r="O11" s="161">
        <f>IF($D$6="ขาว","ขาว","ดำ")</f>
        <v/>
      </c>
      <c r="P11" s="109">
        <f>IF(AND($I$5=1,$I$7=1),X11+AD11,"")&amp;IF(AND($I$5=1,$I$7=3),X11+AE11,"")&amp;IF(AND($I$5=1,$I$7=5),X11+AF11,"")&amp;IF(AND($I$5=1,$I$7=7),X11+AG11,"")&amp;IF(AND($I$5=1,$I$7=9),X11+AH11,"")&amp;IF(AND($I$5=3,$I$7=1),Y11+AD11,"")&amp;IF(AND($I$5=3,$I$7=3),Y11+AE11,"")&amp;IF(AND($I$5=3,$I$7=5),Y11+AF11,"")&amp;IF(AND($I$5=3,$I$7=7),Y11+AG11,"")&amp;IF(AND($I$5=3,$I$7=9),Y11+AH11,"")&amp;IF(AND($I$5=5,$I$7=1),Z11+AD11,"")&amp;IF(AND($I$5=5,$I$7=3),Z11+AE11,"")&amp;IF(AND($I$5=5,$I$7=5),Z11+AF11,"")&amp;IF(AND($I$5=5,$I$7=7),Z11+AG11,"")&amp;IF(AND($I$5=5,$I$7=9),Z11+AH11,"")&amp;IF(AND($I$5=7,$I$7=1),AA11+AD11,"")&amp;IF(AND($I$5=7,$I$7=3),AA11+AE11,"")&amp;IF(AND($I$5=7,$I$7=5),AA11+AF11,"")&amp;IF(AND($I$5=7,$I$7=7),AA11+AG11,"")&amp;IF(AND($I$5=7,$I$7=9),AA11+AH11,"")&amp;IF(AND($I$5=9,$I$7=1),AB11+AD11,"")&amp;IF(AND($I$5=9,$I$7=3),AB11+AE11,"")&amp;IF(AND($I$5=9,$I$7=5),AB11+AF11,"")&amp;IF(AND($I$5=9,$I$7=7),AB11+AG11,"")&amp;IF(AND($I$5=9,$I$7=9),AB11+AH11,"")</f>
        <v/>
      </c>
      <c r="Q11" s="161">
        <f>$J$1*P11</f>
        <v/>
      </c>
      <c r="R11" s="193" t="n">
        <v>72</v>
      </c>
      <c r="V11" s="98" t="n">
        <v>2</v>
      </c>
      <c r="W11" s="99" t="inlineStr">
        <is>
          <t>HD-641 บานพับเฟี้ยม</t>
        </is>
      </c>
      <c r="X11" s="101">
        <f>IF($J$3&lt;=2700,3,4)</f>
        <v/>
      </c>
      <c r="Y11" s="101">
        <f>IF($J$3&lt;=2700,7,10)</f>
        <v/>
      </c>
      <c r="Z11" s="101">
        <f>IF($J$3&lt;=2700,11,16)</f>
        <v/>
      </c>
      <c r="AA11" s="101">
        <f>IF($J$3&lt;=2700,15,22)</f>
        <v/>
      </c>
      <c r="AB11" s="101">
        <f>IF($J$3&lt;=2700,19,28)</f>
        <v/>
      </c>
      <c r="AC11" s="102" t="n"/>
      <c r="AD11" s="101">
        <f>IF($J$3&lt;=2700,3,4)</f>
        <v/>
      </c>
      <c r="AE11" s="101">
        <f>IF($J$3&lt;=2700,7,10)</f>
        <v/>
      </c>
      <c r="AF11" s="101">
        <f>IF($J$3&lt;=2700,11,16)</f>
        <v/>
      </c>
      <c r="AG11" s="101">
        <f>IF($J$3&lt;=2700,15,22)</f>
        <v/>
      </c>
      <c r="AH11" s="101">
        <f>IF($J$3&lt;=2700,19,28)</f>
        <v/>
      </c>
    </row>
    <row r="12" ht="34.95" customHeight="1" s="92">
      <c r="A12" s="153" t="n">
        <v>2</v>
      </c>
      <c r="B12" s="46" t="inlineStr">
        <is>
          <t>รางยู (บานคี่ เปิด)</t>
        </is>
      </c>
      <c r="C12" s="153" t="n"/>
      <c r="D12" s="153" t="inlineStr">
        <is>
          <t>F7932</t>
        </is>
      </c>
      <c r="E12" s="153" t="n">
        <v>0.303</v>
      </c>
      <c r="F12" s="153" t="n">
        <v>1</v>
      </c>
      <c r="G12" s="153" t="inlineStr">
        <is>
          <t>W A-18</t>
        </is>
      </c>
      <c r="H12" s="204">
        <f>$J$5-18</f>
        <v/>
      </c>
      <c r="I12" s="153">
        <f>F12*$J$1</f>
        <v/>
      </c>
      <c r="J12" s="153">
        <f>ROUNDUP(((H12*I12)+(H13*I13))/6400,0)</f>
        <v/>
      </c>
      <c r="L12" s="161" t="n">
        <v>3</v>
      </c>
      <c r="M12" s="29" t="inlineStr">
        <is>
          <t>HD-642 บานพับมือจับเฟี้ยม</t>
        </is>
      </c>
      <c r="N12" s="161" t="n"/>
      <c r="O12" s="161">
        <f>IF($D$6="ขาว","ขาว","ดำ")</f>
        <v/>
      </c>
      <c r="P12" s="109">
        <f>IF(AND($I$5=1,$I$7=1),X12+AD12,"")&amp;IF(AND($I$5=1,$I$7=3),X12+AE12,"")&amp;IF(AND($I$5=1,$I$7=5),X12+AF12,"")&amp;IF(AND($I$5=1,$I$7=7),X12+AG12,"")&amp;IF(AND($I$5=1,$I$7=9),X12+AH12,"")&amp;IF(AND($I$5=3,$I$7=1),Y12+AD12,"")&amp;IF(AND($I$5=3,$I$7=3),Y12+AE12,"")&amp;IF(AND($I$5=3,$I$7=5),Y12+AF12,"")&amp;IF(AND($I$5=3,$I$7=7),Y12+AG12,"")&amp;IF(AND($I$5=3,$I$7=9),Y12+AH12,"")&amp;IF(AND($I$5=5,$I$7=1),Z12+AD12,"")&amp;IF(AND($I$5=5,$I$7=3),Z12+AE12,"")&amp;IF(AND($I$5=5,$I$7=5),Z12+AF12,"")&amp;IF(AND($I$5=5,$I$7=7),Z12+AG12,"")&amp;IF(AND($I$5=5,$I$7=9),Z12+AH12,"")&amp;IF(AND($I$5=7,$I$7=1),AA12+AD12,"")&amp;IF(AND($I$5=7,$I$7=3),AA12+AE12,"")&amp;IF(AND($I$5=7,$I$7=5),AA12+AF12,"")&amp;IF(AND($I$5=7,$I$7=7),AA12+AG12,"")&amp;IF(AND($I$5=7,$I$7=9),AA12+AH12,"")&amp;IF(AND($I$5=9,$I$7=1),AB12+AD12,"")&amp;IF(AND($I$5=9,$I$7=3),AB12+AE12,"")&amp;IF(AND($I$5=9,$I$7=5),AB12+AF12,"")&amp;IF(AND($I$5=9,$I$7=7),AB12+AG12,"")&amp;IF(AND($I$5=9,$I$7=9),AB12+AH12,"")</f>
        <v/>
      </c>
      <c r="Q12" s="161">
        <f>$J$1*P12</f>
        <v/>
      </c>
      <c r="R12" s="193" t="n">
        <v>109</v>
      </c>
      <c r="V12" s="98" t="n">
        <v>3</v>
      </c>
      <c r="W12" s="99" t="inlineStr">
        <is>
          <t>HD-642 บานพับมือจับเฟี้ยม</t>
        </is>
      </c>
      <c r="X12" s="98" t="n">
        <v>0</v>
      </c>
      <c r="Y12" s="101" t="n">
        <v>1</v>
      </c>
      <c r="Z12" s="101" t="n">
        <v>2</v>
      </c>
      <c r="AA12" s="101" t="n">
        <v>3</v>
      </c>
      <c r="AB12" s="101" t="n">
        <v>4</v>
      </c>
      <c r="AC12" s="102" t="n"/>
      <c r="AD12" s="98" t="n">
        <v>0</v>
      </c>
      <c r="AE12" s="101" t="n">
        <v>1</v>
      </c>
      <c r="AF12" s="101" t="n">
        <v>2</v>
      </c>
      <c r="AG12" s="101" t="n">
        <v>3</v>
      </c>
      <c r="AH12" s="101" t="n">
        <v>4</v>
      </c>
    </row>
    <row r="13" ht="34.95" customHeight="1" s="92">
      <c r="A13" s="203" t="n"/>
      <c r="B13" s="46" t="inlineStr">
        <is>
          <t>รางยู (บานคี่ ปิด)</t>
        </is>
      </c>
      <c r="C13" s="203" t="n"/>
      <c r="D13" s="203" t="n"/>
      <c r="E13" s="203" t="n"/>
      <c r="F13" s="153" t="n">
        <v>1</v>
      </c>
      <c r="G13" s="153" t="inlineStr">
        <is>
          <t>W B-18</t>
        </is>
      </c>
      <c r="H13" s="204">
        <f>$J$7-18</f>
        <v/>
      </c>
      <c r="I13" s="153">
        <f>F13*$J$1</f>
        <v/>
      </c>
      <c r="J13" s="203" t="n"/>
      <c r="L13" s="161" t="n">
        <v>4</v>
      </c>
      <c r="M13" s="29" t="inlineStr">
        <is>
          <t>HD-643 บานพับไกด์ล่างเฟี้ยม</t>
        </is>
      </c>
      <c r="N13" s="161" t="n"/>
      <c r="O13" s="161">
        <f>IF($D$6="ขาว","ขาว","ดำ")</f>
        <v/>
      </c>
      <c r="P13" s="109">
        <f>IF(AND($I$5=1,$I$7=1),X13+AD13,"")&amp;IF(AND($I$5=1,$I$7=3),X13+AE13,"")&amp;IF(AND($I$5=1,$I$7=5),X13+AF13,"")&amp;IF(AND($I$5=1,$I$7=7),X13+AG13,"")&amp;IF(AND($I$5=1,$I$7=9),X13+AH13,"")&amp;IF(AND($I$5=3,$I$7=1),Y13+AD13,"")&amp;IF(AND($I$5=3,$I$7=3),Y13+AE13,"")&amp;IF(AND($I$5=3,$I$7=5),Y13+AF13,"")&amp;IF(AND($I$5=3,$I$7=7),Y13+AG13,"")&amp;IF(AND($I$5=3,$I$7=9),Y13+AH13,"")&amp;IF(AND($I$5=5,$I$7=1),Z13+AD13,"")&amp;IF(AND($I$5=5,$I$7=3),Z13+AE13,"")&amp;IF(AND($I$5=5,$I$7=5),Z13+AF13,"")&amp;IF(AND($I$5=5,$I$7=7),Z13+AG13,"")&amp;IF(AND($I$5=5,$I$7=9),Z13+AH13,"")&amp;IF(AND($I$5=7,$I$7=1),AA13+AD13,"")&amp;IF(AND($I$5=7,$I$7=3),AA13+AE13,"")&amp;IF(AND($I$5=7,$I$7=5),AA13+AF13,"")&amp;IF(AND($I$5=7,$I$7=7),AA13+AG13,"")&amp;IF(AND($I$5=7,$I$7=9),AA13+AH13,"")&amp;IF(AND($I$5=9,$I$7=1),AB13+AD13,"")&amp;IF(AND($I$5=9,$I$7=3),AB13+AE13,"")&amp;IF(AND($I$5=9,$I$7=5),AB13+AF13,"")&amp;IF(AND($I$5=9,$I$7=7),AB13+AG13,"")&amp;IF(AND($I$5=9,$I$7=9),AB13+AH13,"")</f>
        <v/>
      </c>
      <c r="Q13" s="161">
        <f>$J$1*P13</f>
        <v/>
      </c>
      <c r="R13" s="193" t="n">
        <v>199</v>
      </c>
      <c r="V13" s="98" t="n">
        <v>4</v>
      </c>
      <c r="W13" s="99" t="inlineStr">
        <is>
          <t>HD-643 บานพับไกด์ล่างเฟี้ยม</t>
        </is>
      </c>
      <c r="X13" s="98" t="n">
        <v>0</v>
      </c>
      <c r="Y13" s="101" t="n">
        <v>1</v>
      </c>
      <c r="Z13" s="101" t="n">
        <v>2</v>
      </c>
      <c r="AA13" s="101" t="n">
        <v>3</v>
      </c>
      <c r="AB13" s="101" t="n">
        <v>4</v>
      </c>
      <c r="AC13" s="102" t="n"/>
      <c r="AD13" s="98" t="n">
        <v>0</v>
      </c>
      <c r="AE13" s="101" t="n">
        <v>1</v>
      </c>
      <c r="AF13" s="101" t="n">
        <v>2</v>
      </c>
      <c r="AG13" s="101" t="n">
        <v>3</v>
      </c>
      <c r="AH13" s="101" t="n">
        <v>4</v>
      </c>
    </row>
    <row r="14" ht="34.95" customHeight="1" s="92">
      <c r="A14" s="161" t="n">
        <v>3</v>
      </c>
      <c r="B14" s="56" t="inlineStr">
        <is>
          <t>เฟรมข้างบานเฟี้ยม</t>
        </is>
      </c>
      <c r="C14" s="56" t="n"/>
      <c r="D14" s="161" t="inlineStr">
        <is>
          <t>F7970</t>
        </is>
      </c>
      <c r="E14" s="161" t="n">
        <v>0.9340000000000001</v>
      </c>
      <c r="F14" s="161" t="n">
        <v>2</v>
      </c>
      <c r="G14" s="161" t="inlineStr">
        <is>
          <t>H</t>
        </is>
      </c>
      <c r="H14" s="202">
        <f>$J$3</f>
        <v/>
      </c>
      <c r="I14" s="161">
        <f>F14*$J$1</f>
        <v/>
      </c>
      <c r="J14" s="161">
        <f>ROUNDUP((H14*I14)/6400,0)</f>
        <v/>
      </c>
      <c r="L14" s="161" t="n">
        <v>5</v>
      </c>
      <c r="M14" s="29" t="inlineStr">
        <is>
          <t>HD-474 มือจับกลอนรุ่นก้านโยก</t>
        </is>
      </c>
      <c r="N14" s="161" t="n"/>
      <c r="O14" s="161">
        <f>IF($D$6="ขาว","ขาว","ดำ")</f>
        <v/>
      </c>
      <c r="P14" s="109">
        <f>IF(AND($I$5=1,$I$7=1),X14+AD14,"")&amp;IF(AND($I$5=1,$I$7=3),X14+AE14,"")&amp;IF(AND($I$5=1,$I$7=5),X14+AF14,"")&amp;IF(AND($I$5=1,$I$7=7),X14+AG14,"")&amp;IF(AND($I$5=1,$I$7=9),X14+AH14,"")&amp;IF(AND($I$5=3,$I$7=1),Y14+AD14,"")&amp;IF(AND($I$5=3,$I$7=3),Y14+AE14,"")&amp;IF(AND($I$5=3,$I$7=5),Y14+AF14,"")&amp;IF(AND($I$5=3,$I$7=7),Y14+AG14,"")&amp;IF(AND($I$5=3,$I$7=9),Y14+AH14,"")&amp;IF(AND($I$5=5,$I$7=1),Z14+AD14,"")&amp;IF(AND($I$5=5,$I$7=3),Z14+AE14,"")&amp;IF(AND($I$5=5,$I$7=5),Z14+AF14,"")&amp;IF(AND($I$5=5,$I$7=7),Z14+AG14,"")&amp;IF(AND($I$5=5,$I$7=9),Z14+AH14,"")&amp;IF(AND($I$5=7,$I$7=1),AA14+AD14,"")&amp;IF(AND($I$5=7,$I$7=3),AA14+AE14,"")&amp;IF(AND($I$5=7,$I$7=5),AA14+AF14,"")&amp;IF(AND($I$5=7,$I$7=7),AA14+AG14,"")&amp;IF(AND($I$5=7,$I$7=9),AA14+AH14,"")&amp;IF(AND($I$5=9,$I$7=1),AB14+AD14,"")&amp;IF(AND($I$5=9,$I$7=3),AB14+AE14,"")&amp;IF(AND($I$5=9,$I$7=5),AB14+AF14,"")&amp;IF(AND($I$5=9,$I$7=7),AB14+AG14,"")&amp;IF(AND($I$5=9,$I$7=9),AB14+AH14,"")</f>
        <v/>
      </c>
      <c r="Q14" s="161">
        <f>$J$1*P14</f>
        <v/>
      </c>
      <c r="R14" s="193" t="n">
        <v>85</v>
      </c>
      <c r="V14" s="98" t="n">
        <v>5</v>
      </c>
      <c r="W14" s="99" t="inlineStr">
        <is>
          <t>HD-474 มือจับกลอนรุ่นก้านโยก</t>
        </is>
      </c>
      <c r="X14" s="98" t="n">
        <v>0</v>
      </c>
      <c r="Y14" s="101" t="n">
        <v>1</v>
      </c>
      <c r="Z14" s="101" t="n">
        <v>2</v>
      </c>
      <c r="AA14" s="101" t="n">
        <v>3</v>
      </c>
      <c r="AB14" s="101" t="n">
        <v>4</v>
      </c>
      <c r="AC14" s="102" t="n"/>
      <c r="AD14" s="98" t="n">
        <v>0</v>
      </c>
      <c r="AE14" s="101" t="n">
        <v>1</v>
      </c>
      <c r="AF14" s="101" t="n">
        <v>2</v>
      </c>
      <c r="AG14" s="101" t="n">
        <v>3</v>
      </c>
      <c r="AH14" s="101" t="n">
        <v>4</v>
      </c>
    </row>
    <row r="15" ht="34.95" customHeight="1" s="92">
      <c r="A15" s="161" t="n">
        <v>4</v>
      </c>
      <c r="B15" s="56" t="inlineStr">
        <is>
          <t>คิ้วตบเฟรมข้าง</t>
        </is>
      </c>
      <c r="C15" s="56" t="n"/>
      <c r="D15" s="161" t="inlineStr">
        <is>
          <t>F7971</t>
        </is>
      </c>
      <c r="E15" s="161" t="n">
        <v>0.4</v>
      </c>
      <c r="F15" s="161" t="n">
        <v>2</v>
      </c>
      <c r="G15" s="161" t="inlineStr">
        <is>
          <t>H-75</t>
        </is>
      </c>
      <c r="H15" s="202">
        <f>$J$3-75</f>
        <v/>
      </c>
      <c r="I15" s="161">
        <f>F15*$J$1</f>
        <v/>
      </c>
      <c r="J15" s="161">
        <f>ROUNDUP((H15*I15)/6400,0)</f>
        <v/>
      </c>
      <c r="L15" s="161" t="n">
        <v>6</v>
      </c>
      <c r="M15" s="29" t="inlineStr">
        <is>
          <t>HD-312 ตลับกลอนก้านโยกมัลติล็อค</t>
        </is>
      </c>
      <c r="N15" s="161" t="n"/>
      <c r="O15" s="161">
        <f>IF($D$6="ขาว","ขาว","ดำ")</f>
        <v/>
      </c>
      <c r="P15" s="109">
        <f>IF(AND($I$5=1,$I$7=1),X15+AD15,"")&amp;IF(AND($I$5=1,$I$7=3),X15+AE15,"")&amp;IF(AND($I$5=1,$I$7=5),X15+AF15,"")&amp;IF(AND($I$5=1,$I$7=7),X15+AG15,"")&amp;IF(AND($I$5=1,$I$7=9),X15+AH15,"")&amp;IF(AND($I$5=3,$I$7=1),Y15+AD15,"")&amp;IF(AND($I$5=3,$I$7=3),Y15+AE15,"")&amp;IF(AND($I$5=3,$I$7=5),Y15+AF15,"")&amp;IF(AND($I$5=3,$I$7=7),Y15+AG15,"")&amp;IF(AND($I$5=3,$I$7=9),Y15+AH15,"")&amp;IF(AND($I$5=5,$I$7=1),Z15+AD15,"")&amp;IF(AND($I$5=5,$I$7=3),Z15+AE15,"")&amp;IF(AND($I$5=5,$I$7=5),Z15+AF15,"")&amp;IF(AND($I$5=5,$I$7=7),Z15+AG15,"")&amp;IF(AND($I$5=5,$I$7=9),Z15+AH15,"")&amp;IF(AND($I$5=7,$I$7=1),AA15+AD15,"")&amp;IF(AND($I$5=7,$I$7=3),AA15+AE15,"")&amp;IF(AND($I$5=7,$I$7=5),AA15+AF15,"")&amp;IF(AND($I$5=7,$I$7=7),AA15+AG15,"")&amp;IF(AND($I$5=7,$I$7=9),AA15+AH15,"")&amp;IF(AND($I$5=9,$I$7=1),AB15+AD15,"")&amp;IF(AND($I$5=9,$I$7=3),AB15+AE15,"")&amp;IF(AND($I$5=9,$I$7=5),AB15+AF15,"")&amp;IF(AND($I$5=9,$I$7=7),AB15+AG15,"")&amp;IF(AND($I$5=9,$I$7=9),AB15+AH15,"")</f>
        <v/>
      </c>
      <c r="Q15" s="161">
        <f>$J$1*P15</f>
        <v/>
      </c>
      <c r="R15" s="193" t="n">
        <v>88</v>
      </c>
      <c r="V15" s="98" t="n">
        <v>6</v>
      </c>
      <c r="W15" s="99" t="inlineStr">
        <is>
          <t>HD-312 ตลับกลอนก้านโยกมัลติล็อค</t>
        </is>
      </c>
      <c r="X15" s="98" t="n">
        <v>0</v>
      </c>
      <c r="Y15" s="101" t="n">
        <v>1</v>
      </c>
      <c r="Z15" s="101" t="n">
        <v>2</v>
      </c>
      <c r="AA15" s="101" t="n">
        <v>3</v>
      </c>
      <c r="AB15" s="101" t="n">
        <v>4</v>
      </c>
      <c r="AC15" s="102" t="n"/>
      <c r="AD15" s="98" t="n">
        <v>0</v>
      </c>
      <c r="AE15" s="101" t="n">
        <v>1</v>
      </c>
      <c r="AF15" s="101" t="n">
        <v>2</v>
      </c>
      <c r="AG15" s="101" t="n">
        <v>3</v>
      </c>
      <c r="AH15" s="101" t="n">
        <v>4</v>
      </c>
    </row>
    <row r="16" ht="34.95" customHeight="1" s="92">
      <c r="A16" s="153" t="n">
        <v>5</v>
      </c>
      <c r="B16" s="46" t="inlineStr">
        <is>
          <t>ตบปิดเฟรม (ตั้ง)</t>
        </is>
      </c>
      <c r="C16" s="153" t="n"/>
      <c r="D16" s="153" t="inlineStr">
        <is>
          <t>F7973</t>
        </is>
      </c>
      <c r="E16" s="153" t="n">
        <v>0.19</v>
      </c>
      <c r="F16" s="153" t="n">
        <v>2</v>
      </c>
      <c r="G16" s="153" t="inlineStr">
        <is>
          <t>H-75</t>
        </is>
      </c>
      <c r="H16" s="204">
        <f>$J$3-75</f>
        <v/>
      </c>
      <c r="I16" s="153">
        <f>F16*$J$1</f>
        <v/>
      </c>
      <c r="J16" s="153">
        <f>ROUNDUP(((H16*I16)+(H17*I17)+(H18*I18))/6400,0)</f>
        <v/>
      </c>
      <c r="L16" s="161" t="n">
        <v>7</v>
      </c>
      <c r="M16" s="29" t="inlineStr">
        <is>
          <t>HD-1180 ก้าน AL สไลด์ 19.5 mm</t>
        </is>
      </c>
      <c r="N16" s="161" t="n"/>
      <c r="O16" s="161">
        <f>IF($D$6="ขาว","ขาว","ดำ")</f>
        <v/>
      </c>
      <c r="P16" s="109">
        <f>IF(AND($I$5=1,$I$7=1),X16+AD16,"")&amp;IF(AND($I$5=1,$I$7=3),X16+AE16,"")&amp;IF(AND($I$5=1,$I$7=5),X16+AF16,"")&amp;IF(AND($I$5=1,$I$7=7),X16+AG16,"")&amp;IF(AND($I$5=1,$I$7=9),X16+AH16,"")&amp;IF(AND($I$5=3,$I$7=1),Y16+AD16,"")&amp;IF(AND($I$5=3,$I$7=3),Y16+AE16,"")&amp;IF(AND($I$5=3,$I$7=5),Y16+AF16,"")&amp;IF(AND($I$5=3,$I$7=7),Y16+AG16,"")&amp;IF(AND($I$5=3,$I$7=9),Y16+AH16,"")&amp;IF(AND($I$5=5,$I$7=1),Z16+AD16,"")&amp;IF(AND($I$5=5,$I$7=3),Z16+AE16,"")&amp;IF(AND($I$5=5,$I$7=5),Z16+AF16,"")&amp;IF(AND($I$5=5,$I$7=7),Z16+AG16,"")&amp;IF(AND($I$5=5,$I$7=9),Z16+AH16,"")&amp;IF(AND($I$5=7,$I$7=1),AA16+AD16,"")&amp;IF(AND($I$5=7,$I$7=3),AA16+AE16,"")&amp;IF(AND($I$5=7,$I$7=5),AA16+AF16,"")&amp;IF(AND($I$5=7,$I$7=7),AA16+AG16,"")&amp;IF(AND($I$5=7,$I$7=9),AA16+AH16,"")&amp;IF(AND($I$5=9,$I$7=1),AB16+AD16,"")&amp;IF(AND($I$5=9,$I$7=3),AB16+AE16,"")&amp;IF(AND($I$5=9,$I$7=5),AB16+AF16,"")&amp;IF(AND($I$5=9,$I$7=7),AB16+AG16,"")&amp;IF(AND($I$5=9,$I$7=9),AB16+AH16,"")</f>
        <v/>
      </c>
      <c r="Q16" s="161">
        <f>$J$1*P16</f>
        <v/>
      </c>
      <c r="R16" s="193" t="n">
        <v>73</v>
      </c>
      <c r="S16" s="6">
        <f>((H19*I19)/1000)*E19</f>
        <v/>
      </c>
      <c r="V16" s="98" t="n">
        <v>7</v>
      </c>
      <c r="W16" s="99" t="inlineStr">
        <is>
          <t>HD-1180 ก้าน AL สไลด์ 19.5 mm</t>
        </is>
      </c>
      <c r="X16" s="98" t="n">
        <v>0</v>
      </c>
      <c r="Y16" s="101">
        <f>Y15*2</f>
        <v/>
      </c>
      <c r="Z16" s="101">
        <f>Z15*2</f>
        <v/>
      </c>
      <c r="AA16" s="101">
        <f>AA15*2</f>
        <v/>
      </c>
      <c r="AB16" s="101">
        <f>AB15*2</f>
        <v/>
      </c>
      <c r="AC16" s="102" t="n"/>
      <c r="AD16" s="98" t="n">
        <v>0</v>
      </c>
      <c r="AE16" s="101">
        <f>AE15*2</f>
        <v/>
      </c>
      <c r="AF16" s="101">
        <f>AF15*2</f>
        <v/>
      </c>
      <c r="AG16" s="101">
        <f>AG15*2</f>
        <v/>
      </c>
      <c r="AH16" s="101">
        <f>AH15*2</f>
        <v/>
      </c>
    </row>
    <row r="17" ht="34.95" customHeight="1" s="92">
      <c r="A17" s="205" t="n"/>
      <c r="B17" s="46" t="inlineStr">
        <is>
          <t>ตบปิดเฟรม (นอน) (บานคี่ เปิด)</t>
        </is>
      </c>
      <c r="C17" s="205" t="n"/>
      <c r="D17" s="205" t="n"/>
      <c r="E17" s="205" t="n"/>
      <c r="F17" s="153" t="n">
        <v>1</v>
      </c>
      <c r="G17" s="153" t="inlineStr">
        <is>
          <t>W A-18-58</t>
        </is>
      </c>
      <c r="H17" s="204">
        <f>$J$5-18-58</f>
        <v/>
      </c>
      <c r="I17" s="153">
        <f>F17*$J$1</f>
        <v/>
      </c>
      <c r="J17" s="205" t="n"/>
      <c r="L17" s="161" t="n">
        <v>12</v>
      </c>
      <c r="M17" s="29" t="inlineStr">
        <is>
          <t>HD-213 ฉากเข้ามุมปรับได้</t>
        </is>
      </c>
      <c r="N17" s="30" t="n"/>
      <c r="O17" s="161" t="inlineStr">
        <is>
          <t>-</t>
        </is>
      </c>
      <c r="P17" s="109">
        <f>IF(AND($I$5=1,$I$7=1),X17+AD17,"")&amp;IF(AND($I$5=1,$I$7=3),X17+AE17,"")&amp;IF(AND($I$5=1,$I$7=5),X17+AF17,"")&amp;IF(AND($I$5=1,$I$7=7),X17+AG17,"")&amp;IF(AND($I$5=1,$I$7=9),X17+AH17,"")&amp;IF(AND($I$5=3,$I$7=1),Y17+AD17,"")&amp;IF(AND($I$5=3,$I$7=3),Y17+AE17,"")&amp;IF(AND($I$5=3,$I$7=5),Y17+AF17,"")&amp;IF(AND($I$5=3,$I$7=7),Y17+AG17,"")&amp;IF(AND($I$5=3,$I$7=9),Y17+AH17,"")&amp;IF(AND($I$5=5,$I$7=1),Z17+AD17,"")&amp;IF(AND($I$5=5,$I$7=3),Z17+AE17,"")&amp;IF(AND($I$5=5,$I$7=5),Z17+AF17,"")&amp;IF(AND($I$5=5,$I$7=7),Z17+AG17,"")&amp;IF(AND($I$5=5,$I$7=9),Z17+AH17,"")&amp;IF(AND($I$5=7,$I$7=1),AA17+AD17,"")&amp;IF(AND($I$5=7,$I$7=3),AA17+AE17,"")&amp;IF(AND($I$5=7,$I$7=5),AA17+AF17,"")&amp;IF(AND($I$5=7,$I$7=7),AA17+AG17,"")&amp;IF(AND($I$5=7,$I$7=9),AA17+AH17,"")&amp;IF(AND($I$5=9,$I$7=1),AB17+AD17,"")&amp;IF(AND($I$5=9,$I$7=3),AB17+AE17,"")&amp;IF(AND($I$5=9,$I$7=5),AB17+AF17,"")&amp;IF(AND($I$5=9,$I$7=7),AB17+AG17,"")&amp;IF(AND($I$5=9,$I$7=9),AB17+AH17,"")</f>
        <v/>
      </c>
      <c r="Q17" s="161">
        <f>$J$1*P17</f>
        <v/>
      </c>
      <c r="R17" s="193" t="n">
        <v>15</v>
      </c>
      <c r="S17" s="6">
        <f>((H21*I21)/1000)*E21</f>
        <v/>
      </c>
      <c r="V17" s="98" t="n">
        <v>12</v>
      </c>
      <c r="W17" s="99" t="inlineStr">
        <is>
          <t>HD-213 ฉากเข้ามุมปรับได้</t>
        </is>
      </c>
      <c r="X17" s="98">
        <f>X$9*4</f>
        <v/>
      </c>
      <c r="Y17" s="98">
        <f>Y$9*4</f>
        <v/>
      </c>
      <c r="Z17" s="98">
        <f>Z$9*4</f>
        <v/>
      </c>
      <c r="AA17" s="98">
        <f>AA$9*4</f>
        <v/>
      </c>
      <c r="AB17" s="98">
        <f>AB$9*4</f>
        <v/>
      </c>
      <c r="AC17" s="102" t="n"/>
      <c r="AD17" s="98">
        <f>AD$9*4</f>
        <v/>
      </c>
      <c r="AE17" s="98">
        <f>AE$9*4</f>
        <v/>
      </c>
      <c r="AF17" s="98">
        <f>AF$9*4</f>
        <v/>
      </c>
      <c r="AG17" s="98">
        <f>AG$9*4</f>
        <v/>
      </c>
      <c r="AH17" s="98">
        <f>AH$9*4</f>
        <v/>
      </c>
    </row>
    <row r="18" ht="34.95" customHeight="1" s="92">
      <c r="A18" s="203" t="n"/>
      <c r="B18" s="46" t="inlineStr">
        <is>
          <t>ตบปิดเฟรม (นอน) (บานคี่ ปิด)</t>
        </is>
      </c>
      <c r="C18" s="203" t="n"/>
      <c r="D18" s="203" t="n"/>
      <c r="E18" s="203" t="n"/>
      <c r="F18" s="153" t="n">
        <v>1</v>
      </c>
      <c r="G18" s="153" t="inlineStr">
        <is>
          <t>W B-18-58</t>
        </is>
      </c>
      <c r="H18" s="204">
        <f>$J$7-18-58</f>
        <v/>
      </c>
      <c r="I18" s="153">
        <f>F18*$J$1</f>
        <v/>
      </c>
      <c r="J18" s="203" t="n"/>
      <c r="L18" s="161" t="n">
        <v>13</v>
      </c>
      <c r="M18" s="29" t="inlineStr">
        <is>
          <t>HD-200 ฉากประคองมุม</t>
        </is>
      </c>
      <c r="N18" s="30" t="n"/>
      <c r="O18" s="161" t="inlineStr">
        <is>
          <t>-</t>
        </is>
      </c>
      <c r="P18" s="109">
        <f>IF(AND($I$5=1,$I$7=1),X18+AD18,"")&amp;IF(AND($I$5=1,$I$7=3),X18+AE18,"")&amp;IF(AND($I$5=1,$I$7=5),X18+AF18,"")&amp;IF(AND($I$5=1,$I$7=7),X18+AG18,"")&amp;IF(AND($I$5=1,$I$7=9),X18+AH18,"")&amp;IF(AND($I$5=3,$I$7=1),Y18+AD18,"")&amp;IF(AND($I$5=3,$I$7=3),Y18+AE18,"")&amp;IF(AND($I$5=3,$I$7=5),Y18+AF18,"")&amp;IF(AND($I$5=3,$I$7=7),Y18+AG18,"")&amp;IF(AND($I$5=3,$I$7=9),Y18+AH18,"")&amp;IF(AND($I$5=5,$I$7=1),Z18+AD18,"")&amp;IF(AND($I$5=5,$I$7=3),Z18+AE18,"")&amp;IF(AND($I$5=5,$I$7=5),Z18+AF18,"")&amp;IF(AND($I$5=5,$I$7=7),Z18+AG18,"")&amp;IF(AND($I$5=5,$I$7=9),Z18+AH18,"")&amp;IF(AND($I$5=7,$I$7=1),AA18+AD18,"")&amp;IF(AND($I$5=7,$I$7=3),AA18+AE18,"")&amp;IF(AND($I$5=7,$I$7=5),AA18+AF18,"")&amp;IF(AND($I$5=7,$I$7=7),AA18+AG18,"")&amp;IF(AND($I$5=7,$I$7=9),AA18+AH18,"")&amp;IF(AND($I$5=9,$I$7=1),AB18+AD18,"")&amp;IF(AND($I$5=9,$I$7=3),AB18+AE18,"")&amp;IF(AND($I$5=9,$I$7=5),AB18+AF18,"")&amp;IF(AND($I$5=9,$I$7=7),AB18+AG18,"")&amp;IF(AND($I$5=9,$I$7=9),AB18+AH18,"")</f>
        <v/>
      </c>
      <c r="Q18" s="161">
        <f>$J$1*P18</f>
        <v/>
      </c>
      <c r="R18" s="193" t="n">
        <v>1.5</v>
      </c>
      <c r="V18" s="98" t="n">
        <v>13</v>
      </c>
      <c r="W18" s="99" t="inlineStr">
        <is>
          <t>HD-200 ฉากประคองมุม</t>
        </is>
      </c>
      <c r="X18" s="98">
        <f>X$9*12</f>
        <v/>
      </c>
      <c r="Y18" s="98">
        <f>Y$9*12</f>
        <v/>
      </c>
      <c r="Z18" s="98">
        <f>Z$9*12</f>
        <v/>
      </c>
      <c r="AA18" s="98">
        <f>AA$9*12</f>
        <v/>
      </c>
      <c r="AB18" s="98">
        <f>AB$9*12</f>
        <v/>
      </c>
      <c r="AC18" s="102" t="n"/>
      <c r="AD18" s="98">
        <f>AD$9*12</f>
        <v/>
      </c>
      <c r="AE18" s="98">
        <f>AE$9*12</f>
        <v/>
      </c>
      <c r="AF18" s="98">
        <f>AF$9*12</f>
        <v/>
      </c>
      <c r="AG18" s="98">
        <f>AG$9*12</f>
        <v/>
      </c>
      <c r="AH18" s="98">
        <f>AH$9*12</f>
        <v/>
      </c>
    </row>
    <row r="19" ht="34.95" customHeight="1" s="92">
      <c r="A19" s="161" t="n">
        <v>6</v>
      </c>
      <c r="B19" s="56" t="inlineStr">
        <is>
          <t>กรอบบานเฟี้ยม (ตั้ง) (บานคี่ เปิด)</t>
        </is>
      </c>
      <c r="C19" s="161" t="n"/>
      <c r="D19" s="161" t="inlineStr">
        <is>
          <t>F7972</t>
        </is>
      </c>
      <c r="E19" s="161" t="n">
        <v>1.466</v>
      </c>
      <c r="F19" s="161">
        <f>IF($I$5=1,$AP$25,IF($I$5=3,$AP$26,IF($I$5=5,$AP$27,IF($I$5=7,$AP$28,IF($I$5=9,$AP$29,)))))</f>
        <v/>
      </c>
      <c r="G19" s="161" t="inlineStr">
        <is>
          <t>H-55-7-7</t>
        </is>
      </c>
      <c r="H19" s="202">
        <f>$J$3-55-7-7</f>
        <v/>
      </c>
      <c r="I19" s="161">
        <f>F19*$J$1</f>
        <v/>
      </c>
      <c r="J19" s="161">
        <f>ROUNDUP(((H19*I19)+(H20*I20)+(H21*I21+(H22*I22)))/6400,0)</f>
        <v/>
      </c>
      <c r="L19" s="161" t="n">
        <v>14</v>
      </c>
      <c r="M19" s="12" t="inlineStr">
        <is>
          <t>HD-481A มือจับก้านโยกกุญแจ</t>
        </is>
      </c>
      <c r="N19" s="161" t="n"/>
      <c r="O19" s="161">
        <f>IF($D$6="ขาว","ขาว","ดำ")</f>
        <v/>
      </c>
      <c r="P19" s="161" t="n">
        <v>1</v>
      </c>
      <c r="Q19" s="161">
        <f>$J$1*P19</f>
        <v/>
      </c>
    </row>
    <row r="20" ht="34.95" customHeight="1" s="92">
      <c r="A20" s="205" t="n"/>
      <c r="B20" s="56" t="inlineStr">
        <is>
          <t>กรอบบานเฟี้ยม (ตั้ง) (บานคี่ ปิด)</t>
        </is>
      </c>
      <c r="C20" s="203" t="n"/>
      <c r="D20" s="205" t="n"/>
      <c r="E20" s="205" t="n"/>
      <c r="F20" s="161">
        <f>IF($I$7=1,$AF$25,IF($I$7=3,$AF$26,IF($I$7=5,$AF$27,IF($I$7=7,$AF$28,IF($I$7=9,$AF$29,)))))</f>
        <v/>
      </c>
      <c r="G20" s="161" t="inlineStr">
        <is>
          <t>H-55-7-7</t>
        </is>
      </c>
      <c r="H20" s="202">
        <f>$J$3-55-7-7</f>
        <v/>
      </c>
      <c r="I20" s="161">
        <f>F20*$J$1</f>
        <v/>
      </c>
      <c r="J20" s="205" t="n"/>
      <c r="L20" s="161" t="n">
        <v>15</v>
      </c>
      <c r="M20" s="12" t="inlineStr">
        <is>
          <t>HD-1115 แป้นรับล็อคบานเปิด</t>
        </is>
      </c>
      <c r="N20" s="161" t="n"/>
      <c r="O20" s="161" t="inlineStr">
        <is>
          <t>-</t>
        </is>
      </c>
      <c r="P20" s="161" t="n">
        <v>1</v>
      </c>
      <c r="Q20" s="161">
        <f>$J$1*P20</f>
        <v/>
      </c>
      <c r="S20" s="6">
        <f>((H23*I23)/1000)*E23</f>
        <v/>
      </c>
    </row>
    <row r="21" ht="34.95" customHeight="1" s="92">
      <c r="A21" s="205" t="n"/>
      <c r="B21" s="56" t="inlineStr">
        <is>
          <t>กรอบบานเฟี้ยม (ขวาง) (บานคี่ เปิด)</t>
        </is>
      </c>
      <c r="C21" s="161" t="n"/>
      <c r="D21" s="205" t="n"/>
      <c r="E21" s="205" t="n"/>
      <c r="F21" s="161">
        <f>IF($I$5=1,$AP$25,IF($I$5=3,$AP$26,IF($I$5=5,$AP$27,IF($I$5=7,$AP$28,IF($I$5=9,$AP$29,)))))</f>
        <v/>
      </c>
      <c r="G21" s="161">
        <f>IF($I$5=1,$AQ$25,IF($I$5=3,$AQ$26,IF($I$5=5,$AQ$27,IF($I$5=7,$AQ$28,IF($I$5=9,$AQ$29,)))))</f>
        <v/>
      </c>
      <c r="H21" s="202">
        <f>IF($I$5=1,$AR$25,IF($I$5=3,$AR$26,IF($I$5=5,$AR$27,IF($I$5=7,$AR$28,IF($I$5=9,$AR$29,)))))</f>
        <v/>
      </c>
      <c r="I21" s="161">
        <f>F21*$J$1</f>
        <v/>
      </c>
      <c r="J21" s="205" t="n"/>
      <c r="L21" s="161" t="n">
        <v>16</v>
      </c>
      <c r="M21" s="12" t="inlineStr">
        <is>
          <t>HD-850 ตลับกุญแจมัลติล็อค (L35)</t>
        </is>
      </c>
      <c r="N21" s="161" t="n"/>
      <c r="O21" s="161" t="inlineStr">
        <is>
          <t>-</t>
        </is>
      </c>
      <c r="P21" s="161" t="n">
        <v>1</v>
      </c>
      <c r="Q21" s="161">
        <f>$J$1*P21</f>
        <v/>
      </c>
      <c r="S21" s="6">
        <f>((H25*I25)/1000)*E25</f>
        <v/>
      </c>
    </row>
    <row r="22" ht="34.95" customHeight="1" s="92">
      <c r="A22" s="203" t="n"/>
      <c r="B22" s="56" t="inlineStr">
        <is>
          <t>กรอบบานเฟี้ยม (ขวาง) (บานคี่ ปิด)</t>
        </is>
      </c>
      <c r="C22" s="203" t="n"/>
      <c r="D22" s="203" t="n"/>
      <c r="E22" s="203" t="n"/>
      <c r="F22" s="161">
        <f>IF($I$7=1,$AF$25,IF($I$7=3,$AF$26,IF($I$7=5,$AF$27,IF($I$7=7,$AF$28,IF($I$7=9,$AF$29,)))))</f>
        <v/>
      </c>
      <c r="G22" s="161">
        <f>IF($I$7=2,$AG$25,IF($I$7=4,$AG$26,IF($I$7=6,$AG$27,IF($I$7=8,$AG$28,IF($I$7=10,$AG$29,)))))</f>
        <v/>
      </c>
      <c r="H22" s="202">
        <f>IF($I$7=2,$AH$25,IF($I$7=4,$AH$26,IF($I$7=6,$AH$27,IF($I$7=8,$AH$28,IF($I$7=10,$AH$29,)))))</f>
        <v/>
      </c>
      <c r="I22" s="161">
        <f>F22*$J$1</f>
        <v/>
      </c>
      <c r="J22" s="203" t="n"/>
      <c r="L22" s="161" t="n">
        <v>17</v>
      </c>
      <c r="M22" s="56" t="inlineStr">
        <is>
          <t>HD-803 ไส้กุญแจ1หน้า คาบ้า (L75)</t>
        </is>
      </c>
      <c r="N22" s="161" t="n"/>
      <c r="O22" s="161" t="inlineStr">
        <is>
          <t>-</t>
        </is>
      </c>
      <c r="P22" s="161" t="n">
        <v>1</v>
      </c>
      <c r="Q22" s="161">
        <f>$J$1*P22</f>
        <v/>
      </c>
    </row>
    <row r="23" ht="34.95" customHeight="1" s="92">
      <c r="A23" s="153" t="n">
        <v>7</v>
      </c>
      <c r="B23" s="46">
        <f>IF($E$6&lt;=12,W33,IF($E$6&lt;=20,W35,W37))</f>
        <v/>
      </c>
      <c r="C23" s="153" t="n"/>
      <c r="D23" s="153">
        <f>IF($E$6&lt;=12,X26,IF($E$6&lt;=20,X28,X30))</f>
        <v/>
      </c>
      <c r="E23" s="153">
        <f>IF($E$6&lt;=12,Y26,IF($E$6&lt;=20,Y28,Y30))</f>
        <v/>
      </c>
      <c r="F23" s="161">
        <f>IF($I$5=1,$AP$25,IF($I$5=3,$AP$26,IF($I$5=5,$AP$27,IF($I$5=7,$AP$28,IF($I$5=9,$AP$29,)))))</f>
        <v/>
      </c>
      <c r="G23" s="153" t="inlineStr">
        <is>
          <t>SH-80-80</t>
        </is>
      </c>
      <c r="H23" s="204">
        <f>$H$19-80-80</f>
        <v/>
      </c>
      <c r="I23" s="153">
        <f>F23*$J$1</f>
        <v/>
      </c>
      <c r="J23" s="153">
        <f>ROUNDUP(((H23*I23)+(H24*I24)+(H25*I25+(H26*I26)))/6400,0)</f>
        <v/>
      </c>
      <c r="L23" s="161" t="n">
        <v>18</v>
      </c>
      <c r="M23" s="61" t="inlineStr">
        <is>
          <t>HD-305  กลอนบานเฟี้ยม</t>
        </is>
      </c>
      <c r="N23" s="60" t="n"/>
      <c r="O23" s="161">
        <f>IF($D$6="ขาว","ขาว","ดำ")</f>
        <v/>
      </c>
      <c r="P23" s="161" t="n">
        <v>2</v>
      </c>
      <c r="Q23" s="161">
        <f>$J$1*P23</f>
        <v/>
      </c>
      <c r="W23" s="81" t="inlineStr">
        <is>
          <t>คิ้ว</t>
        </is>
      </c>
      <c r="AB23" s="75" t="inlineStr">
        <is>
          <t>ขวาง</t>
        </is>
      </c>
    </row>
    <row r="24" ht="34.95" customHeight="1" s="92">
      <c r="A24" s="205" t="n"/>
      <c r="B24" s="46">
        <f>IF($E$6&lt;=12,W26,IF($E$6&lt;=20,W28,W30))</f>
        <v/>
      </c>
      <c r="C24" s="203" t="n"/>
      <c r="D24" s="205" t="n"/>
      <c r="E24" s="205" t="n"/>
      <c r="F24" s="161">
        <f>IF($I$7=1,$AF$25,IF($I$7=3,$AF$26,IF($I$7=5,$AF$27,IF($I$7=7,$AF$28,IF($I$7=9,$AF$29,)))))</f>
        <v/>
      </c>
      <c r="G24" s="153" t="inlineStr">
        <is>
          <t>SH-80-80</t>
        </is>
      </c>
      <c r="H24" s="204">
        <f>$H$20-80-80</f>
        <v/>
      </c>
      <c r="I24" s="153">
        <f>F24*$J$1</f>
        <v/>
      </c>
      <c r="J24" s="205" t="n"/>
      <c r="L24" s="161" t="n">
        <v>19</v>
      </c>
      <c r="M24" s="12" t="inlineStr">
        <is>
          <t>จุดรับล็อค แบบสกรู</t>
        </is>
      </c>
      <c r="N24" s="60" t="n"/>
      <c r="O24" s="161" t="inlineStr">
        <is>
          <t>-</t>
        </is>
      </c>
      <c r="P24" s="161">
        <f>IF($J$3&lt;=2700,3,4)</f>
        <v/>
      </c>
      <c r="Q24" s="161">
        <f>$J$1*P24</f>
        <v/>
      </c>
      <c r="W24" s="81" t="inlineStr">
        <is>
          <t>บานคี่ ปิด</t>
        </is>
      </c>
      <c r="AB24" s="81" t="inlineStr">
        <is>
          <t>บานคี่ ปิด</t>
        </is>
      </c>
      <c r="AC24" s="75" t="n"/>
      <c r="AD24" s="75" t="n"/>
      <c r="AL24" s="75" t="inlineStr">
        <is>
          <t>บานคี่ เปิด</t>
        </is>
      </c>
      <c r="AM24" s="75" t="n"/>
      <c r="AN24" s="75" t="n"/>
    </row>
    <row r="25" ht="34.95" customHeight="1" s="92">
      <c r="A25" s="205" t="n"/>
      <c r="B25" s="46">
        <f>IF($E$6&lt;=12,W34,IF($E$6&lt;=20,W36,W38))</f>
        <v/>
      </c>
      <c r="C25" s="153" t="n"/>
      <c r="D25" s="205" t="n"/>
      <c r="E25" s="205" t="n"/>
      <c r="F25" s="161">
        <f>IF($I$5=1,$AP$25,IF($I$5=3,$AP$26,IF($I$5=5,$AP$27,IF($I$5=7,$AP$28,IF($I$5=9,$AP$29,)))))</f>
        <v/>
      </c>
      <c r="G25" s="153" t="inlineStr">
        <is>
          <t>SW-60-60</t>
        </is>
      </c>
      <c r="H25" s="204">
        <f>$H$21-60-60</f>
        <v/>
      </c>
      <c r="I25" s="153">
        <f>F25*$J$1</f>
        <v/>
      </c>
      <c r="J25" s="205" t="n"/>
      <c r="L25" s="161" t="n">
        <v>20</v>
      </c>
      <c r="M25" s="12" t="inlineStr">
        <is>
          <t>หมุดล็อค 9 x 9 (KIN LONG)</t>
        </is>
      </c>
      <c r="N25" s="60" t="n"/>
      <c r="O25" s="161" t="n"/>
      <c r="P25" s="161">
        <f>IF($J$3&lt;=2700,3,4)</f>
        <v/>
      </c>
      <c r="Q25" s="161">
        <f>$J$1*P25</f>
        <v/>
      </c>
      <c r="W25" s="8" t="inlineStr">
        <is>
          <t>ชื่อ</t>
        </is>
      </c>
      <c r="X25" s="8" t="inlineStr">
        <is>
          <t>เบอร์ดาย</t>
        </is>
      </c>
      <c r="Y25" s="8" t="inlineStr">
        <is>
          <t>น้ำหนัก</t>
        </is>
      </c>
      <c r="AB25" s="153" t="n">
        <v>1</v>
      </c>
      <c r="AC25" s="46" t="inlineStr">
        <is>
          <t>กรอบบานเฟี้ยม (บานคู่)</t>
        </is>
      </c>
      <c r="AD25" s="153" t="inlineStr">
        <is>
          <t>F7972</t>
        </is>
      </c>
      <c r="AE25" s="153" t="n">
        <v>1.466</v>
      </c>
      <c r="AF25" s="153">
        <f>2*AB25</f>
        <v/>
      </c>
      <c r="AG25" s="59" t="inlineStr">
        <is>
          <t>W-18-9.5-62</t>
        </is>
      </c>
      <c r="AH25" s="204">
        <f>$J$5-18-9.5-62</f>
        <v/>
      </c>
      <c r="AI25" s="153">
        <f>AF25*$J$1</f>
        <v/>
      </c>
      <c r="AL25" s="153" t="n">
        <v>1</v>
      </c>
      <c r="AM25" s="46" t="inlineStr">
        <is>
          <t>กรอบบานเฟี้ยม (บานคี่)</t>
        </is>
      </c>
      <c r="AN25" s="153" t="inlineStr">
        <is>
          <t>F7972</t>
        </is>
      </c>
      <c r="AO25" s="153" t="n">
        <v>1.466</v>
      </c>
      <c r="AP25" s="153">
        <f>2*AL25</f>
        <v/>
      </c>
      <c r="AQ25" s="59" t="inlineStr">
        <is>
          <t>W-18-9.5-77</t>
        </is>
      </c>
      <c r="AR25" s="204">
        <f>($J$5-18-9.5-77)</f>
        <v/>
      </c>
      <c r="AS25" s="153">
        <f>AP25*$J$1</f>
        <v/>
      </c>
    </row>
    <row r="26" ht="34.95" customHeight="1" s="92">
      <c r="A26" s="203" t="n"/>
      <c r="B26" s="46">
        <f>IF($E$6&lt;=12,W27,IF($E$6&lt;=20,W29,W31))</f>
        <v/>
      </c>
      <c r="C26" s="203" t="n"/>
      <c r="D26" s="203" t="n"/>
      <c r="E26" s="203" t="n"/>
      <c r="F26" s="161">
        <f>IF($I$7=1,$AF$25,IF($I$7=3,$AF$26,IF($I$7=5,$AF$27,IF($I$7=7,$AF$28,IF($I$7=9,$AF$29,)))))</f>
        <v/>
      </c>
      <c r="G26" s="153" t="inlineStr">
        <is>
          <t>SW-60-60</t>
        </is>
      </c>
      <c r="H26" s="204">
        <f>$H$22-60-60</f>
        <v/>
      </c>
      <c r="I26" s="153">
        <f>F26*$J$1</f>
        <v/>
      </c>
      <c r="J26" s="203" t="n"/>
      <c r="L26" s="161" t="n">
        <v>21</v>
      </c>
      <c r="M26" s="68" t="inlineStr">
        <is>
          <t>ก้านสไลด์มัลติพ้อย (F7800 ฟูจิ) 
หรือตลาด</t>
        </is>
      </c>
      <c r="N26" s="60" t="n"/>
      <c r="O26" s="161" t="n"/>
      <c r="P26" s="215">
        <f>ROUNDDOWN($H$19/1000,1)</f>
        <v/>
      </c>
      <c r="Q26" s="215">
        <f>$J$1*P26</f>
        <v/>
      </c>
      <c r="W26" s="12" t="inlineStr">
        <is>
          <t>คิ้วกระจก5-12มิล (ตั้ง) (บานคี่ ปิด)</t>
        </is>
      </c>
      <c r="X26" s="11" t="inlineStr">
        <is>
          <t>F7935</t>
        </is>
      </c>
      <c r="Y26" s="11" t="n">
        <v>0.285</v>
      </c>
      <c r="AB26" s="153" t="n">
        <v>3</v>
      </c>
      <c r="AC26" s="46" t="inlineStr">
        <is>
          <t>กรอบบานเฟี้ยม (บานคู่)</t>
        </is>
      </c>
      <c r="AD26" s="153" t="inlineStr">
        <is>
          <t>F7972</t>
        </is>
      </c>
      <c r="AE26" s="153" t="n">
        <v>1.466</v>
      </c>
      <c r="AF26" s="153">
        <f>2*AB26</f>
        <v/>
      </c>
      <c r="AG26" s="59" t="inlineStr">
        <is>
          <t>(W-18-9.5-(8x2)-62)/3</t>
        </is>
      </c>
      <c r="AH26" s="204">
        <f>($J$5-18-9.5-(8*2)-62)/AB26</f>
        <v/>
      </c>
      <c r="AI26" s="153">
        <f>AF26*$J$1</f>
        <v/>
      </c>
      <c r="AL26" s="153" t="n">
        <v>3</v>
      </c>
      <c r="AM26" s="46" t="inlineStr">
        <is>
          <t>กรอบบานเฟี้ยม (บานคี่)</t>
        </is>
      </c>
      <c r="AN26" s="153" t="inlineStr">
        <is>
          <t>F7972</t>
        </is>
      </c>
      <c r="AO26" s="153" t="n">
        <v>1.466</v>
      </c>
      <c r="AP26" s="153">
        <f>2*AL26</f>
        <v/>
      </c>
      <c r="AQ26" s="59" t="inlineStr">
        <is>
          <t>(W-18-9.5-(8x2)-77)/3</t>
        </is>
      </c>
      <c r="AR26" s="204">
        <f>($J$5-18-9.5-(8*2)-77)/AL26</f>
        <v/>
      </c>
      <c r="AS26" s="153">
        <f>AP26*$J$1</f>
        <v/>
      </c>
    </row>
    <row r="27" ht="34.95" customHeight="1" s="92">
      <c r="A27" s="161" t="n">
        <v>8</v>
      </c>
      <c r="B27" s="56" t="inlineStr">
        <is>
          <t>บังใบ</t>
        </is>
      </c>
      <c r="C27" s="56" t="n"/>
      <c r="D27" s="161" t="inlineStr">
        <is>
          <t>F7975</t>
        </is>
      </c>
      <c r="E27" s="161" t="n">
        <v>0.452</v>
      </c>
      <c r="F27" s="161" t="n">
        <v>2</v>
      </c>
      <c r="G27" s="161" t="inlineStr">
        <is>
          <t>HS</t>
        </is>
      </c>
      <c r="H27" s="202">
        <f>$H$19</f>
        <v/>
      </c>
      <c r="I27" s="161">
        <f>F27*$J$1</f>
        <v/>
      </c>
      <c r="J27" s="161">
        <f>ROUNDUP((H27*I27)/6400,0)</f>
        <v/>
      </c>
      <c r="L27" s="153" t="n">
        <v>22</v>
      </c>
      <c r="M27" s="43" t="inlineStr">
        <is>
          <t>ยางลูกโป่ง 6mm</t>
        </is>
      </c>
      <c r="N27" s="58" t="n"/>
      <c r="O27" s="153" t="inlineStr">
        <is>
          <t>-</t>
        </is>
      </c>
      <c r="P27" s="206">
        <f>(($H$10*$I$10)+($H$11*$I$11)+($H$14*$I$14)+($H$15*$I$15)+($H$19*$I$19*2)+($H$20*$I$20*2)+($H$21*$I$21*2)+($H$22*$I$22*2)+($H$27*$I$27)+($H$28*$I$28*2)-($H$19*2))/1000</f>
        <v/>
      </c>
      <c r="Q27" s="206">
        <f>$J$1*P27</f>
        <v/>
      </c>
      <c r="S27" s="6">
        <f>O32*P32*6*Q32*2.5/1000000</f>
        <v/>
      </c>
      <c r="W27" s="12" t="inlineStr">
        <is>
          <t>คิ้วกระจก5-12มิล (ขวาง) (บานคี่ ปิด)</t>
        </is>
      </c>
      <c r="X27" s="11" t="inlineStr">
        <is>
          <t>F7935</t>
        </is>
      </c>
      <c r="Y27" s="11" t="n">
        <v>0.285</v>
      </c>
      <c r="AB27" s="153" t="n">
        <v>5</v>
      </c>
      <c r="AC27" s="46" t="inlineStr">
        <is>
          <t>กรอบบานเฟี้ยม (บานคู่)</t>
        </is>
      </c>
      <c r="AD27" s="153" t="inlineStr">
        <is>
          <t>F7972</t>
        </is>
      </c>
      <c r="AE27" s="153" t="n">
        <v>1.466</v>
      </c>
      <c r="AF27" s="153">
        <f>2*AB27</f>
        <v/>
      </c>
      <c r="AG27" s="59" t="inlineStr">
        <is>
          <t>(W-18-9.5-(8x4)-62)/5</t>
        </is>
      </c>
      <c r="AH27" s="204">
        <f>($J$5-18-9.5-(8*4)-62)/AB27</f>
        <v/>
      </c>
      <c r="AI27" s="153">
        <f>AF27*$J$1</f>
        <v/>
      </c>
      <c r="AL27" s="153" t="n">
        <v>5</v>
      </c>
      <c r="AM27" s="46" t="inlineStr">
        <is>
          <t>กรอบบานเฟี้ยม (บานคี่)</t>
        </is>
      </c>
      <c r="AN27" s="153" t="inlineStr">
        <is>
          <t>F7972</t>
        </is>
      </c>
      <c r="AO27" s="153" t="n">
        <v>1.466</v>
      </c>
      <c r="AP27" s="153">
        <f>2*AL27</f>
        <v/>
      </c>
      <c r="AQ27" s="59" t="inlineStr">
        <is>
          <t>(W-18-9.5-(8x4)-77)/5</t>
        </is>
      </c>
      <c r="AR27" s="204">
        <f>($J$5-18-9.5-(8*4)-77)/AL27</f>
        <v/>
      </c>
      <c r="AS27" s="153">
        <f>AP27*$J$1</f>
        <v/>
      </c>
    </row>
    <row r="28" ht="34.95" customHeight="1" s="92">
      <c r="A28" s="161" t="n">
        <v>9</v>
      </c>
      <c r="B28" s="56" t="inlineStr">
        <is>
          <t>เสาเข้ามุม</t>
        </is>
      </c>
      <c r="C28" s="84" t="n"/>
      <c r="D28" s="161" t="inlineStr">
        <is>
          <t>F7964</t>
        </is>
      </c>
      <c r="E28" s="161" t="n">
        <v>1.03</v>
      </c>
      <c r="F28" s="161" t="n">
        <v>1</v>
      </c>
      <c r="G28" s="161" t="inlineStr">
        <is>
          <t>HS</t>
        </is>
      </c>
      <c r="H28" s="202">
        <f>$H$19</f>
        <v/>
      </c>
      <c r="I28" s="161">
        <f>F28*$J$1</f>
        <v/>
      </c>
      <c r="J28" s="161">
        <f>ROUNDUP((H28*I28)/6400,0)</f>
        <v/>
      </c>
      <c r="L28" s="153" t="n">
        <v>23</v>
      </c>
      <c r="M28" s="43" t="inlineStr">
        <is>
          <t>ยางอัด</t>
        </is>
      </c>
      <c r="N28" s="58" t="n"/>
      <c r="O28" s="153" t="inlineStr">
        <is>
          <t>-</t>
        </is>
      </c>
      <c r="P28" s="206">
        <f>((($D$32+$E$32)*2)*$F$32/1000)+(($O$32+$P$32)*2)*$Q$32/1000</f>
        <v/>
      </c>
      <c r="Q28" s="206">
        <f>$J$1*P28</f>
        <v/>
      </c>
      <c r="S28" s="18">
        <f>SUM(S16:S27)</f>
        <v/>
      </c>
      <c r="W28" s="12" t="inlineStr">
        <is>
          <t>คิ้วกระจก14-20มิล (ตั้ง) (บานคี่ ปิด)</t>
        </is>
      </c>
      <c r="X28" s="11" t="inlineStr">
        <is>
          <t>F7949</t>
        </is>
      </c>
      <c r="Y28" s="11" t="n">
        <v>0.252</v>
      </c>
      <c r="AB28" s="153" t="n">
        <v>7</v>
      </c>
      <c r="AC28" s="46" t="inlineStr">
        <is>
          <t>กรอบบานเฟี้ยม (บานคู่)</t>
        </is>
      </c>
      <c r="AD28" s="153" t="inlineStr">
        <is>
          <t>F7972</t>
        </is>
      </c>
      <c r="AE28" s="153" t="n">
        <v>1.466</v>
      </c>
      <c r="AF28" s="153">
        <f>2*AB28</f>
        <v/>
      </c>
      <c r="AG28" s="59" t="inlineStr">
        <is>
          <t>(W-18-9.5-(8x6)-62)/7</t>
        </is>
      </c>
      <c r="AH28" s="204">
        <f>($J$5-18-9.5-(8*6)-62)/AB28</f>
        <v/>
      </c>
      <c r="AI28" s="153">
        <f>AF28*$J$1</f>
        <v/>
      </c>
      <c r="AL28" s="153" t="n">
        <v>7</v>
      </c>
      <c r="AM28" s="46" t="inlineStr">
        <is>
          <t>กรอบบานเฟี้ยม (บานคี่)</t>
        </is>
      </c>
      <c r="AN28" s="153" t="inlineStr">
        <is>
          <t>F7972</t>
        </is>
      </c>
      <c r="AO28" s="153" t="n">
        <v>1.466</v>
      </c>
      <c r="AP28" s="153">
        <f>2*AL28</f>
        <v/>
      </c>
      <c r="AQ28" s="59" t="inlineStr">
        <is>
          <t>(W-18-9.5-(8x6)-77)/7</t>
        </is>
      </c>
      <c r="AR28" s="204">
        <f>($J$5-18-9.5-(8*6)-77)/AL28</f>
        <v/>
      </c>
      <c r="AS28" s="153">
        <f>AP28*$J$1</f>
        <v/>
      </c>
    </row>
    <row r="29" ht="34.95" customHeight="1" s="92">
      <c r="A29" s="95" t="n"/>
      <c r="B29" s="96" t="n"/>
      <c r="C29" s="96" t="n"/>
      <c r="D29" s="95" t="n"/>
      <c r="E29" s="95" t="n"/>
      <c r="F29" s="95" t="n"/>
      <c r="G29" s="95" t="n"/>
      <c r="H29" s="216" t="n"/>
      <c r="I29" s="95" t="n"/>
      <c r="J29" s="95" t="n"/>
      <c r="L29" s="153" t="n">
        <v>24</v>
      </c>
      <c r="M29" s="43" t="inlineStr">
        <is>
          <t>ยางรอง</t>
        </is>
      </c>
      <c r="N29" s="58" t="n"/>
      <c r="O29" s="153" t="inlineStr">
        <is>
          <t>-</t>
        </is>
      </c>
      <c r="P29" s="206">
        <f>(($O$32+$P$32)*2)*$Q$32/1000</f>
        <v/>
      </c>
      <c r="Q29" s="206">
        <f>$J$1*P29</f>
        <v/>
      </c>
      <c r="W29" s="12" t="inlineStr">
        <is>
          <t>คิ้วกระจก14-20มิล (ขวาง) (บานคี่ ปิด)</t>
        </is>
      </c>
      <c r="X29" s="11" t="inlineStr">
        <is>
          <t>F7949</t>
        </is>
      </c>
      <c r="Y29" s="11" t="n">
        <v>0.252</v>
      </c>
      <c r="AB29" s="153" t="n">
        <v>9</v>
      </c>
      <c r="AC29" s="46" t="inlineStr">
        <is>
          <t>กรอบบานเฟี้ยม (บานคู่)</t>
        </is>
      </c>
      <c r="AD29" s="153" t="inlineStr">
        <is>
          <t>F7972</t>
        </is>
      </c>
      <c r="AE29" s="153" t="n">
        <v>1.466</v>
      </c>
      <c r="AF29" s="153">
        <f>2*AB29</f>
        <v/>
      </c>
      <c r="AG29" s="59" t="inlineStr">
        <is>
          <t>(W-18-9.5-(8x8)-62)/9</t>
        </is>
      </c>
      <c r="AH29" s="204">
        <f>($J$5-18-9.5-(8*8)-62)/AB29</f>
        <v/>
      </c>
      <c r="AI29" s="153">
        <f>AF29*$J$1</f>
        <v/>
      </c>
      <c r="AL29" s="153" t="n">
        <v>9</v>
      </c>
      <c r="AM29" s="46" t="inlineStr">
        <is>
          <t>กรอบบานเฟี้ยม (บานคี่)</t>
        </is>
      </c>
      <c r="AN29" s="153" t="inlineStr">
        <is>
          <t>F7972</t>
        </is>
      </c>
      <c r="AO29" s="153" t="n">
        <v>1.466</v>
      </c>
      <c r="AP29" s="153">
        <f>2*AL29</f>
        <v/>
      </c>
      <c r="AQ29" s="59" t="inlineStr">
        <is>
          <t>(W-18-9.5-(8x8)-77)/9</t>
        </is>
      </c>
      <c r="AR29" s="204">
        <f>($J$5-18-9.5-(8*8)-77)/AL29</f>
        <v/>
      </c>
      <c r="AS29" s="153">
        <f>AP29*$J$1</f>
        <v/>
      </c>
    </row>
    <row r="30" ht="34.95" customHeight="1" s="92">
      <c r="A30" s="36" t="n"/>
      <c r="B30" s="107" t="inlineStr">
        <is>
          <t>บานคี่ ปิด</t>
        </is>
      </c>
      <c r="C30" s="70" t="inlineStr">
        <is>
          <t>น้ำหนักรวม
ต่อ บาน</t>
        </is>
      </c>
      <c r="D30" s="154" t="inlineStr">
        <is>
          <t>กระจก</t>
        </is>
      </c>
      <c r="E30" s="198" t="n"/>
      <c r="F30" s="199" t="n"/>
      <c r="G30" s="36" t="n"/>
      <c r="H30" s="212" t="n"/>
      <c r="I30" s="37" t="n"/>
      <c r="J30" s="37" t="n"/>
      <c r="M30" s="107" t="inlineStr">
        <is>
          <t>บานคี่ เปิด</t>
        </is>
      </c>
      <c r="N30" s="70" t="inlineStr">
        <is>
          <t>น้ำหนักรวม
ต่อ บาน</t>
        </is>
      </c>
      <c r="O30" s="154" t="inlineStr">
        <is>
          <t>กระจก</t>
        </is>
      </c>
      <c r="P30" s="198" t="n"/>
      <c r="Q30" s="199" t="n"/>
      <c r="W30" s="12" t="inlineStr">
        <is>
          <t>คิ้วสำหรับกระจกมู่ลี่ (ตั้ง) (บานคี่ ปิด)</t>
        </is>
      </c>
      <c r="X30" s="11" t="inlineStr">
        <is>
          <t>F7853</t>
        </is>
      </c>
      <c r="Y30" s="11" t="n">
        <v>0.22</v>
      </c>
    </row>
    <row r="31" ht="34.95" customHeight="1" s="92">
      <c r="B31" s="35" t="n"/>
      <c r="C31" s="210">
        <f>((($E$19*$F$20*$H$20/1000)+($E$19*$F$22*$H$22/1000)+($E$23*$F$24*$H$24/1000)+($E$23*$F$26*$H$26/1000))+($D$32*$E$32*$E$6*2.5*$F$32/1000000))/$F$32</f>
        <v/>
      </c>
      <c r="D31" s="161" t="inlineStr">
        <is>
          <t>HS-130</t>
        </is>
      </c>
      <c r="E31" s="161" t="inlineStr">
        <is>
          <t>WS-130</t>
        </is>
      </c>
      <c r="F31" s="202" t="inlineStr">
        <is>
          <t>จำนวน</t>
        </is>
      </c>
      <c r="G31" s="36" t="n"/>
      <c r="H31" s="212" t="n"/>
      <c r="I31" s="37" t="n"/>
      <c r="J31" s="37" t="n"/>
      <c r="N31" s="210">
        <f>((($H$19*$F$19*$E$19/1000)+($H$21*$F$21*$E$19/1000)+($H$23*$F$23*$E$23/1000)+($H$25*$F$25*$E$23/1000))+($O$32*$P$32*$E$6*2.5*$Q$32/1000000))/$Q$32</f>
        <v/>
      </c>
      <c r="O31" s="161" t="inlineStr">
        <is>
          <t>HS-130</t>
        </is>
      </c>
      <c r="P31" s="161" t="inlineStr">
        <is>
          <t>WS-130</t>
        </is>
      </c>
      <c r="Q31" s="202" t="inlineStr">
        <is>
          <t>จำนวน</t>
        </is>
      </c>
      <c r="W31" s="12" t="inlineStr">
        <is>
          <t>คิ้วสำหรับกระจกมู่ลี่ (ขวาง) (บานคี่ ปิด)</t>
        </is>
      </c>
      <c r="X31" s="11" t="inlineStr">
        <is>
          <t>F7853</t>
        </is>
      </c>
      <c r="Y31" s="11" t="n">
        <v>0.22</v>
      </c>
    </row>
    <row r="32" ht="34.95" customHeight="1" s="92">
      <c r="B32" s="35" t="n"/>
      <c r="C32" s="211">
        <f>$N$31*$F$32</f>
        <v/>
      </c>
      <c r="D32" s="41">
        <f>$H$20-130</f>
        <v/>
      </c>
      <c r="E32" s="41">
        <f>$H$22-130</f>
        <v/>
      </c>
      <c r="F32" s="41">
        <f>$I$7*$J$1</f>
        <v/>
      </c>
      <c r="G32" s="36" t="n"/>
      <c r="H32" s="212" t="n"/>
      <c r="I32" s="37" t="n"/>
      <c r="J32" s="37" t="n"/>
      <c r="N32" s="211">
        <f>$N$31*$Q$32</f>
        <v/>
      </c>
      <c r="O32" s="41">
        <f>$H$19-130</f>
        <v/>
      </c>
      <c r="P32" s="41">
        <f>$H$21-130</f>
        <v/>
      </c>
      <c r="Q32" s="41">
        <f>$I$5*$J$1</f>
        <v/>
      </c>
      <c r="W32" s="81" t="inlineStr">
        <is>
          <t>บานคี่ เปิด</t>
        </is>
      </c>
    </row>
    <row r="33" ht="34.95" customHeight="1" s="92"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  <c r="W33" s="12" t="inlineStr">
        <is>
          <t>คิ้วกระจก5-12มิล (ตั้ง) (บานคี่ เปิด)</t>
        </is>
      </c>
      <c r="X33" s="11" t="inlineStr">
        <is>
          <t>F7935</t>
        </is>
      </c>
      <c r="Y33" s="11" t="n">
        <v>0.285</v>
      </c>
    </row>
    <row r="34" ht="34.95" customHeight="1" s="92">
      <c r="B34" s="35" t="n"/>
      <c r="C34" s="35" t="n"/>
      <c r="D34" s="36" t="n"/>
      <c r="E34" s="36" t="n"/>
      <c r="F34" s="37" t="n"/>
      <c r="G34" s="36" t="n"/>
      <c r="H34" s="212" t="n"/>
      <c r="I34" s="37" t="n"/>
      <c r="J34" s="37" t="n"/>
      <c r="W34" s="12" t="inlineStr">
        <is>
          <t>คิ้วกระจก5-12มิล (ขวาง) (บานคี่ เปิด)</t>
        </is>
      </c>
      <c r="X34" s="11" t="inlineStr">
        <is>
          <t>F7935</t>
        </is>
      </c>
      <c r="Y34" s="11" t="n">
        <v>0.285</v>
      </c>
    </row>
    <row r="35" ht="34.95" customHeight="1" s="92">
      <c r="B35" s="35" t="n"/>
      <c r="C35" s="35" t="n"/>
      <c r="D35" s="36" t="n"/>
      <c r="E35" s="36" t="n"/>
      <c r="F35" s="37" t="n"/>
      <c r="G35" s="36" t="n"/>
      <c r="H35" s="212" t="n"/>
      <c r="I35" s="37" t="n"/>
      <c r="J35" s="37" t="n"/>
      <c r="W35" s="12" t="inlineStr">
        <is>
          <t>คิ้วกระจก14-20มิล (ตั้ง) (บานคี่ เปิด)</t>
        </is>
      </c>
      <c r="X35" s="11" t="inlineStr">
        <is>
          <t>F7949</t>
        </is>
      </c>
      <c r="Y35" s="11" t="n">
        <v>0.252</v>
      </c>
    </row>
    <row r="36" ht="34.95" customHeight="1" s="92">
      <c r="B36" s="35" t="n"/>
      <c r="C36" s="35" t="n"/>
      <c r="D36" s="36" t="n"/>
      <c r="E36" s="36" t="n"/>
      <c r="F36" s="37" t="n"/>
      <c r="G36" s="36" t="n"/>
      <c r="H36" s="212" t="n"/>
      <c r="I36" s="37" t="n"/>
      <c r="J36" s="37" t="n"/>
      <c r="W36" s="12" t="inlineStr">
        <is>
          <t>คิ้วกระจก14-20มิล (ขวาง) (บานคี่ เปิด)</t>
        </is>
      </c>
      <c r="X36" s="11" t="inlineStr">
        <is>
          <t>F7949</t>
        </is>
      </c>
      <c r="Y36" s="11" t="n">
        <v>0.252</v>
      </c>
    </row>
    <row r="37" ht="34.95" customHeight="1" s="92">
      <c r="B37" s="35" t="n"/>
      <c r="C37" s="35" t="n"/>
      <c r="D37" s="36" t="n"/>
      <c r="E37" s="36" t="n"/>
      <c r="F37" s="37" t="n"/>
      <c r="G37" s="36" t="n"/>
      <c r="H37" s="212" t="n"/>
      <c r="I37" s="37" t="n"/>
      <c r="J37" s="37" t="n"/>
      <c r="W37" s="12" t="inlineStr">
        <is>
          <t>คิ้วสำหรับกระจกมู่ลี่ (ตั้ง) (บานคี่ เปิด)</t>
        </is>
      </c>
      <c r="X37" s="11" t="inlineStr">
        <is>
          <t>F7853</t>
        </is>
      </c>
      <c r="Y37" s="11" t="n">
        <v>0.22</v>
      </c>
    </row>
    <row r="38" ht="34.95" customHeight="1" s="92">
      <c r="B38" s="35" t="n"/>
      <c r="C38" s="35" t="n"/>
      <c r="D38" s="36" t="n"/>
      <c r="E38" s="36" t="n"/>
      <c r="F38" s="37" t="n"/>
      <c r="G38" s="36" t="n"/>
      <c r="H38" s="212" t="n"/>
      <c r="I38" s="37" t="n"/>
      <c r="J38" s="37" t="n"/>
      <c r="W38" s="12" t="inlineStr">
        <is>
          <t>คิ้วสำหรับกระจกมู่ลี่ (ขวาง) (บานคี่ เปิด)</t>
        </is>
      </c>
      <c r="X38" s="11" t="inlineStr">
        <is>
          <t>F7853</t>
        </is>
      </c>
      <c r="Y38" s="11" t="n">
        <v>0.22</v>
      </c>
    </row>
    <row r="39" ht="34.95" customHeight="1" s="92">
      <c r="B39" s="35" t="n"/>
      <c r="C39" s="35" t="n"/>
      <c r="D39" s="36" t="n"/>
      <c r="E39" s="36" t="n"/>
      <c r="F39" s="37" t="n"/>
      <c r="G39" s="36" t="n"/>
      <c r="H39" s="212" t="n"/>
      <c r="I39" s="37" t="n"/>
      <c r="J39" s="37" t="n"/>
    </row>
    <row r="40" ht="34.95" customHeight="1" s="92">
      <c r="B40" s="35" t="n"/>
      <c r="C40" s="35" t="n"/>
      <c r="D40" s="36" t="n"/>
      <c r="E40" s="36" t="n"/>
      <c r="F40" s="37" t="n"/>
      <c r="G40" s="36" t="n"/>
      <c r="H40" s="212" t="n"/>
      <c r="I40" s="37" t="n"/>
      <c r="J40" s="37" t="n"/>
    </row>
    <row r="41" ht="34.95" customHeight="1" s="92">
      <c r="A41" s="36" t="n"/>
      <c r="B41" s="35" t="n"/>
      <c r="C41" s="35" t="n"/>
      <c r="D41" s="36" t="n"/>
      <c r="E41" s="36" t="n"/>
      <c r="F41" s="37" t="n"/>
      <c r="G41" s="36" t="n"/>
      <c r="H41" s="212" t="n"/>
      <c r="I41" s="37" t="n"/>
      <c r="J41" s="37" t="n"/>
    </row>
    <row r="42" ht="34.95" customHeight="1" s="92">
      <c r="A42" s="36" t="n"/>
      <c r="B42" s="35" t="n"/>
      <c r="C42" s="35" t="n"/>
      <c r="D42" s="36" t="n"/>
      <c r="E42" s="36" t="n"/>
      <c r="F42" s="37" t="n"/>
      <c r="G42" s="36" t="n"/>
      <c r="H42" s="212" t="n"/>
      <c r="I42" s="37" t="n"/>
      <c r="J42" s="37" t="n"/>
    </row>
    <row r="43" ht="34.95" customHeight="1" s="92">
      <c r="A43" s="15" t="n"/>
      <c r="B43" s="16" t="n"/>
      <c r="F43" s="17" t="n"/>
      <c r="G43" s="6" t="n"/>
      <c r="H43" s="193" t="n"/>
      <c r="I43" s="17" t="n"/>
      <c r="J43" s="17" t="n"/>
    </row>
    <row r="44" ht="34.95" customHeight="1" s="92">
      <c r="G44" s="6" t="n"/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34">
    <mergeCell ref="A8:J8"/>
    <mergeCell ref="E23:E26"/>
    <mergeCell ref="J16:J18"/>
    <mergeCell ref="E5:F5"/>
    <mergeCell ref="J19:J22"/>
    <mergeCell ref="L8:Q8"/>
    <mergeCell ref="C10:C11"/>
    <mergeCell ref="E10:E11"/>
    <mergeCell ref="E19:E22"/>
    <mergeCell ref="A12:A13"/>
    <mergeCell ref="E16:E18"/>
    <mergeCell ref="C12:C13"/>
    <mergeCell ref="C25:C26"/>
    <mergeCell ref="C21:C22"/>
    <mergeCell ref="J23:J26"/>
    <mergeCell ref="D12:D13"/>
    <mergeCell ref="D30:F30"/>
    <mergeCell ref="C23:C24"/>
    <mergeCell ref="E6:F6"/>
    <mergeCell ref="A23:A26"/>
    <mergeCell ref="J12:J13"/>
    <mergeCell ref="A10:A11"/>
    <mergeCell ref="A19:A22"/>
    <mergeCell ref="C19:C20"/>
    <mergeCell ref="D23:D26"/>
    <mergeCell ref="D10:D11"/>
    <mergeCell ref="A16:A18"/>
    <mergeCell ref="E12:E13"/>
    <mergeCell ref="C16:C18"/>
    <mergeCell ref="O30:Q30"/>
    <mergeCell ref="D16:D18"/>
    <mergeCell ref="C2:F2"/>
    <mergeCell ref="D19:D22"/>
    <mergeCell ref="J10:J11"/>
  </mergeCells>
  <conditionalFormatting sqref="N31">
    <cfRule type="cellIs" priority="3" operator="greaterThanOrEqual" dxfId="1">
      <formula>45.5</formula>
    </cfRule>
    <cfRule type="cellIs" priority="4" operator="greaterThanOrEqual" dxfId="0">
      <formula>40</formula>
    </cfRule>
  </conditionalFormatting>
  <conditionalFormatting sqref="M28:Q29 P26:Q26">
    <cfRule type="expression" priority="5" dxfId="2">
      <formula>$E$6=33</formula>
    </cfRule>
    <cfRule type="expression" priority="6" dxfId="2">
      <formula>$E$6=20</formula>
    </cfRule>
    <cfRule type="expression" priority="7" dxfId="2">
      <formula>$E$6=18</formula>
    </cfRule>
    <cfRule type="expression" priority="8" dxfId="2">
      <formula>$E$6=12</formula>
    </cfRule>
    <cfRule type="expression" priority="9" dxfId="2">
      <formula>$E$6=10</formula>
    </cfRule>
  </conditionalFormatting>
  <conditionalFormatting sqref="C31">
    <cfRule type="cellIs" priority="1" operator="greaterThanOrEqual" dxfId="1">
      <formula>50.5</formula>
    </cfRule>
    <cfRule type="cellIs" priority="2" operator="greaterThanOrEqual" dxfId="0">
      <formula>45</formula>
    </cfRule>
  </conditionalFormatting>
  <dataValidations count="3">
    <dataValidation sqref="I5 I7" showDropDown="0" showInputMessage="1" showErrorMessage="1" allowBlank="1" type="list">
      <formula1>"1,3,5,7,9"</formula1>
    </dataValidation>
    <dataValidation sqref="E6" showDropDown="0" showInputMessage="1" showErrorMessage="1" allowBlank="1" type="list">
      <formula1>"5,6,8,10,12,14,16,18,20,29,30,33"</formula1>
    </dataValidation>
    <dataValidation sqref="D6" showDropDown="0" showInputMessage="1" showErrorMessage="1" allowBlank="1" type="list">
      <formula1>"ขาว,ดำ"</formula1>
    </dataValidation>
  </dataValidations>
  <printOptions horizontalCentered="1"/>
  <pageMargins left="0" right="0" top="0.4724409448818898" bottom="0" header="0.3149606299212598" footer="0.3149606299212598"/>
  <pageSetup orientation="landscape" scale="54"/>
</worksheet>
</file>

<file path=xl/worksheets/sheet45.xml><?xml version="1.0" encoding="utf-8"?>
<worksheet xmlns="http://schemas.openxmlformats.org/spreadsheetml/2006/main">
  <sheetPr codeName="Sheet44">
    <tabColor rgb="FFFFC000"/>
    <outlinePr summaryBelow="1" summaryRight="1"/>
    <pageSetUpPr/>
  </sheetPr>
  <dimension ref="A1:Y32"/>
  <sheetViews>
    <sheetView view="pageBreakPreview" topLeftCell="B1" zoomScale="70" zoomScaleNormal="55" zoomScaleSheetLayoutView="70" workbookViewId="0">
      <selection activeCell="H12" sqref="H12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2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1900</v>
      </c>
      <c r="J3" s="52" t="n">
        <v>4000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1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IF($J$3&lt;=2700,7,10)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1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1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1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1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4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2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4</v>
      </c>
      <c r="G13" s="153" t="inlineStr">
        <is>
          <t>(W-18-9.5-(8x1)-50-18)/2</t>
        </is>
      </c>
      <c r="H13" s="204">
        <f>($I$3-18-9.5-(8*1)-50-18)/2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8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24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รับล็อคเฟรมข้างบานคู่</t>
        </is>
      </c>
      <c r="C15" s="56" t="n"/>
      <c r="D15" s="161" t="inlineStr">
        <is>
          <t>F7961</t>
        </is>
      </c>
      <c r="E15" s="161" t="n">
        <v>0.496</v>
      </c>
      <c r="F15" s="161" t="n">
        <v>1</v>
      </c>
      <c r="G15" s="161" t="inlineStr">
        <is>
          <t>H-55-25</t>
        </is>
      </c>
      <c r="H15" s="202">
        <f>$J$3-55-25</f>
        <v/>
      </c>
      <c r="I15" s="161">
        <f>F15*$J$1</f>
        <v/>
      </c>
      <c r="J15" s="161">
        <f>ROUNDUP((H15*I15)/6400,0)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(($H$6*$I$6)+($H$8*1)+($H$9*$I$9)+($H$12*$I$12*2)+($H$14*$I$13*2)+($H$13*3)+($H$15*$I$15))/1000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4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(($H$14*2)+($H$15*2))/1000</f>
        <v/>
      </c>
      <c r="Q16" s="206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IF($H$3&lt;=12,V15,IF($H$3&lt;=20,V17,V19))</f>
        <v/>
      </c>
      <c r="C17" s="203" t="n"/>
      <c r="D17" s="203" t="n"/>
      <c r="E17" s="203" t="n"/>
      <c r="F17" s="153" t="n">
        <v>4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O25*P25*$H$3*Q25*2.5/1000000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18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22" t="inlineStr">
        <is>
          <t>น้ำหนักรวม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((($H$12*$F$12*$E$12/1000)+($H$13*$F$13*$E$13/1000)+($H$16*$F$16*$E$16/1000)+($H$17*$F$17*$E$17/1000))+($O$25*$P$25*$H$3*2.5*2/1000000))/2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$N$24*2</f>
        <v/>
      </c>
      <c r="O25" s="41">
        <f>$H$12-130</f>
        <v/>
      </c>
      <c r="P25" s="41">
        <f>$H$13-130</f>
        <v/>
      </c>
      <c r="Q25" s="41">
        <f>2*$J$1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O23:Q23"/>
    <mergeCell ref="J16:J17"/>
    <mergeCell ref="E12:E13"/>
    <mergeCell ref="C12:C13"/>
    <mergeCell ref="E16:E17"/>
    <mergeCell ref="J12:J13"/>
    <mergeCell ref="A4:J4"/>
    <mergeCell ref="D16:D17"/>
    <mergeCell ref="D12:D13"/>
    <mergeCell ref="C10:C11"/>
    <mergeCell ref="C16:C17"/>
    <mergeCell ref="C2:F2"/>
    <mergeCell ref="E10:E11"/>
    <mergeCell ref="L4:Q4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90.5</formula>
    </cfRule>
    <cfRule type="cellIs" priority="2" operator="greaterThanOrEqual" dxfId="0">
      <formula>80</formula>
    </cfRule>
  </conditionalFormatting>
  <dataValidations disablePrompts="1"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46.xml><?xml version="1.0" encoding="utf-8"?>
<worksheet xmlns="http://schemas.openxmlformats.org/spreadsheetml/2006/main">
  <sheetPr codeName="Sheet45">
    <tabColor theme="4" tint="-0.249977111117893"/>
    <outlinePr summaryBelow="1" summaryRight="1"/>
    <pageSetUpPr/>
  </sheetPr>
  <dimension ref="A1:Y35"/>
  <sheetViews>
    <sheetView view="pageBreakPreview" topLeftCell="B1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14</v>
      </c>
      <c r="I3" s="52" t="n">
        <v>2800</v>
      </c>
      <c r="J3" s="52" t="n">
        <v>3400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1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IF($J$3&lt;=2700,7,10)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1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1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1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1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6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2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6</v>
      </c>
      <c r="G13" s="153" t="inlineStr">
        <is>
          <t>(W-18-9.5-(8x2)-18-18)/3</t>
        </is>
      </c>
      <c r="H13" s="204">
        <f>($I$3-18-9.5-(8*2)-18-18)/3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12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36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10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6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IF($H$3&lt;=12,V15,IF($H$3&lt;=20,V17,V22))</f>
        <v/>
      </c>
      <c r="C16" s="203" t="n"/>
      <c r="D16" s="203" t="n"/>
      <c r="E16" s="203" t="n"/>
      <c r="F16" s="153" t="n">
        <v>6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แบบเจาะ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(($H$6*$I$6)+($H$8*1)+($H$9*$I$9)+($H$12*$I$12*2)+($H$13*$I$13)+($H$14*$I$14)-($H$12*2))/1000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((($H$12*$F$12*$E$12/1000)+($H$13*$F$13*$E$13/1000)+($H$15*$F$15*$E$15/1000)+($H$16*$F$16*$E$16/1000))+($O$28*$P$28*$H$3*2.5*3/1000000))/3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$N$27*3</f>
        <v/>
      </c>
      <c r="O28" s="41">
        <f>$H$12-130</f>
        <v/>
      </c>
      <c r="P28" s="41">
        <f>$H$13-130</f>
        <v/>
      </c>
      <c r="Q28" s="41">
        <f>3*$J$1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</formula>
    </cfRule>
    <cfRule type="cellIs" priority="2" operator="greaterThanOrEqual" dxfId="0">
      <formula>40</formula>
    </cfRule>
  </conditionalFormatting>
  <dataValidations disablePrompts="1"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47.xml><?xml version="1.0" encoding="utf-8"?>
<worksheet xmlns="http://schemas.openxmlformats.org/spreadsheetml/2006/main">
  <sheetPr codeName="Sheet46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2400</v>
      </c>
      <c r="J3" s="52" t="n">
        <v>4000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1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IF($J$3&lt;=2700,9,12)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1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1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1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1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6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2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6</v>
      </c>
      <c r="G13" s="59" t="inlineStr">
        <is>
          <t>(W-18-9.5-(8x1)
-58-9.5-18)/3</t>
        </is>
      </c>
      <c r="H13" s="204">
        <f>($I$3-18-9.5-(8*1)-58-9.5-18)/3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12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36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6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6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21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(($H$6*$I$6)+($H$8*1)+($H$9*$I$9)+($H$12*$I$12*2)+($H$13*$I$13)+($H$14*$I$14)+($H$15*3))/1000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24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((($H$12*$F$12*$E$12/1000)+($H$13*$F$13*$E$13/1000)+($H$16*$F$16*$E$16/1000)+($H$17*$F$17*$E$17/1000))+($O$28*$P$28*$H$3*2.5*3/1000000))/3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$N$27*3</f>
        <v/>
      </c>
      <c r="O28" s="41">
        <f>$H$12-130</f>
        <v/>
      </c>
      <c r="P28" s="41">
        <f>$H$13-130</f>
        <v/>
      </c>
      <c r="Q28" s="41">
        <f>3*$J$1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J16:J17"/>
    <mergeCell ref="E12:E13"/>
    <mergeCell ref="C12:C13"/>
    <mergeCell ref="O26:Q26"/>
    <mergeCell ref="E16:E17"/>
    <mergeCell ref="J12:J13"/>
    <mergeCell ref="A4:J4"/>
    <mergeCell ref="D16:D17"/>
    <mergeCell ref="D12:D13"/>
    <mergeCell ref="C10:C11"/>
    <mergeCell ref="C16:C17"/>
    <mergeCell ref="C2:F2"/>
    <mergeCell ref="E10:E11"/>
    <mergeCell ref="L4:Q4"/>
    <mergeCell ref="J10:J11"/>
  </mergeCells>
  <conditionalFormatting sqref="M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90</formula>
    </cfRule>
    <cfRule type="cellIs" priority="2" operator="greaterThanOrEqual" dxfId="0">
      <formula>80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48.xml><?xml version="1.0" encoding="utf-8"?>
<worksheet xmlns="http://schemas.openxmlformats.org/spreadsheetml/2006/main">
  <sheetPr codeName="Sheet47">
    <tabColor theme="5" tint="-0.249977111117893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2358</v>
      </c>
      <c r="J3" s="52" t="n">
        <v>1929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2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IF($J$3&lt;=2700,11,16)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2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2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2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2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8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4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8</v>
      </c>
      <c r="G13" s="153" t="inlineStr">
        <is>
          <t>(W-18-9.5-(8x3)-50-18)/4</t>
        </is>
      </c>
      <c r="H13" s="204">
        <f>($I$3-18-9.5-(8*3)-50-18)/4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16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48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รับล็อคเฟรมข้างบานคู่</t>
        </is>
      </c>
      <c r="C15" s="56" t="n"/>
      <c r="D15" s="161" t="inlineStr">
        <is>
          <t>F7961</t>
        </is>
      </c>
      <c r="E15" s="161" t="n">
        <v>0.496</v>
      </c>
      <c r="F15" s="161" t="n">
        <v>1</v>
      </c>
      <c r="G15" s="161" t="inlineStr">
        <is>
          <t>H-55-25</t>
        </is>
      </c>
      <c r="H15" s="202">
        <f>$J$3-55-25</f>
        <v/>
      </c>
      <c r="I15" s="161">
        <f>F15*$J$1</f>
        <v/>
      </c>
      <c r="J15" s="161">
        <f>ROUNDUP((H15*I15)/6400,0)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(($H$6*$I$6)+($H$8*1)+($H$9*$I$9)+($H$12*$I$12*2)+($H$14*$I$13*2)+($H$13*3)+($H$15*$I$15))/1000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8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(($H$14*2)+($H$15*2))/1000</f>
        <v/>
      </c>
      <c r="Q16" s="206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IF($H$3&lt;=12,V15,IF($H$3&lt;=20,V17,V19))</f>
        <v/>
      </c>
      <c r="C17" s="203" t="n"/>
      <c r="D17" s="203" t="n"/>
      <c r="E17" s="203" t="n"/>
      <c r="F17" s="153" t="n">
        <v>8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18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((($H$12*$F$12*$E$12/1000)+($H$13*$F$13*$E$13/1000)+($H$16*$F$16*$E$16/1000)+($H$17*$F$17*$E$17/1000))+($O$25*$P$25*$H$3*2.5*4/1000000))/4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$N$24*4</f>
        <v/>
      </c>
      <c r="O25" s="41">
        <f>$H$12-130</f>
        <v/>
      </c>
      <c r="P25" s="41">
        <f>$H$13-130</f>
        <v/>
      </c>
      <c r="Q25" s="41">
        <f>4*$J$1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mergeCells count="16">
    <mergeCell ref="D10:D11"/>
    <mergeCell ref="O23:Q23"/>
    <mergeCell ref="J16:J17"/>
    <mergeCell ref="E12:E13"/>
    <mergeCell ref="C12:C13"/>
    <mergeCell ref="E16:E17"/>
    <mergeCell ref="J12:J13"/>
    <mergeCell ref="A4:J4"/>
    <mergeCell ref="D16:D17"/>
    <mergeCell ref="D12:D13"/>
    <mergeCell ref="C10:C11"/>
    <mergeCell ref="C16:C17"/>
    <mergeCell ref="C2:F2"/>
    <mergeCell ref="E10:E11"/>
    <mergeCell ref="L4:Q4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60.5</formula>
    </cfRule>
    <cfRule type="cellIs" priority="2" operator="greaterThanOrEqual" dxfId="0">
      <formula>55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49.xml><?xml version="1.0" encoding="utf-8"?>
<worksheet xmlns="http://schemas.openxmlformats.org/spreadsheetml/2006/main">
  <sheetPr codeName="Sheet48">
    <tabColor theme="5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3400</v>
      </c>
      <c r="J3" s="52" t="n">
        <v>3200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1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IF($J$3&lt;=2700,7,10)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1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1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1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1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8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2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8</v>
      </c>
      <c r="G13" s="59" t="inlineStr">
        <is>
          <t>(W-18-9.5-(8x2)
-23-9.5-18)/4</t>
        </is>
      </c>
      <c r="H13" s="204">
        <f>($I$3-18-9.5-(8*2)-23-9.5-18)/4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16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48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8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IF($H$3&lt;=12,V15,IF($H$3&lt;=20,V17,V22))</f>
        <v/>
      </c>
      <c r="C16" s="203" t="n"/>
      <c r="D16" s="203" t="n"/>
      <c r="E16" s="203" t="n"/>
      <c r="F16" s="153" t="n">
        <v>8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21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(($H$6*$I$6)+($H$8*1)+($H$9*$I$9)+($H$12*$I$12*2)+($H$13*$I$13)+($H$14*$I$14)-($H$12*4))/1000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24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((($H$12*$F$12*$E$12/1000)+($H$13*$F$13*$E$13/1000)+($H$15*$F$15*$E$15/1000)+($H$16*$F$16*$E$16/1000))+($O$28*$P$28*$H$3*2.5*4/1000000))/4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$N$27*4</f>
        <v/>
      </c>
      <c r="O28" s="41">
        <f>$H$12-130</f>
        <v/>
      </c>
      <c r="P28" s="41">
        <f>$H$13-130</f>
        <v/>
      </c>
      <c r="Q28" s="41">
        <f>4*$J$1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M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50.xml><?xml version="1.0" encoding="utf-8"?>
<worksheet xmlns="http://schemas.openxmlformats.org/spreadsheetml/2006/main">
  <sheetPr codeName="Sheet49">
    <tabColor theme="5" tint="-0.249977111117893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3750</v>
      </c>
      <c r="J3" s="52" t="n">
        <v>3500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2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IF($J$3&lt;=2700,12,18)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2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2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2</v>
      </c>
      <c r="Q10" s="161">
        <f>$J$1*P10</f>
        <v/>
      </c>
      <c r="R10" s="193" t="n">
        <v>85</v>
      </c>
    </row>
    <row r="11" ht="34.95" customHeight="1" s="92">
      <c r="A11" s="95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95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2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8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4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8</v>
      </c>
      <c r="G13" s="59" t="inlineStr">
        <is>
          <t>(W-18-9.5-(8x2)-71
-9.5-18)/4</t>
        </is>
      </c>
      <c r="H13" s="204">
        <f>($I$3-18-9.5-(8*2)-71-9.5-18)/4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16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48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8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(($H$6*$I$6)+($H$8*I8)+($H$9*$I$9)+($H$12*$I$12*2)+($H$14*$I$14*3)+($H$13*$I$13*2))/1000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IF($H$3&lt;=12,V15,IF($H$3&lt;=20,V17,V19))</f>
        <v/>
      </c>
      <c r="C16" s="203" t="n"/>
      <c r="D16" s="203" t="n"/>
      <c r="E16" s="203" t="n"/>
      <c r="F16" s="153" t="n">
        <v>8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($H$14*$I$14*2)/1000</f>
        <v/>
      </c>
      <c r="Q16" s="206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0" t="n"/>
      <c r="B17" s="123" t="n"/>
      <c r="C17" s="123" t="n"/>
      <c r="D17" s="90" t="n"/>
      <c r="E17" s="90" t="n"/>
      <c r="F17" s="90" t="n"/>
      <c r="G17" s="90" t="n"/>
      <c r="H17" s="221" t="n"/>
      <c r="I17" s="90" t="n"/>
      <c r="J17" s="90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18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((($H$12*$F$12*$E$12/1000)+($H$13*$F$13*$E$13/1000)+($H$15*$F$15*$E$15/1000)+($H$16*$F$16*$E$16/1000))+($O$25*$P$25*$H$3*2.5*4/1000000))/4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$N$24*4</f>
        <v/>
      </c>
      <c r="O25" s="41">
        <f>$H$12-130</f>
        <v/>
      </c>
      <c r="P25" s="41">
        <f>$H$13-130</f>
        <v/>
      </c>
      <c r="Q25" s="41">
        <f>4*$J$1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O23:Q23"/>
    <mergeCell ref="E12:E13"/>
    <mergeCell ref="C12:C13"/>
    <mergeCell ref="J12:J13"/>
    <mergeCell ref="E15:E16"/>
    <mergeCell ref="A4:J4"/>
    <mergeCell ref="C15:C16"/>
    <mergeCell ref="D12:D13"/>
    <mergeCell ref="C10:C11"/>
    <mergeCell ref="C2:F2"/>
    <mergeCell ref="E10:E11"/>
    <mergeCell ref="L4:Q4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90.5</formula>
    </cfRule>
    <cfRule type="cellIs" priority="2" operator="greaterThanOrEqual" dxfId="0">
      <formula>80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51.xml><?xml version="1.0" encoding="utf-8"?>
<worksheet xmlns="http://schemas.openxmlformats.org/spreadsheetml/2006/main">
  <sheetPr codeName="Sheet50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4675</v>
      </c>
      <c r="J3" s="52" t="n">
        <v>3000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2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IF($J$3&lt;=2700,11,16)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2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2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2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2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10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4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10</v>
      </c>
      <c r="G13" s="153" t="inlineStr">
        <is>
          <t>(W-18-9.5-(8x4)-18-18)/5</t>
        </is>
      </c>
      <c r="H13" s="204">
        <f>($I$3-18-9.5-(8*4)-18-18)/5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60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10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10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IF($H$3&lt;=12,V15,IF($H$3&lt;=20,V17,V22))</f>
        <v/>
      </c>
      <c r="C16" s="203" t="n"/>
      <c r="D16" s="203" t="n"/>
      <c r="E16" s="203" t="n"/>
      <c r="F16" s="153" t="n">
        <v>10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แบบเจาะ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(($H$6*$I$6)+($H$8*1)+($H$9*$I$9)+($H$12*$I$12*2)+($H$13*$I$13)+($H$14*$I$14)-($H$12*2))/1000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((($H$12*$F$12*$E$12/1000)+($H$13*$F$13*$E$13/1000)+($H$15*$F$15*$E$15/1000)+($H$16*$F$16*$E$16/1000))+($O$28*$P$28*$H$3*2.5*5/1000000))/5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$N$27*5</f>
        <v/>
      </c>
      <c r="O28" s="41">
        <f>$H$12-130</f>
        <v/>
      </c>
      <c r="P28" s="41">
        <f>$H$13-130</f>
        <v/>
      </c>
      <c r="Q28" s="41">
        <f>5*$J$1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52.xml><?xml version="1.0" encoding="utf-8"?>
<worksheet xmlns="http://schemas.openxmlformats.org/spreadsheetml/2006/main">
  <sheetPr codeName="Sheet51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2" sqref="H12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8</v>
      </c>
      <c r="I3" s="52" t="n">
        <v>4200</v>
      </c>
      <c r="J3" s="52" t="n">
        <v>3000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2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IF($J$3&lt;=2700,14,20)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2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2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2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2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10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4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10</v>
      </c>
      <c r="G13" s="59" t="inlineStr">
        <is>
          <t>(W-18-9.5-(8x3)
-58-9.5-18)/5</t>
        </is>
      </c>
      <c r="H13" s="204">
        <f>($I$3-18-9.5-(8*3)-58-9.5-18)/5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60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10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10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((($H$12*$F$12*$E$12/1000)+($H$13*$F$13*$E$13/1000)+($H$16*$F$16*$E$16/1000)+($H$17*$F$17*$E$17/1000))+($O$28*$P$28*$H$3*2.5*5/1000000))/5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$N$27*5</f>
        <v/>
      </c>
      <c r="O28" s="41">
        <f>$H$12-130</f>
        <v/>
      </c>
      <c r="P28" s="41">
        <f>$H$13-130</f>
        <v/>
      </c>
      <c r="Q28" s="41">
        <f>5*$J$1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J16:J17"/>
    <mergeCell ref="E12:E13"/>
    <mergeCell ref="C12:C13"/>
    <mergeCell ref="O26:Q26"/>
    <mergeCell ref="E16:E17"/>
    <mergeCell ref="J12:J13"/>
    <mergeCell ref="A4:J4"/>
    <mergeCell ref="D16:D17"/>
    <mergeCell ref="D12:D13"/>
    <mergeCell ref="C10:C11"/>
    <mergeCell ref="C16:C17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60.5</formula>
    </cfRule>
    <cfRule type="cellIs" priority="2" operator="greaterThanOrEqual" dxfId="0">
      <formula>55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53.xml><?xml version="1.0" encoding="utf-8"?>
<worksheet xmlns="http://schemas.openxmlformats.org/spreadsheetml/2006/main">
  <sheetPr codeName="Sheet52">
    <tabColor theme="4" tint="-0.249977111117893"/>
    <outlinePr summaryBelow="1" summaryRight="1"/>
    <pageSetUpPr/>
  </sheetPr>
  <dimension ref="A1:Y35"/>
  <sheetViews>
    <sheetView view="pageBreakPreview" topLeftCell="A13" zoomScale="70" zoomScaleNormal="55" zoomScaleSheetLayoutView="70" workbookViewId="0">
      <selection activeCell="I8" sqref="I8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4500</v>
      </c>
      <c r="J3" s="52" t="n">
        <v>2750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2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IF($J$3&lt;=2700,14,20)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2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2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2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2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10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4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10</v>
      </c>
      <c r="G13" s="59" t="inlineStr">
        <is>
          <t>(W-18-9.5-(8x3)
-58-9.5-18)/5</t>
        </is>
      </c>
      <c r="H13" s="204">
        <f>($I$3-18-9.5-(8*3)-58-9.5-18)/5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60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10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10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((($H$12*$F$12*$E$12/1000)+($H$13*$F$13*$E$13/1000)+($H$16*$F$16*$E$16/1000)+($H$17*$F$17*$E$17/1000))+($O$28*$P$28*$H$3*2.5*5/1000000))/5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$N$27*5</f>
        <v/>
      </c>
      <c r="O28" s="41">
        <f>$H$12-130</f>
        <v/>
      </c>
      <c r="P28" s="41">
        <f>$H$13-130</f>
        <v/>
      </c>
      <c r="Q28" s="41">
        <f>5*$J$1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J16:J17"/>
    <mergeCell ref="E12:E13"/>
    <mergeCell ref="C12:C13"/>
    <mergeCell ref="O26:Q26"/>
    <mergeCell ref="E16:E17"/>
    <mergeCell ref="J12:J13"/>
    <mergeCell ref="A4:J4"/>
    <mergeCell ref="D16:D17"/>
    <mergeCell ref="D12:D13"/>
    <mergeCell ref="C10:C11"/>
    <mergeCell ref="C16:C17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54.xml><?xml version="1.0" encoding="utf-8"?>
<worksheet xmlns="http://schemas.openxmlformats.org/spreadsheetml/2006/main">
  <sheetPr codeName="Sheet53">
    <tabColor theme="9" tint="-0.249977111117893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N26" sqref="N26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2</v>
      </c>
    </row>
    <row r="2" ht="19.95" customHeight="1" s="92">
      <c r="A2" s="7" t="n"/>
      <c r="C2" s="158" t="inlineStr">
        <is>
          <t xml:space="preserve">ใบงาน : ช่างยุทธ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8</v>
      </c>
      <c r="I3" s="52" t="n">
        <v>4450</v>
      </c>
      <c r="J3" s="52" t="n">
        <v>3250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3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IF($J$3&lt;=2700,15,22)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3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3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3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3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12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6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12</v>
      </c>
      <c r="G13" s="153" t="inlineStr">
        <is>
          <t>(W-18-9.5-(8x5)-50-18)/6</t>
        </is>
      </c>
      <c r="H13" s="204">
        <f>($I$3-18-9.5-(8*5)-50-18)/6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24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72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รับล็อคเฟรมข้างบานคู่</t>
        </is>
      </c>
      <c r="C15" s="56" t="n"/>
      <c r="D15" s="161" t="inlineStr">
        <is>
          <t>F7961</t>
        </is>
      </c>
      <c r="E15" s="161" t="n">
        <v>0.496</v>
      </c>
      <c r="F15" s="161" t="n">
        <v>1</v>
      </c>
      <c r="G15" s="161" t="inlineStr">
        <is>
          <t>H-55-25</t>
        </is>
      </c>
      <c r="H15" s="202">
        <f>$J$3-55-25</f>
        <v/>
      </c>
      <c r="I15" s="161">
        <f>F15*$J$1</f>
        <v/>
      </c>
      <c r="J15" s="161">
        <f>ROUNDUP((H15*I15)/6400,0)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(($H$6*$I$6)+($H$8*1)+($H$9*$I$9)+($H$12*$I$12*2)+($H$14*$I$13*2)+($H$13*3)+($H$15*$I$15))/1000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12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(($H$14*2)+($H$15*2))/1000</f>
        <v/>
      </c>
      <c r="Q16" s="206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IF($H$3&lt;=12,V15,IF($H$3&lt;=20,V17,V19))</f>
        <v/>
      </c>
      <c r="C17" s="203" t="n"/>
      <c r="D17" s="203" t="n"/>
      <c r="E17" s="203" t="n"/>
      <c r="F17" s="153" t="n">
        <v>12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18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((($H$12*$F$12*$E$12/1000)+($H$13*$F$13*$E$13/1000)+($H$16*$F$16*$E$16/1000)+($H$17*$F$17*$E$17/1000))+($O$25*$P$25*$H$3*2.5*6/1000000))/6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$N$24*6</f>
        <v/>
      </c>
      <c r="O25" s="41">
        <f>$H$12-130</f>
        <v/>
      </c>
      <c r="P25" s="41">
        <f>$H$13-130</f>
        <v/>
      </c>
      <c r="Q25" s="41">
        <f>6*$J$1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O23:Q23"/>
    <mergeCell ref="J16:J17"/>
    <mergeCell ref="E12:E13"/>
    <mergeCell ref="C12:C13"/>
    <mergeCell ref="E16:E17"/>
    <mergeCell ref="J12:J13"/>
    <mergeCell ref="A4:J4"/>
    <mergeCell ref="D16:D17"/>
    <mergeCell ref="D12:D13"/>
    <mergeCell ref="C10:C11"/>
    <mergeCell ref="C16:C17"/>
    <mergeCell ref="C2:F2"/>
    <mergeCell ref="E10:E11"/>
    <mergeCell ref="L4:Q4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54.5</formula>
    </cfRule>
    <cfRule type="cellIs" priority="2" operator="greaterThanOrEqual" dxfId="0">
      <formula>49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50"/>
</worksheet>
</file>

<file path=xl/worksheets/sheet55.xml><?xml version="1.0" encoding="utf-8"?>
<worksheet xmlns="http://schemas.openxmlformats.org/spreadsheetml/2006/main">
  <sheetPr codeName="Sheet54">
    <tabColor theme="9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4" sqref="H14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1500</v>
      </c>
      <c r="J3" s="52" t="n">
        <v>2600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2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IF($J$3&lt;=2700,11,16)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2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2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2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2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12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4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12</v>
      </c>
      <c r="G13" s="59" t="inlineStr">
        <is>
          <t>(W-18-9.5-(8x4)
-23-9.5-18)/6</t>
        </is>
      </c>
      <c r="H13" s="204">
        <f>($I$3-18-9.5-(8*4)-23-9.5-18)/6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24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48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12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IF($H$3&lt;=12,V15,IF($H$3&lt;=20,V17,V22))</f>
        <v/>
      </c>
      <c r="C16" s="203" t="n"/>
      <c r="D16" s="203" t="n"/>
      <c r="E16" s="203" t="n"/>
      <c r="F16" s="153" t="n">
        <v>12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21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(($H$6*$I$6)+($H$8*1)+($H$9*$I$9)+($H$12*$I$12*2)+($H$13*$I$13)+($H$14*$I$14)-($H$12*4))/1000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24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((($H$12*$F$12*$E$12/1000)+($H$13*$F$13*$E$13/1000)+($H$15*$F$15*$E$15/1000)+($H$16*$F$16*$E$16/1000))+($O$28*$P$28*$H$3*2.5*6/1000000))/6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$N$27*6</f>
        <v/>
      </c>
      <c r="O28" s="41">
        <f>$H$12-130</f>
        <v/>
      </c>
      <c r="P28" s="41">
        <f>$H$13-130</f>
        <v/>
      </c>
      <c r="Q28" s="41">
        <f>6*$J$1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M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56.xml><?xml version="1.0" encoding="utf-8"?>
<worksheet xmlns="http://schemas.openxmlformats.org/spreadsheetml/2006/main">
  <sheetPr codeName="Sheet55">
    <tabColor theme="9" tint="-0.249977111117893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3750</v>
      </c>
      <c r="J3" s="52" t="n">
        <v>3500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3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IF($J$3&lt;=2700,16,24)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3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3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3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3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12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6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12</v>
      </c>
      <c r="G13" s="59" t="inlineStr">
        <is>
          <t>(W-18-9.5-(8x4)-71
-9.5-18)/6</t>
        </is>
      </c>
      <c r="H13" s="204">
        <f>($I$3-18-9.5-(8*4)-71-9.5-18)/6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24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72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12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(($H$6*$I$6)+($H$8*I8)+($H$9*$I$9)+($H$12*$I$12*2)+($H$14*$I$14*3)+($H$13*$I$13*2))/1000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IF($H$3&lt;=12,V15,IF($H$3&lt;=20,V17,V19))</f>
        <v/>
      </c>
      <c r="C16" s="203" t="n"/>
      <c r="D16" s="203" t="n"/>
      <c r="E16" s="203" t="n"/>
      <c r="F16" s="153" t="n">
        <v>12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($H$14*$I$14*2)/1000</f>
        <v/>
      </c>
      <c r="Q16" s="206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18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((($H$12*$F$12*$E$12/1000)+($H$13*$F$13*$E$13/1000)+($H$15*$F$15*$E$15/1000)+($H$16*$F$16*$E$16/1000))+($O$25*$P$25*$H$3*2.5*6/1000000))/6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$N$24*6</f>
        <v/>
      </c>
      <c r="O25" s="41">
        <f>$H$12-130</f>
        <v/>
      </c>
      <c r="P25" s="41">
        <f>$H$13-130</f>
        <v/>
      </c>
      <c r="Q25" s="41">
        <f>6*$J$1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O23:Q23"/>
    <mergeCell ref="E12:E13"/>
    <mergeCell ref="C12:C13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67.5</formula>
    </cfRule>
    <cfRule type="cellIs" priority="2" operator="greaterThanOrEqual" dxfId="0">
      <formula>62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57.xml><?xml version="1.0" encoding="utf-8"?>
<worksheet xmlns="http://schemas.openxmlformats.org/spreadsheetml/2006/main">
  <sheetPr codeName="Sheet56">
    <tabColor theme="9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2" sqref="H12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5600</v>
      </c>
      <c r="J3" s="52" t="n">
        <v>2800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2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IF($J$3&lt;=2700,14,20)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2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2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2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2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12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4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12</v>
      </c>
      <c r="G13" s="59" t="inlineStr">
        <is>
          <t>(W-18-9.5-(8x4)
-23-9.5-18)/6</t>
        </is>
      </c>
      <c r="H13" s="204">
        <f>($I$3-18-9.5-(8*4)-23-9.5-18)/6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24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72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12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IF($H$3&lt;=12,V15,IF($H$3&lt;=20,V17,V22))</f>
        <v/>
      </c>
      <c r="C16" s="203" t="n"/>
      <c r="D16" s="203" t="n"/>
      <c r="E16" s="203" t="n"/>
      <c r="F16" s="153" t="n">
        <v>12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21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(($H$6*$I$6)+($H$8*1)+($H$9*$I$9)+($H$12*$I$12*2)+($H$13*$I$13)+($H$14*$I$14)-($H$12*4))/1000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24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((($H$12*$F$12*$E$12/1000)+($H$13*$F$13*$E$13/1000)+($H$15*$F$15*$E$15/1000)+($H$16*$F$16*$E$16/1000))+($O$28*$P$28*$H$3*2.5*6/1000000))/6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$N$27*6</f>
        <v/>
      </c>
      <c r="O28" s="41">
        <f>$H$12-130</f>
        <v/>
      </c>
      <c r="P28" s="41">
        <f>$H$13-130</f>
        <v/>
      </c>
      <c r="Q28" s="41">
        <f>6*$J$1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M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58.xml><?xml version="1.0" encoding="utf-8"?>
<worksheet xmlns="http://schemas.openxmlformats.org/spreadsheetml/2006/main">
  <sheetPr codeName="Sheet57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2" sqref="H12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8</v>
      </c>
      <c r="I3" s="52" t="n">
        <v>4000</v>
      </c>
      <c r="J3" s="52" t="n">
        <v>3500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3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IF($J$3&lt;=2700,15,22)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3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3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3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3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14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6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14</v>
      </c>
      <c r="G13" s="153" t="inlineStr">
        <is>
          <t>(W-18-9.5-(8x6)-18-18)/7</t>
        </is>
      </c>
      <c r="H13" s="204">
        <f>($I$3-18-9.5-(8*6)-18-18)/7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28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84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10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14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IF($H$3&lt;=12,V15,IF($H$3&lt;=20,V17,V22))</f>
        <v/>
      </c>
      <c r="C16" s="203" t="n"/>
      <c r="D16" s="203" t="n"/>
      <c r="E16" s="203" t="n"/>
      <c r="F16" s="153" t="n">
        <v>14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แบบเจาะ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(($H$6*$I$6)+($H$8*1)+($H$9*$I$9)+($H$12*$I$12*2)+($H$13*$I$13)+($H$14*$I$14)-($H$12*2))/1000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((($H$12*$F$12*$E$12/1000)+($H$13*$F$13*$E$13/1000)+($H$15*$F$15*$E$15/1000)+($H$16*$F$16*$E$16/1000))+($O$28*$P$28*$H$3*2.5*7/1000000))/7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$N$27*7</f>
        <v/>
      </c>
      <c r="O28" s="41">
        <f>$H$12-130</f>
        <v/>
      </c>
      <c r="P28" s="41">
        <f>$H$13-130</f>
        <v/>
      </c>
      <c r="Q28" s="41">
        <f>7*$J$1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59.xml><?xml version="1.0" encoding="utf-8"?>
<worksheet xmlns="http://schemas.openxmlformats.org/spreadsheetml/2006/main">
  <sheetPr codeName="Sheet58">
    <tabColor theme="4" tint="-0.249977111117893"/>
    <outlinePr summaryBelow="1" summaryRight="1"/>
    <pageSetUpPr/>
  </sheetPr>
  <dimension ref="A1:Y35"/>
  <sheetViews>
    <sheetView view="pageBreakPreview" zoomScale="70" zoomScaleNormal="70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1500</v>
      </c>
      <c r="J3" s="52" t="n">
        <v>2600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3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IF($J$3&lt;=2700,17,24)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3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3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3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3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14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6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14</v>
      </c>
      <c r="G13" s="59" t="inlineStr">
        <is>
          <t>(W-18-9.5-(8x5)
-58-9.5-18)/7</t>
        </is>
      </c>
      <c r="H13" s="204">
        <f>($I$3-18-9.5-(8*5)-58-9.5-18)/7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28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84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14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14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((($H$12*$F$12*$E$12/1000)+($H$13*$F$13*$E$13/1000)+($H$16*$F$16*$E$16/1000)+($H$17*$F$17*$E$17/1000))+($O$28*$P$28*$H$3*2.5*7/1000000))/7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$N$27*7</f>
        <v/>
      </c>
      <c r="O28" s="41">
        <f>$H$12-130</f>
        <v/>
      </c>
      <c r="P28" s="41">
        <f>$H$13-130</f>
        <v/>
      </c>
      <c r="Q28" s="41">
        <f>7*$J$1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J16:J17"/>
    <mergeCell ref="E12:E13"/>
    <mergeCell ref="C12:C13"/>
    <mergeCell ref="O26:Q26"/>
    <mergeCell ref="E16:E17"/>
    <mergeCell ref="J12:J13"/>
    <mergeCell ref="A4:J4"/>
    <mergeCell ref="D16:D17"/>
    <mergeCell ref="D12:D13"/>
    <mergeCell ref="C10:C11"/>
    <mergeCell ref="C16:C17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54.5</formula>
    </cfRule>
    <cfRule type="cellIs" priority="2" operator="greaterThanOrEqual" dxfId="0">
      <formula>49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60.xml><?xml version="1.0" encoding="utf-8"?>
<worksheet xmlns="http://schemas.openxmlformats.org/spreadsheetml/2006/main">
  <sheetPr codeName="Sheet59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4500</v>
      </c>
      <c r="J3" s="52" t="n">
        <v>2750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3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IF($J$3&lt;=2700,18,26)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3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3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3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3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14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6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14</v>
      </c>
      <c r="G13" s="59" t="inlineStr">
        <is>
          <t>(W-18-9.5-(8x5)
-58-9.5-18)/7</t>
        </is>
      </c>
      <c r="H13" s="204">
        <f>($I$3-18-9.5-(8*5)-58-9.5-18)/7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28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84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14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14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((($H$12*$F$12*$E$12/1000)+($H$13*$F$13*$E$13/1000)+($H$16*$F$16*$E$16/1000)+($H$17*$F$17*$E$17/1000))+($O$28*$P$28*$H$3*2.5*7/1000000))/7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$N$27*7</f>
        <v/>
      </c>
      <c r="O28" s="41">
        <f>$H$12-130</f>
        <v/>
      </c>
      <c r="P28" s="41">
        <f>$H$13-130</f>
        <v/>
      </c>
      <c r="Q28" s="41">
        <f>7*$J$1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J16:J17"/>
    <mergeCell ref="E12:E13"/>
    <mergeCell ref="C12:C13"/>
    <mergeCell ref="O26:Q26"/>
    <mergeCell ref="E16:E17"/>
    <mergeCell ref="J12:J13"/>
    <mergeCell ref="A4:J4"/>
    <mergeCell ref="D16:D17"/>
    <mergeCell ref="D12:D13"/>
    <mergeCell ref="C10:C11"/>
    <mergeCell ref="C16:C17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61.xml><?xml version="1.0" encoding="utf-8"?>
<worksheet xmlns="http://schemas.openxmlformats.org/spreadsheetml/2006/main">
  <sheetPr codeName="Sheet60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4500</v>
      </c>
      <c r="J3" s="52" t="n">
        <v>2750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3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IF($J$3&lt;=2700,18,26)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3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3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3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3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14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6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14</v>
      </c>
      <c r="G13" s="59" t="inlineStr">
        <is>
          <t>(W-18-9.5-(8x5)
-58-9.5-18)/7</t>
        </is>
      </c>
      <c r="H13" s="204">
        <f>($I$3-18-9.5-(8*5)-58-9.5-18)/7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28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84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14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14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((($H$12*$F$12*$E$12/1000)+($H$13*$F$13*$E$13/1000)+($H$16*$F$16*$E$16/1000)+($H$17*$F$17*$E$17/1000))+($O$28*$P$28*$H$3*2.5*7/1000000))/7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$N$27*7</f>
        <v/>
      </c>
      <c r="O28" s="41">
        <f>$H$12-130</f>
        <v/>
      </c>
      <c r="P28" s="41">
        <f>$H$13-130</f>
        <v/>
      </c>
      <c r="Q28" s="41">
        <f>7*$J$1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J16:J17"/>
    <mergeCell ref="E12:E13"/>
    <mergeCell ref="C12:C13"/>
    <mergeCell ref="O26:Q26"/>
    <mergeCell ref="E16:E17"/>
    <mergeCell ref="J12:J13"/>
    <mergeCell ref="A4:J4"/>
    <mergeCell ref="D16:D17"/>
    <mergeCell ref="D12:D13"/>
    <mergeCell ref="C10:C11"/>
    <mergeCell ref="C16:C17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62.xml><?xml version="1.0" encoding="utf-8"?>
<worksheet xmlns="http://schemas.openxmlformats.org/spreadsheetml/2006/main">
  <sheetPr codeName="Sheet61">
    <tabColor theme="7" tint="-0.249977111117893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1300</v>
      </c>
      <c r="J3" s="52" t="n">
        <v>2750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IF($J$3&lt;=2700,19,28)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16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16</v>
      </c>
      <c r="G13" s="153" t="inlineStr">
        <is>
          <t>(W-18-9.5-(8x7)-50-18)/8</t>
        </is>
      </c>
      <c r="H13" s="204">
        <f>($I$3-18-9.5-(8*7)-50-18)/8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32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96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รับล็อคเฟรมข้างบานคู่</t>
        </is>
      </c>
      <c r="C15" s="56" t="n"/>
      <c r="D15" s="161" t="inlineStr">
        <is>
          <t>F7961</t>
        </is>
      </c>
      <c r="E15" s="161" t="n">
        <v>0.496</v>
      </c>
      <c r="F15" s="161" t="n">
        <v>1</v>
      </c>
      <c r="G15" s="161" t="inlineStr">
        <is>
          <t>H-55-25</t>
        </is>
      </c>
      <c r="H15" s="202">
        <f>$J$3-55-25</f>
        <v/>
      </c>
      <c r="I15" s="161">
        <f>F15*$J$1</f>
        <v/>
      </c>
      <c r="J15" s="161">
        <f>ROUNDUP((H15*I15)/6400,0)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(($H$6*$I$6)+($H$8*1)+($H$9*$I$9)+($H$12*$I$12*2)+($H$14*$I$13*2)+($H$13*3)+($H$15*$I$15))/1000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16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(($H$14*2)+($H$15*2))/1000</f>
        <v/>
      </c>
      <c r="Q16" s="206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IF($H$3&lt;=12,V15,IF($H$3&lt;=20,V17,V19))</f>
        <v/>
      </c>
      <c r="C17" s="203" t="n"/>
      <c r="D17" s="203" t="n"/>
      <c r="E17" s="203" t="n"/>
      <c r="F17" s="153" t="n">
        <v>16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18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((($H$12*$F$12*$E$12/1000)+($H$13*$F$13*$E$13/1000)+($H$16*$F$16*$E$16/1000)+($H$17*$F$17*$E$17/1000))+($O$25*$P$25*$H$3*2.5*8/1000000))/8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$N$24*8</f>
        <v/>
      </c>
      <c r="O25" s="41">
        <f>$H$12-130</f>
        <v/>
      </c>
      <c r="P25" s="41">
        <f>$H$13-130</f>
        <v/>
      </c>
      <c r="Q25" s="41">
        <f>8*$J$1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O23:Q23"/>
    <mergeCell ref="J16:J17"/>
    <mergeCell ref="E12:E13"/>
    <mergeCell ref="C12:C13"/>
    <mergeCell ref="E16:E17"/>
    <mergeCell ref="J12:J13"/>
    <mergeCell ref="A4:J4"/>
    <mergeCell ref="D16:D17"/>
    <mergeCell ref="D12:D13"/>
    <mergeCell ref="C10:C11"/>
    <mergeCell ref="C16:C17"/>
    <mergeCell ref="C2:F2"/>
    <mergeCell ref="E10:E11"/>
    <mergeCell ref="L4:Q4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52.5</formula>
    </cfRule>
    <cfRule type="cellIs" priority="2" operator="greaterThanOrEqual" dxfId="0">
      <formula>47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63.xml><?xml version="1.0" encoding="utf-8"?>
<worksheet xmlns="http://schemas.openxmlformats.org/spreadsheetml/2006/main">
  <sheetPr codeName="Sheet62">
    <tabColor theme="7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1500</v>
      </c>
      <c r="J3" s="52" t="n">
        <v>2600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3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IF($J$3&lt;=2700,15,22)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3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3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3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3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16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6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16</v>
      </c>
      <c r="G13" s="59" t="inlineStr">
        <is>
          <t>(W-18-9.5-(8x6)
-23-9.5-18)/8</t>
        </is>
      </c>
      <c r="H13" s="204">
        <f>($I$3-18-9.5-(8*6)-23-9.5-18)/8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32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96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16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IF($H$3&lt;=12,V15,IF($H$3&lt;=20,V17,V22))</f>
        <v/>
      </c>
      <c r="C16" s="203" t="n"/>
      <c r="D16" s="203" t="n"/>
      <c r="E16" s="203" t="n"/>
      <c r="F16" s="153" t="n">
        <v>16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18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19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20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19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(($H$6*$I$6)+($H$8*1)+($H$9*$I$9)+($H$12*$I$12*2)+($H$13*$I$13)+($H$14*$I$14)-($H$12*4))/1000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20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21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((($H$12*$F$12*$E$12/1000)+($H$13*$F$13*$E$13/1000)+($H$15*$F$15*$E$15/1000)+($H$16*$F$16*$E$16/1000))+($O$28*$P$28*$H$3*2.5*8/1000000))/8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$N$27*8</f>
        <v/>
      </c>
      <c r="O28" s="41">
        <f>$H$12-130</f>
        <v/>
      </c>
      <c r="P28" s="41">
        <f>$H$13-130</f>
        <v/>
      </c>
      <c r="Q28" s="41">
        <f>8*$J$1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L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64.xml><?xml version="1.0" encoding="utf-8"?>
<worksheet xmlns="http://schemas.openxmlformats.org/spreadsheetml/2006/main">
  <sheetPr codeName="Sheet63">
    <tabColor theme="7" tint="-0.249977111117893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2" sqref="H12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6000</v>
      </c>
      <c r="J3" s="52" t="n">
        <v>4000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IF($J$3&lt;=2700,22,32)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16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16</v>
      </c>
      <c r="G13" s="59" t="inlineStr">
        <is>
          <t>(W-18-9.5-(8x6)-71
-9.5-18)/8</t>
        </is>
      </c>
      <c r="H13" s="204">
        <f>($I$3-18-9.5-(8*6)-71-9.5-18)/8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32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96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16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(($H$6*$I$6)+($H$8*I8)+($H$9*$I$9)+($H$12*$I$12*2)+($H$14*$I$14*3)+($H$13*$I$13*2))/1000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IF($H$3&lt;=12,V15,IF($H$3&lt;=20,V17,V19))</f>
        <v/>
      </c>
      <c r="C16" s="203" t="n"/>
      <c r="D16" s="203" t="n"/>
      <c r="E16" s="203" t="n"/>
      <c r="F16" s="153" t="n">
        <v>16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($H$14*$I$14*2)/1000</f>
        <v/>
      </c>
      <c r="Q16" s="206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18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((($H$12*$F$12*$E$12/1000)+($H$13*$F$13*$E$13/1000)+($H$15*$F$15*$E$15/1000)+($H$16*$F$16*$E$16/1000))+($O$25*$P$25*$H$3*2.5*8/1000000))/8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$N$24*8</f>
        <v/>
      </c>
      <c r="O25" s="41">
        <f>$H$12-130</f>
        <v/>
      </c>
      <c r="P25" s="41">
        <f>$H$13-130</f>
        <v/>
      </c>
      <c r="Q25" s="41">
        <f>8*$J$1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O23:Q23"/>
    <mergeCell ref="E12:E13"/>
    <mergeCell ref="C12:C13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60.5</formula>
    </cfRule>
    <cfRule type="cellIs" priority="2" operator="greaterThanOrEqual" dxfId="0">
      <formula>55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65.xml><?xml version="1.0" encoding="utf-8"?>
<worksheet xmlns="http://schemas.openxmlformats.org/spreadsheetml/2006/main">
  <sheetPr codeName="Sheet64">
    <tabColor theme="7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3400</v>
      </c>
      <c r="J3" s="52" t="n">
        <v>3200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3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IF($J$3&lt;=2700,18,26)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3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3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3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3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16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6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16</v>
      </c>
      <c r="G13" s="59" t="inlineStr">
        <is>
          <t>(W-18-9.5-(8x6)
-23-9.5-18)/8</t>
        </is>
      </c>
      <c r="H13" s="204">
        <f>($I$3-18-9.5-(8*6)-23-9.5-18)/8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32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96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16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IF($H$3&lt;=12,V15,IF($H$3&lt;=20,V17,V22))</f>
        <v/>
      </c>
      <c r="C16" s="203" t="n"/>
      <c r="D16" s="203" t="n"/>
      <c r="E16" s="203" t="n"/>
      <c r="F16" s="153" t="n">
        <v>16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21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(($H$6*$I$6)+($H$8*1)+($H$9*$I$9)+($H$12*$I$12*2)+($H$13*$I$13)+($H$14*$I$14)-($H$12*4))/1000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24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((($H$12*$F$12*$E$12/1000)+($H$13*$F$13*$E$13/1000)+($H$15*$F$15*$E$15/1000)+($H$16*$F$16*$E$16/1000))+($O$28*$P$28*$H$3*2.5*8/1000000))/8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$N$27*8</f>
        <v/>
      </c>
      <c r="O28" s="41">
        <f>$H$12-130</f>
        <v/>
      </c>
      <c r="P28" s="41">
        <f>$H$13-130</f>
        <v/>
      </c>
      <c r="Q28" s="41">
        <f>8*$J$1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M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66.xml><?xml version="1.0" encoding="utf-8"?>
<worksheet xmlns="http://schemas.openxmlformats.org/spreadsheetml/2006/main">
  <sheetPr codeName="Sheet65">
    <tabColor theme="7" tint="-0.249977111117893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6000</v>
      </c>
      <c r="J3" s="52" t="n">
        <v>3000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IF($J$3&lt;=2700,22,32)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16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16</v>
      </c>
      <c r="G13" s="59" t="inlineStr">
        <is>
          <t>(W-18-9.5-(8x6)-71
-9.5-18)/8</t>
        </is>
      </c>
      <c r="H13" s="204">
        <f>($I$3-18-9.5-(8*6)-71-9.5-18)/8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32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96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16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(($H$6*$I$6)+($H$8*I8)+($H$9*$I$9)+($H$12*$I$12*2)+($H$14*$I$14*3)+($H$13*$I$13*2))/1000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IF($H$3&lt;=12,V15,IF($H$3&lt;=20,V17,V19))</f>
        <v/>
      </c>
      <c r="C16" s="203" t="n"/>
      <c r="D16" s="203" t="n"/>
      <c r="E16" s="203" t="n"/>
      <c r="F16" s="153" t="n">
        <v>16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($H$14*$I$14*2)/1000</f>
        <v/>
      </c>
      <c r="Q16" s="206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18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((($H$12*$F$12*$E$12/1000)+($H$13*$F$13*$E$13/1000)+($H$15*$F$15*$E$15/1000)+($H$16*$F$16*$E$16/1000))+($O$25*$P$25*$H$3*2.5*8/1000000))/8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$N$24*8</f>
        <v/>
      </c>
      <c r="O25" s="41">
        <f>$H$12-130</f>
        <v/>
      </c>
      <c r="P25" s="41">
        <f>$H$13-130</f>
        <v/>
      </c>
      <c r="Q25" s="41">
        <f>8*$J$1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O23:Q23"/>
    <mergeCell ref="E12:E13"/>
    <mergeCell ref="C12:C13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54.5</formula>
    </cfRule>
    <cfRule type="cellIs" priority="2" operator="greaterThanOrEqual" dxfId="0">
      <formula>49</formula>
    </cfRule>
  </conditionalFormatting>
  <dataValidations disablePrompts="1"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67.xml><?xml version="1.0" encoding="utf-8"?>
<worksheet xmlns="http://schemas.openxmlformats.org/spreadsheetml/2006/main">
  <sheetPr codeName="Sheet66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8</v>
      </c>
      <c r="I3" s="52" t="n">
        <v>6000</v>
      </c>
      <c r="J3" s="52" t="n">
        <v>3000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IF($J$3&lt;=2700,19,28)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18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18</v>
      </c>
      <c r="G13" s="153" t="inlineStr">
        <is>
          <t>(W-18-9.5-(8x8)-18-18)/9</t>
        </is>
      </c>
      <c r="H13" s="204">
        <f>($I$3-18-9.5-(8*8)-18-18)/9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36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108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10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18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IF($H$3&lt;=12,V15,IF($H$3&lt;=20,V17,V22))</f>
        <v/>
      </c>
      <c r="C16" s="203" t="n"/>
      <c r="D16" s="203" t="n"/>
      <c r="E16" s="203" t="n"/>
      <c r="F16" s="153" t="n">
        <v>18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แบบเจาะ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(($H$6*$I$6)+($H$8*1)+($H$9*$I$9)+($H$12*$I$12*2)+($H$13*$I$13)+($H$14*$I$14)-($H$12*2))/1000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((($H$12*$F$12*$E$12/1000)+($H$13*$F$13*$E$13/1000)+($H$15*$F$15*$E$15/1000)+($H$16*$F$16*$E$16/1000))+($O$28*$P$28*$H$3*2.5*9/1000000))/9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$N$27*9</f>
        <v/>
      </c>
      <c r="O28" s="41">
        <f>$H$12-130</f>
        <v/>
      </c>
      <c r="P28" s="41">
        <f>$H$13-130</f>
        <v/>
      </c>
      <c r="Q28" s="41">
        <f>9*$J$1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68.xml><?xml version="1.0" encoding="utf-8"?>
<worksheet xmlns="http://schemas.openxmlformats.org/spreadsheetml/2006/main">
  <sheetPr codeName="Sheet67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2500</v>
      </c>
      <c r="J3" s="52" t="n">
        <v>2600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IF($J$3&lt;=2700,21,30)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18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18</v>
      </c>
      <c r="G13" s="59" t="inlineStr">
        <is>
          <t>(W-18-9.5-(8x7)
-58-9.5-18)/9</t>
        </is>
      </c>
      <c r="H13" s="204">
        <f>($I$3-18-9.5-(8*7)-58-9.5-18)/9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36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108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18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18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((($H$12*$F$12*$E$12/1000)+($H$13*$F$13*$E$13/1000)+($H$16*$F$16*$E$16/1000)+($H$17*$F$17*$E$17/1000))+($O$28*$P$28*$H$3*2.5*9/1000000))/9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$N$27*9</f>
        <v/>
      </c>
      <c r="O28" s="41">
        <f>$H$12-130</f>
        <v/>
      </c>
      <c r="P28" s="41">
        <f>$H$13-130</f>
        <v/>
      </c>
      <c r="Q28" s="41">
        <f>9*$J$1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J16:J17"/>
    <mergeCell ref="E12:E13"/>
    <mergeCell ref="C12:C13"/>
    <mergeCell ref="O26:Q26"/>
    <mergeCell ref="E16:E17"/>
    <mergeCell ref="J12:J13"/>
    <mergeCell ref="A4:J4"/>
    <mergeCell ref="D16:D17"/>
    <mergeCell ref="D12:D13"/>
    <mergeCell ref="C10:C11"/>
    <mergeCell ref="C16:C17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52.5</formula>
    </cfRule>
    <cfRule type="cellIs" priority="2" operator="greaterThanOrEqual" dxfId="0">
      <formula>47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69.xml><?xml version="1.0" encoding="utf-8"?>
<worksheet xmlns="http://schemas.openxmlformats.org/spreadsheetml/2006/main">
  <sheetPr codeName="Sheet68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4500</v>
      </c>
      <c r="J3" s="52" t="n">
        <v>2750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IF($J$3&lt;=2700,22,32)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18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18</v>
      </c>
      <c r="G13" s="59" t="inlineStr">
        <is>
          <t>(W-18-9.5-(8x7)
-58-9.5-18)/9</t>
        </is>
      </c>
      <c r="H13" s="204">
        <f>($I$3-18-9.5-(8*7)-58-9.5-18)/9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36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108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18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18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((($H$12*$F$12*$E$12/1000)+($H$13*$F$13*$E$13/1000)+($H$16*$F$16*$E$16/1000)+($H$17*$F$17*$E$17/1000))+($O$28*$P$28*$H$3*2.5*9/1000000))/9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$N$27*9</f>
        <v/>
      </c>
      <c r="O28" s="41">
        <f>$H$12-130</f>
        <v/>
      </c>
      <c r="P28" s="41">
        <f>$H$13-130</f>
        <v/>
      </c>
      <c r="Q28" s="41">
        <f>9*$J$1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J16:J17"/>
    <mergeCell ref="E12:E13"/>
    <mergeCell ref="C12:C13"/>
    <mergeCell ref="O26:Q26"/>
    <mergeCell ref="E16:E17"/>
    <mergeCell ref="J12:J13"/>
    <mergeCell ref="A4:J4"/>
    <mergeCell ref="D16:D17"/>
    <mergeCell ref="D12:D13"/>
    <mergeCell ref="C10:C11"/>
    <mergeCell ref="C16:C17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70.xml><?xml version="1.0" encoding="utf-8"?>
<worksheet xmlns="http://schemas.openxmlformats.org/spreadsheetml/2006/main">
  <sheetPr codeName="Sheet69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4500</v>
      </c>
      <c r="J3" s="52" t="n">
        <v>2750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IF($J$3&lt;=2700,22,32)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18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18</v>
      </c>
      <c r="G13" s="59" t="inlineStr">
        <is>
          <t>(W-18-9.5-(8x7)
-58-9.5-18)/9</t>
        </is>
      </c>
      <c r="H13" s="204">
        <f>($I$3-18-9.5-(8*7)-58-9.5-18)/9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36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108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18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18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((($H$12*$F$12*$E$12/1000)+($H$13*$F$13*$E$13/1000)+($H$16*$F$16*$E$16/1000)+($H$17*$F$17*$E$17/1000))+($O$28*$P$28*$H$3*2.5*9/1000000))/9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$N$27*9</f>
        <v/>
      </c>
      <c r="O28" s="41">
        <f>$H$12-130</f>
        <v/>
      </c>
      <c r="P28" s="41">
        <f>$H$13-130</f>
        <v/>
      </c>
      <c r="Q28" s="41">
        <f>9*$J$1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J16:J17"/>
    <mergeCell ref="E12:E13"/>
    <mergeCell ref="C12:C13"/>
    <mergeCell ref="O26:Q26"/>
    <mergeCell ref="E16:E17"/>
    <mergeCell ref="J12:J13"/>
    <mergeCell ref="A4:J4"/>
    <mergeCell ref="D16:D17"/>
    <mergeCell ref="D12:D13"/>
    <mergeCell ref="C10:C11"/>
    <mergeCell ref="C16:C17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71.xml><?xml version="1.0" encoding="utf-8"?>
<worksheet xmlns="http://schemas.openxmlformats.org/spreadsheetml/2006/main">
  <sheetPr codeName="Sheet70">
    <tabColor theme="4" tint="-0.249977111117893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4500</v>
      </c>
      <c r="J3" s="52" t="n">
        <v>2750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IF($J$3&lt;=2700,22,32)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18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18</v>
      </c>
      <c r="G13" s="59" t="inlineStr">
        <is>
          <t>(W-18-9.5-(8x7)
-58-9.5-18)/9</t>
        </is>
      </c>
      <c r="H13" s="204">
        <f>($I$3-18-9.5-(8*7)-58-9.5-18)/9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36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108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รับล็อคบานคู่+บานคี่</t>
        </is>
      </c>
      <c r="C15" s="56" t="n"/>
      <c r="D15" s="161" t="inlineStr">
        <is>
          <t>F7962</t>
        </is>
      </c>
      <c r="E15" s="161" t="n">
        <v>0.874</v>
      </c>
      <c r="F15" s="161" t="n">
        <v>1</v>
      </c>
      <c r="G15" s="161" t="inlineStr">
        <is>
          <t>HS</t>
        </is>
      </c>
      <c r="H15" s="202">
        <f>$H$12</f>
        <v/>
      </c>
      <c r="I15" s="161">
        <f>F15*$J$1</f>
        <v/>
      </c>
      <c r="J15" s="161">
        <f>ROUNDUP((H15*I15)/6400,0)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18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IF($H$3&lt;=12,V15,IF($H$3&lt;=20,V17,V22))</f>
        <v/>
      </c>
      <c r="C17" s="203" t="n"/>
      <c r="D17" s="203" t="n"/>
      <c r="E17" s="203" t="n"/>
      <c r="F17" s="153" t="n">
        <v>18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12" t="inlineStr">
        <is>
          <t>จุดรับล็อค แบบสกรู</t>
        </is>
      </c>
      <c r="N19" s="60" t="n"/>
      <c r="O19" s="161" t="inlineStr">
        <is>
          <t>-</t>
        </is>
      </c>
      <c r="P19" s="161">
        <f>IF($J$3&lt;=2700,3,4)</f>
        <v/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หมุดล็อค 9 x 9 (KIN LONG)</t>
        </is>
      </c>
      <c r="N20" s="60" t="n"/>
      <c r="O20" s="161" t="n"/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68" t="inlineStr">
        <is>
          <t>ก้านสไลด์มัลติพ้อย (F7800 ฟูจิ) 
หรือตลาด</t>
        </is>
      </c>
      <c r="N21" s="60" t="n"/>
      <c r="O21" s="161" t="n"/>
      <c r="P21" s="215">
        <f>ROUNDDOWN($H$12/1000,1)</f>
        <v/>
      </c>
      <c r="Q21" s="215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53" t="n">
        <v>21</v>
      </c>
      <c r="M22" s="43" t="inlineStr">
        <is>
          <t>ยางลูกโป่ง 6mm</t>
        </is>
      </c>
      <c r="N22" s="58" t="n"/>
      <c r="O22" s="153" t="inlineStr">
        <is>
          <t>-</t>
        </is>
      </c>
      <c r="P22" s="206">
        <f>(($H$6*$I$6)+($H$8*1)+($H$9*$I$9)+($H$12*$I$12*2)+($H$13*$I$13)+($H$14*$I$14)+($H$15*3))/1000</f>
        <v/>
      </c>
      <c r="Q22" s="206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ยางอัด</t>
        </is>
      </c>
      <c r="N23" s="58" t="n"/>
      <c r="O23" s="153" t="inlineStr">
        <is>
          <t>-</t>
        </is>
      </c>
      <c r="P23" s="206">
        <f>(($O$28+$P$28)*2)*$Q$28/1000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ยางรอง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((($H$12*$F$12*$E$12/1000)+($H$13*$F$13*$E$13/1000)+($H$16*$F$16*$E$16/1000)+($H$17*$F$17*$E$17/1000))+($O$28*$P$28*$H$3*2.5*9/1000000))/9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$N$27*9</f>
        <v/>
      </c>
      <c r="O28" s="41">
        <f>$H$12-130</f>
        <v/>
      </c>
      <c r="P28" s="41">
        <f>$H$13-130</f>
        <v/>
      </c>
      <c r="Q28" s="41">
        <f>9*$J$1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J16:J17"/>
    <mergeCell ref="E12:E13"/>
    <mergeCell ref="C12:C13"/>
    <mergeCell ref="O26:Q26"/>
    <mergeCell ref="E16:E17"/>
    <mergeCell ref="J12:J13"/>
    <mergeCell ref="A4:J4"/>
    <mergeCell ref="D16:D17"/>
    <mergeCell ref="D12:D13"/>
    <mergeCell ref="C10:C11"/>
    <mergeCell ref="C16:C17"/>
    <mergeCell ref="C2:F2"/>
    <mergeCell ref="E10:E11"/>
    <mergeCell ref="L4:Q4"/>
    <mergeCell ref="J10:J11"/>
  </mergeCells>
  <conditionalFormatting sqref="M23:Q24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1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1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72.xml><?xml version="1.0" encoding="utf-8"?>
<worksheet xmlns="http://schemas.openxmlformats.org/spreadsheetml/2006/main">
  <sheetPr codeName="Sheet71">
    <tabColor rgb="FFFFFF00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6000</v>
      </c>
      <c r="J3" s="52" t="n">
        <v>3000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5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IF($J$3&lt;=2700,23,34)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5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5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5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5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20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10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20</v>
      </c>
      <c r="G13" s="153" t="inlineStr">
        <is>
          <t>(W-18-9.5-(8x9)-50-18)/10</t>
        </is>
      </c>
      <c r="H13" s="204">
        <f>($I$3-18-9.5-(8*9)-50-18)/10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40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1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120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61" t="n">
        <v>10</v>
      </c>
      <c r="B15" s="56" t="inlineStr">
        <is>
          <t>รับล็อคเฟรมข้างบานคู่</t>
        </is>
      </c>
      <c r="C15" s="56" t="n"/>
      <c r="D15" s="161" t="inlineStr">
        <is>
          <t>F7961</t>
        </is>
      </c>
      <c r="E15" s="161" t="n">
        <v>0.496</v>
      </c>
      <c r="F15" s="161" t="n">
        <v>1</v>
      </c>
      <c r="G15" s="161" t="inlineStr">
        <is>
          <t>H-55-25</t>
        </is>
      </c>
      <c r="H15" s="202">
        <f>$J$3-55-25</f>
        <v/>
      </c>
      <c r="I15" s="161">
        <f>F15*$J$1</f>
        <v/>
      </c>
      <c r="J15" s="161">
        <f>ROUNDUP((H15*I15)/6400,0)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(($H$6*$I$6)+($H$8*1)+($H$9*$I$9)+($H$12*$I$12*2)+($H$14*$I$13*2)+($H$13*3)+($H$15*$I$15))/1000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11</v>
      </c>
      <c r="B16" s="46">
        <f>IF($H$3&lt;=12,V14,IF($H$3&lt;=20,V16,V18))</f>
        <v/>
      </c>
      <c r="C16" s="153" t="n"/>
      <c r="D16" s="153">
        <f>IF($H$3&lt;=12,X14,IF($H$3&lt;=20,X16,X18))</f>
        <v/>
      </c>
      <c r="E16" s="153">
        <f>IF($H$3&lt;=12,Y14,IF($H$3&lt;=20,Y16,Y18))</f>
        <v/>
      </c>
      <c r="F16" s="153" t="n">
        <v>20</v>
      </c>
      <c r="G16" s="153" t="inlineStr">
        <is>
          <t>SH-80-80</t>
        </is>
      </c>
      <c r="H16" s="204">
        <f>$H$12-80-80</f>
        <v/>
      </c>
      <c r="I16" s="153">
        <f>F16*$J$1</f>
        <v/>
      </c>
      <c r="J16" s="219">
        <f>ROUNDUP(((H16*I16)+(H17*I17))/6400,0)</f>
        <v/>
      </c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(($H$14*2)+($H$15*2))/1000</f>
        <v/>
      </c>
      <c r="Q16" s="206">
        <f>$J$1*P16</f>
        <v/>
      </c>
      <c r="S16" s="6">
        <f>((H16*I16)/1000)*E16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153" t="n">
        <v>12</v>
      </c>
      <c r="B17" s="46">
        <f>IF($H$3&lt;=12,V15,IF($H$3&lt;=20,V17,V19))</f>
        <v/>
      </c>
      <c r="C17" s="203" t="n"/>
      <c r="D17" s="203" t="n"/>
      <c r="E17" s="203" t="n"/>
      <c r="F17" s="153" t="n">
        <v>20</v>
      </c>
      <c r="G17" s="153" t="inlineStr">
        <is>
          <t>SW-60-60</t>
        </is>
      </c>
      <c r="H17" s="204">
        <f>$H$13-60-60</f>
        <v/>
      </c>
      <c r="I17" s="153">
        <f>F17*$J$1</f>
        <v/>
      </c>
      <c r="J17" s="203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((H17*I17)/1000)*E17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18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((($H$12*$F$12*$E$12/1000)+($H$13*$F$13*$E$13/1000)+($H$16*$F$16*$E$16/1000)+($H$17*$F$17*$E$17/1000))+($O$25*$P$25*$H$3*2.5*10/1000000))/10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$N$24*10</f>
        <v/>
      </c>
      <c r="O25" s="41">
        <f>$H$12-130</f>
        <v/>
      </c>
      <c r="P25" s="41">
        <f>$H$13-130</f>
        <v/>
      </c>
      <c r="Q25" s="41">
        <f>10*$J$1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D10:D11"/>
    <mergeCell ref="O23:Q23"/>
    <mergeCell ref="J16:J17"/>
    <mergeCell ref="E12:E13"/>
    <mergeCell ref="C12:C13"/>
    <mergeCell ref="E16:E17"/>
    <mergeCell ref="J12:J13"/>
    <mergeCell ref="A4:J4"/>
    <mergeCell ref="D16:D17"/>
    <mergeCell ref="D12:D13"/>
    <mergeCell ref="C10:C11"/>
    <mergeCell ref="C16:C17"/>
    <mergeCell ref="C2:F2"/>
    <mergeCell ref="E10:E11"/>
    <mergeCell ref="L4:Q4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50.5</formula>
    </cfRule>
    <cfRule type="cellIs" priority="2" operator="greaterThanOrEqual" dxfId="0">
      <formula>45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73.xml><?xml version="1.0" encoding="utf-8"?>
<worksheet xmlns="http://schemas.openxmlformats.org/spreadsheetml/2006/main">
  <sheetPr codeName="Sheet72">
    <tabColor rgb="FFFFFF00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6000</v>
      </c>
      <c r="J3" s="52" t="n">
        <v>3000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IF($J$3&lt;=2700,20,30)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20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20</v>
      </c>
      <c r="G13" s="59" t="inlineStr">
        <is>
          <t>(W-18-9.5-(8x8)
-23-9.5-18)/10</t>
        </is>
      </c>
      <c r="H13" s="204">
        <f>($I$3-18-9.5-(8*8)-23-9.5-18)/10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40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120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20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IF($H$3&lt;=12,V15,IF($H$3&lt;=20,V17,V22))</f>
        <v/>
      </c>
      <c r="C16" s="203" t="n"/>
      <c r="D16" s="203" t="n"/>
      <c r="E16" s="203" t="n"/>
      <c r="F16" s="153" t="n">
        <v>20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18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19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20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19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(($H$6*$I$6)+($H$8*1)+($H$9*$I$9)+($H$12*$I$12*2)+($H$13*$I$13)+($H$14*$I$14)-($H$12*4))/1000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20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21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((($H$12*$F$12*$E$12/1000)+($H$13*$F$13*$E$13/1000)+($H$15*$F$15*$E$15/1000)+($H$16*$F$16*$E$16/1000))+($O$28*$P$28*$H$3*2.5*10/1000000))/10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$N$27*10</f>
        <v/>
      </c>
      <c r="O28" s="41">
        <f>$H$12-130</f>
        <v/>
      </c>
      <c r="P28" s="41">
        <f>$H$13-130</f>
        <v/>
      </c>
      <c r="Q28" s="41">
        <f>10*$J$1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L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74.xml><?xml version="1.0" encoding="utf-8"?>
<worksheet xmlns="http://schemas.openxmlformats.org/spreadsheetml/2006/main">
  <sheetPr codeName="Sheet73">
    <tabColor rgb="FFFFFF00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6000</v>
      </c>
      <c r="J3" s="52" t="n">
        <v>3000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5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IF($J$3&lt;=2700,26,38)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5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5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5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5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20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10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20</v>
      </c>
      <c r="G13" s="59" t="inlineStr">
        <is>
          <t>(W-18-9.5-(8x8)-71
-9.5-18)/10</t>
        </is>
      </c>
      <c r="H13" s="204">
        <f>($I$3-18-9.5-(8*8)-71-9.5-18)/10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40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120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20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(($H$6*$I$6)+($H$8*I8)+($H$9*$I$9)+($H$12*$I$12*2)+($H$14*$I$14*3)+($H$13*$I$13*2))/1000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IF($H$3&lt;=12,V15,IF($H$3&lt;=20,V17,V19))</f>
        <v/>
      </c>
      <c r="C16" s="203" t="n"/>
      <c r="D16" s="203" t="n"/>
      <c r="E16" s="203" t="n"/>
      <c r="F16" s="153" t="n">
        <v>20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($H$14*$I$14*2)/1000</f>
        <v/>
      </c>
      <c r="Q16" s="206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18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((($H$12*$F$12*$E$12/1000)+($H$13*$F$13*$E$13/1000)+($H$15*$F$15*$E$15/1000)+($H$16*$F$16*$E$16/1000))+($O$25*$P$25*$H$3*2.5*10/1000000))/10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$N$24*10</f>
        <v/>
      </c>
      <c r="O25" s="41">
        <f>$H$12-130</f>
        <v/>
      </c>
      <c r="P25" s="41">
        <f>$H$13-130</f>
        <v/>
      </c>
      <c r="Q25" s="41">
        <f>10*$J$1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O23:Q23"/>
    <mergeCell ref="E12:E13"/>
    <mergeCell ref="C12:C13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52.5</formula>
    </cfRule>
    <cfRule type="cellIs" priority="2" operator="greaterThanOrEqual" dxfId="0">
      <formula>47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75.xml><?xml version="1.0" encoding="utf-8"?>
<worksheet xmlns="http://schemas.openxmlformats.org/spreadsheetml/2006/main">
  <sheetPr codeName="Sheet74">
    <tabColor rgb="FFFFFF00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3400</v>
      </c>
      <c r="J3" s="52" t="n">
        <v>3200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IF($J$3&lt;=2700,22,28)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20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20</v>
      </c>
      <c r="G13" s="59" t="inlineStr">
        <is>
          <t>(W-18-9.5-(8x8)
-23-9.5-18)/10</t>
        </is>
      </c>
      <c r="H13" s="204">
        <f>($I$3-18-9.5-(8*8)-23-9.5-18)/10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40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120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20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IF($H$3&lt;=12,V15,IF($H$3&lt;=20,V17,V22))</f>
        <v/>
      </c>
      <c r="C16" s="203" t="n"/>
      <c r="D16" s="203" t="n"/>
      <c r="E16" s="203" t="n"/>
      <c r="F16" s="153" t="n">
        <v>20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21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(($H$6*$I$6)+($H$8*1)+($H$9*$I$9)+($H$12*$I$12*2)+($H$13*$I$13)+($H$14*$I$14)-($H$12*4))/1000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24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((($H$12*$F$12*$E$12/1000)+($H$13*$F$13*$E$13/1000)+($H$15*$F$15*$E$15/1000)+($H$16*$F$16*$E$16/1000))+($O$28*$P$28*$H$3*2.5*10/1000000))/10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$N$27*10</f>
        <v/>
      </c>
      <c r="O28" s="41">
        <f>$H$12-130</f>
        <v/>
      </c>
      <c r="P28" s="41">
        <f>$H$13-130</f>
        <v/>
      </c>
      <c r="Q28" s="41">
        <f>10*$J$1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M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count="2">
    <dataValidation sqref="G3" showDropDown="0" showInputMessage="1" showErrorMessage="1" allowBlank="1" type="list">
      <formula1>"ขาว,ดำ"</formula1>
    </dataValidation>
    <dataValidation sqref="H3" showDropDown="0" showInputMessage="1" showErrorMessage="1" allowBlank="1" type="list">
      <formula1>"5,6,8,10,12,14,16,18,20,29,30,33"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xl/worksheets/sheet76.xml><?xml version="1.0" encoding="utf-8"?>
<worksheet xmlns="http://schemas.openxmlformats.org/spreadsheetml/2006/main">
  <sheetPr codeName="Sheet75">
    <tabColor rgb="FFFFFF00"/>
    <outlinePr summaryBelow="1" summaryRight="1"/>
    <pageSetUpPr/>
  </sheetPr>
  <dimension ref="A1:Y32"/>
  <sheetViews>
    <sheetView view="pageBreakPreview" zoomScale="70" zoomScaleNormal="55" zoomScaleSheetLayoutView="70" workbookViewId="0">
      <selection activeCell="H13" sqref="H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6000</v>
      </c>
      <c r="J3" s="52" t="n">
        <v>3000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4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5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IF($J$3&lt;=2700,26,38)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5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5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5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5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20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10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20</v>
      </c>
      <c r="G13" s="59" t="inlineStr">
        <is>
          <t>(W-18-9.5-(8x8)-71
-9.5-18)/10</t>
        </is>
      </c>
      <c r="H13" s="204">
        <f>($I$3-18-9.5-(8*8)-71-9.5-18)/10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40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ชนกลางบานคู่</t>
        </is>
      </c>
      <c r="C14" s="56" t="n"/>
      <c r="D14" s="161" t="inlineStr">
        <is>
          <t>F7974</t>
        </is>
      </c>
      <c r="E14" s="161" t="n">
        <v>0.799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120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20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53" t="n">
        <v>14</v>
      </c>
      <c r="M15" s="43" t="inlineStr">
        <is>
          <t>ยางลูกโป่ง 6mm</t>
        </is>
      </c>
      <c r="N15" s="44" t="n"/>
      <c r="O15" s="153" t="inlineStr">
        <is>
          <t>-</t>
        </is>
      </c>
      <c r="P15" s="206">
        <f>(($H$6*$I$6)+($H$8*I8)+($H$9*$I$9)+($H$12*$I$12*2)+($H$14*$I$14*3)+($H$13*$I$13*2))/1000</f>
        <v/>
      </c>
      <c r="Q15" s="206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IF($H$3&lt;=12,V15,IF($H$3&lt;=20,V17,V19))</f>
        <v/>
      </c>
      <c r="C16" s="203" t="n"/>
      <c r="D16" s="203" t="n"/>
      <c r="E16" s="203" t="n"/>
      <c r="F16" s="153" t="n">
        <v>20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53" t="n">
        <v>15</v>
      </c>
      <c r="M16" s="43" t="inlineStr">
        <is>
          <t>สักหลาด 5mm</t>
        </is>
      </c>
      <c r="N16" s="44" t="n"/>
      <c r="O16" s="153" t="inlineStr">
        <is>
          <t>-</t>
        </is>
      </c>
      <c r="P16" s="206">
        <f>($H$14*$I$14*2)/1000</f>
        <v/>
      </c>
      <c r="Q16" s="206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53" t="n">
        <v>16</v>
      </c>
      <c r="M17" s="43" t="inlineStr">
        <is>
          <t>ยางอัด</t>
        </is>
      </c>
      <c r="N17" s="58" t="n"/>
      <c r="O17" s="153" t="inlineStr">
        <is>
          <t>-</t>
        </is>
      </c>
      <c r="P17" s="206">
        <f>(($O$25+$P$25)*2)*$Q$25/1000</f>
        <v/>
      </c>
      <c r="Q17" s="206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53" t="n">
        <v>17</v>
      </c>
      <c r="M18" s="43" t="inlineStr">
        <is>
          <t>ยางรอง</t>
        </is>
      </c>
      <c r="N18" s="58" t="n"/>
      <c r="O18" s="153" t="inlineStr">
        <is>
          <t>-</t>
        </is>
      </c>
      <c r="P18" s="206">
        <f>(($O$25+$P$25)*2)*$Q$25/1000</f>
        <v/>
      </c>
      <c r="Q18" s="206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V19" s="12" t="inlineStr">
        <is>
          <t>คิ้วสำหรับกระจกมู่ลี่ (นอน)</t>
        </is>
      </c>
      <c r="W19" s="14" t="n"/>
      <c r="X19" s="11" t="inlineStr">
        <is>
          <t>F7853</t>
        </is>
      </c>
      <c r="Y19" s="11" t="n">
        <v>0.22</v>
      </c>
    </row>
    <row r="20" ht="34.95" customHeight="1" s="92"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S20" s="6">
        <f>O25*P25*6*Q25*2.5/1000000</f>
        <v/>
      </c>
    </row>
    <row r="21" ht="34.95" customHeight="1" s="92"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S21" s="18">
        <f>SUM(S12:S20)</f>
        <v/>
      </c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N23" s="70" t="inlineStr">
        <is>
          <t>น้ำหนักรวม
ต่อ บาน</t>
        </is>
      </c>
      <c r="O23" s="154" t="inlineStr">
        <is>
          <t>กระจก</t>
        </is>
      </c>
      <c r="P23" s="198" t="n"/>
      <c r="Q23" s="199" t="n"/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N24" s="210">
        <f>((($H$12*$F$12*$E$12/1000)+($H$13*$F$13*$E$13/1000)+($H$15*$F$15*$E$15/1000)+($H$16*$F$16*$E$16/1000))+($O$25*$P$25*$H$3*2.5*10/1000000))/10</f>
        <v/>
      </c>
      <c r="O24" s="161" t="inlineStr">
        <is>
          <t>HS-130</t>
        </is>
      </c>
      <c r="P24" s="161" t="inlineStr">
        <is>
          <t>WS-130</t>
        </is>
      </c>
      <c r="Q24" s="202" t="inlineStr">
        <is>
          <t>จำนวน</t>
        </is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N25" s="211">
        <f>$N$24*10</f>
        <v/>
      </c>
      <c r="O25" s="41">
        <f>$H$12-130</f>
        <v/>
      </c>
      <c r="P25" s="41">
        <f>$H$13-130</f>
        <v/>
      </c>
      <c r="Q25" s="41">
        <f>10*$J$1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</row>
    <row r="29" ht="34.95" customHeight="1" s="92">
      <c r="A29" s="36" t="n"/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A30" s="36" t="n"/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A31" s="15" t="n"/>
      <c r="B31" s="16" t="n"/>
      <c r="F31" s="17" t="n"/>
      <c r="G31" s="6" t="n"/>
      <c r="H31" s="193" t="n"/>
      <c r="I31" s="17" t="n"/>
      <c r="J31" s="17" t="n"/>
    </row>
    <row r="32" ht="34.95" customHeight="1" s="92">
      <c r="G32" s="6" t="n"/>
    </row>
    <row r="33" ht="34.95" customHeight="1" s="92"/>
    <row r="34" ht="34.95" customHeight="1" s="92"/>
    <row r="35" ht="34.95" customHeight="1" s="92"/>
    <row r="36" ht="34.95" customHeight="1" s="92"/>
    <row r="37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O23:Q23"/>
    <mergeCell ref="E12:E13"/>
    <mergeCell ref="C12:C13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L17:Q18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4">
    <cfRule type="cellIs" priority="1" operator="greaterThanOrEqual" dxfId="1">
      <formula>54.5</formula>
    </cfRule>
    <cfRule type="cellIs" priority="2" operator="greaterThanOrEqual" dxfId="0">
      <formula>49</formula>
    </cfRule>
  </conditionalFormatting>
  <dataValidations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54"/>
</worksheet>
</file>

<file path=xl/worksheets/sheet77.xml><?xml version="1.0" encoding="utf-8"?>
<worksheet xmlns="http://schemas.openxmlformats.org/spreadsheetml/2006/main">
  <sheetPr codeName="Sheet76">
    <tabColor rgb="FFFFFF00"/>
    <outlinePr summaryBelow="1" summaryRight="1"/>
    <pageSetUpPr/>
  </sheetPr>
  <dimension ref="A1:Y35"/>
  <sheetViews>
    <sheetView view="pageBreakPreview" zoomScale="70" zoomScaleNormal="55" zoomScaleSheetLayoutView="70" workbookViewId="0">
      <selection activeCell="G13" sqref="G13"/>
    </sheetView>
  </sheetViews>
  <sheetFormatPr baseColWidth="8" defaultColWidth="8.8984375" defaultRowHeight="13.8"/>
  <cols>
    <col width="8.69921875" customWidth="1" style="6" min="1" max="1"/>
    <col width="22.09765625" bestFit="1" customWidth="1" style="16" min="2" max="2"/>
    <col width="16" customWidth="1" style="16" min="3" max="3"/>
    <col width="15.69921875" customWidth="1" style="15" min="4" max="4"/>
    <col width="8.69921875" customWidth="1" style="15" min="5" max="5"/>
    <col width="8.69921875" customWidth="1" style="17" min="6" max="6"/>
    <col width="25.69921875" customWidth="1" style="15" min="7" max="7"/>
    <col width="15.69921875" customWidth="1" style="193" min="8" max="8"/>
    <col width="8.69921875" customWidth="1" style="17" min="9" max="10"/>
    <col width="8.8984375" customWidth="1" style="6" min="11" max="11"/>
    <col width="8.69921875" customWidth="1" style="6" min="12" max="12"/>
    <col width="32" bestFit="1" customWidth="1" style="6" min="13" max="13"/>
    <col width="15.69921875" customWidth="1" style="6" min="14" max="14"/>
    <col width="8.69921875" customWidth="1" style="6" min="15" max="17"/>
    <col width="8.8984375" customWidth="1" style="6" min="18" max="18"/>
    <col width="9.3984375" bestFit="1" customWidth="1" style="6" min="19" max="19"/>
    <col width="8.8984375" customWidth="1" style="6" min="20" max="21"/>
    <col hidden="1" outlineLevel="1" width="22.09765625" customWidth="1" style="6" min="22" max="22"/>
    <col hidden="1" outlineLevel="1" width="8.8984375" customWidth="1" style="6" min="23" max="23"/>
    <col hidden="1" outlineLevel="1" width="10.69921875" customWidth="1" style="6" min="24" max="25"/>
    <col hidden="1" outlineLevel="1" width="5.69921875" customWidth="1" style="6" min="26" max="26"/>
    <col hidden="1" outlineLevel="1" width="40.69921875" customWidth="1" style="6" min="27" max="27"/>
    <col hidden="1" outlineLevel="1" width="10.69921875" customWidth="1" style="6" min="28" max="28"/>
    <col hidden="1" outlineLevel="1" width="5.69921875" customWidth="1" style="6" min="29" max="29"/>
    <col hidden="1" outlineLevel="1" width="7" customWidth="1" style="6" min="30" max="30"/>
    <col collapsed="1" width="8.8984375" customWidth="1" style="6" min="31" max="31"/>
    <col width="8.8984375" customWidth="1" style="6" min="32" max="16384"/>
  </cols>
  <sheetData>
    <row r="1" ht="19.95" customHeight="1" s="92">
      <c r="A1" s="1" t="n"/>
      <c r="H1" s="194" t="n"/>
      <c r="I1" s="11" t="inlineStr">
        <is>
          <t>Quantity</t>
        </is>
      </c>
      <c r="J1" s="11" t="n">
        <v>1</v>
      </c>
    </row>
    <row r="2" ht="19.95" customHeight="1" s="92">
      <c r="A2" s="7" t="n"/>
      <c r="C2" s="158" t="inlineStr">
        <is>
          <t xml:space="preserve">ใบงาน : </t>
        </is>
      </c>
      <c r="D2" s="6" t="n"/>
      <c r="E2" s="6" t="n"/>
      <c r="F2" s="217" t="n"/>
      <c r="G2" s="195" t="inlineStr">
        <is>
          <t>สีฮาร์ดแวร์</t>
        </is>
      </c>
      <c r="H2" s="195" t="inlineStr">
        <is>
          <t>GLASS กระจก</t>
        </is>
      </c>
      <c r="I2" s="50" t="inlineStr">
        <is>
          <t>W</t>
        </is>
      </c>
      <c r="J2" s="50" t="inlineStr">
        <is>
          <t>H</t>
        </is>
      </c>
    </row>
    <row r="3" ht="19.95" customHeight="1" s="92">
      <c r="G3" s="218" t="inlineStr">
        <is>
          <t>ดำ</t>
        </is>
      </c>
      <c r="H3" s="218" t="n">
        <v>6</v>
      </c>
      <c r="I3" s="52" t="n">
        <v>3400</v>
      </c>
      <c r="J3" s="52" t="n">
        <v>3200</v>
      </c>
    </row>
    <row r="4" ht="19.95" customFormat="1" customHeight="1" s="9">
      <c r="A4" s="148" t="inlineStr">
        <is>
          <t>Die list  รายการดาย</t>
        </is>
      </c>
      <c r="B4" s="198" t="n"/>
      <c r="C4" s="198" t="n"/>
      <c r="D4" s="198" t="n"/>
      <c r="E4" s="198" t="n"/>
      <c r="F4" s="198" t="n"/>
      <c r="G4" s="198" t="n"/>
      <c r="H4" s="198" t="n"/>
      <c r="I4" s="198" t="n"/>
      <c r="J4" s="199" t="n"/>
      <c r="K4" s="19" t="n"/>
      <c r="L4" s="148" t="inlineStr">
        <is>
          <t>Parts list รายการฮาร์ดแวร์</t>
        </is>
      </c>
      <c r="M4" s="198" t="n"/>
      <c r="N4" s="198" t="n"/>
      <c r="O4" s="198" t="n"/>
      <c r="P4" s="198" t="n"/>
      <c r="Q4" s="199" t="n"/>
    </row>
    <row r="5" ht="40.2" customHeight="1" s="92">
      <c r="A5" s="20" t="inlineStr">
        <is>
          <t>No.</t>
        </is>
      </c>
      <c r="B5" s="20" t="inlineStr">
        <is>
          <t>ชื่อ</t>
        </is>
      </c>
      <c r="C5" s="20" t="inlineStr">
        <is>
          <t>หน้าดาย</t>
        </is>
      </c>
      <c r="D5" s="20" t="inlineStr">
        <is>
          <t>เบอร์ดาย</t>
        </is>
      </c>
      <c r="E5" s="20" t="inlineStr">
        <is>
          <t>น้ำหนัก</t>
        </is>
      </c>
      <c r="F5" s="22" t="inlineStr">
        <is>
          <t>จำนวน
/ชุด</t>
        </is>
      </c>
      <c r="G5" s="20" t="inlineStr">
        <is>
          <t>สูตรตัด</t>
        </is>
      </c>
      <c r="H5" s="200" t="inlineStr">
        <is>
          <t>ระยะตัด</t>
        </is>
      </c>
      <c r="I5" s="22" t="inlineStr">
        <is>
          <t>จำนวน
รวม</t>
        </is>
      </c>
      <c r="J5" s="22" t="inlineStr">
        <is>
          <t>เส้น 
6.4</t>
        </is>
      </c>
      <c r="K5" s="23" t="n"/>
      <c r="L5" s="20" t="inlineStr">
        <is>
          <t>No.</t>
        </is>
      </c>
      <c r="M5" s="20" t="inlineStr">
        <is>
          <t>ชื่อ</t>
        </is>
      </c>
      <c r="N5" s="20" t="inlineStr">
        <is>
          <t>รูป</t>
        </is>
      </c>
      <c r="O5" s="20" t="inlineStr">
        <is>
          <t>สี</t>
        </is>
      </c>
      <c r="P5" s="22" t="inlineStr">
        <is>
          <t>จำนวน
/ชุด</t>
        </is>
      </c>
      <c r="Q5" s="20" t="inlineStr">
        <is>
          <t>รวม</t>
        </is>
      </c>
      <c r="R5" s="201" t="inlineStr">
        <is>
          <t>บาท/ชิ้น</t>
        </is>
      </c>
    </row>
    <row r="6" ht="34.95" customHeight="1" s="92">
      <c r="A6" s="161" t="n">
        <v>1</v>
      </c>
      <c r="B6" s="56" t="inlineStr">
        <is>
          <t>เฟรมบนบานเฟี้ยม</t>
        </is>
      </c>
      <c r="C6" s="56" t="n"/>
      <c r="D6" s="161" t="inlineStr">
        <is>
          <t>F7968</t>
        </is>
      </c>
      <c r="E6" s="161" t="n">
        <v>2.767</v>
      </c>
      <c r="F6" s="161" t="n">
        <v>1</v>
      </c>
      <c r="G6" s="161" t="inlineStr">
        <is>
          <t>W-18-18</t>
        </is>
      </c>
      <c r="H6" s="202">
        <f>$I$3-18-18</f>
        <v/>
      </c>
      <c r="I6" s="161">
        <f>F6*$J$1</f>
        <v/>
      </c>
      <c r="J6" s="161">
        <f>ROUNDUP((H6*I6)/6400,0)</f>
        <v/>
      </c>
      <c r="L6" s="161" t="n">
        <v>1</v>
      </c>
      <c r="M6" s="29" t="inlineStr">
        <is>
          <t>HD-640 บานพับล้อบนเฟี้ยม</t>
        </is>
      </c>
      <c r="N6" s="161" t="n"/>
      <c r="O6" s="161">
        <f>IF($G$3="ขาว","ขาว","ดำ")</f>
        <v/>
      </c>
      <c r="P6" s="161" t="n">
        <v>4</v>
      </c>
      <c r="Q6" s="161">
        <f>$J$1*P6</f>
        <v/>
      </c>
      <c r="R6" s="193" t="n">
        <v>299</v>
      </c>
    </row>
    <row r="7" ht="34.95" customHeight="1" s="92">
      <c r="A7" s="161" t="n">
        <v>2</v>
      </c>
      <c r="B7" s="56" t="inlineStr">
        <is>
          <t>รางยู</t>
        </is>
      </c>
      <c r="C7" s="56" t="n"/>
      <c r="D7" s="161" t="inlineStr">
        <is>
          <t>F7932</t>
        </is>
      </c>
      <c r="E7" s="161" t="n">
        <v>0.303</v>
      </c>
      <c r="F7" s="161" t="n">
        <v>1</v>
      </c>
      <c r="G7" s="161" t="inlineStr">
        <is>
          <t>W-18-18</t>
        </is>
      </c>
      <c r="H7" s="202">
        <f>$I$3-18-18</f>
        <v/>
      </c>
      <c r="I7" s="161">
        <f>F7*$J$1</f>
        <v/>
      </c>
      <c r="J7" s="161">
        <f>ROUNDUP((H7*I7)/6400,0)</f>
        <v/>
      </c>
      <c r="L7" s="161" t="n">
        <v>2</v>
      </c>
      <c r="M7" s="29" t="inlineStr">
        <is>
          <t>HD-641 บานพับเฟี้ยม</t>
        </is>
      </c>
      <c r="N7" s="161" t="n"/>
      <c r="O7" s="161">
        <f>IF($G$3="ขาว","ขาว","ดำ")</f>
        <v/>
      </c>
      <c r="P7" s="161">
        <f>IF($J$3&lt;=2700,22,28)</f>
        <v/>
      </c>
      <c r="Q7" s="161">
        <f>$J$1*P7</f>
        <v/>
      </c>
      <c r="R7" s="193" t="n">
        <v>72</v>
      </c>
    </row>
    <row r="8" ht="34.95" customHeight="1" s="92">
      <c r="A8" s="153" t="n">
        <v>3</v>
      </c>
      <c r="B8" s="46" t="inlineStr">
        <is>
          <t>เฟรมข้างบานเฟี้ยม</t>
        </is>
      </c>
      <c r="C8" s="46" t="n"/>
      <c r="D8" s="153" t="inlineStr">
        <is>
          <t>F7970</t>
        </is>
      </c>
      <c r="E8" s="153" t="n">
        <v>0.9340000000000001</v>
      </c>
      <c r="F8" s="153" t="n">
        <v>2</v>
      </c>
      <c r="G8" s="153" t="inlineStr">
        <is>
          <t>H</t>
        </is>
      </c>
      <c r="H8" s="204">
        <f>$J$3</f>
        <v/>
      </c>
      <c r="I8" s="153">
        <f>F8*$J$1</f>
        <v/>
      </c>
      <c r="J8" s="153">
        <f>ROUNDUP((H8*I8)/6400,0)</f>
        <v/>
      </c>
      <c r="L8" s="161" t="n">
        <v>3</v>
      </c>
      <c r="M8" s="29" t="inlineStr">
        <is>
          <t>HD-642 บานพับมือจับเฟี้ยม</t>
        </is>
      </c>
      <c r="N8" s="161" t="n"/>
      <c r="O8" s="161">
        <f>IF($G$3="ขาว","ขาว","ดำ")</f>
        <v/>
      </c>
      <c r="P8" s="161" t="n">
        <v>4</v>
      </c>
      <c r="Q8" s="161">
        <f>$J$1*P8</f>
        <v/>
      </c>
      <c r="R8" s="193" t="n">
        <v>109</v>
      </c>
    </row>
    <row r="9" ht="34.95" customHeight="1" s="92">
      <c r="A9" s="153" t="n">
        <v>4</v>
      </c>
      <c r="B9" s="46" t="inlineStr">
        <is>
          <t>คิ้วตบเฟรมข้าง</t>
        </is>
      </c>
      <c r="C9" s="46" t="n"/>
      <c r="D9" s="153" t="inlineStr">
        <is>
          <t>F7971</t>
        </is>
      </c>
      <c r="E9" s="153" t="n">
        <v>0.4</v>
      </c>
      <c r="F9" s="153" t="n">
        <v>2</v>
      </c>
      <c r="G9" s="153" t="inlineStr">
        <is>
          <t>H-75</t>
        </is>
      </c>
      <c r="H9" s="204">
        <f>$J$3-75</f>
        <v/>
      </c>
      <c r="I9" s="153">
        <f>F9*$J$1</f>
        <v/>
      </c>
      <c r="J9" s="153">
        <f>ROUNDUP((H9*I9)/6400,0)</f>
        <v/>
      </c>
      <c r="L9" s="161" t="n">
        <v>4</v>
      </c>
      <c r="M9" s="29" t="inlineStr">
        <is>
          <t>HD-643 บานพับไกด์ล่างเฟี้ยม</t>
        </is>
      </c>
      <c r="N9" s="161" t="n"/>
      <c r="O9" s="161">
        <f>IF($G$3="ขาว","ขาว","ดำ")</f>
        <v/>
      </c>
      <c r="P9" s="161" t="n">
        <v>4</v>
      </c>
      <c r="Q9" s="161">
        <f>$J$1*P9</f>
        <v/>
      </c>
      <c r="R9" s="193" t="n">
        <v>199</v>
      </c>
    </row>
    <row r="10" ht="34.95" customHeight="1" s="92">
      <c r="A10" s="161" t="n">
        <v>5</v>
      </c>
      <c r="B10" s="56" t="inlineStr">
        <is>
          <t>ตบปิดเฟรม (ตั้ง)</t>
        </is>
      </c>
      <c r="C10" s="161" t="n"/>
      <c r="D10" s="161" t="inlineStr">
        <is>
          <t>F7973</t>
        </is>
      </c>
      <c r="E10" s="161" t="n">
        <v>0.19</v>
      </c>
      <c r="F10" s="161" t="n">
        <v>2</v>
      </c>
      <c r="G10" s="161" t="inlineStr">
        <is>
          <t>H-75</t>
        </is>
      </c>
      <c r="H10" s="202">
        <f>$J$3-75</f>
        <v/>
      </c>
      <c r="I10" s="161">
        <f>F10*$J$1</f>
        <v/>
      </c>
      <c r="J10" s="161">
        <f>ROUNDUP(((H10*I10)+(H11*I11))/6400,0)</f>
        <v/>
      </c>
      <c r="L10" s="161" t="n">
        <v>5</v>
      </c>
      <c r="M10" s="29" t="inlineStr">
        <is>
          <t>HD-474 มือจับกลอนรุ่นก้านโยก</t>
        </is>
      </c>
      <c r="N10" s="161" t="n"/>
      <c r="O10" s="161">
        <f>IF($G$3="ขาว","ขาว","ดำ")</f>
        <v/>
      </c>
      <c r="P10" s="161" t="n">
        <v>4</v>
      </c>
      <c r="Q10" s="161">
        <f>$J$1*P10</f>
        <v/>
      </c>
      <c r="R10" s="193" t="n">
        <v>85</v>
      </c>
    </row>
    <row r="11" ht="34.95" customHeight="1" s="92">
      <c r="A11" s="161" t="n">
        <v>6</v>
      </c>
      <c r="B11" s="56" t="inlineStr">
        <is>
          <t>ตบปิดเฟรม (นอน)</t>
        </is>
      </c>
      <c r="C11" s="203" t="n"/>
      <c r="D11" s="203" t="n"/>
      <c r="E11" s="203" t="n"/>
      <c r="F11" s="161" t="n">
        <v>1</v>
      </c>
      <c r="G11" s="161" t="inlineStr">
        <is>
          <t>W-20-20</t>
        </is>
      </c>
      <c r="H11" s="202">
        <f>$I$3-20-20</f>
        <v/>
      </c>
      <c r="I11" s="161">
        <f>F11*$J$1</f>
        <v/>
      </c>
      <c r="J11" s="203" t="n"/>
      <c r="L11" s="161" t="n">
        <v>6</v>
      </c>
      <c r="M11" s="29" t="inlineStr">
        <is>
          <t>HD-312 ตลับกลอนก้านโยกมัลติล็อค</t>
        </is>
      </c>
      <c r="N11" s="161" t="n"/>
      <c r="O11" s="161">
        <f>IF($G$3="ขาว","ขาว","ดำ")</f>
        <v/>
      </c>
      <c r="P11" s="161" t="n">
        <v>4</v>
      </c>
      <c r="Q11" s="161">
        <f>$J$1*P11</f>
        <v/>
      </c>
      <c r="R11" s="193" t="n">
        <v>88</v>
      </c>
    </row>
    <row r="12" ht="34.95" customHeight="1" s="92">
      <c r="A12" s="153" t="n">
        <v>7</v>
      </c>
      <c r="B12" s="46" t="inlineStr">
        <is>
          <t>กรอบบานเฟี้ยม (ตั้ง)</t>
        </is>
      </c>
      <c r="C12" s="153" t="n"/>
      <c r="D12" s="153" t="inlineStr">
        <is>
          <t>F7972</t>
        </is>
      </c>
      <c r="E12" s="153" t="n">
        <v>1.466</v>
      </c>
      <c r="F12" s="153" t="n">
        <v>20</v>
      </c>
      <c r="G12" s="153" t="inlineStr">
        <is>
          <t>H-55-7-7</t>
        </is>
      </c>
      <c r="H12" s="204">
        <f>$J$3-55-7-7</f>
        <v/>
      </c>
      <c r="I12" s="153">
        <f>F12*$J$1</f>
        <v/>
      </c>
      <c r="J12" s="219">
        <f>ROUNDUP(((H12*I12)+(H13*I13))/6400,0)</f>
        <v/>
      </c>
      <c r="L12" s="161" t="n">
        <v>7</v>
      </c>
      <c r="M12" s="29" t="inlineStr">
        <is>
          <t>HD-1180 ก้าน AL สไลด์ 19.5 mm</t>
        </is>
      </c>
      <c r="N12" s="161" t="n"/>
      <c r="O12" s="161">
        <f>IF($G$3="ขาว","ขาว","ดำ")</f>
        <v/>
      </c>
      <c r="P12" s="161" t="n">
        <v>8</v>
      </c>
      <c r="Q12" s="161">
        <f>$J$1*P12</f>
        <v/>
      </c>
      <c r="R12" s="193" t="n">
        <v>73</v>
      </c>
      <c r="S12" s="6">
        <f>((H12*I12)/1000)*E12</f>
        <v/>
      </c>
    </row>
    <row r="13" ht="34.95" customHeight="1" s="92">
      <c r="A13" s="153" t="n">
        <v>8</v>
      </c>
      <c r="B13" s="46" t="inlineStr">
        <is>
          <t>กรอบบานเฟี้ยม (ขวาง)</t>
        </is>
      </c>
      <c r="C13" s="203" t="n"/>
      <c r="D13" s="203" t="n"/>
      <c r="E13" s="203" t="n"/>
      <c r="F13" s="153" t="n">
        <v>20</v>
      </c>
      <c r="G13" s="59" t="inlineStr">
        <is>
          <t>(W-18-9.5-(8x8)
-23-9.5-18)/10</t>
        </is>
      </c>
      <c r="H13" s="204">
        <f>($I$3-18-9.5-(8*8)-23-9.5-18)/10</f>
        <v/>
      </c>
      <c r="I13" s="153">
        <f>F13*$J$1</f>
        <v/>
      </c>
      <c r="J13" s="203" t="n"/>
      <c r="L13" s="161" t="n">
        <v>12</v>
      </c>
      <c r="M13" s="29" t="inlineStr">
        <is>
          <t>HD-213 ฉากเข้ามุมปรับได้</t>
        </is>
      </c>
      <c r="N13" s="30" t="n"/>
      <c r="O13" s="161" t="inlineStr">
        <is>
          <t>-</t>
        </is>
      </c>
      <c r="P13" s="161" t="n">
        <v>40</v>
      </c>
      <c r="Q13" s="161">
        <f>$J$1*P13</f>
        <v/>
      </c>
      <c r="R13" s="193" t="n">
        <v>15</v>
      </c>
      <c r="S13" s="6">
        <f>((H13*I13)/1000)*E13</f>
        <v/>
      </c>
      <c r="V13" s="8" t="inlineStr">
        <is>
          <t>ชื่อ</t>
        </is>
      </c>
      <c r="W13" s="8" t="inlineStr">
        <is>
          <t>หน้าดาย</t>
        </is>
      </c>
      <c r="X13" s="8" t="inlineStr">
        <is>
          <t>เบอร์ดาย</t>
        </is>
      </c>
      <c r="Y13" s="8" t="inlineStr">
        <is>
          <t>น้ำหนัก</t>
        </is>
      </c>
    </row>
    <row r="14" ht="34.95" customHeight="1" s="92">
      <c r="A14" s="161" t="n">
        <v>9</v>
      </c>
      <c r="B14" s="56" t="inlineStr">
        <is>
          <t>บังใบ</t>
        </is>
      </c>
      <c r="C14" s="56" t="n"/>
      <c r="D14" s="161" t="inlineStr">
        <is>
          <t>F7975</t>
        </is>
      </c>
      <c r="E14" s="161" t="n">
        <v>0.452</v>
      </c>
      <c r="F14" s="161" t="n">
        <v>2</v>
      </c>
      <c r="G14" s="161" t="inlineStr">
        <is>
          <t>HS</t>
        </is>
      </c>
      <c r="H14" s="202">
        <f>$H$12</f>
        <v/>
      </c>
      <c r="I14" s="161">
        <f>F14*$J$1</f>
        <v/>
      </c>
      <c r="J14" s="161">
        <f>ROUNDUP((H14*I14)/6400,0)</f>
        <v/>
      </c>
      <c r="L14" s="161" t="n">
        <v>13</v>
      </c>
      <c r="M14" s="29" t="inlineStr">
        <is>
          <t>HD-200 ฉากประคองมุม</t>
        </is>
      </c>
      <c r="N14" s="30" t="n"/>
      <c r="O14" s="161" t="inlineStr">
        <is>
          <t>-</t>
        </is>
      </c>
      <c r="P14" s="161" t="n">
        <v>120</v>
      </c>
      <c r="Q14" s="161">
        <f>$J$1*P14</f>
        <v/>
      </c>
      <c r="R14" s="193" t="n">
        <v>1.5</v>
      </c>
      <c r="V14" s="12" t="inlineStr">
        <is>
          <t>คิ้วกระจก5-12มิล (ตั้ง)</t>
        </is>
      </c>
      <c r="W14" s="12" t="n"/>
      <c r="X14" s="11" t="inlineStr">
        <is>
          <t>F7935</t>
        </is>
      </c>
      <c r="Y14" s="11" t="n">
        <v>0.285</v>
      </c>
    </row>
    <row r="15" ht="34.95" customHeight="1" s="92">
      <c r="A15" s="153" t="n">
        <v>11</v>
      </c>
      <c r="B15" s="46">
        <f>IF($H$3&lt;=12,V14,IF($H$3&lt;=20,V16,V18))</f>
        <v/>
      </c>
      <c r="C15" s="153" t="n"/>
      <c r="D15" s="153">
        <f>IF($H$3&lt;=12,X14,IF($H$3&lt;=20,X16,X18))</f>
        <v/>
      </c>
      <c r="E15" s="153">
        <f>IF($H$3&lt;=12,Y14,IF($H$3&lt;=20,Y16,Y18))</f>
        <v/>
      </c>
      <c r="F15" s="153" t="n">
        <v>20</v>
      </c>
      <c r="G15" s="153" t="inlineStr">
        <is>
          <t>SH-80-80</t>
        </is>
      </c>
      <c r="H15" s="204">
        <f>$H$12-80-80</f>
        <v/>
      </c>
      <c r="I15" s="153">
        <f>F15*$J$1</f>
        <v/>
      </c>
      <c r="J15" s="219">
        <f>ROUNDUP(((H15*I15)+(H16*I16))/6400,0)</f>
        <v/>
      </c>
      <c r="L15" s="161" t="n">
        <v>14</v>
      </c>
      <c r="M15" s="12" t="inlineStr">
        <is>
          <t>HD-481A มือจับก้านโยกกุญแจ</t>
        </is>
      </c>
      <c r="N15" s="161" t="n"/>
      <c r="O15" s="161">
        <f>IF($G$3="ขาว","ขาว","ดำ")</f>
        <v/>
      </c>
      <c r="P15" s="161" t="n">
        <v>1</v>
      </c>
      <c r="Q15" s="161">
        <f>$J$1*P15</f>
        <v/>
      </c>
      <c r="V15" s="12" t="inlineStr">
        <is>
          <t>คิ้วกระจก5-12มิล (นอน)</t>
        </is>
      </c>
      <c r="W15" s="12" t="n"/>
      <c r="X15" s="11" t="inlineStr">
        <is>
          <t>F7935</t>
        </is>
      </c>
      <c r="Y15" s="11" t="n">
        <v>0.285</v>
      </c>
    </row>
    <row r="16" ht="34.95" customHeight="1" s="92">
      <c r="A16" s="153" t="n">
        <v>12</v>
      </c>
      <c r="B16" s="46">
        <f>IF($H$3&lt;=12,V15,IF($H$3&lt;=20,V17,V22))</f>
        <v/>
      </c>
      <c r="C16" s="203" t="n"/>
      <c r="D16" s="203" t="n"/>
      <c r="E16" s="203" t="n"/>
      <c r="F16" s="153" t="n">
        <v>20</v>
      </c>
      <c r="G16" s="153" t="inlineStr">
        <is>
          <t>SW-60-60</t>
        </is>
      </c>
      <c r="H16" s="204">
        <f>$H$13-60-60</f>
        <v/>
      </c>
      <c r="I16" s="153">
        <f>F16*$J$1</f>
        <v/>
      </c>
      <c r="J16" s="203" t="n"/>
      <c r="L16" s="161" t="n">
        <v>15</v>
      </c>
      <c r="M16" s="12" t="inlineStr">
        <is>
          <t>HD-1115 แป้นรับล็อคบานเปิด</t>
        </is>
      </c>
      <c r="N16" s="161" t="n"/>
      <c r="O16" s="161" t="inlineStr">
        <is>
          <t>-</t>
        </is>
      </c>
      <c r="P16" s="161" t="n">
        <v>1</v>
      </c>
      <c r="Q16" s="161">
        <f>$J$1*P16</f>
        <v/>
      </c>
      <c r="S16" s="6">
        <f>((H15*I15)/1000)*E15</f>
        <v/>
      </c>
      <c r="V16" s="12" t="inlineStr">
        <is>
          <t>คิ้วกระจก14-20มิล (ตั้ง)</t>
        </is>
      </c>
      <c r="W16" s="12" t="n"/>
      <c r="X16" s="11" t="inlineStr">
        <is>
          <t>F7949</t>
        </is>
      </c>
      <c r="Y16" s="11" t="n">
        <v>0.252</v>
      </c>
    </row>
    <row r="17" ht="34.95" customHeight="1" s="92">
      <c r="A17" s="95" t="n"/>
      <c r="B17" s="96" t="n"/>
      <c r="C17" s="96" t="n"/>
      <c r="D17" s="95" t="n"/>
      <c r="E17" s="95" t="n"/>
      <c r="F17" s="95" t="n"/>
      <c r="G17" s="95" t="n"/>
      <c r="H17" s="216" t="n"/>
      <c r="I17" s="95" t="n"/>
      <c r="J17" s="95" t="n"/>
      <c r="L17" s="161" t="n">
        <v>16</v>
      </c>
      <c r="M17" s="12" t="inlineStr">
        <is>
          <t>HD-850 ตลับกุญแจมัลติล็อค (L35)</t>
        </is>
      </c>
      <c r="N17" s="161" t="n"/>
      <c r="O17" s="161" t="inlineStr">
        <is>
          <t>-</t>
        </is>
      </c>
      <c r="P17" s="161" t="n">
        <v>1</v>
      </c>
      <c r="Q17" s="161">
        <f>$J$1*P17</f>
        <v/>
      </c>
      <c r="S17" s="6">
        <f>((H16*I16)/1000)*E16</f>
        <v/>
      </c>
      <c r="V17" s="12" t="inlineStr">
        <is>
          <t>คิ้วกระจก14-20มิล (นอน)</t>
        </is>
      </c>
      <c r="W17" s="12" t="n"/>
      <c r="X17" s="11" t="inlineStr">
        <is>
          <t>F7949</t>
        </is>
      </c>
      <c r="Y17" s="11" t="n">
        <v>0.252</v>
      </c>
    </row>
    <row r="18" ht="34.95" customHeight="1" s="92">
      <c r="A18" s="36" t="n"/>
      <c r="B18" s="35" t="n"/>
      <c r="C18" s="35" t="n"/>
      <c r="D18" s="36" t="n"/>
      <c r="E18" s="36" t="n"/>
      <c r="F18" s="37" t="n"/>
      <c r="G18" s="36" t="n"/>
      <c r="H18" s="212" t="n"/>
      <c r="I18" s="37" t="n"/>
      <c r="J18" s="37" t="n"/>
      <c r="L18" s="161" t="n">
        <v>17</v>
      </c>
      <c r="M18" s="56" t="inlineStr">
        <is>
          <t>HD-803 ไส้กุญแจ1หน้า คาบ้า (L75)</t>
        </is>
      </c>
      <c r="N18" s="161" t="n"/>
      <c r="O18" s="161" t="inlineStr">
        <is>
          <t>-</t>
        </is>
      </c>
      <c r="P18" s="161" t="n">
        <v>1</v>
      </c>
      <c r="Q18" s="161">
        <f>$J$1*P18</f>
        <v/>
      </c>
      <c r="V18" s="12" t="inlineStr">
        <is>
          <t>คิ้วสำหรับกระจกมู่ลี่ (ตั้ง)</t>
        </is>
      </c>
      <c r="W18" s="14" t="n"/>
      <c r="X18" s="11" t="inlineStr">
        <is>
          <t>F7853</t>
        </is>
      </c>
      <c r="Y18" s="11" t="n">
        <v>0.22</v>
      </c>
    </row>
    <row r="19" ht="34.95" customHeight="1" s="92">
      <c r="A19" s="36" t="n"/>
      <c r="B19" s="35" t="n"/>
      <c r="C19" s="35" t="n"/>
      <c r="D19" s="36" t="n"/>
      <c r="E19" s="36" t="n"/>
      <c r="F19" s="37" t="n"/>
      <c r="G19" s="36" t="n"/>
      <c r="H19" s="212" t="n"/>
      <c r="I19" s="37" t="n"/>
      <c r="J19" s="37" t="n"/>
      <c r="L19" s="161" t="n">
        <v>18</v>
      </c>
      <c r="M19" s="61" t="inlineStr">
        <is>
          <t>HD-305  กลอนบานเฟี้ยม</t>
        </is>
      </c>
      <c r="N19" s="60" t="n"/>
      <c r="O19" s="161">
        <f>IF($G$3="ขาว","ขาว","ดำ")</f>
        <v/>
      </c>
      <c r="P19" s="161" t="n">
        <v>2</v>
      </c>
      <c r="Q19" s="161">
        <f>$J$1*P19</f>
        <v/>
      </c>
      <c r="V19" s="12" t="n"/>
      <c r="W19" s="14" t="n"/>
      <c r="X19" s="11" t="n"/>
      <c r="Y19" s="11" t="n"/>
    </row>
    <row r="20" ht="34.95" customHeight="1" s="92">
      <c r="A20" s="36" t="n"/>
      <c r="B20" s="35" t="n"/>
      <c r="C20" s="35" t="n"/>
      <c r="D20" s="36" t="n"/>
      <c r="E20" s="36" t="n"/>
      <c r="F20" s="37" t="n"/>
      <c r="G20" s="36" t="n"/>
      <c r="H20" s="212" t="n"/>
      <c r="I20" s="37" t="n"/>
      <c r="J20" s="37" t="n"/>
      <c r="L20" s="161" t="n">
        <v>19</v>
      </c>
      <c r="M20" s="12" t="inlineStr">
        <is>
          <t>จุดรับล็อค แบบสกรู</t>
        </is>
      </c>
      <c r="N20" s="60" t="n"/>
      <c r="O20" s="161" t="inlineStr">
        <is>
          <t>-</t>
        </is>
      </c>
      <c r="P20" s="161">
        <f>IF($J$3&lt;=2700,3,4)</f>
        <v/>
      </c>
      <c r="Q20" s="161">
        <f>$J$1*P20</f>
        <v/>
      </c>
      <c r="V20" s="12" t="n"/>
      <c r="W20" s="14" t="n"/>
      <c r="X20" s="11" t="n"/>
      <c r="Y20" s="11" t="n"/>
    </row>
    <row r="21" ht="34.95" customHeight="1" s="92">
      <c r="A21" s="36" t="n"/>
      <c r="B21" s="35" t="n"/>
      <c r="C21" s="35" t="n"/>
      <c r="D21" s="36" t="n"/>
      <c r="E21" s="36" t="n"/>
      <c r="F21" s="37" t="n"/>
      <c r="G21" s="36" t="n"/>
      <c r="H21" s="212" t="n"/>
      <c r="I21" s="37" t="n"/>
      <c r="J21" s="37" t="n"/>
      <c r="L21" s="161" t="n">
        <v>20</v>
      </c>
      <c r="M21" s="12" t="inlineStr">
        <is>
          <t>หมุดล็อค 9 x 9 (KIN LONG)</t>
        </is>
      </c>
      <c r="N21" s="60" t="n"/>
      <c r="O21" s="161" t="n"/>
      <c r="P21" s="161">
        <f>IF($J$3&lt;=2700,3,4)</f>
        <v/>
      </c>
      <c r="Q21" s="161">
        <f>$J$1*P21</f>
        <v/>
      </c>
      <c r="V21" s="12" t="n"/>
      <c r="W21" s="14" t="n"/>
      <c r="X21" s="11" t="n"/>
      <c r="Y21" s="11" t="n"/>
    </row>
    <row r="22" ht="34.95" customHeight="1" s="92">
      <c r="B22" s="35" t="n"/>
      <c r="C22" s="35" t="n"/>
      <c r="D22" s="36" t="n"/>
      <c r="E22" s="36" t="n"/>
      <c r="F22" s="37" t="n"/>
      <c r="G22" s="36" t="n"/>
      <c r="H22" s="212" t="n"/>
      <c r="I22" s="37" t="n"/>
      <c r="J22" s="37" t="n"/>
      <c r="L22" s="161" t="n">
        <v>21</v>
      </c>
      <c r="M22" s="68" t="inlineStr">
        <is>
          <t>ก้านสไลด์มัลติพ้อย (F7800 ฟูจิ) 
หรือตลาด</t>
        </is>
      </c>
      <c r="N22" s="60" t="n"/>
      <c r="O22" s="161" t="n"/>
      <c r="P22" s="215">
        <f>ROUNDDOWN($H$12/1000,1)</f>
        <v/>
      </c>
      <c r="Q22" s="215">
        <f>$J$1*P22</f>
        <v/>
      </c>
      <c r="V22" s="12" t="inlineStr">
        <is>
          <t>คิ้วสำหรับกระจกมู่ลี่ (นอน)</t>
        </is>
      </c>
      <c r="W22" s="14" t="n"/>
      <c r="X22" s="11" t="inlineStr">
        <is>
          <t>F7853</t>
        </is>
      </c>
      <c r="Y22" s="11" t="n">
        <v>0.22</v>
      </c>
    </row>
    <row r="23" ht="34.95" customHeight="1" s="92">
      <c r="B23" s="35" t="n"/>
      <c r="C23" s="35" t="n"/>
      <c r="D23" s="36" t="n"/>
      <c r="E23" s="36" t="n"/>
      <c r="F23" s="37" t="n"/>
      <c r="G23" s="36" t="n"/>
      <c r="H23" s="212" t="n"/>
      <c r="I23" s="37" t="n"/>
      <c r="J23" s="37" t="n"/>
      <c r="L23" s="153" t="n">
        <v>22</v>
      </c>
      <c r="M23" s="43" t="inlineStr">
        <is>
          <t>ยางลูกโป่ง 6mm</t>
        </is>
      </c>
      <c r="N23" s="58" t="n"/>
      <c r="O23" s="153" t="inlineStr">
        <is>
          <t>-</t>
        </is>
      </c>
      <c r="P23" s="206">
        <f>(($H$6*$I$6)+($H$8*1)+($H$9*$I$9)+($H$12*$I$12*2)+($H$13*$I$13)+($H$14*$I$14)-($H$12*4))/1000</f>
        <v/>
      </c>
      <c r="Q23" s="206">
        <f>$J$1*P23</f>
        <v/>
      </c>
      <c r="S23" s="6">
        <f>O28*P28*6*Q28*2.5/1000000</f>
        <v/>
      </c>
    </row>
    <row r="24" ht="34.95" customHeight="1" s="92">
      <c r="B24" s="35" t="n"/>
      <c r="C24" s="35" t="n"/>
      <c r="D24" s="36" t="n"/>
      <c r="E24" s="36" t="n"/>
      <c r="F24" s="37" t="n"/>
      <c r="G24" s="36" t="n"/>
      <c r="H24" s="212" t="n"/>
      <c r="I24" s="37" t="n"/>
      <c r="J24" s="37" t="n"/>
      <c r="L24" s="153" t="n">
        <v>23</v>
      </c>
      <c r="M24" s="43" t="inlineStr">
        <is>
          <t>ยางอัด</t>
        </is>
      </c>
      <c r="N24" s="58" t="n"/>
      <c r="O24" s="153" t="inlineStr">
        <is>
          <t>-</t>
        </is>
      </c>
      <c r="P24" s="206">
        <f>(($O$28+$P$28)*2)*$Q$28/1000</f>
        <v/>
      </c>
      <c r="Q24" s="206">
        <f>$J$1*P24</f>
        <v/>
      </c>
      <c r="S24" s="18">
        <f>SUM(S12:S23)</f>
        <v/>
      </c>
    </row>
    <row r="25" ht="34.95" customHeight="1" s="92">
      <c r="B25" s="35" t="n"/>
      <c r="C25" s="35" t="n"/>
      <c r="D25" s="36" t="n"/>
      <c r="E25" s="36" t="n"/>
      <c r="F25" s="37" t="n"/>
      <c r="G25" s="36" t="n"/>
      <c r="H25" s="212" t="n"/>
      <c r="I25" s="37" t="n"/>
      <c r="J25" s="37" t="n"/>
      <c r="L25" s="153" t="n">
        <v>24</v>
      </c>
      <c r="M25" s="43" t="inlineStr">
        <is>
          <t>ยางรอง</t>
        </is>
      </c>
      <c r="N25" s="58" t="n"/>
      <c r="O25" s="153" t="inlineStr">
        <is>
          <t>-</t>
        </is>
      </c>
      <c r="P25" s="206">
        <f>(($O$28+$P$28)*2)*$Q$28/1000</f>
        <v/>
      </c>
      <c r="Q25" s="206">
        <f>$J$1*P25</f>
        <v/>
      </c>
    </row>
    <row r="26" ht="34.95" customHeight="1" s="92">
      <c r="B26" s="35" t="n"/>
      <c r="C26" s="35" t="n"/>
      <c r="D26" s="36" t="n"/>
      <c r="E26" s="36" t="n"/>
      <c r="F26" s="37" t="n"/>
      <c r="G26" s="36" t="n"/>
      <c r="H26" s="212" t="n"/>
      <c r="I26" s="37" t="n"/>
      <c r="J26" s="37" t="n"/>
      <c r="N26" s="70" t="inlineStr">
        <is>
          <t>น้ำหนักรวม
ต่อ บาน</t>
        </is>
      </c>
      <c r="O26" s="154" t="inlineStr">
        <is>
          <t>กระจก</t>
        </is>
      </c>
      <c r="P26" s="198" t="n"/>
      <c r="Q26" s="199" t="n"/>
    </row>
    <row r="27" ht="34.95" customHeight="1" s="92">
      <c r="B27" s="35" t="n"/>
      <c r="C27" s="35" t="n"/>
      <c r="D27" s="36" t="n"/>
      <c r="E27" s="36" t="n"/>
      <c r="F27" s="37" t="n"/>
      <c r="G27" s="36" t="n"/>
      <c r="H27" s="212" t="n"/>
      <c r="I27" s="37" t="n"/>
      <c r="J27" s="37" t="n"/>
      <c r="N27" s="210">
        <f>((($H$12*$F$12*$E$12/1000)+($H$13*$F$13*$E$13/1000)+($H$15*$F$15*$E$15/1000)+($H$16*$F$16*$E$16/1000))+($O$28*$P$28*$H$3*2.5*10/1000000))/10</f>
        <v/>
      </c>
      <c r="O27" s="161" t="inlineStr">
        <is>
          <t>HS-130</t>
        </is>
      </c>
      <c r="P27" s="161" t="inlineStr">
        <is>
          <t>WS-130</t>
        </is>
      </c>
      <c r="Q27" s="202" t="inlineStr">
        <is>
          <t>จำนวน</t>
        </is>
      </c>
    </row>
    <row r="28" ht="34.95" customHeight="1" s="92">
      <c r="B28" s="35" t="n"/>
      <c r="C28" s="35" t="n"/>
      <c r="D28" s="36" t="n"/>
      <c r="E28" s="36" t="n"/>
      <c r="F28" s="37" t="n"/>
      <c r="G28" s="36" t="n"/>
      <c r="H28" s="212" t="n"/>
      <c r="I28" s="37" t="n"/>
      <c r="J28" s="37" t="n"/>
      <c r="N28" s="211">
        <f>$N$27*10</f>
        <v/>
      </c>
      <c r="O28" s="41">
        <f>$H$12-130</f>
        <v/>
      </c>
      <c r="P28" s="41">
        <f>$H$13-130</f>
        <v/>
      </c>
      <c r="Q28" s="41">
        <f>10*$J$1</f>
        <v/>
      </c>
    </row>
    <row r="29" ht="34.95" customHeight="1" s="92">
      <c r="B29" s="35" t="n"/>
      <c r="C29" s="35" t="n"/>
      <c r="D29" s="36" t="n"/>
      <c r="E29" s="36" t="n"/>
      <c r="F29" s="37" t="n"/>
      <c r="G29" s="36" t="n"/>
      <c r="H29" s="212" t="n"/>
      <c r="I29" s="37" t="n"/>
      <c r="J29" s="37" t="n"/>
    </row>
    <row r="30" ht="34.95" customHeight="1" s="92">
      <c r="B30" s="35" t="n"/>
      <c r="C30" s="35" t="n"/>
      <c r="D30" s="36" t="n"/>
      <c r="E30" s="36" t="n"/>
      <c r="F30" s="37" t="n"/>
      <c r="G30" s="36" t="n"/>
      <c r="H30" s="212" t="n"/>
      <c r="I30" s="37" t="n"/>
      <c r="J30" s="37" t="n"/>
    </row>
    <row r="31" ht="34.95" customHeight="1" s="92">
      <c r="B31" s="35" t="n"/>
      <c r="C31" s="35" t="n"/>
      <c r="D31" s="36" t="n"/>
      <c r="E31" s="36" t="n"/>
      <c r="F31" s="37" t="n"/>
      <c r="G31" s="36" t="n"/>
      <c r="H31" s="212" t="n"/>
      <c r="I31" s="37" t="n"/>
      <c r="J31" s="37" t="n"/>
    </row>
    <row r="32" ht="34.95" customHeight="1" s="92">
      <c r="A32" s="36" t="n"/>
      <c r="B32" s="35" t="n"/>
      <c r="C32" s="35" t="n"/>
      <c r="D32" s="36" t="n"/>
      <c r="E32" s="36" t="n"/>
      <c r="F32" s="37" t="n"/>
      <c r="G32" s="36" t="n"/>
      <c r="H32" s="212" t="n"/>
      <c r="I32" s="37" t="n"/>
      <c r="J32" s="37" t="n"/>
    </row>
    <row r="33" ht="34.95" customHeight="1" s="92">
      <c r="A33" s="36" t="n"/>
      <c r="B33" s="35" t="n"/>
      <c r="C33" s="35" t="n"/>
      <c r="D33" s="36" t="n"/>
      <c r="E33" s="36" t="n"/>
      <c r="F33" s="37" t="n"/>
      <c r="G33" s="36" t="n"/>
      <c r="H33" s="212" t="n"/>
      <c r="I33" s="37" t="n"/>
      <c r="J33" s="37" t="n"/>
    </row>
    <row r="34" ht="34.95" customHeight="1" s="92">
      <c r="A34" s="15" t="n"/>
      <c r="B34" s="16" t="n"/>
      <c r="F34" s="17" t="n"/>
      <c r="G34" s="6" t="n"/>
      <c r="H34" s="193" t="n"/>
      <c r="I34" s="17" t="n"/>
      <c r="J34" s="17" t="n"/>
    </row>
    <row r="35" ht="34.95" customHeight="1" s="92">
      <c r="G35" s="6" t="n"/>
    </row>
    <row r="36" ht="34.95" customHeight="1" s="92"/>
    <row r="37" ht="34.95" customHeight="1" s="92"/>
    <row r="38" ht="34.95" customHeight="1" s="92"/>
    <row r="39" ht="34.95" customHeight="1" s="92"/>
    <row r="40" ht="34.95" customHeight="1" s="92"/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1" sort="1"/>
  <mergeCells count="16">
    <mergeCell ref="J15:J16"/>
    <mergeCell ref="D15:D16"/>
    <mergeCell ref="D10:D11"/>
    <mergeCell ref="E12:E13"/>
    <mergeCell ref="C12:C13"/>
    <mergeCell ref="O26:Q26"/>
    <mergeCell ref="J12:J13"/>
    <mergeCell ref="E15:E16"/>
    <mergeCell ref="C15:C16"/>
    <mergeCell ref="A4:J4"/>
    <mergeCell ref="D12:D13"/>
    <mergeCell ref="C10:C11"/>
    <mergeCell ref="C2:F2"/>
    <mergeCell ref="E10:E11"/>
    <mergeCell ref="L4:Q4"/>
    <mergeCell ref="J10:J11"/>
  </mergeCells>
  <conditionalFormatting sqref="M24:Q25">
    <cfRule type="expression" priority="13" dxfId="2">
      <formula>$H$3=33</formula>
    </cfRule>
    <cfRule type="expression" priority="14" dxfId="2">
      <formula>$H$3=20</formula>
    </cfRule>
    <cfRule type="expression" priority="15" dxfId="2">
      <formula>$H$3=18</formula>
    </cfRule>
    <cfRule type="expression" priority="16" dxfId="2">
      <formula>$H$3=12</formula>
    </cfRule>
    <cfRule type="expression" priority="17" dxfId="2">
      <formula>$H$3=10</formula>
    </cfRule>
  </conditionalFormatting>
  <conditionalFormatting sqref="P22">
    <cfRule type="expression" priority="8" dxfId="2">
      <formula>$H$3=33</formula>
    </cfRule>
    <cfRule type="expression" priority="9" dxfId="2">
      <formula>$H$3=20</formula>
    </cfRule>
    <cfRule type="expression" priority="10" dxfId="2">
      <formula>$H$3=18</formula>
    </cfRule>
    <cfRule type="expression" priority="11" dxfId="2">
      <formula>$H$3=12</formula>
    </cfRule>
    <cfRule type="expression" priority="12" dxfId="2">
      <formula>$H$3=10</formula>
    </cfRule>
  </conditionalFormatting>
  <conditionalFormatting sqref="Q22">
    <cfRule type="expression" priority="3" dxfId="2">
      <formula>$H$3=33</formula>
    </cfRule>
    <cfRule type="expression" priority="4" dxfId="2">
      <formula>$H$3=20</formula>
    </cfRule>
    <cfRule type="expression" priority="5" dxfId="2">
      <formula>$H$3=18</formula>
    </cfRule>
    <cfRule type="expression" priority="6" dxfId="2">
      <formula>$H$3=12</formula>
    </cfRule>
    <cfRule type="expression" priority="7" dxfId="2">
      <formula>$H$3=10</formula>
    </cfRule>
  </conditionalFormatting>
  <conditionalFormatting sqref="N27">
    <cfRule type="cellIs" priority="1" operator="greaterThanOrEqual" dxfId="1">
      <formula>45.5</formula>
    </cfRule>
    <cfRule type="cellIs" priority="2" operator="greaterThanOrEqual" dxfId="0">
      <formula>40</formula>
    </cfRule>
  </conditionalFormatting>
  <dataValidations disablePrompts="1" count="2">
    <dataValidation sqref="H3" showDropDown="0" showInputMessage="1" showErrorMessage="1" allowBlank="1" type="list">
      <formula1>"5,6,8,10,12,14,16,18,20,29,30,33"</formula1>
    </dataValidation>
    <dataValidation sqref="G3" showDropDown="0" showInputMessage="1" showErrorMessage="1" allowBlank="1" type="list">
      <formula1>"ขาว,ดำ"</formula1>
    </dataValidation>
  </dataValidations>
  <printOptions horizontalCentered="1"/>
  <pageMargins left="0" right="0" top="0.5905511811023623" bottom="0" header="0.3149606299212598" footer="0.3149606299212598"/>
  <pageSetup orientation="landscape" scale="4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สายใจ ไกเล็ก</dc:creator>
  <dcterms:created xmlns:dcterms="http://purl.org/dc/terms/" xmlns:xsi="http://www.w3.org/2001/XMLSchema-instance" xsi:type="dcterms:W3CDTF">2017-09-08T09:03:00Z</dcterms:created>
  <dcterms:modified xmlns:dcterms="http://purl.org/dc/terms/" xmlns:xsi="http://www.w3.org/2001/XMLSchema-instance" xsi:type="dcterms:W3CDTF">2026-07-03T04:15:50Z</dcterms:modified>
  <cp:lastModifiedBy>ASUS</cp:lastModifiedBy>
  <cp:lastPrinted>2024-02-19T04:04:02Z</cp:lastPrinted>
</cp:coreProperties>
</file>