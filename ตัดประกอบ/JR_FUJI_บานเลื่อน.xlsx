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รบัญ" sheetId="1" state="visible" r:id="rId1"/>
    <sheet xmlns:r="http://schemas.openxmlformats.org/officeDocument/2006/relationships" name="เลื่อนสลับ(มุ้ง)" sheetId="2" state="visible" r:id="rId2"/>
    <sheet xmlns:r="http://schemas.openxmlformats.org/officeDocument/2006/relationships" name="เลื่อนแบ่ง4" sheetId="3" state="visible" r:id="rId3"/>
    <sheet xmlns:r="http://schemas.openxmlformats.org/officeDocument/2006/relationships" name="เลื่อนแบ่ง6-กลาง" sheetId="4" state="visible" r:id="rId4"/>
    <sheet xmlns:r="http://schemas.openxmlformats.org/officeDocument/2006/relationships" name="เลื่อนสลับ" sheetId="5" state="visible" r:id="rId5"/>
    <sheet xmlns:r="http://schemas.openxmlformats.org/officeDocument/2006/relationships" name="เลื่อน-ติดตาย78" sheetId="6" state="visible" r:id="rId6"/>
    <sheet xmlns:r="http://schemas.openxmlformats.org/officeDocument/2006/relationships" name="เลื่อน-ติดตาย66" sheetId="7" state="visible" r:id="rId7"/>
    <sheet xmlns:r="http://schemas.openxmlformats.org/officeDocument/2006/relationships" name="เลื่อน3ราง" sheetId="8" state="visible" r:id="rId8"/>
    <sheet xmlns:r="http://schemas.openxmlformats.org/officeDocument/2006/relationships" name="เลื่อนสลับ66ช่องแสงล่าง" sheetId="9" state="visible" r:id="rId9"/>
    <sheet xmlns:r="http://schemas.openxmlformats.org/officeDocument/2006/relationships" name="เลื่อนสลับ2ราง" sheetId="10" state="visible" r:id="rId10"/>
    <sheet xmlns:r="http://schemas.openxmlformats.org/officeDocument/2006/relationships" name="เลื่อนสลับ ภายใน+มุ้ง" sheetId="11" state="visible" r:id="rId11"/>
    <sheet xmlns:r="http://schemas.openxmlformats.org/officeDocument/2006/relationships" name="เลื่อนสลับ ภายใน" sheetId="12" state="visible" r:id="rId12"/>
    <sheet xmlns:r="http://schemas.openxmlformats.org/officeDocument/2006/relationships" name="เลื่อน3ราง ภายใน" sheetId="13" state="visible" r:id="rId13"/>
    <sheet xmlns:r="http://schemas.openxmlformats.org/officeDocument/2006/relationships" name="เลื่อน4ราง ภายใน" sheetId="14" state="visible" r:id="rId14"/>
    <sheet xmlns:r="http://schemas.openxmlformats.org/officeDocument/2006/relationships" name="เลื่อน5ราง ภายใน" sheetId="15" state="visible" r:id="rId15"/>
    <sheet xmlns:r="http://schemas.openxmlformats.org/officeDocument/2006/relationships" name="เลื่อนสลับเสา66" sheetId="16" state="visible" r:id="rId16"/>
    <sheet xmlns:r="http://schemas.openxmlformats.org/officeDocument/2006/relationships" name="เลื่อน4 (2)" sheetId="17" state="visible" r:id="rId17"/>
    <sheet xmlns:r="http://schemas.openxmlformats.org/officeDocument/2006/relationships" name="เลื่อน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\ &quot;mm&quot;"/>
    <numFmt numFmtId="165" formatCode="#,##0\ &quot;mm&quot;"/>
    <numFmt numFmtId="166" formatCode="0.0"/>
  </numFmts>
  <fonts count="30">
    <font>
      <name val="Calibri"/>
      <family val="2"/>
      <color theme="1"/>
      <sz val="11"/>
      <scheme val="minor"/>
    </font>
    <font>
      <name val="Tahoma"/>
      <b val="1"/>
      <color rgb="001F4E78"/>
      <sz val="12"/>
    </font>
    <font>
      <name val="Microsoft Sans Serif"/>
      <family val="2"/>
      <color theme="1"/>
      <sz val="11"/>
    </font>
    <font>
      <name val="Microsoft Sans Serif"/>
      <family val="2"/>
      <b val="1"/>
      <color theme="1"/>
      <sz val="16"/>
    </font>
    <font>
      <name val="Microsoft Sans Serif"/>
      <family val="2"/>
      <color theme="1"/>
      <sz val="12"/>
    </font>
    <font>
      <name val="Microsoft Sans Serif"/>
      <family val="2"/>
      <color theme="1"/>
      <sz val="26"/>
    </font>
    <font>
      <name val="Microsoft Sans Serif"/>
      <family val="2"/>
      <color theme="1"/>
      <sz val="16"/>
    </font>
    <font>
      <name val="Microsoft Sans Serif"/>
      <family val="2"/>
      <color theme="1"/>
      <sz val="18"/>
    </font>
    <font>
      <name val="Microsoft Sans Serif"/>
      <family val="2"/>
      <color theme="1"/>
      <sz val="14"/>
    </font>
    <font>
      <name val="Microsoft Sans Serif"/>
      <family val="2"/>
      <sz val="16"/>
    </font>
    <font>
      <name val="Microsoft Sans Serif"/>
      <family val="2"/>
      <color theme="1"/>
      <sz val="20"/>
    </font>
    <font>
      <name val="Tahoma"/>
      <charset val="222"/>
      <family val="2"/>
      <sz val="11"/>
      <scheme val="minor"/>
    </font>
    <font>
      <name val="Tahoma"/>
      <b val="1"/>
      <color rgb="00C00000"/>
      <sz val="9"/>
    </font>
    <font>
      <name val="Tahoma"/>
      <charset val="222"/>
      <family val="2"/>
      <color theme="1"/>
      <sz val="16"/>
      <scheme val="minor"/>
    </font>
    <font>
      <name val="Tahoma"/>
      <charset val="222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</font>
    <font>
      <name val="Tahoma"/>
      <sz val="10"/>
    </font>
    <font>
      <name val="Tahoma"/>
      <b val="1"/>
      <sz val="10"/>
    </font>
    <font>
      <name val="Microsoft Sans Serif"/>
      <family val="2"/>
      <color theme="1"/>
      <sz val="22"/>
    </font>
    <font>
      <name val="Tahoma"/>
      <charset val="222"/>
      <family val="2"/>
      <color theme="1"/>
      <sz val="18"/>
      <scheme val="minor"/>
    </font>
    <font>
      <name val="Microsoft Sans Serif"/>
      <family val="2"/>
      <color theme="1"/>
      <sz val="36"/>
    </font>
    <font>
      <name val="Microsoft Sans Serif"/>
      <family val="2"/>
      <color theme="1"/>
      <sz val="24"/>
    </font>
    <font>
      <name val="Tahoma"/>
    </font>
    <font>
      <name val="Tahoma"/>
      <b val="1"/>
    </font>
    <font>
      <name val="Tahoma"/>
      <i val="1"/>
      <sz val="9"/>
    </font>
    <font>
      <name val="Tahoma"/>
      <b val="1"/>
      <color rgb="00FFFFFF"/>
      <sz val="13"/>
    </font>
    <font>
      <name val="Tahoma"/>
      <b val="1"/>
      <sz val="11"/>
    </font>
    <font>
      <name val="Tahoma"/>
      <color rgb="000563C1"/>
      <sz val="11"/>
      <u val="single"/>
    </font>
    <font>
      <name val="Tahoma"/>
      <color rgb="000563C1"/>
      <sz val="10"/>
      <u val="single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7F77DD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164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4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7" fillId="3" borderId="9" applyAlignment="1" pivotButton="0" quotePrefix="0" xfId="0">
      <alignment vertical="center"/>
    </xf>
    <xf numFmtId="0" fontId="7" fillId="3" borderId="10" applyAlignment="1" pivotButton="0" quotePrefix="0" xfId="0">
      <alignment horizontal="center" vertical="center"/>
    </xf>
    <xf numFmtId="0" fontId="7" fillId="3" borderId="11" applyAlignment="1" pivotButton="0" quotePrefix="0" xfId="0">
      <alignment vertical="center"/>
    </xf>
    <xf numFmtId="0" fontId="6" fillId="4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6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6" fillId="0" borderId="1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7" fillId="2" borderId="17" applyAlignment="1" pivotButton="0" quotePrefix="0" xfId="0">
      <alignment vertical="center"/>
    </xf>
    <xf numFmtId="0" fontId="7" fillId="2" borderId="7" applyAlignment="1" pivotButton="0" quotePrefix="0" xfId="0">
      <alignment horizontal="center" vertical="center"/>
    </xf>
    <xf numFmtId="0" fontId="7" fillId="2" borderId="18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6" fillId="0" borderId="22" applyAlignment="1" pivotButton="0" quotePrefix="0" xfId="0">
      <alignment horizontal="center" vertical="center"/>
    </xf>
    <xf numFmtId="0" fontId="0" fillId="0" borderId="18" pivotButton="0" quotePrefix="0" xfId="0"/>
    <xf numFmtId="0" fontId="6" fillId="0" borderId="22" applyAlignment="1" pivotButton="0" quotePrefix="0" xfId="0">
      <alignment horizontal="center" vertical="center" wrapText="1"/>
    </xf>
    <xf numFmtId="0" fontId="8" fillId="3" borderId="2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165" fontId="8" fillId="2" borderId="18" applyAlignment="1" pivotButton="0" quotePrefix="0" xfId="0">
      <alignment vertical="center"/>
    </xf>
    <xf numFmtId="0" fontId="9" fillId="2" borderId="24" applyAlignment="1" pivotButton="0" quotePrefix="0" xfId="0">
      <alignment horizontal="center" vertical="center" wrapText="1"/>
    </xf>
    <xf numFmtId="0" fontId="9" fillId="2" borderId="25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/>
    </xf>
    <xf numFmtId="0" fontId="9" fillId="2" borderId="27" applyAlignment="1" pivotButton="0" quotePrefix="0" xfId="0">
      <alignment horizontal="center" vertical="center"/>
    </xf>
    <xf numFmtId="0" fontId="9" fillId="5" borderId="28" applyAlignment="1" pivotButton="0" quotePrefix="0" xfId="0">
      <alignment horizontal="center" vertical="center"/>
    </xf>
    <xf numFmtId="1" fontId="6" fillId="5" borderId="27" applyAlignment="1" pivotButton="0" quotePrefix="0" xfId="0">
      <alignment horizontal="center" vertical="center"/>
    </xf>
    <xf numFmtId="1" fontId="6" fillId="5" borderId="26" applyAlignment="1" pivotButton="0" quotePrefix="0" xfId="0">
      <alignment horizontal="center" vertical="center"/>
    </xf>
    <xf numFmtId="0" fontId="9" fillId="6" borderId="28" applyAlignment="1" pivotButton="0" quotePrefix="0" xfId="0">
      <alignment horizontal="center" vertical="center"/>
    </xf>
    <xf numFmtId="0" fontId="9" fillId="6" borderId="25" applyAlignment="1" pivotButton="0" quotePrefix="0" xfId="0">
      <alignment horizontal="center" vertical="center"/>
    </xf>
    <xf numFmtId="0" fontId="9" fillId="6" borderId="26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166" fontId="10" fillId="0" borderId="33" applyAlignment="1" pivotButton="0" quotePrefix="0" xfId="0">
      <alignment horizontal="center" vertical="center"/>
    </xf>
    <xf numFmtId="1" fontId="10" fillId="7" borderId="33" applyAlignment="1" pivotButton="0" quotePrefix="0" xfId="0">
      <alignment horizontal="center" vertical="center"/>
    </xf>
    <xf numFmtId="1" fontId="10" fillId="7" borderId="30" applyAlignment="1" pivotButton="0" quotePrefix="0" xfId="0">
      <alignment horizontal="center" vertical="center"/>
    </xf>
    <xf numFmtId="0" fontId="10" fillId="7" borderId="31" applyAlignment="1" pivotButton="0" quotePrefix="0" xfId="0">
      <alignment horizontal="center" vertical="center"/>
    </xf>
    <xf numFmtId="166" fontId="10" fillId="8" borderId="33" applyAlignment="1" pivotButton="0" quotePrefix="0" xfId="0">
      <alignment horizontal="center" vertical="center"/>
    </xf>
    <xf numFmtId="0" fontId="10" fillId="8" borderId="3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6" applyAlignment="1" pivotButton="0" quotePrefix="0" xfId="0">
      <alignment horizontal="center" vertical="center"/>
    </xf>
    <xf numFmtId="0" fontId="13" fillId="0" borderId="17" applyAlignment="1" pivotButton="0" quotePrefix="0" xfId="0">
      <alignment vertical="center"/>
    </xf>
    <xf numFmtId="0" fontId="13" fillId="0" borderId="6" applyAlignment="1" pivotButton="0" quotePrefix="0" xfId="0">
      <alignment horizontal="center" vertical="center"/>
    </xf>
    <xf numFmtId="0" fontId="14" fillId="0" borderId="6" pivotButton="0" quotePrefix="0" xfId="0"/>
    <xf numFmtId="0" fontId="14" fillId="0" borderId="0" applyAlignment="1" pivotButton="0" quotePrefix="0" xfId="0">
      <alignment horizontal="center"/>
    </xf>
    <xf numFmtId="0" fontId="15" fillId="9" borderId="40" pivotButton="0" quotePrefix="0" xfId="0"/>
    <xf numFmtId="0" fontId="0" fillId="9" borderId="40" pivotButton="0" quotePrefix="0" xfId="0"/>
    <xf numFmtId="0" fontId="16" fillId="10" borderId="40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17" fillId="0" borderId="40" pivotButton="0" quotePrefix="0" xfId="0"/>
    <xf numFmtId="0" fontId="17" fillId="0" borderId="40" applyAlignment="1" pivotButton="0" quotePrefix="0" xfId="0">
      <alignment horizontal="center" vertical="center" wrapText="1"/>
    </xf>
    <xf numFmtId="0" fontId="17" fillId="0" borderId="40" applyAlignment="1" pivotButton="0" quotePrefix="0" xfId="0">
      <alignment horizontal="left" vertical="center" wrapText="1"/>
    </xf>
    <xf numFmtId="0" fontId="0" fillId="0" borderId="40" pivotButton="0" quotePrefix="0" xfId="0"/>
    <xf numFmtId="0" fontId="18" fillId="11" borderId="40" applyAlignment="1" pivotButton="0" quotePrefix="0" xfId="0">
      <alignment horizontal="center" vertical="center" wrapText="1"/>
    </xf>
    <xf numFmtId="164" fontId="5" fillId="2" borderId="0" applyAlignment="1" pivotButton="0" quotePrefix="0" xfId="0">
      <alignment vertical="center"/>
    </xf>
    <xf numFmtId="164" fontId="4" fillId="2" borderId="0" applyAlignment="1" pivotButton="0" quotePrefix="0" xfId="0">
      <alignment vertical="center"/>
    </xf>
    <xf numFmtId="0" fontId="6" fillId="0" borderId="41" applyAlignment="1" pivotButton="0" quotePrefix="0" xfId="0">
      <alignment horizontal="center" vertical="top" wrapText="1"/>
    </xf>
    <xf numFmtId="0" fontId="7" fillId="2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6" fontId="7" fillId="0" borderId="33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1" fontId="7" fillId="7" borderId="33" applyAlignment="1" pivotButton="0" quotePrefix="0" xfId="0">
      <alignment horizontal="center" vertical="center"/>
    </xf>
    <xf numFmtId="1" fontId="7" fillId="7" borderId="30" applyAlignment="1" pivotButton="0" quotePrefix="0" xfId="0">
      <alignment horizontal="center" vertical="center"/>
    </xf>
    <xf numFmtId="0" fontId="7" fillId="7" borderId="31" applyAlignment="1" pivotButton="0" quotePrefix="0" xfId="0">
      <alignment horizontal="center" vertical="center"/>
    </xf>
    <xf numFmtId="166" fontId="7" fillId="8" borderId="33" applyAlignment="1" pivotButton="0" quotePrefix="0" xfId="0">
      <alignment horizontal="center" vertical="center"/>
    </xf>
    <xf numFmtId="0" fontId="7" fillId="8" borderId="31" applyAlignment="1" pivotButton="0" quotePrefix="0" xfId="0">
      <alignment horizontal="center" vertical="center"/>
    </xf>
    <xf numFmtId="0" fontId="6" fillId="8" borderId="3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6" fontId="6" fillId="0" borderId="33" applyAlignment="1" pivotButton="0" quotePrefix="0" xfId="0">
      <alignment horizontal="center" vertical="center"/>
    </xf>
    <xf numFmtId="1" fontId="6" fillId="7" borderId="33" applyAlignment="1" pivotButton="0" quotePrefix="0" xfId="0">
      <alignment horizontal="center" vertical="center"/>
    </xf>
    <xf numFmtId="1" fontId="6" fillId="7" borderId="30" applyAlignment="1" pivotButton="0" quotePrefix="0" xfId="0">
      <alignment horizontal="center" vertical="center"/>
    </xf>
    <xf numFmtId="0" fontId="6" fillId="7" borderId="31" applyAlignment="1" pivotButton="0" quotePrefix="0" xfId="0">
      <alignment horizontal="center" vertical="center"/>
    </xf>
    <xf numFmtId="166" fontId="6" fillId="8" borderId="33" applyAlignment="1" pivotButton="0" quotePrefix="0" xfId="0">
      <alignment horizontal="center" vertical="center"/>
    </xf>
    <xf numFmtId="164" fontId="19" fillId="2" borderId="0" applyAlignment="1" pivotButton="0" quotePrefix="0" xfId="0">
      <alignment vertical="center"/>
    </xf>
    <xf numFmtId="0" fontId="20" fillId="0" borderId="17" applyAlignment="1" pivotButton="0" quotePrefix="0" xfId="0">
      <alignment vertical="center"/>
    </xf>
    <xf numFmtId="0" fontId="20" fillId="0" borderId="6" applyAlignment="1" pivotButton="0" quotePrefix="0" xfId="0">
      <alignment horizontal="center" vertical="center"/>
    </xf>
    <xf numFmtId="0" fontId="0" fillId="0" borderId="34" pivotButton="0" quotePrefix="0" xfId="0"/>
    <xf numFmtId="0" fontId="9" fillId="12" borderId="42" applyAlignment="1" pivotButton="0" quotePrefix="0" xfId="0">
      <alignment horizontal="center" vertical="center" wrapText="1"/>
    </xf>
    <xf numFmtId="0" fontId="9" fillId="2" borderId="42" applyAlignment="1" pivotButton="0" quotePrefix="0" xfId="0">
      <alignment horizontal="center" vertical="center" wrapText="1"/>
    </xf>
    <xf numFmtId="0" fontId="7" fillId="12" borderId="43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4" fontId="21" fillId="2" borderId="0" applyAlignment="1" pivotButton="0" quotePrefix="0" xfId="0">
      <alignment vertical="center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20" fillId="0" borderId="8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0" fontId="16" fillId="10" borderId="40" applyAlignment="1" pivotButton="0" quotePrefix="0" xfId="0">
      <alignment horizontal="center" vertical="center"/>
    </xf>
    <xf numFmtId="0" fontId="16" fillId="10" borderId="44" applyAlignment="1" pivotButton="0" quotePrefix="0" xfId="0">
      <alignment horizontal="left" vertical="center"/>
    </xf>
    <xf numFmtId="0" fontId="16" fillId="10" borderId="44" applyAlignment="1" pivotButton="0" quotePrefix="0" xfId="0">
      <alignment horizontal="center" vertical="center"/>
    </xf>
    <xf numFmtId="0" fontId="23" fillId="0" borderId="44" applyAlignment="1" pivotButton="0" quotePrefix="0" xfId="0">
      <alignment horizontal="left" vertical="center"/>
    </xf>
    <xf numFmtId="0" fontId="24" fillId="13" borderId="44" applyAlignment="1" pivotButton="0" quotePrefix="0" xfId="0">
      <alignment horizontal="center" vertical="center"/>
    </xf>
    <xf numFmtId="0" fontId="25" fillId="14" borderId="44" applyAlignment="1" pivotButton="0" quotePrefix="0" xfId="0">
      <alignment horizontal="left" vertical="center"/>
    </xf>
    <xf numFmtId="0" fontId="27" fillId="14" borderId="0" pivotButton="0" quotePrefix="0" xfId="0"/>
    <xf numFmtId="0" fontId="28" fillId="0" borderId="0" applyAlignment="1" pivotButton="0" quotePrefix="0" xfId="0">
      <alignment horizontal="left"/>
    </xf>
    <xf numFmtId="164" fontId="29" fillId="0" borderId="0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Relationship Type="http://schemas.openxmlformats.org/officeDocument/2006/relationships/image" Target="/xl/media/image18.png" Id="rId5"/><Relationship Type="http://schemas.openxmlformats.org/officeDocument/2006/relationships/image" Target="/xl/media/image19.png" Id="rId6"/><Relationship Type="http://schemas.openxmlformats.org/officeDocument/2006/relationships/image" Target="/xl/media/image20.png" Id="rId7"/><Relationship Type="http://schemas.openxmlformats.org/officeDocument/2006/relationships/image" Target="/xl/media/image21.png" Id="rId8"/><Relationship Type="http://schemas.openxmlformats.org/officeDocument/2006/relationships/image" Target="/xl/media/image22.png" Id="rId9"/><Relationship Type="http://schemas.openxmlformats.org/officeDocument/2006/relationships/image" Target="/xl/media/image23.png" Id="rId10"/><Relationship Type="http://schemas.openxmlformats.org/officeDocument/2006/relationships/image" Target="/xl/media/image24.png" Id="rId11"/><Relationship Type="http://schemas.openxmlformats.org/officeDocument/2006/relationships/image" Target="/xl/media/image25.png" Id="rId12"/></Relationships>
</file>

<file path=xl/drawings/_rels/drawing3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Relationship Type="http://schemas.openxmlformats.org/officeDocument/2006/relationships/image" Target="/xl/media/image28.png" Id="rId3"/><Relationship Type="http://schemas.openxmlformats.org/officeDocument/2006/relationships/image" Target="/xl/media/image29.png" Id="rId4"/><Relationship Type="http://schemas.openxmlformats.org/officeDocument/2006/relationships/image" Target="/xl/media/image30.png" Id="rId5"/><Relationship Type="http://schemas.openxmlformats.org/officeDocument/2006/relationships/image" Target="/xl/media/image31.png" Id="rId6"/><Relationship Type="http://schemas.openxmlformats.org/officeDocument/2006/relationships/image" Target="/xl/media/image32.png" Id="rId7"/><Relationship Type="http://schemas.openxmlformats.org/officeDocument/2006/relationships/image" Target="/xl/media/image33.png" Id="rId8"/><Relationship Type="http://schemas.openxmlformats.org/officeDocument/2006/relationships/image" Target="/xl/media/image34.png" Id="rId9"/><Relationship Type="http://schemas.openxmlformats.org/officeDocument/2006/relationships/image" Target="/xl/media/image35.png" Id="rId10"/><Relationship Type="http://schemas.openxmlformats.org/officeDocument/2006/relationships/image" Target="/xl/media/image36.png" Id="rId11"/><Relationship Type="http://schemas.openxmlformats.org/officeDocument/2006/relationships/image" Target="/xl/media/image37.png" Id="rId12"/></Relationships>
</file>

<file path=xl/drawings/_rels/drawing4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Relationship Type="http://schemas.openxmlformats.org/officeDocument/2006/relationships/image" Target="/xl/media/image46.png" Id="rId9"/><Relationship Type="http://schemas.openxmlformats.org/officeDocument/2006/relationships/image" Target="/xl/media/image47.png" Id="rId10"/><Relationship Type="http://schemas.openxmlformats.org/officeDocument/2006/relationships/image" Target="/xl/media/image48.png" Id="rId11"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Relationship Type="http://schemas.openxmlformats.org/officeDocument/2006/relationships/image" Target="/xl/media/image51.png" Id="rId3"/><Relationship Type="http://schemas.openxmlformats.org/officeDocument/2006/relationships/image" Target="/xl/media/image52.png" Id="rId4"/><Relationship Type="http://schemas.openxmlformats.org/officeDocument/2006/relationships/image" Target="/xl/media/image53.png" Id="rId5"/><Relationship Type="http://schemas.openxmlformats.org/officeDocument/2006/relationships/image" Target="/xl/media/image54.png" Id="rId6"/><Relationship Type="http://schemas.openxmlformats.org/officeDocument/2006/relationships/image" Target="/xl/media/image55.png" Id="rId7"/><Relationship Type="http://schemas.openxmlformats.org/officeDocument/2006/relationships/image" Target="/xl/media/image56.png" Id="rId8"/><Relationship Type="http://schemas.openxmlformats.org/officeDocument/2006/relationships/image" Target="/xl/media/image57.png" Id="rId9"/><Relationship Type="http://schemas.openxmlformats.org/officeDocument/2006/relationships/image" Target="/xl/media/image58.png" Id="rId10"/><Relationship Type="http://schemas.openxmlformats.org/officeDocument/2006/relationships/image" Target="/xl/media/image59.png" Id="rId11"/><Relationship Type="http://schemas.openxmlformats.org/officeDocument/2006/relationships/image" Target="/xl/media/image60.png" Id="rId12"/></Relationships>
</file>

<file path=xl/drawings/_rels/drawing6.xml.rels><Relationships xmlns="http://schemas.openxmlformats.org/package/2006/relationships"><Relationship Type="http://schemas.openxmlformats.org/officeDocument/2006/relationships/image" Target="/xl/media/image61.png" Id="rId1"/><Relationship Type="http://schemas.openxmlformats.org/officeDocument/2006/relationships/image" Target="/xl/media/image62.png" Id="rId2"/><Relationship Type="http://schemas.openxmlformats.org/officeDocument/2006/relationships/image" Target="/xl/media/image63.png" Id="rId3"/><Relationship Type="http://schemas.openxmlformats.org/officeDocument/2006/relationships/image" Target="/xl/media/image64.png" Id="rId4"/><Relationship Type="http://schemas.openxmlformats.org/officeDocument/2006/relationships/image" Target="/xl/media/image65.png" Id="rId5"/><Relationship Type="http://schemas.openxmlformats.org/officeDocument/2006/relationships/image" Target="/xl/media/image66.png" Id="rId6"/><Relationship Type="http://schemas.openxmlformats.org/officeDocument/2006/relationships/image" Target="/xl/media/image67.png" Id="rId7"/><Relationship Type="http://schemas.openxmlformats.org/officeDocument/2006/relationships/image" Target="/xl/media/image68.png" Id="rId8"/><Relationship Type="http://schemas.openxmlformats.org/officeDocument/2006/relationships/image" Target="/xl/media/image69.png" Id="rId9"/><Relationship Type="http://schemas.openxmlformats.org/officeDocument/2006/relationships/image" Target="/xl/media/image70.png" Id="rId10"/><Relationship Type="http://schemas.openxmlformats.org/officeDocument/2006/relationships/image" Target="/xl/media/image71.png" Id="rId11"/><Relationship Type="http://schemas.openxmlformats.org/officeDocument/2006/relationships/image" Target="/xl/media/image72.png" Id="rId12"/></Relationships>
</file>

<file path=xl/drawings/_rels/drawing7.xml.rels><Relationships xmlns="http://schemas.openxmlformats.org/package/2006/relationships"><Relationship Type="http://schemas.openxmlformats.org/officeDocument/2006/relationships/image" Target="/xl/media/image73.png" Id="rId1"/><Relationship Type="http://schemas.openxmlformats.org/officeDocument/2006/relationships/image" Target="/xl/media/image74.png" Id="rId2"/><Relationship Type="http://schemas.openxmlformats.org/officeDocument/2006/relationships/image" Target="/xl/media/image75.png" Id="rId3"/><Relationship Type="http://schemas.openxmlformats.org/officeDocument/2006/relationships/image" Target="/xl/media/image76.png" Id="rId4"/><Relationship Type="http://schemas.openxmlformats.org/officeDocument/2006/relationships/image" Target="/xl/media/image77.png" Id="rId5"/><Relationship Type="http://schemas.openxmlformats.org/officeDocument/2006/relationships/image" Target="/xl/media/image78.png" Id="rId6"/><Relationship Type="http://schemas.openxmlformats.org/officeDocument/2006/relationships/image" Target="/xl/media/image79.png" Id="rId7"/><Relationship Type="http://schemas.openxmlformats.org/officeDocument/2006/relationships/image" Target="/xl/media/image80.png" Id="rId8"/><Relationship Type="http://schemas.openxmlformats.org/officeDocument/2006/relationships/image" Target="/xl/media/image81.png" Id="rId9"/><Relationship Type="http://schemas.openxmlformats.org/officeDocument/2006/relationships/image" Target="/xl/media/image82.png" Id="rId10"/><Relationship Type="http://schemas.openxmlformats.org/officeDocument/2006/relationships/image" Target="/xl/media/image83.png" Id="rId1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4.png" Id="rId1"/><Relationship Type="http://schemas.openxmlformats.org/officeDocument/2006/relationships/image" Target="/xl/media/image85.png" Id="rId2"/><Relationship Type="http://schemas.openxmlformats.org/officeDocument/2006/relationships/image" Target="/xl/media/image86.png" Id="rId3"/><Relationship Type="http://schemas.openxmlformats.org/officeDocument/2006/relationships/image" Target="/xl/media/image87.png" Id="rId4"/><Relationship Type="http://schemas.openxmlformats.org/officeDocument/2006/relationships/image" Target="/xl/media/image88.png" Id="rId5"/><Relationship Type="http://schemas.openxmlformats.org/officeDocument/2006/relationships/image" Target="/xl/media/image89.png" Id="rId6"/><Relationship Type="http://schemas.openxmlformats.org/officeDocument/2006/relationships/image" Target="/xl/media/image90.png" Id="rId7"/><Relationship Type="http://schemas.openxmlformats.org/officeDocument/2006/relationships/image" Target="/xl/media/image91.png" Id="rId8"/><Relationship Type="http://schemas.openxmlformats.org/officeDocument/2006/relationships/image" Target="/xl/media/image92.png" Id="rId9"/><Relationship Type="http://schemas.openxmlformats.org/officeDocument/2006/relationships/image" Target="/xl/media/image93.png" Id="rId10"/><Relationship Type="http://schemas.openxmlformats.org/officeDocument/2006/relationships/image" Target="/xl/media/image94.png" Id="rId11"/><Relationship Type="http://schemas.openxmlformats.org/officeDocument/2006/relationships/image" Target="/xl/media/image95.png" Id="rId12"/><Relationship Type="http://schemas.openxmlformats.org/officeDocument/2006/relationships/image" Target="/xl/media/image96.png" Id="rId13"/></Relationships>
</file>

<file path=xl/drawings/_rels/drawing9.xml.rels><Relationships xmlns="http://schemas.openxmlformats.org/package/2006/relationships"><Relationship Type="http://schemas.openxmlformats.org/officeDocument/2006/relationships/image" Target="/xl/media/image97.png" Id="rId1"/><Relationship Type="http://schemas.openxmlformats.org/officeDocument/2006/relationships/image" Target="/xl/media/image98.png" Id="rId2"/><Relationship Type="http://schemas.openxmlformats.org/officeDocument/2006/relationships/image" Target="/xl/media/image99.png" Id="rId3"/><Relationship Type="http://schemas.openxmlformats.org/officeDocument/2006/relationships/image" Target="/xl/media/image100.png" Id="rId4"/><Relationship Type="http://schemas.openxmlformats.org/officeDocument/2006/relationships/image" Target="/xl/media/image101.png" Id="rId5"/><Relationship Type="http://schemas.openxmlformats.org/officeDocument/2006/relationships/image" Target="/xl/media/image102.png" Id="rId6"/><Relationship Type="http://schemas.openxmlformats.org/officeDocument/2006/relationships/image" Target="/xl/media/image103.png" Id="rId7"/><Relationship Type="http://schemas.openxmlformats.org/officeDocument/2006/relationships/image" Target="/xl/media/image104.png" Id="rId8"/><Relationship Type="http://schemas.openxmlformats.org/officeDocument/2006/relationships/image" Target="/xl/media/image105.png" Id="rId9"/><Relationship Type="http://schemas.openxmlformats.org/officeDocument/2006/relationships/image" Target="/xl/media/image106.png" Id="rId10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7.png" Id="rId1"/><Relationship Type="http://schemas.openxmlformats.org/officeDocument/2006/relationships/image" Target="/xl/media/image108.png" Id="rId2"/><Relationship Type="http://schemas.openxmlformats.org/officeDocument/2006/relationships/image" Target="/xl/media/image109.png" Id="rId3"/><Relationship Type="http://schemas.openxmlformats.org/officeDocument/2006/relationships/image" Target="/xl/media/image110.png" Id="rId4"/><Relationship Type="http://schemas.openxmlformats.org/officeDocument/2006/relationships/image" Target="/xl/media/image111.png" Id="rId5"/><Relationship Type="http://schemas.openxmlformats.org/officeDocument/2006/relationships/image" Target="/xl/media/image112.png" Id="rId6"/><Relationship Type="http://schemas.openxmlformats.org/officeDocument/2006/relationships/image" Target="/xl/media/image113.png" Id="rId7"/><Relationship Type="http://schemas.openxmlformats.org/officeDocument/2006/relationships/image" Target="/xl/media/image114.png" Id="rId8"/><Relationship Type="http://schemas.openxmlformats.org/officeDocument/2006/relationships/image" Target="/xl/media/image115.png" Id="rId9"/><Relationship Type="http://schemas.openxmlformats.org/officeDocument/2006/relationships/image" Target="/xl/media/image116.png" Id="rId10"/><Relationship Type="http://schemas.openxmlformats.org/officeDocument/2006/relationships/image" Target="/xl/media/image117.png" Id="rId11"/><Relationship Type="http://schemas.openxmlformats.org/officeDocument/2006/relationships/image" Target="/xl/media/image118.png" Id="rId12"/><Relationship Type="http://schemas.openxmlformats.org/officeDocument/2006/relationships/image" Target="/xl/media/image119.png" Id="rId13"/><Relationship Type="http://schemas.openxmlformats.org/officeDocument/2006/relationships/image" Target="/xl/media/image120.png" Id="rId14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1.png" Id="rId1"/><Relationship Type="http://schemas.openxmlformats.org/officeDocument/2006/relationships/image" Target="/xl/media/image122.png" Id="rId2"/><Relationship Type="http://schemas.openxmlformats.org/officeDocument/2006/relationships/image" Target="/xl/media/image123.png" Id="rId3"/><Relationship Type="http://schemas.openxmlformats.org/officeDocument/2006/relationships/image" Target="/xl/media/image124.png" Id="rId4"/><Relationship Type="http://schemas.openxmlformats.org/officeDocument/2006/relationships/image" Target="/xl/media/image125.png" Id="rId5"/><Relationship Type="http://schemas.openxmlformats.org/officeDocument/2006/relationships/image" Target="/xl/media/image126.png" Id="rId6"/><Relationship Type="http://schemas.openxmlformats.org/officeDocument/2006/relationships/image" Target="/xl/media/image127.png" Id="rId7"/><Relationship Type="http://schemas.openxmlformats.org/officeDocument/2006/relationships/image" Target="/xl/media/image128.png" Id="rId8"/><Relationship Type="http://schemas.openxmlformats.org/officeDocument/2006/relationships/image" Target="/xl/media/image129.png" Id="rId9"/><Relationship Type="http://schemas.openxmlformats.org/officeDocument/2006/relationships/image" Target="/xl/media/image130.png" Id="rId10"/><Relationship Type="http://schemas.openxmlformats.org/officeDocument/2006/relationships/image" Target="/xl/media/image131.png" Id="rId1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2.png" Id="rId1"/><Relationship Type="http://schemas.openxmlformats.org/officeDocument/2006/relationships/image" Target="/xl/media/image133.png" Id="rId2"/><Relationship Type="http://schemas.openxmlformats.org/officeDocument/2006/relationships/image" Target="/xl/media/image134.png" Id="rId3"/><Relationship Type="http://schemas.openxmlformats.org/officeDocument/2006/relationships/image" Target="/xl/media/image135.png" Id="rId4"/><Relationship Type="http://schemas.openxmlformats.org/officeDocument/2006/relationships/image" Target="/xl/media/image136.png" Id="rId5"/><Relationship Type="http://schemas.openxmlformats.org/officeDocument/2006/relationships/image" Target="/xl/media/image137.png" Id="rId6"/><Relationship Type="http://schemas.openxmlformats.org/officeDocument/2006/relationships/image" Target="/xl/media/image138.png" Id="rId7"/><Relationship Type="http://schemas.openxmlformats.org/officeDocument/2006/relationships/image" Target="/xl/media/image139.png" Id="rId8"/><Relationship Type="http://schemas.openxmlformats.org/officeDocument/2006/relationships/image" Target="/xl/media/image140.png" Id="rId9"/><Relationship Type="http://schemas.openxmlformats.org/officeDocument/2006/relationships/image" Target="/xl/media/image141.png" Id="rId10"/><Relationship Type="http://schemas.openxmlformats.org/officeDocument/2006/relationships/image" Target="/xl/media/image142.png" Id="rId1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3.png" Id="rId1"/><Relationship Type="http://schemas.openxmlformats.org/officeDocument/2006/relationships/image" Target="/xl/media/image144.png" Id="rId2"/><Relationship Type="http://schemas.openxmlformats.org/officeDocument/2006/relationships/image" Target="/xl/media/image145.png" Id="rId3"/><Relationship Type="http://schemas.openxmlformats.org/officeDocument/2006/relationships/image" Target="/xl/media/image146.png" Id="rId4"/><Relationship Type="http://schemas.openxmlformats.org/officeDocument/2006/relationships/image" Target="/xl/media/image147.png" Id="rId5"/><Relationship Type="http://schemas.openxmlformats.org/officeDocument/2006/relationships/image" Target="/xl/media/image148.png" Id="rId6"/><Relationship Type="http://schemas.openxmlformats.org/officeDocument/2006/relationships/image" Target="/xl/media/image149.png" Id="rId7"/><Relationship Type="http://schemas.openxmlformats.org/officeDocument/2006/relationships/image" Target="/xl/media/image150.png" Id="rId8"/><Relationship Type="http://schemas.openxmlformats.org/officeDocument/2006/relationships/image" Target="/xl/media/image151.png" Id="rId9"/><Relationship Type="http://schemas.openxmlformats.org/officeDocument/2006/relationships/image" Target="/xl/media/image152.png" Id="rId10"/><Relationship Type="http://schemas.openxmlformats.org/officeDocument/2006/relationships/image" Target="/xl/media/image153.png" Id="rId11"/><Relationship Type="http://schemas.openxmlformats.org/officeDocument/2006/relationships/image" Target="/xl/media/image154.png" Id="rId12"/><Relationship Type="http://schemas.openxmlformats.org/officeDocument/2006/relationships/image" Target="/xl/media/image155.png" Id="rId13"/><Relationship Type="http://schemas.openxmlformats.org/officeDocument/2006/relationships/image" Target="/xl/media/image156.png" Id="rId14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7.png" Id="rId1"/><Relationship Type="http://schemas.openxmlformats.org/officeDocument/2006/relationships/image" Target="/xl/media/image158.png" Id="rId2"/><Relationship Type="http://schemas.openxmlformats.org/officeDocument/2006/relationships/image" Target="/xl/media/image159.png" Id="rId3"/><Relationship Type="http://schemas.openxmlformats.org/officeDocument/2006/relationships/image" Target="/xl/media/image160.png" Id="rId4"/><Relationship Type="http://schemas.openxmlformats.org/officeDocument/2006/relationships/image" Target="/xl/media/image161.png" Id="rId5"/><Relationship Type="http://schemas.openxmlformats.org/officeDocument/2006/relationships/image" Target="/xl/media/image162.png" Id="rId6"/><Relationship Type="http://schemas.openxmlformats.org/officeDocument/2006/relationships/image" Target="/xl/media/image163.png" Id="rId7"/><Relationship Type="http://schemas.openxmlformats.org/officeDocument/2006/relationships/image" Target="/xl/media/image164.png" Id="rId8"/><Relationship Type="http://schemas.openxmlformats.org/officeDocument/2006/relationships/image" Target="/xl/media/image165.png" Id="rId9"/><Relationship Type="http://schemas.openxmlformats.org/officeDocument/2006/relationships/image" Target="/xl/media/image166.png" Id="rId10"/><Relationship Type="http://schemas.openxmlformats.org/officeDocument/2006/relationships/image" Target="/xl/media/image167.png" Id="rId11"/><Relationship Type="http://schemas.openxmlformats.org/officeDocument/2006/relationships/image" Target="/xl/media/image168.png" Id="rId12"/><Relationship Type="http://schemas.openxmlformats.org/officeDocument/2006/relationships/image" Target="/xl/media/image169.png" Id="rId13"/><Relationship Type="http://schemas.openxmlformats.org/officeDocument/2006/relationships/image" Target="/xl/media/image170.png" Id="rId14"/><Relationship Type="http://schemas.openxmlformats.org/officeDocument/2006/relationships/image" Target="/xl/media/image171.png" Id="rId15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72.png" Id="rId1"/><Relationship Type="http://schemas.openxmlformats.org/officeDocument/2006/relationships/image" Target="/xl/media/image173.png" Id="rId2"/><Relationship Type="http://schemas.openxmlformats.org/officeDocument/2006/relationships/image" Target="/xl/media/image174.png" Id="rId3"/><Relationship Type="http://schemas.openxmlformats.org/officeDocument/2006/relationships/image" Target="/xl/media/image175.png" Id="rId4"/><Relationship Type="http://schemas.openxmlformats.org/officeDocument/2006/relationships/image" Target="/xl/media/image176.png" Id="rId5"/><Relationship Type="http://schemas.openxmlformats.org/officeDocument/2006/relationships/image" Target="/xl/media/image177.png" Id="rId6"/><Relationship Type="http://schemas.openxmlformats.org/officeDocument/2006/relationships/image" Target="/xl/media/image178.png" Id="rId7"/><Relationship Type="http://schemas.openxmlformats.org/officeDocument/2006/relationships/image" Target="/xl/media/image179.png" Id="rId8"/><Relationship Type="http://schemas.openxmlformats.org/officeDocument/2006/relationships/image" Target="/xl/media/image180.png" Id="rId9"/><Relationship Type="http://schemas.openxmlformats.org/officeDocument/2006/relationships/image" Target="/xl/media/image181.png" Id="rId10"/><Relationship Type="http://schemas.openxmlformats.org/officeDocument/2006/relationships/image" Target="/xl/media/image182.png" Id="rId1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83.png" Id="rId1"/><Relationship Type="http://schemas.openxmlformats.org/officeDocument/2006/relationships/image" Target="/xl/media/image184.png" Id="rId2"/><Relationship Type="http://schemas.openxmlformats.org/officeDocument/2006/relationships/image" Target="/xl/media/image185.png" Id="rId3"/><Relationship Type="http://schemas.openxmlformats.org/officeDocument/2006/relationships/image" Target="/xl/media/image186.png" Id="rId4"/><Relationship Type="http://schemas.openxmlformats.org/officeDocument/2006/relationships/image" Target="/xl/media/image187.png" Id="rId5"/><Relationship Type="http://schemas.openxmlformats.org/officeDocument/2006/relationships/image" Target="/xl/media/image188.png" Id="rId6"/><Relationship Type="http://schemas.openxmlformats.org/officeDocument/2006/relationships/image" Target="/xl/media/image189.png" Id="rId7"/><Relationship Type="http://schemas.openxmlformats.org/officeDocument/2006/relationships/image" Target="/xl/media/image190.png" Id="rId8"/><Relationship Type="http://schemas.openxmlformats.org/officeDocument/2006/relationships/image" Target="/xl/media/image191.png" Id="rId9"/><Relationship Type="http://schemas.openxmlformats.org/officeDocument/2006/relationships/image" Target="/xl/media/image192.png" Id="rId10"/><Relationship Type="http://schemas.openxmlformats.org/officeDocument/2006/relationships/image" Target="/xl/media/image193.png" Id="rId11"/><Relationship Type="http://schemas.openxmlformats.org/officeDocument/2006/relationships/image" Target="/xl/media/image194.png" Id="rId12"/><Relationship Type="http://schemas.openxmlformats.org/officeDocument/2006/relationships/image" Target="/xl/media/image195.png" Id="rId13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96.png" Id="rId1"/><Relationship Type="http://schemas.openxmlformats.org/officeDocument/2006/relationships/image" Target="/xl/media/image197.png" Id="rId2"/><Relationship Type="http://schemas.openxmlformats.org/officeDocument/2006/relationships/image" Target="/xl/media/image198.png" Id="rId3"/><Relationship Type="http://schemas.openxmlformats.org/officeDocument/2006/relationships/image" Target="/xl/media/image199.png" Id="rId4"/><Relationship Type="http://schemas.openxmlformats.org/officeDocument/2006/relationships/image" Target="/xl/media/image200.png" Id="rId5"/><Relationship Type="http://schemas.openxmlformats.org/officeDocument/2006/relationships/image" Target="/xl/media/image201.png" Id="rId6"/><Relationship Type="http://schemas.openxmlformats.org/officeDocument/2006/relationships/image" Target="/xl/media/image202.png" Id="rId7"/><Relationship Type="http://schemas.openxmlformats.org/officeDocument/2006/relationships/image" Target="/xl/media/image203.png" Id="rId8"/><Relationship Type="http://schemas.openxmlformats.org/officeDocument/2006/relationships/image" Target="/xl/media/image204.png" Id="rId9"/><Relationship Type="http://schemas.openxmlformats.org/officeDocument/2006/relationships/image" Target="/xl/media/image205.png" Id="rId10"/><Relationship Type="http://schemas.openxmlformats.org/officeDocument/2006/relationships/image" Target="/xl/media/image206.png" Id="rId11"/><Relationship Type="http://schemas.openxmlformats.org/officeDocument/2006/relationships/image" Target="/xl/media/image207.png" Id="rId12"/><Relationship Type="http://schemas.openxmlformats.org/officeDocument/2006/relationships/image" Target="/xl/media/image208.png" Id="rId13"/><Relationship Type="http://schemas.openxmlformats.org/officeDocument/2006/relationships/image" Target="/xl/media/image209.png" Id="rId14"/></Relationships>
</file>

<file path=xl/drawings/drawing1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346363</colOff>
      <row>6</row>
      <rowOff>420396</rowOff>
    </from>
    <to>
      <col>25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526472</colOff>
      <row>7</row>
      <rowOff>13854</rowOff>
    </from>
    <to>
      <col>26</col>
      <colOff>957081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526473</colOff>
      <row>7</row>
      <rowOff>41564</rowOff>
    </from>
    <to>
      <col>29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429492</colOff>
      <row>7</row>
      <rowOff>83127</rowOff>
    </from>
    <to>
      <col>33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36</col>
      <colOff>568038</colOff>
      <row>6</row>
      <rowOff>346365</rowOff>
    </from>
    <to>
      <col>37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300959</colOff>
      <row>6</row>
      <rowOff>308642</rowOff>
    </from>
    <to>
      <col>23</col>
      <colOff>31549</colOff>
      <row>7</row>
      <rowOff>447186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942110</colOff>
      <row>0</row>
      <rowOff>1</rowOff>
    </from>
    <to>
      <col>10</col>
      <colOff>501441</colOff>
      <row>4</row>
      <rowOff>401782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512618</colOff>
      <row>6</row>
      <rowOff>138547</rowOff>
    </from>
    <to>
      <col>19</col>
      <colOff>27709</colOff>
      <row>7</row>
      <rowOff>417467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720436</colOff>
      <row>6</row>
      <rowOff>374071</rowOff>
    </from>
    <to>
      <col>10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484909</colOff>
      <row>7</row>
      <rowOff>13854</rowOff>
    </from>
    <to>
      <col>20</col>
      <colOff>915518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346365</colOff>
      <row>7</row>
      <rowOff>83127</rowOff>
    </from>
    <to>
      <col>27</col>
      <colOff>84117</colOff>
      <row>7</row>
      <rowOff>306746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401782</colOff>
      <row>6</row>
      <rowOff>235529</rowOff>
    </from>
    <to>
      <col>17</col>
      <colOff>235527</colOff>
      <row>7</row>
      <rowOff>491627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138545</colOff>
      <row>0</row>
      <rowOff>13855</rowOff>
    </from>
    <to>
      <col>15</col>
      <colOff>506569</colOff>
      <row>4</row>
      <rowOff>443345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13852</colOff>
      <row>7</row>
      <rowOff>401396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138544</colOff>
      <row>6</row>
      <rowOff>387931</rowOff>
    </from>
    <to>
      <col>33</col>
      <colOff>265659</colOff>
      <row>7</row>
      <rowOff>484915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554182</colOff>
      <row>6</row>
      <rowOff>207817</rowOff>
    </from>
    <to>
      <col>13</col>
      <colOff>166255</colOff>
      <row>7</row>
      <rowOff>449128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8</col>
      <colOff>720436</colOff>
      <row>6</row>
      <rowOff>374071</rowOff>
    </from>
    <to>
      <col>10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484909</colOff>
      <row>7</row>
      <rowOff>13854</rowOff>
    </from>
    <to>
      <col>20</col>
      <colOff>915518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346365</colOff>
      <row>7</row>
      <rowOff>83127</rowOff>
    </from>
    <to>
      <col>27</col>
      <colOff>84117</colOff>
      <row>7</row>
      <rowOff>306746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401782</colOff>
      <row>6</row>
      <rowOff>235529</rowOff>
    </from>
    <to>
      <col>17</col>
      <colOff>235527</colOff>
      <row>7</row>
      <rowOff>491627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13852</colOff>
      <row>7</row>
      <rowOff>401396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138544</colOff>
      <row>6</row>
      <rowOff>387931</rowOff>
    </from>
    <to>
      <col>33</col>
      <colOff>265659</colOff>
      <row>7</row>
      <rowOff>484915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332508</colOff>
      <row>0</row>
      <rowOff>0</rowOff>
    </from>
    <to>
      <col>16</col>
      <colOff>41563</colOff>
      <row>4</row>
      <rowOff>374380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69272</colOff>
      <row>7</row>
      <rowOff>55418</rowOff>
    </from>
    <to>
      <col>7</col>
      <colOff>443345</colOff>
      <row>7</row>
      <rowOff>345989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13</col>
      <colOff>318656</colOff>
      <row>6</row>
      <rowOff>374075</rowOff>
    </from>
    <to>
      <col>14</col>
      <colOff>223805</colOff>
      <row>7</row>
      <rowOff>457200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374072</colOff>
      <row>0</row>
      <rowOff>124692</rowOff>
    </from>
    <to>
      <col>10</col>
      <colOff>734291</colOff>
      <row>4</row>
      <rowOff>302081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21</col>
      <colOff>3715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318656</colOff>
      <row>0</row>
      <rowOff>0</rowOff>
    </from>
    <to>
      <col>12</col>
      <colOff>842585</colOff>
      <row>4</row>
      <rowOff>387927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374076</colOff>
      <row>6</row>
      <rowOff>290948</rowOff>
    </from>
    <to>
      <col>33</col>
      <colOff>55420</colOff>
      <row>7</row>
      <rowOff>464351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942111</colOff>
      <row>6</row>
      <rowOff>346367</rowOff>
    </from>
    <to>
      <col>12</col>
      <colOff>720436</colOff>
      <row>7</row>
      <rowOff>419148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364078</colOff>
      <row>6</row>
      <rowOff>231668</rowOff>
    </from>
    <to>
      <col>19</col>
      <colOff>221672</colOff>
      <row>7</row>
      <rowOff>485618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374076</colOff>
      <row>6</row>
      <rowOff>290948</rowOff>
    </from>
    <to>
      <col>33</col>
      <colOff>55420</colOff>
      <row>7</row>
      <rowOff>464351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235528</colOff>
      <row>0</row>
      <rowOff>0</rowOff>
    </from>
    <to>
      <col>12</col>
      <colOff>759457</colOff>
      <row>4</row>
      <rowOff>387927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401782</colOff>
      <row>0</row>
      <rowOff>0</rowOff>
    </from>
    <to>
      <col>14</col>
      <colOff>304800</colOff>
      <row>4</row>
      <rowOff>412979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17</col>
      <colOff>318656</colOff>
      <row>6</row>
      <rowOff>374075</rowOff>
    </from>
    <to>
      <col>18</col>
      <colOff>223805</colOff>
      <row>7</row>
      <rowOff>457200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138544</colOff>
      <row>6</row>
      <rowOff>387931</rowOff>
    </from>
    <to>
      <col>11</col>
      <colOff>265659</colOff>
      <row>7</row>
      <rowOff>484915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526472</colOff>
      <row>7</row>
      <rowOff>13854</rowOff>
    </from>
    <to>
      <col>22</col>
      <colOff>957081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526473</colOff>
      <row>7</row>
      <rowOff>41564</rowOff>
    </from>
    <to>
      <col>25</col>
      <colOff>13854</colOff>
      <row>7</row>
      <rowOff>401396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429492</colOff>
      <row>7</row>
      <rowOff>83127</rowOff>
    </from>
    <to>
      <col>29</col>
      <colOff>167243</colOff>
      <row>7</row>
      <rowOff>306746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568038</colOff>
      <row>6</row>
      <rowOff>346365</rowOff>
    </from>
    <to>
      <col>33</col>
      <colOff>66014</colOff>
      <row>7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55419</colOff>
      <row>6</row>
      <rowOff>346365</rowOff>
    </from>
    <to>
      <col>9</col>
      <colOff>415638</colOff>
      <row>7</row>
      <rowOff>432965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69274</colOff>
      <row>7</row>
      <rowOff>110837</rowOff>
    </from>
    <to>
      <col>7</col>
      <colOff>435430</colOff>
      <row>7</row>
      <rowOff>401782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290944</colOff>
      <row>0</row>
      <rowOff>0</rowOff>
    </from>
    <to>
      <col>12</col>
      <colOff>862938</colOff>
      <row>4</row>
      <rowOff>401781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942111</colOff>
      <row>6</row>
      <rowOff>346367</rowOff>
    </from>
    <to>
      <col>14</col>
      <colOff>720437</colOff>
      <row>7</row>
      <rowOff>419148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364078</colOff>
      <row>6</row>
      <rowOff>231668</rowOff>
    </from>
    <to>
      <col>21</col>
      <colOff>221672</colOff>
      <row>7</row>
      <rowOff>485618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34</col>
      <colOff>118819</colOff>
      <row>6</row>
      <rowOff>332509</rowOff>
    </from>
    <to>
      <col>35</col>
      <colOff>332509</colOff>
      <row>7</row>
      <rowOff>457200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37</col>
      <colOff>249383</colOff>
      <row>6</row>
      <rowOff>401782</rowOff>
    </from>
    <to>
      <col>38</col>
      <colOff>401123</colOff>
      <row>7</row>
      <rowOff>429491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8</col>
      <colOff>720436</colOff>
      <row>6</row>
      <rowOff>374071</rowOff>
    </from>
    <to>
      <col>10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346363</colOff>
      <row>6</row>
      <rowOff>420396</rowOff>
    </from>
    <to>
      <col>17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13</col>
      <colOff>318656</colOff>
      <row>6</row>
      <rowOff>374075</rowOff>
    </from>
    <to>
      <col>14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526472</colOff>
      <row>7</row>
      <rowOff>13854</rowOff>
    </from>
    <to>
      <col>18</col>
      <colOff>957081</colOff>
      <row>7</row>
      <rowOff>413355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526473</colOff>
      <row>7</row>
      <rowOff>41564</rowOff>
    </from>
    <to>
      <col>21</col>
      <colOff>13854</colOff>
      <row>7</row>
      <rowOff>401396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429492</colOff>
      <row>7</row>
      <rowOff>83127</rowOff>
    </from>
    <to>
      <col>25</col>
      <colOff>167244</colOff>
      <row>7</row>
      <rowOff>306746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568038</colOff>
      <row>6</row>
      <rowOff>346365</rowOff>
    </from>
    <to>
      <col>29</col>
      <colOff>66013</colOff>
      <row>7</row>
      <rowOff>415636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928254</colOff>
      <row>0</row>
      <rowOff>0</rowOff>
    </from>
    <to>
      <col>10</col>
      <colOff>318654</colOff>
      <row>4</row>
      <rowOff>177389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263235</colOff>
      <row>6</row>
      <rowOff>328434</rowOff>
    </from>
    <to>
      <col>7</col>
      <colOff>221671</colOff>
      <row>7</row>
      <rowOff>484909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277091</colOff>
      <row>7</row>
      <rowOff>27708</rowOff>
    </from>
    <to>
      <col>5</col>
      <colOff>191035</colOff>
      <row>7</row>
      <rowOff>255951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12</col>
      <colOff>720436</colOff>
      <row>6</row>
      <rowOff>374071</rowOff>
    </from>
    <to>
      <col>14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346363</colOff>
      <row>6</row>
      <rowOff>420396</rowOff>
    </from>
    <to>
      <col>21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17</col>
      <colOff>318656</colOff>
      <row>6</row>
      <rowOff>374075</rowOff>
    </from>
    <to>
      <col>18</col>
      <colOff>223805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138544</colOff>
      <row>6</row>
      <rowOff>387931</rowOff>
    </from>
    <to>
      <col>11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526472</colOff>
      <row>7</row>
      <rowOff>13854</rowOff>
    </from>
    <to>
      <col>27</col>
      <colOff>3715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526473</colOff>
      <row>7</row>
      <rowOff>41564</rowOff>
    </from>
    <to>
      <col>29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429492</colOff>
      <row>7</row>
      <rowOff>83127</rowOff>
    </from>
    <to>
      <col>33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36</col>
      <colOff>568038</colOff>
      <row>6</row>
      <rowOff>346365</rowOff>
    </from>
    <to>
      <col>37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69272</colOff>
      <row>7</row>
      <rowOff>55418</rowOff>
    </from>
    <to>
      <col>9</col>
      <colOff>443345</colOff>
      <row>7</row>
      <rowOff>345989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300959</colOff>
      <row>6</row>
      <rowOff>308642</rowOff>
    </from>
    <to>
      <col>23</col>
      <colOff>31550</colOff>
      <row>7</row>
      <rowOff>447186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290945</colOff>
      <row>6</row>
      <rowOff>429492</rowOff>
    </from>
    <to>
      <col>25</col>
      <colOff>300839</colOff>
      <row>7</row>
      <rowOff>429490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928254</colOff>
      <row>0</row>
      <rowOff>0</rowOff>
    </from>
    <to>
      <col>12</col>
      <colOff>356268</colOff>
      <row>4</row>
      <rowOff>277090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21</col>
      <colOff>3715</colOff>
      <row>7</row>
      <rowOff>413355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25</col>
      <colOff>207819</colOff>
      <row>7</row>
      <rowOff>83127</rowOff>
    </from>
    <to>
      <col>26</col>
      <colOff>402771</colOff>
      <row>7</row>
      <rowOff>306746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568038</colOff>
      <row>6</row>
      <rowOff>346365</rowOff>
    </from>
    <to>
      <col>29</col>
      <colOff>66013</colOff>
      <row>7</row>
      <rowOff>415636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69272</colOff>
      <row>7</row>
      <rowOff>55418</rowOff>
    </from>
    <to>
      <col>9</col>
      <colOff>443345</colOff>
      <row>7</row>
      <rowOff>345989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734291</colOff>
      <row>0</row>
      <rowOff>0</rowOff>
    </from>
    <to>
      <col>10</col>
      <colOff>124691</colOff>
      <row>4</row>
      <rowOff>177389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25</col>
      <colOff>138546</colOff>
      <row>7</row>
      <rowOff>83127</rowOff>
    </from>
    <to>
      <col>26</col>
      <colOff>333498</colOff>
      <row>7</row>
      <rowOff>306746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568038</colOff>
      <row>6</row>
      <rowOff>346365</rowOff>
    </from>
    <to>
      <col>29</col>
      <colOff>66013</colOff>
      <row>7</row>
      <rowOff>415636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401782</colOff>
      <row>0</row>
      <rowOff>0</rowOff>
    </from>
    <to>
      <col>14</col>
      <colOff>304800</colOff>
      <row>4</row>
      <rowOff>412979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69272</colOff>
      <row>7</row>
      <rowOff>55418</rowOff>
    </from>
    <to>
      <col>9</col>
      <colOff>443345</colOff>
      <row>7</row>
      <rowOff>345989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8</col>
      <colOff>166254</colOff>
      <row>6</row>
      <rowOff>387928</rowOff>
    </from>
    <to>
      <col>9</col>
      <colOff>415637</colOff>
      <row>7</row>
      <rowOff>442340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720436</colOff>
      <row>6</row>
      <rowOff>374071</rowOff>
    </from>
    <to>
      <col>18</col>
      <colOff>695604</colOff>
      <row>7</row>
      <rowOff>443344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346363</colOff>
      <row>6</row>
      <rowOff>420396</rowOff>
    </from>
    <to>
      <col>25</col>
      <colOff>138545</colOff>
      <row>8</row>
      <rowOff>17815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21</col>
      <colOff>318656</colOff>
      <row>6</row>
      <rowOff>374075</rowOff>
    </from>
    <to>
      <col>22</col>
      <colOff>223806</colOff>
      <row>7</row>
      <rowOff>457200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138544</colOff>
      <row>6</row>
      <rowOff>387931</rowOff>
    </from>
    <to>
      <col>15</col>
      <colOff>265659</colOff>
      <row>7</row>
      <rowOff>484915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526472</colOff>
      <row>7</row>
      <rowOff>13854</rowOff>
    </from>
    <to>
      <col>26</col>
      <colOff>957081</colOff>
      <row>7</row>
      <rowOff>413355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526473</colOff>
      <row>7</row>
      <rowOff>41564</rowOff>
    </from>
    <to>
      <col>29</col>
      <colOff>13853</colOff>
      <row>7</row>
      <rowOff>401396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31</col>
      <colOff>166256</colOff>
      <row>7</row>
      <rowOff>83127</rowOff>
    </from>
    <to>
      <col>32</col>
      <colOff>361208</colOff>
      <row>7</row>
      <rowOff>306746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96983</colOff>
      <row>6</row>
      <rowOff>471055</rowOff>
    </from>
    <to>
      <col>5</col>
      <colOff>443347</colOff>
      <row>7</row>
      <rowOff>417691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230962</colOff>
      <row>6</row>
      <rowOff>378642</rowOff>
    </from>
    <to>
      <col>7</col>
      <colOff>175542</colOff>
      <row>7</row>
      <rowOff>452634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401782</colOff>
      <row>6</row>
      <rowOff>332510</rowOff>
    </from>
    <to>
      <col>11</col>
      <colOff>172889</colOff>
      <row>7</row>
      <rowOff>429490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290946</colOff>
      <row>0</row>
      <rowOff>0</rowOff>
    </from>
    <to>
      <col>20</col>
      <colOff>180665</colOff>
      <row>4</row>
      <rowOff>387927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34</col>
      <colOff>568038</colOff>
      <row>6</row>
      <rowOff>346365</rowOff>
    </from>
    <to>
      <col>35</col>
      <colOff>66014</colOff>
      <row>7</row>
      <rowOff>415636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374072</colOff>
      <row>6</row>
      <rowOff>360217</rowOff>
    </from>
    <to>
      <col>13</col>
      <colOff>87087</colOff>
      <row>7</row>
      <rowOff>415636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10</col>
      <colOff>166254</colOff>
      <row>6</row>
      <rowOff>387928</rowOff>
    </from>
    <to>
      <col>11</col>
      <colOff>415637</colOff>
      <row>7</row>
      <rowOff>442340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720436</colOff>
      <row>6</row>
      <rowOff>374071</rowOff>
    </from>
    <to>
      <col>20</col>
      <colOff>695605</colOff>
      <row>7</row>
      <rowOff>443344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346363</colOff>
      <row>6</row>
      <rowOff>420396</rowOff>
    </from>
    <to>
      <col>27</col>
      <colOff>138545</colOff>
      <row>8</row>
      <rowOff>17815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23</col>
      <colOff>318656</colOff>
      <row>6</row>
      <rowOff>374075</rowOff>
    </from>
    <to>
      <col>24</col>
      <colOff>223806</colOff>
      <row>7</row>
      <rowOff>457200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138544</colOff>
      <row>6</row>
      <rowOff>387931</rowOff>
    </from>
    <to>
      <col>17</col>
      <colOff>265659</colOff>
      <row>7</row>
      <rowOff>484915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526472</colOff>
      <row>7</row>
      <rowOff>13854</rowOff>
    </from>
    <to>
      <col>28</col>
      <colOff>957081</colOff>
      <row>7</row>
      <rowOff>413355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526473</colOff>
      <row>7</row>
      <rowOff>41564</rowOff>
    </from>
    <to>
      <col>31</col>
      <colOff>13854</colOff>
      <row>7</row>
      <rowOff>401396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33</col>
      <colOff>207819</colOff>
      <row>7</row>
      <rowOff>83127</rowOff>
    </from>
    <to>
      <col>34</col>
      <colOff>402770</colOff>
      <row>7</row>
      <rowOff>306746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318655</colOff>
      <row>7</row>
      <rowOff>96982</rowOff>
    </from>
    <to>
      <col>5</col>
      <colOff>249381</colOff>
      <row>7</row>
      <rowOff>401729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230962</colOff>
      <row>6</row>
      <rowOff>378642</rowOff>
    </from>
    <to>
      <col>9</col>
      <colOff>175543</colOff>
      <row>7</row>
      <rowOff>452634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401782</colOff>
      <row>6</row>
      <rowOff>332510</rowOff>
    </from>
    <to>
      <col>13</col>
      <colOff>172889</colOff>
      <row>7</row>
      <rowOff>429490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36</col>
      <colOff>568038</colOff>
      <row>6</row>
      <rowOff>346365</rowOff>
    </from>
    <to>
      <col>37</col>
      <colOff>66014</colOff>
      <row>7</row>
      <rowOff>415636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83128</colOff>
      <row>7</row>
      <rowOff>27709</rowOff>
    </from>
    <to>
      <col>7</col>
      <colOff>415636</colOff>
      <row>7</row>
      <rowOff>305934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318653</colOff>
      <row>0</row>
      <rowOff>0</rowOff>
    </from>
    <to>
      <col>14</col>
      <colOff>811484</colOff>
      <row>4</row>
      <rowOff>415635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374072</colOff>
      <row>6</row>
      <rowOff>360217</rowOff>
    </from>
    <to>
      <col>15</col>
      <colOff>87087</colOff>
      <row>7</row>
      <rowOff>415636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374072</colOff>
      <row>0</row>
      <rowOff>124692</rowOff>
    </from>
    <to>
      <col>10</col>
      <colOff>734291</colOff>
      <row>4</row>
      <rowOff>302081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595747</colOff>
      <row>6</row>
      <rowOff>332511</rowOff>
    </from>
    <to>
      <col>12</col>
      <colOff>568036</colOff>
      <row>7</row>
      <rowOff>457201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374072</colOff>
      <row>6</row>
      <rowOff>360218</rowOff>
    </from>
    <to>
      <col>19</col>
      <colOff>44807</colOff>
      <row>7</row>
      <rowOff>429491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14</col>
      <colOff>720436</colOff>
      <row>6</row>
      <rowOff>374071</rowOff>
    </from>
    <to>
      <col>16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346363</colOff>
      <row>6</row>
      <rowOff>420396</rowOff>
    </from>
    <to>
      <col>23</col>
      <colOff>138544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19</col>
      <colOff>318656</colOff>
      <row>6</row>
      <rowOff>374075</rowOff>
    </from>
    <to>
      <col>20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138544</colOff>
      <row>6</row>
      <rowOff>387931</rowOff>
    </from>
    <to>
      <col>13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526472</colOff>
      <row>7</row>
      <rowOff>13854</rowOff>
    </from>
    <to>
      <col>24</col>
      <colOff>957081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526473</colOff>
      <row>7</row>
      <rowOff>41564</rowOff>
    </from>
    <to>
      <col>27</col>
      <colOff>13854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360219</colOff>
      <row>7</row>
      <rowOff>83127</rowOff>
    </from>
    <to>
      <col>29</col>
      <colOff>97970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96983</colOff>
      <row>6</row>
      <rowOff>471055</rowOff>
    </from>
    <to>
      <col>5</col>
      <colOff>443347</colOff>
      <row>7</row>
      <rowOff>417691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230962</colOff>
      <row>6</row>
      <rowOff>378642</rowOff>
    </from>
    <to>
      <col>7</col>
      <colOff>175542</colOff>
      <row>7</row>
      <rowOff>452634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401782</colOff>
      <row>6</row>
      <rowOff>332510</rowOff>
    </from>
    <to>
      <col>11</col>
      <colOff>172889</colOff>
      <row>7</row>
      <rowOff>429490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637309</colOff>
      <row>0</row>
      <rowOff>0</rowOff>
    </from>
    <to>
      <col>14</col>
      <colOff>527028</colOff>
      <row>4</row>
      <rowOff>387927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332509</colOff>
      <row>6</row>
      <rowOff>415636</rowOff>
    </from>
    <to>
      <col>9</col>
      <colOff>166255</colOff>
      <row>7</row>
      <rowOff>480883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10</col>
      <colOff>166254</colOff>
      <row>6</row>
      <rowOff>387928</rowOff>
    </from>
    <to>
      <col>11</col>
      <colOff>415637</colOff>
      <row>7</row>
      <rowOff>442340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720436</colOff>
      <row>6</row>
      <rowOff>374071</rowOff>
    </from>
    <to>
      <col>18</col>
      <colOff>695604</colOff>
      <row>7</row>
      <rowOff>443344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346363</colOff>
      <row>6</row>
      <rowOff>420396</rowOff>
    </from>
    <to>
      <col>25</col>
      <colOff>138545</colOff>
      <row>8</row>
      <rowOff>17815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21</col>
      <colOff>318656</colOff>
      <row>6</row>
      <rowOff>374075</rowOff>
    </from>
    <to>
      <col>22</col>
      <colOff>223806</colOff>
      <row>7</row>
      <rowOff>457200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138544</colOff>
      <row>6</row>
      <rowOff>387931</rowOff>
    </from>
    <to>
      <col>15</col>
      <colOff>265659</colOff>
      <row>7</row>
      <rowOff>484915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526472</colOff>
      <row>7</row>
      <rowOff>13854</rowOff>
    </from>
    <to>
      <col>26</col>
      <colOff>957081</colOff>
      <row>7</row>
      <rowOff>413355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526473</colOff>
      <row>7</row>
      <rowOff>41564</rowOff>
    </from>
    <to>
      <col>29</col>
      <colOff>13853</colOff>
      <row>7</row>
      <rowOff>401396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360219</colOff>
      <row>7</row>
      <rowOff>83127</rowOff>
    </from>
    <to>
      <col>31</col>
      <colOff>97971</colOff>
      <row>7</row>
      <rowOff>306746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96983</colOff>
      <row>6</row>
      <rowOff>471055</rowOff>
    </from>
    <to>
      <col>5</col>
      <colOff>443347</colOff>
      <row>7</row>
      <rowOff>417691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230962</colOff>
      <row>6</row>
      <rowOff>378642</rowOff>
    </from>
    <to>
      <col>9</col>
      <colOff>175543</colOff>
      <row>7</row>
      <rowOff>452634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401782</colOff>
      <row>6</row>
      <rowOff>332510</rowOff>
    </from>
    <to>
      <col>13</col>
      <colOff>172889</colOff>
      <row>7</row>
      <rowOff>429490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568038</colOff>
      <row>6</row>
      <rowOff>346365</rowOff>
    </from>
    <to>
      <col>33</col>
      <colOff>66014</colOff>
      <row>7</row>
      <rowOff>415636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83128</colOff>
      <row>7</row>
      <rowOff>27709</rowOff>
    </from>
    <to>
      <col>7</col>
      <colOff>415636</colOff>
      <row>7</row>
      <rowOff>305934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5</col>
      <colOff>512617</colOff>
      <row>0</row>
      <rowOff>0</rowOff>
    </from>
    <to>
      <col>13</col>
      <colOff>35629</colOff>
      <row>4</row>
      <rowOff>415635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</cols>
  <sheetData>
    <row r="1"/>
    <row r="3">
      <c r="B3" s="128" t="inlineStr">
        <is>
          <t>① สลับ</t>
        </is>
      </c>
    </row>
    <row r="4">
      <c r="B4" s="129">
        <f>HYPERLINK("#'เลื่อนสลับ'!A1","▶  เลื่อนสลับ")</f>
        <v/>
      </c>
    </row>
    <row r="5">
      <c r="B5" s="129">
        <f>HYPERLINK("#'เลื่อนสลับ(มุ้ง)'!A1","▶  เลื่อนสลับ(มุ้ง)")</f>
        <v/>
      </c>
    </row>
    <row r="6">
      <c r="B6" s="129">
        <f>HYPERLINK("#'เลื่อนสลับ2ราง'!A1","▶  เลื่อนสลับ2ราง")</f>
        <v/>
      </c>
    </row>
    <row r="7">
      <c r="B7" s="129">
        <f>HYPERLINK("#'เลื่อนสลับ66ช่องแสงล่าง'!A1","▶  เลื่อนสลับ66ช่องแสงล่าง")</f>
        <v/>
      </c>
    </row>
    <row r="8">
      <c r="B8" s="129">
        <f>HYPERLINK("#'เลื่อนสลับ ภายใน'!A1","▶  เลื่อนสลับ ภายใน")</f>
        <v/>
      </c>
    </row>
    <row r="9">
      <c r="B9" s="129">
        <f>HYPERLINK("#'เลื่อนสลับ ภายใน+มุ้ง'!A1","▶  เลื่อนสลับ ภายใน+มุ้ง")</f>
        <v/>
      </c>
    </row>
    <row r="10">
      <c r="B10" s="129">
        <f>HYPERLINK("#'เลื่อนสลับเสา66'!A1","▶  เลื่อนสลับเสา66")</f>
        <v/>
      </c>
    </row>
    <row r="12">
      <c r="B12" s="128" t="inlineStr">
        <is>
          <t>② หลายราง</t>
        </is>
      </c>
    </row>
    <row r="13">
      <c r="B13" s="129">
        <f>HYPERLINK("#'เลื่อน3ราง'!A1","▶  เลื่อน3ราง")</f>
        <v/>
      </c>
    </row>
    <row r="14">
      <c r="B14" s="129">
        <f>HYPERLINK("#'เลื่อน3ราง ภายใน'!A1","▶  เลื่อน3ราง ภายใน")</f>
        <v/>
      </c>
    </row>
    <row r="15">
      <c r="B15" s="129">
        <f>HYPERLINK("#'เลื่อน4ราง ภายใน'!A1","▶  เลื่อน4ราง ภายใน")</f>
        <v/>
      </c>
    </row>
    <row r="16">
      <c r="B16" s="129">
        <f>HYPERLINK("#'เลื่อน5ราง ภายใน'!A1","▶  เลื่อน5ราง ภายใน")</f>
        <v/>
      </c>
    </row>
    <row r="17">
      <c r="B17" s="129">
        <f>HYPERLINK("#'เลื่อน4 (2)'!A1","▶  เลื่อน4 (2)")</f>
        <v/>
      </c>
    </row>
    <row r="18">
      <c r="B18" s="129">
        <f>HYPERLINK("#'เลื่อน5'!A1","▶  เลื่อน5")</f>
        <v/>
      </c>
    </row>
    <row r="20">
      <c r="B20" s="128" t="inlineStr">
        <is>
          <t>③ แบ่ง</t>
        </is>
      </c>
    </row>
    <row r="21">
      <c r="B21" s="129">
        <f>HYPERLINK("#'เลื่อนแบ่ง4'!A1","▶  เลื่อนแบ่ง4")</f>
        <v/>
      </c>
    </row>
    <row r="22">
      <c r="B22" s="129">
        <f>HYPERLINK("#'เลื่อนแบ่ง6-กลาง'!A1","▶  เลื่อนแบ่ง6-กลาง")</f>
        <v/>
      </c>
    </row>
    <row r="24">
      <c r="B24" s="128" t="inlineStr">
        <is>
          <t>④ เลื่อน-ติดตาย</t>
        </is>
      </c>
    </row>
    <row r="25">
      <c r="B25" s="129">
        <f>HYPERLINK("#'เลื่อน-ติดตาย78'!A1","▶  เลื่อน-ติดตาย78")</f>
        <v/>
      </c>
    </row>
    <row r="26">
      <c r="B26" s="129">
        <f>HYPERLINK("#'เลื่อน-ติดตาย66'!A1","▶  เลื่อน-ติดตาย66")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7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12.75" customWidth="1" min="40" max="40"/>
    <col width="8.75" customWidth="1" min="41" max="41"/>
    <col width="8.875" customWidth="1" min="42" max="42"/>
  </cols>
  <sheetData>
    <row r="1" ht="40.15" customHeight="1">
      <c r="A1" s="1" t="inlineStr">
        <is>
          <t>JR ALUMINIUM &amp; GLASS  —  ใบรายการตัด · FUJI เลื่อนสลับ(มุ้ง)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5" t="n"/>
      <c r="T1" s="5" t="n"/>
      <c r="U1" s="3" t="n"/>
      <c r="V1" s="7" t="n"/>
      <c r="W1" s="5" t="n"/>
      <c r="X1" s="5" t="n"/>
      <c r="Y1" s="6" t="n"/>
      <c r="Z1" s="6" t="n"/>
      <c r="AA1" s="5" t="n"/>
      <c r="AB1" s="5" t="n"/>
      <c r="AC1" s="5" t="n"/>
      <c r="AD1" s="5" t="n"/>
      <c r="AE1" s="5" t="n"/>
      <c r="AF1" s="5" t="n"/>
      <c r="AG1" s="3" t="n"/>
      <c r="AH1" s="3" t="n"/>
      <c r="AI1" s="3" t="n"/>
      <c r="AJ1" s="3" t="n"/>
      <c r="AK1" s="5" t="n"/>
      <c r="AL1" s="5" t="n"/>
      <c r="AM1" s="5" t="n"/>
      <c r="AN1" s="5" t="n"/>
      <c r="AO1" s="5" t="n"/>
      <c r="AP1" s="5" t="n"/>
      <c r="AQ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6" t="n"/>
      <c r="V2" s="6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6" t="n"/>
      <c r="AH2" s="6" t="n"/>
      <c r="AI2" s="6" t="n"/>
      <c r="AJ2" s="6" t="n"/>
      <c r="AK2" s="9" t="n"/>
      <c r="AL2" s="9" t="n"/>
      <c r="AM2" s="9" t="n"/>
      <c r="AN2" s="9" t="n"/>
      <c r="AO2" s="9" t="n"/>
      <c r="AP2" s="9" t="n"/>
      <c r="AQ2" s="9" t="n"/>
    </row>
    <row r="3" ht="40.15" customHeight="1">
      <c r="A3" s="130">
        <f>HYPERLINK("#สารบัญ!A1","← สารบัญ")</f>
        <v/>
      </c>
      <c r="B3" s="10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S3" s="11" t="n"/>
      <c r="T3" s="11" t="n"/>
      <c r="U3" s="6" t="n"/>
      <c r="V3" s="6" t="n"/>
      <c r="W3" s="11" t="n"/>
      <c r="X3" s="11" t="n"/>
      <c r="AA3" s="11" t="n"/>
      <c r="AB3" s="11" t="n"/>
      <c r="AC3" s="11" t="n"/>
      <c r="AD3" s="11" t="n"/>
      <c r="AE3" s="11" t="n"/>
      <c r="AF3" s="11" t="n"/>
      <c r="AG3" s="6" t="n"/>
      <c r="AH3" s="6" t="n"/>
      <c r="AI3" s="6" t="n"/>
      <c r="AJ3" s="6" t="n"/>
      <c r="AK3" s="11" t="n"/>
      <c r="AL3" s="11" t="n"/>
      <c r="AM3" s="11" t="n"/>
      <c r="AN3" s="11" t="n"/>
      <c r="AO3" s="11" t="n"/>
      <c r="AP3" s="11" t="n"/>
      <c r="AQ3" s="11" t="n"/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U4" s="6" t="n"/>
      <c r="V4" s="6" t="n"/>
      <c r="AG4" s="6" t="n"/>
      <c r="AH4" s="6" t="n"/>
      <c r="AI4" s="6" t="n"/>
      <c r="AJ4" s="6" t="n"/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M5" s="12" t="inlineStr">
        <is>
          <t>*แก้ +3 มิล</t>
        </is>
      </c>
      <c r="N5" s="6" t="n"/>
      <c r="Q5" s="6" t="inlineStr">
        <is>
          <t>*แก้ +3 มิล</t>
        </is>
      </c>
      <c r="R5" s="6" t="n"/>
      <c r="U5" s="6" t="inlineStr">
        <is>
          <t>*แก้ +3 มิล</t>
        </is>
      </c>
      <c r="V5" s="6" t="n"/>
      <c r="AG5" s="6" t="n"/>
      <c r="AH5" s="6" t="n"/>
      <c r="AI5" s="6" t="n"/>
      <c r="AJ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((กว้าง-21-3-1.2-3-21)/2)+(78x2)+3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เสา-78-78</t>
        </is>
      </c>
      <c r="T6" s="17" t="n"/>
      <c r="U6" s="16" t="inlineStr">
        <is>
          <t>ขวาง-63-63</t>
        </is>
      </c>
      <c r="V6" s="17" t="n"/>
      <c r="W6" s="16" t="inlineStr">
        <is>
          <t>สูงกรอบบาน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สูง-45-45</t>
        </is>
      </c>
      <c r="AB6" s="17" t="n"/>
      <c r="AC6" s="16" t="inlineStr">
        <is>
          <t>เท่าเฟรมบน</t>
        </is>
      </c>
      <c r="AD6" s="17" t="n"/>
      <c r="AE6" s="16" t="n"/>
      <c r="AF6" s="17" t="n"/>
      <c r="AG6" s="16" t="inlineStr">
        <is>
          <t>สูงกรอบบาน</t>
        </is>
      </c>
      <c r="AH6" s="17" t="n"/>
      <c r="AI6" s="16" t="inlineStr">
        <is>
          <t>กว้าง</t>
        </is>
      </c>
      <c r="AJ6" s="17" t="n"/>
      <c r="AK6" s="16" t="inlineStr">
        <is>
          <t>เท่าเฟรมล่าง</t>
        </is>
      </c>
      <c r="AL6" s="17" t="n"/>
      <c r="AM6" s="18" t="n"/>
      <c r="AN6" s="18" t="n"/>
      <c r="AO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F7987</t>
        </is>
      </c>
      <c r="T7" s="14" t="n"/>
      <c r="U7" s="14" t="n"/>
      <c r="V7" s="15" t="n"/>
      <c r="W7" s="23" t="inlineStr">
        <is>
          <t>F7985</t>
        </is>
      </c>
      <c r="X7" s="15" t="n"/>
      <c r="Y7" s="22" t="inlineStr">
        <is>
          <t>F7983</t>
        </is>
      </c>
      <c r="Z7" s="15" t="n"/>
      <c r="AA7" s="22" t="inlineStr">
        <is>
          <t>F7986</t>
        </is>
      </c>
      <c r="AB7" s="15" t="n"/>
      <c r="AC7" s="22" t="inlineStr">
        <is>
          <t>F7993</t>
        </is>
      </c>
      <c r="AD7" s="15" t="n"/>
      <c r="AE7" s="22" t="inlineStr">
        <is>
          <t>F7988</t>
        </is>
      </c>
      <c r="AF7" s="14" t="n"/>
      <c r="AG7" s="14" t="n"/>
      <c r="AH7" s="14" t="n"/>
      <c r="AI7" s="14" t="n"/>
      <c r="AJ7" s="15" t="n"/>
      <c r="AK7" s="22" t="inlineStr">
        <is>
          <t>F7994</t>
        </is>
      </c>
      <c r="AL7" s="15" t="n"/>
      <c r="AM7" s="24" t="n"/>
      <c r="AN7" s="25" t="inlineStr">
        <is>
          <t>ขนาดกระจก</t>
        </is>
      </c>
      <c r="AO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4" t="n"/>
      <c r="V8" s="31" t="n"/>
      <c r="W8" s="34" t="n"/>
      <c r="X8" s="31" t="n"/>
      <c r="Y8" s="32" t="n"/>
      <c r="Z8" s="33" t="n"/>
      <c r="AA8" s="32" t="n"/>
      <c r="AB8" s="33" t="n"/>
      <c r="AC8" s="32" t="n"/>
      <c r="AD8" s="33" t="n"/>
      <c r="AE8" s="32" t="n"/>
      <c r="AF8" s="33" t="n"/>
      <c r="AG8" s="35" t="n"/>
      <c r="AH8" s="33" t="n"/>
      <c r="AI8" s="34" t="n"/>
      <c r="AJ8" s="31" t="n"/>
      <c r="AK8" s="30" t="n"/>
      <c r="AL8" s="31" t="n"/>
      <c r="AM8" s="36" t="n"/>
      <c r="AN8" s="37" t="inlineStr">
        <is>
          <t>กรอบบาน</t>
        </is>
      </c>
      <c r="AO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คิ้ว ตั้ง</t>
        </is>
      </c>
      <c r="T9" s="43" t="n"/>
      <c r="U9" s="42" t="inlineStr">
        <is>
          <t>คิ้ว ขวาง</t>
        </is>
      </c>
      <c r="V9" s="43" t="n"/>
      <c r="W9" s="42" t="inlineStr">
        <is>
          <t>ต่อราง</t>
        </is>
      </c>
      <c r="X9" s="43" t="n"/>
      <c r="Y9" s="42" t="inlineStr">
        <is>
          <t>ตบเกี่ยว</t>
        </is>
      </c>
      <c r="Z9" s="43" t="n"/>
      <c r="AA9" s="44" t="inlineStr">
        <is>
          <t>ยูข้าง</t>
        </is>
      </c>
      <c r="AB9" s="43" t="n"/>
      <c r="AC9" s="44" t="inlineStr">
        <is>
          <t>ตบเฟรมบน</t>
        </is>
      </c>
      <c r="AD9" s="43" t="n"/>
      <c r="AE9" s="44" t="inlineStr">
        <is>
          <t>ตบยูข้าง</t>
        </is>
      </c>
      <c r="AF9" s="43" t="n"/>
      <c r="AG9" s="42" t="inlineStr">
        <is>
          <t>ปิดตบเกี่ยว</t>
        </is>
      </c>
      <c r="AH9" s="43" t="n"/>
      <c r="AI9" s="42" t="inlineStr">
        <is>
          <t>ตบกันสาด</t>
        </is>
      </c>
      <c r="AJ9" s="43" t="n"/>
      <c r="AK9" s="44" t="inlineStr">
        <is>
          <t>ราง</t>
        </is>
      </c>
      <c r="AL9" s="43" t="n"/>
      <c r="AM9" s="45" t="inlineStr">
        <is>
          <t>SH-68-68</t>
        </is>
      </c>
      <c r="AN9" s="46" t="inlineStr">
        <is>
          <t>SW-68-68</t>
        </is>
      </c>
      <c r="AO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3" t="inlineStr">
        <is>
          <t>จำนวน</t>
        </is>
      </c>
      <c r="AI10" s="52" t="inlineStr">
        <is>
          <t>ยาว</t>
        </is>
      </c>
      <c r="AJ10" s="53" t="inlineStr">
        <is>
          <t>จำนวน</t>
        </is>
      </c>
      <c r="AK10" s="52" t="inlineStr">
        <is>
          <t>ยาว</t>
        </is>
      </c>
      <c r="AL10" s="54" t="inlineStr">
        <is>
          <t>จำนวน</t>
        </is>
      </c>
      <c r="AM10" s="55" t="inlineStr">
        <is>
          <t>H</t>
        </is>
      </c>
      <c r="AN10" s="56" t="inlineStr">
        <is>
          <t>W</t>
        </is>
      </c>
      <c r="AO10" s="57" t="inlineStr">
        <is>
          <t>จำนวน</t>
        </is>
      </c>
    </row>
    <row r="11" ht="40.15" customHeight="1">
      <c r="A11" s="58" t="inlineStr">
        <is>
          <t>A</t>
        </is>
      </c>
      <c r="B11" s="59" t="n">
        <v>1198</v>
      </c>
      <c r="C11" s="60" t="n">
        <v>1088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IF($A11="","",$C11-$E$55-$F$55)</f>
        <v/>
      </c>
      <c r="H11" s="60">
        <f>IF($A11="","",$L$55*$D11)</f>
        <v/>
      </c>
      <c r="I11" s="62">
        <f>IF($A11="","",$C11)</f>
        <v/>
      </c>
      <c r="J11" s="60">
        <f>IF($A11="","",$L$56*$D11)</f>
        <v/>
      </c>
      <c r="K11" s="62">
        <f>IF($A11="","",$B11-$E$57-$F$57-$G$57-$H$57)</f>
        <v/>
      </c>
      <c r="L11" s="60">
        <f>IF($A11="","",$L$57*$D11)</f>
        <v/>
      </c>
      <c r="M11" s="62">
        <f>IF($A11="","",(($C11-$E$58-$F$58-$G$58-$H$58-$I$58)/2)+$J$58+(78*1)/2)</f>
        <v/>
      </c>
      <c r="N11" s="60">
        <f>IF($A11="","",$L$58*$D11)</f>
        <v/>
      </c>
      <c r="O11" s="62">
        <f>IF($A11="","",$K11-$E$59-$F$59)</f>
        <v/>
      </c>
      <c r="P11" s="60">
        <f>IF($A11="","",$L$59*$D11)</f>
        <v/>
      </c>
      <c r="Q11" s="62">
        <f>IF($A11="","",$M11-$E$60-$F$60+$G$60)</f>
        <v/>
      </c>
      <c r="R11" s="60">
        <f>IF($A11="","",$L$60*$D11)</f>
        <v/>
      </c>
      <c r="S11" s="62">
        <f>IF($A11="","",$K11-$E$61-$F$61)</f>
        <v/>
      </c>
      <c r="T11" s="60">
        <f>IF($A11="","",$L$61*$D11)</f>
        <v/>
      </c>
      <c r="U11" s="62">
        <f>IF($A11="","",$M11-$E$62-$F$62+$G$62)</f>
        <v/>
      </c>
      <c r="V11" s="60">
        <f>IF($A11="","",$L$62*$D11)</f>
        <v/>
      </c>
      <c r="W11" s="62">
        <f>IF($A11="","",$K11)</f>
        <v/>
      </c>
      <c r="X11" s="60">
        <f>IF($A11="","",$L$63*$D11)</f>
        <v/>
      </c>
      <c r="Y11" s="62">
        <f>IF($A11="","",$K11)</f>
        <v/>
      </c>
      <c r="Z11" s="60">
        <f>IF($A11="","",$L$64*$D11)</f>
        <v/>
      </c>
      <c r="AA11" s="62">
        <f>IF($A11="","",$B11-$E$65-$F$65)</f>
        <v/>
      </c>
      <c r="AB11" s="60">
        <f>IF($A11="","",$L$65*$D11)</f>
        <v/>
      </c>
      <c r="AC11" s="62">
        <f>IF($A11="","",$C11-$E$66-$F$66)</f>
        <v/>
      </c>
      <c r="AD11" s="60">
        <f>IF($A11="","",$L$66*$D11)</f>
        <v/>
      </c>
      <c r="AE11" s="62">
        <f>IF($A11="","",$B11-$E$67-$F$67)</f>
        <v/>
      </c>
      <c r="AF11" s="60">
        <f>IF($A11="","",$L$67*$D11)</f>
        <v/>
      </c>
      <c r="AG11" s="62">
        <f>IF($A11="","",$W11)</f>
        <v/>
      </c>
      <c r="AH11" s="60">
        <f>IF($A11="","",$L$68*$D11)</f>
        <v/>
      </c>
      <c r="AI11" s="62">
        <f>IF($A11="","",$C11)</f>
        <v/>
      </c>
      <c r="AJ11" s="60">
        <f>IF($A11="","",$L$69*$D11)</f>
        <v/>
      </c>
      <c r="AK11" s="62">
        <f>IF($A11="","",$C11-$E$70-$F$70)</f>
        <v/>
      </c>
      <c r="AL11" s="60">
        <f>IF($A11="","",$L$70*$D11)</f>
        <v/>
      </c>
      <c r="AM11" s="63">
        <f>IF($A11="","",$K11-68-68)</f>
        <v/>
      </c>
      <c r="AN11" s="64">
        <f>IF($A11="","",$M11-68-68)</f>
        <v/>
      </c>
      <c r="AO11" s="65">
        <f>IF($A11="","",2*$D11)</f>
        <v/>
      </c>
    </row>
    <row r="12" ht="40.15" customHeight="1">
      <c r="A12" s="58" t="inlineStr">
        <is>
          <t>C</t>
        </is>
      </c>
      <c r="B12" s="59" t="n">
        <v>1198</v>
      </c>
      <c r="C12" s="60" t="n">
        <v>1084</v>
      </c>
      <c r="D12" s="61" t="n">
        <v>1</v>
      </c>
      <c r="E12" s="66">
        <f>IF($A12="","",$B12)</f>
        <v/>
      </c>
      <c r="F12" s="67">
        <f>IF($A12="","",$L$54*$D12)</f>
        <v/>
      </c>
      <c r="G12" s="66">
        <f>IF($A12="","",$C12-$E$55-$F$55)</f>
        <v/>
      </c>
      <c r="H12" s="67">
        <f>IF($A12="","",$L$55*$D12)</f>
        <v/>
      </c>
      <c r="I12" s="66">
        <f>IF($A12="","",$C12)</f>
        <v/>
      </c>
      <c r="J12" s="67">
        <f>IF($A12="","",$L$56*$D12)</f>
        <v/>
      </c>
      <c r="K12" s="66">
        <f>IF($A12="","",$B12-$E$57-$F$57-$G$57-$H$57)</f>
        <v/>
      </c>
      <c r="L12" s="67">
        <f>IF($A12="","",$L$57*$D12)</f>
        <v/>
      </c>
      <c r="M12" s="66">
        <f>IF($A12="","",(($C12-21-3-1.2-3-21)/2)+(78*1)/2)</f>
        <v/>
      </c>
      <c r="N12" s="67">
        <f>IF($A12="","",$L$58*$D12)</f>
        <v/>
      </c>
      <c r="O12" s="66">
        <f>IF($A12="","",$K12-$E$59-$F$59)</f>
        <v/>
      </c>
      <c r="P12" s="67">
        <f>IF($A12="","",$L$59*$D12)</f>
        <v/>
      </c>
      <c r="Q12" s="66">
        <f>IF($A12="","",$M12-63-63)</f>
        <v/>
      </c>
      <c r="R12" s="67">
        <f>IF($A12="","",$L$60*$D12)</f>
        <v/>
      </c>
      <c r="S12" s="66">
        <f>IF($A12="","",$K12-$E$61-$F$61)</f>
        <v/>
      </c>
      <c r="T12" s="67">
        <f>IF($A12="","",$L$61*$D12)</f>
        <v/>
      </c>
      <c r="U12" s="66">
        <f>IF($A12="","",$M12-63-63)</f>
        <v/>
      </c>
      <c r="V12" s="67">
        <f>IF($A12="","",$L$62*$D12)</f>
        <v/>
      </c>
      <c r="W12" s="66">
        <f>IF($A12="","",$K12)</f>
        <v/>
      </c>
      <c r="X12" s="67">
        <f>IF($A12="","",$L$63*$D12)</f>
        <v/>
      </c>
      <c r="Y12" s="66">
        <f>IF($A12="","",$K12)</f>
        <v/>
      </c>
      <c r="Z12" s="67">
        <f>IF($A12="","",$L$64*$D12)</f>
        <v/>
      </c>
      <c r="AA12" s="66">
        <f>IF($A12="","",$B12-$E$65-$F$65)</f>
        <v/>
      </c>
      <c r="AB12" s="67">
        <f>IF($A12="","",$L$65*$D12)</f>
        <v/>
      </c>
      <c r="AC12" s="66">
        <f>IF($A12="","",$C12-$E$66-$F$66)</f>
        <v/>
      </c>
      <c r="AD12" s="67">
        <f>IF($A12="","",$L$66*$D12)</f>
        <v/>
      </c>
      <c r="AE12" s="66">
        <f>IF($A12="","",$B12-$E$67-$F$67)</f>
        <v/>
      </c>
      <c r="AF12" s="67">
        <f>IF($A12="","",$L$67*$D12)</f>
        <v/>
      </c>
      <c r="AG12" s="66">
        <f>IF($A12="","",$W12)</f>
        <v/>
      </c>
      <c r="AH12" s="67">
        <f>IF($A12="","",$L$68*$D12)</f>
        <v/>
      </c>
      <c r="AI12" s="66">
        <f>IF($A12="","",$C12)</f>
        <v/>
      </c>
      <c r="AJ12" s="67">
        <f>IF($A12="","",$L$69*$D12)</f>
        <v/>
      </c>
      <c r="AK12" s="66">
        <f>IF($A12="","",$C12-$E$70-$F$70)</f>
        <v/>
      </c>
      <c r="AL12" s="67">
        <f>IF($A12="","",$L$70*$D12)</f>
        <v/>
      </c>
      <c r="AM12" s="63">
        <f>IF($A12="","",$K12-68-68)</f>
        <v/>
      </c>
      <c r="AN12" s="64">
        <f>IF($A12="","",$M12-68-68)</f>
        <v/>
      </c>
      <c r="AO12" s="65">
        <f>IF($A12="","",2*$D12)</f>
        <v/>
      </c>
    </row>
    <row r="13" ht="40.15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IF($A13="","",$C13-$E$55-$F$55)</f>
        <v/>
      </c>
      <c r="H13" s="60">
        <f>IF($A13="","",$L$55*$D13)</f>
        <v/>
      </c>
      <c r="I13" s="62">
        <f>IF($A13="","",$C13)</f>
        <v/>
      </c>
      <c r="J13" s="60">
        <f>IF($A13="","",$L$56*$D13)</f>
        <v/>
      </c>
      <c r="K13" s="62">
        <f>IF($A13="","",$B13-$E$57-$F$57-$G$57-$H$57)</f>
        <v/>
      </c>
      <c r="L13" s="60">
        <f>IF($A13="","",$L$57*$D13)</f>
        <v/>
      </c>
      <c r="M13" s="62">
        <f>IF($A13="","",(($C13-21-3-1.2-3-21)/2)+(78*1)/2)</f>
        <v/>
      </c>
      <c r="N13" s="60">
        <f>IF($A13="","",$L$58*$D13)</f>
        <v/>
      </c>
      <c r="O13" s="62">
        <f>IF($A13="","",$K13-$E$59-$F$59)</f>
        <v/>
      </c>
      <c r="P13" s="60">
        <f>IF($A13="","",$L$59*$D13)</f>
        <v/>
      </c>
      <c r="Q13" s="62">
        <f>IF($A13="","",$M13-63-63)</f>
        <v/>
      </c>
      <c r="R13" s="60">
        <f>IF($A13="","",$L$60*$D13)</f>
        <v/>
      </c>
      <c r="S13" s="62">
        <f>IF($A13="","",$K13-$E$61-$F$61)</f>
        <v/>
      </c>
      <c r="T13" s="60">
        <f>IF($A13="","",$L$61*$D13)</f>
        <v/>
      </c>
      <c r="U13" s="62">
        <f>IF($A13="","",$M13-63-63)</f>
        <v/>
      </c>
      <c r="V13" s="60">
        <f>IF($A13="","",$L$62*$D13)</f>
        <v/>
      </c>
      <c r="W13" s="62">
        <f>IF($A13="","",$K13)</f>
        <v/>
      </c>
      <c r="X13" s="60">
        <f>IF($A13="","",$L$63*$D13)</f>
        <v/>
      </c>
      <c r="Y13" s="62">
        <f>IF($A13="","",$K13)</f>
        <v/>
      </c>
      <c r="Z13" s="60">
        <f>IF($A13="","",$L$64*$D13)</f>
        <v/>
      </c>
      <c r="AA13" s="62">
        <f>IF($A13="","",$B13-$E$65-$F$65)</f>
        <v/>
      </c>
      <c r="AB13" s="60">
        <f>IF($A13="","",$L$65*$D13)</f>
        <v/>
      </c>
      <c r="AC13" s="62">
        <f>IF($A13="","",$C13-$E$66-$F$66)</f>
        <v/>
      </c>
      <c r="AD13" s="60">
        <f>IF($A13="","",$L$66*$D13)</f>
        <v/>
      </c>
      <c r="AE13" s="62">
        <f>IF($A13="","",$B13-$E$67-$F$67)</f>
        <v/>
      </c>
      <c r="AF13" s="60">
        <f>IF($A13="","",$L$67*$D13)</f>
        <v/>
      </c>
      <c r="AG13" s="62">
        <f>IF($A13="","",$W13)</f>
        <v/>
      </c>
      <c r="AH13" s="60">
        <f>IF($A13="","",$L$68*$D13)</f>
        <v/>
      </c>
      <c r="AI13" s="62">
        <f>IF($A13="","",$C13)</f>
        <v/>
      </c>
      <c r="AJ13" s="60">
        <f>IF($A13="","",$L$69*$D13)</f>
        <v/>
      </c>
      <c r="AK13" s="62">
        <f>IF($A13="","",$C13-$E$70-$F$70)</f>
        <v/>
      </c>
      <c r="AL13" s="60">
        <f>IF($A13="","",$L$70*$D13)</f>
        <v/>
      </c>
      <c r="AM13" s="63">
        <f>IF($A13="","",$K13-68-68)</f>
        <v/>
      </c>
      <c r="AN13" s="64">
        <f>IF($A13="","",$M13-68-68)</f>
        <v/>
      </c>
      <c r="AO13" s="65">
        <f>IF($A13="","",2*$D13)</f>
        <v/>
      </c>
    </row>
    <row r="14" ht="40.15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IF($A14="","",$C14-$E$55-$F$55)</f>
        <v/>
      </c>
      <c r="H14" s="67">
        <f>IF($A14="","",$L$55*$D14)</f>
        <v/>
      </c>
      <c r="I14" s="66">
        <f>IF($A14="","",$C14)</f>
        <v/>
      </c>
      <c r="J14" s="67">
        <f>IF($A14="","",$L$56*$D14)</f>
        <v/>
      </c>
      <c r="K14" s="66">
        <f>IF($A14="","",$B14-$E$57-$F$57-$G$57-$H$57)</f>
        <v/>
      </c>
      <c r="L14" s="67">
        <f>IF($A14="","",$L$57*$D14)</f>
        <v/>
      </c>
      <c r="M14" s="66">
        <f>IF($A14="","",(($C14-21-3-1.2-3-21)/2)+(78*1)/2)</f>
        <v/>
      </c>
      <c r="N14" s="67">
        <f>IF($A14="","",$L$58*$D14)</f>
        <v/>
      </c>
      <c r="O14" s="66">
        <f>IF($A14="","",$K14-$E$59-$F$59)</f>
        <v/>
      </c>
      <c r="P14" s="67">
        <f>IF($A14="","",$L$59*$D14)</f>
        <v/>
      </c>
      <c r="Q14" s="66">
        <f>IF($A14="","",$M14-63-63)</f>
        <v/>
      </c>
      <c r="R14" s="67">
        <f>IF($A14="","",$L$60*$D14)</f>
        <v/>
      </c>
      <c r="S14" s="66">
        <f>IF($A14="","",$K14-$E$61-$F$61)</f>
        <v/>
      </c>
      <c r="T14" s="67">
        <f>IF($A14="","",$L$61*$D14)</f>
        <v/>
      </c>
      <c r="U14" s="66">
        <f>IF($A14="","",$M14-63-63)</f>
        <v/>
      </c>
      <c r="V14" s="67">
        <f>IF($A14="","",$L$62*$D14)</f>
        <v/>
      </c>
      <c r="W14" s="66">
        <f>IF($A14="","",$K14)</f>
        <v/>
      </c>
      <c r="X14" s="67">
        <f>IF($A14="","",$L$63*$D14)</f>
        <v/>
      </c>
      <c r="Y14" s="66">
        <f>IF($A14="","",$K14)</f>
        <v/>
      </c>
      <c r="Z14" s="67">
        <f>IF($A14="","",$L$64*$D14)</f>
        <v/>
      </c>
      <c r="AA14" s="66">
        <f>IF($A14="","",$B14-$E$65-$F$65)</f>
        <v/>
      </c>
      <c r="AB14" s="67">
        <f>IF($A14="","",$L$65*$D14)</f>
        <v/>
      </c>
      <c r="AC14" s="66">
        <f>IF($A14="","",$C14-$E$66-$F$66)</f>
        <v/>
      </c>
      <c r="AD14" s="67">
        <f>IF($A14="","",$L$66*$D14)</f>
        <v/>
      </c>
      <c r="AE14" s="66">
        <f>IF($A14="","",$B14-$E$67-$F$67)</f>
        <v/>
      </c>
      <c r="AF14" s="67">
        <f>IF($A14="","",$L$67*$D14)</f>
        <v/>
      </c>
      <c r="AG14" s="66">
        <f>IF($A14="","",$W14)</f>
        <v/>
      </c>
      <c r="AH14" s="67">
        <f>IF($A14="","",$L$68*$D14)</f>
        <v/>
      </c>
      <c r="AI14" s="66">
        <f>IF($A14="","",$C14)</f>
        <v/>
      </c>
      <c r="AJ14" s="67">
        <f>IF($A14="","",$L$69*$D14)</f>
        <v/>
      </c>
      <c r="AK14" s="66">
        <f>IF($A14="","",$C14-$E$70-$F$70)</f>
        <v/>
      </c>
      <c r="AL14" s="67">
        <f>IF($A14="","",$L$70*$D14)</f>
        <v/>
      </c>
      <c r="AM14" s="63">
        <f>IF($A14="","",$K14-68-68)</f>
        <v/>
      </c>
      <c r="AN14" s="64">
        <f>IF($A14="","",$M14-68-68)</f>
        <v/>
      </c>
      <c r="AO14" s="65">
        <f>IF($A14="","",2*$D14)</f>
        <v/>
      </c>
    </row>
    <row r="15" ht="40.15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IF($A15="","",$C15-$E$55-$F$55)</f>
        <v/>
      </c>
      <c r="H15" s="60">
        <f>IF($A15="","",$L$55*$D15)</f>
        <v/>
      </c>
      <c r="I15" s="62">
        <f>IF($A15="","",$C15)</f>
        <v/>
      </c>
      <c r="J15" s="60">
        <f>IF($A15="","",$L$56*$D15)</f>
        <v/>
      </c>
      <c r="K15" s="62">
        <f>IF($A15="","",$B15-$E$57-$F$57-$G$57-$H$57)</f>
        <v/>
      </c>
      <c r="L15" s="60">
        <f>IF($A15="","",$L$57*$D15)</f>
        <v/>
      </c>
      <c r="M15" s="62">
        <f>IF($A15="","",(($C15-21-3-1.2-3-21)/2)+(78*1)/2)</f>
        <v/>
      </c>
      <c r="N15" s="60">
        <f>IF($A15="","",$L$58*$D15)</f>
        <v/>
      </c>
      <c r="O15" s="62">
        <f>IF($A15="","",$K15-$E$59-$F$59)</f>
        <v/>
      </c>
      <c r="P15" s="60">
        <f>IF($A15="","",$L$59*$D15)</f>
        <v/>
      </c>
      <c r="Q15" s="62">
        <f>IF($A15="","",$M15-63-63)</f>
        <v/>
      </c>
      <c r="R15" s="60">
        <f>IF($A15="","",$L$60*$D15)</f>
        <v/>
      </c>
      <c r="S15" s="62">
        <f>IF($A15="","",$K15-$E$61-$F$61)</f>
        <v/>
      </c>
      <c r="T15" s="60">
        <f>IF($A15="","",$L$61*$D15)</f>
        <v/>
      </c>
      <c r="U15" s="62">
        <f>IF($A15="","",$M15-63-63)</f>
        <v/>
      </c>
      <c r="V15" s="60">
        <f>IF($A15="","",$L$62*$D15)</f>
        <v/>
      </c>
      <c r="W15" s="62">
        <f>IF($A15="","",$K15)</f>
        <v/>
      </c>
      <c r="X15" s="60">
        <f>IF($A15="","",$L$63*$D15)</f>
        <v/>
      </c>
      <c r="Y15" s="62">
        <f>IF($A15="","",$K15)</f>
        <v/>
      </c>
      <c r="Z15" s="60">
        <f>IF($A15="","",$L$64*$D15)</f>
        <v/>
      </c>
      <c r="AA15" s="62">
        <f>IF($A15="","",$B15-$E$65-$F$65)</f>
        <v/>
      </c>
      <c r="AB15" s="60">
        <f>IF($A15="","",$L$65*$D15)</f>
        <v/>
      </c>
      <c r="AC15" s="62">
        <f>IF($A15="","",$C15-$E$66-$F$66)</f>
        <v/>
      </c>
      <c r="AD15" s="60">
        <f>IF($A15="","",$L$66*$D15)</f>
        <v/>
      </c>
      <c r="AE15" s="62">
        <f>IF($A15="","",$B15-$E$67-$F$67)</f>
        <v/>
      </c>
      <c r="AF15" s="60">
        <f>IF($A15="","",$L$67*$D15)</f>
        <v/>
      </c>
      <c r="AG15" s="62">
        <f>IF($A15="","",$W15)</f>
        <v/>
      </c>
      <c r="AH15" s="60">
        <f>IF($A15="","",$L$68*$D15)</f>
        <v/>
      </c>
      <c r="AI15" s="62">
        <f>IF($A15="","",$C15)</f>
        <v/>
      </c>
      <c r="AJ15" s="60">
        <f>IF($A15="","",$L$69*$D15)</f>
        <v/>
      </c>
      <c r="AK15" s="62">
        <f>IF($A15="","",$C15-$E$70-$F$70)</f>
        <v/>
      </c>
      <c r="AL15" s="60">
        <f>IF($A15="","",$L$70*$D15)</f>
        <v/>
      </c>
      <c r="AM15" s="63">
        <f>IF($A15="","",$K15-68-68)</f>
        <v/>
      </c>
      <c r="AN15" s="64">
        <f>IF($A15="","",$M15-68-68)</f>
        <v/>
      </c>
      <c r="AO15" s="65">
        <f>IF($A15="","",2*$D15)</f>
        <v/>
      </c>
    </row>
    <row r="16" ht="40.15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IF($A16="","",$C16-$E$55-$F$55)</f>
        <v/>
      </c>
      <c r="H16" s="67">
        <f>IF($A16="","",$L$55*$D16)</f>
        <v/>
      </c>
      <c r="I16" s="66">
        <f>IF($A16="","",$C16)</f>
        <v/>
      </c>
      <c r="J16" s="67">
        <f>IF($A16="","",$L$56*$D16)</f>
        <v/>
      </c>
      <c r="K16" s="66">
        <f>IF($A16="","",$B16-$E$57-$F$57-$G$57-$H$57)</f>
        <v/>
      </c>
      <c r="L16" s="67">
        <f>IF($A16="","",$L$57*$D16)</f>
        <v/>
      </c>
      <c r="M16" s="66">
        <f>IF($A16="","",(($C16-21-3-1.2-3-21)/2)+(78*1)/2)</f>
        <v/>
      </c>
      <c r="N16" s="67">
        <f>IF($A16="","",$L$58*$D16)</f>
        <v/>
      </c>
      <c r="O16" s="66">
        <f>IF($A16="","",$K16-$E$59-$F$59)</f>
        <v/>
      </c>
      <c r="P16" s="67">
        <f>IF($A16="","",$L$59*$D16)</f>
        <v/>
      </c>
      <c r="Q16" s="66">
        <f>IF($A16="","",$M16-63-63)</f>
        <v/>
      </c>
      <c r="R16" s="67">
        <f>IF($A16="","",$L$60*$D16)</f>
        <v/>
      </c>
      <c r="S16" s="66">
        <f>IF($A16="","",$K16-$E$61-$F$61)</f>
        <v/>
      </c>
      <c r="T16" s="67">
        <f>IF($A16="","",$L$61*$D16)</f>
        <v/>
      </c>
      <c r="U16" s="66">
        <f>IF($A16="","",$M16-63-63)</f>
        <v/>
      </c>
      <c r="V16" s="67">
        <f>IF($A16="","",$L$62*$D16)</f>
        <v/>
      </c>
      <c r="W16" s="66">
        <f>IF($A16="","",$K16)</f>
        <v/>
      </c>
      <c r="X16" s="67">
        <f>IF($A16="","",$L$63*$D16)</f>
        <v/>
      </c>
      <c r="Y16" s="66">
        <f>IF($A16="","",$K16)</f>
        <v/>
      </c>
      <c r="Z16" s="67">
        <f>IF($A16="","",$L$64*$D16)</f>
        <v/>
      </c>
      <c r="AA16" s="66">
        <f>IF($A16="","",$B16-$E$65-$F$65)</f>
        <v/>
      </c>
      <c r="AB16" s="67">
        <f>IF($A16="","",$L$65*$D16)</f>
        <v/>
      </c>
      <c r="AC16" s="66">
        <f>IF($A16="","",$C16-$E$66-$F$66)</f>
        <v/>
      </c>
      <c r="AD16" s="67">
        <f>IF($A16="","",$L$66*$D16)</f>
        <v/>
      </c>
      <c r="AE16" s="66">
        <f>IF($A16="","",$B16-$E$67-$F$67)</f>
        <v/>
      </c>
      <c r="AF16" s="67">
        <f>IF($A16="","",$L$67*$D16)</f>
        <v/>
      </c>
      <c r="AG16" s="66">
        <f>IF($A16="","",$W16)</f>
        <v/>
      </c>
      <c r="AH16" s="67">
        <f>IF($A16="","",$L$68*$D16)</f>
        <v/>
      </c>
      <c r="AI16" s="66">
        <f>IF($A16="","",$C16)</f>
        <v/>
      </c>
      <c r="AJ16" s="67">
        <f>IF($A16="","",$L$69*$D16)</f>
        <v/>
      </c>
      <c r="AK16" s="66">
        <f>IF($A16="","",$C16-$E$70-$F$70)</f>
        <v/>
      </c>
      <c r="AL16" s="67">
        <f>IF($A16="","",$L$70*$D16)</f>
        <v/>
      </c>
      <c r="AM16" s="63">
        <f>IF($A16="","",$K16-68-68)</f>
        <v/>
      </c>
      <c r="AN16" s="64">
        <f>IF($A16="","",$M16-68-68)</f>
        <v/>
      </c>
      <c r="AO16" s="65">
        <f>IF($A16="","",2*$D16)</f>
        <v/>
      </c>
    </row>
    <row r="17" ht="40.15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IF($A17="","",$C17-$E$55-$F$55)</f>
        <v/>
      </c>
      <c r="H17" s="60">
        <f>IF($A17="","",$L$55*$D17)</f>
        <v/>
      </c>
      <c r="I17" s="62">
        <f>IF($A17="","",$C17)</f>
        <v/>
      </c>
      <c r="J17" s="60">
        <f>IF($A17="","",$L$56*$D17)</f>
        <v/>
      </c>
      <c r="K17" s="62">
        <f>IF($A17="","",$B17-$E$57-$F$57-$G$57-$H$57)</f>
        <v/>
      </c>
      <c r="L17" s="60">
        <f>IF($A17="","",$L$57*$D17)</f>
        <v/>
      </c>
      <c r="M17" s="62">
        <f>IF($A17="","",(($C17-21-3-1.2-3-21)/2)+(78*1)/2)</f>
        <v/>
      </c>
      <c r="N17" s="60">
        <f>IF($A17="","",$L$58*$D17)</f>
        <v/>
      </c>
      <c r="O17" s="62">
        <f>IF($A17="","",$K17-$E$59-$F$59)</f>
        <v/>
      </c>
      <c r="P17" s="60">
        <f>IF($A17="","",$L$59*$D17)</f>
        <v/>
      </c>
      <c r="Q17" s="62">
        <f>IF($A17="","",$M17-63-63)</f>
        <v/>
      </c>
      <c r="R17" s="60">
        <f>IF($A17="","",$L$60*$D17)</f>
        <v/>
      </c>
      <c r="S17" s="62">
        <f>IF($A17="","",$K17-$E$61-$F$61)</f>
        <v/>
      </c>
      <c r="T17" s="60">
        <f>IF($A17="","",$L$61*$D17)</f>
        <v/>
      </c>
      <c r="U17" s="62">
        <f>IF($A17="","",$M17-63-63)</f>
        <v/>
      </c>
      <c r="V17" s="60">
        <f>IF($A17="","",$L$62*$D17)</f>
        <v/>
      </c>
      <c r="W17" s="62">
        <f>IF($A17="","",$K17)</f>
        <v/>
      </c>
      <c r="X17" s="60">
        <f>IF($A17="","",$L$63*$D17)</f>
        <v/>
      </c>
      <c r="Y17" s="62">
        <f>IF($A17="","",$K17)</f>
        <v/>
      </c>
      <c r="Z17" s="60">
        <f>IF($A17="","",$L$64*$D17)</f>
        <v/>
      </c>
      <c r="AA17" s="62">
        <f>IF($A17="","",$B17-$E$65-$F$65)</f>
        <v/>
      </c>
      <c r="AB17" s="60">
        <f>IF($A17="","",$L$65*$D17)</f>
        <v/>
      </c>
      <c r="AC17" s="62">
        <f>IF($A17="","",$C17-$E$66-$F$66)</f>
        <v/>
      </c>
      <c r="AD17" s="60">
        <f>IF($A17="","",$L$66*$D17)</f>
        <v/>
      </c>
      <c r="AE17" s="62">
        <f>IF($A17="","",$B17-$E$67-$F$67)</f>
        <v/>
      </c>
      <c r="AF17" s="60">
        <f>IF($A17="","",$L$67*$D17)</f>
        <v/>
      </c>
      <c r="AG17" s="62">
        <f>IF($A17="","",$W17)</f>
        <v/>
      </c>
      <c r="AH17" s="60">
        <f>IF($A17="","",$L$68*$D17)</f>
        <v/>
      </c>
      <c r="AI17" s="62">
        <f>IF($A17="","",$C17)</f>
        <v/>
      </c>
      <c r="AJ17" s="60">
        <f>IF($A17="","",$L$69*$D17)</f>
        <v/>
      </c>
      <c r="AK17" s="62">
        <f>IF($A17="","",$C17-$E$70-$F$70)</f>
        <v/>
      </c>
      <c r="AL17" s="60">
        <f>IF($A17="","",$L$70*$D17)</f>
        <v/>
      </c>
      <c r="AM17" s="63">
        <f>IF($A17="","",$K17-68-68)</f>
        <v/>
      </c>
      <c r="AN17" s="64">
        <f>IF($A17="","",$M17-68-68)</f>
        <v/>
      </c>
      <c r="AO17" s="65">
        <f>IF($A17="","",2*$D17)</f>
        <v/>
      </c>
    </row>
    <row r="18" ht="40.15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IF($A18="","",$C18-$E$55-$F$55)</f>
        <v/>
      </c>
      <c r="H18" s="67">
        <f>IF($A18="","",$L$55*$D18)</f>
        <v/>
      </c>
      <c r="I18" s="66">
        <f>IF($A18="","",$C18)</f>
        <v/>
      </c>
      <c r="J18" s="67">
        <f>IF($A18="","",$L$56*$D18)</f>
        <v/>
      </c>
      <c r="K18" s="66">
        <f>IF($A18="","",$B18-$E$57-$F$57-$G$57-$H$57)</f>
        <v/>
      </c>
      <c r="L18" s="67">
        <f>IF($A18="","",$L$57*$D18)</f>
        <v/>
      </c>
      <c r="M18" s="66">
        <f>IF($A18="","",(($C18-21-3-1.2-3-21)/2)+(78*1)/2)</f>
        <v/>
      </c>
      <c r="N18" s="67">
        <f>IF($A18="","",$L$58*$D18)</f>
        <v/>
      </c>
      <c r="O18" s="66">
        <f>IF($A18="","",$K18-$E$59-$F$59)</f>
        <v/>
      </c>
      <c r="P18" s="67">
        <f>IF($A18="","",$L$59*$D18)</f>
        <v/>
      </c>
      <c r="Q18" s="66">
        <f>IF($A18="","",$M18-63-63)</f>
        <v/>
      </c>
      <c r="R18" s="67">
        <f>IF($A18="","",$L$60*$D18)</f>
        <v/>
      </c>
      <c r="S18" s="66">
        <f>IF($A18="","",$K18-$E$61-$F$61)</f>
        <v/>
      </c>
      <c r="T18" s="67">
        <f>IF($A18="","",$L$61*$D18)</f>
        <v/>
      </c>
      <c r="U18" s="66">
        <f>IF($A18="","",$M18-63-63)</f>
        <v/>
      </c>
      <c r="V18" s="67">
        <f>IF($A18="","",$L$62*$D18)</f>
        <v/>
      </c>
      <c r="W18" s="66">
        <f>IF($A18="","",$K18)</f>
        <v/>
      </c>
      <c r="X18" s="67">
        <f>IF($A18="","",$L$63*$D18)</f>
        <v/>
      </c>
      <c r="Y18" s="66">
        <f>IF($A18="","",$K18)</f>
        <v/>
      </c>
      <c r="Z18" s="67">
        <f>IF($A18="","",$L$64*$D18)</f>
        <v/>
      </c>
      <c r="AA18" s="66">
        <f>IF($A18="","",$B18-$E$65-$F$65)</f>
        <v/>
      </c>
      <c r="AB18" s="67">
        <f>IF($A18="","",$L$65*$D18)</f>
        <v/>
      </c>
      <c r="AC18" s="66">
        <f>IF($A18="","",$C18-$E$66-$F$66)</f>
        <v/>
      </c>
      <c r="AD18" s="67">
        <f>IF($A18="","",$L$66*$D18)</f>
        <v/>
      </c>
      <c r="AE18" s="66">
        <f>IF($A18="","",$B18-$E$67-$F$67)</f>
        <v/>
      </c>
      <c r="AF18" s="67">
        <f>IF($A18="","",$L$67*$D18)</f>
        <v/>
      </c>
      <c r="AG18" s="66">
        <f>IF($A18="","",$W18)</f>
        <v/>
      </c>
      <c r="AH18" s="67">
        <f>IF($A18="","",$L$68*$D18)</f>
        <v/>
      </c>
      <c r="AI18" s="66">
        <f>IF($A18="","",$C18)</f>
        <v/>
      </c>
      <c r="AJ18" s="67">
        <f>IF($A18="","",$L$69*$D18)</f>
        <v/>
      </c>
      <c r="AK18" s="66">
        <f>IF($A18="","",$C18-$E$70-$F$70)</f>
        <v/>
      </c>
      <c r="AL18" s="67">
        <f>IF($A18="","",$L$70*$D18)</f>
        <v/>
      </c>
      <c r="AM18" s="63">
        <f>IF($A18="","",$K18-68-68)</f>
        <v/>
      </c>
      <c r="AN18" s="64">
        <f>IF($A18="","",$M18-68-68)</f>
        <v/>
      </c>
      <c r="AO18" s="65">
        <f>IF($A18="","",2*$D18)</f>
        <v/>
      </c>
    </row>
    <row r="19" ht="40.15" customHeight="1">
      <c r="A19" s="58" t="n"/>
      <c r="B19" s="59" t="n"/>
      <c r="C19" s="60" t="n"/>
      <c r="D19" s="61" t="n"/>
      <c r="E19" s="62">
        <f>IF($A19="","",$B19)</f>
        <v/>
      </c>
      <c r="F19" s="60">
        <f>IF($A19="","",$L$54*$D19)</f>
        <v/>
      </c>
      <c r="G19" s="62">
        <f>IF($A19="","",$C19-$E$55-$F$55)</f>
        <v/>
      </c>
      <c r="H19" s="60">
        <f>IF($A19="","",$L$55*$D19)</f>
        <v/>
      </c>
      <c r="I19" s="62">
        <f>IF($A19="","",$C19)</f>
        <v/>
      </c>
      <c r="J19" s="60">
        <f>IF($A19="","",$L$56*$D19)</f>
        <v/>
      </c>
      <c r="K19" s="62">
        <f>IF($A19="","",$B19-$E$57-$F$57-$G$57-$H$57)</f>
        <v/>
      </c>
      <c r="L19" s="60">
        <f>IF($A19="","",$L$57*$D19)</f>
        <v/>
      </c>
      <c r="M19" s="62">
        <f>IF($A19="","",(($C19-21-3-1.2-3-21)/2)+(78*1)/2)</f>
        <v/>
      </c>
      <c r="N19" s="60">
        <f>IF($A19="","",$L$58*$D19)</f>
        <v/>
      </c>
      <c r="O19" s="62">
        <f>IF($A19="","",$K19-$E$59-$F$59)</f>
        <v/>
      </c>
      <c r="P19" s="60">
        <f>IF($A19="","",$L$59*$D19)</f>
        <v/>
      </c>
      <c r="Q19" s="62">
        <f>IF($A19="","",$M19-63-63)</f>
        <v/>
      </c>
      <c r="R19" s="60">
        <f>IF($A19="","",$L$60*$D19)</f>
        <v/>
      </c>
      <c r="S19" s="62">
        <f>IF($A19="","",$K19-$E$61-$F$61)</f>
        <v/>
      </c>
      <c r="T19" s="60">
        <f>IF($A19="","",$L$61*$D19)</f>
        <v/>
      </c>
      <c r="U19" s="62">
        <f>IF($A19="","",$M19-63-63)</f>
        <v/>
      </c>
      <c r="V19" s="60">
        <f>IF($A19="","",$L$62*$D19)</f>
        <v/>
      </c>
      <c r="W19" s="62">
        <f>IF($A19="","",$K19)</f>
        <v/>
      </c>
      <c r="X19" s="60">
        <f>IF($A19="","",$L$63*$D19)</f>
        <v/>
      </c>
      <c r="Y19" s="62">
        <f>IF($A19="","",$K19)</f>
        <v/>
      </c>
      <c r="Z19" s="60">
        <f>IF($A19="","",$L$64*$D19)</f>
        <v/>
      </c>
      <c r="AA19" s="62">
        <f>IF($A19="","",$B19-$E$65-$F$65)</f>
        <v/>
      </c>
      <c r="AB19" s="60">
        <f>IF($A19="","",$L$65*$D19)</f>
        <v/>
      </c>
      <c r="AC19" s="62">
        <f>IF($A19="","",$C19-$E$66-$F$66)</f>
        <v/>
      </c>
      <c r="AD19" s="60">
        <f>IF($A19="","",$L$66*$D19)</f>
        <v/>
      </c>
      <c r="AE19" s="62">
        <f>IF($A19="","",$B19-$E$67-$F$67)</f>
        <v/>
      </c>
      <c r="AF19" s="60">
        <f>IF($A19="","",$L$67*$D19)</f>
        <v/>
      </c>
      <c r="AG19" s="62">
        <f>IF($A19="","",$W19)</f>
        <v/>
      </c>
      <c r="AH19" s="60">
        <f>IF($A19="","",$L$68*$D19)</f>
        <v/>
      </c>
      <c r="AI19" s="62">
        <f>IF($A19="","",$C19)</f>
        <v/>
      </c>
      <c r="AJ19" s="60">
        <f>IF($A19="","",$L$69*$D19)</f>
        <v/>
      </c>
      <c r="AK19" s="62">
        <f>IF($A19="","",$C19-$E$70-$F$70)</f>
        <v/>
      </c>
      <c r="AL19" s="60">
        <f>IF($A19="","",$L$70*$D19)</f>
        <v/>
      </c>
      <c r="AM19" s="63">
        <f>IF($A19="","",$K19-68-68)</f>
        <v/>
      </c>
      <c r="AN19" s="64">
        <f>IF($A19="","",$M19-68-68)</f>
        <v/>
      </c>
      <c r="AO19" s="65">
        <f>IF($A19="","",2*$D19)</f>
        <v/>
      </c>
    </row>
    <row r="20" ht="40.15" customHeight="1">
      <c r="A20" s="58" t="n"/>
      <c r="B20" s="59" t="n"/>
      <c r="C20" s="60" t="n"/>
      <c r="D20" s="61" t="n"/>
      <c r="E20" s="66">
        <f>IF($A20="","",$B20)</f>
        <v/>
      </c>
      <c r="F20" s="67">
        <f>IF($A20="","",$L$54*$D20)</f>
        <v/>
      </c>
      <c r="G20" s="66">
        <f>IF($A20="","",$C20-$E$55-$F$55)</f>
        <v/>
      </c>
      <c r="H20" s="67">
        <f>IF($A20="","",$L$55*$D20)</f>
        <v/>
      </c>
      <c r="I20" s="66">
        <f>IF($A20="","",$C20)</f>
        <v/>
      </c>
      <c r="J20" s="67">
        <f>IF($A20="","",$L$56*$D20)</f>
        <v/>
      </c>
      <c r="K20" s="66">
        <f>IF($A20="","",$B20-$E$57-$F$57-$G$57-$H$57)</f>
        <v/>
      </c>
      <c r="L20" s="67">
        <f>IF($A20="","",$L$57*$D20)</f>
        <v/>
      </c>
      <c r="M20" s="66">
        <f>IF($A20="","",(($C20-21-3-1.2-3-21)/2)+(78*1)/2)</f>
        <v/>
      </c>
      <c r="N20" s="67">
        <f>IF($A20="","",$L$58*$D20)</f>
        <v/>
      </c>
      <c r="O20" s="66">
        <f>IF($A20="","",$K20-$E$59-$F$59)</f>
        <v/>
      </c>
      <c r="P20" s="67">
        <f>IF($A20="","",$L$59*$D20)</f>
        <v/>
      </c>
      <c r="Q20" s="66">
        <f>IF($A20="","",$M20-63-63)</f>
        <v/>
      </c>
      <c r="R20" s="67">
        <f>IF($A20="","",$L$60*$D20)</f>
        <v/>
      </c>
      <c r="S20" s="66">
        <f>IF($A20="","",$K20-$E$61-$F$61)</f>
        <v/>
      </c>
      <c r="T20" s="67">
        <f>IF($A20="","",$L$61*$D20)</f>
        <v/>
      </c>
      <c r="U20" s="66">
        <f>IF($A20="","",$M20-63-63)</f>
        <v/>
      </c>
      <c r="V20" s="67">
        <f>IF($A20="","",$L$62*$D20)</f>
        <v/>
      </c>
      <c r="W20" s="66">
        <f>IF($A20="","",$K20)</f>
        <v/>
      </c>
      <c r="X20" s="67">
        <f>IF($A20="","",$L$63*$D20)</f>
        <v/>
      </c>
      <c r="Y20" s="66">
        <f>IF($A20="","",$K20)</f>
        <v/>
      </c>
      <c r="Z20" s="67">
        <f>IF($A20="","",$L$64*$D20)</f>
        <v/>
      </c>
      <c r="AA20" s="66">
        <f>IF($A20="","",$B20-$E$65-$F$65)</f>
        <v/>
      </c>
      <c r="AB20" s="67">
        <f>IF($A20="","",$L$65*$D20)</f>
        <v/>
      </c>
      <c r="AC20" s="66">
        <f>IF($A20="","",$C20-$E$66-$F$66)</f>
        <v/>
      </c>
      <c r="AD20" s="67">
        <f>IF($A20="","",$L$66*$D20)</f>
        <v/>
      </c>
      <c r="AE20" s="66">
        <f>IF($A20="","",$B20-$E$67-$F$67)</f>
        <v/>
      </c>
      <c r="AF20" s="67">
        <f>IF($A20="","",$L$67*$D20)</f>
        <v/>
      </c>
      <c r="AG20" s="66">
        <f>IF($A20="","",$W20)</f>
        <v/>
      </c>
      <c r="AH20" s="67">
        <f>IF($A20="","",$L$68*$D20)</f>
        <v/>
      </c>
      <c r="AI20" s="66">
        <f>IF($A20="","",$C20)</f>
        <v/>
      </c>
      <c r="AJ20" s="67">
        <f>IF($A20="","",$L$69*$D20)</f>
        <v/>
      </c>
      <c r="AK20" s="66">
        <f>IF($A20="","",$C20-$E$70-$F$70)</f>
        <v/>
      </c>
      <c r="AL20" s="67">
        <f>IF($A20="","",$L$70*$D20)</f>
        <v/>
      </c>
      <c r="AM20" s="63">
        <f>IF($A20="","",$K20-68-68)</f>
        <v/>
      </c>
      <c r="AN20" s="64">
        <f>IF($A20="","",$M20-68-68)</f>
        <v/>
      </c>
      <c r="AO20" s="65">
        <f>IF($A20="","",2*$D20)</f>
        <v/>
      </c>
    </row>
    <row r="21" ht="40.15" customHeight="1">
      <c r="A21" s="58" t="n"/>
      <c r="B21" s="59" t="n"/>
      <c r="C21" s="60" t="n"/>
      <c r="D21" s="61" t="n"/>
      <c r="E21" s="62">
        <f>IF($A21="","",$B21)</f>
        <v/>
      </c>
      <c r="F21" s="60">
        <f>IF($A21="","",$L$54*$D21)</f>
        <v/>
      </c>
      <c r="G21" s="62">
        <f>IF($A21="","",$C21-$E$55-$F$55)</f>
        <v/>
      </c>
      <c r="H21" s="60">
        <f>IF($A21="","",$L$55*$D21)</f>
        <v/>
      </c>
      <c r="I21" s="62">
        <f>IF($A21="","",$C21)</f>
        <v/>
      </c>
      <c r="J21" s="60">
        <f>IF($A21="","",$L$56*$D21)</f>
        <v/>
      </c>
      <c r="K21" s="62">
        <f>IF($A21="","",$B21-$E$57-$F$57-$G$57-$H$57)</f>
        <v/>
      </c>
      <c r="L21" s="60">
        <f>IF($A21="","",$L$57*$D21)</f>
        <v/>
      </c>
      <c r="M21" s="62">
        <f>IF($A21="","",(($C21-21-3-1.2-3-21)/2)+(78*1)/2)</f>
        <v/>
      </c>
      <c r="N21" s="60">
        <f>IF($A21="","",$L$58*$D21)</f>
        <v/>
      </c>
      <c r="O21" s="62">
        <f>IF($A21="","",$K21-$E$59-$F$59)</f>
        <v/>
      </c>
      <c r="P21" s="60">
        <f>IF($A21="","",$L$59*$D21)</f>
        <v/>
      </c>
      <c r="Q21" s="62">
        <f>IF($A21="","",$M21-63-63)</f>
        <v/>
      </c>
      <c r="R21" s="60">
        <f>IF($A21="","",$L$60*$D21)</f>
        <v/>
      </c>
      <c r="S21" s="62">
        <f>IF($A21="","",$K21-$E$61-$F$61)</f>
        <v/>
      </c>
      <c r="T21" s="60">
        <f>IF($A21="","",$L$61*$D21)</f>
        <v/>
      </c>
      <c r="U21" s="62">
        <f>IF($A21="","",$M21-63-63)</f>
        <v/>
      </c>
      <c r="V21" s="60">
        <f>IF($A21="","",$L$62*$D21)</f>
        <v/>
      </c>
      <c r="W21" s="62">
        <f>IF($A21="","",$K21)</f>
        <v/>
      </c>
      <c r="X21" s="60">
        <f>IF($A21="","",$L$63*$D21)</f>
        <v/>
      </c>
      <c r="Y21" s="62">
        <f>IF($A21="","",$K21)</f>
        <v/>
      </c>
      <c r="Z21" s="60">
        <f>IF($A21="","",$L$64*$D21)</f>
        <v/>
      </c>
      <c r="AA21" s="62">
        <f>IF($A21="","",$B21-$E$65-$F$65)</f>
        <v/>
      </c>
      <c r="AB21" s="60">
        <f>IF($A21="","",$L$65*$D21)</f>
        <v/>
      </c>
      <c r="AC21" s="62">
        <f>IF($A21="","",$C21-$E$66-$F$66)</f>
        <v/>
      </c>
      <c r="AD21" s="60">
        <f>IF($A21="","",$L$66*$D21)</f>
        <v/>
      </c>
      <c r="AE21" s="62">
        <f>IF($A21="","",$B21-$E$67-$F$67)</f>
        <v/>
      </c>
      <c r="AF21" s="60">
        <f>IF($A21="","",$L$67*$D21)</f>
        <v/>
      </c>
      <c r="AG21" s="62">
        <f>IF($A21="","",$W21)</f>
        <v/>
      </c>
      <c r="AH21" s="60">
        <f>IF($A21="","",$L$68*$D21)</f>
        <v/>
      </c>
      <c r="AI21" s="62">
        <f>IF($A21="","",$C21)</f>
        <v/>
      </c>
      <c r="AJ21" s="60">
        <f>IF($A21="","",$L$69*$D21)</f>
        <v/>
      </c>
      <c r="AK21" s="62">
        <f>IF($A21="","",$C21-$E$70-$F$70)</f>
        <v/>
      </c>
      <c r="AL21" s="60">
        <f>IF($A21="","",$L$70*$D21)</f>
        <v/>
      </c>
      <c r="AM21" s="63">
        <f>IF($A21="","",$K21-68-68)</f>
        <v/>
      </c>
      <c r="AN21" s="64">
        <f>IF($A21="","",$M21-68-68)</f>
        <v/>
      </c>
      <c r="AO21" s="65">
        <f>IF($A21="","",2*$D21)</f>
        <v/>
      </c>
    </row>
    <row r="22" ht="40.15" customHeight="1">
      <c r="A22" s="58" t="n"/>
      <c r="B22" s="59" t="n"/>
      <c r="C22" s="60" t="n"/>
      <c r="D22" s="61" t="n"/>
      <c r="E22" s="66">
        <f>IF($A22="","",$B22)</f>
        <v/>
      </c>
      <c r="F22" s="67">
        <f>IF($A22="","",$L$54*$D22)</f>
        <v/>
      </c>
      <c r="G22" s="66">
        <f>IF($A22="","",$C22-$E$55-$F$55)</f>
        <v/>
      </c>
      <c r="H22" s="67">
        <f>IF($A22="","",$L$55*$D22)</f>
        <v/>
      </c>
      <c r="I22" s="66">
        <f>IF($A22="","",$C22)</f>
        <v/>
      </c>
      <c r="J22" s="67">
        <f>IF($A22="","",$L$56*$D22)</f>
        <v/>
      </c>
      <c r="K22" s="66">
        <f>IF($A22="","",$B22-$E$57-$F$57-$G$57-$H$57)</f>
        <v/>
      </c>
      <c r="L22" s="67">
        <f>IF($A22="","",$L$57*$D22)</f>
        <v/>
      </c>
      <c r="M22" s="66">
        <f>IF($A22="","",(($C22-21-3-1.2-3-21)/2)+(78*1)/2)</f>
        <v/>
      </c>
      <c r="N22" s="67">
        <f>IF($A22="","",$L$58*$D22)</f>
        <v/>
      </c>
      <c r="O22" s="66">
        <f>IF($A22="","",$K22-$E$59-$F$59)</f>
        <v/>
      </c>
      <c r="P22" s="67">
        <f>IF($A22="","",$L$59*$D22)</f>
        <v/>
      </c>
      <c r="Q22" s="66">
        <f>IF($A22="","",$M22-63-63)</f>
        <v/>
      </c>
      <c r="R22" s="67">
        <f>IF($A22="","",$L$60*$D22)</f>
        <v/>
      </c>
      <c r="S22" s="66">
        <f>IF($A22="","",$K22-$E$61-$F$61)</f>
        <v/>
      </c>
      <c r="T22" s="67">
        <f>IF($A22="","",$L$61*$D22)</f>
        <v/>
      </c>
      <c r="U22" s="66">
        <f>IF($A22="","",$M22-63-63)</f>
        <v/>
      </c>
      <c r="V22" s="67">
        <f>IF($A22="","",$L$62*$D22)</f>
        <v/>
      </c>
      <c r="W22" s="66">
        <f>IF($A22="","",$K22)</f>
        <v/>
      </c>
      <c r="X22" s="67">
        <f>IF($A22="","",$L$63*$D22)</f>
        <v/>
      </c>
      <c r="Y22" s="66">
        <f>IF($A22="","",$K22)</f>
        <v/>
      </c>
      <c r="Z22" s="67">
        <f>IF($A22="","",$L$64*$D22)</f>
        <v/>
      </c>
      <c r="AA22" s="66">
        <f>IF($A22="","",$B22-$E$65-$F$65)</f>
        <v/>
      </c>
      <c r="AB22" s="67">
        <f>IF($A22="","",$L$65*$D22)</f>
        <v/>
      </c>
      <c r="AC22" s="66">
        <f>IF($A22="","",$C22-$E$66-$F$66)</f>
        <v/>
      </c>
      <c r="AD22" s="67">
        <f>IF($A22="","",$L$66*$D22)</f>
        <v/>
      </c>
      <c r="AE22" s="66">
        <f>IF($A22="","",$B22-$E$67-$F$67)</f>
        <v/>
      </c>
      <c r="AF22" s="67">
        <f>IF($A22="","",$L$67*$D22)</f>
        <v/>
      </c>
      <c r="AG22" s="66">
        <f>IF($A22="","",$W22)</f>
        <v/>
      </c>
      <c r="AH22" s="67">
        <f>IF($A22="","",$L$68*$D22)</f>
        <v/>
      </c>
      <c r="AI22" s="66">
        <f>IF($A22="","",$C22)</f>
        <v/>
      </c>
      <c r="AJ22" s="67">
        <f>IF($A22="","",$L$69*$D22)</f>
        <v/>
      </c>
      <c r="AK22" s="66">
        <f>IF($A22="","",$C22-$E$70-$F$70)</f>
        <v/>
      </c>
      <c r="AL22" s="67">
        <f>IF($A22="","",$L$70*$D22)</f>
        <v/>
      </c>
      <c r="AM22" s="63">
        <f>IF($A22="","",$K22-68-68)</f>
        <v/>
      </c>
      <c r="AN22" s="64">
        <f>IF($A22="","",$M22-68-68)</f>
        <v/>
      </c>
      <c r="AO22" s="65">
        <f>IF($A22="","",2*$D22)</f>
        <v/>
      </c>
    </row>
    <row r="23" ht="40.15" customHeight="1">
      <c r="A23" s="58" t="n"/>
      <c r="B23" s="59" t="n"/>
      <c r="C23" s="60" t="n"/>
      <c r="D23" s="61" t="n"/>
      <c r="E23" s="62">
        <f>IF($A23="","",$B23)</f>
        <v/>
      </c>
      <c r="F23" s="60">
        <f>IF($A23="","",$L$54*$D23)</f>
        <v/>
      </c>
      <c r="G23" s="62">
        <f>IF($A23="","",$C23-$E$55-$F$55)</f>
        <v/>
      </c>
      <c r="H23" s="60">
        <f>IF($A23="","",$L$55*$D23)</f>
        <v/>
      </c>
      <c r="I23" s="62">
        <f>IF($A23="","",$C23)</f>
        <v/>
      </c>
      <c r="J23" s="60">
        <f>IF($A23="","",$L$56*$D23)</f>
        <v/>
      </c>
      <c r="K23" s="62">
        <f>IF($A23="","",$B23-$E$57-$F$57-$G$57-$H$57)</f>
        <v/>
      </c>
      <c r="L23" s="60">
        <f>IF($A23="","",$L$57*$D23)</f>
        <v/>
      </c>
      <c r="M23" s="62">
        <f>IF($A23="","",(($C23-21-3-1.2-3-21)/2)+(78*1)/2)</f>
        <v/>
      </c>
      <c r="N23" s="60">
        <f>IF($A23="","",$L$58*$D23)</f>
        <v/>
      </c>
      <c r="O23" s="62">
        <f>IF($A23="","",$K23-$E$59-$F$59)</f>
        <v/>
      </c>
      <c r="P23" s="60">
        <f>IF($A23="","",$L$59*$D23)</f>
        <v/>
      </c>
      <c r="Q23" s="62">
        <f>IF($A23="","",$M23-63-63)</f>
        <v/>
      </c>
      <c r="R23" s="60">
        <f>IF($A23="","",$L$60*$D23)</f>
        <v/>
      </c>
      <c r="S23" s="62">
        <f>IF($A23="","",$K23-$E$61-$F$61)</f>
        <v/>
      </c>
      <c r="T23" s="60">
        <f>IF($A23="","",$L$61*$D23)</f>
        <v/>
      </c>
      <c r="U23" s="62">
        <f>IF($A23="","",$M23-63-63)</f>
        <v/>
      </c>
      <c r="V23" s="60">
        <f>IF($A23="","",$L$62*$D23)</f>
        <v/>
      </c>
      <c r="W23" s="62">
        <f>IF($A23="","",$K23)</f>
        <v/>
      </c>
      <c r="X23" s="60">
        <f>IF($A23="","",$L$63*$D23)</f>
        <v/>
      </c>
      <c r="Y23" s="62">
        <f>IF($A23="","",$K23)</f>
        <v/>
      </c>
      <c r="Z23" s="60">
        <f>IF($A23="","",$L$64*$D23)</f>
        <v/>
      </c>
      <c r="AA23" s="62">
        <f>IF($A23="","",$B23-$E$65-$F$65)</f>
        <v/>
      </c>
      <c r="AB23" s="60">
        <f>IF($A23="","",$L$65*$D23)</f>
        <v/>
      </c>
      <c r="AC23" s="62">
        <f>IF($A23="","",$C23-$E$66-$F$66)</f>
        <v/>
      </c>
      <c r="AD23" s="60">
        <f>IF($A23="","",$L$66*$D23)</f>
        <v/>
      </c>
      <c r="AE23" s="62">
        <f>IF($A23="","",$B23-$E$67-$F$67)</f>
        <v/>
      </c>
      <c r="AF23" s="60">
        <f>IF($A23="","",$L$67*$D23)</f>
        <v/>
      </c>
      <c r="AG23" s="62">
        <f>IF($A23="","",$W23)</f>
        <v/>
      </c>
      <c r="AH23" s="60">
        <f>IF($A23="","",$L$68*$D23)</f>
        <v/>
      </c>
      <c r="AI23" s="62">
        <f>IF($A23="","",$C23)</f>
        <v/>
      </c>
      <c r="AJ23" s="60">
        <f>IF($A23="","",$L$69*$D23)</f>
        <v/>
      </c>
      <c r="AK23" s="62">
        <f>IF($A23="","",$C23-$E$70-$F$70)</f>
        <v/>
      </c>
      <c r="AL23" s="60">
        <f>IF($A23="","",$L$70*$D23)</f>
        <v/>
      </c>
      <c r="AM23" s="63">
        <f>IF($A23="","",$K23-68-68)</f>
        <v/>
      </c>
      <c r="AN23" s="64">
        <f>IF($A23="","",$M23-68-68)</f>
        <v/>
      </c>
      <c r="AO23" s="65">
        <f>IF($A23="","",2*$D23)</f>
        <v/>
      </c>
    </row>
    <row r="24" ht="40.15" customHeight="1">
      <c r="A24" s="58" t="n"/>
      <c r="B24" s="59" t="n"/>
      <c r="C24" s="60" t="n"/>
      <c r="D24" s="61" t="n"/>
      <c r="E24" s="66">
        <f>IF($A24="","",$B24)</f>
        <v/>
      </c>
      <c r="F24" s="67">
        <f>IF($A24="","",$L$54*$D24)</f>
        <v/>
      </c>
      <c r="G24" s="66">
        <f>IF($A24="","",$C24-$E$55-$F$55)</f>
        <v/>
      </c>
      <c r="H24" s="67">
        <f>IF($A24="","",$L$55*$D24)</f>
        <v/>
      </c>
      <c r="I24" s="66">
        <f>IF($A24="","",$C24)</f>
        <v/>
      </c>
      <c r="J24" s="67">
        <f>IF($A24="","",$L$56*$D24)</f>
        <v/>
      </c>
      <c r="K24" s="66">
        <f>IF($A24="","",$B24-$E$57-$F$57-$G$57-$H$57)</f>
        <v/>
      </c>
      <c r="L24" s="67">
        <f>IF($A24="","",$L$57*$D24)</f>
        <v/>
      </c>
      <c r="M24" s="66">
        <f>IF($A24="","",(($C24-21-3-1.2-3-21)/2)+(78*1)/2)</f>
        <v/>
      </c>
      <c r="N24" s="67">
        <f>IF($A24="","",$L$58*$D24)</f>
        <v/>
      </c>
      <c r="O24" s="66">
        <f>IF($A24="","",$K24-$E$59-$F$59)</f>
        <v/>
      </c>
      <c r="P24" s="67">
        <f>IF($A24="","",$L$59*$D24)</f>
        <v/>
      </c>
      <c r="Q24" s="66">
        <f>IF($A24="","",$M24-63-63)</f>
        <v/>
      </c>
      <c r="R24" s="67">
        <f>IF($A24="","",$L$60*$D24)</f>
        <v/>
      </c>
      <c r="S24" s="66">
        <f>IF($A24="","",$K24-$E$61-$F$61)</f>
        <v/>
      </c>
      <c r="T24" s="67">
        <f>IF($A24="","",$L$61*$D24)</f>
        <v/>
      </c>
      <c r="U24" s="66">
        <f>IF($A24="","",$M24-63-63)</f>
        <v/>
      </c>
      <c r="V24" s="67">
        <f>IF($A24="","",$L$62*$D24)</f>
        <v/>
      </c>
      <c r="W24" s="66">
        <f>IF($A24="","",$K24)</f>
        <v/>
      </c>
      <c r="X24" s="67">
        <f>IF($A24="","",$L$63*$D24)</f>
        <v/>
      </c>
      <c r="Y24" s="66">
        <f>IF($A24="","",$K24)</f>
        <v/>
      </c>
      <c r="Z24" s="67">
        <f>IF($A24="","",$L$64*$D24)</f>
        <v/>
      </c>
      <c r="AA24" s="66">
        <f>IF($A24="","",$B24-$E$65-$F$65)</f>
        <v/>
      </c>
      <c r="AB24" s="67">
        <f>IF($A24="","",$L$65*$D24)</f>
        <v/>
      </c>
      <c r="AC24" s="66">
        <f>IF($A24="","",$C24-$E$66-$F$66)</f>
        <v/>
      </c>
      <c r="AD24" s="67">
        <f>IF($A24="","",$L$66*$D24)</f>
        <v/>
      </c>
      <c r="AE24" s="66">
        <f>IF($A24="","",$B24-$E$67-$F$67)</f>
        <v/>
      </c>
      <c r="AF24" s="67">
        <f>IF($A24="","",$L$67*$D24)</f>
        <v/>
      </c>
      <c r="AG24" s="66">
        <f>IF($A24="","",$W24)</f>
        <v/>
      </c>
      <c r="AH24" s="67">
        <f>IF($A24="","",$L$68*$D24)</f>
        <v/>
      </c>
      <c r="AI24" s="66">
        <f>IF($A24="","",$C24)</f>
        <v/>
      </c>
      <c r="AJ24" s="67">
        <f>IF($A24="","",$L$69*$D24)</f>
        <v/>
      </c>
      <c r="AK24" s="66">
        <f>IF($A24="","",$C24-$E$70-$F$70)</f>
        <v/>
      </c>
      <c r="AL24" s="67">
        <f>IF($A24="","",$L$70*$D24)</f>
        <v/>
      </c>
      <c r="AM24" s="63">
        <f>IF($A24="","",$K24-68-68)</f>
        <v/>
      </c>
      <c r="AN24" s="64">
        <f>IF($A24="","",$M24-68-68)</f>
        <v/>
      </c>
      <c r="AO24" s="65">
        <f>IF($A24="","",2*$D24)</f>
        <v/>
      </c>
    </row>
    <row r="25" ht="40.15" customHeight="1">
      <c r="A25" s="58" t="n"/>
      <c r="B25" s="59" t="n"/>
      <c r="C25" s="60" t="n"/>
      <c r="D25" s="61" t="n"/>
      <c r="E25" s="62">
        <f>IF($A25="","",$B25)</f>
        <v/>
      </c>
      <c r="F25" s="60">
        <f>IF($A25="","",$L$54*$D25)</f>
        <v/>
      </c>
      <c r="G25" s="62">
        <f>IF($A25="","",$C25-$E$55-$F$55)</f>
        <v/>
      </c>
      <c r="H25" s="60">
        <f>IF($A25="","",$L$55*$D25)</f>
        <v/>
      </c>
      <c r="I25" s="62">
        <f>IF($A25="","",$C25)</f>
        <v/>
      </c>
      <c r="J25" s="60">
        <f>IF($A25="","",$L$56*$D25)</f>
        <v/>
      </c>
      <c r="K25" s="62">
        <f>IF($A25="","",$B25-$E$57-$F$57-$G$57-$H$57)</f>
        <v/>
      </c>
      <c r="L25" s="60">
        <f>IF($A25="","",$L$57*$D25)</f>
        <v/>
      </c>
      <c r="M25" s="62">
        <f>IF($A25="","",(($C25-21-3-1.2-3-21)/2)+(78*1)/2)</f>
        <v/>
      </c>
      <c r="N25" s="60">
        <f>IF($A25="","",$L$58*$D25)</f>
        <v/>
      </c>
      <c r="O25" s="62">
        <f>IF($A25="","",$K25-$E$59-$F$59)</f>
        <v/>
      </c>
      <c r="P25" s="60">
        <f>IF($A25="","",$L$59*$D25)</f>
        <v/>
      </c>
      <c r="Q25" s="62">
        <f>IF($A25="","",$M25-63-63)</f>
        <v/>
      </c>
      <c r="R25" s="60">
        <f>IF($A25="","",$L$60*$D25)</f>
        <v/>
      </c>
      <c r="S25" s="62">
        <f>IF($A25="","",$K25-$E$61-$F$61)</f>
        <v/>
      </c>
      <c r="T25" s="60">
        <f>IF($A25="","",$L$61*$D25)</f>
        <v/>
      </c>
      <c r="U25" s="62">
        <f>IF($A25="","",$M25-63-63)</f>
        <v/>
      </c>
      <c r="V25" s="60">
        <f>IF($A25="","",$L$62*$D25)</f>
        <v/>
      </c>
      <c r="W25" s="62">
        <f>IF($A25="","",$K25)</f>
        <v/>
      </c>
      <c r="X25" s="60">
        <f>IF($A25="","",$L$63*$D25)</f>
        <v/>
      </c>
      <c r="Y25" s="62">
        <f>IF($A25="","",$K25)</f>
        <v/>
      </c>
      <c r="Z25" s="60">
        <f>IF($A25="","",$L$64*$D25)</f>
        <v/>
      </c>
      <c r="AA25" s="62">
        <f>IF($A25="","",$B25-$E$65-$F$65)</f>
        <v/>
      </c>
      <c r="AB25" s="60">
        <f>IF($A25="","",$L$65*$D25)</f>
        <v/>
      </c>
      <c r="AC25" s="62">
        <f>IF($A25="","",$C25-$E$66-$F$66)</f>
        <v/>
      </c>
      <c r="AD25" s="60">
        <f>IF($A25="","",$L$66*$D25)</f>
        <v/>
      </c>
      <c r="AE25" s="62">
        <f>IF($A25="","",$B25-$E$67-$F$67)</f>
        <v/>
      </c>
      <c r="AF25" s="60">
        <f>IF($A25="","",$L$67*$D25)</f>
        <v/>
      </c>
      <c r="AG25" s="62">
        <f>IF($A25="","",$W25)</f>
        <v/>
      </c>
      <c r="AH25" s="60">
        <f>IF($A25="","",$L$68*$D25)</f>
        <v/>
      </c>
      <c r="AI25" s="62">
        <f>IF($A25="","",$C25)</f>
        <v/>
      </c>
      <c r="AJ25" s="60">
        <f>IF($A25="","",$L$69*$D25)</f>
        <v/>
      </c>
      <c r="AK25" s="62">
        <f>IF($A25="","",$C25-$E$70-$F$70)</f>
        <v/>
      </c>
      <c r="AL25" s="60">
        <f>IF($A25="","",$L$70*$D25)</f>
        <v/>
      </c>
      <c r="AM25" s="63">
        <f>IF($A25="","",$K25-68-68)</f>
        <v/>
      </c>
      <c r="AN25" s="64">
        <f>IF($A25="","",$M25-68-68)</f>
        <v/>
      </c>
      <c r="AO25" s="65">
        <f>IF($A25="","",2*$D25)</f>
        <v/>
      </c>
    </row>
    <row r="26" ht="40.15" customHeight="1">
      <c r="A26" s="58" t="n"/>
      <c r="B26" s="59" t="n"/>
      <c r="C26" s="60" t="n"/>
      <c r="D26" s="61" t="n"/>
      <c r="E26" s="66">
        <f>IF($A26="","",$B26)</f>
        <v/>
      </c>
      <c r="F26" s="67">
        <f>IF($A26="","",$L$54*$D26)</f>
        <v/>
      </c>
      <c r="G26" s="66">
        <f>IF($A26="","",$C26-$E$55-$F$55)</f>
        <v/>
      </c>
      <c r="H26" s="67">
        <f>IF($A26="","",$L$55*$D26)</f>
        <v/>
      </c>
      <c r="I26" s="66">
        <f>IF($A26="","",$C26)</f>
        <v/>
      </c>
      <c r="J26" s="67">
        <f>IF($A26="","",$L$56*$D26)</f>
        <v/>
      </c>
      <c r="K26" s="66">
        <f>IF($A26="","",$B26-$E$57-$F$57-$G$57-$H$57)</f>
        <v/>
      </c>
      <c r="L26" s="67">
        <f>IF($A26="","",$L$57*$D26)</f>
        <v/>
      </c>
      <c r="M26" s="66">
        <f>IF($A26="","",(($C26-21-3-1.2-3-21)/2)+(78*1)/2)</f>
        <v/>
      </c>
      <c r="N26" s="67">
        <f>IF($A26="","",$L$58*$D26)</f>
        <v/>
      </c>
      <c r="O26" s="66">
        <f>IF($A26="","",$K26-$E$59-$F$59)</f>
        <v/>
      </c>
      <c r="P26" s="67">
        <f>IF($A26="","",$L$59*$D26)</f>
        <v/>
      </c>
      <c r="Q26" s="66">
        <f>IF($A26="","",$M26-63-63)</f>
        <v/>
      </c>
      <c r="R26" s="67">
        <f>IF($A26="","",$L$60*$D26)</f>
        <v/>
      </c>
      <c r="S26" s="66">
        <f>IF($A26="","",$K26-$E$61-$F$61)</f>
        <v/>
      </c>
      <c r="T26" s="67">
        <f>IF($A26="","",$L$61*$D26)</f>
        <v/>
      </c>
      <c r="U26" s="66">
        <f>IF($A26="","",$M26-63-63)</f>
        <v/>
      </c>
      <c r="V26" s="67">
        <f>IF($A26="","",$L$62*$D26)</f>
        <v/>
      </c>
      <c r="W26" s="66">
        <f>IF($A26="","",$K26)</f>
        <v/>
      </c>
      <c r="X26" s="67">
        <f>IF($A26="","",$L$63*$D26)</f>
        <v/>
      </c>
      <c r="Y26" s="66">
        <f>IF($A26="","",$K26)</f>
        <v/>
      </c>
      <c r="Z26" s="67">
        <f>IF($A26="","",$L$64*$D26)</f>
        <v/>
      </c>
      <c r="AA26" s="66">
        <f>IF($A26="","",$B26-$E$65-$F$65)</f>
        <v/>
      </c>
      <c r="AB26" s="67">
        <f>IF($A26="","",$L$65*$D26)</f>
        <v/>
      </c>
      <c r="AC26" s="66">
        <f>IF($A26="","",$C26-$E$66-$F$66)</f>
        <v/>
      </c>
      <c r="AD26" s="67">
        <f>IF($A26="","",$L$66*$D26)</f>
        <v/>
      </c>
      <c r="AE26" s="66">
        <f>IF($A26="","",$B26-$E$67-$F$67)</f>
        <v/>
      </c>
      <c r="AF26" s="67">
        <f>IF($A26="","",$L$67*$D26)</f>
        <v/>
      </c>
      <c r="AG26" s="66">
        <f>IF($A26="","",$W26)</f>
        <v/>
      </c>
      <c r="AH26" s="67">
        <f>IF($A26="","",$L$68*$D26)</f>
        <v/>
      </c>
      <c r="AI26" s="66">
        <f>IF($A26="","",$C26)</f>
        <v/>
      </c>
      <c r="AJ26" s="67">
        <f>IF($A26="","",$L$69*$D26)</f>
        <v/>
      </c>
      <c r="AK26" s="66">
        <f>IF($A26="","",$C26-$E$70-$F$70)</f>
        <v/>
      </c>
      <c r="AL26" s="67">
        <f>IF($A26="","",$L$70*$D26)</f>
        <v/>
      </c>
      <c r="AM26" s="63">
        <f>IF($A26="","",$K26-68-68)</f>
        <v/>
      </c>
      <c r="AN26" s="64">
        <f>IF($A26="","",$M26-68-68)</f>
        <v/>
      </c>
      <c r="AO26" s="65">
        <f>IF($A26="","",2*$D26)</f>
        <v/>
      </c>
    </row>
    <row r="27" ht="40.15" customHeight="1">
      <c r="A27" s="58" t="n"/>
      <c r="B27" s="59" t="n"/>
      <c r="C27" s="60" t="n"/>
      <c r="D27" s="61" t="n"/>
      <c r="E27" s="62">
        <f>IF($A27="","",$B27)</f>
        <v/>
      </c>
      <c r="F27" s="60">
        <f>IF($A27="","",$L$54*$D27)</f>
        <v/>
      </c>
      <c r="G27" s="62">
        <f>IF($A27="","",$C27-$E$55-$F$55)</f>
        <v/>
      </c>
      <c r="H27" s="60">
        <f>IF($A27="","",$L$55*$D27)</f>
        <v/>
      </c>
      <c r="I27" s="62">
        <f>IF($A27="","",$C27)</f>
        <v/>
      </c>
      <c r="J27" s="60">
        <f>IF($A27="","",$L$56*$D27)</f>
        <v/>
      </c>
      <c r="K27" s="62">
        <f>IF($A27="","",$B27-$E$57-$F$57-$G$57-$H$57)</f>
        <v/>
      </c>
      <c r="L27" s="60">
        <f>IF($A27="","",$L$57*$D27)</f>
        <v/>
      </c>
      <c r="M27" s="62">
        <f>IF($A27="","",(($C27-21-3-1.2-3-21)/2)+(78*1)/2)</f>
        <v/>
      </c>
      <c r="N27" s="60">
        <f>IF($A27="","",$L$58*$D27)</f>
        <v/>
      </c>
      <c r="O27" s="62">
        <f>IF($A27="","",$K27-$E$59-$F$59)</f>
        <v/>
      </c>
      <c r="P27" s="60">
        <f>IF($A27="","",$L$59*$D27)</f>
        <v/>
      </c>
      <c r="Q27" s="62">
        <f>IF($A27="","",$M27-63-63)</f>
        <v/>
      </c>
      <c r="R27" s="60">
        <f>IF($A27="","",$L$60*$D27)</f>
        <v/>
      </c>
      <c r="S27" s="62">
        <f>IF($A27="","",$K27-$E$61-$F$61)</f>
        <v/>
      </c>
      <c r="T27" s="60">
        <f>IF($A27="","",$L$61*$D27)</f>
        <v/>
      </c>
      <c r="U27" s="62">
        <f>IF($A27="","",$M27-63-63)</f>
        <v/>
      </c>
      <c r="V27" s="60">
        <f>IF($A27="","",$L$62*$D27)</f>
        <v/>
      </c>
      <c r="W27" s="62">
        <f>IF($A27="","",$K27)</f>
        <v/>
      </c>
      <c r="X27" s="60">
        <f>IF($A27="","",$L$63*$D27)</f>
        <v/>
      </c>
      <c r="Y27" s="62">
        <f>IF($A27="","",$K27)</f>
        <v/>
      </c>
      <c r="Z27" s="60">
        <f>IF($A27="","",$L$64*$D27)</f>
        <v/>
      </c>
      <c r="AA27" s="62">
        <f>IF($A27="","",$B27-$E$65-$F$65)</f>
        <v/>
      </c>
      <c r="AB27" s="60">
        <f>IF($A27="","",$L$65*$D27)</f>
        <v/>
      </c>
      <c r="AC27" s="62">
        <f>IF($A27="","",$C27-$E$66-$F$66)</f>
        <v/>
      </c>
      <c r="AD27" s="60">
        <f>IF($A27="","",$L$66*$D27)</f>
        <v/>
      </c>
      <c r="AE27" s="62">
        <f>IF($A27="","",$B27-$E$67-$F$67)</f>
        <v/>
      </c>
      <c r="AF27" s="60">
        <f>IF($A27="","",$L$67*$D27)</f>
        <v/>
      </c>
      <c r="AG27" s="62">
        <f>IF($A27="","",$W27)</f>
        <v/>
      </c>
      <c r="AH27" s="60">
        <f>IF($A27="","",$L$68*$D27)</f>
        <v/>
      </c>
      <c r="AI27" s="62">
        <f>IF($A27="","",$C27)</f>
        <v/>
      </c>
      <c r="AJ27" s="60">
        <f>IF($A27="","",$L$69*$D27)</f>
        <v/>
      </c>
      <c r="AK27" s="62">
        <f>IF($A27="","",$C27-$E$70-$F$70)</f>
        <v/>
      </c>
      <c r="AL27" s="60">
        <f>IF($A27="","",$L$70*$D27)</f>
        <v/>
      </c>
      <c r="AM27" s="63">
        <f>IF($A27="","",$K27-68-68)</f>
        <v/>
      </c>
      <c r="AN27" s="64">
        <f>IF($A27="","",$M27-68-68)</f>
        <v/>
      </c>
      <c r="AO27" s="65">
        <f>IF($A27="","",2*$D27)</f>
        <v/>
      </c>
    </row>
    <row r="28" ht="40.15" customHeight="1">
      <c r="A28" s="58" t="n"/>
      <c r="B28" s="59" t="n"/>
      <c r="C28" s="60" t="n"/>
      <c r="D28" s="61" t="n"/>
      <c r="E28" s="66">
        <f>IF($A28="","",$B28)</f>
        <v/>
      </c>
      <c r="F28" s="67">
        <f>IF($A28="","",$L$54*$D28)</f>
        <v/>
      </c>
      <c r="G28" s="66">
        <f>IF($A28="","",$C28-$E$55-$F$55)</f>
        <v/>
      </c>
      <c r="H28" s="67">
        <f>IF($A28="","",$L$55*$D28)</f>
        <v/>
      </c>
      <c r="I28" s="66">
        <f>IF($A28="","",$C28)</f>
        <v/>
      </c>
      <c r="J28" s="67">
        <f>IF($A28="","",$L$56*$D28)</f>
        <v/>
      </c>
      <c r="K28" s="66">
        <f>IF($A28="","",$B28-$E$57-$F$57-$G$57-$H$57)</f>
        <v/>
      </c>
      <c r="L28" s="67">
        <f>IF($A28="","",$L$57*$D28)</f>
        <v/>
      </c>
      <c r="M28" s="66">
        <f>IF($A28="","",(($C28-21-3-1.2-3-21)/2)+(78*1)/2)</f>
        <v/>
      </c>
      <c r="N28" s="67">
        <f>IF($A28="","",$L$58*$D28)</f>
        <v/>
      </c>
      <c r="O28" s="66">
        <f>IF($A28="","",$K28-$E$59-$F$59)</f>
        <v/>
      </c>
      <c r="P28" s="67">
        <f>IF($A28="","",$L$59*$D28)</f>
        <v/>
      </c>
      <c r="Q28" s="66">
        <f>IF($A28="","",$M28-63-63)</f>
        <v/>
      </c>
      <c r="R28" s="67">
        <f>IF($A28="","",$L$60*$D28)</f>
        <v/>
      </c>
      <c r="S28" s="66">
        <f>IF($A28="","",$K28-$E$61-$F$61)</f>
        <v/>
      </c>
      <c r="T28" s="67">
        <f>IF($A28="","",$L$61*$D28)</f>
        <v/>
      </c>
      <c r="U28" s="66">
        <f>IF($A28="","",$M28-63-63)</f>
        <v/>
      </c>
      <c r="V28" s="67">
        <f>IF($A28="","",$L$62*$D28)</f>
        <v/>
      </c>
      <c r="W28" s="66">
        <f>IF($A28="","",$K28)</f>
        <v/>
      </c>
      <c r="X28" s="67">
        <f>IF($A28="","",$L$63*$D28)</f>
        <v/>
      </c>
      <c r="Y28" s="66">
        <f>IF($A28="","",$K28)</f>
        <v/>
      </c>
      <c r="Z28" s="67">
        <f>IF($A28="","",$L$64*$D28)</f>
        <v/>
      </c>
      <c r="AA28" s="66">
        <f>IF($A28="","",$B28-$E$65-$F$65)</f>
        <v/>
      </c>
      <c r="AB28" s="67">
        <f>IF($A28="","",$L$65*$D28)</f>
        <v/>
      </c>
      <c r="AC28" s="66">
        <f>IF($A28="","",$C28-$E$66-$F$66)</f>
        <v/>
      </c>
      <c r="AD28" s="67">
        <f>IF($A28="","",$L$66*$D28)</f>
        <v/>
      </c>
      <c r="AE28" s="66">
        <f>IF($A28="","",$B28-$E$67-$F$67)</f>
        <v/>
      </c>
      <c r="AF28" s="67">
        <f>IF($A28="","",$L$67*$D28)</f>
        <v/>
      </c>
      <c r="AG28" s="66">
        <f>IF($A28="","",$W28)</f>
        <v/>
      </c>
      <c r="AH28" s="67">
        <f>IF($A28="","",$L$68*$D28)</f>
        <v/>
      </c>
      <c r="AI28" s="66">
        <f>IF($A28="","",$C28)</f>
        <v/>
      </c>
      <c r="AJ28" s="67">
        <f>IF($A28="","",$L$69*$D28)</f>
        <v/>
      </c>
      <c r="AK28" s="66">
        <f>IF($A28="","",$C28-$E$70-$F$70)</f>
        <v/>
      </c>
      <c r="AL28" s="67">
        <f>IF($A28="","",$L$70*$D28)</f>
        <v/>
      </c>
      <c r="AM28" s="63">
        <f>IF($A28="","",$K28-68-68)</f>
        <v/>
      </c>
      <c r="AN28" s="64">
        <f>IF($A28="","",$M28-68-68)</f>
        <v/>
      </c>
      <c r="AO28" s="65">
        <f>IF($A28="","",2*$D28)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20" t="n"/>
      <c r="U30" s="21" t="n"/>
      <c r="V30" s="72">
        <f>(ROUNDUP(SUM(T49:V49)/6400,0))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(ROUNDUP(AD49/5000,0))</f>
        <v/>
      </c>
      <c r="AE30" s="72">
        <f>AE$7</f>
        <v/>
      </c>
      <c r="AF30" s="20" t="n"/>
      <c r="AG30" s="20" t="n"/>
      <c r="AH30" s="20" t="n"/>
      <c r="AI30" s="21" t="n"/>
      <c r="AJ30" s="72">
        <f>(ROUNDUP(SUM(AF49:AJ49)/6400,0))</f>
        <v/>
      </c>
      <c r="AK30" s="72">
        <f>AK$7</f>
        <v/>
      </c>
      <c r="AL30" s="72">
        <f>(ROUNDUP(AL49/5000,0))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  <c r="AK31" s="73" t="n"/>
      <c r="AL31" s="73">
        <f>IF($A11="","",AL11*AK11)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  <c r="AK32" s="73" t="n"/>
      <c r="AL32" s="73">
        <f>IF($A12="","",AL12*AK12)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  <c r="AK33" s="73" t="n"/>
      <c r="AL33" s="73">
        <f>IF($A13="","",AL13*AK13)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  <c r="AK34" s="73" t="n"/>
      <c r="AL34" s="73">
        <f>IF($A14="","",AL14*AK14)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  <c r="AK35" s="73" t="n"/>
      <c r="AL35" s="73">
        <f>IF($A15="","",AL15*AK15)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  <c r="AK36" s="73" t="n"/>
      <c r="AL36" s="73">
        <f>IF($A16="","",AL16*AK16)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  <c r="AK37" s="73" t="n"/>
      <c r="AL37" s="73">
        <f>IF($A17="","",AL17*AK17)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  <c r="AK38" s="73" t="n"/>
      <c r="AL38" s="73">
        <f>IF($A18="","",AL18*AK18)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  <c r="AK39" s="73" t="n"/>
      <c r="AL39" s="73">
        <f>IF($A19="","",AL19*AK19)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  <c r="AK40" s="73" t="n"/>
      <c r="AL40" s="73">
        <f>IF($A20="","",AL20*AK20)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  <c r="AK41" s="73" t="n"/>
      <c r="AL41" s="73">
        <f>IF($A21="","",AL21*AK21)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  <c r="AK42" s="73" t="n"/>
      <c r="AL42" s="73">
        <f>IF($A22="","",AL22*AK22)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  <c r="AK43" s="73" t="n"/>
      <c r="AL43" s="73">
        <f>IF($A23="","",AL23*AK23)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  <c r="AK44" s="73" t="n"/>
      <c r="AL44" s="73">
        <f>IF($A24="","",AL24*AK24)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  <c r="AK45" s="73" t="n"/>
      <c r="AL45" s="73">
        <f>IF($A25="","",AL25*AK25)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  <c r="AK46" s="73" t="n"/>
      <c r="AL46" s="73">
        <f>IF($A26="","",AL26*AK26)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  <c r="AK47" s="73" t="n"/>
      <c r="AL47" s="73">
        <f>IF($A27="","",AL27*AK27)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  <c r="AK48" s="73" t="n"/>
      <c r="AL48" s="73">
        <f>IF($A28="","",AL28*AK28)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  <c r="AK49" s="74" t="n"/>
      <c r="AL49" s="74">
        <f>SUMIF(AL31:AL48,"&gt;0")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6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((กว้าง-21-3-1.2-3-21)/2)+(78x2)+3</t>
        </is>
      </c>
      <c r="E58" s="83" t="n">
        <v>21</v>
      </c>
      <c r="F58" s="83" t="n">
        <v>3</v>
      </c>
      <c r="G58" s="83" t="n">
        <v>1.2</v>
      </c>
      <c r="H58" s="83" t="n">
        <v>3</v>
      </c>
      <c r="I58" s="83" t="n">
        <v>21</v>
      </c>
      <c r="J58" s="83" t="n">
        <v>3</v>
      </c>
      <c r="K58" s="82" t="n"/>
      <c r="L58" s="83" t="n">
        <v>6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6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3" t="n">
        <v>3</v>
      </c>
      <c r="H60" s="82" t="n"/>
      <c r="I60" s="82" t="n"/>
      <c r="J60" s="82" t="n"/>
      <c r="K60" s="82" t="n"/>
      <c r="L60" s="83" t="n">
        <v>6</v>
      </c>
      <c r="M60" s="82" t="n"/>
    </row>
    <row r="61" ht="44" customHeight="1">
      <c r="A61" s="78" t="n">
        <v>8</v>
      </c>
      <c r="B61" s="79" t="inlineStr">
        <is>
          <t>คิ้ว ตั้ง</t>
        </is>
      </c>
      <c r="C61" s="80" t="inlineStr">
        <is>
          <t>F7987</t>
        </is>
      </c>
      <c r="D61" s="81" t="inlineStr">
        <is>
          <t>เสา-78-78</t>
        </is>
      </c>
      <c r="E61" s="83" t="n">
        <v>78</v>
      </c>
      <c r="F61" s="83" t="n">
        <v>78</v>
      </c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15" customHeight="1">
      <c r="A62" s="78" t="n">
        <v>9</v>
      </c>
      <c r="B62" s="79" t="inlineStr">
        <is>
          <t>คิ้ว ขวาง</t>
        </is>
      </c>
      <c r="C62" s="80" t="inlineStr">
        <is>
          <t>-</t>
        </is>
      </c>
      <c r="D62" s="81" t="inlineStr">
        <is>
          <t>ขวาง-63-63</t>
        </is>
      </c>
      <c r="E62" s="83" t="n">
        <v>63</v>
      </c>
      <c r="F62" s="83" t="n">
        <v>63</v>
      </c>
      <c r="G62" s="83" t="n">
        <v>3</v>
      </c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ต่อราง</t>
        </is>
      </c>
      <c r="C63" s="80" t="inlineStr">
        <is>
          <t>F7985</t>
        </is>
      </c>
      <c r="D63" s="81" t="inlineStr">
        <is>
          <t>สูงกรอบบาน</t>
        </is>
      </c>
      <c r="E63" s="82" t="n"/>
      <c r="F63" s="82" t="n"/>
      <c r="G63" s="82" t="n"/>
      <c r="H63" s="82" t="n"/>
      <c r="I63" s="82" t="n"/>
      <c r="J63" s="82" t="n"/>
      <c r="K63" s="82" t="n"/>
      <c r="L63" s="83" t="n">
        <v>1</v>
      </c>
      <c r="M63" s="82" t="n"/>
    </row>
    <row r="64" ht="44" customHeight="1">
      <c r="A64" s="78" t="n">
        <v>11</v>
      </c>
      <c r="B64" s="79" t="inlineStr">
        <is>
          <t>ตบเกี่ยว</t>
        </is>
      </c>
      <c r="C64" s="80" t="inlineStr">
        <is>
          <t>F7983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44" customHeight="1">
      <c r="A65" s="78" t="n">
        <v>12</v>
      </c>
      <c r="B65" s="79" t="inlineStr">
        <is>
          <t>ยูข้าง</t>
        </is>
      </c>
      <c r="C65" s="80" t="inlineStr">
        <is>
          <t>F7986</t>
        </is>
      </c>
      <c r="D65" s="81" t="inlineStr">
        <is>
          <t>สูง-45-45</t>
        </is>
      </c>
      <c r="E65" s="83" t="n">
        <v>45</v>
      </c>
      <c r="F65" s="83" t="n">
        <v>45</v>
      </c>
      <c r="G65" s="82" t="n"/>
      <c r="H65" s="82" t="n"/>
      <c r="I65" s="82" t="n"/>
      <c r="J65" s="82" t="n"/>
      <c r="K65" s="82" t="n"/>
      <c r="L65" s="83" t="n">
        <v>3</v>
      </c>
      <c r="M65" s="82" t="n"/>
    </row>
    <row r="66" ht="44" customHeight="1">
      <c r="A66" s="78" t="n">
        <v>13</v>
      </c>
      <c r="B66" s="79" t="inlineStr">
        <is>
          <t>ตบเฟรมบน</t>
        </is>
      </c>
      <c r="C66" s="80" t="inlineStr">
        <is>
          <t>F7993</t>
        </is>
      </c>
      <c r="D66" s="81" t="inlineStr">
        <is>
          <t>เท่าเฟรมบน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3</v>
      </c>
      <c r="M66" s="82" t="n"/>
    </row>
    <row r="67" ht="44" customHeight="1">
      <c r="A67" s="78" t="n">
        <v>14</v>
      </c>
      <c r="B67" s="79" t="inlineStr">
        <is>
          <t>ตบยูข้าง</t>
        </is>
      </c>
      <c r="C67" s="80" t="inlineStr">
        <is>
          <t>F7988</t>
        </is>
      </c>
      <c r="D67" s="81" t="inlineStr"/>
      <c r="E67" s="83" t="n">
        <v>45</v>
      </c>
      <c r="F67" s="83" t="n">
        <v>45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15" customHeight="1">
      <c r="A68" s="78" t="n">
        <v>15</v>
      </c>
      <c r="B68" s="79" t="inlineStr">
        <is>
          <t>ปิดตบเกี่ยว</t>
        </is>
      </c>
      <c r="C68" s="80" t="inlineStr">
        <is>
          <t>-</t>
        </is>
      </c>
      <c r="D68" s="81" t="inlineStr">
        <is>
          <t>สูงกรอบบาน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4</v>
      </c>
      <c r="M68" s="82" t="n"/>
    </row>
    <row r="69" ht="15" customHeight="1">
      <c r="A69" s="78" t="n">
        <v>16</v>
      </c>
      <c r="B69" s="79" t="inlineStr">
        <is>
          <t>ตบกันสาด</t>
        </is>
      </c>
      <c r="C69" s="80" t="inlineStr">
        <is>
          <t>-</t>
        </is>
      </c>
      <c r="D69" s="81" t="inlineStr">
        <is>
          <t>กว้าง</t>
        </is>
      </c>
      <c r="E69" s="82" t="n"/>
      <c r="F69" s="82" t="n"/>
      <c r="G69" s="82" t="n"/>
      <c r="H69" s="82" t="n"/>
      <c r="I69" s="82" t="n"/>
      <c r="J69" s="82" t="n"/>
      <c r="K69" s="82" t="n"/>
      <c r="L69" s="83" t="n">
        <v>1</v>
      </c>
      <c r="M69" s="82" t="n"/>
    </row>
    <row r="70" ht="44" customHeight="1">
      <c r="A70" s="78" t="n">
        <v>17</v>
      </c>
      <c r="B70" s="79" t="inlineStr">
        <is>
          <t>ราง</t>
        </is>
      </c>
      <c r="C70" s="80" t="inlineStr">
        <is>
          <t>F7994</t>
        </is>
      </c>
      <c r="D70" s="81" t="inlineStr">
        <is>
          <t>เท่าเฟรมล่าง</t>
        </is>
      </c>
      <c r="E70" s="83" t="n">
        <v>21</v>
      </c>
      <c r="F70" s="83" t="n">
        <v>21</v>
      </c>
      <c r="G70" s="82" t="n"/>
      <c r="H70" s="82" t="n"/>
      <c r="I70" s="82" t="n"/>
      <c r="J70" s="82" t="n"/>
      <c r="K70" s="82" t="n"/>
      <c r="L70" s="83" t="n">
        <v>3</v>
      </c>
      <c r="M70" s="82" t="n"/>
    </row>
    <row r="72">
      <c r="A72" s="123" t="inlineStr">
        <is>
          <t>⑥ อุปกรณ์ ต่อ 1 บาน — คูณจำนวนบานที่ผลิต</t>
        </is>
      </c>
      <c r="B72" s="131" t="n"/>
      <c r="C72" s="131" t="n"/>
      <c r="D72" s="131" t="n"/>
      <c r="E72" s="132" t="n"/>
      <c r="F72" s="124" t="inlineStr">
        <is>
          <t>ต่อบาน</t>
        </is>
      </c>
    </row>
    <row r="73">
      <c r="A73" s="125" t="inlineStr">
        <is>
          <t>1. ล้อ 27</t>
        </is>
      </c>
      <c r="B73" s="131" t="n"/>
      <c r="C73" s="131" t="n"/>
      <c r="D73" s="131" t="n"/>
      <c r="E73" s="132" t="n"/>
      <c r="F73" s="126" t="n">
        <v>2</v>
      </c>
    </row>
    <row r="74">
      <c r="A74" s="125" t="inlineStr">
        <is>
          <t>2. มือจับ Align</t>
        </is>
      </c>
      <c r="B74" s="131" t="n"/>
      <c r="C74" s="131" t="n"/>
      <c r="D74" s="131" t="n"/>
      <c r="E74" s="132" t="n"/>
      <c r="F74" s="126" t="n">
        <v>2</v>
      </c>
    </row>
    <row r="75">
      <c r="A75" s="125" t="inlineStr">
        <is>
          <t>3. ชุดล็อค</t>
        </is>
      </c>
      <c r="B75" s="131" t="n"/>
      <c r="C75" s="131" t="n"/>
      <c r="D75" s="131" t="n"/>
      <c r="E75" s="132" t="n"/>
      <c r="F75" s="126" t="n">
        <v>1</v>
      </c>
    </row>
    <row r="76">
      <c r="A76" s="125" t="inlineStr">
        <is>
          <t>4. น็อตประกอบ</t>
        </is>
      </c>
      <c r="B76" s="131" t="n"/>
      <c r="C76" s="131" t="n"/>
      <c r="D76" s="131" t="n"/>
      <c r="E76" s="132" t="n"/>
      <c r="F76" s="126" t="n">
        <v>4</v>
      </c>
    </row>
    <row r="77">
      <c r="A77" s="127" t="inlineStr">
        <is>
          <t>+ สักหลาด/ยาง/ซิลิโคน = ตามขนาด (ดูชีทคิดทุน)</t>
        </is>
      </c>
      <c r="B77" s="131" t="n"/>
      <c r="C77" s="131" t="n"/>
      <c r="D77" s="131" t="n"/>
      <c r="E77" s="131" t="n"/>
      <c r="F77" s="132" t="n"/>
    </row>
  </sheetData>
  <mergeCells count="79">
    <mergeCell ref="AK7:AL7"/>
    <mergeCell ref="O6:P6"/>
    <mergeCell ref="K7:N7"/>
    <mergeCell ref="E8:F8"/>
    <mergeCell ref="O7:R7"/>
    <mergeCell ref="AC8:AD8"/>
    <mergeCell ref="AE8:AF8"/>
    <mergeCell ref="Y7:Z7"/>
    <mergeCell ref="AA7:AB7"/>
    <mergeCell ref="D8:D9"/>
    <mergeCell ref="A7:D7"/>
    <mergeCell ref="S7:V7"/>
    <mergeCell ref="Q9:R9"/>
    <mergeCell ref="S9:T9"/>
    <mergeCell ref="M8:N8"/>
    <mergeCell ref="AC9:AD9"/>
    <mergeCell ref="O8:P8"/>
    <mergeCell ref="AE9:AF9"/>
    <mergeCell ref="AE7:AJ7"/>
    <mergeCell ref="I6:J6"/>
    <mergeCell ref="U6:V6"/>
    <mergeCell ref="W6:X6"/>
    <mergeCell ref="AK9:AL9"/>
    <mergeCell ref="G7:H7"/>
    <mergeCell ref="AA6:AB6"/>
    <mergeCell ref="I7:J7"/>
    <mergeCell ref="A30:D30"/>
    <mergeCell ref="A75:E75"/>
    <mergeCell ref="W7:X7"/>
    <mergeCell ref="A8:A9"/>
    <mergeCell ref="I8:J8"/>
    <mergeCell ref="U8:V8"/>
    <mergeCell ref="W8:X8"/>
    <mergeCell ref="Y8:Z8"/>
    <mergeCell ref="K6:L6"/>
    <mergeCell ref="G9:H9"/>
    <mergeCell ref="AA8:AB8"/>
    <mergeCell ref="I9:J9"/>
    <mergeCell ref="U9:V9"/>
    <mergeCell ref="A73:E73"/>
    <mergeCell ref="K9:L9"/>
    <mergeCell ref="M9:N9"/>
    <mergeCell ref="O9:P9"/>
    <mergeCell ref="Y9:Z9"/>
    <mergeCell ref="AA9:AB9"/>
    <mergeCell ref="AG6:AH6"/>
    <mergeCell ref="AI6:AJ6"/>
    <mergeCell ref="S30:U30"/>
    <mergeCell ref="E6:F6"/>
    <mergeCell ref="K8:L8"/>
    <mergeCell ref="Q6:R6"/>
    <mergeCell ref="S6:T6"/>
    <mergeCell ref="AE30:AI30"/>
    <mergeCell ref="E7:F7"/>
    <mergeCell ref="A72:E72"/>
    <mergeCell ref="AG8:AH8"/>
    <mergeCell ref="AI8:AJ8"/>
    <mergeCell ref="AC7:AD7"/>
    <mergeCell ref="G8:H8"/>
    <mergeCell ref="Q8:R8"/>
    <mergeCell ref="AG9:AH9"/>
    <mergeCell ref="S8:T8"/>
    <mergeCell ref="AI9:AJ9"/>
    <mergeCell ref="G6:H6"/>
    <mergeCell ref="E9:F9"/>
    <mergeCell ref="A74:E74"/>
    <mergeCell ref="A6:D6"/>
    <mergeCell ref="M6:N6"/>
    <mergeCell ref="A76:E76"/>
    <mergeCell ref="Y6:Z6"/>
    <mergeCell ref="A77:F77"/>
    <mergeCell ref="K30:M30"/>
    <mergeCell ref="W9:X9"/>
    <mergeCell ref="B8:C9"/>
    <mergeCell ref="AK6:AL6"/>
    <mergeCell ref="AC6:AD6"/>
    <mergeCell ref="AE6:AF6"/>
    <mergeCell ref="AK8:AL8"/>
    <mergeCell ref="O30:Q3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5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</cols>
  <sheetData>
    <row r="1" ht="40.15" customHeight="1">
      <c r="A1" s="1" t="inlineStr">
        <is>
          <t>JR ALUMINIUM &amp; GLASS  —  ใบรายการตัด · FUJI เลื่อนแบ่ง4   (หน่วย: มม.)</t>
        </is>
      </c>
      <c r="B1" s="2" t="n"/>
      <c r="D1" s="3" t="n"/>
      <c r="E1" s="4" t="n"/>
      <c r="F1" s="3" t="n"/>
      <c r="G1" s="4" t="n"/>
      <c r="H1" s="3" t="n"/>
      <c r="I1" s="3" t="n"/>
      <c r="J1" s="3" t="n"/>
      <c r="K1" s="6" t="n"/>
      <c r="L1" s="6" t="n"/>
      <c r="M1" s="5" t="n"/>
      <c r="N1" s="5" t="n"/>
      <c r="O1" s="3" t="n"/>
      <c r="P1" s="7" t="n"/>
      <c r="Q1" s="5" t="n"/>
      <c r="R1" s="5" t="n"/>
      <c r="S1" s="6" t="n"/>
      <c r="T1" s="6" t="n"/>
      <c r="U1" s="5" t="n"/>
      <c r="V1" s="5" t="n"/>
      <c r="W1" s="5" t="n"/>
      <c r="X1" s="5" t="n"/>
      <c r="Y1" s="3" t="n"/>
      <c r="Z1" s="3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</row>
    <row r="2" ht="40.15" customHeight="1">
      <c r="A2" s="6" t="n"/>
      <c r="B2" s="6" t="n"/>
      <c r="C2" s="6" t="n"/>
      <c r="D2" s="6" t="n"/>
      <c r="E2" s="8" t="n"/>
      <c r="F2" s="6" t="n"/>
      <c r="G2" s="8" t="n"/>
      <c r="H2" s="6" t="n"/>
      <c r="I2" s="6" t="n"/>
      <c r="J2" s="6" t="n"/>
      <c r="K2" s="6" t="n"/>
      <c r="L2" s="6" t="n"/>
      <c r="M2" s="9" t="n"/>
      <c r="N2" s="9" t="n"/>
      <c r="O2" s="6" t="n"/>
      <c r="P2" s="6" t="n"/>
      <c r="Q2" s="9" t="n"/>
      <c r="R2" s="9" t="n"/>
      <c r="S2" s="9" t="n"/>
      <c r="T2" s="9" t="n"/>
      <c r="U2" s="9" t="n"/>
      <c r="V2" s="9" t="n"/>
      <c r="W2" s="9" t="n"/>
      <c r="X2" s="9" t="n"/>
      <c r="Y2" s="6" t="n"/>
      <c r="Z2" s="6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</row>
    <row r="3" ht="40.15" customHeight="1">
      <c r="A3" s="130">
        <f>HYPERLINK("#สารบัญ!A1","← สารบัญ")</f>
        <v/>
      </c>
      <c r="B3" s="84" t="n"/>
      <c r="C3" s="85" t="n"/>
      <c r="D3" s="6" t="n"/>
      <c r="E3" s="8" t="n"/>
      <c r="F3" s="6" t="n"/>
      <c r="G3" s="8" t="n"/>
      <c r="H3" s="6" t="n"/>
      <c r="I3" s="6" t="n"/>
      <c r="J3" s="6" t="n"/>
      <c r="K3" s="6" t="n"/>
      <c r="L3" s="6" t="n"/>
      <c r="M3" s="11" t="n"/>
      <c r="N3" s="11" t="n"/>
      <c r="O3" s="6" t="n"/>
      <c r="P3" s="6" t="n"/>
      <c r="Q3" s="11" t="n"/>
      <c r="R3" s="11" t="n"/>
      <c r="U3" s="11" t="n"/>
      <c r="V3" s="11" t="n"/>
      <c r="W3" s="11" t="n"/>
      <c r="X3" s="11" t="n"/>
      <c r="Y3" s="6" t="n"/>
      <c r="Z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 ht="40.15" customHeight="1">
      <c r="A4" s="6" t="n"/>
      <c r="B4" s="6" t="n"/>
      <c r="C4" s="6" t="n"/>
      <c r="F4" s="6" t="n"/>
      <c r="H4" s="6" t="n"/>
      <c r="I4" s="6" t="n"/>
      <c r="J4" s="6" t="n"/>
      <c r="K4" s="6" t="n"/>
      <c r="L4" s="6" t="n"/>
      <c r="O4" s="6" t="n"/>
      <c r="P4" s="6" t="n"/>
      <c r="Y4" s="6" t="n"/>
      <c r="Z4" s="6" t="n"/>
    </row>
    <row r="5" ht="40.15" customHeight="1">
      <c r="A5" s="6" t="n"/>
      <c r="B5" s="6" t="n"/>
      <c r="C5" s="6" t="n"/>
      <c r="D5" s="6" t="n"/>
      <c r="E5" s="8" t="n"/>
      <c r="F5" s="6" t="n"/>
      <c r="G5" s="8" t="n"/>
      <c r="H5" s="6" t="n"/>
      <c r="I5" s="6" t="n"/>
      <c r="J5" s="6" t="n"/>
      <c r="L5" s="6" t="n"/>
      <c r="O5" s="6" t="n"/>
      <c r="P5" s="6" t="n"/>
      <c r="Y5" s="6" t="n"/>
      <c r="Z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สูง-21-19-13-21</t>
        </is>
      </c>
      <c r="J6" s="17" t="n"/>
      <c r="K6" s="16" t="inlineStr">
        <is>
          <t>((กว้าง-21-4.5-2.4-21)/4)+(78x2/4)</t>
        </is>
      </c>
      <c r="L6" s="17" t="n"/>
      <c r="M6" s="16" t="inlineStr">
        <is>
          <t>เสา-78-78</t>
        </is>
      </c>
      <c r="N6" s="17" t="n"/>
      <c r="O6" s="16" t="inlineStr">
        <is>
          <t>ขวาง-63-63</t>
        </is>
      </c>
      <c r="P6" s="17" t="n"/>
      <c r="Q6" s="16" t="inlineStr">
        <is>
          <t>สูงกรอบบาน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6" t="inlineStr">
        <is>
          <t>กว้าง</t>
        </is>
      </c>
      <c r="AH6" s="17" t="n"/>
      <c r="AI6" s="18" t="n"/>
      <c r="AJ6" s="18" t="n"/>
      <c r="AK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F7980</t>
        </is>
      </c>
      <c r="J7" s="14" t="n"/>
      <c r="K7" s="14" t="n"/>
      <c r="L7" s="15" t="n"/>
      <c r="M7" s="22" t="inlineStr">
        <is>
          <t>F7917</t>
        </is>
      </c>
      <c r="N7" s="14" t="n"/>
      <c r="O7" s="14" t="n"/>
      <c r="P7" s="15" t="n"/>
      <c r="Q7" s="22" t="inlineStr">
        <is>
          <t>F7925</t>
        </is>
      </c>
      <c r="R7" s="15" t="n"/>
      <c r="S7" s="22" t="inlineStr">
        <is>
          <t>F7983</t>
        </is>
      </c>
      <c r="T7" s="15" t="n"/>
      <c r="U7" s="23" t="inlineStr">
        <is>
          <t>F7986</t>
        </is>
      </c>
      <c r="V7" s="15" t="n"/>
      <c r="W7" s="86" t="inlineStr">
        <is>
          <t>F7993</t>
        </is>
      </c>
      <c r="X7" s="14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2" t="inlineStr">
        <is>
          <t>F7992</t>
        </is>
      </c>
      <c r="AH7" s="15" t="n"/>
      <c r="AI7" s="24" t="n"/>
      <c r="AJ7" s="25" t="inlineStr">
        <is>
          <t>ขนาดกระจก</t>
        </is>
      </c>
      <c r="AK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4" t="n"/>
      <c r="L8" s="31" t="n"/>
      <c r="M8" s="32" t="n"/>
      <c r="N8" s="33" t="n"/>
      <c r="O8" s="34" t="n"/>
      <c r="P8" s="31" t="n"/>
      <c r="Q8" s="34" t="n"/>
      <c r="R8" s="31" t="n"/>
      <c r="S8" s="30" t="n"/>
      <c r="T8" s="31" t="n"/>
      <c r="U8" s="34" t="n"/>
      <c r="V8" s="31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0" t="n"/>
      <c r="AH8" s="31" t="n"/>
      <c r="AI8" s="36" t="n"/>
      <c r="AJ8" s="37" t="inlineStr">
        <is>
          <t>กรอบบาน</t>
        </is>
      </c>
      <c r="AK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เสา</t>
        </is>
      </c>
      <c r="J9" s="43" t="n"/>
      <c r="K9" s="42" t="inlineStr">
        <is>
          <t>ขวาง</t>
        </is>
      </c>
      <c r="L9" s="43" t="n"/>
      <c r="M9" s="42" t="inlineStr">
        <is>
          <t>คิ้ว ตั้ง</t>
        </is>
      </c>
      <c r="N9" s="43" t="n"/>
      <c r="O9" s="42" t="inlineStr">
        <is>
          <t>คิ้ว ขวาง</t>
        </is>
      </c>
      <c r="P9" s="43" t="n"/>
      <c r="Q9" s="42" t="inlineStr">
        <is>
          <t>เฟรม ล่าง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2" t="inlineStr">
        <is>
          <t>ปิดตบเกี่ยว</t>
        </is>
      </c>
      <c r="Z9" s="43" t="n"/>
      <c r="AA9" s="42" t="inlineStr">
        <is>
          <t>ปิดรับล็อค</t>
        </is>
      </c>
      <c r="AB9" s="43" t="n"/>
      <c r="AC9" s="42" t="inlineStr">
        <is>
          <t>ปิดตบกันสาด</t>
        </is>
      </c>
      <c r="AD9" s="43" t="n"/>
      <c r="AE9" s="44" t="inlineStr">
        <is>
          <t>รางเลื่อน</t>
        </is>
      </c>
      <c r="AF9" s="43" t="n"/>
      <c r="AG9" s="42" t="inlineStr">
        <is>
          <t>ตบกันสาด</t>
        </is>
      </c>
      <c r="AH9" s="43" t="n"/>
      <c r="AI9" s="45" t="inlineStr">
        <is>
          <t>SH-68-68</t>
        </is>
      </c>
      <c r="AJ9" s="46" t="inlineStr">
        <is>
          <t>SW-68-68</t>
        </is>
      </c>
      <c r="AK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</row>
    <row r="11" ht="40.15" customHeight="1">
      <c r="A11" s="87" t="n">
        <v>11</v>
      </c>
      <c r="B11" s="88" t="n">
        <v>2700</v>
      </c>
      <c r="C11" s="89" t="n">
        <v>4750</v>
      </c>
      <c r="D11" s="90" t="n">
        <v>6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IF($A11="","",$B11-$E$56-$F$56-$G$56-$H$56)</f>
        <v/>
      </c>
      <c r="J11" s="89">
        <f>IF($A11="","",$L$56*$D11)</f>
        <v/>
      </c>
      <c r="K11" s="91">
        <f>IF($A11="","",(($C11-$E$57-$F$57-$G$57-$H$57)/4)+(78*2)/4)</f>
        <v/>
      </c>
      <c r="L11" s="89">
        <f>IF($A11="","",$L$57*$D11)</f>
        <v/>
      </c>
      <c r="M11" s="91">
        <f>IF($A11="","",$I11-$E$58-$F$58)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IF($A11="","",$I11)</f>
        <v/>
      </c>
      <c r="R11" s="89">
        <f>IF($A11="","",$L$60*$D11)</f>
        <v/>
      </c>
      <c r="S11" s="91">
        <f>IF($A11="","",$I11)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IF($A11="","",$G11)</f>
        <v/>
      </c>
      <c r="X11" s="89">
        <f>IF($A11="","",$L$63*$D11)</f>
        <v/>
      </c>
      <c r="Y11" s="91">
        <f>IF($A11="","",$S11)</f>
        <v/>
      </c>
      <c r="Z11" s="89">
        <f>IF($A11="","",$L$64*$D11)</f>
        <v/>
      </c>
      <c r="AA11" s="91">
        <f>IF($A11="","",$I11)</f>
        <v/>
      </c>
      <c r="AB11" s="89">
        <f>IF($A11="","",$L$65*$D11)</f>
        <v/>
      </c>
      <c r="AC11" s="91">
        <f>IF($A11="","",$C11)</f>
        <v/>
      </c>
      <c r="AD11" s="92">
        <f>IF($A11="","",$L$66*$D11)</f>
        <v/>
      </c>
      <c r="AE11" s="91">
        <f>IF($A11="","",$G11)</f>
        <v/>
      </c>
      <c r="AF11" s="89">
        <f>IF($A11="","",$L$67*$D11)</f>
        <v/>
      </c>
      <c r="AG11" s="91">
        <f>IF($A11="","",$C11)</f>
        <v/>
      </c>
      <c r="AH11" s="92">
        <f>IF($A11="","",$L$68*$D11)</f>
        <v/>
      </c>
      <c r="AI11" s="93">
        <f>IF($A11="","",$I11-68-68)</f>
        <v/>
      </c>
      <c r="AJ11" s="94">
        <f>IF($A11="","",$K11-68-68)</f>
        <v/>
      </c>
      <c r="AK11" s="95">
        <f>IF($A11="","",4*$D11)</f>
        <v/>
      </c>
    </row>
    <row r="12" ht="40.15" customHeight="1">
      <c r="A12" s="87" t="n">
        <v>35</v>
      </c>
      <c r="B12" s="88" t="n">
        <v>2700</v>
      </c>
      <c r="C12" s="89" t="n">
        <v>5000</v>
      </c>
      <c r="D12" s="90" t="n">
        <v>6</v>
      </c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IF($A12="","",$B12-$E$56-$F$56-$G$56-$H$56)</f>
        <v/>
      </c>
      <c r="J12" s="97">
        <f>IF($A12="","",$L$56*$D12)</f>
        <v/>
      </c>
      <c r="K12" s="96">
        <f>IF($A12="","",(($C12-$E$57-$F$57-$G$57-$H$57)/4)+(78*2)/4)</f>
        <v/>
      </c>
      <c r="L12" s="97">
        <f>IF($A12="","",$L$57*$D12)</f>
        <v/>
      </c>
      <c r="M12" s="96">
        <f>IF($A12="","",$I12-$E$58-$F$58)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IF($A12="","",$I12)</f>
        <v/>
      </c>
      <c r="R12" s="97">
        <f>IF($A12="","",$L$60*$D12)</f>
        <v/>
      </c>
      <c r="S12" s="96">
        <f>IF($A12="","",$I12)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IF($A12="","",$G12)</f>
        <v/>
      </c>
      <c r="X12" s="97">
        <f>IF($A12="","",$L$63*$D12)</f>
        <v/>
      </c>
      <c r="Y12" s="96">
        <f>IF($A12="","",$S12)</f>
        <v/>
      </c>
      <c r="Z12" s="97">
        <f>IF($A12="","",$L$64*$D12)</f>
        <v/>
      </c>
      <c r="AA12" s="96">
        <f>IF($A12="","",$I12)</f>
        <v/>
      </c>
      <c r="AB12" s="97">
        <f>IF($A12="","",$L$65*$D12)</f>
        <v/>
      </c>
      <c r="AC12" s="96">
        <f>IF($A12="","",$G12)</f>
        <v/>
      </c>
      <c r="AD12" s="98">
        <f>IF($A12="","",$L$66*$D12)</f>
        <v/>
      </c>
      <c r="AE12" s="96">
        <f>IF($A12="","",$G12)</f>
        <v/>
      </c>
      <c r="AF12" s="97">
        <f>IF($A12="","",$L$67*$D12)</f>
        <v/>
      </c>
      <c r="AG12" s="96">
        <f>IF($A12="","",$C12)</f>
        <v/>
      </c>
      <c r="AH12" s="98">
        <f>IF($A12="","",$L$68*$D12)</f>
        <v/>
      </c>
      <c r="AI12" s="93">
        <f>IF($A12="","",$I12-68-68)</f>
        <v/>
      </c>
      <c r="AJ12" s="94">
        <f>IF($A12="","",$K12-68-68)</f>
        <v/>
      </c>
      <c r="AK12" s="95">
        <f>IF($A12="","",4*$D12)</f>
        <v/>
      </c>
    </row>
    <row r="13" ht="40.15" customHeight="1">
      <c r="A13" s="99" t="n">
        <v>39</v>
      </c>
      <c r="B13" s="88" t="n">
        <v>2750</v>
      </c>
      <c r="C13" s="89" t="n">
        <v>4750</v>
      </c>
      <c r="D13" s="90" t="n">
        <v>1</v>
      </c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IF($A13="","",$B13-$E$56-$F$56-$G$56-$H$56)</f>
        <v/>
      </c>
      <c r="J13" s="89">
        <f>IF($A13="","",$L$56*$D13)</f>
        <v/>
      </c>
      <c r="K13" s="91">
        <f>IF($A13="","",(($C13-$E$57-$F$57-$G$57-$H$57)/4)+(78*2)/4)</f>
        <v/>
      </c>
      <c r="L13" s="89">
        <f>IF($A13="","",$L$57*$D13)</f>
        <v/>
      </c>
      <c r="M13" s="91">
        <f>IF($A13="","",$I13-$E$58-$F$58)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IF($A13="","",$I13)</f>
        <v/>
      </c>
      <c r="R13" s="89">
        <f>IF($A13="","",$L$60*$D13)</f>
        <v/>
      </c>
      <c r="S13" s="91">
        <f>IF($A13="","",$I13)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IF($A13="","",$G13)</f>
        <v/>
      </c>
      <c r="X13" s="89">
        <f>IF($A13="","",$L$63*$D13)</f>
        <v/>
      </c>
      <c r="Y13" s="91">
        <f>IF($A13="","",$S13)</f>
        <v/>
      </c>
      <c r="Z13" s="89">
        <f>IF($A13="","",$L$64*$D13)</f>
        <v/>
      </c>
      <c r="AA13" s="91">
        <f>IF($A13="","",$I13)</f>
        <v/>
      </c>
      <c r="AB13" s="89">
        <f>IF($A13="","",$L$65*$D13)</f>
        <v/>
      </c>
      <c r="AC13" s="91">
        <f>IF($A13="","",$G13)</f>
        <v/>
      </c>
      <c r="AD13" s="92">
        <f>IF($A13="","",$L$66*$D13)</f>
        <v/>
      </c>
      <c r="AE13" s="91">
        <f>IF($A13="","",$G13)</f>
        <v/>
      </c>
      <c r="AF13" s="89">
        <f>IF($A13="","",$L$67*$D13)</f>
        <v/>
      </c>
      <c r="AG13" s="91">
        <f>IF($A13="","",$C13)</f>
        <v/>
      </c>
      <c r="AH13" s="92">
        <f>IF($A13="","",$L$68*$D13)</f>
        <v/>
      </c>
      <c r="AI13" s="93">
        <f>IF($A13="","",$I13-68-68)</f>
        <v/>
      </c>
      <c r="AJ13" s="94">
        <f>IF($A13="","",$K13-68-68)</f>
        <v/>
      </c>
      <c r="AK13" s="95">
        <f>IF($A13="","",4*$D13)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IF($A14="","",$B14-$E$56-$F$56-$G$56-$H$56)</f>
        <v/>
      </c>
      <c r="J14" s="97">
        <f>IF($A14="","",$L$56*$D14)</f>
        <v/>
      </c>
      <c r="K14" s="96">
        <f>IF($A14="","",(($C14-$E$57-$F$57-$G$57-$H$57)/4)+(78*2)/4)</f>
        <v/>
      </c>
      <c r="L14" s="97">
        <f>IF($A14="","",$L$57*$D14)</f>
        <v/>
      </c>
      <c r="M14" s="96">
        <f>IF($A14="","",$I14-$E$58-$F$58)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IF($A14="","",$I14)</f>
        <v/>
      </c>
      <c r="R14" s="97">
        <f>IF($A14="","",$L$60*$D14)</f>
        <v/>
      </c>
      <c r="S14" s="96">
        <f>IF($A14="","",$I14)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IF($A14="","",$G14)</f>
        <v/>
      </c>
      <c r="X14" s="97">
        <f>IF($A14="","",$L$63*$D14)</f>
        <v/>
      </c>
      <c r="Y14" s="96">
        <f>IF($A14="","",$S14)</f>
        <v/>
      </c>
      <c r="Z14" s="97">
        <f>IF($A14="","",$L$64*$D14)</f>
        <v/>
      </c>
      <c r="AA14" s="96">
        <f>IF($A14="","",$I14)</f>
        <v/>
      </c>
      <c r="AB14" s="97">
        <f>IF($A14="","",$L$65*$D14)</f>
        <v/>
      </c>
      <c r="AC14" s="96">
        <f>IF($A14="","",$G14)</f>
        <v/>
      </c>
      <c r="AD14" s="98">
        <f>IF($A14="","",$L$66*$D14)</f>
        <v/>
      </c>
      <c r="AE14" s="96">
        <f>IF($A14="","",$G14)</f>
        <v/>
      </c>
      <c r="AF14" s="97">
        <f>IF($A14="","",$L$67*$D14)</f>
        <v/>
      </c>
      <c r="AG14" s="96">
        <f>IF($A14="","",$C14)</f>
        <v/>
      </c>
      <c r="AH14" s="98">
        <f>IF($A14="","",$L$68*$D14)</f>
        <v/>
      </c>
      <c r="AI14" s="93">
        <f>IF($A14="","",$I14-68-68)</f>
        <v/>
      </c>
      <c r="AJ14" s="94">
        <f>IF($A14="","",$K14-68-68)</f>
        <v/>
      </c>
      <c r="AK14" s="95">
        <f>IF($A14="","",4*$D14)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IF($A15="","",$B15-$E$56-$F$56-$G$56-$H$56)</f>
        <v/>
      </c>
      <c r="J15" s="89">
        <f>IF($A15="","",$L$56*$D15)</f>
        <v/>
      </c>
      <c r="K15" s="91">
        <f>IF($A15="","",(($C15-$E$57-$F$57-$G$57-$H$57)/4)+(78*2)/4)</f>
        <v/>
      </c>
      <c r="L15" s="89">
        <f>IF($A15="","",$L$57*$D15)</f>
        <v/>
      </c>
      <c r="M15" s="91">
        <f>IF($A15="","",$I15-$E$58-$F$58)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IF($A15="","",$I15)</f>
        <v/>
      </c>
      <c r="R15" s="89">
        <f>IF($A15="","",$L$60*$D15)</f>
        <v/>
      </c>
      <c r="S15" s="91">
        <f>IF($A15="","",$I15)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IF($A15="","",$G15)</f>
        <v/>
      </c>
      <c r="X15" s="89">
        <f>IF($A15="","",$L$63*$D15)</f>
        <v/>
      </c>
      <c r="Y15" s="91">
        <f>IF($A15="","",$S15)</f>
        <v/>
      </c>
      <c r="Z15" s="89">
        <f>IF($A15="","",$L$64*$D15)</f>
        <v/>
      </c>
      <c r="AA15" s="91">
        <f>IF($A15="","",$I15)</f>
        <v/>
      </c>
      <c r="AB15" s="89">
        <f>IF($A15="","",$L$65*$D15)</f>
        <v/>
      </c>
      <c r="AC15" s="91">
        <f>IF($A15="","",$G15)</f>
        <v/>
      </c>
      <c r="AD15" s="92">
        <f>IF($A15="","",$L$66*$D15)</f>
        <v/>
      </c>
      <c r="AE15" s="91">
        <f>IF($A15="","",$G15)</f>
        <v/>
      </c>
      <c r="AF15" s="89">
        <f>IF($A15="","",$L$67*$D15)</f>
        <v/>
      </c>
      <c r="AG15" s="91">
        <f>IF($A15="","",$C15)</f>
        <v/>
      </c>
      <c r="AH15" s="92">
        <f>IF($A15="","",$L$68*$D15)</f>
        <v/>
      </c>
      <c r="AI15" s="93">
        <f>IF($A15="","",$I15-68-68)</f>
        <v/>
      </c>
      <c r="AJ15" s="94">
        <f>IF($A15="","",$K15-68-68)</f>
        <v/>
      </c>
      <c r="AK15" s="95">
        <f>IF($A15="","",4*$D15)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IF($A16="","",$B16-$E$56-$F$56-$G$56-$H$56)</f>
        <v/>
      </c>
      <c r="J16" s="97">
        <f>IF($A16="","",$L$56*$D16)</f>
        <v/>
      </c>
      <c r="K16" s="96">
        <f>IF($A16="","",(($C16-$E$57-$F$57-$G$57-$H$57)/4)+(78*2)/4)</f>
        <v/>
      </c>
      <c r="L16" s="97">
        <f>IF($A16="","",$L$57*$D16)</f>
        <v/>
      </c>
      <c r="M16" s="96">
        <f>IF($A16="","",$I16-$E$58-$F$58)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IF($A16="","",$I16)</f>
        <v/>
      </c>
      <c r="R16" s="97">
        <f>IF($A16="","",$L$60*$D16)</f>
        <v/>
      </c>
      <c r="S16" s="96">
        <f>IF($A16="","",$I16)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IF($A16="","",$G16)</f>
        <v/>
      </c>
      <c r="X16" s="97">
        <f>IF($A16="","",$L$63*$D16)</f>
        <v/>
      </c>
      <c r="Y16" s="96">
        <f>IF($A16="","",$S16)</f>
        <v/>
      </c>
      <c r="Z16" s="97">
        <f>IF($A16="","",$L$64*$D16)</f>
        <v/>
      </c>
      <c r="AA16" s="96">
        <f>IF($A16="","",$I16)</f>
        <v/>
      </c>
      <c r="AB16" s="97">
        <f>IF($A16="","",$L$65*$D16)</f>
        <v/>
      </c>
      <c r="AC16" s="96">
        <f>IF($A16="","",$G16)</f>
        <v/>
      </c>
      <c r="AD16" s="98">
        <f>IF($A16="","",$L$66*$D16)</f>
        <v/>
      </c>
      <c r="AE16" s="96">
        <f>IF($A16="","",$G16)</f>
        <v/>
      </c>
      <c r="AF16" s="97">
        <f>IF($A16="","",$L$67*$D16)</f>
        <v/>
      </c>
      <c r="AG16" s="96">
        <f>IF($A16="","",$C16)</f>
        <v/>
      </c>
      <c r="AH16" s="98">
        <f>IF($A16="","",$L$68*$D16)</f>
        <v/>
      </c>
      <c r="AI16" s="93">
        <f>IF($A16="","",$I16-68-68)</f>
        <v/>
      </c>
      <c r="AJ16" s="94">
        <f>IF($A16="","",$K16-68-68)</f>
        <v/>
      </c>
      <c r="AK16" s="95">
        <f>IF($A16="","",4*$D16)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IF($A17="","",$B17-$E$56-$F$56-$G$56-$H$56)</f>
        <v/>
      </c>
      <c r="J17" s="89">
        <f>IF($A17="","",$L$56*$D17)</f>
        <v/>
      </c>
      <c r="K17" s="91">
        <f>IF($A17="","",(($C17-$E$57-$F$57-$G$57-$H$57)/4)+(78*2)/4)</f>
        <v/>
      </c>
      <c r="L17" s="89">
        <f>IF($A17="","",$L$57*$D17)</f>
        <v/>
      </c>
      <c r="M17" s="91">
        <f>IF($A17="","",$I17-$E$58-$F$58)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IF($A17="","",$I17)</f>
        <v/>
      </c>
      <c r="R17" s="89">
        <f>IF($A17="","",$L$60*$D17)</f>
        <v/>
      </c>
      <c r="S17" s="91">
        <f>IF($A17="","",$I17)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IF($A17="","",$G17)</f>
        <v/>
      </c>
      <c r="X17" s="89">
        <f>IF($A17="","",$L$63*$D17)</f>
        <v/>
      </c>
      <c r="Y17" s="91">
        <f>IF($A17="","",$S17)</f>
        <v/>
      </c>
      <c r="Z17" s="89">
        <f>IF($A17="","",$L$64*$D17)</f>
        <v/>
      </c>
      <c r="AA17" s="91">
        <f>IF($A17="","",$I17)</f>
        <v/>
      </c>
      <c r="AB17" s="89">
        <f>IF($A17="","",$L$65*$D17)</f>
        <v/>
      </c>
      <c r="AC17" s="91">
        <f>IF($A17="","",$G17)</f>
        <v/>
      </c>
      <c r="AD17" s="92">
        <f>IF($A17="","",$L$66*$D17)</f>
        <v/>
      </c>
      <c r="AE17" s="91">
        <f>IF($A17="","",$G17)</f>
        <v/>
      </c>
      <c r="AF17" s="89">
        <f>IF($A17="","",$L$67*$D17)</f>
        <v/>
      </c>
      <c r="AG17" s="91">
        <f>IF($A17="","",$C17)</f>
        <v/>
      </c>
      <c r="AH17" s="92">
        <f>IF($A17="","",$L$68*$D17)</f>
        <v/>
      </c>
      <c r="AI17" s="93">
        <f>IF($A17="","",$I17-68-68)</f>
        <v/>
      </c>
      <c r="AJ17" s="94">
        <f>IF($A17="","",$K17-68-68)</f>
        <v/>
      </c>
      <c r="AK17" s="95">
        <f>IF($A17="","",4*$D17)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IF($A18="","",$B18-$E$56-$F$56-$G$56-$H$56)</f>
        <v/>
      </c>
      <c r="J18" s="97">
        <f>IF($A18="","",$L$56*$D18)</f>
        <v/>
      </c>
      <c r="K18" s="96">
        <f>IF($A18="","",(($C18-$E$57-$F$57-$G$57-$H$57)/4)+(78*2)/4)</f>
        <v/>
      </c>
      <c r="L18" s="97">
        <f>IF($A18="","",$L$57*$D18)</f>
        <v/>
      </c>
      <c r="M18" s="96">
        <f>IF($A18="","",$I18-$E$58-$F$58)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IF($A18="","",$I18)</f>
        <v/>
      </c>
      <c r="R18" s="97">
        <f>IF($A18="","",$L$60*$D18)</f>
        <v/>
      </c>
      <c r="S18" s="96">
        <f>IF($A18="","",$I18)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IF($A18="","",$G18)</f>
        <v/>
      </c>
      <c r="X18" s="97">
        <f>IF($A18="","",$L$63*$D18)</f>
        <v/>
      </c>
      <c r="Y18" s="96">
        <f>IF($A18="","",$S18)</f>
        <v/>
      </c>
      <c r="Z18" s="97">
        <f>IF($A18="","",$L$64*$D18)</f>
        <v/>
      </c>
      <c r="AA18" s="96">
        <f>IF($A18="","",$I18)</f>
        <v/>
      </c>
      <c r="AB18" s="97">
        <f>IF($A18="","",$L$65*$D18)</f>
        <v/>
      </c>
      <c r="AC18" s="96">
        <f>IF($A18="","",$G18)</f>
        <v/>
      </c>
      <c r="AD18" s="98">
        <f>IF($A18="","",$L$66*$D18)</f>
        <v/>
      </c>
      <c r="AE18" s="96">
        <f>IF($A18="","",$G18)</f>
        <v/>
      </c>
      <c r="AF18" s="97">
        <f>IF($A18="","",$L$67*$D18)</f>
        <v/>
      </c>
      <c r="AG18" s="96">
        <f>IF($A18="","",$C18)</f>
        <v/>
      </c>
      <c r="AH18" s="98">
        <f>IF($A18="","",$L$68*$D18)</f>
        <v/>
      </c>
      <c r="AI18" s="93">
        <f>IF($A18="","",$I18-68-68)</f>
        <v/>
      </c>
      <c r="AJ18" s="94">
        <f>IF($A18="","",$K18-68-68)</f>
        <v/>
      </c>
      <c r="AK18" s="95">
        <f>IF($A18="","",4*$D18)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IF($A19="","",$B19-$E$56-$F$56-$G$56-$H$56)</f>
        <v/>
      </c>
      <c r="J19" s="89">
        <f>IF($A19="","",$L$56*$D19)</f>
        <v/>
      </c>
      <c r="K19" s="91">
        <f>IF($A19="","",(($C19-$E$57-$F$57-$G$57-$H$57)/4)+(78*2)/4)</f>
        <v/>
      </c>
      <c r="L19" s="89">
        <f>IF($A19="","",$L$57*$D19)</f>
        <v/>
      </c>
      <c r="M19" s="91">
        <f>IF($A19="","",$I19-$E$58-$F$58)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IF($A19="","",$I19)</f>
        <v/>
      </c>
      <c r="R19" s="89">
        <f>IF($A19="","",$L$60*$D19)</f>
        <v/>
      </c>
      <c r="S19" s="91">
        <f>IF($A19="","",$I19)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IF($A19="","",$G19)</f>
        <v/>
      </c>
      <c r="X19" s="89">
        <f>IF($A19="","",$L$63*$D19)</f>
        <v/>
      </c>
      <c r="Y19" s="91">
        <f>IF($A19="","",$S19)</f>
        <v/>
      </c>
      <c r="Z19" s="89">
        <f>IF($A19="","",$L$64*$D19)</f>
        <v/>
      </c>
      <c r="AA19" s="91">
        <f>IF($A19="","",$I19)</f>
        <v/>
      </c>
      <c r="AB19" s="89">
        <f>IF($A19="","",$L$65*$D19)</f>
        <v/>
      </c>
      <c r="AC19" s="91">
        <f>IF($A19="","",$G19)</f>
        <v/>
      </c>
      <c r="AD19" s="92">
        <f>IF($A19="","",$L$66*$D19)</f>
        <v/>
      </c>
      <c r="AE19" s="91">
        <f>IF($A19="","",$G19)</f>
        <v/>
      </c>
      <c r="AF19" s="89">
        <f>IF($A19="","",$L$67*$D19)</f>
        <v/>
      </c>
      <c r="AG19" s="91">
        <f>IF($A19="","",$C19)</f>
        <v/>
      </c>
      <c r="AH19" s="92">
        <f>IF($A19="","",$L$68*$D19)</f>
        <v/>
      </c>
      <c r="AI19" s="93">
        <f>IF($A19="","",$I19-68-68)</f>
        <v/>
      </c>
      <c r="AJ19" s="94">
        <f>IF($A19="","",$K19-68-68)</f>
        <v/>
      </c>
      <c r="AK19" s="95">
        <f>IF($A19="","",4*$D19)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IF($A20="","",$B20-$E$56-$F$56-$G$56-$H$56)</f>
        <v/>
      </c>
      <c r="J20" s="97">
        <f>IF($A20="","",$L$56*$D20)</f>
        <v/>
      </c>
      <c r="K20" s="96">
        <f>IF($A20="","",(($C20-$E$57-$F$57-$G$57-$H$57)/4)+(78*2)/4)</f>
        <v/>
      </c>
      <c r="L20" s="97">
        <f>IF($A20="","",$L$57*$D20)</f>
        <v/>
      </c>
      <c r="M20" s="96">
        <f>IF($A20="","",$I20-$E$58-$F$58)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IF($A20="","",$I20)</f>
        <v/>
      </c>
      <c r="R20" s="97">
        <f>IF($A20="","",$L$60*$D20)</f>
        <v/>
      </c>
      <c r="S20" s="96">
        <f>IF($A20="","",$I20)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IF($A20="","",$G20)</f>
        <v/>
      </c>
      <c r="X20" s="97">
        <f>IF($A20="","",$L$63*$D20)</f>
        <v/>
      </c>
      <c r="Y20" s="96">
        <f>IF($A20="","",$S20)</f>
        <v/>
      </c>
      <c r="Z20" s="97">
        <f>IF($A20="","",$L$64*$D20)</f>
        <v/>
      </c>
      <c r="AA20" s="96">
        <f>IF($A20="","",$I20)</f>
        <v/>
      </c>
      <c r="AB20" s="97">
        <f>IF($A20="","",$L$65*$D20)</f>
        <v/>
      </c>
      <c r="AC20" s="96">
        <f>IF($A20="","",$G20)</f>
        <v/>
      </c>
      <c r="AD20" s="98">
        <f>IF($A20="","",$L$66*$D20)</f>
        <v/>
      </c>
      <c r="AE20" s="96">
        <f>IF($A20="","",$G20)</f>
        <v/>
      </c>
      <c r="AF20" s="97">
        <f>IF($A20="","",$L$67*$D20)</f>
        <v/>
      </c>
      <c r="AG20" s="96">
        <f>IF($A20="","",$C20)</f>
        <v/>
      </c>
      <c r="AH20" s="98">
        <f>IF($A20="","",$L$68*$D20)</f>
        <v/>
      </c>
      <c r="AI20" s="93">
        <f>IF($A20="","",$I20-68-68)</f>
        <v/>
      </c>
      <c r="AJ20" s="94">
        <f>IF($A20="","",$K20-68-68)</f>
        <v/>
      </c>
      <c r="AK20" s="95">
        <f>IF($A20="","",4*$D20)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IF($A21="","",$B21-$E$56-$F$56-$G$56-$H$56)</f>
        <v/>
      </c>
      <c r="J21" s="89">
        <f>IF($A21="","",$L$56*$D21)</f>
        <v/>
      </c>
      <c r="K21" s="91">
        <f>IF($A21="","",(($C21-$E$57-$F$57-$G$57-$H$57)/4)+(78*2)/4)</f>
        <v/>
      </c>
      <c r="L21" s="89">
        <f>IF($A21="","",$L$57*$D21)</f>
        <v/>
      </c>
      <c r="M21" s="91">
        <f>IF($A21="","",$I21-$E$58-$F$58)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IF($A21="","",$I21)</f>
        <v/>
      </c>
      <c r="R21" s="89">
        <f>IF($A21="","",$L$60*$D21)</f>
        <v/>
      </c>
      <c r="S21" s="91">
        <f>IF($A21="","",$I21)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IF($A21="","",$G21)</f>
        <v/>
      </c>
      <c r="X21" s="89">
        <f>IF($A21="","",$L$63*$D21)</f>
        <v/>
      </c>
      <c r="Y21" s="91">
        <f>IF($A21="","",$S21)</f>
        <v/>
      </c>
      <c r="Z21" s="89">
        <f>IF($A21="","",$L$64*$D21)</f>
        <v/>
      </c>
      <c r="AA21" s="91">
        <f>IF($A21="","",$I21)</f>
        <v/>
      </c>
      <c r="AB21" s="89">
        <f>IF($A21="","",$L$65*$D21)</f>
        <v/>
      </c>
      <c r="AC21" s="91">
        <f>IF($A21="","",$G21)</f>
        <v/>
      </c>
      <c r="AD21" s="92">
        <f>IF($A21="","",$L$66*$D21)</f>
        <v/>
      </c>
      <c r="AE21" s="91">
        <f>IF($A21="","",$G21)</f>
        <v/>
      </c>
      <c r="AF21" s="89">
        <f>IF($A21="","",$L$67*$D21)</f>
        <v/>
      </c>
      <c r="AG21" s="91">
        <f>IF($A21="","",$C21)</f>
        <v/>
      </c>
      <c r="AH21" s="92">
        <f>IF($A21="","",$L$68*$D21)</f>
        <v/>
      </c>
      <c r="AI21" s="93">
        <f>IF($A21="","",$I21-68-68)</f>
        <v/>
      </c>
      <c r="AJ21" s="94">
        <f>IF($A21="","",$K21-68-68)</f>
        <v/>
      </c>
      <c r="AK21" s="95">
        <f>IF($A21="","",4*$D21)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IF($A22="","",$B22-$E$56-$F$56-$G$56-$H$56)</f>
        <v/>
      </c>
      <c r="J22" s="97">
        <f>IF($A22="","",$L$56*$D22)</f>
        <v/>
      </c>
      <c r="K22" s="96">
        <f>IF($A22="","",(($C22-$E$57-$F$57-$G$57-$H$57)/4)+(78*2)/4)</f>
        <v/>
      </c>
      <c r="L22" s="97">
        <f>IF($A22="","",$L$57*$D22)</f>
        <v/>
      </c>
      <c r="M22" s="96">
        <f>IF($A22="","",$I22-$E$58-$F$58)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IF($A22="","",$I22)</f>
        <v/>
      </c>
      <c r="R22" s="97">
        <f>IF($A22="","",$L$60*$D22)</f>
        <v/>
      </c>
      <c r="S22" s="96">
        <f>IF($A22="","",$I22)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IF($A22="","",$G22)</f>
        <v/>
      </c>
      <c r="X22" s="97">
        <f>IF($A22="","",$L$63*$D22)</f>
        <v/>
      </c>
      <c r="Y22" s="96">
        <f>IF($A22="","",$S22)</f>
        <v/>
      </c>
      <c r="Z22" s="97">
        <f>IF($A22="","",$L$64*$D22)</f>
        <v/>
      </c>
      <c r="AA22" s="96">
        <f>IF($A22="","",$I22)</f>
        <v/>
      </c>
      <c r="AB22" s="97">
        <f>IF($A22="","",$L$65*$D22)</f>
        <v/>
      </c>
      <c r="AC22" s="96">
        <f>IF($A22="","",$G22)</f>
        <v/>
      </c>
      <c r="AD22" s="98">
        <f>IF($A22="","",$L$66*$D22)</f>
        <v/>
      </c>
      <c r="AE22" s="96">
        <f>IF($A22="","",$G22)</f>
        <v/>
      </c>
      <c r="AF22" s="97">
        <f>IF($A22="","",$L$67*$D22)</f>
        <v/>
      </c>
      <c r="AG22" s="96">
        <f>IF($A22="","",$C22)</f>
        <v/>
      </c>
      <c r="AH22" s="98">
        <f>IF($A22="","",$L$68*$D22)</f>
        <v/>
      </c>
      <c r="AI22" s="93">
        <f>IF($A22="","",$I22-68-68)</f>
        <v/>
      </c>
      <c r="AJ22" s="94">
        <f>IF($A22="","",$K22-68-68)</f>
        <v/>
      </c>
      <c r="AK22" s="95">
        <f>IF($A22="","",4*$D22)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IF($A23="","",$B23-$E$56-$F$56-$G$56-$H$56)</f>
        <v/>
      </c>
      <c r="J23" s="89">
        <f>IF($A23="","",$L$56*$D23)</f>
        <v/>
      </c>
      <c r="K23" s="91">
        <f>IF($A23="","",(($C23-$E$57-$F$57-$G$57-$H$57)/4)+(78*2)/4)</f>
        <v/>
      </c>
      <c r="L23" s="89">
        <f>IF($A23="","",$L$57*$D23)</f>
        <v/>
      </c>
      <c r="M23" s="91">
        <f>IF($A23="","",$I23-$E$58-$F$58)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IF($A23="","",$I23)</f>
        <v/>
      </c>
      <c r="R23" s="89">
        <f>IF($A23="","",$L$60*$D23)</f>
        <v/>
      </c>
      <c r="S23" s="91">
        <f>IF($A23="","",$I23)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IF($A23="","",$G23)</f>
        <v/>
      </c>
      <c r="X23" s="89">
        <f>IF($A23="","",$L$63*$D23)</f>
        <v/>
      </c>
      <c r="Y23" s="91">
        <f>IF($A23="","",$S23)</f>
        <v/>
      </c>
      <c r="Z23" s="89">
        <f>IF($A23="","",$L$64*$D23)</f>
        <v/>
      </c>
      <c r="AA23" s="91">
        <f>IF($A23="","",$I23)</f>
        <v/>
      </c>
      <c r="AB23" s="89">
        <f>IF($A23="","",$L$65*$D23)</f>
        <v/>
      </c>
      <c r="AC23" s="91">
        <f>IF($A23="","",$G23)</f>
        <v/>
      </c>
      <c r="AD23" s="92">
        <f>IF($A23="","",$L$66*$D23)</f>
        <v/>
      </c>
      <c r="AE23" s="91">
        <f>IF($A23="","",$G23)</f>
        <v/>
      </c>
      <c r="AF23" s="89">
        <f>IF($A23="","",$L$67*$D23)</f>
        <v/>
      </c>
      <c r="AG23" s="91">
        <f>IF($A23="","",$C23)</f>
        <v/>
      </c>
      <c r="AH23" s="92">
        <f>IF($A23="","",$L$68*$D23)</f>
        <v/>
      </c>
      <c r="AI23" s="93">
        <f>IF($A23="","",$I23-68-68)</f>
        <v/>
      </c>
      <c r="AJ23" s="94">
        <f>IF($A23="","",$K23-68-68)</f>
        <v/>
      </c>
      <c r="AK23" s="95">
        <f>IF($A23="","",4*$D23)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IF($A24="","",$B24-$E$56-$F$56-$G$56-$H$56)</f>
        <v/>
      </c>
      <c r="J24" s="97">
        <f>IF($A24="","",$L$56*$D24)</f>
        <v/>
      </c>
      <c r="K24" s="96">
        <f>IF($A24="","",(($C24-$E$57-$F$57-$G$57-$H$57)/4)+(78*2)/4)</f>
        <v/>
      </c>
      <c r="L24" s="97">
        <f>IF($A24="","",$L$57*$D24)</f>
        <v/>
      </c>
      <c r="M24" s="96">
        <f>IF($A24="","",$I24-$E$58-$F$58)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IF($A24="","",$I24)</f>
        <v/>
      </c>
      <c r="R24" s="97">
        <f>IF($A24="","",$L$60*$D24)</f>
        <v/>
      </c>
      <c r="S24" s="96">
        <f>IF($A24="","",$I24)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IF($A24="","",$G24)</f>
        <v/>
      </c>
      <c r="X24" s="97">
        <f>IF($A24="","",$L$63*$D24)</f>
        <v/>
      </c>
      <c r="Y24" s="96">
        <f>IF($A24="","",$S24)</f>
        <v/>
      </c>
      <c r="Z24" s="97">
        <f>IF($A24="","",$L$64*$D24)</f>
        <v/>
      </c>
      <c r="AA24" s="96">
        <f>IF($A24="","",$I24)</f>
        <v/>
      </c>
      <c r="AB24" s="97">
        <f>IF($A24="","",$L$65*$D24)</f>
        <v/>
      </c>
      <c r="AC24" s="96">
        <f>IF($A24="","",$G24)</f>
        <v/>
      </c>
      <c r="AD24" s="98">
        <f>IF($A24="","",$L$66*$D24)</f>
        <v/>
      </c>
      <c r="AE24" s="96">
        <f>IF($A24="","",$G24)</f>
        <v/>
      </c>
      <c r="AF24" s="97">
        <f>IF($A24="","",$L$67*$D24)</f>
        <v/>
      </c>
      <c r="AG24" s="96">
        <f>IF($A24="","",$C24)</f>
        <v/>
      </c>
      <c r="AH24" s="98">
        <f>IF($A24="","",$L$68*$D24)</f>
        <v/>
      </c>
      <c r="AI24" s="93">
        <f>IF($A24="","",$I24-68-68)</f>
        <v/>
      </c>
      <c r="AJ24" s="94">
        <f>IF($A24="","",$K24-68-68)</f>
        <v/>
      </c>
      <c r="AK24" s="95">
        <f>IF($A24="","",4*$D24)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IF($A25="","",$B25-$E$56-$F$56-$G$56-$H$56)</f>
        <v/>
      </c>
      <c r="J25" s="89">
        <f>IF($A25="","",$L$56*$D25)</f>
        <v/>
      </c>
      <c r="K25" s="91">
        <f>IF($A25="","",(($C25-$E$57-$F$57-$G$57-$H$57)/4)+(78*2)/4)</f>
        <v/>
      </c>
      <c r="L25" s="89">
        <f>IF($A25="","",$L$57*$D25)</f>
        <v/>
      </c>
      <c r="M25" s="91">
        <f>IF($A25="","",$I25-$E$58-$F$58)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IF($A25="","",$I25)</f>
        <v/>
      </c>
      <c r="R25" s="89">
        <f>IF($A25="","",$L$60*$D25)</f>
        <v/>
      </c>
      <c r="S25" s="91">
        <f>IF($A25="","",$I25)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IF($A25="","",$G25)</f>
        <v/>
      </c>
      <c r="X25" s="89">
        <f>IF($A25="","",$L$63*$D25)</f>
        <v/>
      </c>
      <c r="Y25" s="91">
        <f>IF($A25="","",$S25)</f>
        <v/>
      </c>
      <c r="Z25" s="89">
        <f>IF($A25="","",$L$64*$D25)</f>
        <v/>
      </c>
      <c r="AA25" s="91">
        <f>IF($A25="","",$I25)</f>
        <v/>
      </c>
      <c r="AB25" s="89">
        <f>IF($A25="","",$L$65*$D25)</f>
        <v/>
      </c>
      <c r="AC25" s="91">
        <f>IF($A25="","",$G25)</f>
        <v/>
      </c>
      <c r="AD25" s="92">
        <f>IF($A25="","",$L$66*$D25)</f>
        <v/>
      </c>
      <c r="AE25" s="91">
        <f>IF($A25="","",$G25)</f>
        <v/>
      </c>
      <c r="AF25" s="89">
        <f>IF($A25="","",$L$67*$D25)</f>
        <v/>
      </c>
      <c r="AG25" s="91">
        <f>IF($A25="","",$C25)</f>
        <v/>
      </c>
      <c r="AH25" s="92">
        <f>IF($A25="","",$L$68*$D25)</f>
        <v/>
      </c>
      <c r="AI25" s="93">
        <f>IF($A25="","",$I25-68-68)</f>
        <v/>
      </c>
      <c r="AJ25" s="94">
        <f>IF($A25="","",$K25-68-68)</f>
        <v/>
      </c>
      <c r="AK25" s="95">
        <f>IF($A25="","",4*$D25)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IF($A26="","",$B26-$E$56-$F$56-$G$56-$H$56)</f>
        <v/>
      </c>
      <c r="J26" s="97">
        <f>IF($A26="","",$L$56*$D26)</f>
        <v/>
      </c>
      <c r="K26" s="96">
        <f>IF($A26="","",(($C26-$E$57-$F$57-$G$57-$H$57)/4)+(78*2)/4)</f>
        <v/>
      </c>
      <c r="L26" s="97">
        <f>IF($A26="","",$L$57*$D26)</f>
        <v/>
      </c>
      <c r="M26" s="96">
        <f>IF($A26="","",$I26-$E$58-$F$58)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IF($A26="","",$I26)</f>
        <v/>
      </c>
      <c r="R26" s="97">
        <f>IF($A26="","",$L$60*$D26)</f>
        <v/>
      </c>
      <c r="S26" s="96">
        <f>IF($A26="","",$I26)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IF($A26="","",$G26)</f>
        <v/>
      </c>
      <c r="X26" s="97">
        <f>IF($A26="","",$L$63*$D26)</f>
        <v/>
      </c>
      <c r="Y26" s="96">
        <f>IF($A26="","",$S26)</f>
        <v/>
      </c>
      <c r="Z26" s="97">
        <f>IF($A26="","",$L$64*$D26)</f>
        <v/>
      </c>
      <c r="AA26" s="96">
        <f>IF($A26="","",$I26)</f>
        <v/>
      </c>
      <c r="AB26" s="97">
        <f>IF($A26="","",$L$65*$D26)</f>
        <v/>
      </c>
      <c r="AC26" s="96">
        <f>IF($A26="","",$G26)</f>
        <v/>
      </c>
      <c r="AD26" s="98">
        <f>IF($A26="","",$L$66*$D26)</f>
        <v/>
      </c>
      <c r="AE26" s="96">
        <f>IF($A26="","",$G26)</f>
        <v/>
      </c>
      <c r="AF26" s="97">
        <f>IF($A26="","",$L$67*$D26)</f>
        <v/>
      </c>
      <c r="AG26" s="96">
        <f>IF($A26="","",$C26)</f>
        <v/>
      </c>
      <c r="AH26" s="98">
        <f>IF($A26="","",$L$68*$D26)</f>
        <v/>
      </c>
      <c r="AI26" s="93">
        <f>IF($A26="","",$I26-68-68)</f>
        <v/>
      </c>
      <c r="AJ26" s="94">
        <f>IF($A26="","",$K26-68-68)</f>
        <v/>
      </c>
      <c r="AK26" s="95">
        <f>IF($A26="","",4*$D26)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IF($A27="","",$B27-$E$56-$F$56-$G$56-$H$56)</f>
        <v/>
      </c>
      <c r="J27" s="89">
        <f>IF($A27="","",$L$56*$D27)</f>
        <v/>
      </c>
      <c r="K27" s="91">
        <f>IF($A27="","",(($C27-$E$57-$F$57-$G$57-$H$57)/4)+(78*2)/4)</f>
        <v/>
      </c>
      <c r="L27" s="89">
        <f>IF($A27="","",$L$57*$D27)</f>
        <v/>
      </c>
      <c r="M27" s="91">
        <f>IF($A27="","",$I27-$E$58-$F$58)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IF($A27="","",$I27)</f>
        <v/>
      </c>
      <c r="R27" s="89">
        <f>IF($A27="","",$L$60*$D27)</f>
        <v/>
      </c>
      <c r="S27" s="91">
        <f>IF($A27="","",$I27)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IF($A27="","",$G27)</f>
        <v/>
      </c>
      <c r="X27" s="89">
        <f>IF($A27="","",$L$63*$D27)</f>
        <v/>
      </c>
      <c r="Y27" s="91">
        <f>IF($A27="","",$S27)</f>
        <v/>
      </c>
      <c r="Z27" s="89">
        <f>IF($A27="","",$L$64*$D27)</f>
        <v/>
      </c>
      <c r="AA27" s="91">
        <f>IF($A27="","",$I27)</f>
        <v/>
      </c>
      <c r="AB27" s="89">
        <f>IF($A27="","",$L$65*$D27)</f>
        <v/>
      </c>
      <c r="AC27" s="91">
        <f>IF($A27="","",$G27)</f>
        <v/>
      </c>
      <c r="AD27" s="92">
        <f>IF($A27="","",$L$66*$D27)</f>
        <v/>
      </c>
      <c r="AE27" s="91">
        <f>IF($A27="","",$G27)</f>
        <v/>
      </c>
      <c r="AF27" s="89">
        <f>IF($A27="","",$L$67*$D27)</f>
        <v/>
      </c>
      <c r="AG27" s="91">
        <f>IF($A27="","",$C27)</f>
        <v/>
      </c>
      <c r="AH27" s="92">
        <f>IF($A27="","",$L$68*$D27)</f>
        <v/>
      </c>
      <c r="AI27" s="93">
        <f>IF($A27="","",$I27-68-68)</f>
        <v/>
      </c>
      <c r="AJ27" s="94">
        <f>IF($A27="","",$K27-68-68)</f>
        <v/>
      </c>
      <c r="AK27" s="95">
        <f>IF($A27="","",4*$D27)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IF($A28="","",$B28-$E$56-$F$56-$G$56-$H$56)</f>
        <v/>
      </c>
      <c r="J28" s="97">
        <f>IF($A28="","",$L$56*$D28)</f>
        <v/>
      </c>
      <c r="K28" s="96">
        <f>IF($A28="","",(($C28-$E$57-$F$57-$G$57-$H$57)/4)+(78*2)/4)</f>
        <v/>
      </c>
      <c r="L28" s="97">
        <f>IF($A28="","",$L$57*$D28)</f>
        <v/>
      </c>
      <c r="M28" s="96">
        <f>IF($A28="","",$I28-$E$58-$F$58)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IF($A28="","",$I28)</f>
        <v/>
      </c>
      <c r="R28" s="97">
        <f>IF($A28="","",$L$60*$D28)</f>
        <v/>
      </c>
      <c r="S28" s="96">
        <f>IF($A28="","",$I28)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IF($A28="","",$G28)</f>
        <v/>
      </c>
      <c r="X28" s="97">
        <f>IF($A28="","",$L$63*$D28)</f>
        <v/>
      </c>
      <c r="Y28" s="96">
        <f>IF($A28="","",$S28)</f>
        <v/>
      </c>
      <c r="Z28" s="97">
        <f>IF($A28="","",$L$64*$D28)</f>
        <v/>
      </c>
      <c r="AA28" s="96">
        <f>IF($A28="","",$I28)</f>
        <v/>
      </c>
      <c r="AB28" s="97">
        <f>IF($A28="","",$L$65*$D28)</f>
        <v/>
      </c>
      <c r="AC28" s="96">
        <f>IF($A28="","",$G28)</f>
        <v/>
      </c>
      <c r="AD28" s="98">
        <f>IF($A28="","",$L$66*$D28)</f>
        <v/>
      </c>
      <c r="AE28" s="96">
        <f>IF($A28="","",$G28)</f>
        <v/>
      </c>
      <c r="AF28" s="97">
        <f>IF($A28="","",$L$67*$D28)</f>
        <v/>
      </c>
      <c r="AG28" s="96">
        <f>IF($A28="","",$C28)</f>
        <v/>
      </c>
      <c r="AH28" s="98">
        <f>IF($A28="","",$L$68*$D28)</f>
        <v/>
      </c>
      <c r="AI28" s="93">
        <f>IF($A28="","",$I28-68-68)</f>
        <v/>
      </c>
      <c r="AJ28" s="94">
        <f>IF($A28="","",$K28-68-68)</f>
        <v/>
      </c>
      <c r="AK28" s="95">
        <f>IF($A28="","",4*$D28)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2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20" t="n"/>
      <c r="K30" s="21" t="n"/>
      <c r="L30" s="72">
        <f>(ROUNDUP(SUM(J49:L49)/6400,0))</f>
        <v/>
      </c>
      <c r="M30" s="72">
        <f>M$7</f>
        <v/>
      </c>
      <c r="N30" s="20" t="n"/>
      <c r="O30" s="21" t="n"/>
      <c r="P30" s="72">
        <f>(ROUNDUP(SUM(N49:P49)/6400,0))</f>
        <v/>
      </c>
      <c r="Q30" s="72">
        <f>Q$7</f>
        <v/>
      </c>
      <c r="R30" s="72">
        <f>(ROUNDUP(R49/6400,0))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(ROUNDUP(X49/6400,0))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(ROUNDUP(AF49/6400,0))</f>
        <v/>
      </c>
      <c r="AG30" s="72">
        <f>AG$7</f>
        <v/>
      </c>
      <c r="AH30" s="72">
        <f>(ROUNDUP(AH49/6400,0))</f>
        <v/>
      </c>
    </row>
    <row r="31" hidden="1" ht="40.15" customHeight="1">
      <c r="F31" s="73">
        <f>IF($A11="","",F11*E11)</f>
        <v/>
      </c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O49" s="74" t="n"/>
      <c r="P49" s="74">
        <f>SUMIF(P31:P48,"&gt;0")</f>
        <v/>
      </c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เสา</t>
        </is>
      </c>
      <c r="C56" s="80" t="inlineStr">
        <is>
          <t>F7980</t>
        </is>
      </c>
      <c r="D56" s="81" t="inlineStr">
        <is>
          <t>สูง-21-19-13-21</t>
        </is>
      </c>
      <c r="E56" s="83" t="n">
        <v>21</v>
      </c>
      <c r="F56" s="83" t="n">
        <v>19</v>
      </c>
      <c r="G56" s="83" t="n">
        <v>13</v>
      </c>
      <c r="H56" s="83" t="n">
        <v>21</v>
      </c>
      <c r="I56" s="82" t="n"/>
      <c r="J56" s="82" t="n"/>
      <c r="K56" s="82" t="n"/>
      <c r="L56" s="83" t="n">
        <v>8</v>
      </c>
      <c r="M56" s="82" t="n"/>
    </row>
    <row r="57" ht="15" customHeight="1">
      <c r="A57" s="78" t="n">
        <v>4</v>
      </c>
      <c r="B57" s="79" t="inlineStr">
        <is>
          <t>ขวาง</t>
        </is>
      </c>
      <c r="C57" s="80" t="inlineStr">
        <is>
          <t>-</t>
        </is>
      </c>
      <c r="D57" s="81" t="inlineStr">
        <is>
          <t>((กว้าง-21-4.5-2.4-21)/4)+(78x2/4)</t>
        </is>
      </c>
      <c r="E57" s="83" t="n">
        <v>21</v>
      </c>
      <c r="F57" s="83" t="n">
        <v>4.5</v>
      </c>
      <c r="G57" s="83" t="n">
        <v>2.4</v>
      </c>
      <c r="H57" s="83" t="n">
        <v>21</v>
      </c>
      <c r="I57" s="82" t="n"/>
      <c r="J57" s="82" t="n"/>
      <c r="K57" s="82" t="n"/>
      <c r="L57" s="83" t="n">
        <v>8</v>
      </c>
      <c r="M57" s="82" t="n"/>
    </row>
    <row r="58" ht="44" customHeight="1">
      <c r="A58" s="78" t="n">
        <v>5</v>
      </c>
      <c r="B58" s="79" t="inlineStr">
        <is>
          <t>คิ้ว ตั้ง</t>
        </is>
      </c>
      <c r="C58" s="80" t="inlineStr">
        <is>
          <t>F7917</t>
        </is>
      </c>
      <c r="D58" s="81" t="inlineStr">
        <is>
          <t>เสา-78-78</t>
        </is>
      </c>
      <c r="E58" s="83" t="n">
        <v>78</v>
      </c>
      <c r="F58" s="83" t="n">
        <v>78</v>
      </c>
      <c r="G58" s="82" t="n"/>
      <c r="H58" s="82" t="n"/>
      <c r="I58" s="82" t="n"/>
      <c r="J58" s="82" t="n"/>
      <c r="K58" s="82" t="n"/>
      <c r="L58" s="83" t="n">
        <v>8</v>
      </c>
      <c r="M58" s="82" t="n"/>
    </row>
    <row r="59" ht="15" customHeight="1">
      <c r="A59" s="78" t="n">
        <v>6</v>
      </c>
      <c r="B59" s="79" t="inlineStr">
        <is>
          <t>คิ้ว ขวาง</t>
        </is>
      </c>
      <c r="C59" s="80" t="inlineStr">
        <is>
          <t>-</t>
        </is>
      </c>
      <c r="D59" s="81" t="inlineStr">
        <is>
          <t>ขวาง-63-63</t>
        </is>
      </c>
      <c r="E59" s="83" t="n">
        <v>63</v>
      </c>
      <c r="F59" s="83" t="n">
        <v>63</v>
      </c>
      <c r="G59" s="82" t="n"/>
      <c r="H59" s="82" t="n"/>
      <c r="I59" s="82" t="n"/>
      <c r="J59" s="82" t="n"/>
      <c r="K59" s="82" t="n"/>
      <c r="L59" s="83" t="n">
        <v>8</v>
      </c>
      <c r="M59" s="82" t="n"/>
    </row>
    <row r="60" ht="44" customHeight="1">
      <c r="A60" s="78" t="n">
        <v>7</v>
      </c>
      <c r="B60" s="79" t="inlineStr">
        <is>
          <t>เฟรม ล่าง</t>
        </is>
      </c>
      <c r="C60" s="80" t="inlineStr">
        <is>
          <t>F7925</t>
        </is>
      </c>
      <c r="D60" s="81" t="inlineStr">
        <is>
          <t>สูงกรอบบาน</t>
        </is>
      </c>
      <c r="E60" s="82" t="n"/>
      <c r="F60" s="82" t="n"/>
      <c r="G60" s="82" t="n"/>
      <c r="H60" s="82" t="n"/>
      <c r="I60" s="82" t="n"/>
      <c r="J60" s="82" t="n"/>
      <c r="K60" s="82" t="n"/>
      <c r="L60" s="83" t="n">
        <v>1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4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2" t="n"/>
      <c r="F63" s="82" t="n"/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ปิดตบเกี่ยว</t>
        </is>
      </c>
      <c r="C64" s="80" t="inlineStr">
        <is>
          <t>F7988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4</v>
      </c>
      <c r="M64" s="82" t="n"/>
    </row>
    <row r="65" ht="15" customHeight="1">
      <c r="A65" s="78" t="n">
        <v>12</v>
      </c>
      <c r="B65" s="79" t="inlineStr">
        <is>
          <t>ปิดรับล็อค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1</v>
      </c>
      <c r="M65" s="82" t="n"/>
    </row>
    <row r="66" ht="15" customHeight="1">
      <c r="A66" s="78" t="n">
        <v>13</v>
      </c>
      <c r="B66" s="79" t="inlineStr">
        <is>
          <t>ปิดตบกันสาด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รางเลื่อน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2" t="n"/>
      <c r="F67" s="82" t="n"/>
      <c r="G67" s="82" t="n"/>
      <c r="H67" s="82" t="n"/>
      <c r="I67" s="82" t="n"/>
      <c r="J67" s="82" t="n"/>
      <c r="K67" s="82" t="n"/>
      <c r="L67" s="83" t="n">
        <v>2</v>
      </c>
      <c r="M67" s="82" t="n"/>
    </row>
    <row r="68" ht="44" customHeight="1">
      <c r="A68" s="78" t="n">
        <v>15</v>
      </c>
      <c r="B68" s="79" t="inlineStr">
        <is>
          <t>ตบกันสาด</t>
        </is>
      </c>
      <c r="C68" s="80" t="inlineStr">
        <is>
          <t>F7992</t>
        </is>
      </c>
      <c r="D68" s="81" t="inlineStr">
        <is>
          <t>กว้าง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1</v>
      </c>
      <c r="M68" s="82" t="n"/>
    </row>
    <row r="70">
      <c r="A70" s="123" t="inlineStr">
        <is>
          <t>⑥ อุปกรณ์ ต่อ 1 บาน — คูณจำนวนบานที่ผลิต</t>
        </is>
      </c>
      <c r="B70" s="131" t="n"/>
      <c r="C70" s="131" t="n"/>
      <c r="D70" s="131" t="n"/>
      <c r="E70" s="132" t="n"/>
      <c r="F70" s="124" t="inlineStr">
        <is>
          <t>ต่อบาน</t>
        </is>
      </c>
    </row>
    <row r="71">
      <c r="A71" s="125" t="inlineStr">
        <is>
          <t>1. ล้อ 27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2. มือจับ Align</t>
        </is>
      </c>
      <c r="B72" s="131" t="n"/>
      <c r="C72" s="131" t="n"/>
      <c r="D72" s="131" t="n"/>
      <c r="E72" s="132" t="n"/>
      <c r="F72" s="126" t="n">
        <v>2</v>
      </c>
    </row>
    <row r="73">
      <c r="A73" s="125" t="inlineStr">
        <is>
          <t>3. ชุดล็อค</t>
        </is>
      </c>
      <c r="B73" s="131" t="n"/>
      <c r="C73" s="131" t="n"/>
      <c r="D73" s="131" t="n"/>
      <c r="E73" s="132" t="n"/>
      <c r="F73" s="126" t="n">
        <v>1</v>
      </c>
    </row>
    <row r="74">
      <c r="A74" s="125" t="inlineStr">
        <is>
          <t>4. น็อตประกอบ</t>
        </is>
      </c>
      <c r="B74" s="131" t="n"/>
      <c r="C74" s="131" t="n"/>
      <c r="D74" s="131" t="n"/>
      <c r="E74" s="132" t="n"/>
      <c r="F74" s="126" t="n">
        <v>4</v>
      </c>
    </row>
    <row r="75">
      <c r="A75" s="127" t="inlineStr">
        <is>
          <t>+ สักหลาด/ยาง/ซิลิโคน = ตามขนาด (ดูชีทคิดทุน)</t>
        </is>
      </c>
      <c r="B75" s="131" t="n"/>
      <c r="C75" s="131" t="n"/>
      <c r="D75" s="131" t="n"/>
      <c r="E75" s="131" t="n"/>
      <c r="F75" s="132" t="n"/>
    </row>
  </sheetData>
  <mergeCells count="71">
    <mergeCell ref="Q7:R7"/>
    <mergeCell ref="U9:V9"/>
    <mergeCell ref="I6:J6"/>
    <mergeCell ref="A73:E73"/>
    <mergeCell ref="AE7:AF7"/>
    <mergeCell ref="A75:F75"/>
    <mergeCell ref="O6:P6"/>
    <mergeCell ref="U6:V6"/>
    <mergeCell ref="K9:L9"/>
    <mergeCell ref="W6:X6"/>
    <mergeCell ref="M9:N9"/>
    <mergeCell ref="O9:P9"/>
    <mergeCell ref="G8:H8"/>
    <mergeCell ref="M30:O30"/>
    <mergeCell ref="Y9:Z9"/>
    <mergeCell ref="E8:F8"/>
    <mergeCell ref="Q8:R8"/>
    <mergeCell ref="AA9:AB9"/>
    <mergeCell ref="AG9:AH9"/>
    <mergeCell ref="S8:T8"/>
    <mergeCell ref="Y7:AD7"/>
    <mergeCell ref="A70:E70"/>
    <mergeCell ref="Y30:AC30"/>
    <mergeCell ref="G7:H7"/>
    <mergeCell ref="AA6:AB6"/>
    <mergeCell ref="S7:T7"/>
    <mergeCell ref="AG6:AH6"/>
    <mergeCell ref="A30:D30"/>
    <mergeCell ref="G6:H6"/>
    <mergeCell ref="AC8:AD8"/>
    <mergeCell ref="E9:F9"/>
    <mergeCell ref="A74:E74"/>
    <mergeCell ref="AE8:AF8"/>
    <mergeCell ref="U7:V7"/>
    <mergeCell ref="W7:X7"/>
    <mergeCell ref="A8:A9"/>
    <mergeCell ref="E6:F6"/>
    <mergeCell ref="A6:D6"/>
    <mergeCell ref="AG7:AH7"/>
    <mergeCell ref="K8:L8"/>
    <mergeCell ref="M6:N6"/>
    <mergeCell ref="Q6:R6"/>
    <mergeCell ref="A71:E71"/>
    <mergeCell ref="S6:T6"/>
    <mergeCell ref="D8:D9"/>
    <mergeCell ref="A7:D7"/>
    <mergeCell ref="Y6:Z6"/>
    <mergeCell ref="Q9:R9"/>
    <mergeCell ref="I7:L7"/>
    <mergeCell ref="I8:J8"/>
    <mergeCell ref="S9:T9"/>
    <mergeCell ref="I30:K30"/>
    <mergeCell ref="M8:N8"/>
    <mergeCell ref="W9:X9"/>
    <mergeCell ref="AC9:AD9"/>
    <mergeCell ref="O8:P8"/>
    <mergeCell ref="U8:V8"/>
    <mergeCell ref="AE9:AF9"/>
    <mergeCell ref="W8:X8"/>
    <mergeCell ref="B8:C9"/>
    <mergeCell ref="AC6:AD6"/>
    <mergeCell ref="E7:F7"/>
    <mergeCell ref="A72:E72"/>
    <mergeCell ref="AE6:AF6"/>
    <mergeCell ref="M7:P7"/>
    <mergeCell ref="Y8:Z8"/>
    <mergeCell ref="K6:L6"/>
    <mergeCell ref="G9:H9"/>
    <mergeCell ref="AA8:AB8"/>
    <mergeCell ref="AG8:AH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5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</cols>
  <sheetData>
    <row r="1" ht="40.15" customHeight="1">
      <c r="A1" s="1" t="inlineStr">
        <is>
          <t>JR ALUMINIUM &amp; GLASS  —  ใบรายการตัด · FUJI เลื่อนแบ่ง6-กลาง   (หน่วย: มม.)</t>
        </is>
      </c>
      <c r="B1" s="2" t="n"/>
      <c r="D1" s="3" t="n"/>
      <c r="E1" s="4" t="n"/>
      <c r="F1" s="3" t="n"/>
      <c r="G1" s="4" t="n"/>
      <c r="H1" s="3" t="n"/>
      <c r="I1" s="3" t="n"/>
      <c r="J1" s="3" t="n"/>
      <c r="K1" s="6" t="n"/>
      <c r="L1" s="6" t="n"/>
      <c r="M1" s="5" t="n"/>
      <c r="N1" s="5" t="n"/>
      <c r="O1" s="3" t="n"/>
      <c r="P1" s="7" t="n"/>
      <c r="Q1" s="5" t="n"/>
      <c r="R1" s="5" t="n"/>
      <c r="S1" s="6" t="n"/>
      <c r="T1" s="6" t="n"/>
      <c r="U1" s="5" t="n"/>
      <c r="V1" s="5" t="n"/>
      <c r="W1" s="5" t="n"/>
      <c r="X1" s="5" t="n"/>
      <c r="Y1" s="3" t="n"/>
      <c r="Z1" s="3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</row>
    <row r="2" ht="40.15" customHeight="1">
      <c r="A2" s="6" t="n"/>
      <c r="B2" s="6" t="n"/>
      <c r="C2" s="6" t="n"/>
      <c r="D2" s="6" t="n"/>
      <c r="E2" s="8" t="n"/>
      <c r="F2" s="6" t="n"/>
      <c r="G2" s="8" t="n"/>
      <c r="H2" s="6" t="n"/>
      <c r="I2" s="6" t="n"/>
      <c r="J2" s="6" t="n"/>
      <c r="K2" s="6" t="n"/>
      <c r="L2" s="6" t="n"/>
      <c r="M2" s="9" t="n"/>
      <c r="N2" s="9" t="n"/>
      <c r="O2" s="6" t="n"/>
      <c r="P2" s="6" t="n"/>
      <c r="Q2" s="9" t="n"/>
      <c r="R2" s="9" t="n"/>
      <c r="S2" s="9" t="n"/>
      <c r="T2" s="9" t="n"/>
      <c r="U2" s="9" t="n"/>
      <c r="V2" s="9" t="n"/>
      <c r="W2" s="9" t="n"/>
      <c r="X2" s="9" t="n"/>
      <c r="Y2" s="6" t="n"/>
      <c r="Z2" s="6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</row>
    <row r="3" ht="40.15" customHeight="1">
      <c r="A3" s="130">
        <f>HYPERLINK("#สารบัญ!A1","← สารบัญ")</f>
        <v/>
      </c>
      <c r="B3" s="84" t="n"/>
      <c r="C3" s="85" t="n"/>
      <c r="D3" s="6" t="n"/>
      <c r="E3" s="8" t="n"/>
      <c r="F3" s="6" t="n"/>
      <c r="G3" s="8" t="n"/>
      <c r="H3" s="6" t="n"/>
      <c r="I3" s="6" t="n"/>
      <c r="J3" s="6" t="n"/>
      <c r="K3" s="6" t="n"/>
      <c r="L3" s="6" t="n"/>
      <c r="M3" s="11" t="n"/>
      <c r="N3" s="11" t="n"/>
      <c r="O3" s="6" t="n"/>
      <c r="P3" s="6" t="n"/>
      <c r="Q3" s="11" t="n"/>
      <c r="R3" s="11" t="n"/>
      <c r="U3" s="11" t="n"/>
      <c r="V3" s="11" t="n"/>
      <c r="W3" s="11" t="n"/>
      <c r="X3" s="11" t="n"/>
      <c r="Y3" s="6" t="n"/>
      <c r="Z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 ht="40.15" customHeight="1">
      <c r="A4" s="6" t="n"/>
      <c r="B4" s="6" t="n"/>
      <c r="C4" s="6" t="n"/>
      <c r="F4" s="6" t="n"/>
      <c r="H4" s="6" t="n"/>
      <c r="I4" s="6" t="n"/>
      <c r="J4" s="6" t="n"/>
      <c r="K4" s="6" t="n"/>
      <c r="L4" s="6" t="n"/>
      <c r="O4" s="6" t="n"/>
      <c r="P4" s="6" t="n"/>
      <c r="Y4" s="6" t="n"/>
      <c r="Z4" s="6" t="n"/>
    </row>
    <row r="5" ht="40.15" customHeight="1">
      <c r="A5" s="6" t="n"/>
      <c r="B5" s="6" t="n"/>
      <c r="C5" s="6" t="n"/>
      <c r="D5" s="6" t="n"/>
      <c r="E5" s="8" t="n"/>
      <c r="F5" s="6" t="n"/>
      <c r="G5" s="8" t="n"/>
      <c r="H5" s="6" t="n"/>
      <c r="I5" s="6" t="n"/>
      <c r="J5" s="6" t="n"/>
      <c r="L5" s="6" t="n"/>
      <c r="O5" s="6" t="n"/>
      <c r="P5" s="6" t="n"/>
      <c r="Y5" s="6" t="n"/>
      <c r="Z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สูง-14-13-21</t>
        </is>
      </c>
      <c r="J6" s="17" t="n"/>
      <c r="K6" s="16" t="inlineStr">
        <is>
          <t>((กว้าง-21-6-3-21)/6)+(78x4/6)</t>
        </is>
      </c>
      <c r="L6" s="17" t="n"/>
      <c r="M6" s="16" t="inlineStr">
        <is>
          <t>เสา-78-78</t>
        </is>
      </c>
      <c r="N6" s="17" t="n"/>
      <c r="O6" s="16" t="inlineStr">
        <is>
          <t>ขวาง-63-63</t>
        </is>
      </c>
      <c r="P6" s="17" t="n"/>
      <c r="Q6" s="16" t="inlineStr">
        <is>
          <t>สูงกรอบบาน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สูง-45-8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6" t="inlineStr">
        <is>
          <t>กว้าง</t>
        </is>
      </c>
      <c r="AH6" s="17" t="n"/>
      <c r="AI6" s="18" t="n"/>
      <c r="AJ6" s="18" t="n"/>
      <c r="AK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F7902</t>
        </is>
      </c>
      <c r="H7" s="15" t="n"/>
      <c r="I7" s="22" t="inlineStr">
        <is>
          <t>F7980</t>
        </is>
      </c>
      <c r="J7" s="14" t="n"/>
      <c r="K7" s="14" t="n"/>
      <c r="L7" s="15" t="n"/>
      <c r="M7" s="22" t="inlineStr">
        <is>
          <t>F7919</t>
        </is>
      </c>
      <c r="N7" s="14" t="n"/>
      <c r="O7" s="14" t="n"/>
      <c r="P7" s="15" t="n"/>
      <c r="Q7" s="22" t="inlineStr">
        <is>
          <t>F7925</t>
        </is>
      </c>
      <c r="R7" s="15" t="n"/>
      <c r="S7" s="22" t="inlineStr">
        <is>
          <t>F7983</t>
        </is>
      </c>
      <c r="T7" s="15" t="n"/>
      <c r="U7" s="23" t="inlineStr">
        <is>
          <t>F7986</t>
        </is>
      </c>
      <c r="V7" s="15" t="n"/>
      <c r="W7" s="86" t="inlineStr">
        <is>
          <t>F7993</t>
        </is>
      </c>
      <c r="X7" s="14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2" t="inlineStr">
        <is>
          <t>F7992</t>
        </is>
      </c>
      <c r="AH7" s="15" t="n"/>
      <c r="AI7" s="24" t="n"/>
      <c r="AJ7" s="25" t="inlineStr">
        <is>
          <t>ขนาดกระจก</t>
        </is>
      </c>
      <c r="AK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2" t="n"/>
      <c r="H8" s="33" t="n"/>
      <c r="I8" s="32" t="n"/>
      <c r="J8" s="33" t="n"/>
      <c r="K8" s="34" t="n"/>
      <c r="L8" s="31" t="n"/>
      <c r="M8" s="32" t="n"/>
      <c r="N8" s="33" t="n"/>
      <c r="O8" s="34" t="n"/>
      <c r="P8" s="31" t="n"/>
      <c r="Q8" s="34" t="n"/>
      <c r="R8" s="31" t="n"/>
      <c r="S8" s="30" t="n"/>
      <c r="T8" s="31" t="n"/>
      <c r="U8" s="34" t="n"/>
      <c r="V8" s="31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0" t="n"/>
      <c r="AH8" s="31" t="n"/>
      <c r="AI8" s="36" t="n"/>
      <c r="AJ8" s="37" t="inlineStr">
        <is>
          <t>กรอบบาน</t>
        </is>
      </c>
      <c r="AK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เฟรม-ล่าง</t>
        </is>
      </c>
      <c r="H9" s="43" t="n"/>
      <c r="I9" s="42" t="inlineStr">
        <is>
          <t>เสา</t>
        </is>
      </c>
      <c r="J9" s="43" t="n"/>
      <c r="K9" s="42" t="inlineStr">
        <is>
          <t>ขวาง</t>
        </is>
      </c>
      <c r="L9" s="43" t="n"/>
      <c r="M9" s="42" t="inlineStr">
        <is>
          <t>คิ้ว ตั้ง</t>
        </is>
      </c>
      <c r="N9" s="43" t="n"/>
      <c r="O9" s="42" t="inlineStr">
        <is>
          <t>คิ้ว ขวาง</t>
        </is>
      </c>
      <c r="P9" s="43" t="n"/>
      <c r="Q9" s="42" t="inlineStr">
        <is>
          <t>เฟรม ล่าง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2" t="inlineStr">
        <is>
          <t>ปิดตบเกี่ยว</t>
        </is>
      </c>
      <c r="Z9" s="43" t="n"/>
      <c r="AA9" s="42" t="inlineStr">
        <is>
          <t>ปิดรับล็อค</t>
        </is>
      </c>
      <c r="AB9" s="43" t="n"/>
      <c r="AC9" s="42" t="inlineStr">
        <is>
          <t>ปิดตบกันสาด</t>
        </is>
      </c>
      <c r="AD9" s="43" t="n"/>
      <c r="AE9" s="44" t="inlineStr">
        <is>
          <t>รางเลื่อน</t>
        </is>
      </c>
      <c r="AF9" s="43" t="n"/>
      <c r="AG9" s="42" t="inlineStr">
        <is>
          <t>ตบกันสาด</t>
        </is>
      </c>
      <c r="AH9" s="43" t="n"/>
      <c r="AI9" s="45" t="inlineStr">
        <is>
          <t>SH-68-68</t>
        </is>
      </c>
      <c r="AJ9" s="46" t="inlineStr">
        <is>
          <t>SW-68-68</t>
        </is>
      </c>
      <c r="AK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</row>
    <row r="11" ht="40.15" customHeight="1">
      <c r="A11" s="99" t="n">
        <v>11</v>
      </c>
      <c r="B11" s="88" t="n">
        <v>2750</v>
      </c>
      <c r="C11" s="89" t="n">
        <v>3665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IF($A11="","",$B11-$E$56-$F$56-$G$56)</f>
        <v/>
      </c>
      <c r="J11" s="89">
        <f>IF($A11="","",$L$56*$D11)</f>
        <v/>
      </c>
      <c r="K11" s="91">
        <f>IF($A11="","",(($C11-$E$57-$F$57-$G$57-$H$57)/6)+(78*4)/6)</f>
        <v/>
      </c>
      <c r="L11" s="89">
        <f>IF($A11="","",$L$57*$D11)</f>
        <v/>
      </c>
      <c r="M11" s="91">
        <f>IF($A11="","",$I11-$E$58-$F$58)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IF($A11="","",$I11)</f>
        <v/>
      </c>
      <c r="R11" s="89">
        <f>IF($A11="","",$L$60*$D11)</f>
        <v/>
      </c>
      <c r="S11" s="91">
        <f>IF($A11="","",$I11)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IF($A11="","",$G11)</f>
        <v/>
      </c>
      <c r="X11" s="89">
        <f>IF($A11="","",$L$63*$D11)</f>
        <v/>
      </c>
      <c r="Y11" s="91">
        <f>IF($A11="","",$S11)</f>
        <v/>
      </c>
      <c r="Z11" s="89">
        <f>IF($A11="","",$L$64*$D11)</f>
        <v/>
      </c>
      <c r="AA11" s="91">
        <f>IF($A11="","",$I11)</f>
        <v/>
      </c>
      <c r="AB11" s="89">
        <f>IF($A11="","",$L$65*$D11)</f>
        <v/>
      </c>
      <c r="AC11" s="91">
        <f>IF($A11="","",$C11)</f>
        <v/>
      </c>
      <c r="AD11" s="92">
        <f>IF($A11="","",$L$66*$D11)</f>
        <v/>
      </c>
      <c r="AE11" s="91">
        <f>IF($A11="","",$G11)</f>
        <v/>
      </c>
      <c r="AF11" s="89">
        <f>IF($A11="","",$L$67*$D11)</f>
        <v/>
      </c>
      <c r="AG11" s="91">
        <f>IF($A11="","",$C11)</f>
        <v/>
      </c>
      <c r="AH11" s="92">
        <f>IF($A11="","",$L$68*$D11)</f>
        <v/>
      </c>
      <c r="AI11" s="93">
        <f>IF($A11="","",$I11-68-68)</f>
        <v/>
      </c>
      <c r="AJ11" s="94">
        <f>IF($A11="","",$K11-68-68)</f>
        <v/>
      </c>
      <c r="AK11" s="95">
        <f>IF($A11="","",6*$D11)</f>
        <v/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IF($A12="","",$B12-$E$56-$F$56-$G$56)</f>
        <v/>
      </c>
      <c r="J12" s="97">
        <f>IF($A12="","",$L$56*$D12)</f>
        <v/>
      </c>
      <c r="K12" s="96">
        <f>IF($A12="","",(($C12-$E$57-$F$57-$G$57-$H$57)/6)+(78*4)/6)</f>
        <v/>
      </c>
      <c r="L12" s="97">
        <f>IF($A12="","",$L$57*$D12)</f>
        <v/>
      </c>
      <c r="M12" s="96">
        <f>IF($A12="","",$I12-$E$58-$F$58)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IF($A12="","",$I12)</f>
        <v/>
      </c>
      <c r="R12" s="97">
        <f>IF($A12="","",$L$60*$D12)</f>
        <v/>
      </c>
      <c r="S12" s="96">
        <f>IF($A12="","",$I12)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IF($A12="","",$G12)</f>
        <v/>
      </c>
      <c r="X12" s="97">
        <f>IF($A12="","",$L$63*$D12)</f>
        <v/>
      </c>
      <c r="Y12" s="96">
        <f>IF($A12="","",$S12)</f>
        <v/>
      </c>
      <c r="Z12" s="97">
        <f>IF($A12="","",$L$64*$D12)</f>
        <v/>
      </c>
      <c r="AA12" s="96">
        <f>IF($A12="","",$I12)</f>
        <v/>
      </c>
      <c r="AB12" s="97">
        <f>IF($A12="","",$L$65*$D12)</f>
        <v/>
      </c>
      <c r="AC12" s="96">
        <f>IF($A12="","",$C12)</f>
        <v/>
      </c>
      <c r="AD12" s="98">
        <f>IF($A12="","",$L$66*$D12)</f>
        <v/>
      </c>
      <c r="AE12" s="96">
        <f>IF($A12="","",$G12)</f>
        <v/>
      </c>
      <c r="AF12" s="97">
        <f>IF($A12="","",$L$67*$D12)</f>
        <v/>
      </c>
      <c r="AG12" s="96">
        <f>IF($A12="","",$C12)</f>
        <v/>
      </c>
      <c r="AH12" s="98">
        <f>IF($A12="","",$L$68*$D12)</f>
        <v/>
      </c>
      <c r="AI12" s="93">
        <f>IF($A12="","",$I12-68-68)</f>
        <v/>
      </c>
      <c r="AJ12" s="94">
        <f>IF($A12="","",$K12-68-68)</f>
        <v/>
      </c>
      <c r="AK12" s="95">
        <f>IF($A12="","",6*$D12)</f>
        <v/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IF($A13="","",$B13-$E$56-$F$56-$G$56)</f>
        <v/>
      </c>
      <c r="J13" s="89">
        <f>IF($A13="","",$L$56*$D13)</f>
        <v/>
      </c>
      <c r="K13" s="91">
        <f>IF($A13="","",(($C13-$E$57-$F$57-$G$57-$H$57)/6)+(78*4)/6)</f>
        <v/>
      </c>
      <c r="L13" s="89">
        <f>IF($A13="","",$L$57*$D13)</f>
        <v/>
      </c>
      <c r="M13" s="91">
        <f>IF($A13="","",$I13-$E$58-$F$58)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IF($A13="","",$I13)</f>
        <v/>
      </c>
      <c r="R13" s="89">
        <f>IF($A13="","",$L$60*$D13)</f>
        <v/>
      </c>
      <c r="S13" s="91">
        <f>IF($A13="","",$I13)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IF($A13="","",$G13)</f>
        <v/>
      </c>
      <c r="X13" s="89">
        <f>IF($A13="","",$L$63*$D13)</f>
        <v/>
      </c>
      <c r="Y13" s="91">
        <f>IF($A13="","",$S13)</f>
        <v/>
      </c>
      <c r="Z13" s="89">
        <f>IF($A13="","",$L$64*$D13)</f>
        <v/>
      </c>
      <c r="AA13" s="91">
        <f>IF($A13="","",$I13)</f>
        <v/>
      </c>
      <c r="AB13" s="89">
        <f>IF($A13="","",$L$65*$D13)</f>
        <v/>
      </c>
      <c r="AC13" s="91">
        <f>IF($A13="","",$C13)</f>
        <v/>
      </c>
      <c r="AD13" s="92">
        <f>IF($A13="","",$L$66*$D13)</f>
        <v/>
      </c>
      <c r="AE13" s="91">
        <f>IF($A13="","",$G13)</f>
        <v/>
      </c>
      <c r="AF13" s="89">
        <f>IF($A13="","",$L$67*$D13)</f>
        <v/>
      </c>
      <c r="AG13" s="91">
        <f>IF($A13="","",$C13)</f>
        <v/>
      </c>
      <c r="AH13" s="92">
        <f>IF($A13="","",$L$68*$D13)</f>
        <v/>
      </c>
      <c r="AI13" s="93">
        <f>IF($A13="","",$I13-68-68)</f>
        <v/>
      </c>
      <c r="AJ13" s="94">
        <f>IF($A13="","",$K13-68-68)</f>
        <v/>
      </c>
      <c r="AK13" s="95">
        <f>IF($A13="","",6*$D13)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IF($A14="","",$B14-$E$56-$F$56-$G$56)</f>
        <v/>
      </c>
      <c r="J14" s="97">
        <f>IF($A14="","",$L$56*$D14)</f>
        <v/>
      </c>
      <c r="K14" s="96">
        <f>IF($A14="","",(($C14-$E$57-$F$57-$G$57-$H$57)/6)+(78*4)/6)</f>
        <v/>
      </c>
      <c r="L14" s="97">
        <f>IF($A14="","",$L$57*$D14)</f>
        <v/>
      </c>
      <c r="M14" s="96">
        <f>IF($A14="","",$I14-$E$58-$F$58)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IF($A14="","",$I14)</f>
        <v/>
      </c>
      <c r="R14" s="97">
        <f>IF($A14="","",$L$60*$D14)</f>
        <v/>
      </c>
      <c r="S14" s="96">
        <f>IF($A14="","",$I14)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IF($A14="","",$G14)</f>
        <v/>
      </c>
      <c r="X14" s="97">
        <f>IF($A14="","",$L$63*$D14)</f>
        <v/>
      </c>
      <c r="Y14" s="96">
        <f>IF($A14="","",$S14)</f>
        <v/>
      </c>
      <c r="Z14" s="97">
        <f>IF($A14="","",$L$64*$D14)</f>
        <v/>
      </c>
      <c r="AA14" s="96">
        <f>IF($A14="","",$I14)</f>
        <v/>
      </c>
      <c r="AB14" s="97">
        <f>IF($A14="","",$L$65*$D14)</f>
        <v/>
      </c>
      <c r="AC14" s="96">
        <f>IF($A14="","",$C14)</f>
        <v/>
      </c>
      <c r="AD14" s="98">
        <f>IF($A14="","",$L$66*$D14)</f>
        <v/>
      </c>
      <c r="AE14" s="96">
        <f>IF($A14="","",$G14)</f>
        <v/>
      </c>
      <c r="AF14" s="97">
        <f>IF($A14="","",$L$67*$D14)</f>
        <v/>
      </c>
      <c r="AG14" s="96">
        <f>IF($A14="","",$C14)</f>
        <v/>
      </c>
      <c r="AH14" s="98">
        <f>IF($A14="","",$L$68*$D14)</f>
        <v/>
      </c>
      <c r="AI14" s="93">
        <f>IF($A14="","",$I14-68-68)</f>
        <v/>
      </c>
      <c r="AJ14" s="94">
        <f>IF($A14="","",$K14-68-68)</f>
        <v/>
      </c>
      <c r="AK14" s="95">
        <f>IF($A14="","",6*$D14)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IF($A15="","",$B15-$E$56-$F$56-$G$56)</f>
        <v/>
      </c>
      <c r="J15" s="89">
        <f>IF($A15="","",$L$56*$D15)</f>
        <v/>
      </c>
      <c r="K15" s="91">
        <f>IF($A15="","",(($C15-$E$57-$F$57-$G$57-$H$57)/6)+(78*4)/6)</f>
        <v/>
      </c>
      <c r="L15" s="89">
        <f>IF($A15="","",$L$57*$D15)</f>
        <v/>
      </c>
      <c r="M15" s="91">
        <f>IF($A15="","",$I15-$E$58-$F$58)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IF($A15="","",$I15)</f>
        <v/>
      </c>
      <c r="R15" s="89">
        <f>IF($A15="","",$L$60*$D15)</f>
        <v/>
      </c>
      <c r="S15" s="91">
        <f>IF($A15="","",$I15)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IF($A15="","",$G15)</f>
        <v/>
      </c>
      <c r="X15" s="89">
        <f>IF($A15="","",$L$63*$D15)</f>
        <v/>
      </c>
      <c r="Y15" s="91">
        <f>IF($A15="","",$S15)</f>
        <v/>
      </c>
      <c r="Z15" s="89">
        <f>IF($A15="","",$L$64*$D15)</f>
        <v/>
      </c>
      <c r="AA15" s="91">
        <f>IF($A15="","",$I15)</f>
        <v/>
      </c>
      <c r="AB15" s="89">
        <f>IF($A15="","",$L$65*$D15)</f>
        <v/>
      </c>
      <c r="AC15" s="91">
        <f>IF($A15="","",$C15)</f>
        <v/>
      </c>
      <c r="AD15" s="92">
        <f>IF($A15="","",$L$66*$D15)</f>
        <v/>
      </c>
      <c r="AE15" s="91">
        <f>IF($A15="","",$G15)</f>
        <v/>
      </c>
      <c r="AF15" s="89">
        <f>IF($A15="","",$L$67*$D15)</f>
        <v/>
      </c>
      <c r="AG15" s="91">
        <f>IF($A15="","",$C15)</f>
        <v/>
      </c>
      <c r="AH15" s="92">
        <f>IF($A15="","",$L$68*$D15)</f>
        <v/>
      </c>
      <c r="AI15" s="93">
        <f>IF($A15="","",$I15-68-68)</f>
        <v/>
      </c>
      <c r="AJ15" s="94">
        <f>IF($A15="","",$K15-68-68)</f>
        <v/>
      </c>
      <c r="AK15" s="95">
        <f>IF($A15="","",6*$D15)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IF($A16="","",$B16-$E$56-$F$56-$G$56)</f>
        <v/>
      </c>
      <c r="J16" s="97">
        <f>IF($A16="","",$L$56*$D16)</f>
        <v/>
      </c>
      <c r="K16" s="96">
        <f>IF($A16="","",(($C16-$E$57-$F$57-$G$57-$H$57)/6)+(78*4)/6)</f>
        <v/>
      </c>
      <c r="L16" s="97">
        <f>IF($A16="","",$L$57*$D16)</f>
        <v/>
      </c>
      <c r="M16" s="96">
        <f>IF($A16="","",$I16-$E$58-$F$58)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IF($A16="","",$I16)</f>
        <v/>
      </c>
      <c r="R16" s="97">
        <f>IF($A16="","",$L$60*$D16)</f>
        <v/>
      </c>
      <c r="S16" s="96">
        <f>IF($A16="","",$I16)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IF($A16="","",$G16)</f>
        <v/>
      </c>
      <c r="X16" s="97">
        <f>IF($A16="","",$L$63*$D16)</f>
        <v/>
      </c>
      <c r="Y16" s="96">
        <f>IF($A16="","",$S16)</f>
        <v/>
      </c>
      <c r="Z16" s="97">
        <f>IF($A16="","",$L$64*$D16)</f>
        <v/>
      </c>
      <c r="AA16" s="96">
        <f>IF($A16="","",$I16)</f>
        <v/>
      </c>
      <c r="AB16" s="97">
        <f>IF($A16="","",$L$65*$D16)</f>
        <v/>
      </c>
      <c r="AC16" s="96">
        <f>IF($A16="","",$C16)</f>
        <v/>
      </c>
      <c r="AD16" s="98">
        <f>IF($A16="","",$L$66*$D16)</f>
        <v/>
      </c>
      <c r="AE16" s="96">
        <f>IF($A16="","",$G16)</f>
        <v/>
      </c>
      <c r="AF16" s="97">
        <f>IF($A16="","",$L$67*$D16)</f>
        <v/>
      </c>
      <c r="AG16" s="96">
        <f>IF($A16="","",$C16)</f>
        <v/>
      </c>
      <c r="AH16" s="98">
        <f>IF($A16="","",$L$68*$D16)</f>
        <v/>
      </c>
      <c r="AI16" s="93">
        <f>IF($A16="","",$I16-68-68)</f>
        <v/>
      </c>
      <c r="AJ16" s="94">
        <f>IF($A16="","",$K16-68-68)</f>
        <v/>
      </c>
      <c r="AK16" s="95">
        <f>IF($A16="","",6*$D16)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IF($A17="","",$B17-$E$56-$F$56-$G$56)</f>
        <v/>
      </c>
      <c r="J17" s="89">
        <f>IF($A17="","",$L$56*$D17)</f>
        <v/>
      </c>
      <c r="K17" s="91">
        <f>IF($A17="","",(($C17-$E$57-$F$57-$G$57-$H$57)/6)+(78*4)/6)</f>
        <v/>
      </c>
      <c r="L17" s="89">
        <f>IF($A17="","",$L$57*$D17)</f>
        <v/>
      </c>
      <c r="M17" s="91">
        <f>IF($A17="","",$I17-$E$58-$F$58)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IF($A17="","",$I17)</f>
        <v/>
      </c>
      <c r="R17" s="89">
        <f>IF($A17="","",$L$60*$D17)</f>
        <v/>
      </c>
      <c r="S17" s="91">
        <f>IF($A17="","",$I17)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IF($A17="","",$G17)</f>
        <v/>
      </c>
      <c r="X17" s="89">
        <f>IF($A17="","",$L$63*$D17)</f>
        <v/>
      </c>
      <c r="Y17" s="91">
        <f>IF($A17="","",$S17)</f>
        <v/>
      </c>
      <c r="Z17" s="89">
        <f>IF($A17="","",$L$64*$D17)</f>
        <v/>
      </c>
      <c r="AA17" s="91">
        <f>IF($A17="","",$I17)</f>
        <v/>
      </c>
      <c r="AB17" s="89">
        <f>IF($A17="","",$L$65*$D17)</f>
        <v/>
      </c>
      <c r="AC17" s="91">
        <f>IF($A17="","",$C17)</f>
        <v/>
      </c>
      <c r="AD17" s="92">
        <f>IF($A17="","",$L$66*$D17)</f>
        <v/>
      </c>
      <c r="AE17" s="91">
        <f>IF($A17="","",$G17)</f>
        <v/>
      </c>
      <c r="AF17" s="89">
        <f>IF($A17="","",$L$67*$D17)</f>
        <v/>
      </c>
      <c r="AG17" s="91">
        <f>IF($A17="","",$C17)</f>
        <v/>
      </c>
      <c r="AH17" s="92">
        <f>IF($A17="","",$L$68*$D17)</f>
        <v/>
      </c>
      <c r="AI17" s="93">
        <f>IF($A17="","",$I17-68-68)</f>
        <v/>
      </c>
      <c r="AJ17" s="94">
        <f>IF($A17="","",$K17-68-68)</f>
        <v/>
      </c>
      <c r="AK17" s="95">
        <f>IF($A17="","",6*$D17)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IF($A18="","",$B18-$E$56-$F$56-$G$56)</f>
        <v/>
      </c>
      <c r="J18" s="97">
        <f>IF($A18="","",$L$56*$D18)</f>
        <v/>
      </c>
      <c r="K18" s="96">
        <f>IF($A18="","",(($C18-$E$57-$F$57-$G$57-$H$57)/6)+(78*4)/6)</f>
        <v/>
      </c>
      <c r="L18" s="97">
        <f>IF($A18="","",$L$57*$D18)</f>
        <v/>
      </c>
      <c r="M18" s="96">
        <f>IF($A18="","",$I18-$E$58-$F$58)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IF($A18="","",$I18)</f>
        <v/>
      </c>
      <c r="R18" s="97">
        <f>IF($A18="","",$L$60*$D18)</f>
        <v/>
      </c>
      <c r="S18" s="96">
        <f>IF($A18="","",$I18)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IF($A18="","",$G18)</f>
        <v/>
      </c>
      <c r="X18" s="97">
        <f>IF($A18="","",$L$63*$D18)</f>
        <v/>
      </c>
      <c r="Y18" s="96">
        <f>IF($A18="","",$S18)</f>
        <v/>
      </c>
      <c r="Z18" s="97">
        <f>IF($A18="","",$L$64*$D18)</f>
        <v/>
      </c>
      <c r="AA18" s="96">
        <f>IF($A18="","",$I18)</f>
        <v/>
      </c>
      <c r="AB18" s="97">
        <f>IF($A18="","",$L$65*$D18)</f>
        <v/>
      </c>
      <c r="AC18" s="96">
        <f>IF($A18="","",$C18)</f>
        <v/>
      </c>
      <c r="AD18" s="98">
        <f>IF($A18="","",$L$66*$D18)</f>
        <v/>
      </c>
      <c r="AE18" s="96">
        <f>IF($A18="","",$G18)</f>
        <v/>
      </c>
      <c r="AF18" s="97">
        <f>IF($A18="","",$L$67*$D18)</f>
        <v/>
      </c>
      <c r="AG18" s="96">
        <f>IF($A18="","",$C18)</f>
        <v/>
      </c>
      <c r="AH18" s="98">
        <f>IF($A18="","",$L$68*$D18)</f>
        <v/>
      </c>
      <c r="AI18" s="93">
        <f>IF($A18="","",$I18-68-68)</f>
        <v/>
      </c>
      <c r="AJ18" s="94">
        <f>IF($A18="","",$K18-68-68)</f>
        <v/>
      </c>
      <c r="AK18" s="95">
        <f>IF($A18="","",6*$D18)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IF($A19="","",$B19-$E$56-$F$56-$G$56)</f>
        <v/>
      </c>
      <c r="J19" s="89">
        <f>IF($A19="","",$L$56*$D19)</f>
        <v/>
      </c>
      <c r="K19" s="91">
        <f>IF($A19="","",(($C19-$E$57-$F$57-$G$57-$H$57)/6)+(78*4)/6)</f>
        <v/>
      </c>
      <c r="L19" s="89">
        <f>IF($A19="","",$L$57*$D19)</f>
        <v/>
      </c>
      <c r="M19" s="91">
        <f>IF($A19="","",$I19-$E$58-$F$58)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IF($A19="","",$I19)</f>
        <v/>
      </c>
      <c r="R19" s="89">
        <f>IF($A19="","",$L$60*$D19)</f>
        <v/>
      </c>
      <c r="S19" s="91">
        <f>IF($A19="","",$I19)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IF($A19="","",$G19)</f>
        <v/>
      </c>
      <c r="X19" s="89">
        <f>IF($A19="","",$L$63*$D19)</f>
        <v/>
      </c>
      <c r="Y19" s="91">
        <f>IF($A19="","",$S19)</f>
        <v/>
      </c>
      <c r="Z19" s="89">
        <f>IF($A19="","",$L$64*$D19)</f>
        <v/>
      </c>
      <c r="AA19" s="91">
        <f>IF($A19="","",$I19)</f>
        <v/>
      </c>
      <c r="AB19" s="89">
        <f>IF($A19="","",$L$65*$D19)</f>
        <v/>
      </c>
      <c r="AC19" s="91">
        <f>IF($A19="","",$C19)</f>
        <v/>
      </c>
      <c r="AD19" s="92">
        <f>IF($A19="","",$L$66*$D19)</f>
        <v/>
      </c>
      <c r="AE19" s="91">
        <f>IF($A19="","",$G19)</f>
        <v/>
      </c>
      <c r="AF19" s="89">
        <f>IF($A19="","",$L$67*$D19)</f>
        <v/>
      </c>
      <c r="AG19" s="91">
        <f>IF($A19="","",$C19)</f>
        <v/>
      </c>
      <c r="AH19" s="92">
        <f>IF($A19="","",$L$68*$D19)</f>
        <v/>
      </c>
      <c r="AI19" s="93">
        <f>IF($A19="","",$I19-68-68)</f>
        <v/>
      </c>
      <c r="AJ19" s="94">
        <f>IF($A19="","",$K19-68-68)</f>
        <v/>
      </c>
      <c r="AK19" s="95">
        <f>IF($A19="","",6*$D19)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IF($A20="","",$B20-$E$56-$F$56-$G$56)</f>
        <v/>
      </c>
      <c r="J20" s="97">
        <f>IF($A20="","",$L$56*$D20)</f>
        <v/>
      </c>
      <c r="K20" s="96">
        <f>IF($A20="","",(($C20-$E$57-$F$57-$G$57-$H$57)/6)+(78*4)/6)</f>
        <v/>
      </c>
      <c r="L20" s="97">
        <f>IF($A20="","",$L$57*$D20)</f>
        <v/>
      </c>
      <c r="M20" s="96">
        <f>IF($A20="","",$I20-$E$58-$F$58)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IF($A20="","",$I20)</f>
        <v/>
      </c>
      <c r="R20" s="97">
        <f>IF($A20="","",$L$60*$D20)</f>
        <v/>
      </c>
      <c r="S20" s="96">
        <f>IF($A20="","",$I20)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IF($A20="","",$G20)</f>
        <v/>
      </c>
      <c r="X20" s="97">
        <f>IF($A20="","",$L$63*$D20)</f>
        <v/>
      </c>
      <c r="Y20" s="96">
        <f>IF($A20="","",$S20)</f>
        <v/>
      </c>
      <c r="Z20" s="97">
        <f>IF($A20="","",$L$64*$D20)</f>
        <v/>
      </c>
      <c r="AA20" s="96">
        <f>IF($A20="","",$I20)</f>
        <v/>
      </c>
      <c r="AB20" s="97">
        <f>IF($A20="","",$L$65*$D20)</f>
        <v/>
      </c>
      <c r="AC20" s="96">
        <f>IF($A20="","",$C20)</f>
        <v/>
      </c>
      <c r="AD20" s="98">
        <f>IF($A20="","",$L$66*$D20)</f>
        <v/>
      </c>
      <c r="AE20" s="96">
        <f>IF($A20="","",$G20)</f>
        <v/>
      </c>
      <c r="AF20" s="97">
        <f>IF($A20="","",$L$67*$D20)</f>
        <v/>
      </c>
      <c r="AG20" s="96">
        <f>IF($A20="","",$C20)</f>
        <v/>
      </c>
      <c r="AH20" s="98">
        <f>IF($A20="","",$L$68*$D20)</f>
        <v/>
      </c>
      <c r="AI20" s="93">
        <f>IF($A20="","",$I20-68-68)</f>
        <v/>
      </c>
      <c r="AJ20" s="94">
        <f>IF($A20="","",$K20-68-68)</f>
        <v/>
      </c>
      <c r="AK20" s="95">
        <f>IF($A20="","",6*$D20)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IF($A21="","",$B21-$E$56-$F$56-$G$56)</f>
        <v/>
      </c>
      <c r="J21" s="89">
        <f>IF($A21="","",$L$56*$D21)</f>
        <v/>
      </c>
      <c r="K21" s="91">
        <f>IF($A21="","",(($C21-$E$57-$F$57-$G$57-$H$57)/6)+(78*4)/6)</f>
        <v/>
      </c>
      <c r="L21" s="89">
        <f>IF($A21="","",$L$57*$D21)</f>
        <v/>
      </c>
      <c r="M21" s="91">
        <f>IF($A21="","",$I21-$E$58-$F$58)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IF($A21="","",$I21)</f>
        <v/>
      </c>
      <c r="R21" s="89">
        <f>IF($A21="","",$L$60*$D21)</f>
        <v/>
      </c>
      <c r="S21" s="91">
        <f>IF($A21="","",$I21)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IF($A21="","",$G21)</f>
        <v/>
      </c>
      <c r="X21" s="89">
        <f>IF($A21="","",$L$63*$D21)</f>
        <v/>
      </c>
      <c r="Y21" s="91">
        <f>IF($A21="","",$S21)</f>
        <v/>
      </c>
      <c r="Z21" s="89">
        <f>IF($A21="","",$L$64*$D21)</f>
        <v/>
      </c>
      <c r="AA21" s="91">
        <f>IF($A21="","",$I21)</f>
        <v/>
      </c>
      <c r="AB21" s="89">
        <f>IF($A21="","",$L$65*$D21)</f>
        <v/>
      </c>
      <c r="AC21" s="91">
        <f>IF($A21="","",$C21)</f>
        <v/>
      </c>
      <c r="AD21" s="92">
        <f>IF($A21="","",$L$66*$D21)</f>
        <v/>
      </c>
      <c r="AE21" s="91">
        <f>IF($A21="","",$G21)</f>
        <v/>
      </c>
      <c r="AF21" s="89">
        <f>IF($A21="","",$L$67*$D21)</f>
        <v/>
      </c>
      <c r="AG21" s="91">
        <f>IF($A21="","",$C21)</f>
        <v/>
      </c>
      <c r="AH21" s="92">
        <f>IF($A21="","",$L$68*$D21)</f>
        <v/>
      </c>
      <c r="AI21" s="93">
        <f>IF($A21="","",$I21-68-68)</f>
        <v/>
      </c>
      <c r="AJ21" s="94">
        <f>IF($A21="","",$K21-68-68)</f>
        <v/>
      </c>
      <c r="AK21" s="95">
        <f>IF($A21="","",6*$D21)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IF($A22="","",$B22-$E$56-$F$56-$G$56)</f>
        <v/>
      </c>
      <c r="J22" s="97">
        <f>IF($A22="","",$L$56*$D22)</f>
        <v/>
      </c>
      <c r="K22" s="96">
        <f>IF($A22="","",(($C22-$E$57-$F$57-$G$57-$H$57)/6)+(78*4)/6)</f>
        <v/>
      </c>
      <c r="L22" s="97">
        <f>IF($A22="","",$L$57*$D22)</f>
        <v/>
      </c>
      <c r="M22" s="96">
        <f>IF($A22="","",$I22-$E$58-$F$58)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IF($A22="","",$I22)</f>
        <v/>
      </c>
      <c r="R22" s="97">
        <f>IF($A22="","",$L$60*$D22)</f>
        <v/>
      </c>
      <c r="S22" s="96">
        <f>IF($A22="","",$I22)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IF($A22="","",$G22)</f>
        <v/>
      </c>
      <c r="X22" s="97">
        <f>IF($A22="","",$L$63*$D22)</f>
        <v/>
      </c>
      <c r="Y22" s="96">
        <f>IF($A22="","",$S22)</f>
        <v/>
      </c>
      <c r="Z22" s="97">
        <f>IF($A22="","",$L$64*$D22)</f>
        <v/>
      </c>
      <c r="AA22" s="96">
        <f>IF($A22="","",$I22)</f>
        <v/>
      </c>
      <c r="AB22" s="97">
        <f>IF($A22="","",$L$65*$D22)</f>
        <v/>
      </c>
      <c r="AC22" s="96">
        <f>IF($A22="","",$C22)</f>
        <v/>
      </c>
      <c r="AD22" s="98">
        <f>IF($A22="","",$L$66*$D22)</f>
        <v/>
      </c>
      <c r="AE22" s="96">
        <f>IF($A22="","",$G22)</f>
        <v/>
      </c>
      <c r="AF22" s="97">
        <f>IF($A22="","",$L$67*$D22)</f>
        <v/>
      </c>
      <c r="AG22" s="96">
        <f>IF($A22="","",$C22)</f>
        <v/>
      </c>
      <c r="AH22" s="98">
        <f>IF($A22="","",$L$68*$D22)</f>
        <v/>
      </c>
      <c r="AI22" s="93">
        <f>IF($A22="","",$I22-68-68)</f>
        <v/>
      </c>
      <c r="AJ22" s="94">
        <f>IF($A22="","",$K22-68-68)</f>
        <v/>
      </c>
      <c r="AK22" s="95">
        <f>IF($A22="","",6*$D22)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IF($A23="","",$B23-$E$56-$F$56-$G$56)</f>
        <v/>
      </c>
      <c r="J23" s="89">
        <f>IF($A23="","",$L$56*$D23)</f>
        <v/>
      </c>
      <c r="K23" s="91">
        <f>IF($A23="","",(($C23-$E$57-$F$57-$G$57-$H$57)/6)+(78*4)/6)</f>
        <v/>
      </c>
      <c r="L23" s="89">
        <f>IF($A23="","",$L$57*$D23)</f>
        <v/>
      </c>
      <c r="M23" s="91">
        <f>IF($A23="","",$I23-$E$58-$F$58)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IF($A23="","",$I23)</f>
        <v/>
      </c>
      <c r="R23" s="89">
        <f>IF($A23="","",$L$60*$D23)</f>
        <v/>
      </c>
      <c r="S23" s="91">
        <f>IF($A23="","",$I23)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IF($A23="","",$G23)</f>
        <v/>
      </c>
      <c r="X23" s="89">
        <f>IF($A23="","",$L$63*$D23)</f>
        <v/>
      </c>
      <c r="Y23" s="91">
        <f>IF($A23="","",$S23)</f>
        <v/>
      </c>
      <c r="Z23" s="89">
        <f>IF($A23="","",$L$64*$D23)</f>
        <v/>
      </c>
      <c r="AA23" s="91">
        <f>IF($A23="","",$I23)</f>
        <v/>
      </c>
      <c r="AB23" s="89">
        <f>IF($A23="","",$L$65*$D23)</f>
        <v/>
      </c>
      <c r="AC23" s="91">
        <f>IF($A23="","",$C23)</f>
        <v/>
      </c>
      <c r="AD23" s="92">
        <f>IF($A23="","",$L$66*$D23)</f>
        <v/>
      </c>
      <c r="AE23" s="91">
        <f>IF($A23="","",$G23)</f>
        <v/>
      </c>
      <c r="AF23" s="89">
        <f>IF($A23="","",$L$67*$D23)</f>
        <v/>
      </c>
      <c r="AG23" s="91">
        <f>IF($A23="","",$C23)</f>
        <v/>
      </c>
      <c r="AH23" s="92">
        <f>IF($A23="","",$L$68*$D23)</f>
        <v/>
      </c>
      <c r="AI23" s="93">
        <f>IF($A23="","",$I23-68-68)</f>
        <v/>
      </c>
      <c r="AJ23" s="94">
        <f>IF($A23="","",$K23-68-68)</f>
        <v/>
      </c>
      <c r="AK23" s="95">
        <f>IF($A23="","",6*$D23)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IF($A24="","",$B24-$E$56-$F$56-$G$56)</f>
        <v/>
      </c>
      <c r="J24" s="97">
        <f>IF($A24="","",$L$56*$D24)</f>
        <v/>
      </c>
      <c r="K24" s="96">
        <f>IF($A24="","",(($C24-$E$57-$F$57-$G$57-$H$57)/6)+(78*4)/6)</f>
        <v/>
      </c>
      <c r="L24" s="97">
        <f>IF($A24="","",$L$57*$D24)</f>
        <v/>
      </c>
      <c r="M24" s="96">
        <f>IF($A24="","",$I24-$E$58-$F$58)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IF($A24="","",$I24)</f>
        <v/>
      </c>
      <c r="R24" s="97">
        <f>IF($A24="","",$L$60*$D24)</f>
        <v/>
      </c>
      <c r="S24" s="96">
        <f>IF($A24="","",$I24)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IF($A24="","",$G24)</f>
        <v/>
      </c>
      <c r="X24" s="97">
        <f>IF($A24="","",$L$63*$D24)</f>
        <v/>
      </c>
      <c r="Y24" s="96">
        <f>IF($A24="","",$S24)</f>
        <v/>
      </c>
      <c r="Z24" s="97">
        <f>IF($A24="","",$L$64*$D24)</f>
        <v/>
      </c>
      <c r="AA24" s="96">
        <f>IF($A24="","",$I24)</f>
        <v/>
      </c>
      <c r="AB24" s="97">
        <f>IF($A24="","",$L$65*$D24)</f>
        <v/>
      </c>
      <c r="AC24" s="96">
        <f>IF($A24="","",$C24)</f>
        <v/>
      </c>
      <c r="AD24" s="98">
        <f>IF($A24="","",$L$66*$D24)</f>
        <v/>
      </c>
      <c r="AE24" s="96">
        <f>IF($A24="","",$G24)</f>
        <v/>
      </c>
      <c r="AF24" s="97">
        <f>IF($A24="","",$L$67*$D24)</f>
        <v/>
      </c>
      <c r="AG24" s="96">
        <f>IF($A24="","",$C24)</f>
        <v/>
      </c>
      <c r="AH24" s="98">
        <f>IF($A24="","",$L$68*$D24)</f>
        <v/>
      </c>
      <c r="AI24" s="93">
        <f>IF($A24="","",$I24-68-68)</f>
        <v/>
      </c>
      <c r="AJ24" s="94">
        <f>IF($A24="","",$K24-68-68)</f>
        <v/>
      </c>
      <c r="AK24" s="95">
        <f>IF($A24="","",6*$D24)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IF($A25="","",$B25-$E$56-$F$56-$G$56)</f>
        <v/>
      </c>
      <c r="J25" s="89">
        <f>IF($A25="","",$L$56*$D25)</f>
        <v/>
      </c>
      <c r="K25" s="91">
        <f>IF($A25="","",(($C25-$E$57-$F$57-$G$57-$H$57)/6)+(78*4)/6)</f>
        <v/>
      </c>
      <c r="L25" s="89">
        <f>IF($A25="","",$L$57*$D25)</f>
        <v/>
      </c>
      <c r="M25" s="91">
        <f>IF($A25="","",$I25-$E$58-$F$58)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IF($A25="","",$I25)</f>
        <v/>
      </c>
      <c r="R25" s="89">
        <f>IF($A25="","",$L$60*$D25)</f>
        <v/>
      </c>
      <c r="S25" s="91">
        <f>IF($A25="","",$I25)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IF($A25="","",$G25)</f>
        <v/>
      </c>
      <c r="X25" s="89">
        <f>IF($A25="","",$L$63*$D25)</f>
        <v/>
      </c>
      <c r="Y25" s="91">
        <f>IF($A25="","",$S25)</f>
        <v/>
      </c>
      <c r="Z25" s="89">
        <f>IF($A25="","",$L$64*$D25)</f>
        <v/>
      </c>
      <c r="AA25" s="91">
        <f>IF($A25="","",$I25)</f>
        <v/>
      </c>
      <c r="AB25" s="89">
        <f>IF($A25="","",$L$65*$D25)</f>
        <v/>
      </c>
      <c r="AC25" s="91">
        <f>IF($A25="","",$C25)</f>
        <v/>
      </c>
      <c r="AD25" s="92">
        <f>IF($A25="","",$L$66*$D25)</f>
        <v/>
      </c>
      <c r="AE25" s="91">
        <f>IF($A25="","",$G25)</f>
        <v/>
      </c>
      <c r="AF25" s="89">
        <f>IF($A25="","",$L$67*$D25)</f>
        <v/>
      </c>
      <c r="AG25" s="91">
        <f>IF($A25="","",$C25)</f>
        <v/>
      </c>
      <c r="AH25" s="92">
        <f>IF($A25="","",$L$68*$D25)</f>
        <v/>
      </c>
      <c r="AI25" s="93">
        <f>IF($A25="","",$I25-68-68)</f>
        <v/>
      </c>
      <c r="AJ25" s="94">
        <f>IF($A25="","",$K25-68-68)</f>
        <v/>
      </c>
      <c r="AK25" s="95">
        <f>IF($A25="","",6*$D25)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IF($A26="","",$B26-$E$56-$F$56-$G$56)</f>
        <v/>
      </c>
      <c r="J26" s="97">
        <f>IF($A26="","",$L$56*$D26)</f>
        <v/>
      </c>
      <c r="K26" s="96">
        <f>IF($A26="","",(($C26-$E$57-$F$57-$G$57-$H$57)/6)+(78*4)/6)</f>
        <v/>
      </c>
      <c r="L26" s="97">
        <f>IF($A26="","",$L$57*$D26)</f>
        <v/>
      </c>
      <c r="M26" s="96">
        <f>IF($A26="","",$I26-$E$58-$F$58)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IF($A26="","",$I26)</f>
        <v/>
      </c>
      <c r="R26" s="97">
        <f>IF($A26="","",$L$60*$D26)</f>
        <v/>
      </c>
      <c r="S26" s="96">
        <f>IF($A26="","",$I26)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IF($A26="","",$G26)</f>
        <v/>
      </c>
      <c r="X26" s="97">
        <f>IF($A26="","",$L$63*$D26)</f>
        <v/>
      </c>
      <c r="Y26" s="96">
        <f>IF($A26="","",$S26)</f>
        <v/>
      </c>
      <c r="Z26" s="97">
        <f>IF($A26="","",$L$64*$D26)</f>
        <v/>
      </c>
      <c r="AA26" s="96">
        <f>IF($A26="","",$I26)</f>
        <v/>
      </c>
      <c r="AB26" s="97">
        <f>IF($A26="","",$L$65*$D26)</f>
        <v/>
      </c>
      <c r="AC26" s="96">
        <f>IF($A26="","",$C26)</f>
        <v/>
      </c>
      <c r="AD26" s="98">
        <f>IF($A26="","",$L$66*$D26)</f>
        <v/>
      </c>
      <c r="AE26" s="96">
        <f>IF($A26="","",$G26)</f>
        <v/>
      </c>
      <c r="AF26" s="97">
        <f>IF($A26="","",$L$67*$D26)</f>
        <v/>
      </c>
      <c r="AG26" s="96">
        <f>IF($A26="","",$C26)</f>
        <v/>
      </c>
      <c r="AH26" s="98">
        <f>IF($A26="","",$L$68*$D26)</f>
        <v/>
      </c>
      <c r="AI26" s="93">
        <f>IF($A26="","",$I26-68-68)</f>
        <v/>
      </c>
      <c r="AJ26" s="94">
        <f>IF($A26="","",$K26-68-68)</f>
        <v/>
      </c>
      <c r="AK26" s="95">
        <f>IF($A26="","",6*$D26)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IF($A27="","",$B27-$E$56-$F$56-$G$56)</f>
        <v/>
      </c>
      <c r="J27" s="89">
        <f>IF($A27="","",$L$56*$D27)</f>
        <v/>
      </c>
      <c r="K27" s="91">
        <f>IF($A27="","",(($C27-$E$57-$F$57-$G$57-$H$57)/6)+(78*4)/6)</f>
        <v/>
      </c>
      <c r="L27" s="89">
        <f>IF($A27="","",$L$57*$D27)</f>
        <v/>
      </c>
      <c r="M27" s="91">
        <f>IF($A27="","",$I27-$E$58-$F$58)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IF($A27="","",$I27)</f>
        <v/>
      </c>
      <c r="R27" s="89">
        <f>IF($A27="","",$L$60*$D27)</f>
        <v/>
      </c>
      <c r="S27" s="91">
        <f>IF($A27="","",$I27)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IF($A27="","",$G27)</f>
        <v/>
      </c>
      <c r="X27" s="89">
        <f>IF($A27="","",$L$63*$D27)</f>
        <v/>
      </c>
      <c r="Y27" s="91">
        <f>IF($A27="","",$S27)</f>
        <v/>
      </c>
      <c r="Z27" s="89">
        <f>IF($A27="","",$L$64*$D27)</f>
        <v/>
      </c>
      <c r="AA27" s="91">
        <f>IF($A27="","",$I27)</f>
        <v/>
      </c>
      <c r="AB27" s="89">
        <f>IF($A27="","",$L$65*$D27)</f>
        <v/>
      </c>
      <c r="AC27" s="91">
        <f>IF($A27="","",$C27)</f>
        <v/>
      </c>
      <c r="AD27" s="92">
        <f>IF($A27="","",$L$66*$D27)</f>
        <v/>
      </c>
      <c r="AE27" s="91">
        <f>IF($A27="","",$G27)</f>
        <v/>
      </c>
      <c r="AF27" s="89">
        <f>IF($A27="","",$L$67*$D27)</f>
        <v/>
      </c>
      <c r="AG27" s="91">
        <f>IF($A27="","",$C27)</f>
        <v/>
      </c>
      <c r="AH27" s="92">
        <f>IF($A27="","",$L$68*$D27)</f>
        <v/>
      </c>
      <c r="AI27" s="93">
        <f>IF($A27="","",$I27-68-68)</f>
        <v/>
      </c>
      <c r="AJ27" s="94">
        <f>IF($A27="","",$K27-68-68)</f>
        <v/>
      </c>
      <c r="AK27" s="95">
        <f>IF($A27="","",6*$D27)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IF($A28="","",$B28-$E$56-$F$56-$G$56)</f>
        <v/>
      </c>
      <c r="J28" s="97">
        <f>IF($A28="","",$L$56*$D28)</f>
        <v/>
      </c>
      <c r="K28" s="96">
        <f>IF($A28="","",(($C28-$E$57-$F$57-$G$57-$H$57)/6)+(78*4)/6)</f>
        <v/>
      </c>
      <c r="L28" s="97">
        <f>IF($A28="","",$L$57*$D28)</f>
        <v/>
      </c>
      <c r="M28" s="96">
        <f>IF($A28="","",$I28-$E$58-$F$58)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IF($A28="","",$I28)</f>
        <v/>
      </c>
      <c r="R28" s="97">
        <f>IF($A28="","",$L$60*$D28)</f>
        <v/>
      </c>
      <c r="S28" s="96">
        <f>IF($A28="","",$I28)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IF($A28="","",$G28)</f>
        <v/>
      </c>
      <c r="X28" s="97">
        <f>IF($A28="","",$L$63*$D28)</f>
        <v/>
      </c>
      <c r="Y28" s="96">
        <f>IF($A28="","",$S28)</f>
        <v/>
      </c>
      <c r="Z28" s="97">
        <f>IF($A28="","",$L$64*$D28)</f>
        <v/>
      </c>
      <c r="AA28" s="96">
        <f>IF($A28="","",$I28)</f>
        <v/>
      </c>
      <c r="AB28" s="97">
        <f>IF($A28="","",$L$65*$D28)</f>
        <v/>
      </c>
      <c r="AC28" s="96">
        <f>IF($A28="","",$C28)</f>
        <v/>
      </c>
      <c r="AD28" s="98">
        <f>IF($A28="","",$L$66*$D28)</f>
        <v/>
      </c>
      <c r="AE28" s="96">
        <f>IF($A28="","",$G28)</f>
        <v/>
      </c>
      <c r="AF28" s="97">
        <f>IF($A28="","",$L$67*$D28)</f>
        <v/>
      </c>
      <c r="AG28" s="96">
        <f>IF($A28="","",$C28)</f>
        <v/>
      </c>
      <c r="AH28" s="98">
        <f>IF($A28="","",$L$68*$D28)</f>
        <v/>
      </c>
      <c r="AI28" s="93">
        <f>IF($A28="","",$I28-68-68)</f>
        <v/>
      </c>
      <c r="AJ28" s="94">
        <f>IF($A28="","",$K28-68-68)</f>
        <v/>
      </c>
      <c r="AK28" s="95">
        <f>IF($A28="","",6*$D28)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2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20" t="n"/>
      <c r="K30" s="21" t="n"/>
      <c r="L30" s="72">
        <f>(ROUNDUP(SUM(J49:L49)/6400,0))</f>
        <v/>
      </c>
      <c r="M30" s="72">
        <f>M$7</f>
        <v/>
      </c>
      <c r="N30" s="20" t="n"/>
      <c r="O30" s="21" t="n"/>
      <c r="P30" s="72">
        <f>(ROUNDUP(SUM(N49:P49)/6400,0))</f>
        <v/>
      </c>
      <c r="Q30" s="72">
        <f>Q$7</f>
        <v/>
      </c>
      <c r="R30" s="72">
        <f>(ROUNDUP(R49/6400,0))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(ROUNDUP(X49/6400,0))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(ROUNDUP(AF49/6400,0))</f>
        <v/>
      </c>
      <c r="AG30" s="72">
        <f>AG$7</f>
        <v/>
      </c>
      <c r="AH30" s="72">
        <f>(ROUNDUP(AH49/6400,0))</f>
        <v/>
      </c>
    </row>
    <row r="31" hidden="1" ht="40.15" customHeight="1">
      <c r="F31" s="73">
        <f>IF($A11="","",F11*E11)</f>
        <v/>
      </c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O49" s="74" t="n"/>
      <c r="P49" s="74">
        <f>SUMIF(P31:P48,"&gt;0")</f>
        <v/>
      </c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เฟรม-ล่าง</t>
        </is>
      </c>
      <c r="C55" s="80" t="inlineStr">
        <is>
          <t>F7902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เสา</t>
        </is>
      </c>
      <c r="C56" s="80" t="inlineStr">
        <is>
          <t>F7980</t>
        </is>
      </c>
      <c r="D56" s="81" t="inlineStr">
        <is>
          <t>สูง-14-13-21</t>
        </is>
      </c>
      <c r="E56" s="83" t="n">
        <v>14</v>
      </c>
      <c r="F56" s="83" t="n">
        <v>13</v>
      </c>
      <c r="G56" s="83" t="n">
        <v>21</v>
      </c>
      <c r="H56" s="82" t="n"/>
      <c r="I56" s="82" t="n"/>
      <c r="J56" s="82" t="n"/>
      <c r="K56" s="82" t="n"/>
      <c r="L56" s="83" t="n">
        <v>12</v>
      </c>
      <c r="M56" s="82" t="n"/>
    </row>
    <row r="57" ht="15" customHeight="1">
      <c r="A57" s="78" t="n">
        <v>4</v>
      </c>
      <c r="B57" s="79" t="inlineStr">
        <is>
          <t>ขวาง</t>
        </is>
      </c>
      <c r="C57" s="80" t="inlineStr">
        <is>
          <t>-</t>
        </is>
      </c>
      <c r="D57" s="81" t="inlineStr">
        <is>
          <t>((กว้าง-21-6-3-21)/6)+(78x4/6)</t>
        </is>
      </c>
      <c r="E57" s="83" t="n">
        <v>21</v>
      </c>
      <c r="F57" s="83" t="n">
        <v>6</v>
      </c>
      <c r="G57" s="83" t="n">
        <v>3</v>
      </c>
      <c r="H57" s="83" t="n">
        <v>21</v>
      </c>
      <c r="I57" s="82" t="n"/>
      <c r="J57" s="82" t="n"/>
      <c r="K57" s="82" t="n"/>
      <c r="L57" s="83" t="n">
        <v>12</v>
      </c>
      <c r="M57" s="82" t="n"/>
    </row>
    <row r="58" ht="44" customHeight="1">
      <c r="A58" s="78" t="n">
        <v>5</v>
      </c>
      <c r="B58" s="79" t="inlineStr">
        <is>
          <t>คิ้ว ตั้ง</t>
        </is>
      </c>
      <c r="C58" s="80" t="inlineStr">
        <is>
          <t>F7919</t>
        </is>
      </c>
      <c r="D58" s="81" t="inlineStr">
        <is>
          <t>เสา-78-78</t>
        </is>
      </c>
      <c r="E58" s="83" t="n">
        <v>78</v>
      </c>
      <c r="F58" s="83" t="n">
        <v>78</v>
      </c>
      <c r="G58" s="82" t="n"/>
      <c r="H58" s="82" t="n"/>
      <c r="I58" s="82" t="n"/>
      <c r="J58" s="82" t="n"/>
      <c r="K58" s="82" t="n"/>
      <c r="L58" s="83" t="n">
        <v>12</v>
      </c>
      <c r="M58" s="82" t="n"/>
    </row>
    <row r="59" ht="15" customHeight="1">
      <c r="A59" s="78" t="n">
        <v>6</v>
      </c>
      <c r="B59" s="79" t="inlineStr">
        <is>
          <t>คิ้ว ขวาง</t>
        </is>
      </c>
      <c r="C59" s="80" t="inlineStr">
        <is>
          <t>-</t>
        </is>
      </c>
      <c r="D59" s="81" t="inlineStr">
        <is>
          <t>ขวาง-63-63</t>
        </is>
      </c>
      <c r="E59" s="83" t="n">
        <v>63</v>
      </c>
      <c r="F59" s="83" t="n">
        <v>63</v>
      </c>
      <c r="G59" s="82" t="n"/>
      <c r="H59" s="82" t="n"/>
      <c r="I59" s="82" t="n"/>
      <c r="J59" s="82" t="n"/>
      <c r="K59" s="82" t="n"/>
      <c r="L59" s="83" t="n">
        <v>12</v>
      </c>
      <c r="M59" s="82" t="n"/>
    </row>
    <row r="60" ht="44" customHeight="1">
      <c r="A60" s="78" t="n">
        <v>7</v>
      </c>
      <c r="B60" s="79" t="inlineStr">
        <is>
          <t>เฟรม ล่าง</t>
        </is>
      </c>
      <c r="C60" s="80" t="inlineStr">
        <is>
          <t>F7925</t>
        </is>
      </c>
      <c r="D60" s="81" t="inlineStr">
        <is>
          <t>สูงกรอบบาน</t>
        </is>
      </c>
      <c r="E60" s="82" t="n"/>
      <c r="F60" s="82" t="n"/>
      <c r="G60" s="82" t="n"/>
      <c r="H60" s="82" t="n"/>
      <c r="I60" s="82" t="n"/>
      <c r="J60" s="82" t="n"/>
      <c r="K60" s="82" t="n"/>
      <c r="L60" s="83" t="n">
        <v>1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8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สูง-45-8</t>
        </is>
      </c>
      <c r="E62" s="83" t="n">
        <v>45</v>
      </c>
      <c r="F62" s="83" t="n">
        <v>8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2" t="n"/>
      <c r="F63" s="82" t="n"/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ปิดตบเกี่ยว</t>
        </is>
      </c>
      <c r="C64" s="80" t="inlineStr">
        <is>
          <t>F7988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8</v>
      </c>
      <c r="M64" s="82" t="n"/>
    </row>
    <row r="65" ht="15" customHeight="1">
      <c r="A65" s="78" t="n">
        <v>12</v>
      </c>
      <c r="B65" s="79" t="inlineStr">
        <is>
          <t>ปิดรับล็อค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1</v>
      </c>
      <c r="M65" s="82" t="n"/>
    </row>
    <row r="66" ht="15" customHeight="1">
      <c r="A66" s="78" t="n">
        <v>13</v>
      </c>
      <c r="B66" s="79" t="inlineStr">
        <is>
          <t>ปิดตบกันสาด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รางเลื่อน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2" t="n"/>
      <c r="F67" s="82" t="n"/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44" customHeight="1">
      <c r="A68" s="78" t="n">
        <v>15</v>
      </c>
      <c r="B68" s="79" t="inlineStr">
        <is>
          <t>ตบกันสาด</t>
        </is>
      </c>
      <c r="C68" s="80" t="inlineStr">
        <is>
          <t>F7992</t>
        </is>
      </c>
      <c r="D68" s="81" t="inlineStr">
        <is>
          <t>กว้าง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1</v>
      </c>
      <c r="M68" s="82" t="n"/>
    </row>
    <row r="70">
      <c r="A70" s="123" t="inlineStr">
        <is>
          <t>⑥ อุปกรณ์ ต่อ 1 บาน — คูณจำนวนบานที่ผลิต</t>
        </is>
      </c>
      <c r="B70" s="131" t="n"/>
      <c r="C70" s="131" t="n"/>
      <c r="D70" s="131" t="n"/>
      <c r="E70" s="132" t="n"/>
      <c r="F70" s="124" t="inlineStr">
        <is>
          <t>ต่อบาน</t>
        </is>
      </c>
    </row>
    <row r="71">
      <c r="A71" s="125" t="inlineStr">
        <is>
          <t>1. ล้อ 27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2. มือจับ Align</t>
        </is>
      </c>
      <c r="B72" s="131" t="n"/>
      <c r="C72" s="131" t="n"/>
      <c r="D72" s="131" t="n"/>
      <c r="E72" s="132" t="n"/>
      <c r="F72" s="126" t="n">
        <v>2</v>
      </c>
    </row>
    <row r="73">
      <c r="A73" s="125" t="inlineStr">
        <is>
          <t>3. ชุดล็อค</t>
        </is>
      </c>
      <c r="B73" s="131" t="n"/>
      <c r="C73" s="131" t="n"/>
      <c r="D73" s="131" t="n"/>
      <c r="E73" s="132" t="n"/>
      <c r="F73" s="126" t="n">
        <v>1</v>
      </c>
    </row>
    <row r="74">
      <c r="A74" s="125" t="inlineStr">
        <is>
          <t>4. น็อตประกอบ</t>
        </is>
      </c>
      <c r="B74" s="131" t="n"/>
      <c r="C74" s="131" t="n"/>
      <c r="D74" s="131" t="n"/>
      <c r="E74" s="132" t="n"/>
      <c r="F74" s="126" t="n">
        <v>4</v>
      </c>
    </row>
    <row r="75">
      <c r="A75" s="127" t="inlineStr">
        <is>
          <t>+ สักหลาด/ยาง/ซิลิโคน = ตามขนาด (ดูชีทคิดทุน)</t>
        </is>
      </c>
      <c r="B75" s="131" t="n"/>
      <c r="C75" s="131" t="n"/>
      <c r="D75" s="131" t="n"/>
      <c r="E75" s="131" t="n"/>
      <c r="F75" s="132" t="n"/>
    </row>
  </sheetData>
  <mergeCells count="71">
    <mergeCell ref="Q7:R7"/>
    <mergeCell ref="U9:V9"/>
    <mergeCell ref="I6:J6"/>
    <mergeCell ref="A73:E73"/>
    <mergeCell ref="AE7:AF7"/>
    <mergeCell ref="A75:F75"/>
    <mergeCell ref="O6:P6"/>
    <mergeCell ref="U6:V6"/>
    <mergeCell ref="K9:L9"/>
    <mergeCell ref="W6:X6"/>
    <mergeCell ref="M9:N9"/>
    <mergeCell ref="O9:P9"/>
    <mergeCell ref="G8:H8"/>
    <mergeCell ref="M30:O30"/>
    <mergeCell ref="Y9:Z9"/>
    <mergeCell ref="E8:F8"/>
    <mergeCell ref="Q8:R8"/>
    <mergeCell ref="AA9:AB9"/>
    <mergeCell ref="AG9:AH9"/>
    <mergeCell ref="S8:T8"/>
    <mergeCell ref="Y7:AD7"/>
    <mergeCell ref="A70:E70"/>
    <mergeCell ref="Y30:AC30"/>
    <mergeCell ref="G7:H7"/>
    <mergeCell ref="AA6:AB6"/>
    <mergeCell ref="S7:T7"/>
    <mergeCell ref="AG6:AH6"/>
    <mergeCell ref="A30:D30"/>
    <mergeCell ref="G6:H6"/>
    <mergeCell ref="AC8:AD8"/>
    <mergeCell ref="E9:F9"/>
    <mergeCell ref="A74:E74"/>
    <mergeCell ref="AE8:AF8"/>
    <mergeCell ref="U7:V7"/>
    <mergeCell ref="W7:X7"/>
    <mergeCell ref="A8:A9"/>
    <mergeCell ref="E6:F6"/>
    <mergeCell ref="A6:D6"/>
    <mergeCell ref="AG7:AH7"/>
    <mergeCell ref="K8:L8"/>
    <mergeCell ref="M6:N6"/>
    <mergeCell ref="Q6:R6"/>
    <mergeCell ref="A71:E71"/>
    <mergeCell ref="S6:T6"/>
    <mergeCell ref="D8:D9"/>
    <mergeCell ref="A7:D7"/>
    <mergeCell ref="Y6:Z6"/>
    <mergeCell ref="Q9:R9"/>
    <mergeCell ref="I7:L7"/>
    <mergeCell ref="I8:J8"/>
    <mergeCell ref="S9:T9"/>
    <mergeCell ref="I30:K30"/>
    <mergeCell ref="M8:N8"/>
    <mergeCell ref="W9:X9"/>
    <mergeCell ref="AC9:AD9"/>
    <mergeCell ref="O8:P8"/>
    <mergeCell ref="U8:V8"/>
    <mergeCell ref="AE9:AF9"/>
    <mergeCell ref="W8:X8"/>
    <mergeCell ref="B8:C9"/>
    <mergeCell ref="AC6:AD6"/>
    <mergeCell ref="E7:F7"/>
    <mergeCell ref="A72:E72"/>
    <mergeCell ref="AE6:AF6"/>
    <mergeCell ref="M7:P7"/>
    <mergeCell ref="Y8:Z8"/>
    <mergeCell ref="K6:L6"/>
    <mergeCell ref="G9:H9"/>
    <mergeCell ref="AA8:AB8"/>
    <mergeCell ref="AG8:AH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4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</cols>
  <sheetData>
    <row r="1" ht="40.15" customHeight="1">
      <c r="A1" s="1" t="inlineStr">
        <is>
          <t>JR ALUMINIUM &amp; GLASS  —  ใบรายการตัด · FUJI เลื่อนสลับ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</row>
    <row r="3" ht="40.15" customHeight="1">
      <c r="A3" s="130">
        <f>HYPERLINK("#สารบัญ!A1","← สารบัญ")</f>
        <v/>
      </c>
      <c r="B3" s="84" t="inlineStr">
        <is>
          <t>แบบบาน (รูป)</t>
        </is>
      </c>
      <c r="C3" s="85" t="n"/>
      <c r="D3" s="85" t="n"/>
      <c r="E3" s="100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((กว้าง-21-3-1.2-3-21)/2)+(78x1/2)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8" t="n"/>
      <c r="AH6" s="18" t="n"/>
      <c r="AI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4" t="n"/>
      <c r="AH7" s="25" t="inlineStr">
        <is>
          <t>ขนาดกระจก</t>
        </is>
      </c>
      <c r="AI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5" t="inlineStr">
        <is>
          <t>SH-68-68</t>
        </is>
      </c>
      <c r="AH9" s="46" t="inlineStr">
        <is>
          <t>SW-68-68</t>
        </is>
      </c>
      <c r="AI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</row>
    <row r="11" ht="40.15" customHeight="1">
      <c r="A11" s="101" t="inlineStr">
        <is>
          <t>D1</t>
        </is>
      </c>
      <c r="B11" s="102" t="n">
        <v>500</v>
      </c>
      <c r="C11" s="92" t="n">
        <v>700</v>
      </c>
      <c r="D11" s="103" t="n">
        <v>15</v>
      </c>
      <c r="E11" s="104">
        <f>IF($A11="","",$B11)</f>
        <v/>
      </c>
      <c r="F11" s="92">
        <f>IF($A11="","",$L$54*$D11)</f>
        <v/>
      </c>
      <c r="G11" s="104">
        <f>IF($A11="","",$C11-$E$55-$F$55)</f>
        <v/>
      </c>
      <c r="H11" s="92">
        <f>IF($A11="","",$L$55*$D11)</f>
        <v/>
      </c>
      <c r="I11" s="104">
        <f>IF($A11="","",$C11)</f>
        <v/>
      </c>
      <c r="J11" s="92">
        <f>IF($A11="","",$L$56*$D11)</f>
        <v/>
      </c>
      <c r="K11" s="104">
        <f>IF($A11="","",$B11-$E$57-$F$57-$G$57-$H$57)</f>
        <v/>
      </c>
      <c r="L11" s="92">
        <f>IF($A11="","",$L$57*$D11)</f>
        <v/>
      </c>
      <c r="M11" s="104">
        <f>IF($A11="","",(($C11-$E$58-$F$58-$G$58-$H$58-$I$58)/2)+(78*1)/2)</f>
        <v/>
      </c>
      <c r="N11" s="92">
        <f>IF($A11="","",$L$58*$D11)</f>
        <v/>
      </c>
      <c r="O11" s="104">
        <f>IF($A11="","",$K11-$E$59-$F$59)</f>
        <v/>
      </c>
      <c r="P11" s="92">
        <f>IF($A11="","",$L$59*$D11)</f>
        <v/>
      </c>
      <c r="Q11" s="104">
        <f>IF($A11="","",$M11-$E$60-$F$60)</f>
        <v/>
      </c>
      <c r="R11" s="92">
        <f>IF($A11="","",$L$60*$D11)</f>
        <v/>
      </c>
      <c r="S11" s="104">
        <f>IF($A11="","",$K11)</f>
        <v/>
      </c>
      <c r="T11" s="92">
        <f>IF($A11="","",$L$61*$D11)</f>
        <v/>
      </c>
      <c r="U11" s="104">
        <f>IF($A11="","",$B11-$E$62-$F$62)</f>
        <v/>
      </c>
      <c r="V11" s="92">
        <f>IF($A11="","",$L$62*$D11)</f>
        <v/>
      </c>
      <c r="W11" s="104">
        <f>IF($A11="","",$C11-$E$63-$F$63)</f>
        <v/>
      </c>
      <c r="X11" s="92">
        <f>IF($A11="","",$L$63*$D11)</f>
        <v/>
      </c>
      <c r="Y11" s="104">
        <f>IF($A11="","",$B11-$E$64-$F$64)</f>
        <v/>
      </c>
      <c r="Z11" s="92">
        <f>IF($A11="","",$L$64*$D11)</f>
        <v/>
      </c>
      <c r="AA11" s="104">
        <f>IF($A11="","",$S11)</f>
        <v/>
      </c>
      <c r="AB11" s="92">
        <f>IF($A11="","",$L$65*$D11)</f>
        <v/>
      </c>
      <c r="AC11" s="104">
        <f>IF($A11="","",$C11)</f>
        <v/>
      </c>
      <c r="AD11" s="92">
        <f>IF($A11="","",$L$66*$D11)</f>
        <v/>
      </c>
      <c r="AE11" s="104">
        <f>IF($A11="","",$C11-$E$67-$F$67)</f>
        <v/>
      </c>
      <c r="AF11" s="92">
        <f>IF($A11="","",$L$67*$D11)</f>
        <v/>
      </c>
      <c r="AG11" s="105">
        <f>IF($A11="","",$K11-68-68)</f>
        <v/>
      </c>
      <c r="AH11" s="106">
        <f>IF($A11="","",$M11-68-68)</f>
        <v/>
      </c>
      <c r="AI11" s="107">
        <f>IF($A11="","",2*$D11)</f>
        <v/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IF($A12="","",$C12-$E$55-$F$55)</f>
        <v/>
      </c>
      <c r="H12" s="98">
        <f>IF($A12="","",$L$55*$D12)</f>
        <v/>
      </c>
      <c r="I12" s="108">
        <f>IF($A12="","",$C12)</f>
        <v/>
      </c>
      <c r="J12" s="98">
        <f>IF($A12="","",$L$56*$D12)</f>
        <v/>
      </c>
      <c r="K12" s="108">
        <f>IF($A12="","",$B12-$E$57-$F$57-$G$57-$H$57)</f>
        <v/>
      </c>
      <c r="L12" s="98">
        <f>IF($A12="","",$L$57*$D12)</f>
        <v/>
      </c>
      <c r="M12" s="108">
        <f>IF($A12="","",(($C12-$E$58-$F$58-$G$58-$H$58-$I$58)/2)+(78*1)/2)</f>
        <v/>
      </c>
      <c r="N12" s="98">
        <f>IF($A12="","",$L$58*$D12)</f>
        <v/>
      </c>
      <c r="O12" s="108">
        <f>IF($A12="","",$K12-$E$59-$F$59)</f>
        <v/>
      </c>
      <c r="P12" s="98">
        <f>IF($A12="","",$L$59*$D12)</f>
        <v/>
      </c>
      <c r="Q12" s="108">
        <f>IF($A12="","",$M12-$E$60-$F$60)</f>
        <v/>
      </c>
      <c r="R12" s="98">
        <f>IF($A12="","",$L$60*$D12)</f>
        <v/>
      </c>
      <c r="S12" s="108">
        <f>IF($A12="","",$K12)</f>
        <v/>
      </c>
      <c r="T12" s="98">
        <f>IF($A12="","",$L$61*$D12)</f>
        <v/>
      </c>
      <c r="U12" s="108">
        <f>IF($A12="","",$B12-$E$62-$F$62)</f>
        <v/>
      </c>
      <c r="V12" s="98">
        <f>IF($A12="","",$L$62*$D12)</f>
        <v/>
      </c>
      <c r="W12" s="108">
        <f>IF($A12="","",$C12-$E$63-$F$63)</f>
        <v/>
      </c>
      <c r="X12" s="98">
        <f>IF($A12="","",$L$63*$D12)</f>
        <v/>
      </c>
      <c r="Y12" s="108">
        <f>IF($A12="","",$B12-$E$64-$F$64)</f>
        <v/>
      </c>
      <c r="Z12" s="98">
        <f>IF($A12="","",$L$64*$D12)</f>
        <v/>
      </c>
      <c r="AA12" s="108">
        <f>IF($A12="","",$S12)</f>
        <v/>
      </c>
      <c r="AB12" s="98">
        <f>IF($A12="","",$L$65*$D12)</f>
        <v/>
      </c>
      <c r="AC12" s="108">
        <f>IF($A12="","",$C12)</f>
        <v/>
      </c>
      <c r="AD12" s="98">
        <f>IF($A12="","",$L$66*$D12)</f>
        <v/>
      </c>
      <c r="AE12" s="108">
        <f>IF($A12="","",$C12-$E$67-$F$67)</f>
        <v/>
      </c>
      <c r="AF12" s="98">
        <f>IF($A12="","",$L$67*$D12)</f>
        <v/>
      </c>
      <c r="AG12" s="105">
        <f>IF($A12="","",$K12-68-68)</f>
        <v/>
      </c>
      <c r="AH12" s="106">
        <f>IF($A12="","",$M12-68-68)</f>
        <v/>
      </c>
      <c r="AI12" s="107">
        <f>IF($A12="","",2*$D12)</f>
        <v/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IF($A13="","",$C13-$E$55-$F$55)</f>
        <v/>
      </c>
      <c r="H13" s="92">
        <f>IF($A13="","",$L$55*$D13)</f>
        <v/>
      </c>
      <c r="I13" s="104">
        <f>IF($A13="","",$C13)</f>
        <v/>
      </c>
      <c r="J13" s="92">
        <f>IF($A13="","",$L$56*$D13)</f>
        <v/>
      </c>
      <c r="K13" s="104">
        <f>IF($A13="","",$B13-$E$57-$F$57-$G$57-$H$57)</f>
        <v/>
      </c>
      <c r="L13" s="92">
        <f>IF($A13="","",$L$57*$D13)</f>
        <v/>
      </c>
      <c r="M13" s="104">
        <f>IF($A13="","",(($C13-$E$58-$F$58-$G$58-$H$58-$I$58)/2)+(78*1)/2)</f>
        <v/>
      </c>
      <c r="N13" s="92">
        <f>IF($A13="","",$L$58*$D13)</f>
        <v/>
      </c>
      <c r="O13" s="104">
        <f>IF($A13="","",$K13-$E$59-$F$59)</f>
        <v/>
      </c>
      <c r="P13" s="92">
        <f>IF($A13="","",$L$59*$D13)</f>
        <v/>
      </c>
      <c r="Q13" s="104">
        <f>IF($A13="","",$M13-$E$60-$F$60)</f>
        <v/>
      </c>
      <c r="R13" s="92">
        <f>IF($A13="","",$L$60*$D13)</f>
        <v/>
      </c>
      <c r="S13" s="104">
        <f>IF($A13="","",$K13)</f>
        <v/>
      </c>
      <c r="T13" s="92">
        <f>IF($A13="","",$L$61*$D13)</f>
        <v/>
      </c>
      <c r="U13" s="104">
        <f>IF($A13="","",$B13-$E$62-$F$62)</f>
        <v/>
      </c>
      <c r="V13" s="92">
        <f>IF($A13="","",$L$62*$D13)</f>
        <v/>
      </c>
      <c r="W13" s="104">
        <f>IF($A13="","",$C13-$E$63-$F$63)</f>
        <v/>
      </c>
      <c r="X13" s="92">
        <f>IF($A13="","",$L$63*$D13)</f>
        <v/>
      </c>
      <c r="Y13" s="104">
        <f>IF($A13="","",$B13-$E$64-$F$64)</f>
        <v/>
      </c>
      <c r="Z13" s="92">
        <f>IF($A13="","",$L$64*$D13)</f>
        <v/>
      </c>
      <c r="AA13" s="104">
        <f>IF($A13="","",$S13)</f>
        <v/>
      </c>
      <c r="AB13" s="92">
        <f>IF($A13="","",$L$65*$D13)</f>
        <v/>
      </c>
      <c r="AC13" s="104">
        <f>IF($A13="","",$C13)</f>
        <v/>
      </c>
      <c r="AD13" s="92">
        <f>IF($A13="","",$L$66*$D13)</f>
        <v/>
      </c>
      <c r="AE13" s="104">
        <f>IF($A13="","",$C13-$E$67-$F$67)</f>
        <v/>
      </c>
      <c r="AF13" s="92">
        <f>IF($A13="","",$L$67*$D13)</f>
        <v/>
      </c>
      <c r="AG13" s="105">
        <f>IF($A13="","",$K13-68-68)</f>
        <v/>
      </c>
      <c r="AH13" s="106">
        <f>IF($A13="","",$M13-68-68)</f>
        <v/>
      </c>
      <c r="AI13" s="107">
        <f>IF($A13="","",2*$D13)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IF($A14="","",$C14-$E$55-$F$55)</f>
        <v/>
      </c>
      <c r="H14" s="98">
        <f>IF($A14="","",$L$55*$D14)</f>
        <v/>
      </c>
      <c r="I14" s="108">
        <f>IF($A14="","",$C14)</f>
        <v/>
      </c>
      <c r="J14" s="98">
        <f>IF($A14="","",$L$56*$D14)</f>
        <v/>
      </c>
      <c r="K14" s="108">
        <f>IF($A14="","",$B14-$E$57-$F$57-$G$57-$H$57)</f>
        <v/>
      </c>
      <c r="L14" s="98">
        <f>IF($A14="","",$L$57*$D14)</f>
        <v/>
      </c>
      <c r="M14" s="108">
        <f>IF($A14="","",(($C14-$E$58-$F$58-$G$58-$H$58-$I$58)/2)+(78*1)/2)</f>
        <v/>
      </c>
      <c r="N14" s="98">
        <f>IF($A14="","",$L$58*$D14)</f>
        <v/>
      </c>
      <c r="O14" s="108">
        <f>IF($A14="","",$K14-$E$59-$F$59)</f>
        <v/>
      </c>
      <c r="P14" s="98">
        <f>IF($A14="","",$L$59*$D14)</f>
        <v/>
      </c>
      <c r="Q14" s="108">
        <f>IF($A14="","",$M14-$E$60-$F$60)</f>
        <v/>
      </c>
      <c r="R14" s="98">
        <f>IF($A14="","",$L$60*$D14)</f>
        <v/>
      </c>
      <c r="S14" s="108">
        <f>IF($A14="","",$K14)</f>
        <v/>
      </c>
      <c r="T14" s="98">
        <f>IF($A14="","",$L$61*$D14)</f>
        <v/>
      </c>
      <c r="U14" s="108">
        <f>IF($A14="","",$B14-$E$62-$F$62)</f>
        <v/>
      </c>
      <c r="V14" s="98">
        <f>IF($A14="","",$L$62*$D14)</f>
        <v/>
      </c>
      <c r="W14" s="108">
        <f>IF($A14="","",$C14-$E$63-$F$63)</f>
        <v/>
      </c>
      <c r="X14" s="98">
        <f>IF($A14="","",$L$63*$D14)</f>
        <v/>
      </c>
      <c r="Y14" s="108">
        <f>IF($A14="","",$B14-$E$64-$F$64)</f>
        <v/>
      </c>
      <c r="Z14" s="98">
        <f>IF($A14="","",$L$64*$D14)</f>
        <v/>
      </c>
      <c r="AA14" s="108">
        <f>IF($A14="","",$S14)</f>
        <v/>
      </c>
      <c r="AB14" s="98">
        <f>IF($A14="","",$L$65*$D14)</f>
        <v/>
      </c>
      <c r="AC14" s="108">
        <f>IF($A14="","",$C14)</f>
        <v/>
      </c>
      <c r="AD14" s="98">
        <f>IF($A14="","",$L$66*$D14)</f>
        <v/>
      </c>
      <c r="AE14" s="108">
        <f>IF($A14="","",$C14-$E$67-$F$67)</f>
        <v/>
      </c>
      <c r="AF14" s="98">
        <f>IF($A14="","",$L$67*$D14)</f>
        <v/>
      </c>
      <c r="AG14" s="105">
        <f>IF($A14="","",$K14-68-68)</f>
        <v/>
      </c>
      <c r="AH14" s="106">
        <f>IF($A14="","",$M14-68-68)</f>
        <v/>
      </c>
      <c r="AI14" s="107">
        <f>IF($A14="","",2*$D14)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IF($A15="","",$C15-$E$55-$F$55)</f>
        <v/>
      </c>
      <c r="H15" s="92">
        <f>IF($A15="","",$L$55*$D15)</f>
        <v/>
      </c>
      <c r="I15" s="104">
        <f>IF($A15="","",$C15)</f>
        <v/>
      </c>
      <c r="J15" s="92">
        <f>IF($A15="","",$L$56*$D15)</f>
        <v/>
      </c>
      <c r="K15" s="104">
        <f>IF($A15="","",$B15-$E$57-$F$57-$G$57-$H$57)</f>
        <v/>
      </c>
      <c r="L15" s="92">
        <f>IF($A15="","",$L$57*$D15)</f>
        <v/>
      </c>
      <c r="M15" s="104">
        <f>IF($A15="","",(($C15-$E$58-$F$58-$G$58-$H$58-$I$58)/2)+(78*1)/2)</f>
        <v/>
      </c>
      <c r="N15" s="92">
        <f>IF($A15="","",$L$58*$D15)</f>
        <v/>
      </c>
      <c r="O15" s="104">
        <f>IF($A15="","",$K15-$E$59-$F$59)</f>
        <v/>
      </c>
      <c r="P15" s="92">
        <f>IF($A15="","",$L$59*$D15)</f>
        <v/>
      </c>
      <c r="Q15" s="104">
        <f>IF($A15="","",$M15-$E$60-$F$60)</f>
        <v/>
      </c>
      <c r="R15" s="92">
        <f>IF($A15="","",$L$60*$D15)</f>
        <v/>
      </c>
      <c r="S15" s="104">
        <f>IF($A15="","",$K15)</f>
        <v/>
      </c>
      <c r="T15" s="92">
        <f>IF($A15="","",$L$61*$D15)</f>
        <v/>
      </c>
      <c r="U15" s="104">
        <f>IF($A15="","",$B15-$E$62-$F$62)</f>
        <v/>
      </c>
      <c r="V15" s="92">
        <f>IF($A15="","",$L$62*$D15)</f>
        <v/>
      </c>
      <c r="W15" s="104">
        <f>IF($A15="","",$C15-$E$63-$F$63)</f>
        <v/>
      </c>
      <c r="X15" s="92">
        <f>IF($A15="","",$L$63*$D15)</f>
        <v/>
      </c>
      <c r="Y15" s="104">
        <f>IF($A15="","",$B15-$E$64-$F$64)</f>
        <v/>
      </c>
      <c r="Z15" s="92">
        <f>IF($A15="","",$L$64*$D15)</f>
        <v/>
      </c>
      <c r="AA15" s="104">
        <f>IF($A15="","",$S15)</f>
        <v/>
      </c>
      <c r="AB15" s="92">
        <f>IF($A15="","",$L$65*$D15)</f>
        <v/>
      </c>
      <c r="AC15" s="104">
        <f>IF($A15="","",$C15)</f>
        <v/>
      </c>
      <c r="AD15" s="92">
        <f>IF($A15="","",$L$66*$D15)</f>
        <v/>
      </c>
      <c r="AE15" s="104">
        <f>IF($A15="","",$C15-$E$67-$F$67)</f>
        <v/>
      </c>
      <c r="AF15" s="92">
        <f>IF($A15="","",$L$67*$D15)</f>
        <v/>
      </c>
      <c r="AG15" s="105">
        <f>IF($A15="","",$K15-68-68)</f>
        <v/>
      </c>
      <c r="AH15" s="106">
        <f>IF($A15="","",$M15-68-68)</f>
        <v/>
      </c>
      <c r="AI15" s="107">
        <f>IF($A15="","",2*$D15)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IF($A16="","",$C16-$E$55-$F$55)</f>
        <v/>
      </c>
      <c r="H16" s="98">
        <f>IF($A16="","",$L$55*$D16)</f>
        <v/>
      </c>
      <c r="I16" s="108">
        <f>IF($A16="","",$C16)</f>
        <v/>
      </c>
      <c r="J16" s="98">
        <f>IF($A16="","",$L$56*$D16)</f>
        <v/>
      </c>
      <c r="K16" s="108">
        <f>IF($A16="","",$B16-$E$57-$F$57-$G$57-$H$57)</f>
        <v/>
      </c>
      <c r="L16" s="98">
        <f>IF($A16="","",$L$57*$D16)</f>
        <v/>
      </c>
      <c r="M16" s="108">
        <f>IF($A16="","",(($C16-$E$58-$F$58-$G$58-$H$58-$I$58)/2)+(78*1)/2)</f>
        <v/>
      </c>
      <c r="N16" s="98">
        <f>IF($A16="","",$L$58*$D16)</f>
        <v/>
      </c>
      <c r="O16" s="108">
        <f>IF($A16="","",$K16-$E$59-$F$59)</f>
        <v/>
      </c>
      <c r="P16" s="98">
        <f>IF($A16="","",$L$59*$D16)</f>
        <v/>
      </c>
      <c r="Q16" s="108">
        <f>IF($A16="","",$M16-$E$60-$F$60)</f>
        <v/>
      </c>
      <c r="R16" s="98">
        <f>IF($A16="","",$L$60*$D16)</f>
        <v/>
      </c>
      <c r="S16" s="108">
        <f>IF($A16="","",$K16)</f>
        <v/>
      </c>
      <c r="T16" s="98">
        <f>IF($A16="","",$L$61*$D16)</f>
        <v/>
      </c>
      <c r="U16" s="108">
        <f>IF($A16="","",$B16-$E$62-$F$62)</f>
        <v/>
      </c>
      <c r="V16" s="98">
        <f>IF($A16="","",$L$62*$D16)</f>
        <v/>
      </c>
      <c r="W16" s="108">
        <f>IF($A16="","",$C16-$E$63-$F$63)</f>
        <v/>
      </c>
      <c r="X16" s="98">
        <f>IF($A16="","",$L$63*$D16)</f>
        <v/>
      </c>
      <c r="Y16" s="108">
        <f>IF($A16="","",$B16-$E$64-$F$64)</f>
        <v/>
      </c>
      <c r="Z16" s="98">
        <f>IF($A16="","",$L$64*$D16)</f>
        <v/>
      </c>
      <c r="AA16" s="108">
        <f>IF($A16="","",$S16)</f>
        <v/>
      </c>
      <c r="AB16" s="98">
        <f>IF($A16="","",$L$65*$D16)</f>
        <v/>
      </c>
      <c r="AC16" s="108">
        <f>IF($A16="","",$C16)</f>
        <v/>
      </c>
      <c r="AD16" s="98">
        <f>IF($A16="","",$L$66*$D16)</f>
        <v/>
      </c>
      <c r="AE16" s="108">
        <f>IF($A16="","",$C16-$E$67-$F$67)</f>
        <v/>
      </c>
      <c r="AF16" s="98">
        <f>IF($A16="","",$L$67*$D16)</f>
        <v/>
      </c>
      <c r="AG16" s="105">
        <f>IF($A16="","",$K16-68-68)</f>
        <v/>
      </c>
      <c r="AH16" s="106">
        <f>IF($A16="","",$M16-68-68)</f>
        <v/>
      </c>
      <c r="AI16" s="107">
        <f>IF($A16="","",2*$D16)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IF($A17="","",$C17-$E$55-$F$55)</f>
        <v/>
      </c>
      <c r="H17" s="92">
        <f>IF($A17="","",$L$55*$D17)</f>
        <v/>
      </c>
      <c r="I17" s="104">
        <f>IF($A17="","",$C17)</f>
        <v/>
      </c>
      <c r="J17" s="92">
        <f>IF($A17="","",$L$56*$D17)</f>
        <v/>
      </c>
      <c r="K17" s="104">
        <f>IF($A17="","",$B17-$E$57-$F$57-$G$57-$H$57)</f>
        <v/>
      </c>
      <c r="L17" s="92">
        <f>IF($A17="","",$L$57*$D17)</f>
        <v/>
      </c>
      <c r="M17" s="104">
        <f>IF($A17="","",(($C17-$E$58-$F$58-$G$58-$H$58-$I$58)/2)+(78*1)/2)</f>
        <v/>
      </c>
      <c r="N17" s="92">
        <f>IF($A17="","",$L$58*$D17)</f>
        <v/>
      </c>
      <c r="O17" s="104">
        <f>IF($A17="","",$K17-$E$59-$F$59)</f>
        <v/>
      </c>
      <c r="P17" s="92">
        <f>IF($A17="","",$L$59*$D17)</f>
        <v/>
      </c>
      <c r="Q17" s="104">
        <f>IF($A17="","",$M17-$E$60-$F$60)</f>
        <v/>
      </c>
      <c r="R17" s="92">
        <f>IF($A17="","",$L$60*$D17)</f>
        <v/>
      </c>
      <c r="S17" s="104">
        <f>IF($A17="","",$K17)</f>
        <v/>
      </c>
      <c r="T17" s="92">
        <f>IF($A17="","",$L$61*$D17)</f>
        <v/>
      </c>
      <c r="U17" s="104">
        <f>IF($A17="","",$B17-$E$62-$F$62)</f>
        <v/>
      </c>
      <c r="V17" s="92">
        <f>IF($A17="","",$L$62*$D17)</f>
        <v/>
      </c>
      <c r="W17" s="104">
        <f>IF($A17="","",$C17-$E$63-$F$63)</f>
        <v/>
      </c>
      <c r="X17" s="92">
        <f>IF($A17="","",$L$63*$D17)</f>
        <v/>
      </c>
      <c r="Y17" s="104">
        <f>IF($A17="","",$B17-$E$64-$F$64)</f>
        <v/>
      </c>
      <c r="Z17" s="92">
        <f>IF($A17="","",$L$64*$D17)</f>
        <v/>
      </c>
      <c r="AA17" s="104">
        <f>IF($A17="","",$S17)</f>
        <v/>
      </c>
      <c r="AB17" s="92">
        <f>IF($A17="","",$L$65*$D17)</f>
        <v/>
      </c>
      <c r="AC17" s="104">
        <f>IF($A17="","",$C17)</f>
        <v/>
      </c>
      <c r="AD17" s="92">
        <f>IF($A17="","",$L$66*$D17)</f>
        <v/>
      </c>
      <c r="AE17" s="104">
        <f>IF($A17="","",$C17-$E$67-$F$67)</f>
        <v/>
      </c>
      <c r="AF17" s="92">
        <f>IF($A17="","",$L$67*$D17)</f>
        <v/>
      </c>
      <c r="AG17" s="105">
        <f>IF($A17="","",$K17-68-68)</f>
        <v/>
      </c>
      <c r="AH17" s="106">
        <f>IF($A17="","",$M17-68-68)</f>
        <v/>
      </c>
      <c r="AI17" s="107">
        <f>IF($A17="","",2*$D17)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IF($A18="","",$C18-$E$55-$F$55)</f>
        <v/>
      </c>
      <c r="H18" s="98">
        <f>IF($A18="","",$L$55*$D18)</f>
        <v/>
      </c>
      <c r="I18" s="108">
        <f>IF($A18="","",$C18)</f>
        <v/>
      </c>
      <c r="J18" s="98">
        <f>IF($A18="","",$L$56*$D18)</f>
        <v/>
      </c>
      <c r="K18" s="108">
        <f>IF($A18="","",$B18-$E$57-$F$57-$G$57-$H$57)</f>
        <v/>
      </c>
      <c r="L18" s="98">
        <f>IF($A18="","",$L$57*$D18)</f>
        <v/>
      </c>
      <c r="M18" s="108">
        <f>IF($A18="","",(($C18-$E$58-$F$58-$G$58-$H$58-$I$58)/2)+(78*1)/2)</f>
        <v/>
      </c>
      <c r="N18" s="98">
        <f>IF($A18="","",$L$58*$D18)</f>
        <v/>
      </c>
      <c r="O18" s="108">
        <f>IF($A18="","",$K18-$E$59-$F$59)</f>
        <v/>
      </c>
      <c r="P18" s="98">
        <f>IF($A18="","",$L$59*$D18)</f>
        <v/>
      </c>
      <c r="Q18" s="108">
        <f>IF($A18="","",$M18-$E$60-$F$60)</f>
        <v/>
      </c>
      <c r="R18" s="98">
        <f>IF($A18="","",$L$60*$D18)</f>
        <v/>
      </c>
      <c r="S18" s="108">
        <f>IF($A18="","",$K18)</f>
        <v/>
      </c>
      <c r="T18" s="98">
        <f>IF($A18="","",$L$61*$D18)</f>
        <v/>
      </c>
      <c r="U18" s="108">
        <f>IF($A18="","",$B18-$E$62-$F$62)</f>
        <v/>
      </c>
      <c r="V18" s="98">
        <f>IF($A18="","",$L$62*$D18)</f>
        <v/>
      </c>
      <c r="W18" s="108">
        <f>IF($A18="","",$C18-$E$63-$F$63)</f>
        <v/>
      </c>
      <c r="X18" s="98">
        <f>IF($A18="","",$L$63*$D18)</f>
        <v/>
      </c>
      <c r="Y18" s="108">
        <f>IF($A18="","",$B18-$E$64-$F$64)</f>
        <v/>
      </c>
      <c r="Z18" s="98">
        <f>IF($A18="","",$L$64*$D18)</f>
        <v/>
      </c>
      <c r="AA18" s="108">
        <f>IF($A18="","",$S18)</f>
        <v/>
      </c>
      <c r="AB18" s="98">
        <f>IF($A18="","",$L$65*$D18)</f>
        <v/>
      </c>
      <c r="AC18" s="108">
        <f>IF($A18="","",$C18)</f>
        <v/>
      </c>
      <c r="AD18" s="98">
        <f>IF($A18="","",$L$66*$D18)</f>
        <v/>
      </c>
      <c r="AE18" s="108">
        <f>IF($A18="","",$C18-$E$67-$F$67)</f>
        <v/>
      </c>
      <c r="AF18" s="98">
        <f>IF($A18="","",$L$67*$D18)</f>
        <v/>
      </c>
      <c r="AG18" s="105">
        <f>IF($A18="","",$K18-68-68)</f>
        <v/>
      </c>
      <c r="AH18" s="106">
        <f>IF($A18="","",$M18-68-68)</f>
        <v/>
      </c>
      <c r="AI18" s="107">
        <f>IF($A18="","",2*$D18)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IF($A19="","",$C19-$E$55-$F$55)</f>
        <v/>
      </c>
      <c r="H19" s="92">
        <f>IF($A19="","",$L$55*$D19)</f>
        <v/>
      </c>
      <c r="I19" s="104">
        <f>IF($A19="","",$C19)</f>
        <v/>
      </c>
      <c r="J19" s="92">
        <f>IF($A19="","",$L$56*$D19)</f>
        <v/>
      </c>
      <c r="K19" s="104">
        <f>IF($A19="","",$B19-$E$57-$F$57-$G$57-$H$57)</f>
        <v/>
      </c>
      <c r="L19" s="92">
        <f>IF($A19="","",$L$57*$D19)</f>
        <v/>
      </c>
      <c r="M19" s="104">
        <f>IF($A19="","",(($C19-$E$58-$F$58-$G$58-$H$58-$I$58)/2)+(78*1)/2)</f>
        <v/>
      </c>
      <c r="N19" s="92">
        <f>IF($A19="","",$L$58*$D19)</f>
        <v/>
      </c>
      <c r="O19" s="104">
        <f>IF($A19="","",$K19-$E$59-$F$59)</f>
        <v/>
      </c>
      <c r="P19" s="92">
        <f>IF($A19="","",$L$59*$D19)</f>
        <v/>
      </c>
      <c r="Q19" s="104">
        <f>IF($A19="","",$M19-$E$60-$F$60)</f>
        <v/>
      </c>
      <c r="R19" s="92">
        <f>IF($A19="","",$L$60*$D19)</f>
        <v/>
      </c>
      <c r="S19" s="104">
        <f>IF($A19="","",$K19)</f>
        <v/>
      </c>
      <c r="T19" s="92">
        <f>IF($A19="","",$L$61*$D19)</f>
        <v/>
      </c>
      <c r="U19" s="104">
        <f>IF($A19="","",$B19-$E$62-$F$62)</f>
        <v/>
      </c>
      <c r="V19" s="92">
        <f>IF($A19="","",$L$62*$D19)</f>
        <v/>
      </c>
      <c r="W19" s="104">
        <f>IF($A19="","",$C19-$E$63-$F$63)</f>
        <v/>
      </c>
      <c r="X19" s="92">
        <f>IF($A19="","",$L$63*$D19)</f>
        <v/>
      </c>
      <c r="Y19" s="104">
        <f>IF($A19="","",$B19-$E$64-$F$64)</f>
        <v/>
      </c>
      <c r="Z19" s="92">
        <f>IF($A19="","",$L$64*$D19)</f>
        <v/>
      </c>
      <c r="AA19" s="104">
        <f>IF($A19="","",$S19)</f>
        <v/>
      </c>
      <c r="AB19" s="92">
        <f>IF($A19="","",$L$65*$D19)</f>
        <v/>
      </c>
      <c r="AC19" s="104">
        <f>IF($A19="","",$C19)</f>
        <v/>
      </c>
      <c r="AD19" s="92">
        <f>IF($A19="","",$L$66*$D19)</f>
        <v/>
      </c>
      <c r="AE19" s="104">
        <f>IF($A19="","",$C19-$E$67-$F$67)</f>
        <v/>
      </c>
      <c r="AF19" s="92">
        <f>IF($A19="","",$L$67*$D19)</f>
        <v/>
      </c>
      <c r="AG19" s="105">
        <f>IF($A19="","",$K19-68-68)</f>
        <v/>
      </c>
      <c r="AH19" s="106">
        <f>IF($A19="","",$M19-68-68)</f>
        <v/>
      </c>
      <c r="AI19" s="107">
        <f>IF($A19="","",2*$D19)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IF($A20="","",$C20-$E$55-$F$55)</f>
        <v/>
      </c>
      <c r="H20" s="98">
        <f>IF($A20="","",$L$55*$D20)</f>
        <v/>
      </c>
      <c r="I20" s="108">
        <f>IF($A20="","",$C20)</f>
        <v/>
      </c>
      <c r="J20" s="98">
        <f>IF($A20="","",$L$56*$D20)</f>
        <v/>
      </c>
      <c r="K20" s="108">
        <f>IF($A20="","",$B20-$E$57-$F$57-$G$57-$H$57)</f>
        <v/>
      </c>
      <c r="L20" s="98">
        <f>IF($A20="","",$L$57*$D20)</f>
        <v/>
      </c>
      <c r="M20" s="108">
        <f>IF($A20="","",(($C20-$E$58-$F$58-$G$58-$H$58-$I$58)/2)+(78*1)/2)</f>
        <v/>
      </c>
      <c r="N20" s="98">
        <f>IF($A20="","",$L$58*$D20)</f>
        <v/>
      </c>
      <c r="O20" s="108">
        <f>IF($A20="","",$K20-$E$59-$F$59)</f>
        <v/>
      </c>
      <c r="P20" s="98">
        <f>IF($A20="","",$L$59*$D20)</f>
        <v/>
      </c>
      <c r="Q20" s="108">
        <f>IF($A20="","",$M20-$E$60-$F$60)</f>
        <v/>
      </c>
      <c r="R20" s="98">
        <f>IF($A20="","",$L$60*$D20)</f>
        <v/>
      </c>
      <c r="S20" s="108">
        <f>IF($A20="","",$K20)</f>
        <v/>
      </c>
      <c r="T20" s="98">
        <f>IF($A20="","",$L$61*$D20)</f>
        <v/>
      </c>
      <c r="U20" s="108">
        <f>IF($A20="","",$B20-$E$62-$F$62)</f>
        <v/>
      </c>
      <c r="V20" s="98">
        <f>IF($A20="","",$L$62*$D20)</f>
        <v/>
      </c>
      <c r="W20" s="108">
        <f>IF($A20="","",$C20-$E$63-$F$63)</f>
        <v/>
      </c>
      <c r="X20" s="98">
        <f>IF($A20="","",$L$63*$D20)</f>
        <v/>
      </c>
      <c r="Y20" s="108">
        <f>IF($A20="","",$B20-$E$64-$F$64)</f>
        <v/>
      </c>
      <c r="Z20" s="98">
        <f>IF($A20="","",$L$64*$D20)</f>
        <v/>
      </c>
      <c r="AA20" s="108">
        <f>IF($A20="","",$S20)</f>
        <v/>
      </c>
      <c r="AB20" s="98">
        <f>IF($A20="","",$L$65*$D20)</f>
        <v/>
      </c>
      <c r="AC20" s="108">
        <f>IF($A20="","",$C20)</f>
        <v/>
      </c>
      <c r="AD20" s="98">
        <f>IF($A20="","",$L$66*$D20)</f>
        <v/>
      </c>
      <c r="AE20" s="108">
        <f>IF($A20="","",$C20-$E$67-$F$67)</f>
        <v/>
      </c>
      <c r="AF20" s="98">
        <f>IF($A20="","",$L$67*$D20)</f>
        <v/>
      </c>
      <c r="AG20" s="105">
        <f>IF($A20="","",$K20-68-68)</f>
        <v/>
      </c>
      <c r="AH20" s="106">
        <f>IF($A20="","",$M20-68-68)</f>
        <v/>
      </c>
      <c r="AI20" s="107">
        <f>IF($A20="","",2*$D20)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IF($A21="","",$C21-$E$55-$F$55)</f>
        <v/>
      </c>
      <c r="H21" s="92">
        <f>IF($A21="","",$L$55*$D21)</f>
        <v/>
      </c>
      <c r="I21" s="104">
        <f>IF($A21="","",$C21)</f>
        <v/>
      </c>
      <c r="J21" s="92">
        <f>IF($A21="","",$L$56*$D21)</f>
        <v/>
      </c>
      <c r="K21" s="104">
        <f>IF($A21="","",$B21-$E$57-$F$57-$G$57-$H$57)</f>
        <v/>
      </c>
      <c r="L21" s="92">
        <f>IF($A21="","",$L$57*$D21)</f>
        <v/>
      </c>
      <c r="M21" s="104">
        <f>IF($A21="","",(($C21-$E$58-$F$58-$G$58-$H$58-$I$58)/2)+(78*1)/2)</f>
        <v/>
      </c>
      <c r="N21" s="92">
        <f>IF($A21="","",$L$58*$D21)</f>
        <v/>
      </c>
      <c r="O21" s="104">
        <f>IF($A21="","",$K21-$E$59-$F$59)</f>
        <v/>
      </c>
      <c r="P21" s="92">
        <f>IF($A21="","",$L$59*$D21)</f>
        <v/>
      </c>
      <c r="Q21" s="104">
        <f>IF($A21="","",$M21-$E$60-$F$60)</f>
        <v/>
      </c>
      <c r="R21" s="92">
        <f>IF($A21="","",$L$60*$D21)</f>
        <v/>
      </c>
      <c r="S21" s="104">
        <f>IF($A21="","",$K21)</f>
        <v/>
      </c>
      <c r="T21" s="92">
        <f>IF($A21="","",$L$61*$D21)</f>
        <v/>
      </c>
      <c r="U21" s="104">
        <f>IF($A21="","",$B21-$E$62-$F$62)</f>
        <v/>
      </c>
      <c r="V21" s="92">
        <f>IF($A21="","",$L$62*$D21)</f>
        <v/>
      </c>
      <c r="W21" s="104">
        <f>IF($A21="","",$C21-$E$63-$F$63)</f>
        <v/>
      </c>
      <c r="X21" s="92">
        <f>IF($A21="","",$L$63*$D21)</f>
        <v/>
      </c>
      <c r="Y21" s="104">
        <f>IF($A21="","",$B21-$E$64-$F$64)</f>
        <v/>
      </c>
      <c r="Z21" s="92">
        <f>IF($A21="","",$L$64*$D21)</f>
        <v/>
      </c>
      <c r="AA21" s="104">
        <f>IF($A21="","",$S21)</f>
        <v/>
      </c>
      <c r="AB21" s="92">
        <f>IF($A21="","",$L$65*$D21)</f>
        <v/>
      </c>
      <c r="AC21" s="104">
        <f>IF($A21="","",$C21)</f>
        <v/>
      </c>
      <c r="AD21" s="92">
        <f>IF($A21="","",$L$66*$D21)</f>
        <v/>
      </c>
      <c r="AE21" s="104">
        <f>IF($A21="","",$C21-$E$67-$F$67)</f>
        <v/>
      </c>
      <c r="AF21" s="92">
        <f>IF($A21="","",$L$67*$D21)</f>
        <v/>
      </c>
      <c r="AG21" s="105">
        <f>IF($A21="","",$K21-68-68)</f>
        <v/>
      </c>
      <c r="AH21" s="106">
        <f>IF($A21="","",$M21-68-68)</f>
        <v/>
      </c>
      <c r="AI21" s="107">
        <f>IF($A21="","",2*$D21)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IF($A22="","",$C22-$E$55-$F$55)</f>
        <v/>
      </c>
      <c r="H22" s="98">
        <f>IF($A22="","",$L$55*$D22)</f>
        <v/>
      </c>
      <c r="I22" s="108">
        <f>IF($A22="","",$C22)</f>
        <v/>
      </c>
      <c r="J22" s="98">
        <f>IF($A22="","",$L$56*$D22)</f>
        <v/>
      </c>
      <c r="K22" s="108">
        <f>IF($A22="","",$B22-$E$57-$F$57-$G$57-$H$57)</f>
        <v/>
      </c>
      <c r="L22" s="98">
        <f>IF($A22="","",$L$57*$D22)</f>
        <v/>
      </c>
      <c r="M22" s="108">
        <f>IF($A22="","",(($C22-$E$58-$F$58-$G$58-$H$58-$I$58)/2)+(78*1)/2)</f>
        <v/>
      </c>
      <c r="N22" s="98">
        <f>IF($A22="","",$L$58*$D22)</f>
        <v/>
      </c>
      <c r="O22" s="108">
        <f>IF($A22="","",$K22-$E$59-$F$59)</f>
        <v/>
      </c>
      <c r="P22" s="98">
        <f>IF($A22="","",$L$59*$D22)</f>
        <v/>
      </c>
      <c r="Q22" s="108">
        <f>IF($A22="","",$M22-$E$60-$F$60)</f>
        <v/>
      </c>
      <c r="R22" s="98">
        <f>IF($A22="","",$L$60*$D22)</f>
        <v/>
      </c>
      <c r="S22" s="108">
        <f>IF($A22="","",$K22)</f>
        <v/>
      </c>
      <c r="T22" s="98">
        <f>IF($A22="","",$L$61*$D22)</f>
        <v/>
      </c>
      <c r="U22" s="108">
        <f>IF($A22="","",$B22-$E$62-$F$62)</f>
        <v/>
      </c>
      <c r="V22" s="98">
        <f>IF($A22="","",$L$62*$D22)</f>
        <v/>
      </c>
      <c r="W22" s="108">
        <f>IF($A22="","",$C22-$E$63-$F$63)</f>
        <v/>
      </c>
      <c r="X22" s="98">
        <f>IF($A22="","",$L$63*$D22)</f>
        <v/>
      </c>
      <c r="Y22" s="108">
        <f>IF($A22="","",$B22-$E$64-$F$64)</f>
        <v/>
      </c>
      <c r="Z22" s="98">
        <f>IF($A22="","",$L$64*$D22)</f>
        <v/>
      </c>
      <c r="AA22" s="108">
        <f>IF($A22="","",$S22)</f>
        <v/>
      </c>
      <c r="AB22" s="98">
        <f>IF($A22="","",$L$65*$D22)</f>
        <v/>
      </c>
      <c r="AC22" s="108">
        <f>IF($A22="","",$C22)</f>
        <v/>
      </c>
      <c r="AD22" s="98">
        <f>IF($A22="","",$L$66*$D22)</f>
        <v/>
      </c>
      <c r="AE22" s="108">
        <f>IF($A22="","",$C22-$E$67-$F$67)</f>
        <v/>
      </c>
      <c r="AF22" s="98">
        <f>IF($A22="","",$L$67*$D22)</f>
        <v/>
      </c>
      <c r="AG22" s="105">
        <f>IF($A22="","",$K22-68-68)</f>
        <v/>
      </c>
      <c r="AH22" s="106">
        <f>IF($A22="","",$M22-68-68)</f>
        <v/>
      </c>
      <c r="AI22" s="107">
        <f>IF($A22="","",2*$D22)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IF($A23="","",$C23-$E$55-$F$55)</f>
        <v/>
      </c>
      <c r="H23" s="92">
        <f>IF($A23="","",$L$55*$D23)</f>
        <v/>
      </c>
      <c r="I23" s="104">
        <f>IF($A23="","",$C23)</f>
        <v/>
      </c>
      <c r="J23" s="92">
        <f>IF($A23="","",$L$56*$D23)</f>
        <v/>
      </c>
      <c r="K23" s="104">
        <f>IF($A23="","",$B23-$E$57-$F$57-$G$57-$H$57)</f>
        <v/>
      </c>
      <c r="L23" s="92">
        <f>IF($A23="","",$L$57*$D23)</f>
        <v/>
      </c>
      <c r="M23" s="104">
        <f>IF($A23="","",(($C23-$E$58-$F$58-$G$58-$H$58-$I$58)/2)+(78*1)/2)</f>
        <v/>
      </c>
      <c r="N23" s="92">
        <f>IF($A23="","",$L$58*$D23)</f>
        <v/>
      </c>
      <c r="O23" s="104">
        <f>IF($A23="","",$K23-$E$59-$F$59)</f>
        <v/>
      </c>
      <c r="P23" s="92">
        <f>IF($A23="","",$L$59*$D23)</f>
        <v/>
      </c>
      <c r="Q23" s="104">
        <f>IF($A23="","",$M23-$E$60-$F$60)</f>
        <v/>
      </c>
      <c r="R23" s="92">
        <f>IF($A23="","",$L$60*$D23)</f>
        <v/>
      </c>
      <c r="S23" s="104">
        <f>IF($A23="","",$K23)</f>
        <v/>
      </c>
      <c r="T23" s="92">
        <f>IF($A23="","",$L$61*$D23)</f>
        <v/>
      </c>
      <c r="U23" s="104">
        <f>IF($A23="","",$B23-$E$62-$F$62)</f>
        <v/>
      </c>
      <c r="V23" s="92">
        <f>IF($A23="","",$L$62*$D23)</f>
        <v/>
      </c>
      <c r="W23" s="104">
        <f>IF($A23="","",$C23-$E$63-$F$63)</f>
        <v/>
      </c>
      <c r="X23" s="92">
        <f>IF($A23="","",$L$63*$D23)</f>
        <v/>
      </c>
      <c r="Y23" s="104">
        <f>IF($A23="","",$B23-$E$64-$F$64)</f>
        <v/>
      </c>
      <c r="Z23" s="92">
        <f>IF($A23="","",$L$64*$D23)</f>
        <v/>
      </c>
      <c r="AA23" s="104">
        <f>IF($A23="","",$S23)</f>
        <v/>
      </c>
      <c r="AB23" s="92">
        <f>IF($A23="","",$L$65*$D23)</f>
        <v/>
      </c>
      <c r="AC23" s="104">
        <f>IF($A23="","",$C23)</f>
        <v/>
      </c>
      <c r="AD23" s="92">
        <f>IF($A23="","",$L$66*$D23)</f>
        <v/>
      </c>
      <c r="AE23" s="104">
        <f>IF($A23="","",$C23-$E$67-$F$67)</f>
        <v/>
      </c>
      <c r="AF23" s="92">
        <f>IF($A23="","",$L$67*$D23)</f>
        <v/>
      </c>
      <c r="AG23" s="105">
        <f>IF($A23="","",$K23-68-68)</f>
        <v/>
      </c>
      <c r="AH23" s="106">
        <f>IF($A23="","",$M23-68-68)</f>
        <v/>
      </c>
      <c r="AI23" s="107">
        <f>IF($A23="","",2*$D23)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IF($A24="","",$C24-$E$55-$F$55)</f>
        <v/>
      </c>
      <c r="H24" s="98">
        <f>IF($A24="","",$L$55*$D24)</f>
        <v/>
      </c>
      <c r="I24" s="108">
        <f>IF($A24="","",$C24)</f>
        <v/>
      </c>
      <c r="J24" s="98">
        <f>IF($A24="","",$L$56*$D24)</f>
        <v/>
      </c>
      <c r="K24" s="108">
        <f>IF($A24="","",$B24-$E$57-$F$57-$G$57-$H$57)</f>
        <v/>
      </c>
      <c r="L24" s="98">
        <f>IF($A24="","",$L$57*$D24)</f>
        <v/>
      </c>
      <c r="M24" s="108">
        <f>IF($A24="","",(($C24-$E$58-$F$58-$G$58-$H$58-$I$58)/2)+(78*1)/2)</f>
        <v/>
      </c>
      <c r="N24" s="98">
        <f>IF($A24="","",$L$58*$D24)</f>
        <v/>
      </c>
      <c r="O24" s="108">
        <f>IF($A24="","",$K24-$E$59-$F$59)</f>
        <v/>
      </c>
      <c r="P24" s="98">
        <f>IF($A24="","",$L$59*$D24)</f>
        <v/>
      </c>
      <c r="Q24" s="108">
        <f>IF($A24="","",$M24-$E$60-$F$60)</f>
        <v/>
      </c>
      <c r="R24" s="98">
        <f>IF($A24="","",$L$60*$D24)</f>
        <v/>
      </c>
      <c r="S24" s="108">
        <f>IF($A24="","",$K24)</f>
        <v/>
      </c>
      <c r="T24" s="98">
        <f>IF($A24="","",$L$61*$D24)</f>
        <v/>
      </c>
      <c r="U24" s="108">
        <f>IF($A24="","",$B24-$E$62-$F$62)</f>
        <v/>
      </c>
      <c r="V24" s="98">
        <f>IF($A24="","",$L$62*$D24)</f>
        <v/>
      </c>
      <c r="W24" s="108">
        <f>IF($A24="","",$C24-$E$63-$F$63)</f>
        <v/>
      </c>
      <c r="X24" s="98">
        <f>IF($A24="","",$L$63*$D24)</f>
        <v/>
      </c>
      <c r="Y24" s="108">
        <f>IF($A24="","",$B24-$E$64-$F$64)</f>
        <v/>
      </c>
      <c r="Z24" s="98">
        <f>IF($A24="","",$L$64*$D24)</f>
        <v/>
      </c>
      <c r="AA24" s="108">
        <f>IF($A24="","",$S24)</f>
        <v/>
      </c>
      <c r="AB24" s="98">
        <f>IF($A24="","",$L$65*$D24)</f>
        <v/>
      </c>
      <c r="AC24" s="108">
        <f>IF($A24="","",$C24)</f>
        <v/>
      </c>
      <c r="AD24" s="98">
        <f>IF($A24="","",$L$66*$D24)</f>
        <v/>
      </c>
      <c r="AE24" s="108">
        <f>IF($A24="","",$C24-$E$67-$F$67)</f>
        <v/>
      </c>
      <c r="AF24" s="98">
        <f>IF($A24="","",$L$67*$D24)</f>
        <v/>
      </c>
      <c r="AG24" s="105">
        <f>IF($A24="","",$K24-68-68)</f>
        <v/>
      </c>
      <c r="AH24" s="106">
        <f>IF($A24="","",$M24-68-68)</f>
        <v/>
      </c>
      <c r="AI24" s="107">
        <f>IF($A24="","",2*$D24)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IF($A25="","",$C25-$E$55-$F$55)</f>
        <v/>
      </c>
      <c r="H25" s="92">
        <f>IF($A25="","",$L$55*$D25)</f>
        <v/>
      </c>
      <c r="I25" s="104">
        <f>IF($A25="","",$C25)</f>
        <v/>
      </c>
      <c r="J25" s="92">
        <f>IF($A25="","",$L$56*$D25)</f>
        <v/>
      </c>
      <c r="K25" s="104">
        <f>IF($A25="","",$B25-$E$57-$F$57-$G$57-$H$57)</f>
        <v/>
      </c>
      <c r="L25" s="92">
        <f>IF($A25="","",$L$57*$D25)</f>
        <v/>
      </c>
      <c r="M25" s="104">
        <f>IF($A25="","",(($C25-$E$58-$F$58-$G$58-$H$58-$I$58)/2)+(78*1)/2)</f>
        <v/>
      </c>
      <c r="N25" s="92">
        <f>IF($A25="","",$L$58*$D25)</f>
        <v/>
      </c>
      <c r="O25" s="104">
        <f>IF($A25="","",$K25-$E$59-$F$59)</f>
        <v/>
      </c>
      <c r="P25" s="92">
        <f>IF($A25="","",$L$59*$D25)</f>
        <v/>
      </c>
      <c r="Q25" s="104">
        <f>IF($A25="","",$M25-$E$60-$F$60)</f>
        <v/>
      </c>
      <c r="R25" s="92">
        <f>IF($A25="","",$L$60*$D25)</f>
        <v/>
      </c>
      <c r="S25" s="104">
        <f>IF($A25="","",$K25)</f>
        <v/>
      </c>
      <c r="T25" s="92">
        <f>IF($A25="","",$L$61*$D25)</f>
        <v/>
      </c>
      <c r="U25" s="104">
        <f>IF($A25="","",$B25-$E$62-$F$62)</f>
        <v/>
      </c>
      <c r="V25" s="92">
        <f>IF($A25="","",$L$62*$D25)</f>
        <v/>
      </c>
      <c r="W25" s="104">
        <f>IF($A25="","",$C25-$E$63-$F$63)</f>
        <v/>
      </c>
      <c r="X25" s="92">
        <f>IF($A25="","",$L$63*$D25)</f>
        <v/>
      </c>
      <c r="Y25" s="104">
        <f>IF($A25="","",$B25-$E$64-$F$64)</f>
        <v/>
      </c>
      <c r="Z25" s="92">
        <f>IF($A25="","",$L$64*$D25)</f>
        <v/>
      </c>
      <c r="AA25" s="104">
        <f>IF($A25="","",$S25)</f>
        <v/>
      </c>
      <c r="AB25" s="92">
        <f>IF($A25="","",$L$65*$D25)</f>
        <v/>
      </c>
      <c r="AC25" s="104">
        <f>IF($A25="","",$C25)</f>
        <v/>
      </c>
      <c r="AD25" s="92">
        <f>IF($A25="","",$L$66*$D25)</f>
        <v/>
      </c>
      <c r="AE25" s="104">
        <f>IF($A25="","",$C25-$E$67-$F$67)</f>
        <v/>
      </c>
      <c r="AF25" s="92">
        <f>IF($A25="","",$L$67*$D25)</f>
        <v/>
      </c>
      <c r="AG25" s="105">
        <f>IF($A25="","",$K25-68-68)</f>
        <v/>
      </c>
      <c r="AH25" s="106">
        <f>IF($A25="","",$M25-68-68)</f>
        <v/>
      </c>
      <c r="AI25" s="107">
        <f>IF($A25="","",2*$D25)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IF($A26="","",$C26-$E$55-$F$55)</f>
        <v/>
      </c>
      <c r="H26" s="98">
        <f>IF($A26="","",$L$55*$D26)</f>
        <v/>
      </c>
      <c r="I26" s="108">
        <f>IF($A26="","",$C26)</f>
        <v/>
      </c>
      <c r="J26" s="98">
        <f>IF($A26="","",$L$56*$D26)</f>
        <v/>
      </c>
      <c r="K26" s="108">
        <f>IF($A26="","",$B26-$E$57-$F$57-$G$57-$H$57)</f>
        <v/>
      </c>
      <c r="L26" s="98">
        <f>IF($A26="","",$L$57*$D26)</f>
        <v/>
      </c>
      <c r="M26" s="108">
        <f>IF($A26="","",(($C26-$E$58-$F$58-$G$58-$H$58-$I$58)/2)+(78*1)/2)</f>
        <v/>
      </c>
      <c r="N26" s="98">
        <f>IF($A26="","",$L$58*$D26)</f>
        <v/>
      </c>
      <c r="O26" s="108">
        <f>IF($A26="","",$K26-$E$59-$F$59)</f>
        <v/>
      </c>
      <c r="P26" s="98">
        <f>IF($A26="","",$L$59*$D26)</f>
        <v/>
      </c>
      <c r="Q26" s="108">
        <f>IF($A26="","",$M26-$E$60-$F$60)</f>
        <v/>
      </c>
      <c r="R26" s="98">
        <f>IF($A26="","",$L$60*$D26)</f>
        <v/>
      </c>
      <c r="S26" s="108">
        <f>IF($A26="","",$K26)</f>
        <v/>
      </c>
      <c r="T26" s="98">
        <f>IF($A26="","",$L$61*$D26)</f>
        <v/>
      </c>
      <c r="U26" s="108">
        <f>IF($A26="","",$B26-$E$62-$F$62)</f>
        <v/>
      </c>
      <c r="V26" s="98">
        <f>IF($A26="","",$L$62*$D26)</f>
        <v/>
      </c>
      <c r="W26" s="108">
        <f>IF($A26="","",$C26-$E$63-$F$63)</f>
        <v/>
      </c>
      <c r="X26" s="98">
        <f>IF($A26="","",$L$63*$D26)</f>
        <v/>
      </c>
      <c r="Y26" s="108">
        <f>IF($A26="","",$B26-$E$64-$F$64)</f>
        <v/>
      </c>
      <c r="Z26" s="98">
        <f>IF($A26="","",$L$64*$D26)</f>
        <v/>
      </c>
      <c r="AA26" s="108">
        <f>IF($A26="","",$S26)</f>
        <v/>
      </c>
      <c r="AB26" s="98">
        <f>IF($A26="","",$L$65*$D26)</f>
        <v/>
      </c>
      <c r="AC26" s="108">
        <f>IF($A26="","",$C26)</f>
        <v/>
      </c>
      <c r="AD26" s="98">
        <f>IF($A26="","",$L$66*$D26)</f>
        <v/>
      </c>
      <c r="AE26" s="108">
        <f>IF($A26="","",$C26-$E$67-$F$67)</f>
        <v/>
      </c>
      <c r="AF26" s="98">
        <f>IF($A26="","",$L$67*$D26)</f>
        <v/>
      </c>
      <c r="AG26" s="105">
        <f>IF($A26="","",$K26-68-68)</f>
        <v/>
      </c>
      <c r="AH26" s="106">
        <f>IF($A26="","",$M26-68-68)</f>
        <v/>
      </c>
      <c r="AI26" s="107">
        <f>IF($A26="","",2*$D26)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IF($A27="","",$C27-$E$55-$F$55)</f>
        <v/>
      </c>
      <c r="H27" s="92">
        <f>IF($A27="","",$L$55*$D27)</f>
        <v/>
      </c>
      <c r="I27" s="104">
        <f>IF($A27="","",$C27)</f>
        <v/>
      </c>
      <c r="J27" s="92">
        <f>IF($A27="","",$L$56*$D27)</f>
        <v/>
      </c>
      <c r="K27" s="104">
        <f>IF($A27="","",$B27-$E$57-$F$57-$G$57-$H$57)</f>
        <v/>
      </c>
      <c r="L27" s="92">
        <f>IF($A27="","",$L$57*$D27)</f>
        <v/>
      </c>
      <c r="M27" s="104">
        <f>IF($A27="","",(($C27-$E$58-$F$58-$G$58-$H$58-$I$58)/2)+(78*1)/2)</f>
        <v/>
      </c>
      <c r="N27" s="92">
        <f>IF($A27="","",$L$58*$D27)</f>
        <v/>
      </c>
      <c r="O27" s="104">
        <f>IF($A27="","",$K27-$E$59-$F$59)</f>
        <v/>
      </c>
      <c r="P27" s="92">
        <f>IF($A27="","",$L$59*$D27)</f>
        <v/>
      </c>
      <c r="Q27" s="104">
        <f>IF($A27="","",$M27-$E$60-$F$60)</f>
        <v/>
      </c>
      <c r="R27" s="92">
        <f>IF($A27="","",$L$60*$D27)</f>
        <v/>
      </c>
      <c r="S27" s="104">
        <f>IF($A27="","",$K27)</f>
        <v/>
      </c>
      <c r="T27" s="92">
        <f>IF($A27="","",$L$61*$D27)</f>
        <v/>
      </c>
      <c r="U27" s="104">
        <f>IF($A27="","",$B27-$E$62-$F$62)</f>
        <v/>
      </c>
      <c r="V27" s="92">
        <f>IF($A27="","",$L$62*$D27)</f>
        <v/>
      </c>
      <c r="W27" s="104">
        <f>IF($A27="","",$C27-$E$63-$F$63)</f>
        <v/>
      </c>
      <c r="X27" s="92">
        <f>IF($A27="","",$L$63*$D27)</f>
        <v/>
      </c>
      <c r="Y27" s="104">
        <f>IF($A27="","",$B27-$E$64-$F$64)</f>
        <v/>
      </c>
      <c r="Z27" s="92">
        <f>IF($A27="","",$L$64*$D27)</f>
        <v/>
      </c>
      <c r="AA27" s="104">
        <f>IF($A27="","",$S27)</f>
        <v/>
      </c>
      <c r="AB27" s="92">
        <f>IF($A27="","",$L$65*$D27)</f>
        <v/>
      </c>
      <c r="AC27" s="104">
        <f>IF($A27="","",$C27)</f>
        <v/>
      </c>
      <c r="AD27" s="92">
        <f>IF($A27="","",$L$66*$D27)</f>
        <v/>
      </c>
      <c r="AE27" s="104">
        <f>IF($A27="","",$C27-$E$67-$F$67)</f>
        <v/>
      </c>
      <c r="AF27" s="92">
        <f>IF($A27="","",$L$67*$D27)</f>
        <v/>
      </c>
      <c r="AG27" s="105">
        <f>IF($A27="","",$K27-68-68)</f>
        <v/>
      </c>
      <c r="AH27" s="106">
        <f>IF($A27="","",$M27-68-68)</f>
        <v/>
      </c>
      <c r="AI27" s="107">
        <f>IF($A27="","",2*$D27)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IF($A28="","",$C28-$E$55-$F$55)</f>
        <v/>
      </c>
      <c r="H28" s="98">
        <f>IF($A28="","",$L$55*$D28)</f>
        <v/>
      </c>
      <c r="I28" s="108">
        <f>IF($A28="","",$C28)</f>
        <v/>
      </c>
      <c r="J28" s="98">
        <f>IF($A28="","",$L$56*$D28)</f>
        <v/>
      </c>
      <c r="K28" s="108">
        <f>IF($A28="","",$B28-$E$57-$F$57-$G$57-$H$57)</f>
        <v/>
      </c>
      <c r="L28" s="98">
        <f>IF($A28="","",$L$57*$D28)</f>
        <v/>
      </c>
      <c r="M28" s="108">
        <f>IF($A28="","",(($C28-$E$58-$F$58-$G$58-$H$58-$I$58)/2)+(78*1)/2)</f>
        <v/>
      </c>
      <c r="N28" s="98">
        <f>IF($A28="","",$L$58*$D28)</f>
        <v/>
      </c>
      <c r="O28" s="108">
        <f>IF($A28="","",$K28-$E$59-$F$59)</f>
        <v/>
      </c>
      <c r="P28" s="98">
        <f>IF($A28="","",$L$59*$D28)</f>
        <v/>
      </c>
      <c r="Q28" s="108">
        <f>IF($A28="","",$M28-$E$60-$F$60)</f>
        <v/>
      </c>
      <c r="R28" s="98">
        <f>IF($A28="","",$L$60*$D28)</f>
        <v/>
      </c>
      <c r="S28" s="108">
        <f>IF($A28="","",$K28)</f>
        <v/>
      </c>
      <c r="T28" s="98">
        <f>IF($A28="","",$L$61*$D28)</f>
        <v/>
      </c>
      <c r="U28" s="108">
        <f>IF($A28="","",$B28-$E$62-$F$62)</f>
        <v/>
      </c>
      <c r="V28" s="98">
        <f>IF($A28="","",$L$62*$D28)</f>
        <v/>
      </c>
      <c r="W28" s="108">
        <f>IF($A28="","",$C28-$E$63-$F$63)</f>
        <v/>
      </c>
      <c r="X28" s="98">
        <f>IF($A28="","",$L$63*$D28)</f>
        <v/>
      </c>
      <c r="Y28" s="108">
        <f>IF($A28="","",$B28-$E$64-$F$64)</f>
        <v/>
      </c>
      <c r="Z28" s="98">
        <f>IF($A28="","",$L$64*$D28)</f>
        <v/>
      </c>
      <c r="AA28" s="108">
        <f>IF($A28="","",$S28)</f>
        <v/>
      </c>
      <c r="AB28" s="98">
        <f>IF($A28="","",$L$65*$D28)</f>
        <v/>
      </c>
      <c r="AC28" s="108">
        <f>IF($A28="","",$C28)</f>
        <v/>
      </c>
      <c r="AD28" s="98">
        <f>IF($A28="","",$L$66*$D28)</f>
        <v/>
      </c>
      <c r="AE28" s="108">
        <f>IF($A28="","",$C28-$E$67-$F$67)</f>
        <v/>
      </c>
      <c r="AF28" s="98">
        <f>IF($A28="","",$L$67*$D28)</f>
        <v/>
      </c>
      <c r="AG28" s="105">
        <f>IF($A28="","",$K28-68-68)</f>
        <v/>
      </c>
      <c r="AH28" s="106">
        <f>IF($A28="","",$M28-68-68)</f>
        <v/>
      </c>
      <c r="AI28" s="107">
        <f>IF($A28="","",2*$D28)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(ROUNDUP(AF49/5000,0))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((กว้าง-21-3-1.2-3-21)/2)+(78x1/2)</t>
        </is>
      </c>
      <c r="E58" s="83" t="n">
        <v>21</v>
      </c>
      <c r="F58" s="83" t="n">
        <v>3</v>
      </c>
      <c r="G58" s="83" t="n">
        <v>1.2</v>
      </c>
      <c r="H58" s="83" t="n">
        <v>3</v>
      </c>
      <c r="I58" s="83" t="n">
        <v>21</v>
      </c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9">
      <c r="A69" s="123" t="inlineStr">
        <is>
          <t>⑥ อุปกรณ์ ต่อ 1 บาน — คูณจำนวนบานที่ผลิต</t>
        </is>
      </c>
      <c r="B69" s="131" t="n"/>
      <c r="C69" s="131" t="n"/>
      <c r="D69" s="131" t="n"/>
      <c r="E69" s="132" t="n"/>
      <c r="F69" s="124" t="inlineStr">
        <is>
          <t>ต่อบาน</t>
        </is>
      </c>
    </row>
    <row r="70">
      <c r="A70" s="125" t="inlineStr">
        <is>
          <t>1. ล้อ 27</t>
        </is>
      </c>
      <c r="B70" s="131" t="n"/>
      <c r="C70" s="131" t="n"/>
      <c r="D70" s="131" t="n"/>
      <c r="E70" s="132" t="n"/>
      <c r="F70" s="126" t="n">
        <v>2</v>
      </c>
    </row>
    <row r="71">
      <c r="A71" s="125" t="inlineStr">
        <is>
          <t>2. มือจับ Align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3. ชุดล็อค</t>
        </is>
      </c>
      <c r="B72" s="131" t="n"/>
      <c r="C72" s="131" t="n"/>
      <c r="D72" s="131" t="n"/>
      <c r="E72" s="132" t="n"/>
      <c r="F72" s="126" t="n">
        <v>1</v>
      </c>
    </row>
    <row r="73">
      <c r="A73" s="125" t="inlineStr">
        <is>
          <t>4. น็อตประกอบ</t>
        </is>
      </c>
      <c r="B73" s="131" t="n"/>
      <c r="C73" s="131" t="n"/>
      <c r="D73" s="131" t="n"/>
      <c r="E73" s="132" t="n"/>
      <c r="F73" s="126" t="n">
        <v>4</v>
      </c>
    </row>
    <row r="74">
      <c r="A74" s="127" t="inlineStr">
        <is>
          <t>+ สักหลาด/ยาง/ซิลิโคน = ตามขนาด (ดูชีทคิดทุน)</t>
        </is>
      </c>
      <c r="B74" s="131" t="n"/>
      <c r="C74" s="131" t="n"/>
      <c r="D74" s="131" t="n"/>
      <c r="E74" s="131" t="n"/>
      <c r="F74" s="132" t="n"/>
    </row>
  </sheetData>
  <mergeCells count="67">
    <mergeCell ref="U9:V9"/>
    <mergeCell ref="I6:J6"/>
    <mergeCell ref="A73:E73"/>
    <mergeCell ref="AE7:AF7"/>
    <mergeCell ref="O6:P6"/>
    <mergeCell ref="U6:V6"/>
    <mergeCell ref="K9:L9"/>
    <mergeCell ref="W6:X6"/>
    <mergeCell ref="M9:N9"/>
    <mergeCell ref="A74:F74"/>
    <mergeCell ref="K7:N7"/>
    <mergeCell ref="O9:P9"/>
    <mergeCell ref="G8:H8"/>
    <mergeCell ref="E8:F8"/>
    <mergeCell ref="A70:E70"/>
    <mergeCell ref="Y9:Z9"/>
    <mergeCell ref="Q8:R8"/>
    <mergeCell ref="AA9:AB9"/>
    <mergeCell ref="S8:T8"/>
    <mergeCell ref="Y7:AD7"/>
    <mergeCell ref="A69:E69"/>
    <mergeCell ref="Y30:AC30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A8:A9"/>
    <mergeCell ref="E6:F6"/>
    <mergeCell ref="A6:D6"/>
    <mergeCell ref="M6:N6"/>
    <mergeCell ref="K8:L8"/>
    <mergeCell ref="Q6:R6"/>
    <mergeCell ref="A71:E71"/>
    <mergeCell ref="S6:T6"/>
    <mergeCell ref="Y6:Z6"/>
    <mergeCell ref="A7:D7"/>
    <mergeCell ref="D8:D9"/>
    <mergeCell ref="Q9:R9"/>
    <mergeCell ref="I8:J8"/>
    <mergeCell ref="S9:T9"/>
    <mergeCell ref="K30:M30"/>
    <mergeCell ref="M8:N8"/>
    <mergeCell ref="AC9:AD9"/>
    <mergeCell ref="W9:X9"/>
    <mergeCell ref="U8:V8"/>
    <mergeCell ref="AE9:AF9"/>
    <mergeCell ref="O8:P8"/>
    <mergeCell ref="W8:X8"/>
    <mergeCell ref="B8:C9"/>
    <mergeCell ref="AC6:AD6"/>
    <mergeCell ref="E7:F7"/>
    <mergeCell ref="A72:E72"/>
    <mergeCell ref="AE6:AF6"/>
    <mergeCell ref="O30:Q30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5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</cols>
  <sheetData>
    <row r="1" ht="40.15" customHeight="1">
      <c r="A1" s="1" t="inlineStr">
        <is>
          <t>JR ALUMINIUM &amp; GLASS  —  ใบรายการตัด · FUJI เลื่อน-ติดตาย78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</row>
    <row r="2" ht="40.15" customHeight="1">
      <c r="A2" s="6" t="n"/>
      <c r="B2" s="109" t="inlineStr">
        <is>
          <t>Mockup</t>
        </is>
      </c>
      <c r="C2" s="85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((กว้าง-21-1.2-3-21)/2)+(78x1/2)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6" t="inlineStr">
        <is>
          <t>กว้าง-ขวาง-21-21-1.2</t>
        </is>
      </c>
      <c r="AH6" s="17" t="n"/>
      <c r="AI6" s="18" t="n"/>
      <c r="AJ6" s="18" t="n"/>
      <c r="AK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2" t="inlineStr">
        <is>
          <t>F7991</t>
        </is>
      </c>
      <c r="AH7" s="15" t="n"/>
      <c r="AI7" s="24" t="n"/>
      <c r="AJ7" s="25" t="inlineStr">
        <is>
          <t>ขนาดกระจก</t>
        </is>
      </c>
      <c r="AK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0" t="n"/>
      <c r="AH8" s="31" t="n"/>
      <c r="AI8" s="36" t="n"/>
      <c r="AJ8" s="37" t="inlineStr">
        <is>
          <t>กรอบบาน</t>
        </is>
      </c>
      <c r="AK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4" t="inlineStr">
        <is>
          <t>ตบธรณี</t>
        </is>
      </c>
      <c r="AH9" s="43" t="n"/>
      <c r="AI9" s="45" t="inlineStr">
        <is>
          <t>SH-68-68</t>
        </is>
      </c>
      <c r="AJ9" s="46" t="inlineStr">
        <is>
          <t>SW-68-68</t>
        </is>
      </c>
      <c r="AK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</row>
    <row r="11" ht="40.15" customHeight="1">
      <c r="A11" s="101" t="inlineStr">
        <is>
          <t>D1</t>
        </is>
      </c>
      <c r="B11" s="102" t="n">
        <v>3054</v>
      </c>
      <c r="C11" s="92" t="n">
        <v>3054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IF($A11="","",$C11-$E$55-$F$55)</f>
        <v/>
      </c>
      <c r="H11" s="92">
        <f>IF($A11="","",$L$55*$D11)</f>
        <v/>
      </c>
      <c r="I11" s="104">
        <f>IF($A11="","",$C11)</f>
        <v/>
      </c>
      <c r="J11" s="92">
        <f>IF($A11="","",$L$56*$D11)</f>
        <v/>
      </c>
      <c r="K11" s="104">
        <f>IF($A11="","",$B11-$E$57-$F$57-$G$57-$H$57)</f>
        <v/>
      </c>
      <c r="L11" s="92">
        <f>IF($A11="","",$L$57*$D11)</f>
        <v/>
      </c>
      <c r="M11" s="104">
        <f>IF($A11="","",(($C11-$E$58-$F$58-$G$58-$H$58)/2)+(78*1)/2)</f>
        <v/>
      </c>
      <c r="N11" s="92">
        <f>IF($A11="","",$L$58*$D11)</f>
        <v/>
      </c>
      <c r="O11" s="104">
        <f>IF($A11="","",$K11-$E$59-$F$59)</f>
        <v/>
      </c>
      <c r="P11" s="92">
        <f>IF($A11="","",$L$59*$D11)</f>
        <v/>
      </c>
      <c r="Q11" s="104">
        <f>IF($A11="","",$M11-$E$60-$F$60)</f>
        <v/>
      </c>
      <c r="R11" s="92">
        <f>IF($A11="","",$L$60*$D11)</f>
        <v/>
      </c>
      <c r="S11" s="104">
        <f>IF($A11="","",$K11)</f>
        <v/>
      </c>
      <c r="T11" s="92">
        <f>IF($A11="","",$L$61*$D11)</f>
        <v/>
      </c>
      <c r="U11" s="104">
        <f>IF($A11="","",$B11-$E$62-$F$62)</f>
        <v/>
      </c>
      <c r="V11" s="92">
        <f>IF($A11="","",$L$62*$D11)</f>
        <v/>
      </c>
      <c r="W11" s="104">
        <f>IF($A11="","",$C11-$E$63-$F$63)</f>
        <v/>
      </c>
      <c r="X11" s="92">
        <f>IF($A11="","",$L$63*$D11)</f>
        <v/>
      </c>
      <c r="Y11" s="104">
        <f>IF($A11="","",$B11-$E$64-$F$64)</f>
        <v/>
      </c>
      <c r="Z11" s="92">
        <f>IF($A11="","",$L$64*$D11)</f>
        <v/>
      </c>
      <c r="AA11" s="104">
        <f>IF($A11="","",$S11)</f>
        <v/>
      </c>
      <c r="AB11" s="92">
        <f>IF($A11="","",$L$65*$D11)</f>
        <v/>
      </c>
      <c r="AC11" s="104">
        <f>IF($A11="","",$C11)</f>
        <v/>
      </c>
      <c r="AD11" s="92">
        <f>IF($A11="","",$L$66*$D11)</f>
        <v/>
      </c>
      <c r="AE11" s="104">
        <f>IF($A11="","",$C11-$E$67-$F$67)</f>
        <v/>
      </c>
      <c r="AF11" s="92">
        <f>IF($A11="","",$L$67*$D11)</f>
        <v/>
      </c>
      <c r="AG11" s="104">
        <f>IF($A11="","",$C11-$M11-$E$68-$F$68-$G$68)</f>
        <v/>
      </c>
      <c r="AH11" s="92">
        <f>IF($A11="","",$L$68*$D11)</f>
        <v/>
      </c>
      <c r="AI11" s="105">
        <f>IF($A11="","",$K11-68-68)</f>
        <v/>
      </c>
      <c r="AJ11" s="106">
        <f>IF($A11="","",$M11-68-68)</f>
        <v/>
      </c>
      <c r="AK11" s="107">
        <f>IF($A11="","",2*$D11)</f>
        <v/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IF($A12="","",$C12-$E$55-$F$55)</f>
        <v/>
      </c>
      <c r="H12" s="98">
        <f>IF($A12="","",$L$55*$D12)</f>
        <v/>
      </c>
      <c r="I12" s="108">
        <f>IF($A12="","",$C12)</f>
        <v/>
      </c>
      <c r="J12" s="98">
        <f>IF($A12="","",$L$56*$D12)</f>
        <v/>
      </c>
      <c r="K12" s="108">
        <f>IF($A12="","",$B12-$E$57-$F$57-$G$57-$H$57)</f>
        <v/>
      </c>
      <c r="L12" s="98">
        <f>IF($A12="","",$L$57*$D12)</f>
        <v/>
      </c>
      <c r="M12" s="108">
        <f>IF($A12="","",(($C12-$E$58-$F$58-$G$58-$H$58)/2)+(78*1)/2)</f>
        <v/>
      </c>
      <c r="N12" s="98">
        <f>IF($A12="","",$L$58*$D12)</f>
        <v/>
      </c>
      <c r="O12" s="108">
        <f>IF($A12="","",$K12-$E$59-$F$59)</f>
        <v/>
      </c>
      <c r="P12" s="98">
        <f>IF($A12="","",$L$59*$D12)</f>
        <v/>
      </c>
      <c r="Q12" s="108">
        <f>IF($A12="","",$M12-$E$60-$F$60)</f>
        <v/>
      </c>
      <c r="R12" s="98">
        <f>IF($A12="","",$L$60*$D12)</f>
        <v/>
      </c>
      <c r="S12" s="108">
        <f>IF($A12="","",$K12)</f>
        <v/>
      </c>
      <c r="T12" s="98">
        <f>IF($A12="","",$L$61*$D12)</f>
        <v/>
      </c>
      <c r="U12" s="108">
        <f>IF($A12="","",$B12-$E$62-$F$62)</f>
        <v/>
      </c>
      <c r="V12" s="98">
        <f>IF($A12="","",$L$62*$D12)</f>
        <v/>
      </c>
      <c r="W12" s="108">
        <f>IF($A12="","",$C12-$E$63-$F$63)</f>
        <v/>
      </c>
      <c r="X12" s="98">
        <f>IF($A12="","",$L$63*$D12)</f>
        <v/>
      </c>
      <c r="Y12" s="108">
        <f>IF($A12="","",$B12-$E$64-$F$64)</f>
        <v/>
      </c>
      <c r="Z12" s="98">
        <f>IF($A12="","",$L$64*$D12)</f>
        <v/>
      </c>
      <c r="AA12" s="108">
        <f>IF($A12="","",$S12)</f>
        <v/>
      </c>
      <c r="AB12" s="98">
        <f>IF($A12="","",$L$65*$D12)</f>
        <v/>
      </c>
      <c r="AC12" s="108">
        <f>IF($A12="","",$C12)</f>
        <v/>
      </c>
      <c r="AD12" s="98">
        <f>IF($A12="","",$L$66*$D12)</f>
        <v/>
      </c>
      <c r="AE12" s="108">
        <f>IF($A12="","",$C12-$E$67-$F$67)</f>
        <v/>
      </c>
      <c r="AF12" s="98">
        <f>IF($A12="","",$L$67*$D12)</f>
        <v/>
      </c>
      <c r="AG12" s="108">
        <f>IF($A12="","",$C12-$M12-$E$68-$F$68-$G$68)</f>
        <v/>
      </c>
      <c r="AH12" s="98">
        <f>IF($A12="","",$L$68*$D12)</f>
        <v/>
      </c>
      <c r="AI12" s="105">
        <f>IF($A12="","",$K12-68-68)</f>
        <v/>
      </c>
      <c r="AJ12" s="106">
        <f>IF($A12="","",$M12-68-68)</f>
        <v/>
      </c>
      <c r="AK12" s="107">
        <f>IF($A12="","",2*$D12)</f>
        <v/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IF($A13="","",$C13-$E$55-$F$55)</f>
        <v/>
      </c>
      <c r="H13" s="92">
        <f>IF($A13="","",$L$55*$D13)</f>
        <v/>
      </c>
      <c r="I13" s="104">
        <f>IF($A13="","",$C13)</f>
        <v/>
      </c>
      <c r="J13" s="92">
        <f>IF($A13="","",$L$56*$D13)</f>
        <v/>
      </c>
      <c r="K13" s="104">
        <f>IF($A13="","",$B13-$E$57-$F$57-$G$57-$H$57)</f>
        <v/>
      </c>
      <c r="L13" s="92">
        <f>IF($A13="","",$L$57*$D13)</f>
        <v/>
      </c>
      <c r="M13" s="104">
        <f>IF($A13="","",(($C13-$E$58-$F$58-$G$58-$H$58)/2)+(78*1)/2)</f>
        <v/>
      </c>
      <c r="N13" s="92">
        <f>IF($A13="","",$L$58*$D13)</f>
        <v/>
      </c>
      <c r="O13" s="104">
        <f>IF($A13="","",$K13-$E$59-$F$59)</f>
        <v/>
      </c>
      <c r="P13" s="92">
        <f>IF($A13="","",$L$59*$D13)</f>
        <v/>
      </c>
      <c r="Q13" s="104">
        <f>IF($A13="","",$M13-$E$60-$F$60)</f>
        <v/>
      </c>
      <c r="R13" s="92">
        <f>IF($A13="","",$L$60*$D13)</f>
        <v/>
      </c>
      <c r="S13" s="104">
        <f>IF($A13="","",$K13)</f>
        <v/>
      </c>
      <c r="T13" s="92">
        <f>IF($A13="","",$L$61*$D13)</f>
        <v/>
      </c>
      <c r="U13" s="104">
        <f>IF($A13="","",$B13-$E$62-$F$62)</f>
        <v/>
      </c>
      <c r="V13" s="92">
        <f>IF($A13="","",$L$62*$D13)</f>
        <v/>
      </c>
      <c r="W13" s="104">
        <f>IF($A13="","",$C13-$E$63-$F$63)</f>
        <v/>
      </c>
      <c r="X13" s="92">
        <f>IF($A13="","",$L$63*$D13)</f>
        <v/>
      </c>
      <c r="Y13" s="104">
        <f>IF($A13="","",$B13-$E$64-$F$64)</f>
        <v/>
      </c>
      <c r="Z13" s="92">
        <f>IF($A13="","",$L$64*$D13)</f>
        <v/>
      </c>
      <c r="AA13" s="104">
        <f>IF($A13="","",$S13)</f>
        <v/>
      </c>
      <c r="AB13" s="92">
        <f>IF($A13="","",$L$65*$D13)</f>
        <v/>
      </c>
      <c r="AC13" s="104">
        <f>IF($A13="","",$C13)</f>
        <v/>
      </c>
      <c r="AD13" s="92">
        <f>IF($A13="","",$L$66*$D13)</f>
        <v/>
      </c>
      <c r="AE13" s="104">
        <f>IF($A13="","",$C13-$E$67-$F$67)</f>
        <v/>
      </c>
      <c r="AF13" s="92">
        <f>IF($A13="","",$L$67*$D13)</f>
        <v/>
      </c>
      <c r="AG13" s="104">
        <f>IF($A13="","",$C13-$M13-$E$68-$F$68-$G$68)</f>
        <v/>
      </c>
      <c r="AH13" s="92">
        <f>IF($A13="","",$L$68*$D13)</f>
        <v/>
      </c>
      <c r="AI13" s="105">
        <f>IF($A13="","",$K13-68-68)</f>
        <v/>
      </c>
      <c r="AJ13" s="106">
        <f>IF($A13="","",$M13-68-68)</f>
        <v/>
      </c>
      <c r="AK13" s="107">
        <f>IF($A13="","",2*$D13)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IF($A14="","",$C14-$E$55-$F$55)</f>
        <v/>
      </c>
      <c r="H14" s="98">
        <f>IF($A14="","",$L$55*$D14)</f>
        <v/>
      </c>
      <c r="I14" s="108">
        <f>IF($A14="","",$C14)</f>
        <v/>
      </c>
      <c r="J14" s="98">
        <f>IF($A14="","",$L$56*$D14)</f>
        <v/>
      </c>
      <c r="K14" s="108">
        <f>IF($A14="","",$B14-$E$57-$F$57-$G$57-$H$57)</f>
        <v/>
      </c>
      <c r="L14" s="98">
        <f>IF($A14="","",$L$57*$D14)</f>
        <v/>
      </c>
      <c r="M14" s="108">
        <f>IF($A14="","",(($C14-$E$58-$F$58-$G$58-$H$58)/2)+(78*1)/2)</f>
        <v/>
      </c>
      <c r="N14" s="98">
        <f>IF($A14="","",$L$58*$D14)</f>
        <v/>
      </c>
      <c r="O14" s="108">
        <f>IF($A14="","",$K14-$E$59-$F$59)</f>
        <v/>
      </c>
      <c r="P14" s="98">
        <f>IF($A14="","",$L$59*$D14)</f>
        <v/>
      </c>
      <c r="Q14" s="108">
        <f>IF($A14="","",$M14-$E$60-$F$60)</f>
        <v/>
      </c>
      <c r="R14" s="98">
        <f>IF($A14="","",$L$60*$D14)</f>
        <v/>
      </c>
      <c r="S14" s="108">
        <f>IF($A14="","",$K14)</f>
        <v/>
      </c>
      <c r="T14" s="98">
        <f>IF($A14="","",$L$61*$D14)</f>
        <v/>
      </c>
      <c r="U14" s="108">
        <f>IF($A14="","",$B14-$E$62-$F$62)</f>
        <v/>
      </c>
      <c r="V14" s="98">
        <f>IF($A14="","",$L$62*$D14)</f>
        <v/>
      </c>
      <c r="W14" s="108">
        <f>IF($A14="","",$C14-$E$63-$F$63)</f>
        <v/>
      </c>
      <c r="X14" s="98">
        <f>IF($A14="","",$L$63*$D14)</f>
        <v/>
      </c>
      <c r="Y14" s="108">
        <f>IF($A14="","",$B14-$E$64-$F$64)</f>
        <v/>
      </c>
      <c r="Z14" s="98">
        <f>IF($A14="","",$L$64*$D14)</f>
        <v/>
      </c>
      <c r="AA14" s="108">
        <f>IF($A14="","",$S14)</f>
        <v/>
      </c>
      <c r="AB14" s="98">
        <f>IF($A14="","",$L$65*$D14)</f>
        <v/>
      </c>
      <c r="AC14" s="108">
        <f>IF($A14="","",$C14)</f>
        <v/>
      </c>
      <c r="AD14" s="98">
        <f>IF($A14="","",$L$66*$D14)</f>
        <v/>
      </c>
      <c r="AE14" s="108">
        <f>IF($A14="","",$C14-$E$67-$F$67)</f>
        <v/>
      </c>
      <c r="AF14" s="98">
        <f>IF($A14="","",$L$67*$D14)</f>
        <v/>
      </c>
      <c r="AG14" s="108">
        <f>IF($A14="","",$C14-$M14-$E$68-$F$68-$G$68)</f>
        <v/>
      </c>
      <c r="AH14" s="98">
        <f>IF($A14="","",$L$68*$D14)</f>
        <v/>
      </c>
      <c r="AI14" s="105">
        <f>IF($A14="","",$K14-68-68)</f>
        <v/>
      </c>
      <c r="AJ14" s="106">
        <f>IF($A14="","",$M14-68-68)</f>
        <v/>
      </c>
      <c r="AK14" s="107">
        <f>IF($A14="","",2*$D14)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IF($A15="","",$C15-$E$55-$F$55)</f>
        <v/>
      </c>
      <c r="H15" s="92">
        <f>IF($A15="","",$L$55*$D15)</f>
        <v/>
      </c>
      <c r="I15" s="104">
        <f>IF($A15="","",$C15)</f>
        <v/>
      </c>
      <c r="J15" s="92">
        <f>IF($A15="","",$L$56*$D15)</f>
        <v/>
      </c>
      <c r="K15" s="104">
        <f>IF($A15="","",$B15-$E$57-$F$57-$G$57-$H$57)</f>
        <v/>
      </c>
      <c r="L15" s="92">
        <f>IF($A15="","",$L$57*$D15)</f>
        <v/>
      </c>
      <c r="M15" s="104">
        <f>IF($A15="","",(($C15-$E$58-$F$58-$G$58-$H$58)/2)+(78*1)/2)</f>
        <v/>
      </c>
      <c r="N15" s="92">
        <f>IF($A15="","",$L$58*$D15)</f>
        <v/>
      </c>
      <c r="O15" s="104">
        <f>IF($A15="","",$K15-$E$59-$F$59)</f>
        <v/>
      </c>
      <c r="P15" s="92">
        <f>IF($A15="","",$L$59*$D15)</f>
        <v/>
      </c>
      <c r="Q15" s="104">
        <f>IF($A15="","",$M15-$E$60-$F$60)</f>
        <v/>
      </c>
      <c r="R15" s="92">
        <f>IF($A15="","",$L$60*$D15)</f>
        <v/>
      </c>
      <c r="S15" s="104">
        <f>IF($A15="","",$K15)</f>
        <v/>
      </c>
      <c r="T15" s="92">
        <f>IF($A15="","",$L$61*$D15)</f>
        <v/>
      </c>
      <c r="U15" s="104">
        <f>IF($A15="","",$B15-$E$62-$F$62)</f>
        <v/>
      </c>
      <c r="V15" s="92">
        <f>IF($A15="","",$L$62*$D15)</f>
        <v/>
      </c>
      <c r="W15" s="104">
        <f>IF($A15="","",$C15-$E$63-$F$63)</f>
        <v/>
      </c>
      <c r="X15" s="92">
        <f>IF($A15="","",$L$63*$D15)</f>
        <v/>
      </c>
      <c r="Y15" s="104">
        <f>IF($A15="","",$B15-$E$64-$F$64)</f>
        <v/>
      </c>
      <c r="Z15" s="92">
        <f>IF($A15="","",$L$64*$D15)</f>
        <v/>
      </c>
      <c r="AA15" s="104">
        <f>IF($A15="","",$S15)</f>
        <v/>
      </c>
      <c r="AB15" s="92">
        <f>IF($A15="","",$L$65*$D15)</f>
        <v/>
      </c>
      <c r="AC15" s="104">
        <f>IF($A15="","",$C15)</f>
        <v/>
      </c>
      <c r="AD15" s="92">
        <f>IF($A15="","",$L$66*$D15)</f>
        <v/>
      </c>
      <c r="AE15" s="104">
        <f>IF($A15="","",$C15-$E$67-$F$67)</f>
        <v/>
      </c>
      <c r="AF15" s="92">
        <f>IF($A15="","",$L$67*$D15)</f>
        <v/>
      </c>
      <c r="AG15" s="104">
        <f>IF($A15="","",$C15-$M15-$E$68-$F$68-$G$68)</f>
        <v/>
      </c>
      <c r="AH15" s="92">
        <f>IF($A15="","",$L$68*$D15)</f>
        <v/>
      </c>
      <c r="AI15" s="105">
        <f>IF($A15="","",$K15-68-68)</f>
        <v/>
      </c>
      <c r="AJ15" s="106">
        <f>IF($A15="","",$M15-68-68)</f>
        <v/>
      </c>
      <c r="AK15" s="107">
        <f>IF($A15="","",2*$D15)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IF($A16="","",$C16-$E$55-$F$55)</f>
        <v/>
      </c>
      <c r="H16" s="98">
        <f>IF($A16="","",$L$55*$D16)</f>
        <v/>
      </c>
      <c r="I16" s="108">
        <f>IF($A16="","",$C16)</f>
        <v/>
      </c>
      <c r="J16" s="98">
        <f>IF($A16="","",$L$56*$D16)</f>
        <v/>
      </c>
      <c r="K16" s="108">
        <f>IF($A16="","",$B16-$E$57-$F$57-$G$57-$H$57)</f>
        <v/>
      </c>
      <c r="L16" s="98">
        <f>IF($A16="","",$L$57*$D16)</f>
        <v/>
      </c>
      <c r="M16" s="108">
        <f>IF($A16="","",(($C16-$E$58-$F$58-$G$58-$H$58)/2)+(78*1)/2)</f>
        <v/>
      </c>
      <c r="N16" s="98">
        <f>IF($A16="","",$L$58*$D16)</f>
        <v/>
      </c>
      <c r="O16" s="108">
        <f>IF($A16="","",$K16-$E$59-$F$59)</f>
        <v/>
      </c>
      <c r="P16" s="98">
        <f>IF($A16="","",$L$59*$D16)</f>
        <v/>
      </c>
      <c r="Q16" s="108">
        <f>IF($A16="","",$M16-$E$60-$F$60)</f>
        <v/>
      </c>
      <c r="R16" s="98">
        <f>IF($A16="","",$L$60*$D16)</f>
        <v/>
      </c>
      <c r="S16" s="108">
        <f>IF($A16="","",$K16)</f>
        <v/>
      </c>
      <c r="T16" s="98">
        <f>IF($A16="","",$L$61*$D16)</f>
        <v/>
      </c>
      <c r="U16" s="108">
        <f>IF($A16="","",$B16-$E$62-$F$62)</f>
        <v/>
      </c>
      <c r="V16" s="98">
        <f>IF($A16="","",$L$62*$D16)</f>
        <v/>
      </c>
      <c r="W16" s="108">
        <f>IF($A16="","",$C16-$E$63-$F$63)</f>
        <v/>
      </c>
      <c r="X16" s="98">
        <f>IF($A16="","",$L$63*$D16)</f>
        <v/>
      </c>
      <c r="Y16" s="108">
        <f>IF($A16="","",$B16-$E$64-$F$64)</f>
        <v/>
      </c>
      <c r="Z16" s="98">
        <f>IF($A16="","",$L$64*$D16)</f>
        <v/>
      </c>
      <c r="AA16" s="108">
        <f>IF($A16="","",$S16)</f>
        <v/>
      </c>
      <c r="AB16" s="98">
        <f>IF($A16="","",$L$65*$D16)</f>
        <v/>
      </c>
      <c r="AC16" s="108">
        <f>IF($A16="","",$C16)</f>
        <v/>
      </c>
      <c r="AD16" s="98">
        <f>IF($A16="","",$L$66*$D16)</f>
        <v/>
      </c>
      <c r="AE16" s="108">
        <f>IF($A16="","",$C16-$E$67-$F$67)</f>
        <v/>
      </c>
      <c r="AF16" s="98">
        <f>IF($A16="","",$L$67*$D16)</f>
        <v/>
      </c>
      <c r="AG16" s="108">
        <f>IF($A16="","",$C16-$M16-$E$68-$F$68-$G$68)</f>
        <v/>
      </c>
      <c r="AH16" s="98">
        <f>IF($A16="","",$L$68*$D16)</f>
        <v/>
      </c>
      <c r="AI16" s="105">
        <f>IF($A16="","",$K16-68-68)</f>
        <v/>
      </c>
      <c r="AJ16" s="106">
        <f>IF($A16="","",$M16-68-68)</f>
        <v/>
      </c>
      <c r="AK16" s="107">
        <f>IF($A16="","",2*$D16)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IF($A17="","",$C17-$E$55-$F$55)</f>
        <v/>
      </c>
      <c r="H17" s="92">
        <f>IF($A17="","",$L$55*$D17)</f>
        <v/>
      </c>
      <c r="I17" s="104">
        <f>IF($A17="","",$C17)</f>
        <v/>
      </c>
      <c r="J17" s="92">
        <f>IF($A17="","",$L$56*$D17)</f>
        <v/>
      </c>
      <c r="K17" s="104">
        <f>IF($A17="","",$B17-$E$57-$F$57-$G$57-$H$57)</f>
        <v/>
      </c>
      <c r="L17" s="92">
        <f>IF($A17="","",$L$57*$D17)</f>
        <v/>
      </c>
      <c r="M17" s="104">
        <f>IF($A17="","",(($C17-$E$58-$F$58-$G$58-$H$58)/2)+(78*1)/2)</f>
        <v/>
      </c>
      <c r="N17" s="92">
        <f>IF($A17="","",$L$58*$D17)</f>
        <v/>
      </c>
      <c r="O17" s="104">
        <f>IF($A17="","",$K17-$E$59-$F$59)</f>
        <v/>
      </c>
      <c r="P17" s="92">
        <f>IF($A17="","",$L$59*$D17)</f>
        <v/>
      </c>
      <c r="Q17" s="104">
        <f>IF($A17="","",$M17-$E$60-$F$60)</f>
        <v/>
      </c>
      <c r="R17" s="92">
        <f>IF($A17="","",$L$60*$D17)</f>
        <v/>
      </c>
      <c r="S17" s="104">
        <f>IF($A17="","",$K17)</f>
        <v/>
      </c>
      <c r="T17" s="92">
        <f>IF($A17="","",$L$61*$D17)</f>
        <v/>
      </c>
      <c r="U17" s="104">
        <f>IF($A17="","",$B17-$E$62-$F$62)</f>
        <v/>
      </c>
      <c r="V17" s="92">
        <f>IF($A17="","",$L$62*$D17)</f>
        <v/>
      </c>
      <c r="W17" s="104">
        <f>IF($A17="","",$C17-$E$63-$F$63)</f>
        <v/>
      </c>
      <c r="X17" s="92">
        <f>IF($A17="","",$L$63*$D17)</f>
        <v/>
      </c>
      <c r="Y17" s="104">
        <f>IF($A17="","",$B17-$E$64-$F$64)</f>
        <v/>
      </c>
      <c r="Z17" s="92">
        <f>IF($A17="","",$L$64*$D17)</f>
        <v/>
      </c>
      <c r="AA17" s="104">
        <f>IF($A17="","",$S17)</f>
        <v/>
      </c>
      <c r="AB17" s="92">
        <f>IF($A17="","",$L$65*$D17)</f>
        <v/>
      </c>
      <c r="AC17" s="104">
        <f>IF($A17="","",$C17)</f>
        <v/>
      </c>
      <c r="AD17" s="92">
        <f>IF($A17="","",$L$66*$D17)</f>
        <v/>
      </c>
      <c r="AE17" s="104">
        <f>IF($A17="","",$C17-$E$67-$F$67)</f>
        <v/>
      </c>
      <c r="AF17" s="92">
        <f>IF($A17="","",$L$67*$D17)</f>
        <v/>
      </c>
      <c r="AG17" s="104">
        <f>IF($A17="","",$C17-$M17-$E$68-$F$68-$G$68)</f>
        <v/>
      </c>
      <c r="AH17" s="92">
        <f>IF($A17="","",$L$68*$D17)</f>
        <v/>
      </c>
      <c r="AI17" s="105">
        <f>IF($A17="","",$K17-68-68)</f>
        <v/>
      </c>
      <c r="AJ17" s="106">
        <f>IF($A17="","",$M17-68-68)</f>
        <v/>
      </c>
      <c r="AK17" s="107">
        <f>IF($A17="","",2*$D17)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IF($A18="","",$C18-$E$55-$F$55)</f>
        <v/>
      </c>
      <c r="H18" s="98">
        <f>IF($A18="","",$L$55*$D18)</f>
        <v/>
      </c>
      <c r="I18" s="108">
        <f>IF($A18="","",$C18)</f>
        <v/>
      </c>
      <c r="J18" s="98">
        <f>IF($A18="","",$L$56*$D18)</f>
        <v/>
      </c>
      <c r="K18" s="108">
        <f>IF($A18="","",$B18-$E$57-$F$57-$G$57-$H$57)</f>
        <v/>
      </c>
      <c r="L18" s="98">
        <f>IF($A18="","",$L$57*$D18)</f>
        <v/>
      </c>
      <c r="M18" s="108">
        <f>IF($A18="","",(($C18-$E$58-$F$58-$G$58-$H$58)/2)+(78*1)/2)</f>
        <v/>
      </c>
      <c r="N18" s="98">
        <f>IF($A18="","",$L$58*$D18)</f>
        <v/>
      </c>
      <c r="O18" s="108">
        <f>IF($A18="","",$K18-$E$59-$F$59)</f>
        <v/>
      </c>
      <c r="P18" s="98">
        <f>IF($A18="","",$L$59*$D18)</f>
        <v/>
      </c>
      <c r="Q18" s="108">
        <f>IF($A18="","",$M18-$E$60-$F$60)</f>
        <v/>
      </c>
      <c r="R18" s="98">
        <f>IF($A18="","",$L$60*$D18)</f>
        <v/>
      </c>
      <c r="S18" s="108">
        <f>IF($A18="","",$K18)</f>
        <v/>
      </c>
      <c r="T18" s="98">
        <f>IF($A18="","",$L$61*$D18)</f>
        <v/>
      </c>
      <c r="U18" s="108">
        <f>IF($A18="","",$B18-$E$62-$F$62)</f>
        <v/>
      </c>
      <c r="V18" s="98">
        <f>IF($A18="","",$L$62*$D18)</f>
        <v/>
      </c>
      <c r="W18" s="108">
        <f>IF($A18="","",$C18-$E$63-$F$63)</f>
        <v/>
      </c>
      <c r="X18" s="98">
        <f>IF($A18="","",$L$63*$D18)</f>
        <v/>
      </c>
      <c r="Y18" s="108">
        <f>IF($A18="","",$B18-$E$64-$F$64)</f>
        <v/>
      </c>
      <c r="Z18" s="98">
        <f>IF($A18="","",$L$64*$D18)</f>
        <v/>
      </c>
      <c r="AA18" s="108">
        <f>IF($A18="","",$S18)</f>
        <v/>
      </c>
      <c r="AB18" s="98">
        <f>IF($A18="","",$L$65*$D18)</f>
        <v/>
      </c>
      <c r="AC18" s="108">
        <f>IF($A18="","",$C18)</f>
        <v/>
      </c>
      <c r="AD18" s="98">
        <f>IF($A18="","",$L$66*$D18)</f>
        <v/>
      </c>
      <c r="AE18" s="108">
        <f>IF($A18="","",$C18-$E$67-$F$67)</f>
        <v/>
      </c>
      <c r="AF18" s="98">
        <f>IF($A18="","",$L$67*$D18)</f>
        <v/>
      </c>
      <c r="AG18" s="108">
        <f>IF($A18="","",$C18-$M18-$E$68-$F$68-$G$68)</f>
        <v/>
      </c>
      <c r="AH18" s="98">
        <f>IF($A18="","",$L$68*$D18)</f>
        <v/>
      </c>
      <c r="AI18" s="105">
        <f>IF($A18="","",$K18-68-68)</f>
        <v/>
      </c>
      <c r="AJ18" s="106">
        <f>IF($A18="","",$M18-68-68)</f>
        <v/>
      </c>
      <c r="AK18" s="107">
        <f>IF($A18="","",2*$D18)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IF($A19="","",$C19-$E$55-$F$55)</f>
        <v/>
      </c>
      <c r="H19" s="92">
        <f>IF($A19="","",$L$55*$D19)</f>
        <v/>
      </c>
      <c r="I19" s="104">
        <f>IF($A19="","",$C19)</f>
        <v/>
      </c>
      <c r="J19" s="92">
        <f>IF($A19="","",$L$56*$D19)</f>
        <v/>
      </c>
      <c r="K19" s="104">
        <f>IF($A19="","",$B19-$E$57-$F$57-$G$57-$H$57)</f>
        <v/>
      </c>
      <c r="L19" s="92">
        <f>IF($A19="","",$L$57*$D19)</f>
        <v/>
      </c>
      <c r="M19" s="104">
        <f>IF($A19="","",(($C19-$E$58-$F$58-$G$58-$H$58)/2)+(78*1)/2)</f>
        <v/>
      </c>
      <c r="N19" s="92">
        <f>IF($A19="","",$L$58*$D19)</f>
        <v/>
      </c>
      <c r="O19" s="104">
        <f>IF($A19="","",$K19-$E$59-$F$59)</f>
        <v/>
      </c>
      <c r="P19" s="92">
        <f>IF($A19="","",$L$59*$D19)</f>
        <v/>
      </c>
      <c r="Q19" s="104">
        <f>IF($A19="","",$M19-$E$60-$F$60)</f>
        <v/>
      </c>
      <c r="R19" s="92">
        <f>IF($A19="","",$L$60*$D19)</f>
        <v/>
      </c>
      <c r="S19" s="104">
        <f>IF($A19="","",$K19)</f>
        <v/>
      </c>
      <c r="T19" s="92">
        <f>IF($A19="","",$L$61*$D19)</f>
        <v/>
      </c>
      <c r="U19" s="104">
        <f>IF($A19="","",$B19-$E$62-$F$62)</f>
        <v/>
      </c>
      <c r="V19" s="92">
        <f>IF($A19="","",$L$62*$D19)</f>
        <v/>
      </c>
      <c r="W19" s="104">
        <f>IF($A19="","",$C19-$E$63-$F$63)</f>
        <v/>
      </c>
      <c r="X19" s="92">
        <f>IF($A19="","",$L$63*$D19)</f>
        <v/>
      </c>
      <c r="Y19" s="104">
        <f>IF($A19="","",$B19-$E$64-$F$64)</f>
        <v/>
      </c>
      <c r="Z19" s="92">
        <f>IF($A19="","",$L$64*$D19)</f>
        <v/>
      </c>
      <c r="AA19" s="104">
        <f>IF($A19="","",$S19)</f>
        <v/>
      </c>
      <c r="AB19" s="92">
        <f>IF($A19="","",$L$65*$D19)</f>
        <v/>
      </c>
      <c r="AC19" s="104">
        <f>IF($A19="","",$C19)</f>
        <v/>
      </c>
      <c r="AD19" s="92">
        <f>IF($A19="","",$L$66*$D19)</f>
        <v/>
      </c>
      <c r="AE19" s="104">
        <f>IF($A19="","",$C19-$E$67-$F$67)</f>
        <v/>
      </c>
      <c r="AF19" s="92">
        <f>IF($A19="","",$L$67*$D19)</f>
        <v/>
      </c>
      <c r="AG19" s="104">
        <f>IF($A19="","",$C19-$M19-$E$68-$F$68-$G$68)</f>
        <v/>
      </c>
      <c r="AH19" s="92">
        <f>IF($A19="","",$L$68*$D19)</f>
        <v/>
      </c>
      <c r="AI19" s="105">
        <f>IF($A19="","",$K19-68-68)</f>
        <v/>
      </c>
      <c r="AJ19" s="106">
        <f>IF($A19="","",$M19-68-68)</f>
        <v/>
      </c>
      <c r="AK19" s="107">
        <f>IF($A19="","",2*$D19)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IF($A20="","",$C20-$E$55-$F$55)</f>
        <v/>
      </c>
      <c r="H20" s="98">
        <f>IF($A20="","",$L$55*$D20)</f>
        <v/>
      </c>
      <c r="I20" s="108">
        <f>IF($A20="","",$C20)</f>
        <v/>
      </c>
      <c r="J20" s="98">
        <f>IF($A20="","",$L$56*$D20)</f>
        <v/>
      </c>
      <c r="K20" s="108">
        <f>IF($A20="","",$B20-$E$57-$F$57-$G$57-$H$57)</f>
        <v/>
      </c>
      <c r="L20" s="98">
        <f>IF($A20="","",$L$57*$D20)</f>
        <v/>
      </c>
      <c r="M20" s="108">
        <f>IF($A20="","",(($C20-$E$58-$F$58-$G$58-$H$58)/2)+(78*1)/2)</f>
        <v/>
      </c>
      <c r="N20" s="98">
        <f>IF($A20="","",$L$58*$D20)</f>
        <v/>
      </c>
      <c r="O20" s="108">
        <f>IF($A20="","",$K20-$E$59-$F$59)</f>
        <v/>
      </c>
      <c r="P20" s="98">
        <f>IF($A20="","",$L$59*$D20)</f>
        <v/>
      </c>
      <c r="Q20" s="108">
        <f>IF($A20="","",$M20-$E$60-$F$60)</f>
        <v/>
      </c>
      <c r="R20" s="98">
        <f>IF($A20="","",$L$60*$D20)</f>
        <v/>
      </c>
      <c r="S20" s="108">
        <f>IF($A20="","",$K20)</f>
        <v/>
      </c>
      <c r="T20" s="98">
        <f>IF($A20="","",$L$61*$D20)</f>
        <v/>
      </c>
      <c r="U20" s="108">
        <f>IF($A20="","",$B20-$E$62-$F$62)</f>
        <v/>
      </c>
      <c r="V20" s="98">
        <f>IF($A20="","",$L$62*$D20)</f>
        <v/>
      </c>
      <c r="W20" s="108">
        <f>IF($A20="","",$C20-$E$63-$F$63)</f>
        <v/>
      </c>
      <c r="X20" s="98">
        <f>IF($A20="","",$L$63*$D20)</f>
        <v/>
      </c>
      <c r="Y20" s="108">
        <f>IF($A20="","",$B20-$E$64-$F$64)</f>
        <v/>
      </c>
      <c r="Z20" s="98">
        <f>IF($A20="","",$L$64*$D20)</f>
        <v/>
      </c>
      <c r="AA20" s="108">
        <f>IF($A20="","",$S20)</f>
        <v/>
      </c>
      <c r="AB20" s="98">
        <f>IF($A20="","",$L$65*$D20)</f>
        <v/>
      </c>
      <c r="AC20" s="108">
        <f>IF($A20="","",$C20)</f>
        <v/>
      </c>
      <c r="AD20" s="98">
        <f>IF($A20="","",$L$66*$D20)</f>
        <v/>
      </c>
      <c r="AE20" s="108">
        <f>IF($A20="","",$C20-$E$67-$F$67)</f>
        <v/>
      </c>
      <c r="AF20" s="98">
        <f>IF($A20="","",$L$67*$D20)</f>
        <v/>
      </c>
      <c r="AG20" s="108">
        <f>IF($A20="","",$C20-$M20-$E$68-$F$68-$G$68)</f>
        <v/>
      </c>
      <c r="AH20" s="98">
        <f>IF($A20="","",$L$68*$D20)</f>
        <v/>
      </c>
      <c r="AI20" s="105">
        <f>IF($A20="","",$K20-68-68)</f>
        <v/>
      </c>
      <c r="AJ20" s="106">
        <f>IF($A20="","",$M20-68-68)</f>
        <v/>
      </c>
      <c r="AK20" s="107">
        <f>IF($A20="","",2*$D20)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IF($A21="","",$C21-$E$55-$F$55)</f>
        <v/>
      </c>
      <c r="H21" s="92">
        <f>IF($A21="","",$L$55*$D21)</f>
        <v/>
      </c>
      <c r="I21" s="104">
        <f>IF($A21="","",$C21)</f>
        <v/>
      </c>
      <c r="J21" s="92">
        <f>IF($A21="","",$L$56*$D21)</f>
        <v/>
      </c>
      <c r="K21" s="104">
        <f>IF($A21="","",$B21-$E$57-$F$57-$G$57-$H$57)</f>
        <v/>
      </c>
      <c r="L21" s="92">
        <f>IF($A21="","",$L$57*$D21)</f>
        <v/>
      </c>
      <c r="M21" s="104">
        <f>IF($A21="","",(($C21-$E$58-$F$58-$G$58-$H$58)/2)+(78*1)/2)</f>
        <v/>
      </c>
      <c r="N21" s="92">
        <f>IF($A21="","",$L$58*$D21)</f>
        <v/>
      </c>
      <c r="O21" s="104">
        <f>IF($A21="","",$K21-$E$59-$F$59)</f>
        <v/>
      </c>
      <c r="P21" s="92">
        <f>IF($A21="","",$L$59*$D21)</f>
        <v/>
      </c>
      <c r="Q21" s="104">
        <f>IF($A21="","",$M21-$E$60-$F$60)</f>
        <v/>
      </c>
      <c r="R21" s="92">
        <f>IF($A21="","",$L$60*$D21)</f>
        <v/>
      </c>
      <c r="S21" s="104">
        <f>IF($A21="","",$K21)</f>
        <v/>
      </c>
      <c r="T21" s="92">
        <f>IF($A21="","",$L$61*$D21)</f>
        <v/>
      </c>
      <c r="U21" s="104">
        <f>IF($A21="","",$B21-$E$62-$F$62)</f>
        <v/>
      </c>
      <c r="V21" s="92">
        <f>IF($A21="","",$L$62*$D21)</f>
        <v/>
      </c>
      <c r="W21" s="104">
        <f>IF($A21="","",$C21-$E$63-$F$63)</f>
        <v/>
      </c>
      <c r="X21" s="92">
        <f>IF($A21="","",$L$63*$D21)</f>
        <v/>
      </c>
      <c r="Y21" s="104">
        <f>IF($A21="","",$B21-$E$64-$F$64)</f>
        <v/>
      </c>
      <c r="Z21" s="92">
        <f>IF($A21="","",$L$64*$D21)</f>
        <v/>
      </c>
      <c r="AA21" s="104">
        <f>IF($A21="","",$S21)</f>
        <v/>
      </c>
      <c r="AB21" s="92">
        <f>IF($A21="","",$L$65*$D21)</f>
        <v/>
      </c>
      <c r="AC21" s="104">
        <f>IF($A21="","",$C21)</f>
        <v/>
      </c>
      <c r="AD21" s="92">
        <f>IF($A21="","",$L$66*$D21)</f>
        <v/>
      </c>
      <c r="AE21" s="104">
        <f>IF($A21="","",$C21-$E$67-$F$67)</f>
        <v/>
      </c>
      <c r="AF21" s="92">
        <f>IF($A21="","",$L$67*$D21)</f>
        <v/>
      </c>
      <c r="AG21" s="104">
        <f>IF($A21="","",$C21-$M21-$E$68-$F$68-$G$68)</f>
        <v/>
      </c>
      <c r="AH21" s="92">
        <f>IF($A21="","",$L$68*$D21)</f>
        <v/>
      </c>
      <c r="AI21" s="105">
        <f>IF($A21="","",$K21-68-68)</f>
        <v/>
      </c>
      <c r="AJ21" s="106">
        <f>IF($A21="","",$M21-68-68)</f>
        <v/>
      </c>
      <c r="AK21" s="107">
        <f>IF($A21="","",2*$D21)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IF($A22="","",$C22-$E$55-$F$55)</f>
        <v/>
      </c>
      <c r="H22" s="98">
        <f>IF($A22="","",$L$55*$D22)</f>
        <v/>
      </c>
      <c r="I22" s="108">
        <f>IF($A22="","",$C22)</f>
        <v/>
      </c>
      <c r="J22" s="98">
        <f>IF($A22="","",$L$56*$D22)</f>
        <v/>
      </c>
      <c r="K22" s="108">
        <f>IF($A22="","",$B22-$E$57-$F$57-$G$57-$H$57)</f>
        <v/>
      </c>
      <c r="L22" s="98">
        <f>IF($A22="","",$L$57*$D22)</f>
        <v/>
      </c>
      <c r="M22" s="108">
        <f>IF($A22="","",(($C22-$E$58-$F$58-$G$58-$H$58)/2)+(78*1)/2)</f>
        <v/>
      </c>
      <c r="N22" s="98">
        <f>IF($A22="","",$L$58*$D22)</f>
        <v/>
      </c>
      <c r="O22" s="108">
        <f>IF($A22="","",$K22-$E$59-$F$59)</f>
        <v/>
      </c>
      <c r="P22" s="98">
        <f>IF($A22="","",$L$59*$D22)</f>
        <v/>
      </c>
      <c r="Q22" s="108">
        <f>IF($A22="","",$M22-$E$60-$F$60)</f>
        <v/>
      </c>
      <c r="R22" s="98">
        <f>IF($A22="","",$L$60*$D22)</f>
        <v/>
      </c>
      <c r="S22" s="108">
        <f>IF($A22="","",$K22)</f>
        <v/>
      </c>
      <c r="T22" s="98">
        <f>IF($A22="","",$L$61*$D22)</f>
        <v/>
      </c>
      <c r="U22" s="108">
        <f>IF($A22="","",$B22-$E$62-$F$62)</f>
        <v/>
      </c>
      <c r="V22" s="98">
        <f>IF($A22="","",$L$62*$D22)</f>
        <v/>
      </c>
      <c r="W22" s="108">
        <f>IF($A22="","",$C22-$E$63-$F$63)</f>
        <v/>
      </c>
      <c r="X22" s="98">
        <f>IF($A22="","",$L$63*$D22)</f>
        <v/>
      </c>
      <c r="Y22" s="108">
        <f>IF($A22="","",$B22-$E$64-$F$64)</f>
        <v/>
      </c>
      <c r="Z22" s="98">
        <f>IF($A22="","",$L$64*$D22)</f>
        <v/>
      </c>
      <c r="AA22" s="108">
        <f>IF($A22="","",$S22)</f>
        <v/>
      </c>
      <c r="AB22" s="98">
        <f>IF($A22="","",$L$65*$D22)</f>
        <v/>
      </c>
      <c r="AC22" s="108">
        <f>IF($A22="","",$C22)</f>
        <v/>
      </c>
      <c r="AD22" s="98">
        <f>IF($A22="","",$L$66*$D22)</f>
        <v/>
      </c>
      <c r="AE22" s="108">
        <f>IF($A22="","",$C22-$E$67-$F$67)</f>
        <v/>
      </c>
      <c r="AF22" s="98">
        <f>IF($A22="","",$L$67*$D22)</f>
        <v/>
      </c>
      <c r="AG22" s="108">
        <f>IF($A22="","",$C22-$M22-$E$68-$F$68-$G$68)</f>
        <v/>
      </c>
      <c r="AH22" s="98">
        <f>IF($A22="","",$L$68*$D22)</f>
        <v/>
      </c>
      <c r="AI22" s="105">
        <f>IF($A22="","",$K22-68-68)</f>
        <v/>
      </c>
      <c r="AJ22" s="106">
        <f>IF($A22="","",$M22-68-68)</f>
        <v/>
      </c>
      <c r="AK22" s="107">
        <f>IF($A22="","",2*$D22)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IF($A23="","",$C23-$E$55-$F$55)</f>
        <v/>
      </c>
      <c r="H23" s="92">
        <f>IF($A23="","",$L$55*$D23)</f>
        <v/>
      </c>
      <c r="I23" s="104">
        <f>IF($A23="","",$C23)</f>
        <v/>
      </c>
      <c r="J23" s="92">
        <f>IF($A23="","",$L$56*$D23)</f>
        <v/>
      </c>
      <c r="K23" s="104">
        <f>IF($A23="","",$B23-$E$57-$F$57-$G$57-$H$57)</f>
        <v/>
      </c>
      <c r="L23" s="92">
        <f>IF($A23="","",$L$57*$D23)</f>
        <v/>
      </c>
      <c r="M23" s="104">
        <f>IF($A23="","",(($C23-$E$58-$F$58-$G$58-$H$58)/2)+(78*1)/2)</f>
        <v/>
      </c>
      <c r="N23" s="92">
        <f>IF($A23="","",$L$58*$D23)</f>
        <v/>
      </c>
      <c r="O23" s="104">
        <f>IF($A23="","",$K23-$E$59-$F$59)</f>
        <v/>
      </c>
      <c r="P23" s="92">
        <f>IF($A23="","",$L$59*$D23)</f>
        <v/>
      </c>
      <c r="Q23" s="104">
        <f>IF($A23="","",$M23-$E$60-$F$60)</f>
        <v/>
      </c>
      <c r="R23" s="92">
        <f>IF($A23="","",$L$60*$D23)</f>
        <v/>
      </c>
      <c r="S23" s="104">
        <f>IF($A23="","",$K23)</f>
        <v/>
      </c>
      <c r="T23" s="92">
        <f>IF($A23="","",$L$61*$D23)</f>
        <v/>
      </c>
      <c r="U23" s="104">
        <f>IF($A23="","",$B23-$E$62-$F$62)</f>
        <v/>
      </c>
      <c r="V23" s="92">
        <f>IF($A23="","",$L$62*$D23)</f>
        <v/>
      </c>
      <c r="W23" s="104">
        <f>IF($A23="","",$C23-$E$63-$F$63)</f>
        <v/>
      </c>
      <c r="X23" s="92">
        <f>IF($A23="","",$L$63*$D23)</f>
        <v/>
      </c>
      <c r="Y23" s="104">
        <f>IF($A23="","",$B23-$E$64-$F$64)</f>
        <v/>
      </c>
      <c r="Z23" s="92">
        <f>IF($A23="","",$L$64*$D23)</f>
        <v/>
      </c>
      <c r="AA23" s="104">
        <f>IF($A23="","",$S23)</f>
        <v/>
      </c>
      <c r="AB23" s="92">
        <f>IF($A23="","",$L$65*$D23)</f>
        <v/>
      </c>
      <c r="AC23" s="104">
        <f>IF($A23="","",$C23)</f>
        <v/>
      </c>
      <c r="AD23" s="92">
        <f>IF($A23="","",$L$66*$D23)</f>
        <v/>
      </c>
      <c r="AE23" s="104">
        <f>IF($A23="","",$C23-$E$67-$F$67)</f>
        <v/>
      </c>
      <c r="AF23" s="92">
        <f>IF($A23="","",$L$67*$D23)</f>
        <v/>
      </c>
      <c r="AG23" s="104">
        <f>IF($A23="","",$C23-$M23-$E$68-$F$68-$G$68)</f>
        <v/>
      </c>
      <c r="AH23" s="92">
        <f>IF($A23="","",$L$68*$D23)</f>
        <v/>
      </c>
      <c r="AI23" s="105">
        <f>IF($A23="","",$K23-68-68)</f>
        <v/>
      </c>
      <c r="AJ23" s="106">
        <f>IF($A23="","",$M23-68-68)</f>
        <v/>
      </c>
      <c r="AK23" s="107">
        <f>IF($A23="","",2*$D23)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IF($A24="","",$C24-$E$55-$F$55)</f>
        <v/>
      </c>
      <c r="H24" s="98">
        <f>IF($A24="","",$L$55*$D24)</f>
        <v/>
      </c>
      <c r="I24" s="108">
        <f>IF($A24="","",$C24)</f>
        <v/>
      </c>
      <c r="J24" s="98">
        <f>IF($A24="","",$L$56*$D24)</f>
        <v/>
      </c>
      <c r="K24" s="108">
        <f>IF($A24="","",$B24-$E$57-$F$57-$G$57-$H$57)</f>
        <v/>
      </c>
      <c r="L24" s="98">
        <f>IF($A24="","",$L$57*$D24)</f>
        <v/>
      </c>
      <c r="M24" s="108">
        <f>IF($A24="","",(($C24-$E$58-$F$58-$G$58-$H$58)/2)+(78*1)/2)</f>
        <v/>
      </c>
      <c r="N24" s="98">
        <f>IF($A24="","",$L$58*$D24)</f>
        <v/>
      </c>
      <c r="O24" s="108">
        <f>IF($A24="","",$K24-$E$59-$F$59)</f>
        <v/>
      </c>
      <c r="P24" s="98">
        <f>IF($A24="","",$L$59*$D24)</f>
        <v/>
      </c>
      <c r="Q24" s="108">
        <f>IF($A24="","",$M24-$E$60-$F$60)</f>
        <v/>
      </c>
      <c r="R24" s="98">
        <f>IF($A24="","",$L$60*$D24)</f>
        <v/>
      </c>
      <c r="S24" s="108">
        <f>IF($A24="","",$K24)</f>
        <v/>
      </c>
      <c r="T24" s="98">
        <f>IF($A24="","",$L$61*$D24)</f>
        <v/>
      </c>
      <c r="U24" s="108">
        <f>IF($A24="","",$B24-$E$62-$F$62)</f>
        <v/>
      </c>
      <c r="V24" s="98">
        <f>IF($A24="","",$L$62*$D24)</f>
        <v/>
      </c>
      <c r="W24" s="108">
        <f>IF($A24="","",$C24-$E$63-$F$63)</f>
        <v/>
      </c>
      <c r="X24" s="98">
        <f>IF($A24="","",$L$63*$D24)</f>
        <v/>
      </c>
      <c r="Y24" s="108">
        <f>IF($A24="","",$B24-$E$64-$F$64)</f>
        <v/>
      </c>
      <c r="Z24" s="98">
        <f>IF($A24="","",$L$64*$D24)</f>
        <v/>
      </c>
      <c r="AA24" s="108">
        <f>IF($A24="","",$S24)</f>
        <v/>
      </c>
      <c r="AB24" s="98">
        <f>IF($A24="","",$L$65*$D24)</f>
        <v/>
      </c>
      <c r="AC24" s="108">
        <f>IF($A24="","",$C24)</f>
        <v/>
      </c>
      <c r="AD24" s="98">
        <f>IF($A24="","",$L$66*$D24)</f>
        <v/>
      </c>
      <c r="AE24" s="108">
        <f>IF($A24="","",$C24-$E$67-$F$67)</f>
        <v/>
      </c>
      <c r="AF24" s="98">
        <f>IF($A24="","",$L$67*$D24)</f>
        <v/>
      </c>
      <c r="AG24" s="108">
        <f>IF($A24="","",$C24-$M24-$E$68-$F$68-$G$68)</f>
        <v/>
      </c>
      <c r="AH24" s="98">
        <f>IF($A24="","",$L$68*$D24)</f>
        <v/>
      </c>
      <c r="AI24" s="105">
        <f>IF($A24="","",$K24-68-68)</f>
        <v/>
      </c>
      <c r="AJ24" s="106">
        <f>IF($A24="","",$M24-68-68)</f>
        <v/>
      </c>
      <c r="AK24" s="107">
        <f>IF($A24="","",2*$D24)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IF($A25="","",$C25-$E$55-$F$55)</f>
        <v/>
      </c>
      <c r="H25" s="92">
        <f>IF($A25="","",$L$55*$D25)</f>
        <v/>
      </c>
      <c r="I25" s="104">
        <f>IF($A25="","",$C25)</f>
        <v/>
      </c>
      <c r="J25" s="92">
        <f>IF($A25="","",$L$56*$D25)</f>
        <v/>
      </c>
      <c r="K25" s="104">
        <f>IF($A25="","",$B25-$E$57-$F$57-$G$57-$H$57)</f>
        <v/>
      </c>
      <c r="L25" s="92">
        <f>IF($A25="","",$L$57*$D25)</f>
        <v/>
      </c>
      <c r="M25" s="104">
        <f>IF($A25="","",(($C25-$E$58-$F$58-$G$58-$H$58)/2)+(78*1)/2)</f>
        <v/>
      </c>
      <c r="N25" s="92">
        <f>IF($A25="","",$L$58*$D25)</f>
        <v/>
      </c>
      <c r="O25" s="104">
        <f>IF($A25="","",$K25-$E$59-$F$59)</f>
        <v/>
      </c>
      <c r="P25" s="92">
        <f>IF($A25="","",$L$59*$D25)</f>
        <v/>
      </c>
      <c r="Q25" s="104">
        <f>IF($A25="","",$M25-$E$60-$F$60)</f>
        <v/>
      </c>
      <c r="R25" s="92">
        <f>IF($A25="","",$L$60*$D25)</f>
        <v/>
      </c>
      <c r="S25" s="104">
        <f>IF($A25="","",$K25)</f>
        <v/>
      </c>
      <c r="T25" s="92">
        <f>IF($A25="","",$L$61*$D25)</f>
        <v/>
      </c>
      <c r="U25" s="104">
        <f>IF($A25="","",$B25-$E$62-$F$62)</f>
        <v/>
      </c>
      <c r="V25" s="92">
        <f>IF($A25="","",$L$62*$D25)</f>
        <v/>
      </c>
      <c r="W25" s="104">
        <f>IF($A25="","",$C25-$E$63-$F$63)</f>
        <v/>
      </c>
      <c r="X25" s="92">
        <f>IF($A25="","",$L$63*$D25)</f>
        <v/>
      </c>
      <c r="Y25" s="104">
        <f>IF($A25="","",$B25-$E$64-$F$64)</f>
        <v/>
      </c>
      <c r="Z25" s="92">
        <f>IF($A25="","",$L$64*$D25)</f>
        <v/>
      </c>
      <c r="AA25" s="104">
        <f>IF($A25="","",$S25)</f>
        <v/>
      </c>
      <c r="AB25" s="92">
        <f>IF($A25="","",$L$65*$D25)</f>
        <v/>
      </c>
      <c r="AC25" s="104">
        <f>IF($A25="","",$C25)</f>
        <v/>
      </c>
      <c r="AD25" s="92">
        <f>IF($A25="","",$L$66*$D25)</f>
        <v/>
      </c>
      <c r="AE25" s="104">
        <f>IF($A25="","",$C25-$E$67-$F$67)</f>
        <v/>
      </c>
      <c r="AF25" s="92">
        <f>IF($A25="","",$L$67*$D25)</f>
        <v/>
      </c>
      <c r="AG25" s="104">
        <f>IF($A25="","",$C25-$M25-$E$68-$F$68-$G$68)</f>
        <v/>
      </c>
      <c r="AH25" s="92">
        <f>IF($A25="","",$L$68*$D25)</f>
        <v/>
      </c>
      <c r="AI25" s="105">
        <f>IF($A25="","",$K25-68-68)</f>
        <v/>
      </c>
      <c r="AJ25" s="106">
        <f>IF($A25="","",$M25-68-68)</f>
        <v/>
      </c>
      <c r="AK25" s="107">
        <f>IF($A25="","",2*$D25)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IF($A26="","",$C26-$E$55-$F$55)</f>
        <v/>
      </c>
      <c r="H26" s="98">
        <f>IF($A26="","",$L$55*$D26)</f>
        <v/>
      </c>
      <c r="I26" s="108">
        <f>IF($A26="","",$C26)</f>
        <v/>
      </c>
      <c r="J26" s="98">
        <f>IF($A26="","",$L$56*$D26)</f>
        <v/>
      </c>
      <c r="K26" s="108">
        <f>IF($A26="","",$B26-$E$57-$F$57-$G$57-$H$57)</f>
        <v/>
      </c>
      <c r="L26" s="98">
        <f>IF($A26="","",$L$57*$D26)</f>
        <v/>
      </c>
      <c r="M26" s="108">
        <f>IF($A26="","",(($C26-$E$58-$F$58-$G$58-$H$58)/2)+(78*1)/2)</f>
        <v/>
      </c>
      <c r="N26" s="98">
        <f>IF($A26="","",$L$58*$D26)</f>
        <v/>
      </c>
      <c r="O26" s="108">
        <f>IF($A26="","",$K26-$E$59-$F$59)</f>
        <v/>
      </c>
      <c r="P26" s="98">
        <f>IF($A26="","",$L$59*$D26)</f>
        <v/>
      </c>
      <c r="Q26" s="108">
        <f>IF($A26="","",$M26-$E$60-$F$60)</f>
        <v/>
      </c>
      <c r="R26" s="98">
        <f>IF($A26="","",$L$60*$D26)</f>
        <v/>
      </c>
      <c r="S26" s="108">
        <f>IF($A26="","",$K26)</f>
        <v/>
      </c>
      <c r="T26" s="98">
        <f>IF($A26="","",$L$61*$D26)</f>
        <v/>
      </c>
      <c r="U26" s="108">
        <f>IF($A26="","",$B26-$E$62-$F$62)</f>
        <v/>
      </c>
      <c r="V26" s="98">
        <f>IF($A26="","",$L$62*$D26)</f>
        <v/>
      </c>
      <c r="W26" s="108">
        <f>IF($A26="","",$C26-$E$63-$F$63)</f>
        <v/>
      </c>
      <c r="X26" s="98">
        <f>IF($A26="","",$L$63*$D26)</f>
        <v/>
      </c>
      <c r="Y26" s="108">
        <f>IF($A26="","",$B26-$E$64-$F$64)</f>
        <v/>
      </c>
      <c r="Z26" s="98">
        <f>IF($A26="","",$L$64*$D26)</f>
        <v/>
      </c>
      <c r="AA26" s="108">
        <f>IF($A26="","",$S26)</f>
        <v/>
      </c>
      <c r="AB26" s="98">
        <f>IF($A26="","",$L$65*$D26)</f>
        <v/>
      </c>
      <c r="AC26" s="108">
        <f>IF($A26="","",$C26)</f>
        <v/>
      </c>
      <c r="AD26" s="98">
        <f>IF($A26="","",$L$66*$D26)</f>
        <v/>
      </c>
      <c r="AE26" s="108">
        <f>IF($A26="","",$C26-$E$67-$F$67)</f>
        <v/>
      </c>
      <c r="AF26" s="98">
        <f>IF($A26="","",$L$67*$D26)</f>
        <v/>
      </c>
      <c r="AG26" s="108">
        <f>IF($A26="","",$C26-$M26-$E$68-$F$68-$G$68)</f>
        <v/>
      </c>
      <c r="AH26" s="98">
        <f>IF($A26="","",$L$68*$D26)</f>
        <v/>
      </c>
      <c r="AI26" s="105">
        <f>IF($A26="","",$K26-68-68)</f>
        <v/>
      </c>
      <c r="AJ26" s="106">
        <f>IF($A26="","",$M26-68-68)</f>
        <v/>
      </c>
      <c r="AK26" s="107">
        <f>IF($A26="","",2*$D26)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IF($A27="","",$C27-$E$55-$F$55)</f>
        <v/>
      </c>
      <c r="H27" s="92">
        <f>IF($A27="","",$L$55*$D27)</f>
        <v/>
      </c>
      <c r="I27" s="104">
        <f>IF($A27="","",$C27)</f>
        <v/>
      </c>
      <c r="J27" s="92">
        <f>IF($A27="","",$L$56*$D27)</f>
        <v/>
      </c>
      <c r="K27" s="104">
        <f>IF($A27="","",$B27-$E$57-$F$57-$G$57-$H$57)</f>
        <v/>
      </c>
      <c r="L27" s="92">
        <f>IF($A27="","",$L$57*$D27)</f>
        <v/>
      </c>
      <c r="M27" s="104">
        <f>IF($A27="","",(($C27-$E$58-$F$58-$G$58-$H$58)/2)+(78*1)/2)</f>
        <v/>
      </c>
      <c r="N27" s="92">
        <f>IF($A27="","",$L$58*$D27)</f>
        <v/>
      </c>
      <c r="O27" s="104">
        <f>IF($A27="","",$K27-$E$59-$F$59)</f>
        <v/>
      </c>
      <c r="P27" s="92">
        <f>IF($A27="","",$L$59*$D27)</f>
        <v/>
      </c>
      <c r="Q27" s="104">
        <f>IF($A27="","",$M27-$E$60-$F$60)</f>
        <v/>
      </c>
      <c r="R27" s="92">
        <f>IF($A27="","",$L$60*$D27)</f>
        <v/>
      </c>
      <c r="S27" s="104">
        <f>IF($A27="","",$K27)</f>
        <v/>
      </c>
      <c r="T27" s="92">
        <f>IF($A27="","",$L$61*$D27)</f>
        <v/>
      </c>
      <c r="U27" s="104">
        <f>IF($A27="","",$B27-$E$62-$F$62)</f>
        <v/>
      </c>
      <c r="V27" s="92">
        <f>IF($A27="","",$L$62*$D27)</f>
        <v/>
      </c>
      <c r="W27" s="104">
        <f>IF($A27="","",$C27-$E$63-$F$63)</f>
        <v/>
      </c>
      <c r="X27" s="92">
        <f>IF($A27="","",$L$63*$D27)</f>
        <v/>
      </c>
      <c r="Y27" s="104">
        <f>IF($A27="","",$B27-$E$64-$F$64)</f>
        <v/>
      </c>
      <c r="Z27" s="92">
        <f>IF($A27="","",$L$64*$D27)</f>
        <v/>
      </c>
      <c r="AA27" s="104">
        <f>IF($A27="","",$S27)</f>
        <v/>
      </c>
      <c r="AB27" s="92">
        <f>IF($A27="","",$L$65*$D27)</f>
        <v/>
      </c>
      <c r="AC27" s="104">
        <f>IF($A27="","",$C27)</f>
        <v/>
      </c>
      <c r="AD27" s="92">
        <f>IF($A27="","",$L$66*$D27)</f>
        <v/>
      </c>
      <c r="AE27" s="104">
        <f>IF($A27="","",$C27-$E$67-$F$67)</f>
        <v/>
      </c>
      <c r="AF27" s="92">
        <f>IF($A27="","",$L$67*$D27)</f>
        <v/>
      </c>
      <c r="AG27" s="104">
        <f>IF($A27="","",$C27-$M27-$E$68-$F$68-$G$68)</f>
        <v/>
      </c>
      <c r="AH27" s="92">
        <f>IF($A27="","",$L$68*$D27)</f>
        <v/>
      </c>
      <c r="AI27" s="105">
        <f>IF($A27="","",$K27-68-68)</f>
        <v/>
      </c>
      <c r="AJ27" s="106">
        <f>IF($A27="","",$M27-68-68)</f>
        <v/>
      </c>
      <c r="AK27" s="107">
        <f>IF($A27="","",2*$D27)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IF($A28="","",$C28-$E$55-$F$55)</f>
        <v/>
      </c>
      <c r="H28" s="98">
        <f>IF($A28="","",$L$55*$D28)</f>
        <v/>
      </c>
      <c r="I28" s="108">
        <f>IF($A28="","",$C28)</f>
        <v/>
      </c>
      <c r="J28" s="98">
        <f>IF($A28="","",$L$56*$D28)</f>
        <v/>
      </c>
      <c r="K28" s="108">
        <f>IF($A28="","",$B28-$E$57-$F$57-$G$57-$H$57)</f>
        <v/>
      </c>
      <c r="L28" s="98">
        <f>IF($A28="","",$L$57*$D28)</f>
        <v/>
      </c>
      <c r="M28" s="108">
        <f>IF($A28="","",(($C28-$E$58-$F$58-$G$58-$H$58)/2)+(78*1)/2)</f>
        <v/>
      </c>
      <c r="N28" s="98">
        <f>IF($A28="","",$L$58*$D28)</f>
        <v/>
      </c>
      <c r="O28" s="108">
        <f>IF($A28="","",$K28-$E$59-$F$59)</f>
        <v/>
      </c>
      <c r="P28" s="98">
        <f>IF($A28="","",$L$59*$D28)</f>
        <v/>
      </c>
      <c r="Q28" s="108">
        <f>IF($A28="","",$M28-$E$60-$F$60)</f>
        <v/>
      </c>
      <c r="R28" s="98">
        <f>IF($A28="","",$L$60*$D28)</f>
        <v/>
      </c>
      <c r="S28" s="108">
        <f>IF($A28="","",$K28)</f>
        <v/>
      </c>
      <c r="T28" s="98">
        <f>IF($A28="","",$L$61*$D28)</f>
        <v/>
      </c>
      <c r="U28" s="108">
        <f>IF($A28="","",$B28-$E$62-$F$62)</f>
        <v/>
      </c>
      <c r="V28" s="98">
        <f>IF($A28="","",$L$62*$D28)</f>
        <v/>
      </c>
      <c r="W28" s="108">
        <f>IF($A28="","",$C28-$E$63-$F$63)</f>
        <v/>
      </c>
      <c r="X28" s="98">
        <f>IF($A28="","",$L$63*$D28)</f>
        <v/>
      </c>
      <c r="Y28" s="108">
        <f>IF($A28="","",$B28-$E$64-$F$64)</f>
        <v/>
      </c>
      <c r="Z28" s="98">
        <f>IF($A28="","",$L$64*$D28)</f>
        <v/>
      </c>
      <c r="AA28" s="108">
        <f>IF($A28="","",$S28)</f>
        <v/>
      </c>
      <c r="AB28" s="98">
        <f>IF($A28="","",$L$65*$D28)</f>
        <v/>
      </c>
      <c r="AC28" s="108">
        <f>IF($A28="","",$C28)</f>
        <v/>
      </c>
      <c r="AD28" s="98">
        <f>IF($A28="","",$L$66*$D28)</f>
        <v/>
      </c>
      <c r="AE28" s="108">
        <f>IF($A28="","",$C28-$E$67-$F$67)</f>
        <v/>
      </c>
      <c r="AF28" s="98">
        <f>IF($A28="","",$L$67*$D28)</f>
        <v/>
      </c>
      <c r="AG28" s="108">
        <f>IF($A28="","",$C28-$M28-$E$68-$F$68-$G$68)</f>
        <v/>
      </c>
      <c r="AH28" s="98">
        <f>IF($A28="","",$L$68*$D28)</f>
        <v/>
      </c>
      <c r="AI28" s="105">
        <f>IF($A28="","",$K28-68-68)</f>
        <v/>
      </c>
      <c r="AJ28" s="106">
        <f>IF($A28="","",$M28-68-68)</f>
        <v/>
      </c>
      <c r="AK28" s="107">
        <f>IF($A28="","",2*$D28)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(ROUNDUP(AF49/5000,0))</f>
        <v/>
      </c>
      <c r="AG30" s="72">
        <f>AG$7</f>
        <v/>
      </c>
      <c r="AH30" s="72">
        <f>(ROUNDUP(AH49/5000,0))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((กว้าง-21-1.2-3-21)/2)+(78x1/2)</t>
        </is>
      </c>
      <c r="E58" s="83" t="n">
        <v>21</v>
      </c>
      <c r="F58" s="83" t="n">
        <v>1.2</v>
      </c>
      <c r="G58" s="83" t="n">
        <v>3</v>
      </c>
      <c r="H58" s="83" t="n">
        <v>21</v>
      </c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44" customHeight="1">
      <c r="A68" s="78" t="n">
        <v>15</v>
      </c>
      <c r="B68" s="79" t="inlineStr">
        <is>
          <t>ตบธรณี</t>
        </is>
      </c>
      <c r="C68" s="80" t="inlineStr">
        <is>
          <t>F7991</t>
        </is>
      </c>
      <c r="D68" s="81" t="inlineStr">
        <is>
          <t>กว้าง-ขวาง-21-21-1.2</t>
        </is>
      </c>
      <c r="E68" s="83" t="n">
        <v>21</v>
      </c>
      <c r="F68" s="83" t="n">
        <v>21</v>
      </c>
      <c r="G68" s="83" t="n">
        <v>1.2</v>
      </c>
      <c r="H68" s="82" t="n"/>
      <c r="I68" s="82" t="n"/>
      <c r="J68" s="82" t="n"/>
      <c r="K68" s="82" t="n"/>
      <c r="L68" s="83" t="n">
        <v>2</v>
      </c>
      <c r="M68" s="82" t="n"/>
    </row>
    <row r="70">
      <c r="A70" s="123" t="inlineStr">
        <is>
          <t>⑥ อุปกรณ์ ต่อ 1 บาน — คูณจำนวนบานที่ผลิต</t>
        </is>
      </c>
      <c r="B70" s="131" t="n"/>
      <c r="C70" s="131" t="n"/>
      <c r="D70" s="131" t="n"/>
      <c r="E70" s="132" t="n"/>
      <c r="F70" s="124" t="inlineStr">
        <is>
          <t>ต่อบาน</t>
        </is>
      </c>
    </row>
    <row r="71">
      <c r="A71" s="125" t="inlineStr">
        <is>
          <t>1. ล้อ 27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2. มือจับ Align</t>
        </is>
      </c>
      <c r="B72" s="131" t="n"/>
      <c r="C72" s="131" t="n"/>
      <c r="D72" s="131" t="n"/>
      <c r="E72" s="132" t="n"/>
      <c r="F72" s="126" t="n">
        <v>2</v>
      </c>
    </row>
    <row r="73">
      <c r="A73" s="125" t="inlineStr">
        <is>
          <t>3. ชุดล็อค</t>
        </is>
      </c>
      <c r="B73" s="131" t="n"/>
      <c r="C73" s="131" t="n"/>
      <c r="D73" s="131" t="n"/>
      <c r="E73" s="132" t="n"/>
      <c r="F73" s="126" t="n">
        <v>1</v>
      </c>
    </row>
    <row r="74">
      <c r="A74" s="125" t="inlineStr">
        <is>
          <t>4. น็อตประกอบ</t>
        </is>
      </c>
      <c r="B74" s="131" t="n"/>
      <c r="C74" s="131" t="n"/>
      <c r="D74" s="131" t="n"/>
      <c r="E74" s="132" t="n"/>
      <c r="F74" s="126" t="n">
        <v>4</v>
      </c>
    </row>
    <row r="75">
      <c r="A75" s="127" t="inlineStr">
        <is>
          <t>+ สักหลาด/ยาง/ซิลิโคน = ตามขนาด (ดูชีทคิดทุน)</t>
        </is>
      </c>
      <c r="B75" s="131" t="n"/>
      <c r="C75" s="131" t="n"/>
      <c r="D75" s="131" t="n"/>
      <c r="E75" s="131" t="n"/>
      <c r="F75" s="132" t="n"/>
    </row>
  </sheetData>
  <mergeCells count="71">
    <mergeCell ref="U9:V9"/>
    <mergeCell ref="I6:J6"/>
    <mergeCell ref="A73:E73"/>
    <mergeCell ref="AE7:AF7"/>
    <mergeCell ref="A75:F75"/>
    <mergeCell ref="O6:P6"/>
    <mergeCell ref="U6:V6"/>
    <mergeCell ref="K9:L9"/>
    <mergeCell ref="W6:X6"/>
    <mergeCell ref="M9:N9"/>
    <mergeCell ref="K7:N7"/>
    <mergeCell ref="O9:P9"/>
    <mergeCell ref="G8:H8"/>
    <mergeCell ref="Y9:Z9"/>
    <mergeCell ref="E8:F8"/>
    <mergeCell ref="Q8:R8"/>
    <mergeCell ref="AA9:AB9"/>
    <mergeCell ref="AG9:AH9"/>
    <mergeCell ref="Y7:AD7"/>
    <mergeCell ref="S8:T8"/>
    <mergeCell ref="A70:E70"/>
    <mergeCell ref="Y30:AC30"/>
    <mergeCell ref="G7:H7"/>
    <mergeCell ref="AA6:AB6"/>
    <mergeCell ref="S7:T7"/>
    <mergeCell ref="I7:J7"/>
    <mergeCell ref="O7:R7"/>
    <mergeCell ref="AG6:AH6"/>
    <mergeCell ref="A30:D30"/>
    <mergeCell ref="G6:H6"/>
    <mergeCell ref="AC8:AD8"/>
    <mergeCell ref="E9:F9"/>
    <mergeCell ref="A74:E74"/>
    <mergeCell ref="AE8:AF8"/>
    <mergeCell ref="U7:V7"/>
    <mergeCell ref="W7:X7"/>
    <mergeCell ref="E6:F6"/>
    <mergeCell ref="A8:A9"/>
    <mergeCell ref="A6:D6"/>
    <mergeCell ref="M6:N6"/>
    <mergeCell ref="K8:L8"/>
    <mergeCell ref="AG7:AH7"/>
    <mergeCell ref="Q6:R6"/>
    <mergeCell ref="A71:E71"/>
    <mergeCell ref="S6:T6"/>
    <mergeCell ref="Y6:Z6"/>
    <mergeCell ref="A7:D7"/>
    <mergeCell ref="D8:D9"/>
    <mergeCell ref="Q9:R9"/>
    <mergeCell ref="I8:J8"/>
    <mergeCell ref="S9:T9"/>
    <mergeCell ref="M8:N8"/>
    <mergeCell ref="K30:M30"/>
    <mergeCell ref="W9:X9"/>
    <mergeCell ref="O8:P8"/>
    <mergeCell ref="U8:V8"/>
    <mergeCell ref="AC9:AD9"/>
    <mergeCell ref="AE9:AF9"/>
    <mergeCell ref="W8:X8"/>
    <mergeCell ref="B8:C9"/>
    <mergeCell ref="AC6:AD6"/>
    <mergeCell ref="E7:F7"/>
    <mergeCell ref="A72:E72"/>
    <mergeCell ref="AE6:AF6"/>
    <mergeCell ref="O30:Q30"/>
    <mergeCell ref="Y8:Z8"/>
    <mergeCell ref="K6:L6"/>
    <mergeCell ref="G9:H9"/>
    <mergeCell ref="AA8:AB8"/>
    <mergeCell ref="AG8:AH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5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</cols>
  <sheetData>
    <row r="1" ht="40.15" customHeight="1">
      <c r="A1" s="1" t="inlineStr">
        <is>
          <t>JR ALUMINIUM &amp; GLASS  —  ใบรายการตัด · FUJI เลื่อน-ติดตาย66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((กว้าง-21-1.2-3-21)/2)+(66x1/2)</t>
        </is>
      </c>
      <c r="N6" s="17" t="n"/>
      <c r="O6" s="16" t="inlineStr">
        <is>
          <t>เสา-66-66</t>
        </is>
      </c>
      <c r="P6" s="17" t="n"/>
      <c r="Q6" s="16" t="inlineStr">
        <is>
          <t>ขวาง-51-51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6" t="inlineStr">
        <is>
          <t>กว้าง-ขวาง-21-21-1.2</t>
        </is>
      </c>
      <c r="AH6" s="17" t="n"/>
      <c r="AI6" s="18" t="n"/>
      <c r="AJ6" s="18" t="n"/>
      <c r="AK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F7981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F7982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2" t="inlineStr">
        <is>
          <t>F7991</t>
        </is>
      </c>
      <c r="AH7" s="15" t="n"/>
      <c r="AI7" s="24" t="n"/>
      <c r="AJ7" s="25" t="inlineStr">
        <is>
          <t>ขนาดกระจก</t>
        </is>
      </c>
      <c r="AK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0" t="n"/>
      <c r="AH8" s="31" t="n"/>
      <c r="AI8" s="36" t="n"/>
      <c r="AJ8" s="37" t="inlineStr">
        <is>
          <t>กรอบบาน</t>
        </is>
      </c>
      <c r="AK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4" t="inlineStr">
        <is>
          <t>ตบธรณี</t>
        </is>
      </c>
      <c r="AH9" s="43" t="n"/>
      <c r="AI9" s="45" t="inlineStr">
        <is>
          <t>SH-56-56</t>
        </is>
      </c>
      <c r="AJ9" s="46" t="inlineStr">
        <is>
          <t>SW-56-56</t>
        </is>
      </c>
      <c r="AK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</row>
    <row r="11" ht="40.15" customHeight="1">
      <c r="A11" s="99" t="inlineStr">
        <is>
          <t>D1</t>
        </is>
      </c>
      <c r="B11" s="88" t="n">
        <v>600</v>
      </c>
      <c r="C11" s="89" t="n">
        <v>400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IF($A11="","",$C11)</f>
        <v/>
      </c>
      <c r="J11" s="89">
        <f>IF($A11="","",$L$56*$D11)</f>
        <v/>
      </c>
      <c r="K11" s="91">
        <f>IF($A11="","",$B11-$E$57-$F$57-$G$57-$H$57)</f>
        <v/>
      </c>
      <c r="L11" s="89">
        <f>IF($A11="","",$L$57*$D11)</f>
        <v/>
      </c>
      <c r="M11" s="91">
        <f>IF($A11="","",(($C11-$E$58-$F$58-$G$58-$H$58)/2)+(66*1)/2)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IF($A11="","",$K11)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IF($A11="","",$C11-$E$63-$F$63)</f>
        <v/>
      </c>
      <c r="X11" s="89">
        <f>IF($A11="","",$L$63*$D11)</f>
        <v/>
      </c>
      <c r="Y11" s="91">
        <f>IF($A11="","",$B11-$E$64-$F$64)</f>
        <v/>
      </c>
      <c r="Z11" s="89">
        <f>IF($A11="","",$L$64*$D11)</f>
        <v/>
      </c>
      <c r="AA11" s="91">
        <f>IF($A11="","",$S11)</f>
        <v/>
      </c>
      <c r="AB11" s="89">
        <f>IF($A11="","",$L$65*$D11)</f>
        <v/>
      </c>
      <c r="AC11" s="91">
        <f>IF($A11="","",$C11)</f>
        <v/>
      </c>
      <c r="AD11" s="89">
        <f>IF($A11="","",$L$66*$D11)</f>
        <v/>
      </c>
      <c r="AE11" s="91">
        <f>IF($A11="","",$C11-$E$67-$F$67)</f>
        <v/>
      </c>
      <c r="AF11" s="89">
        <f>IF($A11="","",$L$67*$D11)</f>
        <v/>
      </c>
      <c r="AG11" s="104">
        <f>IF($A11="","",$C11-$M11-$E$68-$F$68-$G$68)</f>
        <v/>
      </c>
      <c r="AH11" s="92">
        <f>IF($A11="","",$L$68*$D11)</f>
        <v/>
      </c>
      <c r="AI11" s="93">
        <f>IF($A11="","",$K11-56-56)</f>
        <v/>
      </c>
      <c r="AJ11" s="94">
        <f>IF($A11="","",$M11-56-56)</f>
        <v/>
      </c>
      <c r="AK11" s="95">
        <f>IF($A11="","",2*$D11)</f>
        <v/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IF($A12="","",$C12)</f>
        <v/>
      </c>
      <c r="J12" s="97">
        <f>IF($A12="","",$L$56*$D12)</f>
        <v/>
      </c>
      <c r="K12" s="96">
        <f>IF($A12="","",$B12-$E$57-$F$57-$G$57-$H$57)</f>
        <v/>
      </c>
      <c r="L12" s="97">
        <f>IF($A12="","",$L$57*$D12)</f>
        <v/>
      </c>
      <c r="M12" s="96">
        <f>IF($A12="","",(($C12-$E$58-$F$58-$G$58-$H$58)/2)+(66*1)/2)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IF($A12="","",$K12)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IF($A12="","",$C12-$E$63-$F$63)</f>
        <v/>
      </c>
      <c r="X12" s="97">
        <f>IF($A12="","",$L$63*$D12)</f>
        <v/>
      </c>
      <c r="Y12" s="96">
        <f>IF($A12="","",$B12-$E$64-$F$64)</f>
        <v/>
      </c>
      <c r="Z12" s="97">
        <f>IF($A12="","",$L$64*$D12)</f>
        <v/>
      </c>
      <c r="AA12" s="96">
        <f>IF($A12="","",$S12)</f>
        <v/>
      </c>
      <c r="AB12" s="97">
        <f>IF($A12="","",$L$65*$D12)</f>
        <v/>
      </c>
      <c r="AC12" s="96">
        <f>IF($A12="","",$C12)</f>
        <v/>
      </c>
      <c r="AD12" s="97">
        <f>IF($A12="","",$L$66*$D12)</f>
        <v/>
      </c>
      <c r="AE12" s="96">
        <f>IF($A12="","",$C12-$E$67-$F$67)</f>
        <v/>
      </c>
      <c r="AF12" s="97">
        <f>IF($A12="","",$L$67*$D12)</f>
        <v/>
      </c>
      <c r="AG12" s="108">
        <f>IF($A12="","",$C12-$M12-$E$68-$F$68-$G$68)</f>
        <v/>
      </c>
      <c r="AH12" s="98">
        <f>IF($A12="","",$L$68*$D12)</f>
        <v/>
      </c>
      <c r="AI12" s="93">
        <f>IF($A12="","",$K12-56-56)</f>
        <v/>
      </c>
      <c r="AJ12" s="94">
        <f>IF($A12="","",$M12-56-56)</f>
        <v/>
      </c>
      <c r="AK12" s="95">
        <f>IF($A12="","",2*$D12)</f>
        <v/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IF($A13="","",$C13)</f>
        <v/>
      </c>
      <c r="J13" s="89">
        <f>IF($A13="","",$L$56*$D13)</f>
        <v/>
      </c>
      <c r="K13" s="91">
        <f>IF($A13="","",$B13-$E$57-$F$57-$G$57-$H$57)</f>
        <v/>
      </c>
      <c r="L13" s="89">
        <f>IF($A13="","",$L$57*$D13)</f>
        <v/>
      </c>
      <c r="M13" s="91">
        <f>IF($A13="","",(($C13-$E$58-$F$58-$G$58-$H$58)/2)+(66*1)/2)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IF($A13="","",$K13)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IF($A13="","",$C13-$E$63-$F$63)</f>
        <v/>
      </c>
      <c r="X13" s="89">
        <f>IF($A13="","",$L$63*$D13)</f>
        <v/>
      </c>
      <c r="Y13" s="91">
        <f>IF($A13="","",$B13-$E$64-$F$64)</f>
        <v/>
      </c>
      <c r="Z13" s="89">
        <f>IF($A13="","",$L$64*$D13)</f>
        <v/>
      </c>
      <c r="AA13" s="91">
        <f>IF($A13="","",$S13)</f>
        <v/>
      </c>
      <c r="AB13" s="89">
        <f>IF($A13="","",$L$65*$D13)</f>
        <v/>
      </c>
      <c r="AC13" s="91">
        <f>IF($A13="","",$C13)</f>
        <v/>
      </c>
      <c r="AD13" s="89">
        <f>IF($A13="","",$L$66*$D13)</f>
        <v/>
      </c>
      <c r="AE13" s="91">
        <f>IF($A13="","",$C13-$E$67-$F$67)</f>
        <v/>
      </c>
      <c r="AF13" s="89">
        <f>IF($A13="","",$L$67*$D13)</f>
        <v/>
      </c>
      <c r="AG13" s="104">
        <f>IF($A13="","",$C13-$M13-$E$68-$F$68-$G$68)</f>
        <v/>
      </c>
      <c r="AH13" s="92">
        <f>IF($A13="","",$L$68*$D13)</f>
        <v/>
      </c>
      <c r="AI13" s="93">
        <f>IF($A13="","",$K13-56-56)</f>
        <v/>
      </c>
      <c r="AJ13" s="94">
        <f>IF($A13="","",$M13-56-56)</f>
        <v/>
      </c>
      <c r="AK13" s="95">
        <f>IF($A13="","",2*$D13)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IF($A14="","",$C14)</f>
        <v/>
      </c>
      <c r="J14" s="97">
        <f>IF($A14="","",$L$56*$D14)</f>
        <v/>
      </c>
      <c r="K14" s="96">
        <f>IF($A14="","",$B14-$E$57-$F$57-$G$57-$H$57)</f>
        <v/>
      </c>
      <c r="L14" s="97">
        <f>IF($A14="","",$L$57*$D14)</f>
        <v/>
      </c>
      <c r="M14" s="96">
        <f>IF($A14="","",(($C14-$E$58-$F$58-$G$58-$H$58)/2)+(66*1)/2)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IF($A14="","",$K14)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IF($A14="","",$C14-$E$63-$F$63)</f>
        <v/>
      </c>
      <c r="X14" s="97">
        <f>IF($A14="","",$L$63*$D14)</f>
        <v/>
      </c>
      <c r="Y14" s="96">
        <f>IF($A14="","",$B14-$E$64-$F$64)</f>
        <v/>
      </c>
      <c r="Z14" s="97">
        <f>IF($A14="","",$L$64*$D14)</f>
        <v/>
      </c>
      <c r="AA14" s="96">
        <f>IF($A14="","",$S14)</f>
        <v/>
      </c>
      <c r="AB14" s="97">
        <f>IF($A14="","",$L$65*$D14)</f>
        <v/>
      </c>
      <c r="AC14" s="96">
        <f>IF($A14="","",$C14)</f>
        <v/>
      </c>
      <c r="AD14" s="97">
        <f>IF($A14="","",$L$66*$D14)</f>
        <v/>
      </c>
      <c r="AE14" s="96">
        <f>IF($A14="","",$C14-$E$67-$F$67)</f>
        <v/>
      </c>
      <c r="AF14" s="97">
        <f>IF($A14="","",$L$67*$D14)</f>
        <v/>
      </c>
      <c r="AG14" s="108">
        <f>IF($A14="","",$C14-$M14-$E$68-$F$68-$G$68)</f>
        <v/>
      </c>
      <c r="AH14" s="98">
        <f>IF($A14="","",$L$68*$D14)</f>
        <v/>
      </c>
      <c r="AI14" s="93">
        <f>IF($A14="","",$K14-56-56)</f>
        <v/>
      </c>
      <c r="AJ14" s="94">
        <f>IF($A14="","",$M14-56-56)</f>
        <v/>
      </c>
      <c r="AK14" s="95">
        <f>IF($A14="","",2*$D14)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IF($A15="","",$C15)</f>
        <v/>
      </c>
      <c r="J15" s="89">
        <f>IF($A15="","",$L$56*$D15)</f>
        <v/>
      </c>
      <c r="K15" s="91">
        <f>IF($A15="","",$B15-$E$57-$F$57-$G$57-$H$57)</f>
        <v/>
      </c>
      <c r="L15" s="89">
        <f>IF($A15="","",$L$57*$D15)</f>
        <v/>
      </c>
      <c r="M15" s="91">
        <f>IF($A15="","",(($C15-$E$58-$F$58-$G$58-$H$58)/2)+(66*1)/2)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IF($A15="","",$K15)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IF($A15="","",$C15-$E$63-$F$63)</f>
        <v/>
      </c>
      <c r="X15" s="89">
        <f>IF($A15="","",$L$63*$D15)</f>
        <v/>
      </c>
      <c r="Y15" s="91">
        <f>IF($A15="","",$B15-$E$64-$F$64)</f>
        <v/>
      </c>
      <c r="Z15" s="89">
        <f>IF($A15="","",$L$64*$D15)</f>
        <v/>
      </c>
      <c r="AA15" s="91">
        <f>IF($A15="","",$S15)</f>
        <v/>
      </c>
      <c r="AB15" s="89">
        <f>IF($A15="","",$L$65*$D15)</f>
        <v/>
      </c>
      <c r="AC15" s="91">
        <f>IF($A15="","",$C15)</f>
        <v/>
      </c>
      <c r="AD15" s="89">
        <f>IF($A15="","",$L$66*$D15)</f>
        <v/>
      </c>
      <c r="AE15" s="91">
        <f>IF($A15="","",$C15-$E$67-$F$67)</f>
        <v/>
      </c>
      <c r="AF15" s="89">
        <f>IF($A15="","",$L$67*$D15)</f>
        <v/>
      </c>
      <c r="AG15" s="104">
        <f>IF($A15="","",$C15-$M15-$E$68-$F$68-$G$68)</f>
        <v/>
      </c>
      <c r="AH15" s="92">
        <f>IF($A15="","",$L$68*$D15)</f>
        <v/>
      </c>
      <c r="AI15" s="93">
        <f>IF($A15="","",$K15-56-56)</f>
        <v/>
      </c>
      <c r="AJ15" s="94">
        <f>IF($A15="","",$M15-56-56)</f>
        <v/>
      </c>
      <c r="AK15" s="95">
        <f>IF($A15="","",2*$D15)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IF($A16="","",$C16)</f>
        <v/>
      </c>
      <c r="J16" s="97">
        <f>IF($A16="","",$L$56*$D16)</f>
        <v/>
      </c>
      <c r="K16" s="96">
        <f>IF($A16="","",$B16-$E$57-$F$57-$G$57-$H$57)</f>
        <v/>
      </c>
      <c r="L16" s="97">
        <f>IF($A16="","",$L$57*$D16)</f>
        <v/>
      </c>
      <c r="M16" s="96">
        <f>IF($A16="","",(($C16-$E$58-$F$58-$G$58-$H$58)/2)+(66*1)/2)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IF($A16="","",$K16)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IF($A16="","",$C16-$E$63-$F$63)</f>
        <v/>
      </c>
      <c r="X16" s="97">
        <f>IF($A16="","",$L$63*$D16)</f>
        <v/>
      </c>
      <c r="Y16" s="96">
        <f>IF($A16="","",$B16-$E$64-$F$64)</f>
        <v/>
      </c>
      <c r="Z16" s="97">
        <f>IF($A16="","",$L$64*$D16)</f>
        <v/>
      </c>
      <c r="AA16" s="96">
        <f>IF($A16="","",$S16)</f>
        <v/>
      </c>
      <c r="AB16" s="97">
        <f>IF($A16="","",$L$65*$D16)</f>
        <v/>
      </c>
      <c r="AC16" s="96">
        <f>IF($A16="","",$C16)</f>
        <v/>
      </c>
      <c r="AD16" s="97">
        <f>IF($A16="","",$L$66*$D16)</f>
        <v/>
      </c>
      <c r="AE16" s="96">
        <f>IF($A16="","",$C16-$E$67-$F$67)</f>
        <v/>
      </c>
      <c r="AF16" s="97">
        <f>IF($A16="","",$L$67*$D16)</f>
        <v/>
      </c>
      <c r="AG16" s="108">
        <f>IF($A16="","",$C16-$M16-$E$68-$F$68-$G$68)</f>
        <v/>
      </c>
      <c r="AH16" s="98">
        <f>IF($A16="","",$L$68*$D16)</f>
        <v/>
      </c>
      <c r="AI16" s="93">
        <f>IF($A16="","",$K16-56-56)</f>
        <v/>
      </c>
      <c r="AJ16" s="94">
        <f>IF($A16="","",$M16-56-56)</f>
        <v/>
      </c>
      <c r="AK16" s="95">
        <f>IF($A16="","",2*$D16)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IF($A17="","",$C17)</f>
        <v/>
      </c>
      <c r="J17" s="89">
        <f>IF($A17="","",$L$56*$D17)</f>
        <v/>
      </c>
      <c r="K17" s="91">
        <f>IF($A17="","",$B17-$E$57-$F$57-$G$57-$H$57)</f>
        <v/>
      </c>
      <c r="L17" s="89">
        <f>IF($A17="","",$L$57*$D17)</f>
        <v/>
      </c>
      <c r="M17" s="91">
        <f>IF($A17="","",(($C17-$E$58-$F$58-$G$58-$H$58)/2)+(66*1)/2)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IF($A17="","",$K17)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IF($A17="","",$C17-$E$63-$F$63)</f>
        <v/>
      </c>
      <c r="X17" s="89">
        <f>IF($A17="","",$L$63*$D17)</f>
        <v/>
      </c>
      <c r="Y17" s="91">
        <f>IF($A17="","",$B17-$E$64-$F$64)</f>
        <v/>
      </c>
      <c r="Z17" s="89">
        <f>IF($A17="","",$L$64*$D17)</f>
        <v/>
      </c>
      <c r="AA17" s="91">
        <f>IF($A17="","",$S17)</f>
        <v/>
      </c>
      <c r="AB17" s="89">
        <f>IF($A17="","",$L$65*$D17)</f>
        <v/>
      </c>
      <c r="AC17" s="91">
        <f>IF($A17="","",$C17)</f>
        <v/>
      </c>
      <c r="AD17" s="89">
        <f>IF($A17="","",$L$66*$D17)</f>
        <v/>
      </c>
      <c r="AE17" s="91">
        <f>IF($A17="","",$C17-$E$67-$F$67)</f>
        <v/>
      </c>
      <c r="AF17" s="89">
        <f>IF($A17="","",$L$67*$D17)</f>
        <v/>
      </c>
      <c r="AG17" s="104">
        <f>IF($A17="","",$C17-$M17-$E$68-$F$68-$G$68)</f>
        <v/>
      </c>
      <c r="AH17" s="92">
        <f>IF($A17="","",$L$68*$D17)</f>
        <v/>
      </c>
      <c r="AI17" s="93">
        <f>IF($A17="","",$K17-56-56)</f>
        <v/>
      </c>
      <c r="AJ17" s="94">
        <f>IF($A17="","",$M17-56-56)</f>
        <v/>
      </c>
      <c r="AK17" s="95">
        <f>IF($A17="","",2*$D17)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IF($A18="","",$C18)</f>
        <v/>
      </c>
      <c r="J18" s="97">
        <f>IF($A18="","",$L$56*$D18)</f>
        <v/>
      </c>
      <c r="K18" s="96">
        <f>IF($A18="","",$B18-$E$57-$F$57-$G$57-$H$57)</f>
        <v/>
      </c>
      <c r="L18" s="97">
        <f>IF($A18="","",$L$57*$D18)</f>
        <v/>
      </c>
      <c r="M18" s="96">
        <f>IF($A18="","",(($C18-$E$58-$F$58-$G$58-$H$58)/2)+(66*1)/2)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IF($A18="","",$K18)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IF($A18="","",$C18-$E$63-$F$63)</f>
        <v/>
      </c>
      <c r="X18" s="97">
        <f>IF($A18="","",$L$63*$D18)</f>
        <v/>
      </c>
      <c r="Y18" s="96">
        <f>IF($A18="","",$B18-$E$64-$F$64)</f>
        <v/>
      </c>
      <c r="Z18" s="97">
        <f>IF($A18="","",$L$64*$D18)</f>
        <v/>
      </c>
      <c r="AA18" s="96">
        <f>IF($A18="","",$S18)</f>
        <v/>
      </c>
      <c r="AB18" s="97">
        <f>IF($A18="","",$L$65*$D18)</f>
        <v/>
      </c>
      <c r="AC18" s="96">
        <f>IF($A18="","",$C18)</f>
        <v/>
      </c>
      <c r="AD18" s="97">
        <f>IF($A18="","",$L$66*$D18)</f>
        <v/>
      </c>
      <c r="AE18" s="96">
        <f>IF($A18="","",$C18-$E$67-$F$67)</f>
        <v/>
      </c>
      <c r="AF18" s="97">
        <f>IF($A18="","",$L$67*$D18)</f>
        <v/>
      </c>
      <c r="AG18" s="108">
        <f>IF($A18="","",$C18-$M18-$E$68-$F$68-$G$68)</f>
        <v/>
      </c>
      <c r="AH18" s="98">
        <f>IF($A18="","",$L$68*$D18)</f>
        <v/>
      </c>
      <c r="AI18" s="93">
        <f>IF($A18="","",$K18-56-56)</f>
        <v/>
      </c>
      <c r="AJ18" s="94">
        <f>IF($A18="","",$M18-56-56)</f>
        <v/>
      </c>
      <c r="AK18" s="95">
        <f>IF($A18="","",2*$D18)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IF($A19="","",$C19)</f>
        <v/>
      </c>
      <c r="J19" s="89">
        <f>IF($A19="","",$L$56*$D19)</f>
        <v/>
      </c>
      <c r="K19" s="91">
        <f>IF($A19="","",$B19-$E$57-$F$57-$G$57-$H$57)</f>
        <v/>
      </c>
      <c r="L19" s="89">
        <f>IF($A19="","",$L$57*$D19)</f>
        <v/>
      </c>
      <c r="M19" s="91">
        <f>IF($A19="","",(($C19-$E$58-$F$58-$G$58-$H$58)/2)+(66*1)/2)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IF($A19="","",$K19)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IF($A19="","",$C19-$E$63-$F$63)</f>
        <v/>
      </c>
      <c r="X19" s="89">
        <f>IF($A19="","",$L$63*$D19)</f>
        <v/>
      </c>
      <c r="Y19" s="91">
        <f>IF($A19="","",$B19-$E$64-$F$64)</f>
        <v/>
      </c>
      <c r="Z19" s="89">
        <f>IF($A19="","",$L$64*$D19)</f>
        <v/>
      </c>
      <c r="AA19" s="91">
        <f>IF($A19="","",$S19)</f>
        <v/>
      </c>
      <c r="AB19" s="89">
        <f>IF($A19="","",$L$65*$D19)</f>
        <v/>
      </c>
      <c r="AC19" s="91">
        <f>IF($A19="","",$C19)</f>
        <v/>
      </c>
      <c r="AD19" s="89">
        <f>IF($A19="","",$L$66*$D19)</f>
        <v/>
      </c>
      <c r="AE19" s="91">
        <f>IF($A19="","",$C19-$E$67-$F$67)</f>
        <v/>
      </c>
      <c r="AF19" s="89">
        <f>IF($A19="","",$L$67*$D19)</f>
        <v/>
      </c>
      <c r="AG19" s="104">
        <f>IF($A19="","",$C19-$M19-$E$68-$F$68-$G$68)</f>
        <v/>
      </c>
      <c r="AH19" s="92">
        <f>IF($A19="","",$L$68*$D19)</f>
        <v/>
      </c>
      <c r="AI19" s="93">
        <f>IF($A19="","",$K19-56-56)</f>
        <v/>
      </c>
      <c r="AJ19" s="94">
        <f>IF($A19="","",$M19-56-56)</f>
        <v/>
      </c>
      <c r="AK19" s="95">
        <f>IF($A19="","",2*$D19)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IF($A20="","",$C20)</f>
        <v/>
      </c>
      <c r="J20" s="97">
        <f>IF($A20="","",$L$56*$D20)</f>
        <v/>
      </c>
      <c r="K20" s="96">
        <f>IF($A20="","",$B20-$E$57-$F$57-$G$57-$H$57)</f>
        <v/>
      </c>
      <c r="L20" s="97">
        <f>IF($A20="","",$L$57*$D20)</f>
        <v/>
      </c>
      <c r="M20" s="96">
        <f>IF($A20="","",(($C20-$E$58-$F$58-$G$58-$H$58)/2)+(66*1)/2)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IF($A20="","",$K20)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IF($A20="","",$C20-$E$63-$F$63)</f>
        <v/>
      </c>
      <c r="X20" s="97">
        <f>IF($A20="","",$L$63*$D20)</f>
        <v/>
      </c>
      <c r="Y20" s="96">
        <f>IF($A20="","",$B20-$E$64-$F$64)</f>
        <v/>
      </c>
      <c r="Z20" s="97">
        <f>IF($A20="","",$L$64*$D20)</f>
        <v/>
      </c>
      <c r="AA20" s="96">
        <f>IF($A20="","",$S20)</f>
        <v/>
      </c>
      <c r="AB20" s="97">
        <f>IF($A20="","",$L$65*$D20)</f>
        <v/>
      </c>
      <c r="AC20" s="96">
        <f>IF($A20="","",$C20)</f>
        <v/>
      </c>
      <c r="AD20" s="97">
        <f>IF($A20="","",$L$66*$D20)</f>
        <v/>
      </c>
      <c r="AE20" s="96">
        <f>IF($A20="","",$C20-$E$67-$F$67)</f>
        <v/>
      </c>
      <c r="AF20" s="97">
        <f>IF($A20="","",$L$67*$D20)</f>
        <v/>
      </c>
      <c r="AG20" s="108">
        <f>IF($A20="","",$C20-$M20-$E$68-$F$68-$G$68)</f>
        <v/>
      </c>
      <c r="AH20" s="98">
        <f>IF($A20="","",$L$68*$D20)</f>
        <v/>
      </c>
      <c r="AI20" s="93">
        <f>IF($A20="","",$K20-56-56)</f>
        <v/>
      </c>
      <c r="AJ20" s="94">
        <f>IF($A20="","",$M20-56-56)</f>
        <v/>
      </c>
      <c r="AK20" s="95">
        <f>IF($A20="","",2*$D20)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IF($A21="","",$C21)</f>
        <v/>
      </c>
      <c r="J21" s="89">
        <f>IF($A21="","",$L$56*$D21)</f>
        <v/>
      </c>
      <c r="K21" s="91">
        <f>IF($A21="","",$B21-$E$57-$F$57-$G$57-$H$57)</f>
        <v/>
      </c>
      <c r="L21" s="89">
        <f>IF($A21="","",$L$57*$D21)</f>
        <v/>
      </c>
      <c r="M21" s="91">
        <f>IF($A21="","",(($C21-$E$58-$F$58-$G$58-$H$58)/2)+(66*1)/2)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IF($A21="","",$K21)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IF($A21="","",$C21-$E$63-$F$63)</f>
        <v/>
      </c>
      <c r="X21" s="89">
        <f>IF($A21="","",$L$63*$D21)</f>
        <v/>
      </c>
      <c r="Y21" s="91">
        <f>IF($A21="","",$B21-$E$64-$F$64)</f>
        <v/>
      </c>
      <c r="Z21" s="89">
        <f>IF($A21="","",$L$64*$D21)</f>
        <v/>
      </c>
      <c r="AA21" s="91">
        <f>IF($A21="","",$S21)</f>
        <v/>
      </c>
      <c r="AB21" s="89">
        <f>IF($A21="","",$L$65*$D21)</f>
        <v/>
      </c>
      <c r="AC21" s="91">
        <f>IF($A21="","",$C21)</f>
        <v/>
      </c>
      <c r="AD21" s="89">
        <f>IF($A21="","",$L$66*$D21)</f>
        <v/>
      </c>
      <c r="AE21" s="91">
        <f>IF($A21="","",$C21-$E$67-$F$67)</f>
        <v/>
      </c>
      <c r="AF21" s="89">
        <f>IF($A21="","",$L$67*$D21)</f>
        <v/>
      </c>
      <c r="AG21" s="104">
        <f>IF($A21="","",$C21-$M21-$E$68-$F$68-$G$68)</f>
        <v/>
      </c>
      <c r="AH21" s="92">
        <f>IF($A21="","",$L$68*$D21)</f>
        <v/>
      </c>
      <c r="AI21" s="93">
        <f>IF($A21="","",$K21-56-56)</f>
        <v/>
      </c>
      <c r="AJ21" s="94">
        <f>IF($A21="","",$M21-56-56)</f>
        <v/>
      </c>
      <c r="AK21" s="95">
        <f>IF($A21="","",2*$D21)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IF($A22="","",$C22)</f>
        <v/>
      </c>
      <c r="J22" s="97">
        <f>IF($A22="","",$L$56*$D22)</f>
        <v/>
      </c>
      <c r="K22" s="96">
        <f>IF($A22="","",$B22-$E$57-$F$57-$G$57-$H$57)</f>
        <v/>
      </c>
      <c r="L22" s="97">
        <f>IF($A22="","",$L$57*$D22)</f>
        <v/>
      </c>
      <c r="M22" s="96">
        <f>IF($A22="","",(($C22-$E$58-$F$58-$G$58-$H$58)/2)+(66*1)/2)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IF($A22="","",$K22)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IF($A22="","",$C22-$E$63-$F$63)</f>
        <v/>
      </c>
      <c r="X22" s="97">
        <f>IF($A22="","",$L$63*$D22)</f>
        <v/>
      </c>
      <c r="Y22" s="96">
        <f>IF($A22="","",$B22-$E$64-$F$64)</f>
        <v/>
      </c>
      <c r="Z22" s="97">
        <f>IF($A22="","",$L$64*$D22)</f>
        <v/>
      </c>
      <c r="AA22" s="96">
        <f>IF($A22="","",$S22)</f>
        <v/>
      </c>
      <c r="AB22" s="97">
        <f>IF($A22="","",$L$65*$D22)</f>
        <v/>
      </c>
      <c r="AC22" s="96">
        <f>IF($A22="","",$C22)</f>
        <v/>
      </c>
      <c r="AD22" s="97">
        <f>IF($A22="","",$L$66*$D22)</f>
        <v/>
      </c>
      <c r="AE22" s="96">
        <f>IF($A22="","",$C22-$E$67-$F$67)</f>
        <v/>
      </c>
      <c r="AF22" s="97">
        <f>IF($A22="","",$L$67*$D22)</f>
        <v/>
      </c>
      <c r="AG22" s="108">
        <f>IF($A22="","",$C22-$M22-$E$68-$F$68-$G$68)</f>
        <v/>
      </c>
      <c r="AH22" s="98">
        <f>IF($A22="","",$L$68*$D22)</f>
        <v/>
      </c>
      <c r="AI22" s="93">
        <f>IF($A22="","",$K22-56-56)</f>
        <v/>
      </c>
      <c r="AJ22" s="94">
        <f>IF($A22="","",$M22-56-56)</f>
        <v/>
      </c>
      <c r="AK22" s="95">
        <f>IF($A22="","",2*$D22)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IF($A23="","",$C23)</f>
        <v/>
      </c>
      <c r="J23" s="89">
        <f>IF($A23="","",$L$56*$D23)</f>
        <v/>
      </c>
      <c r="K23" s="91">
        <f>IF($A23="","",$B23-$E$57-$F$57-$G$57-$H$57)</f>
        <v/>
      </c>
      <c r="L23" s="89">
        <f>IF($A23="","",$L$57*$D23)</f>
        <v/>
      </c>
      <c r="M23" s="91">
        <f>IF($A23="","",(($C23-$E$58-$F$58-$G$58-$H$58)/2)+(66*1)/2)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IF($A23="","",$K23)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IF($A23="","",$C23-$E$63-$F$63)</f>
        <v/>
      </c>
      <c r="X23" s="89">
        <f>IF($A23="","",$L$63*$D23)</f>
        <v/>
      </c>
      <c r="Y23" s="91">
        <f>IF($A23="","",$B23-$E$64-$F$64)</f>
        <v/>
      </c>
      <c r="Z23" s="89">
        <f>IF($A23="","",$L$64*$D23)</f>
        <v/>
      </c>
      <c r="AA23" s="91">
        <f>IF($A23="","",$S23)</f>
        <v/>
      </c>
      <c r="AB23" s="89">
        <f>IF($A23="","",$L$65*$D23)</f>
        <v/>
      </c>
      <c r="AC23" s="91">
        <f>IF($A23="","",$C23)</f>
        <v/>
      </c>
      <c r="AD23" s="89">
        <f>IF($A23="","",$L$66*$D23)</f>
        <v/>
      </c>
      <c r="AE23" s="91">
        <f>IF($A23="","",$C23-$E$67-$F$67)</f>
        <v/>
      </c>
      <c r="AF23" s="89">
        <f>IF($A23="","",$L$67*$D23)</f>
        <v/>
      </c>
      <c r="AG23" s="104">
        <f>IF($A23="","",$C23-$M23-$E$68-$F$68-$G$68)</f>
        <v/>
      </c>
      <c r="AH23" s="92">
        <f>IF($A23="","",$L$68*$D23)</f>
        <v/>
      </c>
      <c r="AI23" s="93">
        <f>IF($A23="","",$K23-56-56)</f>
        <v/>
      </c>
      <c r="AJ23" s="94">
        <f>IF($A23="","",$M23-56-56)</f>
        <v/>
      </c>
      <c r="AK23" s="95">
        <f>IF($A23="","",2*$D23)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IF($A24="","",$C24)</f>
        <v/>
      </c>
      <c r="J24" s="97">
        <f>IF($A24="","",$L$56*$D24)</f>
        <v/>
      </c>
      <c r="K24" s="96">
        <f>IF($A24="","",$B24-$E$57-$F$57-$G$57-$H$57)</f>
        <v/>
      </c>
      <c r="L24" s="97">
        <f>IF($A24="","",$L$57*$D24)</f>
        <v/>
      </c>
      <c r="M24" s="96">
        <f>IF($A24="","",(($C24-$E$58-$F$58-$G$58-$H$58)/2)+(66*1)/2)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IF($A24="","",$K24)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IF($A24="","",$C24-$E$63-$F$63)</f>
        <v/>
      </c>
      <c r="X24" s="97">
        <f>IF($A24="","",$L$63*$D24)</f>
        <v/>
      </c>
      <c r="Y24" s="96">
        <f>IF($A24="","",$B24-$E$64-$F$64)</f>
        <v/>
      </c>
      <c r="Z24" s="97">
        <f>IF($A24="","",$L$64*$D24)</f>
        <v/>
      </c>
      <c r="AA24" s="96">
        <f>IF($A24="","",$S24)</f>
        <v/>
      </c>
      <c r="AB24" s="97">
        <f>IF($A24="","",$L$65*$D24)</f>
        <v/>
      </c>
      <c r="AC24" s="96">
        <f>IF($A24="","",$C24)</f>
        <v/>
      </c>
      <c r="AD24" s="97">
        <f>IF($A24="","",$L$66*$D24)</f>
        <v/>
      </c>
      <c r="AE24" s="96">
        <f>IF($A24="","",$C24-$E$67-$F$67)</f>
        <v/>
      </c>
      <c r="AF24" s="97">
        <f>IF($A24="","",$L$67*$D24)</f>
        <v/>
      </c>
      <c r="AG24" s="108">
        <f>IF($A24="","",$C24-$M24-$E$68-$F$68-$G$68)</f>
        <v/>
      </c>
      <c r="AH24" s="98">
        <f>IF($A24="","",$L$68*$D24)</f>
        <v/>
      </c>
      <c r="AI24" s="93">
        <f>IF($A24="","",$K24-56-56)</f>
        <v/>
      </c>
      <c r="AJ24" s="94">
        <f>IF($A24="","",$M24-56-56)</f>
        <v/>
      </c>
      <c r="AK24" s="95">
        <f>IF($A24="","",2*$D24)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IF($A25="","",$C25)</f>
        <v/>
      </c>
      <c r="J25" s="89">
        <f>IF($A25="","",$L$56*$D25)</f>
        <v/>
      </c>
      <c r="K25" s="91">
        <f>IF($A25="","",$B25-$E$57-$F$57-$G$57-$H$57)</f>
        <v/>
      </c>
      <c r="L25" s="89">
        <f>IF($A25="","",$L$57*$D25)</f>
        <v/>
      </c>
      <c r="M25" s="91">
        <f>IF($A25="","",(($C25-$E$58-$F$58-$G$58-$H$58)/2)+(66*1)/2)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IF($A25="","",$K25)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IF($A25="","",$C25-$E$63-$F$63)</f>
        <v/>
      </c>
      <c r="X25" s="89">
        <f>IF($A25="","",$L$63*$D25)</f>
        <v/>
      </c>
      <c r="Y25" s="91">
        <f>IF($A25="","",$B25-$E$64-$F$64)</f>
        <v/>
      </c>
      <c r="Z25" s="89">
        <f>IF($A25="","",$L$64*$D25)</f>
        <v/>
      </c>
      <c r="AA25" s="91">
        <f>IF($A25="","",$S25)</f>
        <v/>
      </c>
      <c r="AB25" s="89">
        <f>IF($A25="","",$L$65*$D25)</f>
        <v/>
      </c>
      <c r="AC25" s="91">
        <f>IF($A25="","",$C25)</f>
        <v/>
      </c>
      <c r="AD25" s="89">
        <f>IF($A25="","",$L$66*$D25)</f>
        <v/>
      </c>
      <c r="AE25" s="91">
        <f>IF($A25="","",$C25-$E$67-$F$67)</f>
        <v/>
      </c>
      <c r="AF25" s="89">
        <f>IF($A25="","",$L$67*$D25)</f>
        <v/>
      </c>
      <c r="AG25" s="104">
        <f>IF($A25="","",$C25-$M25-$E$68-$F$68-$G$68)</f>
        <v/>
      </c>
      <c r="AH25" s="92">
        <f>IF($A25="","",$L$68*$D25)</f>
        <v/>
      </c>
      <c r="AI25" s="93">
        <f>IF($A25="","",$K25-56-56)</f>
        <v/>
      </c>
      <c r="AJ25" s="94">
        <f>IF($A25="","",$M25-56-56)</f>
        <v/>
      </c>
      <c r="AK25" s="95">
        <f>IF($A25="","",2*$D25)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IF($A26="","",$C26)</f>
        <v/>
      </c>
      <c r="J26" s="97">
        <f>IF($A26="","",$L$56*$D26)</f>
        <v/>
      </c>
      <c r="K26" s="96">
        <f>IF($A26="","",$B26-$E$57-$F$57-$G$57-$H$57)</f>
        <v/>
      </c>
      <c r="L26" s="97">
        <f>IF($A26="","",$L$57*$D26)</f>
        <v/>
      </c>
      <c r="M26" s="96">
        <f>IF($A26="","",(($C26-$E$58-$F$58-$G$58-$H$58)/2)+(66*1)/2)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IF($A26="","",$K26)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IF($A26="","",$C26-$E$63-$F$63)</f>
        <v/>
      </c>
      <c r="X26" s="97">
        <f>IF($A26="","",$L$63*$D26)</f>
        <v/>
      </c>
      <c r="Y26" s="96">
        <f>IF($A26="","",$B26-$E$64-$F$64)</f>
        <v/>
      </c>
      <c r="Z26" s="97">
        <f>IF($A26="","",$L$64*$D26)</f>
        <v/>
      </c>
      <c r="AA26" s="96">
        <f>IF($A26="","",$S26)</f>
        <v/>
      </c>
      <c r="AB26" s="97">
        <f>IF($A26="","",$L$65*$D26)</f>
        <v/>
      </c>
      <c r="AC26" s="96">
        <f>IF($A26="","",$C26)</f>
        <v/>
      </c>
      <c r="AD26" s="97">
        <f>IF($A26="","",$L$66*$D26)</f>
        <v/>
      </c>
      <c r="AE26" s="96">
        <f>IF($A26="","",$C26-$E$67-$F$67)</f>
        <v/>
      </c>
      <c r="AF26" s="97">
        <f>IF($A26="","",$L$67*$D26)</f>
        <v/>
      </c>
      <c r="AG26" s="108">
        <f>IF($A26="","",$C26-$M26-$E$68-$F$68-$G$68)</f>
        <v/>
      </c>
      <c r="AH26" s="98">
        <f>IF($A26="","",$L$68*$D26)</f>
        <v/>
      </c>
      <c r="AI26" s="93">
        <f>IF($A26="","",$K26-56-56)</f>
        <v/>
      </c>
      <c r="AJ26" s="94">
        <f>IF($A26="","",$M26-56-56)</f>
        <v/>
      </c>
      <c r="AK26" s="95">
        <f>IF($A26="","",2*$D26)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IF($A27="","",$C27)</f>
        <v/>
      </c>
      <c r="J27" s="89">
        <f>IF($A27="","",$L$56*$D27)</f>
        <v/>
      </c>
      <c r="K27" s="91">
        <f>IF($A27="","",$B27-$E$57-$F$57-$G$57-$H$57)</f>
        <v/>
      </c>
      <c r="L27" s="89">
        <f>IF($A27="","",$L$57*$D27)</f>
        <v/>
      </c>
      <c r="M27" s="91">
        <f>IF($A27="","",(($C27-$E$58-$F$58-$G$58-$H$58)/2)+(66*1)/2)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IF($A27="","",$K27)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IF($A27="","",$C27-$E$63-$F$63)</f>
        <v/>
      </c>
      <c r="X27" s="89">
        <f>IF($A27="","",$L$63*$D27)</f>
        <v/>
      </c>
      <c r="Y27" s="91">
        <f>IF($A27="","",$B27-$E$64-$F$64)</f>
        <v/>
      </c>
      <c r="Z27" s="89">
        <f>IF($A27="","",$L$64*$D27)</f>
        <v/>
      </c>
      <c r="AA27" s="91">
        <f>IF($A27="","",$S27)</f>
        <v/>
      </c>
      <c r="AB27" s="89">
        <f>IF($A27="","",$L$65*$D27)</f>
        <v/>
      </c>
      <c r="AC27" s="91">
        <f>IF($A27="","",$C27)</f>
        <v/>
      </c>
      <c r="AD27" s="89">
        <f>IF($A27="","",$L$66*$D27)</f>
        <v/>
      </c>
      <c r="AE27" s="91">
        <f>IF($A27="","",$C27-$E$67-$F$67)</f>
        <v/>
      </c>
      <c r="AF27" s="89">
        <f>IF($A27="","",$L$67*$D27)</f>
        <v/>
      </c>
      <c r="AG27" s="104">
        <f>IF($A27="","",$C27-$M27-$E$68-$F$68-$G$68)</f>
        <v/>
      </c>
      <c r="AH27" s="92">
        <f>IF($A27="","",$L$68*$D27)</f>
        <v/>
      </c>
      <c r="AI27" s="93">
        <f>IF($A27="","",$K27-56-56)</f>
        <v/>
      </c>
      <c r="AJ27" s="94">
        <f>IF($A27="","",$M27-56-56)</f>
        <v/>
      </c>
      <c r="AK27" s="95">
        <f>IF($A27="","",2*$D27)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IF($A28="","",$C28)</f>
        <v/>
      </c>
      <c r="J28" s="97">
        <f>IF($A28="","",$L$56*$D28)</f>
        <v/>
      </c>
      <c r="K28" s="96">
        <f>IF($A28="","",$B28-$E$57-$F$57-$G$57-$H$57)</f>
        <v/>
      </c>
      <c r="L28" s="97">
        <f>IF($A28="","",$L$57*$D28)</f>
        <v/>
      </c>
      <c r="M28" s="96">
        <f>IF($A28="","",(($C28-$E$58-$F$58-$G$58-$H$58)/2)+(66*1)/2)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IF($A28="","",$K28)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IF($A28="","",$C28-$E$63-$F$63)</f>
        <v/>
      </c>
      <c r="X28" s="97">
        <f>IF($A28="","",$L$63*$D28)</f>
        <v/>
      </c>
      <c r="Y28" s="96">
        <f>IF($A28="","",$B28-$E$64-$F$64)</f>
        <v/>
      </c>
      <c r="Z28" s="97">
        <f>IF($A28="","",$L$64*$D28)</f>
        <v/>
      </c>
      <c r="AA28" s="96">
        <f>IF($A28="","",$S28)</f>
        <v/>
      </c>
      <c r="AB28" s="97">
        <f>IF($A28="","",$L$65*$D28)</f>
        <v/>
      </c>
      <c r="AC28" s="96">
        <f>IF($A28="","",$C28)</f>
        <v/>
      </c>
      <c r="AD28" s="97">
        <f>IF($A28="","",$L$66*$D28)</f>
        <v/>
      </c>
      <c r="AE28" s="96">
        <f>IF($A28="","",$C28-$E$67-$F$67)</f>
        <v/>
      </c>
      <c r="AF28" s="97">
        <f>IF($A28="","",$L$67*$D28)</f>
        <v/>
      </c>
      <c r="AG28" s="108">
        <f>IF($A28="","",$C28-$M28-$E$68-$F$68-$G$68)</f>
        <v/>
      </c>
      <c r="AH28" s="98">
        <f>IF($A28="","",$L$68*$D28)</f>
        <v/>
      </c>
      <c r="AI28" s="93">
        <f>IF($A28="","",$K28-56-56)</f>
        <v/>
      </c>
      <c r="AJ28" s="94">
        <f>IF($A28="","",$M28-56-56)</f>
        <v/>
      </c>
      <c r="AK28" s="95">
        <f>IF($A28="","",2*$D28)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110">
        <f>E$7</f>
        <v/>
      </c>
      <c r="F30" s="111">
        <f>(ROUNDUP(F49/6400,0))</f>
        <v/>
      </c>
      <c r="G30" s="111">
        <f>G$7</f>
        <v/>
      </c>
      <c r="H30" s="111">
        <f>(ROUNDUP(H49/6400,0))</f>
        <v/>
      </c>
      <c r="I30" s="111">
        <f>I$7</f>
        <v/>
      </c>
      <c r="J30" s="111">
        <f>(ROUNDUP(J49/6400,0))</f>
        <v/>
      </c>
      <c r="K30" s="111">
        <f>K$7</f>
        <v/>
      </c>
      <c r="L30" s="20" t="n"/>
      <c r="M30" s="21" t="n"/>
      <c r="N30" s="111">
        <f>(ROUNDUP(SUM(L49:N49)/6400,0))</f>
        <v/>
      </c>
      <c r="O30" s="111">
        <f>O$7</f>
        <v/>
      </c>
      <c r="P30" s="20" t="n"/>
      <c r="Q30" s="21" t="n"/>
      <c r="R30" s="111">
        <f>(ROUNDUP(SUM(P49:R49)/6400,0))</f>
        <v/>
      </c>
      <c r="S30" s="111">
        <f>S$7</f>
        <v/>
      </c>
      <c r="T30" s="111">
        <f>(ROUNDUP(T49/6400,0))</f>
        <v/>
      </c>
      <c r="U30" s="111">
        <f>U$7</f>
        <v/>
      </c>
      <c r="V30" s="111">
        <f>(ROUNDUP(V49/6400,0))</f>
        <v/>
      </c>
      <c r="W30" s="111">
        <f>W$7</f>
        <v/>
      </c>
      <c r="X30" s="111">
        <f>(ROUNDUP(X49/5000,0))</f>
        <v/>
      </c>
      <c r="Y30" s="111">
        <f>Y$7</f>
        <v/>
      </c>
      <c r="Z30" s="20" t="n"/>
      <c r="AA30" s="20" t="n"/>
      <c r="AB30" s="20" t="n"/>
      <c r="AC30" s="21" t="n"/>
      <c r="AD30" s="111">
        <f>(ROUNDUP(SUM(Z49:AD49)/6400,0))</f>
        <v/>
      </c>
      <c r="AE30" s="111">
        <f>AE$7</f>
        <v/>
      </c>
      <c r="AF30" s="111">
        <f>(ROUNDUP(AF49/5000,0))</f>
        <v/>
      </c>
      <c r="AG30" s="111">
        <f>AG$7</f>
        <v/>
      </c>
      <c r="AH30" s="111">
        <f>(ROUNDUP(AH49/5000,0))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F7981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((กว้าง-21-1.2-3-21)/2)+(66x1/2)</t>
        </is>
      </c>
      <c r="E58" s="83" t="n">
        <v>21</v>
      </c>
      <c r="F58" s="83" t="n">
        <v>1.2</v>
      </c>
      <c r="G58" s="83" t="n">
        <v>3</v>
      </c>
      <c r="H58" s="83" t="n">
        <v>21</v>
      </c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เสา-66-66</t>
        </is>
      </c>
      <c r="E59" s="83" t="n">
        <v>66</v>
      </c>
      <c r="F59" s="83" t="n">
        <v>66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ขวาง-51-51</t>
        </is>
      </c>
      <c r="E60" s="83" t="n">
        <v>51</v>
      </c>
      <c r="F60" s="83" t="n">
        <v>51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F7982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44" customHeight="1">
      <c r="A68" s="78" t="n">
        <v>15</v>
      </c>
      <c r="B68" s="79" t="inlineStr">
        <is>
          <t>ตบธรณี</t>
        </is>
      </c>
      <c r="C68" s="80" t="inlineStr">
        <is>
          <t>F7991</t>
        </is>
      </c>
      <c r="D68" s="81" t="inlineStr">
        <is>
          <t>กว้าง-ขวาง-21-21-1.2</t>
        </is>
      </c>
      <c r="E68" s="83" t="n">
        <v>21</v>
      </c>
      <c r="F68" s="83" t="n">
        <v>21</v>
      </c>
      <c r="G68" s="83" t="n">
        <v>1.2</v>
      </c>
      <c r="H68" s="82" t="n"/>
      <c r="I68" s="82" t="n"/>
      <c r="J68" s="82" t="n"/>
      <c r="K68" s="82" t="n"/>
      <c r="L68" s="83" t="n">
        <v>2</v>
      </c>
      <c r="M68" s="82" t="n"/>
    </row>
    <row r="70">
      <c r="A70" s="123" t="inlineStr">
        <is>
          <t>⑥ อุปกรณ์ ต่อ 1 บาน — คูณจำนวนบานที่ผลิต</t>
        </is>
      </c>
      <c r="B70" s="131" t="n"/>
      <c r="C70" s="131" t="n"/>
      <c r="D70" s="131" t="n"/>
      <c r="E70" s="132" t="n"/>
      <c r="F70" s="124" t="inlineStr">
        <is>
          <t>ต่อบาน</t>
        </is>
      </c>
    </row>
    <row r="71">
      <c r="A71" s="125" t="inlineStr">
        <is>
          <t>1. ล้อ 27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2. มือจับ Align</t>
        </is>
      </c>
      <c r="B72" s="131" t="n"/>
      <c r="C72" s="131" t="n"/>
      <c r="D72" s="131" t="n"/>
      <c r="E72" s="132" t="n"/>
      <c r="F72" s="126" t="n">
        <v>2</v>
      </c>
    </row>
    <row r="73">
      <c r="A73" s="125" t="inlineStr">
        <is>
          <t>3. ชุดล็อค</t>
        </is>
      </c>
      <c r="B73" s="131" t="n"/>
      <c r="C73" s="131" t="n"/>
      <c r="D73" s="131" t="n"/>
      <c r="E73" s="132" t="n"/>
      <c r="F73" s="126" t="n">
        <v>1</v>
      </c>
    </row>
    <row r="74">
      <c r="A74" s="125" t="inlineStr">
        <is>
          <t>4. น็อตประกอบ</t>
        </is>
      </c>
      <c r="B74" s="131" t="n"/>
      <c r="C74" s="131" t="n"/>
      <c r="D74" s="131" t="n"/>
      <c r="E74" s="132" t="n"/>
      <c r="F74" s="126" t="n">
        <v>4</v>
      </c>
    </row>
    <row r="75">
      <c r="A75" s="127" t="inlineStr">
        <is>
          <t>+ สักหลาด/ยาง/ซิลิโคน = ตามขนาด (ดูชีทคิดทุน)</t>
        </is>
      </c>
      <c r="B75" s="131" t="n"/>
      <c r="C75" s="131" t="n"/>
      <c r="D75" s="131" t="n"/>
      <c r="E75" s="131" t="n"/>
      <c r="F75" s="132" t="n"/>
    </row>
  </sheetData>
  <mergeCells count="71">
    <mergeCell ref="U9:V9"/>
    <mergeCell ref="I6:J6"/>
    <mergeCell ref="A73:E73"/>
    <mergeCell ref="AE7:AF7"/>
    <mergeCell ref="A75:F75"/>
    <mergeCell ref="O6:P6"/>
    <mergeCell ref="U6:V6"/>
    <mergeCell ref="K9:L9"/>
    <mergeCell ref="W6:X6"/>
    <mergeCell ref="M9:N9"/>
    <mergeCell ref="K7:N7"/>
    <mergeCell ref="O9:P9"/>
    <mergeCell ref="G8:H8"/>
    <mergeCell ref="Y9:Z9"/>
    <mergeCell ref="E8:F8"/>
    <mergeCell ref="Q8:R8"/>
    <mergeCell ref="AA9:AB9"/>
    <mergeCell ref="AG9:AH9"/>
    <mergeCell ref="Y7:AD7"/>
    <mergeCell ref="S8:T8"/>
    <mergeCell ref="A70:E70"/>
    <mergeCell ref="Y30:AC30"/>
    <mergeCell ref="G7:H7"/>
    <mergeCell ref="AA6:AB6"/>
    <mergeCell ref="AG6:AH6"/>
    <mergeCell ref="I7:J7"/>
    <mergeCell ref="O7:R7"/>
    <mergeCell ref="S7:T7"/>
    <mergeCell ref="A30:D30"/>
    <mergeCell ref="G6:H6"/>
    <mergeCell ref="AC8:AD8"/>
    <mergeCell ref="E9:F9"/>
    <mergeCell ref="A74:E74"/>
    <mergeCell ref="AE8:AF8"/>
    <mergeCell ref="U7:V7"/>
    <mergeCell ref="W7:X7"/>
    <mergeCell ref="E6:F6"/>
    <mergeCell ref="A8:A9"/>
    <mergeCell ref="A6:D6"/>
    <mergeCell ref="M6:N6"/>
    <mergeCell ref="AG7:AH7"/>
    <mergeCell ref="K8:L8"/>
    <mergeCell ref="Q6:R6"/>
    <mergeCell ref="A71:E71"/>
    <mergeCell ref="S6:T6"/>
    <mergeCell ref="Y6:Z6"/>
    <mergeCell ref="A7:D7"/>
    <mergeCell ref="D8:D9"/>
    <mergeCell ref="Q9:R9"/>
    <mergeCell ref="I8:J8"/>
    <mergeCell ref="S9:T9"/>
    <mergeCell ref="K30:M30"/>
    <mergeCell ref="W9:X9"/>
    <mergeCell ref="AC9:AD9"/>
    <mergeCell ref="M8:N8"/>
    <mergeCell ref="U8:V8"/>
    <mergeCell ref="AE9:AF9"/>
    <mergeCell ref="O8:P8"/>
    <mergeCell ref="W8:X8"/>
    <mergeCell ref="B8:C9"/>
    <mergeCell ref="AC6:AD6"/>
    <mergeCell ref="E7:F7"/>
    <mergeCell ref="A72:E72"/>
    <mergeCell ref="AE6:AF6"/>
    <mergeCell ref="O30:Q30"/>
    <mergeCell ref="Y8:Z8"/>
    <mergeCell ref="K6:L6"/>
    <mergeCell ref="G9:H9"/>
    <mergeCell ref="AA8:AB8"/>
    <mergeCell ref="AG8:AH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74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</cols>
  <sheetData>
    <row r="1" ht="40.15" customHeight="1">
      <c r="A1" s="1" t="inlineStr">
        <is>
          <t>JR ALUMINIUM &amp; GLASS  —  ใบรายการตัด · FUJI เลื่อน3ราง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</row>
    <row r="4" ht="40.15" customHeight="1">
      <c r="A4" s="6" t="n"/>
      <c r="B4" s="6" t="n"/>
      <c r="C4" s="6" t="n"/>
      <c r="D4" s="6" t="n"/>
      <c r="E4" s="8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((กว้าง-21-3-2.4-3-21)/3)+(78x2/3)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8" t="n"/>
      <c r="AH6" s="18" t="n"/>
      <c r="AI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4" t="n"/>
      <c r="AH7" s="25" t="inlineStr">
        <is>
          <t>ขนาดกระจก</t>
        </is>
      </c>
      <c r="AI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5" t="inlineStr">
        <is>
          <t>SH-68-68</t>
        </is>
      </c>
      <c r="AH9" s="46" t="inlineStr">
        <is>
          <t>SW-68-68</t>
        </is>
      </c>
      <c r="AI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</row>
    <row r="11" ht="40.15" customHeight="1">
      <c r="A11" s="99" t="inlineStr">
        <is>
          <t>D3</t>
        </is>
      </c>
      <c r="B11" s="88" t="n">
        <v>3170</v>
      </c>
      <c r="C11" s="89" t="n">
        <v>3540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IF($A11="","",$C11)</f>
        <v/>
      </c>
      <c r="J11" s="89">
        <f>IF($A11="","",$L$56*$D11)</f>
        <v/>
      </c>
      <c r="K11" s="91">
        <f>IF($A11="","",$B11-$E$57-$F$57-$G$57-$H$57)</f>
        <v/>
      </c>
      <c r="L11" s="89">
        <f>IF($A11="","",$L$57*$D11)</f>
        <v/>
      </c>
      <c r="M11" s="91">
        <f>IF($A11="","",(($C11-$E$58-$F$58-$G$58-$H$58-$I$58)/3)+(78*2)/3)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IF($A11="","",$K11)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IF($A11="","",$C11-$E$63-$F$63)</f>
        <v/>
      </c>
      <c r="X11" s="89">
        <f>IF($A11="","",$L$63*$D11)</f>
        <v/>
      </c>
      <c r="Y11" s="91">
        <f>IF($A11="","",$B11-$E$64-$F$64)</f>
        <v/>
      </c>
      <c r="Z11" s="89">
        <f>IF($A11="","",$L$64*$D11)</f>
        <v/>
      </c>
      <c r="AA11" s="91">
        <f>IF($A11="","",$S11)</f>
        <v/>
      </c>
      <c r="AB11" s="89">
        <f>IF($A11="","",$L$65*$D11)</f>
        <v/>
      </c>
      <c r="AC11" s="91">
        <f>IF($A11="","",$C11)</f>
        <v/>
      </c>
      <c r="AD11" s="89">
        <f>IF($A11="","",$L$66*$D11)</f>
        <v/>
      </c>
      <c r="AE11" s="91">
        <f>IF($A11="","",$C11-$E$67-$F$67)</f>
        <v/>
      </c>
      <c r="AF11" s="89">
        <f>IF($A11="","",$L$67*$D11)</f>
        <v/>
      </c>
      <c r="AG11" s="93">
        <f>IF($A11="","",$K11-68-68)</f>
        <v/>
      </c>
      <c r="AH11" s="94">
        <f>IF($A11="","",$M11-68-68)</f>
        <v/>
      </c>
      <c r="AI11" s="95">
        <f>IF($A11="","",3*$D11)</f>
        <v/>
      </c>
    </row>
    <row r="12" ht="40.15" customHeight="1">
      <c r="A12" s="99" t="inlineStr">
        <is>
          <t>D4</t>
        </is>
      </c>
      <c r="B12" s="88" t="n">
        <v>2730</v>
      </c>
      <c r="C12" s="89" t="n">
        <v>3555</v>
      </c>
      <c r="D12" s="90" t="n">
        <v>1</v>
      </c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IF($A12="","",$C12)</f>
        <v/>
      </c>
      <c r="J12" s="97">
        <f>IF($A12="","",$L$56*$D12)</f>
        <v/>
      </c>
      <c r="K12" s="96">
        <f>IF($A12="","",$B12-$E$57-$F$57-$G$57-$H$57)</f>
        <v/>
      </c>
      <c r="L12" s="97">
        <f>IF($A12="","",$L$57*$D12)</f>
        <v/>
      </c>
      <c r="M12" s="96">
        <f>IF($A12="","",(($C12-$E$58-$F$58-$G$58-$H$58-$I$58)/3)+(78*2)/3)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IF($A12="","",$K12)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IF($A12="","",$C12-$E$63-$F$63)</f>
        <v/>
      </c>
      <c r="X12" s="97">
        <f>IF($A12="","",$L$63*$D12)</f>
        <v/>
      </c>
      <c r="Y12" s="96">
        <f>IF($A12="","",$B12-$E$64-$F$64)</f>
        <v/>
      </c>
      <c r="Z12" s="97">
        <f>IF($A12="","",$L$64*$D12)</f>
        <v/>
      </c>
      <c r="AA12" s="96">
        <f>IF($A12="","",$S12)</f>
        <v/>
      </c>
      <c r="AB12" s="97">
        <f>IF($A12="","",$L$65*$D12)</f>
        <v/>
      </c>
      <c r="AC12" s="96">
        <f>IF($A12="","",$C12)</f>
        <v/>
      </c>
      <c r="AD12" s="97">
        <f>IF($A12="","",$L$66*$D12)</f>
        <v/>
      </c>
      <c r="AE12" s="96">
        <f>IF($A12="","",$C12-$E$67-$F$67)</f>
        <v/>
      </c>
      <c r="AF12" s="97">
        <f>IF($A12="","",$L$67*$D12)</f>
        <v/>
      </c>
      <c r="AG12" s="93">
        <f>IF($A12="","",$K12-68-68)</f>
        <v/>
      </c>
      <c r="AH12" s="94">
        <f>IF($A12="","",$M12-68-68)</f>
        <v/>
      </c>
      <c r="AI12" s="95">
        <f>IF($A12="","",3*$D12)</f>
        <v/>
      </c>
    </row>
    <row r="13" ht="40.15" customHeight="1">
      <c r="A13" s="99" t="inlineStr">
        <is>
          <t>D5</t>
        </is>
      </c>
      <c r="B13" s="88" t="n">
        <v>2720</v>
      </c>
      <c r="C13" s="89" t="n">
        <v>3415</v>
      </c>
      <c r="D13" s="90" t="n">
        <v>1</v>
      </c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IF($A13="","",$C13)</f>
        <v/>
      </c>
      <c r="J13" s="89">
        <f>IF($A13="","",$L$56*$D13)</f>
        <v/>
      </c>
      <c r="K13" s="91">
        <f>IF($A13="","",$B13-$E$57-$F$57-$G$57-$H$57)</f>
        <v/>
      </c>
      <c r="L13" s="89">
        <f>IF($A13="","",$L$57*$D13)</f>
        <v/>
      </c>
      <c r="M13" s="91">
        <f>IF($A13="","",(($C13-$E$58-$F$58-$G$58-$H$58-$I$58)/3)+(78*2)/3)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IF($A13="","",$K13)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IF($A13="","",$C13-$E$63-$F$63)</f>
        <v/>
      </c>
      <c r="X13" s="89">
        <f>IF($A13="","",$L$63*$D13)</f>
        <v/>
      </c>
      <c r="Y13" s="91">
        <f>IF($A13="","",$B13-$E$64-$F$64)</f>
        <v/>
      </c>
      <c r="Z13" s="89">
        <f>IF($A13="","",$L$64*$D13)</f>
        <v/>
      </c>
      <c r="AA13" s="91">
        <f>IF($A13="","",$S13)</f>
        <v/>
      </c>
      <c r="AB13" s="89">
        <f>IF($A13="","",$L$65*$D13)</f>
        <v/>
      </c>
      <c r="AC13" s="91">
        <f>IF($A13="","",$C13)</f>
        <v/>
      </c>
      <c r="AD13" s="89">
        <f>IF($A13="","",$L$66*$D13)</f>
        <v/>
      </c>
      <c r="AE13" s="91">
        <f>IF($A13="","",$C13-$E$67-$F$67)</f>
        <v/>
      </c>
      <c r="AF13" s="89">
        <f>IF($A13="","",$L$67*$D13)</f>
        <v/>
      </c>
      <c r="AG13" s="93">
        <f>IF($A13="","",$K13-68-68)</f>
        <v/>
      </c>
      <c r="AH13" s="94">
        <f>IF($A13="","",$M13-68-68)</f>
        <v/>
      </c>
      <c r="AI13" s="95">
        <f>IF($A13="","",3*$D13)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IF($A14="","",$C14)</f>
        <v/>
      </c>
      <c r="J14" s="97">
        <f>IF($A14="","",$L$56*$D14)</f>
        <v/>
      </c>
      <c r="K14" s="96">
        <f>IF($A14="","",$B14-$E$57-$F$57-$G$57-$H$57)</f>
        <v/>
      </c>
      <c r="L14" s="97">
        <f>IF($A14="","",$L$57*$D14)</f>
        <v/>
      </c>
      <c r="M14" s="96">
        <f>IF($A14="","",(($C14-$E$58-$F$58-$G$58-$H$58-$I$58)/3)+(78*2)/3)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IF($A14="","",$K14)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IF($A14="","",$C14-$E$63-$F$63)</f>
        <v/>
      </c>
      <c r="X14" s="97">
        <f>IF($A14="","",$L$63*$D14)</f>
        <v/>
      </c>
      <c r="Y14" s="96">
        <f>IF($A14="","",$B14-$E$64-$F$64)</f>
        <v/>
      </c>
      <c r="Z14" s="97">
        <f>IF($A14="","",$L$64*$D14)</f>
        <v/>
      </c>
      <c r="AA14" s="96">
        <f>IF($A14="","",$S14)</f>
        <v/>
      </c>
      <c r="AB14" s="97">
        <f>IF($A14="","",$L$65*$D14)</f>
        <v/>
      </c>
      <c r="AC14" s="96">
        <f>IF($A14="","",$C14)</f>
        <v/>
      </c>
      <c r="AD14" s="97">
        <f>IF($A14="","",$L$66*$D14)</f>
        <v/>
      </c>
      <c r="AE14" s="96">
        <f>IF($A14="","",$C14-$E$67-$F$67)</f>
        <v/>
      </c>
      <c r="AF14" s="97">
        <f>IF($A14="","",$L$67*$D14)</f>
        <v/>
      </c>
      <c r="AG14" s="93">
        <f>IF($A14="","",$K14-68-68)</f>
        <v/>
      </c>
      <c r="AH14" s="94">
        <f>IF($A14="","",$M14-68-68)</f>
        <v/>
      </c>
      <c r="AI14" s="95">
        <f>IF($A14="","",3*$D14)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IF($A15="","",$C15)</f>
        <v/>
      </c>
      <c r="J15" s="89">
        <f>IF($A15="","",$L$56*$D15)</f>
        <v/>
      </c>
      <c r="K15" s="91">
        <f>IF($A15="","",$B15-$E$57-$F$57-$G$57-$H$57)</f>
        <v/>
      </c>
      <c r="L15" s="89">
        <f>IF($A15="","",$L$57*$D15)</f>
        <v/>
      </c>
      <c r="M15" s="91">
        <f>IF($A15="","",(($C15-$E$58-$F$58-$G$58-$H$58-$I$58)/3)+(78*2)/3)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IF($A15="","",$K15)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IF($A15="","",$C15-$E$63-$F$63)</f>
        <v/>
      </c>
      <c r="X15" s="89">
        <f>IF($A15="","",$L$63*$D15)</f>
        <v/>
      </c>
      <c r="Y15" s="91">
        <f>IF($A15="","",$B15-$E$64-$F$64)</f>
        <v/>
      </c>
      <c r="Z15" s="89">
        <f>IF($A15="","",$L$64*$D15)</f>
        <v/>
      </c>
      <c r="AA15" s="91">
        <f>IF($A15="","",$S15)</f>
        <v/>
      </c>
      <c r="AB15" s="89">
        <f>IF($A15="","",$L$65*$D15)</f>
        <v/>
      </c>
      <c r="AC15" s="91">
        <f>IF($A15="","",$C15)</f>
        <v/>
      </c>
      <c r="AD15" s="89">
        <f>IF($A15="","",$L$66*$D15)</f>
        <v/>
      </c>
      <c r="AE15" s="91">
        <f>IF($A15="","",$C15-$E$67-$F$67)</f>
        <v/>
      </c>
      <c r="AF15" s="89">
        <f>IF($A15="","",$L$67*$D15)</f>
        <v/>
      </c>
      <c r="AG15" s="93">
        <f>IF($A15="","",$K15-68-68)</f>
        <v/>
      </c>
      <c r="AH15" s="94">
        <f>IF($A15="","",$M15-68-68)</f>
        <v/>
      </c>
      <c r="AI15" s="95">
        <f>IF($A15="","",3*$D15)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IF($A16="","",$C16)</f>
        <v/>
      </c>
      <c r="J16" s="97">
        <f>IF($A16="","",$L$56*$D16)</f>
        <v/>
      </c>
      <c r="K16" s="96">
        <f>IF($A16="","",$B16-$E$57-$F$57-$G$57-$H$57)</f>
        <v/>
      </c>
      <c r="L16" s="97">
        <f>IF($A16="","",$L$57*$D16)</f>
        <v/>
      </c>
      <c r="M16" s="96">
        <f>IF($A16="","",(($C16-$E$58-$F$58-$G$58-$H$58-$I$58)/3)+(78*2)/3)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IF($A16="","",$K16)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IF($A16="","",$C16-$E$63-$F$63)</f>
        <v/>
      </c>
      <c r="X16" s="97">
        <f>IF($A16="","",$L$63*$D16)</f>
        <v/>
      </c>
      <c r="Y16" s="96">
        <f>IF($A16="","",$B16-$E$64-$F$64)</f>
        <v/>
      </c>
      <c r="Z16" s="97">
        <f>IF($A16="","",$L$64*$D16)</f>
        <v/>
      </c>
      <c r="AA16" s="96">
        <f>IF($A16="","",$S16)</f>
        <v/>
      </c>
      <c r="AB16" s="97">
        <f>IF($A16="","",$L$65*$D16)</f>
        <v/>
      </c>
      <c r="AC16" s="96">
        <f>IF($A16="","",$C16)</f>
        <v/>
      </c>
      <c r="AD16" s="97">
        <f>IF($A16="","",$L$66*$D16)</f>
        <v/>
      </c>
      <c r="AE16" s="96">
        <f>IF($A16="","",$C16-$E$67-$F$67)</f>
        <v/>
      </c>
      <c r="AF16" s="97">
        <f>IF($A16="","",$L$67*$D16)</f>
        <v/>
      </c>
      <c r="AG16" s="93">
        <f>IF($A16="","",$K16-68-68)</f>
        <v/>
      </c>
      <c r="AH16" s="94">
        <f>IF($A16="","",$M16-68-68)</f>
        <v/>
      </c>
      <c r="AI16" s="95">
        <f>IF($A16="","",3*$D16)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IF($A17="","",$C17)</f>
        <v/>
      </c>
      <c r="J17" s="89">
        <f>IF($A17="","",$L$56*$D17)</f>
        <v/>
      </c>
      <c r="K17" s="91">
        <f>IF($A17="","",$B17-$E$57-$F$57-$G$57-$H$57)</f>
        <v/>
      </c>
      <c r="L17" s="89">
        <f>IF($A17="","",$L$57*$D17)</f>
        <v/>
      </c>
      <c r="M17" s="91">
        <f>IF($A17="","",(($C17-$E$58-$F$58-$G$58-$H$58-$I$58)/3)+(78*2)/3)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IF($A17="","",$K17)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IF($A17="","",$C17-$E$63-$F$63)</f>
        <v/>
      </c>
      <c r="X17" s="89">
        <f>IF($A17="","",$L$63*$D17)</f>
        <v/>
      </c>
      <c r="Y17" s="91">
        <f>IF($A17="","",$B17-$E$64-$F$64)</f>
        <v/>
      </c>
      <c r="Z17" s="89">
        <f>IF($A17="","",$L$64*$D17)</f>
        <v/>
      </c>
      <c r="AA17" s="91">
        <f>IF($A17="","",$S17)</f>
        <v/>
      </c>
      <c r="AB17" s="89">
        <f>IF($A17="","",$L$65*$D17)</f>
        <v/>
      </c>
      <c r="AC17" s="91">
        <f>IF($A17="","",$C17)</f>
        <v/>
      </c>
      <c r="AD17" s="89">
        <f>IF($A17="","",$L$66*$D17)</f>
        <v/>
      </c>
      <c r="AE17" s="91">
        <f>IF($A17="","",$C17-$E$67-$F$67)</f>
        <v/>
      </c>
      <c r="AF17" s="89">
        <f>IF($A17="","",$L$67*$D17)</f>
        <v/>
      </c>
      <c r="AG17" s="93">
        <f>IF($A17="","",$K17-68-68)</f>
        <v/>
      </c>
      <c r="AH17" s="94">
        <f>IF($A17="","",$M17-68-68)</f>
        <v/>
      </c>
      <c r="AI17" s="95">
        <f>IF($A17="","",3*$D17)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IF($A18="","",$C18)</f>
        <v/>
      </c>
      <c r="J18" s="97">
        <f>IF($A18="","",$L$56*$D18)</f>
        <v/>
      </c>
      <c r="K18" s="96">
        <f>IF($A18="","",$B18-$E$57-$F$57-$G$57-$H$57)</f>
        <v/>
      </c>
      <c r="L18" s="97">
        <f>IF($A18="","",$L$57*$D18)</f>
        <v/>
      </c>
      <c r="M18" s="96">
        <f>IF($A18="","",(($C18-$E$58-$F$58-$G$58-$H$58-$I$58)/3)+(78*2)/3)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IF($A18="","",$K18)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IF($A18="","",$C18-$E$63-$F$63)</f>
        <v/>
      </c>
      <c r="X18" s="97">
        <f>IF($A18="","",$L$63*$D18)</f>
        <v/>
      </c>
      <c r="Y18" s="96">
        <f>IF($A18="","",$B18-$E$64-$F$64)</f>
        <v/>
      </c>
      <c r="Z18" s="97">
        <f>IF($A18="","",$L$64*$D18)</f>
        <v/>
      </c>
      <c r="AA18" s="96">
        <f>IF($A18="","",$S18)</f>
        <v/>
      </c>
      <c r="AB18" s="97">
        <f>IF($A18="","",$L$65*$D18)</f>
        <v/>
      </c>
      <c r="AC18" s="96">
        <f>IF($A18="","",$C18)</f>
        <v/>
      </c>
      <c r="AD18" s="97">
        <f>IF($A18="","",$L$66*$D18)</f>
        <v/>
      </c>
      <c r="AE18" s="96">
        <f>IF($A18="","",$C18-$E$67-$F$67)</f>
        <v/>
      </c>
      <c r="AF18" s="97">
        <f>IF($A18="","",$L$67*$D18)</f>
        <v/>
      </c>
      <c r="AG18" s="93">
        <f>IF($A18="","",$K18-68-68)</f>
        <v/>
      </c>
      <c r="AH18" s="94">
        <f>IF($A18="","",$M18-68-68)</f>
        <v/>
      </c>
      <c r="AI18" s="95">
        <f>IF($A18="","",3*$D18)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IF($A19="","",$C19)</f>
        <v/>
      </c>
      <c r="J19" s="89">
        <f>IF($A19="","",$L$56*$D19)</f>
        <v/>
      </c>
      <c r="K19" s="91">
        <f>IF($A19="","",$B19-$E$57-$F$57-$G$57-$H$57)</f>
        <v/>
      </c>
      <c r="L19" s="89">
        <f>IF($A19="","",$L$57*$D19)</f>
        <v/>
      </c>
      <c r="M19" s="91">
        <f>IF($A19="","",(($C19-$E$58-$F$58-$G$58-$H$58-$I$58)/3)+(78*2)/3)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IF($A19="","",$K19)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IF($A19="","",$C19-$E$63-$F$63)</f>
        <v/>
      </c>
      <c r="X19" s="89">
        <f>IF($A19="","",$L$63*$D19)</f>
        <v/>
      </c>
      <c r="Y19" s="91">
        <f>IF($A19="","",$B19-$E$64-$F$64)</f>
        <v/>
      </c>
      <c r="Z19" s="89">
        <f>IF($A19="","",$L$64*$D19)</f>
        <v/>
      </c>
      <c r="AA19" s="91">
        <f>IF($A19="","",$S19)</f>
        <v/>
      </c>
      <c r="AB19" s="89">
        <f>IF($A19="","",$L$65*$D19)</f>
        <v/>
      </c>
      <c r="AC19" s="91">
        <f>IF($A19="","",$C19)</f>
        <v/>
      </c>
      <c r="AD19" s="89">
        <f>IF($A19="","",$L$66*$D19)</f>
        <v/>
      </c>
      <c r="AE19" s="91">
        <f>IF($A19="","",$C19-$E$67-$F$67)</f>
        <v/>
      </c>
      <c r="AF19" s="89">
        <f>IF($A19="","",$L$67*$D19)</f>
        <v/>
      </c>
      <c r="AG19" s="93">
        <f>IF($A19="","",$K19-68-68)</f>
        <v/>
      </c>
      <c r="AH19" s="94">
        <f>IF($A19="","",$M19-68-68)</f>
        <v/>
      </c>
      <c r="AI19" s="95">
        <f>IF($A19="","",3*$D19)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IF($A20="","",$C20)</f>
        <v/>
      </c>
      <c r="J20" s="97">
        <f>IF($A20="","",$L$56*$D20)</f>
        <v/>
      </c>
      <c r="K20" s="96">
        <f>IF($A20="","",$B20-$E$57-$F$57-$G$57-$H$57)</f>
        <v/>
      </c>
      <c r="L20" s="97">
        <f>IF($A20="","",$L$57*$D20)</f>
        <v/>
      </c>
      <c r="M20" s="96">
        <f>IF($A20="","",(($C20-$E$58-$F$58-$G$58-$H$58-$I$58)/3)+(78*2)/3)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IF($A20="","",$K20)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IF($A20="","",$C20-$E$63-$F$63)</f>
        <v/>
      </c>
      <c r="X20" s="97">
        <f>IF($A20="","",$L$63*$D20)</f>
        <v/>
      </c>
      <c r="Y20" s="96">
        <f>IF($A20="","",$B20-$E$64-$F$64)</f>
        <v/>
      </c>
      <c r="Z20" s="97">
        <f>IF($A20="","",$L$64*$D20)</f>
        <v/>
      </c>
      <c r="AA20" s="96">
        <f>IF($A20="","",$S20)</f>
        <v/>
      </c>
      <c r="AB20" s="97">
        <f>IF($A20="","",$L$65*$D20)</f>
        <v/>
      </c>
      <c r="AC20" s="96">
        <f>IF($A20="","",$C20)</f>
        <v/>
      </c>
      <c r="AD20" s="97">
        <f>IF($A20="","",$L$66*$D20)</f>
        <v/>
      </c>
      <c r="AE20" s="96">
        <f>IF($A20="","",$C20-$E$67-$F$67)</f>
        <v/>
      </c>
      <c r="AF20" s="97">
        <f>IF($A20="","",$L$67*$D20)</f>
        <v/>
      </c>
      <c r="AG20" s="93">
        <f>IF($A20="","",$K20-68-68)</f>
        <v/>
      </c>
      <c r="AH20" s="94">
        <f>IF($A20="","",$M20-68-68)</f>
        <v/>
      </c>
      <c r="AI20" s="95">
        <f>IF($A20="","",3*$D20)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IF($A21="","",$C21)</f>
        <v/>
      </c>
      <c r="J21" s="89">
        <f>IF($A21="","",$L$56*$D21)</f>
        <v/>
      </c>
      <c r="K21" s="91">
        <f>IF($A21="","",$B21-$E$57-$F$57-$G$57-$H$57)</f>
        <v/>
      </c>
      <c r="L21" s="89">
        <f>IF($A21="","",$L$57*$D21)</f>
        <v/>
      </c>
      <c r="M21" s="91">
        <f>IF($A21="","",(($C21-$E$58-$F$58-$G$58-$H$58-$I$58)/3)+(78*2)/3)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IF($A21="","",$K21)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IF($A21="","",$C21-$E$63-$F$63)</f>
        <v/>
      </c>
      <c r="X21" s="89">
        <f>IF($A21="","",$L$63*$D21)</f>
        <v/>
      </c>
      <c r="Y21" s="91">
        <f>IF($A21="","",$B21-$E$64-$F$64)</f>
        <v/>
      </c>
      <c r="Z21" s="89">
        <f>IF($A21="","",$L$64*$D21)</f>
        <v/>
      </c>
      <c r="AA21" s="91">
        <f>IF($A21="","",$S21)</f>
        <v/>
      </c>
      <c r="AB21" s="89">
        <f>IF($A21="","",$L$65*$D21)</f>
        <v/>
      </c>
      <c r="AC21" s="91">
        <f>IF($A21="","",$C21)</f>
        <v/>
      </c>
      <c r="AD21" s="89">
        <f>IF($A21="","",$L$66*$D21)</f>
        <v/>
      </c>
      <c r="AE21" s="91">
        <f>IF($A21="","",$C21-$E$67-$F$67)</f>
        <v/>
      </c>
      <c r="AF21" s="89">
        <f>IF($A21="","",$L$67*$D21)</f>
        <v/>
      </c>
      <c r="AG21" s="93">
        <f>IF($A21="","",$K21-68-68)</f>
        <v/>
      </c>
      <c r="AH21" s="94">
        <f>IF($A21="","",$M21-68-68)</f>
        <v/>
      </c>
      <c r="AI21" s="95">
        <f>IF($A21="","",3*$D21)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IF($A22="","",$C22)</f>
        <v/>
      </c>
      <c r="J22" s="97">
        <f>IF($A22="","",$L$56*$D22)</f>
        <v/>
      </c>
      <c r="K22" s="96">
        <f>IF($A22="","",$B22-$E$57-$F$57-$G$57-$H$57)</f>
        <v/>
      </c>
      <c r="L22" s="97">
        <f>IF($A22="","",$L$57*$D22)</f>
        <v/>
      </c>
      <c r="M22" s="96">
        <f>IF($A22="","",(($C22-$E$58-$F$58-$G$58-$H$58-$I$58)/3)+(78*2)/3)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IF($A22="","",$K22)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IF($A22="","",$C22-$E$63-$F$63)</f>
        <v/>
      </c>
      <c r="X22" s="97">
        <f>IF($A22="","",$L$63*$D22)</f>
        <v/>
      </c>
      <c r="Y22" s="96">
        <f>IF($A22="","",$B22-$E$64-$F$64)</f>
        <v/>
      </c>
      <c r="Z22" s="97">
        <f>IF($A22="","",$L$64*$D22)</f>
        <v/>
      </c>
      <c r="AA22" s="96">
        <f>IF($A22="","",$S22)</f>
        <v/>
      </c>
      <c r="AB22" s="97">
        <f>IF($A22="","",$L$65*$D22)</f>
        <v/>
      </c>
      <c r="AC22" s="96">
        <f>IF($A22="","",$C22)</f>
        <v/>
      </c>
      <c r="AD22" s="97">
        <f>IF($A22="","",$L$66*$D22)</f>
        <v/>
      </c>
      <c r="AE22" s="96">
        <f>IF($A22="","",$C22-$E$67-$F$67)</f>
        <v/>
      </c>
      <c r="AF22" s="97">
        <f>IF($A22="","",$L$67*$D22)</f>
        <v/>
      </c>
      <c r="AG22" s="93">
        <f>IF($A22="","",$K22-68-68)</f>
        <v/>
      </c>
      <c r="AH22" s="94">
        <f>IF($A22="","",$M22-68-68)</f>
        <v/>
      </c>
      <c r="AI22" s="95">
        <f>IF($A22="","",3*$D22)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IF($A23="","",$C23)</f>
        <v/>
      </c>
      <c r="J23" s="89">
        <f>IF($A23="","",$L$56*$D23)</f>
        <v/>
      </c>
      <c r="K23" s="91">
        <f>IF($A23="","",$B23-$E$57-$F$57-$G$57-$H$57)</f>
        <v/>
      </c>
      <c r="L23" s="89">
        <f>IF($A23="","",$L$57*$D23)</f>
        <v/>
      </c>
      <c r="M23" s="91">
        <f>IF($A23="","",(($C23-$E$58-$F$58-$G$58-$H$58-$I$58)/3)+(78*2)/3)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IF($A23="","",$K23)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IF($A23="","",$C23-$E$63-$F$63)</f>
        <v/>
      </c>
      <c r="X23" s="89">
        <f>IF($A23="","",$L$63*$D23)</f>
        <v/>
      </c>
      <c r="Y23" s="91">
        <f>IF($A23="","",$B23-$E$64-$F$64)</f>
        <v/>
      </c>
      <c r="Z23" s="89">
        <f>IF($A23="","",$L$64*$D23)</f>
        <v/>
      </c>
      <c r="AA23" s="91">
        <f>IF($A23="","",$S23)</f>
        <v/>
      </c>
      <c r="AB23" s="89">
        <f>IF($A23="","",$L$65*$D23)</f>
        <v/>
      </c>
      <c r="AC23" s="91">
        <f>IF($A23="","",$C23)</f>
        <v/>
      </c>
      <c r="AD23" s="89">
        <f>IF($A23="","",$L$66*$D23)</f>
        <v/>
      </c>
      <c r="AE23" s="91">
        <f>IF($A23="","",$C23-$E$67-$F$67)</f>
        <v/>
      </c>
      <c r="AF23" s="89">
        <f>IF($A23="","",$L$67*$D23)</f>
        <v/>
      </c>
      <c r="AG23" s="93">
        <f>IF($A23="","",$K23-68-68)</f>
        <v/>
      </c>
      <c r="AH23" s="94">
        <f>IF($A23="","",$M23-68-68)</f>
        <v/>
      </c>
      <c r="AI23" s="95">
        <f>IF($A23="","",3*$D23)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IF($A24="","",$C24)</f>
        <v/>
      </c>
      <c r="J24" s="97">
        <f>IF($A24="","",$L$56*$D24)</f>
        <v/>
      </c>
      <c r="K24" s="96">
        <f>IF($A24="","",$B24-$E$57-$F$57-$G$57-$H$57)</f>
        <v/>
      </c>
      <c r="L24" s="97">
        <f>IF($A24="","",$L$57*$D24)</f>
        <v/>
      </c>
      <c r="M24" s="96">
        <f>IF($A24="","",(($C24-$E$58-$F$58-$G$58-$H$58-$I$58)/3)+(78*2)/3)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IF($A24="","",$K24)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IF($A24="","",$C24-$E$63-$F$63)</f>
        <v/>
      </c>
      <c r="X24" s="97">
        <f>IF($A24="","",$L$63*$D24)</f>
        <v/>
      </c>
      <c r="Y24" s="96">
        <f>IF($A24="","",$B24-$E$64-$F$64)</f>
        <v/>
      </c>
      <c r="Z24" s="97">
        <f>IF($A24="","",$L$64*$D24)</f>
        <v/>
      </c>
      <c r="AA24" s="96">
        <f>IF($A24="","",$S24)</f>
        <v/>
      </c>
      <c r="AB24" s="97">
        <f>IF($A24="","",$L$65*$D24)</f>
        <v/>
      </c>
      <c r="AC24" s="96">
        <f>IF($A24="","",$C24)</f>
        <v/>
      </c>
      <c r="AD24" s="97">
        <f>IF($A24="","",$L$66*$D24)</f>
        <v/>
      </c>
      <c r="AE24" s="96">
        <f>IF($A24="","",$C24-$E$67-$F$67)</f>
        <v/>
      </c>
      <c r="AF24" s="97">
        <f>IF($A24="","",$L$67*$D24)</f>
        <v/>
      </c>
      <c r="AG24" s="93">
        <f>IF($A24="","",$K24-68-68)</f>
        <v/>
      </c>
      <c r="AH24" s="94">
        <f>IF($A24="","",$M24-68-68)</f>
        <v/>
      </c>
      <c r="AI24" s="95">
        <f>IF($A24="","",3*$D24)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IF($A25="","",$C25)</f>
        <v/>
      </c>
      <c r="J25" s="89">
        <f>IF($A25="","",$L$56*$D25)</f>
        <v/>
      </c>
      <c r="K25" s="91">
        <f>IF($A25="","",$B25-$E$57-$F$57-$G$57-$H$57)</f>
        <v/>
      </c>
      <c r="L25" s="89">
        <f>IF($A25="","",$L$57*$D25)</f>
        <v/>
      </c>
      <c r="M25" s="91">
        <f>IF($A25="","",(($C25-$E$58-$F$58-$G$58-$H$58-$I$58)/3)+(78*2)/3)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IF($A25="","",$K25)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IF($A25="","",$C25-$E$63-$F$63)</f>
        <v/>
      </c>
      <c r="X25" s="89">
        <f>IF($A25="","",$L$63*$D25)</f>
        <v/>
      </c>
      <c r="Y25" s="91">
        <f>IF($A25="","",$B25-$E$64-$F$64)</f>
        <v/>
      </c>
      <c r="Z25" s="89">
        <f>IF($A25="","",$L$64*$D25)</f>
        <v/>
      </c>
      <c r="AA25" s="91">
        <f>IF($A25="","",$S25)</f>
        <v/>
      </c>
      <c r="AB25" s="89">
        <f>IF($A25="","",$L$65*$D25)</f>
        <v/>
      </c>
      <c r="AC25" s="91">
        <f>IF($A25="","",$C25)</f>
        <v/>
      </c>
      <c r="AD25" s="89">
        <f>IF($A25="","",$L$66*$D25)</f>
        <v/>
      </c>
      <c r="AE25" s="91">
        <f>IF($A25="","",$C25-$E$67-$F$67)</f>
        <v/>
      </c>
      <c r="AF25" s="89">
        <f>IF($A25="","",$L$67*$D25)</f>
        <v/>
      </c>
      <c r="AG25" s="93">
        <f>IF($A25="","",$K25-68-68)</f>
        <v/>
      </c>
      <c r="AH25" s="94">
        <f>IF($A25="","",$M25-68-68)</f>
        <v/>
      </c>
      <c r="AI25" s="95">
        <f>IF($A25="","",3*$D25)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IF($A26="","",$C26)</f>
        <v/>
      </c>
      <c r="J26" s="97">
        <f>IF($A26="","",$L$56*$D26)</f>
        <v/>
      </c>
      <c r="K26" s="96">
        <f>IF($A26="","",$B26-$E$57-$F$57-$G$57-$H$57)</f>
        <v/>
      </c>
      <c r="L26" s="97">
        <f>IF($A26="","",$L$57*$D26)</f>
        <v/>
      </c>
      <c r="M26" s="96">
        <f>IF($A26="","",(($C26-$E$58-$F$58-$G$58-$H$58-$I$58)/3)+(78*2)/3)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IF($A26="","",$K26)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IF($A26="","",$C26-$E$63-$F$63)</f>
        <v/>
      </c>
      <c r="X26" s="97">
        <f>IF($A26="","",$L$63*$D26)</f>
        <v/>
      </c>
      <c r="Y26" s="96">
        <f>IF($A26="","",$B26-$E$64-$F$64)</f>
        <v/>
      </c>
      <c r="Z26" s="97">
        <f>IF($A26="","",$L$64*$D26)</f>
        <v/>
      </c>
      <c r="AA26" s="96">
        <f>IF($A26="","",$S26)</f>
        <v/>
      </c>
      <c r="AB26" s="97">
        <f>IF($A26="","",$L$65*$D26)</f>
        <v/>
      </c>
      <c r="AC26" s="96">
        <f>IF($A26="","",$C26)</f>
        <v/>
      </c>
      <c r="AD26" s="97">
        <f>IF($A26="","",$L$66*$D26)</f>
        <v/>
      </c>
      <c r="AE26" s="96">
        <f>IF($A26="","",$C26-$E$67-$F$67)</f>
        <v/>
      </c>
      <c r="AF26" s="97">
        <f>IF($A26="","",$L$67*$D26)</f>
        <v/>
      </c>
      <c r="AG26" s="93">
        <f>IF($A26="","",$K26-68-68)</f>
        <v/>
      </c>
      <c r="AH26" s="94">
        <f>IF($A26="","",$M26-68-68)</f>
        <v/>
      </c>
      <c r="AI26" s="95">
        <f>IF($A26="","",3*$D26)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IF($A27="","",$C27)</f>
        <v/>
      </c>
      <c r="J27" s="89">
        <f>IF($A27="","",$L$56*$D27)</f>
        <v/>
      </c>
      <c r="K27" s="91">
        <f>IF($A27="","",$B27-$E$57-$F$57-$G$57-$H$57)</f>
        <v/>
      </c>
      <c r="L27" s="89">
        <f>IF($A27="","",$L$57*$D27)</f>
        <v/>
      </c>
      <c r="M27" s="91">
        <f>IF($A27="","",(($C27-$E$58-$F$58-$G$58-$H$58-$I$58)/3)+(78*2)/3)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IF($A27="","",$K27)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IF($A27="","",$C27-$E$63-$F$63)</f>
        <v/>
      </c>
      <c r="X27" s="89">
        <f>IF($A27="","",$L$63*$D27)</f>
        <v/>
      </c>
      <c r="Y27" s="91">
        <f>IF($A27="","",$B27-$E$64-$F$64)</f>
        <v/>
      </c>
      <c r="Z27" s="89">
        <f>IF($A27="","",$L$64*$D27)</f>
        <v/>
      </c>
      <c r="AA27" s="91">
        <f>IF($A27="","",$S27)</f>
        <v/>
      </c>
      <c r="AB27" s="89">
        <f>IF($A27="","",$L$65*$D27)</f>
        <v/>
      </c>
      <c r="AC27" s="91">
        <f>IF($A27="","",$C27)</f>
        <v/>
      </c>
      <c r="AD27" s="89">
        <f>IF($A27="","",$L$66*$D27)</f>
        <v/>
      </c>
      <c r="AE27" s="91">
        <f>IF($A27="","",$C27-$E$67-$F$67)</f>
        <v/>
      </c>
      <c r="AF27" s="89">
        <f>IF($A27="","",$L$67*$D27)</f>
        <v/>
      </c>
      <c r="AG27" s="93">
        <f>IF($A27="","",$K27-68-68)</f>
        <v/>
      </c>
      <c r="AH27" s="94">
        <f>IF($A27="","",$M27-68-68)</f>
        <v/>
      </c>
      <c r="AI27" s="95">
        <f>IF($A27="","",3*$D27)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IF($A28="","",$C28)</f>
        <v/>
      </c>
      <c r="J28" s="97">
        <f>IF($A28="","",$L$56*$D28)</f>
        <v/>
      </c>
      <c r="K28" s="96">
        <f>IF($A28="","",$B28-$E$57-$F$57-$G$57-$H$57)</f>
        <v/>
      </c>
      <c r="L28" s="97">
        <f>IF($A28="","",$L$57*$D28)</f>
        <v/>
      </c>
      <c r="M28" s="96">
        <f>IF($A28="","",(($C28-$E$58-$F$58-$G$58-$H$58-$I$58)/3)+(78*2)/3)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IF($A28="","",$K28)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IF($A28="","",$C28-$E$63-$F$63)</f>
        <v/>
      </c>
      <c r="X28" s="97">
        <f>IF($A28="","",$L$63*$D28)</f>
        <v/>
      </c>
      <c r="Y28" s="96">
        <f>IF($A28="","",$B28-$E$64-$F$64)</f>
        <v/>
      </c>
      <c r="Z28" s="97">
        <f>IF($A28="","",$L$64*$D28)</f>
        <v/>
      </c>
      <c r="AA28" s="96">
        <f>IF($A28="","",$S28)</f>
        <v/>
      </c>
      <c r="AB28" s="97">
        <f>IF($A28="","",$L$65*$D28)</f>
        <v/>
      </c>
      <c r="AC28" s="96">
        <f>IF($A28="","",$C28)</f>
        <v/>
      </c>
      <c r="AD28" s="97">
        <f>IF($A28="","",$L$66*$D28)</f>
        <v/>
      </c>
      <c r="AE28" s="96">
        <f>IF($A28="","",$C28-$E$67-$F$67)</f>
        <v/>
      </c>
      <c r="AF28" s="97">
        <f>IF($A28="","",$L$67*$D28)</f>
        <v/>
      </c>
      <c r="AG28" s="93">
        <f>IF($A28="","",$K28-68-68)</f>
        <v/>
      </c>
      <c r="AH28" s="94">
        <f>IF($A28="","",$M28-68-68)</f>
        <v/>
      </c>
      <c r="AI28" s="95">
        <f>IF($A28="","",3*$D28)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110">
        <f>E$7</f>
        <v/>
      </c>
      <c r="F30" s="111">
        <f>(ROUNDUP(F49/6400,0))</f>
        <v/>
      </c>
      <c r="G30" s="111">
        <f>G$7</f>
        <v/>
      </c>
      <c r="H30" s="111">
        <f>(ROUNDUP(H49/6400,0))</f>
        <v/>
      </c>
      <c r="I30" s="111">
        <f>I$7</f>
        <v/>
      </c>
      <c r="J30" s="111">
        <f>(ROUNDUP(J49/6400,0))</f>
        <v/>
      </c>
      <c r="K30" s="111">
        <f>K$7</f>
        <v/>
      </c>
      <c r="L30" s="20" t="n"/>
      <c r="M30" s="21" t="n"/>
      <c r="N30" s="111">
        <f>(ROUNDUP(SUM(L49:N49)/6400,0))</f>
        <v/>
      </c>
      <c r="O30" s="111">
        <f>O$7</f>
        <v/>
      </c>
      <c r="P30" s="20" t="n"/>
      <c r="Q30" s="21" t="n"/>
      <c r="R30" s="111">
        <f>(ROUNDUP(SUM(P49:R49)/6400,0))</f>
        <v/>
      </c>
      <c r="S30" s="111">
        <f>S$7</f>
        <v/>
      </c>
      <c r="T30" s="111">
        <f>(ROUNDUP(T49/6400,0))</f>
        <v/>
      </c>
      <c r="U30" s="111">
        <f>U$7</f>
        <v/>
      </c>
      <c r="V30" s="111">
        <f>(ROUNDUP(V49/6400,0))</f>
        <v/>
      </c>
      <c r="W30" s="111">
        <f>W$7</f>
        <v/>
      </c>
      <c r="X30" s="111">
        <f>(ROUNDUP(X49/5000,0))</f>
        <v/>
      </c>
      <c r="Y30" s="111">
        <f>Y$7</f>
        <v/>
      </c>
      <c r="Z30" s="20" t="n"/>
      <c r="AA30" s="20" t="n"/>
      <c r="AB30" s="20" t="n"/>
      <c r="AC30" s="21" t="n"/>
      <c r="AD30" s="111">
        <f>(ROUNDUP(SUM(Z49:AD49)/6400,0))</f>
        <v/>
      </c>
      <c r="AE30" s="111">
        <f>AE$7</f>
        <v/>
      </c>
      <c r="AF30" s="111">
        <f>(ROUNDUP(AF49/5000,0))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6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((กว้าง-21-3-2.4-3-21)/3)+(78x2/3)</t>
        </is>
      </c>
      <c r="E58" s="83" t="n">
        <v>21</v>
      </c>
      <c r="F58" s="83" t="n">
        <v>3</v>
      </c>
      <c r="G58" s="83" t="n">
        <v>2.4</v>
      </c>
      <c r="H58" s="83" t="n">
        <v>3</v>
      </c>
      <c r="I58" s="83" t="n">
        <v>21</v>
      </c>
      <c r="J58" s="82" t="n"/>
      <c r="K58" s="82" t="n"/>
      <c r="L58" s="83" t="n">
        <v>6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6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6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4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4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9">
      <c r="A69" s="123" t="inlineStr">
        <is>
          <t>⑥ อุปกรณ์ ต่อ 1 บาน — คูณจำนวนบานที่ผลิต</t>
        </is>
      </c>
      <c r="B69" s="131" t="n"/>
      <c r="C69" s="131" t="n"/>
      <c r="D69" s="131" t="n"/>
      <c r="E69" s="132" t="n"/>
      <c r="F69" s="124" t="inlineStr">
        <is>
          <t>ต่อบาน</t>
        </is>
      </c>
    </row>
    <row r="70">
      <c r="A70" s="125" t="inlineStr">
        <is>
          <t>1. ล้อ 27</t>
        </is>
      </c>
      <c r="B70" s="131" t="n"/>
      <c r="C70" s="131" t="n"/>
      <c r="D70" s="131" t="n"/>
      <c r="E70" s="132" t="n"/>
      <c r="F70" s="126" t="n">
        <v>2</v>
      </c>
    </row>
    <row r="71">
      <c r="A71" s="125" t="inlineStr">
        <is>
          <t>2. มือจับ Align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3. ชุดล็อค</t>
        </is>
      </c>
      <c r="B72" s="131" t="n"/>
      <c r="C72" s="131" t="n"/>
      <c r="D72" s="131" t="n"/>
      <c r="E72" s="132" t="n"/>
      <c r="F72" s="126" t="n">
        <v>1</v>
      </c>
    </row>
    <row r="73">
      <c r="A73" s="125" t="inlineStr">
        <is>
          <t>4. น็อตประกอบ</t>
        </is>
      </c>
      <c r="B73" s="131" t="n"/>
      <c r="C73" s="131" t="n"/>
      <c r="D73" s="131" t="n"/>
      <c r="E73" s="132" t="n"/>
      <c r="F73" s="126" t="n">
        <v>4</v>
      </c>
    </row>
    <row r="74">
      <c r="A74" s="127" t="inlineStr">
        <is>
          <t>+ สักหลาด/ยาง/ซิลิโคน = ตามขนาด (ดูชีทคิดทุน)</t>
        </is>
      </c>
      <c r="B74" s="131" t="n"/>
      <c r="C74" s="131" t="n"/>
      <c r="D74" s="131" t="n"/>
      <c r="E74" s="131" t="n"/>
      <c r="F74" s="132" t="n"/>
    </row>
  </sheetData>
  <mergeCells count="67">
    <mergeCell ref="U9:V9"/>
    <mergeCell ref="I6:J6"/>
    <mergeCell ref="A73:E73"/>
    <mergeCell ref="AE7:AF7"/>
    <mergeCell ref="O6:P6"/>
    <mergeCell ref="U6:V6"/>
    <mergeCell ref="K9:L9"/>
    <mergeCell ref="W6:X6"/>
    <mergeCell ref="M9:N9"/>
    <mergeCell ref="A74:F74"/>
    <mergeCell ref="K7:N7"/>
    <mergeCell ref="O9:P9"/>
    <mergeCell ref="G8:H8"/>
    <mergeCell ref="Y9:Z9"/>
    <mergeCell ref="A70:E70"/>
    <mergeCell ref="E8:F8"/>
    <mergeCell ref="Q8:R8"/>
    <mergeCell ref="AA9:AB9"/>
    <mergeCell ref="Y7:AD7"/>
    <mergeCell ref="S8:T8"/>
    <mergeCell ref="A69:E69"/>
    <mergeCell ref="Y30:AC30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E6:F6"/>
    <mergeCell ref="A8:A9"/>
    <mergeCell ref="A6:D6"/>
    <mergeCell ref="M6:N6"/>
    <mergeCell ref="K8:L8"/>
    <mergeCell ref="Q6:R6"/>
    <mergeCell ref="A71:E71"/>
    <mergeCell ref="S6:T6"/>
    <mergeCell ref="Y6:Z6"/>
    <mergeCell ref="A7:D7"/>
    <mergeCell ref="D8:D9"/>
    <mergeCell ref="Q9:R9"/>
    <mergeCell ref="I8:J8"/>
    <mergeCell ref="S9:T9"/>
    <mergeCell ref="M8:N8"/>
    <mergeCell ref="K30:M30"/>
    <mergeCell ref="AC9:AD9"/>
    <mergeCell ref="O8:P8"/>
    <mergeCell ref="U8:V8"/>
    <mergeCell ref="AE9:AF9"/>
    <mergeCell ref="W9:X9"/>
    <mergeCell ref="W8:X8"/>
    <mergeCell ref="B8:C9"/>
    <mergeCell ref="AC6:AD6"/>
    <mergeCell ref="E7:F7"/>
    <mergeCell ref="A72:E72"/>
    <mergeCell ref="AE6:AF6"/>
    <mergeCell ref="O30:Q30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77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6.75" customWidth="1" min="40" max="40"/>
    <col width="12.75" customWidth="1" min="41" max="41"/>
    <col width="12.75" customWidth="1" min="42" max="42"/>
    <col width="8.75" customWidth="1" min="43" max="43"/>
    <col width="12.75" customWidth="1" min="44" max="44"/>
    <col width="8.875" customWidth="1" min="46" max="46"/>
  </cols>
  <sheetData>
    <row r="1" ht="40.15" customHeight="1">
      <c r="A1" s="1" t="inlineStr">
        <is>
          <t>JR ALUMINIUM &amp; GLASS  —  ใบรายการตัด · FUJI เลื่อนสลับ66ช่องแสงล่าง   (หน่วย: มม.)</t>
        </is>
      </c>
      <c r="B1" s="2" t="n"/>
      <c r="C1" s="2" t="n"/>
      <c r="D1" s="2" t="n"/>
      <c r="F1" s="3" t="n"/>
      <c r="G1" s="4" t="n"/>
      <c r="H1" s="3" t="n"/>
      <c r="I1" s="5" t="n"/>
      <c r="J1" s="5" t="n"/>
      <c r="K1" s="6" t="n"/>
      <c r="L1" s="5" t="n"/>
      <c r="M1" s="3" t="n"/>
      <c r="N1" s="3" t="n"/>
      <c r="O1" s="6" t="n"/>
      <c r="P1" s="6" t="n"/>
      <c r="Q1" s="5" t="n"/>
      <c r="R1" s="5" t="n"/>
      <c r="S1" s="3" t="n"/>
      <c r="T1" s="7" t="n"/>
      <c r="U1" s="6" t="n"/>
      <c r="V1" s="6" t="n"/>
      <c r="W1" s="5" t="n"/>
      <c r="X1" s="5" t="n"/>
      <c r="Y1" s="5" t="n"/>
      <c r="Z1" s="5" t="n"/>
      <c r="AA1" s="5" t="n"/>
      <c r="AB1" s="5" t="n"/>
      <c r="AC1" s="3" t="n"/>
      <c r="AD1" s="3" t="n"/>
      <c r="AE1" s="3" t="n"/>
      <c r="AF1" s="3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</row>
    <row r="2" ht="40.15" customHeight="1">
      <c r="A2" s="6" t="n"/>
      <c r="B2" s="6" t="n"/>
      <c r="C2" s="6" t="n"/>
      <c r="D2" s="6" t="n"/>
      <c r="E2" s="6" t="n"/>
      <c r="F2" s="6" t="n"/>
      <c r="G2" s="8" t="n"/>
      <c r="H2" s="6" t="n"/>
      <c r="I2" s="9" t="n"/>
      <c r="J2" s="9" t="n"/>
      <c r="K2" s="9" t="n"/>
      <c r="L2" s="9" t="n"/>
      <c r="M2" s="6" t="n"/>
      <c r="N2" s="6" t="n"/>
      <c r="O2" s="6" t="n"/>
      <c r="P2" s="6" t="n"/>
      <c r="Q2" s="9" t="n"/>
      <c r="R2" s="9" t="n"/>
      <c r="S2" s="6" t="n"/>
      <c r="T2" s="6" t="n"/>
      <c r="U2" s="9" t="n"/>
      <c r="V2" s="9" t="n"/>
      <c r="W2" s="9" t="n"/>
      <c r="X2" s="9" t="n"/>
      <c r="Y2" s="9" t="n"/>
      <c r="Z2" s="9" t="n"/>
      <c r="AA2" s="9" t="n"/>
      <c r="AB2" s="9" t="n"/>
      <c r="AC2" s="6" t="n"/>
      <c r="AD2" s="6" t="n"/>
      <c r="AE2" s="6" t="n"/>
      <c r="AF2" s="6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6" t="n"/>
      <c r="F3" s="6" t="n"/>
      <c r="G3" s="8" t="n"/>
      <c r="H3" s="6" t="n"/>
      <c r="I3" s="11" t="n"/>
      <c r="J3" s="11" t="n"/>
      <c r="K3" s="9" t="n"/>
      <c r="L3" s="9" t="n"/>
      <c r="M3" s="6" t="n"/>
      <c r="N3" s="6" t="n"/>
      <c r="O3" s="6" t="n"/>
      <c r="P3" s="6" t="n"/>
      <c r="Q3" s="11" t="n"/>
      <c r="R3" s="11" t="n"/>
      <c r="S3" s="6" t="n"/>
      <c r="T3" s="6" t="n"/>
      <c r="W3" s="11" t="n"/>
      <c r="X3" s="11" t="n"/>
      <c r="Y3" s="11" t="n"/>
      <c r="Z3" s="11" t="n"/>
      <c r="AA3" s="11" t="n"/>
      <c r="AB3" s="11" t="n"/>
      <c r="AC3" s="6" t="n"/>
      <c r="AD3" s="6" t="n"/>
      <c r="AE3" s="6" t="n"/>
      <c r="AF3" s="6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</row>
    <row r="4" ht="40.15" customHeight="1">
      <c r="A4" s="6" t="n"/>
      <c r="B4" s="6" t="n"/>
      <c r="C4" s="6" t="n"/>
      <c r="D4" s="6" t="n"/>
      <c r="E4" s="6" t="n"/>
      <c r="H4" s="6" t="n"/>
      <c r="K4" s="9" t="n"/>
      <c r="L4" s="9" t="n"/>
      <c r="M4" s="6" t="n"/>
      <c r="N4" s="6" t="n"/>
      <c r="O4" s="6" t="n"/>
      <c r="P4" s="6" t="n"/>
      <c r="S4" s="6" t="n"/>
      <c r="T4" s="6" t="n"/>
      <c r="AC4" s="6" t="n"/>
      <c r="AD4" s="6" t="n"/>
      <c r="AE4" s="6" t="n"/>
      <c r="AF4" s="6" t="n"/>
    </row>
    <row r="5" ht="40.15" customHeight="1">
      <c r="A5" s="6" t="n"/>
      <c r="B5" s="6" t="n"/>
      <c r="C5" s="6" t="n"/>
      <c r="D5" s="6" t="n"/>
      <c r="E5" s="6" t="n"/>
      <c r="F5" s="6" t="n"/>
      <c r="G5" s="8" t="n"/>
      <c r="H5" s="6" t="n"/>
      <c r="M5" s="6" t="n"/>
      <c r="N5" s="6" t="n"/>
      <c r="P5" s="6" t="n"/>
      <c r="S5" s="6" t="n"/>
      <c r="T5" s="6" t="n"/>
      <c r="AC5" s="6" t="n"/>
      <c r="AD5" s="6" t="n"/>
      <c r="AE5" s="6" t="n"/>
      <c r="AF5" s="6" t="n"/>
    </row>
    <row r="6" ht="60" customHeight="1">
      <c r="A6" s="13" t="inlineStr">
        <is>
          <t>สูตรตัด</t>
        </is>
      </c>
      <c r="B6" s="14" t="n"/>
      <c r="C6" s="14" t="n"/>
      <c r="D6" s="14" t="n"/>
      <c r="E6" s="14" t="n"/>
      <c r="F6" s="15" t="n"/>
      <c r="G6" s="16" t="inlineStr">
        <is>
          <t>สูง</t>
        </is>
      </c>
      <c r="H6" s="17" t="n"/>
      <c r="I6" s="16" t="inlineStr">
        <is>
          <t>กว้าง-21-21</t>
        </is>
      </c>
      <c r="J6" s="17" t="n"/>
      <c r="K6" s="16" t="inlineStr">
        <is>
          <t>กว้าง</t>
        </is>
      </c>
      <c r="L6" s="17" t="n"/>
      <c r="M6" s="16" t="inlineStr">
        <is>
          <t>สูง-21-19-13-21</t>
        </is>
      </c>
      <c r="N6" s="17" t="n"/>
      <c r="O6" s="16" t="inlineStr">
        <is>
          <t>((กว้าง-21-3-1.2-3-21)/2)+(66x1/2)</t>
        </is>
      </c>
      <c r="P6" s="17" t="n"/>
      <c r="Q6" s="16" t="inlineStr">
        <is>
          <t>เสา-66-66</t>
        </is>
      </c>
      <c r="R6" s="17" t="n"/>
      <c r="S6" s="16" t="inlineStr">
        <is>
          <t>ขวาง-51-51</t>
        </is>
      </c>
      <c r="T6" s="17" t="n"/>
      <c r="U6" s="16" t="inlineStr">
        <is>
          <t>สูงกรอบบาน</t>
        </is>
      </c>
      <c r="V6" s="17" t="n"/>
      <c r="W6" s="16" t="inlineStr">
        <is>
          <t>สูง-45-45</t>
        </is>
      </c>
      <c r="X6" s="17" t="n"/>
      <c r="Y6" s="16" t="inlineStr">
        <is>
          <t>เท่าเฟรมบน</t>
        </is>
      </c>
      <c r="Z6" s="17" t="n"/>
      <c r="AA6" s="16" t="inlineStr">
        <is>
          <t>สูง-45-45</t>
        </is>
      </c>
      <c r="AB6" s="17" t="n"/>
      <c r="AC6" s="16" t="inlineStr">
        <is>
          <t>สูงกรอบบาน</t>
        </is>
      </c>
      <c r="AD6" s="17" t="n"/>
      <c r="AE6" s="16" t="inlineStr">
        <is>
          <t>กว้าง</t>
        </is>
      </c>
      <c r="AF6" s="17" t="n"/>
      <c r="AG6" s="16" t="inlineStr">
        <is>
          <t>เท่าเฟรมล่าง</t>
        </is>
      </c>
      <c r="AH6" s="17" t="n"/>
      <c r="AI6" s="16" t="inlineStr">
        <is>
          <t>สูง-25-25</t>
        </is>
      </c>
      <c r="AJ6" s="17" t="n"/>
      <c r="AK6" s="16" t="inlineStr">
        <is>
          <t>สูง-25-25</t>
        </is>
      </c>
      <c r="AL6" s="17" t="n"/>
      <c r="AM6" s="16" t="inlineStr">
        <is>
          <t>กว้าง-26-26</t>
        </is>
      </c>
      <c r="AN6" s="17" t="n"/>
      <c r="AO6" s="18" t="n"/>
      <c r="AP6" s="18" t="n"/>
      <c r="AQ6" s="18" t="n"/>
      <c r="AR6" s="18" t="n"/>
      <c r="AS6" s="18" t="n"/>
    </row>
    <row r="7" ht="40.15" customHeight="1">
      <c r="A7" s="19" t="inlineStr">
        <is>
          <t>ใส่ข้อมูล</t>
        </is>
      </c>
      <c r="B7" s="20" t="n"/>
      <c r="C7" s="20" t="n"/>
      <c r="D7" s="20" t="n"/>
      <c r="E7" s="20" t="n"/>
      <c r="F7" s="21" t="n"/>
      <c r="G7" s="22" t="inlineStr">
        <is>
          <t>F7978</t>
        </is>
      </c>
      <c r="H7" s="15" t="n"/>
      <c r="I7" s="22" t="inlineStr">
        <is>
          <t>F7976</t>
        </is>
      </c>
      <c r="J7" s="15" t="n"/>
      <c r="K7" s="22" t="inlineStr">
        <is>
          <t>F7992</t>
        </is>
      </c>
      <c r="L7" s="15" t="n"/>
      <c r="M7" s="22" t="inlineStr">
        <is>
          <t>F7981</t>
        </is>
      </c>
      <c r="N7" s="14" t="n"/>
      <c r="O7" s="14" t="n"/>
      <c r="P7" s="15" t="n"/>
      <c r="Q7" s="22" t="inlineStr">
        <is>
          <t>F7919</t>
        </is>
      </c>
      <c r="R7" s="14" t="n"/>
      <c r="S7" s="14" t="n"/>
      <c r="T7" s="15" t="n"/>
      <c r="U7" s="22" t="inlineStr">
        <is>
          <t>F7982</t>
        </is>
      </c>
      <c r="V7" s="15" t="n"/>
      <c r="W7" s="22" t="inlineStr">
        <is>
          <t>F7986</t>
        </is>
      </c>
      <c r="X7" s="15" t="n"/>
      <c r="Y7" s="22" t="inlineStr">
        <is>
          <t>F7993</t>
        </is>
      </c>
      <c r="Z7" s="15" t="n"/>
      <c r="AA7" s="22" t="inlineStr">
        <is>
          <t>F7988</t>
        </is>
      </c>
      <c r="AB7" s="14" t="n"/>
      <c r="AC7" s="14" t="n"/>
      <c r="AD7" s="14" t="n"/>
      <c r="AE7" s="14" t="n"/>
      <c r="AF7" s="15" t="n"/>
      <c r="AG7" s="22" t="inlineStr">
        <is>
          <t>F7994</t>
        </is>
      </c>
      <c r="AH7" s="15" t="n"/>
      <c r="AI7" s="22" t="inlineStr">
        <is>
          <t>F7996</t>
        </is>
      </c>
      <c r="AJ7" s="15" t="n"/>
      <c r="AK7" s="22" t="inlineStr">
        <is>
          <t>F7935</t>
        </is>
      </c>
      <c r="AL7" s="14" t="n"/>
      <c r="AM7" s="14" t="n"/>
      <c r="AN7" s="15" t="n"/>
      <c r="AO7" s="24" t="n"/>
      <c r="AP7" s="25" t="inlineStr">
        <is>
          <t>ขนาดกระจก</t>
        </is>
      </c>
      <c r="AQ7" s="26" t="n"/>
      <c r="AR7" s="24" t="n"/>
      <c r="AS7" s="25" t="inlineStr">
        <is>
          <t>ขนาดกระจก</t>
        </is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112" t="n"/>
      <c r="D8" s="112" t="n"/>
      <c r="E8" s="29" t="n"/>
      <c r="F8" s="27" t="inlineStr">
        <is>
          <t>Set</t>
        </is>
      </c>
      <c r="G8" s="30" t="n"/>
      <c r="H8" s="31" t="n"/>
      <c r="I8" s="30" t="n"/>
      <c r="J8" s="31" t="n"/>
      <c r="K8" s="30" t="n"/>
      <c r="L8" s="31" t="n"/>
      <c r="M8" s="32" t="n"/>
      <c r="N8" s="33" t="n"/>
      <c r="O8" s="34" t="n"/>
      <c r="P8" s="31" t="n"/>
      <c r="Q8" s="32" t="n"/>
      <c r="R8" s="33" t="n"/>
      <c r="S8" s="34" t="n"/>
      <c r="T8" s="31" t="n"/>
      <c r="U8" s="32" t="n"/>
      <c r="V8" s="33" t="n"/>
      <c r="W8" s="32" t="n"/>
      <c r="X8" s="33" t="n"/>
      <c r="Y8" s="32" t="n"/>
      <c r="Z8" s="33" t="n"/>
      <c r="AA8" s="32" t="n"/>
      <c r="AB8" s="33" t="n"/>
      <c r="AC8" s="35" t="n"/>
      <c r="AD8" s="33" t="n"/>
      <c r="AE8" s="34" t="n"/>
      <c r="AF8" s="31" t="n"/>
      <c r="AG8" s="30" t="n"/>
      <c r="AH8" s="31" t="n"/>
      <c r="AI8" s="30" t="n"/>
      <c r="AJ8" s="31" t="n"/>
      <c r="AK8" s="32" t="n"/>
      <c r="AL8" s="33" t="n"/>
      <c r="AM8" s="34" t="n"/>
      <c r="AN8" s="31" t="n"/>
      <c r="AO8" s="36" t="n"/>
      <c r="AP8" s="37" t="inlineStr">
        <is>
          <t>กรอบบาน</t>
        </is>
      </c>
      <c r="AQ8" s="38" t="n"/>
      <c r="AR8" s="36" t="n"/>
      <c r="AS8" s="37" t="inlineStr">
        <is>
          <t>ช่องแสง</t>
        </is>
      </c>
    </row>
    <row r="9" ht="40.15" customHeight="1">
      <c r="A9" s="39" t="n"/>
      <c r="B9" s="40" t="n"/>
      <c r="C9" s="33" t="n"/>
      <c r="D9" s="33" t="n"/>
      <c r="E9" s="41" t="n"/>
      <c r="F9" s="39" t="n"/>
      <c r="G9" s="42" t="inlineStr">
        <is>
          <t>เฟรมข้าง</t>
        </is>
      </c>
      <c r="H9" s="43" t="n"/>
      <c r="I9" s="42" t="inlineStr">
        <is>
          <t>เฟรม บน-ล่าง</t>
        </is>
      </c>
      <c r="J9" s="43" t="n"/>
      <c r="K9" s="42" t="inlineStr">
        <is>
          <t>ตบกันสาด</t>
        </is>
      </c>
      <c r="L9" s="43" t="n"/>
      <c r="M9" s="42" t="inlineStr">
        <is>
          <t>เสา</t>
        </is>
      </c>
      <c r="N9" s="43" t="n"/>
      <c r="O9" s="42" t="inlineStr">
        <is>
          <t>ขวาง</t>
        </is>
      </c>
      <c r="P9" s="43" t="n"/>
      <c r="Q9" s="42" t="inlineStr">
        <is>
          <t>คิ้ว ตั้ง</t>
        </is>
      </c>
      <c r="R9" s="43" t="n"/>
      <c r="S9" s="42" t="inlineStr">
        <is>
          <t>คิ้ว ขวาง</t>
        </is>
      </c>
      <c r="T9" s="43" t="n"/>
      <c r="U9" s="42" t="inlineStr">
        <is>
          <t>ตบเกี่ยว</t>
        </is>
      </c>
      <c r="V9" s="43" t="n"/>
      <c r="W9" s="44" t="inlineStr">
        <is>
          <t>ยูข้าง</t>
        </is>
      </c>
      <c r="X9" s="43" t="n"/>
      <c r="Y9" s="44" t="inlineStr">
        <is>
          <t>ตบเฟรมบน</t>
        </is>
      </c>
      <c r="Z9" s="43" t="n"/>
      <c r="AA9" s="44" t="inlineStr">
        <is>
          <t>ตบยูข้าง</t>
        </is>
      </c>
      <c r="AB9" s="43" t="n"/>
      <c r="AC9" s="42" t="inlineStr">
        <is>
          <t>ปิดตบเกี่ยว</t>
        </is>
      </c>
      <c r="AD9" s="43" t="n"/>
      <c r="AE9" s="42" t="inlineStr">
        <is>
          <t>ตบกันสาด</t>
        </is>
      </c>
      <c r="AF9" s="43" t="n"/>
      <c r="AG9" s="44" t="inlineStr">
        <is>
          <t>ราง</t>
        </is>
      </c>
      <c r="AH9" s="43" t="n"/>
      <c r="AI9" s="44" t="inlineStr">
        <is>
          <t>คิ้วลอย</t>
        </is>
      </c>
      <c r="AJ9" s="43" t="n"/>
      <c r="AK9" s="44" t="inlineStr">
        <is>
          <t>คิ้วช่องแสง
ตั้ง</t>
        </is>
      </c>
      <c r="AL9" s="43" t="n"/>
      <c r="AM9" s="44" t="inlineStr">
        <is>
          <t>คิ้วช่องแสง
นอน</t>
        </is>
      </c>
      <c r="AN9" s="43" t="n"/>
      <c r="AO9" s="45" t="inlineStr">
        <is>
          <t>SH-56-56</t>
        </is>
      </c>
      <c r="AP9" s="46" t="inlineStr">
        <is>
          <t>SW-56-56</t>
        </is>
      </c>
      <c r="AQ9" s="47" t="n"/>
      <c r="AR9" s="45" t="inlineStr">
        <is>
          <t>H1-35-35</t>
        </is>
      </c>
      <c r="AS9" s="45" t="inlineStr">
        <is>
          <t>W-35-35</t>
        </is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113" t="inlineStr">
        <is>
          <t>H1</t>
        </is>
      </c>
      <c r="D10" s="114" t="inlineStr">
        <is>
          <t>H2</t>
        </is>
      </c>
      <c r="E10" s="50" t="inlineStr">
        <is>
          <t>W</t>
        </is>
      </c>
      <c r="F10" s="51" t="inlineStr">
        <is>
          <t>จำนวนชุด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3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2" t="inlineStr">
        <is>
          <t>ยาว</t>
        </is>
      </c>
      <c r="AJ10" s="54" t="inlineStr">
        <is>
          <t>จำนวน</t>
        </is>
      </c>
      <c r="AK10" s="52" t="inlineStr">
        <is>
          <t>ยาว</t>
        </is>
      </c>
      <c r="AL10" s="54" t="inlineStr">
        <is>
          <t>จำนวน</t>
        </is>
      </c>
      <c r="AM10" s="52" t="inlineStr">
        <is>
          <t>ยาว</t>
        </is>
      </c>
      <c r="AN10" s="54" t="inlineStr">
        <is>
          <t>จำนวน</t>
        </is>
      </c>
      <c r="AO10" s="55" t="inlineStr">
        <is>
          <t>H</t>
        </is>
      </c>
      <c r="AP10" s="56" t="inlineStr">
        <is>
          <t>W</t>
        </is>
      </c>
      <c r="AQ10" s="57" t="inlineStr">
        <is>
          <t>จำนวน</t>
        </is>
      </c>
      <c r="AR10" s="55" t="inlineStr">
        <is>
          <t>H</t>
        </is>
      </c>
      <c r="AS10" s="56" t="inlineStr">
        <is>
          <t>W</t>
        </is>
      </c>
    </row>
    <row r="11" ht="40.15" customHeight="1">
      <c r="A11" s="99" t="inlineStr">
        <is>
          <t>D1</t>
        </is>
      </c>
      <c r="B11" s="88" t="n">
        <v>600</v>
      </c>
      <c r="C11" s="115">
        <f>IF($A11="","",($B11-$D11))</f>
        <v/>
      </c>
      <c r="D11" s="116" t="n">
        <v>300</v>
      </c>
      <c r="E11" s="89" t="n">
        <v>300</v>
      </c>
      <c r="F11" s="90" t="n">
        <v>1</v>
      </c>
      <c r="G11" s="91">
        <f>IF($A11="","",$B11)</f>
        <v/>
      </c>
      <c r="H11" s="89">
        <f>IF($A11="","",2*$F11)</f>
        <v/>
      </c>
      <c r="I11" s="91">
        <f>IF($A11="","",$E11-$E$55-$F$55)</f>
        <v/>
      </c>
      <c r="J11" s="89">
        <f>IF($A11="","",2*$F11)</f>
        <v/>
      </c>
      <c r="K11" s="91">
        <f>IF($A11="","",$E11)</f>
        <v/>
      </c>
      <c r="L11" s="89">
        <f>IF($A11="","",1*$F11)</f>
        <v/>
      </c>
      <c r="M11" s="91">
        <f>IF($A11="","",$D11-$E$57-$F$57-$G$57-$H$57)</f>
        <v/>
      </c>
      <c r="N11" s="89">
        <f>IF($A11="","",4*$F11)</f>
        <v/>
      </c>
      <c r="O11" s="91">
        <f>IF($A11="","",(($E11-$E$58-$F$58-$G$58-$H$58-$I$58)/2)+(66*1)/2)</f>
        <v/>
      </c>
      <c r="P11" s="89">
        <f>IF($A11="","",4*$F11)</f>
        <v/>
      </c>
      <c r="Q11" s="91">
        <f>IF($A11="","",$M11-$E$59-$F$59)</f>
        <v/>
      </c>
      <c r="R11" s="89">
        <f>IF($A11="","",4*$F11)</f>
        <v/>
      </c>
      <c r="S11" s="91">
        <f>IF($A11="","",$O11-$E$60-$F$60)</f>
        <v/>
      </c>
      <c r="T11" s="89">
        <f>IF($A11="","",4*$F11)</f>
        <v/>
      </c>
      <c r="U11" s="91">
        <f>IF($A11="","",$M11)</f>
        <v/>
      </c>
      <c r="V11" s="89">
        <f>IF($A11="","",2*$F11)</f>
        <v/>
      </c>
      <c r="W11" s="91">
        <f>IF($A11="","",$D11-$E$62-$F$62)</f>
        <v/>
      </c>
      <c r="X11" s="89">
        <f>IF($A11="","",2*$F11)</f>
        <v/>
      </c>
      <c r="Y11" s="91">
        <f>IF($A11="","",$E11-$E$63-$F$63)</f>
        <v/>
      </c>
      <c r="Z11" s="89">
        <f>IF($A11="","",3*$F11)</f>
        <v/>
      </c>
      <c r="AA11" s="91">
        <f>IF($A11="","",$D11-$E$64-$F$64)</f>
        <v/>
      </c>
      <c r="AB11" s="89">
        <f>IF($A11="","",2*$F11)</f>
        <v/>
      </c>
      <c r="AC11" s="91">
        <f>IF($A11="","",$U11)</f>
        <v/>
      </c>
      <c r="AD11" s="89">
        <f>IF($A11="","",2*$F11)</f>
        <v/>
      </c>
      <c r="AE11" s="91">
        <f>IF($A11="","",$E11)</f>
        <v/>
      </c>
      <c r="AF11" s="89">
        <f>IF($A11="","",1*$F11)</f>
        <v/>
      </c>
      <c r="AG11" s="91">
        <f>IF($A11="","",$E11-$E$67-$F$67)</f>
        <v/>
      </c>
      <c r="AH11" s="89">
        <f>IF($A11="","",3*$F11)</f>
        <v/>
      </c>
      <c r="AI11" s="91">
        <f>IF($A11="","",$C11-$E$68-$F$68)</f>
        <v/>
      </c>
      <c r="AJ11" s="89">
        <f>IF($A11="","",2*$F11)</f>
        <v/>
      </c>
      <c r="AK11" s="91">
        <f>IF($A11="","",$C11-$E$69-$F$69)</f>
        <v/>
      </c>
      <c r="AL11" s="89">
        <f>IF($A11="","",2*$F11)</f>
        <v/>
      </c>
      <c r="AM11" s="91">
        <f>IF($A11="","",$C11-$E$70-$F$70)</f>
        <v/>
      </c>
      <c r="AN11" s="89">
        <f>IF($A11="","",2*$F11)</f>
        <v/>
      </c>
      <c r="AO11" s="93">
        <f>IF($A11="","",$M11-56-56)</f>
        <v/>
      </c>
      <c r="AP11" s="94">
        <f>IF($A11="","",$O11-56-56)</f>
        <v/>
      </c>
      <c r="AQ11" s="95">
        <f>IF($A11="","",2*$F11)</f>
        <v/>
      </c>
      <c r="AR11" s="93">
        <f>IF($A11="","",$C11-35-35)</f>
        <v/>
      </c>
      <c r="AS11" s="94">
        <f>IF($A11="","",$E11-35-35)</f>
        <v/>
      </c>
    </row>
    <row r="12" ht="40.15" customHeight="1">
      <c r="A12" s="99" t="n"/>
      <c r="B12" s="88" t="n"/>
      <c r="C12" s="115">
        <f>IF($A12="","",($B12-$D12))</f>
        <v/>
      </c>
      <c r="D12" s="116" t="n"/>
      <c r="E12" s="89" t="n"/>
      <c r="F12" s="90" t="n"/>
      <c r="G12" s="96">
        <f>IF($A12="","",$B12)</f>
        <v/>
      </c>
      <c r="H12" s="97">
        <f>IF($A12="","",2*$F12)</f>
        <v/>
      </c>
      <c r="I12" s="96">
        <f>IF($A12="","",$E12-$E$55-$F$55)</f>
        <v/>
      </c>
      <c r="J12" s="97">
        <f>IF($A12="","",2*$F12)</f>
        <v/>
      </c>
      <c r="K12" s="96">
        <f>IF($A12="","",$E12)</f>
        <v/>
      </c>
      <c r="L12" s="97">
        <f>IF($A12="","",1*$F12)</f>
        <v/>
      </c>
      <c r="M12" s="96">
        <f>IF($A12="","",$D12-$E$57-$F$57-$G$57-$H$57)</f>
        <v/>
      </c>
      <c r="N12" s="97">
        <f>IF($A12="","",4*$F12)</f>
        <v/>
      </c>
      <c r="O12" s="96">
        <f>IF($A12="","",(($E12-$E$58-$F$58-$G$58-$H$58-$I$58)/2)+(66*1)/2)</f>
        <v/>
      </c>
      <c r="P12" s="97">
        <f>IF($A12="","",4*$F12)</f>
        <v/>
      </c>
      <c r="Q12" s="96">
        <f>IF($A12="","",$M12-$E$59-$F$59)</f>
        <v/>
      </c>
      <c r="R12" s="97">
        <f>IF($A12="","",4*$F12)</f>
        <v/>
      </c>
      <c r="S12" s="96">
        <f>IF($A12="","",$O12-$E$60-$F$60)</f>
        <v/>
      </c>
      <c r="T12" s="97">
        <f>IF($A12="","",4*$F12)</f>
        <v/>
      </c>
      <c r="U12" s="96">
        <f>IF($A12="","",$M12)</f>
        <v/>
      </c>
      <c r="V12" s="97">
        <f>IF($A12="","",2*$F12)</f>
        <v/>
      </c>
      <c r="W12" s="96">
        <f>IF($A12="","",$D12-$E$62-$F$62)</f>
        <v/>
      </c>
      <c r="X12" s="97">
        <f>IF($A12="","",2*$F12)</f>
        <v/>
      </c>
      <c r="Y12" s="96">
        <f>IF($A12="","",$E12-$E$63-$F$63)</f>
        <v/>
      </c>
      <c r="Z12" s="97">
        <f>IF($A12="","",3*$F12)</f>
        <v/>
      </c>
      <c r="AA12" s="96">
        <f>IF($A12="","",$D12-$E$64-$F$64)</f>
        <v/>
      </c>
      <c r="AB12" s="97">
        <f>IF($A12="","",2*$F12)</f>
        <v/>
      </c>
      <c r="AC12" s="96">
        <f>IF($A12="","",$U12)</f>
        <v/>
      </c>
      <c r="AD12" s="97">
        <f>IF($A12="","",2*$F12)</f>
        <v/>
      </c>
      <c r="AE12" s="96">
        <f>IF($A12="","",$E12)</f>
        <v/>
      </c>
      <c r="AF12" s="97">
        <f>IF($A12="","",1*$F12)</f>
        <v/>
      </c>
      <c r="AG12" s="96">
        <f>IF($A12="","",$E12-$E$67-$F$67)</f>
        <v/>
      </c>
      <c r="AH12" s="97">
        <f>IF($A12="","",3*$F12)</f>
        <v/>
      </c>
      <c r="AI12" s="96">
        <f>IF($A12="","",$C12-$E$68-$F$68)</f>
        <v/>
      </c>
      <c r="AJ12" s="97">
        <f>IF($A12="","",2*$F12)</f>
        <v/>
      </c>
      <c r="AK12" s="96">
        <f>IF($A12="","",$C12-$E$69-$F$69)</f>
        <v/>
      </c>
      <c r="AL12" s="97">
        <f>IF($A12="","",2*$F12)</f>
        <v/>
      </c>
      <c r="AM12" s="96">
        <f>IF($A12="","",$C12-$E$70-$F$70)</f>
        <v/>
      </c>
      <c r="AN12" s="97">
        <f>IF($A12="","",2*$F12)</f>
        <v/>
      </c>
      <c r="AO12" s="93">
        <f>IF($A12="","",$M12-56-56)</f>
        <v/>
      </c>
      <c r="AP12" s="94">
        <f>IF($A12="","",$O12-56-56)</f>
        <v/>
      </c>
      <c r="AQ12" s="95">
        <f>IF($A12="","",2*$F12)</f>
        <v/>
      </c>
      <c r="AR12" s="93">
        <f>IF($A12="","",$C12-35-35)</f>
        <v/>
      </c>
      <c r="AS12" s="94">
        <f>IF($A12="","",$E12-35-35)</f>
        <v/>
      </c>
    </row>
    <row r="13" ht="40.15" customHeight="1">
      <c r="A13" s="99" t="n"/>
      <c r="B13" s="88" t="n"/>
      <c r="C13" s="115">
        <f>IF($A13="","",($B13-$D13))</f>
        <v/>
      </c>
      <c r="D13" s="116" t="n"/>
      <c r="E13" s="89" t="n"/>
      <c r="F13" s="90" t="n"/>
      <c r="G13" s="91">
        <f>IF($A13="","",$B13)</f>
        <v/>
      </c>
      <c r="H13" s="89">
        <f>IF($A13="","",2*$F13)</f>
        <v/>
      </c>
      <c r="I13" s="91">
        <f>IF($A13="","",$E13-$E$55-$F$55)</f>
        <v/>
      </c>
      <c r="J13" s="89">
        <f>IF($A13="","",2*$F13)</f>
        <v/>
      </c>
      <c r="K13" s="91">
        <f>IF($A13="","",$E13)</f>
        <v/>
      </c>
      <c r="L13" s="89">
        <f>IF($A13="","",1*$F13)</f>
        <v/>
      </c>
      <c r="M13" s="91">
        <f>IF($A13="","",$D13-$E$57-$F$57-$G$57-$H$57)</f>
        <v/>
      </c>
      <c r="N13" s="89">
        <f>IF($A13="","",4*$F13)</f>
        <v/>
      </c>
      <c r="O13" s="91">
        <f>IF($A13="","",(($E13-$E$58-$F$58-$G$58-$H$58-$I$58)/2)+(66*1)/2)</f>
        <v/>
      </c>
      <c r="P13" s="89">
        <f>IF($A13="","",4*$F13)</f>
        <v/>
      </c>
      <c r="Q13" s="91">
        <f>IF($A13="","",$M13-$E$59-$F$59)</f>
        <v/>
      </c>
      <c r="R13" s="89">
        <f>IF($A13="","",4*$F13)</f>
        <v/>
      </c>
      <c r="S13" s="91">
        <f>IF($A13="","",$O13-$E$60-$F$60)</f>
        <v/>
      </c>
      <c r="T13" s="89">
        <f>IF($A13="","",4*$F13)</f>
        <v/>
      </c>
      <c r="U13" s="91">
        <f>IF($A13="","",$M13)</f>
        <v/>
      </c>
      <c r="V13" s="89">
        <f>IF($A13="","",2*$F13)</f>
        <v/>
      </c>
      <c r="W13" s="91">
        <f>IF($A13="","",$D13-$E$62-$F$62)</f>
        <v/>
      </c>
      <c r="X13" s="89">
        <f>IF($A13="","",2*$F13)</f>
        <v/>
      </c>
      <c r="Y13" s="91">
        <f>IF($A13="","",$E13-$E$63-$F$63)</f>
        <v/>
      </c>
      <c r="Z13" s="89">
        <f>IF($A13="","",3*$F13)</f>
        <v/>
      </c>
      <c r="AA13" s="91">
        <f>IF($A13="","",$D13-$E$64-$F$64)</f>
        <v/>
      </c>
      <c r="AB13" s="89">
        <f>IF($A13="","",2*$F13)</f>
        <v/>
      </c>
      <c r="AC13" s="91">
        <f>IF($A13="","",$U13)</f>
        <v/>
      </c>
      <c r="AD13" s="89">
        <f>IF($A13="","",2*$F13)</f>
        <v/>
      </c>
      <c r="AE13" s="91">
        <f>IF($A13="","",$E13)</f>
        <v/>
      </c>
      <c r="AF13" s="89">
        <f>IF($A13="","",1*$F13)</f>
        <v/>
      </c>
      <c r="AG13" s="91">
        <f>IF($A13="","",$E13-$E$67-$F$67)</f>
        <v/>
      </c>
      <c r="AH13" s="89">
        <f>IF($A13="","",3*$F13)</f>
        <v/>
      </c>
      <c r="AI13" s="91">
        <f>IF($A13="","",$C13-$E$68-$F$68)</f>
        <v/>
      </c>
      <c r="AJ13" s="89">
        <f>IF($A13="","",2*$F13)</f>
        <v/>
      </c>
      <c r="AK13" s="91">
        <f>IF($A13="","",$C13-$E$69-$F$69)</f>
        <v/>
      </c>
      <c r="AL13" s="89">
        <f>IF($A13="","",2*$F13)</f>
        <v/>
      </c>
      <c r="AM13" s="91">
        <f>IF($A13="","",$C13-$E$70-$F$70)</f>
        <v/>
      </c>
      <c r="AN13" s="89">
        <f>IF($A13="","",2*$F13)</f>
        <v/>
      </c>
      <c r="AO13" s="93">
        <f>IF($A13="","",$M13-56-56)</f>
        <v/>
      </c>
      <c r="AP13" s="94">
        <f>IF($A13="","",$O13-56-56)</f>
        <v/>
      </c>
      <c r="AQ13" s="95">
        <f>IF($A13="","",2*$F13)</f>
        <v/>
      </c>
      <c r="AR13" s="93">
        <f>IF($A13="","",$C13-35-35)</f>
        <v/>
      </c>
      <c r="AS13" s="94">
        <f>IF($A13="","",$E13-35-35)</f>
        <v/>
      </c>
    </row>
    <row r="14" ht="40.15" customHeight="1">
      <c r="A14" s="99" t="n"/>
      <c r="B14" s="88" t="n"/>
      <c r="C14" s="115">
        <f>IF($A14="","",($B14-$D14))</f>
        <v/>
      </c>
      <c r="D14" s="116" t="n"/>
      <c r="E14" s="89" t="n"/>
      <c r="F14" s="90" t="n"/>
      <c r="G14" s="96">
        <f>IF($A14="","",$B14)</f>
        <v/>
      </c>
      <c r="H14" s="97">
        <f>IF($A14="","",2*$F14)</f>
        <v/>
      </c>
      <c r="I14" s="96">
        <f>IF($A14="","",$E14-$E$55-$F$55)</f>
        <v/>
      </c>
      <c r="J14" s="97">
        <f>IF($A14="","",2*$F14)</f>
        <v/>
      </c>
      <c r="K14" s="96">
        <f>IF($A14="","",$E14)</f>
        <v/>
      </c>
      <c r="L14" s="97">
        <f>IF($A14="","",1*$F14)</f>
        <v/>
      </c>
      <c r="M14" s="96">
        <f>IF($A14="","",$D14-$E$57-$F$57-$G$57-$H$57)</f>
        <v/>
      </c>
      <c r="N14" s="97">
        <f>IF($A14="","",4*$F14)</f>
        <v/>
      </c>
      <c r="O14" s="96">
        <f>IF($A14="","",(($E14-$E$58-$F$58-$G$58-$H$58-$I$58)/2)+(66*1)/2)</f>
        <v/>
      </c>
      <c r="P14" s="97">
        <f>IF($A14="","",4*$F14)</f>
        <v/>
      </c>
      <c r="Q14" s="96">
        <f>IF($A14="","",$M14-$E$59-$F$59)</f>
        <v/>
      </c>
      <c r="R14" s="97">
        <f>IF($A14="","",4*$F14)</f>
        <v/>
      </c>
      <c r="S14" s="96">
        <f>IF($A14="","",$O14-$E$60-$F$60)</f>
        <v/>
      </c>
      <c r="T14" s="97">
        <f>IF($A14="","",4*$F14)</f>
        <v/>
      </c>
      <c r="U14" s="96">
        <f>IF($A14="","",$M14)</f>
        <v/>
      </c>
      <c r="V14" s="97">
        <f>IF($A14="","",2*$F14)</f>
        <v/>
      </c>
      <c r="W14" s="96">
        <f>IF($A14="","",$D14-$E$62-$F$62)</f>
        <v/>
      </c>
      <c r="X14" s="97">
        <f>IF($A14="","",2*$F14)</f>
        <v/>
      </c>
      <c r="Y14" s="96">
        <f>IF($A14="","",$E14-$E$63-$F$63)</f>
        <v/>
      </c>
      <c r="Z14" s="97">
        <f>IF($A14="","",3*$F14)</f>
        <v/>
      </c>
      <c r="AA14" s="96">
        <f>IF($A14="","",$D14-$E$64-$F$64)</f>
        <v/>
      </c>
      <c r="AB14" s="97">
        <f>IF($A14="","",2*$F14)</f>
        <v/>
      </c>
      <c r="AC14" s="96">
        <f>IF($A14="","",$U14)</f>
        <v/>
      </c>
      <c r="AD14" s="97">
        <f>IF($A14="","",2*$F14)</f>
        <v/>
      </c>
      <c r="AE14" s="96">
        <f>IF($A14="","",$E14)</f>
        <v/>
      </c>
      <c r="AF14" s="97">
        <f>IF($A14="","",1*$F14)</f>
        <v/>
      </c>
      <c r="AG14" s="96">
        <f>IF($A14="","",$E14-$E$67-$F$67)</f>
        <v/>
      </c>
      <c r="AH14" s="97">
        <f>IF($A14="","",3*$F14)</f>
        <v/>
      </c>
      <c r="AI14" s="96">
        <f>IF($A14="","",$C14-$E$68-$F$68)</f>
        <v/>
      </c>
      <c r="AJ14" s="97">
        <f>IF($A14="","",2*$F14)</f>
        <v/>
      </c>
      <c r="AK14" s="96">
        <f>IF($A14="","",$C14-$E$69-$F$69)</f>
        <v/>
      </c>
      <c r="AL14" s="97">
        <f>IF($A14="","",2*$F14)</f>
        <v/>
      </c>
      <c r="AM14" s="96">
        <f>IF($A14="","",$C14-$E$70-$F$70)</f>
        <v/>
      </c>
      <c r="AN14" s="97">
        <f>IF($A14="","",2*$F14)</f>
        <v/>
      </c>
      <c r="AO14" s="93">
        <f>IF($A14="","",$M14-56-56)</f>
        <v/>
      </c>
      <c r="AP14" s="94">
        <f>IF($A14="","",$O14-56-56)</f>
        <v/>
      </c>
      <c r="AQ14" s="95">
        <f>IF($A14="","",2*$F14)</f>
        <v/>
      </c>
      <c r="AR14" s="93">
        <f>IF($A14="","",$C14-35-35)</f>
        <v/>
      </c>
      <c r="AS14" s="94">
        <f>IF($A14="","",$E14-35-35)</f>
        <v/>
      </c>
    </row>
    <row r="15" ht="40.15" customHeight="1">
      <c r="A15" s="99" t="n"/>
      <c r="B15" s="88" t="n"/>
      <c r="C15" s="115">
        <f>IF($A15="","",($B15-$D15))</f>
        <v/>
      </c>
      <c r="D15" s="116" t="n"/>
      <c r="E15" s="89" t="n"/>
      <c r="F15" s="90" t="n"/>
      <c r="G15" s="91">
        <f>IF($A15="","",$B15)</f>
        <v/>
      </c>
      <c r="H15" s="89">
        <f>IF($A15="","",2*$F15)</f>
        <v/>
      </c>
      <c r="I15" s="91">
        <f>IF($A15="","",$E15-$E$55-$F$55)</f>
        <v/>
      </c>
      <c r="J15" s="89">
        <f>IF($A15="","",2*$F15)</f>
        <v/>
      </c>
      <c r="K15" s="91">
        <f>IF($A15="","",$E15)</f>
        <v/>
      </c>
      <c r="L15" s="89">
        <f>IF($A15="","",1*$F15)</f>
        <v/>
      </c>
      <c r="M15" s="91">
        <f>IF($A15="","",$D15-$E$57-$F$57-$G$57-$H$57)</f>
        <v/>
      </c>
      <c r="N15" s="89">
        <f>IF($A15="","",4*$F15)</f>
        <v/>
      </c>
      <c r="O15" s="91">
        <f>IF($A15="","",(($E15-$E$58-$F$58-$G$58-$H$58-$I$58)/2)+(66*1)/2)</f>
        <v/>
      </c>
      <c r="P15" s="89">
        <f>IF($A15="","",4*$F15)</f>
        <v/>
      </c>
      <c r="Q15" s="91">
        <f>IF($A15="","",$M15-$E$59-$F$59)</f>
        <v/>
      </c>
      <c r="R15" s="89">
        <f>IF($A15="","",4*$F15)</f>
        <v/>
      </c>
      <c r="S15" s="91">
        <f>IF($A15="","",$O15-$E$60-$F$60)</f>
        <v/>
      </c>
      <c r="T15" s="89">
        <f>IF($A15="","",4*$F15)</f>
        <v/>
      </c>
      <c r="U15" s="91">
        <f>IF($A15="","",$M15)</f>
        <v/>
      </c>
      <c r="V15" s="89">
        <f>IF($A15="","",2*$F15)</f>
        <v/>
      </c>
      <c r="W15" s="91">
        <f>IF($A15="","",$D15-$E$62-$F$62)</f>
        <v/>
      </c>
      <c r="X15" s="89">
        <f>IF($A15="","",2*$F15)</f>
        <v/>
      </c>
      <c r="Y15" s="91">
        <f>IF($A15="","",$E15-$E$63-$F$63)</f>
        <v/>
      </c>
      <c r="Z15" s="89">
        <f>IF($A15="","",3*$F15)</f>
        <v/>
      </c>
      <c r="AA15" s="91">
        <f>IF($A15="","",$D15-$E$64-$F$64)</f>
        <v/>
      </c>
      <c r="AB15" s="89">
        <f>IF($A15="","",2*$F15)</f>
        <v/>
      </c>
      <c r="AC15" s="91">
        <f>IF($A15="","",$U15)</f>
        <v/>
      </c>
      <c r="AD15" s="89">
        <f>IF($A15="","",2*$F15)</f>
        <v/>
      </c>
      <c r="AE15" s="91">
        <f>IF($A15="","",$E15)</f>
        <v/>
      </c>
      <c r="AF15" s="89">
        <f>IF($A15="","",1*$F15)</f>
        <v/>
      </c>
      <c r="AG15" s="91">
        <f>IF($A15="","",$E15-$E$67-$F$67)</f>
        <v/>
      </c>
      <c r="AH15" s="89">
        <f>IF($A15="","",3*$F15)</f>
        <v/>
      </c>
      <c r="AI15" s="91">
        <f>IF($A15="","",$C15-$E$68-$F$68)</f>
        <v/>
      </c>
      <c r="AJ15" s="89">
        <f>IF($A15="","",2*$F15)</f>
        <v/>
      </c>
      <c r="AK15" s="91">
        <f>IF($A15="","",$C15-$E$69-$F$69)</f>
        <v/>
      </c>
      <c r="AL15" s="89">
        <f>IF($A15="","",2*$F15)</f>
        <v/>
      </c>
      <c r="AM15" s="91">
        <f>IF($A15="","",$C15-$E$70-$F$70)</f>
        <v/>
      </c>
      <c r="AN15" s="89">
        <f>IF($A15="","",2*$F15)</f>
        <v/>
      </c>
      <c r="AO15" s="93">
        <f>IF($A15="","",$M15-56-56)</f>
        <v/>
      </c>
      <c r="AP15" s="94">
        <f>IF($A15="","",$O15-56-56)</f>
        <v/>
      </c>
      <c r="AQ15" s="95">
        <f>IF($A15="","",2*$F15)</f>
        <v/>
      </c>
      <c r="AR15" s="93">
        <f>IF($A15="","",$C15-35-35)</f>
        <v/>
      </c>
      <c r="AS15" s="94">
        <f>IF($A15="","",$E15-35-35)</f>
        <v/>
      </c>
    </row>
    <row r="16" ht="40.15" customHeight="1">
      <c r="A16" s="99" t="n"/>
      <c r="B16" s="88" t="n"/>
      <c r="C16" s="115">
        <f>IF($A16="","",($B16-$D16))</f>
        <v/>
      </c>
      <c r="D16" s="116" t="n"/>
      <c r="E16" s="89" t="n"/>
      <c r="F16" s="90" t="n"/>
      <c r="G16" s="96">
        <f>IF($A16="","",$B16)</f>
        <v/>
      </c>
      <c r="H16" s="97">
        <f>IF($A16="","",2*$F16)</f>
        <v/>
      </c>
      <c r="I16" s="96">
        <f>IF($A16="","",$E16-$E$55-$F$55)</f>
        <v/>
      </c>
      <c r="J16" s="97">
        <f>IF($A16="","",2*$F16)</f>
        <v/>
      </c>
      <c r="K16" s="96">
        <f>IF($A16="","",$E16)</f>
        <v/>
      </c>
      <c r="L16" s="97">
        <f>IF($A16="","",1*$F16)</f>
        <v/>
      </c>
      <c r="M16" s="96">
        <f>IF($A16="","",$D16-$E$57-$F$57-$G$57-$H$57)</f>
        <v/>
      </c>
      <c r="N16" s="97">
        <f>IF($A16="","",4*$F16)</f>
        <v/>
      </c>
      <c r="O16" s="96">
        <f>IF($A16="","",(($E16-$E$58-$F$58-$G$58-$H$58-$I$58)/2)+(66*1)/2)</f>
        <v/>
      </c>
      <c r="P16" s="97">
        <f>IF($A16="","",4*$F16)</f>
        <v/>
      </c>
      <c r="Q16" s="96">
        <f>IF($A16="","",$M16-$E$59-$F$59)</f>
        <v/>
      </c>
      <c r="R16" s="97">
        <f>IF($A16="","",4*$F16)</f>
        <v/>
      </c>
      <c r="S16" s="96">
        <f>IF($A16="","",$O16-$E$60-$F$60)</f>
        <v/>
      </c>
      <c r="T16" s="97">
        <f>IF($A16="","",4*$F16)</f>
        <v/>
      </c>
      <c r="U16" s="96">
        <f>IF($A16="","",$M16)</f>
        <v/>
      </c>
      <c r="V16" s="97">
        <f>IF($A16="","",2*$F16)</f>
        <v/>
      </c>
      <c r="W16" s="96">
        <f>IF($A16="","",$D16-$E$62-$F$62)</f>
        <v/>
      </c>
      <c r="X16" s="97">
        <f>IF($A16="","",2*$F16)</f>
        <v/>
      </c>
      <c r="Y16" s="96">
        <f>IF($A16="","",$E16-$E$63-$F$63)</f>
        <v/>
      </c>
      <c r="Z16" s="97">
        <f>IF($A16="","",3*$F16)</f>
        <v/>
      </c>
      <c r="AA16" s="96">
        <f>IF($A16="","",$D16-$E$64-$F$64)</f>
        <v/>
      </c>
      <c r="AB16" s="97">
        <f>IF($A16="","",2*$F16)</f>
        <v/>
      </c>
      <c r="AC16" s="96">
        <f>IF($A16="","",$U16)</f>
        <v/>
      </c>
      <c r="AD16" s="97">
        <f>IF($A16="","",2*$F16)</f>
        <v/>
      </c>
      <c r="AE16" s="96">
        <f>IF($A16="","",$E16)</f>
        <v/>
      </c>
      <c r="AF16" s="97">
        <f>IF($A16="","",1*$F16)</f>
        <v/>
      </c>
      <c r="AG16" s="96">
        <f>IF($A16="","",$E16-$E$67-$F$67)</f>
        <v/>
      </c>
      <c r="AH16" s="97">
        <f>IF($A16="","",3*$F16)</f>
        <v/>
      </c>
      <c r="AI16" s="96">
        <f>IF($A16="","",$C16-$E$68-$F$68)</f>
        <v/>
      </c>
      <c r="AJ16" s="97">
        <f>IF($A16="","",2*$F16)</f>
        <v/>
      </c>
      <c r="AK16" s="96">
        <f>IF($A16="","",$C16-$E$69-$F$69)</f>
        <v/>
      </c>
      <c r="AL16" s="97">
        <f>IF($A16="","",2*$F16)</f>
        <v/>
      </c>
      <c r="AM16" s="96">
        <f>IF($A16="","",$C16-$E$70-$F$70)</f>
        <v/>
      </c>
      <c r="AN16" s="97">
        <f>IF($A16="","",2*$F16)</f>
        <v/>
      </c>
      <c r="AO16" s="93">
        <f>IF($A16="","",$M16-56-56)</f>
        <v/>
      </c>
      <c r="AP16" s="94">
        <f>IF($A16="","",$O16-56-56)</f>
        <v/>
      </c>
      <c r="AQ16" s="95">
        <f>IF($A16="","",2*$F16)</f>
        <v/>
      </c>
      <c r="AR16" s="93">
        <f>IF($A16="","",$C16-35-35)</f>
        <v/>
      </c>
      <c r="AS16" s="94">
        <f>IF($A16="","",$E16-35-35)</f>
        <v/>
      </c>
    </row>
    <row r="17" ht="40.15" customHeight="1">
      <c r="A17" s="99" t="n"/>
      <c r="B17" s="88" t="n"/>
      <c r="C17" s="115">
        <f>IF($A17="","",($B17-$D17))</f>
        <v/>
      </c>
      <c r="D17" s="116" t="n"/>
      <c r="E17" s="89" t="n"/>
      <c r="F17" s="90" t="n"/>
      <c r="G17" s="91">
        <f>IF($A17="","",$B17)</f>
        <v/>
      </c>
      <c r="H17" s="89">
        <f>IF($A17="","",2*$F17)</f>
        <v/>
      </c>
      <c r="I17" s="91">
        <f>IF($A17="","",$E17-$E$55-$F$55)</f>
        <v/>
      </c>
      <c r="J17" s="89">
        <f>IF($A17="","",2*$F17)</f>
        <v/>
      </c>
      <c r="K17" s="91">
        <f>IF($A17="","",$E17)</f>
        <v/>
      </c>
      <c r="L17" s="89">
        <f>IF($A17="","",1*$F17)</f>
        <v/>
      </c>
      <c r="M17" s="91">
        <f>IF($A17="","",$D17-$E$57-$F$57-$G$57-$H$57)</f>
        <v/>
      </c>
      <c r="N17" s="89">
        <f>IF($A17="","",4*$F17)</f>
        <v/>
      </c>
      <c r="O17" s="91">
        <f>IF($A17="","",(($E17-$E$58-$F$58-$G$58-$H$58-$I$58)/2)+(66*1)/2)</f>
        <v/>
      </c>
      <c r="P17" s="89">
        <f>IF($A17="","",4*$F17)</f>
        <v/>
      </c>
      <c r="Q17" s="91">
        <f>IF($A17="","",$M17-$E$59-$F$59)</f>
        <v/>
      </c>
      <c r="R17" s="89">
        <f>IF($A17="","",4*$F17)</f>
        <v/>
      </c>
      <c r="S17" s="91">
        <f>IF($A17="","",$O17-$E$60-$F$60)</f>
        <v/>
      </c>
      <c r="T17" s="89">
        <f>IF($A17="","",4*$F17)</f>
        <v/>
      </c>
      <c r="U17" s="91">
        <f>IF($A17="","",$M17)</f>
        <v/>
      </c>
      <c r="V17" s="89">
        <f>IF($A17="","",2*$F17)</f>
        <v/>
      </c>
      <c r="W17" s="91">
        <f>IF($A17="","",$D17-$E$62-$F$62)</f>
        <v/>
      </c>
      <c r="X17" s="89">
        <f>IF($A17="","",2*$F17)</f>
        <v/>
      </c>
      <c r="Y17" s="91">
        <f>IF($A17="","",$E17-$E$63-$F$63)</f>
        <v/>
      </c>
      <c r="Z17" s="89">
        <f>IF($A17="","",3*$F17)</f>
        <v/>
      </c>
      <c r="AA17" s="91">
        <f>IF($A17="","",$D17-$E$64-$F$64)</f>
        <v/>
      </c>
      <c r="AB17" s="89">
        <f>IF($A17="","",2*$F17)</f>
        <v/>
      </c>
      <c r="AC17" s="91">
        <f>IF($A17="","",$U17)</f>
        <v/>
      </c>
      <c r="AD17" s="89">
        <f>IF($A17="","",2*$F17)</f>
        <v/>
      </c>
      <c r="AE17" s="91">
        <f>IF($A17="","",$E17)</f>
        <v/>
      </c>
      <c r="AF17" s="89">
        <f>IF($A17="","",1*$F17)</f>
        <v/>
      </c>
      <c r="AG17" s="91">
        <f>IF($A17="","",$E17-$E$67-$F$67)</f>
        <v/>
      </c>
      <c r="AH17" s="89">
        <f>IF($A17="","",3*$F17)</f>
        <v/>
      </c>
      <c r="AI17" s="91">
        <f>IF($A17="","",$C17-$E$68-$F$68)</f>
        <v/>
      </c>
      <c r="AJ17" s="89">
        <f>IF($A17="","",2*$F17)</f>
        <v/>
      </c>
      <c r="AK17" s="91">
        <f>IF($A17="","",$C17-$E$69-$F$69)</f>
        <v/>
      </c>
      <c r="AL17" s="89">
        <f>IF($A17="","",2*$F17)</f>
        <v/>
      </c>
      <c r="AM17" s="91">
        <f>IF($A17="","",$C17-$E$70-$F$70)</f>
        <v/>
      </c>
      <c r="AN17" s="89">
        <f>IF($A17="","",2*$F17)</f>
        <v/>
      </c>
      <c r="AO17" s="93">
        <f>IF($A17="","",$M17-56-56)</f>
        <v/>
      </c>
      <c r="AP17" s="94">
        <f>IF($A17="","",$O17-56-56)</f>
        <v/>
      </c>
      <c r="AQ17" s="95">
        <f>IF($A17="","",2*$F17)</f>
        <v/>
      </c>
      <c r="AR17" s="93">
        <f>IF($A17="","",$C17-35-35)</f>
        <v/>
      </c>
      <c r="AS17" s="94">
        <f>IF($A17="","",$E17-35-35)</f>
        <v/>
      </c>
    </row>
    <row r="18" ht="40.15" customHeight="1">
      <c r="A18" s="99" t="n"/>
      <c r="B18" s="88" t="n"/>
      <c r="C18" s="115">
        <f>IF($A18="","",($B18-$D18))</f>
        <v/>
      </c>
      <c r="D18" s="116" t="n"/>
      <c r="E18" s="89" t="n"/>
      <c r="F18" s="90" t="n"/>
      <c r="G18" s="96">
        <f>IF($A18="","",$B18)</f>
        <v/>
      </c>
      <c r="H18" s="97">
        <f>IF($A18="","",2*$F18)</f>
        <v/>
      </c>
      <c r="I18" s="96">
        <f>IF($A18="","",$E18-$E$55-$F$55)</f>
        <v/>
      </c>
      <c r="J18" s="97">
        <f>IF($A18="","",2*$F18)</f>
        <v/>
      </c>
      <c r="K18" s="96">
        <f>IF($A18="","",$E18)</f>
        <v/>
      </c>
      <c r="L18" s="97">
        <f>IF($A18="","",1*$F18)</f>
        <v/>
      </c>
      <c r="M18" s="96">
        <f>IF($A18="","",$D18-$E$57-$F$57-$G$57-$H$57)</f>
        <v/>
      </c>
      <c r="N18" s="97">
        <f>IF($A18="","",4*$F18)</f>
        <v/>
      </c>
      <c r="O18" s="96">
        <f>IF($A18="","",(($E18-$E$58-$F$58-$G$58-$H$58-$I$58)/2)+(66*1)/2)</f>
        <v/>
      </c>
      <c r="P18" s="97">
        <f>IF($A18="","",4*$F18)</f>
        <v/>
      </c>
      <c r="Q18" s="96">
        <f>IF($A18="","",$M18-$E$59-$F$59)</f>
        <v/>
      </c>
      <c r="R18" s="97">
        <f>IF($A18="","",4*$F18)</f>
        <v/>
      </c>
      <c r="S18" s="96">
        <f>IF($A18="","",$O18-$E$60-$F$60)</f>
        <v/>
      </c>
      <c r="T18" s="97">
        <f>IF($A18="","",4*$F18)</f>
        <v/>
      </c>
      <c r="U18" s="96">
        <f>IF($A18="","",$M18)</f>
        <v/>
      </c>
      <c r="V18" s="97">
        <f>IF($A18="","",2*$F18)</f>
        <v/>
      </c>
      <c r="W18" s="96">
        <f>IF($A18="","",$D18-$E$62-$F$62)</f>
        <v/>
      </c>
      <c r="X18" s="97">
        <f>IF($A18="","",2*$F18)</f>
        <v/>
      </c>
      <c r="Y18" s="96">
        <f>IF($A18="","",$E18-$E$63-$F$63)</f>
        <v/>
      </c>
      <c r="Z18" s="97">
        <f>IF($A18="","",3*$F18)</f>
        <v/>
      </c>
      <c r="AA18" s="96">
        <f>IF($A18="","",$D18-$E$64-$F$64)</f>
        <v/>
      </c>
      <c r="AB18" s="97">
        <f>IF($A18="","",2*$F18)</f>
        <v/>
      </c>
      <c r="AC18" s="96">
        <f>IF($A18="","",$U18)</f>
        <v/>
      </c>
      <c r="AD18" s="97">
        <f>IF($A18="","",2*$F18)</f>
        <v/>
      </c>
      <c r="AE18" s="96">
        <f>IF($A18="","",$E18)</f>
        <v/>
      </c>
      <c r="AF18" s="97">
        <f>IF($A18="","",1*$F18)</f>
        <v/>
      </c>
      <c r="AG18" s="96">
        <f>IF($A18="","",$E18-$E$67-$F$67)</f>
        <v/>
      </c>
      <c r="AH18" s="97">
        <f>IF($A18="","",3*$F18)</f>
        <v/>
      </c>
      <c r="AI18" s="96">
        <f>IF($A18="","",$C18-$E$68-$F$68)</f>
        <v/>
      </c>
      <c r="AJ18" s="97">
        <f>IF($A18="","",2*$F18)</f>
        <v/>
      </c>
      <c r="AK18" s="96">
        <f>IF($A18="","",$C18-$E$69-$F$69)</f>
        <v/>
      </c>
      <c r="AL18" s="97">
        <f>IF($A18="","",2*$F18)</f>
        <v/>
      </c>
      <c r="AM18" s="96">
        <f>IF($A18="","",$C18-$E$70-$F$70)</f>
        <v/>
      </c>
      <c r="AN18" s="97">
        <f>IF($A18="","",2*$F18)</f>
        <v/>
      </c>
      <c r="AO18" s="93">
        <f>IF($A18="","",$M18-56-56)</f>
        <v/>
      </c>
      <c r="AP18" s="94">
        <f>IF($A18="","",$O18-56-56)</f>
        <v/>
      </c>
      <c r="AQ18" s="95">
        <f>IF($A18="","",2*$F18)</f>
        <v/>
      </c>
      <c r="AR18" s="93">
        <f>IF($A18="","",$C18-35-35)</f>
        <v/>
      </c>
      <c r="AS18" s="94">
        <f>IF($A18="","",$E18-35-35)</f>
        <v/>
      </c>
    </row>
    <row r="19" ht="40.15" customHeight="1">
      <c r="A19" s="99" t="n"/>
      <c r="B19" s="88" t="n"/>
      <c r="C19" s="115">
        <f>IF($A19="","",($B19-$D19))</f>
        <v/>
      </c>
      <c r="D19" s="116" t="n"/>
      <c r="E19" s="89" t="n"/>
      <c r="F19" s="90" t="n"/>
      <c r="G19" s="91">
        <f>IF($A19="","",$B19)</f>
        <v/>
      </c>
      <c r="H19" s="89">
        <f>IF($A19="","",2*$F19)</f>
        <v/>
      </c>
      <c r="I19" s="91">
        <f>IF($A19="","",$E19-$E$55-$F$55)</f>
        <v/>
      </c>
      <c r="J19" s="89">
        <f>IF($A19="","",2*$F19)</f>
        <v/>
      </c>
      <c r="K19" s="91">
        <f>IF($A19="","",$E19)</f>
        <v/>
      </c>
      <c r="L19" s="89">
        <f>IF($A19="","",1*$F19)</f>
        <v/>
      </c>
      <c r="M19" s="91">
        <f>IF($A19="","",$D19-$E$57-$F$57-$G$57-$H$57)</f>
        <v/>
      </c>
      <c r="N19" s="89">
        <f>IF($A19="","",4*$F19)</f>
        <v/>
      </c>
      <c r="O19" s="91">
        <f>IF($A19="","",(($E19-$E$58-$F$58-$G$58-$H$58-$I$58)/2)+(66*1)/2)</f>
        <v/>
      </c>
      <c r="P19" s="89">
        <f>IF($A19="","",4*$F19)</f>
        <v/>
      </c>
      <c r="Q19" s="91">
        <f>IF($A19="","",$M19-$E$59-$F$59)</f>
        <v/>
      </c>
      <c r="R19" s="89">
        <f>IF($A19="","",4*$F19)</f>
        <v/>
      </c>
      <c r="S19" s="91">
        <f>IF($A19="","",$O19-$E$60-$F$60)</f>
        <v/>
      </c>
      <c r="T19" s="89">
        <f>IF($A19="","",4*$F19)</f>
        <v/>
      </c>
      <c r="U19" s="91">
        <f>IF($A19="","",$M19)</f>
        <v/>
      </c>
      <c r="V19" s="89">
        <f>IF($A19="","",2*$F19)</f>
        <v/>
      </c>
      <c r="W19" s="91">
        <f>IF($A19="","",$D19-$E$62-$F$62)</f>
        <v/>
      </c>
      <c r="X19" s="89">
        <f>IF($A19="","",2*$F19)</f>
        <v/>
      </c>
      <c r="Y19" s="91">
        <f>IF($A19="","",$E19-$E$63-$F$63)</f>
        <v/>
      </c>
      <c r="Z19" s="89">
        <f>IF($A19="","",3*$F19)</f>
        <v/>
      </c>
      <c r="AA19" s="91">
        <f>IF($A19="","",$D19-$E$64-$F$64)</f>
        <v/>
      </c>
      <c r="AB19" s="89">
        <f>IF($A19="","",2*$F19)</f>
        <v/>
      </c>
      <c r="AC19" s="91">
        <f>IF($A19="","",$U19)</f>
        <v/>
      </c>
      <c r="AD19" s="89">
        <f>IF($A19="","",2*$F19)</f>
        <v/>
      </c>
      <c r="AE19" s="91">
        <f>IF($A19="","",$E19)</f>
        <v/>
      </c>
      <c r="AF19" s="89">
        <f>IF($A19="","",1*$F19)</f>
        <v/>
      </c>
      <c r="AG19" s="91">
        <f>IF($A19="","",$E19-$E$67-$F$67)</f>
        <v/>
      </c>
      <c r="AH19" s="89">
        <f>IF($A19="","",3*$F19)</f>
        <v/>
      </c>
      <c r="AI19" s="91">
        <f>IF($A19="","",$C19-$E$68-$F$68)</f>
        <v/>
      </c>
      <c r="AJ19" s="89">
        <f>IF($A19="","",2*$F19)</f>
        <v/>
      </c>
      <c r="AK19" s="91">
        <f>IF($A19="","",$C19-$E$69-$F$69)</f>
        <v/>
      </c>
      <c r="AL19" s="89">
        <f>IF($A19="","",2*$F19)</f>
        <v/>
      </c>
      <c r="AM19" s="91">
        <f>IF($A19="","",$C19-$E$70-$F$70)</f>
        <v/>
      </c>
      <c r="AN19" s="89">
        <f>IF($A19="","",2*$F19)</f>
        <v/>
      </c>
      <c r="AO19" s="93">
        <f>IF($A19="","",$M19-56-56)</f>
        <v/>
      </c>
      <c r="AP19" s="94">
        <f>IF($A19="","",$O19-56-56)</f>
        <v/>
      </c>
      <c r="AQ19" s="95">
        <f>IF($A19="","",2*$F19)</f>
        <v/>
      </c>
      <c r="AR19" s="93">
        <f>IF($A19="","",$C19-35-35)</f>
        <v/>
      </c>
      <c r="AS19" s="94">
        <f>IF($A19="","",$E19-35-35)</f>
        <v/>
      </c>
    </row>
    <row r="20" ht="40.15" customHeight="1">
      <c r="A20" s="99" t="n"/>
      <c r="B20" s="88" t="n"/>
      <c r="C20" s="115">
        <f>IF($A20="","",($B20-$D20))</f>
        <v/>
      </c>
      <c r="D20" s="116" t="n"/>
      <c r="E20" s="89" t="n"/>
      <c r="F20" s="90" t="n"/>
      <c r="G20" s="96">
        <f>IF($A20="","",$B20)</f>
        <v/>
      </c>
      <c r="H20" s="97">
        <f>IF($A20="","",2*$F20)</f>
        <v/>
      </c>
      <c r="I20" s="96">
        <f>IF($A20="","",$E20-$E$55-$F$55)</f>
        <v/>
      </c>
      <c r="J20" s="97">
        <f>IF($A20="","",2*$F20)</f>
        <v/>
      </c>
      <c r="K20" s="96">
        <f>IF($A20="","",$E20)</f>
        <v/>
      </c>
      <c r="L20" s="97">
        <f>IF($A20="","",1*$F20)</f>
        <v/>
      </c>
      <c r="M20" s="96">
        <f>IF($A20="","",$D20-$E$57-$F$57-$G$57-$H$57)</f>
        <v/>
      </c>
      <c r="N20" s="97">
        <f>IF($A20="","",4*$F20)</f>
        <v/>
      </c>
      <c r="O20" s="96">
        <f>IF($A20="","",(($E20-$E$58-$F$58-$G$58-$H$58-$I$58)/2)+(66*1)/2)</f>
        <v/>
      </c>
      <c r="P20" s="97">
        <f>IF($A20="","",4*$F20)</f>
        <v/>
      </c>
      <c r="Q20" s="96">
        <f>IF($A20="","",$M20-$E$59-$F$59)</f>
        <v/>
      </c>
      <c r="R20" s="97">
        <f>IF($A20="","",4*$F20)</f>
        <v/>
      </c>
      <c r="S20" s="96">
        <f>IF($A20="","",$O20-$E$60-$F$60)</f>
        <v/>
      </c>
      <c r="T20" s="97">
        <f>IF($A20="","",4*$F20)</f>
        <v/>
      </c>
      <c r="U20" s="96">
        <f>IF($A20="","",$M20)</f>
        <v/>
      </c>
      <c r="V20" s="97">
        <f>IF($A20="","",2*$F20)</f>
        <v/>
      </c>
      <c r="W20" s="96">
        <f>IF($A20="","",$D20-$E$62-$F$62)</f>
        <v/>
      </c>
      <c r="X20" s="97">
        <f>IF($A20="","",2*$F20)</f>
        <v/>
      </c>
      <c r="Y20" s="96">
        <f>IF($A20="","",$E20-$E$63-$F$63)</f>
        <v/>
      </c>
      <c r="Z20" s="97">
        <f>IF($A20="","",3*$F20)</f>
        <v/>
      </c>
      <c r="AA20" s="96">
        <f>IF($A20="","",$D20-$E$64-$F$64)</f>
        <v/>
      </c>
      <c r="AB20" s="97">
        <f>IF($A20="","",2*$F20)</f>
        <v/>
      </c>
      <c r="AC20" s="96">
        <f>IF($A20="","",$U20)</f>
        <v/>
      </c>
      <c r="AD20" s="97">
        <f>IF($A20="","",2*$F20)</f>
        <v/>
      </c>
      <c r="AE20" s="96">
        <f>IF($A20="","",$E20)</f>
        <v/>
      </c>
      <c r="AF20" s="97">
        <f>IF($A20="","",1*$F20)</f>
        <v/>
      </c>
      <c r="AG20" s="96">
        <f>IF($A20="","",$E20-$E$67-$F$67)</f>
        <v/>
      </c>
      <c r="AH20" s="97">
        <f>IF($A20="","",3*$F20)</f>
        <v/>
      </c>
      <c r="AI20" s="96">
        <f>IF($A20="","",$C20-$E$68-$F$68)</f>
        <v/>
      </c>
      <c r="AJ20" s="97">
        <f>IF($A20="","",2*$F20)</f>
        <v/>
      </c>
      <c r="AK20" s="96">
        <f>IF($A20="","",$C20-$E$69-$F$69)</f>
        <v/>
      </c>
      <c r="AL20" s="97">
        <f>IF($A20="","",2*$F20)</f>
        <v/>
      </c>
      <c r="AM20" s="96">
        <f>IF($A20="","",$C20-$E$70-$F$70)</f>
        <v/>
      </c>
      <c r="AN20" s="97">
        <f>IF($A20="","",2*$F20)</f>
        <v/>
      </c>
      <c r="AO20" s="93">
        <f>IF($A20="","",$M20-56-56)</f>
        <v/>
      </c>
      <c r="AP20" s="94">
        <f>IF($A20="","",$O20-56-56)</f>
        <v/>
      </c>
      <c r="AQ20" s="95">
        <f>IF($A20="","",2*$F20)</f>
        <v/>
      </c>
      <c r="AR20" s="93">
        <f>IF($A20="","",$C20-35-35)</f>
        <v/>
      </c>
      <c r="AS20" s="94">
        <f>IF($A20="","",$E20-35-35)</f>
        <v/>
      </c>
    </row>
    <row r="21" ht="40.15" customHeight="1">
      <c r="A21" s="99" t="n"/>
      <c r="B21" s="88" t="n"/>
      <c r="C21" s="115">
        <f>IF($A21="","",($B21-$D21))</f>
        <v/>
      </c>
      <c r="D21" s="116" t="n"/>
      <c r="E21" s="89" t="n"/>
      <c r="F21" s="90" t="n"/>
      <c r="G21" s="91">
        <f>IF($A21="","",$B21)</f>
        <v/>
      </c>
      <c r="H21" s="89">
        <f>IF($A21="","",2*$F21)</f>
        <v/>
      </c>
      <c r="I21" s="91">
        <f>IF($A21="","",$E21-$E$55-$F$55)</f>
        <v/>
      </c>
      <c r="J21" s="89">
        <f>IF($A21="","",2*$F21)</f>
        <v/>
      </c>
      <c r="K21" s="91">
        <f>IF($A21="","",$E21)</f>
        <v/>
      </c>
      <c r="L21" s="89">
        <f>IF($A21="","",1*$F21)</f>
        <v/>
      </c>
      <c r="M21" s="91">
        <f>IF($A21="","",$D21-$E$57-$F$57-$G$57-$H$57)</f>
        <v/>
      </c>
      <c r="N21" s="89">
        <f>IF($A21="","",4*$F21)</f>
        <v/>
      </c>
      <c r="O21" s="91">
        <f>IF($A21="","",(($E21-$E$58-$F$58-$G$58-$H$58-$I$58)/2)+(66*1)/2)</f>
        <v/>
      </c>
      <c r="P21" s="89">
        <f>IF($A21="","",4*$F21)</f>
        <v/>
      </c>
      <c r="Q21" s="91">
        <f>IF($A21="","",$M21-$E$59-$F$59)</f>
        <v/>
      </c>
      <c r="R21" s="89">
        <f>IF($A21="","",4*$F21)</f>
        <v/>
      </c>
      <c r="S21" s="91">
        <f>IF($A21="","",$O21-$E$60-$F$60)</f>
        <v/>
      </c>
      <c r="T21" s="89">
        <f>IF($A21="","",4*$F21)</f>
        <v/>
      </c>
      <c r="U21" s="91">
        <f>IF($A21="","",$M21)</f>
        <v/>
      </c>
      <c r="V21" s="89">
        <f>IF($A21="","",2*$F21)</f>
        <v/>
      </c>
      <c r="W21" s="91">
        <f>IF($A21="","",$D21-$E$62-$F$62)</f>
        <v/>
      </c>
      <c r="X21" s="89">
        <f>IF($A21="","",2*$F21)</f>
        <v/>
      </c>
      <c r="Y21" s="91">
        <f>IF($A21="","",$E21-$E$63-$F$63)</f>
        <v/>
      </c>
      <c r="Z21" s="89">
        <f>IF($A21="","",3*$F21)</f>
        <v/>
      </c>
      <c r="AA21" s="91">
        <f>IF($A21="","",$D21-$E$64-$F$64)</f>
        <v/>
      </c>
      <c r="AB21" s="89">
        <f>IF($A21="","",2*$F21)</f>
        <v/>
      </c>
      <c r="AC21" s="91">
        <f>IF($A21="","",$U21)</f>
        <v/>
      </c>
      <c r="AD21" s="89">
        <f>IF($A21="","",2*$F21)</f>
        <v/>
      </c>
      <c r="AE21" s="91">
        <f>IF($A21="","",$E21)</f>
        <v/>
      </c>
      <c r="AF21" s="89">
        <f>IF($A21="","",1*$F21)</f>
        <v/>
      </c>
      <c r="AG21" s="91">
        <f>IF($A21="","",$E21-$E$67-$F$67)</f>
        <v/>
      </c>
      <c r="AH21" s="89">
        <f>IF($A21="","",3*$F21)</f>
        <v/>
      </c>
      <c r="AI21" s="91">
        <f>IF($A21="","",$C21-$E$68-$F$68)</f>
        <v/>
      </c>
      <c r="AJ21" s="89">
        <f>IF($A21="","",2*$F21)</f>
        <v/>
      </c>
      <c r="AK21" s="91">
        <f>IF($A21="","",$C21-$E$69-$F$69)</f>
        <v/>
      </c>
      <c r="AL21" s="89">
        <f>IF($A21="","",2*$F21)</f>
        <v/>
      </c>
      <c r="AM21" s="91">
        <f>IF($A21="","",$C21-$E$70-$F$70)</f>
        <v/>
      </c>
      <c r="AN21" s="89">
        <f>IF($A21="","",2*$F21)</f>
        <v/>
      </c>
      <c r="AO21" s="93">
        <f>IF($A21="","",$M21-56-56)</f>
        <v/>
      </c>
      <c r="AP21" s="94">
        <f>IF($A21="","",$O21-56-56)</f>
        <v/>
      </c>
      <c r="AQ21" s="95">
        <f>IF($A21="","",2*$F21)</f>
        <v/>
      </c>
      <c r="AR21" s="93">
        <f>IF($A21="","",$C21-35-35)</f>
        <v/>
      </c>
      <c r="AS21" s="94">
        <f>IF($A21="","",$E21-35-35)</f>
        <v/>
      </c>
    </row>
    <row r="22" ht="40.15" customHeight="1">
      <c r="A22" s="99" t="n"/>
      <c r="B22" s="88" t="n"/>
      <c r="C22" s="115">
        <f>IF($A22="","",($B22-$D22))</f>
        <v/>
      </c>
      <c r="D22" s="116" t="n"/>
      <c r="E22" s="89" t="n"/>
      <c r="F22" s="90" t="n"/>
      <c r="G22" s="96">
        <f>IF($A22="","",$B22)</f>
        <v/>
      </c>
      <c r="H22" s="97">
        <f>IF($A22="","",2*$F22)</f>
        <v/>
      </c>
      <c r="I22" s="96">
        <f>IF($A22="","",$E22-$E$55-$F$55)</f>
        <v/>
      </c>
      <c r="J22" s="97">
        <f>IF($A22="","",2*$F22)</f>
        <v/>
      </c>
      <c r="K22" s="96">
        <f>IF($A22="","",$E22)</f>
        <v/>
      </c>
      <c r="L22" s="97">
        <f>IF($A22="","",1*$F22)</f>
        <v/>
      </c>
      <c r="M22" s="96">
        <f>IF($A22="","",$D22-$E$57-$F$57-$G$57-$H$57)</f>
        <v/>
      </c>
      <c r="N22" s="97">
        <f>IF($A22="","",4*$F22)</f>
        <v/>
      </c>
      <c r="O22" s="96">
        <f>IF($A22="","",(($E22-$E$58-$F$58-$G$58-$H$58-$I$58)/2)+(66*1)/2)</f>
        <v/>
      </c>
      <c r="P22" s="97">
        <f>IF($A22="","",4*$F22)</f>
        <v/>
      </c>
      <c r="Q22" s="96">
        <f>IF($A22="","",$M22-$E$59-$F$59)</f>
        <v/>
      </c>
      <c r="R22" s="97">
        <f>IF($A22="","",4*$F22)</f>
        <v/>
      </c>
      <c r="S22" s="96">
        <f>IF($A22="","",$O22-$E$60-$F$60)</f>
        <v/>
      </c>
      <c r="T22" s="97">
        <f>IF($A22="","",4*$F22)</f>
        <v/>
      </c>
      <c r="U22" s="96">
        <f>IF($A22="","",$M22)</f>
        <v/>
      </c>
      <c r="V22" s="97">
        <f>IF($A22="","",2*$F22)</f>
        <v/>
      </c>
      <c r="W22" s="96">
        <f>IF($A22="","",$D22-$E$62-$F$62)</f>
        <v/>
      </c>
      <c r="X22" s="97">
        <f>IF($A22="","",2*$F22)</f>
        <v/>
      </c>
      <c r="Y22" s="96">
        <f>IF($A22="","",$E22-$E$63-$F$63)</f>
        <v/>
      </c>
      <c r="Z22" s="97">
        <f>IF($A22="","",3*$F22)</f>
        <v/>
      </c>
      <c r="AA22" s="96">
        <f>IF($A22="","",$D22-$E$64-$F$64)</f>
        <v/>
      </c>
      <c r="AB22" s="97">
        <f>IF($A22="","",2*$F22)</f>
        <v/>
      </c>
      <c r="AC22" s="96">
        <f>IF($A22="","",$U22)</f>
        <v/>
      </c>
      <c r="AD22" s="97">
        <f>IF($A22="","",2*$F22)</f>
        <v/>
      </c>
      <c r="AE22" s="96">
        <f>IF($A22="","",$E22)</f>
        <v/>
      </c>
      <c r="AF22" s="97">
        <f>IF($A22="","",1*$F22)</f>
        <v/>
      </c>
      <c r="AG22" s="96">
        <f>IF($A22="","",$E22-$E$67-$F$67)</f>
        <v/>
      </c>
      <c r="AH22" s="97">
        <f>IF($A22="","",3*$F22)</f>
        <v/>
      </c>
      <c r="AI22" s="96">
        <f>IF($A22="","",$C22-$E$68-$F$68)</f>
        <v/>
      </c>
      <c r="AJ22" s="97">
        <f>IF($A22="","",2*$F22)</f>
        <v/>
      </c>
      <c r="AK22" s="96">
        <f>IF($A22="","",$C22-$E$69-$F$69)</f>
        <v/>
      </c>
      <c r="AL22" s="97">
        <f>IF($A22="","",2*$F22)</f>
        <v/>
      </c>
      <c r="AM22" s="96">
        <f>IF($A22="","",$C22-$E$70-$F$70)</f>
        <v/>
      </c>
      <c r="AN22" s="97">
        <f>IF($A22="","",2*$F22)</f>
        <v/>
      </c>
      <c r="AO22" s="93">
        <f>IF($A22="","",$M22-56-56)</f>
        <v/>
      </c>
      <c r="AP22" s="94">
        <f>IF($A22="","",$O22-56-56)</f>
        <v/>
      </c>
      <c r="AQ22" s="95">
        <f>IF($A22="","",2*$F22)</f>
        <v/>
      </c>
      <c r="AR22" s="93">
        <f>IF($A22="","",$C22-35-35)</f>
        <v/>
      </c>
      <c r="AS22" s="94">
        <f>IF($A22="","",$E22-35-35)</f>
        <v/>
      </c>
    </row>
    <row r="23" ht="40.15" customHeight="1">
      <c r="A23" s="99" t="n"/>
      <c r="B23" s="88" t="n"/>
      <c r="C23" s="115">
        <f>IF($A23="","",($B23-$D23))</f>
        <v/>
      </c>
      <c r="D23" s="116" t="n"/>
      <c r="E23" s="89" t="n"/>
      <c r="F23" s="90" t="n"/>
      <c r="G23" s="91">
        <f>IF($A23="","",$B23)</f>
        <v/>
      </c>
      <c r="H23" s="89">
        <f>IF($A23="","",2*$F23)</f>
        <v/>
      </c>
      <c r="I23" s="91">
        <f>IF($A23="","",$E23-$E$55-$F$55)</f>
        <v/>
      </c>
      <c r="J23" s="89">
        <f>IF($A23="","",2*$F23)</f>
        <v/>
      </c>
      <c r="K23" s="91">
        <f>IF($A23="","",$E23)</f>
        <v/>
      </c>
      <c r="L23" s="89">
        <f>IF($A23="","",1*$F23)</f>
        <v/>
      </c>
      <c r="M23" s="91">
        <f>IF($A23="","",$D23-$E$57-$F$57-$G$57-$H$57)</f>
        <v/>
      </c>
      <c r="N23" s="89">
        <f>IF($A23="","",4*$F23)</f>
        <v/>
      </c>
      <c r="O23" s="91">
        <f>IF($A23="","",(($E23-$E$58-$F$58-$G$58-$H$58-$I$58)/2)+(66*1)/2)</f>
        <v/>
      </c>
      <c r="P23" s="89">
        <f>IF($A23="","",4*$F23)</f>
        <v/>
      </c>
      <c r="Q23" s="91">
        <f>IF($A23="","",$M23-$E$59-$F$59)</f>
        <v/>
      </c>
      <c r="R23" s="89">
        <f>IF($A23="","",4*$F23)</f>
        <v/>
      </c>
      <c r="S23" s="91">
        <f>IF($A23="","",$O23-$E$60-$F$60)</f>
        <v/>
      </c>
      <c r="T23" s="89">
        <f>IF($A23="","",4*$F23)</f>
        <v/>
      </c>
      <c r="U23" s="91">
        <f>IF($A23="","",$M23)</f>
        <v/>
      </c>
      <c r="V23" s="89">
        <f>IF($A23="","",2*$F23)</f>
        <v/>
      </c>
      <c r="W23" s="91">
        <f>IF($A23="","",$D23-$E$62-$F$62)</f>
        <v/>
      </c>
      <c r="X23" s="89">
        <f>IF($A23="","",2*$F23)</f>
        <v/>
      </c>
      <c r="Y23" s="91">
        <f>IF($A23="","",$E23-$E$63-$F$63)</f>
        <v/>
      </c>
      <c r="Z23" s="89">
        <f>IF($A23="","",3*$F23)</f>
        <v/>
      </c>
      <c r="AA23" s="91">
        <f>IF($A23="","",$D23-$E$64-$F$64)</f>
        <v/>
      </c>
      <c r="AB23" s="89">
        <f>IF($A23="","",2*$F23)</f>
        <v/>
      </c>
      <c r="AC23" s="91">
        <f>IF($A23="","",$U23)</f>
        <v/>
      </c>
      <c r="AD23" s="89">
        <f>IF($A23="","",2*$F23)</f>
        <v/>
      </c>
      <c r="AE23" s="91">
        <f>IF($A23="","",$E23)</f>
        <v/>
      </c>
      <c r="AF23" s="89">
        <f>IF($A23="","",1*$F23)</f>
        <v/>
      </c>
      <c r="AG23" s="91">
        <f>IF($A23="","",$E23-$E$67-$F$67)</f>
        <v/>
      </c>
      <c r="AH23" s="89">
        <f>IF($A23="","",3*$F23)</f>
        <v/>
      </c>
      <c r="AI23" s="91">
        <f>IF($A23="","",$C23-$E$68-$F$68)</f>
        <v/>
      </c>
      <c r="AJ23" s="89">
        <f>IF($A23="","",2*$F23)</f>
        <v/>
      </c>
      <c r="AK23" s="91">
        <f>IF($A23="","",$C23-$E$69-$F$69)</f>
        <v/>
      </c>
      <c r="AL23" s="89">
        <f>IF($A23="","",2*$F23)</f>
        <v/>
      </c>
      <c r="AM23" s="91">
        <f>IF($A23="","",$C23-$E$70-$F$70)</f>
        <v/>
      </c>
      <c r="AN23" s="89">
        <f>IF($A23="","",2*$F23)</f>
        <v/>
      </c>
      <c r="AO23" s="93">
        <f>IF($A23="","",$M23-56-56)</f>
        <v/>
      </c>
      <c r="AP23" s="94">
        <f>IF($A23="","",$O23-56-56)</f>
        <v/>
      </c>
      <c r="AQ23" s="95">
        <f>IF($A23="","",2*$F23)</f>
        <v/>
      </c>
      <c r="AR23" s="93">
        <f>IF($A23="","",$C23-35-35)</f>
        <v/>
      </c>
      <c r="AS23" s="94">
        <f>IF($A23="","",$E23-35-35)</f>
        <v/>
      </c>
    </row>
    <row r="24" ht="40.15" customHeight="1">
      <c r="A24" s="99" t="n"/>
      <c r="B24" s="88" t="n"/>
      <c r="C24" s="115">
        <f>IF($A24="","",($B24-$D24))</f>
        <v/>
      </c>
      <c r="D24" s="116" t="n"/>
      <c r="E24" s="89" t="n"/>
      <c r="F24" s="90" t="n"/>
      <c r="G24" s="96">
        <f>IF($A24="","",$B24)</f>
        <v/>
      </c>
      <c r="H24" s="97">
        <f>IF($A24="","",2*$F24)</f>
        <v/>
      </c>
      <c r="I24" s="96">
        <f>IF($A24="","",$E24-$E$55-$F$55)</f>
        <v/>
      </c>
      <c r="J24" s="97">
        <f>IF($A24="","",2*$F24)</f>
        <v/>
      </c>
      <c r="K24" s="96">
        <f>IF($A24="","",$E24)</f>
        <v/>
      </c>
      <c r="L24" s="97">
        <f>IF($A24="","",1*$F24)</f>
        <v/>
      </c>
      <c r="M24" s="96">
        <f>IF($A24="","",$D24-$E$57-$F$57-$G$57-$H$57)</f>
        <v/>
      </c>
      <c r="N24" s="97">
        <f>IF($A24="","",4*$F24)</f>
        <v/>
      </c>
      <c r="O24" s="96">
        <f>IF($A24="","",(($E24-$E$58-$F$58-$G$58-$H$58-$I$58)/2)+(66*1)/2)</f>
        <v/>
      </c>
      <c r="P24" s="97">
        <f>IF($A24="","",4*$F24)</f>
        <v/>
      </c>
      <c r="Q24" s="96">
        <f>IF($A24="","",$M24-$E$59-$F$59)</f>
        <v/>
      </c>
      <c r="R24" s="97">
        <f>IF($A24="","",4*$F24)</f>
        <v/>
      </c>
      <c r="S24" s="96">
        <f>IF($A24="","",$O24-$E$60-$F$60)</f>
        <v/>
      </c>
      <c r="T24" s="97">
        <f>IF($A24="","",4*$F24)</f>
        <v/>
      </c>
      <c r="U24" s="96">
        <f>IF($A24="","",$M24)</f>
        <v/>
      </c>
      <c r="V24" s="97">
        <f>IF($A24="","",2*$F24)</f>
        <v/>
      </c>
      <c r="W24" s="96">
        <f>IF($A24="","",$D24-$E$62-$F$62)</f>
        <v/>
      </c>
      <c r="X24" s="97">
        <f>IF($A24="","",2*$F24)</f>
        <v/>
      </c>
      <c r="Y24" s="96">
        <f>IF($A24="","",$E24-$E$63-$F$63)</f>
        <v/>
      </c>
      <c r="Z24" s="97">
        <f>IF($A24="","",3*$F24)</f>
        <v/>
      </c>
      <c r="AA24" s="96">
        <f>IF($A24="","",$D24-$E$64-$F$64)</f>
        <v/>
      </c>
      <c r="AB24" s="97">
        <f>IF($A24="","",2*$F24)</f>
        <v/>
      </c>
      <c r="AC24" s="96">
        <f>IF($A24="","",$U24)</f>
        <v/>
      </c>
      <c r="AD24" s="97">
        <f>IF($A24="","",2*$F24)</f>
        <v/>
      </c>
      <c r="AE24" s="96">
        <f>IF($A24="","",$E24)</f>
        <v/>
      </c>
      <c r="AF24" s="97">
        <f>IF($A24="","",1*$F24)</f>
        <v/>
      </c>
      <c r="AG24" s="96">
        <f>IF($A24="","",$E24-$E$67-$F$67)</f>
        <v/>
      </c>
      <c r="AH24" s="97">
        <f>IF($A24="","",3*$F24)</f>
        <v/>
      </c>
      <c r="AI24" s="96">
        <f>IF($A24="","",$C24-$E$68-$F$68)</f>
        <v/>
      </c>
      <c r="AJ24" s="97">
        <f>IF($A24="","",2*$F24)</f>
        <v/>
      </c>
      <c r="AK24" s="96">
        <f>IF($A24="","",$C24-$E$69-$F$69)</f>
        <v/>
      </c>
      <c r="AL24" s="97">
        <f>IF($A24="","",2*$F24)</f>
        <v/>
      </c>
      <c r="AM24" s="96">
        <f>IF($A24="","",$C24-$E$70-$F$70)</f>
        <v/>
      </c>
      <c r="AN24" s="97">
        <f>IF($A24="","",2*$F24)</f>
        <v/>
      </c>
      <c r="AO24" s="93">
        <f>IF($A24="","",$M24-56-56)</f>
        <v/>
      </c>
      <c r="AP24" s="94">
        <f>IF($A24="","",$O24-56-56)</f>
        <v/>
      </c>
      <c r="AQ24" s="95">
        <f>IF($A24="","",2*$F24)</f>
        <v/>
      </c>
      <c r="AR24" s="93">
        <f>IF($A24="","",$C24-35-35)</f>
        <v/>
      </c>
      <c r="AS24" s="94">
        <f>IF($A24="","",$E24-35-35)</f>
        <v/>
      </c>
    </row>
    <row r="25" ht="40.15" customHeight="1">
      <c r="A25" s="99" t="n"/>
      <c r="B25" s="88" t="n"/>
      <c r="C25" s="115">
        <f>IF($A25="","",($B25-$D25))</f>
        <v/>
      </c>
      <c r="D25" s="116" t="n"/>
      <c r="E25" s="89" t="n"/>
      <c r="F25" s="90" t="n"/>
      <c r="G25" s="91">
        <f>IF($A25="","",$B25)</f>
        <v/>
      </c>
      <c r="H25" s="89">
        <f>IF($A25="","",2*$F25)</f>
        <v/>
      </c>
      <c r="I25" s="91">
        <f>IF($A25="","",$E25-$E$55-$F$55)</f>
        <v/>
      </c>
      <c r="J25" s="89">
        <f>IF($A25="","",2*$F25)</f>
        <v/>
      </c>
      <c r="K25" s="91">
        <f>IF($A25="","",$E25)</f>
        <v/>
      </c>
      <c r="L25" s="89">
        <f>IF($A25="","",1*$F25)</f>
        <v/>
      </c>
      <c r="M25" s="91">
        <f>IF($A25="","",$D25-$E$57-$F$57-$G$57-$H$57)</f>
        <v/>
      </c>
      <c r="N25" s="89">
        <f>IF($A25="","",4*$F25)</f>
        <v/>
      </c>
      <c r="O25" s="91">
        <f>IF($A25="","",(($E25-$E$58-$F$58-$G$58-$H$58-$I$58)/2)+(66*1)/2)</f>
        <v/>
      </c>
      <c r="P25" s="89">
        <f>IF($A25="","",4*$F25)</f>
        <v/>
      </c>
      <c r="Q25" s="91">
        <f>IF($A25="","",$M25-$E$59-$F$59)</f>
        <v/>
      </c>
      <c r="R25" s="89">
        <f>IF($A25="","",4*$F25)</f>
        <v/>
      </c>
      <c r="S25" s="91">
        <f>IF($A25="","",$O25-$E$60-$F$60)</f>
        <v/>
      </c>
      <c r="T25" s="89">
        <f>IF($A25="","",4*$F25)</f>
        <v/>
      </c>
      <c r="U25" s="91">
        <f>IF($A25="","",$M25)</f>
        <v/>
      </c>
      <c r="V25" s="89">
        <f>IF($A25="","",2*$F25)</f>
        <v/>
      </c>
      <c r="W25" s="91">
        <f>IF($A25="","",$D25-$E$62-$F$62)</f>
        <v/>
      </c>
      <c r="X25" s="89">
        <f>IF($A25="","",2*$F25)</f>
        <v/>
      </c>
      <c r="Y25" s="91">
        <f>IF($A25="","",$E25-$E$63-$F$63)</f>
        <v/>
      </c>
      <c r="Z25" s="89">
        <f>IF($A25="","",3*$F25)</f>
        <v/>
      </c>
      <c r="AA25" s="91">
        <f>IF($A25="","",$D25-$E$64-$F$64)</f>
        <v/>
      </c>
      <c r="AB25" s="89">
        <f>IF($A25="","",2*$F25)</f>
        <v/>
      </c>
      <c r="AC25" s="91">
        <f>IF($A25="","",$U25)</f>
        <v/>
      </c>
      <c r="AD25" s="89">
        <f>IF($A25="","",2*$F25)</f>
        <v/>
      </c>
      <c r="AE25" s="91">
        <f>IF($A25="","",$E25)</f>
        <v/>
      </c>
      <c r="AF25" s="89">
        <f>IF($A25="","",1*$F25)</f>
        <v/>
      </c>
      <c r="AG25" s="91">
        <f>IF($A25="","",$E25-$E$67-$F$67)</f>
        <v/>
      </c>
      <c r="AH25" s="89">
        <f>IF($A25="","",3*$F25)</f>
        <v/>
      </c>
      <c r="AI25" s="91">
        <f>IF($A25="","",$C25-$E$68-$F$68)</f>
        <v/>
      </c>
      <c r="AJ25" s="89">
        <f>IF($A25="","",2*$F25)</f>
        <v/>
      </c>
      <c r="AK25" s="91">
        <f>IF($A25="","",$C25-$E$69-$F$69)</f>
        <v/>
      </c>
      <c r="AL25" s="89">
        <f>IF($A25="","",2*$F25)</f>
        <v/>
      </c>
      <c r="AM25" s="91">
        <f>IF($A25="","",$C25-$E$70-$F$70)</f>
        <v/>
      </c>
      <c r="AN25" s="89">
        <f>IF($A25="","",2*$F25)</f>
        <v/>
      </c>
      <c r="AO25" s="93">
        <f>IF($A25="","",$M25-56-56)</f>
        <v/>
      </c>
      <c r="AP25" s="94">
        <f>IF($A25="","",$O25-56-56)</f>
        <v/>
      </c>
      <c r="AQ25" s="95">
        <f>IF($A25="","",2*$F25)</f>
        <v/>
      </c>
      <c r="AR25" s="93">
        <f>IF($A25="","",$C25-35-35)</f>
        <v/>
      </c>
      <c r="AS25" s="94">
        <f>IF($A25="","",$E25-35-35)</f>
        <v/>
      </c>
    </row>
    <row r="26" ht="40.15" customHeight="1">
      <c r="A26" s="99" t="n"/>
      <c r="B26" s="88" t="n"/>
      <c r="C26" s="115">
        <f>IF($A26="","",($B26-$D26))</f>
        <v/>
      </c>
      <c r="D26" s="116" t="n"/>
      <c r="E26" s="89" t="n"/>
      <c r="F26" s="90" t="n"/>
      <c r="G26" s="96">
        <f>IF($A26="","",$B26)</f>
        <v/>
      </c>
      <c r="H26" s="97">
        <f>IF($A26="","",2*$F26)</f>
        <v/>
      </c>
      <c r="I26" s="96">
        <f>IF($A26="","",$E26-$E$55-$F$55)</f>
        <v/>
      </c>
      <c r="J26" s="97">
        <f>IF($A26="","",2*$F26)</f>
        <v/>
      </c>
      <c r="K26" s="96">
        <f>IF($A26="","",$E26)</f>
        <v/>
      </c>
      <c r="L26" s="97">
        <f>IF($A26="","",1*$F26)</f>
        <v/>
      </c>
      <c r="M26" s="96">
        <f>IF($A26="","",$D26-$E$57-$F$57-$G$57-$H$57)</f>
        <v/>
      </c>
      <c r="N26" s="97">
        <f>IF($A26="","",4*$F26)</f>
        <v/>
      </c>
      <c r="O26" s="96">
        <f>IF($A26="","",(($E26-$E$58-$F$58-$G$58-$H$58-$I$58)/2)+(66*1)/2)</f>
        <v/>
      </c>
      <c r="P26" s="97">
        <f>IF($A26="","",4*$F26)</f>
        <v/>
      </c>
      <c r="Q26" s="96">
        <f>IF($A26="","",$M26-$E$59-$F$59)</f>
        <v/>
      </c>
      <c r="R26" s="97">
        <f>IF($A26="","",4*$F26)</f>
        <v/>
      </c>
      <c r="S26" s="96">
        <f>IF($A26="","",$O26-$E$60-$F$60)</f>
        <v/>
      </c>
      <c r="T26" s="97">
        <f>IF($A26="","",4*$F26)</f>
        <v/>
      </c>
      <c r="U26" s="96">
        <f>IF($A26="","",$M26)</f>
        <v/>
      </c>
      <c r="V26" s="97">
        <f>IF($A26="","",2*$F26)</f>
        <v/>
      </c>
      <c r="W26" s="96">
        <f>IF($A26="","",$D26-$E$62-$F$62)</f>
        <v/>
      </c>
      <c r="X26" s="97">
        <f>IF($A26="","",2*$F26)</f>
        <v/>
      </c>
      <c r="Y26" s="96">
        <f>IF($A26="","",$E26-$E$63-$F$63)</f>
        <v/>
      </c>
      <c r="Z26" s="97">
        <f>IF($A26="","",3*$F26)</f>
        <v/>
      </c>
      <c r="AA26" s="96">
        <f>IF($A26="","",$D26-$E$64-$F$64)</f>
        <v/>
      </c>
      <c r="AB26" s="97">
        <f>IF($A26="","",2*$F26)</f>
        <v/>
      </c>
      <c r="AC26" s="96">
        <f>IF($A26="","",$U26)</f>
        <v/>
      </c>
      <c r="AD26" s="97">
        <f>IF($A26="","",2*$F26)</f>
        <v/>
      </c>
      <c r="AE26" s="96">
        <f>IF($A26="","",$E26)</f>
        <v/>
      </c>
      <c r="AF26" s="97">
        <f>IF($A26="","",1*$F26)</f>
        <v/>
      </c>
      <c r="AG26" s="96">
        <f>IF($A26="","",$E26-$E$67-$F$67)</f>
        <v/>
      </c>
      <c r="AH26" s="97">
        <f>IF($A26="","",3*$F26)</f>
        <v/>
      </c>
      <c r="AI26" s="96">
        <f>IF($A26="","",$C26-$E$68-$F$68)</f>
        <v/>
      </c>
      <c r="AJ26" s="97">
        <f>IF($A26="","",2*$F26)</f>
        <v/>
      </c>
      <c r="AK26" s="96">
        <f>IF($A26="","",$C26-$E$69-$F$69)</f>
        <v/>
      </c>
      <c r="AL26" s="97">
        <f>IF($A26="","",2*$F26)</f>
        <v/>
      </c>
      <c r="AM26" s="96">
        <f>IF($A26="","",$C26-$E$70-$F$70)</f>
        <v/>
      </c>
      <c r="AN26" s="97">
        <f>IF($A26="","",2*$F26)</f>
        <v/>
      </c>
      <c r="AO26" s="93">
        <f>IF($A26="","",$M26-56-56)</f>
        <v/>
      </c>
      <c r="AP26" s="94">
        <f>IF($A26="","",$O26-56-56)</f>
        <v/>
      </c>
      <c r="AQ26" s="95">
        <f>IF($A26="","",2*$F26)</f>
        <v/>
      </c>
      <c r="AR26" s="93">
        <f>IF($A26="","",$C26-35-35)</f>
        <v/>
      </c>
      <c r="AS26" s="94">
        <f>IF($A26="","",$E26-35-35)</f>
        <v/>
      </c>
    </row>
    <row r="27" ht="40.15" customHeight="1">
      <c r="A27" s="99" t="n"/>
      <c r="B27" s="88" t="n"/>
      <c r="C27" s="115">
        <f>IF($A27="","",($B27-$D27))</f>
        <v/>
      </c>
      <c r="D27" s="116" t="n"/>
      <c r="E27" s="89" t="n"/>
      <c r="F27" s="90" t="n"/>
      <c r="G27" s="91">
        <f>IF($A27="","",$B27)</f>
        <v/>
      </c>
      <c r="H27" s="89">
        <f>IF($A27="","",2*$F27)</f>
        <v/>
      </c>
      <c r="I27" s="91">
        <f>IF($A27="","",$E27-$E$55-$F$55)</f>
        <v/>
      </c>
      <c r="J27" s="89">
        <f>IF($A27="","",2*$F27)</f>
        <v/>
      </c>
      <c r="K27" s="91">
        <f>IF($A27="","",$E27)</f>
        <v/>
      </c>
      <c r="L27" s="89">
        <f>IF($A27="","",1*$F27)</f>
        <v/>
      </c>
      <c r="M27" s="91">
        <f>IF($A27="","",$D27-$E$57-$F$57-$G$57-$H$57)</f>
        <v/>
      </c>
      <c r="N27" s="89">
        <f>IF($A27="","",4*$F27)</f>
        <v/>
      </c>
      <c r="O27" s="91">
        <f>IF($A27="","",(($E27-$E$58-$F$58-$G$58-$H$58-$I$58)/2)+(66*1)/2)</f>
        <v/>
      </c>
      <c r="P27" s="89">
        <f>IF($A27="","",4*$F27)</f>
        <v/>
      </c>
      <c r="Q27" s="91">
        <f>IF($A27="","",$M27-$E$59-$F$59)</f>
        <v/>
      </c>
      <c r="R27" s="89">
        <f>IF($A27="","",4*$F27)</f>
        <v/>
      </c>
      <c r="S27" s="91">
        <f>IF($A27="","",$O27-$E$60-$F$60)</f>
        <v/>
      </c>
      <c r="T27" s="89">
        <f>IF($A27="","",4*$F27)</f>
        <v/>
      </c>
      <c r="U27" s="91">
        <f>IF($A27="","",$M27)</f>
        <v/>
      </c>
      <c r="V27" s="89">
        <f>IF($A27="","",2*$F27)</f>
        <v/>
      </c>
      <c r="W27" s="91">
        <f>IF($A27="","",$D27-$E$62-$F$62)</f>
        <v/>
      </c>
      <c r="X27" s="89">
        <f>IF($A27="","",2*$F27)</f>
        <v/>
      </c>
      <c r="Y27" s="91">
        <f>IF($A27="","",$E27-$E$63-$F$63)</f>
        <v/>
      </c>
      <c r="Z27" s="89">
        <f>IF($A27="","",3*$F27)</f>
        <v/>
      </c>
      <c r="AA27" s="91">
        <f>IF($A27="","",$D27-$E$64-$F$64)</f>
        <v/>
      </c>
      <c r="AB27" s="89">
        <f>IF($A27="","",2*$F27)</f>
        <v/>
      </c>
      <c r="AC27" s="91">
        <f>IF($A27="","",$U27)</f>
        <v/>
      </c>
      <c r="AD27" s="89">
        <f>IF($A27="","",2*$F27)</f>
        <v/>
      </c>
      <c r="AE27" s="91">
        <f>IF($A27="","",$E27)</f>
        <v/>
      </c>
      <c r="AF27" s="89">
        <f>IF($A27="","",1*$F27)</f>
        <v/>
      </c>
      <c r="AG27" s="91">
        <f>IF($A27="","",$E27-$E$67-$F$67)</f>
        <v/>
      </c>
      <c r="AH27" s="89">
        <f>IF($A27="","",3*$F27)</f>
        <v/>
      </c>
      <c r="AI27" s="91">
        <f>IF($A27="","",$C27-$E$68-$F$68)</f>
        <v/>
      </c>
      <c r="AJ27" s="89">
        <f>IF($A27="","",2*$F27)</f>
        <v/>
      </c>
      <c r="AK27" s="91">
        <f>IF($A27="","",$C27-$E$69-$F$69)</f>
        <v/>
      </c>
      <c r="AL27" s="89">
        <f>IF($A27="","",2*$F27)</f>
        <v/>
      </c>
      <c r="AM27" s="91">
        <f>IF($A27="","",$C27-$E$70-$F$70)</f>
        <v/>
      </c>
      <c r="AN27" s="89">
        <f>IF($A27="","",2*$F27)</f>
        <v/>
      </c>
      <c r="AO27" s="93">
        <f>IF($A27="","",$M27-56-56)</f>
        <v/>
      </c>
      <c r="AP27" s="94">
        <f>IF($A27="","",$O27-56-56)</f>
        <v/>
      </c>
      <c r="AQ27" s="95">
        <f>IF($A27="","",2*$F27)</f>
        <v/>
      </c>
      <c r="AR27" s="93">
        <f>IF($A27="","",$C27-35-35)</f>
        <v/>
      </c>
      <c r="AS27" s="94">
        <f>IF($A27="","",$E27-35-35)</f>
        <v/>
      </c>
    </row>
    <row r="28" ht="40.15" customHeight="1">
      <c r="A28" s="99" t="n"/>
      <c r="B28" s="88" t="n"/>
      <c r="C28" s="115">
        <f>IF($A28="","",($B28-$D28))</f>
        <v/>
      </c>
      <c r="D28" s="116" t="n"/>
      <c r="E28" s="89" t="n"/>
      <c r="F28" s="90" t="n"/>
      <c r="G28" s="96">
        <f>IF($A28="","",$B28)</f>
        <v/>
      </c>
      <c r="H28" s="97">
        <f>IF($A28="","",2*$F28)</f>
        <v/>
      </c>
      <c r="I28" s="96">
        <f>IF($A28="","",$E28-$E$55-$F$55)</f>
        <v/>
      </c>
      <c r="J28" s="97">
        <f>IF($A28="","",2*$F28)</f>
        <v/>
      </c>
      <c r="K28" s="96">
        <f>IF($A28="","",$E28)</f>
        <v/>
      </c>
      <c r="L28" s="97">
        <f>IF($A28="","",1*$F28)</f>
        <v/>
      </c>
      <c r="M28" s="96">
        <f>IF($A28="","",$D28-$E$57-$F$57-$G$57-$H$57)</f>
        <v/>
      </c>
      <c r="N28" s="97">
        <f>IF($A28="","",4*$F28)</f>
        <v/>
      </c>
      <c r="O28" s="96">
        <f>IF($A28="","",(($E28-$E$58-$F$58-$G$58-$H$58-$I$58)/2)+(66*1)/2)</f>
        <v/>
      </c>
      <c r="P28" s="97">
        <f>IF($A28="","",4*$F28)</f>
        <v/>
      </c>
      <c r="Q28" s="96">
        <f>IF($A28="","",$M28-$E$59-$F$59)</f>
        <v/>
      </c>
      <c r="R28" s="97">
        <f>IF($A28="","",4*$F28)</f>
        <v/>
      </c>
      <c r="S28" s="96">
        <f>IF($A28="","",$O28-$E$60-$F$60)</f>
        <v/>
      </c>
      <c r="T28" s="97">
        <f>IF($A28="","",4*$F28)</f>
        <v/>
      </c>
      <c r="U28" s="96">
        <f>IF($A28="","",$M28)</f>
        <v/>
      </c>
      <c r="V28" s="97">
        <f>IF($A28="","",2*$F28)</f>
        <v/>
      </c>
      <c r="W28" s="96">
        <f>IF($A28="","",$D28-$E$62-$F$62)</f>
        <v/>
      </c>
      <c r="X28" s="97">
        <f>IF($A28="","",2*$F28)</f>
        <v/>
      </c>
      <c r="Y28" s="96">
        <f>IF($A28="","",$E28-$E$63-$F$63)</f>
        <v/>
      </c>
      <c r="Z28" s="97">
        <f>IF($A28="","",3*$F28)</f>
        <v/>
      </c>
      <c r="AA28" s="96">
        <f>IF($A28="","",$D28-$E$64-$F$64)</f>
        <v/>
      </c>
      <c r="AB28" s="97">
        <f>IF($A28="","",2*$F28)</f>
        <v/>
      </c>
      <c r="AC28" s="96">
        <f>IF($A28="","",$U28)</f>
        <v/>
      </c>
      <c r="AD28" s="97">
        <f>IF($A28="","",2*$F28)</f>
        <v/>
      </c>
      <c r="AE28" s="96">
        <f>IF($A28="","",$E28)</f>
        <v/>
      </c>
      <c r="AF28" s="97">
        <f>IF($A28="","",1*$F28)</f>
        <v/>
      </c>
      <c r="AG28" s="96">
        <f>IF($A28="","",$E28-$E$67-$F$67)</f>
        <v/>
      </c>
      <c r="AH28" s="97">
        <f>IF($A28="","",3*$F28)</f>
        <v/>
      </c>
      <c r="AI28" s="96">
        <f>IF($A28="","",$C28-$E$68-$F$68)</f>
        <v/>
      </c>
      <c r="AJ28" s="97">
        <f>IF($A28="","",2*$F28)</f>
        <v/>
      </c>
      <c r="AK28" s="96">
        <f>IF($A28="","",$C28-$E$69-$F$69)</f>
        <v/>
      </c>
      <c r="AL28" s="97">
        <f>IF($A28="","",2*$F28)</f>
        <v/>
      </c>
      <c r="AM28" s="96">
        <f>IF($A28="","",$C28-$E$70-$F$70)</f>
        <v/>
      </c>
      <c r="AN28" s="97">
        <f>IF($A28="","",2*$F28)</f>
        <v/>
      </c>
      <c r="AO28" s="93">
        <f>IF($A28="","",$M28-56-56)</f>
        <v/>
      </c>
      <c r="AP28" s="94">
        <f>IF($A28="","",$O28-56-56)</f>
        <v/>
      </c>
      <c r="AQ28" s="95">
        <f>IF($A28="","",2*$F28)</f>
        <v/>
      </c>
      <c r="AR28" s="93">
        <f>IF($A28="","",$C28-35-35)</f>
        <v/>
      </c>
      <c r="AS28" s="94">
        <f>IF($A28="","",$E28-35-35)</f>
        <v/>
      </c>
    </row>
    <row r="29" ht="40.15" customHeight="1"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8" t="n"/>
      <c r="AN29" s="68" t="n"/>
      <c r="AO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0" t="n"/>
      <c r="E30" s="20" t="n"/>
      <c r="F30" s="21" t="n"/>
      <c r="G30" s="110">
        <f>G$7</f>
        <v/>
      </c>
      <c r="H30" s="111">
        <f>(ROUNDUP(H49/6400,0))</f>
        <v/>
      </c>
      <c r="I30" s="111">
        <f>I$7</f>
        <v/>
      </c>
      <c r="J30" s="111">
        <f>(ROUNDUP(J49/6400,0))</f>
        <v/>
      </c>
      <c r="K30" s="111">
        <f>K$7</f>
        <v/>
      </c>
      <c r="L30" s="111">
        <f>(ROUNDUP(L49/6400,0))</f>
        <v/>
      </c>
      <c r="M30" s="111">
        <f>M$7</f>
        <v/>
      </c>
      <c r="N30" s="20" t="n"/>
      <c r="O30" s="21" t="n"/>
      <c r="P30" s="111">
        <f>(ROUNDUP(SUM(N49:P49)/6400,0))</f>
        <v/>
      </c>
      <c r="Q30" s="111">
        <f>Q$7</f>
        <v/>
      </c>
      <c r="R30" s="20" t="n"/>
      <c r="S30" s="21" t="n"/>
      <c r="T30" s="111">
        <f>(ROUNDUP(SUM(R49:T49)/6400,0))</f>
        <v/>
      </c>
      <c r="U30" s="111">
        <f>U$7</f>
        <v/>
      </c>
      <c r="V30" s="111">
        <f>(ROUNDUP(V49/6400,0))</f>
        <v/>
      </c>
      <c r="W30" s="111">
        <f>W$7</f>
        <v/>
      </c>
      <c r="X30" s="111">
        <f>(ROUNDUP(X49/6400,0))</f>
        <v/>
      </c>
      <c r="Y30" s="111">
        <f>Y$7</f>
        <v/>
      </c>
      <c r="Z30" s="111">
        <f>(ROUNDUP(Z49/5000,0))</f>
        <v/>
      </c>
      <c r="AA30" s="111">
        <f>AA$7</f>
        <v/>
      </c>
      <c r="AB30" s="20" t="n"/>
      <c r="AC30" s="20" t="n"/>
      <c r="AD30" s="20" t="n"/>
      <c r="AE30" s="21" t="n"/>
      <c r="AF30" s="111">
        <f>(ROUNDUP(SUM(AB49:AF49)/6400,0))</f>
        <v/>
      </c>
      <c r="AG30" s="111">
        <f>AG$7</f>
        <v/>
      </c>
      <c r="AH30" s="111">
        <f>(ROUNDUP(AH49/5000,0))</f>
        <v/>
      </c>
      <c r="AI30" s="111">
        <f>AI$7</f>
        <v/>
      </c>
      <c r="AJ30" s="111">
        <f>(ROUNDUP(AJ49/5000,0))</f>
        <v/>
      </c>
      <c r="AK30" s="111">
        <f>AK$7</f>
        <v/>
      </c>
      <c r="AL30" s="111">
        <f>(ROUNDUP(AL49/5000,0))</f>
        <v/>
      </c>
      <c r="AM30" s="111">
        <f>AM$7</f>
        <v/>
      </c>
      <c r="AN30" s="111">
        <f>(ROUNDUP(AN49/5000,0))</f>
        <v/>
      </c>
    </row>
    <row r="31" hidden="1" ht="40.15" customHeight="1"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  <c r="AK31" s="73" t="n"/>
      <c r="AL31" s="73">
        <f>IF($A11="","",AL11*AK11)</f>
        <v/>
      </c>
      <c r="AM31" s="73" t="n"/>
      <c r="AN31" s="73">
        <f>IF($A11="","",AN11*AM11)</f>
        <v/>
      </c>
    </row>
    <row r="32" hidden="1" ht="40.15" customHeight="1"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  <c r="AK32" s="73" t="n"/>
      <c r="AL32" s="73">
        <f>IF($A12="","",AL12*AK12)</f>
        <v/>
      </c>
      <c r="AM32" s="73" t="n"/>
      <c r="AN32" s="73">
        <f>IF($A12="","",AN12*AM12)</f>
        <v/>
      </c>
    </row>
    <row r="33" hidden="1" ht="40.15" customHeight="1"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  <c r="AK33" s="73" t="n"/>
      <c r="AL33" s="73">
        <f>IF($A13="","",AL13*AK13)</f>
        <v/>
      </c>
      <c r="AM33" s="73" t="n"/>
      <c r="AN33" s="73">
        <f>IF($A13="","",AN13*AM13)</f>
        <v/>
      </c>
    </row>
    <row r="34" hidden="1" ht="40.15" customHeight="1"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  <c r="AK34" s="73" t="n"/>
      <c r="AL34" s="73">
        <f>IF($A14="","",AL14*AK14)</f>
        <v/>
      </c>
      <c r="AM34" s="73" t="n"/>
      <c r="AN34" s="73">
        <f>IF($A14="","",AN14*AM14)</f>
        <v/>
      </c>
    </row>
    <row r="35" hidden="1" ht="40.15" customHeight="1"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  <c r="AK35" s="73" t="n"/>
      <c r="AL35" s="73">
        <f>IF($A15="","",AL15*AK15)</f>
        <v/>
      </c>
      <c r="AM35" s="73" t="n"/>
      <c r="AN35" s="73">
        <f>IF($A15="","",AN15*AM15)</f>
        <v/>
      </c>
    </row>
    <row r="36" hidden="1"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  <c r="AK36" s="73" t="n"/>
      <c r="AL36" s="73">
        <f>IF($A16="","",AL16*AK16)</f>
        <v/>
      </c>
      <c r="AM36" s="73" t="n"/>
      <c r="AN36" s="73">
        <f>IF($A16="","",AN16*AM16)</f>
        <v/>
      </c>
    </row>
    <row r="37" hidden="1"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  <c r="AK37" s="73" t="n"/>
      <c r="AL37" s="73">
        <f>IF($A17="","",AL17*AK17)</f>
        <v/>
      </c>
      <c r="AM37" s="73" t="n"/>
      <c r="AN37" s="73">
        <f>IF($A17="","",AN17*AM17)</f>
        <v/>
      </c>
    </row>
    <row r="38" hidden="1"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  <c r="AK38" s="73" t="n"/>
      <c r="AL38" s="73">
        <f>IF($A18="","",AL18*AK18)</f>
        <v/>
      </c>
      <c r="AM38" s="73" t="n"/>
      <c r="AN38" s="73">
        <f>IF($A18="","",AN18*AM18)</f>
        <v/>
      </c>
    </row>
    <row r="39" hidden="1"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  <c r="AK39" s="73" t="n"/>
      <c r="AL39" s="73">
        <f>IF($A19="","",AL19*AK19)</f>
        <v/>
      </c>
      <c r="AM39" s="73" t="n"/>
      <c r="AN39" s="73">
        <f>IF($A19="","",AN19*AM19)</f>
        <v/>
      </c>
    </row>
    <row r="40" hidden="1"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  <c r="AK40" s="73" t="n"/>
      <c r="AL40" s="73">
        <f>IF($A20="","",AL20*AK20)</f>
        <v/>
      </c>
      <c r="AM40" s="73" t="n"/>
      <c r="AN40" s="73">
        <f>IF($A20="","",AN20*AM20)</f>
        <v/>
      </c>
    </row>
    <row r="41" hidden="1"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  <c r="AK41" s="73" t="n"/>
      <c r="AL41" s="73">
        <f>IF($A21="","",AL21*AK21)</f>
        <v/>
      </c>
      <c r="AM41" s="73" t="n"/>
      <c r="AN41" s="73">
        <f>IF($A21="","",AN21*AM21)</f>
        <v/>
      </c>
    </row>
    <row r="42" hidden="1"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  <c r="AK42" s="73" t="n"/>
      <c r="AL42" s="73">
        <f>IF($A22="","",AL22*AK22)</f>
        <v/>
      </c>
      <c r="AM42" s="73" t="n"/>
      <c r="AN42" s="73">
        <f>IF($A22="","",AN22*AM22)</f>
        <v/>
      </c>
    </row>
    <row r="43" hidden="1"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  <c r="AK43" s="73" t="n"/>
      <c r="AL43" s="73">
        <f>IF($A23="","",AL23*AK23)</f>
        <v/>
      </c>
      <c r="AM43" s="73" t="n"/>
      <c r="AN43" s="73">
        <f>IF($A23="","",AN23*AM23)</f>
        <v/>
      </c>
    </row>
    <row r="44" hidden="1"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  <c r="AK44" s="73" t="n"/>
      <c r="AL44" s="73">
        <f>IF($A24="","",AL24*AK24)</f>
        <v/>
      </c>
      <c r="AM44" s="73" t="n"/>
      <c r="AN44" s="73">
        <f>IF($A24="","",AN24*AM24)</f>
        <v/>
      </c>
    </row>
    <row r="45" hidden="1"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  <c r="AK45" s="73" t="n"/>
      <c r="AL45" s="73">
        <f>IF($A25="","",AL25*AK25)</f>
        <v/>
      </c>
      <c r="AM45" s="73" t="n"/>
      <c r="AN45" s="73">
        <f>IF($A25="","",AN25*AM25)</f>
        <v/>
      </c>
    </row>
    <row r="46" hidden="1"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  <c r="AK46" s="73" t="n"/>
      <c r="AL46" s="73">
        <f>IF($A26="","",AL26*AK26)</f>
        <v/>
      </c>
      <c r="AM46" s="73" t="n"/>
      <c r="AN46" s="73">
        <f>IF($A26="","",AN26*AM26)</f>
        <v/>
      </c>
    </row>
    <row r="47" hidden="1"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  <c r="AK47" s="73" t="n"/>
      <c r="AL47" s="73">
        <f>IF($A27="","",AL27*AK27)</f>
        <v/>
      </c>
      <c r="AM47" s="73" t="n"/>
      <c r="AN47" s="73">
        <f>IF($A27="","",AN27*AM27)</f>
        <v/>
      </c>
    </row>
    <row r="48" hidden="1"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  <c r="AK48" s="73" t="n"/>
      <c r="AL48" s="73">
        <f>IF($A28="","",AL28*AK28)</f>
        <v/>
      </c>
      <c r="AM48" s="73" t="n"/>
      <c r="AN48" s="73">
        <f>IF($A28="","",AN28*AM28)</f>
        <v/>
      </c>
    </row>
    <row r="49" hidden="1">
      <c r="H49" s="74">
        <f>SUMIF(H31:H48,"&gt;0")</f>
        <v/>
      </c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O49" s="74" t="n"/>
      <c r="P49" s="74">
        <f>SUMIF(P31:P48,"&gt;0")</f>
        <v/>
      </c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  <c r="AK49" s="74" t="n"/>
      <c r="AL49" s="74">
        <f>SUMIF(AL31:AL48,"&gt;0")</f>
        <v/>
      </c>
      <c r="AM49" s="74" t="n"/>
      <c r="AN49" s="74">
        <f>SUMIF(AN31:AN48,"&gt;0")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/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/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/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F7981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/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((กว้าง-21-3-1.2-3-21)/2)+(66x1/2)</t>
        </is>
      </c>
      <c r="E58" s="83" t="n">
        <v>21</v>
      </c>
      <c r="F58" s="83" t="n">
        <v>3</v>
      </c>
      <c r="G58" s="83" t="n">
        <v>1.2</v>
      </c>
      <c r="H58" s="83" t="n">
        <v>3</v>
      </c>
      <c r="I58" s="83" t="n">
        <v>21</v>
      </c>
      <c r="J58" s="82" t="n"/>
      <c r="K58" s="82" t="n"/>
      <c r="L58" s="83" t="n"/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เสา-66-66</t>
        </is>
      </c>
      <c r="E59" s="83" t="n">
        <v>66</v>
      </c>
      <c r="F59" s="83" t="n">
        <v>66</v>
      </c>
      <c r="G59" s="82" t="n"/>
      <c r="H59" s="82" t="n"/>
      <c r="I59" s="82" t="n"/>
      <c r="J59" s="82" t="n"/>
      <c r="K59" s="82" t="n"/>
      <c r="L59" s="83" t="n"/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ขวาง-51-51</t>
        </is>
      </c>
      <c r="E60" s="83" t="n">
        <v>51</v>
      </c>
      <c r="F60" s="83" t="n">
        <v>51</v>
      </c>
      <c r="G60" s="82" t="n"/>
      <c r="H60" s="82" t="n"/>
      <c r="I60" s="82" t="n"/>
      <c r="J60" s="82" t="n"/>
      <c r="K60" s="82" t="n"/>
      <c r="L60" s="83" t="n"/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F7982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/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/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/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/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/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/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/>
      <c r="M67" s="82" t="n"/>
    </row>
    <row r="68" ht="44" customHeight="1">
      <c r="A68" s="78" t="n">
        <v>15</v>
      </c>
      <c r="B68" s="79" t="inlineStr">
        <is>
          <t>คิ้วลอย</t>
        </is>
      </c>
      <c r="C68" s="80" t="inlineStr">
        <is>
          <t>F7996</t>
        </is>
      </c>
      <c r="D68" s="81" t="inlineStr">
        <is>
          <t>สูง-25-25</t>
        </is>
      </c>
      <c r="E68" s="83" t="n">
        <v>25</v>
      </c>
      <c r="F68" s="83" t="n">
        <v>25</v>
      </c>
      <c r="G68" s="82" t="n"/>
      <c r="H68" s="82" t="n"/>
      <c r="I68" s="82" t="n"/>
      <c r="J68" s="82" t="n"/>
      <c r="K68" s="82" t="n"/>
      <c r="L68" s="83" t="n"/>
      <c r="M68" s="82" t="n"/>
    </row>
    <row r="69" ht="15" customHeight="1">
      <c r="A69" s="78" t="n">
        <v>16</v>
      </c>
      <c r="B69" s="79" t="inlineStr">
        <is>
          <t>คิ้วช่องแสง
ตั้ง</t>
        </is>
      </c>
      <c r="C69" s="80" t="inlineStr">
        <is>
          <t>F7935</t>
        </is>
      </c>
      <c r="D69" s="81" t="inlineStr">
        <is>
          <t>สูง-25-25</t>
        </is>
      </c>
      <c r="E69" s="83" t="n">
        <v>25</v>
      </c>
      <c r="F69" s="83" t="n">
        <v>25</v>
      </c>
      <c r="G69" s="82" t="n"/>
      <c r="H69" s="82" t="n"/>
      <c r="I69" s="82" t="n"/>
      <c r="J69" s="82" t="n"/>
      <c r="K69" s="82" t="n"/>
      <c r="L69" s="83" t="n"/>
      <c r="M69" s="82" t="n"/>
    </row>
    <row r="70" ht="15" customHeight="1">
      <c r="A70" s="78" t="n">
        <v>17</v>
      </c>
      <c r="B70" s="79" t="inlineStr">
        <is>
          <t>คิ้วช่องแสง
นอน</t>
        </is>
      </c>
      <c r="C70" s="80" t="inlineStr">
        <is>
          <t>-</t>
        </is>
      </c>
      <c r="D70" s="81" t="inlineStr">
        <is>
          <t>กว้าง-26-26</t>
        </is>
      </c>
      <c r="E70" s="83" t="n">
        <v>26</v>
      </c>
      <c r="F70" s="83" t="n">
        <v>26</v>
      </c>
      <c r="G70" s="82" t="n"/>
      <c r="H70" s="82" t="n"/>
      <c r="I70" s="82" t="n"/>
      <c r="J70" s="82" t="n"/>
      <c r="K70" s="82" t="n"/>
      <c r="L70" s="83" t="n"/>
      <c r="M70" s="82" t="n"/>
    </row>
    <row r="72">
      <c r="A72" s="123" t="inlineStr">
        <is>
          <t>⑥ อุปกรณ์ ต่อ 1 บาน — คูณจำนวนบานที่ผลิต</t>
        </is>
      </c>
      <c r="B72" s="131" t="n"/>
      <c r="C72" s="131" t="n"/>
      <c r="D72" s="131" t="n"/>
      <c r="E72" s="132" t="n"/>
      <c r="F72" s="124" t="inlineStr">
        <is>
          <t>ต่อบาน</t>
        </is>
      </c>
    </row>
    <row r="73">
      <c r="A73" s="125" t="inlineStr">
        <is>
          <t>1. ล้อ 27</t>
        </is>
      </c>
      <c r="B73" s="131" t="n"/>
      <c r="C73" s="131" t="n"/>
      <c r="D73" s="131" t="n"/>
      <c r="E73" s="132" t="n"/>
      <c r="F73" s="126" t="n">
        <v>2</v>
      </c>
    </row>
    <row r="74">
      <c r="A74" s="125" t="inlineStr">
        <is>
          <t>2. มือจับ Align</t>
        </is>
      </c>
      <c r="B74" s="131" t="n"/>
      <c r="C74" s="131" t="n"/>
      <c r="D74" s="131" t="n"/>
      <c r="E74" s="132" t="n"/>
      <c r="F74" s="126" t="n">
        <v>2</v>
      </c>
    </row>
    <row r="75">
      <c r="A75" s="125" t="inlineStr">
        <is>
          <t>3. ชุดล็อค</t>
        </is>
      </c>
      <c r="B75" s="131" t="n"/>
      <c r="C75" s="131" t="n"/>
      <c r="D75" s="131" t="n"/>
      <c r="E75" s="132" t="n"/>
      <c r="F75" s="126" t="n">
        <v>1</v>
      </c>
    </row>
    <row r="76">
      <c r="A76" s="125" t="inlineStr">
        <is>
          <t>4. น็อตประกอบ</t>
        </is>
      </c>
      <c r="B76" s="131" t="n"/>
      <c r="C76" s="131" t="n"/>
      <c r="D76" s="131" t="n"/>
      <c r="E76" s="132" t="n"/>
      <c r="F76" s="126" t="n">
        <v>4</v>
      </c>
    </row>
    <row r="77">
      <c r="A77" s="127" t="inlineStr">
        <is>
          <t>+ สักหลาด/ยาง/ซิลิโคน = ตามขนาด (ดูชีทคิดทุน)</t>
        </is>
      </c>
      <c r="B77" s="131" t="n"/>
      <c r="C77" s="131" t="n"/>
      <c r="D77" s="131" t="n"/>
      <c r="E77" s="131" t="n"/>
      <c r="F77" s="132" t="n"/>
    </row>
  </sheetData>
  <mergeCells count="78">
    <mergeCell ref="O6:P6"/>
    <mergeCell ref="B8:E9"/>
    <mergeCell ref="AA30:AE30"/>
    <mergeCell ref="Q7:T7"/>
    <mergeCell ref="AK7:AN7"/>
    <mergeCell ref="AC8:AD8"/>
    <mergeCell ref="AE8:AF8"/>
    <mergeCell ref="Y7:Z7"/>
    <mergeCell ref="Q9:R9"/>
    <mergeCell ref="S9:T9"/>
    <mergeCell ref="M8:N8"/>
    <mergeCell ref="AC9:AD9"/>
    <mergeCell ref="O8:P8"/>
    <mergeCell ref="AE9:AF9"/>
    <mergeCell ref="A7:F7"/>
    <mergeCell ref="I6:J6"/>
    <mergeCell ref="U6:V6"/>
    <mergeCell ref="W6:X6"/>
    <mergeCell ref="AK9:AL9"/>
    <mergeCell ref="G7:H7"/>
    <mergeCell ref="AA6:AB6"/>
    <mergeCell ref="I7:J7"/>
    <mergeCell ref="A75:E75"/>
    <mergeCell ref="U7:V7"/>
    <mergeCell ref="W7:X7"/>
    <mergeCell ref="A8:A9"/>
    <mergeCell ref="AG7:AH7"/>
    <mergeCell ref="AI7:AJ7"/>
    <mergeCell ref="I8:J8"/>
    <mergeCell ref="A30:F30"/>
    <mergeCell ref="U8:V8"/>
    <mergeCell ref="W8:X8"/>
    <mergeCell ref="M7:P7"/>
    <mergeCell ref="Y8:Z8"/>
    <mergeCell ref="K6:L6"/>
    <mergeCell ref="G9:H9"/>
    <mergeCell ref="AA8:AB8"/>
    <mergeCell ref="I9:J9"/>
    <mergeCell ref="AM8:AN8"/>
    <mergeCell ref="U9:V9"/>
    <mergeCell ref="A73:E73"/>
    <mergeCell ref="K9:L9"/>
    <mergeCell ref="M9:N9"/>
    <mergeCell ref="O9:P9"/>
    <mergeCell ref="M30:O30"/>
    <mergeCell ref="Y9:Z9"/>
    <mergeCell ref="AA9:AB9"/>
    <mergeCell ref="AA7:AF7"/>
    <mergeCell ref="F8:F9"/>
    <mergeCell ref="AG6:AH6"/>
    <mergeCell ref="AI6:AJ6"/>
    <mergeCell ref="Q30:S30"/>
    <mergeCell ref="K8:L8"/>
    <mergeCell ref="Q6:R6"/>
    <mergeCell ref="S6:T6"/>
    <mergeCell ref="K7:L7"/>
    <mergeCell ref="A72:E72"/>
    <mergeCell ref="AG8:AH8"/>
    <mergeCell ref="AI8:AJ8"/>
    <mergeCell ref="G8:H8"/>
    <mergeCell ref="Q8:R8"/>
    <mergeCell ref="AG9:AH9"/>
    <mergeCell ref="S8:T8"/>
    <mergeCell ref="AI9:AJ9"/>
    <mergeCell ref="G6:H6"/>
    <mergeCell ref="AM9:AN9"/>
    <mergeCell ref="A74:E74"/>
    <mergeCell ref="M6:N6"/>
    <mergeCell ref="A76:E76"/>
    <mergeCell ref="Y6:Z6"/>
    <mergeCell ref="A77:F77"/>
    <mergeCell ref="W9:X9"/>
    <mergeCell ref="AK6:AL6"/>
    <mergeCell ref="AM6:AN6"/>
    <mergeCell ref="AC6:AD6"/>
    <mergeCell ref="AE6:AF6"/>
    <mergeCell ref="AK8:AL8"/>
    <mergeCell ref="A6:F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7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</cols>
  <sheetData>
    <row r="1" ht="40.15" customHeight="1">
      <c r="A1" s="1" t="inlineStr">
        <is>
          <t>JR ALUMINIUM &amp; GLASS  —  ใบรายการตัด · FUJI เลื่อนสลับ2ราง   (หน่วย: มม.)</t>
        </is>
      </c>
      <c r="B1" s="2" t="n"/>
      <c r="D1" s="3" t="n"/>
      <c r="E1" s="4" t="n"/>
      <c r="F1" s="3" t="n"/>
      <c r="G1" s="5" t="n"/>
      <c r="H1" s="5" t="n"/>
      <c r="I1" s="3" t="n"/>
      <c r="J1" s="3" t="n"/>
      <c r="K1" s="6" t="n"/>
      <c r="L1" s="6" t="n"/>
      <c r="M1" s="5" t="n"/>
      <c r="N1" s="5" t="n"/>
      <c r="O1" s="3" t="n"/>
      <c r="P1" s="7" t="n"/>
      <c r="Q1" s="6" t="n"/>
      <c r="R1" s="6" t="n"/>
      <c r="S1" s="5" t="n"/>
      <c r="T1" s="5" t="n"/>
      <c r="U1" s="5" t="n"/>
      <c r="V1" s="5" t="n"/>
      <c r="W1" s="5" t="n"/>
      <c r="X1" s="5" t="n"/>
      <c r="Y1" s="3" t="n"/>
      <c r="Z1" s="3" t="n"/>
      <c r="AA1" s="3" t="n"/>
      <c r="AB1" s="3" t="n"/>
      <c r="AC1" s="5" t="n"/>
      <c r="AD1" s="5" t="n"/>
      <c r="AE1" s="6" t="n"/>
      <c r="AF1" s="5" t="n"/>
      <c r="AG1" s="5" t="n"/>
      <c r="AH1" s="5" t="n"/>
      <c r="AI1" s="5" t="n"/>
      <c r="AJ1" s="5" t="n"/>
      <c r="AK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6" t="n"/>
      <c r="J2" s="6" t="n"/>
      <c r="K2" s="6" t="n"/>
      <c r="L2" s="6" t="n"/>
      <c r="M2" s="9" t="n"/>
      <c r="N2" s="9" t="n"/>
      <c r="O2" s="6" t="n"/>
      <c r="P2" s="6" t="n"/>
      <c r="Q2" s="9" t="n"/>
      <c r="R2" s="9" t="n"/>
      <c r="S2" s="9" t="n"/>
      <c r="T2" s="9" t="n"/>
      <c r="U2" s="9" t="n"/>
      <c r="V2" s="9" t="n"/>
      <c r="W2" s="9" t="n"/>
      <c r="X2" s="9" t="n"/>
      <c r="Y2" s="6" t="n"/>
      <c r="Z2" s="6" t="n"/>
      <c r="AA2" s="6" t="n"/>
      <c r="AB2" s="6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</row>
    <row r="3" ht="40.15" customHeight="1">
      <c r="A3" s="130">
        <f>HYPERLINK("#สารบัญ!A1","← สารบัญ")</f>
        <v/>
      </c>
      <c r="B3" s="6" t="n"/>
      <c r="C3" s="6" t="n"/>
      <c r="D3" s="85" t="n"/>
      <c r="E3" s="100" t="n"/>
      <c r="F3" s="6" t="n"/>
      <c r="G3" s="11" t="n"/>
      <c r="H3" s="11" t="n"/>
      <c r="I3" s="6" t="n"/>
      <c r="J3" s="6" t="n"/>
      <c r="K3" s="6" t="n"/>
      <c r="L3" s="6" t="n"/>
      <c r="M3" s="11" t="n"/>
      <c r="N3" s="11" t="n"/>
      <c r="O3" s="6" t="n"/>
      <c r="P3" s="6" t="n"/>
      <c r="S3" s="11" t="n"/>
      <c r="T3" s="11" t="n"/>
      <c r="U3" s="11" t="n"/>
      <c r="V3" s="11" t="n"/>
      <c r="W3" s="11" t="n"/>
      <c r="X3" s="11" t="n"/>
      <c r="Y3" s="6" t="n"/>
      <c r="Z3" s="6" t="n"/>
      <c r="AA3" s="6" t="n"/>
      <c r="AB3" s="6" t="n"/>
      <c r="AC3" s="11" t="n"/>
      <c r="AD3" s="11" t="n"/>
      <c r="AE3" s="9" t="n"/>
      <c r="AF3" s="9" t="n"/>
      <c r="AG3" s="11" t="n"/>
      <c r="AH3" s="11" t="n"/>
      <c r="AI3" s="11" t="n"/>
      <c r="AJ3" s="11" t="n"/>
      <c r="AK3" s="11" t="n"/>
    </row>
    <row r="4" ht="40.15" customHeight="1">
      <c r="A4" s="6" t="n"/>
      <c r="B4" s="6" t="n"/>
      <c r="C4" s="6" t="n"/>
      <c r="F4" s="6" t="n"/>
      <c r="I4" s="6" t="n"/>
      <c r="J4" s="6" t="n"/>
      <c r="K4" s="6" t="n"/>
      <c r="L4" s="6" t="n"/>
      <c r="O4" s="6" t="n"/>
      <c r="P4" s="6" t="n"/>
      <c r="Y4" s="6" t="n"/>
      <c r="Z4" s="6" t="n"/>
      <c r="AA4" s="6" t="n"/>
      <c r="AB4" s="6" t="n"/>
      <c r="AE4" s="9" t="n"/>
      <c r="AF4" s="9" t="n"/>
    </row>
    <row r="5" ht="40.15" customHeight="1">
      <c r="A5" s="6" t="n"/>
      <c r="B5" s="6" t="n"/>
      <c r="C5" s="6" t="n"/>
      <c r="D5" s="6" t="n"/>
      <c r="E5" s="8" t="n"/>
      <c r="F5" s="6" t="n"/>
      <c r="I5" s="6" t="n"/>
      <c r="J5" s="6" t="n"/>
      <c r="L5" s="6" t="n"/>
      <c r="O5" s="6" t="n"/>
      <c r="P5" s="6" t="n"/>
      <c r="Y5" s="6" t="n"/>
      <c r="Z5" s="6" t="n"/>
      <c r="AA5" s="6" t="n"/>
      <c r="AB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สูง-21-19-13-21</t>
        </is>
      </c>
      <c r="J6" s="17" t="n"/>
      <c r="K6" s="16" t="inlineStr">
        <is>
          <t>((กว้าง-21-3-1.2-3-21)/2)+(78x1/2)</t>
        </is>
      </c>
      <c r="L6" s="17" t="n"/>
      <c r="M6" s="16" t="inlineStr">
        <is>
          <t>เสา-78-78</t>
        </is>
      </c>
      <c r="N6" s="17" t="n"/>
      <c r="O6" s="16" t="inlineStr">
        <is>
          <t>ขวาง-63-63</t>
        </is>
      </c>
      <c r="P6" s="17" t="n"/>
      <c r="Q6" s="16" t="inlineStr">
        <is>
          <t>สูงกรอบบาน</t>
        </is>
      </c>
      <c r="R6" s="17" t="n"/>
      <c r="S6" s="16" t="inlineStr">
        <is>
          <t>สูง-45-45</t>
        </is>
      </c>
      <c r="T6" s="17" t="n"/>
      <c r="U6" s="16" t="inlineStr">
        <is>
          <t>เท่าเฟรมบน</t>
        </is>
      </c>
      <c r="V6" s="17" t="n"/>
      <c r="W6" s="16" t="inlineStr">
        <is>
          <t>สูง-45-45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กว้าง</t>
        </is>
      </c>
      <c r="AB6" s="17" t="n"/>
      <c r="AC6" s="16" t="inlineStr">
        <is>
          <t>เท่าเฟรมล่าง</t>
        </is>
      </c>
      <c r="AD6" s="17" t="n"/>
      <c r="AE6" s="16" t="n"/>
      <c r="AF6" s="17" t="n"/>
      <c r="AG6" s="18" t="n"/>
      <c r="AH6" s="18" t="n"/>
      <c r="AI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F7977</t>
        </is>
      </c>
      <c r="H7" s="15" t="n"/>
      <c r="I7" s="22" t="inlineStr">
        <is>
          <t>F7980</t>
        </is>
      </c>
      <c r="J7" s="14" t="n"/>
      <c r="K7" s="14" t="n"/>
      <c r="L7" s="15" t="n"/>
      <c r="M7" s="22" t="inlineStr">
        <is>
          <t>F7919</t>
        </is>
      </c>
      <c r="N7" s="14" t="n"/>
      <c r="O7" s="14" t="n"/>
      <c r="P7" s="15" t="n"/>
      <c r="Q7" s="22" t="inlineStr">
        <is>
          <t>F7983</t>
        </is>
      </c>
      <c r="R7" s="15" t="n"/>
      <c r="S7" s="22" t="inlineStr">
        <is>
          <t>F7986</t>
        </is>
      </c>
      <c r="T7" s="15" t="n"/>
      <c r="U7" s="22" t="inlineStr">
        <is>
          <t>F7993</t>
        </is>
      </c>
      <c r="V7" s="15" t="n"/>
      <c r="W7" s="22" t="inlineStr">
        <is>
          <t>F7988</t>
        </is>
      </c>
      <c r="X7" s="14" t="n"/>
      <c r="Y7" s="14" t="n"/>
      <c r="Z7" s="14" t="n"/>
      <c r="AA7" s="14" t="n"/>
      <c r="AB7" s="15" t="n"/>
      <c r="AC7" s="22" t="inlineStr">
        <is>
          <t>F7994</t>
        </is>
      </c>
      <c r="AD7" s="15" t="n"/>
      <c r="AE7" s="22" t="n"/>
      <c r="AF7" s="15" t="n"/>
      <c r="AG7" s="24" t="n"/>
      <c r="AH7" s="25" t="inlineStr">
        <is>
          <t>ขนาดกระจก</t>
        </is>
      </c>
      <c r="AI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4" t="n"/>
      <c r="L8" s="31" t="n"/>
      <c r="M8" s="32" t="n"/>
      <c r="N8" s="33" t="n"/>
      <c r="O8" s="34" t="n"/>
      <c r="P8" s="31" t="n"/>
      <c r="Q8" s="32" t="n"/>
      <c r="R8" s="33" t="n"/>
      <c r="S8" s="32" t="n"/>
      <c r="T8" s="33" t="n"/>
      <c r="U8" s="32" t="n"/>
      <c r="V8" s="33" t="n"/>
      <c r="W8" s="32" t="n"/>
      <c r="X8" s="33" t="n"/>
      <c r="Y8" s="35" t="n"/>
      <c r="Z8" s="33" t="n"/>
      <c r="AA8" s="34" t="n"/>
      <c r="AB8" s="31" t="n"/>
      <c r="AC8" s="30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เสา</t>
        </is>
      </c>
      <c r="J9" s="43" t="n"/>
      <c r="K9" s="42" t="inlineStr">
        <is>
          <t>ขวาง</t>
        </is>
      </c>
      <c r="L9" s="43" t="n"/>
      <c r="M9" s="42" t="inlineStr">
        <is>
          <t>คิ้ว ตั้ง</t>
        </is>
      </c>
      <c r="N9" s="43" t="n"/>
      <c r="O9" s="42" t="inlineStr">
        <is>
          <t>คิ้ว ขวาง</t>
        </is>
      </c>
      <c r="P9" s="43" t="n"/>
      <c r="Q9" s="42" t="inlineStr">
        <is>
          <t>ตบเกี่ยว</t>
        </is>
      </c>
      <c r="R9" s="43" t="n"/>
      <c r="S9" s="44" t="inlineStr">
        <is>
          <t>ยูข้าง</t>
        </is>
      </c>
      <c r="T9" s="43" t="n"/>
      <c r="U9" s="44" t="inlineStr">
        <is>
          <t>ตบเฟรมบน</t>
        </is>
      </c>
      <c r="V9" s="43" t="n"/>
      <c r="W9" s="44" t="inlineStr">
        <is>
          <t>ตบยูข้าง</t>
        </is>
      </c>
      <c r="X9" s="43" t="n"/>
      <c r="Y9" s="42" t="inlineStr">
        <is>
          <t>ปิดตบเกี่ยว</t>
        </is>
      </c>
      <c r="Z9" s="43" t="n"/>
      <c r="AA9" s="42" t="n"/>
      <c r="AB9" s="43" t="n"/>
      <c r="AC9" s="44" t="inlineStr">
        <is>
          <t>ราง</t>
        </is>
      </c>
      <c r="AD9" s="43" t="n"/>
      <c r="AE9" s="42" t="n"/>
      <c r="AF9" s="43" t="n"/>
      <c r="AG9" s="45" t="inlineStr">
        <is>
          <t>SH-68-68</t>
        </is>
      </c>
      <c r="AH9" s="46" t="inlineStr">
        <is>
          <t>SW-68-68</t>
        </is>
      </c>
      <c r="AI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3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</row>
    <row r="11" ht="40.15" customHeight="1">
      <c r="A11" s="101" t="inlineStr">
        <is>
          <t>D1</t>
        </is>
      </c>
      <c r="B11" s="102" t="n">
        <v>1067</v>
      </c>
      <c r="C11" s="92" t="n">
        <v>1267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IF($A11="","",$C11-$E$55-$F$55)</f>
        <v/>
      </c>
      <c r="H11" s="92">
        <f>IF($A11="","",$L$55*$D11)</f>
        <v/>
      </c>
      <c r="I11" s="104">
        <f>IF($A11="","",$B11-$E$56-$F$56-$G$56-$H$56)</f>
        <v/>
      </c>
      <c r="J11" s="92">
        <f>IF($A11="","",$L$56*$D11)</f>
        <v/>
      </c>
      <c r="K11" s="104">
        <f>IF($A11="","",(($C11-$E$57-$F$57-$G$57-$H$57-$I$57)/2)+(78*1)/2)</f>
        <v/>
      </c>
      <c r="L11" s="92">
        <f>IF($A11="","",$L$57*$D11)</f>
        <v/>
      </c>
      <c r="M11" s="104">
        <f>IF($A11="","",$I11-$E$58-$F$58)</f>
        <v/>
      </c>
      <c r="N11" s="92">
        <f>IF($A11="","",$L$58*$D11)</f>
        <v/>
      </c>
      <c r="O11" s="104">
        <f>IF($A11="","",$K11-$E$59-$F$59)</f>
        <v/>
      </c>
      <c r="P11" s="92">
        <f>IF($A11="","",$L$59*$D11)</f>
        <v/>
      </c>
      <c r="Q11" s="104">
        <f>IF($A11="","",$I11)</f>
        <v/>
      </c>
      <c r="R11" s="92">
        <f>IF($A11="","",$L$60*$D11)</f>
        <v/>
      </c>
      <c r="S11" s="104">
        <f>IF($A11="","",$B11-$E$61-$F$61)</f>
        <v/>
      </c>
      <c r="T11" s="92">
        <f>IF($A11="","",$L$61*$D11)</f>
        <v/>
      </c>
      <c r="U11" s="104">
        <f>IF($A11="","",$C11-$E$62-$F$62)</f>
        <v/>
      </c>
      <c r="V11" s="92">
        <f>IF($A11="","",$L$62*$D11)</f>
        <v/>
      </c>
      <c r="W11" s="104">
        <f>IF($A11="","",$B11-$E$63-$F$63)</f>
        <v/>
      </c>
      <c r="X11" s="92">
        <f>IF($A11="","",$L$63*$D11)</f>
        <v/>
      </c>
      <c r="Y11" s="104">
        <f>IF($A11="","",$Q11)</f>
        <v/>
      </c>
      <c r="Z11" s="92">
        <f>IF($A11="","",$L$64*$D11)</f>
        <v/>
      </c>
      <c r="AA11" s="104" t="n"/>
      <c r="AB11" s="92" t="n"/>
      <c r="AC11" s="104">
        <f>IF($A11="","",$C11-$E$65-$F$65)</f>
        <v/>
      </c>
      <c r="AD11" s="92">
        <f>IF($A11="","",$L$65*$D11)</f>
        <v/>
      </c>
      <c r="AE11" s="104" t="n"/>
      <c r="AF11" s="92" t="n"/>
      <c r="AG11" s="105">
        <f>IF($A11="","",$I11-68-68)</f>
        <v/>
      </c>
      <c r="AH11" s="106">
        <f>IF($A11="","",$K11-68-68)</f>
        <v/>
      </c>
      <c r="AI11" s="107">
        <f>IF($A11="","",2*$D11)</f>
        <v/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IF($A12="","",$C12-$E$55-$F$55)</f>
        <v/>
      </c>
      <c r="H12" s="98">
        <f>IF($A12="","",$L$55*$D12)</f>
        <v/>
      </c>
      <c r="I12" s="108">
        <f>IF($A12="","",$B12-$E$56-$F$56-$G$56-$H$56)</f>
        <v/>
      </c>
      <c r="J12" s="98">
        <f>IF($A12="","",$L$56*$D12)</f>
        <v/>
      </c>
      <c r="K12" s="108">
        <f>IF($A12="","",(($C12-$E$57-$F$57-$G$57-$H$57-$I$57)/2)+(78*1)/2)</f>
        <v/>
      </c>
      <c r="L12" s="98">
        <f>IF($A12="","",$L$57*$D12)</f>
        <v/>
      </c>
      <c r="M12" s="108">
        <f>IF($A12="","",$I12-$E$58-$F$58)</f>
        <v/>
      </c>
      <c r="N12" s="98">
        <f>IF($A12="","",$L$58*$D12)</f>
        <v/>
      </c>
      <c r="O12" s="108">
        <f>IF($A12="","",$K12-$E$59-$F$59)</f>
        <v/>
      </c>
      <c r="P12" s="98">
        <f>IF($A12="","",$L$59*$D12)</f>
        <v/>
      </c>
      <c r="Q12" s="108">
        <f>IF($A12="","",$I12)</f>
        <v/>
      </c>
      <c r="R12" s="98">
        <f>IF($A12="","",$L$60*$D12)</f>
        <v/>
      </c>
      <c r="S12" s="108">
        <f>IF($A12="","",$B12-$E$61-$F$61)</f>
        <v/>
      </c>
      <c r="T12" s="98">
        <f>IF($A12="","",$L$61*$D12)</f>
        <v/>
      </c>
      <c r="U12" s="108">
        <f>IF($A12="","",$C12-$E$62-$F$62)</f>
        <v/>
      </c>
      <c r="V12" s="98">
        <f>IF($A12="","",$L$62*$D12)</f>
        <v/>
      </c>
      <c r="W12" s="108">
        <f>IF($A12="","",$B12-$E$63-$F$63)</f>
        <v/>
      </c>
      <c r="X12" s="98">
        <f>IF($A12="","",$L$63*$D12)</f>
        <v/>
      </c>
      <c r="Y12" s="108">
        <f>IF($A12="","",$Q12)</f>
        <v/>
      </c>
      <c r="Z12" s="98">
        <f>IF($A12="","",$L$64*$D12)</f>
        <v/>
      </c>
      <c r="AA12" s="108" t="n"/>
      <c r="AB12" s="98" t="n"/>
      <c r="AC12" s="108">
        <f>IF($A12="","",$C12-$E$65-$F$65)</f>
        <v/>
      </c>
      <c r="AD12" s="98">
        <f>IF($A12="","",$L$65*$D12)</f>
        <v/>
      </c>
      <c r="AE12" s="108" t="n"/>
      <c r="AF12" s="98" t="n"/>
      <c r="AG12" s="105">
        <f>IF($A12="","",$I12-68-68)</f>
        <v/>
      </c>
      <c r="AH12" s="106">
        <f>IF($A12="","",$K12-68-68)</f>
        <v/>
      </c>
      <c r="AI12" s="107">
        <f>IF($A12="","",2*$D12)</f>
        <v/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IF($A13="","",$C13-$E$55-$F$55)</f>
        <v/>
      </c>
      <c r="H13" s="92">
        <f>IF($A13="","",$L$55*$D13)</f>
        <v/>
      </c>
      <c r="I13" s="104">
        <f>IF($A13="","",$B13-$E$56-$F$56-$G$56-$H$56)</f>
        <v/>
      </c>
      <c r="J13" s="92">
        <f>IF($A13="","",$L$56*$D13)</f>
        <v/>
      </c>
      <c r="K13" s="104">
        <f>IF($A13="","",(($C13-$E$57-$F$57-$G$57-$H$57-$I$57)/2)+(78*1)/2)</f>
        <v/>
      </c>
      <c r="L13" s="92">
        <f>IF($A13="","",$L$57*$D13)</f>
        <v/>
      </c>
      <c r="M13" s="104">
        <f>IF($A13="","",$I13-$E$58-$F$58)</f>
        <v/>
      </c>
      <c r="N13" s="92">
        <f>IF($A13="","",$L$58*$D13)</f>
        <v/>
      </c>
      <c r="O13" s="104">
        <f>IF($A13="","",$K13-$E$59-$F$59)</f>
        <v/>
      </c>
      <c r="P13" s="92">
        <f>IF($A13="","",$L$59*$D13)</f>
        <v/>
      </c>
      <c r="Q13" s="104">
        <f>IF($A13="","",$I13)</f>
        <v/>
      </c>
      <c r="R13" s="92">
        <f>IF($A13="","",$L$60*$D13)</f>
        <v/>
      </c>
      <c r="S13" s="104">
        <f>IF($A13="","",$B13-$E$61-$F$61)</f>
        <v/>
      </c>
      <c r="T13" s="92">
        <f>IF($A13="","",$L$61*$D13)</f>
        <v/>
      </c>
      <c r="U13" s="104">
        <f>IF($A13="","",$C13-$E$62-$F$62)</f>
        <v/>
      </c>
      <c r="V13" s="92">
        <f>IF($A13="","",$L$62*$D13)</f>
        <v/>
      </c>
      <c r="W13" s="104">
        <f>IF($A13="","",$B13-$E$63-$F$63)</f>
        <v/>
      </c>
      <c r="X13" s="92">
        <f>IF($A13="","",$L$63*$D13)</f>
        <v/>
      </c>
      <c r="Y13" s="104">
        <f>IF($A13="","",$Q13)</f>
        <v/>
      </c>
      <c r="Z13" s="92">
        <f>IF($A13="","",$L$64*$D13)</f>
        <v/>
      </c>
      <c r="AA13" s="104" t="n"/>
      <c r="AB13" s="92" t="n"/>
      <c r="AC13" s="104">
        <f>IF($A13="","",$C13-$E$65-$F$65)</f>
        <v/>
      </c>
      <c r="AD13" s="92">
        <f>IF($A13="","",$L$65*$D13)</f>
        <v/>
      </c>
      <c r="AE13" s="104" t="n"/>
      <c r="AF13" s="92" t="n"/>
      <c r="AG13" s="105">
        <f>IF($A13="","",$I13-68-68)</f>
        <v/>
      </c>
      <c r="AH13" s="106">
        <f>IF($A13="","",$K13-68-68)</f>
        <v/>
      </c>
      <c r="AI13" s="107">
        <f>IF($A13="","",2*$D13)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IF($A14="","",$C14-$E$55-$F$55)</f>
        <v/>
      </c>
      <c r="H14" s="98">
        <f>IF($A14="","",$L$55*$D14)</f>
        <v/>
      </c>
      <c r="I14" s="108">
        <f>IF($A14="","",$B14-$E$56-$F$56-$G$56-$H$56)</f>
        <v/>
      </c>
      <c r="J14" s="98">
        <f>IF($A14="","",$L$56*$D14)</f>
        <v/>
      </c>
      <c r="K14" s="108">
        <f>IF($A14="","",(($C14-$E$57-$F$57-$G$57-$H$57-$I$57)/2)+(78*1)/2)</f>
        <v/>
      </c>
      <c r="L14" s="98">
        <f>IF($A14="","",$L$57*$D14)</f>
        <v/>
      </c>
      <c r="M14" s="108">
        <f>IF($A14="","",$I14-$E$58-$F$58)</f>
        <v/>
      </c>
      <c r="N14" s="98">
        <f>IF($A14="","",$L$58*$D14)</f>
        <v/>
      </c>
      <c r="O14" s="108">
        <f>IF($A14="","",$K14-$E$59-$F$59)</f>
        <v/>
      </c>
      <c r="P14" s="98">
        <f>IF($A14="","",$L$59*$D14)</f>
        <v/>
      </c>
      <c r="Q14" s="108">
        <f>IF($A14="","",$I14)</f>
        <v/>
      </c>
      <c r="R14" s="98">
        <f>IF($A14="","",$L$60*$D14)</f>
        <v/>
      </c>
      <c r="S14" s="108">
        <f>IF($A14="","",$B14-$E$61-$F$61)</f>
        <v/>
      </c>
      <c r="T14" s="98">
        <f>IF($A14="","",$L$61*$D14)</f>
        <v/>
      </c>
      <c r="U14" s="108">
        <f>IF($A14="","",$C14-$E$62-$F$62)</f>
        <v/>
      </c>
      <c r="V14" s="98">
        <f>IF($A14="","",$L$62*$D14)</f>
        <v/>
      </c>
      <c r="W14" s="108">
        <f>IF($A14="","",$B14-$E$63-$F$63)</f>
        <v/>
      </c>
      <c r="X14" s="98">
        <f>IF($A14="","",$L$63*$D14)</f>
        <v/>
      </c>
      <c r="Y14" s="108">
        <f>IF($A14="","",$Q14)</f>
        <v/>
      </c>
      <c r="Z14" s="98">
        <f>IF($A14="","",$L$64*$D14)</f>
        <v/>
      </c>
      <c r="AA14" s="108" t="n"/>
      <c r="AB14" s="98" t="n"/>
      <c r="AC14" s="108">
        <f>IF($A14="","",$C14-$E$65-$F$65)</f>
        <v/>
      </c>
      <c r="AD14" s="98">
        <f>IF($A14="","",$L$65*$D14)</f>
        <v/>
      </c>
      <c r="AE14" s="108" t="n"/>
      <c r="AF14" s="98" t="n"/>
      <c r="AG14" s="105">
        <f>IF($A14="","",$I14-68-68)</f>
        <v/>
      </c>
      <c r="AH14" s="106">
        <f>IF($A14="","",$K14-68-68)</f>
        <v/>
      </c>
      <c r="AI14" s="107">
        <f>IF($A14="","",2*$D14)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IF($A15="","",$C15-$E$55-$F$55)</f>
        <v/>
      </c>
      <c r="H15" s="92">
        <f>IF($A15="","",$L$55*$D15)</f>
        <v/>
      </c>
      <c r="I15" s="104">
        <f>IF($A15="","",$B15-$E$56-$F$56-$G$56-$H$56)</f>
        <v/>
      </c>
      <c r="J15" s="92">
        <f>IF($A15="","",$L$56*$D15)</f>
        <v/>
      </c>
      <c r="K15" s="104">
        <f>IF($A15="","",(($C15-$E$57-$F$57-$G$57-$H$57-$I$57)/2)+(78*1)/2)</f>
        <v/>
      </c>
      <c r="L15" s="92">
        <f>IF($A15="","",$L$57*$D15)</f>
        <v/>
      </c>
      <c r="M15" s="104">
        <f>IF($A15="","",$I15-$E$58-$F$58)</f>
        <v/>
      </c>
      <c r="N15" s="92">
        <f>IF($A15="","",$L$58*$D15)</f>
        <v/>
      </c>
      <c r="O15" s="104">
        <f>IF($A15="","",$K15-$E$59-$F$59)</f>
        <v/>
      </c>
      <c r="P15" s="92">
        <f>IF($A15="","",$L$59*$D15)</f>
        <v/>
      </c>
      <c r="Q15" s="104">
        <f>IF($A15="","",$I15)</f>
        <v/>
      </c>
      <c r="R15" s="92">
        <f>IF($A15="","",$L$60*$D15)</f>
        <v/>
      </c>
      <c r="S15" s="104">
        <f>IF($A15="","",$B15-$E$61-$F$61)</f>
        <v/>
      </c>
      <c r="T15" s="92">
        <f>IF($A15="","",$L$61*$D15)</f>
        <v/>
      </c>
      <c r="U15" s="104">
        <f>IF($A15="","",$C15-$E$62-$F$62)</f>
        <v/>
      </c>
      <c r="V15" s="92">
        <f>IF($A15="","",$L$62*$D15)</f>
        <v/>
      </c>
      <c r="W15" s="104">
        <f>IF($A15="","",$B15-$E$63-$F$63)</f>
        <v/>
      </c>
      <c r="X15" s="92">
        <f>IF($A15="","",$L$63*$D15)</f>
        <v/>
      </c>
      <c r="Y15" s="104">
        <f>IF($A15="","",$Q15)</f>
        <v/>
      </c>
      <c r="Z15" s="92">
        <f>IF($A15="","",$L$64*$D15)</f>
        <v/>
      </c>
      <c r="AA15" s="104" t="n"/>
      <c r="AB15" s="92" t="n"/>
      <c r="AC15" s="104">
        <f>IF($A15="","",$C15-$E$65-$F$65)</f>
        <v/>
      </c>
      <c r="AD15" s="92">
        <f>IF($A15="","",$L$65*$D15)</f>
        <v/>
      </c>
      <c r="AE15" s="104" t="n"/>
      <c r="AF15" s="92" t="n"/>
      <c r="AG15" s="105">
        <f>IF($A15="","",$I15-68-68)</f>
        <v/>
      </c>
      <c r="AH15" s="106">
        <f>IF($A15="","",$K15-68-68)</f>
        <v/>
      </c>
      <c r="AI15" s="107">
        <f>IF($A15="","",2*$D15)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IF($A16="","",$C16-$E$55-$F$55)</f>
        <v/>
      </c>
      <c r="H16" s="98">
        <f>IF($A16="","",$L$55*$D16)</f>
        <v/>
      </c>
      <c r="I16" s="108">
        <f>IF($A16="","",$B16-$E$56-$F$56-$G$56-$H$56)</f>
        <v/>
      </c>
      <c r="J16" s="98">
        <f>IF($A16="","",$L$56*$D16)</f>
        <v/>
      </c>
      <c r="K16" s="108">
        <f>IF($A16="","",(($C16-$E$57-$F$57-$G$57-$H$57-$I$57)/2)+(78*1)/2)</f>
        <v/>
      </c>
      <c r="L16" s="98">
        <f>IF($A16="","",$L$57*$D16)</f>
        <v/>
      </c>
      <c r="M16" s="108">
        <f>IF($A16="","",$I16-$E$58-$F$58)</f>
        <v/>
      </c>
      <c r="N16" s="98">
        <f>IF($A16="","",$L$58*$D16)</f>
        <v/>
      </c>
      <c r="O16" s="108">
        <f>IF($A16="","",$K16-$E$59-$F$59)</f>
        <v/>
      </c>
      <c r="P16" s="98">
        <f>IF($A16="","",$L$59*$D16)</f>
        <v/>
      </c>
      <c r="Q16" s="108">
        <f>IF($A16="","",$I16)</f>
        <v/>
      </c>
      <c r="R16" s="98">
        <f>IF($A16="","",$L$60*$D16)</f>
        <v/>
      </c>
      <c r="S16" s="108">
        <f>IF($A16="","",$B16-$E$61-$F$61)</f>
        <v/>
      </c>
      <c r="T16" s="98">
        <f>IF($A16="","",$L$61*$D16)</f>
        <v/>
      </c>
      <c r="U16" s="108">
        <f>IF($A16="","",$C16-$E$62-$F$62)</f>
        <v/>
      </c>
      <c r="V16" s="98">
        <f>IF($A16="","",$L$62*$D16)</f>
        <v/>
      </c>
      <c r="W16" s="108">
        <f>IF($A16="","",$B16-$E$63-$F$63)</f>
        <v/>
      </c>
      <c r="X16" s="98">
        <f>IF($A16="","",$L$63*$D16)</f>
        <v/>
      </c>
      <c r="Y16" s="108">
        <f>IF($A16="","",$Q16)</f>
        <v/>
      </c>
      <c r="Z16" s="98">
        <f>IF($A16="","",$L$64*$D16)</f>
        <v/>
      </c>
      <c r="AA16" s="108" t="n"/>
      <c r="AB16" s="98" t="n"/>
      <c r="AC16" s="108">
        <f>IF($A16="","",$C16-$E$65-$F$65)</f>
        <v/>
      </c>
      <c r="AD16" s="98">
        <f>IF($A16="","",$L$65*$D16)</f>
        <v/>
      </c>
      <c r="AE16" s="108" t="n"/>
      <c r="AF16" s="98" t="n"/>
      <c r="AG16" s="105">
        <f>IF($A16="","",$I16-68-68)</f>
        <v/>
      </c>
      <c r="AH16" s="106">
        <f>IF($A16="","",$K16-68-68)</f>
        <v/>
      </c>
      <c r="AI16" s="107">
        <f>IF($A16="","",2*$D16)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IF($A17="","",$C17-$E$55-$F$55)</f>
        <v/>
      </c>
      <c r="H17" s="92">
        <f>IF($A17="","",$L$55*$D17)</f>
        <v/>
      </c>
      <c r="I17" s="104">
        <f>IF($A17="","",$B17-$E$56-$F$56-$G$56-$H$56)</f>
        <v/>
      </c>
      <c r="J17" s="92">
        <f>IF($A17="","",$L$56*$D17)</f>
        <v/>
      </c>
      <c r="K17" s="104">
        <f>IF($A17="","",(($C17-$E$57-$F$57-$G$57-$H$57-$I$57)/2)+(78*1)/2)</f>
        <v/>
      </c>
      <c r="L17" s="92">
        <f>IF($A17="","",$L$57*$D17)</f>
        <v/>
      </c>
      <c r="M17" s="104">
        <f>IF($A17="","",$I17-$E$58-$F$58)</f>
        <v/>
      </c>
      <c r="N17" s="92">
        <f>IF($A17="","",$L$58*$D17)</f>
        <v/>
      </c>
      <c r="O17" s="104">
        <f>IF($A17="","",$K17-$E$59-$F$59)</f>
        <v/>
      </c>
      <c r="P17" s="92">
        <f>IF($A17="","",$L$59*$D17)</f>
        <v/>
      </c>
      <c r="Q17" s="104">
        <f>IF($A17="","",$I17)</f>
        <v/>
      </c>
      <c r="R17" s="92">
        <f>IF($A17="","",$L$60*$D17)</f>
        <v/>
      </c>
      <c r="S17" s="104">
        <f>IF($A17="","",$B17-$E$61-$F$61)</f>
        <v/>
      </c>
      <c r="T17" s="92">
        <f>IF($A17="","",$L$61*$D17)</f>
        <v/>
      </c>
      <c r="U17" s="104">
        <f>IF($A17="","",$C17-$E$62-$F$62)</f>
        <v/>
      </c>
      <c r="V17" s="92">
        <f>IF($A17="","",$L$62*$D17)</f>
        <v/>
      </c>
      <c r="W17" s="104">
        <f>IF($A17="","",$B17-$E$63-$F$63)</f>
        <v/>
      </c>
      <c r="X17" s="92">
        <f>IF($A17="","",$L$63*$D17)</f>
        <v/>
      </c>
      <c r="Y17" s="104">
        <f>IF($A17="","",$Q17)</f>
        <v/>
      </c>
      <c r="Z17" s="92">
        <f>IF($A17="","",$L$64*$D17)</f>
        <v/>
      </c>
      <c r="AA17" s="104" t="n"/>
      <c r="AB17" s="92" t="n"/>
      <c r="AC17" s="104">
        <f>IF($A17="","",$C17-$E$65-$F$65)</f>
        <v/>
      </c>
      <c r="AD17" s="92">
        <f>IF($A17="","",$L$65*$D17)</f>
        <v/>
      </c>
      <c r="AE17" s="104" t="n"/>
      <c r="AF17" s="92" t="n"/>
      <c r="AG17" s="105">
        <f>IF($A17="","",$I17-68-68)</f>
        <v/>
      </c>
      <c r="AH17" s="106">
        <f>IF($A17="","",$K17-68-68)</f>
        <v/>
      </c>
      <c r="AI17" s="107">
        <f>IF($A17="","",2*$D17)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IF($A18="","",$C18-$E$55-$F$55)</f>
        <v/>
      </c>
      <c r="H18" s="98">
        <f>IF($A18="","",$L$55*$D18)</f>
        <v/>
      </c>
      <c r="I18" s="108">
        <f>IF($A18="","",$B18-$E$56-$F$56-$G$56-$H$56)</f>
        <v/>
      </c>
      <c r="J18" s="98">
        <f>IF($A18="","",$L$56*$D18)</f>
        <v/>
      </c>
      <c r="K18" s="108">
        <f>IF($A18="","",(($C18-$E$57-$F$57-$G$57-$H$57-$I$57)/2)+(78*1)/2)</f>
        <v/>
      </c>
      <c r="L18" s="98">
        <f>IF($A18="","",$L$57*$D18)</f>
        <v/>
      </c>
      <c r="M18" s="108">
        <f>IF($A18="","",$I18-$E$58-$F$58)</f>
        <v/>
      </c>
      <c r="N18" s="98">
        <f>IF($A18="","",$L$58*$D18)</f>
        <v/>
      </c>
      <c r="O18" s="108">
        <f>IF($A18="","",$K18-$E$59-$F$59)</f>
        <v/>
      </c>
      <c r="P18" s="98">
        <f>IF($A18="","",$L$59*$D18)</f>
        <v/>
      </c>
      <c r="Q18" s="108">
        <f>IF($A18="","",$I18)</f>
        <v/>
      </c>
      <c r="R18" s="98">
        <f>IF($A18="","",$L$60*$D18)</f>
        <v/>
      </c>
      <c r="S18" s="108">
        <f>IF($A18="","",$B18-$E$61-$F$61)</f>
        <v/>
      </c>
      <c r="T18" s="98">
        <f>IF($A18="","",$L$61*$D18)</f>
        <v/>
      </c>
      <c r="U18" s="108">
        <f>IF($A18="","",$C18-$E$62-$F$62)</f>
        <v/>
      </c>
      <c r="V18" s="98">
        <f>IF($A18="","",$L$62*$D18)</f>
        <v/>
      </c>
      <c r="W18" s="108">
        <f>IF($A18="","",$B18-$E$63-$F$63)</f>
        <v/>
      </c>
      <c r="X18" s="98">
        <f>IF($A18="","",$L$63*$D18)</f>
        <v/>
      </c>
      <c r="Y18" s="108">
        <f>IF($A18="","",$Q18)</f>
        <v/>
      </c>
      <c r="Z18" s="98">
        <f>IF($A18="","",$L$64*$D18)</f>
        <v/>
      </c>
      <c r="AA18" s="108" t="n"/>
      <c r="AB18" s="98" t="n"/>
      <c r="AC18" s="108">
        <f>IF($A18="","",$C18-$E$65-$F$65)</f>
        <v/>
      </c>
      <c r="AD18" s="98">
        <f>IF($A18="","",$L$65*$D18)</f>
        <v/>
      </c>
      <c r="AE18" s="108" t="n"/>
      <c r="AF18" s="98" t="n"/>
      <c r="AG18" s="105">
        <f>IF($A18="","",$I18-68-68)</f>
        <v/>
      </c>
      <c r="AH18" s="106">
        <f>IF($A18="","",$K18-68-68)</f>
        <v/>
      </c>
      <c r="AI18" s="107">
        <f>IF($A18="","",2*$D18)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IF($A19="","",$C19-$E$55-$F$55)</f>
        <v/>
      </c>
      <c r="H19" s="92">
        <f>IF($A19="","",$L$55*$D19)</f>
        <v/>
      </c>
      <c r="I19" s="104">
        <f>IF($A19="","",$B19-$E$56-$F$56-$G$56-$H$56)</f>
        <v/>
      </c>
      <c r="J19" s="92">
        <f>IF($A19="","",$L$56*$D19)</f>
        <v/>
      </c>
      <c r="K19" s="104">
        <f>IF($A19="","",(($C19-$E$57-$F$57-$G$57-$H$57-$I$57)/2)+(78*1)/2)</f>
        <v/>
      </c>
      <c r="L19" s="92">
        <f>IF($A19="","",$L$57*$D19)</f>
        <v/>
      </c>
      <c r="M19" s="104">
        <f>IF($A19="","",$I19-$E$58-$F$58)</f>
        <v/>
      </c>
      <c r="N19" s="92">
        <f>IF($A19="","",$L$58*$D19)</f>
        <v/>
      </c>
      <c r="O19" s="104">
        <f>IF($A19="","",$K19-$E$59-$F$59)</f>
        <v/>
      </c>
      <c r="P19" s="92">
        <f>IF($A19="","",$L$59*$D19)</f>
        <v/>
      </c>
      <c r="Q19" s="104">
        <f>IF($A19="","",$I19)</f>
        <v/>
      </c>
      <c r="R19" s="92">
        <f>IF($A19="","",$L$60*$D19)</f>
        <v/>
      </c>
      <c r="S19" s="104">
        <f>IF($A19="","",$B19-$E$61-$F$61)</f>
        <v/>
      </c>
      <c r="T19" s="92">
        <f>IF($A19="","",$L$61*$D19)</f>
        <v/>
      </c>
      <c r="U19" s="104">
        <f>IF($A19="","",$C19-$E$62-$F$62)</f>
        <v/>
      </c>
      <c r="V19" s="92">
        <f>IF($A19="","",$L$62*$D19)</f>
        <v/>
      </c>
      <c r="W19" s="104">
        <f>IF($A19="","",$B19-$E$63-$F$63)</f>
        <v/>
      </c>
      <c r="X19" s="92">
        <f>IF($A19="","",$L$63*$D19)</f>
        <v/>
      </c>
      <c r="Y19" s="104">
        <f>IF($A19="","",$Q19)</f>
        <v/>
      </c>
      <c r="Z19" s="92">
        <f>IF($A19="","",$L$64*$D19)</f>
        <v/>
      </c>
      <c r="AA19" s="104" t="n"/>
      <c r="AB19" s="92" t="n"/>
      <c r="AC19" s="104">
        <f>IF($A19="","",$C19-$E$65-$F$65)</f>
        <v/>
      </c>
      <c r="AD19" s="92">
        <f>IF($A19="","",$L$65*$D19)</f>
        <v/>
      </c>
      <c r="AE19" s="104" t="n"/>
      <c r="AF19" s="92" t="n"/>
      <c r="AG19" s="105">
        <f>IF($A19="","",$I19-68-68)</f>
        <v/>
      </c>
      <c r="AH19" s="106">
        <f>IF($A19="","",$K19-68-68)</f>
        <v/>
      </c>
      <c r="AI19" s="107">
        <f>IF($A19="","",2*$D19)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IF($A20="","",$C20-$E$55-$F$55)</f>
        <v/>
      </c>
      <c r="H20" s="98">
        <f>IF($A20="","",$L$55*$D20)</f>
        <v/>
      </c>
      <c r="I20" s="108">
        <f>IF($A20="","",$B20-$E$56-$F$56-$G$56-$H$56)</f>
        <v/>
      </c>
      <c r="J20" s="98">
        <f>IF($A20="","",$L$56*$D20)</f>
        <v/>
      </c>
      <c r="K20" s="108">
        <f>IF($A20="","",(($C20-$E$57-$F$57-$G$57-$H$57-$I$57)/2)+(78*1)/2)</f>
        <v/>
      </c>
      <c r="L20" s="98">
        <f>IF($A20="","",$L$57*$D20)</f>
        <v/>
      </c>
      <c r="M20" s="108">
        <f>IF($A20="","",$I20-$E$58-$F$58)</f>
        <v/>
      </c>
      <c r="N20" s="98">
        <f>IF($A20="","",$L$58*$D20)</f>
        <v/>
      </c>
      <c r="O20" s="108">
        <f>IF($A20="","",$K20-$E$59-$F$59)</f>
        <v/>
      </c>
      <c r="P20" s="98">
        <f>IF($A20="","",$L$59*$D20)</f>
        <v/>
      </c>
      <c r="Q20" s="108">
        <f>IF($A20="","",$I20)</f>
        <v/>
      </c>
      <c r="R20" s="98">
        <f>IF($A20="","",$L$60*$D20)</f>
        <v/>
      </c>
      <c r="S20" s="108">
        <f>IF($A20="","",$B20-$E$61-$F$61)</f>
        <v/>
      </c>
      <c r="T20" s="98">
        <f>IF($A20="","",$L$61*$D20)</f>
        <v/>
      </c>
      <c r="U20" s="108">
        <f>IF($A20="","",$C20-$E$62-$F$62)</f>
        <v/>
      </c>
      <c r="V20" s="98">
        <f>IF($A20="","",$L$62*$D20)</f>
        <v/>
      </c>
      <c r="W20" s="108">
        <f>IF($A20="","",$B20-$E$63-$F$63)</f>
        <v/>
      </c>
      <c r="X20" s="98">
        <f>IF($A20="","",$L$63*$D20)</f>
        <v/>
      </c>
      <c r="Y20" s="108">
        <f>IF($A20="","",$Q20)</f>
        <v/>
      </c>
      <c r="Z20" s="98">
        <f>IF($A20="","",$L$64*$D20)</f>
        <v/>
      </c>
      <c r="AA20" s="108" t="n"/>
      <c r="AB20" s="98" t="n"/>
      <c r="AC20" s="108">
        <f>IF($A20="","",$C20-$E$65-$F$65)</f>
        <v/>
      </c>
      <c r="AD20" s="98">
        <f>IF($A20="","",$L$65*$D20)</f>
        <v/>
      </c>
      <c r="AE20" s="108" t="n"/>
      <c r="AF20" s="98" t="n"/>
      <c r="AG20" s="105">
        <f>IF($A20="","",$I20-68-68)</f>
        <v/>
      </c>
      <c r="AH20" s="106">
        <f>IF($A20="","",$K20-68-68)</f>
        <v/>
      </c>
      <c r="AI20" s="107">
        <f>IF($A20="","",2*$D20)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IF($A21="","",$C21-$E$55-$F$55)</f>
        <v/>
      </c>
      <c r="H21" s="92">
        <f>IF($A21="","",$L$55*$D21)</f>
        <v/>
      </c>
      <c r="I21" s="104">
        <f>IF($A21="","",$B21-$E$56-$F$56-$G$56-$H$56)</f>
        <v/>
      </c>
      <c r="J21" s="92">
        <f>IF($A21="","",$L$56*$D21)</f>
        <v/>
      </c>
      <c r="K21" s="104">
        <f>IF($A21="","",(($C21-$E$57-$F$57-$G$57-$H$57-$I$57)/2)+(78*1)/2)</f>
        <v/>
      </c>
      <c r="L21" s="92">
        <f>IF($A21="","",$L$57*$D21)</f>
        <v/>
      </c>
      <c r="M21" s="104">
        <f>IF($A21="","",$I21-$E$58-$F$58)</f>
        <v/>
      </c>
      <c r="N21" s="92">
        <f>IF($A21="","",$L$58*$D21)</f>
        <v/>
      </c>
      <c r="O21" s="104">
        <f>IF($A21="","",$K21-$E$59-$F$59)</f>
        <v/>
      </c>
      <c r="P21" s="92">
        <f>IF($A21="","",$L$59*$D21)</f>
        <v/>
      </c>
      <c r="Q21" s="104">
        <f>IF($A21="","",$I21)</f>
        <v/>
      </c>
      <c r="R21" s="92">
        <f>IF($A21="","",$L$60*$D21)</f>
        <v/>
      </c>
      <c r="S21" s="104">
        <f>IF($A21="","",$B21-$E$61-$F$61)</f>
        <v/>
      </c>
      <c r="T21" s="92">
        <f>IF($A21="","",$L$61*$D21)</f>
        <v/>
      </c>
      <c r="U21" s="104">
        <f>IF($A21="","",$C21-$E$62-$F$62)</f>
        <v/>
      </c>
      <c r="V21" s="92">
        <f>IF($A21="","",$L$62*$D21)</f>
        <v/>
      </c>
      <c r="W21" s="104">
        <f>IF($A21="","",$B21-$E$63-$F$63)</f>
        <v/>
      </c>
      <c r="X21" s="92">
        <f>IF($A21="","",$L$63*$D21)</f>
        <v/>
      </c>
      <c r="Y21" s="104">
        <f>IF($A21="","",$Q21)</f>
        <v/>
      </c>
      <c r="Z21" s="92">
        <f>IF($A21="","",$L$64*$D21)</f>
        <v/>
      </c>
      <c r="AA21" s="104" t="n"/>
      <c r="AB21" s="92" t="n"/>
      <c r="AC21" s="104">
        <f>IF($A21="","",$C21-$E$65-$F$65)</f>
        <v/>
      </c>
      <c r="AD21" s="92">
        <f>IF($A21="","",$L$65*$D21)</f>
        <v/>
      </c>
      <c r="AE21" s="104" t="n"/>
      <c r="AF21" s="92" t="n"/>
      <c r="AG21" s="105">
        <f>IF($A21="","",$I21-68-68)</f>
        <v/>
      </c>
      <c r="AH21" s="106">
        <f>IF($A21="","",$K21-68-68)</f>
        <v/>
      </c>
      <c r="AI21" s="107">
        <f>IF($A21="","",2*$D21)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IF($A22="","",$C22-$E$55-$F$55)</f>
        <v/>
      </c>
      <c r="H22" s="98">
        <f>IF($A22="","",$L$55*$D22)</f>
        <v/>
      </c>
      <c r="I22" s="108">
        <f>IF($A22="","",$B22-$E$56-$F$56-$G$56-$H$56)</f>
        <v/>
      </c>
      <c r="J22" s="98">
        <f>IF($A22="","",$L$56*$D22)</f>
        <v/>
      </c>
      <c r="K22" s="108">
        <f>IF($A22="","",(($C22-$E$57-$F$57-$G$57-$H$57-$I$57)/2)+(78*1)/2)</f>
        <v/>
      </c>
      <c r="L22" s="98">
        <f>IF($A22="","",$L$57*$D22)</f>
        <v/>
      </c>
      <c r="M22" s="108">
        <f>IF($A22="","",$I22-$E$58-$F$58)</f>
        <v/>
      </c>
      <c r="N22" s="98">
        <f>IF($A22="","",$L$58*$D22)</f>
        <v/>
      </c>
      <c r="O22" s="108">
        <f>IF($A22="","",$K22-$E$59-$F$59)</f>
        <v/>
      </c>
      <c r="P22" s="98">
        <f>IF($A22="","",$L$59*$D22)</f>
        <v/>
      </c>
      <c r="Q22" s="108">
        <f>IF($A22="","",$I22)</f>
        <v/>
      </c>
      <c r="R22" s="98">
        <f>IF($A22="","",$L$60*$D22)</f>
        <v/>
      </c>
      <c r="S22" s="108">
        <f>IF($A22="","",$B22-$E$61-$F$61)</f>
        <v/>
      </c>
      <c r="T22" s="98">
        <f>IF($A22="","",$L$61*$D22)</f>
        <v/>
      </c>
      <c r="U22" s="108">
        <f>IF($A22="","",$C22-$E$62-$F$62)</f>
        <v/>
      </c>
      <c r="V22" s="98">
        <f>IF($A22="","",$L$62*$D22)</f>
        <v/>
      </c>
      <c r="W22" s="108">
        <f>IF($A22="","",$B22-$E$63-$F$63)</f>
        <v/>
      </c>
      <c r="X22" s="98">
        <f>IF($A22="","",$L$63*$D22)</f>
        <v/>
      </c>
      <c r="Y22" s="108">
        <f>IF($A22="","",$Q22)</f>
        <v/>
      </c>
      <c r="Z22" s="98">
        <f>IF($A22="","",$L$64*$D22)</f>
        <v/>
      </c>
      <c r="AA22" s="108" t="n"/>
      <c r="AB22" s="98" t="n"/>
      <c r="AC22" s="108">
        <f>IF($A22="","",$C22-$E$65-$F$65)</f>
        <v/>
      </c>
      <c r="AD22" s="98">
        <f>IF($A22="","",$L$65*$D22)</f>
        <v/>
      </c>
      <c r="AE22" s="108" t="n"/>
      <c r="AF22" s="98" t="n"/>
      <c r="AG22" s="105">
        <f>IF($A22="","",$I22-68-68)</f>
        <v/>
      </c>
      <c r="AH22" s="106">
        <f>IF($A22="","",$K22-68-68)</f>
        <v/>
      </c>
      <c r="AI22" s="107">
        <f>IF($A22="","",2*$D22)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IF($A23="","",$C23-$E$55-$F$55)</f>
        <v/>
      </c>
      <c r="H23" s="92">
        <f>IF($A23="","",$L$55*$D23)</f>
        <v/>
      </c>
      <c r="I23" s="104">
        <f>IF($A23="","",$B23-$E$56-$F$56-$G$56-$H$56)</f>
        <v/>
      </c>
      <c r="J23" s="92">
        <f>IF($A23="","",$L$56*$D23)</f>
        <v/>
      </c>
      <c r="K23" s="104">
        <f>IF($A23="","",(($C23-$E$57-$F$57-$G$57-$H$57-$I$57)/2)+(78*1)/2)</f>
        <v/>
      </c>
      <c r="L23" s="92">
        <f>IF($A23="","",$L$57*$D23)</f>
        <v/>
      </c>
      <c r="M23" s="104">
        <f>IF($A23="","",$I23-$E$58-$F$58)</f>
        <v/>
      </c>
      <c r="N23" s="92">
        <f>IF($A23="","",$L$58*$D23)</f>
        <v/>
      </c>
      <c r="O23" s="104">
        <f>IF($A23="","",$K23-$E$59-$F$59)</f>
        <v/>
      </c>
      <c r="P23" s="92">
        <f>IF($A23="","",$L$59*$D23)</f>
        <v/>
      </c>
      <c r="Q23" s="104">
        <f>IF($A23="","",$I23)</f>
        <v/>
      </c>
      <c r="R23" s="92">
        <f>IF($A23="","",$L$60*$D23)</f>
        <v/>
      </c>
      <c r="S23" s="104">
        <f>IF($A23="","",$B23-$E$61-$F$61)</f>
        <v/>
      </c>
      <c r="T23" s="92">
        <f>IF($A23="","",$L$61*$D23)</f>
        <v/>
      </c>
      <c r="U23" s="104">
        <f>IF($A23="","",$C23-$E$62-$F$62)</f>
        <v/>
      </c>
      <c r="V23" s="92">
        <f>IF($A23="","",$L$62*$D23)</f>
        <v/>
      </c>
      <c r="W23" s="104">
        <f>IF($A23="","",$B23-$E$63-$F$63)</f>
        <v/>
      </c>
      <c r="X23" s="92">
        <f>IF($A23="","",$L$63*$D23)</f>
        <v/>
      </c>
      <c r="Y23" s="104">
        <f>IF($A23="","",$Q23)</f>
        <v/>
      </c>
      <c r="Z23" s="92">
        <f>IF($A23="","",$L$64*$D23)</f>
        <v/>
      </c>
      <c r="AA23" s="104" t="n"/>
      <c r="AB23" s="92" t="n"/>
      <c r="AC23" s="104">
        <f>IF($A23="","",$C23-$E$65-$F$65)</f>
        <v/>
      </c>
      <c r="AD23" s="92">
        <f>IF($A23="","",$L$65*$D23)</f>
        <v/>
      </c>
      <c r="AE23" s="104" t="n"/>
      <c r="AF23" s="92" t="n"/>
      <c r="AG23" s="105">
        <f>IF($A23="","",$I23-68-68)</f>
        <v/>
      </c>
      <c r="AH23" s="106">
        <f>IF($A23="","",$K23-68-68)</f>
        <v/>
      </c>
      <c r="AI23" s="107">
        <f>IF($A23="","",2*$D23)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IF($A24="","",$C24-$E$55-$F$55)</f>
        <v/>
      </c>
      <c r="H24" s="98">
        <f>IF($A24="","",$L$55*$D24)</f>
        <v/>
      </c>
      <c r="I24" s="108">
        <f>IF($A24="","",$B24-$E$56-$F$56-$G$56-$H$56)</f>
        <v/>
      </c>
      <c r="J24" s="98">
        <f>IF($A24="","",$L$56*$D24)</f>
        <v/>
      </c>
      <c r="K24" s="108">
        <f>IF($A24="","",(($C24-$E$57-$F$57-$G$57-$H$57-$I$57)/2)+(78*1)/2)</f>
        <v/>
      </c>
      <c r="L24" s="98">
        <f>IF($A24="","",$L$57*$D24)</f>
        <v/>
      </c>
      <c r="M24" s="108">
        <f>IF($A24="","",$I24-$E$58-$F$58)</f>
        <v/>
      </c>
      <c r="N24" s="98">
        <f>IF($A24="","",$L$58*$D24)</f>
        <v/>
      </c>
      <c r="O24" s="108">
        <f>IF($A24="","",$K24-$E$59-$F$59)</f>
        <v/>
      </c>
      <c r="P24" s="98">
        <f>IF($A24="","",$L$59*$D24)</f>
        <v/>
      </c>
      <c r="Q24" s="108">
        <f>IF($A24="","",$I24)</f>
        <v/>
      </c>
      <c r="R24" s="98">
        <f>IF($A24="","",$L$60*$D24)</f>
        <v/>
      </c>
      <c r="S24" s="108">
        <f>IF($A24="","",$B24-$E$61-$F$61)</f>
        <v/>
      </c>
      <c r="T24" s="98">
        <f>IF($A24="","",$L$61*$D24)</f>
        <v/>
      </c>
      <c r="U24" s="108">
        <f>IF($A24="","",$C24-$E$62-$F$62)</f>
        <v/>
      </c>
      <c r="V24" s="98">
        <f>IF($A24="","",$L$62*$D24)</f>
        <v/>
      </c>
      <c r="W24" s="108">
        <f>IF($A24="","",$B24-$E$63-$F$63)</f>
        <v/>
      </c>
      <c r="X24" s="98">
        <f>IF($A24="","",$L$63*$D24)</f>
        <v/>
      </c>
      <c r="Y24" s="108">
        <f>IF($A24="","",$Q24)</f>
        <v/>
      </c>
      <c r="Z24" s="98">
        <f>IF($A24="","",$L$64*$D24)</f>
        <v/>
      </c>
      <c r="AA24" s="108" t="n"/>
      <c r="AB24" s="98" t="n"/>
      <c r="AC24" s="108">
        <f>IF($A24="","",$C24-$E$65-$F$65)</f>
        <v/>
      </c>
      <c r="AD24" s="98">
        <f>IF($A24="","",$L$65*$D24)</f>
        <v/>
      </c>
      <c r="AE24" s="108" t="n"/>
      <c r="AF24" s="98" t="n"/>
      <c r="AG24" s="105">
        <f>IF($A24="","",$I24-68-68)</f>
        <v/>
      </c>
      <c r="AH24" s="106">
        <f>IF($A24="","",$K24-68-68)</f>
        <v/>
      </c>
      <c r="AI24" s="107">
        <f>IF($A24="","",2*$D24)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IF($A25="","",$C25-$E$55-$F$55)</f>
        <v/>
      </c>
      <c r="H25" s="92">
        <f>IF($A25="","",$L$55*$D25)</f>
        <v/>
      </c>
      <c r="I25" s="104">
        <f>IF($A25="","",$B25-$E$56-$F$56-$G$56-$H$56)</f>
        <v/>
      </c>
      <c r="J25" s="92">
        <f>IF($A25="","",$L$56*$D25)</f>
        <v/>
      </c>
      <c r="K25" s="104">
        <f>IF($A25="","",(($C25-$E$57-$F$57-$G$57-$H$57-$I$57)/2)+(78*1)/2)</f>
        <v/>
      </c>
      <c r="L25" s="92">
        <f>IF($A25="","",$L$57*$D25)</f>
        <v/>
      </c>
      <c r="M25" s="104">
        <f>IF($A25="","",$I25-$E$58-$F$58)</f>
        <v/>
      </c>
      <c r="N25" s="92">
        <f>IF($A25="","",$L$58*$D25)</f>
        <v/>
      </c>
      <c r="O25" s="104">
        <f>IF($A25="","",$K25-$E$59-$F$59)</f>
        <v/>
      </c>
      <c r="P25" s="92">
        <f>IF($A25="","",$L$59*$D25)</f>
        <v/>
      </c>
      <c r="Q25" s="104">
        <f>IF($A25="","",$I25)</f>
        <v/>
      </c>
      <c r="R25" s="92">
        <f>IF($A25="","",$L$60*$D25)</f>
        <v/>
      </c>
      <c r="S25" s="104">
        <f>IF($A25="","",$B25-$E$61-$F$61)</f>
        <v/>
      </c>
      <c r="T25" s="92">
        <f>IF($A25="","",$L$61*$D25)</f>
        <v/>
      </c>
      <c r="U25" s="104">
        <f>IF($A25="","",$C25-$E$62-$F$62)</f>
        <v/>
      </c>
      <c r="V25" s="92">
        <f>IF($A25="","",$L$62*$D25)</f>
        <v/>
      </c>
      <c r="W25" s="104">
        <f>IF($A25="","",$B25-$E$63-$F$63)</f>
        <v/>
      </c>
      <c r="X25" s="92">
        <f>IF($A25="","",$L$63*$D25)</f>
        <v/>
      </c>
      <c r="Y25" s="104">
        <f>IF($A25="","",$Q25)</f>
        <v/>
      </c>
      <c r="Z25" s="92">
        <f>IF($A25="","",$L$64*$D25)</f>
        <v/>
      </c>
      <c r="AA25" s="104" t="n"/>
      <c r="AB25" s="92" t="n"/>
      <c r="AC25" s="104">
        <f>IF($A25="","",$C25-$E$65-$F$65)</f>
        <v/>
      </c>
      <c r="AD25" s="92">
        <f>IF($A25="","",$L$65*$D25)</f>
        <v/>
      </c>
      <c r="AE25" s="104" t="n"/>
      <c r="AF25" s="92" t="n"/>
      <c r="AG25" s="105">
        <f>IF($A25="","",$I25-68-68)</f>
        <v/>
      </c>
      <c r="AH25" s="106">
        <f>IF($A25="","",$K25-68-68)</f>
        <v/>
      </c>
      <c r="AI25" s="107">
        <f>IF($A25="","",2*$D25)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IF($A26="","",$C26-$E$55-$F$55)</f>
        <v/>
      </c>
      <c r="H26" s="98">
        <f>IF($A26="","",$L$55*$D26)</f>
        <v/>
      </c>
      <c r="I26" s="108">
        <f>IF($A26="","",$B26-$E$56-$F$56-$G$56-$H$56)</f>
        <v/>
      </c>
      <c r="J26" s="98">
        <f>IF($A26="","",$L$56*$D26)</f>
        <v/>
      </c>
      <c r="K26" s="108">
        <f>IF($A26="","",(($C26-$E$57-$F$57-$G$57-$H$57-$I$57)/2)+(78*1)/2)</f>
        <v/>
      </c>
      <c r="L26" s="98">
        <f>IF($A26="","",$L$57*$D26)</f>
        <v/>
      </c>
      <c r="M26" s="108">
        <f>IF($A26="","",$I26-$E$58-$F$58)</f>
        <v/>
      </c>
      <c r="N26" s="98">
        <f>IF($A26="","",$L$58*$D26)</f>
        <v/>
      </c>
      <c r="O26" s="108">
        <f>IF($A26="","",$K26-$E$59-$F$59)</f>
        <v/>
      </c>
      <c r="P26" s="98">
        <f>IF($A26="","",$L$59*$D26)</f>
        <v/>
      </c>
      <c r="Q26" s="108">
        <f>IF($A26="","",$I26)</f>
        <v/>
      </c>
      <c r="R26" s="98">
        <f>IF($A26="","",$L$60*$D26)</f>
        <v/>
      </c>
      <c r="S26" s="108">
        <f>IF($A26="","",$B26-$E$61-$F$61)</f>
        <v/>
      </c>
      <c r="T26" s="98">
        <f>IF($A26="","",$L$61*$D26)</f>
        <v/>
      </c>
      <c r="U26" s="108">
        <f>IF($A26="","",$C26-$E$62-$F$62)</f>
        <v/>
      </c>
      <c r="V26" s="98">
        <f>IF($A26="","",$L$62*$D26)</f>
        <v/>
      </c>
      <c r="W26" s="108">
        <f>IF($A26="","",$B26-$E$63-$F$63)</f>
        <v/>
      </c>
      <c r="X26" s="98">
        <f>IF($A26="","",$L$63*$D26)</f>
        <v/>
      </c>
      <c r="Y26" s="108">
        <f>IF($A26="","",$Q26)</f>
        <v/>
      </c>
      <c r="Z26" s="98">
        <f>IF($A26="","",$L$64*$D26)</f>
        <v/>
      </c>
      <c r="AA26" s="108" t="n"/>
      <c r="AB26" s="98" t="n"/>
      <c r="AC26" s="108">
        <f>IF($A26="","",$C26-$E$65-$F$65)</f>
        <v/>
      </c>
      <c r="AD26" s="98">
        <f>IF($A26="","",$L$65*$D26)</f>
        <v/>
      </c>
      <c r="AE26" s="108" t="n"/>
      <c r="AF26" s="98" t="n"/>
      <c r="AG26" s="105">
        <f>IF($A26="","",$I26-68-68)</f>
        <v/>
      </c>
      <c r="AH26" s="106">
        <f>IF($A26="","",$K26-68-68)</f>
        <v/>
      </c>
      <c r="AI26" s="107">
        <f>IF($A26="","",2*$D26)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IF($A27="","",$C27-$E$55-$F$55)</f>
        <v/>
      </c>
      <c r="H27" s="92">
        <f>IF($A27="","",$L$55*$D27)</f>
        <v/>
      </c>
      <c r="I27" s="104">
        <f>IF($A27="","",$B27-$E$56-$F$56-$G$56-$H$56)</f>
        <v/>
      </c>
      <c r="J27" s="92">
        <f>IF($A27="","",$L$56*$D27)</f>
        <v/>
      </c>
      <c r="K27" s="104">
        <f>IF($A27="","",(($C27-$E$57-$F$57-$G$57-$H$57-$I$57)/2)+(78*1)/2)</f>
        <v/>
      </c>
      <c r="L27" s="92">
        <f>IF($A27="","",$L$57*$D27)</f>
        <v/>
      </c>
      <c r="M27" s="104">
        <f>IF($A27="","",$I27-$E$58-$F$58)</f>
        <v/>
      </c>
      <c r="N27" s="92">
        <f>IF($A27="","",$L$58*$D27)</f>
        <v/>
      </c>
      <c r="O27" s="104">
        <f>IF($A27="","",$K27-$E$59-$F$59)</f>
        <v/>
      </c>
      <c r="P27" s="92">
        <f>IF($A27="","",$L$59*$D27)</f>
        <v/>
      </c>
      <c r="Q27" s="104">
        <f>IF($A27="","",$I27)</f>
        <v/>
      </c>
      <c r="R27" s="92">
        <f>IF($A27="","",$L$60*$D27)</f>
        <v/>
      </c>
      <c r="S27" s="104">
        <f>IF($A27="","",$B27-$E$61-$F$61)</f>
        <v/>
      </c>
      <c r="T27" s="92">
        <f>IF($A27="","",$L$61*$D27)</f>
        <v/>
      </c>
      <c r="U27" s="104">
        <f>IF($A27="","",$C27-$E$62-$F$62)</f>
        <v/>
      </c>
      <c r="V27" s="92">
        <f>IF($A27="","",$L$62*$D27)</f>
        <v/>
      </c>
      <c r="W27" s="104">
        <f>IF($A27="","",$B27-$E$63-$F$63)</f>
        <v/>
      </c>
      <c r="X27" s="92">
        <f>IF($A27="","",$L$63*$D27)</f>
        <v/>
      </c>
      <c r="Y27" s="104">
        <f>IF($A27="","",$Q27)</f>
        <v/>
      </c>
      <c r="Z27" s="92">
        <f>IF($A27="","",$L$64*$D27)</f>
        <v/>
      </c>
      <c r="AA27" s="104" t="n"/>
      <c r="AB27" s="92" t="n"/>
      <c r="AC27" s="104">
        <f>IF($A27="","",$C27-$E$65-$F$65)</f>
        <v/>
      </c>
      <c r="AD27" s="92">
        <f>IF($A27="","",$L$65*$D27)</f>
        <v/>
      </c>
      <c r="AE27" s="104" t="n"/>
      <c r="AF27" s="92" t="n"/>
      <c r="AG27" s="105">
        <f>IF($A27="","",$I27-68-68)</f>
        <v/>
      </c>
      <c r="AH27" s="106">
        <f>IF($A27="","",$K27-68-68)</f>
        <v/>
      </c>
      <c r="AI27" s="107">
        <f>IF($A27="","",2*$D27)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IF($A28="","",$C28-$E$55-$F$55)</f>
        <v/>
      </c>
      <c r="H28" s="98">
        <f>IF($A28="","",$L$55*$D28)</f>
        <v/>
      </c>
      <c r="I28" s="108">
        <f>IF($A28="","",$B28-$E$56-$F$56-$G$56-$H$56)</f>
        <v/>
      </c>
      <c r="J28" s="98">
        <f>IF($A28="","",$L$56*$D28)</f>
        <v/>
      </c>
      <c r="K28" s="108">
        <f>IF($A28="","",(($C28-$E$57-$F$57-$G$57-$H$57-$I$57)/2)+(78*1)/2)</f>
        <v/>
      </c>
      <c r="L28" s="98">
        <f>IF($A28="","",$L$57*$D28)</f>
        <v/>
      </c>
      <c r="M28" s="108">
        <f>IF($A28="","",$I28-$E$58-$F$58)</f>
        <v/>
      </c>
      <c r="N28" s="98">
        <f>IF($A28="","",$L$58*$D28)</f>
        <v/>
      </c>
      <c r="O28" s="108">
        <f>IF($A28="","",$K28-$E$59-$F$59)</f>
        <v/>
      </c>
      <c r="P28" s="98">
        <f>IF($A28="","",$L$59*$D28)</f>
        <v/>
      </c>
      <c r="Q28" s="108">
        <f>IF($A28="","",$I28)</f>
        <v/>
      </c>
      <c r="R28" s="98">
        <f>IF($A28="","",$L$60*$D28)</f>
        <v/>
      </c>
      <c r="S28" s="108">
        <f>IF($A28="","",$B28-$E$61-$F$61)</f>
        <v/>
      </c>
      <c r="T28" s="98">
        <f>IF($A28="","",$L$61*$D28)</f>
        <v/>
      </c>
      <c r="U28" s="108">
        <f>IF($A28="","",$C28-$E$62-$F$62)</f>
        <v/>
      </c>
      <c r="V28" s="98">
        <f>IF($A28="","",$L$62*$D28)</f>
        <v/>
      </c>
      <c r="W28" s="108">
        <f>IF($A28="","",$B28-$E$63-$F$63)</f>
        <v/>
      </c>
      <c r="X28" s="98">
        <f>IF($A28="","",$L$63*$D28)</f>
        <v/>
      </c>
      <c r="Y28" s="108">
        <f>IF($A28="","",$Q28)</f>
        <v/>
      </c>
      <c r="Z28" s="98">
        <f>IF($A28="","",$L$64*$D28)</f>
        <v/>
      </c>
      <c r="AA28" s="108" t="n"/>
      <c r="AB28" s="98" t="n"/>
      <c r="AC28" s="108">
        <f>IF($A28="","",$C28-$E$65-$F$65)</f>
        <v/>
      </c>
      <c r="AD28" s="98">
        <f>IF($A28="","",$L$65*$D28)</f>
        <v/>
      </c>
      <c r="AE28" s="108" t="n"/>
      <c r="AF28" s="98" t="n"/>
      <c r="AG28" s="105">
        <f>IF($A28="","",$I28-68-68)</f>
        <v/>
      </c>
      <c r="AH28" s="106">
        <f>IF($A28="","",$K28-68-68)</f>
        <v/>
      </c>
      <c r="AI28" s="107">
        <f>IF($A28="","",2*$D28)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20" t="n"/>
      <c r="K30" s="21" t="n"/>
      <c r="L30" s="72">
        <f>(ROUNDUP(SUM(J49:L49)/6400,0))</f>
        <v/>
      </c>
      <c r="M30" s="72">
        <f>M$7</f>
        <v/>
      </c>
      <c r="N30" s="20" t="n"/>
      <c r="O30" s="21" t="n"/>
      <c r="P30" s="72">
        <f>(ROUNDUP(SUM(N49:P49)/6400,0))</f>
        <v/>
      </c>
      <c r="Q30" s="72">
        <f>Q$7</f>
        <v/>
      </c>
      <c r="R30" s="72">
        <f>(ROUNDUP(R49/6400,0))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(ROUNDUP(V49/5000,0))</f>
        <v/>
      </c>
      <c r="W30" s="72">
        <f>W$7</f>
        <v/>
      </c>
      <c r="X30" s="20" t="n"/>
      <c r="Y30" s="20" t="n"/>
      <c r="Z30" s="20" t="n"/>
      <c r="AA30" s="21" t="n"/>
      <c r="AB30" s="72">
        <f>(ROUNDUP(SUM(X49:AB49)/6400,0))</f>
        <v/>
      </c>
      <c r="AC30" s="72">
        <f>AC$7</f>
        <v/>
      </c>
      <c r="AD30" s="72">
        <f>(ROUNDUP(AD49/5000,0))</f>
        <v/>
      </c>
      <c r="AE30" s="72">
        <f>AE$7</f>
        <v/>
      </c>
      <c r="AF30" s="72">
        <f>(ROUNDUP(AF49/6400,0))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O49" s="74" t="n"/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F7977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เสา</t>
        </is>
      </c>
      <c r="C56" s="80" t="inlineStr">
        <is>
          <t>F7980</t>
        </is>
      </c>
      <c r="D56" s="81" t="inlineStr">
        <is>
          <t>สูง-21-19-13-21</t>
        </is>
      </c>
      <c r="E56" s="83" t="n">
        <v>21</v>
      </c>
      <c r="F56" s="83" t="n">
        <v>19</v>
      </c>
      <c r="G56" s="83" t="n">
        <v>13</v>
      </c>
      <c r="H56" s="83" t="n">
        <v>21</v>
      </c>
      <c r="I56" s="82" t="n"/>
      <c r="J56" s="82" t="n"/>
      <c r="K56" s="82" t="n"/>
      <c r="L56" s="83" t="n">
        <v>4</v>
      </c>
      <c r="M56" s="82" t="n"/>
    </row>
    <row r="57" ht="15" customHeight="1">
      <c r="A57" s="78" t="n">
        <v>4</v>
      </c>
      <c r="B57" s="79" t="inlineStr">
        <is>
          <t>ขวาง</t>
        </is>
      </c>
      <c r="C57" s="80" t="inlineStr">
        <is>
          <t>-</t>
        </is>
      </c>
      <c r="D57" s="81" t="inlineStr">
        <is>
          <t>((กว้าง-21-3-1.2-3-21)/2)+(78x1/2)</t>
        </is>
      </c>
      <c r="E57" s="83" t="n">
        <v>21</v>
      </c>
      <c r="F57" s="83" t="n">
        <v>3</v>
      </c>
      <c r="G57" s="83" t="n">
        <v>1.2</v>
      </c>
      <c r="H57" s="83" t="n">
        <v>3</v>
      </c>
      <c r="I57" s="83" t="n">
        <v>21</v>
      </c>
      <c r="J57" s="82" t="n"/>
      <c r="K57" s="82" t="n"/>
      <c r="L57" s="83" t="n">
        <v>4</v>
      </c>
      <c r="M57" s="82" t="n"/>
    </row>
    <row r="58" ht="44" customHeight="1">
      <c r="A58" s="78" t="n">
        <v>5</v>
      </c>
      <c r="B58" s="79" t="inlineStr">
        <is>
          <t>คิ้ว ตั้ง</t>
        </is>
      </c>
      <c r="C58" s="80" t="inlineStr">
        <is>
          <t>F7919</t>
        </is>
      </c>
      <c r="D58" s="81" t="inlineStr">
        <is>
          <t>เสา-78-78</t>
        </is>
      </c>
      <c r="E58" s="83" t="n">
        <v>78</v>
      </c>
      <c r="F58" s="83" t="n">
        <v>78</v>
      </c>
      <c r="G58" s="82" t="n"/>
      <c r="H58" s="82" t="n"/>
      <c r="I58" s="82" t="n"/>
      <c r="J58" s="82" t="n"/>
      <c r="K58" s="82" t="n"/>
      <c r="L58" s="83" t="n">
        <v>4</v>
      </c>
      <c r="M58" s="82" t="n"/>
    </row>
    <row r="59" ht="15" customHeight="1">
      <c r="A59" s="78" t="n">
        <v>6</v>
      </c>
      <c r="B59" s="79" t="inlineStr">
        <is>
          <t>คิ้ว ขวาง</t>
        </is>
      </c>
      <c r="C59" s="80" t="inlineStr">
        <is>
          <t>-</t>
        </is>
      </c>
      <c r="D59" s="81" t="inlineStr">
        <is>
          <t>ขวาง-63-63</t>
        </is>
      </c>
      <c r="E59" s="83" t="n">
        <v>63</v>
      </c>
      <c r="F59" s="83" t="n">
        <v>63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44" customHeight="1">
      <c r="A60" s="78" t="n">
        <v>7</v>
      </c>
      <c r="B60" s="79" t="inlineStr">
        <is>
          <t>ตบเกี่ยว</t>
        </is>
      </c>
      <c r="C60" s="80" t="inlineStr">
        <is>
          <t>F7983</t>
        </is>
      </c>
      <c r="D60" s="81" t="inlineStr">
        <is>
          <t>สูงกรอบบาน</t>
        </is>
      </c>
      <c r="E60" s="82" t="n"/>
      <c r="F60" s="82" t="n"/>
      <c r="G60" s="82" t="n"/>
      <c r="H60" s="82" t="n"/>
      <c r="I60" s="82" t="n"/>
      <c r="J60" s="82" t="n"/>
      <c r="K60" s="82" t="n"/>
      <c r="L60" s="83" t="n">
        <v>2</v>
      </c>
      <c r="M60" s="82" t="n"/>
    </row>
    <row r="61" ht="44" customHeight="1">
      <c r="A61" s="78" t="n">
        <v>8</v>
      </c>
      <c r="B61" s="79" t="inlineStr">
        <is>
          <t>ยูข้าง</t>
        </is>
      </c>
      <c r="C61" s="80" t="inlineStr">
        <is>
          <t>F7986</t>
        </is>
      </c>
      <c r="D61" s="81" t="inlineStr">
        <is>
          <t>สูง-45-45</t>
        </is>
      </c>
      <c r="E61" s="83" t="n">
        <v>45</v>
      </c>
      <c r="F61" s="83" t="n">
        <v>45</v>
      </c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ตบเฟรมบน</t>
        </is>
      </c>
      <c r="C62" s="80" t="inlineStr">
        <is>
          <t>F7993</t>
        </is>
      </c>
      <c r="D62" s="81" t="inlineStr">
        <is>
          <t>เท่าเฟรมบน</t>
        </is>
      </c>
      <c r="E62" s="83" t="n">
        <v>21</v>
      </c>
      <c r="F62" s="83" t="n">
        <v>21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ตบยูข้าง</t>
        </is>
      </c>
      <c r="C63" s="80" t="inlineStr">
        <is>
          <t>F7988</t>
        </is>
      </c>
      <c r="D63" s="81" t="inlineStr">
        <is>
          <t>สูง-45-45</t>
        </is>
      </c>
      <c r="E63" s="83" t="n">
        <v>45</v>
      </c>
      <c r="F63" s="83" t="n">
        <v>45</v>
      </c>
      <c r="G63" s="82" t="n"/>
      <c r="H63" s="82" t="n"/>
      <c r="I63" s="82" t="n"/>
      <c r="J63" s="82" t="n"/>
      <c r="K63" s="82" t="n"/>
      <c r="L63" s="83" t="n">
        <v>2</v>
      </c>
      <c r="M63" s="82" t="n"/>
    </row>
    <row r="64" ht="15" customHeight="1">
      <c r="A64" s="78" t="n">
        <v>11</v>
      </c>
      <c r="B64" s="79" t="inlineStr">
        <is>
          <t>ปิดตบเกี่ยว</t>
        </is>
      </c>
      <c r="C64" s="80" t="inlineStr">
        <is>
          <t>-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44" customHeight="1">
      <c r="A65" s="78" t="n">
        <v>12</v>
      </c>
      <c r="B65" s="79" t="inlineStr">
        <is>
          <t>ราง</t>
        </is>
      </c>
      <c r="C65" s="80" t="inlineStr">
        <is>
          <t>F7994</t>
        </is>
      </c>
      <c r="D65" s="81" t="inlineStr">
        <is>
          <t>เท่าเฟรมล่าง</t>
        </is>
      </c>
      <c r="E65" s="83" t="n">
        <v>21</v>
      </c>
      <c r="F65" s="83" t="n">
        <v>21</v>
      </c>
      <c r="G65" s="82" t="n"/>
      <c r="H65" s="82" t="n"/>
      <c r="I65" s="82" t="n"/>
      <c r="J65" s="82" t="n"/>
      <c r="K65" s="82" t="n"/>
      <c r="L65" s="83" t="n">
        <v>2</v>
      </c>
      <c r="M65" s="82" t="n"/>
    </row>
    <row r="67">
      <c r="A67" s="123" t="inlineStr">
        <is>
          <t>⑥ อุปกรณ์ ต่อ 1 บาน — คูณจำนวนบานที่ผลิต</t>
        </is>
      </c>
      <c r="B67" s="131" t="n"/>
      <c r="C67" s="131" t="n"/>
      <c r="D67" s="131" t="n"/>
      <c r="E67" s="132" t="n"/>
      <c r="F67" s="124" t="inlineStr">
        <is>
          <t>ต่อบาน</t>
        </is>
      </c>
    </row>
    <row r="68">
      <c r="A68" s="125" t="inlineStr">
        <is>
          <t>1. ล้อ 27</t>
        </is>
      </c>
      <c r="B68" s="131" t="n"/>
      <c r="C68" s="131" t="n"/>
      <c r="D68" s="131" t="n"/>
      <c r="E68" s="132" t="n"/>
      <c r="F68" s="126" t="n">
        <v>2</v>
      </c>
    </row>
    <row r="69">
      <c r="A69" s="125" t="inlineStr">
        <is>
          <t>2. มือจับ Align</t>
        </is>
      </c>
      <c r="B69" s="131" t="n"/>
      <c r="C69" s="131" t="n"/>
      <c r="D69" s="131" t="n"/>
      <c r="E69" s="132" t="n"/>
      <c r="F69" s="126" t="n">
        <v>2</v>
      </c>
    </row>
    <row r="70">
      <c r="A70" s="125" t="inlineStr">
        <is>
          <t>3. ชุดล็อค</t>
        </is>
      </c>
      <c r="B70" s="131" t="n"/>
      <c r="C70" s="131" t="n"/>
      <c r="D70" s="131" t="n"/>
      <c r="E70" s="132" t="n"/>
      <c r="F70" s="126" t="n">
        <v>1</v>
      </c>
    </row>
    <row r="71">
      <c r="A71" s="125" t="inlineStr">
        <is>
          <t>4. น็อตประกอบ</t>
        </is>
      </c>
      <c r="B71" s="131" t="n"/>
      <c r="C71" s="131" t="n"/>
      <c r="D71" s="131" t="n"/>
      <c r="E71" s="132" t="n"/>
      <c r="F71" s="126" t="n">
        <v>4</v>
      </c>
    </row>
    <row r="72">
      <c r="A72" s="127" t="inlineStr">
        <is>
          <t>+ สักหลาด/ยาง/ซิลิโคน = ตามขนาด (ดูชีทคิดทุน)</t>
        </is>
      </c>
      <c r="B72" s="131" t="n"/>
      <c r="C72" s="131" t="n"/>
      <c r="D72" s="131" t="n"/>
      <c r="E72" s="131" t="n"/>
      <c r="F72" s="132" t="n"/>
    </row>
  </sheetData>
  <mergeCells count="67">
    <mergeCell ref="Q7:R7"/>
    <mergeCell ref="U9:V9"/>
    <mergeCell ref="I6:J6"/>
    <mergeCell ref="AC7:AD7"/>
    <mergeCell ref="AE7:AF7"/>
    <mergeCell ref="O6:P6"/>
    <mergeCell ref="U6:V6"/>
    <mergeCell ref="K9:L9"/>
    <mergeCell ref="W6:X6"/>
    <mergeCell ref="M9:N9"/>
    <mergeCell ref="O9:P9"/>
    <mergeCell ref="G8:H8"/>
    <mergeCell ref="M30:O30"/>
    <mergeCell ref="E8:F8"/>
    <mergeCell ref="Y9:Z9"/>
    <mergeCell ref="Q8:R8"/>
    <mergeCell ref="W7:AB7"/>
    <mergeCell ref="AA9:AB9"/>
    <mergeCell ref="S8:T8"/>
    <mergeCell ref="W30:AA30"/>
    <mergeCell ref="A69:E69"/>
    <mergeCell ref="A70:E70"/>
    <mergeCell ref="G7:H7"/>
    <mergeCell ref="AA6:AB6"/>
    <mergeCell ref="S7:T7"/>
    <mergeCell ref="A30:D30"/>
    <mergeCell ref="G6:H6"/>
    <mergeCell ref="AC8:AD8"/>
    <mergeCell ref="E9:F9"/>
    <mergeCell ref="A72:F72"/>
    <mergeCell ref="AE8:AF8"/>
    <mergeCell ref="U7:V7"/>
    <mergeCell ref="A8:A9"/>
    <mergeCell ref="E6:F6"/>
    <mergeCell ref="A6:D6"/>
    <mergeCell ref="M6:N6"/>
    <mergeCell ref="K8:L8"/>
    <mergeCell ref="Q6:R6"/>
    <mergeCell ref="A71:E71"/>
    <mergeCell ref="S6:T6"/>
    <mergeCell ref="D8:D9"/>
    <mergeCell ref="A7:D7"/>
    <mergeCell ref="Y6:Z6"/>
    <mergeCell ref="Q9:R9"/>
    <mergeCell ref="I7:L7"/>
    <mergeCell ref="I8:J8"/>
    <mergeCell ref="S9:T9"/>
    <mergeCell ref="I30:K30"/>
    <mergeCell ref="M8:N8"/>
    <mergeCell ref="W9:X9"/>
    <mergeCell ref="AC9:AD9"/>
    <mergeCell ref="O8:P8"/>
    <mergeCell ref="U8:V8"/>
    <mergeCell ref="AE9:AF9"/>
    <mergeCell ref="W8:X8"/>
    <mergeCell ref="B8:C9"/>
    <mergeCell ref="AC6:AD6"/>
    <mergeCell ref="E7:F7"/>
    <mergeCell ref="AE6:AF6"/>
    <mergeCell ref="M7:P7"/>
    <mergeCell ref="A68:E68"/>
    <mergeCell ref="Y8:Z8"/>
    <mergeCell ref="K6:L6"/>
    <mergeCell ref="G9:H9"/>
    <mergeCell ref="AA8:AB8"/>
    <mergeCell ref="I9:J9"/>
    <mergeCell ref="A67:E6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77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12.75" customWidth="1" min="40" max="40"/>
    <col width="8.75" customWidth="1" min="41" max="41"/>
    <col width="8.875" customWidth="1" min="42" max="42"/>
  </cols>
  <sheetData>
    <row r="1" ht="40.15" customHeight="1">
      <c r="A1" s="1" t="inlineStr">
        <is>
          <t>JR ALUMINIUM &amp; GLASS  —  ใบรายการตัด · FUJI เลื่อนสลับ ภายใน+มุ้ง   (หน่วย: มม.)</t>
        </is>
      </c>
      <c r="B1" s="2" t="n"/>
      <c r="D1" s="3" t="n"/>
      <c r="E1" s="4" t="n"/>
      <c r="F1" s="3" t="n"/>
      <c r="G1" s="5" t="n"/>
      <c r="H1" s="5" t="n"/>
      <c r="I1" s="5" t="n"/>
      <c r="J1" s="5" t="n"/>
      <c r="K1" s="6" t="n"/>
      <c r="L1" s="5" t="n"/>
      <c r="M1" s="3" t="n"/>
      <c r="N1" s="3" t="n"/>
      <c r="O1" s="6" t="n"/>
      <c r="P1" s="6" t="n"/>
      <c r="Q1" s="5" t="n"/>
      <c r="R1" s="5" t="n"/>
      <c r="S1" s="3" t="n"/>
      <c r="T1" s="7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3" t="n"/>
      <c r="AH1" s="3" t="n"/>
      <c r="AI1" s="3" t="n"/>
      <c r="AJ1" s="3" t="n"/>
      <c r="AK1" s="5" t="n"/>
      <c r="AL1" s="5" t="n"/>
      <c r="AM1" s="5" t="n"/>
      <c r="AN1" s="5" t="n"/>
      <c r="AO1" s="5" t="n"/>
      <c r="AP1" s="5" t="n"/>
      <c r="AQ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9" t="n"/>
      <c r="L2" s="9" t="n"/>
      <c r="M2" s="6" t="n"/>
      <c r="N2" s="6" t="n"/>
      <c r="O2" s="6" t="n"/>
      <c r="P2" s="6" t="n"/>
      <c r="Q2" s="9" t="n"/>
      <c r="R2" s="9" t="n"/>
      <c r="S2" s="6" t="n"/>
      <c r="T2" s="6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6" t="n"/>
      <c r="AH2" s="6" t="n"/>
      <c r="AI2" s="6" t="n"/>
      <c r="AJ2" s="6" t="n"/>
      <c r="AK2" s="9" t="n"/>
      <c r="AL2" s="9" t="n"/>
      <c r="AM2" s="9" t="n"/>
      <c r="AN2" s="9" t="n"/>
      <c r="AO2" s="9" t="n"/>
      <c r="AP2" s="9" t="n"/>
      <c r="AQ2" s="9" t="n"/>
    </row>
    <row r="3" ht="40.15" customHeight="1">
      <c r="A3" s="130">
        <f>HYPERLINK("#สารบัญ!A1","← สารบัญ")</f>
        <v/>
      </c>
      <c r="B3" s="117" t="inlineStr">
        <is>
          <t>บู๊ทฟูจิ</t>
        </is>
      </c>
      <c r="C3" s="85" t="n"/>
      <c r="D3" s="85" t="n"/>
      <c r="E3" s="100" t="n"/>
      <c r="F3" s="6" t="n"/>
      <c r="G3" s="11" t="n"/>
      <c r="H3" s="11" t="n"/>
      <c r="I3" s="11" t="n"/>
      <c r="J3" s="11" t="n"/>
      <c r="K3" s="9" t="n"/>
      <c r="L3" s="9" t="n"/>
      <c r="M3" s="6" t="n"/>
      <c r="N3" s="6" t="n"/>
      <c r="O3" s="6" t="n"/>
      <c r="P3" s="6" t="n"/>
      <c r="Q3" s="11" t="n"/>
      <c r="R3" s="11" t="n"/>
      <c r="S3" s="6" t="n"/>
      <c r="T3" s="6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6" t="n"/>
      <c r="AH3" s="6" t="n"/>
      <c r="AI3" s="6" t="n"/>
      <c r="AJ3" s="6" t="n"/>
      <c r="AK3" s="11" t="n"/>
      <c r="AL3" s="11" t="n"/>
      <c r="AM3" s="11" t="n"/>
      <c r="AN3" s="11" t="n"/>
      <c r="AO3" s="11" t="n"/>
      <c r="AP3" s="11" t="n"/>
      <c r="AQ3" s="11" t="n"/>
    </row>
    <row r="4" ht="40.15" customHeight="1">
      <c r="A4" s="6" t="n"/>
      <c r="B4" s="6" t="n"/>
      <c r="C4" s="6" t="n"/>
      <c r="F4" s="6" t="n"/>
      <c r="K4" s="9" t="n"/>
      <c r="L4" s="9" t="n"/>
      <c r="M4" s="6" t="n"/>
      <c r="N4" s="6" t="n"/>
      <c r="O4" s="6" t="n"/>
      <c r="P4" s="6" t="n"/>
      <c r="S4" s="6" t="n"/>
      <c r="T4" s="6" t="n"/>
      <c r="AG4" s="6" t="n"/>
      <c r="AH4" s="6" t="n"/>
      <c r="AI4" s="6" t="n"/>
      <c r="AJ4" s="6" t="n"/>
    </row>
    <row r="5" ht="40.15" customHeight="1">
      <c r="A5" s="6" t="n"/>
      <c r="B5" s="6" t="n"/>
      <c r="C5" s="6" t="n"/>
      <c r="D5" s="6" t="n"/>
      <c r="E5" s="8" t="n"/>
      <c r="F5" s="6" t="n"/>
      <c r="M5" s="6" t="n"/>
      <c r="N5" s="6" t="n"/>
      <c r="P5" s="6" t="n"/>
      <c r="S5" s="6" t="n"/>
      <c r="T5" s="6" t="n"/>
      <c r="AG5" s="6" t="n"/>
      <c r="AH5" s="6" t="n"/>
      <c r="AI5" s="6" t="n"/>
      <c r="AJ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กว้าง-21-21</t>
        </is>
      </c>
      <c r="J6" s="17" t="n"/>
      <c r="K6" s="16" t="inlineStr">
        <is>
          <t>กว้าง</t>
        </is>
      </c>
      <c r="L6" s="17" t="n"/>
      <c r="M6" s="16" t="inlineStr">
        <is>
          <t>สูง-14-13-21</t>
        </is>
      </c>
      <c r="N6" s="17" t="n"/>
      <c r="O6" s="16" t="inlineStr">
        <is>
          <t>((กว้าง-21-3-3--1.221)/2)+(78x1/2)</t>
        </is>
      </c>
      <c r="P6" s="17" t="n"/>
      <c r="Q6" s="16" t="inlineStr">
        <is>
          <t>เสา-78-78</t>
        </is>
      </c>
      <c r="R6" s="17" t="n"/>
      <c r="S6" s="16" t="inlineStr">
        <is>
          <t>ขวาง-63-63</t>
        </is>
      </c>
      <c r="T6" s="17" t="n"/>
      <c r="U6" s="16" t="inlineStr">
        <is>
          <t>สูงกรอบบาน</t>
        </is>
      </c>
      <c r="V6" s="17" t="n"/>
      <c r="W6" s="16" t="inlineStr">
        <is>
          <t>สูง-45-45</t>
        </is>
      </c>
      <c r="X6" s="17" t="n"/>
      <c r="Y6" s="16" t="inlineStr">
        <is>
          <t>สูงS-63-63</t>
        </is>
      </c>
      <c r="Z6" s="17" t="n"/>
      <c r="AA6" s="16" t="inlineStr">
        <is>
          <t>สูง-45-45</t>
        </is>
      </c>
      <c r="AB6" s="17" t="n"/>
      <c r="AC6" s="16" t="inlineStr">
        <is>
          <t>เท่าเฟรมบน</t>
        </is>
      </c>
      <c r="AD6" s="17" t="n"/>
      <c r="AE6" s="16" t="inlineStr">
        <is>
          <t>สูง-45-45</t>
        </is>
      </c>
      <c r="AF6" s="17" t="n"/>
      <c r="AG6" s="16" t="inlineStr">
        <is>
          <t>สูงกรอบบาน</t>
        </is>
      </c>
      <c r="AH6" s="17" t="n"/>
      <c r="AI6" s="16" t="inlineStr">
        <is>
          <t>กว้าง</t>
        </is>
      </c>
      <c r="AJ6" s="17" t="n"/>
      <c r="AK6" s="16" t="inlineStr">
        <is>
          <t>เท่าเฟรมล่าง</t>
        </is>
      </c>
      <c r="AL6" s="17" t="n"/>
      <c r="AM6" s="18" t="n"/>
      <c r="AN6" s="18" t="n"/>
      <c r="AO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F7902</t>
        </is>
      </c>
      <c r="J7" s="15" t="n"/>
      <c r="K7" s="22" t="inlineStr">
        <is>
          <t>F7992</t>
        </is>
      </c>
      <c r="L7" s="15" t="n"/>
      <c r="M7" s="22" t="inlineStr">
        <is>
          <t>F7980</t>
        </is>
      </c>
      <c r="N7" s="14" t="n"/>
      <c r="O7" s="14" t="n"/>
      <c r="P7" s="15" t="n"/>
      <c r="Q7" s="22" t="inlineStr">
        <is>
          <t>F7919</t>
        </is>
      </c>
      <c r="R7" s="14" t="n"/>
      <c r="S7" s="14" t="n"/>
      <c r="T7" s="15" t="n"/>
      <c r="U7" s="22" t="inlineStr">
        <is>
          <t>F7983</t>
        </is>
      </c>
      <c r="V7" s="15" t="n"/>
      <c r="W7" s="23" t="inlineStr">
        <is>
          <t>F7985</t>
        </is>
      </c>
      <c r="X7" s="15" t="n"/>
      <c r="Y7" s="22" t="inlineStr">
        <is>
          <t>F7966</t>
        </is>
      </c>
      <c r="Z7" s="15" t="n"/>
      <c r="AA7" s="22" t="inlineStr">
        <is>
          <t>F7986</t>
        </is>
      </c>
      <c r="AB7" s="15" t="n"/>
      <c r="AC7" s="22" t="inlineStr">
        <is>
          <t>F7993</t>
        </is>
      </c>
      <c r="AD7" s="15" t="n"/>
      <c r="AE7" s="22" t="inlineStr">
        <is>
          <t>F7988</t>
        </is>
      </c>
      <c r="AF7" s="14" t="n"/>
      <c r="AG7" s="14" t="n"/>
      <c r="AH7" s="14" t="n"/>
      <c r="AI7" s="14" t="n"/>
      <c r="AJ7" s="15" t="n"/>
      <c r="AK7" s="22" t="inlineStr">
        <is>
          <t>F7994</t>
        </is>
      </c>
      <c r="AL7" s="15" t="n"/>
      <c r="AM7" s="24" t="n"/>
      <c r="AN7" s="25" t="inlineStr">
        <is>
          <t>ขนาดกระจก</t>
        </is>
      </c>
      <c r="AO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0" t="n"/>
      <c r="L8" s="31" t="n"/>
      <c r="M8" s="32" t="n"/>
      <c r="N8" s="33" t="n"/>
      <c r="O8" s="34" t="n"/>
      <c r="P8" s="31" t="n"/>
      <c r="Q8" s="32" t="n"/>
      <c r="R8" s="33" t="n"/>
      <c r="S8" s="34" t="n"/>
      <c r="T8" s="31" t="n"/>
      <c r="U8" s="30" t="n"/>
      <c r="V8" s="31" t="n"/>
      <c r="W8" s="34" t="n"/>
      <c r="X8" s="31" t="n"/>
      <c r="Y8" s="32" t="n"/>
      <c r="Z8" s="33" t="n"/>
      <c r="AA8" s="32" t="n"/>
      <c r="AB8" s="33" t="n"/>
      <c r="AC8" s="32" t="n"/>
      <c r="AD8" s="33" t="n"/>
      <c r="AE8" s="32" t="n"/>
      <c r="AF8" s="33" t="n"/>
      <c r="AG8" s="35" t="n"/>
      <c r="AH8" s="33" t="n"/>
      <c r="AI8" s="34" t="n"/>
      <c r="AJ8" s="31" t="n"/>
      <c r="AK8" s="30" t="n"/>
      <c r="AL8" s="31" t="n"/>
      <c r="AM8" s="36" t="n"/>
      <c r="AN8" s="37" t="inlineStr">
        <is>
          <t>กรอบบาน</t>
        </is>
      </c>
      <c r="AO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ตบกันสาด</t>
        </is>
      </c>
      <c r="L9" s="43" t="n"/>
      <c r="M9" s="42" t="inlineStr">
        <is>
          <t>เสา</t>
        </is>
      </c>
      <c r="N9" s="43" t="n"/>
      <c r="O9" s="42" t="inlineStr">
        <is>
          <t>ขวาง</t>
        </is>
      </c>
      <c r="P9" s="43" t="n"/>
      <c r="Q9" s="42" t="inlineStr">
        <is>
          <t>คิ้ว ตั้ง</t>
        </is>
      </c>
      <c r="R9" s="43" t="n"/>
      <c r="S9" s="42" t="inlineStr">
        <is>
          <t>คิ้ว ขวาง</t>
        </is>
      </c>
      <c r="T9" s="43" t="n"/>
      <c r="U9" s="42" t="inlineStr">
        <is>
          <t>ตบเกี่ยว</t>
        </is>
      </c>
      <c r="V9" s="43" t="n"/>
      <c r="W9" s="42" t="inlineStr">
        <is>
          <t>ต่อราง</t>
        </is>
      </c>
      <c r="X9" s="43" t="n"/>
      <c r="Y9" s="44" t="inlineStr">
        <is>
          <t>ซอยกลาง</t>
        </is>
      </c>
      <c r="Z9" s="43" t="n"/>
      <c r="AA9" s="44" t="inlineStr">
        <is>
          <t>ยูข้าง</t>
        </is>
      </c>
      <c r="AB9" s="43" t="n"/>
      <c r="AC9" s="44" t="inlineStr">
        <is>
          <t>ตบเฟรมบน</t>
        </is>
      </c>
      <c r="AD9" s="43" t="n"/>
      <c r="AE9" s="44" t="inlineStr">
        <is>
          <t>ตบยูข้าง</t>
        </is>
      </c>
      <c r="AF9" s="43" t="n"/>
      <c r="AG9" s="42" t="inlineStr">
        <is>
          <t>ปิดตบเกี่ยว</t>
        </is>
      </c>
      <c r="AH9" s="43" t="n"/>
      <c r="AI9" s="42" t="inlineStr">
        <is>
          <t>ตบกันสาด</t>
        </is>
      </c>
      <c r="AJ9" s="43" t="n"/>
      <c r="AK9" s="44" t="inlineStr">
        <is>
          <t>ราง</t>
        </is>
      </c>
      <c r="AL9" s="43" t="n"/>
      <c r="AM9" s="45" t="inlineStr">
        <is>
          <t>SH-68-68</t>
        </is>
      </c>
      <c r="AN9" s="46" t="inlineStr">
        <is>
          <t>SW-68-68</t>
        </is>
      </c>
      <c r="AO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3" t="inlineStr">
        <is>
          <t>จำนวน</t>
        </is>
      </c>
      <c r="AI10" s="52" t="inlineStr">
        <is>
          <t>ยาว</t>
        </is>
      </c>
      <c r="AJ10" s="53" t="inlineStr">
        <is>
          <t>จำนวน</t>
        </is>
      </c>
      <c r="AK10" s="52" t="inlineStr">
        <is>
          <t>ยาว</t>
        </is>
      </c>
      <c r="AL10" s="54" t="inlineStr">
        <is>
          <t>จำนวน</t>
        </is>
      </c>
      <c r="AM10" s="55" t="inlineStr">
        <is>
          <t>H</t>
        </is>
      </c>
      <c r="AN10" s="56" t="inlineStr">
        <is>
          <t>W</t>
        </is>
      </c>
      <c r="AO10" s="57" t="inlineStr">
        <is>
          <t>จำนวน</t>
        </is>
      </c>
    </row>
    <row r="11" ht="40.15" customHeight="1">
      <c r="A11" s="99" t="inlineStr">
        <is>
          <t>D1</t>
        </is>
      </c>
      <c r="B11" s="88" t="n">
        <v>3054</v>
      </c>
      <c r="C11" s="89" t="n">
        <v>3054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IF($A11="","",$C11-$E$56-$F$56)</f>
        <v/>
      </c>
      <c r="J11" s="89">
        <f>IF($A11="","",$L$56*$D11)</f>
        <v/>
      </c>
      <c r="K11" s="91">
        <f>IF($A11="","",$C11)</f>
        <v/>
      </c>
      <c r="L11" s="89">
        <f>IF($A11="","",$L$57*$D11)</f>
        <v/>
      </c>
      <c r="M11" s="91">
        <f>IF($A11="","",$B11-$E$58-$F$58-$G$58)</f>
        <v/>
      </c>
      <c r="N11" s="89">
        <f>IF($A11="","",$L$58*$D11)</f>
        <v/>
      </c>
      <c r="O11" s="91">
        <f>IF($A11="","",(($C11-$E$59-$F$59-$G$59-$H$59-$I$59)/2)+(78*1)/2)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IF($A11="","",$O11-$E$61-$F$61)</f>
        <v/>
      </c>
      <c r="T11" s="89">
        <f>IF($A11="","",$L$61*$D11)</f>
        <v/>
      </c>
      <c r="U11" s="91">
        <f>IF($A11="","",$M11)</f>
        <v/>
      </c>
      <c r="V11" s="89">
        <f>IF($A11="","",$L$62*$D11)</f>
        <v/>
      </c>
      <c r="W11" s="91">
        <f>IF($A11="","",$M11)</f>
        <v/>
      </c>
      <c r="X11" s="89">
        <f>IF($A11="","",$L$63*$D11)</f>
        <v/>
      </c>
      <c r="Y11" s="91">
        <f>IF($A11="","",$M11-$E$64-$F$64)</f>
        <v/>
      </c>
      <c r="Z11" s="89">
        <f>IF($A11="","",$L$64*$D11)</f>
        <v/>
      </c>
      <c r="AA11" s="91">
        <f>IF($A11="","",$B11-$E$65-$F$65)</f>
        <v/>
      </c>
      <c r="AB11" s="89">
        <f>IF($A11="","",$L$65*$D11)</f>
        <v/>
      </c>
      <c r="AC11" s="91">
        <f>IF($A11="","",$C11-$E$66-$F$66)</f>
        <v/>
      </c>
      <c r="AD11" s="89">
        <f>IF($A11="","",$L$66*$D11)</f>
        <v/>
      </c>
      <c r="AE11" s="91">
        <f>IF($A11="","",$B11-$E$67-$F$67)</f>
        <v/>
      </c>
      <c r="AF11" s="89">
        <f>IF($A11="","",$L$67*$D11)</f>
        <v/>
      </c>
      <c r="AG11" s="91">
        <f>IF($A11="","",$U11)</f>
        <v/>
      </c>
      <c r="AH11" s="89">
        <f>IF($A11="","",$L$68*$D11)</f>
        <v/>
      </c>
      <c r="AI11" s="91">
        <f>IF($A11="","",$C11)</f>
        <v/>
      </c>
      <c r="AJ11" s="89">
        <f>IF($A11="","",$L$69*$D11)</f>
        <v/>
      </c>
      <c r="AK11" s="91">
        <f>IF($A11="","",$C11-$E$70-$F$70)</f>
        <v/>
      </c>
      <c r="AL11" s="89">
        <f>IF($A11="","",$L$70*$D11)</f>
        <v/>
      </c>
      <c r="AM11" s="93">
        <f>IF($A11="","",$M11-68-68)</f>
        <v/>
      </c>
      <c r="AN11" s="94">
        <f>IF($A11="","",$O11-68-68)</f>
        <v/>
      </c>
      <c r="AO11" s="95">
        <f>IF($A11="","",2*$D11)</f>
        <v/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IF($A12="","",$C12-$E$56-$F$56)</f>
        <v/>
      </c>
      <c r="J12" s="97">
        <f>IF($A12="","",$L$56*$D12)</f>
        <v/>
      </c>
      <c r="K12" s="96">
        <f>IF($A12="","",$C12)</f>
        <v/>
      </c>
      <c r="L12" s="97">
        <f>IF($A12="","",$L$57*$D12)</f>
        <v/>
      </c>
      <c r="M12" s="96">
        <f>IF($A12="","",$B12-$E$58-$F$58-$G$58)</f>
        <v/>
      </c>
      <c r="N12" s="97">
        <f>IF($A12="","",$L$58*$D12)</f>
        <v/>
      </c>
      <c r="O12" s="96">
        <f>IF($A12="","",(($C12-$E$59-$F$59-$G$59-$H$59-$I$59)/2)+(78*1)/2)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IF($A12="","",$O12-$E$61-$F$61)</f>
        <v/>
      </c>
      <c r="T12" s="97">
        <f>IF($A12="","",$L$61*$D12)</f>
        <v/>
      </c>
      <c r="U12" s="96">
        <f>IF($A12="","",$M12)</f>
        <v/>
      </c>
      <c r="V12" s="97">
        <f>IF($A12="","",$L$62*$D12)</f>
        <v/>
      </c>
      <c r="W12" s="96">
        <f>IF($A12="","",$M12)</f>
        <v/>
      </c>
      <c r="X12" s="97">
        <f>IF($A12="","",$L$63*$D12)</f>
        <v/>
      </c>
      <c r="Y12" s="96">
        <f>IF($A12="","",$M12-$E$64-$F$64)</f>
        <v/>
      </c>
      <c r="Z12" s="97">
        <f>IF($A12="","",$L$64*$D12)</f>
        <v/>
      </c>
      <c r="AA12" s="96">
        <f>IF($A12="","",$B12-$E$65-$F$65)</f>
        <v/>
      </c>
      <c r="AB12" s="97">
        <f>IF($A12="","",$L$65*$D12)</f>
        <v/>
      </c>
      <c r="AC12" s="96">
        <f>IF($A12="","",$C12-$E$66-$F$66)</f>
        <v/>
      </c>
      <c r="AD12" s="97">
        <f>IF($A12="","",$L$66*$D12)</f>
        <v/>
      </c>
      <c r="AE12" s="96">
        <f>IF($A12="","",$B12-$E$67-$F$67)</f>
        <v/>
      </c>
      <c r="AF12" s="97">
        <f>IF($A12="","",$L$67*$D12)</f>
        <v/>
      </c>
      <c r="AG12" s="96">
        <f>IF($A12="","",$U12)</f>
        <v/>
      </c>
      <c r="AH12" s="97">
        <f>IF($A12="","",$L$68*$D12)</f>
        <v/>
      </c>
      <c r="AI12" s="96">
        <f>IF($A12="","",$C12)</f>
        <v/>
      </c>
      <c r="AJ12" s="97">
        <f>IF($A12="","",$L$69*$D12)</f>
        <v/>
      </c>
      <c r="AK12" s="96">
        <f>IF($A12="","",$C12-$E$70-$F$70)</f>
        <v/>
      </c>
      <c r="AL12" s="97">
        <f>IF($A12="","",$L$70*$D12)</f>
        <v/>
      </c>
      <c r="AM12" s="93">
        <f>IF($A12="","",$M12-68-68)</f>
        <v/>
      </c>
      <c r="AN12" s="94">
        <f>IF($A12="","",$O12-68-68)</f>
        <v/>
      </c>
      <c r="AO12" s="95">
        <f>IF($A12="","",2*$D12)</f>
        <v/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IF($A13="","",$C13-$E$56-$F$56)</f>
        <v/>
      </c>
      <c r="J13" s="89">
        <f>IF($A13="","",$L$56*$D13)</f>
        <v/>
      </c>
      <c r="K13" s="91">
        <f>IF($A13="","",$C13)</f>
        <v/>
      </c>
      <c r="L13" s="89">
        <f>IF($A13="","",$L$57*$D13)</f>
        <v/>
      </c>
      <c r="M13" s="91">
        <f>IF($A13="","",$B13-$E$58-$F$58-$G$58)</f>
        <v/>
      </c>
      <c r="N13" s="89">
        <f>IF($A13="","",$L$58*$D13)</f>
        <v/>
      </c>
      <c r="O13" s="91">
        <f>IF($A13="","",(($C13-$E$59-$F$59-$G$59-$H$59-$I$59)/2)+(78*1)/2)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IF($A13="","",$O13-$E$61-$F$61)</f>
        <v/>
      </c>
      <c r="T13" s="89">
        <f>IF($A13="","",$L$61*$D13)</f>
        <v/>
      </c>
      <c r="U13" s="91">
        <f>IF($A13="","",$M13)</f>
        <v/>
      </c>
      <c r="V13" s="89">
        <f>IF($A13="","",$L$62*$D13)</f>
        <v/>
      </c>
      <c r="W13" s="91">
        <f>IF($A13="","",$M13)</f>
        <v/>
      </c>
      <c r="X13" s="89">
        <f>IF($A13="","",$L$63*$D13)</f>
        <v/>
      </c>
      <c r="Y13" s="91">
        <f>IF($A13="","",$M13-$E$64-$F$64)</f>
        <v/>
      </c>
      <c r="Z13" s="89">
        <f>IF($A13="","",$L$64*$D13)</f>
        <v/>
      </c>
      <c r="AA13" s="91">
        <f>IF($A13="","",$B13-$E$65-$F$65)</f>
        <v/>
      </c>
      <c r="AB13" s="89">
        <f>IF($A13="","",$L$65*$D13)</f>
        <v/>
      </c>
      <c r="AC13" s="91">
        <f>IF($A13="","",$C13-$E$66-$F$66)</f>
        <v/>
      </c>
      <c r="AD13" s="89">
        <f>IF($A13="","",$L$66*$D13)</f>
        <v/>
      </c>
      <c r="AE13" s="91">
        <f>IF($A13="","",$B13-$E$67-$F$67)</f>
        <v/>
      </c>
      <c r="AF13" s="89">
        <f>IF($A13="","",$L$67*$D13)</f>
        <v/>
      </c>
      <c r="AG13" s="91">
        <f>IF($A13="","",$U13)</f>
        <v/>
      </c>
      <c r="AH13" s="89">
        <f>IF($A13="","",$L$68*$D13)</f>
        <v/>
      </c>
      <c r="AI13" s="91">
        <f>IF($A13="","",$C13)</f>
        <v/>
      </c>
      <c r="AJ13" s="89">
        <f>IF($A13="","",$L$69*$D13)</f>
        <v/>
      </c>
      <c r="AK13" s="91">
        <f>IF($A13="","",$C13-$E$70-$F$70)</f>
        <v/>
      </c>
      <c r="AL13" s="89">
        <f>IF($A13="","",$L$70*$D13)</f>
        <v/>
      </c>
      <c r="AM13" s="93">
        <f>IF($A13="","",$M13-68-68)</f>
        <v/>
      </c>
      <c r="AN13" s="94">
        <f>IF($A13="","",$O13-68-68)</f>
        <v/>
      </c>
      <c r="AO13" s="95">
        <f>IF($A13="","",2*$D13)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IF($A14="","",$C14-$E$56-$F$56)</f>
        <v/>
      </c>
      <c r="J14" s="97">
        <f>IF($A14="","",$L$56*$D14)</f>
        <v/>
      </c>
      <c r="K14" s="96">
        <f>IF($A14="","",$C14)</f>
        <v/>
      </c>
      <c r="L14" s="97">
        <f>IF($A14="","",$L$57*$D14)</f>
        <v/>
      </c>
      <c r="M14" s="96">
        <f>IF($A14="","",$B14-$E$58-$F$58-$G$58)</f>
        <v/>
      </c>
      <c r="N14" s="97">
        <f>IF($A14="","",$L$58*$D14)</f>
        <v/>
      </c>
      <c r="O14" s="96">
        <f>IF($A14="","",(($C14-$E$59-$F$59-$G$59-$H$59-$I$59)/2)+(78*1)/2)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IF($A14="","",$O14-$E$61-$F$61)</f>
        <v/>
      </c>
      <c r="T14" s="97">
        <f>IF($A14="","",$L$61*$D14)</f>
        <v/>
      </c>
      <c r="U14" s="96">
        <f>IF($A14="","",$M14)</f>
        <v/>
      </c>
      <c r="V14" s="97">
        <f>IF($A14="","",$L$62*$D14)</f>
        <v/>
      </c>
      <c r="W14" s="96">
        <f>IF($A14="","",$M14)</f>
        <v/>
      </c>
      <c r="X14" s="97">
        <f>IF($A14="","",$L$63*$D14)</f>
        <v/>
      </c>
      <c r="Y14" s="96">
        <f>IF($A14="","",$M14-$E$64-$F$64)</f>
        <v/>
      </c>
      <c r="Z14" s="97">
        <f>IF($A14="","",$L$64*$D14)</f>
        <v/>
      </c>
      <c r="AA14" s="96">
        <f>IF($A14="","",$B14-$E$65-$F$65)</f>
        <v/>
      </c>
      <c r="AB14" s="97">
        <f>IF($A14="","",$L$65*$D14)</f>
        <v/>
      </c>
      <c r="AC14" s="96">
        <f>IF($A14="","",$C14-$E$66-$F$66)</f>
        <v/>
      </c>
      <c r="AD14" s="97">
        <f>IF($A14="","",$L$66*$D14)</f>
        <v/>
      </c>
      <c r="AE14" s="96">
        <f>IF($A14="","",$B14-$E$67-$F$67)</f>
        <v/>
      </c>
      <c r="AF14" s="97">
        <f>IF($A14="","",$L$67*$D14)</f>
        <v/>
      </c>
      <c r="AG14" s="96">
        <f>IF($A14="","",$U14)</f>
        <v/>
      </c>
      <c r="AH14" s="97">
        <f>IF($A14="","",$L$68*$D14)</f>
        <v/>
      </c>
      <c r="AI14" s="96">
        <f>IF($A14="","",$C14)</f>
        <v/>
      </c>
      <c r="AJ14" s="97">
        <f>IF($A14="","",$L$69*$D14)</f>
        <v/>
      </c>
      <c r="AK14" s="96">
        <f>IF($A14="","",$C14-$E$70-$F$70)</f>
        <v/>
      </c>
      <c r="AL14" s="97">
        <f>IF($A14="","",$L$70*$D14)</f>
        <v/>
      </c>
      <c r="AM14" s="93">
        <f>IF($A14="","",$M14-68-68)</f>
        <v/>
      </c>
      <c r="AN14" s="94">
        <f>IF($A14="","",$O14-68-68)</f>
        <v/>
      </c>
      <c r="AO14" s="95">
        <f>IF($A14="","",2*$D14)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IF($A15="","",$C15-$E$56-$F$56)</f>
        <v/>
      </c>
      <c r="J15" s="89">
        <f>IF($A15="","",$L$56*$D15)</f>
        <v/>
      </c>
      <c r="K15" s="91">
        <f>IF($A15="","",$C15)</f>
        <v/>
      </c>
      <c r="L15" s="89">
        <f>IF($A15="","",$L$57*$D15)</f>
        <v/>
      </c>
      <c r="M15" s="91">
        <f>IF($A15="","",$B15-$E$58-$F$58-$G$58)</f>
        <v/>
      </c>
      <c r="N15" s="89">
        <f>IF($A15="","",$L$58*$D15)</f>
        <v/>
      </c>
      <c r="O15" s="91">
        <f>IF($A15="","",(($C15-$E$59-$F$59-$G$59-$H$59-$I$59)/2)+(78*1)/2)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IF($A15="","",$O15-$E$61-$F$61)</f>
        <v/>
      </c>
      <c r="T15" s="89">
        <f>IF($A15="","",$L$61*$D15)</f>
        <v/>
      </c>
      <c r="U15" s="91">
        <f>IF($A15="","",$M15)</f>
        <v/>
      </c>
      <c r="V15" s="89">
        <f>IF($A15="","",$L$62*$D15)</f>
        <v/>
      </c>
      <c r="W15" s="91">
        <f>IF($A15="","",$M15)</f>
        <v/>
      </c>
      <c r="X15" s="89">
        <f>IF($A15="","",$L$63*$D15)</f>
        <v/>
      </c>
      <c r="Y15" s="91">
        <f>IF($A15="","",$M15-$E$64-$F$64)</f>
        <v/>
      </c>
      <c r="Z15" s="89">
        <f>IF($A15="","",$L$64*$D15)</f>
        <v/>
      </c>
      <c r="AA15" s="91">
        <f>IF($A15="","",$B15-$E$65-$F$65)</f>
        <v/>
      </c>
      <c r="AB15" s="89">
        <f>IF($A15="","",$L$65*$D15)</f>
        <v/>
      </c>
      <c r="AC15" s="91">
        <f>IF($A15="","",$C15-$E$66-$F$66)</f>
        <v/>
      </c>
      <c r="AD15" s="89">
        <f>IF($A15="","",$L$66*$D15)</f>
        <v/>
      </c>
      <c r="AE15" s="91">
        <f>IF($A15="","",$B15-$E$67-$F$67)</f>
        <v/>
      </c>
      <c r="AF15" s="89">
        <f>IF($A15="","",$L$67*$D15)</f>
        <v/>
      </c>
      <c r="AG15" s="91">
        <f>IF($A15="","",$U15)</f>
        <v/>
      </c>
      <c r="AH15" s="89">
        <f>IF($A15="","",$L$68*$D15)</f>
        <v/>
      </c>
      <c r="AI15" s="91">
        <f>IF($A15="","",$C15)</f>
        <v/>
      </c>
      <c r="AJ15" s="89">
        <f>IF($A15="","",$L$69*$D15)</f>
        <v/>
      </c>
      <c r="AK15" s="91">
        <f>IF($A15="","",$C15-$E$70-$F$70)</f>
        <v/>
      </c>
      <c r="AL15" s="89">
        <f>IF($A15="","",$L$70*$D15)</f>
        <v/>
      </c>
      <c r="AM15" s="93">
        <f>IF($A15="","",$M15-68-68)</f>
        <v/>
      </c>
      <c r="AN15" s="94">
        <f>IF($A15="","",$O15-68-68)</f>
        <v/>
      </c>
      <c r="AO15" s="95">
        <f>IF($A15="","",2*$D15)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IF($A16="","",$C16-$E$56-$F$56)</f>
        <v/>
      </c>
      <c r="J16" s="97">
        <f>IF($A16="","",$L$56*$D16)</f>
        <v/>
      </c>
      <c r="K16" s="96">
        <f>IF($A16="","",$C16)</f>
        <v/>
      </c>
      <c r="L16" s="97">
        <f>IF($A16="","",$L$57*$D16)</f>
        <v/>
      </c>
      <c r="M16" s="96">
        <f>IF($A16="","",$B16-$E$58-$F$58-$G$58)</f>
        <v/>
      </c>
      <c r="N16" s="97">
        <f>IF($A16="","",$L$58*$D16)</f>
        <v/>
      </c>
      <c r="O16" s="96">
        <f>IF($A16="","",(($C16-$E$59-$F$59-$G$59-$H$59-$I$59)/2)+(78*1)/2)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IF($A16="","",$O16-$E$61-$F$61)</f>
        <v/>
      </c>
      <c r="T16" s="97">
        <f>IF($A16="","",$L$61*$D16)</f>
        <v/>
      </c>
      <c r="U16" s="96">
        <f>IF($A16="","",$M16)</f>
        <v/>
      </c>
      <c r="V16" s="97">
        <f>IF($A16="","",$L$62*$D16)</f>
        <v/>
      </c>
      <c r="W16" s="96">
        <f>IF($A16="","",$M16)</f>
        <v/>
      </c>
      <c r="X16" s="97">
        <f>IF($A16="","",$L$63*$D16)</f>
        <v/>
      </c>
      <c r="Y16" s="96">
        <f>IF($A16="","",$M16-$E$64-$F$64)</f>
        <v/>
      </c>
      <c r="Z16" s="97">
        <f>IF($A16="","",$L$64*$D16)</f>
        <v/>
      </c>
      <c r="AA16" s="96">
        <f>IF($A16="","",$B16-$E$65-$F$65)</f>
        <v/>
      </c>
      <c r="AB16" s="97">
        <f>IF($A16="","",$L$65*$D16)</f>
        <v/>
      </c>
      <c r="AC16" s="96">
        <f>IF($A16="","",$C16-$E$66-$F$66)</f>
        <v/>
      </c>
      <c r="AD16" s="97">
        <f>IF($A16="","",$L$66*$D16)</f>
        <v/>
      </c>
      <c r="AE16" s="96">
        <f>IF($A16="","",$B16-$E$67-$F$67)</f>
        <v/>
      </c>
      <c r="AF16" s="97">
        <f>IF($A16="","",$L$67*$D16)</f>
        <v/>
      </c>
      <c r="AG16" s="96">
        <f>IF($A16="","",$U16)</f>
        <v/>
      </c>
      <c r="AH16" s="97">
        <f>IF($A16="","",$L$68*$D16)</f>
        <v/>
      </c>
      <c r="AI16" s="96">
        <f>IF($A16="","",$C16)</f>
        <v/>
      </c>
      <c r="AJ16" s="97">
        <f>IF($A16="","",$L$69*$D16)</f>
        <v/>
      </c>
      <c r="AK16" s="96">
        <f>IF($A16="","",$C16-$E$70-$F$70)</f>
        <v/>
      </c>
      <c r="AL16" s="97">
        <f>IF($A16="","",$L$70*$D16)</f>
        <v/>
      </c>
      <c r="AM16" s="93">
        <f>IF($A16="","",$M16-68-68)</f>
        <v/>
      </c>
      <c r="AN16" s="94">
        <f>IF($A16="","",$O16-68-68)</f>
        <v/>
      </c>
      <c r="AO16" s="95">
        <f>IF($A16="","",2*$D16)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IF($A17="","",$C17-$E$56-$F$56)</f>
        <v/>
      </c>
      <c r="J17" s="89">
        <f>IF($A17="","",$L$56*$D17)</f>
        <v/>
      </c>
      <c r="K17" s="91">
        <f>IF($A17="","",$C17)</f>
        <v/>
      </c>
      <c r="L17" s="89">
        <f>IF($A17="","",$L$57*$D17)</f>
        <v/>
      </c>
      <c r="M17" s="91">
        <f>IF($A17="","",$B17-$E$58-$F$58-$G$58)</f>
        <v/>
      </c>
      <c r="N17" s="89">
        <f>IF($A17="","",$L$58*$D17)</f>
        <v/>
      </c>
      <c r="O17" s="91">
        <f>IF($A17="","",(($C17-$E$59-$F$59-$G$59-$H$59-$I$59)/2)+(78*1)/2)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IF($A17="","",$O17-$E$61-$F$61)</f>
        <v/>
      </c>
      <c r="T17" s="89">
        <f>IF($A17="","",$L$61*$D17)</f>
        <v/>
      </c>
      <c r="U17" s="91">
        <f>IF($A17="","",$M17)</f>
        <v/>
      </c>
      <c r="V17" s="89">
        <f>IF($A17="","",$L$62*$D17)</f>
        <v/>
      </c>
      <c r="W17" s="91">
        <f>IF($A17="","",$M17)</f>
        <v/>
      </c>
      <c r="X17" s="89">
        <f>IF($A17="","",$L$63*$D17)</f>
        <v/>
      </c>
      <c r="Y17" s="91">
        <f>IF($A17="","",$M17-$E$64-$F$64)</f>
        <v/>
      </c>
      <c r="Z17" s="89">
        <f>IF($A17="","",$L$64*$D17)</f>
        <v/>
      </c>
      <c r="AA17" s="91">
        <f>IF($A17="","",$B17-$E$65-$F$65)</f>
        <v/>
      </c>
      <c r="AB17" s="89">
        <f>IF($A17="","",$L$65*$D17)</f>
        <v/>
      </c>
      <c r="AC17" s="91">
        <f>IF($A17="","",$C17-$E$66-$F$66)</f>
        <v/>
      </c>
      <c r="AD17" s="89">
        <f>IF($A17="","",$L$66*$D17)</f>
        <v/>
      </c>
      <c r="AE17" s="91">
        <f>IF($A17="","",$B17-$E$67-$F$67)</f>
        <v/>
      </c>
      <c r="AF17" s="89">
        <f>IF($A17="","",$L$67*$D17)</f>
        <v/>
      </c>
      <c r="AG17" s="91">
        <f>IF($A17="","",$U17)</f>
        <v/>
      </c>
      <c r="AH17" s="89">
        <f>IF($A17="","",$L$68*$D17)</f>
        <v/>
      </c>
      <c r="AI17" s="91">
        <f>IF($A17="","",$C17)</f>
        <v/>
      </c>
      <c r="AJ17" s="89">
        <f>IF($A17="","",$L$69*$D17)</f>
        <v/>
      </c>
      <c r="AK17" s="91">
        <f>IF($A17="","",$C17-$E$70-$F$70)</f>
        <v/>
      </c>
      <c r="AL17" s="89">
        <f>IF($A17="","",$L$70*$D17)</f>
        <v/>
      </c>
      <c r="AM17" s="93">
        <f>IF($A17="","",$M17-68-68)</f>
        <v/>
      </c>
      <c r="AN17" s="94">
        <f>IF($A17="","",$O17-68-68)</f>
        <v/>
      </c>
      <c r="AO17" s="95">
        <f>IF($A17="","",2*$D17)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IF($A18="","",$C18-$E$56-$F$56)</f>
        <v/>
      </c>
      <c r="J18" s="97">
        <f>IF($A18="","",$L$56*$D18)</f>
        <v/>
      </c>
      <c r="K18" s="96">
        <f>IF($A18="","",$C18)</f>
        <v/>
      </c>
      <c r="L18" s="97">
        <f>IF($A18="","",$L$57*$D18)</f>
        <v/>
      </c>
      <c r="M18" s="96">
        <f>IF($A18="","",$B18-$E$58-$F$58-$G$58)</f>
        <v/>
      </c>
      <c r="N18" s="97">
        <f>IF($A18="","",$L$58*$D18)</f>
        <v/>
      </c>
      <c r="O18" s="96">
        <f>IF($A18="","",(($C18-$E$59-$F$59-$G$59-$H$59-$I$59)/2)+(78*1)/2)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IF($A18="","",$O18-$E$61-$F$61)</f>
        <v/>
      </c>
      <c r="T18" s="97">
        <f>IF($A18="","",$L$61*$D18)</f>
        <v/>
      </c>
      <c r="U18" s="96">
        <f>IF($A18="","",$M18)</f>
        <v/>
      </c>
      <c r="V18" s="97">
        <f>IF($A18="","",$L$62*$D18)</f>
        <v/>
      </c>
      <c r="W18" s="96">
        <f>IF($A18="","",$M18)</f>
        <v/>
      </c>
      <c r="X18" s="97">
        <f>IF($A18="","",$L$63*$D18)</f>
        <v/>
      </c>
      <c r="Y18" s="96">
        <f>IF($A18="","",$M18-$E$64-$F$64)</f>
        <v/>
      </c>
      <c r="Z18" s="97">
        <f>IF($A18="","",$L$64*$D18)</f>
        <v/>
      </c>
      <c r="AA18" s="96">
        <f>IF($A18="","",$B18-$E$65-$F$65)</f>
        <v/>
      </c>
      <c r="AB18" s="97">
        <f>IF($A18="","",$L$65*$D18)</f>
        <v/>
      </c>
      <c r="AC18" s="96">
        <f>IF($A18="","",$C18-$E$66-$F$66)</f>
        <v/>
      </c>
      <c r="AD18" s="97">
        <f>IF($A18="","",$L$66*$D18)</f>
        <v/>
      </c>
      <c r="AE18" s="96">
        <f>IF($A18="","",$B18-$E$67-$F$67)</f>
        <v/>
      </c>
      <c r="AF18" s="97">
        <f>IF($A18="","",$L$67*$D18)</f>
        <v/>
      </c>
      <c r="AG18" s="96">
        <f>IF($A18="","",$U18)</f>
        <v/>
      </c>
      <c r="AH18" s="97">
        <f>IF($A18="","",$L$68*$D18)</f>
        <v/>
      </c>
      <c r="AI18" s="96">
        <f>IF($A18="","",$C18)</f>
        <v/>
      </c>
      <c r="AJ18" s="97">
        <f>IF($A18="","",$L$69*$D18)</f>
        <v/>
      </c>
      <c r="AK18" s="96">
        <f>IF($A18="","",$C18-$E$70-$F$70)</f>
        <v/>
      </c>
      <c r="AL18" s="97">
        <f>IF($A18="","",$L$70*$D18)</f>
        <v/>
      </c>
      <c r="AM18" s="93">
        <f>IF($A18="","",$M18-68-68)</f>
        <v/>
      </c>
      <c r="AN18" s="94">
        <f>IF($A18="","",$O18-68-68)</f>
        <v/>
      </c>
      <c r="AO18" s="95">
        <f>IF($A18="","",2*$D18)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IF($A19="","",$C19-$E$56-$F$56)</f>
        <v/>
      </c>
      <c r="J19" s="89">
        <f>IF($A19="","",$L$56*$D19)</f>
        <v/>
      </c>
      <c r="K19" s="91">
        <f>IF($A19="","",$C19)</f>
        <v/>
      </c>
      <c r="L19" s="89">
        <f>IF($A19="","",$L$57*$D19)</f>
        <v/>
      </c>
      <c r="M19" s="91">
        <f>IF($A19="","",$B19-$E$58-$F$58-$G$58)</f>
        <v/>
      </c>
      <c r="N19" s="89">
        <f>IF($A19="","",$L$58*$D19)</f>
        <v/>
      </c>
      <c r="O19" s="91">
        <f>IF($A19="","",(($C19-$E$59-$F$59-$G$59-$H$59-$I$59)/2)+(78*1)/2)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IF($A19="","",$O19-$E$61-$F$61)</f>
        <v/>
      </c>
      <c r="T19" s="89">
        <f>IF($A19="","",$L$61*$D19)</f>
        <v/>
      </c>
      <c r="U19" s="91">
        <f>IF($A19="","",$M19)</f>
        <v/>
      </c>
      <c r="V19" s="89">
        <f>IF($A19="","",$L$62*$D19)</f>
        <v/>
      </c>
      <c r="W19" s="91">
        <f>IF($A19="","",$M19)</f>
        <v/>
      </c>
      <c r="X19" s="89">
        <f>IF($A19="","",$L$63*$D19)</f>
        <v/>
      </c>
      <c r="Y19" s="91">
        <f>IF($A19="","",$M19-$E$64-$F$64)</f>
        <v/>
      </c>
      <c r="Z19" s="89">
        <f>IF($A19="","",$L$64*$D19)</f>
        <v/>
      </c>
      <c r="AA19" s="91">
        <f>IF($A19="","",$B19-$E$65-$F$65)</f>
        <v/>
      </c>
      <c r="AB19" s="89">
        <f>IF($A19="","",$L$65*$D19)</f>
        <v/>
      </c>
      <c r="AC19" s="91">
        <f>IF($A19="","",$C19-$E$66-$F$66)</f>
        <v/>
      </c>
      <c r="AD19" s="89">
        <f>IF($A19="","",$L$66*$D19)</f>
        <v/>
      </c>
      <c r="AE19" s="91">
        <f>IF($A19="","",$B19-$E$67-$F$67)</f>
        <v/>
      </c>
      <c r="AF19" s="89">
        <f>IF($A19="","",$L$67*$D19)</f>
        <v/>
      </c>
      <c r="AG19" s="91">
        <f>IF($A19="","",$U19)</f>
        <v/>
      </c>
      <c r="AH19" s="89">
        <f>IF($A19="","",$L$68*$D19)</f>
        <v/>
      </c>
      <c r="AI19" s="91">
        <f>IF($A19="","",$C19)</f>
        <v/>
      </c>
      <c r="AJ19" s="89">
        <f>IF($A19="","",$L$69*$D19)</f>
        <v/>
      </c>
      <c r="AK19" s="91">
        <f>IF($A19="","",$C19-$E$70-$F$70)</f>
        <v/>
      </c>
      <c r="AL19" s="89">
        <f>IF($A19="","",$L$70*$D19)</f>
        <v/>
      </c>
      <c r="AM19" s="93">
        <f>IF($A19="","",$M19-68-68)</f>
        <v/>
      </c>
      <c r="AN19" s="94">
        <f>IF($A19="","",$O19-68-68)</f>
        <v/>
      </c>
      <c r="AO19" s="95">
        <f>IF($A19="","",2*$D19)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IF($A20="","",$C20-$E$56-$F$56)</f>
        <v/>
      </c>
      <c r="J20" s="97">
        <f>IF($A20="","",$L$56*$D20)</f>
        <v/>
      </c>
      <c r="K20" s="96">
        <f>IF($A20="","",$C20)</f>
        <v/>
      </c>
      <c r="L20" s="97">
        <f>IF($A20="","",$L$57*$D20)</f>
        <v/>
      </c>
      <c r="M20" s="96">
        <f>IF($A20="","",$B20-$E$58-$F$58-$G$58)</f>
        <v/>
      </c>
      <c r="N20" s="97">
        <f>IF($A20="","",$L$58*$D20)</f>
        <v/>
      </c>
      <c r="O20" s="96">
        <f>IF($A20="","",(($C20-$E$59-$F$59-$G$59-$H$59-$I$59)/2)+(78*1)/2)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IF($A20="","",$O20-$E$61-$F$61)</f>
        <v/>
      </c>
      <c r="T20" s="97">
        <f>IF($A20="","",$L$61*$D20)</f>
        <v/>
      </c>
      <c r="U20" s="96">
        <f>IF($A20="","",$M20)</f>
        <v/>
      </c>
      <c r="V20" s="97">
        <f>IF($A20="","",$L$62*$D20)</f>
        <v/>
      </c>
      <c r="W20" s="96">
        <f>IF($A20="","",$M20)</f>
        <v/>
      </c>
      <c r="X20" s="97">
        <f>IF($A20="","",$L$63*$D20)</f>
        <v/>
      </c>
      <c r="Y20" s="96">
        <f>IF($A20="","",$M20-$E$64-$F$64)</f>
        <v/>
      </c>
      <c r="Z20" s="97">
        <f>IF($A20="","",$L$64*$D20)</f>
        <v/>
      </c>
      <c r="AA20" s="96">
        <f>IF($A20="","",$B20-$E$65-$F$65)</f>
        <v/>
      </c>
      <c r="AB20" s="97">
        <f>IF($A20="","",$L$65*$D20)</f>
        <v/>
      </c>
      <c r="AC20" s="96">
        <f>IF($A20="","",$C20-$E$66-$F$66)</f>
        <v/>
      </c>
      <c r="AD20" s="97">
        <f>IF($A20="","",$L$66*$D20)</f>
        <v/>
      </c>
      <c r="AE20" s="96">
        <f>IF($A20="","",$B20-$E$67-$F$67)</f>
        <v/>
      </c>
      <c r="AF20" s="97">
        <f>IF($A20="","",$L$67*$D20)</f>
        <v/>
      </c>
      <c r="AG20" s="96">
        <f>IF($A20="","",$U20)</f>
        <v/>
      </c>
      <c r="AH20" s="97">
        <f>IF($A20="","",$L$68*$D20)</f>
        <v/>
      </c>
      <c r="AI20" s="96">
        <f>IF($A20="","",$C20)</f>
        <v/>
      </c>
      <c r="AJ20" s="97">
        <f>IF($A20="","",$L$69*$D20)</f>
        <v/>
      </c>
      <c r="AK20" s="96">
        <f>IF($A20="","",$C20-$E$70-$F$70)</f>
        <v/>
      </c>
      <c r="AL20" s="97">
        <f>IF($A20="","",$L$70*$D20)</f>
        <v/>
      </c>
      <c r="AM20" s="93">
        <f>IF($A20="","",$M20-68-68)</f>
        <v/>
      </c>
      <c r="AN20" s="94">
        <f>IF($A20="","",$O20-68-68)</f>
        <v/>
      </c>
      <c r="AO20" s="95">
        <f>IF($A20="","",2*$D20)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IF($A21="","",$C21-$E$56-$F$56)</f>
        <v/>
      </c>
      <c r="J21" s="89">
        <f>IF($A21="","",$L$56*$D21)</f>
        <v/>
      </c>
      <c r="K21" s="91">
        <f>IF($A21="","",$C21)</f>
        <v/>
      </c>
      <c r="L21" s="89">
        <f>IF($A21="","",$L$57*$D21)</f>
        <v/>
      </c>
      <c r="M21" s="91">
        <f>IF($A21="","",$B21-$E$58-$F$58-$G$58)</f>
        <v/>
      </c>
      <c r="N21" s="89">
        <f>IF($A21="","",$L$58*$D21)</f>
        <v/>
      </c>
      <c r="O21" s="91">
        <f>IF($A21="","",(($C21-$E$59-$F$59-$G$59-$H$59-$I$59)/2)+(78*1)/2)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IF($A21="","",$O21-$E$61-$F$61)</f>
        <v/>
      </c>
      <c r="T21" s="89">
        <f>IF($A21="","",$L$61*$D21)</f>
        <v/>
      </c>
      <c r="U21" s="91">
        <f>IF($A21="","",$M21)</f>
        <v/>
      </c>
      <c r="V21" s="89">
        <f>IF($A21="","",$L$62*$D21)</f>
        <v/>
      </c>
      <c r="W21" s="91">
        <f>IF($A21="","",$M21)</f>
        <v/>
      </c>
      <c r="X21" s="89">
        <f>IF($A21="","",$L$63*$D21)</f>
        <v/>
      </c>
      <c r="Y21" s="91">
        <f>IF($A21="","",$M21-$E$64-$F$64)</f>
        <v/>
      </c>
      <c r="Z21" s="89">
        <f>IF($A21="","",$L$64*$D21)</f>
        <v/>
      </c>
      <c r="AA21" s="91">
        <f>IF($A21="","",$B21-$E$65-$F$65)</f>
        <v/>
      </c>
      <c r="AB21" s="89">
        <f>IF($A21="","",$L$65*$D21)</f>
        <v/>
      </c>
      <c r="AC21" s="91">
        <f>IF($A21="","",$C21-$E$66-$F$66)</f>
        <v/>
      </c>
      <c r="AD21" s="89">
        <f>IF($A21="","",$L$66*$D21)</f>
        <v/>
      </c>
      <c r="AE21" s="91">
        <f>IF($A21="","",$B21-$E$67-$F$67)</f>
        <v/>
      </c>
      <c r="AF21" s="89">
        <f>IF($A21="","",$L$67*$D21)</f>
        <v/>
      </c>
      <c r="AG21" s="91">
        <f>IF($A21="","",$U21)</f>
        <v/>
      </c>
      <c r="AH21" s="89">
        <f>IF($A21="","",$L$68*$D21)</f>
        <v/>
      </c>
      <c r="AI21" s="91">
        <f>IF($A21="","",$C21)</f>
        <v/>
      </c>
      <c r="AJ21" s="89">
        <f>IF($A21="","",$L$69*$D21)</f>
        <v/>
      </c>
      <c r="AK21" s="91">
        <f>IF($A21="","",$C21-$E$70-$F$70)</f>
        <v/>
      </c>
      <c r="AL21" s="89">
        <f>IF($A21="","",$L$70*$D21)</f>
        <v/>
      </c>
      <c r="AM21" s="93">
        <f>IF($A21="","",$M21-68-68)</f>
        <v/>
      </c>
      <c r="AN21" s="94">
        <f>IF($A21="","",$O21-68-68)</f>
        <v/>
      </c>
      <c r="AO21" s="95">
        <f>IF($A21="","",2*$D21)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IF($A22="","",$C22-$E$56-$F$56)</f>
        <v/>
      </c>
      <c r="J22" s="97">
        <f>IF($A22="","",$L$56*$D22)</f>
        <v/>
      </c>
      <c r="K22" s="96">
        <f>IF($A22="","",$C22)</f>
        <v/>
      </c>
      <c r="L22" s="97">
        <f>IF($A22="","",$L$57*$D22)</f>
        <v/>
      </c>
      <c r="M22" s="96">
        <f>IF($A22="","",$B22-$E$58-$F$58-$G$58)</f>
        <v/>
      </c>
      <c r="N22" s="97">
        <f>IF($A22="","",$L$58*$D22)</f>
        <v/>
      </c>
      <c r="O22" s="96">
        <f>IF($A22="","",(($C22-$E$59-$F$59-$G$59-$H$59-$I$59)/2)+(78*1)/2)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IF($A22="","",$O22-$E$61-$F$61)</f>
        <v/>
      </c>
      <c r="T22" s="97">
        <f>IF($A22="","",$L$61*$D22)</f>
        <v/>
      </c>
      <c r="U22" s="96">
        <f>IF($A22="","",$M22)</f>
        <v/>
      </c>
      <c r="V22" s="97">
        <f>IF($A22="","",$L$62*$D22)</f>
        <v/>
      </c>
      <c r="W22" s="96">
        <f>IF($A22="","",$M22)</f>
        <v/>
      </c>
      <c r="X22" s="97">
        <f>IF($A22="","",$L$63*$D22)</f>
        <v/>
      </c>
      <c r="Y22" s="96">
        <f>IF($A22="","",$M22-$E$64-$F$64)</f>
        <v/>
      </c>
      <c r="Z22" s="97">
        <f>IF($A22="","",$L$64*$D22)</f>
        <v/>
      </c>
      <c r="AA22" s="96">
        <f>IF($A22="","",$B22-$E$65-$F$65)</f>
        <v/>
      </c>
      <c r="AB22" s="97">
        <f>IF($A22="","",$L$65*$D22)</f>
        <v/>
      </c>
      <c r="AC22" s="96">
        <f>IF($A22="","",$C22-$E$66-$F$66)</f>
        <v/>
      </c>
      <c r="AD22" s="97">
        <f>IF($A22="","",$L$66*$D22)</f>
        <v/>
      </c>
      <c r="AE22" s="96">
        <f>IF($A22="","",$B22-$E$67-$F$67)</f>
        <v/>
      </c>
      <c r="AF22" s="97">
        <f>IF($A22="","",$L$67*$D22)</f>
        <v/>
      </c>
      <c r="AG22" s="96">
        <f>IF($A22="","",$U22)</f>
        <v/>
      </c>
      <c r="AH22" s="97">
        <f>IF($A22="","",$L$68*$D22)</f>
        <v/>
      </c>
      <c r="AI22" s="96">
        <f>IF($A22="","",$C22)</f>
        <v/>
      </c>
      <c r="AJ22" s="97">
        <f>IF($A22="","",$L$69*$D22)</f>
        <v/>
      </c>
      <c r="AK22" s="96">
        <f>IF($A22="","",$C22-$E$70-$F$70)</f>
        <v/>
      </c>
      <c r="AL22" s="97">
        <f>IF($A22="","",$L$70*$D22)</f>
        <v/>
      </c>
      <c r="AM22" s="93">
        <f>IF($A22="","",$M22-68-68)</f>
        <v/>
      </c>
      <c r="AN22" s="94">
        <f>IF($A22="","",$O22-68-68)</f>
        <v/>
      </c>
      <c r="AO22" s="95">
        <f>IF($A22="","",2*$D22)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IF($A23="","",$C23-$E$56-$F$56)</f>
        <v/>
      </c>
      <c r="J23" s="89">
        <f>IF($A23="","",$L$56*$D23)</f>
        <v/>
      </c>
      <c r="K23" s="91">
        <f>IF($A23="","",$C23)</f>
        <v/>
      </c>
      <c r="L23" s="89">
        <f>IF($A23="","",$L$57*$D23)</f>
        <v/>
      </c>
      <c r="M23" s="91">
        <f>IF($A23="","",$B23-$E$58-$F$58-$G$58)</f>
        <v/>
      </c>
      <c r="N23" s="89">
        <f>IF($A23="","",$L$58*$D23)</f>
        <v/>
      </c>
      <c r="O23" s="91">
        <f>IF($A23="","",(($C23-$E$59-$F$59-$G$59-$H$59-$I$59)/2)+(78*1)/2)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IF($A23="","",$O23-$E$61-$F$61)</f>
        <v/>
      </c>
      <c r="T23" s="89">
        <f>IF($A23="","",$L$61*$D23)</f>
        <v/>
      </c>
      <c r="U23" s="91">
        <f>IF($A23="","",$M23)</f>
        <v/>
      </c>
      <c r="V23" s="89">
        <f>IF($A23="","",$L$62*$D23)</f>
        <v/>
      </c>
      <c r="W23" s="91">
        <f>IF($A23="","",$M23)</f>
        <v/>
      </c>
      <c r="X23" s="89">
        <f>IF($A23="","",$L$63*$D23)</f>
        <v/>
      </c>
      <c r="Y23" s="91">
        <f>IF($A23="","",$M23-$E$64-$F$64)</f>
        <v/>
      </c>
      <c r="Z23" s="89">
        <f>IF($A23="","",$L$64*$D23)</f>
        <v/>
      </c>
      <c r="AA23" s="91">
        <f>IF($A23="","",$B23-$E$65-$F$65)</f>
        <v/>
      </c>
      <c r="AB23" s="89">
        <f>IF($A23="","",$L$65*$D23)</f>
        <v/>
      </c>
      <c r="AC23" s="91">
        <f>IF($A23="","",$C23-$E$66-$F$66)</f>
        <v/>
      </c>
      <c r="AD23" s="89">
        <f>IF($A23="","",$L$66*$D23)</f>
        <v/>
      </c>
      <c r="AE23" s="91">
        <f>IF($A23="","",$B23-$E$67-$F$67)</f>
        <v/>
      </c>
      <c r="AF23" s="89">
        <f>IF($A23="","",$L$67*$D23)</f>
        <v/>
      </c>
      <c r="AG23" s="91">
        <f>IF($A23="","",$U23)</f>
        <v/>
      </c>
      <c r="AH23" s="89">
        <f>IF($A23="","",$L$68*$D23)</f>
        <v/>
      </c>
      <c r="AI23" s="91">
        <f>IF($A23="","",$C23)</f>
        <v/>
      </c>
      <c r="AJ23" s="89">
        <f>IF($A23="","",$L$69*$D23)</f>
        <v/>
      </c>
      <c r="AK23" s="91">
        <f>IF($A23="","",$C23-$E$70-$F$70)</f>
        <v/>
      </c>
      <c r="AL23" s="89">
        <f>IF($A23="","",$L$70*$D23)</f>
        <v/>
      </c>
      <c r="AM23" s="93">
        <f>IF($A23="","",$M23-68-68)</f>
        <v/>
      </c>
      <c r="AN23" s="94">
        <f>IF($A23="","",$O23-68-68)</f>
        <v/>
      </c>
      <c r="AO23" s="95">
        <f>IF($A23="","",2*$D23)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IF($A24="","",$C24-$E$56-$F$56)</f>
        <v/>
      </c>
      <c r="J24" s="97">
        <f>IF($A24="","",$L$56*$D24)</f>
        <v/>
      </c>
      <c r="K24" s="96">
        <f>IF($A24="","",$C24)</f>
        <v/>
      </c>
      <c r="L24" s="97">
        <f>IF($A24="","",$L$57*$D24)</f>
        <v/>
      </c>
      <c r="M24" s="96">
        <f>IF($A24="","",$B24-$E$58-$F$58-$G$58)</f>
        <v/>
      </c>
      <c r="N24" s="97">
        <f>IF($A24="","",$L$58*$D24)</f>
        <v/>
      </c>
      <c r="O24" s="96">
        <f>IF($A24="","",(($C24-$E$59-$F$59-$G$59-$H$59-$I$59)/2)+(78*1)/2)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IF($A24="","",$O24-$E$61-$F$61)</f>
        <v/>
      </c>
      <c r="T24" s="97">
        <f>IF($A24="","",$L$61*$D24)</f>
        <v/>
      </c>
      <c r="U24" s="96">
        <f>IF($A24="","",$M24)</f>
        <v/>
      </c>
      <c r="V24" s="97">
        <f>IF($A24="","",$L$62*$D24)</f>
        <v/>
      </c>
      <c r="W24" s="96">
        <f>IF($A24="","",$M24)</f>
        <v/>
      </c>
      <c r="X24" s="97">
        <f>IF($A24="","",$L$63*$D24)</f>
        <v/>
      </c>
      <c r="Y24" s="96">
        <f>IF($A24="","",$M24-$E$64-$F$64)</f>
        <v/>
      </c>
      <c r="Z24" s="97">
        <f>IF($A24="","",$L$64*$D24)</f>
        <v/>
      </c>
      <c r="AA24" s="96">
        <f>IF($A24="","",$B24-$E$65-$F$65)</f>
        <v/>
      </c>
      <c r="AB24" s="97">
        <f>IF($A24="","",$L$65*$D24)</f>
        <v/>
      </c>
      <c r="AC24" s="96">
        <f>IF($A24="","",$C24-$E$66-$F$66)</f>
        <v/>
      </c>
      <c r="AD24" s="97">
        <f>IF($A24="","",$L$66*$D24)</f>
        <v/>
      </c>
      <c r="AE24" s="96">
        <f>IF($A24="","",$B24-$E$67-$F$67)</f>
        <v/>
      </c>
      <c r="AF24" s="97">
        <f>IF($A24="","",$L$67*$D24)</f>
        <v/>
      </c>
      <c r="AG24" s="96">
        <f>IF($A24="","",$U24)</f>
        <v/>
      </c>
      <c r="AH24" s="97">
        <f>IF($A24="","",$L$68*$D24)</f>
        <v/>
      </c>
      <c r="AI24" s="96">
        <f>IF($A24="","",$C24)</f>
        <v/>
      </c>
      <c r="AJ24" s="97">
        <f>IF($A24="","",$L$69*$D24)</f>
        <v/>
      </c>
      <c r="AK24" s="96">
        <f>IF($A24="","",$C24-$E$70-$F$70)</f>
        <v/>
      </c>
      <c r="AL24" s="97">
        <f>IF($A24="","",$L$70*$D24)</f>
        <v/>
      </c>
      <c r="AM24" s="93">
        <f>IF($A24="","",$M24-68-68)</f>
        <v/>
      </c>
      <c r="AN24" s="94">
        <f>IF($A24="","",$O24-68-68)</f>
        <v/>
      </c>
      <c r="AO24" s="95">
        <f>IF($A24="","",2*$D24)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IF($A25="","",$C25-$E$56-$F$56)</f>
        <v/>
      </c>
      <c r="J25" s="89">
        <f>IF($A25="","",$L$56*$D25)</f>
        <v/>
      </c>
      <c r="K25" s="91">
        <f>IF($A25="","",$C25)</f>
        <v/>
      </c>
      <c r="L25" s="89">
        <f>IF($A25="","",$L$57*$D25)</f>
        <v/>
      </c>
      <c r="M25" s="91">
        <f>IF($A25="","",$B25-$E$58-$F$58-$G$58)</f>
        <v/>
      </c>
      <c r="N25" s="89">
        <f>IF($A25="","",$L$58*$D25)</f>
        <v/>
      </c>
      <c r="O25" s="91">
        <f>IF($A25="","",(($C25-$E$59-$F$59-$G$59-$H$59-$I$59)/2)+(78*1)/2)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IF($A25="","",$O25-$E$61-$F$61)</f>
        <v/>
      </c>
      <c r="T25" s="89">
        <f>IF($A25="","",$L$61*$D25)</f>
        <v/>
      </c>
      <c r="U25" s="91">
        <f>IF($A25="","",$M25)</f>
        <v/>
      </c>
      <c r="V25" s="89">
        <f>IF($A25="","",$L$62*$D25)</f>
        <v/>
      </c>
      <c r="W25" s="91">
        <f>IF($A25="","",$M25)</f>
        <v/>
      </c>
      <c r="X25" s="89">
        <f>IF($A25="","",$L$63*$D25)</f>
        <v/>
      </c>
      <c r="Y25" s="91">
        <f>IF($A25="","",$M25-$E$64-$F$64)</f>
        <v/>
      </c>
      <c r="Z25" s="89">
        <f>IF($A25="","",$L$64*$D25)</f>
        <v/>
      </c>
      <c r="AA25" s="91">
        <f>IF($A25="","",$B25-$E$65-$F$65)</f>
        <v/>
      </c>
      <c r="AB25" s="89">
        <f>IF($A25="","",$L$65*$D25)</f>
        <v/>
      </c>
      <c r="AC25" s="91">
        <f>IF($A25="","",$C25-$E$66-$F$66)</f>
        <v/>
      </c>
      <c r="AD25" s="89">
        <f>IF($A25="","",$L$66*$D25)</f>
        <v/>
      </c>
      <c r="AE25" s="91">
        <f>IF($A25="","",$B25-$E$67-$F$67)</f>
        <v/>
      </c>
      <c r="AF25" s="89">
        <f>IF($A25="","",$L$67*$D25)</f>
        <v/>
      </c>
      <c r="AG25" s="91">
        <f>IF($A25="","",$U25)</f>
        <v/>
      </c>
      <c r="AH25" s="89">
        <f>IF($A25="","",$L$68*$D25)</f>
        <v/>
      </c>
      <c r="AI25" s="91">
        <f>IF($A25="","",$C25)</f>
        <v/>
      </c>
      <c r="AJ25" s="89">
        <f>IF($A25="","",$L$69*$D25)</f>
        <v/>
      </c>
      <c r="AK25" s="91">
        <f>IF($A25="","",$C25-$E$70-$F$70)</f>
        <v/>
      </c>
      <c r="AL25" s="89">
        <f>IF($A25="","",$L$70*$D25)</f>
        <v/>
      </c>
      <c r="AM25" s="93">
        <f>IF($A25="","",$M25-68-68)</f>
        <v/>
      </c>
      <c r="AN25" s="94">
        <f>IF($A25="","",$O25-68-68)</f>
        <v/>
      </c>
      <c r="AO25" s="95">
        <f>IF($A25="","",2*$D25)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IF($A26="","",$C26-$E$56-$F$56)</f>
        <v/>
      </c>
      <c r="J26" s="97">
        <f>IF($A26="","",$L$56*$D26)</f>
        <v/>
      </c>
      <c r="K26" s="96">
        <f>IF($A26="","",$C26)</f>
        <v/>
      </c>
      <c r="L26" s="97">
        <f>IF($A26="","",$L$57*$D26)</f>
        <v/>
      </c>
      <c r="M26" s="96">
        <f>IF($A26="","",$B26-$E$58-$F$58-$G$58)</f>
        <v/>
      </c>
      <c r="N26" s="97">
        <f>IF($A26="","",$L$58*$D26)</f>
        <v/>
      </c>
      <c r="O26" s="96">
        <f>IF($A26="","",(($C26-$E$59-$F$59-$G$59-$H$59-$I$59)/2)+(78*1)/2)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IF($A26="","",$O26-$E$61-$F$61)</f>
        <v/>
      </c>
      <c r="T26" s="97">
        <f>IF($A26="","",$L$61*$D26)</f>
        <v/>
      </c>
      <c r="U26" s="96">
        <f>IF($A26="","",$M26)</f>
        <v/>
      </c>
      <c r="V26" s="97">
        <f>IF($A26="","",$L$62*$D26)</f>
        <v/>
      </c>
      <c r="W26" s="96">
        <f>IF($A26="","",$M26)</f>
        <v/>
      </c>
      <c r="X26" s="97">
        <f>IF($A26="","",$L$63*$D26)</f>
        <v/>
      </c>
      <c r="Y26" s="96">
        <f>IF($A26="","",$M26-$E$64-$F$64)</f>
        <v/>
      </c>
      <c r="Z26" s="97">
        <f>IF($A26="","",$L$64*$D26)</f>
        <v/>
      </c>
      <c r="AA26" s="96">
        <f>IF($A26="","",$B26-$E$65-$F$65)</f>
        <v/>
      </c>
      <c r="AB26" s="97">
        <f>IF($A26="","",$L$65*$D26)</f>
        <v/>
      </c>
      <c r="AC26" s="96">
        <f>IF($A26="","",$C26-$E$66-$F$66)</f>
        <v/>
      </c>
      <c r="AD26" s="97">
        <f>IF($A26="","",$L$66*$D26)</f>
        <v/>
      </c>
      <c r="AE26" s="96">
        <f>IF($A26="","",$B26-$E$67-$F$67)</f>
        <v/>
      </c>
      <c r="AF26" s="97">
        <f>IF($A26="","",$L$67*$D26)</f>
        <v/>
      </c>
      <c r="AG26" s="96">
        <f>IF($A26="","",$U26)</f>
        <v/>
      </c>
      <c r="AH26" s="97">
        <f>IF($A26="","",$L$68*$D26)</f>
        <v/>
      </c>
      <c r="AI26" s="96">
        <f>IF($A26="","",$C26)</f>
        <v/>
      </c>
      <c r="AJ26" s="97">
        <f>IF($A26="","",$L$69*$D26)</f>
        <v/>
      </c>
      <c r="AK26" s="96">
        <f>IF($A26="","",$C26-$E$70-$F$70)</f>
        <v/>
      </c>
      <c r="AL26" s="97">
        <f>IF($A26="","",$L$70*$D26)</f>
        <v/>
      </c>
      <c r="AM26" s="93">
        <f>IF($A26="","",$M26-68-68)</f>
        <v/>
      </c>
      <c r="AN26" s="94">
        <f>IF($A26="","",$O26-68-68)</f>
        <v/>
      </c>
      <c r="AO26" s="95">
        <f>IF($A26="","",2*$D26)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IF($A27="","",$C27-$E$56-$F$56)</f>
        <v/>
      </c>
      <c r="J27" s="89">
        <f>IF($A27="","",$L$56*$D27)</f>
        <v/>
      </c>
      <c r="K27" s="91">
        <f>IF($A27="","",$C27)</f>
        <v/>
      </c>
      <c r="L27" s="89">
        <f>IF($A27="","",$L$57*$D27)</f>
        <v/>
      </c>
      <c r="M27" s="91">
        <f>IF($A27="","",$B27-$E$58-$F$58-$G$58)</f>
        <v/>
      </c>
      <c r="N27" s="89">
        <f>IF($A27="","",$L$58*$D27)</f>
        <v/>
      </c>
      <c r="O27" s="91">
        <f>IF($A27="","",(($C27-$E$59-$F$59-$G$59-$H$59-$I$59)/2)+(78*1)/2)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IF($A27="","",$O27-$E$61-$F$61)</f>
        <v/>
      </c>
      <c r="T27" s="89">
        <f>IF($A27="","",$L$61*$D27)</f>
        <v/>
      </c>
      <c r="U27" s="91">
        <f>IF($A27="","",$M27)</f>
        <v/>
      </c>
      <c r="V27" s="89">
        <f>IF($A27="","",$L$62*$D27)</f>
        <v/>
      </c>
      <c r="W27" s="91">
        <f>IF($A27="","",$M27)</f>
        <v/>
      </c>
      <c r="X27" s="89">
        <f>IF($A27="","",$L$63*$D27)</f>
        <v/>
      </c>
      <c r="Y27" s="91">
        <f>IF($A27="","",$M27-$E$64-$F$64)</f>
        <v/>
      </c>
      <c r="Z27" s="89">
        <f>IF($A27="","",$L$64*$D27)</f>
        <v/>
      </c>
      <c r="AA27" s="91">
        <f>IF($A27="","",$B27-$E$65-$F$65)</f>
        <v/>
      </c>
      <c r="AB27" s="89">
        <f>IF($A27="","",$L$65*$D27)</f>
        <v/>
      </c>
      <c r="AC27" s="91">
        <f>IF($A27="","",$C27-$E$66-$F$66)</f>
        <v/>
      </c>
      <c r="AD27" s="89">
        <f>IF($A27="","",$L$66*$D27)</f>
        <v/>
      </c>
      <c r="AE27" s="91">
        <f>IF($A27="","",$B27-$E$67-$F$67)</f>
        <v/>
      </c>
      <c r="AF27" s="89">
        <f>IF($A27="","",$L$67*$D27)</f>
        <v/>
      </c>
      <c r="AG27" s="91">
        <f>IF($A27="","",$U27)</f>
        <v/>
      </c>
      <c r="AH27" s="89">
        <f>IF($A27="","",$L$68*$D27)</f>
        <v/>
      </c>
      <c r="AI27" s="91">
        <f>IF($A27="","",$C27)</f>
        <v/>
      </c>
      <c r="AJ27" s="89">
        <f>IF($A27="","",$L$69*$D27)</f>
        <v/>
      </c>
      <c r="AK27" s="91">
        <f>IF($A27="","",$C27-$E$70-$F$70)</f>
        <v/>
      </c>
      <c r="AL27" s="89">
        <f>IF($A27="","",$L$70*$D27)</f>
        <v/>
      </c>
      <c r="AM27" s="93">
        <f>IF($A27="","",$M27-68-68)</f>
        <v/>
      </c>
      <c r="AN27" s="94">
        <f>IF($A27="","",$O27-68-68)</f>
        <v/>
      </c>
      <c r="AO27" s="95">
        <f>IF($A27="","",2*$D27)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IF($A28="","",$C28-$E$56-$F$56)</f>
        <v/>
      </c>
      <c r="J28" s="97">
        <f>IF($A28="","",$L$56*$D28)</f>
        <v/>
      </c>
      <c r="K28" s="96">
        <f>IF($A28="","",$C28)</f>
        <v/>
      </c>
      <c r="L28" s="97">
        <f>IF($A28="","",$L$57*$D28)</f>
        <v/>
      </c>
      <c r="M28" s="96">
        <f>IF($A28="","",$B28-$E$58-$F$58-$G$58)</f>
        <v/>
      </c>
      <c r="N28" s="97">
        <f>IF($A28="","",$L$58*$D28)</f>
        <v/>
      </c>
      <c r="O28" s="96">
        <f>IF($A28="","",(($C28-$E$59-$F$59-$G$59-$H$59-$I$59)/2)+(78*1)/2)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IF($A28="","",$O28-$E$61-$F$61)</f>
        <v/>
      </c>
      <c r="T28" s="97">
        <f>IF($A28="","",$L$61*$D28)</f>
        <v/>
      </c>
      <c r="U28" s="96">
        <f>IF($A28="","",$M28)</f>
        <v/>
      </c>
      <c r="V28" s="97">
        <f>IF($A28="","",$L$62*$D28)</f>
        <v/>
      </c>
      <c r="W28" s="96">
        <f>IF($A28="","",$M28)</f>
        <v/>
      </c>
      <c r="X28" s="97">
        <f>IF($A28="","",$L$63*$D28)</f>
        <v/>
      </c>
      <c r="Y28" s="96">
        <f>IF($A28="","",$M28-$E$64-$F$64)</f>
        <v/>
      </c>
      <c r="Z28" s="97">
        <f>IF($A28="","",$L$64*$D28)</f>
        <v/>
      </c>
      <c r="AA28" s="96">
        <f>IF($A28="","",$B28-$E$65-$F$65)</f>
        <v/>
      </c>
      <c r="AB28" s="97">
        <f>IF($A28="","",$L$65*$D28)</f>
        <v/>
      </c>
      <c r="AC28" s="96">
        <f>IF($A28="","",$C28-$E$66-$F$66)</f>
        <v/>
      </c>
      <c r="AD28" s="97">
        <f>IF($A28="","",$L$66*$D28)</f>
        <v/>
      </c>
      <c r="AE28" s="96">
        <f>IF($A28="","",$B28-$E$67-$F$67)</f>
        <v/>
      </c>
      <c r="AF28" s="97">
        <f>IF($A28="","",$L$67*$D28)</f>
        <v/>
      </c>
      <c r="AG28" s="96">
        <f>IF($A28="","",$U28)</f>
        <v/>
      </c>
      <c r="AH28" s="97">
        <f>IF($A28="","",$L$68*$D28)</f>
        <v/>
      </c>
      <c r="AI28" s="96">
        <f>IF($A28="","",$C28)</f>
        <v/>
      </c>
      <c r="AJ28" s="97">
        <f>IF($A28="","",$L$69*$D28)</f>
        <v/>
      </c>
      <c r="AK28" s="96">
        <f>IF($A28="","",$C28-$E$70-$F$70)</f>
        <v/>
      </c>
      <c r="AL28" s="97">
        <f>IF($A28="","",$L$70*$D28)</f>
        <v/>
      </c>
      <c r="AM28" s="93">
        <f>IF($A28="","",$M28-68-68)</f>
        <v/>
      </c>
      <c r="AN28" s="94">
        <f>IF($A28="","",$O28-68-68)</f>
        <v/>
      </c>
      <c r="AO28" s="95">
        <f>IF($A28="","",2*$D28)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(ROUNDUP(L49/6400,0))</f>
        <v/>
      </c>
      <c r="M30" s="72">
        <f>M$7</f>
        <v/>
      </c>
      <c r="N30" s="20" t="n"/>
      <c r="O30" s="21" t="n"/>
      <c r="P30" s="72">
        <f>(ROUNDUP(SUM(N49:P49)/6400,0))</f>
        <v/>
      </c>
      <c r="Q30" s="72">
        <f>Q$7</f>
        <v/>
      </c>
      <c r="R30" s="20" t="n"/>
      <c r="S30" s="21" t="n"/>
      <c r="T30" s="72">
        <f>(ROUNDUP(SUM(R49:T49)/6400,0))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(ROUNDUP(X49/6400,0))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(ROUNDUP(AD49/5000,0))</f>
        <v/>
      </c>
      <c r="AE30" s="72">
        <f>AE$7</f>
        <v/>
      </c>
      <c r="AF30" s="20" t="n"/>
      <c r="AG30" s="20" t="n"/>
      <c r="AH30" s="20" t="n"/>
      <c r="AI30" s="21" t="n"/>
      <c r="AJ30" s="72">
        <f>(ROUNDUP(SUM(AF49:AJ49)/6400,0))</f>
        <v/>
      </c>
      <c r="AK30" s="72">
        <f>AK$7</f>
        <v/>
      </c>
      <c r="AL30" s="72">
        <f>(ROUNDUP(AL49/5000,0))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  <c r="AK31" s="73" t="n"/>
      <c r="AL31" s="73">
        <f>IF($A11="","",AL11*AK11)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  <c r="AK32" s="73" t="n"/>
      <c r="AL32" s="73">
        <f>IF($A12="","",AL12*AK12)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  <c r="AK33" s="73" t="n"/>
      <c r="AL33" s="73">
        <f>IF($A13="","",AL13*AK13)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  <c r="AK34" s="73" t="n"/>
      <c r="AL34" s="73">
        <f>IF($A14="","",AL14*AK14)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  <c r="AK35" s="73" t="n"/>
      <c r="AL35" s="73">
        <f>IF($A15="","",AL15*AK15)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  <c r="AK36" s="73" t="n"/>
      <c r="AL36" s="73">
        <f>IF($A16="","",AL16*AK16)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  <c r="AK37" s="73" t="n"/>
      <c r="AL37" s="73">
        <f>IF($A17="","",AL17*AK17)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  <c r="AK38" s="73" t="n"/>
      <c r="AL38" s="73">
        <f>IF($A18="","",AL18*AK18)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  <c r="AK39" s="73" t="n"/>
      <c r="AL39" s="73">
        <f>IF($A19="","",AL19*AK19)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  <c r="AK40" s="73" t="n"/>
      <c r="AL40" s="73">
        <f>IF($A20="","",AL20*AK20)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  <c r="AK41" s="73" t="n"/>
      <c r="AL41" s="73">
        <f>IF($A21="","",AL21*AK21)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  <c r="AK42" s="73" t="n"/>
      <c r="AL42" s="73">
        <f>IF($A22="","",AL22*AK22)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  <c r="AK43" s="73" t="n"/>
      <c r="AL43" s="73">
        <f>IF($A23="","",AL23*AK23)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  <c r="AK44" s="73" t="n"/>
      <c r="AL44" s="73">
        <f>IF($A24="","",AL24*AK24)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  <c r="AK45" s="73" t="n"/>
      <c r="AL45" s="73">
        <f>IF($A25="","",AL25*AK25)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  <c r="AK46" s="73" t="n"/>
      <c r="AL46" s="73">
        <f>IF($A26="","",AL26*AK26)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  <c r="AK47" s="73" t="n"/>
      <c r="AL47" s="73">
        <f>IF($A27="","",AL27*AK27)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  <c r="AK48" s="73" t="n"/>
      <c r="AL48" s="73">
        <f>IF($A28="","",AL28*AK28)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O49" s="74" t="n"/>
      <c r="P49" s="74">
        <f>SUMIF(P31:P48,"&gt;0")</f>
        <v/>
      </c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  <c r="AK49" s="74" t="n"/>
      <c r="AL49" s="74">
        <f>SUMIF(AL31:AL48,"&gt;0")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1</v>
      </c>
      <c r="M55" s="82" t="n"/>
    </row>
    <row r="56" ht="44" customHeight="1">
      <c r="A56" s="78" t="n">
        <v>3</v>
      </c>
      <c r="B56" s="79" t="inlineStr">
        <is>
          <t>เฟรม-ล่าง</t>
        </is>
      </c>
      <c r="C56" s="80" t="inlineStr">
        <is>
          <t>F7902</t>
        </is>
      </c>
      <c r="D56" s="81" t="inlineStr">
        <is>
          <t>กว้าง-21-21</t>
        </is>
      </c>
      <c r="E56" s="83" t="n">
        <v>21</v>
      </c>
      <c r="F56" s="83" t="n">
        <v>21</v>
      </c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ตบกันสาด</t>
        </is>
      </c>
      <c r="C57" s="80" t="inlineStr">
        <is>
          <t>F7992</t>
        </is>
      </c>
      <c r="D57" s="81" t="inlineStr">
        <is>
          <t>กว้าง</t>
        </is>
      </c>
      <c r="E57" s="82" t="n"/>
      <c r="F57" s="82" t="n"/>
      <c r="G57" s="82" t="n"/>
      <c r="H57" s="82" t="n"/>
      <c r="I57" s="82" t="n"/>
      <c r="J57" s="82" t="n"/>
      <c r="K57" s="82" t="n"/>
      <c r="L57" s="83" t="n">
        <v>1</v>
      </c>
      <c r="M57" s="82" t="n"/>
    </row>
    <row r="58" ht="44" customHeight="1">
      <c r="A58" s="78" t="n">
        <v>5</v>
      </c>
      <c r="B58" s="79" t="inlineStr">
        <is>
          <t>เสา</t>
        </is>
      </c>
      <c r="C58" s="80" t="inlineStr">
        <is>
          <t>F7980</t>
        </is>
      </c>
      <c r="D58" s="81" t="inlineStr">
        <is>
          <t>สูง-14-13-21</t>
        </is>
      </c>
      <c r="E58" s="83" t="n">
        <v>14</v>
      </c>
      <c r="F58" s="83" t="n">
        <v>13</v>
      </c>
      <c r="G58" s="83" t="n">
        <v>21</v>
      </c>
      <c r="H58" s="82" t="n"/>
      <c r="I58" s="82" t="n"/>
      <c r="J58" s="82" t="n"/>
      <c r="K58" s="82" t="n"/>
      <c r="L58" s="83" t="n">
        <v>6</v>
      </c>
      <c r="M58" s="82" t="n"/>
    </row>
    <row r="59" ht="15" customHeight="1">
      <c r="A59" s="78" t="n">
        <v>6</v>
      </c>
      <c r="B59" s="79" t="inlineStr">
        <is>
          <t>ขวาง</t>
        </is>
      </c>
      <c r="C59" s="80" t="inlineStr">
        <is>
          <t>-</t>
        </is>
      </c>
      <c r="D59" s="81" t="inlineStr">
        <is>
          <t>((กว้าง-21-3-3--1.221)/2)+(78x1/2)</t>
        </is>
      </c>
      <c r="E59" s="83" t="n">
        <v>21</v>
      </c>
      <c r="F59" s="83" t="n">
        <v>3</v>
      </c>
      <c r="G59" s="83" t="n">
        <v>3</v>
      </c>
      <c r="H59" s="83" t="n">
        <v>1.2</v>
      </c>
      <c r="I59" s="83" t="n">
        <v>21</v>
      </c>
      <c r="J59" s="82" t="n"/>
      <c r="K59" s="82" t="n"/>
      <c r="L59" s="83" t="n">
        <v>6</v>
      </c>
      <c r="M59" s="82" t="n"/>
    </row>
    <row r="60" ht="44" customHeight="1">
      <c r="A60" s="78" t="n">
        <v>7</v>
      </c>
      <c r="B60" s="79" t="inlineStr">
        <is>
          <t>คิ้ว ตั้ง</t>
        </is>
      </c>
      <c r="C60" s="80" t="inlineStr">
        <is>
          <t>F7919</t>
        </is>
      </c>
      <c r="D60" s="81" t="inlineStr">
        <is>
          <t>เสา-78-78</t>
        </is>
      </c>
      <c r="E60" s="83" t="n">
        <v>78</v>
      </c>
      <c r="F60" s="83" t="n">
        <v>78</v>
      </c>
      <c r="G60" s="82" t="n"/>
      <c r="H60" s="82" t="n"/>
      <c r="I60" s="82" t="n"/>
      <c r="J60" s="82" t="n"/>
      <c r="K60" s="82" t="n"/>
      <c r="L60" s="83" t="n">
        <v>6</v>
      </c>
      <c r="M60" s="82" t="n"/>
    </row>
    <row r="61" ht="15" customHeight="1">
      <c r="A61" s="78" t="n">
        <v>8</v>
      </c>
      <c r="B61" s="79" t="inlineStr">
        <is>
          <t>คิ้ว ขวาง</t>
        </is>
      </c>
      <c r="C61" s="80" t="inlineStr">
        <is>
          <t>-</t>
        </is>
      </c>
      <c r="D61" s="81" t="inlineStr">
        <is>
          <t>ขวาง-63-63</t>
        </is>
      </c>
      <c r="E61" s="83" t="n">
        <v>63</v>
      </c>
      <c r="F61" s="83" t="n">
        <v>63</v>
      </c>
      <c r="G61" s="82" t="n"/>
      <c r="H61" s="82" t="n"/>
      <c r="I61" s="82" t="n"/>
      <c r="J61" s="82" t="n"/>
      <c r="K61" s="82" t="n"/>
      <c r="L61" s="83" t="n">
        <v>6</v>
      </c>
      <c r="M61" s="82" t="n"/>
    </row>
    <row r="62" ht="44" customHeight="1">
      <c r="A62" s="78" t="n">
        <v>9</v>
      </c>
      <c r="B62" s="79" t="inlineStr">
        <is>
          <t>ตบเกี่ยว</t>
        </is>
      </c>
      <c r="C62" s="80" t="inlineStr">
        <is>
          <t>F7983</t>
        </is>
      </c>
      <c r="D62" s="81" t="inlineStr">
        <is>
          <t>สูงกรอบบาน</t>
        </is>
      </c>
      <c r="E62" s="82" t="n"/>
      <c r="F62" s="82" t="n"/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ต่อราง</t>
        </is>
      </c>
      <c r="C63" s="80" t="inlineStr">
        <is>
          <t>F7985</t>
        </is>
      </c>
      <c r="D63" s="81" t="inlineStr">
        <is>
          <t>สูง-45-45</t>
        </is>
      </c>
      <c r="E63" s="82" t="n"/>
      <c r="F63" s="82" t="n"/>
      <c r="G63" s="82" t="n"/>
      <c r="H63" s="82" t="n"/>
      <c r="I63" s="82" t="n"/>
      <c r="J63" s="82" t="n"/>
      <c r="K63" s="82" t="n"/>
      <c r="L63" s="83" t="n">
        <v>1</v>
      </c>
      <c r="M63" s="82" t="n"/>
    </row>
    <row r="64" ht="44" customHeight="1">
      <c r="A64" s="78" t="n">
        <v>11</v>
      </c>
      <c r="B64" s="79" t="inlineStr">
        <is>
          <t>ซอยกลาง</t>
        </is>
      </c>
      <c r="C64" s="80" t="inlineStr">
        <is>
          <t>F7966</t>
        </is>
      </c>
      <c r="D64" s="81" t="inlineStr">
        <is>
          <t>สูงS-63-63</t>
        </is>
      </c>
      <c r="E64" s="83" t="n">
        <v>63</v>
      </c>
      <c r="F64" s="83" t="n">
        <v>63</v>
      </c>
      <c r="G64" s="82" t="n"/>
      <c r="H64" s="82" t="n"/>
      <c r="I64" s="82" t="n"/>
      <c r="J64" s="82" t="n"/>
      <c r="K64" s="82" t="n"/>
      <c r="L64" s="83" t="n">
        <v>1</v>
      </c>
      <c r="M64" s="82" t="n"/>
    </row>
    <row r="65" ht="44" customHeight="1">
      <c r="A65" s="78" t="n">
        <v>12</v>
      </c>
      <c r="B65" s="79" t="inlineStr">
        <is>
          <t>ยูข้าง</t>
        </is>
      </c>
      <c r="C65" s="80" t="inlineStr">
        <is>
          <t>F7986</t>
        </is>
      </c>
      <c r="D65" s="81" t="inlineStr">
        <is>
          <t>สูง-45-45</t>
        </is>
      </c>
      <c r="E65" s="83" t="n">
        <v>45</v>
      </c>
      <c r="F65" s="83" t="n">
        <v>45</v>
      </c>
      <c r="G65" s="82" t="n"/>
      <c r="H65" s="82" t="n"/>
      <c r="I65" s="82" t="n"/>
      <c r="J65" s="82" t="n"/>
      <c r="K65" s="82" t="n"/>
      <c r="L65" s="83" t="n">
        <v>3</v>
      </c>
      <c r="M65" s="82" t="n"/>
    </row>
    <row r="66" ht="44" customHeight="1">
      <c r="A66" s="78" t="n">
        <v>13</v>
      </c>
      <c r="B66" s="79" t="inlineStr">
        <is>
          <t>ตบเฟรมบน</t>
        </is>
      </c>
      <c r="C66" s="80" t="inlineStr">
        <is>
          <t>F7993</t>
        </is>
      </c>
      <c r="D66" s="81" t="inlineStr">
        <is>
          <t>เท่าเฟรมบน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3</v>
      </c>
      <c r="M66" s="82" t="n"/>
    </row>
    <row r="67" ht="44" customHeight="1">
      <c r="A67" s="78" t="n">
        <v>14</v>
      </c>
      <c r="B67" s="79" t="inlineStr">
        <is>
          <t>ตบยูข้าง</t>
        </is>
      </c>
      <c r="C67" s="80" t="inlineStr">
        <is>
          <t>F7988</t>
        </is>
      </c>
      <c r="D67" s="81" t="inlineStr">
        <is>
          <t>สูง-45-45</t>
        </is>
      </c>
      <c r="E67" s="83" t="n">
        <v>45</v>
      </c>
      <c r="F67" s="83" t="n">
        <v>45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15" customHeight="1">
      <c r="A68" s="78" t="n">
        <v>15</v>
      </c>
      <c r="B68" s="79" t="inlineStr">
        <is>
          <t>ปิดตบเกี่ยว</t>
        </is>
      </c>
      <c r="C68" s="80" t="inlineStr">
        <is>
          <t>-</t>
        </is>
      </c>
      <c r="D68" s="81" t="inlineStr">
        <is>
          <t>สูงกรอบบาน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4</v>
      </c>
      <c r="M68" s="82" t="n"/>
    </row>
    <row r="69" ht="15" customHeight="1">
      <c r="A69" s="78" t="n">
        <v>16</v>
      </c>
      <c r="B69" s="79" t="inlineStr">
        <is>
          <t>ตบกันสาด</t>
        </is>
      </c>
      <c r="C69" s="80" t="inlineStr">
        <is>
          <t>-</t>
        </is>
      </c>
      <c r="D69" s="81" t="inlineStr">
        <is>
          <t>กว้าง</t>
        </is>
      </c>
      <c r="E69" s="82" t="n"/>
      <c r="F69" s="82" t="n"/>
      <c r="G69" s="82" t="n"/>
      <c r="H69" s="82" t="n"/>
      <c r="I69" s="82" t="n"/>
      <c r="J69" s="82" t="n"/>
      <c r="K69" s="82" t="n"/>
      <c r="L69" s="83" t="n">
        <v>1</v>
      </c>
      <c r="M69" s="82" t="n"/>
    </row>
    <row r="70" ht="44" customHeight="1">
      <c r="A70" s="78" t="n">
        <v>17</v>
      </c>
      <c r="B70" s="79" t="inlineStr">
        <is>
          <t>ราง</t>
        </is>
      </c>
      <c r="C70" s="80" t="inlineStr">
        <is>
          <t>F7994</t>
        </is>
      </c>
      <c r="D70" s="81" t="inlineStr">
        <is>
          <t>เท่าเฟรมล่าง</t>
        </is>
      </c>
      <c r="E70" s="83" t="n">
        <v>21</v>
      </c>
      <c r="F70" s="83" t="n">
        <v>21</v>
      </c>
      <c r="G70" s="82" t="n"/>
      <c r="H70" s="82" t="n"/>
      <c r="I70" s="82" t="n"/>
      <c r="J70" s="82" t="n"/>
      <c r="K70" s="82" t="n"/>
      <c r="L70" s="83" t="n">
        <v>3</v>
      </c>
      <c r="M70" s="82" t="n"/>
    </row>
    <row r="72">
      <c r="A72" s="123" t="inlineStr">
        <is>
          <t>⑥ อุปกรณ์ ต่อ 1 บาน — คูณจำนวนบานที่ผลิต</t>
        </is>
      </c>
      <c r="B72" s="131" t="n"/>
      <c r="C72" s="131" t="n"/>
      <c r="D72" s="131" t="n"/>
      <c r="E72" s="132" t="n"/>
      <c r="F72" s="124" t="inlineStr">
        <is>
          <t>ต่อบาน</t>
        </is>
      </c>
    </row>
    <row r="73">
      <c r="A73" s="125" t="inlineStr">
        <is>
          <t>1. ล้อ 27</t>
        </is>
      </c>
      <c r="B73" s="131" t="n"/>
      <c r="C73" s="131" t="n"/>
      <c r="D73" s="131" t="n"/>
      <c r="E73" s="132" t="n"/>
      <c r="F73" s="126" t="n">
        <v>2</v>
      </c>
    </row>
    <row r="74">
      <c r="A74" s="125" t="inlineStr">
        <is>
          <t>2. มือจับ Align</t>
        </is>
      </c>
      <c r="B74" s="131" t="n"/>
      <c r="C74" s="131" t="n"/>
      <c r="D74" s="131" t="n"/>
      <c r="E74" s="132" t="n"/>
      <c r="F74" s="126" t="n">
        <v>2</v>
      </c>
    </row>
    <row r="75">
      <c r="A75" s="125" t="inlineStr">
        <is>
          <t>3. ชุดล็อค</t>
        </is>
      </c>
      <c r="B75" s="131" t="n"/>
      <c r="C75" s="131" t="n"/>
      <c r="D75" s="131" t="n"/>
      <c r="E75" s="132" t="n"/>
      <c r="F75" s="126" t="n">
        <v>1</v>
      </c>
    </row>
    <row r="76">
      <c r="A76" s="125" t="inlineStr">
        <is>
          <t>4. น็อตประกอบ</t>
        </is>
      </c>
      <c r="B76" s="131" t="n"/>
      <c r="C76" s="131" t="n"/>
      <c r="D76" s="131" t="n"/>
      <c r="E76" s="132" t="n"/>
      <c r="F76" s="126" t="n">
        <v>4</v>
      </c>
    </row>
    <row r="77">
      <c r="A77" s="127" t="inlineStr">
        <is>
          <t>+ สักหลาด/ยาง/ซิลิโคน = ตามขนาด (ดูชีทคิดทุน)</t>
        </is>
      </c>
      <c r="B77" s="131" t="n"/>
      <c r="C77" s="131" t="n"/>
      <c r="D77" s="131" t="n"/>
      <c r="E77" s="131" t="n"/>
      <c r="F77" s="132" t="n"/>
    </row>
  </sheetData>
  <mergeCells count="79">
    <mergeCell ref="AK7:AL7"/>
    <mergeCell ref="O6:P6"/>
    <mergeCell ref="E8:F8"/>
    <mergeCell ref="Q7:T7"/>
    <mergeCell ref="AC8:AD8"/>
    <mergeCell ref="AE8:AF8"/>
    <mergeCell ref="Y7:Z7"/>
    <mergeCell ref="AA7:AB7"/>
    <mergeCell ref="D8:D9"/>
    <mergeCell ref="A7:D7"/>
    <mergeCell ref="Q9:R9"/>
    <mergeCell ref="S9:T9"/>
    <mergeCell ref="M8:N8"/>
    <mergeCell ref="AC9:AD9"/>
    <mergeCell ref="O8:P8"/>
    <mergeCell ref="AE9:AF9"/>
    <mergeCell ref="AE7:AJ7"/>
    <mergeCell ref="I6:J6"/>
    <mergeCell ref="U6:V6"/>
    <mergeCell ref="W6:X6"/>
    <mergeCell ref="AK9:AL9"/>
    <mergeCell ref="G7:H7"/>
    <mergeCell ref="AA6:AB6"/>
    <mergeCell ref="I7:J7"/>
    <mergeCell ref="A30:D30"/>
    <mergeCell ref="A75:E75"/>
    <mergeCell ref="U7:V7"/>
    <mergeCell ref="W7:X7"/>
    <mergeCell ref="A8:A9"/>
    <mergeCell ref="I8:J8"/>
    <mergeCell ref="U8:V8"/>
    <mergeCell ref="W8:X8"/>
    <mergeCell ref="M7:P7"/>
    <mergeCell ref="Y8:Z8"/>
    <mergeCell ref="K6:L6"/>
    <mergeCell ref="G9:H9"/>
    <mergeCell ref="AA8:AB8"/>
    <mergeCell ref="I9:J9"/>
    <mergeCell ref="U9:V9"/>
    <mergeCell ref="A73:E73"/>
    <mergeCell ref="K9:L9"/>
    <mergeCell ref="M9:N9"/>
    <mergeCell ref="O9:P9"/>
    <mergeCell ref="M30:O30"/>
    <mergeCell ref="Y9:Z9"/>
    <mergeCell ref="AA9:AB9"/>
    <mergeCell ref="AG6:AH6"/>
    <mergeCell ref="AI6:AJ6"/>
    <mergeCell ref="Q30:S30"/>
    <mergeCell ref="E6:F6"/>
    <mergeCell ref="K8:L8"/>
    <mergeCell ref="Q6:R6"/>
    <mergeCell ref="S6:T6"/>
    <mergeCell ref="K7:L7"/>
    <mergeCell ref="E7:F7"/>
    <mergeCell ref="AE30:AI30"/>
    <mergeCell ref="A72:E72"/>
    <mergeCell ref="AG8:AH8"/>
    <mergeCell ref="AI8:AJ8"/>
    <mergeCell ref="AC7:AD7"/>
    <mergeCell ref="G8:H8"/>
    <mergeCell ref="Q8:R8"/>
    <mergeCell ref="AG9:AH9"/>
    <mergeCell ref="S8:T8"/>
    <mergeCell ref="AI9:AJ9"/>
    <mergeCell ref="G6:H6"/>
    <mergeCell ref="E9:F9"/>
    <mergeCell ref="A74:E74"/>
    <mergeCell ref="A6:D6"/>
    <mergeCell ref="M6:N6"/>
    <mergeCell ref="A76:E76"/>
    <mergeCell ref="Y6:Z6"/>
    <mergeCell ref="A77:F77"/>
    <mergeCell ref="W9:X9"/>
    <mergeCell ref="B8:C9"/>
    <mergeCell ref="AK6:AL6"/>
    <mergeCell ref="AC6:AD6"/>
    <mergeCell ref="AE6:AF6"/>
    <mergeCell ref="AK8:AL8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73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</cols>
  <sheetData>
    <row r="1" ht="40.15" customHeight="1">
      <c r="A1" s="1" t="inlineStr">
        <is>
          <t>JR ALUMINIUM &amp; GLASS  —  ใบรายการตัด · FUJI เลื่อนสลับ ภายใน   (หน่วย: มม.)</t>
        </is>
      </c>
      <c r="B1" s="2" t="n"/>
      <c r="D1" s="3" t="n"/>
      <c r="E1" s="4" t="n"/>
      <c r="F1" s="3" t="n"/>
      <c r="G1" s="5" t="n"/>
      <c r="H1" s="5" t="n"/>
      <c r="I1" s="5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11" t="n"/>
      <c r="J3" s="11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</row>
    <row r="4" ht="40.15" customHeight="1">
      <c r="A4" s="6" t="n"/>
      <c r="B4" s="6" t="n"/>
      <c r="C4" s="6" t="n"/>
      <c r="D4" s="6" t="n"/>
      <c r="E4" s="8" t="n"/>
      <c r="F4" s="6" t="n"/>
      <c r="K4" s="6" t="n"/>
      <c r="L4" s="6" t="n"/>
      <c r="M4" s="6" t="n"/>
      <c r="N4" s="6" t="n"/>
      <c r="Q4" s="6" t="n"/>
      <c r="R4" s="6" t="n"/>
      <c r="AA4" s="6" t="n"/>
      <c r="AB4" s="6" t="n"/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กว้าง-21-21</t>
        </is>
      </c>
      <c r="J6" s="17" t="n"/>
      <c r="K6" s="16" t="inlineStr">
        <is>
          <t>สูง-14-13-21</t>
        </is>
      </c>
      <c r="L6" s="17" t="n"/>
      <c r="M6" s="16" t="inlineStr">
        <is>
          <t>((กว้าง-21-3-3--1.221)/2)+(78x1/2)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สูง-8-45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สูง-8-45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เท่าเฟรมล่าง</t>
        </is>
      </c>
      <c r="AD6" s="17" t="n"/>
      <c r="AE6" s="16" t="n"/>
      <c r="AF6" s="17" t="n"/>
      <c r="AG6" s="18" t="n"/>
      <c r="AH6" s="18" t="n"/>
      <c r="AI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F7902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5" t="n"/>
      <c r="AC7" s="22" t="inlineStr">
        <is>
          <t>F7994</t>
        </is>
      </c>
      <c r="AD7" s="15" t="n"/>
      <c r="AE7" s="22" t="n"/>
      <c r="AF7" s="15" t="n"/>
      <c r="AG7" s="24" t="n"/>
      <c r="AH7" s="25" t="inlineStr">
        <is>
          <t>ขนาดกระจก</t>
        </is>
      </c>
      <c r="AI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2" t="n"/>
      <c r="L8" s="33" t="n"/>
      <c r="M8" s="34" t="n"/>
      <c r="N8" s="31" t="n"/>
      <c r="O8" s="32" t="n"/>
      <c r="P8" s="33" t="n"/>
      <c r="Q8" s="34" t="n"/>
      <c r="R8" s="31" t="n"/>
      <c r="S8" s="30" t="n"/>
      <c r="T8" s="31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0" t="n"/>
      <c r="AD8" s="31" t="n"/>
      <c r="AE8" s="32" t="n"/>
      <c r="AF8" s="33" t="n"/>
      <c r="AG8" s="36" t="n"/>
      <c r="AH8" s="37" t="inlineStr">
        <is>
          <t>กรอบบาน</t>
        </is>
      </c>
      <c r="AI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4" t="inlineStr">
        <is>
          <t>ราง</t>
        </is>
      </c>
      <c r="AD9" s="43" t="n"/>
      <c r="AE9" s="44" t="n"/>
      <c r="AF9" s="43" t="n"/>
      <c r="AG9" s="45" t="inlineStr">
        <is>
          <t>SH-68-68</t>
        </is>
      </c>
      <c r="AH9" s="46" t="inlineStr">
        <is>
          <t>SW-68-68</t>
        </is>
      </c>
      <c r="AI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</row>
    <row r="11" ht="40.15" customHeight="1">
      <c r="A11" s="99" t="inlineStr">
        <is>
          <t>D1</t>
        </is>
      </c>
      <c r="B11" s="88" t="n">
        <v>3054</v>
      </c>
      <c r="C11" s="89" t="n">
        <v>3054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IF($A11="","",$C11-$E$56-$F$56)</f>
        <v/>
      </c>
      <c r="J11" s="89">
        <f>IF($A11="","",$L$56*$D11)</f>
        <v/>
      </c>
      <c r="K11" s="91">
        <f>IF($A11="","",$B11-$E$57-$F$57-$G$57)</f>
        <v/>
      </c>
      <c r="L11" s="89">
        <f>IF($A11="","",$L$57*$D11)</f>
        <v/>
      </c>
      <c r="M11" s="91">
        <f>IF($A11="","",(($C11-$E$58-$F$58-$G$58-$H$58-$I$58)/2)+(78*1)/2)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IF($A11="","",$K11)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IF($A11="","",$C11-$E$63-$F$63)</f>
        <v/>
      </c>
      <c r="X11" s="89">
        <f>IF($A11="","",$L$63*$D11)</f>
        <v/>
      </c>
      <c r="Y11" s="91">
        <f>IF($A11="","",$B11-$E$64-$F$64)</f>
        <v/>
      </c>
      <c r="Z11" s="89">
        <f>IF($A11="","",$L$64*$D11)</f>
        <v/>
      </c>
      <c r="AA11" s="91">
        <f>IF($A11="","",$S11)</f>
        <v/>
      </c>
      <c r="AB11" s="89">
        <f>IF($A11="","",$L$65*$D11)</f>
        <v/>
      </c>
      <c r="AC11" s="91">
        <f>IF($A11="","",$C11-$E$66-$F$66)</f>
        <v/>
      </c>
      <c r="AD11" s="89">
        <f>IF($A11="","",$L$66*$D11)</f>
        <v/>
      </c>
      <c r="AE11" s="91" t="n"/>
      <c r="AF11" s="89" t="n"/>
      <c r="AG11" s="93">
        <f>IF($A11="","",$K11-68-68)</f>
        <v/>
      </c>
      <c r="AH11" s="94">
        <f>IF($A11="","",$M11-68-68)</f>
        <v/>
      </c>
      <c r="AI11" s="95">
        <f>IF($A11="","",2*$D11)</f>
        <v/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IF($A12="","",$C12-$E$56-$F$56)</f>
        <v/>
      </c>
      <c r="J12" s="97">
        <f>IF($A12="","",$L$56*$D12)</f>
        <v/>
      </c>
      <c r="K12" s="96">
        <f>IF($A12="","",$B12-$E$57-$F$57-$G$57)</f>
        <v/>
      </c>
      <c r="L12" s="97">
        <f>IF($A12="","",$L$57*$D12)</f>
        <v/>
      </c>
      <c r="M12" s="96">
        <f>IF($A12="","",(($C12-$E$58-$F$58-$G$58-$H$58-$I$58)/2)+(78*1)/2)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IF($A12="","",$K12)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IF($A12="","",$C12-$E$63-$F$63)</f>
        <v/>
      </c>
      <c r="X12" s="97">
        <f>IF($A12="","",$L$63*$D12)</f>
        <v/>
      </c>
      <c r="Y12" s="96">
        <f>IF($A12="","",$B12-$E$64-$F$64)</f>
        <v/>
      </c>
      <c r="Z12" s="97">
        <f>IF($A12="","",$L$64*$D12)</f>
        <v/>
      </c>
      <c r="AA12" s="96">
        <f>IF($A12="","",$S12)</f>
        <v/>
      </c>
      <c r="AB12" s="97">
        <f>IF($A12="","",$L$65*$D12)</f>
        <v/>
      </c>
      <c r="AC12" s="96">
        <f>IF($A12="","",$C12-$E$66-$F$66)</f>
        <v/>
      </c>
      <c r="AD12" s="97">
        <f>IF($A12="","",$L$66*$D12)</f>
        <v/>
      </c>
      <c r="AE12" s="96" t="n"/>
      <c r="AF12" s="97" t="n"/>
      <c r="AG12" s="93">
        <f>IF($A12="","",$K12-68-68)</f>
        <v/>
      </c>
      <c r="AH12" s="94">
        <f>IF($A12="","",$M12-68-68)</f>
        <v/>
      </c>
      <c r="AI12" s="95">
        <f>IF($A12="","",2*$D12)</f>
        <v/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IF($A13="","",$C13-$E$56-$F$56)</f>
        <v/>
      </c>
      <c r="J13" s="89">
        <f>IF($A13="","",$L$56*$D13)</f>
        <v/>
      </c>
      <c r="K13" s="91">
        <f>IF($A13="","",$B13-$E$57-$F$57-$G$57)</f>
        <v/>
      </c>
      <c r="L13" s="89">
        <f>IF($A13="","",$L$57*$D13)</f>
        <v/>
      </c>
      <c r="M13" s="91">
        <f>IF($A13="","",(($C13-$E$58-$F$58-$G$58-$H$58-$I$58)/2)+(78*1)/2)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IF($A13="","",$K13)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IF($A13="","",$C13-$E$63-$F$63)</f>
        <v/>
      </c>
      <c r="X13" s="89">
        <f>IF($A13="","",$L$63*$D13)</f>
        <v/>
      </c>
      <c r="Y13" s="91">
        <f>IF($A13="","",$B13-$E$64-$F$64)</f>
        <v/>
      </c>
      <c r="Z13" s="89">
        <f>IF($A13="","",$L$64*$D13)</f>
        <v/>
      </c>
      <c r="AA13" s="91">
        <f>IF($A13="","",$S13)</f>
        <v/>
      </c>
      <c r="AB13" s="89">
        <f>IF($A13="","",$L$65*$D13)</f>
        <v/>
      </c>
      <c r="AC13" s="91">
        <f>IF($A13="","",$C13-$E$66-$F$66)</f>
        <v/>
      </c>
      <c r="AD13" s="89">
        <f>IF($A13="","",$L$66*$D13)</f>
        <v/>
      </c>
      <c r="AE13" s="91" t="n"/>
      <c r="AF13" s="89" t="n"/>
      <c r="AG13" s="93">
        <f>IF($A13="","",$K13-68-68)</f>
        <v/>
      </c>
      <c r="AH13" s="94">
        <f>IF($A13="","",$M13-68-68)</f>
        <v/>
      </c>
      <c r="AI13" s="95">
        <f>IF($A13="","",2*$D13)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IF($A14="","",$C14-$E$56-$F$56)</f>
        <v/>
      </c>
      <c r="J14" s="97">
        <f>IF($A14="","",$L$56*$D14)</f>
        <v/>
      </c>
      <c r="K14" s="96">
        <f>IF($A14="","",$B14-$E$57-$F$57-$G$57)</f>
        <v/>
      </c>
      <c r="L14" s="97">
        <f>IF($A14="","",$L$57*$D14)</f>
        <v/>
      </c>
      <c r="M14" s="96">
        <f>IF($A14="","",(($C14-$E$58-$F$58-$G$58-$H$58-$I$58)/2)+(78*1)/2)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IF($A14="","",$K14)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IF($A14="","",$C14-$E$63-$F$63)</f>
        <v/>
      </c>
      <c r="X14" s="97">
        <f>IF($A14="","",$L$63*$D14)</f>
        <v/>
      </c>
      <c r="Y14" s="96">
        <f>IF($A14="","",$B14-$E$64-$F$64)</f>
        <v/>
      </c>
      <c r="Z14" s="97">
        <f>IF($A14="","",$L$64*$D14)</f>
        <v/>
      </c>
      <c r="AA14" s="96">
        <f>IF($A14="","",$S14)</f>
        <v/>
      </c>
      <c r="AB14" s="97">
        <f>IF($A14="","",$L$65*$D14)</f>
        <v/>
      </c>
      <c r="AC14" s="96">
        <f>IF($A14="","",$C14-$E$66-$F$66)</f>
        <v/>
      </c>
      <c r="AD14" s="97">
        <f>IF($A14="","",$L$66*$D14)</f>
        <v/>
      </c>
      <c r="AE14" s="96" t="n"/>
      <c r="AF14" s="97" t="n"/>
      <c r="AG14" s="93">
        <f>IF($A14="","",$K14-68-68)</f>
        <v/>
      </c>
      <c r="AH14" s="94">
        <f>IF($A14="","",$M14-68-68)</f>
        <v/>
      </c>
      <c r="AI14" s="95">
        <f>IF($A14="","",2*$D14)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IF($A15="","",$C15-$E$56-$F$56)</f>
        <v/>
      </c>
      <c r="J15" s="89">
        <f>IF($A15="","",$L$56*$D15)</f>
        <v/>
      </c>
      <c r="K15" s="91">
        <f>IF($A15="","",$B15-$E$57-$F$57-$G$57)</f>
        <v/>
      </c>
      <c r="L15" s="89">
        <f>IF($A15="","",$L$57*$D15)</f>
        <v/>
      </c>
      <c r="M15" s="91">
        <f>IF($A15="","",(($C15-$E$58-$F$58-$G$58-$H$58-$I$58)/2)+(78*1)/2)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IF($A15="","",$K15)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IF($A15="","",$C15-$E$63-$F$63)</f>
        <v/>
      </c>
      <c r="X15" s="89">
        <f>IF($A15="","",$L$63*$D15)</f>
        <v/>
      </c>
      <c r="Y15" s="91">
        <f>IF($A15="","",$B15-$E$64-$F$64)</f>
        <v/>
      </c>
      <c r="Z15" s="89">
        <f>IF($A15="","",$L$64*$D15)</f>
        <v/>
      </c>
      <c r="AA15" s="91">
        <f>IF($A15="","",$S15)</f>
        <v/>
      </c>
      <c r="AB15" s="89">
        <f>IF($A15="","",$L$65*$D15)</f>
        <v/>
      </c>
      <c r="AC15" s="91">
        <f>IF($A15="","",$C15-$E$66-$F$66)</f>
        <v/>
      </c>
      <c r="AD15" s="89">
        <f>IF($A15="","",$L$66*$D15)</f>
        <v/>
      </c>
      <c r="AE15" s="91" t="n"/>
      <c r="AF15" s="89" t="n"/>
      <c r="AG15" s="93">
        <f>IF($A15="","",$K15-68-68)</f>
        <v/>
      </c>
      <c r="AH15" s="94">
        <f>IF($A15="","",$M15-68-68)</f>
        <v/>
      </c>
      <c r="AI15" s="95">
        <f>IF($A15="","",2*$D15)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IF($A16="","",$C16-$E$56-$F$56)</f>
        <v/>
      </c>
      <c r="J16" s="97">
        <f>IF($A16="","",$L$56*$D16)</f>
        <v/>
      </c>
      <c r="K16" s="96">
        <f>IF($A16="","",$B16-$E$57-$F$57-$G$57)</f>
        <v/>
      </c>
      <c r="L16" s="97">
        <f>IF($A16="","",$L$57*$D16)</f>
        <v/>
      </c>
      <c r="M16" s="96">
        <f>IF($A16="","",(($C16-$E$58-$F$58-$G$58-$H$58-$I$58)/2)+(78*1)/2)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IF($A16="","",$K16)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IF($A16="","",$C16-$E$63-$F$63)</f>
        <v/>
      </c>
      <c r="X16" s="97">
        <f>IF($A16="","",$L$63*$D16)</f>
        <v/>
      </c>
      <c r="Y16" s="96">
        <f>IF($A16="","",$B16-$E$64-$F$64)</f>
        <v/>
      </c>
      <c r="Z16" s="97">
        <f>IF($A16="","",$L$64*$D16)</f>
        <v/>
      </c>
      <c r="AA16" s="96">
        <f>IF($A16="","",$S16)</f>
        <v/>
      </c>
      <c r="AB16" s="97">
        <f>IF($A16="","",$L$65*$D16)</f>
        <v/>
      </c>
      <c r="AC16" s="96">
        <f>IF($A16="","",$C16-$E$66-$F$66)</f>
        <v/>
      </c>
      <c r="AD16" s="97">
        <f>IF($A16="","",$L$66*$D16)</f>
        <v/>
      </c>
      <c r="AE16" s="96" t="n"/>
      <c r="AF16" s="97" t="n"/>
      <c r="AG16" s="93">
        <f>IF($A16="","",$K16-68-68)</f>
        <v/>
      </c>
      <c r="AH16" s="94">
        <f>IF($A16="","",$M16-68-68)</f>
        <v/>
      </c>
      <c r="AI16" s="95">
        <f>IF($A16="","",2*$D16)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IF($A17="","",$C17-$E$56-$F$56)</f>
        <v/>
      </c>
      <c r="J17" s="89">
        <f>IF($A17="","",$L$56*$D17)</f>
        <v/>
      </c>
      <c r="K17" s="91">
        <f>IF($A17="","",$B17-$E$57-$F$57-$G$57)</f>
        <v/>
      </c>
      <c r="L17" s="89">
        <f>IF($A17="","",$L$57*$D17)</f>
        <v/>
      </c>
      <c r="M17" s="91">
        <f>IF($A17="","",(($C17-$E$58-$F$58-$G$58-$H$58-$I$58)/2)+(78*1)/2)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IF($A17="","",$K17)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IF($A17="","",$C17-$E$63-$F$63)</f>
        <v/>
      </c>
      <c r="X17" s="89">
        <f>IF($A17="","",$L$63*$D17)</f>
        <v/>
      </c>
      <c r="Y17" s="91">
        <f>IF($A17="","",$B17-$E$64-$F$64)</f>
        <v/>
      </c>
      <c r="Z17" s="89">
        <f>IF($A17="","",$L$64*$D17)</f>
        <v/>
      </c>
      <c r="AA17" s="91">
        <f>IF($A17="","",$S17)</f>
        <v/>
      </c>
      <c r="AB17" s="89">
        <f>IF($A17="","",$L$65*$D17)</f>
        <v/>
      </c>
      <c r="AC17" s="91">
        <f>IF($A17="","",$C17-$E$66-$F$66)</f>
        <v/>
      </c>
      <c r="AD17" s="89">
        <f>IF($A17="","",$L$66*$D17)</f>
        <v/>
      </c>
      <c r="AE17" s="91" t="n"/>
      <c r="AF17" s="89" t="n"/>
      <c r="AG17" s="93">
        <f>IF($A17="","",$K17-68-68)</f>
        <v/>
      </c>
      <c r="AH17" s="94">
        <f>IF($A17="","",$M17-68-68)</f>
        <v/>
      </c>
      <c r="AI17" s="95">
        <f>IF($A17="","",2*$D17)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IF($A18="","",$C18-$E$56-$F$56)</f>
        <v/>
      </c>
      <c r="J18" s="97">
        <f>IF($A18="","",$L$56*$D18)</f>
        <v/>
      </c>
      <c r="K18" s="96">
        <f>IF($A18="","",$B18-$E$57-$F$57-$G$57)</f>
        <v/>
      </c>
      <c r="L18" s="97">
        <f>IF($A18="","",$L$57*$D18)</f>
        <v/>
      </c>
      <c r="M18" s="96">
        <f>IF($A18="","",(($C18-$E$58-$F$58-$G$58-$H$58-$I$58)/2)+(78*1)/2)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IF($A18="","",$K18)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IF($A18="","",$C18-$E$63-$F$63)</f>
        <v/>
      </c>
      <c r="X18" s="97">
        <f>IF($A18="","",$L$63*$D18)</f>
        <v/>
      </c>
      <c r="Y18" s="96">
        <f>IF($A18="","",$B18-$E$64-$F$64)</f>
        <v/>
      </c>
      <c r="Z18" s="97">
        <f>IF($A18="","",$L$64*$D18)</f>
        <v/>
      </c>
      <c r="AA18" s="96">
        <f>IF($A18="","",$S18)</f>
        <v/>
      </c>
      <c r="AB18" s="97">
        <f>IF($A18="","",$L$65*$D18)</f>
        <v/>
      </c>
      <c r="AC18" s="96">
        <f>IF($A18="","",$C18-$E$66-$F$66)</f>
        <v/>
      </c>
      <c r="AD18" s="97">
        <f>IF($A18="","",$L$66*$D18)</f>
        <v/>
      </c>
      <c r="AE18" s="96" t="n"/>
      <c r="AF18" s="97" t="n"/>
      <c r="AG18" s="93">
        <f>IF($A18="","",$K18-68-68)</f>
        <v/>
      </c>
      <c r="AH18" s="94">
        <f>IF($A18="","",$M18-68-68)</f>
        <v/>
      </c>
      <c r="AI18" s="95">
        <f>IF($A18="","",2*$D18)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IF($A19="","",$C19-$E$56-$F$56)</f>
        <v/>
      </c>
      <c r="J19" s="89">
        <f>IF($A19="","",$L$56*$D19)</f>
        <v/>
      </c>
      <c r="K19" s="91">
        <f>IF($A19="","",$B19-$E$57-$F$57-$G$57)</f>
        <v/>
      </c>
      <c r="L19" s="89">
        <f>IF($A19="","",$L$57*$D19)</f>
        <v/>
      </c>
      <c r="M19" s="91">
        <f>IF($A19="","",(($C19-$E$58-$F$58-$G$58-$H$58-$I$58)/2)+(78*1)/2)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IF($A19="","",$K19)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IF($A19="","",$C19-$E$63-$F$63)</f>
        <v/>
      </c>
      <c r="X19" s="89">
        <f>IF($A19="","",$L$63*$D19)</f>
        <v/>
      </c>
      <c r="Y19" s="91">
        <f>IF($A19="","",$B19-$E$64-$F$64)</f>
        <v/>
      </c>
      <c r="Z19" s="89">
        <f>IF($A19="","",$L$64*$D19)</f>
        <v/>
      </c>
      <c r="AA19" s="91">
        <f>IF($A19="","",$S19)</f>
        <v/>
      </c>
      <c r="AB19" s="89">
        <f>IF($A19="","",$L$65*$D19)</f>
        <v/>
      </c>
      <c r="AC19" s="91">
        <f>IF($A19="","",$C19-$E$66-$F$66)</f>
        <v/>
      </c>
      <c r="AD19" s="89">
        <f>IF($A19="","",$L$66*$D19)</f>
        <v/>
      </c>
      <c r="AE19" s="91" t="n"/>
      <c r="AF19" s="89" t="n"/>
      <c r="AG19" s="93">
        <f>IF($A19="","",$K19-68-68)</f>
        <v/>
      </c>
      <c r="AH19" s="94">
        <f>IF($A19="","",$M19-68-68)</f>
        <v/>
      </c>
      <c r="AI19" s="95">
        <f>IF($A19="","",2*$D19)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IF($A20="","",$C20-$E$56-$F$56)</f>
        <v/>
      </c>
      <c r="J20" s="97">
        <f>IF($A20="","",$L$56*$D20)</f>
        <v/>
      </c>
      <c r="K20" s="96">
        <f>IF($A20="","",$B20-$E$57-$F$57-$G$57)</f>
        <v/>
      </c>
      <c r="L20" s="97">
        <f>IF($A20="","",$L$57*$D20)</f>
        <v/>
      </c>
      <c r="M20" s="96">
        <f>IF($A20="","",(($C20-$E$58-$F$58-$G$58-$H$58-$I$58)/2)+(78*1)/2)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IF($A20="","",$K20)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IF($A20="","",$C20-$E$63-$F$63)</f>
        <v/>
      </c>
      <c r="X20" s="97">
        <f>IF($A20="","",$L$63*$D20)</f>
        <v/>
      </c>
      <c r="Y20" s="96">
        <f>IF($A20="","",$B20-$E$64-$F$64)</f>
        <v/>
      </c>
      <c r="Z20" s="97">
        <f>IF($A20="","",$L$64*$D20)</f>
        <v/>
      </c>
      <c r="AA20" s="96">
        <f>IF($A20="","",$S20)</f>
        <v/>
      </c>
      <c r="AB20" s="97">
        <f>IF($A20="","",$L$65*$D20)</f>
        <v/>
      </c>
      <c r="AC20" s="96">
        <f>IF($A20="","",$C20-$E$66-$F$66)</f>
        <v/>
      </c>
      <c r="AD20" s="97">
        <f>IF($A20="","",$L$66*$D20)</f>
        <v/>
      </c>
      <c r="AE20" s="96" t="n"/>
      <c r="AF20" s="97" t="n"/>
      <c r="AG20" s="93">
        <f>IF($A20="","",$K20-68-68)</f>
        <v/>
      </c>
      <c r="AH20" s="94">
        <f>IF($A20="","",$M20-68-68)</f>
        <v/>
      </c>
      <c r="AI20" s="95">
        <f>IF($A20="","",2*$D20)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IF($A21="","",$C21-$E$56-$F$56)</f>
        <v/>
      </c>
      <c r="J21" s="89">
        <f>IF($A21="","",$L$56*$D21)</f>
        <v/>
      </c>
      <c r="K21" s="91">
        <f>IF($A21="","",$B21-$E$57-$F$57-$G$57)</f>
        <v/>
      </c>
      <c r="L21" s="89">
        <f>IF($A21="","",$L$57*$D21)</f>
        <v/>
      </c>
      <c r="M21" s="91">
        <f>IF($A21="","",(($C21-$E$58-$F$58-$G$58-$H$58-$I$58)/2)+(78*1)/2)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IF($A21="","",$K21)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IF($A21="","",$C21-$E$63-$F$63)</f>
        <v/>
      </c>
      <c r="X21" s="89">
        <f>IF($A21="","",$L$63*$D21)</f>
        <v/>
      </c>
      <c r="Y21" s="91">
        <f>IF($A21="","",$B21-$E$64-$F$64)</f>
        <v/>
      </c>
      <c r="Z21" s="89">
        <f>IF($A21="","",$L$64*$D21)</f>
        <v/>
      </c>
      <c r="AA21" s="91">
        <f>IF($A21="","",$S21)</f>
        <v/>
      </c>
      <c r="AB21" s="89">
        <f>IF($A21="","",$L$65*$D21)</f>
        <v/>
      </c>
      <c r="AC21" s="91">
        <f>IF($A21="","",$C21-$E$66-$F$66)</f>
        <v/>
      </c>
      <c r="AD21" s="89">
        <f>IF($A21="","",$L$66*$D21)</f>
        <v/>
      </c>
      <c r="AE21" s="91" t="n"/>
      <c r="AF21" s="89" t="n"/>
      <c r="AG21" s="93">
        <f>IF($A21="","",$K21-68-68)</f>
        <v/>
      </c>
      <c r="AH21" s="94">
        <f>IF($A21="","",$M21-68-68)</f>
        <v/>
      </c>
      <c r="AI21" s="95">
        <f>IF($A21="","",2*$D21)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IF($A22="","",$C22-$E$56-$F$56)</f>
        <v/>
      </c>
      <c r="J22" s="97">
        <f>IF($A22="","",$L$56*$D22)</f>
        <v/>
      </c>
      <c r="K22" s="96">
        <f>IF($A22="","",$B22-$E$57-$F$57-$G$57)</f>
        <v/>
      </c>
      <c r="L22" s="97">
        <f>IF($A22="","",$L$57*$D22)</f>
        <v/>
      </c>
      <c r="M22" s="96">
        <f>IF($A22="","",(($C22-$E$58-$F$58-$G$58-$H$58-$I$58)/2)+(78*1)/2)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IF($A22="","",$K22)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IF($A22="","",$C22-$E$63-$F$63)</f>
        <v/>
      </c>
      <c r="X22" s="97">
        <f>IF($A22="","",$L$63*$D22)</f>
        <v/>
      </c>
      <c r="Y22" s="96">
        <f>IF($A22="","",$B22-$E$64-$F$64)</f>
        <v/>
      </c>
      <c r="Z22" s="97">
        <f>IF($A22="","",$L$64*$D22)</f>
        <v/>
      </c>
      <c r="AA22" s="96">
        <f>IF($A22="","",$S22)</f>
        <v/>
      </c>
      <c r="AB22" s="97">
        <f>IF($A22="","",$L$65*$D22)</f>
        <v/>
      </c>
      <c r="AC22" s="96">
        <f>IF($A22="","",$C22-$E$66-$F$66)</f>
        <v/>
      </c>
      <c r="AD22" s="97">
        <f>IF($A22="","",$L$66*$D22)</f>
        <v/>
      </c>
      <c r="AE22" s="96" t="n"/>
      <c r="AF22" s="97" t="n"/>
      <c r="AG22" s="93">
        <f>IF($A22="","",$K22-68-68)</f>
        <v/>
      </c>
      <c r="AH22" s="94">
        <f>IF($A22="","",$M22-68-68)</f>
        <v/>
      </c>
      <c r="AI22" s="95">
        <f>IF($A22="","",2*$D22)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IF($A23="","",$C23-$E$56-$F$56)</f>
        <v/>
      </c>
      <c r="J23" s="89">
        <f>IF($A23="","",$L$56*$D23)</f>
        <v/>
      </c>
      <c r="K23" s="91">
        <f>IF($A23="","",$B23-$E$57-$F$57-$G$57)</f>
        <v/>
      </c>
      <c r="L23" s="89">
        <f>IF($A23="","",$L$57*$D23)</f>
        <v/>
      </c>
      <c r="M23" s="91">
        <f>IF($A23="","",(($C23-$E$58-$F$58-$G$58-$H$58-$I$58)/2)+(78*1)/2)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IF($A23="","",$K23)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IF($A23="","",$C23-$E$63-$F$63)</f>
        <v/>
      </c>
      <c r="X23" s="89">
        <f>IF($A23="","",$L$63*$D23)</f>
        <v/>
      </c>
      <c r="Y23" s="91">
        <f>IF($A23="","",$B23-$E$64-$F$64)</f>
        <v/>
      </c>
      <c r="Z23" s="89">
        <f>IF($A23="","",$L$64*$D23)</f>
        <v/>
      </c>
      <c r="AA23" s="91">
        <f>IF($A23="","",$S23)</f>
        <v/>
      </c>
      <c r="AB23" s="89">
        <f>IF($A23="","",$L$65*$D23)</f>
        <v/>
      </c>
      <c r="AC23" s="91">
        <f>IF($A23="","",$C23-$E$66-$F$66)</f>
        <v/>
      </c>
      <c r="AD23" s="89">
        <f>IF($A23="","",$L$66*$D23)</f>
        <v/>
      </c>
      <c r="AE23" s="91" t="n"/>
      <c r="AF23" s="89" t="n"/>
      <c r="AG23" s="93">
        <f>IF($A23="","",$K23-68-68)</f>
        <v/>
      </c>
      <c r="AH23" s="94">
        <f>IF($A23="","",$M23-68-68)</f>
        <v/>
      </c>
      <c r="AI23" s="95">
        <f>IF($A23="","",2*$D23)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IF($A24="","",$C24-$E$56-$F$56)</f>
        <v/>
      </c>
      <c r="J24" s="97">
        <f>IF($A24="","",$L$56*$D24)</f>
        <v/>
      </c>
      <c r="K24" s="96">
        <f>IF($A24="","",$B24-$E$57-$F$57-$G$57)</f>
        <v/>
      </c>
      <c r="L24" s="97">
        <f>IF($A24="","",$L$57*$D24)</f>
        <v/>
      </c>
      <c r="M24" s="96">
        <f>IF($A24="","",(($C24-$E$58-$F$58-$G$58-$H$58-$I$58)/2)+(78*1)/2)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IF($A24="","",$K24)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IF($A24="","",$C24-$E$63-$F$63)</f>
        <v/>
      </c>
      <c r="X24" s="97">
        <f>IF($A24="","",$L$63*$D24)</f>
        <v/>
      </c>
      <c r="Y24" s="96">
        <f>IF($A24="","",$B24-$E$64-$F$64)</f>
        <v/>
      </c>
      <c r="Z24" s="97">
        <f>IF($A24="","",$L$64*$D24)</f>
        <v/>
      </c>
      <c r="AA24" s="96">
        <f>IF($A24="","",$S24)</f>
        <v/>
      </c>
      <c r="AB24" s="97">
        <f>IF($A24="","",$L$65*$D24)</f>
        <v/>
      </c>
      <c r="AC24" s="96">
        <f>IF($A24="","",$C24-$E$66-$F$66)</f>
        <v/>
      </c>
      <c r="AD24" s="97">
        <f>IF($A24="","",$L$66*$D24)</f>
        <v/>
      </c>
      <c r="AE24" s="96" t="n"/>
      <c r="AF24" s="97" t="n"/>
      <c r="AG24" s="93">
        <f>IF($A24="","",$K24-68-68)</f>
        <v/>
      </c>
      <c r="AH24" s="94">
        <f>IF($A24="","",$M24-68-68)</f>
        <v/>
      </c>
      <c r="AI24" s="95">
        <f>IF($A24="","",2*$D24)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IF($A25="","",$C25-$E$56-$F$56)</f>
        <v/>
      </c>
      <c r="J25" s="89">
        <f>IF($A25="","",$L$56*$D25)</f>
        <v/>
      </c>
      <c r="K25" s="91">
        <f>IF($A25="","",$B25-$E$57-$F$57-$G$57)</f>
        <v/>
      </c>
      <c r="L25" s="89">
        <f>IF($A25="","",$L$57*$D25)</f>
        <v/>
      </c>
      <c r="M25" s="91">
        <f>IF($A25="","",(($C25-$E$58-$F$58-$G$58-$H$58-$I$58)/2)+(78*1)/2)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IF($A25="","",$K25)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IF($A25="","",$C25-$E$63-$F$63)</f>
        <v/>
      </c>
      <c r="X25" s="89">
        <f>IF($A25="","",$L$63*$D25)</f>
        <v/>
      </c>
      <c r="Y25" s="91">
        <f>IF($A25="","",$B25-$E$64-$F$64)</f>
        <v/>
      </c>
      <c r="Z25" s="89">
        <f>IF($A25="","",$L$64*$D25)</f>
        <v/>
      </c>
      <c r="AA25" s="91">
        <f>IF($A25="","",$S25)</f>
        <v/>
      </c>
      <c r="AB25" s="89">
        <f>IF($A25="","",$L$65*$D25)</f>
        <v/>
      </c>
      <c r="AC25" s="91">
        <f>IF($A25="","",$C25-$E$66-$F$66)</f>
        <v/>
      </c>
      <c r="AD25" s="89">
        <f>IF($A25="","",$L$66*$D25)</f>
        <v/>
      </c>
      <c r="AE25" s="91" t="n"/>
      <c r="AF25" s="89" t="n"/>
      <c r="AG25" s="93">
        <f>IF($A25="","",$K25-68-68)</f>
        <v/>
      </c>
      <c r="AH25" s="94">
        <f>IF($A25="","",$M25-68-68)</f>
        <v/>
      </c>
      <c r="AI25" s="95">
        <f>IF($A25="","",2*$D25)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IF($A26="","",$C26-$E$56-$F$56)</f>
        <v/>
      </c>
      <c r="J26" s="97">
        <f>IF($A26="","",$L$56*$D26)</f>
        <v/>
      </c>
      <c r="K26" s="96">
        <f>IF($A26="","",$B26-$E$57-$F$57-$G$57)</f>
        <v/>
      </c>
      <c r="L26" s="97">
        <f>IF($A26="","",$L$57*$D26)</f>
        <v/>
      </c>
      <c r="M26" s="96">
        <f>IF($A26="","",(($C26-$E$58-$F$58-$G$58-$H$58-$I$58)/2)+(78*1)/2)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IF($A26="","",$K26)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IF($A26="","",$C26-$E$63-$F$63)</f>
        <v/>
      </c>
      <c r="X26" s="97">
        <f>IF($A26="","",$L$63*$D26)</f>
        <v/>
      </c>
      <c r="Y26" s="96">
        <f>IF($A26="","",$B26-$E$64-$F$64)</f>
        <v/>
      </c>
      <c r="Z26" s="97">
        <f>IF($A26="","",$L$64*$D26)</f>
        <v/>
      </c>
      <c r="AA26" s="96">
        <f>IF($A26="","",$S26)</f>
        <v/>
      </c>
      <c r="AB26" s="97">
        <f>IF($A26="","",$L$65*$D26)</f>
        <v/>
      </c>
      <c r="AC26" s="96">
        <f>IF($A26="","",$C26-$E$66-$F$66)</f>
        <v/>
      </c>
      <c r="AD26" s="97">
        <f>IF($A26="","",$L$66*$D26)</f>
        <v/>
      </c>
      <c r="AE26" s="96" t="n"/>
      <c r="AF26" s="97" t="n"/>
      <c r="AG26" s="93">
        <f>IF($A26="","",$K26-68-68)</f>
        <v/>
      </c>
      <c r="AH26" s="94">
        <f>IF($A26="","",$M26-68-68)</f>
        <v/>
      </c>
      <c r="AI26" s="95">
        <f>IF($A26="","",2*$D26)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IF($A27="","",$C27-$E$56-$F$56)</f>
        <v/>
      </c>
      <c r="J27" s="89">
        <f>IF($A27="","",$L$56*$D27)</f>
        <v/>
      </c>
      <c r="K27" s="91">
        <f>IF($A27="","",$B27-$E$57-$F$57-$G$57)</f>
        <v/>
      </c>
      <c r="L27" s="89">
        <f>IF($A27="","",$L$57*$D27)</f>
        <v/>
      </c>
      <c r="M27" s="91">
        <f>IF($A27="","",(($C27-$E$58-$F$58-$G$58-$H$58-$I$58)/2)+(78*1)/2)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IF($A27="","",$K27)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IF($A27="","",$C27-$E$63-$F$63)</f>
        <v/>
      </c>
      <c r="X27" s="89">
        <f>IF($A27="","",$L$63*$D27)</f>
        <v/>
      </c>
      <c r="Y27" s="91">
        <f>IF($A27="","",$B27-$E$64-$F$64)</f>
        <v/>
      </c>
      <c r="Z27" s="89">
        <f>IF($A27="","",$L$64*$D27)</f>
        <v/>
      </c>
      <c r="AA27" s="91">
        <f>IF($A27="","",$S27)</f>
        <v/>
      </c>
      <c r="AB27" s="89">
        <f>IF($A27="","",$L$65*$D27)</f>
        <v/>
      </c>
      <c r="AC27" s="91">
        <f>IF($A27="","",$C27-$E$66-$F$66)</f>
        <v/>
      </c>
      <c r="AD27" s="89">
        <f>IF($A27="","",$L$66*$D27)</f>
        <v/>
      </c>
      <c r="AE27" s="91" t="n"/>
      <c r="AF27" s="89" t="n"/>
      <c r="AG27" s="93">
        <f>IF($A27="","",$K27-68-68)</f>
        <v/>
      </c>
      <c r="AH27" s="94">
        <f>IF($A27="","",$M27-68-68)</f>
        <v/>
      </c>
      <c r="AI27" s="95">
        <f>IF($A27="","",2*$D27)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IF($A28="","",$C28-$E$56-$F$56)</f>
        <v/>
      </c>
      <c r="J28" s="97">
        <f>IF($A28="","",$L$56*$D28)</f>
        <v/>
      </c>
      <c r="K28" s="96">
        <f>IF($A28="","",$B28-$E$57-$F$57-$G$57)</f>
        <v/>
      </c>
      <c r="L28" s="97">
        <f>IF($A28="","",$L$57*$D28)</f>
        <v/>
      </c>
      <c r="M28" s="96">
        <f>IF($A28="","",(($C28-$E$58-$F$58-$G$58-$H$58-$I$58)/2)+(78*1)/2)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IF($A28="","",$K28)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IF($A28="","",$C28-$E$63-$F$63)</f>
        <v/>
      </c>
      <c r="X28" s="97">
        <f>IF($A28="","",$L$63*$D28)</f>
        <v/>
      </c>
      <c r="Y28" s="96">
        <f>IF($A28="","",$B28-$E$64-$F$64)</f>
        <v/>
      </c>
      <c r="Z28" s="97">
        <f>IF($A28="","",$L$64*$D28)</f>
        <v/>
      </c>
      <c r="AA28" s="96">
        <f>IF($A28="","",$S28)</f>
        <v/>
      </c>
      <c r="AB28" s="97">
        <f>IF($A28="","",$L$65*$D28)</f>
        <v/>
      </c>
      <c r="AC28" s="96">
        <f>IF($A28="","",$C28-$E$66-$F$66)</f>
        <v/>
      </c>
      <c r="AD28" s="97">
        <f>IF($A28="","",$L$66*$D28)</f>
        <v/>
      </c>
      <c r="AE28" s="96" t="n"/>
      <c r="AF28" s="97" t="n"/>
      <c r="AG28" s="93">
        <f>IF($A28="","",$K28-68-68)</f>
        <v/>
      </c>
      <c r="AH28" s="94">
        <f>IF($A28="","",$M28-68-68)</f>
        <v/>
      </c>
      <c r="AI28" s="95">
        <f>IF($A28="","",2*$D28)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20" t="n"/>
      <c r="AA30" s="21" t="n"/>
      <c r="AB30" s="72">
        <f>(ROUNDUP(SUM(Z49:AB49)/6400,0))</f>
        <v/>
      </c>
      <c r="AC30" s="72">
        <f>AC$7</f>
        <v/>
      </c>
      <c r="AD30" s="72">
        <f>(ROUNDUP(AD49/5000,0))</f>
        <v/>
      </c>
      <c r="AE30" s="72">
        <f>AE$7</f>
        <v/>
      </c>
      <c r="AF30" s="72">
        <f>(ROUNDUP(AF49/6400,0))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1</v>
      </c>
      <c r="M55" s="82" t="n"/>
    </row>
    <row r="56" ht="44" customHeight="1">
      <c r="A56" s="78" t="n">
        <v>3</v>
      </c>
      <c r="B56" s="79" t="inlineStr">
        <is>
          <t>เฟรม-ล่าง</t>
        </is>
      </c>
      <c r="C56" s="80" t="inlineStr">
        <is>
          <t>F7902</t>
        </is>
      </c>
      <c r="D56" s="81" t="inlineStr">
        <is>
          <t>กว้าง-21-21</t>
        </is>
      </c>
      <c r="E56" s="83" t="n">
        <v>21</v>
      </c>
      <c r="F56" s="83" t="n">
        <v>21</v>
      </c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สูง-14-13-21</t>
        </is>
      </c>
      <c r="E57" s="83" t="n">
        <v>14</v>
      </c>
      <c r="F57" s="83" t="n">
        <v>13</v>
      </c>
      <c r="G57" s="83" t="n">
        <v>21</v>
      </c>
      <c r="H57" s="82" t="n"/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((กว้าง-21-3-3--1.221)/2)+(78x1/2)</t>
        </is>
      </c>
      <c r="E58" s="83" t="n">
        <v>21</v>
      </c>
      <c r="F58" s="83" t="n">
        <v>3</v>
      </c>
      <c r="G58" s="83" t="n">
        <v>3</v>
      </c>
      <c r="H58" s="83" t="n">
        <v>1.2</v>
      </c>
      <c r="I58" s="83" t="n">
        <v>21</v>
      </c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สูง-8-45</t>
        </is>
      </c>
      <c r="E62" s="83" t="n">
        <v>8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สูง-8-45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4</v>
      </c>
      <c r="M65" s="82" t="n"/>
    </row>
    <row r="66" ht="44" customHeight="1">
      <c r="A66" s="78" t="n">
        <v>13</v>
      </c>
      <c r="B66" s="79" t="inlineStr">
        <is>
          <t>ราง</t>
        </is>
      </c>
      <c r="C66" s="80" t="inlineStr">
        <is>
          <t>F7994</t>
        </is>
      </c>
      <c r="D66" s="81" t="inlineStr">
        <is>
          <t>เท่าเฟรมล่าง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3</v>
      </c>
      <c r="M66" s="82" t="n"/>
    </row>
    <row r="68">
      <c r="A68" s="123" t="inlineStr">
        <is>
          <t>⑥ อุปกรณ์ ต่อ 1 บาน — คูณจำนวนบานที่ผลิต</t>
        </is>
      </c>
      <c r="B68" s="131" t="n"/>
      <c r="C68" s="131" t="n"/>
      <c r="D68" s="131" t="n"/>
      <c r="E68" s="132" t="n"/>
      <c r="F68" s="124" t="inlineStr">
        <is>
          <t>ต่อบาน</t>
        </is>
      </c>
    </row>
    <row r="69">
      <c r="A69" s="125" t="inlineStr">
        <is>
          <t>1. ล้อ 27</t>
        </is>
      </c>
      <c r="B69" s="131" t="n"/>
      <c r="C69" s="131" t="n"/>
      <c r="D69" s="131" t="n"/>
      <c r="E69" s="132" t="n"/>
      <c r="F69" s="126" t="n">
        <v>2</v>
      </c>
    </row>
    <row r="70">
      <c r="A70" s="125" t="inlineStr">
        <is>
          <t>2. มือจับ Align</t>
        </is>
      </c>
      <c r="B70" s="131" t="n"/>
      <c r="C70" s="131" t="n"/>
      <c r="D70" s="131" t="n"/>
      <c r="E70" s="132" t="n"/>
      <c r="F70" s="126" t="n">
        <v>2</v>
      </c>
    </row>
    <row r="71">
      <c r="A71" s="125" t="inlineStr">
        <is>
          <t>3. ชุดล็อค</t>
        </is>
      </c>
      <c r="B71" s="131" t="n"/>
      <c r="C71" s="131" t="n"/>
      <c r="D71" s="131" t="n"/>
      <c r="E71" s="132" t="n"/>
      <c r="F71" s="126" t="n">
        <v>1</v>
      </c>
    </row>
    <row r="72">
      <c r="A72" s="125" t="inlineStr">
        <is>
          <t>4. น็อตประกอบ</t>
        </is>
      </c>
      <c r="B72" s="131" t="n"/>
      <c r="C72" s="131" t="n"/>
      <c r="D72" s="131" t="n"/>
      <c r="E72" s="132" t="n"/>
      <c r="F72" s="126" t="n">
        <v>4</v>
      </c>
    </row>
    <row r="73">
      <c r="A73" s="127" t="inlineStr">
        <is>
          <t>+ สักหลาด/ยาง/ซิลิโคน = ตามขนาด (ดูชีทคิดทุน)</t>
        </is>
      </c>
      <c r="B73" s="131" t="n"/>
      <c r="C73" s="131" t="n"/>
      <c r="D73" s="131" t="n"/>
      <c r="E73" s="131" t="n"/>
      <c r="F73" s="132" t="n"/>
    </row>
  </sheetData>
  <mergeCells count="68">
    <mergeCell ref="U9:V9"/>
    <mergeCell ref="I6:J6"/>
    <mergeCell ref="AC7:AD7"/>
    <mergeCell ref="AE7:AF7"/>
    <mergeCell ref="O6:P6"/>
    <mergeCell ref="U6:V6"/>
    <mergeCell ref="K9:L9"/>
    <mergeCell ref="W6:X6"/>
    <mergeCell ref="M9:N9"/>
    <mergeCell ref="K7:N7"/>
    <mergeCell ref="O9:P9"/>
    <mergeCell ref="Y30:AA30"/>
    <mergeCell ref="G8:H8"/>
    <mergeCell ref="E8:F8"/>
    <mergeCell ref="A70:E70"/>
    <mergeCell ref="Y9:Z9"/>
    <mergeCell ref="Q8:R8"/>
    <mergeCell ref="AA9:AB9"/>
    <mergeCell ref="S8:T8"/>
    <mergeCell ref="A69:E69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A8:A9"/>
    <mergeCell ref="E6:F6"/>
    <mergeCell ref="A6:D6"/>
    <mergeCell ref="M6:N6"/>
    <mergeCell ref="K8:L8"/>
    <mergeCell ref="Q6:R6"/>
    <mergeCell ref="A71:E71"/>
    <mergeCell ref="S6:T6"/>
    <mergeCell ref="D8:D9"/>
    <mergeCell ref="A7:D7"/>
    <mergeCell ref="Y6:Z6"/>
    <mergeCell ref="Q9:R9"/>
    <mergeCell ref="I8:J8"/>
    <mergeCell ref="S9:T9"/>
    <mergeCell ref="K30:M30"/>
    <mergeCell ref="W9:X9"/>
    <mergeCell ref="AC9:AD9"/>
    <mergeCell ref="M8:N8"/>
    <mergeCell ref="O8:P8"/>
    <mergeCell ref="AE9:AF9"/>
    <mergeCell ref="U8:V8"/>
    <mergeCell ref="W8:X8"/>
    <mergeCell ref="B8:C9"/>
    <mergeCell ref="A73:F73"/>
    <mergeCell ref="AC6:AD6"/>
    <mergeCell ref="E7:F7"/>
    <mergeCell ref="A72:E72"/>
    <mergeCell ref="AE6:AF6"/>
    <mergeCell ref="A68:E68"/>
    <mergeCell ref="O30:Q30"/>
    <mergeCell ref="Y7:AB7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73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</cols>
  <sheetData>
    <row r="1" ht="40.15" customHeight="1">
      <c r="A1" s="1" t="inlineStr">
        <is>
          <t>JR ALUMINIUM &amp; GLASS  —  ใบรายการตัด · FUJI เลื่อน3ราง ภายใน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5" t="n"/>
      <c r="AD1" s="5" t="n"/>
      <c r="AE1" s="3" t="n"/>
      <c r="AF1" s="3" t="n"/>
      <c r="AG1" s="5" t="n"/>
      <c r="AH1" s="5" t="n"/>
      <c r="AI1" s="5" t="n"/>
      <c r="AJ1" s="5" t="n"/>
      <c r="AK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9" t="n"/>
      <c r="AD2" s="9" t="n"/>
      <c r="AE2" s="6" t="n"/>
      <c r="AF2" s="6" t="n"/>
      <c r="AG2" s="9" t="n"/>
      <c r="AH2" s="9" t="n"/>
      <c r="AI2" s="9" t="n"/>
      <c r="AJ2" s="9" t="n"/>
      <c r="AK2" s="9" t="n"/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11" t="n"/>
      <c r="AD3" s="11" t="n"/>
      <c r="AE3" s="6" t="n"/>
      <c r="AF3" s="6" t="n"/>
      <c r="AG3" s="11" t="n"/>
      <c r="AH3" s="11" t="n"/>
      <c r="AI3" s="11" t="n"/>
      <c r="AJ3" s="11" t="n"/>
      <c r="AK3" s="11" t="n"/>
    </row>
    <row r="4" ht="40.15" customHeight="1">
      <c r="A4" s="6" t="n"/>
      <c r="B4" s="6" t="n"/>
      <c r="C4" s="6" t="n"/>
      <c r="D4" s="6" t="n"/>
      <c r="E4" s="8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E4" s="6" t="n"/>
      <c r="AF4" s="6" t="n"/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E5" s="6" t="n"/>
      <c r="AF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กว้าง-21-21</t>
        </is>
      </c>
      <c r="J6" s="17" t="n"/>
      <c r="K6" s="16" t="inlineStr">
        <is>
          <t>สูง-14-13-21</t>
        </is>
      </c>
      <c r="L6" s="17" t="n"/>
      <c r="M6" s="16" t="inlineStr">
        <is>
          <t>((กว้าง-21-3-2.4-3-21)/3)+(78x2/3)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สูง-8-45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สูง-8-45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เท่าเฟรมล่าง</t>
        </is>
      </c>
      <c r="AD6" s="17" t="n"/>
      <c r="AE6" s="16" t="n"/>
      <c r="AF6" s="17" t="n"/>
      <c r="AG6" s="18" t="n"/>
      <c r="AH6" s="18" t="n"/>
      <c r="AI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F7902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86" t="inlineStr">
        <is>
          <t>F7988</t>
        </is>
      </c>
      <c r="Z7" s="14" t="n"/>
      <c r="AA7" s="14" t="n"/>
      <c r="AB7" s="14" t="n"/>
      <c r="AC7" s="22" t="inlineStr">
        <is>
          <t>F7994</t>
        </is>
      </c>
      <c r="AD7" s="15" t="n"/>
      <c r="AE7" s="118" t="n"/>
      <c r="AF7" s="119" t="n"/>
      <c r="AG7" s="24" t="n"/>
      <c r="AH7" s="25" t="inlineStr">
        <is>
          <t>ขนาดกระจก</t>
        </is>
      </c>
      <c r="AI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0" t="n"/>
      <c r="AD8" s="31" t="n"/>
      <c r="AE8" s="34" t="n"/>
      <c r="AF8" s="31" t="n"/>
      <c r="AG8" s="36" t="n"/>
      <c r="AH8" s="37" t="inlineStr">
        <is>
          <t>กรอบบาน</t>
        </is>
      </c>
      <c r="AI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4" t="inlineStr">
        <is>
          <t>ราง</t>
        </is>
      </c>
      <c r="AD9" s="43" t="n"/>
      <c r="AE9" s="42" t="n"/>
      <c r="AF9" s="43" t="n"/>
      <c r="AG9" s="45" t="inlineStr">
        <is>
          <t>SH-68-68</t>
        </is>
      </c>
      <c r="AH9" s="46" t="inlineStr">
        <is>
          <t>SW-68-68</t>
        </is>
      </c>
      <c r="AI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3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</row>
    <row r="11" ht="40.15" customHeight="1">
      <c r="A11" s="99" t="inlineStr">
        <is>
          <t>D3</t>
        </is>
      </c>
      <c r="B11" s="88" t="n">
        <v>3170</v>
      </c>
      <c r="C11" s="89" t="n">
        <v>3540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IF($A11="","",$G11)</f>
        <v/>
      </c>
      <c r="J11" s="89">
        <f>IF($A11="","",$L$56*$D11)</f>
        <v/>
      </c>
      <c r="K11" s="91">
        <f>IF($A11="","",$B11-$E$57-$F$57-$G$57)</f>
        <v/>
      </c>
      <c r="L11" s="89">
        <f>IF($A11="","",$L$57*$D11)</f>
        <v/>
      </c>
      <c r="M11" s="91">
        <f>IF($A11="","",(($C11-$E$58-$F$58-$G$58-$H$58-$I$58)/3)+(78*2)/3)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IF($A11="","",$K11)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IF($A11="","",$C11-$E$63-$F$63)</f>
        <v/>
      </c>
      <c r="X11" s="89">
        <f>IF($A11="","",$L$63*$D11)</f>
        <v/>
      </c>
      <c r="Y11" s="91">
        <f>IF($A11="","",$B11-$E$64-$F$64)</f>
        <v/>
      </c>
      <c r="Z11" s="89">
        <f>IF($A11="","",$L$64*$D11)</f>
        <v/>
      </c>
      <c r="AA11" s="91">
        <f>IF($A11="","",$S11)</f>
        <v/>
      </c>
      <c r="AB11" s="89">
        <f>IF($A11="","",$L$65*$D11)</f>
        <v/>
      </c>
      <c r="AC11" s="91">
        <f>IF($A11="","",$C11-$E$66-$F$66)</f>
        <v/>
      </c>
      <c r="AD11" s="89">
        <f>IF($A11="","",$L$66*$D11)</f>
        <v/>
      </c>
      <c r="AE11" s="91" t="n"/>
      <c r="AF11" s="89" t="n"/>
      <c r="AG11" s="93">
        <f>IF($A11="","",$K11-68-68)</f>
        <v/>
      </c>
      <c r="AH11" s="94">
        <f>IF($A11="","",$M11-68-68)</f>
        <v/>
      </c>
      <c r="AI11" s="95">
        <f>IF($A11="","",3*$D11)</f>
        <v/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IF($A12="","",$G12)</f>
        <v/>
      </c>
      <c r="J12" s="97">
        <f>IF($A12="","",$L$56*$D12)</f>
        <v/>
      </c>
      <c r="K12" s="96">
        <f>IF($A12="","",$B12-$E$57-$F$57-$G$57)</f>
        <v/>
      </c>
      <c r="L12" s="97">
        <f>IF($A12="","",$L$57*$D12)</f>
        <v/>
      </c>
      <c r="M12" s="96">
        <f>IF($A12="","",(($C12-$E$58-$F$58-$G$58-$H$58-$I$58)/3)+(78*2)/3)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IF($A12="","",$K12)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IF($A12="","",$C12-$E$63-$F$63)</f>
        <v/>
      </c>
      <c r="X12" s="97">
        <f>IF($A12="","",$L$63*$D12)</f>
        <v/>
      </c>
      <c r="Y12" s="96">
        <f>IF($A12="","",$B12-$E$64-$F$64)</f>
        <v/>
      </c>
      <c r="Z12" s="97">
        <f>IF($A12="","",$L$64*$D12)</f>
        <v/>
      </c>
      <c r="AA12" s="96">
        <f>IF($A12="","",$S12)</f>
        <v/>
      </c>
      <c r="AB12" s="97">
        <f>IF($A12="","",$L$65*$D12)</f>
        <v/>
      </c>
      <c r="AC12" s="96">
        <f>IF($A12="","",$C12-$E$66-$F$66)</f>
        <v/>
      </c>
      <c r="AD12" s="97">
        <f>IF($A12="","",$L$66*$D12)</f>
        <v/>
      </c>
      <c r="AE12" s="96" t="n"/>
      <c r="AF12" s="97" t="n"/>
      <c r="AG12" s="93">
        <f>IF($A12="","",$K12-68-68)</f>
        <v/>
      </c>
      <c r="AH12" s="94">
        <f>IF($A12="","",$M12-68-68)</f>
        <v/>
      </c>
      <c r="AI12" s="95">
        <f>IF($A12="","",3*$D12)</f>
        <v/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IF($A13="","",$G13)</f>
        <v/>
      </c>
      <c r="J13" s="89">
        <f>IF($A13="","",$L$56*$D13)</f>
        <v/>
      </c>
      <c r="K13" s="91">
        <f>IF($A13="","",$B13-$E$57-$F$57-$G$57)</f>
        <v/>
      </c>
      <c r="L13" s="89">
        <f>IF($A13="","",$L$57*$D13)</f>
        <v/>
      </c>
      <c r="M13" s="91">
        <f>IF($A13="","",(($C13-$E$58-$F$58-$G$58-$H$58-$I$58)/3)+(78*2)/3)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IF($A13="","",$K13)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IF($A13="","",$C13-$E$63-$F$63)</f>
        <v/>
      </c>
      <c r="X13" s="89">
        <f>IF($A13="","",$L$63*$D13)</f>
        <v/>
      </c>
      <c r="Y13" s="91">
        <f>IF($A13="","",$B13-$E$64-$F$64)</f>
        <v/>
      </c>
      <c r="Z13" s="89">
        <f>IF($A13="","",$L$64*$D13)</f>
        <v/>
      </c>
      <c r="AA13" s="91">
        <f>IF($A13="","",$S13)</f>
        <v/>
      </c>
      <c r="AB13" s="89">
        <f>IF($A13="","",$L$65*$D13)</f>
        <v/>
      </c>
      <c r="AC13" s="91">
        <f>IF($A13="","",$C13-$E$66-$F$66)</f>
        <v/>
      </c>
      <c r="AD13" s="89">
        <f>IF($A13="","",$L$66*$D13)</f>
        <v/>
      </c>
      <c r="AE13" s="91" t="n"/>
      <c r="AF13" s="89" t="n"/>
      <c r="AG13" s="93">
        <f>IF($A13="","",$K13-68-68)</f>
        <v/>
      </c>
      <c r="AH13" s="94">
        <f>IF($A13="","",$M13-68-68)</f>
        <v/>
      </c>
      <c r="AI13" s="95">
        <f>IF($A13="","",3*$D13)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IF($A14="","",$G14)</f>
        <v/>
      </c>
      <c r="J14" s="97">
        <f>IF($A14="","",$L$56*$D14)</f>
        <v/>
      </c>
      <c r="K14" s="96">
        <f>IF($A14="","",$B14-$E$57-$F$57-$G$57)</f>
        <v/>
      </c>
      <c r="L14" s="97">
        <f>IF($A14="","",$L$57*$D14)</f>
        <v/>
      </c>
      <c r="M14" s="96">
        <f>IF($A14="","",(($C14-$E$58-$F$58-$G$58-$H$58-$I$58)/3)+(78*2)/3)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IF($A14="","",$K14)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IF($A14="","",$C14-$E$63-$F$63)</f>
        <v/>
      </c>
      <c r="X14" s="97">
        <f>IF($A14="","",$L$63*$D14)</f>
        <v/>
      </c>
      <c r="Y14" s="96">
        <f>IF($A14="","",$B14-$E$64-$F$64)</f>
        <v/>
      </c>
      <c r="Z14" s="97">
        <f>IF($A14="","",$L$64*$D14)</f>
        <v/>
      </c>
      <c r="AA14" s="96">
        <f>IF($A14="","",$S14)</f>
        <v/>
      </c>
      <c r="AB14" s="97">
        <f>IF($A14="","",$L$65*$D14)</f>
        <v/>
      </c>
      <c r="AC14" s="96">
        <f>IF($A14="","",$C14-$E$66-$F$66)</f>
        <v/>
      </c>
      <c r="AD14" s="97">
        <f>IF($A14="","",$L$66*$D14)</f>
        <v/>
      </c>
      <c r="AE14" s="96" t="n"/>
      <c r="AF14" s="97" t="n"/>
      <c r="AG14" s="93">
        <f>IF($A14="","",$K14-68-68)</f>
        <v/>
      </c>
      <c r="AH14" s="94">
        <f>IF($A14="","",$M14-68-68)</f>
        <v/>
      </c>
      <c r="AI14" s="95">
        <f>IF($A14="","",3*$D14)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IF($A15="","",$G15)</f>
        <v/>
      </c>
      <c r="J15" s="89">
        <f>IF($A15="","",$L$56*$D15)</f>
        <v/>
      </c>
      <c r="K15" s="91">
        <f>IF($A15="","",$B15-$E$57-$F$57-$G$57)</f>
        <v/>
      </c>
      <c r="L15" s="89">
        <f>IF($A15="","",$L$57*$D15)</f>
        <v/>
      </c>
      <c r="M15" s="91">
        <f>IF($A15="","",(($C15-$E$58-$F$58-$G$58-$H$58-$I$58)/3)+(78*2)/3)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IF($A15="","",$K15)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IF($A15="","",$C15-$E$63-$F$63)</f>
        <v/>
      </c>
      <c r="X15" s="89">
        <f>IF($A15="","",$L$63*$D15)</f>
        <v/>
      </c>
      <c r="Y15" s="91">
        <f>IF($A15="","",$B15-$E$64-$F$64)</f>
        <v/>
      </c>
      <c r="Z15" s="89">
        <f>IF($A15="","",$L$64*$D15)</f>
        <v/>
      </c>
      <c r="AA15" s="91">
        <f>IF($A15="","",$S15)</f>
        <v/>
      </c>
      <c r="AB15" s="89">
        <f>IF($A15="","",$L$65*$D15)</f>
        <v/>
      </c>
      <c r="AC15" s="91">
        <f>IF($A15="","",$C15-$E$66-$F$66)</f>
        <v/>
      </c>
      <c r="AD15" s="89">
        <f>IF($A15="","",$L$66*$D15)</f>
        <v/>
      </c>
      <c r="AE15" s="91" t="n"/>
      <c r="AF15" s="89" t="n"/>
      <c r="AG15" s="93">
        <f>IF($A15="","",$K15-68-68)</f>
        <v/>
      </c>
      <c r="AH15" s="94">
        <f>IF($A15="","",$M15-68-68)</f>
        <v/>
      </c>
      <c r="AI15" s="95">
        <f>IF($A15="","",3*$D15)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IF($A16="","",$G16)</f>
        <v/>
      </c>
      <c r="J16" s="97">
        <f>IF($A16="","",$L$56*$D16)</f>
        <v/>
      </c>
      <c r="K16" s="96">
        <f>IF($A16="","",$B16-$E$57-$F$57-$G$57)</f>
        <v/>
      </c>
      <c r="L16" s="97">
        <f>IF($A16="","",$L$57*$D16)</f>
        <v/>
      </c>
      <c r="M16" s="96">
        <f>IF($A16="","",(($C16-$E$58-$F$58-$G$58-$H$58-$I$58)/3)+(78*2)/3)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IF($A16="","",$K16)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IF($A16="","",$C16-$E$63-$F$63)</f>
        <v/>
      </c>
      <c r="X16" s="97">
        <f>IF($A16="","",$L$63*$D16)</f>
        <v/>
      </c>
      <c r="Y16" s="96">
        <f>IF($A16="","",$B16-$E$64-$F$64)</f>
        <v/>
      </c>
      <c r="Z16" s="97">
        <f>IF($A16="","",$L$64*$D16)</f>
        <v/>
      </c>
      <c r="AA16" s="96">
        <f>IF($A16="","",$S16)</f>
        <v/>
      </c>
      <c r="AB16" s="97">
        <f>IF($A16="","",$L$65*$D16)</f>
        <v/>
      </c>
      <c r="AC16" s="96">
        <f>IF($A16="","",$C16-$E$66-$F$66)</f>
        <v/>
      </c>
      <c r="AD16" s="97">
        <f>IF($A16="","",$L$66*$D16)</f>
        <v/>
      </c>
      <c r="AE16" s="96" t="n"/>
      <c r="AF16" s="97" t="n"/>
      <c r="AG16" s="93">
        <f>IF($A16="","",$K16-68-68)</f>
        <v/>
      </c>
      <c r="AH16" s="94">
        <f>IF($A16="","",$M16-68-68)</f>
        <v/>
      </c>
      <c r="AI16" s="95">
        <f>IF($A16="","",3*$D16)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IF($A17="","",$G17)</f>
        <v/>
      </c>
      <c r="J17" s="89">
        <f>IF($A17="","",$L$56*$D17)</f>
        <v/>
      </c>
      <c r="K17" s="91">
        <f>IF($A17="","",$B17-$E$57-$F$57-$G$57)</f>
        <v/>
      </c>
      <c r="L17" s="89">
        <f>IF($A17="","",$L$57*$D17)</f>
        <v/>
      </c>
      <c r="M17" s="91">
        <f>IF($A17="","",(($C17-$E$58-$F$58-$G$58-$H$58-$I$58)/3)+(78*2)/3)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IF($A17="","",$K17)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IF($A17="","",$C17-$E$63-$F$63)</f>
        <v/>
      </c>
      <c r="X17" s="89">
        <f>IF($A17="","",$L$63*$D17)</f>
        <v/>
      </c>
      <c r="Y17" s="91">
        <f>IF($A17="","",$B17-$E$64-$F$64)</f>
        <v/>
      </c>
      <c r="Z17" s="89">
        <f>IF($A17="","",$L$64*$D17)</f>
        <v/>
      </c>
      <c r="AA17" s="91">
        <f>IF($A17="","",$S17)</f>
        <v/>
      </c>
      <c r="AB17" s="89">
        <f>IF($A17="","",$L$65*$D17)</f>
        <v/>
      </c>
      <c r="AC17" s="91">
        <f>IF($A17="","",$C17-$E$66-$F$66)</f>
        <v/>
      </c>
      <c r="AD17" s="89">
        <f>IF($A17="","",$L$66*$D17)</f>
        <v/>
      </c>
      <c r="AE17" s="91" t="n"/>
      <c r="AF17" s="89" t="n"/>
      <c r="AG17" s="93">
        <f>IF($A17="","",$K17-68-68)</f>
        <v/>
      </c>
      <c r="AH17" s="94">
        <f>IF($A17="","",$M17-68-68)</f>
        <v/>
      </c>
      <c r="AI17" s="95">
        <f>IF($A17="","",3*$D17)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IF($A18="","",$G18)</f>
        <v/>
      </c>
      <c r="J18" s="97">
        <f>IF($A18="","",$L$56*$D18)</f>
        <v/>
      </c>
      <c r="K18" s="96">
        <f>IF($A18="","",$B18-$E$57-$F$57-$G$57)</f>
        <v/>
      </c>
      <c r="L18" s="97">
        <f>IF($A18="","",$L$57*$D18)</f>
        <v/>
      </c>
      <c r="M18" s="96">
        <f>IF($A18="","",(($C18-$E$58-$F$58-$G$58-$H$58-$I$58)/3)+(78*2)/3)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IF($A18="","",$K18)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IF($A18="","",$C18-$E$63-$F$63)</f>
        <v/>
      </c>
      <c r="X18" s="97">
        <f>IF($A18="","",$L$63*$D18)</f>
        <v/>
      </c>
      <c r="Y18" s="96">
        <f>IF($A18="","",$B18-$E$64-$F$64)</f>
        <v/>
      </c>
      <c r="Z18" s="97">
        <f>IF($A18="","",$L$64*$D18)</f>
        <v/>
      </c>
      <c r="AA18" s="96">
        <f>IF($A18="","",$S18)</f>
        <v/>
      </c>
      <c r="AB18" s="97">
        <f>IF($A18="","",$L$65*$D18)</f>
        <v/>
      </c>
      <c r="AC18" s="96">
        <f>IF($A18="","",$C18-$E$66-$F$66)</f>
        <v/>
      </c>
      <c r="AD18" s="97">
        <f>IF($A18="","",$L$66*$D18)</f>
        <v/>
      </c>
      <c r="AE18" s="96" t="n"/>
      <c r="AF18" s="97" t="n"/>
      <c r="AG18" s="93">
        <f>IF($A18="","",$K18-68-68)</f>
        <v/>
      </c>
      <c r="AH18" s="94">
        <f>IF($A18="","",$M18-68-68)</f>
        <v/>
      </c>
      <c r="AI18" s="95">
        <f>IF($A18="","",3*$D18)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IF($A19="","",$G19)</f>
        <v/>
      </c>
      <c r="J19" s="89">
        <f>IF($A19="","",$L$56*$D19)</f>
        <v/>
      </c>
      <c r="K19" s="91">
        <f>IF($A19="","",$B19-$E$57-$F$57-$G$57)</f>
        <v/>
      </c>
      <c r="L19" s="89">
        <f>IF($A19="","",$L$57*$D19)</f>
        <v/>
      </c>
      <c r="M19" s="91">
        <f>IF($A19="","",(($C19-$E$58-$F$58-$G$58-$H$58-$I$58)/3)+(78*2)/3)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IF($A19="","",$K19)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IF($A19="","",$C19-$E$63-$F$63)</f>
        <v/>
      </c>
      <c r="X19" s="89">
        <f>IF($A19="","",$L$63*$D19)</f>
        <v/>
      </c>
      <c r="Y19" s="91">
        <f>IF($A19="","",$B19-$E$64-$F$64)</f>
        <v/>
      </c>
      <c r="Z19" s="89">
        <f>IF($A19="","",$L$64*$D19)</f>
        <v/>
      </c>
      <c r="AA19" s="91">
        <f>IF($A19="","",$S19)</f>
        <v/>
      </c>
      <c r="AB19" s="89">
        <f>IF($A19="","",$L$65*$D19)</f>
        <v/>
      </c>
      <c r="AC19" s="91">
        <f>IF($A19="","",$C19-$E$66-$F$66)</f>
        <v/>
      </c>
      <c r="AD19" s="89">
        <f>IF($A19="","",$L$66*$D19)</f>
        <v/>
      </c>
      <c r="AE19" s="91" t="n"/>
      <c r="AF19" s="89" t="n"/>
      <c r="AG19" s="93">
        <f>IF($A19="","",$K19-68-68)</f>
        <v/>
      </c>
      <c r="AH19" s="94">
        <f>IF($A19="","",$M19-68-68)</f>
        <v/>
      </c>
      <c r="AI19" s="95">
        <f>IF($A19="","",3*$D19)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IF($A20="","",$G20)</f>
        <v/>
      </c>
      <c r="J20" s="97">
        <f>IF($A20="","",$L$56*$D20)</f>
        <v/>
      </c>
      <c r="K20" s="96">
        <f>IF($A20="","",$B20-$E$57-$F$57-$G$57)</f>
        <v/>
      </c>
      <c r="L20" s="97">
        <f>IF($A20="","",$L$57*$D20)</f>
        <v/>
      </c>
      <c r="M20" s="96">
        <f>IF($A20="","",(($C20-$E$58-$F$58-$G$58-$H$58-$I$58)/3)+(78*2)/3)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IF($A20="","",$K20)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IF($A20="","",$C20-$E$63-$F$63)</f>
        <v/>
      </c>
      <c r="X20" s="97">
        <f>IF($A20="","",$L$63*$D20)</f>
        <v/>
      </c>
      <c r="Y20" s="96">
        <f>IF($A20="","",$B20-$E$64-$F$64)</f>
        <v/>
      </c>
      <c r="Z20" s="97">
        <f>IF($A20="","",$L$64*$D20)</f>
        <v/>
      </c>
      <c r="AA20" s="96">
        <f>IF($A20="","",$S20)</f>
        <v/>
      </c>
      <c r="AB20" s="97">
        <f>IF($A20="","",$L$65*$D20)</f>
        <v/>
      </c>
      <c r="AC20" s="96">
        <f>IF($A20="","",$C20-$E$66-$F$66)</f>
        <v/>
      </c>
      <c r="AD20" s="97">
        <f>IF($A20="","",$L$66*$D20)</f>
        <v/>
      </c>
      <c r="AE20" s="96" t="n"/>
      <c r="AF20" s="97" t="n"/>
      <c r="AG20" s="93">
        <f>IF($A20="","",$K20-68-68)</f>
        <v/>
      </c>
      <c r="AH20" s="94">
        <f>IF($A20="","",$M20-68-68)</f>
        <v/>
      </c>
      <c r="AI20" s="95">
        <f>IF($A20="","",3*$D20)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IF($A21="","",$G21)</f>
        <v/>
      </c>
      <c r="J21" s="89">
        <f>IF($A21="","",$L$56*$D21)</f>
        <v/>
      </c>
      <c r="K21" s="91">
        <f>IF($A21="","",$B21-$E$57-$F$57-$G$57)</f>
        <v/>
      </c>
      <c r="L21" s="89">
        <f>IF($A21="","",$L$57*$D21)</f>
        <v/>
      </c>
      <c r="M21" s="91">
        <f>IF($A21="","",(($C21-$E$58-$F$58-$G$58-$H$58-$I$58)/3)+(78*2)/3)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IF($A21="","",$K21)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IF($A21="","",$C21-$E$63-$F$63)</f>
        <v/>
      </c>
      <c r="X21" s="89">
        <f>IF($A21="","",$L$63*$D21)</f>
        <v/>
      </c>
      <c r="Y21" s="91">
        <f>IF($A21="","",$B21-$E$64-$F$64)</f>
        <v/>
      </c>
      <c r="Z21" s="89">
        <f>IF($A21="","",$L$64*$D21)</f>
        <v/>
      </c>
      <c r="AA21" s="91">
        <f>IF($A21="","",$S21)</f>
        <v/>
      </c>
      <c r="AB21" s="89">
        <f>IF($A21="","",$L$65*$D21)</f>
        <v/>
      </c>
      <c r="AC21" s="91">
        <f>IF($A21="","",$C21-$E$66-$F$66)</f>
        <v/>
      </c>
      <c r="AD21" s="89">
        <f>IF($A21="","",$L$66*$D21)</f>
        <v/>
      </c>
      <c r="AE21" s="91" t="n"/>
      <c r="AF21" s="89" t="n"/>
      <c r="AG21" s="93">
        <f>IF($A21="","",$K21-68-68)</f>
        <v/>
      </c>
      <c r="AH21" s="94">
        <f>IF($A21="","",$M21-68-68)</f>
        <v/>
      </c>
      <c r="AI21" s="95">
        <f>IF($A21="","",3*$D21)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IF($A22="","",$G22)</f>
        <v/>
      </c>
      <c r="J22" s="97">
        <f>IF($A22="","",$L$56*$D22)</f>
        <v/>
      </c>
      <c r="K22" s="96">
        <f>IF($A22="","",$B22-$E$57-$F$57-$G$57)</f>
        <v/>
      </c>
      <c r="L22" s="97">
        <f>IF($A22="","",$L$57*$D22)</f>
        <v/>
      </c>
      <c r="M22" s="96">
        <f>IF($A22="","",(($C22-$E$58-$F$58-$G$58-$H$58-$I$58)/3)+(78*2)/3)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IF($A22="","",$K22)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IF($A22="","",$C22-$E$63-$F$63)</f>
        <v/>
      </c>
      <c r="X22" s="97">
        <f>IF($A22="","",$L$63*$D22)</f>
        <v/>
      </c>
      <c r="Y22" s="96">
        <f>IF($A22="","",$B22-$E$64-$F$64)</f>
        <v/>
      </c>
      <c r="Z22" s="97">
        <f>IF($A22="","",$L$64*$D22)</f>
        <v/>
      </c>
      <c r="AA22" s="96">
        <f>IF($A22="","",$S22)</f>
        <v/>
      </c>
      <c r="AB22" s="97">
        <f>IF($A22="","",$L$65*$D22)</f>
        <v/>
      </c>
      <c r="AC22" s="96">
        <f>IF($A22="","",$C22-$E$66-$F$66)</f>
        <v/>
      </c>
      <c r="AD22" s="97">
        <f>IF($A22="","",$L$66*$D22)</f>
        <v/>
      </c>
      <c r="AE22" s="96" t="n"/>
      <c r="AF22" s="97" t="n"/>
      <c r="AG22" s="93">
        <f>IF($A22="","",$K22-68-68)</f>
        <v/>
      </c>
      <c r="AH22" s="94">
        <f>IF($A22="","",$M22-68-68)</f>
        <v/>
      </c>
      <c r="AI22" s="95">
        <f>IF($A22="","",3*$D22)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IF($A23="","",$G23)</f>
        <v/>
      </c>
      <c r="J23" s="89">
        <f>IF($A23="","",$L$56*$D23)</f>
        <v/>
      </c>
      <c r="K23" s="91">
        <f>IF($A23="","",$B23-$E$57-$F$57-$G$57)</f>
        <v/>
      </c>
      <c r="L23" s="89">
        <f>IF($A23="","",$L$57*$D23)</f>
        <v/>
      </c>
      <c r="M23" s="91">
        <f>IF($A23="","",(($C23-$E$58-$F$58-$G$58-$H$58-$I$58)/3)+(78*2)/3)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IF($A23="","",$K23)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IF($A23="","",$C23-$E$63-$F$63)</f>
        <v/>
      </c>
      <c r="X23" s="89">
        <f>IF($A23="","",$L$63*$D23)</f>
        <v/>
      </c>
      <c r="Y23" s="91">
        <f>IF($A23="","",$B23-$E$64-$F$64)</f>
        <v/>
      </c>
      <c r="Z23" s="89">
        <f>IF($A23="","",$L$64*$D23)</f>
        <v/>
      </c>
      <c r="AA23" s="91">
        <f>IF($A23="","",$S23)</f>
        <v/>
      </c>
      <c r="AB23" s="89">
        <f>IF($A23="","",$L$65*$D23)</f>
        <v/>
      </c>
      <c r="AC23" s="91">
        <f>IF($A23="","",$C23-$E$66-$F$66)</f>
        <v/>
      </c>
      <c r="AD23" s="89">
        <f>IF($A23="","",$L$66*$D23)</f>
        <v/>
      </c>
      <c r="AE23" s="91" t="n"/>
      <c r="AF23" s="89" t="n"/>
      <c r="AG23" s="93">
        <f>IF($A23="","",$K23-68-68)</f>
        <v/>
      </c>
      <c r="AH23" s="94">
        <f>IF($A23="","",$M23-68-68)</f>
        <v/>
      </c>
      <c r="AI23" s="95">
        <f>IF($A23="","",3*$D23)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IF($A24="","",$G24)</f>
        <v/>
      </c>
      <c r="J24" s="97">
        <f>IF($A24="","",$L$56*$D24)</f>
        <v/>
      </c>
      <c r="K24" s="96">
        <f>IF($A24="","",$B24-$E$57-$F$57-$G$57)</f>
        <v/>
      </c>
      <c r="L24" s="97">
        <f>IF($A24="","",$L$57*$D24)</f>
        <v/>
      </c>
      <c r="M24" s="96">
        <f>IF($A24="","",(($C24-$E$58-$F$58-$G$58-$H$58-$I$58)/3)+(78*2)/3)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IF($A24="","",$K24)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IF($A24="","",$C24-$E$63-$F$63)</f>
        <v/>
      </c>
      <c r="X24" s="97">
        <f>IF($A24="","",$L$63*$D24)</f>
        <v/>
      </c>
      <c r="Y24" s="96">
        <f>IF($A24="","",$B24-$E$64-$F$64)</f>
        <v/>
      </c>
      <c r="Z24" s="97">
        <f>IF($A24="","",$L$64*$D24)</f>
        <v/>
      </c>
      <c r="AA24" s="96">
        <f>IF($A24="","",$S24)</f>
        <v/>
      </c>
      <c r="AB24" s="97">
        <f>IF($A24="","",$L$65*$D24)</f>
        <v/>
      </c>
      <c r="AC24" s="96">
        <f>IF($A24="","",$C24-$E$66-$F$66)</f>
        <v/>
      </c>
      <c r="AD24" s="97">
        <f>IF($A24="","",$L$66*$D24)</f>
        <v/>
      </c>
      <c r="AE24" s="96" t="n"/>
      <c r="AF24" s="97" t="n"/>
      <c r="AG24" s="93">
        <f>IF($A24="","",$K24-68-68)</f>
        <v/>
      </c>
      <c r="AH24" s="94">
        <f>IF($A24="","",$M24-68-68)</f>
        <v/>
      </c>
      <c r="AI24" s="95">
        <f>IF($A24="","",3*$D24)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IF($A25="","",$G25)</f>
        <v/>
      </c>
      <c r="J25" s="89">
        <f>IF($A25="","",$L$56*$D25)</f>
        <v/>
      </c>
      <c r="K25" s="91">
        <f>IF($A25="","",$B25-$E$57-$F$57-$G$57)</f>
        <v/>
      </c>
      <c r="L25" s="89">
        <f>IF($A25="","",$L$57*$D25)</f>
        <v/>
      </c>
      <c r="M25" s="91">
        <f>IF($A25="","",(($C25-$E$58-$F$58-$G$58-$H$58-$I$58)/3)+(78*2)/3)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IF($A25="","",$K25)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IF($A25="","",$C25-$E$63-$F$63)</f>
        <v/>
      </c>
      <c r="X25" s="89">
        <f>IF($A25="","",$L$63*$D25)</f>
        <v/>
      </c>
      <c r="Y25" s="91">
        <f>IF($A25="","",$B25-$E$64-$F$64)</f>
        <v/>
      </c>
      <c r="Z25" s="89">
        <f>IF($A25="","",$L$64*$D25)</f>
        <v/>
      </c>
      <c r="AA25" s="91">
        <f>IF($A25="","",$S25)</f>
        <v/>
      </c>
      <c r="AB25" s="89">
        <f>IF($A25="","",$L$65*$D25)</f>
        <v/>
      </c>
      <c r="AC25" s="91">
        <f>IF($A25="","",$C25-$E$66-$F$66)</f>
        <v/>
      </c>
      <c r="AD25" s="89">
        <f>IF($A25="","",$L$66*$D25)</f>
        <v/>
      </c>
      <c r="AE25" s="91" t="n"/>
      <c r="AF25" s="89" t="n"/>
      <c r="AG25" s="93">
        <f>IF($A25="","",$K25-68-68)</f>
        <v/>
      </c>
      <c r="AH25" s="94">
        <f>IF($A25="","",$M25-68-68)</f>
        <v/>
      </c>
      <c r="AI25" s="95">
        <f>IF($A25="","",3*$D25)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IF($A26="","",$G26)</f>
        <v/>
      </c>
      <c r="J26" s="97">
        <f>IF($A26="","",$L$56*$D26)</f>
        <v/>
      </c>
      <c r="K26" s="96">
        <f>IF($A26="","",$B26-$E$57-$F$57-$G$57)</f>
        <v/>
      </c>
      <c r="L26" s="97">
        <f>IF($A26="","",$L$57*$D26)</f>
        <v/>
      </c>
      <c r="M26" s="96">
        <f>IF($A26="","",(($C26-$E$58-$F$58-$G$58-$H$58-$I$58)/3)+(78*2)/3)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IF($A26="","",$K26)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IF($A26="","",$C26-$E$63-$F$63)</f>
        <v/>
      </c>
      <c r="X26" s="97">
        <f>IF($A26="","",$L$63*$D26)</f>
        <v/>
      </c>
      <c r="Y26" s="96">
        <f>IF($A26="","",$B26-$E$64-$F$64)</f>
        <v/>
      </c>
      <c r="Z26" s="97">
        <f>IF($A26="","",$L$64*$D26)</f>
        <v/>
      </c>
      <c r="AA26" s="96">
        <f>IF($A26="","",$S26)</f>
        <v/>
      </c>
      <c r="AB26" s="97">
        <f>IF($A26="","",$L$65*$D26)</f>
        <v/>
      </c>
      <c r="AC26" s="96">
        <f>IF($A26="","",$C26-$E$66-$F$66)</f>
        <v/>
      </c>
      <c r="AD26" s="97">
        <f>IF($A26="","",$L$66*$D26)</f>
        <v/>
      </c>
      <c r="AE26" s="96" t="n"/>
      <c r="AF26" s="97" t="n"/>
      <c r="AG26" s="93">
        <f>IF($A26="","",$K26-68-68)</f>
        <v/>
      </c>
      <c r="AH26" s="94">
        <f>IF($A26="","",$M26-68-68)</f>
        <v/>
      </c>
      <c r="AI26" s="95">
        <f>IF($A26="","",3*$D26)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IF($A27="","",$G27)</f>
        <v/>
      </c>
      <c r="J27" s="89">
        <f>IF($A27="","",$L$56*$D27)</f>
        <v/>
      </c>
      <c r="K27" s="91">
        <f>IF($A27="","",$B27-$E$57-$F$57-$G$57)</f>
        <v/>
      </c>
      <c r="L27" s="89">
        <f>IF($A27="","",$L$57*$D27)</f>
        <v/>
      </c>
      <c r="M27" s="91">
        <f>IF($A27="","",(($C27-$E$58-$F$58-$G$58-$H$58-$I$58)/3)+(78*2)/3)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IF($A27="","",$K27)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IF($A27="","",$C27-$E$63-$F$63)</f>
        <v/>
      </c>
      <c r="X27" s="89">
        <f>IF($A27="","",$L$63*$D27)</f>
        <v/>
      </c>
      <c r="Y27" s="91">
        <f>IF($A27="","",$B27-$E$64-$F$64)</f>
        <v/>
      </c>
      <c r="Z27" s="89">
        <f>IF($A27="","",$L$64*$D27)</f>
        <v/>
      </c>
      <c r="AA27" s="91">
        <f>IF($A27="","",$S27)</f>
        <v/>
      </c>
      <c r="AB27" s="89">
        <f>IF($A27="","",$L$65*$D27)</f>
        <v/>
      </c>
      <c r="AC27" s="91">
        <f>IF($A27="","",$C27-$E$66-$F$66)</f>
        <v/>
      </c>
      <c r="AD27" s="89">
        <f>IF($A27="","",$L$66*$D27)</f>
        <v/>
      </c>
      <c r="AE27" s="91" t="n"/>
      <c r="AF27" s="89" t="n"/>
      <c r="AG27" s="93">
        <f>IF($A27="","",$K27-68-68)</f>
        <v/>
      </c>
      <c r="AH27" s="94">
        <f>IF($A27="","",$M27-68-68)</f>
        <v/>
      </c>
      <c r="AI27" s="95">
        <f>IF($A27="","",3*$D27)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IF($A28="","",$G28)</f>
        <v/>
      </c>
      <c r="J28" s="97">
        <f>IF($A28="","",$L$56*$D28)</f>
        <v/>
      </c>
      <c r="K28" s="96">
        <f>IF($A28="","",$B28-$E$57-$F$57-$G$57)</f>
        <v/>
      </c>
      <c r="L28" s="97">
        <f>IF($A28="","",$L$57*$D28)</f>
        <v/>
      </c>
      <c r="M28" s="96">
        <f>IF($A28="","",(($C28-$E$58-$F$58-$G$58-$H$58-$I$58)/3)+(78*2)/3)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IF($A28="","",$K28)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IF($A28="","",$C28-$E$63-$F$63)</f>
        <v/>
      </c>
      <c r="X28" s="97">
        <f>IF($A28="","",$L$63*$D28)</f>
        <v/>
      </c>
      <c r="Y28" s="96">
        <f>IF($A28="","",$B28-$E$64-$F$64)</f>
        <v/>
      </c>
      <c r="Z28" s="97">
        <f>IF($A28="","",$L$64*$D28)</f>
        <v/>
      </c>
      <c r="AA28" s="96">
        <f>IF($A28="","",$S28)</f>
        <v/>
      </c>
      <c r="AB28" s="97">
        <f>IF($A28="","",$L$65*$D28)</f>
        <v/>
      </c>
      <c r="AC28" s="96">
        <f>IF($A28="","",$C28-$E$66-$F$66)</f>
        <v/>
      </c>
      <c r="AD28" s="97">
        <f>IF($A28="","",$L$66*$D28)</f>
        <v/>
      </c>
      <c r="AE28" s="96" t="n"/>
      <c r="AF28" s="97" t="n"/>
      <c r="AG28" s="93">
        <f>IF($A28="","",$K28-68-68)</f>
        <v/>
      </c>
      <c r="AH28" s="94">
        <f>IF($A28="","",$M28-68-68)</f>
        <v/>
      </c>
      <c r="AI28" s="95">
        <f>IF($A28="","",3*$D28)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110">
        <f>E$7</f>
        <v/>
      </c>
      <c r="F30" s="111">
        <f>(ROUNDUP(F49/6400,0))</f>
        <v/>
      </c>
      <c r="G30" s="111">
        <f>G$7</f>
        <v/>
      </c>
      <c r="H30" s="111">
        <f>(ROUNDUP(H49/6400,0))</f>
        <v/>
      </c>
      <c r="I30" s="111">
        <f>I$7</f>
        <v/>
      </c>
      <c r="J30" s="111">
        <f>(ROUNDUP(J49/6400,0))</f>
        <v/>
      </c>
      <c r="K30" s="111">
        <f>K$7</f>
        <v/>
      </c>
      <c r="L30" s="20" t="n"/>
      <c r="M30" s="21" t="n"/>
      <c r="N30" s="111">
        <f>(ROUNDUP(SUM(L49:N49)/6400,0))</f>
        <v/>
      </c>
      <c r="O30" s="111">
        <f>O$7</f>
        <v/>
      </c>
      <c r="P30" s="20" t="n"/>
      <c r="Q30" s="21" t="n"/>
      <c r="R30" s="111">
        <f>(ROUNDUP(SUM(P49:R49)/6400,0))</f>
        <v/>
      </c>
      <c r="S30" s="111">
        <f>S$7</f>
        <v/>
      </c>
      <c r="T30" s="111">
        <f>(ROUNDUP(T49/6400,0))</f>
        <v/>
      </c>
      <c r="U30" s="111">
        <f>U$7</f>
        <v/>
      </c>
      <c r="V30" s="111">
        <f>(ROUNDUP(V49/6400,0))</f>
        <v/>
      </c>
      <c r="W30" s="111">
        <f>W$7</f>
        <v/>
      </c>
      <c r="X30" s="111">
        <f>(ROUNDUP(X49/5000,0))</f>
        <v/>
      </c>
      <c r="Y30" s="111">
        <f>Y$7</f>
        <v/>
      </c>
      <c r="Z30" s="20" t="n"/>
      <c r="AA30" s="21" t="n"/>
      <c r="AB30" s="111">
        <f>(ROUNDUP(SUM(Z49:AB49)/6400,0))</f>
        <v/>
      </c>
      <c r="AC30" s="111">
        <f>AC$7</f>
        <v/>
      </c>
      <c r="AD30" s="111">
        <f>(ROUNDUP(AD49/5000,0))</f>
        <v/>
      </c>
      <c r="AE30" s="120" t="n"/>
      <c r="AF30" s="111">
        <f>(ROUNDUP(SUM(Z49:AF49)/6400,0))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1</v>
      </c>
      <c r="M55" s="82" t="n"/>
    </row>
    <row r="56" ht="44" customHeight="1">
      <c r="A56" s="78" t="n">
        <v>3</v>
      </c>
      <c r="B56" s="79" t="inlineStr">
        <is>
          <t>เฟรม-ล่าง</t>
        </is>
      </c>
      <c r="C56" s="80" t="inlineStr">
        <is>
          <t>F7902</t>
        </is>
      </c>
      <c r="D56" s="81" t="inlineStr">
        <is>
          <t>กว้าง-21-21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สูง-14-13-21</t>
        </is>
      </c>
      <c r="E57" s="83" t="n">
        <v>14</v>
      </c>
      <c r="F57" s="83" t="n">
        <v>13</v>
      </c>
      <c r="G57" s="83" t="n">
        <v>21</v>
      </c>
      <c r="H57" s="82" t="n"/>
      <c r="I57" s="82" t="n"/>
      <c r="J57" s="82" t="n"/>
      <c r="K57" s="82" t="n"/>
      <c r="L57" s="83" t="n">
        <v>6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((กว้าง-21-3-2.4-3-21)/3)+(78x2/3)</t>
        </is>
      </c>
      <c r="E58" s="83" t="n">
        <v>21</v>
      </c>
      <c r="F58" s="83" t="n">
        <v>3</v>
      </c>
      <c r="G58" s="83" t="n">
        <v>2.4</v>
      </c>
      <c r="H58" s="83" t="n">
        <v>3</v>
      </c>
      <c r="I58" s="83" t="n">
        <v>21</v>
      </c>
      <c r="J58" s="82" t="n"/>
      <c r="K58" s="82" t="n"/>
      <c r="L58" s="83" t="n">
        <v>6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6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6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4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สูง-8-45</t>
        </is>
      </c>
      <c r="E62" s="83" t="n">
        <v>8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สูง-8-45</t>
        </is>
      </c>
      <c r="E64" s="83" t="n">
        <v>8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4</v>
      </c>
      <c r="M65" s="82" t="n"/>
    </row>
    <row r="66" ht="44" customHeight="1">
      <c r="A66" s="78" t="n">
        <v>13</v>
      </c>
      <c r="B66" s="79" t="inlineStr">
        <is>
          <t>ราง</t>
        </is>
      </c>
      <c r="C66" s="80" t="inlineStr">
        <is>
          <t>F7994</t>
        </is>
      </c>
      <c r="D66" s="81" t="inlineStr">
        <is>
          <t>เท่าเฟรมล่าง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3</v>
      </c>
      <c r="M66" s="82" t="n"/>
    </row>
    <row r="68">
      <c r="A68" s="123" t="inlineStr">
        <is>
          <t>⑥ อุปกรณ์ ต่อ 1 บาน — คูณจำนวนบานที่ผลิต</t>
        </is>
      </c>
      <c r="B68" s="131" t="n"/>
      <c r="C68" s="131" t="n"/>
      <c r="D68" s="131" t="n"/>
      <c r="E68" s="132" t="n"/>
      <c r="F68" s="124" t="inlineStr">
        <is>
          <t>ต่อบาน</t>
        </is>
      </c>
    </row>
    <row r="69">
      <c r="A69" s="125" t="inlineStr">
        <is>
          <t>1. ล้อ 27</t>
        </is>
      </c>
      <c r="B69" s="131" t="n"/>
      <c r="C69" s="131" t="n"/>
      <c r="D69" s="131" t="n"/>
      <c r="E69" s="132" t="n"/>
      <c r="F69" s="126" t="n">
        <v>2</v>
      </c>
    </row>
    <row r="70">
      <c r="A70" s="125" t="inlineStr">
        <is>
          <t>2. มือจับ Align</t>
        </is>
      </c>
      <c r="B70" s="131" t="n"/>
      <c r="C70" s="131" t="n"/>
      <c r="D70" s="131" t="n"/>
      <c r="E70" s="132" t="n"/>
      <c r="F70" s="126" t="n">
        <v>2</v>
      </c>
    </row>
    <row r="71">
      <c r="A71" s="125" t="inlineStr">
        <is>
          <t>3. ชุดล็อค</t>
        </is>
      </c>
      <c r="B71" s="131" t="n"/>
      <c r="C71" s="131" t="n"/>
      <c r="D71" s="131" t="n"/>
      <c r="E71" s="132" t="n"/>
      <c r="F71" s="126" t="n">
        <v>1</v>
      </c>
    </row>
    <row r="72">
      <c r="A72" s="125" t="inlineStr">
        <is>
          <t>4. น็อตประกอบ</t>
        </is>
      </c>
      <c r="B72" s="131" t="n"/>
      <c r="C72" s="131" t="n"/>
      <c r="D72" s="131" t="n"/>
      <c r="E72" s="132" t="n"/>
      <c r="F72" s="126" t="n">
        <v>4</v>
      </c>
    </row>
    <row r="73">
      <c r="A73" s="127" t="inlineStr">
        <is>
          <t>+ สักหลาด/ยาง/ซิลิโคน = ตามขนาด (ดูชีทคิดทุน)</t>
        </is>
      </c>
      <c r="B73" s="131" t="n"/>
      <c r="C73" s="131" t="n"/>
      <c r="D73" s="131" t="n"/>
      <c r="E73" s="131" t="n"/>
      <c r="F73" s="132" t="n"/>
    </row>
  </sheetData>
  <mergeCells count="67">
    <mergeCell ref="U9:V9"/>
    <mergeCell ref="I6:J6"/>
    <mergeCell ref="AC7:AD7"/>
    <mergeCell ref="O6:P6"/>
    <mergeCell ref="U6:V6"/>
    <mergeCell ref="K9:L9"/>
    <mergeCell ref="W6:X6"/>
    <mergeCell ref="M9:N9"/>
    <mergeCell ref="K7:N7"/>
    <mergeCell ref="O9:P9"/>
    <mergeCell ref="G8:H8"/>
    <mergeCell ref="E8:F8"/>
    <mergeCell ref="A70:E70"/>
    <mergeCell ref="Y9:Z9"/>
    <mergeCell ref="Q8:R8"/>
    <mergeCell ref="AA9:AB9"/>
    <mergeCell ref="S8:T8"/>
    <mergeCell ref="A69:E69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A8:A9"/>
    <mergeCell ref="E6:F6"/>
    <mergeCell ref="A6:D6"/>
    <mergeCell ref="M6:N6"/>
    <mergeCell ref="K8:L8"/>
    <mergeCell ref="AA8:AB8"/>
    <mergeCell ref="Q6:R6"/>
    <mergeCell ref="A71:E71"/>
    <mergeCell ref="S6:T6"/>
    <mergeCell ref="D8:D9"/>
    <mergeCell ref="A7:D7"/>
    <mergeCell ref="Y6:Z6"/>
    <mergeCell ref="Q9:R9"/>
    <mergeCell ref="I8:J8"/>
    <mergeCell ref="S9:T9"/>
    <mergeCell ref="K30:M30"/>
    <mergeCell ref="W9:X9"/>
    <mergeCell ref="AC9:AD9"/>
    <mergeCell ref="M8:N8"/>
    <mergeCell ref="U8:V8"/>
    <mergeCell ref="AE9:AF9"/>
    <mergeCell ref="O8:P8"/>
    <mergeCell ref="W8:X8"/>
    <mergeCell ref="B8:C9"/>
    <mergeCell ref="A73:F73"/>
    <mergeCell ref="AC6:AD6"/>
    <mergeCell ref="E7:F7"/>
    <mergeCell ref="A72:E72"/>
    <mergeCell ref="AE6:AF6"/>
    <mergeCell ref="A68:E68"/>
    <mergeCell ref="O30:Q30"/>
    <mergeCell ref="Y7:AB7"/>
    <mergeCell ref="Y8:Z8"/>
    <mergeCell ref="K6:L6"/>
    <mergeCell ref="G9:H9"/>
    <mergeCell ref="Y30:AA30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76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12.75" customWidth="1" min="38" max="38"/>
    <col width="8.75" customWidth="1" min="39" max="39"/>
    <col width="8.875" customWidth="1" min="40" max="40"/>
  </cols>
  <sheetData>
    <row r="1" ht="40.15" customHeight="1">
      <c r="A1" s="1" t="inlineStr">
        <is>
          <t>JR ALUMINIUM &amp; GLASS  —  ใบรายการตัด · FUJI เลื่อน4ราง ภายใน   (หน่วย: มม.)</t>
        </is>
      </c>
      <c r="B1" s="2" t="n"/>
      <c r="D1" s="3" t="n"/>
      <c r="E1" s="4" t="n"/>
      <c r="F1" s="3" t="n"/>
      <c r="G1" s="5" t="n"/>
      <c r="H1" s="5" t="n"/>
      <c r="I1" s="3" t="n"/>
      <c r="J1" s="3" t="n"/>
      <c r="K1" s="5" t="n"/>
      <c r="L1" s="5" t="n"/>
      <c r="M1" s="6" t="n"/>
      <c r="N1" s="6" t="n"/>
      <c r="O1" s="6" t="n"/>
      <c r="P1" s="5" t="n"/>
      <c r="Q1" s="3" t="n"/>
      <c r="R1" s="3" t="n"/>
      <c r="S1" s="6" t="n"/>
      <c r="T1" s="6" t="n"/>
      <c r="U1" s="5" t="n"/>
      <c r="V1" s="5" t="n"/>
      <c r="W1" s="3" t="n"/>
      <c r="X1" s="7" t="n"/>
      <c r="Y1" s="6" t="n"/>
      <c r="Z1" s="6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6" t="n"/>
      <c r="J2" s="6" t="n"/>
      <c r="K2" s="9" t="n"/>
      <c r="L2" s="9" t="n"/>
      <c r="M2" s="9" t="n"/>
      <c r="N2" s="9" t="n"/>
      <c r="O2" s="9" t="n"/>
      <c r="P2" s="9" t="n"/>
      <c r="Q2" s="6" t="n"/>
      <c r="R2" s="6" t="n"/>
      <c r="S2" s="6" t="n"/>
      <c r="T2" s="6" t="n"/>
      <c r="U2" s="9" t="n"/>
      <c r="V2" s="9" t="n"/>
      <c r="W2" s="6" t="n"/>
      <c r="X2" s="6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ht="40.15" customHeight="1">
      <c r="A3" s="130">
        <f>HYPERLINK("#สารบัญ!A1","← สารบัญ")</f>
        <v/>
      </c>
      <c r="B3" s="6" t="n"/>
      <c r="C3" s="121" t="n"/>
      <c r="D3" s="6" t="n"/>
      <c r="E3" s="8" t="n"/>
      <c r="F3" s="6" t="n"/>
      <c r="G3" s="11" t="n"/>
      <c r="H3" s="11" t="n"/>
      <c r="I3" s="6" t="n"/>
      <c r="J3" s="6" t="n"/>
      <c r="K3" s="11" t="n"/>
      <c r="L3" s="11" t="n"/>
      <c r="O3" s="9" t="n"/>
      <c r="P3" s="9" t="n"/>
      <c r="Q3" s="6" t="n"/>
      <c r="R3" s="6" t="n"/>
      <c r="S3" s="6" t="n"/>
      <c r="T3" s="6" t="n"/>
      <c r="U3" s="11" t="n"/>
      <c r="V3" s="11" t="n"/>
      <c r="W3" s="6" t="n"/>
      <c r="X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40.15" customHeight="1">
      <c r="A4" s="6" t="n"/>
      <c r="B4" s="6" t="n"/>
      <c r="C4" s="6" t="n"/>
      <c r="F4" s="6" t="n"/>
      <c r="I4" s="6" t="n"/>
      <c r="J4" s="6" t="n"/>
      <c r="O4" s="9" t="n"/>
      <c r="P4" s="9" t="n"/>
      <c r="Q4" s="6" t="n"/>
      <c r="R4" s="6" t="n"/>
      <c r="S4" s="6" t="n"/>
      <c r="T4" s="6" t="n"/>
      <c r="W4" s="6" t="n"/>
      <c r="X4" s="6" t="n"/>
    </row>
    <row r="5" ht="40.15" customHeight="1">
      <c r="A5" s="6" t="n"/>
      <c r="B5" s="6" t="n"/>
      <c r="C5" s="6" t="n"/>
      <c r="D5" s="6" t="n"/>
      <c r="E5" s="8" t="n"/>
      <c r="F5" s="6" t="n"/>
      <c r="I5" s="6" t="n"/>
      <c r="J5" s="6" t="n"/>
      <c r="Q5" s="6" t="n"/>
      <c r="R5" s="6" t="n"/>
      <c r="T5" s="6" t="n"/>
      <c r="W5" s="6" t="n"/>
      <c r="X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สูง</t>
        </is>
      </c>
      <c r="H6" s="17" t="n"/>
      <c r="I6" s="16" t="inlineStr">
        <is>
          <t>กว้าง-21-21</t>
        </is>
      </c>
      <c r="J6" s="17" t="n"/>
      <c r="K6" s="16" t="inlineStr">
        <is>
          <t>กว้าง-21-21</t>
        </is>
      </c>
      <c r="L6" s="17" t="n"/>
      <c r="M6" s="16" t="inlineStr">
        <is>
          <t>กว้าง-21-21</t>
        </is>
      </c>
      <c r="N6" s="17" t="n"/>
      <c r="O6" s="16" t="inlineStr">
        <is>
          <t>กว้าง</t>
        </is>
      </c>
      <c r="P6" s="17" t="n"/>
      <c r="Q6" s="16" t="inlineStr">
        <is>
          <t>สูง-5-13-21</t>
        </is>
      </c>
      <c r="R6" s="17" t="n"/>
      <c r="S6" s="16" t="inlineStr">
        <is>
          <t>((กว้าง-21-3-3-3.6-21)/4)+(78x3/4)</t>
        </is>
      </c>
      <c r="T6" s="17" t="n"/>
      <c r="U6" s="16" t="inlineStr">
        <is>
          <t>เสา-78-78</t>
        </is>
      </c>
      <c r="V6" s="17" t="n"/>
      <c r="W6" s="16" t="inlineStr">
        <is>
          <t>ขวาง-63-63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สูง-45</t>
        </is>
      </c>
      <c r="AB6" s="17" t="n"/>
      <c r="AC6" s="16" t="inlineStr">
        <is>
          <t>เท่าเฟรมบน</t>
        </is>
      </c>
      <c r="AD6" s="17" t="n"/>
      <c r="AE6" s="16" t="inlineStr">
        <is>
          <t>สูง-45</t>
        </is>
      </c>
      <c r="AF6" s="17" t="n"/>
      <c r="AG6" s="16" t="inlineStr">
        <is>
          <t>สูงกรอบบาน</t>
        </is>
      </c>
      <c r="AH6" s="17" t="n"/>
      <c r="AI6" s="16" t="inlineStr">
        <is>
          <t>เท่าเฟรมล่าง</t>
        </is>
      </c>
      <c r="AJ6" s="17" t="n"/>
      <c r="AK6" s="18" t="n"/>
      <c r="AL6" s="18" t="n"/>
      <c r="AM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F7989</t>
        </is>
      </c>
      <c r="H7" s="15" t="n"/>
      <c r="I7" s="22" t="inlineStr">
        <is>
          <t>F7976</t>
        </is>
      </c>
      <c r="J7" s="15" t="n"/>
      <c r="K7" s="23" t="inlineStr">
        <is>
          <t>F7990</t>
        </is>
      </c>
      <c r="L7" s="15" t="n"/>
      <c r="M7" s="22" t="inlineStr">
        <is>
          <t>B27018</t>
        </is>
      </c>
      <c r="N7" s="15" t="n"/>
      <c r="O7" s="22" t="inlineStr">
        <is>
          <t>F7992</t>
        </is>
      </c>
      <c r="P7" s="15" t="n"/>
      <c r="Q7" s="22" t="inlineStr">
        <is>
          <t>F7980</t>
        </is>
      </c>
      <c r="R7" s="14" t="n"/>
      <c r="S7" s="14" t="n"/>
      <c r="T7" s="15" t="n"/>
      <c r="U7" s="22" t="inlineStr">
        <is>
          <t>F7919</t>
        </is>
      </c>
      <c r="V7" s="14" t="n"/>
      <c r="W7" s="14" t="n"/>
      <c r="X7" s="15" t="n"/>
      <c r="Y7" s="22" t="inlineStr">
        <is>
          <t>F7983</t>
        </is>
      </c>
      <c r="Z7" s="15" t="n"/>
      <c r="AA7" s="22" t="inlineStr">
        <is>
          <t>F7986</t>
        </is>
      </c>
      <c r="AB7" s="15" t="n"/>
      <c r="AC7" s="22" t="inlineStr">
        <is>
          <t>F7993</t>
        </is>
      </c>
      <c r="AD7" s="15" t="n"/>
      <c r="AE7" s="22" t="inlineStr">
        <is>
          <t>F7988</t>
        </is>
      </c>
      <c r="AF7" s="14" t="n"/>
      <c r="AG7" s="14" t="n"/>
      <c r="AH7" s="15" t="n"/>
      <c r="AI7" s="22" t="inlineStr">
        <is>
          <t>F7994</t>
        </is>
      </c>
      <c r="AJ7" s="15" t="n"/>
      <c r="AK7" s="24" t="n"/>
      <c r="AL7" s="25" t="inlineStr">
        <is>
          <t>ขนาดกระจก</t>
        </is>
      </c>
      <c r="AM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4" t="n"/>
      <c r="J8" s="31" t="n"/>
      <c r="K8" s="34" t="n"/>
      <c r="L8" s="31" t="n"/>
      <c r="M8" s="34" t="n"/>
      <c r="N8" s="31" t="n"/>
      <c r="O8" s="30" t="n"/>
      <c r="P8" s="31" t="n"/>
      <c r="Q8" s="32" t="n"/>
      <c r="R8" s="33" t="n"/>
      <c r="S8" s="34" t="n"/>
      <c r="T8" s="31" t="n"/>
      <c r="U8" s="32" t="n"/>
      <c r="V8" s="33" t="n"/>
      <c r="W8" s="34" t="n"/>
      <c r="X8" s="31" t="n"/>
      <c r="Y8" s="32" t="n"/>
      <c r="Z8" s="33" t="n"/>
      <c r="AA8" s="32" t="n"/>
      <c r="AB8" s="33" t="n"/>
      <c r="AC8" s="32" t="n"/>
      <c r="AD8" s="33" t="n"/>
      <c r="AE8" s="32" t="n"/>
      <c r="AF8" s="33" t="n"/>
      <c r="AG8" s="34" t="n"/>
      <c r="AH8" s="31" t="n"/>
      <c r="AI8" s="30" t="n"/>
      <c r="AJ8" s="31" t="n"/>
      <c r="AK8" s="36" t="n"/>
      <c r="AL8" s="37" t="inlineStr">
        <is>
          <t>กรอบบาน</t>
        </is>
      </c>
      <c r="AM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ต่อเฟรมข้าง</t>
        </is>
      </c>
      <c r="H9" s="43" t="n"/>
      <c r="I9" s="42" t="inlineStr">
        <is>
          <t>เฟรม บน-ล่าง</t>
        </is>
      </c>
      <c r="J9" s="43" t="n"/>
      <c r="K9" s="42" t="inlineStr">
        <is>
          <t>ต่อราง</t>
        </is>
      </c>
      <c r="L9" s="43" t="n"/>
      <c r="M9" s="42" t="inlineStr">
        <is>
          <t>เฟรม ล่าง</t>
        </is>
      </c>
      <c r="N9" s="43" t="n"/>
      <c r="O9" s="42" t="inlineStr">
        <is>
          <t>ตบกันสาด</t>
        </is>
      </c>
      <c r="P9" s="43" t="n"/>
      <c r="Q9" s="42" t="inlineStr">
        <is>
          <t>เสา</t>
        </is>
      </c>
      <c r="R9" s="43" t="n"/>
      <c r="S9" s="42" t="inlineStr">
        <is>
          <t>ขวาง</t>
        </is>
      </c>
      <c r="T9" s="43" t="n"/>
      <c r="U9" s="42" t="inlineStr">
        <is>
          <t>คิ้ว ตั้ง</t>
        </is>
      </c>
      <c r="V9" s="43" t="n"/>
      <c r="W9" s="42" t="inlineStr">
        <is>
          <t>คิ้ว ขวาง</t>
        </is>
      </c>
      <c r="X9" s="43" t="n"/>
      <c r="Y9" s="42" t="inlineStr">
        <is>
          <t>ตบเกี่ยว</t>
        </is>
      </c>
      <c r="Z9" s="43" t="n"/>
      <c r="AA9" s="44" t="inlineStr">
        <is>
          <t>ยูข้าง</t>
        </is>
      </c>
      <c r="AB9" s="43" t="n"/>
      <c r="AC9" s="44" t="inlineStr">
        <is>
          <t>ตบเฟรมบน</t>
        </is>
      </c>
      <c r="AD9" s="43" t="n"/>
      <c r="AE9" s="44" t="inlineStr">
        <is>
          <t>ตบยูข้าง</t>
        </is>
      </c>
      <c r="AF9" s="43" t="n"/>
      <c r="AG9" s="42" t="inlineStr">
        <is>
          <t>ปิดตบเกี่ยว</t>
        </is>
      </c>
      <c r="AH9" s="43" t="n"/>
      <c r="AI9" s="44" t="inlineStr">
        <is>
          <t>ราง</t>
        </is>
      </c>
      <c r="AJ9" s="43" t="n"/>
      <c r="AK9" s="45" t="inlineStr">
        <is>
          <t>SH-68-68</t>
        </is>
      </c>
      <c r="AL9" s="46" t="inlineStr">
        <is>
          <t>SW-68-68</t>
        </is>
      </c>
      <c r="AM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3" t="inlineStr">
        <is>
          <t>จำนวน</t>
        </is>
      </c>
      <c r="O10" s="52" t="inlineStr">
        <is>
          <t>ยาว</t>
        </is>
      </c>
      <c r="P10" s="53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2" t="inlineStr">
        <is>
          <t>ยาว</t>
        </is>
      </c>
      <c r="AJ10" s="54" t="inlineStr">
        <is>
          <t>จำนวน</t>
        </is>
      </c>
      <c r="AK10" s="55" t="inlineStr">
        <is>
          <t>H</t>
        </is>
      </c>
      <c r="AL10" s="56" t="inlineStr">
        <is>
          <t>W</t>
        </is>
      </c>
      <c r="AM10" s="57" t="inlineStr">
        <is>
          <t>จำนวน</t>
        </is>
      </c>
    </row>
    <row r="11" ht="40.15" customHeight="1">
      <c r="A11" s="101" t="inlineStr">
        <is>
          <t>D1</t>
        </is>
      </c>
      <c r="B11" s="102" t="n">
        <v>700</v>
      </c>
      <c r="C11" s="92" t="n">
        <v>950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IF($A11="","",$B11)</f>
        <v/>
      </c>
      <c r="H11" s="92">
        <f>IF($A11="","",$L$55*$D11)</f>
        <v/>
      </c>
      <c r="I11" s="104">
        <f>IF($A11="","",$C11-$E$56-$F$56)</f>
        <v/>
      </c>
      <c r="J11" s="92">
        <f>IF($A11="","",$L$56*$D11)</f>
        <v/>
      </c>
      <c r="K11" s="104">
        <f>IF($A11="","",$C11-$E$57-$F$57)</f>
        <v/>
      </c>
      <c r="L11" s="92">
        <f>IF($A11="","",$L$57*$D11)</f>
        <v/>
      </c>
      <c r="M11" s="104">
        <f>IF($A11="","",$C11-$E$58-$F$58)</f>
        <v/>
      </c>
      <c r="N11" s="92">
        <f>IF($A11="","",$L$58*$D11)</f>
        <v/>
      </c>
      <c r="O11" s="104">
        <f>IF($A11="","",$C11)</f>
        <v/>
      </c>
      <c r="P11" s="92">
        <f>IF($A11="","",$L$59*$D11)</f>
        <v/>
      </c>
      <c r="Q11" s="104">
        <f>IF($A11="","",$B11-$E$60-$F$60-$G$60)</f>
        <v/>
      </c>
      <c r="R11" s="92">
        <f>IF($A11="","",$L$60*$D11)</f>
        <v/>
      </c>
      <c r="S11" s="104">
        <f>IF($A11="","",(($C11-$E$61-$F$61-$G$61-$H$61-$I$61)/4)+(78*3)/4)</f>
        <v/>
      </c>
      <c r="T11" s="92">
        <f>IF($A11="","",$L$61*$D11)</f>
        <v/>
      </c>
      <c r="U11" s="104">
        <f>IF($A11="","",$Q11-$E$62-$F$62)</f>
        <v/>
      </c>
      <c r="V11" s="92">
        <f>IF($A11="","",$L$62*$D11)</f>
        <v/>
      </c>
      <c r="W11" s="104">
        <f>IF($A11="","",$S11-$E$63-$F$63)</f>
        <v/>
      </c>
      <c r="X11" s="92">
        <f>IF($A11="","",$L$63*$D11)</f>
        <v/>
      </c>
      <c r="Y11" s="104">
        <f>IF($A11="","",$Q11)</f>
        <v/>
      </c>
      <c r="Z11" s="92">
        <f>IF($A11="","",$L$64*$D11)</f>
        <v/>
      </c>
      <c r="AA11" s="104">
        <f>IF($A11="","",$B11-$E$65)</f>
        <v/>
      </c>
      <c r="AB11" s="92">
        <f>IF($A11="","",$L$65*$D11)</f>
        <v/>
      </c>
      <c r="AC11" s="104">
        <f>IF($A11="","",$C11-$E$66-$F$66)</f>
        <v/>
      </c>
      <c r="AD11" s="92">
        <f>IF($A11="","",$L$66*$D11)</f>
        <v/>
      </c>
      <c r="AE11" s="104">
        <f>IF($A11="","",$AA11)</f>
        <v/>
      </c>
      <c r="AF11" s="92">
        <f>IF($A11="","",$L$67*$D11)</f>
        <v/>
      </c>
      <c r="AG11" s="104">
        <f>IF($A11="","",$Q11)</f>
        <v/>
      </c>
      <c r="AH11" s="92">
        <f>IF($A11="","",$L$68*$D11)</f>
        <v/>
      </c>
      <c r="AI11" s="104">
        <f>IF($A11="","",$C11-$E$69-$F$69)</f>
        <v/>
      </c>
      <c r="AJ11" s="92">
        <f>IF($A11="","",$L$69*$D11)</f>
        <v/>
      </c>
      <c r="AK11" s="105">
        <f>IF($A11="","",$Q11-68-68)</f>
        <v/>
      </c>
      <c r="AL11" s="106">
        <f>IF($A11="","",$S11-68-68)</f>
        <v/>
      </c>
      <c r="AM11" s="107">
        <f>IF($A11="","",4*$D11)</f>
        <v/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IF($A12="","",$B12)</f>
        <v/>
      </c>
      <c r="H12" s="98">
        <f>IF($A12="","",$L$55*$D12)</f>
        <v/>
      </c>
      <c r="I12" s="108">
        <f>IF($A12="","",$C12-$E$56-$F$56)</f>
        <v/>
      </c>
      <c r="J12" s="98">
        <f>IF($A12="","",$L$56*$D12)</f>
        <v/>
      </c>
      <c r="K12" s="108">
        <f>IF($A12="","",$C12-$E$57-$F$57)</f>
        <v/>
      </c>
      <c r="L12" s="98">
        <f>IF($A12="","",$L$57*$D12)</f>
        <v/>
      </c>
      <c r="M12" s="108">
        <f>IF($A12="","",$C12-$E$58-$F$58)</f>
        <v/>
      </c>
      <c r="N12" s="98">
        <f>IF($A12="","",$L$58*$D12)</f>
        <v/>
      </c>
      <c r="O12" s="108">
        <f>IF($A12="","",$C12)</f>
        <v/>
      </c>
      <c r="P12" s="98">
        <f>IF($A12="","",$L$59*$D12)</f>
        <v/>
      </c>
      <c r="Q12" s="108">
        <f>IF($A12="","",$B12-$E$60-$F$60-$G$60)</f>
        <v/>
      </c>
      <c r="R12" s="98">
        <f>IF($A12="","",$L$60*$D12)</f>
        <v/>
      </c>
      <c r="S12" s="108">
        <f>IF($A12="","",(($C12-$E$61-$F$61-$G$61-$H$61-$I$61)/4)+(78*3)/4)</f>
        <v/>
      </c>
      <c r="T12" s="98">
        <f>IF($A12="","",$L$61*$D12)</f>
        <v/>
      </c>
      <c r="U12" s="108">
        <f>IF($A12="","",$Q12-$E$62-$F$62)</f>
        <v/>
      </c>
      <c r="V12" s="98">
        <f>IF($A12="","",$L$62*$D12)</f>
        <v/>
      </c>
      <c r="W12" s="108">
        <f>IF($A12="","",$S12-$E$63-$F$63)</f>
        <v/>
      </c>
      <c r="X12" s="98">
        <f>IF($A12="","",$L$63*$D12)</f>
        <v/>
      </c>
      <c r="Y12" s="108">
        <f>IF($A12="","",$Q12)</f>
        <v/>
      </c>
      <c r="Z12" s="98">
        <f>IF($A12="","",$L$64*$D12)</f>
        <v/>
      </c>
      <c r="AA12" s="108">
        <f>IF($A12="","",$B12-$E$65)</f>
        <v/>
      </c>
      <c r="AB12" s="98">
        <f>IF($A12="","",$L$65*$D12)</f>
        <v/>
      </c>
      <c r="AC12" s="108">
        <f>IF($A12="","",$C12-$E$66-$F$66)</f>
        <v/>
      </c>
      <c r="AD12" s="98">
        <f>IF($A12="","",$L$66*$D12)</f>
        <v/>
      </c>
      <c r="AE12" s="108">
        <f>IF($A12="","",$AA12)</f>
        <v/>
      </c>
      <c r="AF12" s="98">
        <f>IF($A12="","",$L$67*$D12)</f>
        <v/>
      </c>
      <c r="AG12" s="108">
        <f>IF($A12="","",$Q12)</f>
        <v/>
      </c>
      <c r="AH12" s="98">
        <f>IF($A12="","",$L$68*$D12)</f>
        <v/>
      </c>
      <c r="AI12" s="108">
        <f>IF($A12="","",$C12-$E$69-$F$69)</f>
        <v/>
      </c>
      <c r="AJ12" s="98">
        <f>IF($A12="","",$L$69*$D12)</f>
        <v/>
      </c>
      <c r="AK12" s="105">
        <f>IF($A12="","",$Q12-68-68)</f>
        <v/>
      </c>
      <c r="AL12" s="106">
        <f>IF($A12="","",$S12-68-68)</f>
        <v/>
      </c>
      <c r="AM12" s="107">
        <f>IF($A12="","",4*$D12)</f>
        <v/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IF($A13="","",$B13)</f>
        <v/>
      </c>
      <c r="H13" s="92">
        <f>IF($A13="","",$L$55*$D13)</f>
        <v/>
      </c>
      <c r="I13" s="104">
        <f>IF($A13="","",$C13-$E$56-$F$56)</f>
        <v/>
      </c>
      <c r="J13" s="92">
        <f>IF($A13="","",$L$56*$D13)</f>
        <v/>
      </c>
      <c r="K13" s="104">
        <f>IF($A13="","",$C13-$E$57-$F$57)</f>
        <v/>
      </c>
      <c r="L13" s="92">
        <f>IF($A13="","",$L$57*$D13)</f>
        <v/>
      </c>
      <c r="M13" s="104">
        <f>IF($A13="","",$C13-$E$58-$F$58)</f>
        <v/>
      </c>
      <c r="N13" s="92">
        <f>IF($A13="","",$L$58*$D13)</f>
        <v/>
      </c>
      <c r="O13" s="104">
        <f>IF($A13="","",$C13)</f>
        <v/>
      </c>
      <c r="P13" s="92">
        <f>IF($A13="","",$L$59*$D13)</f>
        <v/>
      </c>
      <c r="Q13" s="104">
        <f>IF($A13="","",$B13-$E$60-$F$60-$G$60)</f>
        <v/>
      </c>
      <c r="R13" s="92">
        <f>IF($A13="","",$L$60*$D13)</f>
        <v/>
      </c>
      <c r="S13" s="104">
        <f>IF($A13="","",(($C13-$E$61-$F$61-$G$61-$H$61-$I$61)/4)+(78*3)/4)</f>
        <v/>
      </c>
      <c r="T13" s="92">
        <f>IF($A13="","",$L$61*$D13)</f>
        <v/>
      </c>
      <c r="U13" s="104">
        <f>IF($A13="","",$Q13-$E$62-$F$62)</f>
        <v/>
      </c>
      <c r="V13" s="92">
        <f>IF($A13="","",$L$62*$D13)</f>
        <v/>
      </c>
      <c r="W13" s="104">
        <f>IF($A13="","",$S13-$E$63-$F$63)</f>
        <v/>
      </c>
      <c r="X13" s="92">
        <f>IF($A13="","",$L$63*$D13)</f>
        <v/>
      </c>
      <c r="Y13" s="104">
        <f>IF($A13="","",$Q13)</f>
        <v/>
      </c>
      <c r="Z13" s="92">
        <f>IF($A13="","",$L$64*$D13)</f>
        <v/>
      </c>
      <c r="AA13" s="104">
        <f>IF($A13="","",$B13-$E$65)</f>
        <v/>
      </c>
      <c r="AB13" s="92">
        <f>IF($A13="","",$L$65*$D13)</f>
        <v/>
      </c>
      <c r="AC13" s="104">
        <f>IF($A13="","",$C13-$E$66-$F$66)</f>
        <v/>
      </c>
      <c r="AD13" s="92">
        <f>IF($A13="","",$L$66*$D13)</f>
        <v/>
      </c>
      <c r="AE13" s="104">
        <f>IF($A13="","",$AA13)</f>
        <v/>
      </c>
      <c r="AF13" s="92">
        <f>IF($A13="","",$L$67*$D13)</f>
        <v/>
      </c>
      <c r="AG13" s="104">
        <f>IF($A13="","",$Q13)</f>
        <v/>
      </c>
      <c r="AH13" s="92">
        <f>IF($A13="","",$L$68*$D13)</f>
        <v/>
      </c>
      <c r="AI13" s="104">
        <f>IF($A13="","",$C13-$E$69-$F$69)</f>
        <v/>
      </c>
      <c r="AJ13" s="92">
        <f>IF($A13="","",$L$69*$D13)</f>
        <v/>
      </c>
      <c r="AK13" s="105">
        <f>IF($A13="","",$Q13-68-68)</f>
        <v/>
      </c>
      <c r="AL13" s="106">
        <f>IF($A13="","",$S13-68-68)</f>
        <v/>
      </c>
      <c r="AM13" s="107">
        <f>IF($A13="","",4*$D13)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IF($A14="","",$B14)</f>
        <v/>
      </c>
      <c r="H14" s="98">
        <f>IF($A14="","",$L$55*$D14)</f>
        <v/>
      </c>
      <c r="I14" s="108">
        <f>IF($A14="","",$C14-$E$56-$F$56)</f>
        <v/>
      </c>
      <c r="J14" s="98">
        <f>IF($A14="","",$L$56*$D14)</f>
        <v/>
      </c>
      <c r="K14" s="108">
        <f>IF($A14="","",$C14-$E$57-$F$57)</f>
        <v/>
      </c>
      <c r="L14" s="98">
        <f>IF($A14="","",$L$57*$D14)</f>
        <v/>
      </c>
      <c r="M14" s="108">
        <f>IF($A14="","",$C14-$E$58-$F$58)</f>
        <v/>
      </c>
      <c r="N14" s="98">
        <f>IF($A14="","",$L$58*$D14)</f>
        <v/>
      </c>
      <c r="O14" s="108">
        <f>IF($A14="","",$C14)</f>
        <v/>
      </c>
      <c r="P14" s="98">
        <f>IF($A14="","",$L$59*$D14)</f>
        <v/>
      </c>
      <c r="Q14" s="108">
        <f>IF($A14="","",$B14-$E$60-$F$60-$G$60)</f>
        <v/>
      </c>
      <c r="R14" s="98">
        <f>IF($A14="","",$L$60*$D14)</f>
        <v/>
      </c>
      <c r="S14" s="108">
        <f>IF($A14="","",(($C14-$E$61-$F$61-$G$61-$H$61-$I$61)/4)+(78*3)/4)</f>
        <v/>
      </c>
      <c r="T14" s="98">
        <f>IF($A14="","",$L$61*$D14)</f>
        <v/>
      </c>
      <c r="U14" s="108">
        <f>IF($A14="","",$Q14-$E$62-$F$62)</f>
        <v/>
      </c>
      <c r="V14" s="98">
        <f>IF($A14="","",$L$62*$D14)</f>
        <v/>
      </c>
      <c r="W14" s="108">
        <f>IF($A14="","",$S14-$E$63-$F$63)</f>
        <v/>
      </c>
      <c r="X14" s="98">
        <f>IF($A14="","",$L$63*$D14)</f>
        <v/>
      </c>
      <c r="Y14" s="108">
        <f>IF($A14="","",$Q14)</f>
        <v/>
      </c>
      <c r="Z14" s="98">
        <f>IF($A14="","",$L$64*$D14)</f>
        <v/>
      </c>
      <c r="AA14" s="108">
        <f>IF($A14="","",$B14-$E$65)</f>
        <v/>
      </c>
      <c r="AB14" s="98">
        <f>IF($A14="","",$L$65*$D14)</f>
        <v/>
      </c>
      <c r="AC14" s="108">
        <f>IF($A14="","",$C14-$E$66-$F$66)</f>
        <v/>
      </c>
      <c r="AD14" s="98">
        <f>IF($A14="","",$L$66*$D14)</f>
        <v/>
      </c>
      <c r="AE14" s="108">
        <f>IF($A14="","",$AA14)</f>
        <v/>
      </c>
      <c r="AF14" s="98">
        <f>IF($A14="","",$L$67*$D14)</f>
        <v/>
      </c>
      <c r="AG14" s="108">
        <f>IF($A14="","",$Q14)</f>
        <v/>
      </c>
      <c r="AH14" s="98">
        <f>IF($A14="","",$L$68*$D14)</f>
        <v/>
      </c>
      <c r="AI14" s="108">
        <f>IF($A14="","",$C14-$E$69-$F$69)</f>
        <v/>
      </c>
      <c r="AJ14" s="98">
        <f>IF($A14="","",$L$69*$D14)</f>
        <v/>
      </c>
      <c r="AK14" s="105">
        <f>IF($A14="","",$Q14-68-68)</f>
        <v/>
      </c>
      <c r="AL14" s="106">
        <f>IF($A14="","",$S14-68-68)</f>
        <v/>
      </c>
      <c r="AM14" s="107">
        <f>IF($A14="","",4*$D14)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IF($A15="","",$B15)</f>
        <v/>
      </c>
      <c r="H15" s="92">
        <f>IF($A15="","",$L$55*$D15)</f>
        <v/>
      </c>
      <c r="I15" s="104">
        <f>IF($A15="","",$C15-$E$56-$F$56)</f>
        <v/>
      </c>
      <c r="J15" s="92">
        <f>IF($A15="","",$L$56*$D15)</f>
        <v/>
      </c>
      <c r="K15" s="104">
        <f>IF($A15="","",$C15-$E$57-$F$57)</f>
        <v/>
      </c>
      <c r="L15" s="92">
        <f>IF($A15="","",$L$57*$D15)</f>
        <v/>
      </c>
      <c r="M15" s="104">
        <f>IF($A15="","",$C15-$E$58-$F$58)</f>
        <v/>
      </c>
      <c r="N15" s="92">
        <f>IF($A15="","",$L$58*$D15)</f>
        <v/>
      </c>
      <c r="O15" s="104">
        <f>IF($A15="","",$C15)</f>
        <v/>
      </c>
      <c r="P15" s="92">
        <f>IF($A15="","",$L$59*$D15)</f>
        <v/>
      </c>
      <c r="Q15" s="104">
        <f>IF($A15="","",$B15-$E$60-$F$60-$G$60)</f>
        <v/>
      </c>
      <c r="R15" s="92">
        <f>IF($A15="","",$L$60*$D15)</f>
        <v/>
      </c>
      <c r="S15" s="104">
        <f>IF($A15="","",(($C15-$E$61-$F$61-$G$61-$H$61-$I$61)/4)+(78*3)/4)</f>
        <v/>
      </c>
      <c r="T15" s="92">
        <f>IF($A15="","",$L$61*$D15)</f>
        <v/>
      </c>
      <c r="U15" s="104">
        <f>IF($A15="","",$Q15-$E$62-$F$62)</f>
        <v/>
      </c>
      <c r="V15" s="92">
        <f>IF($A15="","",$L$62*$D15)</f>
        <v/>
      </c>
      <c r="W15" s="104">
        <f>IF($A15="","",$S15-$E$63-$F$63)</f>
        <v/>
      </c>
      <c r="X15" s="92">
        <f>IF($A15="","",$L$63*$D15)</f>
        <v/>
      </c>
      <c r="Y15" s="104">
        <f>IF($A15="","",$Q15)</f>
        <v/>
      </c>
      <c r="Z15" s="92">
        <f>IF($A15="","",$L$64*$D15)</f>
        <v/>
      </c>
      <c r="AA15" s="104">
        <f>IF($A15="","",$B15-$E$65)</f>
        <v/>
      </c>
      <c r="AB15" s="92">
        <f>IF($A15="","",$L$65*$D15)</f>
        <v/>
      </c>
      <c r="AC15" s="104">
        <f>IF($A15="","",$C15-$E$66-$F$66)</f>
        <v/>
      </c>
      <c r="AD15" s="92">
        <f>IF($A15="","",$L$66*$D15)</f>
        <v/>
      </c>
      <c r="AE15" s="104">
        <f>IF($A15="","",$AA15)</f>
        <v/>
      </c>
      <c r="AF15" s="92">
        <f>IF($A15="","",$L$67*$D15)</f>
        <v/>
      </c>
      <c r="AG15" s="104">
        <f>IF($A15="","",$Q15)</f>
        <v/>
      </c>
      <c r="AH15" s="92">
        <f>IF($A15="","",$L$68*$D15)</f>
        <v/>
      </c>
      <c r="AI15" s="104">
        <f>IF($A15="","",$C15-$E$69-$F$69)</f>
        <v/>
      </c>
      <c r="AJ15" s="92">
        <f>IF($A15="","",$L$69*$D15)</f>
        <v/>
      </c>
      <c r="AK15" s="105">
        <f>IF($A15="","",$Q15-68-68)</f>
        <v/>
      </c>
      <c r="AL15" s="106">
        <f>IF($A15="","",$S15-68-68)</f>
        <v/>
      </c>
      <c r="AM15" s="107">
        <f>IF($A15="","",4*$D15)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IF($A16="","",$B16)</f>
        <v/>
      </c>
      <c r="H16" s="98">
        <f>IF($A16="","",$L$55*$D16)</f>
        <v/>
      </c>
      <c r="I16" s="108">
        <f>IF($A16="","",$C16-$E$56-$F$56)</f>
        <v/>
      </c>
      <c r="J16" s="98">
        <f>IF($A16="","",$L$56*$D16)</f>
        <v/>
      </c>
      <c r="K16" s="108">
        <f>IF($A16="","",$C16-$E$57-$F$57)</f>
        <v/>
      </c>
      <c r="L16" s="98">
        <f>IF($A16="","",$L$57*$D16)</f>
        <v/>
      </c>
      <c r="M16" s="108">
        <f>IF($A16="","",$C16-$E$58-$F$58)</f>
        <v/>
      </c>
      <c r="N16" s="98">
        <f>IF($A16="","",$L$58*$D16)</f>
        <v/>
      </c>
      <c r="O16" s="108">
        <f>IF($A16="","",$C16)</f>
        <v/>
      </c>
      <c r="P16" s="98">
        <f>IF($A16="","",$L$59*$D16)</f>
        <v/>
      </c>
      <c r="Q16" s="108">
        <f>IF($A16="","",$B16-$E$60-$F$60-$G$60)</f>
        <v/>
      </c>
      <c r="R16" s="98">
        <f>IF($A16="","",$L$60*$D16)</f>
        <v/>
      </c>
      <c r="S16" s="108">
        <f>IF($A16="","",(($C16-$E$61-$F$61-$G$61-$H$61-$I$61)/4)+(78*3)/4)</f>
        <v/>
      </c>
      <c r="T16" s="98">
        <f>IF($A16="","",$L$61*$D16)</f>
        <v/>
      </c>
      <c r="U16" s="108">
        <f>IF($A16="","",$Q16-$E$62-$F$62)</f>
        <v/>
      </c>
      <c r="V16" s="98">
        <f>IF($A16="","",$L$62*$D16)</f>
        <v/>
      </c>
      <c r="W16" s="108">
        <f>IF($A16="","",$S16-$E$63-$F$63)</f>
        <v/>
      </c>
      <c r="X16" s="98">
        <f>IF($A16="","",$L$63*$D16)</f>
        <v/>
      </c>
      <c r="Y16" s="108">
        <f>IF($A16="","",$Q16)</f>
        <v/>
      </c>
      <c r="Z16" s="98">
        <f>IF($A16="","",$L$64*$D16)</f>
        <v/>
      </c>
      <c r="AA16" s="108">
        <f>IF($A16="","",$B16-$E$65)</f>
        <v/>
      </c>
      <c r="AB16" s="98">
        <f>IF($A16="","",$L$65*$D16)</f>
        <v/>
      </c>
      <c r="AC16" s="108">
        <f>IF($A16="","",$C16-$E$66-$F$66)</f>
        <v/>
      </c>
      <c r="AD16" s="98">
        <f>IF($A16="","",$L$66*$D16)</f>
        <v/>
      </c>
      <c r="AE16" s="108">
        <f>IF($A16="","",$AA16)</f>
        <v/>
      </c>
      <c r="AF16" s="98">
        <f>IF($A16="","",$L$67*$D16)</f>
        <v/>
      </c>
      <c r="AG16" s="108">
        <f>IF($A16="","",$Q16)</f>
        <v/>
      </c>
      <c r="AH16" s="98">
        <f>IF($A16="","",$L$68*$D16)</f>
        <v/>
      </c>
      <c r="AI16" s="108">
        <f>IF($A16="","",$C16-$E$69-$F$69)</f>
        <v/>
      </c>
      <c r="AJ16" s="98">
        <f>IF($A16="","",$L$69*$D16)</f>
        <v/>
      </c>
      <c r="AK16" s="105">
        <f>IF($A16="","",$Q16-68-68)</f>
        <v/>
      </c>
      <c r="AL16" s="106">
        <f>IF($A16="","",$S16-68-68)</f>
        <v/>
      </c>
      <c r="AM16" s="107">
        <f>IF($A16="","",4*$D16)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IF($A17="","",$B17)</f>
        <v/>
      </c>
      <c r="H17" s="92">
        <f>IF($A17="","",$L$55*$D17)</f>
        <v/>
      </c>
      <c r="I17" s="104">
        <f>IF($A17="","",$C17-$E$56-$F$56)</f>
        <v/>
      </c>
      <c r="J17" s="92">
        <f>IF($A17="","",$L$56*$D17)</f>
        <v/>
      </c>
      <c r="K17" s="104">
        <f>IF($A17="","",$C17-$E$57-$F$57)</f>
        <v/>
      </c>
      <c r="L17" s="92">
        <f>IF($A17="","",$L$57*$D17)</f>
        <v/>
      </c>
      <c r="M17" s="104">
        <f>IF($A17="","",$C17-$E$58-$F$58)</f>
        <v/>
      </c>
      <c r="N17" s="92">
        <f>IF($A17="","",$L$58*$D17)</f>
        <v/>
      </c>
      <c r="O17" s="104">
        <f>IF($A17="","",$C17)</f>
        <v/>
      </c>
      <c r="P17" s="92">
        <f>IF($A17="","",$L$59*$D17)</f>
        <v/>
      </c>
      <c r="Q17" s="104">
        <f>IF($A17="","",$B17-$E$60-$F$60-$G$60)</f>
        <v/>
      </c>
      <c r="R17" s="92">
        <f>IF($A17="","",$L$60*$D17)</f>
        <v/>
      </c>
      <c r="S17" s="104">
        <f>IF($A17="","",(($C17-$E$61-$F$61-$G$61-$H$61-$I$61)/4)+(78*3)/4)</f>
        <v/>
      </c>
      <c r="T17" s="92">
        <f>IF($A17="","",$L$61*$D17)</f>
        <v/>
      </c>
      <c r="U17" s="104">
        <f>IF($A17="","",$Q17-$E$62-$F$62)</f>
        <v/>
      </c>
      <c r="V17" s="92">
        <f>IF($A17="","",$L$62*$D17)</f>
        <v/>
      </c>
      <c r="W17" s="104">
        <f>IF($A17="","",$S17-$E$63-$F$63)</f>
        <v/>
      </c>
      <c r="X17" s="92">
        <f>IF($A17="","",$L$63*$D17)</f>
        <v/>
      </c>
      <c r="Y17" s="104">
        <f>IF($A17="","",$Q17)</f>
        <v/>
      </c>
      <c r="Z17" s="92">
        <f>IF($A17="","",$L$64*$D17)</f>
        <v/>
      </c>
      <c r="AA17" s="104">
        <f>IF($A17="","",$B17-$E$65)</f>
        <v/>
      </c>
      <c r="AB17" s="92">
        <f>IF($A17="","",$L$65*$D17)</f>
        <v/>
      </c>
      <c r="AC17" s="104">
        <f>IF($A17="","",$C17-$E$66-$F$66)</f>
        <v/>
      </c>
      <c r="AD17" s="92">
        <f>IF($A17="","",$L$66*$D17)</f>
        <v/>
      </c>
      <c r="AE17" s="104">
        <f>IF($A17="","",$AA17)</f>
        <v/>
      </c>
      <c r="AF17" s="92">
        <f>IF($A17="","",$L$67*$D17)</f>
        <v/>
      </c>
      <c r="AG17" s="104">
        <f>IF($A17="","",$Q17)</f>
        <v/>
      </c>
      <c r="AH17" s="92">
        <f>IF($A17="","",$L$68*$D17)</f>
        <v/>
      </c>
      <c r="AI17" s="104">
        <f>IF($A17="","",$C17-$E$69-$F$69)</f>
        <v/>
      </c>
      <c r="AJ17" s="92">
        <f>IF($A17="","",$L$69*$D17)</f>
        <v/>
      </c>
      <c r="AK17" s="105">
        <f>IF($A17="","",$Q17-68-68)</f>
        <v/>
      </c>
      <c r="AL17" s="106">
        <f>IF($A17="","",$S17-68-68)</f>
        <v/>
      </c>
      <c r="AM17" s="107">
        <f>IF($A17="","",4*$D17)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IF($A18="","",$B18)</f>
        <v/>
      </c>
      <c r="H18" s="98">
        <f>IF($A18="","",$L$55*$D18)</f>
        <v/>
      </c>
      <c r="I18" s="108">
        <f>IF($A18="","",$C18-$E$56-$F$56)</f>
        <v/>
      </c>
      <c r="J18" s="98">
        <f>IF($A18="","",$L$56*$D18)</f>
        <v/>
      </c>
      <c r="K18" s="108">
        <f>IF($A18="","",$C18-$E$57-$F$57)</f>
        <v/>
      </c>
      <c r="L18" s="98">
        <f>IF($A18="","",$L$57*$D18)</f>
        <v/>
      </c>
      <c r="M18" s="108">
        <f>IF($A18="","",$C18-$E$58-$F$58)</f>
        <v/>
      </c>
      <c r="N18" s="98">
        <f>IF($A18="","",$L$58*$D18)</f>
        <v/>
      </c>
      <c r="O18" s="108">
        <f>IF($A18="","",$C18)</f>
        <v/>
      </c>
      <c r="P18" s="98">
        <f>IF($A18="","",$L$59*$D18)</f>
        <v/>
      </c>
      <c r="Q18" s="108">
        <f>IF($A18="","",$B18-$E$60-$F$60-$G$60)</f>
        <v/>
      </c>
      <c r="R18" s="98">
        <f>IF($A18="","",$L$60*$D18)</f>
        <v/>
      </c>
      <c r="S18" s="108">
        <f>IF($A18="","",(($C18-$E$61-$F$61-$G$61-$H$61-$I$61)/4)+(78*3)/4)</f>
        <v/>
      </c>
      <c r="T18" s="98">
        <f>IF($A18="","",$L$61*$D18)</f>
        <v/>
      </c>
      <c r="U18" s="108">
        <f>IF($A18="","",$Q18-$E$62-$F$62)</f>
        <v/>
      </c>
      <c r="V18" s="98">
        <f>IF($A18="","",$L$62*$D18)</f>
        <v/>
      </c>
      <c r="W18" s="108">
        <f>IF($A18="","",$S18-$E$63-$F$63)</f>
        <v/>
      </c>
      <c r="X18" s="98">
        <f>IF($A18="","",$L$63*$D18)</f>
        <v/>
      </c>
      <c r="Y18" s="108">
        <f>IF($A18="","",$Q18)</f>
        <v/>
      </c>
      <c r="Z18" s="98">
        <f>IF($A18="","",$L$64*$D18)</f>
        <v/>
      </c>
      <c r="AA18" s="108">
        <f>IF($A18="","",$B18-$E$65)</f>
        <v/>
      </c>
      <c r="AB18" s="98">
        <f>IF($A18="","",$L$65*$D18)</f>
        <v/>
      </c>
      <c r="AC18" s="108">
        <f>IF($A18="","",$C18-$E$66-$F$66)</f>
        <v/>
      </c>
      <c r="AD18" s="98">
        <f>IF($A18="","",$L$66*$D18)</f>
        <v/>
      </c>
      <c r="AE18" s="108">
        <f>IF($A18="","",$AA18)</f>
        <v/>
      </c>
      <c r="AF18" s="98">
        <f>IF($A18="","",$L$67*$D18)</f>
        <v/>
      </c>
      <c r="AG18" s="108">
        <f>IF($A18="","",$Q18)</f>
        <v/>
      </c>
      <c r="AH18" s="98">
        <f>IF($A18="","",$L$68*$D18)</f>
        <v/>
      </c>
      <c r="AI18" s="108">
        <f>IF($A18="","",$C18-$E$69-$F$69)</f>
        <v/>
      </c>
      <c r="AJ18" s="98">
        <f>IF($A18="","",$L$69*$D18)</f>
        <v/>
      </c>
      <c r="AK18" s="105">
        <f>IF($A18="","",$Q18-68-68)</f>
        <v/>
      </c>
      <c r="AL18" s="106">
        <f>IF($A18="","",$S18-68-68)</f>
        <v/>
      </c>
      <c r="AM18" s="107">
        <f>IF($A18="","",4*$D18)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IF($A19="","",$B19)</f>
        <v/>
      </c>
      <c r="H19" s="92">
        <f>IF($A19="","",$L$55*$D19)</f>
        <v/>
      </c>
      <c r="I19" s="104">
        <f>IF($A19="","",$C19-$E$56-$F$56)</f>
        <v/>
      </c>
      <c r="J19" s="92">
        <f>IF($A19="","",$L$56*$D19)</f>
        <v/>
      </c>
      <c r="K19" s="104">
        <f>IF($A19="","",$C19-$E$57-$F$57)</f>
        <v/>
      </c>
      <c r="L19" s="92">
        <f>IF($A19="","",$L$57*$D19)</f>
        <v/>
      </c>
      <c r="M19" s="104">
        <f>IF($A19="","",$C19-$E$58-$F$58)</f>
        <v/>
      </c>
      <c r="N19" s="92">
        <f>IF($A19="","",$L$58*$D19)</f>
        <v/>
      </c>
      <c r="O19" s="104">
        <f>IF($A19="","",$C19)</f>
        <v/>
      </c>
      <c r="P19" s="92">
        <f>IF($A19="","",$L$59*$D19)</f>
        <v/>
      </c>
      <c r="Q19" s="104">
        <f>IF($A19="","",$B19-$E$60-$F$60-$G$60)</f>
        <v/>
      </c>
      <c r="R19" s="92">
        <f>IF($A19="","",$L$60*$D19)</f>
        <v/>
      </c>
      <c r="S19" s="104">
        <f>IF($A19="","",(($C19-$E$61-$F$61-$G$61-$H$61-$I$61)/4)+(78*3)/4)</f>
        <v/>
      </c>
      <c r="T19" s="92">
        <f>IF($A19="","",$L$61*$D19)</f>
        <v/>
      </c>
      <c r="U19" s="104">
        <f>IF($A19="","",$Q19-$E$62-$F$62)</f>
        <v/>
      </c>
      <c r="V19" s="92">
        <f>IF($A19="","",$L$62*$D19)</f>
        <v/>
      </c>
      <c r="W19" s="104">
        <f>IF($A19="","",$S19-$E$63-$F$63)</f>
        <v/>
      </c>
      <c r="X19" s="92">
        <f>IF($A19="","",$L$63*$D19)</f>
        <v/>
      </c>
      <c r="Y19" s="104">
        <f>IF($A19="","",$Q19)</f>
        <v/>
      </c>
      <c r="Z19" s="92">
        <f>IF($A19="","",$L$64*$D19)</f>
        <v/>
      </c>
      <c r="AA19" s="104">
        <f>IF($A19="","",$B19-$E$65)</f>
        <v/>
      </c>
      <c r="AB19" s="92">
        <f>IF($A19="","",$L$65*$D19)</f>
        <v/>
      </c>
      <c r="AC19" s="104">
        <f>IF($A19="","",$C19-$E$66-$F$66)</f>
        <v/>
      </c>
      <c r="AD19" s="92">
        <f>IF($A19="","",$L$66*$D19)</f>
        <v/>
      </c>
      <c r="AE19" s="104">
        <f>IF($A19="","",$AA19)</f>
        <v/>
      </c>
      <c r="AF19" s="92">
        <f>IF($A19="","",$L$67*$D19)</f>
        <v/>
      </c>
      <c r="AG19" s="104">
        <f>IF($A19="","",$Q19)</f>
        <v/>
      </c>
      <c r="AH19" s="92">
        <f>IF($A19="","",$L$68*$D19)</f>
        <v/>
      </c>
      <c r="AI19" s="104">
        <f>IF($A19="","",$C19-$E$69-$F$69)</f>
        <v/>
      </c>
      <c r="AJ19" s="92">
        <f>IF($A19="","",$L$69*$D19)</f>
        <v/>
      </c>
      <c r="AK19" s="105">
        <f>IF($A19="","",$Q19-68-68)</f>
        <v/>
      </c>
      <c r="AL19" s="106">
        <f>IF($A19="","",$S19-68-68)</f>
        <v/>
      </c>
      <c r="AM19" s="107">
        <f>IF($A19="","",4*$D19)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IF($A20="","",$B20)</f>
        <v/>
      </c>
      <c r="H20" s="98">
        <f>IF($A20="","",$L$55*$D20)</f>
        <v/>
      </c>
      <c r="I20" s="108">
        <f>IF($A20="","",$C20-$E$56-$F$56)</f>
        <v/>
      </c>
      <c r="J20" s="98">
        <f>IF($A20="","",$L$56*$D20)</f>
        <v/>
      </c>
      <c r="K20" s="108">
        <f>IF($A20="","",$C20-$E$57-$F$57)</f>
        <v/>
      </c>
      <c r="L20" s="98">
        <f>IF($A20="","",$L$57*$D20)</f>
        <v/>
      </c>
      <c r="M20" s="108">
        <f>IF($A20="","",$C20-$E$58-$F$58)</f>
        <v/>
      </c>
      <c r="N20" s="98">
        <f>IF($A20="","",$L$58*$D20)</f>
        <v/>
      </c>
      <c r="O20" s="108">
        <f>IF($A20="","",$C20)</f>
        <v/>
      </c>
      <c r="P20" s="98">
        <f>IF($A20="","",$L$59*$D20)</f>
        <v/>
      </c>
      <c r="Q20" s="108">
        <f>IF($A20="","",$B20-$E$60-$F$60-$G$60)</f>
        <v/>
      </c>
      <c r="R20" s="98">
        <f>IF($A20="","",$L$60*$D20)</f>
        <v/>
      </c>
      <c r="S20" s="108">
        <f>IF($A20="","",(($C20-$E$61-$F$61-$G$61-$H$61-$I$61)/4)+(78*3)/4)</f>
        <v/>
      </c>
      <c r="T20" s="98">
        <f>IF($A20="","",$L$61*$D20)</f>
        <v/>
      </c>
      <c r="U20" s="108">
        <f>IF($A20="","",$Q20-$E$62-$F$62)</f>
        <v/>
      </c>
      <c r="V20" s="98">
        <f>IF($A20="","",$L$62*$D20)</f>
        <v/>
      </c>
      <c r="W20" s="108">
        <f>IF($A20="","",$S20-$E$63-$F$63)</f>
        <v/>
      </c>
      <c r="X20" s="98">
        <f>IF($A20="","",$L$63*$D20)</f>
        <v/>
      </c>
      <c r="Y20" s="108">
        <f>IF($A20="","",$Q20)</f>
        <v/>
      </c>
      <c r="Z20" s="98">
        <f>IF($A20="","",$L$64*$D20)</f>
        <v/>
      </c>
      <c r="AA20" s="108">
        <f>IF($A20="","",$B20-$E$65)</f>
        <v/>
      </c>
      <c r="AB20" s="98">
        <f>IF($A20="","",$L$65*$D20)</f>
        <v/>
      </c>
      <c r="AC20" s="108">
        <f>IF($A20="","",$C20-$E$66-$F$66)</f>
        <v/>
      </c>
      <c r="AD20" s="98">
        <f>IF($A20="","",$L$66*$D20)</f>
        <v/>
      </c>
      <c r="AE20" s="108">
        <f>IF($A20="","",$AA20)</f>
        <v/>
      </c>
      <c r="AF20" s="98">
        <f>IF($A20="","",$L$67*$D20)</f>
        <v/>
      </c>
      <c r="AG20" s="108">
        <f>IF($A20="","",$Q20)</f>
        <v/>
      </c>
      <c r="AH20" s="98">
        <f>IF($A20="","",$L$68*$D20)</f>
        <v/>
      </c>
      <c r="AI20" s="108">
        <f>IF($A20="","",$C20-$E$69-$F$69)</f>
        <v/>
      </c>
      <c r="AJ20" s="98">
        <f>IF($A20="","",$L$69*$D20)</f>
        <v/>
      </c>
      <c r="AK20" s="105">
        <f>IF($A20="","",$Q20-68-68)</f>
        <v/>
      </c>
      <c r="AL20" s="106">
        <f>IF($A20="","",$S20-68-68)</f>
        <v/>
      </c>
      <c r="AM20" s="107">
        <f>IF($A20="","",4*$D20)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IF($A21="","",$B21)</f>
        <v/>
      </c>
      <c r="H21" s="92">
        <f>IF($A21="","",$L$55*$D21)</f>
        <v/>
      </c>
      <c r="I21" s="104">
        <f>IF($A21="","",$C21-$E$56-$F$56)</f>
        <v/>
      </c>
      <c r="J21" s="92">
        <f>IF($A21="","",$L$56*$D21)</f>
        <v/>
      </c>
      <c r="K21" s="104">
        <f>IF($A21="","",$C21-$E$57-$F$57)</f>
        <v/>
      </c>
      <c r="L21" s="92">
        <f>IF($A21="","",$L$57*$D21)</f>
        <v/>
      </c>
      <c r="M21" s="104">
        <f>IF($A21="","",$C21-$E$58-$F$58)</f>
        <v/>
      </c>
      <c r="N21" s="92">
        <f>IF($A21="","",$L$58*$D21)</f>
        <v/>
      </c>
      <c r="O21" s="104">
        <f>IF($A21="","",$C21)</f>
        <v/>
      </c>
      <c r="P21" s="92">
        <f>IF($A21="","",$L$59*$D21)</f>
        <v/>
      </c>
      <c r="Q21" s="104">
        <f>IF($A21="","",$B21-$E$60-$F$60-$G$60)</f>
        <v/>
      </c>
      <c r="R21" s="92">
        <f>IF($A21="","",$L$60*$D21)</f>
        <v/>
      </c>
      <c r="S21" s="104">
        <f>IF($A21="","",(($C21-$E$61-$F$61-$G$61-$H$61-$I$61)/4)+(78*3)/4)</f>
        <v/>
      </c>
      <c r="T21" s="92">
        <f>IF($A21="","",$L$61*$D21)</f>
        <v/>
      </c>
      <c r="U21" s="104">
        <f>IF($A21="","",$Q21-$E$62-$F$62)</f>
        <v/>
      </c>
      <c r="V21" s="92">
        <f>IF($A21="","",$L$62*$D21)</f>
        <v/>
      </c>
      <c r="W21" s="104">
        <f>IF($A21="","",$S21-$E$63-$F$63)</f>
        <v/>
      </c>
      <c r="X21" s="92">
        <f>IF($A21="","",$L$63*$D21)</f>
        <v/>
      </c>
      <c r="Y21" s="104">
        <f>IF($A21="","",$Q21)</f>
        <v/>
      </c>
      <c r="Z21" s="92">
        <f>IF($A21="","",$L$64*$D21)</f>
        <v/>
      </c>
      <c r="AA21" s="104">
        <f>IF($A21="","",$B21-$E$65)</f>
        <v/>
      </c>
      <c r="AB21" s="92">
        <f>IF($A21="","",$L$65*$D21)</f>
        <v/>
      </c>
      <c r="AC21" s="104">
        <f>IF($A21="","",$C21-$E$66-$F$66)</f>
        <v/>
      </c>
      <c r="AD21" s="92">
        <f>IF($A21="","",$L$66*$D21)</f>
        <v/>
      </c>
      <c r="AE21" s="104">
        <f>IF($A21="","",$AA21)</f>
        <v/>
      </c>
      <c r="AF21" s="92">
        <f>IF($A21="","",$L$67*$D21)</f>
        <v/>
      </c>
      <c r="AG21" s="104">
        <f>IF($A21="","",$Q21)</f>
        <v/>
      </c>
      <c r="AH21" s="92">
        <f>IF($A21="","",$L$68*$D21)</f>
        <v/>
      </c>
      <c r="AI21" s="104">
        <f>IF($A21="","",$C21-$E$69-$F$69)</f>
        <v/>
      </c>
      <c r="AJ21" s="92">
        <f>IF($A21="","",$L$69*$D21)</f>
        <v/>
      </c>
      <c r="AK21" s="105">
        <f>IF($A21="","",$Q21-68-68)</f>
        <v/>
      </c>
      <c r="AL21" s="106">
        <f>IF($A21="","",$S21-68-68)</f>
        <v/>
      </c>
      <c r="AM21" s="107">
        <f>IF($A21="","",4*$D21)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IF($A22="","",$B22)</f>
        <v/>
      </c>
      <c r="H22" s="98">
        <f>IF($A22="","",$L$55*$D22)</f>
        <v/>
      </c>
      <c r="I22" s="108">
        <f>IF($A22="","",$C22-$E$56-$F$56)</f>
        <v/>
      </c>
      <c r="J22" s="98">
        <f>IF($A22="","",$L$56*$D22)</f>
        <v/>
      </c>
      <c r="K22" s="108">
        <f>IF($A22="","",$C22-$E$57-$F$57)</f>
        <v/>
      </c>
      <c r="L22" s="98">
        <f>IF($A22="","",$L$57*$D22)</f>
        <v/>
      </c>
      <c r="M22" s="108">
        <f>IF($A22="","",$C22-$E$58-$F$58)</f>
        <v/>
      </c>
      <c r="N22" s="98">
        <f>IF($A22="","",$L$58*$D22)</f>
        <v/>
      </c>
      <c r="O22" s="108">
        <f>IF($A22="","",$C22)</f>
        <v/>
      </c>
      <c r="P22" s="98">
        <f>IF($A22="","",$L$59*$D22)</f>
        <v/>
      </c>
      <c r="Q22" s="108">
        <f>IF($A22="","",$B22-$E$60-$F$60-$G$60)</f>
        <v/>
      </c>
      <c r="R22" s="98">
        <f>IF($A22="","",$L$60*$D22)</f>
        <v/>
      </c>
      <c r="S22" s="108">
        <f>IF($A22="","",(($C22-$E$61-$F$61-$G$61-$H$61-$I$61)/4)+(78*3)/4)</f>
        <v/>
      </c>
      <c r="T22" s="98">
        <f>IF($A22="","",$L$61*$D22)</f>
        <v/>
      </c>
      <c r="U22" s="108">
        <f>IF($A22="","",$Q22-$E$62-$F$62)</f>
        <v/>
      </c>
      <c r="V22" s="98">
        <f>IF($A22="","",$L$62*$D22)</f>
        <v/>
      </c>
      <c r="W22" s="108">
        <f>IF($A22="","",$S22-$E$63-$F$63)</f>
        <v/>
      </c>
      <c r="X22" s="98">
        <f>IF($A22="","",$L$63*$D22)</f>
        <v/>
      </c>
      <c r="Y22" s="108">
        <f>IF($A22="","",$Q22)</f>
        <v/>
      </c>
      <c r="Z22" s="98">
        <f>IF($A22="","",$L$64*$D22)</f>
        <v/>
      </c>
      <c r="AA22" s="108">
        <f>IF($A22="","",$B22-$E$65)</f>
        <v/>
      </c>
      <c r="AB22" s="98">
        <f>IF($A22="","",$L$65*$D22)</f>
        <v/>
      </c>
      <c r="AC22" s="108">
        <f>IF($A22="","",$C22-$E$66-$F$66)</f>
        <v/>
      </c>
      <c r="AD22" s="98">
        <f>IF($A22="","",$L$66*$D22)</f>
        <v/>
      </c>
      <c r="AE22" s="108">
        <f>IF($A22="","",$AA22)</f>
        <v/>
      </c>
      <c r="AF22" s="98">
        <f>IF($A22="","",$L$67*$D22)</f>
        <v/>
      </c>
      <c r="AG22" s="108">
        <f>IF($A22="","",$Q22)</f>
        <v/>
      </c>
      <c r="AH22" s="98">
        <f>IF($A22="","",$L$68*$D22)</f>
        <v/>
      </c>
      <c r="AI22" s="108">
        <f>IF($A22="","",$C22-$E$69-$F$69)</f>
        <v/>
      </c>
      <c r="AJ22" s="98">
        <f>IF($A22="","",$L$69*$D22)</f>
        <v/>
      </c>
      <c r="AK22" s="105">
        <f>IF($A22="","",$Q22-68-68)</f>
        <v/>
      </c>
      <c r="AL22" s="106">
        <f>IF($A22="","",$S22-68-68)</f>
        <v/>
      </c>
      <c r="AM22" s="107">
        <f>IF($A22="","",4*$D22)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IF($A23="","",$B23)</f>
        <v/>
      </c>
      <c r="H23" s="92">
        <f>IF($A23="","",$L$55*$D23)</f>
        <v/>
      </c>
      <c r="I23" s="104">
        <f>IF($A23="","",$C23-$E$56-$F$56)</f>
        <v/>
      </c>
      <c r="J23" s="92">
        <f>IF($A23="","",$L$56*$D23)</f>
        <v/>
      </c>
      <c r="K23" s="104">
        <f>IF($A23="","",$C23-$E$57-$F$57)</f>
        <v/>
      </c>
      <c r="L23" s="92">
        <f>IF($A23="","",$L$57*$D23)</f>
        <v/>
      </c>
      <c r="M23" s="104">
        <f>IF($A23="","",$C23-$E$58-$F$58)</f>
        <v/>
      </c>
      <c r="N23" s="92">
        <f>IF($A23="","",$L$58*$D23)</f>
        <v/>
      </c>
      <c r="O23" s="104">
        <f>IF($A23="","",$C23)</f>
        <v/>
      </c>
      <c r="P23" s="92">
        <f>IF($A23="","",$L$59*$D23)</f>
        <v/>
      </c>
      <c r="Q23" s="104">
        <f>IF($A23="","",$B23-$E$60-$F$60-$G$60)</f>
        <v/>
      </c>
      <c r="R23" s="92">
        <f>IF($A23="","",$L$60*$D23)</f>
        <v/>
      </c>
      <c r="S23" s="104">
        <f>IF($A23="","",(($C23-$E$61-$F$61-$G$61-$H$61-$I$61)/4)+(78*3)/4)</f>
        <v/>
      </c>
      <c r="T23" s="92">
        <f>IF($A23="","",$L$61*$D23)</f>
        <v/>
      </c>
      <c r="U23" s="104">
        <f>IF($A23="","",$Q23-$E$62-$F$62)</f>
        <v/>
      </c>
      <c r="V23" s="92">
        <f>IF($A23="","",$L$62*$D23)</f>
        <v/>
      </c>
      <c r="W23" s="104">
        <f>IF($A23="","",$S23-$E$63-$F$63)</f>
        <v/>
      </c>
      <c r="X23" s="92">
        <f>IF($A23="","",$L$63*$D23)</f>
        <v/>
      </c>
      <c r="Y23" s="104">
        <f>IF($A23="","",$Q23)</f>
        <v/>
      </c>
      <c r="Z23" s="92">
        <f>IF($A23="","",$L$64*$D23)</f>
        <v/>
      </c>
      <c r="AA23" s="104">
        <f>IF($A23="","",$B23-$E$65)</f>
        <v/>
      </c>
      <c r="AB23" s="92">
        <f>IF($A23="","",$L$65*$D23)</f>
        <v/>
      </c>
      <c r="AC23" s="104">
        <f>IF($A23="","",$C23-$E$66-$F$66)</f>
        <v/>
      </c>
      <c r="AD23" s="92">
        <f>IF($A23="","",$L$66*$D23)</f>
        <v/>
      </c>
      <c r="AE23" s="104">
        <f>IF($A23="","",$AA23)</f>
        <v/>
      </c>
      <c r="AF23" s="92">
        <f>IF($A23="","",$L$67*$D23)</f>
        <v/>
      </c>
      <c r="AG23" s="104">
        <f>IF($A23="","",$Q23)</f>
        <v/>
      </c>
      <c r="AH23" s="92">
        <f>IF($A23="","",$L$68*$D23)</f>
        <v/>
      </c>
      <c r="AI23" s="104">
        <f>IF($A23="","",$C23-$E$69-$F$69)</f>
        <v/>
      </c>
      <c r="AJ23" s="92">
        <f>IF($A23="","",$L$69*$D23)</f>
        <v/>
      </c>
      <c r="AK23" s="105">
        <f>IF($A23="","",$Q23-68-68)</f>
        <v/>
      </c>
      <c r="AL23" s="106">
        <f>IF($A23="","",$S23-68-68)</f>
        <v/>
      </c>
      <c r="AM23" s="107">
        <f>IF($A23="","",4*$D23)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IF($A24="","",$B24)</f>
        <v/>
      </c>
      <c r="H24" s="98">
        <f>IF($A24="","",$L$55*$D24)</f>
        <v/>
      </c>
      <c r="I24" s="108">
        <f>IF($A24="","",$C24-$E$56-$F$56)</f>
        <v/>
      </c>
      <c r="J24" s="98">
        <f>IF($A24="","",$L$56*$D24)</f>
        <v/>
      </c>
      <c r="K24" s="108">
        <f>IF($A24="","",$C24-$E$57-$F$57)</f>
        <v/>
      </c>
      <c r="L24" s="98">
        <f>IF($A24="","",$L$57*$D24)</f>
        <v/>
      </c>
      <c r="M24" s="108">
        <f>IF($A24="","",$C24-$E$58-$F$58)</f>
        <v/>
      </c>
      <c r="N24" s="98">
        <f>IF($A24="","",$L$58*$D24)</f>
        <v/>
      </c>
      <c r="O24" s="108">
        <f>IF($A24="","",$C24)</f>
        <v/>
      </c>
      <c r="P24" s="98">
        <f>IF($A24="","",$L$59*$D24)</f>
        <v/>
      </c>
      <c r="Q24" s="108">
        <f>IF($A24="","",$B24-$E$60-$F$60-$G$60)</f>
        <v/>
      </c>
      <c r="R24" s="98">
        <f>IF($A24="","",$L$60*$D24)</f>
        <v/>
      </c>
      <c r="S24" s="108">
        <f>IF($A24="","",(($C24-$E$61-$F$61-$G$61-$H$61-$I$61)/4)+(78*3)/4)</f>
        <v/>
      </c>
      <c r="T24" s="98">
        <f>IF($A24="","",$L$61*$D24)</f>
        <v/>
      </c>
      <c r="U24" s="108">
        <f>IF($A24="","",$Q24-$E$62-$F$62)</f>
        <v/>
      </c>
      <c r="V24" s="98">
        <f>IF($A24="","",$L$62*$D24)</f>
        <v/>
      </c>
      <c r="W24" s="108">
        <f>IF($A24="","",$S24-$E$63-$F$63)</f>
        <v/>
      </c>
      <c r="X24" s="98">
        <f>IF($A24="","",$L$63*$D24)</f>
        <v/>
      </c>
      <c r="Y24" s="108">
        <f>IF($A24="","",$Q24)</f>
        <v/>
      </c>
      <c r="Z24" s="98">
        <f>IF($A24="","",$L$64*$D24)</f>
        <v/>
      </c>
      <c r="AA24" s="108">
        <f>IF($A24="","",$B24-$E$65)</f>
        <v/>
      </c>
      <c r="AB24" s="98">
        <f>IF($A24="","",$L$65*$D24)</f>
        <v/>
      </c>
      <c r="AC24" s="108">
        <f>IF($A24="","",$C24-$E$66-$F$66)</f>
        <v/>
      </c>
      <c r="AD24" s="98">
        <f>IF($A24="","",$L$66*$D24)</f>
        <v/>
      </c>
      <c r="AE24" s="108">
        <f>IF($A24="","",$AA24)</f>
        <v/>
      </c>
      <c r="AF24" s="98">
        <f>IF($A24="","",$L$67*$D24)</f>
        <v/>
      </c>
      <c r="AG24" s="108">
        <f>IF($A24="","",$Q24)</f>
        <v/>
      </c>
      <c r="AH24" s="98">
        <f>IF($A24="","",$L$68*$D24)</f>
        <v/>
      </c>
      <c r="AI24" s="108">
        <f>IF($A24="","",$C24-$E$69-$F$69)</f>
        <v/>
      </c>
      <c r="AJ24" s="98">
        <f>IF($A24="","",$L$69*$D24)</f>
        <v/>
      </c>
      <c r="AK24" s="105">
        <f>IF($A24="","",$Q24-68-68)</f>
        <v/>
      </c>
      <c r="AL24" s="106">
        <f>IF($A24="","",$S24-68-68)</f>
        <v/>
      </c>
      <c r="AM24" s="107">
        <f>IF($A24="","",4*$D24)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IF($A25="","",$B25)</f>
        <v/>
      </c>
      <c r="H25" s="92">
        <f>IF($A25="","",$L$55*$D25)</f>
        <v/>
      </c>
      <c r="I25" s="104">
        <f>IF($A25="","",$C25-$E$56-$F$56)</f>
        <v/>
      </c>
      <c r="J25" s="92">
        <f>IF($A25="","",$L$56*$D25)</f>
        <v/>
      </c>
      <c r="K25" s="104">
        <f>IF($A25="","",$C25-$E$57-$F$57)</f>
        <v/>
      </c>
      <c r="L25" s="92">
        <f>IF($A25="","",$L$57*$D25)</f>
        <v/>
      </c>
      <c r="M25" s="104">
        <f>IF($A25="","",$C25-$E$58-$F$58)</f>
        <v/>
      </c>
      <c r="N25" s="92">
        <f>IF($A25="","",$L$58*$D25)</f>
        <v/>
      </c>
      <c r="O25" s="104">
        <f>IF($A25="","",$C25)</f>
        <v/>
      </c>
      <c r="P25" s="92">
        <f>IF($A25="","",$L$59*$D25)</f>
        <v/>
      </c>
      <c r="Q25" s="104">
        <f>IF($A25="","",$B25-$E$60-$F$60-$G$60)</f>
        <v/>
      </c>
      <c r="R25" s="92">
        <f>IF($A25="","",$L$60*$D25)</f>
        <v/>
      </c>
      <c r="S25" s="104">
        <f>IF($A25="","",(($C25-$E$61-$F$61-$G$61-$H$61-$I$61)/4)+(78*3)/4)</f>
        <v/>
      </c>
      <c r="T25" s="92">
        <f>IF($A25="","",$L$61*$D25)</f>
        <v/>
      </c>
      <c r="U25" s="104">
        <f>IF($A25="","",$Q25-$E$62-$F$62)</f>
        <v/>
      </c>
      <c r="V25" s="92">
        <f>IF($A25="","",$L$62*$D25)</f>
        <v/>
      </c>
      <c r="W25" s="104">
        <f>IF($A25="","",$S25-$E$63-$F$63)</f>
        <v/>
      </c>
      <c r="X25" s="92">
        <f>IF($A25="","",$L$63*$D25)</f>
        <v/>
      </c>
      <c r="Y25" s="104">
        <f>IF($A25="","",$Q25)</f>
        <v/>
      </c>
      <c r="Z25" s="92">
        <f>IF($A25="","",$L$64*$D25)</f>
        <v/>
      </c>
      <c r="AA25" s="104">
        <f>IF($A25="","",$B25-$E$65)</f>
        <v/>
      </c>
      <c r="AB25" s="92">
        <f>IF($A25="","",$L$65*$D25)</f>
        <v/>
      </c>
      <c r="AC25" s="104">
        <f>IF($A25="","",$C25-$E$66-$F$66)</f>
        <v/>
      </c>
      <c r="AD25" s="92">
        <f>IF($A25="","",$L$66*$D25)</f>
        <v/>
      </c>
      <c r="AE25" s="104">
        <f>IF($A25="","",$AA25)</f>
        <v/>
      </c>
      <c r="AF25" s="92">
        <f>IF($A25="","",$L$67*$D25)</f>
        <v/>
      </c>
      <c r="AG25" s="104">
        <f>IF($A25="","",$Q25)</f>
        <v/>
      </c>
      <c r="AH25" s="92">
        <f>IF($A25="","",$L$68*$D25)</f>
        <v/>
      </c>
      <c r="AI25" s="104">
        <f>IF($A25="","",$C25-$E$69-$F$69)</f>
        <v/>
      </c>
      <c r="AJ25" s="92">
        <f>IF($A25="","",$L$69*$D25)</f>
        <v/>
      </c>
      <c r="AK25" s="105">
        <f>IF($A25="","",$Q25-68-68)</f>
        <v/>
      </c>
      <c r="AL25" s="106">
        <f>IF($A25="","",$S25-68-68)</f>
        <v/>
      </c>
      <c r="AM25" s="107">
        <f>IF($A25="","",4*$D25)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IF($A26="","",$B26)</f>
        <v/>
      </c>
      <c r="H26" s="98">
        <f>IF($A26="","",$L$55*$D26)</f>
        <v/>
      </c>
      <c r="I26" s="108">
        <f>IF($A26="","",$C26-$E$56-$F$56)</f>
        <v/>
      </c>
      <c r="J26" s="98">
        <f>IF($A26="","",$L$56*$D26)</f>
        <v/>
      </c>
      <c r="K26" s="108">
        <f>IF($A26="","",$C26-$E$57-$F$57)</f>
        <v/>
      </c>
      <c r="L26" s="98">
        <f>IF($A26="","",$L$57*$D26)</f>
        <v/>
      </c>
      <c r="M26" s="108">
        <f>IF($A26="","",$C26-$E$58-$F$58)</f>
        <v/>
      </c>
      <c r="N26" s="98">
        <f>IF($A26="","",$L$58*$D26)</f>
        <v/>
      </c>
      <c r="O26" s="108">
        <f>IF($A26="","",$C26)</f>
        <v/>
      </c>
      <c r="P26" s="98">
        <f>IF($A26="","",$L$59*$D26)</f>
        <v/>
      </c>
      <c r="Q26" s="108">
        <f>IF($A26="","",$B26-$E$60-$F$60-$G$60)</f>
        <v/>
      </c>
      <c r="R26" s="98">
        <f>IF($A26="","",$L$60*$D26)</f>
        <v/>
      </c>
      <c r="S26" s="108">
        <f>IF($A26="","",(($C26-$E$61-$F$61-$G$61-$H$61-$I$61)/4)+(78*3)/4)</f>
        <v/>
      </c>
      <c r="T26" s="98">
        <f>IF($A26="","",$L$61*$D26)</f>
        <v/>
      </c>
      <c r="U26" s="108">
        <f>IF($A26="","",$Q26-$E$62-$F$62)</f>
        <v/>
      </c>
      <c r="V26" s="98">
        <f>IF($A26="","",$L$62*$D26)</f>
        <v/>
      </c>
      <c r="W26" s="108">
        <f>IF($A26="","",$S26-$E$63-$F$63)</f>
        <v/>
      </c>
      <c r="X26" s="98">
        <f>IF($A26="","",$L$63*$D26)</f>
        <v/>
      </c>
      <c r="Y26" s="108">
        <f>IF($A26="","",$Q26)</f>
        <v/>
      </c>
      <c r="Z26" s="98">
        <f>IF($A26="","",$L$64*$D26)</f>
        <v/>
      </c>
      <c r="AA26" s="108">
        <f>IF($A26="","",$B26-$E$65)</f>
        <v/>
      </c>
      <c r="AB26" s="98">
        <f>IF($A26="","",$L$65*$D26)</f>
        <v/>
      </c>
      <c r="AC26" s="108">
        <f>IF($A26="","",$C26-$E$66-$F$66)</f>
        <v/>
      </c>
      <c r="AD26" s="98">
        <f>IF($A26="","",$L$66*$D26)</f>
        <v/>
      </c>
      <c r="AE26" s="108">
        <f>IF($A26="","",$AA26)</f>
        <v/>
      </c>
      <c r="AF26" s="98">
        <f>IF($A26="","",$L$67*$D26)</f>
        <v/>
      </c>
      <c r="AG26" s="108">
        <f>IF($A26="","",$Q26)</f>
        <v/>
      </c>
      <c r="AH26" s="98">
        <f>IF($A26="","",$L$68*$D26)</f>
        <v/>
      </c>
      <c r="AI26" s="108">
        <f>IF($A26="","",$C26-$E$69-$F$69)</f>
        <v/>
      </c>
      <c r="AJ26" s="98">
        <f>IF($A26="","",$L$69*$D26)</f>
        <v/>
      </c>
      <c r="AK26" s="105">
        <f>IF($A26="","",$Q26-68-68)</f>
        <v/>
      </c>
      <c r="AL26" s="106">
        <f>IF($A26="","",$S26-68-68)</f>
        <v/>
      </c>
      <c r="AM26" s="107">
        <f>IF($A26="","",4*$D26)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IF($A27="","",$B27)</f>
        <v/>
      </c>
      <c r="H27" s="92">
        <f>IF($A27="","",$L$55*$D27)</f>
        <v/>
      </c>
      <c r="I27" s="104">
        <f>IF($A27="","",$C27-$E$56-$F$56)</f>
        <v/>
      </c>
      <c r="J27" s="92">
        <f>IF($A27="","",$L$56*$D27)</f>
        <v/>
      </c>
      <c r="K27" s="104">
        <f>IF($A27="","",$C27-$E$57-$F$57)</f>
        <v/>
      </c>
      <c r="L27" s="92">
        <f>IF($A27="","",$L$57*$D27)</f>
        <v/>
      </c>
      <c r="M27" s="104">
        <f>IF($A27="","",$C27-$E$58-$F$58)</f>
        <v/>
      </c>
      <c r="N27" s="92">
        <f>IF($A27="","",$L$58*$D27)</f>
        <v/>
      </c>
      <c r="O27" s="104">
        <f>IF($A27="","",$C27)</f>
        <v/>
      </c>
      <c r="P27" s="92">
        <f>IF($A27="","",$L$59*$D27)</f>
        <v/>
      </c>
      <c r="Q27" s="104">
        <f>IF($A27="","",$B27-$E$60-$F$60-$G$60)</f>
        <v/>
      </c>
      <c r="R27" s="92">
        <f>IF($A27="","",$L$60*$D27)</f>
        <v/>
      </c>
      <c r="S27" s="104">
        <f>IF($A27="","",(($C27-$E$61-$F$61-$G$61-$H$61-$I$61)/4)+(78*3)/4)</f>
        <v/>
      </c>
      <c r="T27" s="92">
        <f>IF($A27="","",$L$61*$D27)</f>
        <v/>
      </c>
      <c r="U27" s="104">
        <f>IF($A27="","",$Q27-$E$62-$F$62)</f>
        <v/>
      </c>
      <c r="V27" s="92">
        <f>IF($A27="","",$L$62*$D27)</f>
        <v/>
      </c>
      <c r="W27" s="104">
        <f>IF($A27="","",$S27-$E$63-$F$63)</f>
        <v/>
      </c>
      <c r="X27" s="92">
        <f>IF($A27="","",$L$63*$D27)</f>
        <v/>
      </c>
      <c r="Y27" s="104">
        <f>IF($A27="","",$Q27)</f>
        <v/>
      </c>
      <c r="Z27" s="92">
        <f>IF($A27="","",$L$64*$D27)</f>
        <v/>
      </c>
      <c r="AA27" s="104">
        <f>IF($A27="","",$B27-$E$65)</f>
        <v/>
      </c>
      <c r="AB27" s="92">
        <f>IF($A27="","",$L$65*$D27)</f>
        <v/>
      </c>
      <c r="AC27" s="104">
        <f>IF($A27="","",$C27-$E$66-$F$66)</f>
        <v/>
      </c>
      <c r="AD27" s="92">
        <f>IF($A27="","",$L$66*$D27)</f>
        <v/>
      </c>
      <c r="AE27" s="104">
        <f>IF($A27="","",$AA27)</f>
        <v/>
      </c>
      <c r="AF27" s="92">
        <f>IF($A27="","",$L$67*$D27)</f>
        <v/>
      </c>
      <c r="AG27" s="104">
        <f>IF($A27="","",$Q27)</f>
        <v/>
      </c>
      <c r="AH27" s="92">
        <f>IF($A27="","",$L$68*$D27)</f>
        <v/>
      </c>
      <c r="AI27" s="104">
        <f>IF($A27="","",$C27-$E$69-$F$69)</f>
        <v/>
      </c>
      <c r="AJ27" s="92">
        <f>IF($A27="","",$L$69*$D27)</f>
        <v/>
      </c>
      <c r="AK27" s="105">
        <f>IF($A27="","",$Q27-68-68)</f>
        <v/>
      </c>
      <c r="AL27" s="106">
        <f>IF($A27="","",$S27-68-68)</f>
        <v/>
      </c>
      <c r="AM27" s="107">
        <f>IF($A27="","",4*$D27)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IF($A28="","",$B28)</f>
        <v/>
      </c>
      <c r="H28" s="98">
        <f>IF($A28="","",$L$55*$D28)</f>
        <v/>
      </c>
      <c r="I28" s="108">
        <f>IF($A28="","",$C28-$E$56-$F$56)</f>
        <v/>
      </c>
      <c r="J28" s="98">
        <f>IF($A28="","",$L$56*$D28)</f>
        <v/>
      </c>
      <c r="K28" s="108">
        <f>IF($A28="","",$C28-$E$57-$F$57)</f>
        <v/>
      </c>
      <c r="L28" s="98">
        <f>IF($A28="","",$L$57*$D28)</f>
        <v/>
      </c>
      <c r="M28" s="108">
        <f>IF($A28="","",$C28-$E$58-$F$58)</f>
        <v/>
      </c>
      <c r="N28" s="98">
        <f>IF($A28="","",$L$58*$D28)</f>
        <v/>
      </c>
      <c r="O28" s="108">
        <f>IF($A28="","",$C28)</f>
        <v/>
      </c>
      <c r="P28" s="98">
        <f>IF($A28="","",$L$59*$D28)</f>
        <v/>
      </c>
      <c r="Q28" s="108">
        <f>IF($A28="","",$B28-$E$60-$F$60-$G$60)</f>
        <v/>
      </c>
      <c r="R28" s="98">
        <f>IF($A28="","",$L$60*$D28)</f>
        <v/>
      </c>
      <c r="S28" s="108">
        <f>IF($A28="","",(($C28-$E$61-$F$61-$G$61-$H$61-$I$61)/4)+(78*3)/4)</f>
        <v/>
      </c>
      <c r="T28" s="98">
        <f>IF($A28="","",$L$61*$D28)</f>
        <v/>
      </c>
      <c r="U28" s="108">
        <f>IF($A28="","",$Q28-$E$62-$F$62)</f>
        <v/>
      </c>
      <c r="V28" s="98">
        <f>IF($A28="","",$L$62*$D28)</f>
        <v/>
      </c>
      <c r="W28" s="108">
        <f>IF($A28="","",$S28-$E$63-$F$63)</f>
        <v/>
      </c>
      <c r="X28" s="98">
        <f>IF($A28="","",$L$63*$D28)</f>
        <v/>
      </c>
      <c r="Y28" s="108">
        <f>IF($A28="","",$Q28)</f>
        <v/>
      </c>
      <c r="Z28" s="98">
        <f>IF($A28="","",$L$64*$D28)</f>
        <v/>
      </c>
      <c r="AA28" s="108">
        <f>IF($A28="","",$B28-$E$65)</f>
        <v/>
      </c>
      <c r="AB28" s="98">
        <f>IF($A28="","",$L$65*$D28)</f>
        <v/>
      </c>
      <c r="AC28" s="108">
        <f>IF($A28="","",$C28-$E$66-$F$66)</f>
        <v/>
      </c>
      <c r="AD28" s="98">
        <f>IF($A28="","",$L$66*$D28)</f>
        <v/>
      </c>
      <c r="AE28" s="108">
        <f>IF($A28="","",$AA28)</f>
        <v/>
      </c>
      <c r="AF28" s="98">
        <f>IF($A28="","",$L$67*$D28)</f>
        <v/>
      </c>
      <c r="AG28" s="108">
        <f>IF($A28="","",$Q28)</f>
        <v/>
      </c>
      <c r="AH28" s="98">
        <f>IF($A28="","",$L$68*$D28)</f>
        <v/>
      </c>
      <c r="AI28" s="108">
        <f>IF($A28="","",$C28-$E$69-$F$69)</f>
        <v/>
      </c>
      <c r="AJ28" s="98">
        <f>IF($A28="","",$L$69*$D28)</f>
        <v/>
      </c>
      <c r="AK28" s="105">
        <f>IF($A28="","",$Q28-68-68)</f>
        <v/>
      </c>
      <c r="AL28" s="106">
        <f>IF($A28="","",$S28-68-68)</f>
        <v/>
      </c>
      <c r="AM28" s="107">
        <f>IF($A28="","",4*$D28)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(ROUNDUP(L49/6400,0))</f>
        <v/>
      </c>
      <c r="M30" s="72">
        <f>M$7</f>
        <v/>
      </c>
      <c r="N30" s="72">
        <f>(ROUNDUP(N49/6400,0))</f>
        <v/>
      </c>
      <c r="O30" s="72">
        <f>O$7</f>
        <v/>
      </c>
      <c r="P30" s="72">
        <f>(ROUNDUP(P49/6400,0))</f>
        <v/>
      </c>
      <c r="Q30" s="72">
        <f>Q$7</f>
        <v/>
      </c>
      <c r="R30" s="20" t="n"/>
      <c r="S30" s="21" t="n"/>
      <c r="T30" s="72">
        <f>(ROUNDUP(SUM(R49:T49)/6400,0))</f>
        <v/>
      </c>
      <c r="U30" s="72">
        <f>U$7</f>
        <v/>
      </c>
      <c r="V30" s="20" t="n"/>
      <c r="W30" s="21" t="n"/>
      <c r="X30" s="72">
        <f>(ROUNDUP(SUM(V49:X49)/6400,0))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(ROUNDUP(AD49/6400,0))</f>
        <v/>
      </c>
      <c r="AE30" s="72">
        <f>AE$7</f>
        <v/>
      </c>
      <c r="AF30" s="20" t="n"/>
      <c r="AG30" s="21" t="n"/>
      <c r="AH30" s="72">
        <f>(ROUNDUP(SUM(AF49:AH49)/6400,0))</f>
        <v/>
      </c>
      <c r="AI30" s="72">
        <f>AI$7</f>
        <v/>
      </c>
      <c r="AJ30" s="72">
        <f>(ROUNDUP(AJ49/6400,0))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L49" s="74">
        <f>SUMIF(L31:L48,"&gt;0")</f>
        <v/>
      </c>
      <c r="M49" s="74" t="n"/>
      <c r="N49" s="74">
        <f>SUMIF(N31:N48,"&gt;0")</f>
        <v/>
      </c>
      <c r="O49" s="74" t="n"/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4</v>
      </c>
      <c r="M54" s="82" t="n"/>
    </row>
    <row r="55" ht="44" customHeight="1">
      <c r="A55" s="78" t="n">
        <v>2</v>
      </c>
      <c r="B55" s="79" t="inlineStr">
        <is>
          <t>ต่อเฟรมข้าง</t>
        </is>
      </c>
      <c r="C55" s="80" t="inlineStr">
        <is>
          <t>F7989</t>
        </is>
      </c>
      <c r="D55" s="81" t="inlineStr">
        <is>
          <t>สูง</t>
        </is>
      </c>
      <c r="E55" s="82" t="n"/>
      <c r="F55" s="82" t="n"/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เฟรม บน-ล่าง</t>
        </is>
      </c>
      <c r="C56" s="80" t="inlineStr">
        <is>
          <t>F7976</t>
        </is>
      </c>
      <c r="D56" s="81" t="inlineStr">
        <is>
          <t>กว้าง-21-21</t>
        </is>
      </c>
      <c r="E56" s="83" t="n">
        <v>21</v>
      </c>
      <c r="F56" s="83" t="n">
        <v>21</v>
      </c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ต่อราง</t>
        </is>
      </c>
      <c r="C57" s="80" t="inlineStr">
        <is>
          <t>F7990</t>
        </is>
      </c>
      <c r="D57" s="81" t="inlineStr">
        <is>
          <t>กว้าง-21-21</t>
        </is>
      </c>
      <c r="E57" s="83" t="n">
        <v>21</v>
      </c>
      <c r="F57" s="83" t="n">
        <v>21</v>
      </c>
      <c r="G57" s="82" t="n"/>
      <c r="H57" s="82" t="n"/>
      <c r="I57" s="82" t="n"/>
      <c r="J57" s="82" t="n"/>
      <c r="K57" s="82" t="n"/>
      <c r="L57" s="83" t="n">
        <v>1</v>
      </c>
      <c r="M57" s="82" t="n"/>
    </row>
    <row r="58" ht="15" customHeight="1">
      <c r="A58" s="78" t="n">
        <v>5</v>
      </c>
      <c r="B58" s="79" t="inlineStr">
        <is>
          <t>เฟรม ล่าง</t>
        </is>
      </c>
      <c r="C58" s="80" t="inlineStr">
        <is>
          <t>B27018</t>
        </is>
      </c>
      <c r="D58" s="81" t="inlineStr">
        <is>
          <t>กว้าง-21-21</t>
        </is>
      </c>
      <c r="E58" s="83" t="n">
        <v>21</v>
      </c>
      <c r="F58" s="83" t="n">
        <v>21</v>
      </c>
      <c r="G58" s="82" t="n"/>
      <c r="H58" s="82" t="n"/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ตบกันสาด</t>
        </is>
      </c>
      <c r="C59" s="80" t="inlineStr">
        <is>
          <t>F7992</t>
        </is>
      </c>
      <c r="D59" s="81" t="inlineStr">
        <is>
          <t>กว้าง</t>
        </is>
      </c>
      <c r="E59" s="82" t="n"/>
      <c r="F59" s="82" t="n"/>
      <c r="G59" s="82" t="n"/>
      <c r="H59" s="82" t="n"/>
      <c r="I59" s="82" t="n"/>
      <c r="J59" s="82" t="n"/>
      <c r="K59" s="82" t="n"/>
      <c r="L59" s="83" t="n">
        <v>1</v>
      </c>
      <c r="M59" s="82" t="n"/>
    </row>
    <row r="60" ht="44" customHeight="1">
      <c r="A60" s="78" t="n">
        <v>7</v>
      </c>
      <c r="B60" s="79" t="inlineStr">
        <is>
          <t>เสา</t>
        </is>
      </c>
      <c r="C60" s="80" t="inlineStr">
        <is>
          <t>F7980</t>
        </is>
      </c>
      <c r="D60" s="81" t="inlineStr">
        <is>
          <t>สูง-5-13-21</t>
        </is>
      </c>
      <c r="E60" s="83" t="n">
        <v>5</v>
      </c>
      <c r="F60" s="83" t="n">
        <v>13</v>
      </c>
      <c r="G60" s="83" t="n">
        <v>21</v>
      </c>
      <c r="H60" s="82" t="n"/>
      <c r="I60" s="82" t="n"/>
      <c r="J60" s="82" t="n"/>
      <c r="K60" s="82" t="n"/>
      <c r="L60" s="83" t="n">
        <v>8</v>
      </c>
      <c r="M60" s="82" t="n"/>
    </row>
    <row r="61" ht="15" customHeight="1">
      <c r="A61" s="78" t="n">
        <v>8</v>
      </c>
      <c r="B61" s="79" t="inlineStr">
        <is>
          <t>ขวาง</t>
        </is>
      </c>
      <c r="C61" s="80" t="inlineStr">
        <is>
          <t>-</t>
        </is>
      </c>
      <c r="D61" s="81" t="inlineStr">
        <is>
          <t>((กว้าง-21-3-3-3.6-21)/4)+(78x3/4)</t>
        </is>
      </c>
      <c r="E61" s="83" t="n">
        <v>21</v>
      </c>
      <c r="F61" s="83" t="n">
        <v>3</v>
      </c>
      <c r="G61" s="83" t="n">
        <v>3</v>
      </c>
      <c r="H61" s="83" t="n">
        <v>3.6</v>
      </c>
      <c r="I61" s="83" t="n">
        <v>21</v>
      </c>
      <c r="J61" s="82" t="n"/>
      <c r="K61" s="82" t="n"/>
      <c r="L61" s="83" t="n">
        <v>8</v>
      </c>
      <c r="M61" s="82" t="n"/>
    </row>
    <row r="62" ht="44" customHeight="1">
      <c r="A62" s="78" t="n">
        <v>9</v>
      </c>
      <c r="B62" s="79" t="inlineStr">
        <is>
          <t>คิ้ว ตั้ง</t>
        </is>
      </c>
      <c r="C62" s="80" t="inlineStr">
        <is>
          <t>F7919</t>
        </is>
      </c>
      <c r="D62" s="81" t="inlineStr">
        <is>
          <t>เสา-78-78</t>
        </is>
      </c>
      <c r="E62" s="83" t="n">
        <v>78</v>
      </c>
      <c r="F62" s="83" t="n">
        <v>78</v>
      </c>
      <c r="G62" s="82" t="n"/>
      <c r="H62" s="82" t="n"/>
      <c r="I62" s="82" t="n"/>
      <c r="J62" s="82" t="n"/>
      <c r="K62" s="82" t="n"/>
      <c r="L62" s="83" t="n">
        <v>8</v>
      </c>
      <c r="M62" s="82" t="n"/>
    </row>
    <row r="63" ht="15" customHeight="1">
      <c r="A63" s="78" t="n">
        <v>10</v>
      </c>
      <c r="B63" s="79" t="inlineStr">
        <is>
          <t>คิ้ว ขวาง</t>
        </is>
      </c>
      <c r="C63" s="80" t="inlineStr">
        <is>
          <t>-</t>
        </is>
      </c>
      <c r="D63" s="81" t="inlineStr">
        <is>
          <t>ขวาง-63-63</t>
        </is>
      </c>
      <c r="E63" s="83" t="n">
        <v>63</v>
      </c>
      <c r="F63" s="83" t="n">
        <v>63</v>
      </c>
      <c r="G63" s="82" t="n"/>
      <c r="H63" s="82" t="n"/>
      <c r="I63" s="82" t="n"/>
      <c r="J63" s="82" t="n"/>
      <c r="K63" s="82" t="n"/>
      <c r="L63" s="83" t="n">
        <v>8</v>
      </c>
      <c r="M63" s="82" t="n"/>
    </row>
    <row r="64" ht="44" customHeight="1">
      <c r="A64" s="78" t="n">
        <v>11</v>
      </c>
      <c r="B64" s="79" t="inlineStr">
        <is>
          <t>ตบเกี่ยว</t>
        </is>
      </c>
      <c r="C64" s="80" t="inlineStr">
        <is>
          <t>F7983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6</v>
      </c>
      <c r="M64" s="82" t="n"/>
    </row>
    <row r="65" ht="44" customHeight="1">
      <c r="A65" s="78" t="n">
        <v>12</v>
      </c>
      <c r="B65" s="79" t="inlineStr">
        <is>
          <t>ยูข้าง</t>
        </is>
      </c>
      <c r="C65" s="80" t="inlineStr">
        <is>
          <t>F7986</t>
        </is>
      </c>
      <c r="D65" s="81" t="inlineStr">
        <is>
          <t>สูง-45</t>
        </is>
      </c>
      <c r="E65" s="83" t="n">
        <v>45</v>
      </c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44" customHeight="1">
      <c r="A66" s="78" t="n">
        <v>13</v>
      </c>
      <c r="B66" s="79" t="inlineStr">
        <is>
          <t>ตบเฟรมบน</t>
        </is>
      </c>
      <c r="C66" s="80" t="inlineStr">
        <is>
          <t>F7993</t>
        </is>
      </c>
      <c r="D66" s="81" t="inlineStr">
        <is>
          <t>เท่าเฟรมบน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4</v>
      </c>
      <c r="M66" s="82" t="n"/>
    </row>
    <row r="67" ht="44" customHeight="1">
      <c r="A67" s="78" t="n">
        <v>14</v>
      </c>
      <c r="B67" s="79" t="inlineStr">
        <is>
          <t>ตบยูข้าง</t>
        </is>
      </c>
      <c r="C67" s="80" t="inlineStr">
        <is>
          <t>F7988</t>
        </is>
      </c>
      <c r="D67" s="81" t="inlineStr">
        <is>
          <t>สูง-45</t>
        </is>
      </c>
      <c r="E67" s="82" t="n"/>
      <c r="F67" s="82" t="n"/>
      <c r="G67" s="82" t="n"/>
      <c r="H67" s="82" t="n"/>
      <c r="I67" s="82" t="n"/>
      <c r="J67" s="82" t="n"/>
      <c r="K67" s="82" t="n"/>
      <c r="L67" s="83" t="n">
        <v>2</v>
      </c>
      <c r="M67" s="82" t="n"/>
    </row>
    <row r="68" ht="15" customHeight="1">
      <c r="A68" s="78" t="n">
        <v>15</v>
      </c>
      <c r="B68" s="79" t="inlineStr">
        <is>
          <t>ปิดตบเกี่ยว</t>
        </is>
      </c>
      <c r="C68" s="80" t="inlineStr">
        <is>
          <t>-</t>
        </is>
      </c>
      <c r="D68" s="81" t="inlineStr">
        <is>
          <t>สูงกรอบบาน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2</v>
      </c>
      <c r="M68" s="82" t="n"/>
    </row>
    <row r="69" ht="44" customHeight="1">
      <c r="A69" s="78" t="n">
        <v>16</v>
      </c>
      <c r="B69" s="79" t="inlineStr">
        <is>
          <t>ราง</t>
        </is>
      </c>
      <c r="C69" s="80" t="inlineStr">
        <is>
          <t>F7994</t>
        </is>
      </c>
      <c r="D69" s="81" t="inlineStr">
        <is>
          <t>เท่าเฟรมล่าง</t>
        </is>
      </c>
      <c r="E69" s="83" t="n">
        <v>21</v>
      </c>
      <c r="F69" s="83" t="n">
        <v>21</v>
      </c>
      <c r="G69" s="82" t="n"/>
      <c r="H69" s="82" t="n"/>
      <c r="I69" s="82" t="n"/>
      <c r="J69" s="82" t="n"/>
      <c r="K69" s="82" t="n"/>
      <c r="L69" s="83" t="n">
        <v>4</v>
      </c>
      <c r="M69" s="82" t="n"/>
    </row>
    <row r="71">
      <c r="A71" s="123" t="inlineStr">
        <is>
          <t>⑥ อุปกรณ์ ต่อ 1 บาน — คูณจำนวนบานที่ผลิต</t>
        </is>
      </c>
      <c r="B71" s="131" t="n"/>
      <c r="C71" s="131" t="n"/>
      <c r="D71" s="131" t="n"/>
      <c r="E71" s="132" t="n"/>
      <c r="F71" s="124" t="inlineStr">
        <is>
          <t>ต่อบาน</t>
        </is>
      </c>
    </row>
    <row r="72">
      <c r="A72" s="125" t="inlineStr">
        <is>
          <t>1. ล้อ 27</t>
        </is>
      </c>
      <c r="B72" s="131" t="n"/>
      <c r="C72" s="131" t="n"/>
      <c r="D72" s="131" t="n"/>
      <c r="E72" s="132" t="n"/>
      <c r="F72" s="126" t="n">
        <v>2</v>
      </c>
    </row>
    <row r="73">
      <c r="A73" s="125" t="inlineStr">
        <is>
          <t>2. มือจับ Align</t>
        </is>
      </c>
      <c r="B73" s="131" t="n"/>
      <c r="C73" s="131" t="n"/>
      <c r="D73" s="131" t="n"/>
      <c r="E73" s="132" t="n"/>
      <c r="F73" s="126" t="n">
        <v>2</v>
      </c>
    </row>
    <row r="74">
      <c r="A74" s="125" t="inlineStr">
        <is>
          <t>3. ชุดล็อค</t>
        </is>
      </c>
      <c r="B74" s="131" t="n"/>
      <c r="C74" s="131" t="n"/>
      <c r="D74" s="131" t="n"/>
      <c r="E74" s="132" t="n"/>
      <c r="F74" s="126" t="n">
        <v>1</v>
      </c>
    </row>
    <row r="75">
      <c r="A75" s="125" t="inlineStr">
        <is>
          <t>4. น็อตประกอบ</t>
        </is>
      </c>
      <c r="B75" s="131" t="n"/>
      <c r="C75" s="131" t="n"/>
      <c r="D75" s="131" t="n"/>
      <c r="E75" s="132" t="n"/>
      <c r="F75" s="126" t="n">
        <v>4</v>
      </c>
    </row>
    <row r="76">
      <c r="A76" s="127" t="inlineStr">
        <is>
          <t>+ สักหลาด/ยาง/ซิลิโคน = ตามขนาด (ดูชีทคิดทุน)</t>
        </is>
      </c>
      <c r="B76" s="131" t="n"/>
      <c r="C76" s="131" t="n"/>
      <c r="D76" s="131" t="n"/>
      <c r="E76" s="131" t="n"/>
      <c r="F76" s="132" t="n"/>
    </row>
  </sheetData>
  <mergeCells count="76">
    <mergeCell ref="O7:P7"/>
    <mergeCell ref="U9:V9"/>
    <mergeCell ref="I6:J6"/>
    <mergeCell ref="AC7:AD7"/>
    <mergeCell ref="A73:E73"/>
    <mergeCell ref="O6:P6"/>
    <mergeCell ref="U6:V6"/>
    <mergeCell ref="K9:L9"/>
    <mergeCell ref="W6:X6"/>
    <mergeCell ref="M9:N9"/>
    <mergeCell ref="O9:P9"/>
    <mergeCell ref="G8:H8"/>
    <mergeCell ref="E8:F8"/>
    <mergeCell ref="Y9:Z9"/>
    <mergeCell ref="Q8:R8"/>
    <mergeCell ref="AA9:AB9"/>
    <mergeCell ref="AG9:AH9"/>
    <mergeCell ref="S8:T8"/>
    <mergeCell ref="AI9:AJ9"/>
    <mergeCell ref="A76:F76"/>
    <mergeCell ref="G7:H7"/>
    <mergeCell ref="AA6:AB6"/>
    <mergeCell ref="AG6:AH6"/>
    <mergeCell ref="I7:J7"/>
    <mergeCell ref="AI6:AJ6"/>
    <mergeCell ref="A30:D30"/>
    <mergeCell ref="Q7:T7"/>
    <mergeCell ref="Q30:S30"/>
    <mergeCell ref="AE7:AH7"/>
    <mergeCell ref="A75:E75"/>
    <mergeCell ref="G6:H6"/>
    <mergeCell ref="AC8:AD8"/>
    <mergeCell ref="E9:F9"/>
    <mergeCell ref="A74:E74"/>
    <mergeCell ref="AE8:AF8"/>
    <mergeCell ref="AE30:AG30"/>
    <mergeCell ref="M7:N7"/>
    <mergeCell ref="Y7:Z7"/>
    <mergeCell ref="A8:A9"/>
    <mergeCell ref="E6:F6"/>
    <mergeCell ref="AA7:AB7"/>
    <mergeCell ref="M6:N6"/>
    <mergeCell ref="K8:L8"/>
    <mergeCell ref="A6:D6"/>
    <mergeCell ref="AI7:AJ7"/>
    <mergeCell ref="Q6:R6"/>
    <mergeCell ref="A71:E71"/>
    <mergeCell ref="S6:T6"/>
    <mergeCell ref="D8:D9"/>
    <mergeCell ref="Y6:Z6"/>
    <mergeCell ref="A7:D7"/>
    <mergeCell ref="Q9:R9"/>
    <mergeCell ref="I8:J8"/>
    <mergeCell ref="S9:T9"/>
    <mergeCell ref="M8:N8"/>
    <mergeCell ref="W9:X9"/>
    <mergeCell ref="AC9:AD9"/>
    <mergeCell ref="O8:P8"/>
    <mergeCell ref="U8:V8"/>
    <mergeCell ref="AE9:AF9"/>
    <mergeCell ref="W8:X8"/>
    <mergeCell ref="B8:C9"/>
    <mergeCell ref="K7:L7"/>
    <mergeCell ref="AC6:AD6"/>
    <mergeCell ref="E7:F7"/>
    <mergeCell ref="A72:E72"/>
    <mergeCell ref="AE6:AF6"/>
    <mergeCell ref="U7:X7"/>
    <mergeCell ref="U30:W30"/>
    <mergeCell ref="Y8:Z8"/>
    <mergeCell ref="K6:L6"/>
    <mergeCell ref="G9:H9"/>
    <mergeCell ref="AA8:AB8"/>
    <mergeCell ref="AG8:AH8"/>
    <mergeCell ref="I9:J9"/>
    <mergeCell ref="AI8:AJ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77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12.75" customWidth="1" min="40" max="40"/>
    <col width="8.75" customWidth="1" min="41" max="41"/>
    <col width="8.875" customWidth="1" min="42" max="42"/>
  </cols>
  <sheetData>
    <row r="1" ht="40.15" customHeight="1">
      <c r="A1" s="1" t="inlineStr">
        <is>
          <t>JR ALUMINIUM &amp; GLASS  —  ใบรายการตัด · FUJI เลื่อน5ราง ภายใน   (หน่วย: มม.)</t>
        </is>
      </c>
      <c r="B1" s="2" t="n"/>
      <c r="D1" s="3" t="n"/>
      <c r="E1" s="4" t="n"/>
      <c r="F1" s="3" t="n"/>
      <c r="G1" s="4" t="n"/>
      <c r="H1" s="3" t="n"/>
      <c r="I1" s="5" t="n"/>
      <c r="J1" s="5" t="n"/>
      <c r="K1" s="3" t="n"/>
      <c r="L1" s="3" t="n"/>
      <c r="M1" s="5" t="n"/>
      <c r="N1" s="5" t="n"/>
      <c r="O1" s="5" t="n"/>
      <c r="P1" s="5" t="n"/>
      <c r="Q1" s="6" t="n"/>
      <c r="R1" s="5" t="n"/>
      <c r="S1" s="3" t="n"/>
      <c r="T1" s="3" t="n"/>
      <c r="U1" s="6" t="n"/>
      <c r="V1" s="6" t="n"/>
      <c r="W1" s="5" t="n"/>
      <c r="X1" s="5" t="n"/>
      <c r="Y1" s="3" t="n"/>
      <c r="Z1" s="7" t="n"/>
      <c r="AA1" s="6" t="n"/>
      <c r="AB1" s="6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</row>
    <row r="2" ht="40.15" customHeight="1">
      <c r="A2" s="6" t="n"/>
      <c r="B2" s="6" t="n"/>
      <c r="C2" s="6" t="n"/>
      <c r="D2" s="6" t="n"/>
      <c r="E2" s="8" t="n"/>
      <c r="F2" s="6" t="n"/>
      <c r="G2" s="8" t="n"/>
      <c r="H2" s="6" t="n"/>
      <c r="I2" s="9" t="n"/>
      <c r="J2" s="9" t="n"/>
      <c r="K2" s="6" t="n"/>
      <c r="L2" s="6" t="n"/>
      <c r="M2" s="9" t="n"/>
      <c r="N2" s="9" t="n"/>
      <c r="O2" s="9" t="n"/>
      <c r="P2" s="9" t="n"/>
      <c r="Q2" s="9" t="n"/>
      <c r="R2" s="9" t="n"/>
      <c r="S2" s="6" t="n"/>
      <c r="T2" s="6" t="n"/>
      <c r="U2" s="6" t="n"/>
      <c r="V2" s="6" t="n"/>
      <c r="W2" s="9" t="n"/>
      <c r="X2" s="9" t="n"/>
      <c r="Y2" s="6" t="n"/>
      <c r="Z2" s="6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</row>
    <row r="3" ht="40.15" customHeight="1">
      <c r="A3" s="130">
        <f>HYPERLINK("#สารบัญ!A1","← สารบัญ")</f>
        <v/>
      </c>
      <c r="B3" s="6" t="n"/>
      <c r="C3" s="121" t="n"/>
      <c r="D3" s="6" t="n"/>
      <c r="E3" s="8" t="n"/>
      <c r="F3" s="6" t="n"/>
      <c r="G3" s="8" t="n"/>
      <c r="H3" s="6" t="n"/>
      <c r="I3" s="11" t="n"/>
      <c r="J3" s="11" t="n"/>
      <c r="K3" s="6" t="n"/>
      <c r="L3" s="6" t="n"/>
      <c r="M3" s="11" t="n"/>
      <c r="N3" s="11" t="n"/>
      <c r="O3" s="11" t="n"/>
      <c r="P3" s="11" t="n"/>
      <c r="Q3" s="9" t="n"/>
      <c r="R3" s="9" t="n"/>
      <c r="S3" s="6" t="n"/>
      <c r="T3" s="6" t="n"/>
      <c r="U3" s="6" t="n"/>
      <c r="V3" s="6" t="n"/>
      <c r="W3" s="11" t="n"/>
      <c r="X3" s="11" t="n"/>
      <c r="Y3" s="6" t="n"/>
      <c r="Z3" s="6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40.15" customHeight="1">
      <c r="A4" s="6" t="n"/>
      <c r="B4" s="6" t="n"/>
      <c r="C4" s="6" t="n"/>
      <c r="F4" s="6" t="n"/>
      <c r="H4" s="6" t="n"/>
      <c r="K4" s="6" t="n"/>
      <c r="L4" s="6" t="n"/>
      <c r="Q4" s="9" t="n"/>
      <c r="R4" s="9" t="n"/>
      <c r="S4" s="6" t="n"/>
      <c r="T4" s="6" t="n"/>
      <c r="U4" s="6" t="n"/>
      <c r="V4" s="6" t="n"/>
      <c r="Y4" s="6" t="n"/>
      <c r="Z4" s="6" t="n"/>
    </row>
    <row r="5" ht="40.15" customHeight="1">
      <c r="A5" s="6" t="n"/>
      <c r="B5" s="6" t="n"/>
      <c r="C5" s="6" t="n"/>
      <c r="D5" s="6" t="n"/>
      <c r="E5" s="8" t="n"/>
      <c r="F5" s="6" t="n"/>
      <c r="G5" s="8" t="n"/>
      <c r="H5" s="6" t="n"/>
      <c r="K5" s="6" t="n"/>
      <c r="L5" s="6" t="n"/>
      <c r="S5" s="6" t="n"/>
      <c r="T5" s="6" t="n"/>
      <c r="V5" s="6" t="n"/>
      <c r="Y5" s="6" t="n"/>
      <c r="Z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สูง</t>
        </is>
      </c>
      <c r="H6" s="17" t="n"/>
      <c r="I6" s="16" t="inlineStr">
        <is>
          <t>สูง</t>
        </is>
      </c>
      <c r="J6" s="17" t="n"/>
      <c r="K6" s="16" t="inlineStr">
        <is>
          <t>กว้าง-21-21</t>
        </is>
      </c>
      <c r="L6" s="17" t="n"/>
      <c r="M6" s="16" t="inlineStr">
        <is>
          <t>กว้าง-21-21</t>
        </is>
      </c>
      <c r="N6" s="17" t="n"/>
      <c r="O6" s="16" t="inlineStr">
        <is>
          <t>กว้าง-21-21</t>
        </is>
      </c>
      <c r="P6" s="17" t="n"/>
      <c r="Q6" s="16" t="inlineStr">
        <is>
          <t>กว้าง</t>
        </is>
      </c>
      <c r="R6" s="17" t="n"/>
      <c r="S6" s="16" t="inlineStr">
        <is>
          <t>สูง-5-13-21</t>
        </is>
      </c>
      <c r="T6" s="17" t="n"/>
      <c r="U6" s="16" t="inlineStr">
        <is>
          <t>((กว้าง-21-3-3-4.8-21)/5)+(78x4/5)</t>
        </is>
      </c>
      <c r="V6" s="17" t="n"/>
      <c r="W6" s="16" t="inlineStr">
        <is>
          <t>เสา-78-78</t>
        </is>
      </c>
      <c r="X6" s="17" t="n"/>
      <c r="Y6" s="16" t="inlineStr">
        <is>
          <t>ขวาง-63-63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สูง-45</t>
        </is>
      </c>
      <c r="AD6" s="17" t="n"/>
      <c r="AE6" s="16" t="inlineStr">
        <is>
          <t>เท่าเฟรมบน</t>
        </is>
      </c>
      <c r="AF6" s="17" t="n"/>
      <c r="AG6" s="16" t="inlineStr">
        <is>
          <t>สูง-45</t>
        </is>
      </c>
      <c r="AH6" s="17" t="n"/>
      <c r="AI6" s="16" t="inlineStr">
        <is>
          <t>สูงกรอบบาน</t>
        </is>
      </c>
      <c r="AJ6" s="17" t="n"/>
      <c r="AK6" s="16" t="inlineStr">
        <is>
          <t>เท่าเฟรมล่าง</t>
        </is>
      </c>
      <c r="AL6" s="17" t="n"/>
      <c r="AM6" s="18" t="n"/>
      <c r="AN6" s="18" t="n"/>
      <c r="AO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F7978</t>
        </is>
      </c>
      <c r="H7" s="15" t="n"/>
      <c r="I7" s="22" t="inlineStr">
        <is>
          <t>F7989</t>
        </is>
      </c>
      <c r="J7" s="15" t="n"/>
      <c r="K7" s="22" t="inlineStr">
        <is>
          <t>F7976</t>
        </is>
      </c>
      <c r="L7" s="15" t="n"/>
      <c r="M7" s="23" t="inlineStr">
        <is>
          <t>F7990</t>
        </is>
      </c>
      <c r="N7" s="15" t="n"/>
      <c r="O7" s="23" t="inlineStr">
        <is>
          <t>B27018</t>
        </is>
      </c>
      <c r="P7" s="15" t="n"/>
      <c r="Q7" s="22" t="inlineStr">
        <is>
          <t>F7992</t>
        </is>
      </c>
      <c r="R7" s="15" t="n"/>
      <c r="S7" s="22" t="inlineStr">
        <is>
          <t>F7980</t>
        </is>
      </c>
      <c r="T7" s="14" t="n"/>
      <c r="U7" s="14" t="n"/>
      <c r="V7" s="15" t="n"/>
      <c r="W7" s="22" t="inlineStr">
        <is>
          <t>F7919</t>
        </is>
      </c>
      <c r="X7" s="14" t="n"/>
      <c r="Y7" s="14" t="n"/>
      <c r="Z7" s="15" t="n"/>
      <c r="AA7" s="22" t="inlineStr">
        <is>
          <t>F7983</t>
        </is>
      </c>
      <c r="AB7" s="15" t="n"/>
      <c r="AC7" s="22" t="inlineStr">
        <is>
          <t>F7986</t>
        </is>
      </c>
      <c r="AD7" s="15" t="n"/>
      <c r="AE7" s="22" t="inlineStr">
        <is>
          <t>F7993</t>
        </is>
      </c>
      <c r="AF7" s="15" t="n"/>
      <c r="AG7" s="22" t="inlineStr">
        <is>
          <t>F7988</t>
        </is>
      </c>
      <c r="AH7" s="14" t="n"/>
      <c r="AI7" s="14" t="n"/>
      <c r="AJ7" s="15" t="n"/>
      <c r="AK7" s="22" t="inlineStr">
        <is>
          <t>F7994</t>
        </is>
      </c>
      <c r="AL7" s="15" t="n"/>
      <c r="AM7" s="24" t="n"/>
      <c r="AN7" s="25" t="inlineStr">
        <is>
          <t>ขนาดกระจก</t>
        </is>
      </c>
      <c r="AO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4" t="n"/>
      <c r="L8" s="31" t="n"/>
      <c r="M8" s="34" t="n"/>
      <c r="N8" s="31" t="n"/>
      <c r="O8" s="34" t="n"/>
      <c r="P8" s="31" t="n"/>
      <c r="Q8" s="30" t="n"/>
      <c r="R8" s="31" t="n"/>
      <c r="S8" s="32" t="n"/>
      <c r="T8" s="33" t="n"/>
      <c r="U8" s="34" t="n"/>
      <c r="V8" s="31" t="n"/>
      <c r="W8" s="32" t="n"/>
      <c r="X8" s="33" t="n"/>
      <c r="Y8" s="34" t="n"/>
      <c r="Z8" s="31" t="n"/>
      <c r="AA8" s="32" t="n"/>
      <c r="AB8" s="33" t="n"/>
      <c r="AC8" s="32" t="n"/>
      <c r="AD8" s="33" t="n"/>
      <c r="AE8" s="30" t="n"/>
      <c r="AF8" s="31" t="n"/>
      <c r="AG8" s="32" t="n"/>
      <c r="AH8" s="33" t="n"/>
      <c r="AI8" s="34" t="n"/>
      <c r="AJ8" s="31" t="n"/>
      <c r="AK8" s="30" t="n"/>
      <c r="AL8" s="31" t="n"/>
      <c r="AM8" s="36" t="n"/>
      <c r="AN8" s="37" t="inlineStr">
        <is>
          <t>กรอบบาน</t>
        </is>
      </c>
      <c r="AO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เฟรมข้าง</t>
        </is>
      </c>
      <c r="H9" s="43" t="n"/>
      <c r="I9" s="42" t="inlineStr">
        <is>
          <t>ต่อเฟรมข้าง</t>
        </is>
      </c>
      <c r="J9" s="43" t="n"/>
      <c r="K9" s="42" t="inlineStr">
        <is>
          <t>เฟรม บน-ล่าง</t>
        </is>
      </c>
      <c r="L9" s="43" t="n"/>
      <c r="M9" s="42" t="inlineStr">
        <is>
          <t>ต่อราง</t>
        </is>
      </c>
      <c r="N9" s="43" t="n"/>
      <c r="O9" s="42" t="inlineStr">
        <is>
          <t>เฟรม ล่าง</t>
        </is>
      </c>
      <c r="P9" s="43" t="n"/>
      <c r="Q9" s="42" t="inlineStr">
        <is>
          <t>ตบกันสาด</t>
        </is>
      </c>
      <c r="R9" s="43" t="n"/>
      <c r="S9" s="42" t="inlineStr">
        <is>
          <t>เสา</t>
        </is>
      </c>
      <c r="T9" s="43" t="n"/>
      <c r="U9" s="42" t="inlineStr">
        <is>
          <t>ขวาง</t>
        </is>
      </c>
      <c r="V9" s="43" t="n"/>
      <c r="W9" s="42" t="inlineStr">
        <is>
          <t>คิ้ว ตั้ง</t>
        </is>
      </c>
      <c r="X9" s="43" t="n"/>
      <c r="Y9" s="42" t="inlineStr">
        <is>
          <t>คิ้ว ขวาง</t>
        </is>
      </c>
      <c r="Z9" s="43" t="n"/>
      <c r="AA9" s="42" t="inlineStr">
        <is>
          <t>ตบเกี่ยว</t>
        </is>
      </c>
      <c r="AB9" s="43" t="n"/>
      <c r="AC9" s="44" t="inlineStr">
        <is>
          <t>ยูข้าง</t>
        </is>
      </c>
      <c r="AD9" s="43" t="n"/>
      <c r="AE9" s="44" t="inlineStr">
        <is>
          <t>ตบเฟรมบน</t>
        </is>
      </c>
      <c r="AF9" s="43" t="n"/>
      <c r="AG9" s="44" t="inlineStr">
        <is>
          <t>ตบยูข้าง</t>
        </is>
      </c>
      <c r="AH9" s="43" t="n"/>
      <c r="AI9" s="44" t="n"/>
      <c r="AJ9" s="43" t="n"/>
      <c r="AK9" s="44" t="inlineStr">
        <is>
          <t>ราง</t>
        </is>
      </c>
      <c r="AL9" s="43" t="n"/>
      <c r="AM9" s="45" t="inlineStr">
        <is>
          <t>SH-68-68</t>
        </is>
      </c>
      <c r="AN9" s="46" t="inlineStr">
        <is>
          <t>SW-68-68</t>
        </is>
      </c>
      <c r="AO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2" t="inlineStr">
        <is>
          <t>ยาว</t>
        </is>
      </c>
      <c r="AJ10" s="54" t="inlineStr">
        <is>
          <t>จำนวน</t>
        </is>
      </c>
      <c r="AK10" s="52" t="inlineStr">
        <is>
          <t>ยาว</t>
        </is>
      </c>
      <c r="AL10" s="54" t="inlineStr">
        <is>
          <t>จำนวน</t>
        </is>
      </c>
      <c r="AM10" s="55" t="inlineStr">
        <is>
          <t>H</t>
        </is>
      </c>
      <c r="AN10" s="56" t="inlineStr">
        <is>
          <t>W</t>
        </is>
      </c>
      <c r="AO10" s="57" t="inlineStr">
        <is>
          <t>จำนวน</t>
        </is>
      </c>
    </row>
    <row r="11" ht="40.15" customHeight="1">
      <c r="A11" s="58" t="inlineStr">
        <is>
          <t>D1</t>
        </is>
      </c>
      <c r="B11" s="59" t="n">
        <v>2695</v>
      </c>
      <c r="C11" s="60" t="n">
        <v>6245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IF($A11="","",$B11)</f>
        <v/>
      </c>
      <c r="H11" s="60">
        <f>IF($A11="","",$L$55*$D11)</f>
        <v/>
      </c>
      <c r="I11" s="62">
        <f>IF($A11="","",$B11)</f>
        <v/>
      </c>
      <c r="J11" s="60">
        <f>IF($A11="","",$L$56*$D11)</f>
        <v/>
      </c>
      <c r="K11" s="62">
        <f>IF($A11="","",$C11-$E$57-$F$57)</f>
        <v/>
      </c>
      <c r="L11" s="60">
        <f>IF($A11="","",$L$57*$D11)</f>
        <v/>
      </c>
      <c r="M11" s="62">
        <f>IF($A11="","",$C11-$E$58-$F$58)</f>
        <v/>
      </c>
      <c r="N11" s="60">
        <f>IF($A11="","",$L$58*$D11)</f>
        <v/>
      </c>
      <c r="O11" s="62">
        <f>IF($A11="","",$C11-$E$59-$F$59)</f>
        <v/>
      </c>
      <c r="P11" s="60">
        <f>IF($A11="","",$L$59*$D11)</f>
        <v/>
      </c>
      <c r="Q11" s="62">
        <f>IF($A11="","",$C11)</f>
        <v/>
      </c>
      <c r="R11" s="60">
        <f>IF($A11="","",$L$60*$D11)</f>
        <v/>
      </c>
      <c r="S11" s="62">
        <f>IF($A11="","",$B11-$E$61-$F$61-$G$61)</f>
        <v/>
      </c>
      <c r="T11" s="60">
        <f>IF($A11="","",$L$61*$D11)</f>
        <v/>
      </c>
      <c r="U11" s="62">
        <f>IF($A11="","",(($C11-$E$62-$F$62-$G$62-$H$62-$I$62)/5)+(78*4)/5)</f>
        <v/>
      </c>
      <c r="V11" s="60">
        <f>IF($A11="","",$L$62*$D11)</f>
        <v/>
      </c>
      <c r="W11" s="62">
        <f>IF($A11="","",$S11-$E$63-$F$63)</f>
        <v/>
      </c>
      <c r="X11" s="60">
        <f>IF($A11="","",$L$63*$D11)</f>
        <v/>
      </c>
      <c r="Y11" s="62">
        <f>IF($A11="","",$U11-$E$64-$F$64)</f>
        <v/>
      </c>
      <c r="Z11" s="60">
        <f>IF($A11="","",$L$64*$D11)</f>
        <v/>
      </c>
      <c r="AA11" s="62">
        <f>IF($A11="","",$S11)</f>
        <v/>
      </c>
      <c r="AB11" s="60">
        <f>IF($A11="","",$L$65*$D11)</f>
        <v/>
      </c>
      <c r="AC11" s="62">
        <f>IF($A11="","",$B11-$E$66)</f>
        <v/>
      </c>
      <c r="AD11" s="60">
        <f>IF($A11="","",$L$66*$D11)</f>
        <v/>
      </c>
      <c r="AE11" s="62">
        <f>IF($A11="","",$C11-$E$67-$F$67)</f>
        <v/>
      </c>
      <c r="AF11" s="60">
        <f>IF($A11="","",$L$67*$D11)</f>
        <v/>
      </c>
      <c r="AG11" s="62">
        <f>IF($A11="","",$B11-$E$68)</f>
        <v/>
      </c>
      <c r="AH11" s="60">
        <f>IF($A11="","",$L$68*$D11)</f>
        <v/>
      </c>
      <c r="AI11" s="62">
        <f>IF($A11="","",$B11-$E$69-$F$69)</f>
        <v/>
      </c>
      <c r="AJ11" s="60">
        <f>IF($A11="","",$L$69*$D11)</f>
        <v/>
      </c>
      <c r="AK11" s="62">
        <f>IF($A11="","",$C11-$E$70-$F$70)</f>
        <v/>
      </c>
      <c r="AL11" s="60">
        <f>IF($A11="","",$L$70*$D11)</f>
        <v/>
      </c>
      <c r="AM11" s="63">
        <f>IF($A11="","",$S11-68-68)</f>
        <v/>
      </c>
      <c r="AN11" s="64">
        <f>IF($A11="","",$U11-68-68)</f>
        <v/>
      </c>
      <c r="AO11" s="65">
        <f>IF($A11="","",5*$D11)</f>
        <v/>
      </c>
    </row>
    <row r="12" ht="40.15" customHeight="1">
      <c r="A12" s="58" t="n"/>
      <c r="B12" s="59" t="n"/>
      <c r="C12" s="60" t="n"/>
      <c r="D12" s="61" t="n"/>
      <c r="E12" s="66">
        <f>IF($A12="","",$B12)</f>
        <v/>
      </c>
      <c r="F12" s="67">
        <f>IF($A12="","",$L$54*$D12)</f>
        <v/>
      </c>
      <c r="G12" s="66">
        <f>IF($A12="","",$B12)</f>
        <v/>
      </c>
      <c r="H12" s="67">
        <f>IF($A12="","",$L$55*$D12)</f>
        <v/>
      </c>
      <c r="I12" s="66">
        <f>IF($A12="","",$B12)</f>
        <v/>
      </c>
      <c r="J12" s="67">
        <f>IF($A12="","",$L$56*$D12)</f>
        <v/>
      </c>
      <c r="K12" s="66">
        <f>IF($A12="","",$C12-$E$57-$F$57)</f>
        <v/>
      </c>
      <c r="L12" s="67">
        <f>IF($A12="","",$L$57*$D12)</f>
        <v/>
      </c>
      <c r="M12" s="66">
        <f>IF($A12="","",$C12-$E$58-$F$58)</f>
        <v/>
      </c>
      <c r="N12" s="67">
        <f>IF($A12="","",$L$58*$D12)</f>
        <v/>
      </c>
      <c r="O12" s="66">
        <f>IF($A12="","",$C12-$E$59-$F$59)</f>
        <v/>
      </c>
      <c r="P12" s="67">
        <f>IF($A12="","",$L$59*$D12)</f>
        <v/>
      </c>
      <c r="Q12" s="66">
        <f>IF($A12="","",$C12)</f>
        <v/>
      </c>
      <c r="R12" s="67">
        <f>IF($A12="","",$L$60*$D12)</f>
        <v/>
      </c>
      <c r="S12" s="66">
        <f>IF($A12="","",$B12-$E$61-$F$61-$G$61)</f>
        <v/>
      </c>
      <c r="T12" s="67">
        <f>IF($A12="","",$L$61*$D12)</f>
        <v/>
      </c>
      <c r="U12" s="66">
        <f>IF($A12="","",(($C12-$E$62-$F$62-$G$62-$H$62-$I$62)/5)+(78*4)/5)</f>
        <v/>
      </c>
      <c r="V12" s="67">
        <f>IF($A12="","",$L$62*$D12)</f>
        <v/>
      </c>
      <c r="W12" s="66">
        <f>IF($A12="","",$S12-$E$63-$F$63)</f>
        <v/>
      </c>
      <c r="X12" s="67">
        <f>IF($A12="","",$L$63*$D12)</f>
        <v/>
      </c>
      <c r="Y12" s="66">
        <f>IF($A12="","",$U12-$E$64-$F$64)</f>
        <v/>
      </c>
      <c r="Z12" s="67">
        <f>IF($A12="","",$L$64*$D12)</f>
        <v/>
      </c>
      <c r="AA12" s="66">
        <f>IF($A12="","",$S12)</f>
        <v/>
      </c>
      <c r="AB12" s="67">
        <f>IF($A12="","",$L$65*$D12)</f>
        <v/>
      </c>
      <c r="AC12" s="66">
        <f>IF($A12="","",$B12-$E$66)</f>
        <v/>
      </c>
      <c r="AD12" s="67">
        <f>IF($A12="","",$L$66*$D12)</f>
        <v/>
      </c>
      <c r="AE12" s="66">
        <f>IF($A12="","",$C12-$E$67-$F$67)</f>
        <v/>
      </c>
      <c r="AF12" s="67">
        <f>IF($A12="","",$L$67*$D12)</f>
        <v/>
      </c>
      <c r="AG12" s="66">
        <f>IF($A12="","",$B12-$E$68)</f>
        <v/>
      </c>
      <c r="AH12" s="67">
        <f>IF($A12="","",$L$68*$D12)</f>
        <v/>
      </c>
      <c r="AI12" s="66">
        <f>IF($A12="","",$B12-$E$69-$F$69)</f>
        <v/>
      </c>
      <c r="AJ12" s="67">
        <f>IF($A12="","",$L$69*$D12)</f>
        <v/>
      </c>
      <c r="AK12" s="66">
        <f>IF($A12="","",$C12-$E$70-$F$70)</f>
        <v/>
      </c>
      <c r="AL12" s="67">
        <f>IF($A12="","",$L$70*$D12)</f>
        <v/>
      </c>
      <c r="AM12" s="63">
        <f>IF($A12="","",$S12-68-68)</f>
        <v/>
      </c>
      <c r="AN12" s="64">
        <f>IF($A12="","",$U12-68-68)</f>
        <v/>
      </c>
      <c r="AO12" s="65">
        <f>IF($A12="","",5*$D12)</f>
        <v/>
      </c>
    </row>
    <row r="13" ht="40.15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IF($A13="","",$B13)</f>
        <v/>
      </c>
      <c r="H13" s="60">
        <f>IF($A13="","",$L$55*$D13)</f>
        <v/>
      </c>
      <c r="I13" s="62">
        <f>IF($A13="","",$B13)</f>
        <v/>
      </c>
      <c r="J13" s="60">
        <f>IF($A13="","",$L$56*$D13)</f>
        <v/>
      </c>
      <c r="K13" s="62">
        <f>IF($A13="","",$C13-$E$57-$F$57)</f>
        <v/>
      </c>
      <c r="L13" s="60">
        <f>IF($A13="","",$L$57*$D13)</f>
        <v/>
      </c>
      <c r="M13" s="62">
        <f>IF($A13="","",$C13-$E$58-$F$58)</f>
        <v/>
      </c>
      <c r="N13" s="60">
        <f>IF($A13="","",$L$58*$D13)</f>
        <v/>
      </c>
      <c r="O13" s="62">
        <f>IF($A13="","",$C13-$E$59-$F$59)</f>
        <v/>
      </c>
      <c r="P13" s="60">
        <f>IF($A13="","",$L$59*$D13)</f>
        <v/>
      </c>
      <c r="Q13" s="62">
        <f>IF($A13="","",$C13)</f>
        <v/>
      </c>
      <c r="R13" s="60">
        <f>IF($A13="","",$L$60*$D13)</f>
        <v/>
      </c>
      <c r="S13" s="62">
        <f>IF($A13="","",$B13-$E$61-$F$61-$G$61)</f>
        <v/>
      </c>
      <c r="T13" s="60">
        <f>IF($A13="","",$L$61*$D13)</f>
        <v/>
      </c>
      <c r="U13" s="62">
        <f>IF($A13="","",(($C13-$E$62-$F$62-$G$62-$H$62-$I$62)/5)+(78*4)/5)</f>
        <v/>
      </c>
      <c r="V13" s="60">
        <f>IF($A13="","",$L$62*$D13)</f>
        <v/>
      </c>
      <c r="W13" s="62">
        <f>IF($A13="","",$S13-$E$63-$F$63)</f>
        <v/>
      </c>
      <c r="X13" s="60">
        <f>IF($A13="","",$L$63*$D13)</f>
        <v/>
      </c>
      <c r="Y13" s="62">
        <f>IF($A13="","",$U13-$E$64-$F$64)</f>
        <v/>
      </c>
      <c r="Z13" s="60">
        <f>IF($A13="","",$L$64*$D13)</f>
        <v/>
      </c>
      <c r="AA13" s="62">
        <f>IF($A13="","",$S13)</f>
        <v/>
      </c>
      <c r="AB13" s="60">
        <f>IF($A13="","",$L$65*$D13)</f>
        <v/>
      </c>
      <c r="AC13" s="62">
        <f>IF($A13="","",$B13-$E$66)</f>
        <v/>
      </c>
      <c r="AD13" s="60">
        <f>IF($A13="","",$L$66*$D13)</f>
        <v/>
      </c>
      <c r="AE13" s="62">
        <f>IF($A13="","",$C13-$E$67-$F$67)</f>
        <v/>
      </c>
      <c r="AF13" s="60">
        <f>IF($A13="","",$L$67*$D13)</f>
        <v/>
      </c>
      <c r="AG13" s="62">
        <f>IF($A13="","",$B13-$E$68)</f>
        <v/>
      </c>
      <c r="AH13" s="60">
        <f>IF($A13="","",$L$68*$D13)</f>
        <v/>
      </c>
      <c r="AI13" s="62">
        <f>IF($A13="","",$B13-$E$69-$F$69)</f>
        <v/>
      </c>
      <c r="AJ13" s="60">
        <f>IF($A13="","",$L$69*$D13)</f>
        <v/>
      </c>
      <c r="AK13" s="62">
        <f>IF($A13="","",$C13-$E$70-$F$70)</f>
        <v/>
      </c>
      <c r="AL13" s="60">
        <f>IF($A13="","",$L$70*$D13)</f>
        <v/>
      </c>
      <c r="AM13" s="63">
        <f>IF($A13="","",$S13-68-68)</f>
        <v/>
      </c>
      <c r="AN13" s="64">
        <f>IF($A13="","",$U13-68-68)</f>
        <v/>
      </c>
      <c r="AO13" s="65">
        <f>IF($A13="","",5*$D13)</f>
        <v/>
      </c>
    </row>
    <row r="14" ht="40.15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IF($A14="","",$B14)</f>
        <v/>
      </c>
      <c r="H14" s="67">
        <f>IF($A14="","",$L$55*$D14)</f>
        <v/>
      </c>
      <c r="I14" s="66">
        <f>IF($A14="","",$B14)</f>
        <v/>
      </c>
      <c r="J14" s="67">
        <f>IF($A14="","",$L$56*$D14)</f>
        <v/>
      </c>
      <c r="K14" s="66">
        <f>IF($A14="","",$C14-$E$57-$F$57)</f>
        <v/>
      </c>
      <c r="L14" s="67">
        <f>IF($A14="","",$L$57*$D14)</f>
        <v/>
      </c>
      <c r="M14" s="66">
        <f>IF($A14="","",$C14-$E$58-$F$58)</f>
        <v/>
      </c>
      <c r="N14" s="67">
        <f>IF($A14="","",$L$58*$D14)</f>
        <v/>
      </c>
      <c r="O14" s="66">
        <f>IF($A14="","",$C14-$E$59-$F$59)</f>
        <v/>
      </c>
      <c r="P14" s="67">
        <f>IF($A14="","",$L$59*$D14)</f>
        <v/>
      </c>
      <c r="Q14" s="66">
        <f>IF($A14="","",$C14)</f>
        <v/>
      </c>
      <c r="R14" s="67">
        <f>IF($A14="","",$L$60*$D14)</f>
        <v/>
      </c>
      <c r="S14" s="66">
        <f>IF($A14="","",$B14-$E$61-$F$61-$G$61)</f>
        <v/>
      </c>
      <c r="T14" s="67">
        <f>IF($A14="","",$L$61*$D14)</f>
        <v/>
      </c>
      <c r="U14" s="66">
        <f>IF($A14="","",(($C14-$E$62-$F$62-$G$62-$H$62-$I$62)/5)+(78*4)/5)</f>
        <v/>
      </c>
      <c r="V14" s="67">
        <f>IF($A14="","",$L$62*$D14)</f>
        <v/>
      </c>
      <c r="W14" s="66">
        <f>IF($A14="","",$S14-$E$63-$F$63)</f>
        <v/>
      </c>
      <c r="X14" s="67">
        <f>IF($A14="","",$L$63*$D14)</f>
        <v/>
      </c>
      <c r="Y14" s="66">
        <f>IF($A14="","",$U14-$E$64-$F$64)</f>
        <v/>
      </c>
      <c r="Z14" s="67">
        <f>IF($A14="","",$L$64*$D14)</f>
        <v/>
      </c>
      <c r="AA14" s="66">
        <f>IF($A14="","",$S14)</f>
        <v/>
      </c>
      <c r="AB14" s="67">
        <f>IF($A14="","",$L$65*$D14)</f>
        <v/>
      </c>
      <c r="AC14" s="66">
        <f>IF($A14="","",$B14-$E$66)</f>
        <v/>
      </c>
      <c r="AD14" s="67">
        <f>IF($A14="","",$L$66*$D14)</f>
        <v/>
      </c>
      <c r="AE14" s="66">
        <f>IF($A14="","",$C14-$E$67-$F$67)</f>
        <v/>
      </c>
      <c r="AF14" s="67">
        <f>IF($A14="","",$L$67*$D14)</f>
        <v/>
      </c>
      <c r="AG14" s="66">
        <f>IF($A14="","",$B14-$E$68)</f>
        <v/>
      </c>
      <c r="AH14" s="67">
        <f>IF($A14="","",$L$68*$D14)</f>
        <v/>
      </c>
      <c r="AI14" s="66">
        <f>IF($A14="","",$B14-$E$69-$F$69)</f>
        <v/>
      </c>
      <c r="AJ14" s="67">
        <f>IF($A14="","",$L$69*$D14)</f>
        <v/>
      </c>
      <c r="AK14" s="66">
        <f>IF($A14="","",$C14-$E$70-$F$70)</f>
        <v/>
      </c>
      <c r="AL14" s="67">
        <f>IF($A14="","",$L$70*$D14)</f>
        <v/>
      </c>
      <c r="AM14" s="63">
        <f>IF($A14="","",$S14-68-68)</f>
        <v/>
      </c>
      <c r="AN14" s="64">
        <f>IF($A14="","",$U14-68-68)</f>
        <v/>
      </c>
      <c r="AO14" s="65">
        <f>IF($A14="","",5*$D14)</f>
        <v/>
      </c>
    </row>
    <row r="15" ht="40.15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IF($A15="","",$B15)</f>
        <v/>
      </c>
      <c r="H15" s="60">
        <f>IF($A15="","",$L$55*$D15)</f>
        <v/>
      </c>
      <c r="I15" s="62">
        <f>IF($A15="","",$B15)</f>
        <v/>
      </c>
      <c r="J15" s="60">
        <f>IF($A15="","",$L$56*$D15)</f>
        <v/>
      </c>
      <c r="K15" s="62">
        <f>IF($A15="","",$C15-$E$57-$F$57)</f>
        <v/>
      </c>
      <c r="L15" s="60">
        <f>IF($A15="","",$L$57*$D15)</f>
        <v/>
      </c>
      <c r="M15" s="62">
        <f>IF($A15="","",$C15-$E$58-$F$58)</f>
        <v/>
      </c>
      <c r="N15" s="60">
        <f>IF($A15="","",$L$58*$D15)</f>
        <v/>
      </c>
      <c r="O15" s="62">
        <f>IF($A15="","",$C15-$E$59-$F$59)</f>
        <v/>
      </c>
      <c r="P15" s="60">
        <f>IF($A15="","",$L$59*$D15)</f>
        <v/>
      </c>
      <c r="Q15" s="62">
        <f>IF($A15="","",$C15)</f>
        <v/>
      </c>
      <c r="R15" s="60">
        <f>IF($A15="","",$L$60*$D15)</f>
        <v/>
      </c>
      <c r="S15" s="62">
        <f>IF($A15="","",$B15-$E$61-$F$61-$G$61)</f>
        <v/>
      </c>
      <c r="T15" s="60">
        <f>IF($A15="","",$L$61*$D15)</f>
        <v/>
      </c>
      <c r="U15" s="62">
        <f>IF($A15="","",(($C15-$E$62-$F$62-$G$62-$H$62-$I$62)/5)+(78*4)/5)</f>
        <v/>
      </c>
      <c r="V15" s="60">
        <f>IF($A15="","",$L$62*$D15)</f>
        <v/>
      </c>
      <c r="W15" s="62">
        <f>IF($A15="","",$S15-$E$63-$F$63)</f>
        <v/>
      </c>
      <c r="X15" s="60">
        <f>IF($A15="","",$L$63*$D15)</f>
        <v/>
      </c>
      <c r="Y15" s="62">
        <f>IF($A15="","",$U15-$E$64-$F$64)</f>
        <v/>
      </c>
      <c r="Z15" s="60">
        <f>IF($A15="","",$L$64*$D15)</f>
        <v/>
      </c>
      <c r="AA15" s="62">
        <f>IF($A15="","",$S15)</f>
        <v/>
      </c>
      <c r="AB15" s="60">
        <f>IF($A15="","",$L$65*$D15)</f>
        <v/>
      </c>
      <c r="AC15" s="62">
        <f>IF($A15="","",$B15-$E$66)</f>
        <v/>
      </c>
      <c r="AD15" s="60">
        <f>IF($A15="","",$L$66*$D15)</f>
        <v/>
      </c>
      <c r="AE15" s="62">
        <f>IF($A15="","",$C15-$E$67-$F$67)</f>
        <v/>
      </c>
      <c r="AF15" s="60">
        <f>IF($A15="","",$L$67*$D15)</f>
        <v/>
      </c>
      <c r="AG15" s="62">
        <f>IF($A15="","",$B15-$E$68)</f>
        <v/>
      </c>
      <c r="AH15" s="60">
        <f>IF($A15="","",$L$68*$D15)</f>
        <v/>
      </c>
      <c r="AI15" s="62">
        <f>IF($A15="","",$B15-$E$69-$F$69)</f>
        <v/>
      </c>
      <c r="AJ15" s="60">
        <f>IF($A15="","",$L$69*$D15)</f>
        <v/>
      </c>
      <c r="AK15" s="62">
        <f>IF($A15="","",$C15-$E$70-$F$70)</f>
        <v/>
      </c>
      <c r="AL15" s="60">
        <f>IF($A15="","",$L$70*$D15)</f>
        <v/>
      </c>
      <c r="AM15" s="63">
        <f>IF($A15="","",$S15-68-68)</f>
        <v/>
      </c>
      <c r="AN15" s="64">
        <f>IF($A15="","",$U15-68-68)</f>
        <v/>
      </c>
      <c r="AO15" s="65">
        <f>IF($A15="","",5*$D15)</f>
        <v/>
      </c>
    </row>
    <row r="16" ht="40.15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IF($A16="","",$B16)</f>
        <v/>
      </c>
      <c r="H16" s="67">
        <f>IF($A16="","",$L$55*$D16)</f>
        <v/>
      </c>
      <c r="I16" s="66">
        <f>IF($A16="","",$B16)</f>
        <v/>
      </c>
      <c r="J16" s="67">
        <f>IF($A16="","",$L$56*$D16)</f>
        <v/>
      </c>
      <c r="K16" s="66">
        <f>IF($A16="","",$C16-$E$57-$F$57)</f>
        <v/>
      </c>
      <c r="L16" s="67">
        <f>IF($A16="","",$L$57*$D16)</f>
        <v/>
      </c>
      <c r="M16" s="66">
        <f>IF($A16="","",$C16-$E$58-$F$58)</f>
        <v/>
      </c>
      <c r="N16" s="67">
        <f>IF($A16="","",$L$58*$D16)</f>
        <v/>
      </c>
      <c r="O16" s="66">
        <f>IF($A16="","",$C16-$E$59-$F$59)</f>
        <v/>
      </c>
      <c r="P16" s="67">
        <f>IF($A16="","",$L$59*$D16)</f>
        <v/>
      </c>
      <c r="Q16" s="66">
        <f>IF($A16="","",$C16)</f>
        <v/>
      </c>
      <c r="R16" s="67">
        <f>IF($A16="","",$L$60*$D16)</f>
        <v/>
      </c>
      <c r="S16" s="66">
        <f>IF($A16="","",$B16-$E$61-$F$61-$G$61)</f>
        <v/>
      </c>
      <c r="T16" s="67">
        <f>IF($A16="","",$L$61*$D16)</f>
        <v/>
      </c>
      <c r="U16" s="66">
        <f>IF($A16="","",(($C16-$E$62-$F$62-$G$62-$H$62-$I$62)/5)+(78*4)/5)</f>
        <v/>
      </c>
      <c r="V16" s="67">
        <f>IF($A16="","",$L$62*$D16)</f>
        <v/>
      </c>
      <c r="W16" s="66">
        <f>IF($A16="","",$S16-$E$63-$F$63)</f>
        <v/>
      </c>
      <c r="X16" s="67">
        <f>IF($A16="","",$L$63*$D16)</f>
        <v/>
      </c>
      <c r="Y16" s="66">
        <f>IF($A16="","",$U16-$E$64-$F$64)</f>
        <v/>
      </c>
      <c r="Z16" s="67">
        <f>IF($A16="","",$L$64*$D16)</f>
        <v/>
      </c>
      <c r="AA16" s="66">
        <f>IF($A16="","",$S16)</f>
        <v/>
      </c>
      <c r="AB16" s="67">
        <f>IF($A16="","",$L$65*$D16)</f>
        <v/>
      </c>
      <c r="AC16" s="66">
        <f>IF($A16="","",$B16-$E$66)</f>
        <v/>
      </c>
      <c r="AD16" s="67">
        <f>IF($A16="","",$L$66*$D16)</f>
        <v/>
      </c>
      <c r="AE16" s="66">
        <f>IF($A16="","",$C16-$E$67-$F$67)</f>
        <v/>
      </c>
      <c r="AF16" s="67">
        <f>IF($A16="","",$L$67*$D16)</f>
        <v/>
      </c>
      <c r="AG16" s="66">
        <f>IF($A16="","",$B16-$E$68)</f>
        <v/>
      </c>
      <c r="AH16" s="67">
        <f>IF($A16="","",$L$68*$D16)</f>
        <v/>
      </c>
      <c r="AI16" s="66">
        <f>IF($A16="","",$B16-$E$69-$F$69)</f>
        <v/>
      </c>
      <c r="AJ16" s="67">
        <f>IF($A16="","",$L$69*$D16)</f>
        <v/>
      </c>
      <c r="AK16" s="66">
        <f>IF($A16="","",$C16-$E$70-$F$70)</f>
        <v/>
      </c>
      <c r="AL16" s="67">
        <f>IF($A16="","",$L$70*$D16)</f>
        <v/>
      </c>
      <c r="AM16" s="63">
        <f>IF($A16="","",$S16-68-68)</f>
        <v/>
      </c>
      <c r="AN16" s="64">
        <f>IF($A16="","",$U16-68-68)</f>
        <v/>
      </c>
      <c r="AO16" s="65">
        <f>IF($A16="","",5*$D16)</f>
        <v/>
      </c>
    </row>
    <row r="17" ht="40.15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IF($A17="","",$B17)</f>
        <v/>
      </c>
      <c r="H17" s="60">
        <f>IF($A17="","",$L$55*$D17)</f>
        <v/>
      </c>
      <c r="I17" s="62">
        <f>IF($A17="","",$B17)</f>
        <v/>
      </c>
      <c r="J17" s="60">
        <f>IF($A17="","",$L$56*$D17)</f>
        <v/>
      </c>
      <c r="K17" s="62">
        <f>IF($A17="","",$C17-$E$57-$F$57)</f>
        <v/>
      </c>
      <c r="L17" s="60">
        <f>IF($A17="","",$L$57*$D17)</f>
        <v/>
      </c>
      <c r="M17" s="62">
        <f>IF($A17="","",$C17-$E$58-$F$58)</f>
        <v/>
      </c>
      <c r="N17" s="60">
        <f>IF($A17="","",$L$58*$D17)</f>
        <v/>
      </c>
      <c r="O17" s="62">
        <f>IF($A17="","",$C17-$E$59-$F$59)</f>
        <v/>
      </c>
      <c r="P17" s="60">
        <f>IF($A17="","",$L$59*$D17)</f>
        <v/>
      </c>
      <c r="Q17" s="62">
        <f>IF($A17="","",$C17)</f>
        <v/>
      </c>
      <c r="R17" s="60">
        <f>IF($A17="","",$L$60*$D17)</f>
        <v/>
      </c>
      <c r="S17" s="62">
        <f>IF($A17="","",$B17-$E$61-$F$61-$G$61)</f>
        <v/>
      </c>
      <c r="T17" s="60">
        <f>IF($A17="","",$L$61*$D17)</f>
        <v/>
      </c>
      <c r="U17" s="62">
        <f>IF($A17="","",(($C17-$E$62-$F$62-$G$62-$H$62-$I$62)/5)+(78*4)/5)</f>
        <v/>
      </c>
      <c r="V17" s="60">
        <f>IF($A17="","",$L$62*$D17)</f>
        <v/>
      </c>
      <c r="W17" s="62">
        <f>IF($A17="","",$S17-$E$63-$F$63)</f>
        <v/>
      </c>
      <c r="X17" s="60">
        <f>IF($A17="","",$L$63*$D17)</f>
        <v/>
      </c>
      <c r="Y17" s="62">
        <f>IF($A17="","",$U17-$E$64-$F$64)</f>
        <v/>
      </c>
      <c r="Z17" s="60">
        <f>IF($A17="","",$L$64*$D17)</f>
        <v/>
      </c>
      <c r="AA17" s="62">
        <f>IF($A17="","",$S17)</f>
        <v/>
      </c>
      <c r="AB17" s="60">
        <f>IF($A17="","",$L$65*$D17)</f>
        <v/>
      </c>
      <c r="AC17" s="62">
        <f>IF($A17="","",$B17-$E$66)</f>
        <v/>
      </c>
      <c r="AD17" s="60">
        <f>IF($A17="","",$L$66*$D17)</f>
        <v/>
      </c>
      <c r="AE17" s="62">
        <f>IF($A17="","",$C17-$E$67-$F$67)</f>
        <v/>
      </c>
      <c r="AF17" s="60">
        <f>IF($A17="","",$L$67*$D17)</f>
        <v/>
      </c>
      <c r="AG17" s="62">
        <f>IF($A17="","",$B17-$E$68)</f>
        <v/>
      </c>
      <c r="AH17" s="60">
        <f>IF($A17="","",$L$68*$D17)</f>
        <v/>
      </c>
      <c r="AI17" s="62">
        <f>IF($A17="","",$B17-$E$69-$F$69)</f>
        <v/>
      </c>
      <c r="AJ17" s="60">
        <f>IF($A17="","",$L$69*$D17)</f>
        <v/>
      </c>
      <c r="AK17" s="62">
        <f>IF($A17="","",$C17-$E$70-$F$70)</f>
        <v/>
      </c>
      <c r="AL17" s="60">
        <f>IF($A17="","",$L$70*$D17)</f>
        <v/>
      </c>
      <c r="AM17" s="63">
        <f>IF($A17="","",$S17-68-68)</f>
        <v/>
      </c>
      <c r="AN17" s="64">
        <f>IF($A17="","",$U17-68-68)</f>
        <v/>
      </c>
      <c r="AO17" s="65">
        <f>IF($A17="","",5*$D17)</f>
        <v/>
      </c>
    </row>
    <row r="18" ht="40.15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IF($A18="","",$B18)</f>
        <v/>
      </c>
      <c r="H18" s="67">
        <f>IF($A18="","",$L$55*$D18)</f>
        <v/>
      </c>
      <c r="I18" s="66">
        <f>IF($A18="","",$B18)</f>
        <v/>
      </c>
      <c r="J18" s="67">
        <f>IF($A18="","",$L$56*$D18)</f>
        <v/>
      </c>
      <c r="K18" s="66">
        <f>IF($A18="","",$C18-$E$57-$F$57)</f>
        <v/>
      </c>
      <c r="L18" s="67">
        <f>IF($A18="","",$L$57*$D18)</f>
        <v/>
      </c>
      <c r="M18" s="66">
        <f>IF($A18="","",$C18-$E$58-$F$58)</f>
        <v/>
      </c>
      <c r="N18" s="67">
        <f>IF($A18="","",$L$58*$D18)</f>
        <v/>
      </c>
      <c r="O18" s="66">
        <f>IF($A18="","",$C18-$E$59-$F$59)</f>
        <v/>
      </c>
      <c r="P18" s="67">
        <f>IF($A18="","",$L$59*$D18)</f>
        <v/>
      </c>
      <c r="Q18" s="66">
        <f>IF($A18="","",$C18)</f>
        <v/>
      </c>
      <c r="R18" s="67">
        <f>IF($A18="","",$L$60*$D18)</f>
        <v/>
      </c>
      <c r="S18" s="66">
        <f>IF($A18="","",$B18-$E$61-$F$61-$G$61)</f>
        <v/>
      </c>
      <c r="T18" s="67">
        <f>IF($A18="","",$L$61*$D18)</f>
        <v/>
      </c>
      <c r="U18" s="66">
        <f>IF($A18="","",(($C18-$E$62-$F$62-$G$62-$H$62-$I$62)/5)+(78*4)/5)</f>
        <v/>
      </c>
      <c r="V18" s="67">
        <f>IF($A18="","",$L$62*$D18)</f>
        <v/>
      </c>
      <c r="W18" s="66">
        <f>IF($A18="","",$S18-$E$63-$F$63)</f>
        <v/>
      </c>
      <c r="X18" s="67">
        <f>IF($A18="","",$L$63*$D18)</f>
        <v/>
      </c>
      <c r="Y18" s="66">
        <f>IF($A18="","",$U18-$E$64-$F$64)</f>
        <v/>
      </c>
      <c r="Z18" s="67">
        <f>IF($A18="","",$L$64*$D18)</f>
        <v/>
      </c>
      <c r="AA18" s="66">
        <f>IF($A18="","",$S18)</f>
        <v/>
      </c>
      <c r="AB18" s="67">
        <f>IF($A18="","",$L$65*$D18)</f>
        <v/>
      </c>
      <c r="AC18" s="66">
        <f>IF($A18="","",$B18-$E$66)</f>
        <v/>
      </c>
      <c r="AD18" s="67">
        <f>IF($A18="","",$L$66*$D18)</f>
        <v/>
      </c>
      <c r="AE18" s="66">
        <f>IF($A18="","",$C18-$E$67-$F$67)</f>
        <v/>
      </c>
      <c r="AF18" s="67">
        <f>IF($A18="","",$L$67*$D18)</f>
        <v/>
      </c>
      <c r="AG18" s="66">
        <f>IF($A18="","",$B18-$E$68)</f>
        <v/>
      </c>
      <c r="AH18" s="67">
        <f>IF($A18="","",$L$68*$D18)</f>
        <v/>
      </c>
      <c r="AI18" s="66">
        <f>IF($A18="","",$B18-$E$69-$F$69)</f>
        <v/>
      </c>
      <c r="AJ18" s="67">
        <f>IF($A18="","",$L$69*$D18)</f>
        <v/>
      </c>
      <c r="AK18" s="66">
        <f>IF($A18="","",$C18-$E$70-$F$70)</f>
        <v/>
      </c>
      <c r="AL18" s="67">
        <f>IF($A18="","",$L$70*$D18)</f>
        <v/>
      </c>
      <c r="AM18" s="63">
        <f>IF($A18="","",$S18-68-68)</f>
        <v/>
      </c>
      <c r="AN18" s="64">
        <f>IF($A18="","",$U18-68-68)</f>
        <v/>
      </c>
      <c r="AO18" s="65">
        <f>IF($A18="","",5*$D18)</f>
        <v/>
      </c>
    </row>
    <row r="19" ht="40.15" customHeight="1">
      <c r="A19" s="58" t="n"/>
      <c r="B19" s="59" t="n"/>
      <c r="C19" s="60" t="n"/>
      <c r="D19" s="61" t="n"/>
      <c r="E19" s="62">
        <f>IF($A19="","",$B19)</f>
        <v/>
      </c>
      <c r="F19" s="60">
        <f>IF($A19="","",$L$54*$D19)</f>
        <v/>
      </c>
      <c r="G19" s="62">
        <f>IF($A19="","",$B19)</f>
        <v/>
      </c>
      <c r="H19" s="60">
        <f>IF($A19="","",$L$55*$D19)</f>
        <v/>
      </c>
      <c r="I19" s="62">
        <f>IF($A19="","",$B19)</f>
        <v/>
      </c>
      <c r="J19" s="60">
        <f>IF($A19="","",$L$56*$D19)</f>
        <v/>
      </c>
      <c r="K19" s="62">
        <f>IF($A19="","",$C19-$E$57-$F$57)</f>
        <v/>
      </c>
      <c r="L19" s="60">
        <f>IF($A19="","",$L$57*$D19)</f>
        <v/>
      </c>
      <c r="M19" s="62">
        <f>IF($A19="","",$C19-$E$58-$F$58)</f>
        <v/>
      </c>
      <c r="N19" s="60">
        <f>IF($A19="","",$L$58*$D19)</f>
        <v/>
      </c>
      <c r="O19" s="62">
        <f>IF($A19="","",$C19-$E$59-$F$59)</f>
        <v/>
      </c>
      <c r="P19" s="60">
        <f>IF($A19="","",$L$59*$D19)</f>
        <v/>
      </c>
      <c r="Q19" s="62">
        <f>IF($A19="","",$C19)</f>
        <v/>
      </c>
      <c r="R19" s="60">
        <f>IF($A19="","",$L$60*$D19)</f>
        <v/>
      </c>
      <c r="S19" s="62">
        <f>IF($A19="","",$B19-$E$61-$F$61-$G$61)</f>
        <v/>
      </c>
      <c r="T19" s="60">
        <f>IF($A19="","",$L$61*$D19)</f>
        <v/>
      </c>
      <c r="U19" s="62">
        <f>IF($A19="","",(($C19-$E$62-$F$62-$G$62-$H$62-$I$62)/5)+(78*4)/5)</f>
        <v/>
      </c>
      <c r="V19" s="60">
        <f>IF($A19="","",$L$62*$D19)</f>
        <v/>
      </c>
      <c r="W19" s="62">
        <f>IF($A19="","",$S19-$E$63-$F$63)</f>
        <v/>
      </c>
      <c r="X19" s="60">
        <f>IF($A19="","",$L$63*$D19)</f>
        <v/>
      </c>
      <c r="Y19" s="62">
        <f>IF($A19="","",$U19-$E$64-$F$64)</f>
        <v/>
      </c>
      <c r="Z19" s="60">
        <f>IF($A19="","",$L$64*$D19)</f>
        <v/>
      </c>
      <c r="AA19" s="62">
        <f>IF($A19="","",$S19)</f>
        <v/>
      </c>
      <c r="AB19" s="60">
        <f>IF($A19="","",$L$65*$D19)</f>
        <v/>
      </c>
      <c r="AC19" s="62">
        <f>IF($A19="","",$B19-$E$66)</f>
        <v/>
      </c>
      <c r="AD19" s="60">
        <f>IF($A19="","",$L$66*$D19)</f>
        <v/>
      </c>
      <c r="AE19" s="62">
        <f>IF($A19="","",$C19-$E$67-$F$67)</f>
        <v/>
      </c>
      <c r="AF19" s="60">
        <f>IF($A19="","",$L$67*$D19)</f>
        <v/>
      </c>
      <c r="AG19" s="62">
        <f>IF($A19="","",$B19-$E$68)</f>
        <v/>
      </c>
      <c r="AH19" s="60">
        <f>IF($A19="","",$L$68*$D19)</f>
        <v/>
      </c>
      <c r="AI19" s="62">
        <f>IF($A19="","",$B19-$E$69-$F$69)</f>
        <v/>
      </c>
      <c r="AJ19" s="60">
        <f>IF($A19="","",$L$69*$D19)</f>
        <v/>
      </c>
      <c r="AK19" s="62">
        <f>IF($A19="","",$C19-$E$70-$F$70)</f>
        <v/>
      </c>
      <c r="AL19" s="60">
        <f>IF($A19="","",$L$70*$D19)</f>
        <v/>
      </c>
      <c r="AM19" s="63">
        <f>IF($A19="","",$S19-68-68)</f>
        <v/>
      </c>
      <c r="AN19" s="64">
        <f>IF($A19="","",$U19-68-68)</f>
        <v/>
      </c>
      <c r="AO19" s="65">
        <f>IF($A19="","",5*$D19)</f>
        <v/>
      </c>
    </row>
    <row r="20" ht="40.15" customHeight="1">
      <c r="A20" s="58" t="n"/>
      <c r="B20" s="59" t="n"/>
      <c r="C20" s="60" t="n"/>
      <c r="D20" s="61" t="n"/>
      <c r="E20" s="66">
        <f>IF($A20="","",$B20)</f>
        <v/>
      </c>
      <c r="F20" s="67">
        <f>IF($A20="","",$L$54*$D20)</f>
        <v/>
      </c>
      <c r="G20" s="66">
        <f>IF($A20="","",$B20)</f>
        <v/>
      </c>
      <c r="H20" s="67">
        <f>IF($A20="","",$L$55*$D20)</f>
        <v/>
      </c>
      <c r="I20" s="66">
        <f>IF($A20="","",$B20)</f>
        <v/>
      </c>
      <c r="J20" s="67">
        <f>IF($A20="","",$L$56*$D20)</f>
        <v/>
      </c>
      <c r="K20" s="66">
        <f>IF($A20="","",$C20-$E$57-$F$57)</f>
        <v/>
      </c>
      <c r="L20" s="67">
        <f>IF($A20="","",$L$57*$D20)</f>
        <v/>
      </c>
      <c r="M20" s="66">
        <f>IF($A20="","",$C20-$E$58-$F$58)</f>
        <v/>
      </c>
      <c r="N20" s="67">
        <f>IF($A20="","",$L$58*$D20)</f>
        <v/>
      </c>
      <c r="O20" s="66">
        <f>IF($A20="","",$C20-$E$59-$F$59)</f>
        <v/>
      </c>
      <c r="P20" s="67">
        <f>IF($A20="","",$L$59*$D20)</f>
        <v/>
      </c>
      <c r="Q20" s="66">
        <f>IF($A20="","",$C20)</f>
        <v/>
      </c>
      <c r="R20" s="67">
        <f>IF($A20="","",$L$60*$D20)</f>
        <v/>
      </c>
      <c r="S20" s="66">
        <f>IF($A20="","",$B20-$E$61-$F$61-$G$61)</f>
        <v/>
      </c>
      <c r="T20" s="67">
        <f>IF($A20="","",$L$61*$D20)</f>
        <v/>
      </c>
      <c r="U20" s="66">
        <f>IF($A20="","",(($C20-$E$62-$F$62-$G$62-$H$62-$I$62)/5)+(78*4)/5)</f>
        <v/>
      </c>
      <c r="V20" s="67">
        <f>IF($A20="","",$L$62*$D20)</f>
        <v/>
      </c>
      <c r="W20" s="66">
        <f>IF($A20="","",$S20-$E$63-$F$63)</f>
        <v/>
      </c>
      <c r="X20" s="67">
        <f>IF($A20="","",$L$63*$D20)</f>
        <v/>
      </c>
      <c r="Y20" s="66">
        <f>IF($A20="","",$U20-$E$64-$F$64)</f>
        <v/>
      </c>
      <c r="Z20" s="67">
        <f>IF($A20="","",$L$64*$D20)</f>
        <v/>
      </c>
      <c r="AA20" s="66">
        <f>IF($A20="","",$S20)</f>
        <v/>
      </c>
      <c r="AB20" s="67">
        <f>IF($A20="","",$L$65*$D20)</f>
        <v/>
      </c>
      <c r="AC20" s="66">
        <f>IF($A20="","",$B20-$E$66)</f>
        <v/>
      </c>
      <c r="AD20" s="67">
        <f>IF($A20="","",$L$66*$D20)</f>
        <v/>
      </c>
      <c r="AE20" s="66">
        <f>IF($A20="","",$C20-$E$67-$F$67)</f>
        <v/>
      </c>
      <c r="AF20" s="67">
        <f>IF($A20="","",$L$67*$D20)</f>
        <v/>
      </c>
      <c r="AG20" s="66">
        <f>IF($A20="","",$B20-$E$68)</f>
        <v/>
      </c>
      <c r="AH20" s="67">
        <f>IF($A20="","",$L$68*$D20)</f>
        <v/>
      </c>
      <c r="AI20" s="66">
        <f>IF($A20="","",$B20-$E$69-$F$69)</f>
        <v/>
      </c>
      <c r="AJ20" s="67">
        <f>IF($A20="","",$L$69*$D20)</f>
        <v/>
      </c>
      <c r="AK20" s="66">
        <f>IF($A20="","",$C20-$E$70-$F$70)</f>
        <v/>
      </c>
      <c r="AL20" s="67">
        <f>IF($A20="","",$L$70*$D20)</f>
        <v/>
      </c>
      <c r="AM20" s="63">
        <f>IF($A20="","",$S20-68-68)</f>
        <v/>
      </c>
      <c r="AN20" s="64">
        <f>IF($A20="","",$U20-68-68)</f>
        <v/>
      </c>
      <c r="AO20" s="65">
        <f>IF($A20="","",5*$D20)</f>
        <v/>
      </c>
    </row>
    <row r="21" ht="40.15" customHeight="1">
      <c r="A21" s="58" t="n"/>
      <c r="B21" s="59" t="n"/>
      <c r="C21" s="60" t="n"/>
      <c r="D21" s="61" t="n"/>
      <c r="E21" s="62">
        <f>IF($A21="","",$B21)</f>
        <v/>
      </c>
      <c r="F21" s="60">
        <f>IF($A21="","",$L$54*$D21)</f>
        <v/>
      </c>
      <c r="G21" s="62">
        <f>IF($A21="","",$B21)</f>
        <v/>
      </c>
      <c r="H21" s="60">
        <f>IF($A21="","",$L$55*$D21)</f>
        <v/>
      </c>
      <c r="I21" s="62">
        <f>IF($A21="","",$B21)</f>
        <v/>
      </c>
      <c r="J21" s="60">
        <f>IF($A21="","",$L$56*$D21)</f>
        <v/>
      </c>
      <c r="K21" s="62">
        <f>IF($A21="","",$C21-$E$57-$F$57)</f>
        <v/>
      </c>
      <c r="L21" s="60">
        <f>IF($A21="","",$L$57*$D21)</f>
        <v/>
      </c>
      <c r="M21" s="62">
        <f>IF($A21="","",$C21-$E$58-$F$58)</f>
        <v/>
      </c>
      <c r="N21" s="60">
        <f>IF($A21="","",$L$58*$D21)</f>
        <v/>
      </c>
      <c r="O21" s="62">
        <f>IF($A21="","",$C21-$E$59-$F$59)</f>
        <v/>
      </c>
      <c r="P21" s="60">
        <f>IF($A21="","",$L$59*$D21)</f>
        <v/>
      </c>
      <c r="Q21" s="62">
        <f>IF($A21="","",$C21)</f>
        <v/>
      </c>
      <c r="R21" s="60">
        <f>IF($A21="","",$L$60*$D21)</f>
        <v/>
      </c>
      <c r="S21" s="62">
        <f>IF($A21="","",$B21-$E$61-$F$61-$G$61)</f>
        <v/>
      </c>
      <c r="T21" s="60">
        <f>IF($A21="","",$L$61*$D21)</f>
        <v/>
      </c>
      <c r="U21" s="62">
        <f>IF($A21="","",(($C21-$E$62-$F$62-$G$62-$H$62-$I$62)/5)+(78*4)/5)</f>
        <v/>
      </c>
      <c r="V21" s="60">
        <f>IF($A21="","",$L$62*$D21)</f>
        <v/>
      </c>
      <c r="W21" s="62">
        <f>IF($A21="","",$S21-$E$63-$F$63)</f>
        <v/>
      </c>
      <c r="X21" s="60">
        <f>IF($A21="","",$L$63*$D21)</f>
        <v/>
      </c>
      <c r="Y21" s="62">
        <f>IF($A21="","",$U21-$E$64-$F$64)</f>
        <v/>
      </c>
      <c r="Z21" s="60">
        <f>IF($A21="","",$L$64*$D21)</f>
        <v/>
      </c>
      <c r="AA21" s="62">
        <f>IF($A21="","",$S21)</f>
        <v/>
      </c>
      <c r="AB21" s="60">
        <f>IF($A21="","",$L$65*$D21)</f>
        <v/>
      </c>
      <c r="AC21" s="62">
        <f>IF($A21="","",$B21-$E$66)</f>
        <v/>
      </c>
      <c r="AD21" s="60">
        <f>IF($A21="","",$L$66*$D21)</f>
        <v/>
      </c>
      <c r="AE21" s="62">
        <f>IF($A21="","",$C21-$E$67-$F$67)</f>
        <v/>
      </c>
      <c r="AF21" s="60">
        <f>IF($A21="","",$L$67*$D21)</f>
        <v/>
      </c>
      <c r="AG21" s="62">
        <f>IF($A21="","",$B21-$E$68)</f>
        <v/>
      </c>
      <c r="AH21" s="60">
        <f>IF($A21="","",$L$68*$D21)</f>
        <v/>
      </c>
      <c r="AI21" s="62">
        <f>IF($A21="","",$B21-$E$69-$F$69)</f>
        <v/>
      </c>
      <c r="AJ21" s="60">
        <f>IF($A21="","",$L$69*$D21)</f>
        <v/>
      </c>
      <c r="AK21" s="62">
        <f>IF($A21="","",$C21-$E$70-$F$70)</f>
        <v/>
      </c>
      <c r="AL21" s="60">
        <f>IF($A21="","",$L$70*$D21)</f>
        <v/>
      </c>
      <c r="AM21" s="63">
        <f>IF($A21="","",$S21-68-68)</f>
        <v/>
      </c>
      <c r="AN21" s="64">
        <f>IF($A21="","",$U21-68-68)</f>
        <v/>
      </c>
      <c r="AO21" s="65">
        <f>IF($A21="","",5*$D21)</f>
        <v/>
      </c>
    </row>
    <row r="22" ht="40.15" customHeight="1">
      <c r="A22" s="58" t="n"/>
      <c r="B22" s="59" t="n"/>
      <c r="C22" s="60" t="n"/>
      <c r="D22" s="61" t="n"/>
      <c r="E22" s="66">
        <f>IF($A22="","",$B22)</f>
        <v/>
      </c>
      <c r="F22" s="67">
        <f>IF($A22="","",$L$54*$D22)</f>
        <v/>
      </c>
      <c r="G22" s="66">
        <f>IF($A22="","",$B22)</f>
        <v/>
      </c>
      <c r="H22" s="67">
        <f>IF($A22="","",$L$55*$D22)</f>
        <v/>
      </c>
      <c r="I22" s="66">
        <f>IF($A22="","",$B22)</f>
        <v/>
      </c>
      <c r="J22" s="67">
        <f>IF($A22="","",$L$56*$D22)</f>
        <v/>
      </c>
      <c r="K22" s="66">
        <f>IF($A22="","",$C22-$E$57-$F$57)</f>
        <v/>
      </c>
      <c r="L22" s="67">
        <f>IF($A22="","",$L$57*$D22)</f>
        <v/>
      </c>
      <c r="M22" s="66">
        <f>IF($A22="","",$C22-$E$58-$F$58)</f>
        <v/>
      </c>
      <c r="N22" s="67">
        <f>IF($A22="","",$L$58*$D22)</f>
        <v/>
      </c>
      <c r="O22" s="66">
        <f>IF($A22="","",$C22-$E$59-$F$59)</f>
        <v/>
      </c>
      <c r="P22" s="67">
        <f>IF($A22="","",$L$59*$D22)</f>
        <v/>
      </c>
      <c r="Q22" s="66">
        <f>IF($A22="","",$C22)</f>
        <v/>
      </c>
      <c r="R22" s="67">
        <f>IF($A22="","",$L$60*$D22)</f>
        <v/>
      </c>
      <c r="S22" s="66">
        <f>IF($A22="","",$B22-$E$61-$F$61-$G$61)</f>
        <v/>
      </c>
      <c r="T22" s="67">
        <f>IF($A22="","",$L$61*$D22)</f>
        <v/>
      </c>
      <c r="U22" s="66">
        <f>IF($A22="","",(($C22-$E$62-$F$62-$G$62-$H$62-$I$62)/5)+(78*4)/5)</f>
        <v/>
      </c>
      <c r="V22" s="67">
        <f>IF($A22="","",$L$62*$D22)</f>
        <v/>
      </c>
      <c r="W22" s="66">
        <f>IF($A22="","",$S22-$E$63-$F$63)</f>
        <v/>
      </c>
      <c r="X22" s="67">
        <f>IF($A22="","",$L$63*$D22)</f>
        <v/>
      </c>
      <c r="Y22" s="66">
        <f>IF($A22="","",$U22-$E$64-$F$64)</f>
        <v/>
      </c>
      <c r="Z22" s="67">
        <f>IF($A22="","",$L$64*$D22)</f>
        <v/>
      </c>
      <c r="AA22" s="66">
        <f>IF($A22="","",$S22)</f>
        <v/>
      </c>
      <c r="AB22" s="67">
        <f>IF($A22="","",$L$65*$D22)</f>
        <v/>
      </c>
      <c r="AC22" s="66">
        <f>IF($A22="","",$B22-$E$66)</f>
        <v/>
      </c>
      <c r="AD22" s="67">
        <f>IF($A22="","",$L$66*$D22)</f>
        <v/>
      </c>
      <c r="AE22" s="66">
        <f>IF($A22="","",$C22-$E$67-$F$67)</f>
        <v/>
      </c>
      <c r="AF22" s="67">
        <f>IF($A22="","",$L$67*$D22)</f>
        <v/>
      </c>
      <c r="AG22" s="66">
        <f>IF($A22="","",$B22-$E$68)</f>
        <v/>
      </c>
      <c r="AH22" s="67">
        <f>IF($A22="","",$L$68*$D22)</f>
        <v/>
      </c>
      <c r="AI22" s="66">
        <f>IF($A22="","",$B22-$E$69-$F$69)</f>
        <v/>
      </c>
      <c r="AJ22" s="67">
        <f>IF($A22="","",$L$69*$D22)</f>
        <v/>
      </c>
      <c r="AK22" s="66">
        <f>IF($A22="","",$C22-$E$70-$F$70)</f>
        <v/>
      </c>
      <c r="AL22" s="67">
        <f>IF($A22="","",$L$70*$D22)</f>
        <v/>
      </c>
      <c r="AM22" s="63">
        <f>IF($A22="","",$S22-68-68)</f>
        <v/>
      </c>
      <c r="AN22" s="64">
        <f>IF($A22="","",$U22-68-68)</f>
        <v/>
      </c>
      <c r="AO22" s="65">
        <f>IF($A22="","",5*$D22)</f>
        <v/>
      </c>
    </row>
    <row r="23" ht="40.15" customHeight="1">
      <c r="A23" s="58" t="n"/>
      <c r="B23" s="59" t="n"/>
      <c r="C23" s="60" t="n"/>
      <c r="D23" s="61" t="n"/>
      <c r="E23" s="62">
        <f>IF($A23="","",$B23)</f>
        <v/>
      </c>
      <c r="F23" s="60">
        <f>IF($A23="","",$L$54*$D23)</f>
        <v/>
      </c>
      <c r="G23" s="62">
        <f>IF($A23="","",$B23)</f>
        <v/>
      </c>
      <c r="H23" s="60">
        <f>IF($A23="","",$L$55*$D23)</f>
        <v/>
      </c>
      <c r="I23" s="62">
        <f>IF($A23="","",$B23)</f>
        <v/>
      </c>
      <c r="J23" s="60">
        <f>IF($A23="","",$L$56*$D23)</f>
        <v/>
      </c>
      <c r="K23" s="62">
        <f>IF($A23="","",$C23-$E$57-$F$57)</f>
        <v/>
      </c>
      <c r="L23" s="60">
        <f>IF($A23="","",$L$57*$D23)</f>
        <v/>
      </c>
      <c r="M23" s="62">
        <f>IF($A23="","",$C23-$E$58-$F$58)</f>
        <v/>
      </c>
      <c r="N23" s="60">
        <f>IF($A23="","",$L$58*$D23)</f>
        <v/>
      </c>
      <c r="O23" s="62">
        <f>IF($A23="","",$C23-$E$59-$F$59)</f>
        <v/>
      </c>
      <c r="P23" s="60">
        <f>IF($A23="","",$L$59*$D23)</f>
        <v/>
      </c>
      <c r="Q23" s="62">
        <f>IF($A23="","",$C23)</f>
        <v/>
      </c>
      <c r="R23" s="60">
        <f>IF($A23="","",$L$60*$D23)</f>
        <v/>
      </c>
      <c r="S23" s="62">
        <f>IF($A23="","",$B23-$E$61-$F$61-$G$61)</f>
        <v/>
      </c>
      <c r="T23" s="60">
        <f>IF($A23="","",$L$61*$D23)</f>
        <v/>
      </c>
      <c r="U23" s="62">
        <f>IF($A23="","",(($C23-$E$62-$F$62-$G$62-$H$62-$I$62)/5)+(78*4)/5)</f>
        <v/>
      </c>
      <c r="V23" s="60">
        <f>IF($A23="","",$L$62*$D23)</f>
        <v/>
      </c>
      <c r="W23" s="62">
        <f>IF($A23="","",$S23-$E$63-$F$63)</f>
        <v/>
      </c>
      <c r="X23" s="60">
        <f>IF($A23="","",$L$63*$D23)</f>
        <v/>
      </c>
      <c r="Y23" s="62">
        <f>IF($A23="","",$U23-$E$64-$F$64)</f>
        <v/>
      </c>
      <c r="Z23" s="60">
        <f>IF($A23="","",$L$64*$D23)</f>
        <v/>
      </c>
      <c r="AA23" s="62">
        <f>IF($A23="","",$S23)</f>
        <v/>
      </c>
      <c r="AB23" s="60">
        <f>IF($A23="","",$L$65*$D23)</f>
        <v/>
      </c>
      <c r="AC23" s="62">
        <f>IF($A23="","",$B23-$E$66)</f>
        <v/>
      </c>
      <c r="AD23" s="60">
        <f>IF($A23="","",$L$66*$D23)</f>
        <v/>
      </c>
      <c r="AE23" s="62">
        <f>IF($A23="","",$C23-$E$67-$F$67)</f>
        <v/>
      </c>
      <c r="AF23" s="60">
        <f>IF($A23="","",$L$67*$D23)</f>
        <v/>
      </c>
      <c r="AG23" s="62">
        <f>IF($A23="","",$B23-$E$68)</f>
        <v/>
      </c>
      <c r="AH23" s="60">
        <f>IF($A23="","",$L$68*$D23)</f>
        <v/>
      </c>
      <c r="AI23" s="62">
        <f>IF($A23="","",$B23-$E$69-$F$69)</f>
        <v/>
      </c>
      <c r="AJ23" s="60">
        <f>IF($A23="","",$L$69*$D23)</f>
        <v/>
      </c>
      <c r="AK23" s="62">
        <f>IF($A23="","",$C23-$E$70-$F$70)</f>
        <v/>
      </c>
      <c r="AL23" s="60">
        <f>IF($A23="","",$L$70*$D23)</f>
        <v/>
      </c>
      <c r="AM23" s="63">
        <f>IF($A23="","",$S23-68-68)</f>
        <v/>
      </c>
      <c r="AN23" s="64">
        <f>IF($A23="","",$U23-68-68)</f>
        <v/>
      </c>
      <c r="AO23" s="65">
        <f>IF($A23="","",5*$D23)</f>
        <v/>
      </c>
    </row>
    <row r="24" ht="40.15" customHeight="1">
      <c r="A24" s="58" t="n"/>
      <c r="B24" s="59" t="n"/>
      <c r="C24" s="60" t="n"/>
      <c r="D24" s="61" t="n"/>
      <c r="E24" s="66">
        <f>IF($A24="","",$B24)</f>
        <v/>
      </c>
      <c r="F24" s="67">
        <f>IF($A24="","",$L$54*$D24)</f>
        <v/>
      </c>
      <c r="G24" s="66">
        <f>IF($A24="","",$B24)</f>
        <v/>
      </c>
      <c r="H24" s="67">
        <f>IF($A24="","",$L$55*$D24)</f>
        <v/>
      </c>
      <c r="I24" s="66">
        <f>IF($A24="","",$B24)</f>
        <v/>
      </c>
      <c r="J24" s="67">
        <f>IF($A24="","",$L$56*$D24)</f>
        <v/>
      </c>
      <c r="K24" s="66">
        <f>IF($A24="","",$C24-$E$57-$F$57)</f>
        <v/>
      </c>
      <c r="L24" s="67">
        <f>IF($A24="","",$L$57*$D24)</f>
        <v/>
      </c>
      <c r="M24" s="66">
        <f>IF($A24="","",$C24-$E$58-$F$58)</f>
        <v/>
      </c>
      <c r="N24" s="67">
        <f>IF($A24="","",$L$58*$D24)</f>
        <v/>
      </c>
      <c r="O24" s="66">
        <f>IF($A24="","",$C24-$E$59-$F$59)</f>
        <v/>
      </c>
      <c r="P24" s="67">
        <f>IF($A24="","",$L$59*$D24)</f>
        <v/>
      </c>
      <c r="Q24" s="66">
        <f>IF($A24="","",$C24)</f>
        <v/>
      </c>
      <c r="R24" s="67">
        <f>IF($A24="","",$L$60*$D24)</f>
        <v/>
      </c>
      <c r="S24" s="66">
        <f>IF($A24="","",$B24-$E$61-$F$61-$G$61)</f>
        <v/>
      </c>
      <c r="T24" s="67">
        <f>IF($A24="","",$L$61*$D24)</f>
        <v/>
      </c>
      <c r="U24" s="66">
        <f>IF($A24="","",(($C24-$E$62-$F$62-$G$62-$H$62-$I$62)/5)+(78*4)/5)</f>
        <v/>
      </c>
      <c r="V24" s="67">
        <f>IF($A24="","",$L$62*$D24)</f>
        <v/>
      </c>
      <c r="W24" s="66">
        <f>IF($A24="","",$S24-$E$63-$F$63)</f>
        <v/>
      </c>
      <c r="X24" s="67">
        <f>IF($A24="","",$L$63*$D24)</f>
        <v/>
      </c>
      <c r="Y24" s="66">
        <f>IF($A24="","",$U24-$E$64-$F$64)</f>
        <v/>
      </c>
      <c r="Z24" s="67">
        <f>IF($A24="","",$L$64*$D24)</f>
        <v/>
      </c>
      <c r="AA24" s="66">
        <f>IF($A24="","",$S24)</f>
        <v/>
      </c>
      <c r="AB24" s="67">
        <f>IF($A24="","",$L$65*$D24)</f>
        <v/>
      </c>
      <c r="AC24" s="66">
        <f>IF($A24="","",$B24-$E$66)</f>
        <v/>
      </c>
      <c r="AD24" s="67">
        <f>IF($A24="","",$L$66*$D24)</f>
        <v/>
      </c>
      <c r="AE24" s="66">
        <f>IF($A24="","",$C24-$E$67-$F$67)</f>
        <v/>
      </c>
      <c r="AF24" s="67">
        <f>IF($A24="","",$L$67*$D24)</f>
        <v/>
      </c>
      <c r="AG24" s="66">
        <f>IF($A24="","",$B24-$E$68)</f>
        <v/>
      </c>
      <c r="AH24" s="67">
        <f>IF($A24="","",$L$68*$D24)</f>
        <v/>
      </c>
      <c r="AI24" s="66">
        <f>IF($A24="","",$B24-$E$69-$F$69)</f>
        <v/>
      </c>
      <c r="AJ24" s="67">
        <f>IF($A24="","",$L$69*$D24)</f>
        <v/>
      </c>
      <c r="AK24" s="66">
        <f>IF($A24="","",$C24-$E$70-$F$70)</f>
        <v/>
      </c>
      <c r="AL24" s="67">
        <f>IF($A24="","",$L$70*$D24)</f>
        <v/>
      </c>
      <c r="AM24" s="63">
        <f>IF($A24="","",$S24-68-68)</f>
        <v/>
      </c>
      <c r="AN24" s="64">
        <f>IF($A24="","",$U24-68-68)</f>
        <v/>
      </c>
      <c r="AO24" s="65">
        <f>IF($A24="","",5*$D24)</f>
        <v/>
      </c>
    </row>
    <row r="25" ht="40.15" customHeight="1">
      <c r="A25" s="58" t="n"/>
      <c r="B25" s="59" t="n"/>
      <c r="C25" s="60" t="n"/>
      <c r="D25" s="61" t="n"/>
      <c r="E25" s="62">
        <f>IF($A25="","",$B25)</f>
        <v/>
      </c>
      <c r="F25" s="60">
        <f>IF($A25="","",$L$54*$D25)</f>
        <v/>
      </c>
      <c r="G25" s="62">
        <f>IF($A25="","",$B25)</f>
        <v/>
      </c>
      <c r="H25" s="60">
        <f>IF($A25="","",$L$55*$D25)</f>
        <v/>
      </c>
      <c r="I25" s="62">
        <f>IF($A25="","",$B25)</f>
        <v/>
      </c>
      <c r="J25" s="60">
        <f>IF($A25="","",$L$56*$D25)</f>
        <v/>
      </c>
      <c r="K25" s="62">
        <f>IF($A25="","",$C25-$E$57-$F$57)</f>
        <v/>
      </c>
      <c r="L25" s="60">
        <f>IF($A25="","",$L$57*$D25)</f>
        <v/>
      </c>
      <c r="M25" s="62">
        <f>IF($A25="","",$C25-$E$58-$F$58)</f>
        <v/>
      </c>
      <c r="N25" s="60">
        <f>IF($A25="","",$L$58*$D25)</f>
        <v/>
      </c>
      <c r="O25" s="62">
        <f>IF($A25="","",$C25-$E$59-$F$59)</f>
        <v/>
      </c>
      <c r="P25" s="60">
        <f>IF($A25="","",$L$59*$D25)</f>
        <v/>
      </c>
      <c r="Q25" s="62">
        <f>IF($A25="","",$C25)</f>
        <v/>
      </c>
      <c r="R25" s="60">
        <f>IF($A25="","",$L$60*$D25)</f>
        <v/>
      </c>
      <c r="S25" s="62">
        <f>IF($A25="","",$B25-$E$61-$F$61-$G$61)</f>
        <v/>
      </c>
      <c r="T25" s="60">
        <f>IF($A25="","",$L$61*$D25)</f>
        <v/>
      </c>
      <c r="U25" s="62">
        <f>IF($A25="","",(($C25-$E$62-$F$62-$G$62-$H$62-$I$62)/5)+(78*4)/5)</f>
        <v/>
      </c>
      <c r="V25" s="60">
        <f>IF($A25="","",$L$62*$D25)</f>
        <v/>
      </c>
      <c r="W25" s="62">
        <f>IF($A25="","",$S25-$E$63-$F$63)</f>
        <v/>
      </c>
      <c r="X25" s="60">
        <f>IF($A25="","",$L$63*$D25)</f>
        <v/>
      </c>
      <c r="Y25" s="62">
        <f>IF($A25="","",$U25-$E$64-$F$64)</f>
        <v/>
      </c>
      <c r="Z25" s="60">
        <f>IF($A25="","",$L$64*$D25)</f>
        <v/>
      </c>
      <c r="AA25" s="62">
        <f>IF($A25="","",$S25)</f>
        <v/>
      </c>
      <c r="AB25" s="60">
        <f>IF($A25="","",$L$65*$D25)</f>
        <v/>
      </c>
      <c r="AC25" s="62">
        <f>IF($A25="","",$B25-$E$66)</f>
        <v/>
      </c>
      <c r="AD25" s="60">
        <f>IF($A25="","",$L$66*$D25)</f>
        <v/>
      </c>
      <c r="AE25" s="62">
        <f>IF($A25="","",$C25-$E$67-$F$67)</f>
        <v/>
      </c>
      <c r="AF25" s="60">
        <f>IF($A25="","",$L$67*$D25)</f>
        <v/>
      </c>
      <c r="AG25" s="62">
        <f>IF($A25="","",$B25-$E$68)</f>
        <v/>
      </c>
      <c r="AH25" s="60">
        <f>IF($A25="","",$L$68*$D25)</f>
        <v/>
      </c>
      <c r="AI25" s="62">
        <f>IF($A25="","",$B25-$E$69-$F$69)</f>
        <v/>
      </c>
      <c r="AJ25" s="60">
        <f>IF($A25="","",$L$69*$D25)</f>
        <v/>
      </c>
      <c r="AK25" s="62">
        <f>IF($A25="","",$C25-$E$70-$F$70)</f>
        <v/>
      </c>
      <c r="AL25" s="60">
        <f>IF($A25="","",$L$70*$D25)</f>
        <v/>
      </c>
      <c r="AM25" s="63">
        <f>IF($A25="","",$S25-68-68)</f>
        <v/>
      </c>
      <c r="AN25" s="64">
        <f>IF($A25="","",$U25-68-68)</f>
        <v/>
      </c>
      <c r="AO25" s="65">
        <f>IF($A25="","",5*$D25)</f>
        <v/>
      </c>
    </row>
    <row r="26" ht="40.15" customHeight="1">
      <c r="A26" s="58" t="n"/>
      <c r="B26" s="59" t="n"/>
      <c r="C26" s="60" t="n"/>
      <c r="D26" s="61" t="n"/>
      <c r="E26" s="66">
        <f>IF($A26="","",$B26)</f>
        <v/>
      </c>
      <c r="F26" s="67">
        <f>IF($A26="","",$L$54*$D26)</f>
        <v/>
      </c>
      <c r="G26" s="66">
        <f>IF($A26="","",$B26)</f>
        <v/>
      </c>
      <c r="H26" s="67">
        <f>IF($A26="","",$L$55*$D26)</f>
        <v/>
      </c>
      <c r="I26" s="66">
        <f>IF($A26="","",$B26)</f>
        <v/>
      </c>
      <c r="J26" s="67">
        <f>IF($A26="","",$L$56*$D26)</f>
        <v/>
      </c>
      <c r="K26" s="66">
        <f>IF($A26="","",$C26-$E$57-$F$57)</f>
        <v/>
      </c>
      <c r="L26" s="67">
        <f>IF($A26="","",$L$57*$D26)</f>
        <v/>
      </c>
      <c r="M26" s="66">
        <f>IF($A26="","",$C26-$E$58-$F$58)</f>
        <v/>
      </c>
      <c r="N26" s="67">
        <f>IF($A26="","",$L$58*$D26)</f>
        <v/>
      </c>
      <c r="O26" s="66">
        <f>IF($A26="","",$C26-$E$59-$F$59)</f>
        <v/>
      </c>
      <c r="P26" s="67">
        <f>IF($A26="","",$L$59*$D26)</f>
        <v/>
      </c>
      <c r="Q26" s="66">
        <f>IF($A26="","",$C26)</f>
        <v/>
      </c>
      <c r="R26" s="67">
        <f>IF($A26="","",$L$60*$D26)</f>
        <v/>
      </c>
      <c r="S26" s="66">
        <f>IF($A26="","",$B26-$E$61-$F$61-$G$61)</f>
        <v/>
      </c>
      <c r="T26" s="67">
        <f>IF($A26="","",$L$61*$D26)</f>
        <v/>
      </c>
      <c r="U26" s="66">
        <f>IF($A26="","",(($C26-$E$62-$F$62-$G$62-$H$62-$I$62)/5)+(78*4)/5)</f>
        <v/>
      </c>
      <c r="V26" s="67">
        <f>IF($A26="","",$L$62*$D26)</f>
        <v/>
      </c>
      <c r="W26" s="66">
        <f>IF($A26="","",$S26-$E$63-$F$63)</f>
        <v/>
      </c>
      <c r="X26" s="67">
        <f>IF($A26="","",$L$63*$D26)</f>
        <v/>
      </c>
      <c r="Y26" s="66">
        <f>IF($A26="","",$U26-$E$64-$F$64)</f>
        <v/>
      </c>
      <c r="Z26" s="67">
        <f>IF($A26="","",$L$64*$D26)</f>
        <v/>
      </c>
      <c r="AA26" s="66">
        <f>IF($A26="","",$S26)</f>
        <v/>
      </c>
      <c r="AB26" s="67">
        <f>IF($A26="","",$L$65*$D26)</f>
        <v/>
      </c>
      <c r="AC26" s="66">
        <f>IF($A26="","",$B26-$E$66)</f>
        <v/>
      </c>
      <c r="AD26" s="67">
        <f>IF($A26="","",$L$66*$D26)</f>
        <v/>
      </c>
      <c r="AE26" s="66">
        <f>IF($A26="","",$C26-$E$67-$F$67)</f>
        <v/>
      </c>
      <c r="AF26" s="67">
        <f>IF($A26="","",$L$67*$D26)</f>
        <v/>
      </c>
      <c r="AG26" s="66">
        <f>IF($A26="","",$B26-$E$68)</f>
        <v/>
      </c>
      <c r="AH26" s="67">
        <f>IF($A26="","",$L$68*$D26)</f>
        <v/>
      </c>
      <c r="AI26" s="66">
        <f>IF($A26="","",$B26-$E$69-$F$69)</f>
        <v/>
      </c>
      <c r="AJ26" s="67">
        <f>IF($A26="","",$L$69*$D26)</f>
        <v/>
      </c>
      <c r="AK26" s="66">
        <f>IF($A26="","",$C26-$E$70-$F$70)</f>
        <v/>
      </c>
      <c r="AL26" s="67">
        <f>IF($A26="","",$L$70*$D26)</f>
        <v/>
      </c>
      <c r="AM26" s="63">
        <f>IF($A26="","",$S26-68-68)</f>
        <v/>
      </c>
      <c r="AN26" s="64">
        <f>IF($A26="","",$U26-68-68)</f>
        <v/>
      </c>
      <c r="AO26" s="65">
        <f>IF($A26="","",5*$D26)</f>
        <v/>
      </c>
    </row>
    <row r="27" ht="40.15" customHeight="1">
      <c r="A27" s="101" t="n"/>
      <c r="B27" s="102" t="n"/>
      <c r="C27" s="92" t="n"/>
      <c r="D27" s="103" t="n"/>
      <c r="E27" s="62">
        <f>IF($A27="","",$B27)</f>
        <v/>
      </c>
      <c r="F27" s="60">
        <f>IF($A27="","",$L$54*$D27)</f>
        <v/>
      </c>
      <c r="G27" s="62">
        <f>IF($A27="","",$B27)</f>
        <v/>
      </c>
      <c r="H27" s="60">
        <f>IF($A27="","",$L$55*$D27)</f>
        <v/>
      </c>
      <c r="I27" s="62">
        <f>IF($A27="","",$B27)</f>
        <v/>
      </c>
      <c r="J27" s="60">
        <f>IF($A27="","",$L$56*$D27)</f>
        <v/>
      </c>
      <c r="K27" s="62">
        <f>IF($A27="","",$C27-$E$57-$F$57)</f>
        <v/>
      </c>
      <c r="L27" s="60">
        <f>IF($A27="","",$L$57*$D27)</f>
        <v/>
      </c>
      <c r="M27" s="62">
        <f>IF($A27="","",$C27-$E$58-$F$58)</f>
        <v/>
      </c>
      <c r="N27" s="60">
        <f>IF($A27="","",$L$58*$D27)</f>
        <v/>
      </c>
      <c r="O27" s="62">
        <f>IF($A27="","",$C27-$E$59-$F$59)</f>
        <v/>
      </c>
      <c r="P27" s="60">
        <f>IF($A27="","",$L$59*$D27)</f>
        <v/>
      </c>
      <c r="Q27" s="62">
        <f>IF($A27="","",$C27)</f>
        <v/>
      </c>
      <c r="R27" s="60">
        <f>IF($A27="","",$L$60*$D27)</f>
        <v/>
      </c>
      <c r="S27" s="62">
        <f>IF($A27="","",$B27-$E$61-$F$61-$G$61)</f>
        <v/>
      </c>
      <c r="T27" s="60">
        <f>IF($A27="","",$L$61*$D27)</f>
        <v/>
      </c>
      <c r="U27" s="62">
        <f>IF($A27="","",(($C27-$E$62-$F$62-$G$62-$H$62-$I$62)/5)+(78*4)/5)</f>
        <v/>
      </c>
      <c r="V27" s="60">
        <f>IF($A27="","",$L$62*$D27)</f>
        <v/>
      </c>
      <c r="W27" s="62">
        <f>IF($A27="","",$S27-$E$63-$F$63)</f>
        <v/>
      </c>
      <c r="X27" s="60">
        <f>IF($A27="","",$L$63*$D27)</f>
        <v/>
      </c>
      <c r="Y27" s="62">
        <f>IF($A27="","",$U27-$E$64-$F$64)</f>
        <v/>
      </c>
      <c r="Z27" s="60">
        <f>IF($A27="","",$L$64*$D27)</f>
        <v/>
      </c>
      <c r="AA27" s="62">
        <f>IF($A27="","",$S27)</f>
        <v/>
      </c>
      <c r="AB27" s="60">
        <f>IF($A27="","",$L$65*$D27)</f>
        <v/>
      </c>
      <c r="AC27" s="62">
        <f>IF($A27="","",$B27-$E$66)</f>
        <v/>
      </c>
      <c r="AD27" s="60">
        <f>IF($A27="","",$L$66*$D27)</f>
        <v/>
      </c>
      <c r="AE27" s="62">
        <f>IF($A27="","",$C27-$E$67-$F$67)</f>
        <v/>
      </c>
      <c r="AF27" s="60">
        <f>IF($A27="","",$L$67*$D27)</f>
        <v/>
      </c>
      <c r="AG27" s="62">
        <f>IF($A27="","",$B27-$E$68)</f>
        <v/>
      </c>
      <c r="AH27" s="60">
        <f>IF($A27="","",$L$68*$D27)</f>
        <v/>
      </c>
      <c r="AI27" s="62">
        <f>IF($A27="","",$B27-$E$69-$F$69)</f>
        <v/>
      </c>
      <c r="AJ27" s="60">
        <f>IF($A27="","",$L$69*$D27)</f>
        <v/>
      </c>
      <c r="AK27" s="62">
        <f>IF($A27="","",$C27-$E$70-$F$70)</f>
        <v/>
      </c>
      <c r="AL27" s="60">
        <f>IF($A27="","",$L$70*$D27)</f>
        <v/>
      </c>
      <c r="AM27" s="63">
        <f>IF($A27="","",$S27-68-68)</f>
        <v/>
      </c>
      <c r="AN27" s="64">
        <f>IF($A27="","",$U27-68-68)</f>
        <v/>
      </c>
      <c r="AO27" s="65">
        <f>IF($A27="","",5*$D27)</f>
        <v/>
      </c>
    </row>
    <row r="28" ht="40.15" customHeight="1">
      <c r="A28" s="101" t="n"/>
      <c r="B28" s="102" t="n"/>
      <c r="C28" s="92" t="n"/>
      <c r="D28" s="103" t="n"/>
      <c r="E28" s="66">
        <f>IF($A28="","",$B28)</f>
        <v/>
      </c>
      <c r="F28" s="67">
        <f>IF($A28="","",$L$54*$D28)</f>
        <v/>
      </c>
      <c r="G28" s="66">
        <f>IF($A28="","",$B28)</f>
        <v/>
      </c>
      <c r="H28" s="67">
        <f>IF($A28="","",$L$55*$D28)</f>
        <v/>
      </c>
      <c r="I28" s="66">
        <f>IF($A28="","",$B28)</f>
        <v/>
      </c>
      <c r="J28" s="67">
        <f>IF($A28="","",$L$56*$D28)</f>
        <v/>
      </c>
      <c r="K28" s="66">
        <f>IF($A28="","",$C28-$E$57-$F$57)</f>
        <v/>
      </c>
      <c r="L28" s="67">
        <f>IF($A28="","",$L$57*$D28)</f>
        <v/>
      </c>
      <c r="M28" s="66">
        <f>IF($A28="","",$C28-$E$58-$F$58)</f>
        <v/>
      </c>
      <c r="N28" s="67">
        <f>IF($A28="","",$L$58*$D28)</f>
        <v/>
      </c>
      <c r="O28" s="66">
        <f>IF($A28="","",$C28-$E$59-$F$59)</f>
        <v/>
      </c>
      <c r="P28" s="67">
        <f>IF($A28="","",$L$59*$D28)</f>
        <v/>
      </c>
      <c r="Q28" s="66">
        <f>IF($A28="","",$C28)</f>
        <v/>
      </c>
      <c r="R28" s="67">
        <f>IF($A28="","",$L$60*$D28)</f>
        <v/>
      </c>
      <c r="S28" s="66">
        <f>IF($A28="","",$B28-$E$61-$F$61-$G$61)</f>
        <v/>
      </c>
      <c r="T28" s="67">
        <f>IF($A28="","",$L$61*$D28)</f>
        <v/>
      </c>
      <c r="U28" s="66">
        <f>IF($A28="","",(($C28-$E$62-$F$62-$G$62-$H$62-$I$62)/5)+(78*4)/5)</f>
        <v/>
      </c>
      <c r="V28" s="67">
        <f>IF($A28="","",$L$62*$D28)</f>
        <v/>
      </c>
      <c r="W28" s="66">
        <f>IF($A28="","",$S28-$E$63-$F$63)</f>
        <v/>
      </c>
      <c r="X28" s="67">
        <f>IF($A28="","",$L$63*$D28)</f>
        <v/>
      </c>
      <c r="Y28" s="66">
        <f>IF($A28="","",$U28-$E$64-$F$64)</f>
        <v/>
      </c>
      <c r="Z28" s="67">
        <f>IF($A28="","",$L$64*$D28)</f>
        <v/>
      </c>
      <c r="AA28" s="66">
        <f>IF($A28="","",$S28)</f>
        <v/>
      </c>
      <c r="AB28" s="67">
        <f>IF($A28="","",$L$65*$D28)</f>
        <v/>
      </c>
      <c r="AC28" s="66">
        <f>IF($A28="","",$B28-$E$66)</f>
        <v/>
      </c>
      <c r="AD28" s="67">
        <f>IF($A28="","",$L$66*$D28)</f>
        <v/>
      </c>
      <c r="AE28" s="66">
        <f>IF($A28="","",$C28-$E$67-$F$67)</f>
        <v/>
      </c>
      <c r="AF28" s="67">
        <f>IF($A28="","",$L$67*$D28)</f>
        <v/>
      </c>
      <c r="AG28" s="66">
        <f>IF($A28="","",$B28-$E$68)</f>
        <v/>
      </c>
      <c r="AH28" s="67">
        <f>IF($A28="","",$L$68*$D28)</f>
        <v/>
      </c>
      <c r="AI28" s="66">
        <f>IF($A28="","",$B28-$E$69-$F$69)</f>
        <v/>
      </c>
      <c r="AJ28" s="67">
        <f>IF($A28="","",$L$69*$D28)</f>
        <v/>
      </c>
      <c r="AK28" s="66">
        <f>IF($A28="","",$C28-$E$70-$F$70)</f>
        <v/>
      </c>
      <c r="AL28" s="67">
        <f>IF($A28="","",$L$70*$D28)</f>
        <v/>
      </c>
      <c r="AM28" s="63">
        <f>IF($A28="","",$S28-68-68)</f>
        <v/>
      </c>
      <c r="AN28" s="64">
        <f>IF($A28="","",$U28-68-68)</f>
        <v/>
      </c>
      <c r="AO28" s="65">
        <f>IF($A28="","",5*$D28)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1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(ROUNDUP(L49/6400,0))</f>
        <v/>
      </c>
      <c r="M30" s="72">
        <f>M$7</f>
        <v/>
      </c>
      <c r="N30" s="72">
        <f>(ROUNDUP(N49/6400,0))</f>
        <v/>
      </c>
      <c r="O30" s="72">
        <f>O$7</f>
        <v/>
      </c>
      <c r="P30" s="72">
        <f>(ROUNDUP(P49/6400,0))</f>
        <v/>
      </c>
      <c r="Q30" s="72">
        <f>Q$7</f>
        <v/>
      </c>
      <c r="R30" s="72">
        <f>(ROUNDUP(R49/6400,0))</f>
        <v/>
      </c>
      <c r="S30" s="72">
        <f>S$7</f>
        <v/>
      </c>
      <c r="T30" s="20" t="n"/>
      <c r="U30" s="21" t="n"/>
      <c r="V30" s="72">
        <f>(ROUNDUP(SUM(T49:V49)/6400,0))</f>
        <v/>
      </c>
      <c r="W30" s="72">
        <f>W$7</f>
        <v/>
      </c>
      <c r="X30" s="20" t="n"/>
      <c r="Y30" s="21" t="n"/>
      <c r="Z30" s="72">
        <f>(ROUNDUP(SUM(X49:Z49)/6400,0))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(ROUNDUP(AD49/6400,0))</f>
        <v/>
      </c>
      <c r="AE30" s="72">
        <f>AE$7</f>
        <v/>
      </c>
      <c r="AF30" s="72">
        <f>(ROUNDUP(AF49/6400,0))</f>
        <v/>
      </c>
      <c r="AG30" s="72">
        <f>AG$7</f>
        <v/>
      </c>
      <c r="AH30" s="72">
        <f>(ROUNDUP(AH49/6400,0))</f>
        <v/>
      </c>
      <c r="AI30" s="72">
        <f>AI$7</f>
        <v/>
      </c>
      <c r="AJ30" s="72">
        <f>(ROUNDUP(AJ49/6400,0))</f>
        <v/>
      </c>
      <c r="AK30" s="72">
        <f>AK$7</f>
        <v/>
      </c>
      <c r="AL30" s="72">
        <f>(ROUNDUP(AL49/6400,0))</f>
        <v/>
      </c>
    </row>
    <row r="31" hidden="1" ht="40.15" customHeight="1">
      <c r="F31" s="73">
        <f>IF($A11="","",F11*E11)</f>
        <v/>
      </c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  <c r="AK31" s="73" t="n"/>
      <c r="AL31" s="73">
        <f>IF($A11="","",AL11*AK11)</f>
        <v/>
      </c>
    </row>
    <row r="32" hidden="1" ht="40.15" customHeight="1">
      <c r="F32" s="73">
        <f>IF($A12="","",F12*E12)</f>
        <v/>
      </c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  <c r="AK32" s="73" t="n"/>
      <c r="AL32" s="73">
        <f>IF($A12="","",AL12*AK12)</f>
        <v/>
      </c>
    </row>
    <row r="33" hidden="1" ht="40.15" customHeight="1">
      <c r="F33" s="73">
        <f>IF($A13="","",F13*E13)</f>
        <v/>
      </c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  <c r="AK33" s="73" t="n"/>
      <c r="AL33" s="73">
        <f>IF($A13="","",AL13*AK13)</f>
        <v/>
      </c>
    </row>
    <row r="34" hidden="1" ht="40.15" customHeight="1">
      <c r="F34" s="73">
        <f>IF($A14="","",F14*E14)</f>
        <v/>
      </c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  <c r="AK34" s="73" t="n"/>
      <c r="AL34" s="73">
        <f>IF($A14="","",AL14*AK14)</f>
        <v/>
      </c>
    </row>
    <row r="35" hidden="1" ht="40.15" customHeight="1">
      <c r="F35" s="73">
        <f>IF($A15="","",F15*E15)</f>
        <v/>
      </c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  <c r="AK35" s="73" t="n"/>
      <c r="AL35" s="73">
        <f>IF($A15="","",AL15*AK15)</f>
        <v/>
      </c>
    </row>
    <row r="36" hidden="1">
      <c r="F36" s="73">
        <f>IF($A16="","",F16*E16)</f>
        <v/>
      </c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  <c r="AK36" s="73" t="n"/>
      <c r="AL36" s="73">
        <f>IF($A16="","",AL16*AK16)</f>
        <v/>
      </c>
    </row>
    <row r="37" hidden="1">
      <c r="F37" s="73">
        <f>IF($A17="","",F17*E17)</f>
        <v/>
      </c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  <c r="AK37" s="73" t="n"/>
      <c r="AL37" s="73">
        <f>IF($A17="","",AL17*AK17)</f>
        <v/>
      </c>
    </row>
    <row r="38" hidden="1">
      <c r="F38" s="73">
        <f>IF($A18="","",F18*E18)</f>
        <v/>
      </c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  <c r="AK38" s="73" t="n"/>
      <c r="AL38" s="73">
        <f>IF($A18="","",AL18*AK18)</f>
        <v/>
      </c>
    </row>
    <row r="39" hidden="1">
      <c r="F39" s="73">
        <f>IF($A19="","",F19*E19)</f>
        <v/>
      </c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  <c r="AK39" s="73" t="n"/>
      <c r="AL39" s="73">
        <f>IF($A19="","",AL19*AK19)</f>
        <v/>
      </c>
    </row>
    <row r="40" hidden="1">
      <c r="F40" s="73">
        <f>IF($A20="","",F20*E20)</f>
        <v/>
      </c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  <c r="AK40" s="73" t="n"/>
      <c r="AL40" s="73">
        <f>IF($A20="","",AL20*AK20)</f>
        <v/>
      </c>
    </row>
    <row r="41" hidden="1">
      <c r="F41" s="73">
        <f>IF($A21="","",F21*E21)</f>
        <v/>
      </c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  <c r="AK41" s="73" t="n"/>
      <c r="AL41" s="73">
        <f>IF($A21="","",AL21*AK21)</f>
        <v/>
      </c>
    </row>
    <row r="42" hidden="1">
      <c r="F42" s="73">
        <f>IF($A22="","",F22*E22)</f>
        <v/>
      </c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  <c r="AK42" s="73" t="n"/>
      <c r="AL42" s="73">
        <f>IF($A22="","",AL22*AK22)</f>
        <v/>
      </c>
    </row>
    <row r="43" hidden="1">
      <c r="F43" s="73">
        <f>IF($A23="","",F23*E23)</f>
        <v/>
      </c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  <c r="AK43" s="73" t="n"/>
      <c r="AL43" s="73">
        <f>IF($A23="","",AL23*AK23)</f>
        <v/>
      </c>
    </row>
    <row r="44" hidden="1">
      <c r="F44" s="73">
        <f>IF($A24="","",F24*E24)</f>
        <v/>
      </c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  <c r="AK44" s="73" t="n"/>
      <c r="AL44" s="73">
        <f>IF($A24="","",AL24*AK24)</f>
        <v/>
      </c>
    </row>
    <row r="45" hidden="1">
      <c r="F45" s="73">
        <f>IF($A25="","",F25*E25)</f>
        <v/>
      </c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  <c r="AK45" s="73" t="n"/>
      <c r="AL45" s="73">
        <f>IF($A25="","",AL25*AK25)</f>
        <v/>
      </c>
    </row>
    <row r="46" hidden="1">
      <c r="F46" s="73">
        <f>IF($A26="","",F26*E26)</f>
        <v/>
      </c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  <c r="AK46" s="73" t="n"/>
      <c r="AL46" s="73">
        <f>IF($A26="","",AL26*AK26)</f>
        <v/>
      </c>
    </row>
    <row r="47" hidden="1">
      <c r="F47" s="73">
        <f>IF($A27="","",F27*E27)</f>
        <v/>
      </c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  <c r="AK47" s="73" t="n"/>
      <c r="AL47" s="73">
        <f>IF($A27="","",AL27*AK27)</f>
        <v/>
      </c>
    </row>
    <row r="48" hidden="1">
      <c r="F48" s="73">
        <f>IF($A28="","",F28*E28)</f>
        <v/>
      </c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  <c r="AK48" s="73" t="n"/>
      <c r="AL48" s="73">
        <f>IF($A28="","",AL28*AK28)</f>
        <v/>
      </c>
    </row>
    <row r="49" hidden="1">
      <c r="F49" s="74">
        <f>SUMIF(F31:F48,"&gt;0")</f>
        <v/>
      </c>
      <c r="H49" s="74">
        <f>SUMIF(H31:H48,"&gt;0")</f>
        <v/>
      </c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  <c r="AK49" s="74" t="n"/>
      <c r="AL49" s="74">
        <f>SUMIF(AL31:AL48,"&gt;0")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เฟรมข้าง</t>
        </is>
      </c>
      <c r="C55" s="80" t="inlineStr">
        <is>
          <t>F7978</t>
        </is>
      </c>
      <c r="D55" s="81" t="inlineStr">
        <is>
          <t>สูง</t>
        </is>
      </c>
      <c r="E55" s="82" t="n"/>
      <c r="F55" s="82" t="n"/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ต่อเฟรมข้าง</t>
        </is>
      </c>
      <c r="C56" s="80" t="inlineStr">
        <is>
          <t>F7989</t>
        </is>
      </c>
      <c r="D56" s="81" t="inlineStr">
        <is>
          <t>สูง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2</v>
      </c>
      <c r="M56" s="82" t="n"/>
    </row>
    <row r="57" ht="44" customHeight="1">
      <c r="A57" s="78" t="n">
        <v>4</v>
      </c>
      <c r="B57" s="79" t="inlineStr">
        <is>
          <t>เฟรม บน-ล่าง</t>
        </is>
      </c>
      <c r="C57" s="80" t="inlineStr">
        <is>
          <t>F7976</t>
        </is>
      </c>
      <c r="D57" s="81" t="inlineStr">
        <is>
          <t>กว้าง-21-21</t>
        </is>
      </c>
      <c r="E57" s="83" t="n">
        <v>21</v>
      </c>
      <c r="F57" s="83" t="n">
        <v>21</v>
      </c>
      <c r="G57" s="82" t="n"/>
      <c r="H57" s="82" t="n"/>
      <c r="I57" s="82" t="n"/>
      <c r="J57" s="82" t="n"/>
      <c r="K57" s="82" t="n"/>
      <c r="L57" s="83" t="n">
        <v>1</v>
      </c>
      <c r="M57" s="82" t="n"/>
    </row>
    <row r="58" ht="44" customHeight="1">
      <c r="A58" s="78" t="n">
        <v>5</v>
      </c>
      <c r="B58" s="79" t="inlineStr">
        <is>
          <t>ต่อราง</t>
        </is>
      </c>
      <c r="C58" s="80" t="inlineStr">
        <is>
          <t>F7990</t>
        </is>
      </c>
      <c r="D58" s="81" t="inlineStr">
        <is>
          <t>กว้าง-21-21</t>
        </is>
      </c>
      <c r="E58" s="83" t="n">
        <v>21</v>
      </c>
      <c r="F58" s="83" t="n">
        <v>21</v>
      </c>
      <c r="G58" s="82" t="n"/>
      <c r="H58" s="82" t="n"/>
      <c r="I58" s="82" t="n"/>
      <c r="J58" s="82" t="n"/>
      <c r="K58" s="82" t="n"/>
      <c r="L58" s="83" t="n">
        <v>2</v>
      </c>
      <c r="M58" s="82" t="n"/>
    </row>
    <row r="59" ht="15" customHeight="1">
      <c r="A59" s="78" t="n">
        <v>6</v>
      </c>
      <c r="B59" s="79" t="inlineStr">
        <is>
          <t>เฟรม ล่าง</t>
        </is>
      </c>
      <c r="C59" s="80" t="inlineStr">
        <is>
          <t>B27018</t>
        </is>
      </c>
      <c r="D59" s="81" t="inlineStr">
        <is>
          <t>กว้าง-21-21</t>
        </is>
      </c>
      <c r="E59" s="83" t="n">
        <v>21</v>
      </c>
      <c r="F59" s="83" t="n">
        <v>21</v>
      </c>
      <c r="G59" s="82" t="n"/>
      <c r="H59" s="82" t="n"/>
      <c r="I59" s="82" t="n"/>
      <c r="J59" s="82" t="n"/>
      <c r="K59" s="82" t="n"/>
      <c r="L59" s="83" t="n">
        <v>5</v>
      </c>
      <c r="M59" s="82" t="n"/>
    </row>
    <row r="60" ht="44" customHeight="1">
      <c r="A60" s="78" t="n">
        <v>7</v>
      </c>
      <c r="B60" s="79" t="inlineStr">
        <is>
          <t>ตบกันสาด</t>
        </is>
      </c>
      <c r="C60" s="80" t="inlineStr">
        <is>
          <t>F7992</t>
        </is>
      </c>
      <c r="D60" s="81" t="inlineStr">
        <is>
          <t>กว้าง</t>
        </is>
      </c>
      <c r="E60" s="82" t="n"/>
      <c r="F60" s="82" t="n"/>
      <c r="G60" s="82" t="n"/>
      <c r="H60" s="82" t="n"/>
      <c r="I60" s="82" t="n"/>
      <c r="J60" s="82" t="n"/>
      <c r="K60" s="82" t="n"/>
      <c r="L60" s="83" t="n">
        <v>1</v>
      </c>
      <c r="M60" s="82" t="n"/>
    </row>
    <row r="61" ht="44" customHeight="1">
      <c r="A61" s="78" t="n">
        <v>8</v>
      </c>
      <c r="B61" s="79" t="inlineStr">
        <is>
          <t>เสา</t>
        </is>
      </c>
      <c r="C61" s="80" t="inlineStr">
        <is>
          <t>F7980</t>
        </is>
      </c>
      <c r="D61" s="81" t="inlineStr">
        <is>
          <t>สูง-5-13-21</t>
        </is>
      </c>
      <c r="E61" s="83" t="n">
        <v>5</v>
      </c>
      <c r="F61" s="83" t="n">
        <v>13</v>
      </c>
      <c r="G61" s="83" t="n">
        <v>21</v>
      </c>
      <c r="H61" s="82" t="n"/>
      <c r="I61" s="82" t="n"/>
      <c r="J61" s="82" t="n"/>
      <c r="K61" s="82" t="n"/>
      <c r="L61" s="83" t="n">
        <v>10</v>
      </c>
      <c r="M61" s="82" t="n"/>
    </row>
    <row r="62" ht="15" customHeight="1">
      <c r="A62" s="78" t="n">
        <v>9</v>
      </c>
      <c r="B62" s="79" t="inlineStr">
        <is>
          <t>ขวาง</t>
        </is>
      </c>
      <c r="C62" s="80" t="inlineStr">
        <is>
          <t>-</t>
        </is>
      </c>
      <c r="D62" s="81" t="inlineStr">
        <is>
          <t>((กว้าง-21-3-3-4.8-21)/5)+(78x4/5)</t>
        </is>
      </c>
      <c r="E62" s="83" t="n">
        <v>21</v>
      </c>
      <c r="F62" s="83" t="n">
        <v>3</v>
      </c>
      <c r="G62" s="83" t="n">
        <v>3</v>
      </c>
      <c r="H62" s="83" t="n">
        <v>4.8</v>
      </c>
      <c r="I62" s="83" t="n">
        <v>21</v>
      </c>
      <c r="J62" s="82" t="n"/>
      <c r="K62" s="82" t="n"/>
      <c r="L62" s="83" t="n">
        <v>10</v>
      </c>
      <c r="M62" s="82" t="n"/>
    </row>
    <row r="63" ht="44" customHeight="1">
      <c r="A63" s="78" t="n">
        <v>10</v>
      </c>
      <c r="B63" s="79" t="inlineStr">
        <is>
          <t>คิ้ว ตั้ง</t>
        </is>
      </c>
      <c r="C63" s="80" t="inlineStr">
        <is>
          <t>F7919</t>
        </is>
      </c>
      <c r="D63" s="81" t="inlineStr">
        <is>
          <t>เสา-78-78</t>
        </is>
      </c>
      <c r="E63" s="83" t="n">
        <v>78</v>
      </c>
      <c r="F63" s="83" t="n">
        <v>78</v>
      </c>
      <c r="G63" s="82" t="n"/>
      <c r="H63" s="82" t="n"/>
      <c r="I63" s="82" t="n"/>
      <c r="J63" s="82" t="n"/>
      <c r="K63" s="82" t="n"/>
      <c r="L63" s="83" t="n">
        <v>10</v>
      </c>
      <c r="M63" s="82" t="n"/>
    </row>
    <row r="64" ht="15" customHeight="1">
      <c r="A64" s="78" t="n">
        <v>11</v>
      </c>
      <c r="B64" s="79" t="inlineStr">
        <is>
          <t>คิ้ว ขวาง</t>
        </is>
      </c>
      <c r="C64" s="80" t="inlineStr">
        <is>
          <t>-</t>
        </is>
      </c>
      <c r="D64" s="81" t="inlineStr">
        <is>
          <t>ขวาง-63-63</t>
        </is>
      </c>
      <c r="E64" s="83" t="n">
        <v>63</v>
      </c>
      <c r="F64" s="83" t="n">
        <v>63</v>
      </c>
      <c r="G64" s="82" t="n"/>
      <c r="H64" s="82" t="n"/>
      <c r="I64" s="82" t="n"/>
      <c r="J64" s="82" t="n"/>
      <c r="K64" s="82" t="n"/>
      <c r="L64" s="83" t="n">
        <v>10</v>
      </c>
      <c r="M64" s="82" t="n"/>
    </row>
    <row r="65" ht="44" customHeight="1">
      <c r="A65" s="78" t="n">
        <v>12</v>
      </c>
      <c r="B65" s="79" t="inlineStr">
        <is>
          <t>ตบเกี่ยว</t>
        </is>
      </c>
      <c r="C65" s="80" t="inlineStr">
        <is>
          <t>F7983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8</v>
      </c>
      <c r="M65" s="82" t="n"/>
    </row>
    <row r="66" ht="44" customHeight="1">
      <c r="A66" s="78" t="n">
        <v>13</v>
      </c>
      <c r="B66" s="79" t="inlineStr">
        <is>
          <t>ยูข้าง</t>
        </is>
      </c>
      <c r="C66" s="80" t="inlineStr">
        <is>
          <t>F7986</t>
        </is>
      </c>
      <c r="D66" s="81" t="inlineStr">
        <is>
          <t>สูง-45</t>
        </is>
      </c>
      <c r="E66" s="83" t="n">
        <v>45</v>
      </c>
      <c r="F66" s="82" t="n"/>
      <c r="G66" s="82" t="n"/>
      <c r="H66" s="82" t="n"/>
      <c r="I66" s="82" t="n"/>
      <c r="J66" s="82" t="n"/>
      <c r="K66" s="82" t="n"/>
      <c r="L66" s="83" t="n">
        <v>2</v>
      </c>
      <c r="M66" s="82" t="n"/>
    </row>
    <row r="67" ht="44" customHeight="1">
      <c r="A67" s="78" t="n">
        <v>14</v>
      </c>
      <c r="B67" s="79" t="inlineStr">
        <is>
          <t>ตบเฟรมบน</t>
        </is>
      </c>
      <c r="C67" s="80" t="inlineStr">
        <is>
          <t>F7993</t>
        </is>
      </c>
      <c r="D67" s="81" t="inlineStr">
        <is>
          <t>เท่าเฟรมบน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5</v>
      </c>
      <c r="M67" s="82" t="n"/>
    </row>
    <row r="68" ht="44" customHeight="1">
      <c r="A68" s="78" t="n">
        <v>15</v>
      </c>
      <c r="B68" s="79" t="inlineStr">
        <is>
          <t>ตบยูข้าง</t>
        </is>
      </c>
      <c r="C68" s="80" t="inlineStr">
        <is>
          <t>F7988</t>
        </is>
      </c>
      <c r="D68" s="81" t="inlineStr">
        <is>
          <t>สูง-45</t>
        </is>
      </c>
      <c r="E68" s="83" t="n">
        <v>45</v>
      </c>
      <c r="F68" s="82" t="n"/>
      <c r="G68" s="82" t="n"/>
      <c r="H68" s="82" t="n"/>
      <c r="I68" s="82" t="n"/>
      <c r="J68" s="82" t="n"/>
      <c r="K68" s="82" t="n"/>
      <c r="L68" s="83" t="n">
        <v>2</v>
      </c>
      <c r="M68" s="82" t="n"/>
    </row>
    <row r="69" ht="15" customHeight="1">
      <c r="A69" s="78" t="n">
        <v>16</v>
      </c>
      <c r="B69" s="79" t="inlineStr"/>
      <c r="C69" s="80" t="inlineStr">
        <is>
          <t>-</t>
        </is>
      </c>
      <c r="D69" s="81" t="inlineStr">
        <is>
          <t>สูงกรอบบาน</t>
        </is>
      </c>
      <c r="E69" s="83" t="n">
        <v>45</v>
      </c>
      <c r="F69" s="83" t="n">
        <v>45</v>
      </c>
      <c r="G69" s="82" t="n"/>
      <c r="H69" s="82" t="n"/>
      <c r="I69" s="82" t="n"/>
      <c r="J69" s="82" t="n"/>
      <c r="K69" s="82" t="n"/>
      <c r="L69" s="83" t="n">
        <v>8</v>
      </c>
    </row>
    <row r="70" ht="44" customHeight="1">
      <c r="A70" s="78" t="n">
        <v>17</v>
      </c>
      <c r="B70" s="79" t="inlineStr">
        <is>
          <t>ราง</t>
        </is>
      </c>
      <c r="C70" s="80" t="inlineStr">
        <is>
          <t>F7994</t>
        </is>
      </c>
      <c r="D70" s="81" t="inlineStr">
        <is>
          <t>เท่าเฟรมล่าง</t>
        </is>
      </c>
      <c r="E70" s="83" t="n">
        <v>21</v>
      </c>
      <c r="F70" s="83" t="n">
        <v>21</v>
      </c>
      <c r="G70" s="82" t="n"/>
      <c r="H70" s="82" t="n"/>
      <c r="I70" s="82" t="n"/>
      <c r="J70" s="82" t="n"/>
      <c r="K70" s="82" t="n"/>
      <c r="L70" s="83" t="n">
        <v>5</v>
      </c>
      <c r="M70" s="82" t="n"/>
    </row>
    <row r="72">
      <c r="A72" s="123" t="inlineStr">
        <is>
          <t>⑥ อุปกรณ์ ต่อ 1 บาน — คูณจำนวนบานที่ผลิต</t>
        </is>
      </c>
      <c r="B72" s="131" t="n"/>
      <c r="C72" s="131" t="n"/>
      <c r="D72" s="131" t="n"/>
      <c r="E72" s="132" t="n"/>
      <c r="F72" s="124" t="inlineStr">
        <is>
          <t>ต่อบาน</t>
        </is>
      </c>
    </row>
    <row r="73">
      <c r="A73" s="125" t="inlineStr">
        <is>
          <t>1. ล้อ 27</t>
        </is>
      </c>
      <c r="B73" s="131" t="n"/>
      <c r="C73" s="131" t="n"/>
      <c r="D73" s="131" t="n"/>
      <c r="E73" s="132" t="n"/>
      <c r="F73" s="126" t="n">
        <v>2</v>
      </c>
    </row>
    <row r="74">
      <c r="A74" s="125" t="inlineStr">
        <is>
          <t>2. มือจับ Align</t>
        </is>
      </c>
      <c r="B74" s="131" t="n"/>
      <c r="C74" s="131" t="n"/>
      <c r="D74" s="131" t="n"/>
      <c r="E74" s="132" t="n"/>
      <c r="F74" s="126" t="n">
        <v>2</v>
      </c>
    </row>
    <row r="75">
      <c r="A75" s="125" t="inlineStr">
        <is>
          <t>3. ชุดล็อค</t>
        </is>
      </c>
      <c r="B75" s="131" t="n"/>
      <c r="C75" s="131" t="n"/>
      <c r="D75" s="131" t="n"/>
      <c r="E75" s="132" t="n"/>
      <c r="F75" s="126" t="n">
        <v>1</v>
      </c>
    </row>
    <row r="76">
      <c r="A76" s="125" t="inlineStr">
        <is>
          <t>4. น็อตประกอบ</t>
        </is>
      </c>
      <c r="B76" s="131" t="n"/>
      <c r="C76" s="131" t="n"/>
      <c r="D76" s="131" t="n"/>
      <c r="E76" s="132" t="n"/>
      <c r="F76" s="126" t="n">
        <v>4</v>
      </c>
    </row>
    <row r="77">
      <c r="A77" s="127" t="inlineStr">
        <is>
          <t>+ สักหลาด/ยาง/ซิลิโคน = ตามขนาด (ดูชีทคิดทุน)</t>
        </is>
      </c>
      <c r="B77" s="131" t="n"/>
      <c r="C77" s="131" t="n"/>
      <c r="D77" s="131" t="n"/>
      <c r="E77" s="131" t="n"/>
      <c r="F77" s="132" t="n"/>
    </row>
  </sheetData>
  <mergeCells count="79">
    <mergeCell ref="O7:P7"/>
    <mergeCell ref="Q7:R7"/>
    <mergeCell ref="AK7:AL7"/>
    <mergeCell ref="O6:P6"/>
    <mergeCell ref="E8:F8"/>
    <mergeCell ref="AC8:AD8"/>
    <mergeCell ref="AE8:AF8"/>
    <mergeCell ref="AA7:AB7"/>
    <mergeCell ref="D8:D9"/>
    <mergeCell ref="A7:D7"/>
    <mergeCell ref="Q9:R9"/>
    <mergeCell ref="S7:V7"/>
    <mergeCell ref="S9:T9"/>
    <mergeCell ref="M8:N8"/>
    <mergeCell ref="AC9:AD9"/>
    <mergeCell ref="O8:P8"/>
    <mergeCell ref="AE9:AF9"/>
    <mergeCell ref="W30:Y30"/>
    <mergeCell ref="I6:J6"/>
    <mergeCell ref="U6:V6"/>
    <mergeCell ref="W6:X6"/>
    <mergeCell ref="AK9:AL9"/>
    <mergeCell ref="G7:H7"/>
    <mergeCell ref="AA6:AB6"/>
    <mergeCell ref="I7:J7"/>
    <mergeCell ref="A30:D30"/>
    <mergeCell ref="A75:E75"/>
    <mergeCell ref="M7:N7"/>
    <mergeCell ref="A8:A9"/>
    <mergeCell ref="I8:J8"/>
    <mergeCell ref="U8:V8"/>
    <mergeCell ref="W8:X8"/>
    <mergeCell ref="AG7:AJ7"/>
    <mergeCell ref="Y8:Z8"/>
    <mergeCell ref="K6:L6"/>
    <mergeCell ref="G9:H9"/>
    <mergeCell ref="AA8:AB8"/>
    <mergeCell ref="I9:J9"/>
    <mergeCell ref="U9:V9"/>
    <mergeCell ref="A73:E73"/>
    <mergeCell ref="K9:L9"/>
    <mergeCell ref="M9:N9"/>
    <mergeCell ref="O9:P9"/>
    <mergeCell ref="Y9:Z9"/>
    <mergeCell ref="AA9:AB9"/>
    <mergeCell ref="AG6:AH6"/>
    <mergeCell ref="AI6:AJ6"/>
    <mergeCell ref="S30:U30"/>
    <mergeCell ref="E6:F6"/>
    <mergeCell ref="K8:L8"/>
    <mergeCell ref="Q6:R6"/>
    <mergeCell ref="S6:T6"/>
    <mergeCell ref="K7:L7"/>
    <mergeCell ref="E7:F7"/>
    <mergeCell ref="A72:E72"/>
    <mergeCell ref="W7:Z7"/>
    <mergeCell ref="AG8:AH8"/>
    <mergeCell ref="AI8:AJ8"/>
    <mergeCell ref="AC7:AD7"/>
    <mergeCell ref="AE7:AF7"/>
    <mergeCell ref="G8:H8"/>
    <mergeCell ref="Q8:R8"/>
    <mergeCell ref="AG9:AH9"/>
    <mergeCell ref="S8:T8"/>
    <mergeCell ref="AI9:AJ9"/>
    <mergeCell ref="G6:H6"/>
    <mergeCell ref="E9:F9"/>
    <mergeCell ref="A74:E74"/>
    <mergeCell ref="A6:D6"/>
    <mergeCell ref="M6:N6"/>
    <mergeCell ref="A76:E76"/>
    <mergeCell ref="Y6:Z6"/>
    <mergeCell ref="A77:F77"/>
    <mergeCell ref="W9:X9"/>
    <mergeCell ref="B8:C9"/>
    <mergeCell ref="AK6:AL6"/>
    <mergeCell ref="AC6:AD6"/>
    <mergeCell ref="AE6:AF6"/>
    <mergeCell ref="AK8:AL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74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</cols>
  <sheetData>
    <row r="1" ht="40.15" customHeight="1">
      <c r="A1" s="1" t="inlineStr">
        <is>
          <t>JR ALUMINIUM &amp; GLASS  —  ใบรายการตัด · FUJI เลื่อนสลับเสา66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</row>
    <row r="3" ht="40.15" customHeight="1">
      <c r="A3" s="130">
        <f>HYPERLINK("#สารบัญ!A1","← สารบัญ")</f>
        <v/>
      </c>
      <c r="B3" s="84" t="inlineStr">
        <is>
          <t>แบบบาน (รูป)</t>
        </is>
      </c>
      <c r="C3" s="85" t="n"/>
      <c r="D3" s="85" t="n"/>
      <c r="E3" s="100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((กว้าง-21-1-1-21)/2)+(66x2/2)</t>
        </is>
      </c>
      <c r="N6" s="17" t="n"/>
      <c r="O6" s="16" t="inlineStr">
        <is>
          <t>เสา-66-66</t>
        </is>
      </c>
      <c r="P6" s="17" t="n"/>
      <c r="Q6" s="16" t="inlineStr">
        <is>
          <t>ขวาง-51-51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8" t="n"/>
      <c r="AH6" s="18" t="n"/>
      <c r="AI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F7982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4" t="n"/>
      <c r="AH7" s="25" t="inlineStr">
        <is>
          <t>ขนาดกระจก</t>
        </is>
      </c>
      <c r="AI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5" t="inlineStr">
        <is>
          <t>SH-56-56</t>
        </is>
      </c>
      <c r="AH9" s="46" t="inlineStr">
        <is>
          <t>SW-56-56</t>
        </is>
      </c>
      <c r="AI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</row>
    <row r="11" ht="40.15" customHeight="1">
      <c r="A11" s="101" t="inlineStr">
        <is>
          <t>D1</t>
        </is>
      </c>
      <c r="B11" s="102" t="n">
        <v>500</v>
      </c>
      <c r="C11" s="92" t="n">
        <v>700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IF($A11="","",$C11-$E$55-$F$55)</f>
        <v/>
      </c>
      <c r="H11" s="92">
        <f>IF($A11="","",$L$55*$D11)</f>
        <v/>
      </c>
      <c r="I11" s="104">
        <f>IF($A11="","",$C11)</f>
        <v/>
      </c>
      <c r="J11" s="92">
        <f>IF($A11="","",$L$56*$D11)</f>
        <v/>
      </c>
      <c r="K11" s="104">
        <f>IF($A11="","",$B11-$E$57-$F$57-$G$57-$H$57)</f>
        <v/>
      </c>
      <c r="L11" s="92">
        <f>IF($A11="","",$L$57*$D11)</f>
        <v/>
      </c>
      <c r="M11" s="104">
        <f>IF($A11="","",(($C11-$E$58-$F$58-$G$58-$H$58)/2)+(66*1)/2)</f>
        <v/>
      </c>
      <c r="N11" s="92">
        <f>IF($A11="","",$L$58*$D11)</f>
        <v/>
      </c>
      <c r="O11" s="104">
        <f>IF($A11="","",$K11-$E$59-$F$59)</f>
        <v/>
      </c>
      <c r="P11" s="92">
        <f>IF($A11="","",$L$59*$D11)</f>
        <v/>
      </c>
      <c r="Q11" s="104">
        <f>IF($A11="","",$M11-$E$60-$F$60)</f>
        <v/>
      </c>
      <c r="R11" s="92">
        <f>IF($A11="","",$L$60*$D11)</f>
        <v/>
      </c>
      <c r="S11" s="104">
        <f>IF($A11="","",$K11)</f>
        <v/>
      </c>
      <c r="T11" s="92">
        <f>IF($A11="","",$L$61*$D11)</f>
        <v/>
      </c>
      <c r="U11" s="104">
        <f>IF($A11="","",$B11-$E$62-$F$62)</f>
        <v/>
      </c>
      <c r="V11" s="92">
        <f>IF($A11="","",$L$62*$D11)</f>
        <v/>
      </c>
      <c r="W11" s="104">
        <f>IF($A11="","",$C11-$E$63-$F$63)</f>
        <v/>
      </c>
      <c r="X11" s="92">
        <f>IF($A11="","",$L$63*$D11)</f>
        <v/>
      </c>
      <c r="Y11" s="104">
        <f>IF($A11="","",$B11-$E$64-$F$64)</f>
        <v/>
      </c>
      <c r="Z11" s="92">
        <f>IF($A11="","",$L$64*$D11)</f>
        <v/>
      </c>
      <c r="AA11" s="104">
        <f>IF($A11="","",$S11)</f>
        <v/>
      </c>
      <c r="AB11" s="92">
        <f>IF($A11="","",$L$65*$D11)</f>
        <v/>
      </c>
      <c r="AC11" s="104">
        <f>IF($A11="","",$C11)</f>
        <v/>
      </c>
      <c r="AD11" s="92">
        <f>IF($A11="","",$L$66*$D11)</f>
        <v/>
      </c>
      <c r="AE11" s="104">
        <f>IF($A11="","",$C11-$E$67-$F$67)</f>
        <v/>
      </c>
      <c r="AF11" s="92">
        <f>IF($A11="","",$L$67*$D11)</f>
        <v/>
      </c>
      <c r="AG11" s="105">
        <f>IF($A11="","",$K11-56-56)</f>
        <v/>
      </c>
      <c r="AH11" s="106">
        <f>IF($A11="","",$M11-56-56)</f>
        <v/>
      </c>
      <c r="AI11" s="107">
        <f>IF($A11="","",2*$D11)</f>
        <v/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IF($A12="","",$C12-$E$55-$F$55)</f>
        <v/>
      </c>
      <c r="H12" s="98">
        <f>IF($A12="","",$L$55*$D12)</f>
        <v/>
      </c>
      <c r="I12" s="108">
        <f>IF($A12="","",$C12)</f>
        <v/>
      </c>
      <c r="J12" s="98">
        <f>IF($A12="","",$L$56*$D12)</f>
        <v/>
      </c>
      <c r="K12" s="108">
        <f>IF($A12="","",$B12-$E$57-$F$57-$G$57-$H$57)</f>
        <v/>
      </c>
      <c r="L12" s="98">
        <f>IF($A12="","",$L$57*$D12)</f>
        <v/>
      </c>
      <c r="M12" s="108">
        <f>IF($A12="","",(($C12-$E$58-$F$58-$G$58-$H$58)/2)+(66*1)/2)</f>
        <v/>
      </c>
      <c r="N12" s="98">
        <f>IF($A12="","",$L$58*$D12)</f>
        <v/>
      </c>
      <c r="O12" s="108">
        <f>IF($A12="","",$K12-$E$59-$F$59)</f>
        <v/>
      </c>
      <c r="P12" s="98">
        <f>IF($A12="","",$L$59*$D12)</f>
        <v/>
      </c>
      <c r="Q12" s="108">
        <f>IF($A12="","",$M12-$E$60-$F$60)</f>
        <v/>
      </c>
      <c r="R12" s="98">
        <f>IF($A12="","",$L$60*$D12)</f>
        <v/>
      </c>
      <c r="S12" s="108">
        <f>IF($A12="","",$K12)</f>
        <v/>
      </c>
      <c r="T12" s="98">
        <f>IF($A12="","",$L$61*$D12)</f>
        <v/>
      </c>
      <c r="U12" s="108">
        <f>IF($A12="","",$B12-$E$62-$F$62)</f>
        <v/>
      </c>
      <c r="V12" s="98">
        <f>IF($A12="","",$L$62*$D12)</f>
        <v/>
      </c>
      <c r="W12" s="108">
        <f>IF($A12="","",$C12-$E$63-$F$63)</f>
        <v/>
      </c>
      <c r="X12" s="98">
        <f>IF($A12="","",$L$63*$D12)</f>
        <v/>
      </c>
      <c r="Y12" s="108">
        <f>IF($A12="","",$B12-$E$64-$F$64)</f>
        <v/>
      </c>
      <c r="Z12" s="98">
        <f>IF($A12="","",$L$64*$D12)</f>
        <v/>
      </c>
      <c r="AA12" s="108">
        <f>IF($A12="","",$S12)</f>
        <v/>
      </c>
      <c r="AB12" s="98">
        <f>IF($A12="","",$L$65*$D12)</f>
        <v/>
      </c>
      <c r="AC12" s="108">
        <f>IF($A12="","",$C12)</f>
        <v/>
      </c>
      <c r="AD12" s="98">
        <f>IF($A12="","",$L$66*$D12)</f>
        <v/>
      </c>
      <c r="AE12" s="108">
        <f>IF($A12="","",$C12-$E$67-$F$67)</f>
        <v/>
      </c>
      <c r="AF12" s="98">
        <f>IF($A12="","",$L$67*$D12)</f>
        <v/>
      </c>
      <c r="AG12" s="105">
        <f>IF($A12="","",$K12-56-56)</f>
        <v/>
      </c>
      <c r="AH12" s="106">
        <f>IF($A12="","",$M12-56-56)</f>
        <v/>
      </c>
      <c r="AI12" s="107">
        <f>IF($A12="","",2*$D12)</f>
        <v/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IF($A13="","",$C13-$E$55-$F$55)</f>
        <v/>
      </c>
      <c r="H13" s="92">
        <f>IF($A13="","",$L$55*$D13)</f>
        <v/>
      </c>
      <c r="I13" s="104">
        <f>IF($A13="","",$C13)</f>
        <v/>
      </c>
      <c r="J13" s="92">
        <f>IF($A13="","",$L$56*$D13)</f>
        <v/>
      </c>
      <c r="K13" s="104">
        <f>IF($A13="","",$B13-$E$57-$F$57-$G$57-$H$57)</f>
        <v/>
      </c>
      <c r="L13" s="92">
        <f>IF($A13="","",$L$57*$D13)</f>
        <v/>
      </c>
      <c r="M13" s="104">
        <f>IF($A13="","",(($C13-$E$58-$F$58-$G$58-$H$58)/2)+(66*1)/2)</f>
        <v/>
      </c>
      <c r="N13" s="92">
        <f>IF($A13="","",$L$58*$D13)</f>
        <v/>
      </c>
      <c r="O13" s="104">
        <f>IF($A13="","",$K13-$E$59-$F$59)</f>
        <v/>
      </c>
      <c r="P13" s="92">
        <f>IF($A13="","",$L$59*$D13)</f>
        <v/>
      </c>
      <c r="Q13" s="104">
        <f>IF($A13="","",$M13-$E$60-$F$60)</f>
        <v/>
      </c>
      <c r="R13" s="92">
        <f>IF($A13="","",$L$60*$D13)</f>
        <v/>
      </c>
      <c r="S13" s="104">
        <f>IF($A13="","",$K13)</f>
        <v/>
      </c>
      <c r="T13" s="92">
        <f>IF($A13="","",$L$61*$D13)</f>
        <v/>
      </c>
      <c r="U13" s="104">
        <f>IF($A13="","",$B13-$E$62-$F$62)</f>
        <v/>
      </c>
      <c r="V13" s="92">
        <f>IF($A13="","",$L$62*$D13)</f>
        <v/>
      </c>
      <c r="W13" s="104">
        <f>IF($A13="","",$C13-$E$63-$F$63)</f>
        <v/>
      </c>
      <c r="X13" s="92">
        <f>IF($A13="","",$L$63*$D13)</f>
        <v/>
      </c>
      <c r="Y13" s="104">
        <f>IF($A13="","",$B13-$E$64-$F$64)</f>
        <v/>
      </c>
      <c r="Z13" s="92">
        <f>IF($A13="","",$L$64*$D13)</f>
        <v/>
      </c>
      <c r="AA13" s="104">
        <f>IF($A13="","",$S13)</f>
        <v/>
      </c>
      <c r="AB13" s="92">
        <f>IF($A13="","",$L$65*$D13)</f>
        <v/>
      </c>
      <c r="AC13" s="104">
        <f>IF($A13="","",$C13)</f>
        <v/>
      </c>
      <c r="AD13" s="92">
        <f>IF($A13="","",$L$66*$D13)</f>
        <v/>
      </c>
      <c r="AE13" s="104">
        <f>IF($A13="","",$C13-$E$67-$F$67)</f>
        <v/>
      </c>
      <c r="AF13" s="92">
        <f>IF($A13="","",$L$67*$D13)</f>
        <v/>
      </c>
      <c r="AG13" s="105">
        <f>IF($A13="","",$K13-56-56)</f>
        <v/>
      </c>
      <c r="AH13" s="106">
        <f>IF($A13="","",$M13-56-56)</f>
        <v/>
      </c>
      <c r="AI13" s="107">
        <f>IF($A13="","",2*$D13)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IF($A14="","",$C14-$E$55-$F$55)</f>
        <v/>
      </c>
      <c r="H14" s="98">
        <f>IF($A14="","",$L$55*$D14)</f>
        <v/>
      </c>
      <c r="I14" s="108">
        <f>IF($A14="","",$C14)</f>
        <v/>
      </c>
      <c r="J14" s="98">
        <f>IF($A14="","",$L$56*$D14)</f>
        <v/>
      </c>
      <c r="K14" s="108">
        <f>IF($A14="","",$B14-$E$57-$F$57-$G$57-$H$57)</f>
        <v/>
      </c>
      <c r="L14" s="98">
        <f>IF($A14="","",$L$57*$D14)</f>
        <v/>
      </c>
      <c r="M14" s="108">
        <f>IF($A14="","",(($C14-$E$58-$F$58-$G$58-$H$58)/2)+(66*1)/2)</f>
        <v/>
      </c>
      <c r="N14" s="98">
        <f>IF($A14="","",$L$58*$D14)</f>
        <v/>
      </c>
      <c r="O14" s="108">
        <f>IF($A14="","",$K14-$E$59-$F$59)</f>
        <v/>
      </c>
      <c r="P14" s="98">
        <f>IF($A14="","",$L$59*$D14)</f>
        <v/>
      </c>
      <c r="Q14" s="108">
        <f>IF($A14="","",$M14-$E$60-$F$60)</f>
        <v/>
      </c>
      <c r="R14" s="98">
        <f>IF($A14="","",$L$60*$D14)</f>
        <v/>
      </c>
      <c r="S14" s="108">
        <f>IF($A14="","",$K14)</f>
        <v/>
      </c>
      <c r="T14" s="98">
        <f>IF($A14="","",$L$61*$D14)</f>
        <v/>
      </c>
      <c r="U14" s="108">
        <f>IF($A14="","",$B14-$E$62-$F$62)</f>
        <v/>
      </c>
      <c r="V14" s="98">
        <f>IF($A14="","",$L$62*$D14)</f>
        <v/>
      </c>
      <c r="W14" s="108">
        <f>IF($A14="","",$C14-$E$63-$F$63)</f>
        <v/>
      </c>
      <c r="X14" s="98">
        <f>IF($A14="","",$L$63*$D14)</f>
        <v/>
      </c>
      <c r="Y14" s="108">
        <f>IF($A14="","",$B14-$E$64-$F$64)</f>
        <v/>
      </c>
      <c r="Z14" s="98">
        <f>IF($A14="","",$L$64*$D14)</f>
        <v/>
      </c>
      <c r="AA14" s="108">
        <f>IF($A14="","",$S14)</f>
        <v/>
      </c>
      <c r="AB14" s="98">
        <f>IF($A14="","",$L$65*$D14)</f>
        <v/>
      </c>
      <c r="AC14" s="108">
        <f>IF($A14="","",$C14)</f>
        <v/>
      </c>
      <c r="AD14" s="98">
        <f>IF($A14="","",$L$66*$D14)</f>
        <v/>
      </c>
      <c r="AE14" s="108">
        <f>IF($A14="","",$C14-$E$67-$F$67)</f>
        <v/>
      </c>
      <c r="AF14" s="98">
        <f>IF($A14="","",$L$67*$D14)</f>
        <v/>
      </c>
      <c r="AG14" s="105">
        <f>IF($A14="","",$K14-56-56)</f>
        <v/>
      </c>
      <c r="AH14" s="106">
        <f>IF($A14="","",$M14-56-56)</f>
        <v/>
      </c>
      <c r="AI14" s="107">
        <f>IF($A14="","",2*$D14)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IF($A15="","",$C15-$E$55-$F$55)</f>
        <v/>
      </c>
      <c r="H15" s="92">
        <f>IF($A15="","",$L$55*$D15)</f>
        <v/>
      </c>
      <c r="I15" s="104">
        <f>IF($A15="","",$C15)</f>
        <v/>
      </c>
      <c r="J15" s="92">
        <f>IF($A15="","",$L$56*$D15)</f>
        <v/>
      </c>
      <c r="K15" s="104">
        <f>IF($A15="","",$B15-$E$57-$F$57-$G$57-$H$57)</f>
        <v/>
      </c>
      <c r="L15" s="92">
        <f>IF($A15="","",$L$57*$D15)</f>
        <v/>
      </c>
      <c r="M15" s="104">
        <f>IF($A15="","",(($C15-$E$58-$F$58-$G$58-$H$58)/2)+(66*1)/2)</f>
        <v/>
      </c>
      <c r="N15" s="92">
        <f>IF($A15="","",$L$58*$D15)</f>
        <v/>
      </c>
      <c r="O15" s="104">
        <f>IF($A15="","",$K15-$E$59-$F$59)</f>
        <v/>
      </c>
      <c r="P15" s="92">
        <f>IF($A15="","",$L$59*$D15)</f>
        <v/>
      </c>
      <c r="Q15" s="104">
        <f>IF($A15="","",$M15-$E$60-$F$60)</f>
        <v/>
      </c>
      <c r="R15" s="92">
        <f>IF($A15="","",$L$60*$D15)</f>
        <v/>
      </c>
      <c r="S15" s="104">
        <f>IF($A15="","",$K15)</f>
        <v/>
      </c>
      <c r="T15" s="92">
        <f>IF($A15="","",$L$61*$D15)</f>
        <v/>
      </c>
      <c r="U15" s="104">
        <f>IF($A15="","",$B15-$E$62-$F$62)</f>
        <v/>
      </c>
      <c r="V15" s="92">
        <f>IF($A15="","",$L$62*$D15)</f>
        <v/>
      </c>
      <c r="W15" s="104">
        <f>IF($A15="","",$C15-$E$63-$F$63)</f>
        <v/>
      </c>
      <c r="X15" s="92">
        <f>IF($A15="","",$L$63*$D15)</f>
        <v/>
      </c>
      <c r="Y15" s="104">
        <f>IF($A15="","",$B15-$E$64-$F$64)</f>
        <v/>
      </c>
      <c r="Z15" s="92">
        <f>IF($A15="","",$L$64*$D15)</f>
        <v/>
      </c>
      <c r="AA15" s="104">
        <f>IF($A15="","",$S15)</f>
        <v/>
      </c>
      <c r="AB15" s="92">
        <f>IF($A15="","",$L$65*$D15)</f>
        <v/>
      </c>
      <c r="AC15" s="104">
        <f>IF($A15="","",$C15)</f>
        <v/>
      </c>
      <c r="AD15" s="92">
        <f>IF($A15="","",$L$66*$D15)</f>
        <v/>
      </c>
      <c r="AE15" s="104">
        <f>IF($A15="","",$C15-$E$67-$F$67)</f>
        <v/>
      </c>
      <c r="AF15" s="92">
        <f>IF($A15="","",$L$67*$D15)</f>
        <v/>
      </c>
      <c r="AG15" s="105">
        <f>IF($A15="","",$K15-56-56)</f>
        <v/>
      </c>
      <c r="AH15" s="106">
        <f>IF($A15="","",$M15-56-56)</f>
        <v/>
      </c>
      <c r="AI15" s="107">
        <f>IF($A15="","",2*$D15)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IF($A16="","",$C16-$E$55-$F$55)</f>
        <v/>
      </c>
      <c r="H16" s="98">
        <f>IF($A16="","",$L$55*$D16)</f>
        <v/>
      </c>
      <c r="I16" s="108">
        <f>IF($A16="","",$C16)</f>
        <v/>
      </c>
      <c r="J16" s="98">
        <f>IF($A16="","",$L$56*$D16)</f>
        <v/>
      </c>
      <c r="K16" s="108">
        <f>IF($A16="","",$B16-$E$57-$F$57-$G$57-$H$57)</f>
        <v/>
      </c>
      <c r="L16" s="98">
        <f>IF($A16="","",$L$57*$D16)</f>
        <v/>
      </c>
      <c r="M16" s="108">
        <f>IF($A16="","",(($C16-$E$58-$F$58-$G$58-$H$58)/2)+(66*1)/2)</f>
        <v/>
      </c>
      <c r="N16" s="98">
        <f>IF($A16="","",$L$58*$D16)</f>
        <v/>
      </c>
      <c r="O16" s="108">
        <f>IF($A16="","",$K16-$E$59-$F$59)</f>
        <v/>
      </c>
      <c r="P16" s="98">
        <f>IF($A16="","",$L$59*$D16)</f>
        <v/>
      </c>
      <c r="Q16" s="108">
        <f>IF($A16="","",$M16-$E$60-$F$60)</f>
        <v/>
      </c>
      <c r="R16" s="98">
        <f>IF($A16="","",$L$60*$D16)</f>
        <v/>
      </c>
      <c r="S16" s="108">
        <f>IF($A16="","",$K16)</f>
        <v/>
      </c>
      <c r="T16" s="98">
        <f>IF($A16="","",$L$61*$D16)</f>
        <v/>
      </c>
      <c r="U16" s="108">
        <f>IF($A16="","",$B16-$E$62-$F$62)</f>
        <v/>
      </c>
      <c r="V16" s="98">
        <f>IF($A16="","",$L$62*$D16)</f>
        <v/>
      </c>
      <c r="W16" s="108">
        <f>IF($A16="","",$C16-$E$63-$F$63)</f>
        <v/>
      </c>
      <c r="X16" s="98">
        <f>IF($A16="","",$L$63*$D16)</f>
        <v/>
      </c>
      <c r="Y16" s="108">
        <f>IF($A16="","",$B16-$E$64-$F$64)</f>
        <v/>
      </c>
      <c r="Z16" s="98">
        <f>IF($A16="","",$L$64*$D16)</f>
        <v/>
      </c>
      <c r="AA16" s="108">
        <f>IF($A16="","",$S16)</f>
        <v/>
      </c>
      <c r="AB16" s="98">
        <f>IF($A16="","",$L$65*$D16)</f>
        <v/>
      </c>
      <c r="AC16" s="108">
        <f>IF($A16="","",$C16)</f>
        <v/>
      </c>
      <c r="AD16" s="98">
        <f>IF($A16="","",$L$66*$D16)</f>
        <v/>
      </c>
      <c r="AE16" s="108">
        <f>IF($A16="","",$C16-$E$67-$F$67)</f>
        <v/>
      </c>
      <c r="AF16" s="98">
        <f>IF($A16="","",$L$67*$D16)</f>
        <v/>
      </c>
      <c r="AG16" s="105">
        <f>IF($A16="","",$K16-56-56)</f>
        <v/>
      </c>
      <c r="AH16" s="106">
        <f>IF($A16="","",$M16-56-56)</f>
        <v/>
      </c>
      <c r="AI16" s="107">
        <f>IF($A16="","",2*$D16)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IF($A17="","",$C17-$E$55-$F$55)</f>
        <v/>
      </c>
      <c r="H17" s="92">
        <f>IF($A17="","",$L$55*$D17)</f>
        <v/>
      </c>
      <c r="I17" s="104">
        <f>IF($A17="","",$C17)</f>
        <v/>
      </c>
      <c r="J17" s="92">
        <f>IF($A17="","",$L$56*$D17)</f>
        <v/>
      </c>
      <c r="K17" s="104">
        <f>IF($A17="","",$B17-$E$57-$F$57-$G$57-$H$57)</f>
        <v/>
      </c>
      <c r="L17" s="92">
        <f>IF($A17="","",$L$57*$D17)</f>
        <v/>
      </c>
      <c r="M17" s="104">
        <f>IF($A17="","",(($C17-$E$58-$F$58-$G$58-$H$58)/2)+(66*1)/2)</f>
        <v/>
      </c>
      <c r="N17" s="92">
        <f>IF($A17="","",$L$58*$D17)</f>
        <v/>
      </c>
      <c r="O17" s="104">
        <f>IF($A17="","",$K17-$E$59-$F$59)</f>
        <v/>
      </c>
      <c r="P17" s="92">
        <f>IF($A17="","",$L$59*$D17)</f>
        <v/>
      </c>
      <c r="Q17" s="104">
        <f>IF($A17="","",$M17-$E$60-$F$60)</f>
        <v/>
      </c>
      <c r="R17" s="92">
        <f>IF($A17="","",$L$60*$D17)</f>
        <v/>
      </c>
      <c r="S17" s="104">
        <f>IF($A17="","",$K17)</f>
        <v/>
      </c>
      <c r="T17" s="92">
        <f>IF($A17="","",$L$61*$D17)</f>
        <v/>
      </c>
      <c r="U17" s="104">
        <f>IF($A17="","",$B17-$E$62-$F$62)</f>
        <v/>
      </c>
      <c r="V17" s="92">
        <f>IF($A17="","",$L$62*$D17)</f>
        <v/>
      </c>
      <c r="W17" s="104">
        <f>IF($A17="","",$C17-$E$63-$F$63)</f>
        <v/>
      </c>
      <c r="X17" s="92">
        <f>IF($A17="","",$L$63*$D17)</f>
        <v/>
      </c>
      <c r="Y17" s="104">
        <f>IF($A17="","",$B17-$E$64-$F$64)</f>
        <v/>
      </c>
      <c r="Z17" s="92">
        <f>IF($A17="","",$L$64*$D17)</f>
        <v/>
      </c>
      <c r="AA17" s="104">
        <f>IF($A17="","",$S17)</f>
        <v/>
      </c>
      <c r="AB17" s="92">
        <f>IF($A17="","",$L$65*$D17)</f>
        <v/>
      </c>
      <c r="AC17" s="104">
        <f>IF($A17="","",$C17)</f>
        <v/>
      </c>
      <c r="AD17" s="92">
        <f>IF($A17="","",$L$66*$D17)</f>
        <v/>
      </c>
      <c r="AE17" s="104">
        <f>IF($A17="","",$C17-$E$67-$F$67)</f>
        <v/>
      </c>
      <c r="AF17" s="92">
        <f>IF($A17="","",$L$67*$D17)</f>
        <v/>
      </c>
      <c r="AG17" s="105">
        <f>IF($A17="","",$K17-56-56)</f>
        <v/>
      </c>
      <c r="AH17" s="106">
        <f>IF($A17="","",$M17-56-56)</f>
        <v/>
      </c>
      <c r="AI17" s="107">
        <f>IF($A17="","",2*$D17)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IF($A18="","",$C18-$E$55-$F$55)</f>
        <v/>
      </c>
      <c r="H18" s="98">
        <f>IF($A18="","",$L$55*$D18)</f>
        <v/>
      </c>
      <c r="I18" s="108">
        <f>IF($A18="","",$C18)</f>
        <v/>
      </c>
      <c r="J18" s="98">
        <f>IF($A18="","",$L$56*$D18)</f>
        <v/>
      </c>
      <c r="K18" s="108">
        <f>IF($A18="","",$B18-$E$57-$F$57-$G$57-$H$57)</f>
        <v/>
      </c>
      <c r="L18" s="98">
        <f>IF($A18="","",$L$57*$D18)</f>
        <v/>
      </c>
      <c r="M18" s="108">
        <f>IF($A18="","",(($C18-$E$58-$F$58-$G$58-$H$58)/2)+(66*1)/2)</f>
        <v/>
      </c>
      <c r="N18" s="98">
        <f>IF($A18="","",$L$58*$D18)</f>
        <v/>
      </c>
      <c r="O18" s="108">
        <f>IF($A18="","",$K18-$E$59-$F$59)</f>
        <v/>
      </c>
      <c r="P18" s="98">
        <f>IF($A18="","",$L$59*$D18)</f>
        <v/>
      </c>
      <c r="Q18" s="108">
        <f>IF($A18="","",$M18-$E$60-$F$60)</f>
        <v/>
      </c>
      <c r="R18" s="98">
        <f>IF($A18="","",$L$60*$D18)</f>
        <v/>
      </c>
      <c r="S18" s="108">
        <f>IF($A18="","",$K18)</f>
        <v/>
      </c>
      <c r="T18" s="98">
        <f>IF($A18="","",$L$61*$D18)</f>
        <v/>
      </c>
      <c r="U18" s="108">
        <f>IF($A18="","",$B18-$E$62-$F$62)</f>
        <v/>
      </c>
      <c r="V18" s="98">
        <f>IF($A18="","",$L$62*$D18)</f>
        <v/>
      </c>
      <c r="W18" s="108">
        <f>IF($A18="","",$C18-$E$63-$F$63)</f>
        <v/>
      </c>
      <c r="X18" s="98">
        <f>IF($A18="","",$L$63*$D18)</f>
        <v/>
      </c>
      <c r="Y18" s="108">
        <f>IF($A18="","",$B18-$E$64-$F$64)</f>
        <v/>
      </c>
      <c r="Z18" s="98">
        <f>IF($A18="","",$L$64*$D18)</f>
        <v/>
      </c>
      <c r="AA18" s="108">
        <f>IF($A18="","",$S18)</f>
        <v/>
      </c>
      <c r="AB18" s="98">
        <f>IF($A18="","",$L$65*$D18)</f>
        <v/>
      </c>
      <c r="AC18" s="108">
        <f>IF($A18="","",$C18)</f>
        <v/>
      </c>
      <c r="AD18" s="98">
        <f>IF($A18="","",$L$66*$D18)</f>
        <v/>
      </c>
      <c r="AE18" s="108">
        <f>IF($A18="","",$C18-$E$67-$F$67)</f>
        <v/>
      </c>
      <c r="AF18" s="98">
        <f>IF($A18="","",$L$67*$D18)</f>
        <v/>
      </c>
      <c r="AG18" s="105">
        <f>IF($A18="","",$K18-56-56)</f>
        <v/>
      </c>
      <c r="AH18" s="106">
        <f>IF($A18="","",$M18-56-56)</f>
        <v/>
      </c>
      <c r="AI18" s="107">
        <f>IF($A18="","",2*$D18)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IF($A19="","",$C19-$E$55-$F$55)</f>
        <v/>
      </c>
      <c r="H19" s="92">
        <f>IF($A19="","",$L$55*$D19)</f>
        <v/>
      </c>
      <c r="I19" s="104">
        <f>IF($A19="","",$C19)</f>
        <v/>
      </c>
      <c r="J19" s="92">
        <f>IF($A19="","",$L$56*$D19)</f>
        <v/>
      </c>
      <c r="K19" s="104">
        <f>IF($A19="","",$B19-$E$57-$F$57-$G$57-$H$57)</f>
        <v/>
      </c>
      <c r="L19" s="92">
        <f>IF($A19="","",$L$57*$D19)</f>
        <v/>
      </c>
      <c r="M19" s="104">
        <f>IF($A19="","",(($C19-$E$58-$F$58-$G$58-$H$58)/2)+(66*1)/2)</f>
        <v/>
      </c>
      <c r="N19" s="92">
        <f>IF($A19="","",$L$58*$D19)</f>
        <v/>
      </c>
      <c r="O19" s="104">
        <f>IF($A19="","",$K19-$E$59-$F$59)</f>
        <v/>
      </c>
      <c r="P19" s="92">
        <f>IF($A19="","",$L$59*$D19)</f>
        <v/>
      </c>
      <c r="Q19" s="104">
        <f>IF($A19="","",$M19-$E$60-$F$60)</f>
        <v/>
      </c>
      <c r="R19" s="92">
        <f>IF($A19="","",$L$60*$D19)</f>
        <v/>
      </c>
      <c r="S19" s="104">
        <f>IF($A19="","",$K19)</f>
        <v/>
      </c>
      <c r="T19" s="92">
        <f>IF($A19="","",$L$61*$D19)</f>
        <v/>
      </c>
      <c r="U19" s="104">
        <f>IF($A19="","",$B19-$E$62-$F$62)</f>
        <v/>
      </c>
      <c r="V19" s="92">
        <f>IF($A19="","",$L$62*$D19)</f>
        <v/>
      </c>
      <c r="W19" s="104">
        <f>IF($A19="","",$C19-$E$63-$F$63)</f>
        <v/>
      </c>
      <c r="X19" s="92">
        <f>IF($A19="","",$L$63*$D19)</f>
        <v/>
      </c>
      <c r="Y19" s="104">
        <f>IF($A19="","",$B19-$E$64-$F$64)</f>
        <v/>
      </c>
      <c r="Z19" s="92">
        <f>IF($A19="","",$L$64*$D19)</f>
        <v/>
      </c>
      <c r="AA19" s="104">
        <f>IF($A19="","",$S19)</f>
        <v/>
      </c>
      <c r="AB19" s="92">
        <f>IF($A19="","",$L$65*$D19)</f>
        <v/>
      </c>
      <c r="AC19" s="104">
        <f>IF($A19="","",$C19)</f>
        <v/>
      </c>
      <c r="AD19" s="92">
        <f>IF($A19="","",$L$66*$D19)</f>
        <v/>
      </c>
      <c r="AE19" s="104">
        <f>IF($A19="","",$C19-$E$67-$F$67)</f>
        <v/>
      </c>
      <c r="AF19" s="92">
        <f>IF($A19="","",$L$67*$D19)</f>
        <v/>
      </c>
      <c r="AG19" s="105">
        <f>IF($A19="","",$K19-56-56)</f>
        <v/>
      </c>
      <c r="AH19" s="106">
        <f>IF($A19="","",$M19-56-56)</f>
        <v/>
      </c>
      <c r="AI19" s="107">
        <f>IF($A19="","",2*$D19)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IF($A20="","",$C20-$E$55-$F$55)</f>
        <v/>
      </c>
      <c r="H20" s="98">
        <f>IF($A20="","",$L$55*$D20)</f>
        <v/>
      </c>
      <c r="I20" s="108">
        <f>IF($A20="","",$C20)</f>
        <v/>
      </c>
      <c r="J20" s="98">
        <f>IF($A20="","",$L$56*$D20)</f>
        <v/>
      </c>
      <c r="K20" s="108">
        <f>IF($A20="","",$B20-$E$57-$F$57-$G$57-$H$57)</f>
        <v/>
      </c>
      <c r="L20" s="98">
        <f>IF($A20="","",$L$57*$D20)</f>
        <v/>
      </c>
      <c r="M20" s="108">
        <f>IF($A20="","",(($C20-$E$58-$F$58-$G$58-$H$58)/2)+(66*1)/2)</f>
        <v/>
      </c>
      <c r="N20" s="98">
        <f>IF($A20="","",$L$58*$D20)</f>
        <v/>
      </c>
      <c r="O20" s="108">
        <f>IF($A20="","",$K20-$E$59-$F$59)</f>
        <v/>
      </c>
      <c r="P20" s="98">
        <f>IF($A20="","",$L$59*$D20)</f>
        <v/>
      </c>
      <c r="Q20" s="108">
        <f>IF($A20="","",$M20-$E$60-$F$60)</f>
        <v/>
      </c>
      <c r="R20" s="98">
        <f>IF($A20="","",$L$60*$D20)</f>
        <v/>
      </c>
      <c r="S20" s="108">
        <f>IF($A20="","",$K20)</f>
        <v/>
      </c>
      <c r="T20" s="98">
        <f>IF($A20="","",$L$61*$D20)</f>
        <v/>
      </c>
      <c r="U20" s="108">
        <f>IF($A20="","",$B20-$E$62-$F$62)</f>
        <v/>
      </c>
      <c r="V20" s="98">
        <f>IF($A20="","",$L$62*$D20)</f>
        <v/>
      </c>
      <c r="W20" s="108">
        <f>IF($A20="","",$C20-$E$63-$F$63)</f>
        <v/>
      </c>
      <c r="X20" s="98">
        <f>IF($A20="","",$L$63*$D20)</f>
        <v/>
      </c>
      <c r="Y20" s="108">
        <f>IF($A20="","",$B20-$E$64-$F$64)</f>
        <v/>
      </c>
      <c r="Z20" s="98">
        <f>IF($A20="","",$L$64*$D20)</f>
        <v/>
      </c>
      <c r="AA20" s="108">
        <f>IF($A20="","",$S20)</f>
        <v/>
      </c>
      <c r="AB20" s="98">
        <f>IF($A20="","",$L$65*$D20)</f>
        <v/>
      </c>
      <c r="AC20" s="108">
        <f>IF($A20="","",$C20)</f>
        <v/>
      </c>
      <c r="AD20" s="98">
        <f>IF($A20="","",$L$66*$D20)</f>
        <v/>
      </c>
      <c r="AE20" s="108">
        <f>IF($A20="","",$C20-$E$67-$F$67)</f>
        <v/>
      </c>
      <c r="AF20" s="98">
        <f>IF($A20="","",$L$67*$D20)</f>
        <v/>
      </c>
      <c r="AG20" s="105">
        <f>IF($A20="","",$K20-56-56)</f>
        <v/>
      </c>
      <c r="AH20" s="106">
        <f>IF($A20="","",$M20-56-56)</f>
        <v/>
      </c>
      <c r="AI20" s="107">
        <f>IF($A20="","",2*$D20)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IF($A21="","",$C21-$E$55-$F$55)</f>
        <v/>
      </c>
      <c r="H21" s="92">
        <f>IF($A21="","",$L$55*$D21)</f>
        <v/>
      </c>
      <c r="I21" s="104">
        <f>IF($A21="","",$C21)</f>
        <v/>
      </c>
      <c r="J21" s="92">
        <f>IF($A21="","",$L$56*$D21)</f>
        <v/>
      </c>
      <c r="K21" s="104">
        <f>IF($A21="","",$B21-$E$57-$F$57-$G$57-$H$57)</f>
        <v/>
      </c>
      <c r="L21" s="92">
        <f>IF($A21="","",$L$57*$D21)</f>
        <v/>
      </c>
      <c r="M21" s="104">
        <f>IF($A21="","",(($C21-$E$58-$F$58-$G$58-$H$58)/2)+(66*1)/2)</f>
        <v/>
      </c>
      <c r="N21" s="92">
        <f>IF($A21="","",$L$58*$D21)</f>
        <v/>
      </c>
      <c r="O21" s="104">
        <f>IF($A21="","",$K21-$E$59-$F$59)</f>
        <v/>
      </c>
      <c r="P21" s="92">
        <f>IF($A21="","",$L$59*$D21)</f>
        <v/>
      </c>
      <c r="Q21" s="104">
        <f>IF($A21="","",$M21-$E$60-$F$60)</f>
        <v/>
      </c>
      <c r="R21" s="92">
        <f>IF($A21="","",$L$60*$D21)</f>
        <v/>
      </c>
      <c r="S21" s="104">
        <f>IF($A21="","",$K21)</f>
        <v/>
      </c>
      <c r="T21" s="92">
        <f>IF($A21="","",$L$61*$D21)</f>
        <v/>
      </c>
      <c r="U21" s="104">
        <f>IF($A21="","",$B21-$E$62-$F$62)</f>
        <v/>
      </c>
      <c r="V21" s="92">
        <f>IF($A21="","",$L$62*$D21)</f>
        <v/>
      </c>
      <c r="W21" s="104">
        <f>IF($A21="","",$C21-$E$63-$F$63)</f>
        <v/>
      </c>
      <c r="X21" s="92">
        <f>IF($A21="","",$L$63*$D21)</f>
        <v/>
      </c>
      <c r="Y21" s="104">
        <f>IF($A21="","",$B21-$E$64-$F$64)</f>
        <v/>
      </c>
      <c r="Z21" s="92">
        <f>IF($A21="","",$L$64*$D21)</f>
        <v/>
      </c>
      <c r="AA21" s="104">
        <f>IF($A21="","",$S21)</f>
        <v/>
      </c>
      <c r="AB21" s="92">
        <f>IF($A21="","",$L$65*$D21)</f>
        <v/>
      </c>
      <c r="AC21" s="104">
        <f>IF($A21="","",$C21)</f>
        <v/>
      </c>
      <c r="AD21" s="92">
        <f>IF($A21="","",$L$66*$D21)</f>
        <v/>
      </c>
      <c r="AE21" s="104">
        <f>IF($A21="","",$C21-$E$67-$F$67)</f>
        <v/>
      </c>
      <c r="AF21" s="92">
        <f>IF($A21="","",$L$67*$D21)</f>
        <v/>
      </c>
      <c r="AG21" s="105">
        <f>IF($A21="","",$K21-56-56)</f>
        <v/>
      </c>
      <c r="AH21" s="106">
        <f>IF($A21="","",$M21-56-56)</f>
        <v/>
      </c>
      <c r="AI21" s="107">
        <f>IF($A21="","",2*$D21)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IF($A22="","",$C22-$E$55-$F$55)</f>
        <v/>
      </c>
      <c r="H22" s="98">
        <f>IF($A22="","",$L$55*$D22)</f>
        <v/>
      </c>
      <c r="I22" s="108">
        <f>IF($A22="","",$C22)</f>
        <v/>
      </c>
      <c r="J22" s="98">
        <f>IF($A22="","",$L$56*$D22)</f>
        <v/>
      </c>
      <c r="K22" s="108">
        <f>IF($A22="","",$B22-$E$57-$F$57-$G$57-$H$57)</f>
        <v/>
      </c>
      <c r="L22" s="98">
        <f>IF($A22="","",$L$57*$D22)</f>
        <v/>
      </c>
      <c r="M22" s="108">
        <f>IF($A22="","",(($C22-$E$58-$F$58-$G$58-$H$58)/2)+(66*1)/2)</f>
        <v/>
      </c>
      <c r="N22" s="98">
        <f>IF($A22="","",$L$58*$D22)</f>
        <v/>
      </c>
      <c r="O22" s="108">
        <f>IF($A22="","",$K22-$E$59-$F$59)</f>
        <v/>
      </c>
      <c r="P22" s="98">
        <f>IF($A22="","",$L$59*$D22)</f>
        <v/>
      </c>
      <c r="Q22" s="108">
        <f>IF($A22="","",$M22-$E$60-$F$60)</f>
        <v/>
      </c>
      <c r="R22" s="98">
        <f>IF($A22="","",$L$60*$D22)</f>
        <v/>
      </c>
      <c r="S22" s="108">
        <f>IF($A22="","",$K22)</f>
        <v/>
      </c>
      <c r="T22" s="98">
        <f>IF($A22="","",$L$61*$D22)</f>
        <v/>
      </c>
      <c r="U22" s="108">
        <f>IF($A22="","",$B22-$E$62-$F$62)</f>
        <v/>
      </c>
      <c r="V22" s="98">
        <f>IF($A22="","",$L$62*$D22)</f>
        <v/>
      </c>
      <c r="W22" s="108">
        <f>IF($A22="","",$C22-$E$63-$F$63)</f>
        <v/>
      </c>
      <c r="X22" s="98">
        <f>IF($A22="","",$L$63*$D22)</f>
        <v/>
      </c>
      <c r="Y22" s="108">
        <f>IF($A22="","",$B22-$E$64-$F$64)</f>
        <v/>
      </c>
      <c r="Z22" s="98">
        <f>IF($A22="","",$L$64*$D22)</f>
        <v/>
      </c>
      <c r="AA22" s="108">
        <f>IF($A22="","",$S22)</f>
        <v/>
      </c>
      <c r="AB22" s="98">
        <f>IF($A22="","",$L$65*$D22)</f>
        <v/>
      </c>
      <c r="AC22" s="108">
        <f>IF($A22="","",$C22)</f>
        <v/>
      </c>
      <c r="AD22" s="98">
        <f>IF($A22="","",$L$66*$D22)</f>
        <v/>
      </c>
      <c r="AE22" s="108">
        <f>IF($A22="","",$C22-$E$67-$F$67)</f>
        <v/>
      </c>
      <c r="AF22" s="98">
        <f>IF($A22="","",$L$67*$D22)</f>
        <v/>
      </c>
      <c r="AG22" s="105">
        <f>IF($A22="","",$K22-56-56)</f>
        <v/>
      </c>
      <c r="AH22" s="106">
        <f>IF($A22="","",$M22-56-56)</f>
        <v/>
      </c>
      <c r="AI22" s="107">
        <f>IF($A22="","",2*$D22)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IF($A23="","",$C23-$E$55-$F$55)</f>
        <v/>
      </c>
      <c r="H23" s="92">
        <f>IF($A23="","",$L$55*$D23)</f>
        <v/>
      </c>
      <c r="I23" s="104">
        <f>IF($A23="","",$C23)</f>
        <v/>
      </c>
      <c r="J23" s="92">
        <f>IF($A23="","",$L$56*$D23)</f>
        <v/>
      </c>
      <c r="K23" s="104">
        <f>IF($A23="","",$B23-$E$57-$F$57-$G$57-$H$57)</f>
        <v/>
      </c>
      <c r="L23" s="92">
        <f>IF($A23="","",$L$57*$D23)</f>
        <v/>
      </c>
      <c r="M23" s="104">
        <f>IF($A23="","",(($C23-$E$58-$F$58-$G$58-$H$58)/2)+(66*1)/2)</f>
        <v/>
      </c>
      <c r="N23" s="92">
        <f>IF($A23="","",$L$58*$D23)</f>
        <v/>
      </c>
      <c r="O23" s="104">
        <f>IF($A23="","",$K23-$E$59-$F$59)</f>
        <v/>
      </c>
      <c r="P23" s="92">
        <f>IF($A23="","",$L$59*$D23)</f>
        <v/>
      </c>
      <c r="Q23" s="104">
        <f>IF($A23="","",$M23-$E$60-$F$60)</f>
        <v/>
      </c>
      <c r="R23" s="92">
        <f>IF($A23="","",$L$60*$D23)</f>
        <v/>
      </c>
      <c r="S23" s="104">
        <f>IF($A23="","",$K23)</f>
        <v/>
      </c>
      <c r="T23" s="92">
        <f>IF($A23="","",$L$61*$D23)</f>
        <v/>
      </c>
      <c r="U23" s="104">
        <f>IF($A23="","",$B23-$E$62-$F$62)</f>
        <v/>
      </c>
      <c r="V23" s="92">
        <f>IF($A23="","",$L$62*$D23)</f>
        <v/>
      </c>
      <c r="W23" s="104">
        <f>IF($A23="","",$C23-$E$63-$F$63)</f>
        <v/>
      </c>
      <c r="X23" s="92">
        <f>IF($A23="","",$L$63*$D23)</f>
        <v/>
      </c>
      <c r="Y23" s="104">
        <f>IF($A23="","",$B23-$E$64-$F$64)</f>
        <v/>
      </c>
      <c r="Z23" s="92">
        <f>IF($A23="","",$L$64*$D23)</f>
        <v/>
      </c>
      <c r="AA23" s="104">
        <f>IF($A23="","",$S23)</f>
        <v/>
      </c>
      <c r="AB23" s="92">
        <f>IF($A23="","",$L$65*$D23)</f>
        <v/>
      </c>
      <c r="AC23" s="104">
        <f>IF($A23="","",$C23)</f>
        <v/>
      </c>
      <c r="AD23" s="92">
        <f>IF($A23="","",$L$66*$D23)</f>
        <v/>
      </c>
      <c r="AE23" s="104">
        <f>IF($A23="","",$C23-$E$67-$F$67)</f>
        <v/>
      </c>
      <c r="AF23" s="92">
        <f>IF($A23="","",$L$67*$D23)</f>
        <v/>
      </c>
      <c r="AG23" s="105">
        <f>IF($A23="","",$K23-56-56)</f>
        <v/>
      </c>
      <c r="AH23" s="106">
        <f>IF($A23="","",$M23-56-56)</f>
        <v/>
      </c>
      <c r="AI23" s="107">
        <f>IF($A23="","",2*$D23)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IF($A24="","",$C24-$E$55-$F$55)</f>
        <v/>
      </c>
      <c r="H24" s="98">
        <f>IF($A24="","",$L$55*$D24)</f>
        <v/>
      </c>
      <c r="I24" s="108">
        <f>IF($A24="","",$C24)</f>
        <v/>
      </c>
      <c r="J24" s="98">
        <f>IF($A24="","",$L$56*$D24)</f>
        <v/>
      </c>
      <c r="K24" s="108">
        <f>IF($A24="","",$B24-$E$57-$F$57-$G$57-$H$57)</f>
        <v/>
      </c>
      <c r="L24" s="98">
        <f>IF($A24="","",$L$57*$D24)</f>
        <v/>
      </c>
      <c r="M24" s="108">
        <f>IF($A24="","",(($C24-$E$58-$F$58-$G$58-$H$58)/2)+(66*1)/2)</f>
        <v/>
      </c>
      <c r="N24" s="98">
        <f>IF($A24="","",$L$58*$D24)</f>
        <v/>
      </c>
      <c r="O24" s="108">
        <f>IF($A24="","",$K24-$E$59-$F$59)</f>
        <v/>
      </c>
      <c r="P24" s="98">
        <f>IF($A24="","",$L$59*$D24)</f>
        <v/>
      </c>
      <c r="Q24" s="108">
        <f>IF($A24="","",$M24-$E$60-$F$60)</f>
        <v/>
      </c>
      <c r="R24" s="98">
        <f>IF($A24="","",$L$60*$D24)</f>
        <v/>
      </c>
      <c r="S24" s="108">
        <f>IF($A24="","",$K24)</f>
        <v/>
      </c>
      <c r="T24" s="98">
        <f>IF($A24="","",$L$61*$D24)</f>
        <v/>
      </c>
      <c r="U24" s="108">
        <f>IF($A24="","",$B24-$E$62-$F$62)</f>
        <v/>
      </c>
      <c r="V24" s="98">
        <f>IF($A24="","",$L$62*$D24)</f>
        <v/>
      </c>
      <c r="W24" s="108">
        <f>IF($A24="","",$C24-$E$63-$F$63)</f>
        <v/>
      </c>
      <c r="X24" s="98">
        <f>IF($A24="","",$L$63*$D24)</f>
        <v/>
      </c>
      <c r="Y24" s="108">
        <f>IF($A24="","",$B24-$E$64-$F$64)</f>
        <v/>
      </c>
      <c r="Z24" s="98">
        <f>IF($A24="","",$L$64*$D24)</f>
        <v/>
      </c>
      <c r="AA24" s="108">
        <f>IF($A24="","",$S24)</f>
        <v/>
      </c>
      <c r="AB24" s="98">
        <f>IF($A24="","",$L$65*$D24)</f>
        <v/>
      </c>
      <c r="AC24" s="108">
        <f>IF($A24="","",$C24)</f>
        <v/>
      </c>
      <c r="AD24" s="98">
        <f>IF($A24="","",$L$66*$D24)</f>
        <v/>
      </c>
      <c r="AE24" s="108">
        <f>IF($A24="","",$C24-$E$67-$F$67)</f>
        <v/>
      </c>
      <c r="AF24" s="98">
        <f>IF($A24="","",$L$67*$D24)</f>
        <v/>
      </c>
      <c r="AG24" s="105">
        <f>IF($A24="","",$K24-56-56)</f>
        <v/>
      </c>
      <c r="AH24" s="106">
        <f>IF($A24="","",$M24-56-56)</f>
        <v/>
      </c>
      <c r="AI24" s="107">
        <f>IF($A24="","",2*$D24)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IF($A25="","",$C25-$E$55-$F$55)</f>
        <v/>
      </c>
      <c r="H25" s="92">
        <f>IF($A25="","",$L$55*$D25)</f>
        <v/>
      </c>
      <c r="I25" s="104">
        <f>IF($A25="","",$C25)</f>
        <v/>
      </c>
      <c r="J25" s="92">
        <f>IF($A25="","",$L$56*$D25)</f>
        <v/>
      </c>
      <c r="K25" s="104">
        <f>IF($A25="","",$B25-$E$57-$F$57-$G$57-$H$57)</f>
        <v/>
      </c>
      <c r="L25" s="92">
        <f>IF($A25="","",$L$57*$D25)</f>
        <v/>
      </c>
      <c r="M25" s="104">
        <f>IF($A25="","",(($C25-$E$58-$F$58-$G$58-$H$58)/2)+(66*1)/2)</f>
        <v/>
      </c>
      <c r="N25" s="92">
        <f>IF($A25="","",$L$58*$D25)</f>
        <v/>
      </c>
      <c r="O25" s="104">
        <f>IF($A25="","",$K25-$E$59-$F$59)</f>
        <v/>
      </c>
      <c r="P25" s="92">
        <f>IF($A25="","",$L$59*$D25)</f>
        <v/>
      </c>
      <c r="Q25" s="104">
        <f>IF($A25="","",$M25-$E$60-$F$60)</f>
        <v/>
      </c>
      <c r="R25" s="92">
        <f>IF($A25="","",$L$60*$D25)</f>
        <v/>
      </c>
      <c r="S25" s="104">
        <f>IF($A25="","",$K25)</f>
        <v/>
      </c>
      <c r="T25" s="92">
        <f>IF($A25="","",$L$61*$D25)</f>
        <v/>
      </c>
      <c r="U25" s="104">
        <f>IF($A25="","",$B25-$E$62-$F$62)</f>
        <v/>
      </c>
      <c r="V25" s="92">
        <f>IF($A25="","",$L$62*$D25)</f>
        <v/>
      </c>
      <c r="W25" s="104">
        <f>IF($A25="","",$C25-$E$63-$F$63)</f>
        <v/>
      </c>
      <c r="X25" s="92">
        <f>IF($A25="","",$L$63*$D25)</f>
        <v/>
      </c>
      <c r="Y25" s="104">
        <f>IF($A25="","",$B25-$E$64-$F$64)</f>
        <v/>
      </c>
      <c r="Z25" s="92">
        <f>IF($A25="","",$L$64*$D25)</f>
        <v/>
      </c>
      <c r="AA25" s="104">
        <f>IF($A25="","",$S25)</f>
        <v/>
      </c>
      <c r="AB25" s="92">
        <f>IF($A25="","",$L$65*$D25)</f>
        <v/>
      </c>
      <c r="AC25" s="104">
        <f>IF($A25="","",$C25)</f>
        <v/>
      </c>
      <c r="AD25" s="92">
        <f>IF($A25="","",$L$66*$D25)</f>
        <v/>
      </c>
      <c r="AE25" s="104">
        <f>IF($A25="","",$C25-$E$67-$F$67)</f>
        <v/>
      </c>
      <c r="AF25" s="92">
        <f>IF($A25="","",$L$67*$D25)</f>
        <v/>
      </c>
      <c r="AG25" s="105">
        <f>IF($A25="","",$K25-56-56)</f>
        <v/>
      </c>
      <c r="AH25" s="106">
        <f>IF($A25="","",$M25-56-56)</f>
        <v/>
      </c>
      <c r="AI25" s="107">
        <f>IF($A25="","",2*$D25)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IF($A26="","",$C26-$E$55-$F$55)</f>
        <v/>
      </c>
      <c r="H26" s="98">
        <f>IF($A26="","",$L$55*$D26)</f>
        <v/>
      </c>
      <c r="I26" s="108">
        <f>IF($A26="","",$C26)</f>
        <v/>
      </c>
      <c r="J26" s="98">
        <f>IF($A26="","",$L$56*$D26)</f>
        <v/>
      </c>
      <c r="K26" s="108">
        <f>IF($A26="","",$B26-$E$57-$F$57-$G$57-$H$57)</f>
        <v/>
      </c>
      <c r="L26" s="98">
        <f>IF($A26="","",$L$57*$D26)</f>
        <v/>
      </c>
      <c r="M26" s="108">
        <f>IF($A26="","",(($C26-$E$58-$F$58-$G$58-$H$58)/2)+(66*1)/2)</f>
        <v/>
      </c>
      <c r="N26" s="98">
        <f>IF($A26="","",$L$58*$D26)</f>
        <v/>
      </c>
      <c r="O26" s="108">
        <f>IF($A26="","",$K26-$E$59-$F$59)</f>
        <v/>
      </c>
      <c r="P26" s="98">
        <f>IF($A26="","",$L$59*$D26)</f>
        <v/>
      </c>
      <c r="Q26" s="108">
        <f>IF($A26="","",$M26-$E$60-$F$60)</f>
        <v/>
      </c>
      <c r="R26" s="98">
        <f>IF($A26="","",$L$60*$D26)</f>
        <v/>
      </c>
      <c r="S26" s="108">
        <f>IF($A26="","",$K26)</f>
        <v/>
      </c>
      <c r="T26" s="98">
        <f>IF($A26="","",$L$61*$D26)</f>
        <v/>
      </c>
      <c r="U26" s="108">
        <f>IF($A26="","",$B26-$E$62-$F$62)</f>
        <v/>
      </c>
      <c r="V26" s="98">
        <f>IF($A26="","",$L$62*$D26)</f>
        <v/>
      </c>
      <c r="W26" s="108">
        <f>IF($A26="","",$C26-$E$63-$F$63)</f>
        <v/>
      </c>
      <c r="X26" s="98">
        <f>IF($A26="","",$L$63*$D26)</f>
        <v/>
      </c>
      <c r="Y26" s="108">
        <f>IF($A26="","",$B26-$E$64-$F$64)</f>
        <v/>
      </c>
      <c r="Z26" s="98">
        <f>IF($A26="","",$L$64*$D26)</f>
        <v/>
      </c>
      <c r="AA26" s="108">
        <f>IF($A26="","",$S26)</f>
        <v/>
      </c>
      <c r="AB26" s="98">
        <f>IF($A26="","",$L$65*$D26)</f>
        <v/>
      </c>
      <c r="AC26" s="108">
        <f>IF($A26="","",$C26)</f>
        <v/>
      </c>
      <c r="AD26" s="98">
        <f>IF($A26="","",$L$66*$D26)</f>
        <v/>
      </c>
      <c r="AE26" s="108">
        <f>IF($A26="","",$C26-$E$67-$F$67)</f>
        <v/>
      </c>
      <c r="AF26" s="98">
        <f>IF($A26="","",$L$67*$D26)</f>
        <v/>
      </c>
      <c r="AG26" s="105">
        <f>IF($A26="","",$K26-56-56)</f>
        <v/>
      </c>
      <c r="AH26" s="106">
        <f>IF($A26="","",$M26-56-56)</f>
        <v/>
      </c>
      <c r="AI26" s="107">
        <f>IF($A26="","",2*$D26)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IF($A27="","",$C27-$E$55-$F$55)</f>
        <v/>
      </c>
      <c r="H27" s="92">
        <f>IF($A27="","",$L$55*$D27)</f>
        <v/>
      </c>
      <c r="I27" s="104">
        <f>IF($A27="","",$C27)</f>
        <v/>
      </c>
      <c r="J27" s="92">
        <f>IF($A27="","",$L$56*$D27)</f>
        <v/>
      </c>
      <c r="K27" s="104">
        <f>IF($A27="","",$B27-$E$57-$F$57-$G$57-$H$57)</f>
        <v/>
      </c>
      <c r="L27" s="92">
        <f>IF($A27="","",$L$57*$D27)</f>
        <v/>
      </c>
      <c r="M27" s="104">
        <f>IF($A27="","",(($C27-$E$58-$F$58-$G$58-$H$58)/2)+(66*1)/2)</f>
        <v/>
      </c>
      <c r="N27" s="92">
        <f>IF($A27="","",$L$58*$D27)</f>
        <v/>
      </c>
      <c r="O27" s="104">
        <f>IF($A27="","",$K27-$E$59-$F$59)</f>
        <v/>
      </c>
      <c r="P27" s="92">
        <f>IF($A27="","",$L$59*$D27)</f>
        <v/>
      </c>
      <c r="Q27" s="104">
        <f>IF($A27="","",$M27-$E$60-$F$60)</f>
        <v/>
      </c>
      <c r="R27" s="92">
        <f>IF($A27="","",$L$60*$D27)</f>
        <v/>
      </c>
      <c r="S27" s="104">
        <f>IF($A27="","",$K27)</f>
        <v/>
      </c>
      <c r="T27" s="92">
        <f>IF($A27="","",$L$61*$D27)</f>
        <v/>
      </c>
      <c r="U27" s="104">
        <f>IF($A27="","",$B27-$E$62-$F$62)</f>
        <v/>
      </c>
      <c r="V27" s="92">
        <f>IF($A27="","",$L$62*$D27)</f>
        <v/>
      </c>
      <c r="W27" s="104">
        <f>IF($A27="","",$C27-$E$63-$F$63)</f>
        <v/>
      </c>
      <c r="X27" s="92">
        <f>IF($A27="","",$L$63*$D27)</f>
        <v/>
      </c>
      <c r="Y27" s="104">
        <f>IF($A27="","",$B27-$E$64-$F$64)</f>
        <v/>
      </c>
      <c r="Z27" s="92">
        <f>IF($A27="","",$L$64*$D27)</f>
        <v/>
      </c>
      <c r="AA27" s="104">
        <f>IF($A27="","",$S27)</f>
        <v/>
      </c>
      <c r="AB27" s="92">
        <f>IF($A27="","",$L$65*$D27)</f>
        <v/>
      </c>
      <c r="AC27" s="104">
        <f>IF($A27="","",$C27)</f>
        <v/>
      </c>
      <c r="AD27" s="92">
        <f>IF($A27="","",$L$66*$D27)</f>
        <v/>
      </c>
      <c r="AE27" s="104">
        <f>IF($A27="","",$C27-$E$67-$F$67)</f>
        <v/>
      </c>
      <c r="AF27" s="92">
        <f>IF($A27="","",$L$67*$D27)</f>
        <v/>
      </c>
      <c r="AG27" s="105">
        <f>IF($A27="","",$K27-56-56)</f>
        <v/>
      </c>
      <c r="AH27" s="106">
        <f>IF($A27="","",$M27-56-56)</f>
        <v/>
      </c>
      <c r="AI27" s="107">
        <f>IF($A27="","",2*$D27)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IF($A28="","",$C28-$E$55-$F$55)</f>
        <v/>
      </c>
      <c r="H28" s="98">
        <f>IF($A28="","",$L$55*$D28)</f>
        <v/>
      </c>
      <c r="I28" s="108">
        <f>IF($A28="","",$C28)</f>
        <v/>
      </c>
      <c r="J28" s="98">
        <f>IF($A28="","",$L$56*$D28)</f>
        <v/>
      </c>
      <c r="K28" s="108">
        <f>IF($A28="","",$B28-$E$57-$F$57-$G$57-$H$57)</f>
        <v/>
      </c>
      <c r="L28" s="98">
        <f>IF($A28="","",$L$57*$D28)</f>
        <v/>
      </c>
      <c r="M28" s="108">
        <f>IF($A28="","",(($C28-$E$58-$F$58-$G$58-$H$58)/2)+(66*1)/2)</f>
        <v/>
      </c>
      <c r="N28" s="98">
        <f>IF($A28="","",$L$58*$D28)</f>
        <v/>
      </c>
      <c r="O28" s="108">
        <f>IF($A28="","",$K28-$E$59-$F$59)</f>
        <v/>
      </c>
      <c r="P28" s="98">
        <f>IF($A28="","",$L$59*$D28)</f>
        <v/>
      </c>
      <c r="Q28" s="108">
        <f>IF($A28="","",$M28-$E$60-$F$60)</f>
        <v/>
      </c>
      <c r="R28" s="98">
        <f>IF($A28="","",$L$60*$D28)</f>
        <v/>
      </c>
      <c r="S28" s="108">
        <f>IF($A28="","",$K28)</f>
        <v/>
      </c>
      <c r="T28" s="98">
        <f>IF($A28="","",$L$61*$D28)</f>
        <v/>
      </c>
      <c r="U28" s="108">
        <f>IF($A28="","",$B28-$E$62-$F$62)</f>
        <v/>
      </c>
      <c r="V28" s="98">
        <f>IF($A28="","",$L$62*$D28)</f>
        <v/>
      </c>
      <c r="W28" s="108">
        <f>IF($A28="","",$C28-$E$63-$F$63)</f>
        <v/>
      </c>
      <c r="X28" s="98">
        <f>IF($A28="","",$L$63*$D28)</f>
        <v/>
      </c>
      <c r="Y28" s="108">
        <f>IF($A28="","",$B28-$E$64-$F$64)</f>
        <v/>
      </c>
      <c r="Z28" s="98">
        <f>IF($A28="","",$L$64*$D28)</f>
        <v/>
      </c>
      <c r="AA28" s="108">
        <f>IF($A28="","",$S28)</f>
        <v/>
      </c>
      <c r="AB28" s="98">
        <f>IF($A28="","",$L$65*$D28)</f>
        <v/>
      </c>
      <c r="AC28" s="108">
        <f>IF($A28="","",$C28)</f>
        <v/>
      </c>
      <c r="AD28" s="98">
        <f>IF($A28="","",$L$66*$D28)</f>
        <v/>
      </c>
      <c r="AE28" s="108">
        <f>IF($A28="","",$C28-$E$67-$F$67)</f>
        <v/>
      </c>
      <c r="AF28" s="98">
        <f>IF($A28="","",$L$67*$D28)</f>
        <v/>
      </c>
      <c r="AG28" s="105">
        <f>IF($A28="","",$K28-56-56)</f>
        <v/>
      </c>
      <c r="AH28" s="106">
        <f>IF($A28="","",$M28-56-56)</f>
        <v/>
      </c>
      <c r="AI28" s="107">
        <f>IF($A28="","",2*$D28)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(ROUNDUP(AF49/5000,0))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((กว้าง-21-1-1-21)/2)+(66x2/2)</t>
        </is>
      </c>
      <c r="E58" s="83" t="n">
        <v>21</v>
      </c>
      <c r="F58" s="83" t="n">
        <v>1</v>
      </c>
      <c r="G58" s="83" t="n">
        <v>1</v>
      </c>
      <c r="H58" s="83" t="n">
        <v>21</v>
      </c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เสา-66-66</t>
        </is>
      </c>
      <c r="E59" s="83" t="n">
        <v>66</v>
      </c>
      <c r="F59" s="83" t="n">
        <v>66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ขวาง-51-51</t>
        </is>
      </c>
      <c r="E60" s="83" t="n">
        <v>51</v>
      </c>
      <c r="F60" s="83" t="n">
        <v>51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F7982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9">
      <c r="A69" s="123" t="inlineStr">
        <is>
          <t>⑥ อุปกรณ์ ต่อ 1 บาน — คูณจำนวนบานที่ผลิต</t>
        </is>
      </c>
      <c r="B69" s="131" t="n"/>
      <c r="C69" s="131" t="n"/>
      <c r="D69" s="131" t="n"/>
      <c r="E69" s="132" t="n"/>
      <c r="F69" s="124" t="inlineStr">
        <is>
          <t>ต่อบาน</t>
        </is>
      </c>
    </row>
    <row r="70">
      <c r="A70" s="125" t="inlineStr">
        <is>
          <t>1. ล้อ 27</t>
        </is>
      </c>
      <c r="B70" s="131" t="n"/>
      <c r="C70" s="131" t="n"/>
      <c r="D70" s="131" t="n"/>
      <c r="E70" s="132" t="n"/>
      <c r="F70" s="126" t="n">
        <v>2</v>
      </c>
    </row>
    <row r="71">
      <c r="A71" s="125" t="inlineStr">
        <is>
          <t>2. มือจับ Align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3. ชุดล็อค</t>
        </is>
      </c>
      <c r="B72" s="131" t="n"/>
      <c r="C72" s="131" t="n"/>
      <c r="D72" s="131" t="n"/>
      <c r="E72" s="132" t="n"/>
      <c r="F72" s="126" t="n">
        <v>1</v>
      </c>
    </row>
    <row r="73">
      <c r="A73" s="125" t="inlineStr">
        <is>
          <t>4. น็อตประกอบ</t>
        </is>
      </c>
      <c r="B73" s="131" t="n"/>
      <c r="C73" s="131" t="n"/>
      <c r="D73" s="131" t="n"/>
      <c r="E73" s="132" t="n"/>
      <c r="F73" s="126" t="n">
        <v>4</v>
      </c>
    </row>
    <row r="74">
      <c r="A74" s="127" t="inlineStr">
        <is>
          <t>+ สักหลาด/ยาง/ซิลิโคน = ตามขนาด (ดูชีทคิดทุน)</t>
        </is>
      </c>
      <c r="B74" s="131" t="n"/>
      <c r="C74" s="131" t="n"/>
      <c r="D74" s="131" t="n"/>
      <c r="E74" s="131" t="n"/>
      <c r="F74" s="132" t="n"/>
    </row>
  </sheetData>
  <mergeCells count="67">
    <mergeCell ref="U9:V9"/>
    <mergeCell ref="I6:J6"/>
    <mergeCell ref="A73:E73"/>
    <mergeCell ref="AE7:AF7"/>
    <mergeCell ref="O6:P6"/>
    <mergeCell ref="U6:V6"/>
    <mergeCell ref="K9:L9"/>
    <mergeCell ref="W6:X6"/>
    <mergeCell ref="M9:N9"/>
    <mergeCell ref="A74:F74"/>
    <mergeCell ref="K7:N7"/>
    <mergeCell ref="O9:P9"/>
    <mergeCell ref="G8:H8"/>
    <mergeCell ref="Y9:Z9"/>
    <mergeCell ref="A70:E70"/>
    <mergeCell ref="E8:F8"/>
    <mergeCell ref="Q8:R8"/>
    <mergeCell ref="AA9:AB9"/>
    <mergeCell ref="Y7:AD7"/>
    <mergeCell ref="S8:T8"/>
    <mergeCell ref="A69:E69"/>
    <mergeCell ref="Y30:AC30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E6:F6"/>
    <mergeCell ref="A8:A9"/>
    <mergeCell ref="A6:D6"/>
    <mergeCell ref="M6:N6"/>
    <mergeCell ref="K8:L8"/>
    <mergeCell ref="Q6:R6"/>
    <mergeCell ref="A71:E71"/>
    <mergeCell ref="S6:T6"/>
    <mergeCell ref="Y6:Z6"/>
    <mergeCell ref="A7:D7"/>
    <mergeCell ref="D8:D9"/>
    <mergeCell ref="Q9:R9"/>
    <mergeCell ref="I8:J8"/>
    <mergeCell ref="S9:T9"/>
    <mergeCell ref="M8:N8"/>
    <mergeCell ref="K30:M30"/>
    <mergeCell ref="AC9:AD9"/>
    <mergeCell ref="O8:P8"/>
    <mergeCell ref="U8:V8"/>
    <mergeCell ref="AE9:AF9"/>
    <mergeCell ref="W9:X9"/>
    <mergeCell ref="W8:X8"/>
    <mergeCell ref="B8:C9"/>
    <mergeCell ref="AC6:AD6"/>
    <mergeCell ref="E7:F7"/>
    <mergeCell ref="A72:E72"/>
    <mergeCell ref="AE6:AF6"/>
    <mergeCell ref="O30:Q30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74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</cols>
  <sheetData>
    <row r="1" ht="40.15" customHeight="1">
      <c r="A1" s="1" t="inlineStr">
        <is>
          <t>JR ALUMINIUM &amp; GLASS  —  ใบรายการตัด · FUJI เลื่อน4 (2)   (หน่วย: มม.)</t>
        </is>
      </c>
      <c r="B1" s="2" t="n"/>
      <c r="D1" s="3" t="n"/>
      <c r="E1" s="4" t="n"/>
      <c r="F1" s="3" t="n"/>
      <c r="G1" s="5" t="n"/>
      <c r="H1" s="5" t="n"/>
      <c r="I1" s="3" t="n"/>
      <c r="J1" s="3" t="n"/>
      <c r="K1" s="5" t="n"/>
      <c r="L1" s="5" t="n"/>
      <c r="M1" s="6" t="n"/>
      <c r="N1" s="5" t="n"/>
      <c r="O1" s="3" t="n"/>
      <c r="P1" s="3" t="n"/>
      <c r="Q1" s="6" t="n"/>
      <c r="R1" s="6" t="n"/>
      <c r="S1" s="5" t="n"/>
      <c r="T1" s="5" t="n"/>
      <c r="U1" s="3" t="n"/>
      <c r="V1" s="7" t="n"/>
      <c r="W1" s="6" t="n"/>
      <c r="X1" s="6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6" t="n"/>
      <c r="J2" s="6" t="n"/>
      <c r="K2" s="9" t="n"/>
      <c r="L2" s="9" t="n"/>
      <c r="M2" s="9" t="n"/>
      <c r="N2" s="9" t="n"/>
      <c r="O2" s="6" t="n"/>
      <c r="P2" s="6" t="n"/>
      <c r="Q2" s="6" t="n"/>
      <c r="R2" s="6" t="n"/>
      <c r="S2" s="9" t="n"/>
      <c r="T2" s="9" t="n"/>
      <c r="U2" s="6" t="n"/>
      <c r="V2" s="6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</row>
    <row r="3" ht="40.15" customHeight="1">
      <c r="A3" s="130">
        <f>HYPERLINK("#สารบัญ!A1","← สารบัญ")</f>
        <v/>
      </c>
      <c r="B3" s="10" t="n"/>
      <c r="C3" s="6" t="n"/>
      <c r="D3" s="6" t="n"/>
      <c r="E3" s="8" t="n"/>
      <c r="F3" s="6" t="n"/>
      <c r="G3" s="11" t="n"/>
      <c r="H3" s="11" t="n"/>
      <c r="I3" s="6" t="n"/>
      <c r="J3" s="6" t="n"/>
      <c r="K3" s="11" t="n"/>
      <c r="L3" s="11" t="n"/>
      <c r="M3" s="9" t="n"/>
      <c r="N3" s="9" t="n"/>
      <c r="O3" s="6" t="n"/>
      <c r="P3" s="6" t="n"/>
      <c r="Q3" s="6" t="n"/>
      <c r="R3" s="6" t="n"/>
      <c r="S3" s="11" t="n"/>
      <c r="T3" s="11" t="n"/>
      <c r="U3" s="6" t="n"/>
      <c r="V3" s="6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</row>
    <row r="4" ht="40.15" customHeight="1">
      <c r="A4" s="6" t="n"/>
      <c r="B4" s="6" t="n"/>
      <c r="C4" s="6" t="n"/>
      <c r="F4" s="6" t="n"/>
      <c r="I4" s="6" t="n"/>
      <c r="J4" s="6" t="n"/>
      <c r="M4" s="9" t="n"/>
      <c r="N4" s="9" t="n"/>
      <c r="O4" s="6" t="n"/>
      <c r="P4" s="6" t="n"/>
      <c r="Q4" s="6" t="n"/>
      <c r="R4" s="6" t="n"/>
      <c r="U4" s="6" t="n"/>
      <c r="V4" s="6" t="n"/>
    </row>
    <row r="5" ht="40.15" customHeight="1">
      <c r="A5" s="6" t="n"/>
      <c r="B5" s="6" t="n"/>
      <c r="C5" s="6" t="n"/>
      <c r="D5" s="6" t="n"/>
      <c r="E5" s="8" t="n"/>
      <c r="F5" s="6" t="n"/>
      <c r="I5" s="6" t="n"/>
      <c r="J5" s="6" t="n"/>
      <c r="O5" s="6" t="n"/>
      <c r="P5" s="6" t="n"/>
      <c r="R5" s="6" t="n"/>
      <c r="U5" s="6" t="n"/>
      <c r="V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สูง</t>
        </is>
      </c>
      <c r="H6" s="17" t="n"/>
      <c r="I6" s="16" t="inlineStr">
        <is>
          <t>กว้าง-21-21</t>
        </is>
      </c>
      <c r="J6" s="17" t="n"/>
      <c r="K6" s="16" t="inlineStr">
        <is>
          <t>กว้าง-21-21</t>
        </is>
      </c>
      <c r="L6" s="17" t="n"/>
      <c r="M6" s="16" t="inlineStr">
        <is>
          <t>กว้าง</t>
        </is>
      </c>
      <c r="N6" s="17" t="n"/>
      <c r="O6" s="16" t="inlineStr">
        <is>
          <t>สูง-21-19-13-21</t>
        </is>
      </c>
      <c r="P6" s="17" t="n"/>
      <c r="Q6" s="16" t="inlineStr">
        <is>
          <t>((กว้าง-21-1-1-3.6-21)/4)+(78x3/4)</t>
        </is>
      </c>
      <c r="R6" s="17" t="n"/>
      <c r="S6" s="16" t="inlineStr">
        <is>
          <t>เสา-78-78</t>
        </is>
      </c>
      <c r="T6" s="17" t="n"/>
      <c r="U6" s="16" t="inlineStr">
        <is>
          <t>ขวาง-63-63</t>
        </is>
      </c>
      <c r="V6" s="17" t="n"/>
      <c r="W6" s="16" t="inlineStr">
        <is>
          <t>สูงกรอบบาน</t>
        </is>
      </c>
      <c r="X6" s="17" t="n"/>
      <c r="Y6" s="16" t="inlineStr">
        <is>
          <t>สูง-45-45</t>
        </is>
      </c>
      <c r="Z6" s="17" t="n"/>
      <c r="AA6" s="16" t="inlineStr">
        <is>
          <t>เท่าเฟรมบน</t>
        </is>
      </c>
      <c r="AB6" s="17" t="n"/>
      <c r="AC6" s="16" t="n"/>
      <c r="AD6" s="17" t="n"/>
      <c r="AE6" s="16" t="inlineStr">
        <is>
          <t>เท่าเฟรมล่าง</t>
        </is>
      </c>
      <c r="AF6" s="17" t="n"/>
      <c r="AG6" s="18" t="n"/>
      <c r="AH6" s="18" t="n"/>
      <c r="AI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F7989</t>
        </is>
      </c>
      <c r="H7" s="15" t="n"/>
      <c r="I7" s="22" t="inlineStr">
        <is>
          <t>F7977</t>
        </is>
      </c>
      <c r="J7" s="15" t="n"/>
      <c r="K7" s="23" t="inlineStr">
        <is>
          <t>F7990</t>
        </is>
      </c>
      <c r="L7" s="15" t="n"/>
      <c r="M7" s="22" t="inlineStr">
        <is>
          <t>F7992</t>
        </is>
      </c>
      <c r="N7" s="15" t="n"/>
      <c r="O7" s="22" t="inlineStr">
        <is>
          <t>F7980</t>
        </is>
      </c>
      <c r="P7" s="14" t="n"/>
      <c r="Q7" s="14" t="n"/>
      <c r="R7" s="15" t="n"/>
      <c r="S7" s="22" t="inlineStr">
        <is>
          <t>F7919</t>
        </is>
      </c>
      <c r="T7" s="14" t="n"/>
      <c r="U7" s="14" t="n"/>
      <c r="V7" s="15" t="n"/>
      <c r="W7" s="22" t="inlineStr">
        <is>
          <t>F7983</t>
        </is>
      </c>
      <c r="X7" s="15" t="n"/>
      <c r="Y7" s="22" t="inlineStr">
        <is>
          <t>F7986</t>
        </is>
      </c>
      <c r="Z7" s="15" t="n"/>
      <c r="AA7" s="22" t="inlineStr">
        <is>
          <t>F7993</t>
        </is>
      </c>
      <c r="AB7" s="15" t="n"/>
      <c r="AC7" s="22" t="inlineStr">
        <is>
          <t>F7988</t>
        </is>
      </c>
      <c r="AD7" s="15" t="n"/>
      <c r="AE7" s="22" t="inlineStr">
        <is>
          <t>F7994</t>
        </is>
      </c>
      <c r="AF7" s="15" t="n"/>
      <c r="AG7" s="24" t="n"/>
      <c r="AH7" s="25" t="inlineStr">
        <is>
          <t>ขนาดกระจก</t>
        </is>
      </c>
      <c r="AI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4" t="n"/>
      <c r="J8" s="31" t="n"/>
      <c r="K8" s="34" t="n"/>
      <c r="L8" s="31" t="n"/>
      <c r="M8" s="30" t="n"/>
      <c r="N8" s="31" t="n"/>
      <c r="O8" s="32" t="n"/>
      <c r="P8" s="33" t="n"/>
      <c r="Q8" s="34" t="n"/>
      <c r="R8" s="31" t="n"/>
      <c r="S8" s="32" t="n"/>
      <c r="T8" s="33" t="n"/>
      <c r="U8" s="34" t="n"/>
      <c r="V8" s="31" t="n"/>
      <c r="W8" s="32" t="n"/>
      <c r="X8" s="33" t="n"/>
      <c r="Y8" s="32" t="n"/>
      <c r="Z8" s="33" t="n"/>
      <c r="AA8" s="32" t="n"/>
      <c r="AB8" s="33" t="n"/>
      <c r="AC8" s="30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ต่อเฟรมข้าง</t>
        </is>
      </c>
      <c r="H9" s="43" t="n"/>
      <c r="I9" s="42" t="inlineStr">
        <is>
          <t>เฟรม บน-ล่าง</t>
        </is>
      </c>
      <c r="J9" s="43" t="n"/>
      <c r="K9" s="42" t="inlineStr">
        <is>
          <t>ต่อราง</t>
        </is>
      </c>
      <c r="L9" s="43" t="n"/>
      <c r="M9" s="42" t="inlineStr">
        <is>
          <t>ตบกันสาด</t>
        </is>
      </c>
      <c r="N9" s="43" t="n"/>
      <c r="O9" s="42" t="inlineStr">
        <is>
          <t>เสา</t>
        </is>
      </c>
      <c r="P9" s="43" t="n"/>
      <c r="Q9" s="42" t="inlineStr">
        <is>
          <t>ขวาง</t>
        </is>
      </c>
      <c r="R9" s="43" t="n"/>
      <c r="S9" s="42" t="inlineStr">
        <is>
          <t>คิ้ว ตั้ง</t>
        </is>
      </c>
      <c r="T9" s="43" t="n"/>
      <c r="U9" s="42" t="inlineStr">
        <is>
          <t>คิ้ว ขวาง</t>
        </is>
      </c>
      <c r="V9" s="43" t="n"/>
      <c r="W9" s="42" t="inlineStr">
        <is>
          <t>ตบเกี่ยว</t>
        </is>
      </c>
      <c r="X9" s="43" t="n"/>
      <c r="Y9" s="44" t="inlineStr">
        <is>
          <t>ยูข้าง</t>
        </is>
      </c>
      <c r="Z9" s="43" t="n"/>
      <c r="AA9" s="44" t="inlineStr">
        <is>
          <t>ตบเฟรมบน</t>
        </is>
      </c>
      <c r="AB9" s="43" t="n"/>
      <c r="AC9" s="44" t="inlineStr">
        <is>
          <t>ตบยูข้าง</t>
        </is>
      </c>
      <c r="AD9" s="43" t="n"/>
      <c r="AE9" s="44" t="inlineStr">
        <is>
          <t>ราง</t>
        </is>
      </c>
      <c r="AF9" s="43" t="n"/>
      <c r="AG9" s="45" t="inlineStr">
        <is>
          <t>SH-68-68</t>
        </is>
      </c>
      <c r="AH9" s="46" t="inlineStr">
        <is>
          <t>SW-68-68</t>
        </is>
      </c>
      <c r="AI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3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3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</row>
    <row r="11" ht="40.15" customHeight="1">
      <c r="A11" s="101" t="inlineStr">
        <is>
          <t>D1</t>
        </is>
      </c>
      <c r="B11" s="102" t="n">
        <v>2490</v>
      </c>
      <c r="C11" s="92" t="n">
        <v>4462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IF($A11="","",$B11)</f>
        <v/>
      </c>
      <c r="H11" s="92">
        <f>IF($A11="","",$L$55*$D11)</f>
        <v/>
      </c>
      <c r="I11" s="104">
        <f>IF($A11="","",$C11-$E$56-$F$56)</f>
        <v/>
      </c>
      <c r="J11" s="92">
        <f>IF($A11="","",$L$56*$D11)</f>
        <v/>
      </c>
      <c r="K11" s="104">
        <f>IF($A11="","",$C11-$E$57-$F$57)</f>
        <v/>
      </c>
      <c r="L11" s="92">
        <f>IF($A11="","",$L$57*$D11)</f>
        <v/>
      </c>
      <c r="M11" s="104">
        <f>IF($A11="","",$C11)</f>
        <v/>
      </c>
      <c r="N11" s="92">
        <f>IF($A11="","",$L$58*$D11)</f>
        <v/>
      </c>
      <c r="O11" s="104">
        <f>IF($A11="","",$B11-$E$59-$F$59-$G$59-$H$59)</f>
        <v/>
      </c>
      <c r="P11" s="92">
        <f>IF($A11="","",$L$59*$D11)</f>
        <v/>
      </c>
      <c r="Q11" s="104">
        <f>IF($A11="","",(($C11-$E$60-$F$60-$G$60-$H$60-$I$60)/4)+(78*3)/4)</f>
        <v/>
      </c>
      <c r="R11" s="92">
        <f>IF($A11="","",$L$60*$D11)</f>
        <v/>
      </c>
      <c r="S11" s="104">
        <f>IF($A11="","",$O11-$E$61-$F$61)</f>
        <v/>
      </c>
      <c r="T11" s="92">
        <f>IF($A11="","",$L$61*$D11)</f>
        <v/>
      </c>
      <c r="U11" s="104">
        <f>IF($A11="","",$Q11-$E$62-$F$62)</f>
        <v/>
      </c>
      <c r="V11" s="92">
        <f>IF($A11="","",$L$62*$D11)</f>
        <v/>
      </c>
      <c r="W11" s="104">
        <f>IF($A11="","",$B11-$E$63-$F$63-$G$63-$H$63)</f>
        <v/>
      </c>
      <c r="X11" s="92">
        <f>IF($A11="","",$L$63*$D11)</f>
        <v/>
      </c>
      <c r="Y11" s="104">
        <f>IF($A11="","",$B11-$E$64-$F$64)</f>
        <v/>
      </c>
      <c r="Z11" s="92">
        <f>IF($A11="","",$L$64*$D11)</f>
        <v/>
      </c>
      <c r="AA11" s="104">
        <f>IF($A11="","",$C11-$E$65-$F$65)</f>
        <v/>
      </c>
      <c r="AB11" s="92">
        <f>IF($A11="","",$L$65*$D11)</f>
        <v/>
      </c>
      <c r="AC11" s="104">
        <f>IF($A11="","",$B11-$E$66-$F$66)</f>
        <v/>
      </c>
      <c r="AD11" s="92">
        <f>IF($A11="","",$L$66*$D11)</f>
        <v/>
      </c>
      <c r="AE11" s="104">
        <f>IF($A11="","",$C11-$E$67-$F$67)</f>
        <v/>
      </c>
      <c r="AF11" s="92">
        <f>IF($A11="","",$L$67*$D11)</f>
        <v/>
      </c>
      <c r="AG11" s="105">
        <f>IF($A11="","",$O11-68-68)</f>
        <v/>
      </c>
      <c r="AH11" s="106">
        <f>IF($A11="","",$Q11-68-68)</f>
        <v/>
      </c>
      <c r="AI11" s="107">
        <f>IF($A11="","",4*$D11)</f>
        <v/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IF($A12="","",$B12)</f>
        <v/>
      </c>
      <c r="H12" s="98">
        <f>IF($A12="","",$L$55*$D12)</f>
        <v/>
      </c>
      <c r="I12" s="108">
        <f>IF($A12="","",$C12-$E$56-$F$56)</f>
        <v/>
      </c>
      <c r="J12" s="98">
        <f>IF($A12="","",$L$56*$D12)</f>
        <v/>
      </c>
      <c r="K12" s="108">
        <f>IF($A12="","",$C12-$E$57-$F$57)</f>
        <v/>
      </c>
      <c r="L12" s="98">
        <f>IF($A12="","",$L$57*$D12)</f>
        <v/>
      </c>
      <c r="M12" s="108">
        <f>IF($A12="","",$C12)</f>
        <v/>
      </c>
      <c r="N12" s="98">
        <f>IF($A12="","",$L$58*$D12)</f>
        <v/>
      </c>
      <c r="O12" s="108">
        <f>IF($A12="","",$B12-$E$59-$F$59-$G$59-$H$59)</f>
        <v/>
      </c>
      <c r="P12" s="98">
        <f>IF($A12="","",$L$59*$D12)</f>
        <v/>
      </c>
      <c r="Q12" s="108">
        <f>IF($A12="","",(($C12-$E$60-$F$60-$G$60-$H$60-$I$60)/4)+(78*3)/4)</f>
        <v/>
      </c>
      <c r="R12" s="98">
        <f>IF($A12="","",$L$60*$D12)</f>
        <v/>
      </c>
      <c r="S12" s="108">
        <f>IF($A12="","",$O12-$E$61-$F$61)</f>
        <v/>
      </c>
      <c r="T12" s="98">
        <f>IF($A12="","",$L$61*$D12)</f>
        <v/>
      </c>
      <c r="U12" s="108">
        <f>IF($A12="","",$Q12-$E$62-$F$62)</f>
        <v/>
      </c>
      <c r="V12" s="98">
        <f>IF($A12="","",$L$62*$D12)</f>
        <v/>
      </c>
      <c r="W12" s="108">
        <f>IF($A12="","",$B12-$E$63-$F$63-$G$63-$H$63)</f>
        <v/>
      </c>
      <c r="X12" s="98">
        <f>IF($A12="","",$L$63*$D12)</f>
        <v/>
      </c>
      <c r="Y12" s="108">
        <f>IF($A12="","",$B12-$E$64-$F$64)</f>
        <v/>
      </c>
      <c r="Z12" s="98">
        <f>IF($A12="","",$L$64*$D12)</f>
        <v/>
      </c>
      <c r="AA12" s="108">
        <f>IF($A12="","",$C12-$E$65-$F$65)</f>
        <v/>
      </c>
      <c r="AB12" s="98">
        <f>IF($A12="","",$L$65*$D12)</f>
        <v/>
      </c>
      <c r="AC12" s="108">
        <f>IF($A12="","",$B12-$E$66-$F$66)</f>
        <v/>
      </c>
      <c r="AD12" s="98">
        <f>IF($A12="","",$L$66*$D12)</f>
        <v/>
      </c>
      <c r="AE12" s="108">
        <f>IF($A12="","",$C12-$E$67-$F$67)</f>
        <v/>
      </c>
      <c r="AF12" s="98">
        <f>IF($A12="","",$L$67*$D12)</f>
        <v/>
      </c>
      <c r="AG12" s="105">
        <f>IF($A12="","",$O12-68-68)</f>
        <v/>
      </c>
      <c r="AH12" s="106">
        <f>IF($A12="","",$Q12-68-68)</f>
        <v/>
      </c>
      <c r="AI12" s="107">
        <f>IF($A12="","",4*$D12)</f>
        <v/>
      </c>
    </row>
    <row r="13" ht="40.15" customHeight="1">
      <c r="A13" s="101" t="inlineStr">
        <is>
          <t>D2</t>
        </is>
      </c>
      <c r="B13" s="102" t="n">
        <v>2380</v>
      </c>
      <c r="C13" s="92" t="n">
        <v>3800</v>
      </c>
      <c r="D13" s="103" t="n">
        <v>1</v>
      </c>
      <c r="E13" s="104">
        <f>IF($A13="","",$B13)</f>
        <v/>
      </c>
      <c r="F13" s="92">
        <f>IF($A13="","",$L$54*$D13)</f>
        <v/>
      </c>
      <c r="G13" s="104">
        <f>IF($A13="","",$B13)</f>
        <v/>
      </c>
      <c r="H13" s="92">
        <f>IF($A13="","",$L$55*$D13)</f>
        <v/>
      </c>
      <c r="I13" s="104">
        <f>IF($A13="","",$C13-$E$56-$F$56)</f>
        <v/>
      </c>
      <c r="J13" s="92">
        <f>IF($A13="","",$L$56*$D13)</f>
        <v/>
      </c>
      <c r="K13" s="104">
        <f>IF($A13="","",$C13-$E$57-$F$57)</f>
        <v/>
      </c>
      <c r="L13" s="92">
        <f>IF($A13="","",$L$57*$D13)</f>
        <v/>
      </c>
      <c r="M13" s="104">
        <f>IF($A13="","",$C13)</f>
        <v/>
      </c>
      <c r="N13" s="92">
        <f>IF($A13="","",$L$58*$D13)</f>
        <v/>
      </c>
      <c r="O13" s="104">
        <f>IF($A13="","",$B13-$E$59-$F$59-$G$59-$H$59)</f>
        <v/>
      </c>
      <c r="P13" s="92">
        <f>IF($A13="","",$L$59*$D13)</f>
        <v/>
      </c>
      <c r="Q13" s="104">
        <f>IF($A13="","",(($C13-$E$60-$F$60-$G$60-$H$60-$I$60)/4)+(78*3)/4)</f>
        <v/>
      </c>
      <c r="R13" s="92">
        <f>IF($A13="","",$L$60*$D13)</f>
        <v/>
      </c>
      <c r="S13" s="104">
        <f>IF($A13="","",$O13-$E$61-$F$61)</f>
        <v/>
      </c>
      <c r="T13" s="92">
        <f>IF($A13="","",$L$61*$D13)</f>
        <v/>
      </c>
      <c r="U13" s="104">
        <f>IF($A13="","",$Q13-$E$62-$F$62)</f>
        <v/>
      </c>
      <c r="V13" s="92">
        <f>IF($A13="","",$L$62*$D13)</f>
        <v/>
      </c>
      <c r="W13" s="104">
        <f>IF($A13="","",$B13-$E$63-$F$63-$G$63-$H$63)</f>
        <v/>
      </c>
      <c r="X13" s="92">
        <f>IF($A13="","",$L$63*$D13)</f>
        <v/>
      </c>
      <c r="Y13" s="104">
        <f>IF($A13="","",$B13-$E$64-$F$64)</f>
        <v/>
      </c>
      <c r="Z13" s="92">
        <f>IF($A13="","",$L$64*$D13)</f>
        <v/>
      </c>
      <c r="AA13" s="104">
        <f>IF($A13="","",$C13-$E$65-$F$65)</f>
        <v/>
      </c>
      <c r="AB13" s="92">
        <f>IF($A13="","",$L$65*$D13)</f>
        <v/>
      </c>
      <c r="AC13" s="104">
        <f>IF($A13="","",$B13-$E$66-$F$66)</f>
        <v/>
      </c>
      <c r="AD13" s="92">
        <f>IF($A13="","",$L$66*$D13)</f>
        <v/>
      </c>
      <c r="AE13" s="104">
        <f>IF($A13="","",$C13-$E$67-$F$67)</f>
        <v/>
      </c>
      <c r="AF13" s="92">
        <f>IF($A13="","",$L$67*$D13)</f>
        <v/>
      </c>
      <c r="AG13" s="105">
        <f>IF($A13="","",$O13-68-68)</f>
        <v/>
      </c>
      <c r="AH13" s="106">
        <f>IF($A13="","",$Q13-68-68)</f>
        <v/>
      </c>
      <c r="AI13" s="107">
        <f>IF($A13="","",4*$D13)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IF($A14="","",$B14)</f>
        <v/>
      </c>
      <c r="H14" s="98">
        <f>IF($A14="","",$L$55*$D14)</f>
        <v/>
      </c>
      <c r="I14" s="108">
        <f>IF($A14="","",$C14-$E$56-$F$56)</f>
        <v/>
      </c>
      <c r="J14" s="98">
        <f>IF($A14="","",$L$56*$D14)</f>
        <v/>
      </c>
      <c r="K14" s="108">
        <f>IF($A14="","",$C14-$E$57-$F$57)</f>
        <v/>
      </c>
      <c r="L14" s="98">
        <f>IF($A14="","",$L$57*$D14)</f>
        <v/>
      </c>
      <c r="M14" s="108">
        <f>IF($A14="","",$C14)</f>
        <v/>
      </c>
      <c r="N14" s="98">
        <f>IF($A14="","",$L$58*$D14)</f>
        <v/>
      </c>
      <c r="O14" s="108">
        <f>IF($A14="","",$B14-$E$59-$F$59-$G$59-$H$59)</f>
        <v/>
      </c>
      <c r="P14" s="98">
        <f>IF($A14="","",$L$59*$D14)</f>
        <v/>
      </c>
      <c r="Q14" s="108">
        <f>IF($A14="","",(($C14-$E$60-$F$60-$G$60-$H$60-$I$60)/4)+(78*3)/4)</f>
        <v/>
      </c>
      <c r="R14" s="98">
        <f>IF($A14="","",$L$60*$D14)</f>
        <v/>
      </c>
      <c r="S14" s="108">
        <f>IF($A14="","",$O14-$E$61-$F$61)</f>
        <v/>
      </c>
      <c r="T14" s="98">
        <f>IF($A14="","",$L$61*$D14)</f>
        <v/>
      </c>
      <c r="U14" s="108">
        <f>IF($A14="","",$Q14-$E$62-$F$62)</f>
        <v/>
      </c>
      <c r="V14" s="98">
        <f>IF($A14="","",$L$62*$D14)</f>
        <v/>
      </c>
      <c r="W14" s="108">
        <f>IF($A14="","",$B14-$E$63-$F$63-$G$63-$H$63)</f>
        <v/>
      </c>
      <c r="X14" s="98">
        <f>IF($A14="","",$L$63*$D14)</f>
        <v/>
      </c>
      <c r="Y14" s="108">
        <f>IF($A14="","",$B14-$E$64-$F$64)</f>
        <v/>
      </c>
      <c r="Z14" s="98">
        <f>IF($A14="","",$L$64*$D14)</f>
        <v/>
      </c>
      <c r="AA14" s="108">
        <f>IF($A14="","",$C14-$E$65-$F$65)</f>
        <v/>
      </c>
      <c r="AB14" s="98">
        <f>IF($A14="","",$L$65*$D14)</f>
        <v/>
      </c>
      <c r="AC14" s="108">
        <f>IF($A14="","",$B14-$E$66-$F$66)</f>
        <v/>
      </c>
      <c r="AD14" s="98">
        <f>IF($A14="","",$L$66*$D14)</f>
        <v/>
      </c>
      <c r="AE14" s="108">
        <f>IF($A14="","",$C14-$E$67-$F$67)</f>
        <v/>
      </c>
      <c r="AF14" s="98">
        <f>IF($A14="","",$L$67*$D14)</f>
        <v/>
      </c>
      <c r="AG14" s="105">
        <f>IF($A14="","",$O14-68-68)</f>
        <v/>
      </c>
      <c r="AH14" s="106">
        <f>IF($A14="","",$Q14-68-68)</f>
        <v/>
      </c>
      <c r="AI14" s="107">
        <f>IF($A14="","",4*$D14)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IF($A15="","",$B15)</f>
        <v/>
      </c>
      <c r="H15" s="92">
        <f>IF($A15="","",$L$55*$D15)</f>
        <v/>
      </c>
      <c r="I15" s="104">
        <f>IF($A15="","",$C15-$E$56-$F$56)</f>
        <v/>
      </c>
      <c r="J15" s="92">
        <f>IF($A15="","",$L$56*$D15)</f>
        <v/>
      </c>
      <c r="K15" s="104">
        <f>IF($A15="","",$C15-$E$57-$F$57)</f>
        <v/>
      </c>
      <c r="L15" s="92">
        <f>IF($A15="","",$L$57*$D15)</f>
        <v/>
      </c>
      <c r="M15" s="104">
        <f>IF($A15="","",$C15)</f>
        <v/>
      </c>
      <c r="N15" s="92">
        <f>IF($A15="","",$L$58*$D15)</f>
        <v/>
      </c>
      <c r="O15" s="104">
        <f>IF($A15="","",$B15-$E$59-$F$59-$G$59-$H$59)</f>
        <v/>
      </c>
      <c r="P15" s="92">
        <f>IF($A15="","",$L$59*$D15)</f>
        <v/>
      </c>
      <c r="Q15" s="104">
        <f>IF($A15="","",(($C15-$E$60-$F$60-$G$60-$H$60-$I$60)/4)+(78*3)/4)</f>
        <v/>
      </c>
      <c r="R15" s="92">
        <f>IF($A15="","",$L$60*$D15)</f>
        <v/>
      </c>
      <c r="S15" s="104">
        <f>IF($A15="","",$O15-$E$61-$F$61)</f>
        <v/>
      </c>
      <c r="T15" s="92">
        <f>IF($A15="","",$L$61*$D15)</f>
        <v/>
      </c>
      <c r="U15" s="104">
        <f>IF($A15="","",$Q15-$E$62-$F$62)</f>
        <v/>
      </c>
      <c r="V15" s="92">
        <f>IF($A15="","",$L$62*$D15)</f>
        <v/>
      </c>
      <c r="W15" s="104">
        <f>IF($A15="","",$B15-$E$63-$F$63-$G$63-$H$63)</f>
        <v/>
      </c>
      <c r="X15" s="92">
        <f>IF($A15="","",$L$63*$D15)</f>
        <v/>
      </c>
      <c r="Y15" s="104">
        <f>IF($A15="","",$B15-$E$64-$F$64)</f>
        <v/>
      </c>
      <c r="Z15" s="92">
        <f>IF($A15="","",$L$64*$D15)</f>
        <v/>
      </c>
      <c r="AA15" s="104">
        <f>IF($A15="","",$C15-$E$65-$F$65)</f>
        <v/>
      </c>
      <c r="AB15" s="92">
        <f>IF($A15="","",$L$65*$D15)</f>
        <v/>
      </c>
      <c r="AC15" s="104">
        <f>IF($A15="","",$B15-$E$66-$F$66)</f>
        <v/>
      </c>
      <c r="AD15" s="92">
        <f>IF($A15="","",$L$66*$D15)</f>
        <v/>
      </c>
      <c r="AE15" s="104">
        <f>IF($A15="","",$C15-$E$67-$F$67)</f>
        <v/>
      </c>
      <c r="AF15" s="92">
        <f>IF($A15="","",$L$67*$D15)</f>
        <v/>
      </c>
      <c r="AG15" s="105">
        <f>IF($A15="","",$O15-68-68)</f>
        <v/>
      </c>
      <c r="AH15" s="106">
        <f>IF($A15="","",$Q15-68-68)</f>
        <v/>
      </c>
      <c r="AI15" s="107">
        <f>IF($A15="","",4*$D15)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IF($A16="","",$B16)</f>
        <v/>
      </c>
      <c r="H16" s="98">
        <f>IF($A16="","",$L$55*$D16)</f>
        <v/>
      </c>
      <c r="I16" s="108">
        <f>IF($A16="","",$C16-$E$56-$F$56)</f>
        <v/>
      </c>
      <c r="J16" s="98">
        <f>IF($A16="","",$L$56*$D16)</f>
        <v/>
      </c>
      <c r="K16" s="108">
        <f>IF($A16="","",$C16-$E$57-$F$57)</f>
        <v/>
      </c>
      <c r="L16" s="98">
        <f>IF($A16="","",$L$57*$D16)</f>
        <v/>
      </c>
      <c r="M16" s="108">
        <f>IF($A16="","",$C16)</f>
        <v/>
      </c>
      <c r="N16" s="98">
        <f>IF($A16="","",$L$58*$D16)</f>
        <v/>
      </c>
      <c r="O16" s="108">
        <f>IF($A16="","",$B16-$E$59-$F$59-$G$59-$H$59)</f>
        <v/>
      </c>
      <c r="P16" s="98">
        <f>IF($A16="","",$L$59*$D16)</f>
        <v/>
      </c>
      <c r="Q16" s="108">
        <f>IF($A16="","",(($C16-$E$60-$F$60-$G$60-$H$60-$I$60)/4)+(78*3)/4)</f>
        <v/>
      </c>
      <c r="R16" s="98">
        <f>IF($A16="","",$L$60*$D16)</f>
        <v/>
      </c>
      <c r="S16" s="108">
        <f>IF($A16="","",$O16-$E$61-$F$61)</f>
        <v/>
      </c>
      <c r="T16" s="98">
        <f>IF($A16="","",$L$61*$D16)</f>
        <v/>
      </c>
      <c r="U16" s="108">
        <f>IF($A16="","",$Q16-$E$62-$F$62)</f>
        <v/>
      </c>
      <c r="V16" s="98">
        <f>IF($A16="","",$L$62*$D16)</f>
        <v/>
      </c>
      <c r="W16" s="108">
        <f>IF($A16="","",$B16-$E$63-$F$63-$G$63-$H$63)</f>
        <v/>
      </c>
      <c r="X16" s="98">
        <f>IF($A16="","",$L$63*$D16)</f>
        <v/>
      </c>
      <c r="Y16" s="108">
        <f>IF($A16="","",$B16-$E$64-$F$64)</f>
        <v/>
      </c>
      <c r="Z16" s="98">
        <f>IF($A16="","",$L$64*$D16)</f>
        <v/>
      </c>
      <c r="AA16" s="108">
        <f>IF($A16="","",$C16-$E$65-$F$65)</f>
        <v/>
      </c>
      <c r="AB16" s="98">
        <f>IF($A16="","",$L$65*$D16)</f>
        <v/>
      </c>
      <c r="AC16" s="108">
        <f>IF($A16="","",$B16-$E$66-$F$66)</f>
        <v/>
      </c>
      <c r="AD16" s="98">
        <f>IF($A16="","",$L$66*$D16)</f>
        <v/>
      </c>
      <c r="AE16" s="108">
        <f>IF($A16="","",$C16-$E$67-$F$67)</f>
        <v/>
      </c>
      <c r="AF16" s="98">
        <f>IF($A16="","",$L$67*$D16)</f>
        <v/>
      </c>
      <c r="AG16" s="105">
        <f>IF($A16="","",$O16-68-68)</f>
        <v/>
      </c>
      <c r="AH16" s="106">
        <f>IF($A16="","",$Q16-68-68)</f>
        <v/>
      </c>
      <c r="AI16" s="107">
        <f>IF($A16="","",4*$D16)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IF($A17="","",$B17)</f>
        <v/>
      </c>
      <c r="H17" s="92">
        <f>IF($A17="","",$L$55*$D17)</f>
        <v/>
      </c>
      <c r="I17" s="104">
        <f>IF($A17="","",$C17-$E$56-$F$56)</f>
        <v/>
      </c>
      <c r="J17" s="92">
        <f>IF($A17="","",$L$56*$D17)</f>
        <v/>
      </c>
      <c r="K17" s="104">
        <f>IF($A17="","",$C17-$E$57-$F$57)</f>
        <v/>
      </c>
      <c r="L17" s="92">
        <f>IF($A17="","",$L$57*$D17)</f>
        <v/>
      </c>
      <c r="M17" s="104">
        <f>IF($A17="","",$C17)</f>
        <v/>
      </c>
      <c r="N17" s="92">
        <f>IF($A17="","",$L$58*$D17)</f>
        <v/>
      </c>
      <c r="O17" s="104">
        <f>IF($A17="","",$B17-$E$59-$F$59-$G$59-$H$59)</f>
        <v/>
      </c>
      <c r="P17" s="92">
        <f>IF($A17="","",$L$59*$D17)</f>
        <v/>
      </c>
      <c r="Q17" s="104">
        <f>IF($A17="","",(($C17-$E$60-$F$60-$G$60-$H$60-$I$60)/4)+(78*3)/4)</f>
        <v/>
      </c>
      <c r="R17" s="92">
        <f>IF($A17="","",$L$60*$D17)</f>
        <v/>
      </c>
      <c r="S17" s="104">
        <f>IF($A17="","",$O17-$E$61-$F$61)</f>
        <v/>
      </c>
      <c r="T17" s="92">
        <f>IF($A17="","",$L$61*$D17)</f>
        <v/>
      </c>
      <c r="U17" s="104">
        <f>IF($A17="","",$Q17-$E$62-$F$62)</f>
        <v/>
      </c>
      <c r="V17" s="92">
        <f>IF($A17="","",$L$62*$D17)</f>
        <v/>
      </c>
      <c r="W17" s="104">
        <f>IF($A17="","",$B17-$E$63-$F$63-$G$63-$H$63)</f>
        <v/>
      </c>
      <c r="X17" s="92">
        <f>IF($A17="","",$L$63*$D17)</f>
        <v/>
      </c>
      <c r="Y17" s="104">
        <f>IF($A17="","",$B17-$E$64-$F$64)</f>
        <v/>
      </c>
      <c r="Z17" s="92">
        <f>IF($A17="","",$L$64*$D17)</f>
        <v/>
      </c>
      <c r="AA17" s="104">
        <f>IF($A17="","",$C17-$E$65-$F$65)</f>
        <v/>
      </c>
      <c r="AB17" s="92">
        <f>IF($A17="","",$L$65*$D17)</f>
        <v/>
      </c>
      <c r="AC17" s="104">
        <f>IF($A17="","",$B17-$E$66-$F$66)</f>
        <v/>
      </c>
      <c r="AD17" s="92">
        <f>IF($A17="","",$L$66*$D17)</f>
        <v/>
      </c>
      <c r="AE17" s="104">
        <f>IF($A17="","",$C17-$E$67-$F$67)</f>
        <v/>
      </c>
      <c r="AF17" s="92">
        <f>IF($A17="","",$L$67*$D17)</f>
        <v/>
      </c>
      <c r="AG17" s="105">
        <f>IF($A17="","",$O17-68-68)</f>
        <v/>
      </c>
      <c r="AH17" s="106">
        <f>IF($A17="","",$Q17-68-68)</f>
        <v/>
      </c>
      <c r="AI17" s="107">
        <f>IF($A17="","",4*$D17)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IF($A18="","",$B18)</f>
        <v/>
      </c>
      <c r="H18" s="98">
        <f>IF($A18="","",$L$55*$D18)</f>
        <v/>
      </c>
      <c r="I18" s="108">
        <f>IF($A18="","",$C18-$E$56-$F$56)</f>
        <v/>
      </c>
      <c r="J18" s="98">
        <f>IF($A18="","",$L$56*$D18)</f>
        <v/>
      </c>
      <c r="K18" s="108">
        <f>IF($A18="","",$C18-$E$57-$F$57)</f>
        <v/>
      </c>
      <c r="L18" s="98">
        <f>IF($A18="","",$L$57*$D18)</f>
        <v/>
      </c>
      <c r="M18" s="108">
        <f>IF($A18="","",$C18)</f>
        <v/>
      </c>
      <c r="N18" s="98">
        <f>IF($A18="","",$L$58*$D18)</f>
        <v/>
      </c>
      <c r="O18" s="108">
        <f>IF($A18="","",$B18-$E$59-$F$59-$G$59-$H$59)</f>
        <v/>
      </c>
      <c r="P18" s="98">
        <f>IF($A18="","",$L$59*$D18)</f>
        <v/>
      </c>
      <c r="Q18" s="108">
        <f>IF($A18="","",(($C18-$E$60-$F$60-$G$60-$H$60-$I$60)/4)+(78*3)/4)</f>
        <v/>
      </c>
      <c r="R18" s="98">
        <f>IF($A18="","",$L$60*$D18)</f>
        <v/>
      </c>
      <c r="S18" s="108">
        <f>IF($A18="","",$O18-$E$61-$F$61)</f>
        <v/>
      </c>
      <c r="T18" s="98">
        <f>IF($A18="","",$L$61*$D18)</f>
        <v/>
      </c>
      <c r="U18" s="108">
        <f>IF($A18="","",$Q18-$E$62-$F$62)</f>
        <v/>
      </c>
      <c r="V18" s="98">
        <f>IF($A18="","",$L$62*$D18)</f>
        <v/>
      </c>
      <c r="W18" s="108">
        <f>IF($A18="","",$B18-$E$63-$F$63-$G$63-$H$63)</f>
        <v/>
      </c>
      <c r="X18" s="98">
        <f>IF($A18="","",$L$63*$D18)</f>
        <v/>
      </c>
      <c r="Y18" s="108">
        <f>IF($A18="","",$B18-$E$64-$F$64)</f>
        <v/>
      </c>
      <c r="Z18" s="98">
        <f>IF($A18="","",$L$64*$D18)</f>
        <v/>
      </c>
      <c r="AA18" s="108">
        <f>IF($A18="","",$C18-$E$65-$F$65)</f>
        <v/>
      </c>
      <c r="AB18" s="98">
        <f>IF($A18="","",$L$65*$D18)</f>
        <v/>
      </c>
      <c r="AC18" s="108">
        <f>IF($A18="","",$B18-$E$66-$F$66)</f>
        <v/>
      </c>
      <c r="AD18" s="98">
        <f>IF($A18="","",$L$66*$D18)</f>
        <v/>
      </c>
      <c r="AE18" s="108">
        <f>IF($A18="","",$C18-$E$67-$F$67)</f>
        <v/>
      </c>
      <c r="AF18" s="98">
        <f>IF($A18="","",$L$67*$D18)</f>
        <v/>
      </c>
      <c r="AG18" s="105">
        <f>IF($A18="","",$O18-68-68)</f>
        <v/>
      </c>
      <c r="AH18" s="106">
        <f>IF($A18="","",$Q18-68-68)</f>
        <v/>
      </c>
      <c r="AI18" s="107">
        <f>IF($A18="","",4*$D18)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IF($A19="","",$B19)</f>
        <v/>
      </c>
      <c r="H19" s="92">
        <f>IF($A19="","",$L$55*$D19)</f>
        <v/>
      </c>
      <c r="I19" s="104">
        <f>IF($A19="","",$C19-$E$56-$F$56)</f>
        <v/>
      </c>
      <c r="J19" s="92">
        <f>IF($A19="","",$L$56*$D19)</f>
        <v/>
      </c>
      <c r="K19" s="104">
        <f>IF($A19="","",$C19-$E$57-$F$57)</f>
        <v/>
      </c>
      <c r="L19" s="92">
        <f>IF($A19="","",$L$57*$D19)</f>
        <v/>
      </c>
      <c r="M19" s="104">
        <f>IF($A19="","",$C19)</f>
        <v/>
      </c>
      <c r="N19" s="92">
        <f>IF($A19="","",$L$58*$D19)</f>
        <v/>
      </c>
      <c r="O19" s="104">
        <f>IF($A19="","",$B19-$E$59-$F$59-$G$59-$H$59)</f>
        <v/>
      </c>
      <c r="P19" s="92">
        <f>IF($A19="","",$L$59*$D19)</f>
        <v/>
      </c>
      <c r="Q19" s="104">
        <f>IF($A19="","",(($C19-$E$60-$F$60-$G$60-$H$60-$I$60)/4)+(78*3)/4)</f>
        <v/>
      </c>
      <c r="R19" s="92">
        <f>IF($A19="","",$L$60*$D19)</f>
        <v/>
      </c>
      <c r="S19" s="104">
        <f>IF($A19="","",$O19-$E$61-$F$61)</f>
        <v/>
      </c>
      <c r="T19" s="92">
        <f>IF($A19="","",$L$61*$D19)</f>
        <v/>
      </c>
      <c r="U19" s="104">
        <f>IF($A19="","",$Q19-$E$62-$F$62)</f>
        <v/>
      </c>
      <c r="V19" s="92">
        <f>IF($A19="","",$L$62*$D19)</f>
        <v/>
      </c>
      <c r="W19" s="104">
        <f>IF($A19="","",$B19-$E$63-$F$63-$G$63-$H$63)</f>
        <v/>
      </c>
      <c r="X19" s="92">
        <f>IF($A19="","",$L$63*$D19)</f>
        <v/>
      </c>
      <c r="Y19" s="104">
        <f>IF($A19="","",$B19-$E$64-$F$64)</f>
        <v/>
      </c>
      <c r="Z19" s="92">
        <f>IF($A19="","",$L$64*$D19)</f>
        <v/>
      </c>
      <c r="AA19" s="104">
        <f>IF($A19="","",$C19-$E$65-$F$65)</f>
        <v/>
      </c>
      <c r="AB19" s="92">
        <f>IF($A19="","",$L$65*$D19)</f>
        <v/>
      </c>
      <c r="AC19" s="104">
        <f>IF($A19="","",$B19-$E$66-$F$66)</f>
        <v/>
      </c>
      <c r="AD19" s="92">
        <f>IF($A19="","",$L$66*$D19)</f>
        <v/>
      </c>
      <c r="AE19" s="104">
        <f>IF($A19="","",$C19-$E$67-$F$67)</f>
        <v/>
      </c>
      <c r="AF19" s="92">
        <f>IF($A19="","",$L$67*$D19)</f>
        <v/>
      </c>
      <c r="AG19" s="105">
        <f>IF($A19="","",$O19-68-68)</f>
        <v/>
      </c>
      <c r="AH19" s="106">
        <f>IF($A19="","",$Q19-68-68)</f>
        <v/>
      </c>
      <c r="AI19" s="107">
        <f>IF($A19="","",4*$D19)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IF($A20="","",$B20)</f>
        <v/>
      </c>
      <c r="H20" s="98">
        <f>IF($A20="","",$L$55*$D20)</f>
        <v/>
      </c>
      <c r="I20" s="108">
        <f>IF($A20="","",$C20-$E$56-$F$56)</f>
        <v/>
      </c>
      <c r="J20" s="98">
        <f>IF($A20="","",$L$56*$D20)</f>
        <v/>
      </c>
      <c r="K20" s="108">
        <f>IF($A20="","",$C20-$E$57-$F$57)</f>
        <v/>
      </c>
      <c r="L20" s="98">
        <f>IF($A20="","",$L$57*$D20)</f>
        <v/>
      </c>
      <c r="M20" s="108">
        <f>IF($A20="","",$C20)</f>
        <v/>
      </c>
      <c r="N20" s="98">
        <f>IF($A20="","",$L$58*$D20)</f>
        <v/>
      </c>
      <c r="O20" s="108">
        <f>IF($A20="","",$B20-$E$59-$F$59-$G$59-$H$59)</f>
        <v/>
      </c>
      <c r="P20" s="98">
        <f>IF($A20="","",$L$59*$D20)</f>
        <v/>
      </c>
      <c r="Q20" s="108">
        <f>IF($A20="","",(($C20-$E$60-$F$60-$G$60-$H$60-$I$60)/4)+(78*3)/4)</f>
        <v/>
      </c>
      <c r="R20" s="98">
        <f>IF($A20="","",$L$60*$D20)</f>
        <v/>
      </c>
      <c r="S20" s="108">
        <f>IF($A20="","",$O20-$E$61-$F$61)</f>
        <v/>
      </c>
      <c r="T20" s="98">
        <f>IF($A20="","",$L$61*$D20)</f>
        <v/>
      </c>
      <c r="U20" s="108">
        <f>IF($A20="","",$Q20-$E$62-$F$62)</f>
        <v/>
      </c>
      <c r="V20" s="98">
        <f>IF($A20="","",$L$62*$D20)</f>
        <v/>
      </c>
      <c r="W20" s="108">
        <f>IF($A20="","",$B20-$E$63-$F$63-$G$63-$H$63)</f>
        <v/>
      </c>
      <c r="X20" s="98">
        <f>IF($A20="","",$L$63*$D20)</f>
        <v/>
      </c>
      <c r="Y20" s="108">
        <f>IF($A20="","",$B20-$E$64-$F$64)</f>
        <v/>
      </c>
      <c r="Z20" s="98">
        <f>IF($A20="","",$L$64*$D20)</f>
        <v/>
      </c>
      <c r="AA20" s="108">
        <f>IF($A20="","",$C20-$E$65-$F$65)</f>
        <v/>
      </c>
      <c r="AB20" s="98">
        <f>IF($A20="","",$L$65*$D20)</f>
        <v/>
      </c>
      <c r="AC20" s="108">
        <f>IF($A20="","",$B20-$E$66-$F$66)</f>
        <v/>
      </c>
      <c r="AD20" s="98">
        <f>IF($A20="","",$L$66*$D20)</f>
        <v/>
      </c>
      <c r="AE20" s="108">
        <f>IF($A20="","",$C20-$E$67-$F$67)</f>
        <v/>
      </c>
      <c r="AF20" s="98">
        <f>IF($A20="","",$L$67*$D20)</f>
        <v/>
      </c>
      <c r="AG20" s="105">
        <f>IF($A20="","",$O20-68-68)</f>
        <v/>
      </c>
      <c r="AH20" s="106">
        <f>IF($A20="","",$Q20-68-68)</f>
        <v/>
      </c>
      <c r="AI20" s="107">
        <f>IF($A20="","",4*$D20)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IF($A21="","",$B21)</f>
        <v/>
      </c>
      <c r="H21" s="92">
        <f>IF($A21="","",$L$55*$D21)</f>
        <v/>
      </c>
      <c r="I21" s="104">
        <f>IF($A21="","",$C21-$E$56-$F$56)</f>
        <v/>
      </c>
      <c r="J21" s="92">
        <f>IF($A21="","",$L$56*$D21)</f>
        <v/>
      </c>
      <c r="K21" s="104">
        <f>IF($A21="","",$C21-$E$57-$F$57)</f>
        <v/>
      </c>
      <c r="L21" s="92">
        <f>IF($A21="","",$L$57*$D21)</f>
        <v/>
      </c>
      <c r="M21" s="104">
        <f>IF($A21="","",$C21)</f>
        <v/>
      </c>
      <c r="N21" s="92">
        <f>IF($A21="","",$L$58*$D21)</f>
        <v/>
      </c>
      <c r="O21" s="104">
        <f>IF($A21="","",$B21-$E$59-$F$59-$G$59-$H$59)</f>
        <v/>
      </c>
      <c r="P21" s="92">
        <f>IF($A21="","",$L$59*$D21)</f>
        <v/>
      </c>
      <c r="Q21" s="104">
        <f>IF($A21="","",(($C21-$E$60-$F$60-$G$60-$H$60-$I$60)/4)+(78*3)/4)</f>
        <v/>
      </c>
      <c r="R21" s="92">
        <f>IF($A21="","",$L$60*$D21)</f>
        <v/>
      </c>
      <c r="S21" s="104">
        <f>IF($A21="","",$O21-$E$61-$F$61)</f>
        <v/>
      </c>
      <c r="T21" s="92">
        <f>IF($A21="","",$L$61*$D21)</f>
        <v/>
      </c>
      <c r="U21" s="104">
        <f>IF($A21="","",$Q21-$E$62-$F$62)</f>
        <v/>
      </c>
      <c r="V21" s="92">
        <f>IF($A21="","",$L$62*$D21)</f>
        <v/>
      </c>
      <c r="W21" s="104">
        <f>IF($A21="","",$B21-$E$63-$F$63-$G$63-$H$63)</f>
        <v/>
      </c>
      <c r="X21" s="92">
        <f>IF($A21="","",$L$63*$D21)</f>
        <v/>
      </c>
      <c r="Y21" s="104">
        <f>IF($A21="","",$B21-$E$64-$F$64)</f>
        <v/>
      </c>
      <c r="Z21" s="92">
        <f>IF($A21="","",$L$64*$D21)</f>
        <v/>
      </c>
      <c r="AA21" s="104">
        <f>IF($A21="","",$C21-$E$65-$F$65)</f>
        <v/>
      </c>
      <c r="AB21" s="92">
        <f>IF($A21="","",$L$65*$D21)</f>
        <v/>
      </c>
      <c r="AC21" s="104">
        <f>IF($A21="","",$B21-$E$66-$F$66)</f>
        <v/>
      </c>
      <c r="AD21" s="92">
        <f>IF($A21="","",$L$66*$D21)</f>
        <v/>
      </c>
      <c r="AE21" s="104">
        <f>IF($A21="","",$C21-$E$67-$F$67)</f>
        <v/>
      </c>
      <c r="AF21" s="92">
        <f>IF($A21="","",$L$67*$D21)</f>
        <v/>
      </c>
      <c r="AG21" s="105">
        <f>IF($A21="","",$O21-68-68)</f>
        <v/>
      </c>
      <c r="AH21" s="106">
        <f>IF($A21="","",$Q21-68-68)</f>
        <v/>
      </c>
      <c r="AI21" s="107">
        <f>IF($A21="","",4*$D21)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IF($A22="","",$B22)</f>
        <v/>
      </c>
      <c r="H22" s="98">
        <f>IF($A22="","",$L$55*$D22)</f>
        <v/>
      </c>
      <c r="I22" s="108">
        <f>IF($A22="","",$C22-$E$56-$F$56)</f>
        <v/>
      </c>
      <c r="J22" s="98">
        <f>IF($A22="","",$L$56*$D22)</f>
        <v/>
      </c>
      <c r="K22" s="108">
        <f>IF($A22="","",$C22-$E$57-$F$57)</f>
        <v/>
      </c>
      <c r="L22" s="98">
        <f>IF($A22="","",$L$57*$D22)</f>
        <v/>
      </c>
      <c r="M22" s="108">
        <f>IF($A22="","",$C22)</f>
        <v/>
      </c>
      <c r="N22" s="98">
        <f>IF($A22="","",$L$58*$D22)</f>
        <v/>
      </c>
      <c r="O22" s="108">
        <f>IF($A22="","",$B22-$E$59-$F$59-$G$59-$H$59)</f>
        <v/>
      </c>
      <c r="P22" s="98">
        <f>IF($A22="","",$L$59*$D22)</f>
        <v/>
      </c>
      <c r="Q22" s="108">
        <f>IF($A22="","",(($C22-$E$60-$F$60-$G$60-$H$60-$I$60)/4)+(78*3)/4)</f>
        <v/>
      </c>
      <c r="R22" s="98">
        <f>IF($A22="","",$L$60*$D22)</f>
        <v/>
      </c>
      <c r="S22" s="108">
        <f>IF($A22="","",$O22-$E$61-$F$61)</f>
        <v/>
      </c>
      <c r="T22" s="98">
        <f>IF($A22="","",$L$61*$D22)</f>
        <v/>
      </c>
      <c r="U22" s="108">
        <f>IF($A22="","",$Q22-$E$62-$F$62)</f>
        <v/>
      </c>
      <c r="V22" s="98">
        <f>IF($A22="","",$L$62*$D22)</f>
        <v/>
      </c>
      <c r="W22" s="108">
        <f>IF($A22="","",$B22-$E$63-$F$63-$G$63-$H$63)</f>
        <v/>
      </c>
      <c r="X22" s="98">
        <f>IF($A22="","",$L$63*$D22)</f>
        <v/>
      </c>
      <c r="Y22" s="108">
        <f>IF($A22="","",$B22-$E$64-$F$64)</f>
        <v/>
      </c>
      <c r="Z22" s="98">
        <f>IF($A22="","",$L$64*$D22)</f>
        <v/>
      </c>
      <c r="AA22" s="108">
        <f>IF($A22="","",$C22-$E$65-$F$65)</f>
        <v/>
      </c>
      <c r="AB22" s="98">
        <f>IF($A22="","",$L$65*$D22)</f>
        <v/>
      </c>
      <c r="AC22" s="108">
        <f>IF($A22="","",$B22-$E$66-$F$66)</f>
        <v/>
      </c>
      <c r="AD22" s="98">
        <f>IF($A22="","",$L$66*$D22)</f>
        <v/>
      </c>
      <c r="AE22" s="108">
        <f>IF($A22="","",$C22-$E$67-$F$67)</f>
        <v/>
      </c>
      <c r="AF22" s="98">
        <f>IF($A22="","",$L$67*$D22)</f>
        <v/>
      </c>
      <c r="AG22" s="105">
        <f>IF($A22="","",$O22-68-68)</f>
        <v/>
      </c>
      <c r="AH22" s="106">
        <f>IF($A22="","",$Q22-68-68)</f>
        <v/>
      </c>
      <c r="AI22" s="107">
        <f>IF($A22="","",4*$D22)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IF($A23="","",$B23)</f>
        <v/>
      </c>
      <c r="H23" s="92">
        <f>IF($A23="","",$L$55*$D23)</f>
        <v/>
      </c>
      <c r="I23" s="104">
        <f>IF($A23="","",$C23-$E$56-$F$56)</f>
        <v/>
      </c>
      <c r="J23" s="92">
        <f>IF($A23="","",$L$56*$D23)</f>
        <v/>
      </c>
      <c r="K23" s="104">
        <f>IF($A23="","",$C23-$E$57-$F$57)</f>
        <v/>
      </c>
      <c r="L23" s="92">
        <f>IF($A23="","",$L$57*$D23)</f>
        <v/>
      </c>
      <c r="M23" s="104">
        <f>IF($A23="","",$C23)</f>
        <v/>
      </c>
      <c r="N23" s="92">
        <f>IF($A23="","",$L$58*$D23)</f>
        <v/>
      </c>
      <c r="O23" s="104">
        <f>IF($A23="","",$B23-$E$59-$F$59-$G$59-$H$59)</f>
        <v/>
      </c>
      <c r="P23" s="92">
        <f>IF($A23="","",$L$59*$D23)</f>
        <v/>
      </c>
      <c r="Q23" s="104">
        <f>IF($A23="","",(($C23-$E$60-$F$60-$G$60-$H$60-$I$60)/4)+(78*3)/4)</f>
        <v/>
      </c>
      <c r="R23" s="92">
        <f>IF($A23="","",$L$60*$D23)</f>
        <v/>
      </c>
      <c r="S23" s="104">
        <f>IF($A23="","",$O23-$E$61-$F$61)</f>
        <v/>
      </c>
      <c r="T23" s="92">
        <f>IF($A23="","",$L$61*$D23)</f>
        <v/>
      </c>
      <c r="U23" s="104">
        <f>IF($A23="","",$Q23-$E$62-$F$62)</f>
        <v/>
      </c>
      <c r="V23" s="92">
        <f>IF($A23="","",$L$62*$D23)</f>
        <v/>
      </c>
      <c r="W23" s="104">
        <f>IF($A23="","",$B23-$E$63-$F$63-$G$63-$H$63)</f>
        <v/>
      </c>
      <c r="X23" s="92">
        <f>IF($A23="","",$L$63*$D23)</f>
        <v/>
      </c>
      <c r="Y23" s="104">
        <f>IF($A23="","",$B23-$E$64-$F$64)</f>
        <v/>
      </c>
      <c r="Z23" s="92">
        <f>IF($A23="","",$L$64*$D23)</f>
        <v/>
      </c>
      <c r="AA23" s="104">
        <f>IF($A23="","",$C23-$E$65-$F$65)</f>
        <v/>
      </c>
      <c r="AB23" s="92">
        <f>IF($A23="","",$L$65*$D23)</f>
        <v/>
      </c>
      <c r="AC23" s="104">
        <f>IF($A23="","",$B23-$E$66-$F$66)</f>
        <v/>
      </c>
      <c r="AD23" s="92">
        <f>IF($A23="","",$L$66*$D23)</f>
        <v/>
      </c>
      <c r="AE23" s="104">
        <f>IF($A23="","",$C23-$E$67-$F$67)</f>
        <v/>
      </c>
      <c r="AF23" s="92">
        <f>IF($A23="","",$L$67*$D23)</f>
        <v/>
      </c>
      <c r="AG23" s="105">
        <f>IF($A23="","",$O23-68-68)</f>
        <v/>
      </c>
      <c r="AH23" s="106">
        <f>IF($A23="","",$Q23-68-68)</f>
        <v/>
      </c>
      <c r="AI23" s="107">
        <f>IF($A23="","",4*$D23)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IF($A24="","",$B24)</f>
        <v/>
      </c>
      <c r="H24" s="98">
        <f>IF($A24="","",$L$55*$D24)</f>
        <v/>
      </c>
      <c r="I24" s="108">
        <f>IF($A24="","",$C24-$E$56-$F$56)</f>
        <v/>
      </c>
      <c r="J24" s="98">
        <f>IF($A24="","",$L$56*$D24)</f>
        <v/>
      </c>
      <c r="K24" s="108">
        <f>IF($A24="","",$C24-$E$57-$F$57)</f>
        <v/>
      </c>
      <c r="L24" s="98">
        <f>IF($A24="","",$L$57*$D24)</f>
        <v/>
      </c>
      <c r="M24" s="108">
        <f>IF($A24="","",$C24)</f>
        <v/>
      </c>
      <c r="N24" s="98">
        <f>IF($A24="","",$L$58*$D24)</f>
        <v/>
      </c>
      <c r="O24" s="108">
        <f>IF($A24="","",$B24-$E$59-$F$59-$G$59-$H$59)</f>
        <v/>
      </c>
      <c r="P24" s="98">
        <f>IF($A24="","",$L$59*$D24)</f>
        <v/>
      </c>
      <c r="Q24" s="108">
        <f>IF($A24="","",(($C24-$E$60-$F$60-$G$60-$H$60-$I$60)/4)+(78*3)/4)</f>
        <v/>
      </c>
      <c r="R24" s="98">
        <f>IF($A24="","",$L$60*$D24)</f>
        <v/>
      </c>
      <c r="S24" s="108">
        <f>IF($A24="","",$O24-$E$61-$F$61)</f>
        <v/>
      </c>
      <c r="T24" s="98">
        <f>IF($A24="","",$L$61*$D24)</f>
        <v/>
      </c>
      <c r="U24" s="108">
        <f>IF($A24="","",$Q24-$E$62-$F$62)</f>
        <v/>
      </c>
      <c r="V24" s="98">
        <f>IF($A24="","",$L$62*$D24)</f>
        <v/>
      </c>
      <c r="W24" s="108">
        <f>IF($A24="","",$B24-$E$63-$F$63-$G$63-$H$63)</f>
        <v/>
      </c>
      <c r="X24" s="98">
        <f>IF($A24="","",$L$63*$D24)</f>
        <v/>
      </c>
      <c r="Y24" s="108">
        <f>IF($A24="","",$B24-$E$64-$F$64)</f>
        <v/>
      </c>
      <c r="Z24" s="98">
        <f>IF($A24="","",$L$64*$D24)</f>
        <v/>
      </c>
      <c r="AA24" s="108">
        <f>IF($A24="","",$C24-$E$65-$F$65)</f>
        <v/>
      </c>
      <c r="AB24" s="98">
        <f>IF($A24="","",$L$65*$D24)</f>
        <v/>
      </c>
      <c r="AC24" s="108">
        <f>IF($A24="","",$B24-$E$66-$F$66)</f>
        <v/>
      </c>
      <c r="AD24" s="98">
        <f>IF($A24="","",$L$66*$D24)</f>
        <v/>
      </c>
      <c r="AE24" s="108">
        <f>IF($A24="","",$C24-$E$67-$F$67)</f>
        <v/>
      </c>
      <c r="AF24" s="98">
        <f>IF($A24="","",$L$67*$D24)</f>
        <v/>
      </c>
      <c r="AG24" s="105">
        <f>IF($A24="","",$O24-68-68)</f>
        <v/>
      </c>
      <c r="AH24" s="106">
        <f>IF($A24="","",$Q24-68-68)</f>
        <v/>
      </c>
      <c r="AI24" s="107">
        <f>IF($A24="","",4*$D24)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IF($A25="","",$B25)</f>
        <v/>
      </c>
      <c r="H25" s="92">
        <f>IF($A25="","",$L$55*$D25)</f>
        <v/>
      </c>
      <c r="I25" s="104">
        <f>IF($A25="","",$C25-$E$56-$F$56)</f>
        <v/>
      </c>
      <c r="J25" s="92">
        <f>IF($A25="","",$L$56*$D25)</f>
        <v/>
      </c>
      <c r="K25" s="104">
        <f>IF($A25="","",$C25-$E$57-$F$57)</f>
        <v/>
      </c>
      <c r="L25" s="92">
        <f>IF($A25="","",$L$57*$D25)</f>
        <v/>
      </c>
      <c r="M25" s="104">
        <f>IF($A25="","",$C25)</f>
        <v/>
      </c>
      <c r="N25" s="92">
        <f>IF($A25="","",$L$58*$D25)</f>
        <v/>
      </c>
      <c r="O25" s="104">
        <f>IF($A25="","",$B25-$E$59-$F$59-$G$59-$H$59)</f>
        <v/>
      </c>
      <c r="P25" s="92">
        <f>IF($A25="","",$L$59*$D25)</f>
        <v/>
      </c>
      <c r="Q25" s="104">
        <f>IF($A25="","",(($C25-$E$60-$F$60-$G$60-$H$60-$I$60)/4)+(78*3)/4)</f>
        <v/>
      </c>
      <c r="R25" s="92">
        <f>IF($A25="","",$L$60*$D25)</f>
        <v/>
      </c>
      <c r="S25" s="104">
        <f>IF($A25="","",$O25-$E$61-$F$61)</f>
        <v/>
      </c>
      <c r="T25" s="92">
        <f>IF($A25="","",$L$61*$D25)</f>
        <v/>
      </c>
      <c r="U25" s="104">
        <f>IF($A25="","",$Q25-$E$62-$F$62)</f>
        <v/>
      </c>
      <c r="V25" s="92">
        <f>IF($A25="","",$L$62*$D25)</f>
        <v/>
      </c>
      <c r="W25" s="104">
        <f>IF($A25="","",$B25-$E$63-$F$63-$G$63-$H$63)</f>
        <v/>
      </c>
      <c r="X25" s="92">
        <f>IF($A25="","",$L$63*$D25)</f>
        <v/>
      </c>
      <c r="Y25" s="104">
        <f>IF($A25="","",$B25-$E$64-$F$64)</f>
        <v/>
      </c>
      <c r="Z25" s="92">
        <f>IF($A25="","",$L$64*$D25)</f>
        <v/>
      </c>
      <c r="AA25" s="104">
        <f>IF($A25="","",$C25-$E$65-$F$65)</f>
        <v/>
      </c>
      <c r="AB25" s="92">
        <f>IF($A25="","",$L$65*$D25)</f>
        <v/>
      </c>
      <c r="AC25" s="104">
        <f>IF($A25="","",$B25-$E$66-$F$66)</f>
        <v/>
      </c>
      <c r="AD25" s="92">
        <f>IF($A25="","",$L$66*$D25)</f>
        <v/>
      </c>
      <c r="AE25" s="104">
        <f>IF($A25="","",$C25-$E$67-$F$67)</f>
        <v/>
      </c>
      <c r="AF25" s="92">
        <f>IF($A25="","",$L$67*$D25)</f>
        <v/>
      </c>
      <c r="AG25" s="105">
        <f>IF($A25="","",$O25-68-68)</f>
        <v/>
      </c>
      <c r="AH25" s="106">
        <f>IF($A25="","",$Q25-68-68)</f>
        <v/>
      </c>
      <c r="AI25" s="107">
        <f>IF($A25="","",4*$D25)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IF($A26="","",$B26)</f>
        <v/>
      </c>
      <c r="H26" s="98">
        <f>IF($A26="","",$L$55*$D26)</f>
        <v/>
      </c>
      <c r="I26" s="108">
        <f>IF($A26="","",$C26-$E$56-$F$56)</f>
        <v/>
      </c>
      <c r="J26" s="98">
        <f>IF($A26="","",$L$56*$D26)</f>
        <v/>
      </c>
      <c r="K26" s="108">
        <f>IF($A26="","",$C26-$E$57-$F$57)</f>
        <v/>
      </c>
      <c r="L26" s="98">
        <f>IF($A26="","",$L$57*$D26)</f>
        <v/>
      </c>
      <c r="M26" s="108">
        <f>IF($A26="","",$C26)</f>
        <v/>
      </c>
      <c r="N26" s="98">
        <f>IF($A26="","",$L$58*$D26)</f>
        <v/>
      </c>
      <c r="O26" s="108">
        <f>IF($A26="","",$B26-$E$59-$F$59-$G$59-$H$59)</f>
        <v/>
      </c>
      <c r="P26" s="98">
        <f>IF($A26="","",$L$59*$D26)</f>
        <v/>
      </c>
      <c r="Q26" s="108">
        <f>IF($A26="","",(($C26-$E$60-$F$60-$G$60-$H$60-$I$60)/4)+(78*3)/4)</f>
        <v/>
      </c>
      <c r="R26" s="98">
        <f>IF($A26="","",$L$60*$D26)</f>
        <v/>
      </c>
      <c r="S26" s="108">
        <f>IF($A26="","",$O26-$E$61-$F$61)</f>
        <v/>
      </c>
      <c r="T26" s="98">
        <f>IF($A26="","",$L$61*$D26)</f>
        <v/>
      </c>
      <c r="U26" s="108">
        <f>IF($A26="","",$Q26-$E$62-$F$62)</f>
        <v/>
      </c>
      <c r="V26" s="98">
        <f>IF($A26="","",$L$62*$D26)</f>
        <v/>
      </c>
      <c r="W26" s="108">
        <f>IF($A26="","",$B26-$E$63-$F$63-$G$63-$H$63)</f>
        <v/>
      </c>
      <c r="X26" s="98">
        <f>IF($A26="","",$L$63*$D26)</f>
        <v/>
      </c>
      <c r="Y26" s="108">
        <f>IF($A26="","",$B26-$E$64-$F$64)</f>
        <v/>
      </c>
      <c r="Z26" s="98">
        <f>IF($A26="","",$L$64*$D26)</f>
        <v/>
      </c>
      <c r="AA26" s="108">
        <f>IF($A26="","",$C26-$E$65-$F$65)</f>
        <v/>
      </c>
      <c r="AB26" s="98">
        <f>IF($A26="","",$L$65*$D26)</f>
        <v/>
      </c>
      <c r="AC26" s="108">
        <f>IF($A26="","",$B26-$E$66-$F$66)</f>
        <v/>
      </c>
      <c r="AD26" s="98">
        <f>IF($A26="","",$L$66*$D26)</f>
        <v/>
      </c>
      <c r="AE26" s="108">
        <f>IF($A26="","",$C26-$E$67-$F$67)</f>
        <v/>
      </c>
      <c r="AF26" s="98">
        <f>IF($A26="","",$L$67*$D26)</f>
        <v/>
      </c>
      <c r="AG26" s="105">
        <f>IF($A26="","",$O26-68-68)</f>
        <v/>
      </c>
      <c r="AH26" s="106">
        <f>IF($A26="","",$Q26-68-68)</f>
        <v/>
      </c>
      <c r="AI26" s="107">
        <f>IF($A26="","",4*$D26)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IF($A27="","",$B27)</f>
        <v/>
      </c>
      <c r="H27" s="92">
        <f>IF($A27="","",$L$55*$D27)</f>
        <v/>
      </c>
      <c r="I27" s="104">
        <f>IF($A27="","",$C27-$E$56-$F$56)</f>
        <v/>
      </c>
      <c r="J27" s="92">
        <f>IF($A27="","",$L$56*$D27)</f>
        <v/>
      </c>
      <c r="K27" s="104">
        <f>IF($A27="","",$C27-$E$57-$F$57)</f>
        <v/>
      </c>
      <c r="L27" s="92">
        <f>IF($A27="","",$L$57*$D27)</f>
        <v/>
      </c>
      <c r="M27" s="104">
        <f>IF($A27="","",$C27)</f>
        <v/>
      </c>
      <c r="N27" s="92">
        <f>IF($A27="","",$L$58*$D27)</f>
        <v/>
      </c>
      <c r="O27" s="104">
        <f>IF($A27="","",$B27-$E$59-$F$59-$G$59-$H$59)</f>
        <v/>
      </c>
      <c r="P27" s="92">
        <f>IF($A27="","",$L$59*$D27)</f>
        <v/>
      </c>
      <c r="Q27" s="104">
        <f>IF($A27="","",(($C27-$E$60-$F$60-$G$60-$H$60-$I$60)/4)+(78*3)/4)</f>
        <v/>
      </c>
      <c r="R27" s="92">
        <f>IF($A27="","",$L$60*$D27)</f>
        <v/>
      </c>
      <c r="S27" s="104">
        <f>IF($A27="","",$O27-$E$61-$F$61)</f>
        <v/>
      </c>
      <c r="T27" s="92">
        <f>IF($A27="","",$L$61*$D27)</f>
        <v/>
      </c>
      <c r="U27" s="104">
        <f>IF($A27="","",$Q27-$E$62-$F$62)</f>
        <v/>
      </c>
      <c r="V27" s="92">
        <f>IF($A27="","",$L$62*$D27)</f>
        <v/>
      </c>
      <c r="W27" s="104">
        <f>IF($A27="","",$B27-$E$63-$F$63-$G$63-$H$63)</f>
        <v/>
      </c>
      <c r="X27" s="92">
        <f>IF($A27="","",$L$63*$D27)</f>
        <v/>
      </c>
      <c r="Y27" s="104">
        <f>IF($A27="","",$B27-$E$64-$F$64)</f>
        <v/>
      </c>
      <c r="Z27" s="92">
        <f>IF($A27="","",$L$64*$D27)</f>
        <v/>
      </c>
      <c r="AA27" s="104">
        <f>IF($A27="","",$C27-$E$65-$F$65)</f>
        <v/>
      </c>
      <c r="AB27" s="92">
        <f>IF($A27="","",$L$65*$D27)</f>
        <v/>
      </c>
      <c r="AC27" s="104">
        <f>IF($A27="","",$B27-$E$66-$F$66)</f>
        <v/>
      </c>
      <c r="AD27" s="92">
        <f>IF($A27="","",$L$66*$D27)</f>
        <v/>
      </c>
      <c r="AE27" s="104">
        <f>IF($A27="","",$C27-$E$67-$F$67)</f>
        <v/>
      </c>
      <c r="AF27" s="92">
        <f>IF($A27="","",$L$67*$D27)</f>
        <v/>
      </c>
      <c r="AG27" s="105">
        <f>IF($A27="","",$O27-68-68)</f>
        <v/>
      </c>
      <c r="AH27" s="106">
        <f>IF($A27="","",$Q27-68-68)</f>
        <v/>
      </c>
      <c r="AI27" s="107">
        <f>IF($A27="","",4*$D27)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IF($A28="","",$B28)</f>
        <v/>
      </c>
      <c r="H28" s="98">
        <f>IF($A28="","",$L$55*$D28)</f>
        <v/>
      </c>
      <c r="I28" s="108">
        <f>IF($A28="","",$C28-$E$56-$F$56)</f>
        <v/>
      </c>
      <c r="J28" s="98">
        <f>IF($A28="","",$L$56*$D28)</f>
        <v/>
      </c>
      <c r="K28" s="108">
        <f>IF($A28="","",$C28-$E$57-$F$57)</f>
        <v/>
      </c>
      <c r="L28" s="98">
        <f>IF($A28="","",$L$57*$D28)</f>
        <v/>
      </c>
      <c r="M28" s="108">
        <f>IF($A28="","",$C28)</f>
        <v/>
      </c>
      <c r="N28" s="98">
        <f>IF($A28="","",$L$58*$D28)</f>
        <v/>
      </c>
      <c r="O28" s="108">
        <f>IF($A28="","",$B28-$E$59-$F$59-$G$59-$H$59)</f>
        <v/>
      </c>
      <c r="P28" s="98">
        <f>IF($A28="","",$L$59*$D28)</f>
        <v/>
      </c>
      <c r="Q28" s="108">
        <f>IF($A28="","",(($C28-$E$60-$F$60-$G$60-$H$60-$I$60)/4)+(78*3)/4)</f>
        <v/>
      </c>
      <c r="R28" s="98">
        <f>IF($A28="","",$L$60*$D28)</f>
        <v/>
      </c>
      <c r="S28" s="108">
        <f>IF($A28="","",$O28-$E$61-$F$61)</f>
        <v/>
      </c>
      <c r="T28" s="98">
        <f>IF($A28="","",$L$61*$D28)</f>
        <v/>
      </c>
      <c r="U28" s="108">
        <f>IF($A28="","",$Q28-$E$62-$F$62)</f>
        <v/>
      </c>
      <c r="V28" s="98">
        <f>IF($A28="","",$L$62*$D28)</f>
        <v/>
      </c>
      <c r="W28" s="108">
        <f>IF($A28="","",$B28-$E$63-$F$63-$G$63-$H$63)</f>
        <v/>
      </c>
      <c r="X28" s="98">
        <f>IF($A28="","",$L$63*$D28)</f>
        <v/>
      </c>
      <c r="Y28" s="108">
        <f>IF($A28="","",$B28-$E$64-$F$64)</f>
        <v/>
      </c>
      <c r="Z28" s="98">
        <f>IF($A28="","",$L$64*$D28)</f>
        <v/>
      </c>
      <c r="AA28" s="108">
        <f>IF($A28="","",$C28-$E$65-$F$65)</f>
        <v/>
      </c>
      <c r="AB28" s="98">
        <f>IF($A28="","",$L$65*$D28)</f>
        <v/>
      </c>
      <c r="AC28" s="108">
        <f>IF($A28="","",$B28-$E$66-$F$66)</f>
        <v/>
      </c>
      <c r="AD28" s="98">
        <f>IF($A28="","",$L$66*$D28)</f>
        <v/>
      </c>
      <c r="AE28" s="108">
        <f>IF($A28="","",$C28-$E$67-$F$67)</f>
        <v/>
      </c>
      <c r="AF28" s="98">
        <f>IF($A28="","",$L$67*$D28)</f>
        <v/>
      </c>
      <c r="AG28" s="105">
        <f>IF($A28="","",$O28-68-68)</f>
        <v/>
      </c>
      <c r="AH28" s="106">
        <f>IF($A28="","",$Q28-68-68)</f>
        <v/>
      </c>
      <c r="AI28" s="107">
        <f>IF($A28="","",4*$D28)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(ROUNDUP(L49/5000,0))</f>
        <v/>
      </c>
      <c r="M30" s="72">
        <f>M$7</f>
        <v/>
      </c>
      <c r="N30" s="72">
        <f>(ROUNDUP(N49/6400,0))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20" t="n"/>
      <c r="U30" s="21" t="n"/>
      <c r="V30" s="72">
        <f>(ROUNDUP(SUM(T49:V49)/6400,0))</f>
        <v/>
      </c>
      <c r="W30" s="72">
        <f>W$7</f>
        <v/>
      </c>
      <c r="X30" s="72">
        <f>(ROUNDUP(X49/6400,0))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(ROUNDUP(AB49/5000,0))</f>
        <v/>
      </c>
      <c r="AC30" s="72">
        <f>AC$7</f>
        <v/>
      </c>
      <c r="AD30" s="72">
        <f>(ROUNDUP(AD49/6400,0))</f>
        <v/>
      </c>
      <c r="AE30" s="72">
        <f>AE$7</f>
        <v/>
      </c>
      <c r="AF30" s="72">
        <f>(ROUNDUP(AF49/5000,0))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L49" s="74">
        <f>SUMIF(L31:L48,"&gt;0")</f>
        <v/>
      </c>
      <c r="M49" s="74" t="n"/>
      <c r="N49" s="74">
        <f>SUMIF(N31:N48,"&gt;0")</f>
        <v/>
      </c>
      <c r="O49" s="74" t="n"/>
      <c r="P49" s="74">
        <f>SUMIF(P31:P48,"&gt;0")</f>
        <v/>
      </c>
      <c r="Q49" s="74" t="n"/>
      <c r="R49" s="74">
        <f>SUMIF(R31:R48,"&gt;0")</f>
        <v/>
      </c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4</v>
      </c>
      <c r="M54" s="82" t="n"/>
    </row>
    <row r="55" ht="44" customHeight="1">
      <c r="A55" s="78" t="n">
        <v>2</v>
      </c>
      <c r="B55" s="79" t="inlineStr">
        <is>
          <t>ต่อเฟรมข้าง</t>
        </is>
      </c>
      <c r="C55" s="80" t="inlineStr">
        <is>
          <t>F7989</t>
        </is>
      </c>
      <c r="D55" s="81" t="inlineStr">
        <is>
          <t>สูง</t>
        </is>
      </c>
      <c r="E55" s="82" t="n"/>
      <c r="F55" s="82" t="n"/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เฟรม บน-ล่าง</t>
        </is>
      </c>
      <c r="C56" s="80" t="inlineStr">
        <is>
          <t>F7977</t>
        </is>
      </c>
      <c r="D56" s="81" t="inlineStr">
        <is>
          <t>กว้าง-21-21</t>
        </is>
      </c>
      <c r="E56" s="83" t="n">
        <v>21</v>
      </c>
      <c r="F56" s="83" t="n">
        <v>21</v>
      </c>
      <c r="G56" s="82" t="n"/>
      <c r="H56" s="82" t="n"/>
      <c r="I56" s="82" t="n"/>
      <c r="J56" s="82" t="n"/>
      <c r="K56" s="82" t="n"/>
      <c r="L56" s="83" t="n">
        <v>2</v>
      </c>
      <c r="M56" s="82" t="n"/>
    </row>
    <row r="57" ht="44" customHeight="1">
      <c r="A57" s="78" t="n">
        <v>4</v>
      </c>
      <c r="B57" s="79" t="inlineStr">
        <is>
          <t>ต่อราง</t>
        </is>
      </c>
      <c r="C57" s="80" t="inlineStr">
        <is>
          <t>F7990</t>
        </is>
      </c>
      <c r="D57" s="81" t="inlineStr">
        <is>
          <t>กว้าง-21-21</t>
        </is>
      </c>
      <c r="E57" s="83" t="n">
        <v>21</v>
      </c>
      <c r="F57" s="83" t="n">
        <v>21</v>
      </c>
      <c r="G57" s="82" t="n"/>
      <c r="H57" s="82" t="n"/>
      <c r="I57" s="82" t="n"/>
      <c r="J57" s="82" t="n"/>
      <c r="K57" s="82" t="n"/>
      <c r="L57" s="83" t="n">
        <v>4</v>
      </c>
      <c r="M57" s="82" t="n"/>
    </row>
    <row r="58" ht="44" customHeight="1">
      <c r="A58" s="78" t="n">
        <v>5</v>
      </c>
      <c r="B58" s="79" t="inlineStr">
        <is>
          <t>ตบกันสาด</t>
        </is>
      </c>
      <c r="C58" s="80" t="inlineStr">
        <is>
          <t>F7992</t>
        </is>
      </c>
      <c r="D58" s="81" t="inlineStr">
        <is>
          <t>กว้าง</t>
        </is>
      </c>
      <c r="E58" s="82" t="n"/>
      <c r="F58" s="82" t="n"/>
      <c r="G58" s="82" t="n"/>
      <c r="H58" s="82" t="n"/>
      <c r="I58" s="82" t="n"/>
      <c r="J58" s="82" t="n"/>
      <c r="K58" s="82" t="n"/>
      <c r="L58" s="83" t="n">
        <v>2</v>
      </c>
      <c r="M58" s="82" t="n"/>
    </row>
    <row r="59" ht="44" customHeight="1">
      <c r="A59" s="78" t="n">
        <v>6</v>
      </c>
      <c r="B59" s="79" t="inlineStr">
        <is>
          <t>เสา</t>
        </is>
      </c>
      <c r="C59" s="80" t="inlineStr">
        <is>
          <t>F7980</t>
        </is>
      </c>
      <c r="D59" s="81" t="inlineStr">
        <is>
          <t>สูง-21-19-13-21</t>
        </is>
      </c>
      <c r="E59" s="83" t="n">
        <v>21</v>
      </c>
      <c r="F59" s="83" t="n">
        <v>19</v>
      </c>
      <c r="G59" s="83" t="n">
        <v>13</v>
      </c>
      <c r="H59" s="83" t="n">
        <v>21</v>
      </c>
      <c r="I59" s="82" t="n"/>
      <c r="J59" s="82" t="n"/>
      <c r="K59" s="82" t="n"/>
      <c r="L59" s="83" t="n">
        <v>8</v>
      </c>
      <c r="M59" s="82" t="n"/>
    </row>
    <row r="60" ht="15" customHeight="1">
      <c r="A60" s="78" t="n">
        <v>7</v>
      </c>
      <c r="B60" s="79" t="inlineStr">
        <is>
          <t>ขวาง</t>
        </is>
      </c>
      <c r="C60" s="80" t="inlineStr">
        <is>
          <t>-</t>
        </is>
      </c>
      <c r="D60" s="81" t="inlineStr">
        <is>
          <t>((กว้าง-21-1-1-3.6-21)/4)+(78x3/4)</t>
        </is>
      </c>
      <c r="E60" s="83" t="n">
        <v>21</v>
      </c>
      <c r="F60" s="83" t="n">
        <v>1</v>
      </c>
      <c r="G60" s="83" t="n">
        <v>1</v>
      </c>
      <c r="H60" s="83" t="n">
        <v>3.6</v>
      </c>
      <c r="I60" s="83" t="n">
        <v>21</v>
      </c>
      <c r="J60" s="82" t="n"/>
      <c r="K60" s="82" t="n"/>
      <c r="L60" s="83" t="n">
        <v>8</v>
      </c>
      <c r="M60" s="82" t="n"/>
    </row>
    <row r="61" ht="44" customHeight="1">
      <c r="A61" s="78" t="n">
        <v>8</v>
      </c>
      <c r="B61" s="79" t="inlineStr">
        <is>
          <t>คิ้ว ตั้ง</t>
        </is>
      </c>
      <c r="C61" s="80" t="inlineStr">
        <is>
          <t>F7919</t>
        </is>
      </c>
      <c r="D61" s="81" t="inlineStr">
        <is>
          <t>เสา-78-78</t>
        </is>
      </c>
      <c r="E61" s="83" t="n">
        <v>78</v>
      </c>
      <c r="F61" s="83" t="n">
        <v>78</v>
      </c>
      <c r="G61" s="82" t="n"/>
      <c r="H61" s="82" t="n"/>
      <c r="I61" s="82" t="n"/>
      <c r="J61" s="82" t="n"/>
      <c r="K61" s="82" t="n"/>
      <c r="L61" s="83" t="n">
        <v>8</v>
      </c>
      <c r="M61" s="82" t="n"/>
    </row>
    <row r="62" ht="15" customHeight="1">
      <c r="A62" s="78" t="n">
        <v>9</v>
      </c>
      <c r="B62" s="79" t="inlineStr">
        <is>
          <t>คิ้ว ขวาง</t>
        </is>
      </c>
      <c r="C62" s="80" t="inlineStr">
        <is>
          <t>-</t>
        </is>
      </c>
      <c r="D62" s="81" t="inlineStr">
        <is>
          <t>ขวาง-63-63</t>
        </is>
      </c>
      <c r="E62" s="83" t="n">
        <v>63</v>
      </c>
      <c r="F62" s="83" t="n">
        <v>63</v>
      </c>
      <c r="G62" s="82" t="n"/>
      <c r="H62" s="82" t="n"/>
      <c r="I62" s="82" t="n"/>
      <c r="J62" s="82" t="n"/>
      <c r="K62" s="82" t="n"/>
      <c r="L62" s="83" t="n">
        <v>8</v>
      </c>
      <c r="M62" s="82" t="n"/>
    </row>
    <row r="63" ht="44" customHeight="1">
      <c r="A63" s="78" t="n">
        <v>10</v>
      </c>
      <c r="B63" s="79" t="inlineStr">
        <is>
          <t>ตบเกี่ยว</t>
        </is>
      </c>
      <c r="C63" s="80" t="inlineStr">
        <is>
          <t>F7983</t>
        </is>
      </c>
      <c r="D63" s="81" t="inlineStr">
        <is>
          <t>สูงกรอบบาน</t>
        </is>
      </c>
      <c r="E63" s="83" t="n">
        <v>21</v>
      </c>
      <c r="F63" s="83" t="n">
        <v>19</v>
      </c>
      <c r="G63" s="83" t="n">
        <v>13</v>
      </c>
      <c r="H63" s="83" t="n">
        <v>21</v>
      </c>
      <c r="I63" s="82" t="n"/>
      <c r="J63" s="82" t="n"/>
      <c r="K63" s="82" t="n"/>
      <c r="L63" s="83" t="n">
        <v>6</v>
      </c>
      <c r="M63" s="82" t="n"/>
    </row>
    <row r="64" ht="44" customHeight="1">
      <c r="A64" s="78" t="n">
        <v>11</v>
      </c>
      <c r="B64" s="79" t="inlineStr">
        <is>
          <t>ยูข้าง</t>
        </is>
      </c>
      <c r="C64" s="80" t="inlineStr">
        <is>
          <t>F7986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44" customHeight="1">
      <c r="A65" s="78" t="n">
        <v>12</v>
      </c>
      <c r="B65" s="79" t="inlineStr">
        <is>
          <t>ตบเฟรมบน</t>
        </is>
      </c>
      <c r="C65" s="80" t="inlineStr">
        <is>
          <t>F7993</t>
        </is>
      </c>
      <c r="D65" s="81" t="inlineStr">
        <is>
          <t>เท่าเฟรมบน</t>
        </is>
      </c>
      <c r="E65" s="83" t="n">
        <v>21</v>
      </c>
      <c r="F65" s="83" t="n">
        <v>21</v>
      </c>
      <c r="G65" s="82" t="n"/>
      <c r="H65" s="82" t="n"/>
      <c r="I65" s="82" t="n"/>
      <c r="J65" s="82" t="n"/>
      <c r="K65" s="82" t="n"/>
      <c r="L65" s="83" t="n">
        <v>4</v>
      </c>
      <c r="M65" s="82" t="n"/>
    </row>
    <row r="66" ht="44" customHeight="1">
      <c r="A66" s="78" t="n">
        <v>13</v>
      </c>
      <c r="B66" s="79" t="inlineStr">
        <is>
          <t>ตบยูข้าง</t>
        </is>
      </c>
      <c r="C66" s="80" t="inlineStr">
        <is>
          <t>F7988</t>
        </is>
      </c>
      <c r="D66" s="81" t="inlineStr"/>
      <c r="E66" s="83" t="n">
        <v>45</v>
      </c>
      <c r="F66" s="83" t="n">
        <v>45</v>
      </c>
      <c r="G66" s="82" t="n"/>
      <c r="H66" s="82" t="n"/>
      <c r="I66" s="82" t="n"/>
      <c r="J66" s="82" t="n"/>
      <c r="K66" s="82" t="n"/>
      <c r="L66" s="83" t="n">
        <v>2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4</v>
      </c>
      <c r="M67" s="82" t="n"/>
    </row>
    <row r="69">
      <c r="A69" s="123" t="inlineStr">
        <is>
          <t>⑥ อุปกรณ์ ต่อ 1 บาน — คูณจำนวนบานที่ผลิต</t>
        </is>
      </c>
      <c r="B69" s="131" t="n"/>
      <c r="C69" s="131" t="n"/>
      <c r="D69" s="131" t="n"/>
      <c r="E69" s="132" t="n"/>
      <c r="F69" s="124" t="inlineStr">
        <is>
          <t>ต่อบาน</t>
        </is>
      </c>
    </row>
    <row r="70">
      <c r="A70" s="125" t="inlineStr">
        <is>
          <t>1. ล้อ 27</t>
        </is>
      </c>
      <c r="B70" s="131" t="n"/>
      <c r="C70" s="131" t="n"/>
      <c r="D70" s="131" t="n"/>
      <c r="E70" s="132" t="n"/>
      <c r="F70" s="126" t="n">
        <v>2</v>
      </c>
    </row>
    <row r="71">
      <c r="A71" s="125" t="inlineStr">
        <is>
          <t>2. มือจับ Align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3. ชุดล็อค</t>
        </is>
      </c>
      <c r="B72" s="131" t="n"/>
      <c r="C72" s="131" t="n"/>
      <c r="D72" s="131" t="n"/>
      <c r="E72" s="132" t="n"/>
      <c r="F72" s="126" t="n">
        <v>1</v>
      </c>
    </row>
    <row r="73">
      <c r="A73" s="125" t="inlineStr">
        <is>
          <t>4. น็อตประกอบ</t>
        </is>
      </c>
      <c r="B73" s="131" t="n"/>
      <c r="C73" s="131" t="n"/>
      <c r="D73" s="131" t="n"/>
      <c r="E73" s="132" t="n"/>
      <c r="F73" s="126" t="n">
        <v>4</v>
      </c>
    </row>
    <row r="74">
      <c r="A74" s="127" t="inlineStr">
        <is>
          <t>+ สักหลาด/ยาง/ซิลิโคน = ตามขนาด (ดูชีทคิดทุน)</t>
        </is>
      </c>
      <c r="B74" s="131" t="n"/>
      <c r="C74" s="131" t="n"/>
      <c r="D74" s="131" t="n"/>
      <c r="E74" s="131" t="n"/>
      <c r="F74" s="132" t="n"/>
    </row>
  </sheetData>
  <mergeCells count="68">
    <mergeCell ref="U9:V9"/>
    <mergeCell ref="AC7:AD7"/>
    <mergeCell ref="I6:J6"/>
    <mergeCell ref="A73:E73"/>
    <mergeCell ref="AE7:AF7"/>
    <mergeCell ref="O6:P6"/>
    <mergeCell ref="U6:V6"/>
    <mergeCell ref="K9:L9"/>
    <mergeCell ref="W6:X6"/>
    <mergeCell ref="M9:N9"/>
    <mergeCell ref="A74:F74"/>
    <mergeCell ref="O9:P9"/>
    <mergeCell ref="G8:H8"/>
    <mergeCell ref="Y9:Z9"/>
    <mergeCell ref="A70:E70"/>
    <mergeCell ref="E8:F8"/>
    <mergeCell ref="Q8:R8"/>
    <mergeCell ref="AA9:AB9"/>
    <mergeCell ref="S8:T8"/>
    <mergeCell ref="A69:E69"/>
    <mergeCell ref="G7:H7"/>
    <mergeCell ref="AA6:AB6"/>
    <mergeCell ref="I7:J7"/>
    <mergeCell ref="O7:R7"/>
    <mergeCell ref="A30:D30"/>
    <mergeCell ref="S30:U30"/>
    <mergeCell ref="G6:H6"/>
    <mergeCell ref="AC8:AD8"/>
    <mergeCell ref="E9:F9"/>
    <mergeCell ref="AE8:AF8"/>
    <mergeCell ref="M7:N7"/>
    <mergeCell ref="W7:X7"/>
    <mergeCell ref="E6:F6"/>
    <mergeCell ref="Y7:Z7"/>
    <mergeCell ref="A8:A9"/>
    <mergeCell ref="A6:D6"/>
    <mergeCell ref="M6:N6"/>
    <mergeCell ref="AA7:AB7"/>
    <mergeCell ref="K8:L8"/>
    <mergeCell ref="Q6:R6"/>
    <mergeCell ref="A71:E71"/>
    <mergeCell ref="S6:T6"/>
    <mergeCell ref="Y6:Z6"/>
    <mergeCell ref="A7:D7"/>
    <mergeCell ref="D8:D9"/>
    <mergeCell ref="S7:V7"/>
    <mergeCell ref="Q9:R9"/>
    <mergeCell ref="I8:J8"/>
    <mergeCell ref="S9:T9"/>
    <mergeCell ref="M8:N8"/>
    <mergeCell ref="W9:X9"/>
    <mergeCell ref="AC9:AD9"/>
    <mergeCell ref="O8:P8"/>
    <mergeCell ref="U8:V8"/>
    <mergeCell ref="AE9:AF9"/>
    <mergeCell ref="K7:L7"/>
    <mergeCell ref="B8:C9"/>
    <mergeCell ref="W8:X8"/>
    <mergeCell ref="AC6:AD6"/>
    <mergeCell ref="E7:F7"/>
    <mergeCell ref="A72:E72"/>
    <mergeCell ref="AE6:AF6"/>
    <mergeCell ref="O30:Q30"/>
    <mergeCell ref="Y8:Z8"/>
    <mergeCell ref="K6:L6"/>
    <mergeCell ref="G9:H9"/>
    <mergeCell ref="AA8:AB8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75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</cols>
  <sheetData>
    <row r="1" ht="40.15" customHeight="1">
      <c r="A1" s="1" t="inlineStr">
        <is>
          <t>JR ALUMINIUM &amp; GLASS  —  ใบรายการตัด · FUJI เลื่อน5   (หน่วย: มม.)</t>
        </is>
      </c>
      <c r="B1" s="2" t="n"/>
      <c r="D1" s="3" t="n"/>
      <c r="E1" s="4" t="n"/>
      <c r="F1" s="3" t="n"/>
      <c r="G1" s="4" t="n"/>
      <c r="H1" s="3" t="n"/>
      <c r="I1" s="5" t="n"/>
      <c r="J1" s="5" t="n"/>
      <c r="K1" s="3" t="n"/>
      <c r="L1" s="3" t="n"/>
      <c r="M1" s="5" t="n"/>
      <c r="N1" s="5" t="n"/>
      <c r="O1" s="6" t="n"/>
      <c r="P1" s="5" t="n"/>
      <c r="Q1" s="3" t="n"/>
      <c r="R1" s="3" t="n"/>
      <c r="S1" s="6" t="n"/>
      <c r="T1" s="6" t="n"/>
      <c r="U1" s="5" t="n"/>
      <c r="V1" s="5" t="n"/>
      <c r="W1" s="3" t="n"/>
      <c r="X1" s="7" t="n"/>
      <c r="Y1" s="6" t="n"/>
      <c r="Z1" s="6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</row>
    <row r="2" ht="40.15" customHeight="1">
      <c r="A2" s="6" t="n"/>
      <c r="B2" s="6" t="n"/>
      <c r="C2" s="6" t="n"/>
      <c r="D2" s="6" t="n"/>
      <c r="E2" s="8" t="n"/>
      <c r="F2" s="6" t="n"/>
      <c r="G2" s="8" t="n"/>
      <c r="H2" s="6" t="n"/>
      <c r="I2" s="9" t="n"/>
      <c r="J2" s="9" t="n"/>
      <c r="K2" s="6" t="n"/>
      <c r="L2" s="6" t="n"/>
      <c r="M2" s="9" t="n"/>
      <c r="N2" s="9" t="n"/>
      <c r="O2" s="9" t="n"/>
      <c r="P2" s="9" t="n"/>
      <c r="Q2" s="6" t="n"/>
      <c r="R2" s="6" t="n"/>
      <c r="S2" s="6" t="n"/>
      <c r="T2" s="6" t="n"/>
      <c r="U2" s="9" t="n"/>
      <c r="V2" s="9" t="n"/>
      <c r="W2" s="6" t="n"/>
      <c r="X2" s="6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</row>
    <row r="3" ht="40.15" customHeight="1">
      <c r="A3" s="130">
        <f>HYPERLINK("#สารบัญ!A1","← สารบัญ")</f>
        <v/>
      </c>
      <c r="B3" s="6" t="n"/>
      <c r="C3" s="121" t="n"/>
      <c r="D3" s="6" t="n"/>
      <c r="E3" s="8" t="n"/>
      <c r="F3" s="6" t="n"/>
      <c r="G3" s="8" t="n"/>
      <c r="H3" s="6" t="n"/>
      <c r="I3" s="11" t="n"/>
      <c r="J3" s="11" t="n"/>
      <c r="K3" s="6" t="n"/>
      <c r="L3" s="6" t="n"/>
      <c r="M3" s="11" t="n"/>
      <c r="N3" s="11" t="n"/>
      <c r="O3" s="9" t="n"/>
      <c r="P3" s="9" t="n"/>
      <c r="Q3" s="6" t="n"/>
      <c r="R3" s="6" t="n"/>
      <c r="S3" s="6" t="n"/>
      <c r="T3" s="6" t="n"/>
      <c r="U3" s="11" t="n"/>
      <c r="V3" s="11" t="n"/>
      <c r="W3" s="6" t="n"/>
      <c r="X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 ht="40.15" customHeight="1">
      <c r="A4" s="6" t="n"/>
      <c r="B4" s="6" t="n"/>
      <c r="C4" s="6" t="n"/>
      <c r="F4" s="6" t="n"/>
      <c r="H4" s="6" t="n"/>
      <c r="K4" s="6" t="n"/>
      <c r="L4" s="6" t="n"/>
      <c r="O4" s="9" t="n"/>
      <c r="P4" s="9" t="n"/>
      <c r="Q4" s="6" t="n"/>
      <c r="R4" s="6" t="n"/>
      <c r="S4" s="6" t="n"/>
      <c r="T4" s="6" t="n"/>
      <c r="W4" s="6" t="n"/>
      <c r="X4" s="6" t="n"/>
    </row>
    <row r="5" ht="40.15" customHeight="1">
      <c r="A5" s="6" t="n"/>
      <c r="B5" s="6" t="n"/>
      <c r="C5" s="6" t="n"/>
      <c r="D5" s="6" t="n"/>
      <c r="E5" s="8" t="n"/>
      <c r="F5" s="6" t="n"/>
      <c r="G5" s="8" t="n"/>
      <c r="H5" s="6" t="n"/>
      <c r="K5" s="6" t="n"/>
      <c r="L5" s="6" t="n"/>
      <c r="Q5" s="6" t="n"/>
      <c r="R5" s="6" t="n"/>
      <c r="T5" s="6" t="n"/>
      <c r="W5" s="6" t="n"/>
      <c r="X5" s="6" t="n"/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สูง</t>
        </is>
      </c>
      <c r="H6" s="17" t="n"/>
      <c r="I6" s="16" t="inlineStr">
        <is>
          <t>สูง</t>
        </is>
      </c>
      <c r="J6" s="17" t="n"/>
      <c r="K6" s="16" t="inlineStr">
        <is>
          <t>กว้าง-21-21</t>
        </is>
      </c>
      <c r="L6" s="17" t="n"/>
      <c r="M6" s="16" t="inlineStr">
        <is>
          <t>กว้าง-21-21</t>
        </is>
      </c>
      <c r="N6" s="17" t="n"/>
      <c r="O6" s="16" t="inlineStr">
        <is>
          <t>กว้าง</t>
        </is>
      </c>
      <c r="P6" s="17" t="n"/>
      <c r="Q6" s="16" t="inlineStr">
        <is>
          <t>สูง-21-19-13-21</t>
        </is>
      </c>
      <c r="R6" s="17" t="n"/>
      <c r="S6" s="16" t="inlineStr">
        <is>
          <t>((กว้าง-21-3-3-4.8-21)/5)+(78x4/5)</t>
        </is>
      </c>
      <c r="T6" s="17" t="n"/>
      <c r="U6" s="16" t="inlineStr">
        <is>
          <t>เสา-78-78</t>
        </is>
      </c>
      <c r="V6" s="17" t="n"/>
      <c r="W6" s="16" t="inlineStr">
        <is>
          <t>ขวาง-63-63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สูง-45-45</t>
        </is>
      </c>
      <c r="AB6" s="17" t="n"/>
      <c r="AC6" s="16" t="inlineStr">
        <is>
          <t>เท่าเฟรมบน</t>
        </is>
      </c>
      <c r="AD6" s="17" t="n"/>
      <c r="AE6" s="16" t="n"/>
      <c r="AF6" s="17" t="n"/>
      <c r="AG6" s="16" t="inlineStr">
        <is>
          <t>เท่าเฟรมล่าง</t>
        </is>
      </c>
      <c r="AH6" s="17" t="n"/>
      <c r="AI6" s="18" t="n"/>
      <c r="AJ6" s="18" t="n"/>
      <c r="AK6" s="18" t="n"/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F7978</t>
        </is>
      </c>
      <c r="H7" s="15" t="n"/>
      <c r="I7" s="22" t="inlineStr">
        <is>
          <t>F7989</t>
        </is>
      </c>
      <c r="J7" s="15" t="n"/>
      <c r="K7" s="22" t="inlineStr">
        <is>
          <t>F7976</t>
        </is>
      </c>
      <c r="L7" s="15" t="n"/>
      <c r="M7" s="23" t="inlineStr">
        <is>
          <t>F7990</t>
        </is>
      </c>
      <c r="N7" s="15" t="n"/>
      <c r="O7" s="22" t="inlineStr">
        <is>
          <t>F7992</t>
        </is>
      </c>
      <c r="P7" s="15" t="n"/>
      <c r="Q7" s="22" t="inlineStr">
        <is>
          <t>F7980</t>
        </is>
      </c>
      <c r="R7" s="14" t="n"/>
      <c r="S7" s="14" t="n"/>
      <c r="T7" s="15" t="n"/>
      <c r="U7" s="22" t="inlineStr">
        <is>
          <t>F7919</t>
        </is>
      </c>
      <c r="V7" s="14" t="n"/>
      <c r="W7" s="14" t="n"/>
      <c r="X7" s="15" t="n"/>
      <c r="Y7" s="22" t="inlineStr">
        <is>
          <t>F7983</t>
        </is>
      </c>
      <c r="Z7" s="15" t="n"/>
      <c r="AA7" s="22" t="inlineStr">
        <is>
          <t>F7986</t>
        </is>
      </c>
      <c r="AB7" s="15" t="n"/>
      <c r="AC7" s="22" t="inlineStr">
        <is>
          <t>F7993</t>
        </is>
      </c>
      <c r="AD7" s="15" t="n"/>
      <c r="AE7" s="22" t="inlineStr">
        <is>
          <t>F7988</t>
        </is>
      </c>
      <c r="AF7" s="15" t="n"/>
      <c r="AG7" s="22" t="inlineStr">
        <is>
          <t>F7994</t>
        </is>
      </c>
      <c r="AH7" s="15" t="n"/>
      <c r="AI7" s="24" t="n"/>
      <c r="AJ7" s="25" t="inlineStr">
        <is>
          <t>ขนาดกระจก</t>
        </is>
      </c>
      <c r="AK7" s="26" t="n"/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4" t="n"/>
      <c r="L8" s="31" t="n"/>
      <c r="M8" s="34" t="n"/>
      <c r="N8" s="31" t="n"/>
      <c r="O8" s="30" t="n"/>
      <c r="P8" s="31" t="n"/>
      <c r="Q8" s="32" t="n"/>
      <c r="R8" s="33" t="n"/>
      <c r="S8" s="34" t="n"/>
      <c r="T8" s="31" t="n"/>
      <c r="U8" s="32" t="n"/>
      <c r="V8" s="33" t="n"/>
      <c r="W8" s="34" t="n"/>
      <c r="X8" s="31" t="n"/>
      <c r="Y8" s="32" t="n"/>
      <c r="Z8" s="33" t="n"/>
      <c r="AA8" s="32" t="n"/>
      <c r="AB8" s="33" t="n"/>
      <c r="AC8" s="32" t="n"/>
      <c r="AD8" s="33" t="n"/>
      <c r="AE8" s="30" t="n"/>
      <c r="AF8" s="31" t="n"/>
      <c r="AG8" s="30" t="n"/>
      <c r="AH8" s="31" t="n"/>
      <c r="AI8" s="36" t="n"/>
      <c r="AJ8" s="37" t="inlineStr">
        <is>
          <t>กรอบบาน</t>
        </is>
      </c>
      <c r="AK8" s="38" t="n"/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เฟรมข้าง</t>
        </is>
      </c>
      <c r="H9" s="43" t="n"/>
      <c r="I9" s="42" t="inlineStr">
        <is>
          <t>ต่อเฟรมข้าง</t>
        </is>
      </c>
      <c r="J9" s="43" t="n"/>
      <c r="K9" s="42" t="inlineStr">
        <is>
          <t>เฟรม บน-ล่าง</t>
        </is>
      </c>
      <c r="L9" s="43" t="n"/>
      <c r="M9" s="42" t="inlineStr">
        <is>
          <t>ต่อราง</t>
        </is>
      </c>
      <c r="N9" s="43" t="n"/>
      <c r="O9" s="42" t="inlineStr">
        <is>
          <t>ตบกันสาด</t>
        </is>
      </c>
      <c r="P9" s="43" t="n"/>
      <c r="Q9" s="42" t="inlineStr">
        <is>
          <t>เสา</t>
        </is>
      </c>
      <c r="R9" s="43" t="n"/>
      <c r="S9" s="42" t="inlineStr">
        <is>
          <t>ขวาง</t>
        </is>
      </c>
      <c r="T9" s="43" t="n"/>
      <c r="U9" s="42" t="inlineStr">
        <is>
          <t>คิ้ว ตั้ง</t>
        </is>
      </c>
      <c r="V9" s="43" t="n"/>
      <c r="W9" s="42" t="inlineStr">
        <is>
          <t>คิ้ว ขวาง</t>
        </is>
      </c>
      <c r="X9" s="43" t="n"/>
      <c r="Y9" s="42" t="inlineStr">
        <is>
          <t>ตบเกี่ยว</t>
        </is>
      </c>
      <c r="Z9" s="43" t="n"/>
      <c r="AA9" s="44" t="inlineStr">
        <is>
          <t>ยูข้าง</t>
        </is>
      </c>
      <c r="AB9" s="43" t="n"/>
      <c r="AC9" s="44" t="inlineStr">
        <is>
          <t>ตบเฟรมบน</t>
        </is>
      </c>
      <c r="AD9" s="43" t="n"/>
      <c r="AE9" s="44" t="inlineStr">
        <is>
          <t>ตบยูข้าง</t>
        </is>
      </c>
      <c r="AF9" s="43" t="n"/>
      <c r="AG9" s="44" t="inlineStr">
        <is>
          <t>ราง</t>
        </is>
      </c>
      <c r="AH9" s="43" t="n"/>
      <c r="AI9" s="45" t="inlineStr">
        <is>
          <t>SH-68-68</t>
        </is>
      </c>
      <c r="AJ9" s="46" t="inlineStr">
        <is>
          <t>SW-68-68</t>
        </is>
      </c>
      <c r="AK9" s="47" t="n"/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3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</row>
    <row r="11" ht="40.15" customHeight="1">
      <c r="A11" s="58" t="inlineStr">
        <is>
          <t>D1</t>
        </is>
      </c>
      <c r="B11" s="59" t="n">
        <v>2695</v>
      </c>
      <c r="C11" s="60" t="n">
        <v>6245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IF($A11="","",$B11)</f>
        <v/>
      </c>
      <c r="H11" s="60">
        <f>IF($A11="","",$L$55*$D11)</f>
        <v/>
      </c>
      <c r="I11" s="62">
        <f>IF($A11="","",$B11)</f>
        <v/>
      </c>
      <c r="J11" s="60">
        <f>IF($A11="","",$L$56*$D11)</f>
        <v/>
      </c>
      <c r="K11" s="62">
        <f>IF($A11="","",$C11-$E$57-$F$57)</f>
        <v/>
      </c>
      <c r="L11" s="60">
        <f>IF($A11="","",$L$57*$D11)</f>
        <v/>
      </c>
      <c r="M11" s="62">
        <f>IF($A11="","",$C11-$E$58-$F$58)</f>
        <v/>
      </c>
      <c r="N11" s="60">
        <f>IF($A11="","",$L$58*$D11)</f>
        <v/>
      </c>
      <c r="O11" s="62">
        <f>IF($A11="","",$C11)</f>
        <v/>
      </c>
      <c r="P11" s="60">
        <f>IF($A11="","",$L$59*$D11)</f>
        <v/>
      </c>
      <c r="Q11" s="62">
        <f>IF($A11="","",$B11-$E$60-$F$60-$G$60-$H$60)</f>
        <v/>
      </c>
      <c r="R11" s="60">
        <f>IF($A11="","",$L$60*$D11)</f>
        <v/>
      </c>
      <c r="S11" s="62">
        <f>IF($A11="","",(($C11-$E$61-$F$61-$G$61-$H$61-$I$61)/5)+(78*4)/5)</f>
        <v/>
      </c>
      <c r="T11" s="60">
        <f>IF($A11="","",$L$61*$D11)</f>
        <v/>
      </c>
      <c r="U11" s="62">
        <f>IF($A11="","",$Q11-$E$62-$F$62)</f>
        <v/>
      </c>
      <c r="V11" s="60">
        <f>IF($A11="","",$L$62*$D11)</f>
        <v/>
      </c>
      <c r="W11" s="62">
        <f>IF($A11="","",$S11-$E$63-$F$63)</f>
        <v/>
      </c>
      <c r="X11" s="60">
        <f>IF($A11="","",$L$63*$D11)</f>
        <v/>
      </c>
      <c r="Y11" s="62">
        <f>IF($A11="","",$Q11)</f>
        <v/>
      </c>
      <c r="Z11" s="60">
        <f>IF($A11="","",$L$64*$D11)</f>
        <v/>
      </c>
      <c r="AA11" s="62">
        <f>IF($A11="","",$B11-$E$65-$F$65)</f>
        <v/>
      </c>
      <c r="AB11" s="60">
        <f>IF($A11="","",$L$65*$D11)</f>
        <v/>
      </c>
      <c r="AC11" s="62">
        <f>IF($A11="","",$C11-$E$66-$F$66)</f>
        <v/>
      </c>
      <c r="AD11" s="60">
        <f>IF($A11="","",$L$66*$D11)</f>
        <v/>
      </c>
      <c r="AE11" s="62">
        <f>IF($A11="","",$B11-$E$67-$F$67)</f>
        <v/>
      </c>
      <c r="AF11" s="60">
        <f>IF($A11="","",$L$67*$D11)</f>
        <v/>
      </c>
      <c r="AG11" s="62">
        <f>IF($A11="","",$C11-$E$68-$F$68)</f>
        <v/>
      </c>
      <c r="AH11" s="60">
        <f>IF($A11="","",$L$68*$D11)</f>
        <v/>
      </c>
      <c r="AI11" s="63">
        <f>IF($A11="","",$Q11-68-68)</f>
        <v/>
      </c>
      <c r="AJ11" s="64">
        <f>IF($A11="","",$S11-68-68)</f>
        <v/>
      </c>
      <c r="AK11" s="65">
        <f>IF($A11="","",5*$D11)</f>
        <v/>
      </c>
    </row>
    <row r="12" ht="40.15" customHeight="1">
      <c r="A12" s="58" t="n"/>
      <c r="B12" s="59" t="n"/>
      <c r="C12" s="60" t="n"/>
      <c r="D12" s="61" t="n"/>
      <c r="E12" s="66">
        <f>IF($A12="","",$B12)</f>
        <v/>
      </c>
      <c r="F12" s="67">
        <f>IF($A12="","",$L$54*$D12)</f>
        <v/>
      </c>
      <c r="G12" s="66">
        <f>IF($A12="","",$B12)</f>
        <v/>
      </c>
      <c r="H12" s="67">
        <f>IF($A12="","",$L$55*$D12)</f>
        <v/>
      </c>
      <c r="I12" s="66">
        <f>IF($A12="","",$B12)</f>
        <v/>
      </c>
      <c r="J12" s="67">
        <f>IF($A12="","",$L$56*$D12)</f>
        <v/>
      </c>
      <c r="K12" s="66">
        <f>IF($A12="","",$C12-$E$57-$F$57)</f>
        <v/>
      </c>
      <c r="L12" s="67">
        <f>IF($A12="","",$L$57*$D12)</f>
        <v/>
      </c>
      <c r="M12" s="66">
        <f>IF($A12="","",$C12-$E$58-$F$58)</f>
        <v/>
      </c>
      <c r="N12" s="67">
        <f>IF($A12="","",$L$58*$D12)</f>
        <v/>
      </c>
      <c r="O12" s="66">
        <f>IF($A12="","",$C12)</f>
        <v/>
      </c>
      <c r="P12" s="67">
        <f>IF($A12="","",$L$59*$D12)</f>
        <v/>
      </c>
      <c r="Q12" s="66">
        <f>IF($A12="","",$B12-$E$60-$F$60-$G$60-$H$60)</f>
        <v/>
      </c>
      <c r="R12" s="67">
        <f>IF($A12="","",$L$60*$D12)</f>
        <v/>
      </c>
      <c r="S12" s="66">
        <f>IF($A12="","",(($C12-$E$61-$F$61-$G$61-$H$61-$I$61)/5)+(78*4)/5)</f>
        <v/>
      </c>
      <c r="T12" s="67">
        <f>IF($A12="","",$L$61*$D12)</f>
        <v/>
      </c>
      <c r="U12" s="66">
        <f>IF($A12="","",$Q12-$E$62-$F$62)</f>
        <v/>
      </c>
      <c r="V12" s="67">
        <f>IF($A12="","",$L$62*$D12)</f>
        <v/>
      </c>
      <c r="W12" s="66">
        <f>IF($A12="","",$S12-$E$63-$F$63)</f>
        <v/>
      </c>
      <c r="X12" s="67">
        <f>IF($A12="","",$L$63*$D12)</f>
        <v/>
      </c>
      <c r="Y12" s="66">
        <f>IF($A12="","",$Q12)</f>
        <v/>
      </c>
      <c r="Z12" s="67">
        <f>IF($A12="","",$L$64*$D12)</f>
        <v/>
      </c>
      <c r="AA12" s="66">
        <f>IF($A12="","",$B12-$E$65-$F$65)</f>
        <v/>
      </c>
      <c r="AB12" s="67">
        <f>IF($A12="","",$L$65*$D12)</f>
        <v/>
      </c>
      <c r="AC12" s="66">
        <f>IF($A12="","",$C12-$E$66-$F$66)</f>
        <v/>
      </c>
      <c r="AD12" s="67">
        <f>IF($A12="","",$L$66*$D12)</f>
        <v/>
      </c>
      <c r="AE12" s="66">
        <f>IF($A12="","",$B12-$E$67-$F$67)</f>
        <v/>
      </c>
      <c r="AF12" s="67">
        <f>IF($A12="","",$L$67*$D12)</f>
        <v/>
      </c>
      <c r="AG12" s="66">
        <f>IF($A12="","",$C12-$E$68-$F$68)</f>
        <v/>
      </c>
      <c r="AH12" s="67">
        <f>IF($A12="","",$L$68*$D12)</f>
        <v/>
      </c>
      <c r="AI12" s="63">
        <f>IF($A12="","",$Q12-68-68)</f>
        <v/>
      </c>
      <c r="AJ12" s="64">
        <f>IF($A12="","",$S12-68-68)</f>
        <v/>
      </c>
      <c r="AK12" s="65">
        <f>IF($A12="","",5*$D12)</f>
        <v/>
      </c>
    </row>
    <row r="13" ht="40.15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IF($A13="","",$B13)</f>
        <v/>
      </c>
      <c r="H13" s="60">
        <f>IF($A13="","",$L$55*$D13)</f>
        <v/>
      </c>
      <c r="I13" s="62">
        <f>IF($A13="","",$B13)</f>
        <v/>
      </c>
      <c r="J13" s="60">
        <f>IF($A13="","",$L$56*$D13)</f>
        <v/>
      </c>
      <c r="K13" s="62">
        <f>IF($A13="","",$C13-$E$57-$F$57)</f>
        <v/>
      </c>
      <c r="L13" s="60">
        <f>IF($A13="","",$L$57*$D13)</f>
        <v/>
      </c>
      <c r="M13" s="62">
        <f>IF($A13="","",$C13-$E$58-$F$58)</f>
        <v/>
      </c>
      <c r="N13" s="60">
        <f>IF($A13="","",$L$58*$D13)</f>
        <v/>
      </c>
      <c r="O13" s="62">
        <f>IF($A13="","",$C13)</f>
        <v/>
      </c>
      <c r="P13" s="60">
        <f>IF($A13="","",$L$59*$D13)</f>
        <v/>
      </c>
      <c r="Q13" s="62">
        <f>IF($A13="","",$B13-$E$60-$F$60-$G$60-$H$60)</f>
        <v/>
      </c>
      <c r="R13" s="60">
        <f>IF($A13="","",$L$60*$D13)</f>
        <v/>
      </c>
      <c r="S13" s="62">
        <f>IF($A13="","",(($C13-$E$61-$F$61-$G$61-$H$61-$I$61)/5)+(78*4)/5)</f>
        <v/>
      </c>
      <c r="T13" s="60">
        <f>IF($A13="","",$L$61*$D13)</f>
        <v/>
      </c>
      <c r="U13" s="62">
        <f>IF($A13="","",$Q13-$E$62-$F$62)</f>
        <v/>
      </c>
      <c r="V13" s="60">
        <f>IF($A13="","",$L$62*$D13)</f>
        <v/>
      </c>
      <c r="W13" s="62">
        <f>IF($A13="","",$S13-$E$63-$F$63)</f>
        <v/>
      </c>
      <c r="X13" s="60">
        <f>IF($A13="","",$L$63*$D13)</f>
        <v/>
      </c>
      <c r="Y13" s="62">
        <f>IF($A13="","",$Q13)</f>
        <v/>
      </c>
      <c r="Z13" s="60">
        <f>IF($A13="","",$L$64*$D13)</f>
        <v/>
      </c>
      <c r="AA13" s="62">
        <f>IF($A13="","",$B13-$E$65-$F$65)</f>
        <v/>
      </c>
      <c r="AB13" s="60">
        <f>IF($A13="","",$L$65*$D13)</f>
        <v/>
      </c>
      <c r="AC13" s="62">
        <f>IF($A13="","",$C13-$E$66-$F$66)</f>
        <v/>
      </c>
      <c r="AD13" s="60">
        <f>IF($A13="","",$L$66*$D13)</f>
        <v/>
      </c>
      <c r="AE13" s="62">
        <f>IF($A13="","",$B13-$E$67-$F$67)</f>
        <v/>
      </c>
      <c r="AF13" s="60">
        <f>IF($A13="","",$L$67*$D13)</f>
        <v/>
      </c>
      <c r="AG13" s="62">
        <f>IF($A13="","",$C13-$E$68-$F$68)</f>
        <v/>
      </c>
      <c r="AH13" s="60">
        <f>IF($A13="","",$L$68*$D13)</f>
        <v/>
      </c>
      <c r="AI13" s="63">
        <f>IF($A13="","",$Q13-68-68)</f>
        <v/>
      </c>
      <c r="AJ13" s="64">
        <f>IF($A13="","",$S13-68-68)</f>
        <v/>
      </c>
      <c r="AK13" s="65">
        <f>IF($A13="","",5*$D13)</f>
        <v/>
      </c>
    </row>
    <row r="14" ht="40.15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IF($A14="","",$B14)</f>
        <v/>
      </c>
      <c r="H14" s="67">
        <f>IF($A14="","",$L$55*$D14)</f>
        <v/>
      </c>
      <c r="I14" s="66">
        <f>IF($A14="","",$B14)</f>
        <v/>
      </c>
      <c r="J14" s="67">
        <f>IF($A14="","",$L$56*$D14)</f>
        <v/>
      </c>
      <c r="K14" s="66">
        <f>IF($A14="","",$C14-$E$57-$F$57)</f>
        <v/>
      </c>
      <c r="L14" s="67">
        <f>IF($A14="","",$L$57*$D14)</f>
        <v/>
      </c>
      <c r="M14" s="66">
        <f>IF($A14="","",$C14-$E$58-$F$58)</f>
        <v/>
      </c>
      <c r="N14" s="67">
        <f>IF($A14="","",$L$58*$D14)</f>
        <v/>
      </c>
      <c r="O14" s="66">
        <f>IF($A14="","",$C14)</f>
        <v/>
      </c>
      <c r="P14" s="67">
        <f>IF($A14="","",$L$59*$D14)</f>
        <v/>
      </c>
      <c r="Q14" s="66">
        <f>IF($A14="","",$B14-$E$60-$F$60-$G$60-$H$60)</f>
        <v/>
      </c>
      <c r="R14" s="67">
        <f>IF($A14="","",$L$60*$D14)</f>
        <v/>
      </c>
      <c r="S14" s="66">
        <f>IF($A14="","",(($C14-$E$61-$F$61-$G$61-$H$61-$I$61)/5)+(78*4)/5)</f>
        <v/>
      </c>
      <c r="T14" s="67">
        <f>IF($A14="","",$L$61*$D14)</f>
        <v/>
      </c>
      <c r="U14" s="66">
        <f>IF($A14="","",$Q14-$E$62-$F$62)</f>
        <v/>
      </c>
      <c r="V14" s="67">
        <f>IF($A14="","",$L$62*$D14)</f>
        <v/>
      </c>
      <c r="W14" s="66">
        <f>IF($A14="","",$S14-$E$63-$F$63)</f>
        <v/>
      </c>
      <c r="X14" s="67">
        <f>IF($A14="","",$L$63*$D14)</f>
        <v/>
      </c>
      <c r="Y14" s="66">
        <f>IF($A14="","",$Q14)</f>
        <v/>
      </c>
      <c r="Z14" s="67">
        <f>IF($A14="","",$L$64*$D14)</f>
        <v/>
      </c>
      <c r="AA14" s="66">
        <f>IF($A14="","",$B14-$E$65-$F$65)</f>
        <v/>
      </c>
      <c r="AB14" s="67">
        <f>IF($A14="","",$L$65*$D14)</f>
        <v/>
      </c>
      <c r="AC14" s="66">
        <f>IF($A14="","",$C14-$E$66-$F$66)</f>
        <v/>
      </c>
      <c r="AD14" s="67">
        <f>IF($A14="","",$L$66*$D14)</f>
        <v/>
      </c>
      <c r="AE14" s="66">
        <f>IF($A14="","",$B14-$E$67-$F$67)</f>
        <v/>
      </c>
      <c r="AF14" s="67">
        <f>IF($A14="","",$L$67*$D14)</f>
        <v/>
      </c>
      <c r="AG14" s="66">
        <f>IF($A14="","",$C14-$E$68-$F$68)</f>
        <v/>
      </c>
      <c r="AH14" s="67">
        <f>IF($A14="","",$L$68*$D14)</f>
        <v/>
      </c>
      <c r="AI14" s="63">
        <f>IF($A14="","",$Q14-68-68)</f>
        <v/>
      </c>
      <c r="AJ14" s="64">
        <f>IF($A14="","",$S14-68-68)</f>
        <v/>
      </c>
      <c r="AK14" s="65">
        <f>IF($A14="","",5*$D14)</f>
        <v/>
      </c>
    </row>
    <row r="15" ht="40.15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IF($A15="","",$B15)</f>
        <v/>
      </c>
      <c r="H15" s="60">
        <f>IF($A15="","",$L$55*$D15)</f>
        <v/>
      </c>
      <c r="I15" s="62">
        <f>IF($A15="","",$B15)</f>
        <v/>
      </c>
      <c r="J15" s="60">
        <f>IF($A15="","",$L$56*$D15)</f>
        <v/>
      </c>
      <c r="K15" s="62">
        <f>IF($A15="","",$C15-$E$57-$F$57)</f>
        <v/>
      </c>
      <c r="L15" s="60">
        <f>IF($A15="","",$L$57*$D15)</f>
        <v/>
      </c>
      <c r="M15" s="62">
        <f>IF($A15="","",$C15-$E$58-$F$58)</f>
        <v/>
      </c>
      <c r="N15" s="60">
        <f>IF($A15="","",$L$58*$D15)</f>
        <v/>
      </c>
      <c r="O15" s="62">
        <f>IF($A15="","",$C15)</f>
        <v/>
      </c>
      <c r="P15" s="60">
        <f>IF($A15="","",$L$59*$D15)</f>
        <v/>
      </c>
      <c r="Q15" s="62">
        <f>IF($A15="","",$B15-$E$60-$F$60-$G$60-$H$60)</f>
        <v/>
      </c>
      <c r="R15" s="60">
        <f>IF($A15="","",$L$60*$D15)</f>
        <v/>
      </c>
      <c r="S15" s="62">
        <f>IF($A15="","",(($C15-$E$61-$F$61-$G$61-$H$61-$I$61)/5)+(78*4)/5)</f>
        <v/>
      </c>
      <c r="T15" s="60">
        <f>IF($A15="","",$L$61*$D15)</f>
        <v/>
      </c>
      <c r="U15" s="62">
        <f>IF($A15="","",$Q15-$E$62-$F$62)</f>
        <v/>
      </c>
      <c r="V15" s="60">
        <f>IF($A15="","",$L$62*$D15)</f>
        <v/>
      </c>
      <c r="W15" s="62">
        <f>IF($A15="","",$S15-$E$63-$F$63)</f>
        <v/>
      </c>
      <c r="X15" s="60">
        <f>IF($A15="","",$L$63*$D15)</f>
        <v/>
      </c>
      <c r="Y15" s="62">
        <f>IF($A15="","",$Q15)</f>
        <v/>
      </c>
      <c r="Z15" s="60">
        <f>IF($A15="","",$L$64*$D15)</f>
        <v/>
      </c>
      <c r="AA15" s="62">
        <f>IF($A15="","",$B15-$E$65-$F$65)</f>
        <v/>
      </c>
      <c r="AB15" s="60">
        <f>IF($A15="","",$L$65*$D15)</f>
        <v/>
      </c>
      <c r="AC15" s="62">
        <f>IF($A15="","",$C15-$E$66-$F$66)</f>
        <v/>
      </c>
      <c r="AD15" s="60">
        <f>IF($A15="","",$L$66*$D15)</f>
        <v/>
      </c>
      <c r="AE15" s="62">
        <f>IF($A15="","",$B15-$E$67-$F$67)</f>
        <v/>
      </c>
      <c r="AF15" s="60">
        <f>IF($A15="","",$L$67*$D15)</f>
        <v/>
      </c>
      <c r="AG15" s="62">
        <f>IF($A15="","",$C15-$E$68-$F$68)</f>
        <v/>
      </c>
      <c r="AH15" s="60">
        <f>IF($A15="","",$L$68*$D15)</f>
        <v/>
      </c>
      <c r="AI15" s="63">
        <f>IF($A15="","",$Q15-68-68)</f>
        <v/>
      </c>
      <c r="AJ15" s="64">
        <f>IF($A15="","",$S15-68-68)</f>
        <v/>
      </c>
      <c r="AK15" s="65">
        <f>IF($A15="","",5*$D15)</f>
        <v/>
      </c>
    </row>
    <row r="16" ht="40.15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IF($A16="","",$B16)</f>
        <v/>
      </c>
      <c r="H16" s="67">
        <f>IF($A16="","",$L$55*$D16)</f>
        <v/>
      </c>
      <c r="I16" s="66">
        <f>IF($A16="","",$B16)</f>
        <v/>
      </c>
      <c r="J16" s="67">
        <f>IF($A16="","",$L$56*$D16)</f>
        <v/>
      </c>
      <c r="K16" s="66">
        <f>IF($A16="","",$C16-$E$57-$F$57)</f>
        <v/>
      </c>
      <c r="L16" s="67">
        <f>IF($A16="","",$L$57*$D16)</f>
        <v/>
      </c>
      <c r="M16" s="66">
        <f>IF($A16="","",$C16-$E$58-$F$58)</f>
        <v/>
      </c>
      <c r="N16" s="67">
        <f>IF($A16="","",$L$58*$D16)</f>
        <v/>
      </c>
      <c r="O16" s="66">
        <f>IF($A16="","",$C16)</f>
        <v/>
      </c>
      <c r="P16" s="67">
        <f>IF($A16="","",$L$59*$D16)</f>
        <v/>
      </c>
      <c r="Q16" s="66">
        <f>IF($A16="","",$B16-$E$60-$F$60-$G$60-$H$60)</f>
        <v/>
      </c>
      <c r="R16" s="67">
        <f>IF($A16="","",$L$60*$D16)</f>
        <v/>
      </c>
      <c r="S16" s="66">
        <f>IF($A16="","",(($C16-$E$61-$F$61-$G$61-$H$61-$I$61)/5)+(78*4)/5)</f>
        <v/>
      </c>
      <c r="T16" s="67">
        <f>IF($A16="","",$L$61*$D16)</f>
        <v/>
      </c>
      <c r="U16" s="66">
        <f>IF($A16="","",$Q16-$E$62-$F$62)</f>
        <v/>
      </c>
      <c r="V16" s="67">
        <f>IF($A16="","",$L$62*$D16)</f>
        <v/>
      </c>
      <c r="W16" s="66">
        <f>IF($A16="","",$S16-$E$63-$F$63)</f>
        <v/>
      </c>
      <c r="X16" s="67">
        <f>IF($A16="","",$L$63*$D16)</f>
        <v/>
      </c>
      <c r="Y16" s="66">
        <f>IF($A16="","",$Q16)</f>
        <v/>
      </c>
      <c r="Z16" s="67">
        <f>IF($A16="","",$L$64*$D16)</f>
        <v/>
      </c>
      <c r="AA16" s="66">
        <f>IF($A16="","",$B16-$E$65-$F$65)</f>
        <v/>
      </c>
      <c r="AB16" s="67">
        <f>IF($A16="","",$L$65*$D16)</f>
        <v/>
      </c>
      <c r="AC16" s="66">
        <f>IF($A16="","",$C16-$E$66-$F$66)</f>
        <v/>
      </c>
      <c r="AD16" s="67">
        <f>IF($A16="","",$L$66*$D16)</f>
        <v/>
      </c>
      <c r="AE16" s="66">
        <f>IF($A16="","",$B16-$E$67-$F$67)</f>
        <v/>
      </c>
      <c r="AF16" s="67">
        <f>IF($A16="","",$L$67*$D16)</f>
        <v/>
      </c>
      <c r="AG16" s="66">
        <f>IF($A16="","",$C16-$E$68-$F$68)</f>
        <v/>
      </c>
      <c r="AH16" s="67">
        <f>IF($A16="","",$L$68*$D16)</f>
        <v/>
      </c>
      <c r="AI16" s="63">
        <f>IF($A16="","",$Q16-68-68)</f>
        <v/>
      </c>
      <c r="AJ16" s="64">
        <f>IF($A16="","",$S16-68-68)</f>
        <v/>
      </c>
      <c r="AK16" s="65">
        <f>IF($A16="","",5*$D16)</f>
        <v/>
      </c>
    </row>
    <row r="17" ht="40.15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IF($A17="","",$B17)</f>
        <v/>
      </c>
      <c r="H17" s="60">
        <f>IF($A17="","",$L$55*$D17)</f>
        <v/>
      </c>
      <c r="I17" s="62">
        <f>IF($A17="","",$B17)</f>
        <v/>
      </c>
      <c r="J17" s="60">
        <f>IF($A17="","",$L$56*$D17)</f>
        <v/>
      </c>
      <c r="K17" s="62">
        <f>IF($A17="","",$C17-$E$57-$F$57)</f>
        <v/>
      </c>
      <c r="L17" s="60">
        <f>IF($A17="","",$L$57*$D17)</f>
        <v/>
      </c>
      <c r="M17" s="62">
        <f>IF($A17="","",$C17-$E$58-$F$58)</f>
        <v/>
      </c>
      <c r="N17" s="60">
        <f>IF($A17="","",$L$58*$D17)</f>
        <v/>
      </c>
      <c r="O17" s="62">
        <f>IF($A17="","",$C17)</f>
        <v/>
      </c>
      <c r="P17" s="60">
        <f>IF($A17="","",$L$59*$D17)</f>
        <v/>
      </c>
      <c r="Q17" s="62">
        <f>IF($A17="","",$B17-$E$60-$F$60-$G$60-$H$60)</f>
        <v/>
      </c>
      <c r="R17" s="60">
        <f>IF($A17="","",$L$60*$D17)</f>
        <v/>
      </c>
      <c r="S17" s="62">
        <f>IF($A17="","",(($C17-$E$61-$F$61-$G$61-$H$61-$I$61)/5)+(78*4)/5)</f>
        <v/>
      </c>
      <c r="T17" s="60">
        <f>IF($A17="","",$L$61*$D17)</f>
        <v/>
      </c>
      <c r="U17" s="62">
        <f>IF($A17="","",$Q17-$E$62-$F$62)</f>
        <v/>
      </c>
      <c r="V17" s="60">
        <f>IF($A17="","",$L$62*$D17)</f>
        <v/>
      </c>
      <c r="W17" s="62">
        <f>IF($A17="","",$S17-$E$63-$F$63)</f>
        <v/>
      </c>
      <c r="X17" s="60">
        <f>IF($A17="","",$L$63*$D17)</f>
        <v/>
      </c>
      <c r="Y17" s="62">
        <f>IF($A17="","",$Q17)</f>
        <v/>
      </c>
      <c r="Z17" s="60">
        <f>IF($A17="","",$L$64*$D17)</f>
        <v/>
      </c>
      <c r="AA17" s="62">
        <f>IF($A17="","",$B17-$E$65-$F$65)</f>
        <v/>
      </c>
      <c r="AB17" s="60">
        <f>IF($A17="","",$L$65*$D17)</f>
        <v/>
      </c>
      <c r="AC17" s="62">
        <f>IF($A17="","",$C17-$E$66-$F$66)</f>
        <v/>
      </c>
      <c r="AD17" s="60">
        <f>IF($A17="","",$L$66*$D17)</f>
        <v/>
      </c>
      <c r="AE17" s="62">
        <f>IF($A17="","",$B17-$E$67-$F$67)</f>
        <v/>
      </c>
      <c r="AF17" s="60">
        <f>IF($A17="","",$L$67*$D17)</f>
        <v/>
      </c>
      <c r="AG17" s="62">
        <f>IF($A17="","",$C17-$E$68-$F$68)</f>
        <v/>
      </c>
      <c r="AH17" s="60">
        <f>IF($A17="","",$L$68*$D17)</f>
        <v/>
      </c>
      <c r="AI17" s="63">
        <f>IF($A17="","",$Q17-68-68)</f>
        <v/>
      </c>
      <c r="AJ17" s="64">
        <f>IF($A17="","",$S17-68-68)</f>
        <v/>
      </c>
      <c r="AK17" s="65">
        <f>IF($A17="","",5*$D17)</f>
        <v/>
      </c>
    </row>
    <row r="18" ht="40.15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IF($A18="","",$B18)</f>
        <v/>
      </c>
      <c r="H18" s="67">
        <f>IF($A18="","",$L$55*$D18)</f>
        <v/>
      </c>
      <c r="I18" s="66">
        <f>IF($A18="","",$B18)</f>
        <v/>
      </c>
      <c r="J18" s="67">
        <f>IF($A18="","",$L$56*$D18)</f>
        <v/>
      </c>
      <c r="K18" s="66">
        <f>IF($A18="","",$C18-$E$57-$F$57)</f>
        <v/>
      </c>
      <c r="L18" s="67">
        <f>IF($A18="","",$L$57*$D18)</f>
        <v/>
      </c>
      <c r="M18" s="66">
        <f>IF($A18="","",$C18-$E$58-$F$58)</f>
        <v/>
      </c>
      <c r="N18" s="67">
        <f>IF($A18="","",$L$58*$D18)</f>
        <v/>
      </c>
      <c r="O18" s="66">
        <f>IF($A18="","",$C18)</f>
        <v/>
      </c>
      <c r="P18" s="67">
        <f>IF($A18="","",$L$59*$D18)</f>
        <v/>
      </c>
      <c r="Q18" s="66">
        <f>IF($A18="","",$B18-$E$60-$F$60-$G$60-$H$60)</f>
        <v/>
      </c>
      <c r="R18" s="67">
        <f>IF($A18="","",$L$60*$D18)</f>
        <v/>
      </c>
      <c r="S18" s="66">
        <f>IF($A18="","",(($C18-$E$61-$F$61-$G$61-$H$61-$I$61)/5)+(78*4)/5)</f>
        <v/>
      </c>
      <c r="T18" s="67">
        <f>IF($A18="","",$L$61*$D18)</f>
        <v/>
      </c>
      <c r="U18" s="66">
        <f>IF($A18="","",$Q18-$E$62-$F$62)</f>
        <v/>
      </c>
      <c r="V18" s="67">
        <f>IF($A18="","",$L$62*$D18)</f>
        <v/>
      </c>
      <c r="W18" s="66">
        <f>IF($A18="","",$S18-$E$63-$F$63)</f>
        <v/>
      </c>
      <c r="X18" s="67">
        <f>IF($A18="","",$L$63*$D18)</f>
        <v/>
      </c>
      <c r="Y18" s="66">
        <f>IF($A18="","",$Q18)</f>
        <v/>
      </c>
      <c r="Z18" s="67">
        <f>IF($A18="","",$L$64*$D18)</f>
        <v/>
      </c>
      <c r="AA18" s="66">
        <f>IF($A18="","",$B18-$E$65-$F$65)</f>
        <v/>
      </c>
      <c r="AB18" s="67">
        <f>IF($A18="","",$L$65*$D18)</f>
        <v/>
      </c>
      <c r="AC18" s="66">
        <f>IF($A18="","",$C18-$E$66-$F$66)</f>
        <v/>
      </c>
      <c r="AD18" s="67">
        <f>IF($A18="","",$L$66*$D18)</f>
        <v/>
      </c>
      <c r="AE18" s="66">
        <f>IF($A18="","",$B18-$E$67-$F$67)</f>
        <v/>
      </c>
      <c r="AF18" s="67">
        <f>IF($A18="","",$L$67*$D18)</f>
        <v/>
      </c>
      <c r="AG18" s="66">
        <f>IF($A18="","",$C18-$E$68-$F$68)</f>
        <v/>
      </c>
      <c r="AH18" s="67">
        <f>IF($A18="","",$L$68*$D18)</f>
        <v/>
      </c>
      <c r="AI18" s="63">
        <f>IF($A18="","",$Q18-68-68)</f>
        <v/>
      </c>
      <c r="AJ18" s="64">
        <f>IF($A18="","",$S18-68-68)</f>
        <v/>
      </c>
      <c r="AK18" s="65">
        <f>IF($A18="","",5*$D18)</f>
        <v/>
      </c>
    </row>
    <row r="19" ht="40.15" customHeight="1">
      <c r="A19" s="58" t="n"/>
      <c r="B19" s="59" t="n"/>
      <c r="C19" s="60" t="n"/>
      <c r="D19" s="61" t="n"/>
      <c r="E19" s="62">
        <f>IF($A19="","",$B19)</f>
        <v/>
      </c>
      <c r="F19" s="60">
        <f>IF($A19="","",$L$54*$D19)</f>
        <v/>
      </c>
      <c r="G19" s="62">
        <f>IF($A19="","",$B19)</f>
        <v/>
      </c>
      <c r="H19" s="60">
        <f>IF($A19="","",$L$55*$D19)</f>
        <v/>
      </c>
      <c r="I19" s="62">
        <f>IF($A19="","",$B19)</f>
        <v/>
      </c>
      <c r="J19" s="60">
        <f>IF($A19="","",$L$56*$D19)</f>
        <v/>
      </c>
      <c r="K19" s="62">
        <f>IF($A19="","",$C19-$E$57-$F$57)</f>
        <v/>
      </c>
      <c r="L19" s="60">
        <f>IF($A19="","",$L$57*$D19)</f>
        <v/>
      </c>
      <c r="M19" s="62">
        <f>IF($A19="","",$C19-$E$58-$F$58)</f>
        <v/>
      </c>
      <c r="N19" s="60">
        <f>IF($A19="","",$L$58*$D19)</f>
        <v/>
      </c>
      <c r="O19" s="62">
        <f>IF($A19="","",$C19)</f>
        <v/>
      </c>
      <c r="P19" s="60">
        <f>IF($A19="","",$L$59*$D19)</f>
        <v/>
      </c>
      <c r="Q19" s="62">
        <f>IF($A19="","",$B19-$E$60-$F$60-$G$60-$H$60)</f>
        <v/>
      </c>
      <c r="R19" s="60">
        <f>IF($A19="","",$L$60*$D19)</f>
        <v/>
      </c>
      <c r="S19" s="62">
        <f>IF($A19="","",(($C19-$E$61-$F$61-$G$61-$H$61-$I$61)/5)+(78*4)/5)</f>
        <v/>
      </c>
      <c r="T19" s="60">
        <f>IF($A19="","",$L$61*$D19)</f>
        <v/>
      </c>
      <c r="U19" s="62">
        <f>IF($A19="","",$Q19-$E$62-$F$62)</f>
        <v/>
      </c>
      <c r="V19" s="60">
        <f>IF($A19="","",$L$62*$D19)</f>
        <v/>
      </c>
      <c r="W19" s="62">
        <f>IF($A19="","",$S19-$E$63-$F$63)</f>
        <v/>
      </c>
      <c r="X19" s="60">
        <f>IF($A19="","",$L$63*$D19)</f>
        <v/>
      </c>
      <c r="Y19" s="62">
        <f>IF($A19="","",$Q19)</f>
        <v/>
      </c>
      <c r="Z19" s="60">
        <f>IF($A19="","",$L$64*$D19)</f>
        <v/>
      </c>
      <c r="AA19" s="62">
        <f>IF($A19="","",$B19-$E$65-$F$65)</f>
        <v/>
      </c>
      <c r="AB19" s="60">
        <f>IF($A19="","",$L$65*$D19)</f>
        <v/>
      </c>
      <c r="AC19" s="62">
        <f>IF($A19="","",$C19-$E$66-$F$66)</f>
        <v/>
      </c>
      <c r="AD19" s="60">
        <f>IF($A19="","",$L$66*$D19)</f>
        <v/>
      </c>
      <c r="AE19" s="62">
        <f>IF($A19="","",$B19-$E$67-$F$67)</f>
        <v/>
      </c>
      <c r="AF19" s="60">
        <f>IF($A19="","",$L$67*$D19)</f>
        <v/>
      </c>
      <c r="AG19" s="62">
        <f>IF($A19="","",$C19-$E$68-$F$68)</f>
        <v/>
      </c>
      <c r="AH19" s="60">
        <f>IF($A19="","",$L$68*$D19)</f>
        <v/>
      </c>
      <c r="AI19" s="63">
        <f>IF($A19="","",$Q19-68-68)</f>
        <v/>
      </c>
      <c r="AJ19" s="64">
        <f>IF($A19="","",$S19-68-68)</f>
        <v/>
      </c>
      <c r="AK19" s="65">
        <f>IF($A19="","",5*$D19)</f>
        <v/>
      </c>
    </row>
    <row r="20" ht="40.15" customHeight="1">
      <c r="A20" s="58" t="n"/>
      <c r="B20" s="59" t="n"/>
      <c r="C20" s="60" t="n"/>
      <c r="D20" s="61" t="n"/>
      <c r="E20" s="66">
        <f>IF($A20="","",$B20)</f>
        <v/>
      </c>
      <c r="F20" s="67">
        <f>IF($A20="","",$L$54*$D20)</f>
        <v/>
      </c>
      <c r="G20" s="66">
        <f>IF($A20="","",$B20)</f>
        <v/>
      </c>
      <c r="H20" s="67">
        <f>IF($A20="","",$L$55*$D20)</f>
        <v/>
      </c>
      <c r="I20" s="66">
        <f>IF($A20="","",$B20)</f>
        <v/>
      </c>
      <c r="J20" s="67">
        <f>IF($A20="","",$L$56*$D20)</f>
        <v/>
      </c>
      <c r="K20" s="66">
        <f>IF($A20="","",$C20-$E$57-$F$57)</f>
        <v/>
      </c>
      <c r="L20" s="67">
        <f>IF($A20="","",$L$57*$D20)</f>
        <v/>
      </c>
      <c r="M20" s="66">
        <f>IF($A20="","",$C20-$E$58-$F$58)</f>
        <v/>
      </c>
      <c r="N20" s="67">
        <f>IF($A20="","",$L$58*$D20)</f>
        <v/>
      </c>
      <c r="O20" s="66">
        <f>IF($A20="","",$C20)</f>
        <v/>
      </c>
      <c r="P20" s="67">
        <f>IF($A20="","",$L$59*$D20)</f>
        <v/>
      </c>
      <c r="Q20" s="66">
        <f>IF($A20="","",$B20-$E$60-$F$60-$G$60-$H$60)</f>
        <v/>
      </c>
      <c r="R20" s="67">
        <f>IF($A20="","",$L$60*$D20)</f>
        <v/>
      </c>
      <c r="S20" s="66">
        <f>IF($A20="","",(($C20-$E$61-$F$61-$G$61-$H$61-$I$61)/5)+(78*4)/5)</f>
        <v/>
      </c>
      <c r="T20" s="67">
        <f>IF($A20="","",$L$61*$D20)</f>
        <v/>
      </c>
      <c r="U20" s="66">
        <f>IF($A20="","",$Q20-$E$62-$F$62)</f>
        <v/>
      </c>
      <c r="V20" s="67">
        <f>IF($A20="","",$L$62*$D20)</f>
        <v/>
      </c>
      <c r="W20" s="66">
        <f>IF($A20="","",$S20-$E$63-$F$63)</f>
        <v/>
      </c>
      <c r="X20" s="67">
        <f>IF($A20="","",$L$63*$D20)</f>
        <v/>
      </c>
      <c r="Y20" s="66">
        <f>IF($A20="","",$Q20)</f>
        <v/>
      </c>
      <c r="Z20" s="67">
        <f>IF($A20="","",$L$64*$D20)</f>
        <v/>
      </c>
      <c r="AA20" s="66">
        <f>IF($A20="","",$B20-$E$65-$F$65)</f>
        <v/>
      </c>
      <c r="AB20" s="67">
        <f>IF($A20="","",$L$65*$D20)</f>
        <v/>
      </c>
      <c r="AC20" s="66">
        <f>IF($A20="","",$C20-$E$66-$F$66)</f>
        <v/>
      </c>
      <c r="AD20" s="67">
        <f>IF($A20="","",$L$66*$D20)</f>
        <v/>
      </c>
      <c r="AE20" s="66">
        <f>IF($A20="","",$B20-$E$67-$F$67)</f>
        <v/>
      </c>
      <c r="AF20" s="67">
        <f>IF($A20="","",$L$67*$D20)</f>
        <v/>
      </c>
      <c r="AG20" s="66">
        <f>IF($A20="","",$C20-$E$68-$F$68)</f>
        <v/>
      </c>
      <c r="AH20" s="67">
        <f>IF($A20="","",$L$68*$D20)</f>
        <v/>
      </c>
      <c r="AI20" s="63">
        <f>IF($A20="","",$Q20-68-68)</f>
        <v/>
      </c>
      <c r="AJ20" s="64">
        <f>IF($A20="","",$S20-68-68)</f>
        <v/>
      </c>
      <c r="AK20" s="65">
        <f>IF($A20="","",5*$D20)</f>
        <v/>
      </c>
    </row>
    <row r="21" ht="40.15" customHeight="1">
      <c r="A21" s="58" t="n"/>
      <c r="B21" s="59" t="n"/>
      <c r="C21" s="60" t="n"/>
      <c r="D21" s="61" t="n"/>
      <c r="E21" s="62">
        <f>IF($A21="","",$B21)</f>
        <v/>
      </c>
      <c r="F21" s="60">
        <f>IF($A21="","",$L$54*$D21)</f>
        <v/>
      </c>
      <c r="G21" s="62">
        <f>IF($A21="","",$B21)</f>
        <v/>
      </c>
      <c r="H21" s="60">
        <f>IF($A21="","",$L$55*$D21)</f>
        <v/>
      </c>
      <c r="I21" s="62">
        <f>IF($A21="","",$B21)</f>
        <v/>
      </c>
      <c r="J21" s="60">
        <f>IF($A21="","",$L$56*$D21)</f>
        <v/>
      </c>
      <c r="K21" s="62">
        <f>IF($A21="","",$C21-$E$57-$F$57)</f>
        <v/>
      </c>
      <c r="L21" s="60">
        <f>IF($A21="","",$L$57*$D21)</f>
        <v/>
      </c>
      <c r="M21" s="62">
        <f>IF($A21="","",$C21-$E$58-$F$58)</f>
        <v/>
      </c>
      <c r="N21" s="60">
        <f>IF($A21="","",$L$58*$D21)</f>
        <v/>
      </c>
      <c r="O21" s="62">
        <f>IF($A21="","",$C21)</f>
        <v/>
      </c>
      <c r="P21" s="60">
        <f>IF($A21="","",$L$59*$D21)</f>
        <v/>
      </c>
      <c r="Q21" s="62">
        <f>IF($A21="","",$B21-$E$60-$F$60-$G$60-$H$60)</f>
        <v/>
      </c>
      <c r="R21" s="60">
        <f>IF($A21="","",$L$60*$D21)</f>
        <v/>
      </c>
      <c r="S21" s="62">
        <f>IF($A21="","",(($C21-$E$61-$F$61-$G$61-$H$61-$I$61)/5)+(78*4)/5)</f>
        <v/>
      </c>
      <c r="T21" s="60">
        <f>IF($A21="","",$L$61*$D21)</f>
        <v/>
      </c>
      <c r="U21" s="62">
        <f>IF($A21="","",$Q21-$E$62-$F$62)</f>
        <v/>
      </c>
      <c r="V21" s="60">
        <f>IF($A21="","",$L$62*$D21)</f>
        <v/>
      </c>
      <c r="W21" s="62">
        <f>IF($A21="","",$S21-$E$63-$F$63)</f>
        <v/>
      </c>
      <c r="X21" s="60">
        <f>IF($A21="","",$L$63*$D21)</f>
        <v/>
      </c>
      <c r="Y21" s="62">
        <f>IF($A21="","",$Q21)</f>
        <v/>
      </c>
      <c r="Z21" s="60">
        <f>IF($A21="","",$L$64*$D21)</f>
        <v/>
      </c>
      <c r="AA21" s="62">
        <f>IF($A21="","",$B21-$E$65-$F$65)</f>
        <v/>
      </c>
      <c r="AB21" s="60">
        <f>IF($A21="","",$L$65*$D21)</f>
        <v/>
      </c>
      <c r="AC21" s="62">
        <f>IF($A21="","",$C21-$E$66-$F$66)</f>
        <v/>
      </c>
      <c r="AD21" s="60">
        <f>IF($A21="","",$L$66*$D21)</f>
        <v/>
      </c>
      <c r="AE21" s="62">
        <f>IF($A21="","",$B21-$E$67-$F$67)</f>
        <v/>
      </c>
      <c r="AF21" s="60">
        <f>IF($A21="","",$L$67*$D21)</f>
        <v/>
      </c>
      <c r="AG21" s="62">
        <f>IF($A21="","",$C21-$E$68-$F$68)</f>
        <v/>
      </c>
      <c r="AH21" s="60">
        <f>IF($A21="","",$L$68*$D21)</f>
        <v/>
      </c>
      <c r="AI21" s="63">
        <f>IF($A21="","",$Q21-68-68)</f>
        <v/>
      </c>
      <c r="AJ21" s="64">
        <f>IF($A21="","",$S21-68-68)</f>
        <v/>
      </c>
      <c r="AK21" s="65">
        <f>IF($A21="","",5*$D21)</f>
        <v/>
      </c>
    </row>
    <row r="22" ht="40.15" customHeight="1">
      <c r="A22" s="58" t="n"/>
      <c r="B22" s="59" t="n"/>
      <c r="C22" s="60" t="n"/>
      <c r="D22" s="61" t="n"/>
      <c r="E22" s="66">
        <f>IF($A22="","",$B22)</f>
        <v/>
      </c>
      <c r="F22" s="67">
        <f>IF($A22="","",$L$54*$D22)</f>
        <v/>
      </c>
      <c r="G22" s="66">
        <f>IF($A22="","",$B22)</f>
        <v/>
      </c>
      <c r="H22" s="67">
        <f>IF($A22="","",$L$55*$D22)</f>
        <v/>
      </c>
      <c r="I22" s="66">
        <f>IF($A22="","",$B22)</f>
        <v/>
      </c>
      <c r="J22" s="67">
        <f>IF($A22="","",$L$56*$D22)</f>
        <v/>
      </c>
      <c r="K22" s="66">
        <f>IF($A22="","",$C22-$E$57-$F$57)</f>
        <v/>
      </c>
      <c r="L22" s="67">
        <f>IF($A22="","",$L$57*$D22)</f>
        <v/>
      </c>
      <c r="M22" s="66">
        <f>IF($A22="","",$C22-$E$58-$F$58)</f>
        <v/>
      </c>
      <c r="N22" s="67">
        <f>IF($A22="","",$L$58*$D22)</f>
        <v/>
      </c>
      <c r="O22" s="66">
        <f>IF($A22="","",$C22)</f>
        <v/>
      </c>
      <c r="P22" s="67">
        <f>IF($A22="","",$L$59*$D22)</f>
        <v/>
      </c>
      <c r="Q22" s="66">
        <f>IF($A22="","",$B22-$E$60-$F$60-$G$60-$H$60)</f>
        <v/>
      </c>
      <c r="R22" s="67">
        <f>IF($A22="","",$L$60*$D22)</f>
        <v/>
      </c>
      <c r="S22" s="66">
        <f>IF($A22="","",(($C22-$E$61-$F$61-$G$61-$H$61-$I$61)/5)+(78*4)/5)</f>
        <v/>
      </c>
      <c r="T22" s="67">
        <f>IF($A22="","",$L$61*$D22)</f>
        <v/>
      </c>
      <c r="U22" s="66">
        <f>IF($A22="","",$Q22-$E$62-$F$62)</f>
        <v/>
      </c>
      <c r="V22" s="67">
        <f>IF($A22="","",$L$62*$D22)</f>
        <v/>
      </c>
      <c r="W22" s="66">
        <f>IF($A22="","",$S22-$E$63-$F$63)</f>
        <v/>
      </c>
      <c r="X22" s="67">
        <f>IF($A22="","",$L$63*$D22)</f>
        <v/>
      </c>
      <c r="Y22" s="66">
        <f>IF($A22="","",$Q22)</f>
        <v/>
      </c>
      <c r="Z22" s="67">
        <f>IF($A22="","",$L$64*$D22)</f>
        <v/>
      </c>
      <c r="AA22" s="66">
        <f>IF($A22="","",$B22-$E$65-$F$65)</f>
        <v/>
      </c>
      <c r="AB22" s="67">
        <f>IF($A22="","",$L$65*$D22)</f>
        <v/>
      </c>
      <c r="AC22" s="66">
        <f>IF($A22="","",$C22-$E$66-$F$66)</f>
        <v/>
      </c>
      <c r="AD22" s="67">
        <f>IF($A22="","",$L$66*$D22)</f>
        <v/>
      </c>
      <c r="AE22" s="66">
        <f>IF($A22="","",$B22-$E$67-$F$67)</f>
        <v/>
      </c>
      <c r="AF22" s="67">
        <f>IF($A22="","",$L$67*$D22)</f>
        <v/>
      </c>
      <c r="AG22" s="66">
        <f>IF($A22="","",$C22-$E$68-$F$68)</f>
        <v/>
      </c>
      <c r="AH22" s="67">
        <f>IF($A22="","",$L$68*$D22)</f>
        <v/>
      </c>
      <c r="AI22" s="63">
        <f>IF($A22="","",$Q22-68-68)</f>
        <v/>
      </c>
      <c r="AJ22" s="64">
        <f>IF($A22="","",$S22-68-68)</f>
        <v/>
      </c>
      <c r="AK22" s="65">
        <f>IF($A22="","",5*$D22)</f>
        <v/>
      </c>
    </row>
    <row r="23" ht="40.15" customHeight="1">
      <c r="A23" s="58" t="n"/>
      <c r="B23" s="59" t="n"/>
      <c r="C23" s="60" t="n"/>
      <c r="D23" s="61" t="n"/>
      <c r="E23" s="62">
        <f>IF($A23="","",$B23)</f>
        <v/>
      </c>
      <c r="F23" s="60">
        <f>IF($A23="","",$L$54*$D23)</f>
        <v/>
      </c>
      <c r="G23" s="62">
        <f>IF($A23="","",$B23)</f>
        <v/>
      </c>
      <c r="H23" s="60">
        <f>IF($A23="","",$L$55*$D23)</f>
        <v/>
      </c>
      <c r="I23" s="62">
        <f>IF($A23="","",$B23)</f>
        <v/>
      </c>
      <c r="J23" s="60">
        <f>IF($A23="","",$L$56*$D23)</f>
        <v/>
      </c>
      <c r="K23" s="62">
        <f>IF($A23="","",$C23-$E$57-$F$57)</f>
        <v/>
      </c>
      <c r="L23" s="60">
        <f>IF($A23="","",$L$57*$D23)</f>
        <v/>
      </c>
      <c r="M23" s="62">
        <f>IF($A23="","",$C23-$E$58-$F$58)</f>
        <v/>
      </c>
      <c r="N23" s="60">
        <f>IF($A23="","",$L$58*$D23)</f>
        <v/>
      </c>
      <c r="O23" s="62">
        <f>IF($A23="","",$C23)</f>
        <v/>
      </c>
      <c r="P23" s="60">
        <f>IF($A23="","",$L$59*$D23)</f>
        <v/>
      </c>
      <c r="Q23" s="62">
        <f>IF($A23="","",$B23-$E$60-$F$60-$G$60-$H$60)</f>
        <v/>
      </c>
      <c r="R23" s="60">
        <f>IF($A23="","",$L$60*$D23)</f>
        <v/>
      </c>
      <c r="S23" s="62">
        <f>IF($A23="","",(($C23-$E$61-$F$61-$G$61-$H$61-$I$61)/5)+(78*4)/5)</f>
        <v/>
      </c>
      <c r="T23" s="60">
        <f>IF($A23="","",$L$61*$D23)</f>
        <v/>
      </c>
      <c r="U23" s="62">
        <f>IF($A23="","",$Q23-$E$62-$F$62)</f>
        <v/>
      </c>
      <c r="V23" s="60">
        <f>IF($A23="","",$L$62*$D23)</f>
        <v/>
      </c>
      <c r="W23" s="62">
        <f>IF($A23="","",$S23-$E$63-$F$63)</f>
        <v/>
      </c>
      <c r="X23" s="60">
        <f>IF($A23="","",$L$63*$D23)</f>
        <v/>
      </c>
      <c r="Y23" s="62">
        <f>IF($A23="","",$Q23)</f>
        <v/>
      </c>
      <c r="Z23" s="60">
        <f>IF($A23="","",$L$64*$D23)</f>
        <v/>
      </c>
      <c r="AA23" s="62">
        <f>IF($A23="","",$B23-$E$65-$F$65)</f>
        <v/>
      </c>
      <c r="AB23" s="60">
        <f>IF($A23="","",$L$65*$D23)</f>
        <v/>
      </c>
      <c r="AC23" s="62">
        <f>IF($A23="","",$C23-$E$66-$F$66)</f>
        <v/>
      </c>
      <c r="AD23" s="60">
        <f>IF($A23="","",$L$66*$D23)</f>
        <v/>
      </c>
      <c r="AE23" s="62">
        <f>IF($A23="","",$B23-$E$67-$F$67)</f>
        <v/>
      </c>
      <c r="AF23" s="60">
        <f>IF($A23="","",$L$67*$D23)</f>
        <v/>
      </c>
      <c r="AG23" s="62">
        <f>IF($A23="","",$C23-$E$68-$F$68)</f>
        <v/>
      </c>
      <c r="AH23" s="60">
        <f>IF($A23="","",$L$68*$D23)</f>
        <v/>
      </c>
      <c r="AI23" s="63">
        <f>IF($A23="","",$Q23-68-68)</f>
        <v/>
      </c>
      <c r="AJ23" s="64">
        <f>IF($A23="","",$S23-68-68)</f>
        <v/>
      </c>
      <c r="AK23" s="65">
        <f>IF($A23="","",5*$D23)</f>
        <v/>
      </c>
    </row>
    <row r="24" ht="40.15" customHeight="1">
      <c r="A24" s="58" t="n"/>
      <c r="B24" s="59" t="n"/>
      <c r="C24" s="60" t="n"/>
      <c r="D24" s="61" t="n"/>
      <c r="E24" s="66">
        <f>IF($A24="","",$B24)</f>
        <v/>
      </c>
      <c r="F24" s="67">
        <f>IF($A24="","",$L$54*$D24)</f>
        <v/>
      </c>
      <c r="G24" s="66">
        <f>IF($A24="","",$B24)</f>
        <v/>
      </c>
      <c r="H24" s="67">
        <f>IF($A24="","",$L$55*$D24)</f>
        <v/>
      </c>
      <c r="I24" s="66">
        <f>IF($A24="","",$B24)</f>
        <v/>
      </c>
      <c r="J24" s="67">
        <f>IF($A24="","",$L$56*$D24)</f>
        <v/>
      </c>
      <c r="K24" s="66">
        <f>IF($A24="","",$C24-$E$57-$F$57)</f>
        <v/>
      </c>
      <c r="L24" s="67">
        <f>IF($A24="","",$L$57*$D24)</f>
        <v/>
      </c>
      <c r="M24" s="66">
        <f>IF($A24="","",$C24-$E$58-$F$58)</f>
        <v/>
      </c>
      <c r="N24" s="67">
        <f>IF($A24="","",$L$58*$D24)</f>
        <v/>
      </c>
      <c r="O24" s="66">
        <f>IF($A24="","",$C24)</f>
        <v/>
      </c>
      <c r="P24" s="67">
        <f>IF($A24="","",$L$59*$D24)</f>
        <v/>
      </c>
      <c r="Q24" s="66">
        <f>IF($A24="","",$B24-$E$60-$F$60-$G$60-$H$60)</f>
        <v/>
      </c>
      <c r="R24" s="67">
        <f>IF($A24="","",$L$60*$D24)</f>
        <v/>
      </c>
      <c r="S24" s="66">
        <f>IF($A24="","",(($C24-$E$61-$F$61-$G$61-$H$61-$I$61)/5)+(78*4)/5)</f>
        <v/>
      </c>
      <c r="T24" s="67">
        <f>IF($A24="","",$L$61*$D24)</f>
        <v/>
      </c>
      <c r="U24" s="66">
        <f>IF($A24="","",$Q24-$E$62-$F$62)</f>
        <v/>
      </c>
      <c r="V24" s="67">
        <f>IF($A24="","",$L$62*$D24)</f>
        <v/>
      </c>
      <c r="W24" s="66">
        <f>IF($A24="","",$S24-$E$63-$F$63)</f>
        <v/>
      </c>
      <c r="X24" s="67">
        <f>IF($A24="","",$L$63*$D24)</f>
        <v/>
      </c>
      <c r="Y24" s="66">
        <f>IF($A24="","",$Q24)</f>
        <v/>
      </c>
      <c r="Z24" s="67">
        <f>IF($A24="","",$L$64*$D24)</f>
        <v/>
      </c>
      <c r="AA24" s="66">
        <f>IF($A24="","",$B24-$E$65-$F$65)</f>
        <v/>
      </c>
      <c r="AB24" s="67">
        <f>IF($A24="","",$L$65*$D24)</f>
        <v/>
      </c>
      <c r="AC24" s="66">
        <f>IF($A24="","",$C24-$E$66-$F$66)</f>
        <v/>
      </c>
      <c r="AD24" s="67">
        <f>IF($A24="","",$L$66*$D24)</f>
        <v/>
      </c>
      <c r="AE24" s="66">
        <f>IF($A24="","",$B24-$E$67-$F$67)</f>
        <v/>
      </c>
      <c r="AF24" s="67">
        <f>IF($A24="","",$L$67*$D24)</f>
        <v/>
      </c>
      <c r="AG24" s="66">
        <f>IF($A24="","",$C24-$E$68-$F$68)</f>
        <v/>
      </c>
      <c r="AH24" s="67">
        <f>IF($A24="","",$L$68*$D24)</f>
        <v/>
      </c>
      <c r="AI24" s="63">
        <f>IF($A24="","",$Q24-68-68)</f>
        <v/>
      </c>
      <c r="AJ24" s="64">
        <f>IF($A24="","",$S24-68-68)</f>
        <v/>
      </c>
      <c r="AK24" s="65">
        <f>IF($A24="","",5*$D24)</f>
        <v/>
      </c>
    </row>
    <row r="25" ht="40.15" customHeight="1">
      <c r="A25" s="58" t="n"/>
      <c r="B25" s="59" t="n"/>
      <c r="C25" s="60" t="n"/>
      <c r="D25" s="61" t="n"/>
      <c r="E25" s="62">
        <f>IF($A25="","",$B25)</f>
        <v/>
      </c>
      <c r="F25" s="60">
        <f>IF($A25="","",$L$54*$D25)</f>
        <v/>
      </c>
      <c r="G25" s="62">
        <f>IF($A25="","",$B25)</f>
        <v/>
      </c>
      <c r="H25" s="60">
        <f>IF($A25="","",$L$55*$D25)</f>
        <v/>
      </c>
      <c r="I25" s="62">
        <f>IF($A25="","",$B25)</f>
        <v/>
      </c>
      <c r="J25" s="60">
        <f>IF($A25="","",$L$56*$D25)</f>
        <v/>
      </c>
      <c r="K25" s="62">
        <f>IF($A25="","",$C25-$E$57-$F$57)</f>
        <v/>
      </c>
      <c r="L25" s="60">
        <f>IF($A25="","",$L$57*$D25)</f>
        <v/>
      </c>
      <c r="M25" s="62">
        <f>IF($A25="","",$C25-$E$58-$F$58)</f>
        <v/>
      </c>
      <c r="N25" s="60">
        <f>IF($A25="","",$L$58*$D25)</f>
        <v/>
      </c>
      <c r="O25" s="62">
        <f>IF($A25="","",$C25)</f>
        <v/>
      </c>
      <c r="P25" s="60">
        <f>IF($A25="","",$L$59*$D25)</f>
        <v/>
      </c>
      <c r="Q25" s="62">
        <f>IF($A25="","",$B25-$E$60-$F$60-$G$60-$H$60)</f>
        <v/>
      </c>
      <c r="R25" s="60">
        <f>IF($A25="","",$L$60*$D25)</f>
        <v/>
      </c>
      <c r="S25" s="62">
        <f>IF($A25="","",(($C25-$E$61-$F$61-$G$61-$H$61-$I$61)/5)+(78*4)/5)</f>
        <v/>
      </c>
      <c r="T25" s="60">
        <f>IF($A25="","",$L$61*$D25)</f>
        <v/>
      </c>
      <c r="U25" s="62">
        <f>IF($A25="","",$Q25-$E$62-$F$62)</f>
        <v/>
      </c>
      <c r="V25" s="60">
        <f>IF($A25="","",$L$62*$D25)</f>
        <v/>
      </c>
      <c r="W25" s="62">
        <f>IF($A25="","",$S25-$E$63-$F$63)</f>
        <v/>
      </c>
      <c r="X25" s="60">
        <f>IF($A25="","",$L$63*$D25)</f>
        <v/>
      </c>
      <c r="Y25" s="62">
        <f>IF($A25="","",$Q25)</f>
        <v/>
      </c>
      <c r="Z25" s="60">
        <f>IF($A25="","",$L$64*$D25)</f>
        <v/>
      </c>
      <c r="AA25" s="62">
        <f>IF($A25="","",$B25-$E$65-$F$65)</f>
        <v/>
      </c>
      <c r="AB25" s="60">
        <f>IF($A25="","",$L$65*$D25)</f>
        <v/>
      </c>
      <c r="AC25" s="62">
        <f>IF($A25="","",$C25-$E$66-$F$66)</f>
        <v/>
      </c>
      <c r="AD25" s="60">
        <f>IF($A25="","",$L$66*$D25)</f>
        <v/>
      </c>
      <c r="AE25" s="62">
        <f>IF($A25="","",$B25-$E$67-$F$67)</f>
        <v/>
      </c>
      <c r="AF25" s="60">
        <f>IF($A25="","",$L$67*$D25)</f>
        <v/>
      </c>
      <c r="AG25" s="62">
        <f>IF($A25="","",$C25-$E$68-$F$68)</f>
        <v/>
      </c>
      <c r="AH25" s="60">
        <f>IF($A25="","",$L$68*$D25)</f>
        <v/>
      </c>
      <c r="AI25" s="63">
        <f>IF($A25="","",$Q25-68-68)</f>
        <v/>
      </c>
      <c r="AJ25" s="64">
        <f>IF($A25="","",$S25-68-68)</f>
        <v/>
      </c>
      <c r="AK25" s="65">
        <f>IF($A25="","",5*$D25)</f>
        <v/>
      </c>
    </row>
    <row r="26" ht="40.15" customHeight="1">
      <c r="A26" s="58" t="n"/>
      <c r="B26" s="59" t="n"/>
      <c r="C26" s="60" t="n"/>
      <c r="D26" s="61" t="n"/>
      <c r="E26" s="66">
        <f>IF($A26="","",$B26)</f>
        <v/>
      </c>
      <c r="F26" s="67">
        <f>IF($A26="","",$L$54*$D26)</f>
        <v/>
      </c>
      <c r="G26" s="66">
        <f>IF($A26="","",$B26)</f>
        <v/>
      </c>
      <c r="H26" s="67">
        <f>IF($A26="","",$L$55*$D26)</f>
        <v/>
      </c>
      <c r="I26" s="66">
        <f>IF($A26="","",$B26)</f>
        <v/>
      </c>
      <c r="J26" s="67">
        <f>IF($A26="","",$L$56*$D26)</f>
        <v/>
      </c>
      <c r="K26" s="66">
        <f>IF($A26="","",$C26-$E$57-$F$57)</f>
        <v/>
      </c>
      <c r="L26" s="67">
        <f>IF($A26="","",$L$57*$D26)</f>
        <v/>
      </c>
      <c r="M26" s="66">
        <f>IF($A26="","",$C26-$E$58-$F$58)</f>
        <v/>
      </c>
      <c r="N26" s="67">
        <f>IF($A26="","",$L$58*$D26)</f>
        <v/>
      </c>
      <c r="O26" s="66">
        <f>IF($A26="","",$C26)</f>
        <v/>
      </c>
      <c r="P26" s="67">
        <f>IF($A26="","",$L$59*$D26)</f>
        <v/>
      </c>
      <c r="Q26" s="66">
        <f>IF($A26="","",$B26-$E$60-$F$60-$G$60-$H$60)</f>
        <v/>
      </c>
      <c r="R26" s="67">
        <f>IF($A26="","",$L$60*$D26)</f>
        <v/>
      </c>
      <c r="S26" s="66">
        <f>IF($A26="","",(($C26-$E$61-$F$61-$G$61-$H$61-$I$61)/5)+(78*4)/5)</f>
        <v/>
      </c>
      <c r="T26" s="67">
        <f>IF($A26="","",$L$61*$D26)</f>
        <v/>
      </c>
      <c r="U26" s="66">
        <f>IF($A26="","",$Q26-$E$62-$F$62)</f>
        <v/>
      </c>
      <c r="V26" s="67">
        <f>IF($A26="","",$L$62*$D26)</f>
        <v/>
      </c>
      <c r="W26" s="66">
        <f>IF($A26="","",$S26-$E$63-$F$63)</f>
        <v/>
      </c>
      <c r="X26" s="67">
        <f>IF($A26="","",$L$63*$D26)</f>
        <v/>
      </c>
      <c r="Y26" s="66">
        <f>IF($A26="","",$Q26)</f>
        <v/>
      </c>
      <c r="Z26" s="67">
        <f>IF($A26="","",$L$64*$D26)</f>
        <v/>
      </c>
      <c r="AA26" s="66">
        <f>IF($A26="","",$B26-$E$65-$F$65)</f>
        <v/>
      </c>
      <c r="AB26" s="67">
        <f>IF($A26="","",$L$65*$D26)</f>
        <v/>
      </c>
      <c r="AC26" s="66">
        <f>IF($A26="","",$C26-$E$66-$F$66)</f>
        <v/>
      </c>
      <c r="AD26" s="67">
        <f>IF($A26="","",$L$66*$D26)</f>
        <v/>
      </c>
      <c r="AE26" s="66">
        <f>IF($A26="","",$B26-$E$67-$F$67)</f>
        <v/>
      </c>
      <c r="AF26" s="67">
        <f>IF($A26="","",$L$67*$D26)</f>
        <v/>
      </c>
      <c r="AG26" s="66">
        <f>IF($A26="","",$C26-$E$68-$F$68)</f>
        <v/>
      </c>
      <c r="AH26" s="67">
        <f>IF($A26="","",$L$68*$D26)</f>
        <v/>
      </c>
      <c r="AI26" s="63">
        <f>IF($A26="","",$Q26-68-68)</f>
        <v/>
      </c>
      <c r="AJ26" s="64">
        <f>IF($A26="","",$S26-68-68)</f>
        <v/>
      </c>
      <c r="AK26" s="65">
        <f>IF($A26="","",5*$D26)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IF($A27="","",$B27)</f>
        <v/>
      </c>
      <c r="H27" s="92">
        <f>IF($A27="","",$L$55*$D27)</f>
        <v/>
      </c>
      <c r="I27" s="104">
        <f>IF($A27="","",$B27)</f>
        <v/>
      </c>
      <c r="J27" s="92">
        <f>IF($A27="","",$L$56*$D27)</f>
        <v/>
      </c>
      <c r="K27" s="104">
        <f>IF($A27="","",$C27-$E$57-$F$57)</f>
        <v/>
      </c>
      <c r="L27" s="92">
        <f>IF($A27="","",$L$57*$D27)</f>
        <v/>
      </c>
      <c r="M27" s="104">
        <f>IF($A27="","",$C27-$E$58-$F$58)</f>
        <v/>
      </c>
      <c r="N27" s="92">
        <f>IF($A27="","",$L$58*$D27)</f>
        <v/>
      </c>
      <c r="O27" s="104">
        <f>IF($A27="","",$C27)</f>
        <v/>
      </c>
      <c r="P27" s="92">
        <f>IF($A27="","",$L$59*$D27)</f>
        <v/>
      </c>
      <c r="Q27" s="104">
        <f>IF($A27="","",$B27-$E$60-$F$60-$G$60-$H$60)</f>
        <v/>
      </c>
      <c r="R27" s="92">
        <f>IF($A27="","",$L$60*$D27)</f>
        <v/>
      </c>
      <c r="S27" s="104">
        <f>IF($A27="","",(($C27-$E$61-$F$61-$G$61-$H$61-$I$61)/5)+(78*4)/5)</f>
        <v/>
      </c>
      <c r="T27" s="92">
        <f>IF($A27="","",$L$61*$D27)</f>
        <v/>
      </c>
      <c r="U27" s="104">
        <f>IF($A27="","",$Q27-$E$62-$F$62)</f>
        <v/>
      </c>
      <c r="V27" s="92">
        <f>IF($A27="","",$L$62*$D27)</f>
        <v/>
      </c>
      <c r="W27" s="104">
        <f>IF($A27="","",$S27-$E$63-$F$63)</f>
        <v/>
      </c>
      <c r="X27" s="92">
        <f>IF($A27="","",$L$63*$D27)</f>
        <v/>
      </c>
      <c r="Y27" s="62">
        <f>IF($A27="","",$Q27)</f>
        <v/>
      </c>
      <c r="Z27" s="92">
        <f>IF($A27="","",$L$64*$D27)</f>
        <v/>
      </c>
      <c r="AA27" s="104">
        <f>IF($A27="","",$B27-$E$65-$F$65)</f>
        <v/>
      </c>
      <c r="AB27" s="92">
        <f>IF($A27="","",$L$65*$D27)</f>
        <v/>
      </c>
      <c r="AC27" s="104">
        <f>IF($A27="","",$C27-$E$66-$F$66)</f>
        <v/>
      </c>
      <c r="AD27" s="92">
        <f>IF($A27="","",$L$66*$D27)</f>
        <v/>
      </c>
      <c r="AE27" s="104">
        <f>IF($A27="","",$B27-$E$67-$F$67)</f>
        <v/>
      </c>
      <c r="AF27" s="92">
        <f>IF($A27="","",$L$67*$D27)</f>
        <v/>
      </c>
      <c r="AG27" s="104">
        <f>IF($A27="","",$C27-$E$68-$F$68)</f>
        <v/>
      </c>
      <c r="AH27" s="92">
        <f>IF($A27="","",$L$68*$D27)</f>
        <v/>
      </c>
      <c r="AI27" s="105">
        <f>IF($A27="","",$Q27-68-68)</f>
        <v/>
      </c>
      <c r="AJ27" s="106">
        <f>IF($A27="","",$S27-68-68)</f>
        <v/>
      </c>
      <c r="AK27" s="107">
        <f>IF($A27="","",5*$D27)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IF($A28="","",$B28)</f>
        <v/>
      </c>
      <c r="H28" s="98">
        <f>IF($A28="","",$L$55*$D28)</f>
        <v/>
      </c>
      <c r="I28" s="108">
        <f>IF($A28="","",$B28)</f>
        <v/>
      </c>
      <c r="J28" s="98">
        <f>IF($A28="","",$L$56*$D28)</f>
        <v/>
      </c>
      <c r="K28" s="108">
        <f>IF($A28="","",$C28-$E$57-$F$57)</f>
        <v/>
      </c>
      <c r="L28" s="98">
        <f>IF($A28="","",$L$57*$D28)</f>
        <v/>
      </c>
      <c r="M28" s="108">
        <f>IF($A28="","",$C28-$E$58-$F$58)</f>
        <v/>
      </c>
      <c r="N28" s="98">
        <f>IF($A28="","",$L$58*$D28)</f>
        <v/>
      </c>
      <c r="O28" s="108">
        <f>IF($A28="","",$C28)</f>
        <v/>
      </c>
      <c r="P28" s="98">
        <f>IF($A28="","",$L$59*$D28)</f>
        <v/>
      </c>
      <c r="Q28" s="108">
        <f>IF($A28="","",$B28-$E$60-$F$60-$G$60-$H$60)</f>
        <v/>
      </c>
      <c r="R28" s="98">
        <f>IF($A28="","",$L$60*$D28)</f>
        <v/>
      </c>
      <c r="S28" s="108">
        <f>IF($A28="","",(($C28-$E$61-$F$61-$G$61-$H$61-$I$61)/5)+(78*4)/5)</f>
        <v/>
      </c>
      <c r="T28" s="98">
        <f>IF($A28="","",$L$61*$D28)</f>
        <v/>
      </c>
      <c r="U28" s="108">
        <f>IF($A28="","",$Q28-$E$62-$F$62)</f>
        <v/>
      </c>
      <c r="V28" s="98">
        <f>IF($A28="","",$L$62*$D28)</f>
        <v/>
      </c>
      <c r="W28" s="108">
        <f>IF($A28="","",$S28-$E$63-$F$63)</f>
        <v/>
      </c>
      <c r="X28" s="98">
        <f>IF($A28="","",$L$63*$D28)</f>
        <v/>
      </c>
      <c r="Y28" s="66">
        <f>IF($A28="","",$Q28)</f>
        <v/>
      </c>
      <c r="Z28" s="98">
        <f>IF($A28="","",$L$64*$D28)</f>
        <v/>
      </c>
      <c r="AA28" s="108">
        <f>IF($A28="","",$B28-$E$65-$F$65)</f>
        <v/>
      </c>
      <c r="AB28" s="98">
        <f>IF($A28="","",$L$65*$D28)</f>
        <v/>
      </c>
      <c r="AC28" s="108">
        <f>IF($A28="","",$C28-$E$66-$F$66)</f>
        <v/>
      </c>
      <c r="AD28" s="98">
        <f>IF($A28="","",$L$66*$D28)</f>
        <v/>
      </c>
      <c r="AE28" s="108">
        <f>IF($A28="","",$B28-$E$67-$F$67)</f>
        <v/>
      </c>
      <c r="AF28" s="98">
        <f>IF($A28="","",$L$67*$D28)</f>
        <v/>
      </c>
      <c r="AG28" s="108">
        <f>IF($A28="","",$C28-$E$68-$F$68)</f>
        <v/>
      </c>
      <c r="AH28" s="98">
        <f>IF($A28="","",$L$68*$D28)</f>
        <v/>
      </c>
      <c r="AI28" s="105">
        <f>IF($A28="","",$Q28-68-68)</f>
        <v/>
      </c>
      <c r="AJ28" s="106">
        <f>IF($A28="","",$S28-68-68)</f>
        <v/>
      </c>
      <c r="AK28" s="107">
        <f>IF($A28="","",5*$D28)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1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(ROUNDUP(L49/6400,0))</f>
        <v/>
      </c>
      <c r="M30" s="72">
        <f>M$7</f>
        <v/>
      </c>
      <c r="N30" s="72">
        <f>(ROUNDUP(N49/6400,0))</f>
        <v/>
      </c>
      <c r="O30" s="72">
        <f>O$7</f>
        <v/>
      </c>
      <c r="P30" s="72">
        <f>(ROUNDUP(P49/6400,0))</f>
        <v/>
      </c>
      <c r="Q30" s="72">
        <f>Q$7</f>
        <v/>
      </c>
      <c r="R30" s="20" t="n"/>
      <c r="S30" s="21" t="n"/>
      <c r="T30" s="72">
        <f>(ROUNDUP(SUM(R49:T49)/6400,0))</f>
        <v/>
      </c>
      <c r="U30" s="72">
        <f>U$7</f>
        <v/>
      </c>
      <c r="V30" s="20" t="n"/>
      <c r="W30" s="21" t="n"/>
      <c r="X30" s="72">
        <f>(ROUNDUP(SUM(V49:X49)/6400,0))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(ROUNDUP(AD49/6400,0))</f>
        <v/>
      </c>
      <c r="AE30" s="72">
        <f>AE$7</f>
        <v/>
      </c>
      <c r="AF30" s="72">
        <f>(ROUNDUP(AF49/6400,0))</f>
        <v/>
      </c>
      <c r="AG30" s="72">
        <f>AG$7</f>
        <v/>
      </c>
      <c r="AH30" s="72">
        <f>(ROUNDUP(AH49/6400,0))</f>
        <v/>
      </c>
    </row>
    <row r="31" hidden="1" ht="40.15" customHeight="1">
      <c r="F31" s="73">
        <f>IF($A11="","",F11*E11)</f>
        <v/>
      </c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O49" s="74" t="n"/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เฟรมข้าง</t>
        </is>
      </c>
      <c r="C55" s="80" t="inlineStr">
        <is>
          <t>F7978</t>
        </is>
      </c>
      <c r="D55" s="81" t="inlineStr">
        <is>
          <t>สูง</t>
        </is>
      </c>
      <c r="E55" s="82" t="n"/>
      <c r="F55" s="82" t="n"/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ต่อเฟรมข้าง</t>
        </is>
      </c>
      <c r="C56" s="80" t="inlineStr">
        <is>
          <t>F7989</t>
        </is>
      </c>
      <c r="D56" s="81" t="inlineStr">
        <is>
          <t>สูง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2</v>
      </c>
      <c r="M56" s="82" t="n"/>
    </row>
    <row r="57" ht="44" customHeight="1">
      <c r="A57" s="78" t="n">
        <v>4</v>
      </c>
      <c r="B57" s="79" t="inlineStr">
        <is>
          <t>เฟรม บน-ล่าง</t>
        </is>
      </c>
      <c r="C57" s="80" t="inlineStr">
        <is>
          <t>F7976</t>
        </is>
      </c>
      <c r="D57" s="81" t="inlineStr">
        <is>
          <t>กว้าง-21-21</t>
        </is>
      </c>
      <c r="E57" s="83" t="n">
        <v>21</v>
      </c>
      <c r="F57" s="83" t="n">
        <v>21</v>
      </c>
      <c r="G57" s="82" t="n"/>
      <c r="H57" s="82" t="n"/>
      <c r="I57" s="82" t="n"/>
      <c r="J57" s="82" t="n"/>
      <c r="K57" s="82" t="n"/>
      <c r="L57" s="83" t="n">
        <v>2</v>
      </c>
      <c r="M57" s="82" t="n"/>
    </row>
    <row r="58" ht="44" customHeight="1">
      <c r="A58" s="78" t="n">
        <v>5</v>
      </c>
      <c r="B58" s="79" t="inlineStr">
        <is>
          <t>ต่อราง</t>
        </is>
      </c>
      <c r="C58" s="80" t="inlineStr">
        <is>
          <t>F7990</t>
        </is>
      </c>
      <c r="D58" s="81" t="inlineStr">
        <is>
          <t>กว้าง-21-21</t>
        </is>
      </c>
      <c r="E58" s="83" t="n">
        <v>21</v>
      </c>
      <c r="F58" s="83" t="n">
        <v>21</v>
      </c>
      <c r="G58" s="82" t="n"/>
      <c r="H58" s="82" t="n"/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ตบกันสาด</t>
        </is>
      </c>
      <c r="C59" s="80" t="inlineStr">
        <is>
          <t>F7992</t>
        </is>
      </c>
      <c r="D59" s="81" t="inlineStr">
        <is>
          <t>กว้าง</t>
        </is>
      </c>
      <c r="E59" s="82" t="n"/>
      <c r="F59" s="82" t="n"/>
      <c r="G59" s="82" t="n"/>
      <c r="H59" s="82" t="n"/>
      <c r="I59" s="82" t="n"/>
      <c r="J59" s="82" t="n"/>
      <c r="K59" s="82" t="n"/>
      <c r="L59" s="83" t="n">
        <v>1</v>
      </c>
      <c r="M59" s="82" t="n"/>
    </row>
    <row r="60" ht="44" customHeight="1">
      <c r="A60" s="78" t="n">
        <v>7</v>
      </c>
      <c r="B60" s="79" t="inlineStr">
        <is>
          <t>เสา</t>
        </is>
      </c>
      <c r="C60" s="80" t="inlineStr">
        <is>
          <t>F7980</t>
        </is>
      </c>
      <c r="D60" s="81" t="inlineStr">
        <is>
          <t>สูง-21-19-13-21</t>
        </is>
      </c>
      <c r="E60" s="83" t="n">
        <v>21</v>
      </c>
      <c r="F60" s="83" t="n">
        <v>19</v>
      </c>
      <c r="G60" s="83" t="n">
        <v>13</v>
      </c>
      <c r="H60" s="83" t="n">
        <v>21</v>
      </c>
      <c r="I60" s="82" t="n"/>
      <c r="J60" s="82" t="n"/>
      <c r="K60" s="82" t="n"/>
      <c r="L60" s="83" t="n">
        <v>10</v>
      </c>
      <c r="M60" s="82" t="n"/>
    </row>
    <row r="61" ht="15" customHeight="1">
      <c r="A61" s="78" t="n">
        <v>8</v>
      </c>
      <c r="B61" s="79" t="inlineStr">
        <is>
          <t>ขวาง</t>
        </is>
      </c>
      <c r="C61" s="80" t="inlineStr">
        <is>
          <t>-</t>
        </is>
      </c>
      <c r="D61" s="81" t="inlineStr">
        <is>
          <t>((กว้าง-21-3-3-4.8-21)/5)+(78x4/5)</t>
        </is>
      </c>
      <c r="E61" s="83" t="n">
        <v>21</v>
      </c>
      <c r="F61" s="83" t="n">
        <v>3</v>
      </c>
      <c r="G61" s="83" t="n">
        <v>3</v>
      </c>
      <c r="H61" s="83" t="n">
        <v>4.8</v>
      </c>
      <c r="I61" s="83" t="n">
        <v>21</v>
      </c>
      <c r="J61" s="82" t="n"/>
      <c r="K61" s="82" t="n"/>
      <c r="L61" s="83" t="n">
        <v>10</v>
      </c>
      <c r="M61" s="82" t="n"/>
    </row>
    <row r="62" ht="44" customHeight="1">
      <c r="A62" s="78" t="n">
        <v>9</v>
      </c>
      <c r="B62" s="79" t="inlineStr">
        <is>
          <t>คิ้ว ตั้ง</t>
        </is>
      </c>
      <c r="C62" s="80" t="inlineStr">
        <is>
          <t>F7919</t>
        </is>
      </c>
      <c r="D62" s="81" t="inlineStr">
        <is>
          <t>เสา-78-78</t>
        </is>
      </c>
      <c r="E62" s="83" t="n">
        <v>78</v>
      </c>
      <c r="F62" s="83" t="n">
        <v>78</v>
      </c>
      <c r="G62" s="82" t="n"/>
      <c r="H62" s="82" t="n"/>
      <c r="I62" s="82" t="n"/>
      <c r="J62" s="82" t="n"/>
      <c r="K62" s="82" t="n"/>
      <c r="L62" s="83" t="n">
        <v>10</v>
      </c>
      <c r="M62" s="82" t="n"/>
    </row>
    <row r="63" ht="15" customHeight="1">
      <c r="A63" s="78" t="n">
        <v>10</v>
      </c>
      <c r="B63" s="79" t="inlineStr">
        <is>
          <t>คิ้ว ขวาง</t>
        </is>
      </c>
      <c r="C63" s="80" t="inlineStr">
        <is>
          <t>-</t>
        </is>
      </c>
      <c r="D63" s="81" t="inlineStr">
        <is>
          <t>ขวาง-63-63</t>
        </is>
      </c>
      <c r="E63" s="83" t="n">
        <v>63</v>
      </c>
      <c r="F63" s="83" t="n">
        <v>63</v>
      </c>
      <c r="G63" s="82" t="n"/>
      <c r="H63" s="82" t="n"/>
      <c r="I63" s="82" t="n"/>
      <c r="J63" s="82" t="n"/>
      <c r="K63" s="82" t="n"/>
      <c r="L63" s="83" t="n">
        <v>10</v>
      </c>
      <c r="M63" s="82" t="n"/>
    </row>
    <row r="64" ht="44" customHeight="1">
      <c r="A64" s="78" t="n">
        <v>11</v>
      </c>
      <c r="B64" s="79" t="inlineStr">
        <is>
          <t>ตบเกี่ยว</t>
        </is>
      </c>
      <c r="C64" s="80" t="inlineStr">
        <is>
          <t>F7983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8</v>
      </c>
      <c r="M64" s="82" t="n"/>
    </row>
    <row r="65" ht="44" customHeight="1">
      <c r="A65" s="78" t="n">
        <v>12</v>
      </c>
      <c r="B65" s="79" t="inlineStr">
        <is>
          <t>ยูข้าง</t>
        </is>
      </c>
      <c r="C65" s="80" t="inlineStr">
        <is>
          <t>F7986</t>
        </is>
      </c>
      <c r="D65" s="81" t="inlineStr">
        <is>
          <t>สูง-45-45</t>
        </is>
      </c>
      <c r="E65" s="83" t="n">
        <v>45</v>
      </c>
      <c r="F65" s="83" t="n">
        <v>45</v>
      </c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44" customHeight="1">
      <c r="A66" s="78" t="n">
        <v>13</v>
      </c>
      <c r="B66" s="79" t="inlineStr">
        <is>
          <t>ตบเฟรมบน</t>
        </is>
      </c>
      <c r="C66" s="80" t="inlineStr">
        <is>
          <t>F7993</t>
        </is>
      </c>
      <c r="D66" s="81" t="inlineStr">
        <is>
          <t>เท่าเฟรมบน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5</v>
      </c>
      <c r="M66" s="82" t="n"/>
    </row>
    <row r="67" ht="44" customHeight="1">
      <c r="A67" s="78" t="n">
        <v>14</v>
      </c>
      <c r="B67" s="79" t="inlineStr">
        <is>
          <t>ตบยูข้าง</t>
        </is>
      </c>
      <c r="C67" s="80" t="inlineStr">
        <is>
          <t>F7988</t>
        </is>
      </c>
      <c r="D67" s="81" t="inlineStr"/>
      <c r="E67" s="83" t="n">
        <v>45</v>
      </c>
      <c r="F67" s="83" t="n">
        <v>45</v>
      </c>
      <c r="G67" s="82" t="n"/>
      <c r="H67" s="82" t="n"/>
      <c r="I67" s="82" t="n"/>
      <c r="J67" s="82" t="n"/>
      <c r="K67" s="82" t="n"/>
      <c r="L67" s="83" t="n">
        <v>2</v>
      </c>
      <c r="M67" s="82" t="n"/>
    </row>
    <row r="68" ht="44" customHeight="1">
      <c r="A68" s="78" t="n">
        <v>15</v>
      </c>
      <c r="B68" s="79" t="inlineStr">
        <is>
          <t>ราง</t>
        </is>
      </c>
      <c r="C68" s="80" t="inlineStr">
        <is>
          <t>F7994</t>
        </is>
      </c>
      <c r="D68" s="81" t="inlineStr">
        <is>
          <t>เท่าเฟรมล่าง</t>
        </is>
      </c>
      <c r="E68" s="83" t="n">
        <v>21</v>
      </c>
      <c r="F68" s="83" t="n">
        <v>21</v>
      </c>
      <c r="G68" s="82" t="n"/>
      <c r="H68" s="82" t="n"/>
      <c r="I68" s="82" t="n"/>
      <c r="J68" s="82" t="n"/>
      <c r="K68" s="82" t="n"/>
      <c r="L68" s="83" t="n">
        <v>5</v>
      </c>
      <c r="M68" s="82" t="n"/>
    </row>
    <row r="70">
      <c r="A70" s="123" t="inlineStr">
        <is>
          <t>⑥ อุปกรณ์ ต่อ 1 บาน — คูณจำนวนบานที่ผลิต</t>
        </is>
      </c>
      <c r="B70" s="131" t="n"/>
      <c r="C70" s="131" t="n"/>
      <c r="D70" s="131" t="n"/>
      <c r="E70" s="132" t="n"/>
      <c r="F70" s="124" t="inlineStr">
        <is>
          <t>ต่อบาน</t>
        </is>
      </c>
    </row>
    <row r="71">
      <c r="A71" s="125" t="inlineStr">
        <is>
          <t>1. ล้อ 27</t>
        </is>
      </c>
      <c r="B71" s="131" t="n"/>
      <c r="C71" s="131" t="n"/>
      <c r="D71" s="131" t="n"/>
      <c r="E71" s="132" t="n"/>
      <c r="F71" s="126" t="n">
        <v>2</v>
      </c>
    </row>
    <row r="72">
      <c r="A72" s="125" t="inlineStr">
        <is>
          <t>2. มือจับ Align</t>
        </is>
      </c>
      <c r="B72" s="131" t="n"/>
      <c r="C72" s="131" t="n"/>
      <c r="D72" s="131" t="n"/>
      <c r="E72" s="132" t="n"/>
      <c r="F72" s="126" t="n">
        <v>2</v>
      </c>
    </row>
    <row r="73">
      <c r="A73" s="125" t="inlineStr">
        <is>
          <t>3. ชุดล็อค</t>
        </is>
      </c>
      <c r="B73" s="131" t="n"/>
      <c r="C73" s="131" t="n"/>
      <c r="D73" s="131" t="n"/>
      <c r="E73" s="132" t="n"/>
      <c r="F73" s="126" t="n">
        <v>1</v>
      </c>
    </row>
    <row r="74">
      <c r="A74" s="125" t="inlineStr">
        <is>
          <t>4. น็อตประกอบ</t>
        </is>
      </c>
      <c r="B74" s="131" t="n"/>
      <c r="C74" s="131" t="n"/>
      <c r="D74" s="131" t="n"/>
      <c r="E74" s="132" t="n"/>
      <c r="F74" s="126" t="n">
        <v>4</v>
      </c>
    </row>
    <row r="75">
      <c r="A75" s="127" t="inlineStr">
        <is>
          <t>+ สักหลาด/ยาง/ซิลิโคน = ตามขนาด (ดูชีทคิดทุน)</t>
        </is>
      </c>
      <c r="B75" s="131" t="n"/>
      <c r="C75" s="131" t="n"/>
      <c r="D75" s="131" t="n"/>
      <c r="E75" s="131" t="n"/>
      <c r="F75" s="132" t="n"/>
    </row>
  </sheetData>
  <mergeCells count="72">
    <mergeCell ref="O7:P7"/>
    <mergeCell ref="U9:V9"/>
    <mergeCell ref="AC7:AD7"/>
    <mergeCell ref="I6:J6"/>
    <mergeCell ref="A73:E73"/>
    <mergeCell ref="AE7:AF7"/>
    <mergeCell ref="A75:F75"/>
    <mergeCell ref="O6:P6"/>
    <mergeCell ref="U6:V6"/>
    <mergeCell ref="K9:L9"/>
    <mergeCell ref="W6:X6"/>
    <mergeCell ref="M9:N9"/>
    <mergeCell ref="O9:P9"/>
    <mergeCell ref="G8:H8"/>
    <mergeCell ref="Y9:Z9"/>
    <mergeCell ref="E8:F8"/>
    <mergeCell ref="Q8:R8"/>
    <mergeCell ref="AA9:AB9"/>
    <mergeCell ref="AG9:AH9"/>
    <mergeCell ref="S8:T8"/>
    <mergeCell ref="A70:E70"/>
    <mergeCell ref="G7:H7"/>
    <mergeCell ref="AA6:AB6"/>
    <mergeCell ref="AG6:AH6"/>
    <mergeCell ref="I7:J7"/>
    <mergeCell ref="A30:D30"/>
    <mergeCell ref="Q7:T7"/>
    <mergeCell ref="Q30:S30"/>
    <mergeCell ref="G6:H6"/>
    <mergeCell ref="AC8:AD8"/>
    <mergeCell ref="E9:F9"/>
    <mergeCell ref="A74:E74"/>
    <mergeCell ref="AE8:AF8"/>
    <mergeCell ref="M7:N7"/>
    <mergeCell ref="E6:F6"/>
    <mergeCell ref="A8:A9"/>
    <mergeCell ref="Y7:Z7"/>
    <mergeCell ref="A6:D6"/>
    <mergeCell ref="M6:N6"/>
    <mergeCell ref="AG7:AH7"/>
    <mergeCell ref="K8:L8"/>
    <mergeCell ref="AA7:AB7"/>
    <mergeCell ref="Q6:R6"/>
    <mergeCell ref="A71:E71"/>
    <mergeCell ref="S6:T6"/>
    <mergeCell ref="Y6:Z6"/>
    <mergeCell ref="A7:D7"/>
    <mergeCell ref="D8:D9"/>
    <mergeCell ref="Q9:R9"/>
    <mergeCell ref="I8:J8"/>
    <mergeCell ref="S9:T9"/>
    <mergeCell ref="M8:N8"/>
    <mergeCell ref="W9:X9"/>
    <mergeCell ref="AC9:AD9"/>
    <mergeCell ref="O8:P8"/>
    <mergeCell ref="U8:V8"/>
    <mergeCell ref="AE9:AF9"/>
    <mergeCell ref="K7:L7"/>
    <mergeCell ref="W8:X8"/>
    <mergeCell ref="B8:C9"/>
    <mergeCell ref="AC6:AD6"/>
    <mergeCell ref="E7:F7"/>
    <mergeCell ref="A72:E72"/>
    <mergeCell ref="AE6:AF6"/>
    <mergeCell ref="U7:X7"/>
    <mergeCell ref="U30:W30"/>
    <mergeCell ref="Y8:Z8"/>
    <mergeCell ref="K6:L6"/>
    <mergeCell ref="G9:H9"/>
    <mergeCell ref="AA8:AB8"/>
    <mergeCell ref="AG8:AH8"/>
    <mergeCell ref="I9:J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2026-06-30T03:24:13Z</dcterms:created>
  <dcterms:modified xmlns:dcterms="http://purl.org/dc/terms/" xmlns:xsi="http://www.w3.org/2001/XMLSchema-instance" xsi:type="dcterms:W3CDTF">2026-07-09T06:14:24Z</dcterms:modified>
</cp:coreProperties>
</file>