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ครอบวงกบไม้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9">
    <font>
      <name val="Calibri"/>
      <family val="2"/>
      <color theme="1"/>
      <sz val="11"/>
      <scheme val="minor"/>
    </font>
    <font>
      <name val="Tahoma"/>
      <b val="1"/>
      <color rgb="00FFFFFF"/>
      <sz val="12"/>
    </font>
    <font>
      <name val="Tahoma"/>
      <b val="1"/>
      <sz val="10"/>
    </font>
    <font>
      <name val="Tahoma"/>
      <b val="1"/>
      <color rgb="00FFFFFF"/>
    </font>
    <font>
      <name val="Tahoma"/>
      <sz val="10"/>
    </font>
    <font>
      <name val="Tahoma"/>
      <color rgb="00808080"/>
      <sz val="8"/>
    </font>
    <font>
      <name val="Tahoma"/>
      <sz val="9"/>
    </font>
    <font>
      <name val="Tahoma"/>
    </font>
    <font>
      <name val="Tahoma"/>
      <b val="1"/>
    </font>
  </fonts>
  <fills count="13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2F2F2"/>
      </patternFill>
    </fill>
    <fill>
      <patternFill patternType="solid">
        <fgColor rgb="002E75B6"/>
      </patternFill>
    </fill>
    <fill>
      <patternFill patternType="solid">
        <fgColor rgb="00FFE699"/>
      </patternFill>
    </fill>
    <fill>
      <patternFill patternType="solid">
        <fgColor rgb="00C6E0B4"/>
      </patternFill>
    </fill>
    <fill>
      <patternFill patternType="solid">
        <fgColor rgb="00F8CBAD"/>
      </patternFill>
    </fill>
    <fill>
      <patternFill patternType="solid">
        <fgColor rgb="00548235"/>
      </patternFill>
    </fill>
    <fill>
      <patternFill patternType="solid">
        <fgColor rgb="00EDEDED"/>
      </patternFill>
    </fill>
    <fill>
      <patternFill patternType="solid">
        <fgColor rgb="00DEEBF7"/>
      </patternFill>
    </fill>
    <fill>
      <patternFill patternType="solid">
        <fgColor rgb="007F77DD"/>
      </patternFill>
    </fill>
    <fill>
      <patternFill patternType="solid">
        <fgColor rgb="00E2EFDA"/>
      </patternFill>
    </fill>
  </fills>
  <borders count="7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  <border>
      <left/>
      <right/>
      <top style="thin">
        <color rgb="00B0B0B0"/>
      </top>
      <bottom/>
      <diagonal/>
    </border>
    <border>
      <left/>
      <right style="thin">
        <color rgb="00B0B0B0"/>
      </right>
      <top style="thin">
        <color rgb="00B0B0B0"/>
      </top>
      <bottom/>
      <diagonal/>
    </border>
    <border>
      <left/>
      <right style="thin">
        <color rgb="00B0B0B0"/>
      </right>
      <top style="thin">
        <color rgb="00B0B0B0"/>
      </top>
      <bottom style="thin">
        <color rgb="00B0B0B0"/>
      </bottom>
      <diagonal/>
    </border>
    <border>
      <left/>
      <right/>
      <top style="thin">
        <color rgb="00B0B0B0"/>
      </top>
      <bottom style="thin">
        <color rgb="00B0B0B0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2" fillId="3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3" fillId="4" borderId="1" applyAlignment="1" pivotButton="0" quotePrefix="0" xfId="0">
      <alignment horizontal="left" vertical="center" wrapText="1"/>
    </xf>
    <xf numFmtId="164" fontId="2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left" vertical="center" wrapText="1"/>
    </xf>
    <xf numFmtId="1" fontId="2" fillId="6" borderId="1" applyAlignment="1" pivotButton="0" quotePrefix="0" xfId="0">
      <alignment horizontal="center" vertical="center" wrapText="1"/>
    </xf>
    <xf numFmtId="164" fontId="2" fillId="6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64" fontId="2" fillId="7" borderId="1" applyAlignment="1" pivotButton="0" quotePrefix="0" xfId="0">
      <alignment horizontal="center" vertical="center" wrapText="1"/>
    </xf>
    <xf numFmtId="1" fontId="2" fillId="7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3" fillId="8" borderId="0" applyAlignment="1" pivotButton="0" quotePrefix="0" xfId="0">
      <alignment horizontal="left" vertical="center" wrapText="1"/>
    </xf>
    <xf numFmtId="0" fontId="0" fillId="8" borderId="0" pivotButton="0" quotePrefix="0" xfId="0"/>
    <xf numFmtId="0" fontId="2" fillId="9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164" fontId="2" fillId="10" borderId="1" applyAlignment="1" pivotButton="0" quotePrefix="0" xfId="0">
      <alignment horizontal="center" vertical="center" wrapText="1"/>
    </xf>
    <xf numFmtId="164" fontId="2" fillId="9" borderId="1" applyAlignment="1" pivotButton="0" quotePrefix="0" xfId="0">
      <alignment horizontal="center" vertical="center" wrapText="1"/>
    </xf>
    <xf numFmtId="0" fontId="3" fillId="11" borderId="0" applyAlignment="1" pivotButton="0" quotePrefix="0" xfId="0">
      <alignment horizontal="left" vertical="center" wrapText="1"/>
    </xf>
    <xf numFmtId="0" fontId="0" fillId="11" borderId="0" pivotButton="0" quotePrefix="0" xfId="0"/>
    <xf numFmtId="0" fontId="0" fillId="0" borderId="5" pivotButton="0" quotePrefix="0" xfId="0"/>
    <xf numFmtId="0" fontId="0" fillId="0" borderId="1" pivotButton="0" quotePrefix="0" xfId="0"/>
    <xf numFmtId="0" fontId="0" fillId="4" borderId="6" pivotButton="0" quotePrefix="0" xfId="0"/>
    <xf numFmtId="0" fontId="3" fillId="4" borderId="6" applyAlignment="1" pivotButton="0" quotePrefix="0" xfId="0">
      <alignment horizontal="left" vertical="center"/>
    </xf>
    <xf numFmtId="0" fontId="3" fillId="4" borderId="6" applyAlignment="1" pivotButton="0" quotePrefix="0" xfId="0">
      <alignment horizontal="center" vertical="center"/>
    </xf>
    <xf numFmtId="0" fontId="7" fillId="0" borderId="6" applyAlignment="1" pivotButton="0" quotePrefix="0" xfId="0">
      <alignment horizontal="center" vertical="center"/>
    </xf>
    <xf numFmtId="0" fontId="7" fillId="0" borderId="6" applyAlignment="1" pivotButton="0" quotePrefix="0" xfId="0">
      <alignment horizontal="left" vertical="center"/>
    </xf>
    <xf numFmtId="0" fontId="0" fillId="0" borderId="6" pivotButton="0" quotePrefix="0" xfId="0"/>
    <xf numFmtId="164" fontId="8" fillId="12" borderId="6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2" customWidth="1" min="2" max="2"/>
    <col width="16" customWidth="1" min="3" max="3"/>
    <col width="9" customWidth="1" min="4" max="4"/>
    <col width="10" customWidth="1" min="5" max="5"/>
    <col width="10" customWidth="1" min="6" max="6"/>
    <col width="9" customWidth="1" min="7" max="7"/>
    <col width="11" customWidth="1" min="8" max="8"/>
    <col width="14" customWidth="1" min="9" max="9"/>
  </cols>
  <sheetData>
    <row r="1">
      <c r="A1" s="1" t="inlineStr">
        <is>
          <t>JR ALUMINIUM &amp; GLASS   —   ใบตัดบาน บานเปิดครอบวงกบไม้   ·   หน่วย: ซม.</t>
        </is>
      </c>
    </row>
    <row r="2"/>
    <row r="3">
      <c r="B3" s="3" t="inlineStr">
        <is>
          <t>① กรอก + ดรอปดาว (เหลือง)</t>
        </is>
      </c>
      <c r="C3" s="4" t="n"/>
    </row>
    <row r="4">
      <c r="B4" s="5" t="inlineStr">
        <is>
          <t>กว้างช่องปูน</t>
        </is>
      </c>
      <c r="C4" s="6" t="n">
        <v>130</v>
      </c>
    </row>
    <row r="5">
      <c r="B5" s="5" t="inlineStr">
        <is>
          <t>สูงช่องปูน</t>
        </is>
      </c>
      <c r="C5" s="6" t="n">
        <v>210</v>
      </c>
    </row>
    <row r="6">
      <c r="B6" s="5" t="inlineStr">
        <is>
          <t>จำนวนบาน</t>
        </is>
      </c>
      <c r="C6" s="7" t="inlineStr">
        <is>
          <t>2 บาน</t>
        </is>
      </c>
    </row>
    <row r="7">
      <c r="B7" s="5" t="inlineStr">
        <is>
          <t>แบบแบ่ง (เมื่อ 2 บาน)</t>
        </is>
      </c>
      <c r="C7" s="7" t="inlineStr">
        <is>
          <t>แม่ลูก</t>
        </is>
      </c>
    </row>
    <row r="8">
      <c r="B8" s="5" t="inlineStr">
        <is>
          <t>บานแม่ กว้าง (เมื่อแม่ลูก)</t>
        </is>
      </c>
      <c r="C8" s="6" t="n">
        <v>80</v>
      </c>
    </row>
    <row r="9">
      <c r="B9" s="5" t="inlineStr">
        <is>
          <t>ธรณี</t>
        </is>
      </c>
      <c r="C9" s="7" t="inlineStr">
        <is>
          <t>มีธรณี</t>
        </is>
      </c>
    </row>
    <row r="10"/>
    <row r="11">
      <c r="B11" s="3" t="inlineStr">
        <is>
          <t>② คำนวณอัตโนมัติ</t>
        </is>
      </c>
      <c r="C11" s="4" t="n"/>
    </row>
    <row r="12">
      <c r="B12" s="8" t="inlineStr">
        <is>
          <t>จำนวนบาน (ตัวเลข)</t>
        </is>
      </c>
      <c r="C12" s="9">
        <f>IF($C$6="2 บาน",2,1)</f>
        <v/>
      </c>
    </row>
    <row r="13">
      <c r="B13" s="8" t="inlineStr">
        <is>
          <t>บาน 1 กว้าง</t>
        </is>
      </c>
      <c r="C13" s="10">
        <f>IF($C$12=1,$C$4,IF($C$7="เท่ากัน",$C$4/2,$C$8))</f>
        <v/>
      </c>
    </row>
    <row r="14">
      <c r="B14" s="8" t="inlineStr">
        <is>
          <t>บาน 2 กว้าง</t>
        </is>
      </c>
      <c r="C14" s="10">
        <f>IF($C$12=2,IF($C$7="เท่ากัน",$C$4/2,$C$4-$C$8),0)</f>
        <v/>
      </c>
    </row>
    <row r="15"/>
    <row r="16">
      <c r="A16" s="11" t="inlineStr">
        <is>
          <t>#</t>
        </is>
      </c>
      <c r="B16" s="11" t="inlineStr">
        <is>
          <t>โปรไฟล์</t>
        </is>
      </c>
      <c r="C16" s="11" t="inlineStr">
        <is>
          <t>ยาวตัด (ซม.)</t>
        </is>
      </c>
      <c r="D16" s="11" t="inlineStr">
        <is>
          <t>จำนวน</t>
        </is>
      </c>
      <c r="E16" s="11" t="inlineStr">
        <is>
          <t>หมายเหตุ / สูตร</t>
        </is>
      </c>
    </row>
    <row r="17" ht="22" customHeight="1">
      <c r="A17" s="12" t="n">
        <v>1</v>
      </c>
      <c r="B17" s="13" t="inlineStr">
        <is>
          <t>กล่องเรียบ แนวตั้ง (ครอบข้าง)</t>
        </is>
      </c>
      <c r="C17" s="14">
        <f>$C$5-$F$45</f>
        <v/>
      </c>
      <c r="D17" s="15" t="inlineStr">
        <is>
          <t>2</t>
        </is>
      </c>
      <c r="E17" s="16" t="inlineStr">
        <is>
          <t>สูง − 4.3</t>
        </is>
      </c>
    </row>
    <row r="18" ht="22" customHeight="1">
      <c r="A18" s="12" t="n">
        <v>2</v>
      </c>
      <c r="B18" s="13" t="inlineStr">
        <is>
          <t>กล่องเรียบ แนวนอน (ครอบบน)</t>
        </is>
      </c>
      <c r="C18" s="14">
        <f>$C$4-$F$46</f>
        <v/>
      </c>
      <c r="D18" s="15" t="inlineStr">
        <is>
          <t>1</t>
        </is>
      </c>
      <c r="E18" s="16" t="inlineStr">
        <is>
          <t>กว้าง − 0.7</t>
        </is>
      </c>
    </row>
    <row r="19" ht="22" customHeight="1">
      <c r="A19" s="12" t="n">
        <v>3</v>
      </c>
      <c r="B19" s="13" t="inlineStr">
        <is>
          <t>บังใบกล่อง แนวนอน (บน)</t>
        </is>
      </c>
      <c r="C19" s="14">
        <f>$C$4-$F$47</f>
        <v/>
      </c>
      <c r="D19" s="15" t="inlineStr">
        <is>
          <t>1</t>
        </is>
      </c>
      <c r="E19" s="16" t="inlineStr">
        <is>
          <t>กว้าง − 0.4 · 45° 2ฝั่ง</t>
        </is>
      </c>
    </row>
    <row r="20" ht="22" customHeight="1">
      <c r="A20" s="12" t="n">
        <v>4</v>
      </c>
      <c r="B20" s="13" t="inlineStr">
        <is>
          <t>บังใบกล่อง แนวตั้ง (ข้าง)</t>
        </is>
      </c>
      <c r="C20" s="14">
        <f>$C$5-$F$48-IF($C$9="มีธรณี",$F$49,0)</f>
        <v/>
      </c>
      <c r="D20" s="15" t="inlineStr">
        <is>
          <t>2</t>
        </is>
      </c>
      <c r="E20" s="16" t="inlineStr">
        <is>
          <t>สูง−0.2 (ธรณี −4.5) · 45° 1ฝั่ง</t>
        </is>
      </c>
    </row>
    <row r="21" ht="22" customHeight="1">
      <c r="A21" s="12" t="n">
        <v>5</v>
      </c>
      <c r="B21" s="13" t="inlineStr">
        <is>
          <t>ธรณี</t>
        </is>
      </c>
      <c r="C21" s="14">
        <f>$C$4-$F$54</f>
        <v/>
      </c>
      <c r="D21" s="15">
        <f>IF($C$9="มีธรณี",1,0)</f>
        <v/>
      </c>
      <c r="E21" s="16" t="inlineStr">
        <is>
          <t>กว้าง − 0.4 · เฉพาะมีธรณี</t>
        </is>
      </c>
    </row>
    <row r="22" ht="22" customHeight="1">
      <c r="A22" s="12" t="n">
        <v>6</v>
      </c>
      <c r="B22" s="13" t="inlineStr">
        <is>
          <t>กรอบบานบังใบ แนวตั้ง</t>
        </is>
      </c>
      <c r="C22" s="14">
        <f>$C$5-$F$48-$F$50+$F$51-IF($C$9="มีธรณี",$F$52,0)</f>
        <v/>
      </c>
      <c r="D22" s="15">
        <f>$C$12</f>
        <v/>
      </c>
      <c r="E22" s="16" t="inlineStr">
        <is>
          <t>สูง−0.2−0.8+2.7 (ธรณี −3.2)</t>
        </is>
      </c>
    </row>
    <row r="23" ht="22" customHeight="1">
      <c r="A23" s="12" t="n">
        <v>7</v>
      </c>
      <c r="B23" s="13" t="inlineStr">
        <is>
          <t>กรอบบานไม่บังใบ แนวตั้ง</t>
        </is>
      </c>
      <c r="C23" s="14">
        <f>$C$5-$F$48-$F$50-IF($C$9="มีธรณี",$F$52,0)</f>
        <v/>
      </c>
      <c r="D23" s="15">
        <f>$C$12</f>
        <v/>
      </c>
      <c r="E23" s="16" t="inlineStr">
        <is>
          <t>สูง−0.2−0.8 (ธรณี −3.2)</t>
        </is>
      </c>
    </row>
    <row r="24" ht="22" customHeight="1">
      <c r="A24" s="12" t="n">
        <v>8</v>
      </c>
      <c r="B24" s="13" t="inlineStr">
        <is>
          <t>กรอบบานบังใบ แนวนอน — บาน 1</t>
        </is>
      </c>
      <c r="C24" s="14">
        <f>$C$13-$F$50+$F$51</f>
        <v/>
      </c>
      <c r="D24" s="15" t="inlineStr">
        <is>
          <t>1</t>
        </is>
      </c>
      <c r="E24" s="16" t="inlineStr">
        <is>
          <t>บานกว้าง1 − 0.8 + 2.7</t>
        </is>
      </c>
    </row>
    <row r="25" ht="22" customHeight="1">
      <c r="A25" s="12" t="n">
        <v>9</v>
      </c>
      <c r="B25" s="13" t="inlineStr">
        <is>
          <t>กรอบบานบังใบ แนวนอน — บาน 2</t>
        </is>
      </c>
      <c r="C25" s="14">
        <f>$C$14-$F$50+$F$51</f>
        <v/>
      </c>
      <c r="D25" s="15">
        <f>IF($C$12=2,1,0)</f>
        <v/>
      </c>
      <c r="E25" s="16" t="inlineStr">
        <is>
          <t>บานกว้าง2 − 0.8 + 2.7</t>
        </is>
      </c>
    </row>
    <row r="26" ht="22" customHeight="1">
      <c r="A26" s="12" t="n">
        <v>10</v>
      </c>
      <c r="B26" s="13" t="inlineStr">
        <is>
          <t>กรอบบานไม่บังใบ แนวนอน — บาน 1</t>
        </is>
      </c>
      <c r="C26" s="14">
        <f>$C$13-$F$50-$F$53</f>
        <v/>
      </c>
      <c r="D26" s="15" t="inlineStr">
        <is>
          <t>1</t>
        </is>
      </c>
      <c r="E26" s="16" t="inlineStr">
        <is>
          <t>บานกว้าง1 − 0.8 − 3.2</t>
        </is>
      </c>
    </row>
    <row r="27" ht="22" customHeight="1">
      <c r="A27" s="12" t="n">
        <v>11</v>
      </c>
      <c r="B27" s="13" t="inlineStr">
        <is>
          <t>กรอบบานไม่บังใบ แนวนอน — บาน 2</t>
        </is>
      </c>
      <c r="C27" s="14">
        <f>$C$14-$F$50-$F$53</f>
        <v/>
      </c>
      <c r="D27" s="15">
        <f>IF($C$12=2,1,0)</f>
        <v/>
      </c>
      <c r="E27" s="16" t="inlineStr">
        <is>
          <t>บานกว้าง2 − 0.8 − 3.2</t>
        </is>
      </c>
    </row>
    <row r="28"/>
    <row r="29">
      <c r="B29" s="17" t="inlineStr">
        <is>
          <t>③ กระดานคำนวณ (แจกแจงทีละขั้น) — ฟ้า=สด เขียว=ผล · อ่าน: ฐาน − ตัวลบ + บวก − ธรณี = ยาว</t>
        </is>
      </c>
    </row>
    <row r="30">
      <c r="B30" s="11" t="inlineStr">
        <is>
          <t>โปรไฟล์</t>
        </is>
      </c>
      <c r="C30" s="11" t="inlineStr">
        <is>
          <t>ฐาน (จาก)</t>
        </is>
      </c>
      <c r="D30" s="11" t="inlineStr">
        <is>
          <t>ค่า</t>
        </is>
      </c>
      <c r="E30" s="11" t="inlineStr">
        <is>
          <t>− ตัวลบ</t>
        </is>
      </c>
      <c r="F30" s="11" t="inlineStr">
        <is>
          <t>+ บวก</t>
        </is>
      </c>
      <c r="G30" s="11" t="inlineStr">
        <is>
          <t>− ธรณี</t>
        </is>
      </c>
      <c r="H30" s="11" t="inlineStr">
        <is>
          <t>ยาวตัด</t>
        </is>
      </c>
      <c r="I30" s="11" t="inlineStr">
        <is>
          <t>หมายเหตุ</t>
        </is>
      </c>
    </row>
    <row r="31" ht="22" customHeight="1">
      <c r="B31" s="19" t="inlineStr">
        <is>
          <t>กล่องเรียบ แนวตั้ง</t>
        </is>
      </c>
      <c r="C31" s="20" t="inlineStr">
        <is>
          <t>ความสูงช่อง</t>
        </is>
      </c>
      <c r="D31" s="21">
        <f>$C$5</f>
        <v/>
      </c>
      <c r="E31" s="21">
        <f>$F$45</f>
        <v/>
      </c>
      <c r="F31" s="22" t="n"/>
      <c r="G31" s="22" t="n"/>
      <c r="H31" s="10">
        <f>$C$17</f>
        <v/>
      </c>
      <c r="I31" s="16" t="inlineStr"/>
    </row>
    <row r="32" ht="22" customHeight="1">
      <c r="B32" s="19" t="inlineStr">
        <is>
          <t>กล่องเรียบ แนวนอน</t>
        </is>
      </c>
      <c r="C32" s="20" t="inlineStr">
        <is>
          <t>ความกว้างช่อง</t>
        </is>
      </c>
      <c r="D32" s="21">
        <f>$C$4</f>
        <v/>
      </c>
      <c r="E32" s="21">
        <f>$F$46</f>
        <v/>
      </c>
      <c r="F32" s="22" t="n"/>
      <c r="G32" s="22" t="n"/>
      <c r="H32" s="10">
        <f>$C$18</f>
        <v/>
      </c>
      <c r="I32" s="16" t="inlineStr"/>
    </row>
    <row r="33" ht="22" customHeight="1">
      <c r="B33" s="19" t="inlineStr">
        <is>
          <t>บังใบกล่อง แนวนอน</t>
        </is>
      </c>
      <c r="C33" s="20" t="inlineStr">
        <is>
          <t>ความกว้างช่อง</t>
        </is>
      </c>
      <c r="D33" s="21">
        <f>$C$4</f>
        <v/>
      </c>
      <c r="E33" s="21">
        <f>$F$47</f>
        <v/>
      </c>
      <c r="F33" s="22" t="n"/>
      <c r="G33" s="22" t="n"/>
      <c r="H33" s="10">
        <f>$C$19</f>
        <v/>
      </c>
      <c r="I33" s="16" t="inlineStr"/>
    </row>
    <row r="34" ht="22" customHeight="1">
      <c r="B34" s="19" t="inlineStr">
        <is>
          <t>บังใบกล่อง แนวตั้ง</t>
        </is>
      </c>
      <c r="C34" s="20" t="inlineStr">
        <is>
          <t>ความสูงช่อง</t>
        </is>
      </c>
      <c r="D34" s="21">
        <f>$C$5</f>
        <v/>
      </c>
      <c r="E34" s="21">
        <f>$F$48</f>
        <v/>
      </c>
      <c r="F34" s="22" t="n"/>
      <c r="G34" s="21">
        <f>IF($C$9="มีธรณี",$F$49,0)</f>
        <v/>
      </c>
      <c r="H34" s="10">
        <f>$C$20</f>
        <v/>
      </c>
      <c r="I34" s="16" t="inlineStr"/>
    </row>
    <row r="35" ht="22" customHeight="1">
      <c r="B35" s="19" t="inlineStr">
        <is>
          <t>ธรณี</t>
        </is>
      </c>
      <c r="C35" s="20" t="inlineStr">
        <is>
          <t>ความกว้างช่อง</t>
        </is>
      </c>
      <c r="D35" s="21">
        <f>$C$4</f>
        <v/>
      </c>
      <c r="E35" s="21">
        <f>$F$54</f>
        <v/>
      </c>
      <c r="F35" s="22" t="n"/>
      <c r="G35" s="22" t="n"/>
      <c r="H35" s="10">
        <f>$C$21</f>
        <v/>
      </c>
      <c r="I35" s="16" t="inlineStr"/>
    </row>
    <row r="36" ht="22" customHeight="1">
      <c r="B36" s="19" t="inlineStr">
        <is>
          <t>กรอบบานบังใบ แนวตั้ง</t>
        </is>
      </c>
      <c r="C36" s="20" t="inlineStr">
        <is>
          <t>ความสูงช่อง</t>
        </is>
      </c>
      <c r="D36" s="21">
        <f>$C$5</f>
        <v/>
      </c>
      <c r="E36" s="21">
        <f>$F$48+$F$50</f>
        <v/>
      </c>
      <c r="F36" s="21">
        <f>$F$51</f>
        <v/>
      </c>
      <c r="G36" s="21">
        <f>IF($C$9="มีธรณี",$F$52,0)</f>
        <v/>
      </c>
      <c r="H36" s="10">
        <f>$C$22</f>
        <v/>
      </c>
      <c r="I36" s="16" t="inlineStr"/>
    </row>
    <row r="37" ht="22" customHeight="1">
      <c r="B37" s="19" t="inlineStr">
        <is>
          <t>กรอบบานไม่บังใบ แนวตั้ง</t>
        </is>
      </c>
      <c r="C37" s="20" t="inlineStr">
        <is>
          <t>ความสูงช่อง</t>
        </is>
      </c>
      <c r="D37" s="21">
        <f>$C$5</f>
        <v/>
      </c>
      <c r="E37" s="21">
        <f>$F$48+$F$50</f>
        <v/>
      </c>
      <c r="F37" s="22" t="n"/>
      <c r="G37" s="21">
        <f>IF($C$9="มีธรณี",$F$52,0)</f>
        <v/>
      </c>
      <c r="H37" s="10">
        <f>$C$23</f>
        <v/>
      </c>
      <c r="I37" s="16" t="inlineStr"/>
    </row>
    <row r="38" ht="22" customHeight="1">
      <c r="B38" s="19" t="inlineStr">
        <is>
          <t>กรอบบานบังใบ แนวนอน — บาน1</t>
        </is>
      </c>
      <c r="C38" s="20" t="inlineStr">
        <is>
          <t>บาน 1 กว้าง</t>
        </is>
      </c>
      <c r="D38" s="21">
        <f>$C$13</f>
        <v/>
      </c>
      <c r="E38" s="21">
        <f>$F$50</f>
        <v/>
      </c>
      <c r="F38" s="21">
        <f>$F$51</f>
        <v/>
      </c>
      <c r="G38" s="22" t="n"/>
      <c r="H38" s="10">
        <f>$C$24</f>
        <v/>
      </c>
      <c r="I38" s="16" t="inlineStr"/>
    </row>
    <row r="39" ht="22" customHeight="1">
      <c r="B39" s="19" t="inlineStr">
        <is>
          <t>กรอบบานบังใบ แนวนอน — บาน2</t>
        </is>
      </c>
      <c r="C39" s="20" t="inlineStr">
        <is>
          <t>บาน 2 กว้าง</t>
        </is>
      </c>
      <c r="D39" s="21">
        <f>$C$14</f>
        <v/>
      </c>
      <c r="E39" s="21">
        <f>$F$50</f>
        <v/>
      </c>
      <c r="F39" s="21">
        <f>$F$51</f>
        <v/>
      </c>
      <c r="G39" s="22" t="n"/>
      <c r="H39" s="10">
        <f>$C$25</f>
        <v/>
      </c>
      <c r="I39" s="16" t="inlineStr"/>
    </row>
    <row r="40" ht="22" customHeight="1">
      <c r="B40" s="19" t="inlineStr">
        <is>
          <t>กรอบบานไม่บังใบ แนวนอน — บาน1</t>
        </is>
      </c>
      <c r="C40" s="20" t="inlineStr">
        <is>
          <t>บาน 1 กว้าง</t>
        </is>
      </c>
      <c r="D40" s="21">
        <f>$C$13</f>
        <v/>
      </c>
      <c r="E40" s="21">
        <f>$F$50+$F$53</f>
        <v/>
      </c>
      <c r="F40" s="22" t="n"/>
      <c r="G40" s="22" t="n"/>
      <c r="H40" s="10">
        <f>$C$26</f>
        <v/>
      </c>
      <c r="I40" s="16" t="inlineStr"/>
    </row>
    <row r="41" ht="22" customHeight="1">
      <c r="B41" s="19" t="inlineStr">
        <is>
          <t>กรอบบานไม่บังใบ แนวนอน — บาน2</t>
        </is>
      </c>
      <c r="C41" s="20" t="inlineStr">
        <is>
          <t>บาน 2 กว้าง</t>
        </is>
      </c>
      <c r="D41" s="21">
        <f>$C$14</f>
        <v/>
      </c>
      <c r="E41" s="21">
        <f>$F$50+$F$53</f>
        <v/>
      </c>
      <c r="F41" s="22" t="n"/>
      <c r="G41" s="22" t="n"/>
      <c r="H41" s="10">
        <f>$C$27</f>
        <v/>
      </c>
      <c r="I41" s="16" t="inlineStr"/>
    </row>
    <row r="42"/>
    <row r="43">
      <c r="B43" s="23" t="inlineStr">
        <is>
          <t>④ แผงแก้สูตร — ตัวหักลบ/บวก (เหลือง)</t>
        </is>
      </c>
    </row>
    <row r="44">
      <c r="B44" s="5" t="inlineStr">
        <is>
          <t>ความหมาย</t>
        </is>
      </c>
      <c r="C44" s="25" t="n"/>
      <c r="D44" s="25" t="n"/>
      <c r="E44" s="4" t="n"/>
      <c r="F44" s="11" t="inlineStr">
        <is>
          <t>ค่า</t>
        </is>
      </c>
    </row>
    <row r="45" ht="19" customHeight="1">
      <c r="B45" s="13" t="inlineStr">
        <is>
          <t>กล่องเรียบ แนวตั้ง — หัก (4.3)</t>
        </is>
      </c>
      <c r="C45" s="25" t="n"/>
      <c r="D45" s="25" t="n"/>
      <c r="E45" s="4" t="n"/>
      <c r="F45" s="6" t="n">
        <v>4.3</v>
      </c>
    </row>
    <row r="46" ht="19" customHeight="1">
      <c r="B46" s="13" t="inlineStr">
        <is>
          <t>กล่องเรียบ แนวนอน — หัก (0.7)</t>
        </is>
      </c>
      <c r="C46" s="25" t="n"/>
      <c r="D46" s="25" t="n"/>
      <c r="E46" s="4" t="n"/>
      <c r="F46" s="6" t="n">
        <v>0.7</v>
      </c>
    </row>
    <row r="47" ht="19" customHeight="1">
      <c r="B47" s="13" t="inlineStr">
        <is>
          <t>บังใบกล่อง แนวนอน — หัก (0.4)</t>
        </is>
      </c>
      <c r="C47" s="25" t="n"/>
      <c r="D47" s="25" t="n"/>
      <c r="E47" s="4" t="n"/>
      <c r="F47" s="6" t="n">
        <v>0.4</v>
      </c>
    </row>
    <row r="48" ht="19" customHeight="1">
      <c r="B48" s="13" t="inlineStr">
        <is>
          <t>แนวตั้ง — หัก (0.2)</t>
        </is>
      </c>
      <c r="C48" s="25" t="n"/>
      <c r="D48" s="25" t="n"/>
      <c r="E48" s="4" t="n"/>
      <c r="F48" s="6" t="n">
        <v>0.2</v>
      </c>
    </row>
    <row r="49" ht="19" customHeight="1">
      <c r="B49" s="13" t="inlineStr">
        <is>
          <t>ธรณี — บังใบกล่องตั้ง เพิ่มหัก (4.5)</t>
        </is>
      </c>
      <c r="C49" s="25" t="n"/>
      <c r="D49" s="25" t="n"/>
      <c r="E49" s="4" t="n"/>
      <c r="F49" s="6" t="n">
        <v>4.5</v>
      </c>
    </row>
    <row r="50" ht="19" customHeight="1">
      <c r="B50" s="13" t="inlineStr">
        <is>
          <t>กรอบบาน — หักหลัก (0.8)</t>
        </is>
      </c>
      <c r="C50" s="25" t="n"/>
      <c r="D50" s="25" t="n"/>
      <c r="E50" s="4" t="n"/>
      <c r="F50" s="6" t="n">
        <v>0.8</v>
      </c>
    </row>
    <row r="51" ht="19" customHeight="1">
      <c r="B51" s="13" t="inlineStr">
        <is>
          <t>กรอบบานบังใบ — บวก (2.7)</t>
        </is>
      </c>
      <c r="C51" s="25" t="n"/>
      <c r="D51" s="25" t="n"/>
      <c r="E51" s="4" t="n"/>
      <c r="F51" s="6" t="n">
        <v>2.7</v>
      </c>
    </row>
    <row r="52" ht="19" customHeight="1">
      <c r="B52" s="13" t="inlineStr">
        <is>
          <t>ธรณี — กรอบบานตั้ง เพิ่มหัก (3.2)</t>
        </is>
      </c>
      <c r="C52" s="25" t="n"/>
      <c r="D52" s="25" t="n"/>
      <c r="E52" s="4" t="n"/>
      <c r="F52" s="6" t="n">
        <v>3.2</v>
      </c>
    </row>
    <row r="53" ht="19" customHeight="1">
      <c r="B53" s="13" t="inlineStr">
        <is>
          <t>กรอบไม่บังใบนอน — หัก (3.2)</t>
        </is>
      </c>
      <c r="C53" s="25" t="n"/>
      <c r="D53" s="25" t="n"/>
      <c r="E53" s="4" t="n"/>
      <c r="F53" s="6" t="n">
        <v>3.2</v>
      </c>
    </row>
    <row r="54" ht="19" customHeight="1">
      <c r="B54" s="13" t="inlineStr">
        <is>
          <t>ธรณี — ตัดธรณี หัก (0.4)</t>
        </is>
      </c>
      <c r="C54" s="25" t="n"/>
      <c r="D54" s="25" t="n"/>
      <c r="E54" s="4" t="n"/>
      <c r="F54" s="6" t="n">
        <v>0.4</v>
      </c>
    </row>
    <row r="56">
      <c r="A56" s="27" t="n"/>
      <c r="B56" s="28" t="inlineStr">
        <is>
          <t>⑥ อุปกรณ์ (จำนวน/ชุด) — บานเปิด (ครอบวงกบไม้)</t>
        </is>
      </c>
      <c r="F56" s="29" t="inlineStr">
        <is>
          <t>จำนวน</t>
        </is>
      </c>
    </row>
    <row r="57">
      <c r="A57" s="30" t="n">
        <v>1</v>
      </c>
      <c r="B57" s="31" t="inlineStr">
        <is>
          <t>บานพับ hyda</t>
        </is>
      </c>
      <c r="C57" s="32" t="n"/>
      <c r="D57" s="32" t="n"/>
      <c r="E57" s="32" t="n"/>
      <c r="F57" s="33">
        <f>IF(OR(C5&gt;300,C4/C12&gt;120),5,4)*C12</f>
        <v/>
      </c>
    </row>
    <row r="58">
      <c r="A58" s="30" t="n">
        <v>2</v>
      </c>
      <c r="B58" s="31" t="inlineStr">
        <is>
          <t>มือจับ + ล็อค (ใบหลัก)</t>
        </is>
      </c>
      <c r="C58" s="32" t="n"/>
      <c r="D58" s="32" t="n"/>
      <c r="E58" s="32" t="n"/>
      <c r="F58" s="33" t="n">
        <v>1</v>
      </c>
    </row>
    <row r="59">
      <c r="A59" s="30" t="n">
        <v>3</v>
      </c>
      <c r="B59" s="31" t="inlineStr">
        <is>
          <t>ชุดกลอน (ใบลอง)</t>
        </is>
      </c>
      <c r="C59" s="32" t="n"/>
      <c r="D59" s="32" t="n"/>
      <c r="E59" s="32" t="n"/>
      <c r="F59" s="33">
        <f>MAX(C12-1,0)</f>
        <v/>
      </c>
    </row>
    <row r="60">
      <c r="A60" s="30" t="n">
        <v>4</v>
      </c>
      <c r="B60" s="31" t="inlineStr">
        <is>
          <t>น็อตเฟรม</t>
        </is>
      </c>
      <c r="C60" s="32" t="n"/>
      <c r="D60" s="32" t="n"/>
      <c r="E60" s="32" t="n"/>
      <c r="F60" s="33">
        <f>IF(C9="มีธรณี",8,6)</f>
        <v/>
      </c>
    </row>
    <row r="61">
      <c r="A61" s="30" t="n">
        <v>5</v>
      </c>
      <c r="B61" s="31" t="inlineStr">
        <is>
          <t>ยาง (ม.)</t>
        </is>
      </c>
      <c r="C61" s="32" t="n"/>
      <c r="D61" s="32" t="n"/>
      <c r="E61" s="32" t="n"/>
      <c r="F61" s="33">
        <f>ROUND(2*(C4+C5)/100*C12,0)</f>
        <v/>
      </c>
    </row>
    <row r="62">
      <c r="A62" s="30" t="n">
        <v>6</v>
      </c>
      <c r="B62" s="31" t="inlineStr">
        <is>
          <t>ซิลิโคน ใน+นอก (หลอด)</t>
        </is>
      </c>
      <c r="C62" s="32" t="n"/>
      <c r="D62" s="32" t="n"/>
      <c r="E62" s="32" t="n"/>
      <c r="F62" s="33">
        <f>ROUNDUP(2*(C4+C5)/100*2/12.5,0)</f>
        <v/>
      </c>
    </row>
  </sheetData>
  <mergeCells count="23">
    <mergeCell ref="B49:E49"/>
    <mergeCell ref="B3:C3"/>
    <mergeCell ref="B51:E51"/>
    <mergeCell ref="B45:E45"/>
    <mergeCell ref="B43:F43"/>
    <mergeCell ref="B50:E50"/>
    <mergeCell ref="B11:C11"/>
    <mergeCell ref="B54:E54"/>
    <mergeCell ref="B62:E62"/>
    <mergeCell ref="A1:I2"/>
    <mergeCell ref="B47:E47"/>
    <mergeCell ref="B59:E59"/>
    <mergeCell ref="B46:E46"/>
    <mergeCell ref="B56:E56"/>
    <mergeCell ref="B29:I29"/>
    <mergeCell ref="B58:E58"/>
    <mergeCell ref="B52:E52"/>
    <mergeCell ref="B48:E48"/>
    <mergeCell ref="B60:E60"/>
    <mergeCell ref="B61:E61"/>
    <mergeCell ref="B57:E57"/>
    <mergeCell ref="B53:E53"/>
    <mergeCell ref="B44:E44"/>
  </mergeCells>
  <dataValidations count="3">
    <dataValidation sqref="C6" showDropDown="0" showInputMessage="0" showErrorMessage="0" allowBlank="0" type="list">
      <formula1>"1 บาน,2 บาน"</formula1>
    </dataValidation>
    <dataValidation sqref="C7" showDropDown="0" showInputMessage="0" showErrorMessage="0" allowBlank="0" type="list">
      <formula1>"เท่ากัน,แม่ลูก"</formula1>
    </dataValidation>
    <dataValidation sqref="C9" showDropDown="0" showInputMessage="0" showErrorMessage="0" allowBlank="0" type="list">
      <formula1>"มีธรณี,ไม่มีธรณี"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2026-07-02T09:06:24Z</dcterms:created>
  <dcterms:modified xmlns:dcterms="http://purl.org/dc/terms/" xmlns:xsi="http://www.w3.org/2001/XMLSchema-instance" xsi:type="dcterms:W3CDTF">2026-07-04T04:34:09Z</dcterms:modified>
</cp:coreProperties>
</file>