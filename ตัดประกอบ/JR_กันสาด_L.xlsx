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ันสาด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36195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0" customWidth="1" min="4" max="4"/>
    <col width="11" customWidth="1" min="5" max="5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</cols>
  <sheetData>
    <row r="1">
      <c r="A1" s="1" t="inlineStr">
        <is>
          <t>JR — ใบตัดกันสาด (ตัวแอล L / เพิงตรง) · ซม.</t>
        </is>
      </c>
    </row>
    <row r="2">
      <c r="A2" s="19" t="inlineStr">
        <is>
          <t>① กรอก (เหลือง)</t>
        </is>
      </c>
      <c r="D2" s="19" t="inlineStr">
        <is>
          <t>② คำนวณ</t>
        </is>
      </c>
      <c r="AH2" t="n">
        <v>1</v>
      </c>
      <c r="AI2">
        <f>(1-1)*$E$8</f>
        <v/>
      </c>
      <c r="AJ2">
        <f>1*$E$8</f>
        <v/>
      </c>
      <c r="AK2">
        <f>IF(AI2&gt;=$B$8,$B$7,IF($B$10="ยุบ",AI2/$B$8*$B$7,(1-AI2/$B$8)*$B$7))</f>
        <v/>
      </c>
      <c r="AL2">
        <f>IF(AJ2&gt;=$B$8,$B$7,IF($B$10="ยุบ",AJ2/$B$8*$B$7,(1-AJ2/$B$8)*$B$7))</f>
        <v/>
      </c>
      <c r="AM2">
        <f>MIN(AK2,AL2)</f>
        <v/>
      </c>
      <c r="AN2">
        <f>IF(AH2&lt;=$E$6-1,CEILING(AM2/$B$82,1)+1,0)</f>
        <v/>
      </c>
      <c r="AP2" t="n">
        <v>1</v>
      </c>
      <c r="AQ2">
        <f>(1-1)*$E$9</f>
        <v/>
      </c>
      <c r="AR2">
        <f>1*$E$9</f>
        <v/>
      </c>
      <c r="AS2">
        <f>IF($B$4&lt;&gt;"ตัวแอล","",IF(AQ2&gt;=$B$7,$B$8,IF($B$10="ยุบ",AQ2/$B$7*$B$8,(1-AQ2/$B$7)*$B$8)))</f>
        <v/>
      </c>
      <c r="AT2">
        <f>IF($B$4&lt;&gt;"ตัวแอล","",IF(AR2&gt;=$B$7,$B$8,IF($B$10="ยุบ",AR2/$B$7*$B$8,(1-AR2/$B$7)*$B$8)))</f>
        <v/>
      </c>
      <c r="AU2">
        <f>IF($B$4&lt;&gt;"ตัวแอล","",MIN(AS2,AT2))</f>
        <v/>
      </c>
      <c r="AV2">
        <f>IF(AND($B$4="ตัวแอล",AP2&lt;=$E$7-1),CEILING(AU2/$B$82,1)+1,0)</f>
        <v/>
      </c>
    </row>
    <row r="3">
      <c r="A3" s="15" t="inlineStr">
        <is>
          <t>ชนิดแผ่น</t>
        </is>
      </c>
      <c r="B3" s="16" t="inlineStr">
        <is>
          <t>ไวนิล</t>
        </is>
      </c>
      <c r="D3" s="17" t="inlineStr">
        <is>
          <t>จันทัน max</t>
        </is>
      </c>
      <c r="E3" s="18">
        <f>VLOOKUP(B3,$A$75:$C$80,2,0)</f>
        <v/>
      </c>
      <c r="AH3" t="n">
        <v>2</v>
      </c>
      <c r="AI3">
        <f>(2-1)*$E$8</f>
        <v/>
      </c>
      <c r="AJ3">
        <f>2*$E$8</f>
        <v/>
      </c>
      <c r="AK3">
        <f>IF(AI3&gt;=$B$8,$B$7,IF($B$10="ยุบ",AI3/$B$8*$B$7,(1-AI3/$B$8)*$B$7))</f>
        <v/>
      </c>
      <c r="AL3">
        <f>IF(AJ3&gt;=$B$8,$B$7,IF($B$10="ยุบ",AJ3/$B$8*$B$7,(1-AJ3/$B$8)*$B$7))</f>
        <v/>
      </c>
      <c r="AM3">
        <f>MIN(AK3,AL3)</f>
        <v/>
      </c>
      <c r="AN3">
        <f>IF(AH3&lt;=$E$6-1,CEILING(AM3/$B$82,1)+1,0)</f>
        <v/>
      </c>
      <c r="AP3" t="n">
        <v>2</v>
      </c>
      <c r="AQ3">
        <f>(2-1)*$E$9</f>
        <v/>
      </c>
      <c r="AR3">
        <f>2*$E$9</f>
        <v/>
      </c>
      <c r="AS3">
        <f>IF($B$4&lt;&gt;"ตัวแอล","",IF(AQ3&gt;=$B$7,$B$8,IF($B$10="ยุบ",AQ3/$B$7*$B$8,(1-AQ3/$B$7)*$B$8)))</f>
        <v/>
      </c>
      <c r="AT3">
        <f>IF($B$4&lt;&gt;"ตัวแอล","",IF(AR3&gt;=$B$7,$B$8,IF($B$10="ยุบ",AR3/$B$7*$B$8,(1-AR3/$B$7)*$B$8)))</f>
        <v/>
      </c>
      <c r="AU3">
        <f>IF($B$4&lt;&gt;"ตัวแอล","",MIN(AS3,AT3))</f>
        <v/>
      </c>
      <c r="AV3">
        <f>IF(AND($B$4="ตัวแอล",AP3&lt;=$E$7-1),CEILING(AU3/$B$82,1)+1,0)</f>
        <v/>
      </c>
    </row>
    <row r="4">
      <c r="A4" s="15" t="inlineStr">
        <is>
          <t>รูปแบบ</t>
        </is>
      </c>
      <c r="B4" s="16" t="inlineStr">
        <is>
          <t>ตัวแอล</t>
        </is>
      </c>
      <c r="D4" s="17" t="inlineStr">
        <is>
          <t>จันทันเต็ม A</t>
        </is>
      </c>
      <c r="E4" s="18">
        <f>ROUND(SQRT(B7^2+B9^2),1)</f>
        <v/>
      </c>
      <c r="AH4" t="n">
        <v>3</v>
      </c>
      <c r="AI4">
        <f>(3-1)*$E$8</f>
        <v/>
      </c>
      <c r="AJ4">
        <f>3*$E$8</f>
        <v/>
      </c>
      <c r="AK4">
        <f>IF(AI4&gt;=$B$8,$B$7,IF($B$10="ยุบ",AI4/$B$8*$B$7,(1-AI4/$B$8)*$B$7))</f>
        <v/>
      </c>
      <c r="AL4">
        <f>IF(AJ4&gt;=$B$8,$B$7,IF($B$10="ยุบ",AJ4/$B$8*$B$7,(1-AJ4/$B$8)*$B$7))</f>
        <v/>
      </c>
      <c r="AM4">
        <f>MIN(AK4,AL4)</f>
        <v/>
      </c>
      <c r="AN4">
        <f>IF(AH4&lt;=$E$6-1,CEILING(AM4/$B$82,1)+1,0)</f>
        <v/>
      </c>
      <c r="AP4" t="n">
        <v>3</v>
      </c>
      <c r="AQ4">
        <f>(3-1)*$E$9</f>
        <v/>
      </c>
      <c r="AR4">
        <f>3*$E$9</f>
        <v/>
      </c>
      <c r="AS4">
        <f>IF($B$4&lt;&gt;"ตัวแอล","",IF(AQ4&gt;=$B$7,$B$8,IF($B$10="ยุบ",AQ4/$B$7*$B$8,(1-AQ4/$B$7)*$B$8)))</f>
        <v/>
      </c>
      <c r="AT4">
        <f>IF($B$4&lt;&gt;"ตัวแอล","",IF(AR4&gt;=$B$7,$B$8,IF($B$10="ยุบ",AR4/$B$7*$B$8,(1-AR4/$B$7)*$B$8)))</f>
        <v/>
      </c>
      <c r="AU4">
        <f>IF($B$4&lt;&gt;"ตัวแอล","",MIN(AS4,AT4))</f>
        <v/>
      </c>
      <c r="AV4">
        <f>IF(AND($B$4="ตัวแอล",AP4&lt;=$E$7-1),CEILING(AU4/$B$82,1)+1,0)</f>
        <v/>
      </c>
    </row>
    <row r="5">
      <c r="A5" s="15" t="inlineStr">
        <is>
          <t>ยาวผนัง A</t>
        </is>
      </c>
      <c r="B5" s="16" t="n">
        <v>400</v>
      </c>
      <c r="D5" s="17" t="inlineStr">
        <is>
          <t>จันทันเต็ม B</t>
        </is>
      </c>
      <c r="E5" s="18">
        <f>IF($B$4="ตัวแอล",ROUND(SQRT(B8^2+B9^2),1),"-")</f>
        <v/>
      </c>
      <c r="AH5" t="n">
        <v>4</v>
      </c>
      <c r="AI5">
        <f>(4-1)*$E$8</f>
        <v/>
      </c>
      <c r="AJ5">
        <f>4*$E$8</f>
        <v/>
      </c>
      <c r="AK5">
        <f>IF(AI5&gt;=$B$8,$B$7,IF($B$10="ยุบ",AI5/$B$8*$B$7,(1-AI5/$B$8)*$B$7))</f>
        <v/>
      </c>
      <c r="AL5">
        <f>IF(AJ5&gt;=$B$8,$B$7,IF($B$10="ยุบ",AJ5/$B$8*$B$7,(1-AJ5/$B$8)*$B$7))</f>
        <v/>
      </c>
      <c r="AM5">
        <f>MIN(AK5,AL5)</f>
        <v/>
      </c>
      <c r="AN5">
        <f>IF(AH5&lt;=$E$6-1,CEILING(AM5/$B$82,1)+1,0)</f>
        <v/>
      </c>
      <c r="AP5" t="n">
        <v>4</v>
      </c>
      <c r="AQ5">
        <f>(4-1)*$E$9</f>
        <v/>
      </c>
      <c r="AR5">
        <f>4*$E$9</f>
        <v/>
      </c>
      <c r="AS5">
        <f>IF($B$4&lt;&gt;"ตัวแอล","",IF(AQ5&gt;=$B$7,$B$8,IF($B$10="ยุบ",AQ5/$B$7*$B$8,(1-AQ5/$B$7)*$B$8)))</f>
        <v/>
      </c>
      <c r="AT5">
        <f>IF($B$4&lt;&gt;"ตัวแอล","",IF(AR5&gt;=$B$7,$B$8,IF($B$10="ยุบ",AR5/$B$7*$B$8,(1-AR5/$B$7)*$B$8)))</f>
        <v/>
      </c>
      <c r="AU5">
        <f>IF($B$4&lt;&gt;"ตัวแอล","",MIN(AS5,AT5))</f>
        <v/>
      </c>
      <c r="AV5">
        <f>IF(AND($B$4="ตัวแอล",AP5&lt;=$E$7-1),CEILING(AU5/$B$82,1)+1,0)</f>
        <v/>
      </c>
    </row>
    <row r="6">
      <c r="A6" s="15" t="inlineStr">
        <is>
          <t>ยาวผนัง B</t>
        </is>
      </c>
      <c r="B6" s="16" t="n">
        <v>300</v>
      </c>
      <c r="D6" s="17" t="inlineStr">
        <is>
          <t>จำนวนจันทัน A (ราว)</t>
        </is>
      </c>
      <c r="E6" s="18">
        <f>CEILING(B5/E3,1)+1</f>
        <v/>
      </c>
      <c r="AH6" t="n">
        <v>5</v>
      </c>
      <c r="AI6">
        <f>(5-1)*$E$8</f>
        <v/>
      </c>
      <c r="AJ6">
        <f>5*$E$8</f>
        <v/>
      </c>
      <c r="AK6">
        <f>IF(AI6&gt;=$B$8,$B$7,IF($B$10="ยุบ",AI6/$B$8*$B$7,(1-AI6/$B$8)*$B$7))</f>
        <v/>
      </c>
      <c r="AL6">
        <f>IF(AJ6&gt;=$B$8,$B$7,IF($B$10="ยุบ",AJ6/$B$8*$B$7,(1-AJ6/$B$8)*$B$7))</f>
        <v/>
      </c>
      <c r="AM6">
        <f>MIN(AK6,AL6)</f>
        <v/>
      </c>
      <c r="AN6">
        <f>IF(AH6&lt;=$E$6-1,CEILING(AM6/$B$82,1)+1,0)</f>
        <v/>
      </c>
      <c r="AP6" t="n">
        <v>5</v>
      </c>
      <c r="AQ6">
        <f>(5-1)*$E$9</f>
        <v/>
      </c>
      <c r="AR6">
        <f>5*$E$9</f>
        <v/>
      </c>
      <c r="AS6">
        <f>IF($B$4&lt;&gt;"ตัวแอล","",IF(AQ6&gt;=$B$7,$B$8,IF($B$10="ยุบ",AQ6/$B$7*$B$8,(1-AQ6/$B$7)*$B$8)))</f>
        <v/>
      </c>
      <c r="AT6">
        <f>IF($B$4&lt;&gt;"ตัวแอล","",IF(AR6&gt;=$B$7,$B$8,IF($B$10="ยุบ",AR6/$B$7*$B$8,(1-AR6/$B$7)*$B$8)))</f>
        <v/>
      </c>
      <c r="AU6">
        <f>IF($B$4&lt;&gt;"ตัวแอล","",MIN(AS6,AT6))</f>
        <v/>
      </c>
      <c r="AV6">
        <f>IF(AND($B$4="ตัวแอล",AP6&lt;=$E$7-1),CEILING(AU6/$B$82,1)+1,0)</f>
        <v/>
      </c>
    </row>
    <row r="7">
      <c r="A7" s="15" t="inlineStr">
        <is>
          <t>ยื่น A</t>
        </is>
      </c>
      <c r="B7" s="16" t="n">
        <v>150</v>
      </c>
      <c r="D7" s="17" t="inlineStr">
        <is>
          <t>จำนวนจันทัน B (ราว)</t>
        </is>
      </c>
      <c r="E7" s="18">
        <f>IF($B$4="ตัวแอล",CEILING(B6/E3,1)+1,0)</f>
        <v/>
      </c>
      <c r="AH7" t="n">
        <v>6</v>
      </c>
      <c r="AI7">
        <f>(6-1)*$E$8</f>
        <v/>
      </c>
      <c r="AJ7">
        <f>6*$E$8</f>
        <v/>
      </c>
      <c r="AK7">
        <f>IF(AI7&gt;=$B$8,$B$7,IF($B$10="ยุบ",AI7/$B$8*$B$7,(1-AI7/$B$8)*$B$7))</f>
        <v/>
      </c>
      <c r="AL7">
        <f>IF(AJ7&gt;=$B$8,$B$7,IF($B$10="ยุบ",AJ7/$B$8*$B$7,(1-AJ7/$B$8)*$B$7))</f>
        <v/>
      </c>
      <c r="AM7">
        <f>MIN(AK7,AL7)</f>
        <v/>
      </c>
      <c r="AN7">
        <f>IF(AH7&lt;=$E$6-1,CEILING(AM7/$B$82,1)+1,0)</f>
        <v/>
      </c>
      <c r="AP7" t="n">
        <v>6</v>
      </c>
      <c r="AQ7">
        <f>(6-1)*$E$9</f>
        <v/>
      </c>
      <c r="AR7">
        <f>6*$E$9</f>
        <v/>
      </c>
      <c r="AS7">
        <f>IF($B$4&lt;&gt;"ตัวแอล","",IF(AQ7&gt;=$B$7,$B$8,IF($B$10="ยุบ",AQ7/$B$7*$B$8,(1-AQ7/$B$7)*$B$8)))</f>
        <v/>
      </c>
      <c r="AT7">
        <f>IF($B$4&lt;&gt;"ตัวแอล","",IF(AR7&gt;=$B$7,$B$8,IF($B$10="ยุบ",AR7/$B$7*$B$8,(1-AR7/$B$7)*$B$8)))</f>
        <v/>
      </c>
      <c r="AU7">
        <f>IF($B$4&lt;&gt;"ตัวแอล","",MIN(AS7,AT7))</f>
        <v/>
      </c>
      <c r="AV7">
        <f>IF(AND($B$4="ตัวแอล",AP7&lt;=$E$7-1),CEILING(AU7/$B$82,1)+1,0)</f>
        <v/>
      </c>
    </row>
    <row r="8">
      <c r="A8" s="15" t="inlineStr">
        <is>
          <t>ยื่น B</t>
        </is>
      </c>
      <c r="B8" s="16" t="n">
        <v>120</v>
      </c>
      <c r="D8" s="17" t="inlineStr">
        <is>
          <t>ระยะจันทัน A</t>
        </is>
      </c>
      <c r="E8" s="18">
        <f>ROUND(B5/(E6-1),2)</f>
        <v/>
      </c>
      <c r="AH8" t="n">
        <v>7</v>
      </c>
      <c r="AI8">
        <f>(7-1)*$E$8</f>
        <v/>
      </c>
      <c r="AJ8">
        <f>7*$E$8</f>
        <v/>
      </c>
      <c r="AK8">
        <f>IF(AI8&gt;=$B$8,$B$7,IF($B$10="ยุบ",AI8/$B$8*$B$7,(1-AI8/$B$8)*$B$7))</f>
        <v/>
      </c>
      <c r="AL8">
        <f>IF(AJ8&gt;=$B$8,$B$7,IF($B$10="ยุบ",AJ8/$B$8*$B$7,(1-AJ8/$B$8)*$B$7))</f>
        <v/>
      </c>
      <c r="AM8">
        <f>MIN(AK8,AL8)</f>
        <v/>
      </c>
      <c r="AN8">
        <f>IF(AH8&lt;=$E$6-1,CEILING(AM8/$B$82,1)+1,0)</f>
        <v/>
      </c>
      <c r="AP8" t="n">
        <v>7</v>
      </c>
      <c r="AQ8">
        <f>(7-1)*$E$9</f>
        <v/>
      </c>
      <c r="AR8">
        <f>7*$E$9</f>
        <v/>
      </c>
      <c r="AS8">
        <f>IF($B$4&lt;&gt;"ตัวแอล","",IF(AQ8&gt;=$B$7,$B$8,IF($B$10="ยุบ",AQ8/$B$7*$B$8,(1-AQ8/$B$7)*$B$8)))</f>
        <v/>
      </c>
      <c r="AT8">
        <f>IF($B$4&lt;&gt;"ตัวแอล","",IF(AR8&gt;=$B$7,$B$8,IF($B$10="ยุบ",AR8/$B$7*$B$8,(1-AR8/$B$7)*$B$8)))</f>
        <v/>
      </c>
      <c r="AU8">
        <f>IF($B$4&lt;&gt;"ตัวแอล","",MIN(AS8,AT8))</f>
        <v/>
      </c>
      <c r="AV8">
        <f>IF(AND($B$4="ตัวแอล",AP8&lt;=$E$7-1),CEILING(AU8/$B$82,1)+1,0)</f>
        <v/>
      </c>
    </row>
    <row r="9">
      <c r="A9" s="15" t="inlineStr">
        <is>
          <t>สูง (ตก)</t>
        </is>
      </c>
      <c r="B9" s="16" t="n">
        <v>18</v>
      </c>
      <c r="D9" s="17" t="inlineStr">
        <is>
          <t>ระยะจันทัน B</t>
        </is>
      </c>
      <c r="E9" s="18">
        <f>IF(E7&gt;1,ROUND(B6/(E7-1),2),"-")</f>
        <v/>
      </c>
      <c r="AH9" t="n">
        <v>8</v>
      </c>
      <c r="AI9">
        <f>(8-1)*$E$8</f>
        <v/>
      </c>
      <c r="AJ9">
        <f>8*$E$8</f>
        <v/>
      </c>
      <c r="AK9">
        <f>IF(AI9&gt;=$B$8,$B$7,IF($B$10="ยุบ",AI9/$B$8*$B$7,(1-AI9/$B$8)*$B$7))</f>
        <v/>
      </c>
      <c r="AL9">
        <f>IF(AJ9&gt;=$B$8,$B$7,IF($B$10="ยุบ",AJ9/$B$8*$B$7,(1-AJ9/$B$8)*$B$7))</f>
        <v/>
      </c>
      <c r="AM9">
        <f>MIN(AK9,AL9)</f>
        <v/>
      </c>
      <c r="AN9">
        <f>IF(AH9&lt;=$E$6-1,CEILING(AM9/$B$82,1)+1,0)</f>
        <v/>
      </c>
      <c r="AP9" t="n">
        <v>8</v>
      </c>
      <c r="AQ9">
        <f>(8-1)*$E$9</f>
        <v/>
      </c>
      <c r="AR9">
        <f>8*$E$9</f>
        <v/>
      </c>
      <c r="AS9">
        <f>IF($B$4&lt;&gt;"ตัวแอล","",IF(AQ9&gt;=$B$7,$B$8,IF($B$10="ยุบ",AQ9/$B$7*$B$8,(1-AQ9/$B$7)*$B$8)))</f>
        <v/>
      </c>
      <c r="AT9">
        <f>IF($B$4&lt;&gt;"ตัวแอล","",IF(AR9&gt;=$B$7,$B$8,IF($B$10="ยุบ",AR9/$B$7*$B$8,(1-AR9/$B$7)*$B$8)))</f>
        <v/>
      </c>
      <c r="AU9">
        <f>IF($B$4&lt;&gt;"ตัวแอล","",MIN(AS9,AT9))</f>
        <v/>
      </c>
      <c r="AV9">
        <f>IF(AND($B$4="ตัวแอล",AP9&lt;=$E$7-1),CEILING(AU9/$B$82,1)+1,0)</f>
        <v/>
      </c>
    </row>
    <row r="10">
      <c r="A10" s="15" t="inlineStr">
        <is>
          <t>มุมตะเข้</t>
        </is>
      </c>
      <c r="B10" s="16" t="inlineStr">
        <is>
          <t>ยุบ</t>
        </is>
      </c>
      <c r="D10" s="17" t="inlineStr">
        <is>
          <t>ตะเข้</t>
        </is>
      </c>
      <c r="E10" s="18">
        <f>IF($B$4="ตัวแอล",ROUND(SQRT(B7^2+B8^2+B9^2),1),"-")</f>
        <v/>
      </c>
      <c r="AH10" t="n">
        <v>9</v>
      </c>
      <c r="AI10">
        <f>(9-1)*$E$8</f>
        <v/>
      </c>
      <c r="AJ10">
        <f>9*$E$8</f>
        <v/>
      </c>
      <c r="AK10">
        <f>IF(AI10&gt;=$B$8,$B$7,IF($B$10="ยุบ",AI10/$B$8*$B$7,(1-AI10/$B$8)*$B$7))</f>
        <v/>
      </c>
      <c r="AL10">
        <f>IF(AJ10&gt;=$B$8,$B$7,IF($B$10="ยุบ",AJ10/$B$8*$B$7,(1-AJ10/$B$8)*$B$7))</f>
        <v/>
      </c>
      <c r="AM10">
        <f>MIN(AK10,AL10)</f>
        <v/>
      </c>
      <c r="AN10">
        <f>IF(AH10&lt;=$E$6-1,CEILING(AM10/$B$82,1)+1,0)</f>
        <v/>
      </c>
      <c r="AP10" t="n">
        <v>9</v>
      </c>
      <c r="AQ10">
        <f>(9-1)*$E$9</f>
        <v/>
      </c>
      <c r="AR10">
        <f>9*$E$9</f>
        <v/>
      </c>
      <c r="AS10">
        <f>IF($B$4&lt;&gt;"ตัวแอล","",IF(AQ10&gt;=$B$7,$B$8,IF($B$10="ยุบ",AQ10/$B$7*$B$8,(1-AQ10/$B$7)*$B$8)))</f>
        <v/>
      </c>
      <c r="AT10">
        <f>IF($B$4&lt;&gt;"ตัวแอล","",IF(AR10&gt;=$B$7,$B$8,IF($B$10="ยุบ",AR10/$B$7*$B$8,(1-AR10/$B$7)*$B$8)))</f>
        <v/>
      </c>
      <c r="AU10">
        <f>IF($B$4&lt;&gt;"ตัวแอล","",MIN(AS10,AT10))</f>
        <v/>
      </c>
      <c r="AV10">
        <f>IF(AND($B$4="ตัวแอล",AP10&lt;=$E$7-1),CEILING(AU10/$B$82,1)+1,0)</f>
        <v/>
      </c>
    </row>
    <row r="11">
      <c r="A11" s="15" t="inlineStr">
        <is>
          <t>ปลายหลังคา</t>
        </is>
      </c>
      <c r="B11" s="16" t="inlineStr">
        <is>
          <t>รางน้ำ</t>
        </is>
      </c>
      <c r="D11" s="17" t="inlineStr">
        <is>
          <t>ราง A</t>
        </is>
      </c>
      <c r="E11" s="18">
        <f>IF($B$4="ตัวแอล",B5-B8,B5)</f>
        <v/>
      </c>
      <c r="AH11" t="n">
        <v>10</v>
      </c>
      <c r="AI11">
        <f>(10-1)*$E$8</f>
        <v/>
      </c>
      <c r="AJ11">
        <f>10*$E$8</f>
        <v/>
      </c>
      <c r="AK11">
        <f>IF(AI11&gt;=$B$8,$B$7,IF($B$10="ยุบ",AI11/$B$8*$B$7,(1-AI11/$B$8)*$B$7))</f>
        <v/>
      </c>
      <c r="AL11">
        <f>IF(AJ11&gt;=$B$8,$B$7,IF($B$10="ยุบ",AJ11/$B$8*$B$7,(1-AJ11/$B$8)*$B$7))</f>
        <v/>
      </c>
      <c r="AM11">
        <f>MIN(AK11,AL11)</f>
        <v/>
      </c>
      <c r="AN11">
        <f>IF(AH11&lt;=$E$6-1,CEILING(AM11/$B$82,1)+1,0)</f>
        <v/>
      </c>
      <c r="AP11" t="n">
        <v>10</v>
      </c>
      <c r="AQ11">
        <f>(10-1)*$E$9</f>
        <v/>
      </c>
      <c r="AR11">
        <f>10*$E$9</f>
        <v/>
      </c>
      <c r="AS11">
        <f>IF($B$4&lt;&gt;"ตัวแอล","",IF(AQ11&gt;=$B$7,$B$8,IF($B$10="ยุบ",AQ11/$B$7*$B$8,(1-AQ11/$B$7)*$B$8)))</f>
        <v/>
      </c>
      <c r="AT11">
        <f>IF($B$4&lt;&gt;"ตัวแอล","",IF(AR11&gt;=$B$7,$B$8,IF($B$10="ยุบ",AR11/$B$7*$B$8,(1-AR11/$B$7)*$B$8)))</f>
        <v/>
      </c>
      <c r="AU11">
        <f>IF($B$4&lt;&gt;"ตัวแอล","",MIN(AS11,AT11))</f>
        <v/>
      </c>
      <c r="AV11">
        <f>IF(AND($B$4="ตัวแอล",AP11&lt;=$E$7-1),CEILING(AU11/$B$82,1)+1,0)</f>
        <v/>
      </c>
    </row>
    <row r="12">
      <c r="A12" s="15" t="inlineStr">
        <is>
          <t>แป</t>
        </is>
      </c>
      <c r="B12" s="16" t="inlineStr">
        <is>
          <t>แปคู่</t>
        </is>
      </c>
      <c r="D12" s="17" t="inlineStr">
        <is>
          <t>ราง B</t>
        </is>
      </c>
      <c r="E12" s="18">
        <f>IF($B$4="ตัวแอล",B6-B7,"-")</f>
        <v/>
      </c>
      <c r="AH12" t="n">
        <v>11</v>
      </c>
      <c r="AI12">
        <f>(11-1)*$E$8</f>
        <v/>
      </c>
      <c r="AJ12">
        <f>11*$E$8</f>
        <v/>
      </c>
      <c r="AK12">
        <f>IF(AI12&gt;=$B$8,$B$7,IF($B$10="ยุบ",AI12/$B$8*$B$7,(1-AI12/$B$8)*$B$7))</f>
        <v/>
      </c>
      <c r="AL12">
        <f>IF(AJ12&gt;=$B$8,$B$7,IF($B$10="ยุบ",AJ12/$B$8*$B$7,(1-AJ12/$B$8)*$B$7))</f>
        <v/>
      </c>
      <c r="AM12">
        <f>MIN(AK12,AL12)</f>
        <v/>
      </c>
      <c r="AN12">
        <f>IF(AH12&lt;=$E$6-1,CEILING(AM12/$B$82,1)+1,0)</f>
        <v/>
      </c>
      <c r="AP12" t="n">
        <v>11</v>
      </c>
      <c r="AQ12">
        <f>(11-1)*$E$9</f>
        <v/>
      </c>
      <c r="AR12">
        <f>11*$E$9</f>
        <v/>
      </c>
      <c r="AS12">
        <f>IF($B$4&lt;&gt;"ตัวแอล","",IF(AQ12&gt;=$B$7,$B$8,IF($B$10="ยุบ",AQ12/$B$7*$B$8,(1-AQ12/$B$7)*$B$8)))</f>
        <v/>
      </c>
      <c r="AT12">
        <f>IF($B$4&lt;&gt;"ตัวแอล","",IF(AR12&gt;=$B$7,$B$8,IF($B$10="ยุบ",AR12/$B$7*$B$8,(1-AR12/$B$7)*$B$8)))</f>
        <v/>
      </c>
      <c r="AU12">
        <f>IF($B$4&lt;&gt;"ตัวแอล","",MIN(AS12,AT12))</f>
        <v/>
      </c>
      <c r="AV12">
        <f>IF(AND($B$4="ตัวแอล",AP12&lt;=$E$7-1),CEILING(AU12/$B$82,1)+1,0)</f>
        <v/>
      </c>
    </row>
    <row r="13">
      <c r="D13" s="17" t="inlineStr">
        <is>
          <t>จำนวน jack A</t>
        </is>
      </c>
      <c r="E13" s="18">
        <f>IF($B$4="ตัวแอล",MIN(E6-1,INT((B8-0.001)/E8)),0)</f>
        <v/>
      </c>
      <c r="AH13" t="n">
        <v>12</v>
      </c>
      <c r="AI13">
        <f>(12-1)*$E$8</f>
        <v/>
      </c>
      <c r="AJ13">
        <f>12*$E$8</f>
        <v/>
      </c>
      <c r="AK13">
        <f>IF(AI13&gt;=$B$8,$B$7,IF($B$10="ยุบ",AI13/$B$8*$B$7,(1-AI13/$B$8)*$B$7))</f>
        <v/>
      </c>
      <c r="AL13">
        <f>IF(AJ13&gt;=$B$8,$B$7,IF($B$10="ยุบ",AJ13/$B$8*$B$7,(1-AJ13/$B$8)*$B$7))</f>
        <v/>
      </c>
      <c r="AM13">
        <f>MIN(AK13,AL13)</f>
        <v/>
      </c>
      <c r="AN13">
        <f>IF(AH13&lt;=$E$6-1,CEILING(AM13/$B$82,1)+1,0)</f>
        <v/>
      </c>
      <c r="AP13" t="n">
        <v>12</v>
      </c>
      <c r="AQ13">
        <f>(12-1)*$E$9</f>
        <v/>
      </c>
      <c r="AR13">
        <f>12*$E$9</f>
        <v/>
      </c>
      <c r="AS13">
        <f>IF($B$4&lt;&gt;"ตัวแอล","",IF(AQ13&gt;=$B$7,$B$8,IF($B$10="ยุบ",AQ13/$B$7*$B$8,(1-AQ13/$B$7)*$B$8)))</f>
        <v/>
      </c>
      <c r="AT13">
        <f>IF($B$4&lt;&gt;"ตัวแอล","",IF(AR13&gt;=$B$7,$B$8,IF($B$10="ยุบ",AR13/$B$7*$B$8,(1-AR13/$B$7)*$B$8)))</f>
        <v/>
      </c>
      <c r="AU13">
        <f>IF($B$4&lt;&gt;"ตัวแอล","",MIN(AS13,AT13))</f>
        <v/>
      </c>
      <c r="AV13">
        <f>IF(AND($B$4="ตัวแอล",AP13&lt;=$E$7-1),CEILING(AU13/$B$82,1)+1,0)</f>
        <v/>
      </c>
    </row>
    <row r="14">
      <c r="D14" s="17" t="inlineStr">
        <is>
          <t>จำนวน jack B</t>
        </is>
      </c>
      <c r="E14" s="18">
        <f>IF($B$4="ตัวแอล",MIN(E7-1,INT((B7-0.001)/E9)),0)</f>
        <v/>
      </c>
      <c r="AH14" t="n">
        <v>13</v>
      </c>
      <c r="AI14">
        <f>(13-1)*$E$8</f>
        <v/>
      </c>
      <c r="AJ14">
        <f>13*$E$8</f>
        <v/>
      </c>
      <c r="AK14">
        <f>IF(AI14&gt;=$B$8,$B$7,IF($B$10="ยุบ",AI14/$B$8*$B$7,(1-AI14/$B$8)*$B$7))</f>
        <v/>
      </c>
      <c r="AL14">
        <f>IF(AJ14&gt;=$B$8,$B$7,IF($B$10="ยุบ",AJ14/$B$8*$B$7,(1-AJ14/$B$8)*$B$7))</f>
        <v/>
      </c>
      <c r="AM14">
        <f>MIN(AK14,AL14)</f>
        <v/>
      </c>
      <c r="AN14">
        <f>IF(AH14&lt;=$E$6-1,CEILING(AM14/$B$82,1)+1,0)</f>
        <v/>
      </c>
      <c r="AP14" t="n">
        <v>13</v>
      </c>
      <c r="AQ14">
        <f>(13-1)*$E$9</f>
        <v/>
      </c>
      <c r="AR14">
        <f>13*$E$9</f>
        <v/>
      </c>
      <c r="AS14">
        <f>IF($B$4&lt;&gt;"ตัวแอล","",IF(AQ14&gt;=$B$7,$B$8,IF($B$10="ยุบ",AQ14/$B$7*$B$8,(1-AQ14/$B$7)*$B$8)))</f>
        <v/>
      </c>
      <c r="AT14">
        <f>IF($B$4&lt;&gt;"ตัวแอล","",IF(AR14&gt;=$B$7,$B$8,IF($B$10="ยุบ",AR14/$B$7*$B$8,(1-AR14/$B$7)*$B$8)))</f>
        <v/>
      </c>
      <c r="AU14">
        <f>IF($B$4&lt;&gt;"ตัวแอล","",MIN(AS14,AT14))</f>
        <v/>
      </c>
      <c r="AV14">
        <f>IF(AND($B$4="ตัวแอล",AP14&lt;=$E$7-1),CEILING(AU14/$B$82,1)+1,0)</f>
        <v/>
      </c>
    </row>
    <row r="15">
      <c r="D15" s="17" t="inlineStr">
        <is>
          <t>จำนวนจันทันเต็ม A</t>
        </is>
      </c>
      <c r="E15" s="18">
        <f>IF($B$4="ตัวแอล",(E6-1)-E13,E6)</f>
        <v/>
      </c>
      <c r="AH15" t="n">
        <v>14</v>
      </c>
      <c r="AI15">
        <f>(14-1)*$E$8</f>
        <v/>
      </c>
      <c r="AJ15">
        <f>14*$E$8</f>
        <v/>
      </c>
      <c r="AK15">
        <f>IF(AI15&gt;=$B$8,$B$7,IF($B$10="ยุบ",AI15/$B$8*$B$7,(1-AI15/$B$8)*$B$7))</f>
        <v/>
      </c>
      <c r="AL15">
        <f>IF(AJ15&gt;=$B$8,$B$7,IF($B$10="ยุบ",AJ15/$B$8*$B$7,(1-AJ15/$B$8)*$B$7))</f>
        <v/>
      </c>
      <c r="AM15">
        <f>MIN(AK15,AL15)</f>
        <v/>
      </c>
      <c r="AN15">
        <f>IF(AH15&lt;=$E$6-1,CEILING(AM15/$B$82,1)+1,0)</f>
        <v/>
      </c>
      <c r="AP15" t="n">
        <v>14</v>
      </c>
      <c r="AQ15">
        <f>(14-1)*$E$9</f>
        <v/>
      </c>
      <c r="AR15">
        <f>14*$E$9</f>
        <v/>
      </c>
      <c r="AS15">
        <f>IF($B$4&lt;&gt;"ตัวแอล","",IF(AQ15&gt;=$B$7,$B$8,IF($B$10="ยุบ",AQ15/$B$7*$B$8,(1-AQ15/$B$7)*$B$8)))</f>
        <v/>
      </c>
      <c r="AT15">
        <f>IF($B$4&lt;&gt;"ตัวแอล","",IF(AR15&gt;=$B$7,$B$8,IF($B$10="ยุบ",AR15/$B$7*$B$8,(1-AR15/$B$7)*$B$8)))</f>
        <v/>
      </c>
      <c r="AU15">
        <f>IF($B$4&lt;&gt;"ตัวแอล","",MIN(AS15,AT15))</f>
        <v/>
      </c>
      <c r="AV15">
        <f>IF(AND($B$4="ตัวแอล",AP15&lt;=$E$7-1),CEILING(AU15/$B$82,1)+1,0)</f>
        <v/>
      </c>
    </row>
    <row r="16">
      <c r="D16" s="17" t="inlineStr">
        <is>
          <t>จำนวนจันทันเต็ม B</t>
        </is>
      </c>
      <c r="E16" s="18">
        <f>IF($B$4="ตัวแอล",(E7-1)-E14,0)</f>
        <v/>
      </c>
      <c r="AH16" t="n">
        <v>15</v>
      </c>
      <c r="AI16">
        <f>(15-1)*$E$8</f>
        <v/>
      </c>
      <c r="AJ16">
        <f>15*$E$8</f>
        <v/>
      </c>
      <c r="AK16">
        <f>IF(AI16&gt;=$B$8,$B$7,IF($B$10="ยุบ",AI16/$B$8*$B$7,(1-AI16/$B$8)*$B$7))</f>
        <v/>
      </c>
      <c r="AL16">
        <f>IF(AJ16&gt;=$B$8,$B$7,IF($B$10="ยุบ",AJ16/$B$8*$B$7,(1-AJ16/$B$8)*$B$7))</f>
        <v/>
      </c>
      <c r="AM16">
        <f>MIN(AK16,AL16)</f>
        <v/>
      </c>
      <c r="AN16">
        <f>IF(AH16&lt;=$E$6-1,CEILING(AM16/$B$82,1)+1,0)</f>
        <v/>
      </c>
      <c r="AP16" t="n">
        <v>15</v>
      </c>
      <c r="AQ16">
        <f>(15-1)*$E$9</f>
        <v/>
      </c>
      <c r="AR16">
        <f>15*$E$9</f>
        <v/>
      </c>
      <c r="AS16">
        <f>IF($B$4&lt;&gt;"ตัวแอล","",IF(AQ16&gt;=$B$7,$B$8,IF($B$10="ยุบ",AQ16/$B$7*$B$8,(1-AQ16/$B$7)*$B$8)))</f>
        <v/>
      </c>
      <c r="AT16">
        <f>IF($B$4&lt;&gt;"ตัวแอล","",IF(AR16&gt;=$B$7,$B$8,IF($B$10="ยุบ",AR16/$B$7*$B$8,(1-AR16/$B$7)*$B$8)))</f>
        <v/>
      </c>
      <c r="AU16">
        <f>IF($B$4&lt;&gt;"ตัวแอล","",MIN(AS16,AT16))</f>
        <v/>
      </c>
      <c r="AV16">
        <f>IF(AND($B$4="ตัวแอล",AP16&lt;=$E$7-1),CEILING(AU16/$B$82,1)+1,0)</f>
        <v/>
      </c>
    </row>
    <row r="17">
      <c r="D17" s="17" t="inlineStr">
        <is>
          <t>แถวแป A ⌈ยื่นA/50⌉+1</t>
        </is>
      </c>
      <c r="E17" s="18">
        <f>CEILING(B7/$B$82,1)+1</f>
        <v/>
      </c>
      <c r="AH17" t="n">
        <v>16</v>
      </c>
      <c r="AI17">
        <f>(16-1)*$E$8</f>
        <v/>
      </c>
      <c r="AJ17">
        <f>16*$E$8</f>
        <v/>
      </c>
      <c r="AK17">
        <f>IF(AI17&gt;=$B$8,$B$7,IF($B$10="ยุบ",AI17/$B$8*$B$7,(1-AI17/$B$8)*$B$7))</f>
        <v/>
      </c>
      <c r="AL17">
        <f>IF(AJ17&gt;=$B$8,$B$7,IF($B$10="ยุบ",AJ17/$B$8*$B$7,(1-AJ17/$B$8)*$B$7))</f>
        <v/>
      </c>
      <c r="AM17">
        <f>MIN(AK17,AL17)</f>
        <v/>
      </c>
      <c r="AN17">
        <f>IF(AH17&lt;=$E$6-1,CEILING(AM17/$B$82,1)+1,0)</f>
        <v/>
      </c>
      <c r="AP17" t="n">
        <v>16</v>
      </c>
      <c r="AQ17">
        <f>(16-1)*$E$9</f>
        <v/>
      </c>
      <c r="AR17">
        <f>16*$E$9</f>
        <v/>
      </c>
      <c r="AS17">
        <f>IF($B$4&lt;&gt;"ตัวแอล","",IF(AQ17&gt;=$B$7,$B$8,IF($B$10="ยุบ",AQ17/$B$7*$B$8,(1-AQ17/$B$7)*$B$8)))</f>
        <v/>
      </c>
      <c r="AT17">
        <f>IF($B$4&lt;&gt;"ตัวแอล","",IF(AR17&gt;=$B$7,$B$8,IF($B$10="ยุบ",AR17/$B$7*$B$8,(1-AR17/$B$7)*$B$8)))</f>
        <v/>
      </c>
      <c r="AU17">
        <f>IF($B$4&lt;&gt;"ตัวแอล","",MIN(AS17,AT17))</f>
        <v/>
      </c>
      <c r="AV17">
        <f>IF(AND($B$4="ตัวแอล",AP17&lt;=$E$7-1),CEILING(AU17/$B$82,1)+1,0)</f>
        <v/>
      </c>
    </row>
    <row r="18">
      <c r="A18" s="19" t="inlineStr">
        <is>
          <t>③ จันทัน ปีก A</t>
        </is>
      </c>
      <c r="D18" s="17" t="inlineStr">
        <is>
          <t>แถวแป B</t>
        </is>
      </c>
      <c r="E18" s="18">
        <f>IF($B$4="ตัวแอล",CEILING(B8/$B$82,1)+1,0)</f>
        <v/>
      </c>
      <c r="AH18" t="n">
        <v>17</v>
      </c>
      <c r="AI18">
        <f>(17-1)*$E$8</f>
        <v/>
      </c>
      <c r="AJ18">
        <f>17*$E$8</f>
        <v/>
      </c>
      <c r="AK18">
        <f>IF(AI18&gt;=$B$8,$B$7,IF($B$10="ยุบ",AI18/$B$8*$B$7,(1-AI18/$B$8)*$B$7))</f>
        <v/>
      </c>
      <c r="AL18">
        <f>IF(AJ18&gt;=$B$8,$B$7,IF($B$10="ยุบ",AJ18/$B$8*$B$7,(1-AJ18/$B$8)*$B$7))</f>
        <v/>
      </c>
      <c r="AM18">
        <f>MIN(AK18,AL18)</f>
        <v/>
      </c>
      <c r="AN18">
        <f>IF(AH18&lt;=$E$6-1,CEILING(AM18/$B$82,1)+1,0)</f>
        <v/>
      </c>
      <c r="AP18" t="n">
        <v>17</v>
      </c>
      <c r="AQ18">
        <f>(17-1)*$E$9</f>
        <v/>
      </c>
      <c r="AR18">
        <f>17*$E$9</f>
        <v/>
      </c>
      <c r="AS18">
        <f>IF($B$4&lt;&gt;"ตัวแอล","",IF(AQ18&gt;=$B$7,$B$8,IF($B$10="ยุบ",AQ18/$B$7*$B$8,(1-AQ18/$B$7)*$B$8)))</f>
        <v/>
      </c>
      <c r="AT18">
        <f>IF($B$4&lt;&gt;"ตัวแอล","",IF(AR18&gt;=$B$7,$B$8,IF($B$10="ยุบ",AR18/$B$7*$B$8,(1-AR18/$B$7)*$B$8)))</f>
        <v/>
      </c>
      <c r="AU18">
        <f>IF($B$4&lt;&gt;"ตัวแอล","",MIN(AS18,AT18))</f>
        <v/>
      </c>
      <c r="AV18">
        <f>IF(AND($B$4="ตัวแอล",AP18&lt;=$E$7-1),CEILING(AU18/$B$82,1)+1,0)</f>
        <v/>
      </c>
    </row>
    <row r="19">
      <c r="A19" s="20" t="inlineStr">
        <is>
          <t>รายการ</t>
        </is>
      </c>
      <c r="B19" s="20" t="inlineStr">
        <is>
          <t>ยาวตัด (ซม.)</t>
        </is>
      </c>
      <c r="C19" s="20" t="inlineStr">
        <is>
          <t>จำนวน</t>
        </is>
      </c>
      <c r="D19" s="17" t="inlineStr">
        <is>
          <t>จันทันรวม A (เต็ม+jack)</t>
        </is>
      </c>
      <c r="E19" s="18">
        <f>E13+E15</f>
        <v/>
      </c>
      <c r="AH19" t="n">
        <v>18</v>
      </c>
      <c r="AI19">
        <f>(18-1)*$E$8</f>
        <v/>
      </c>
      <c r="AJ19">
        <f>18*$E$8</f>
        <v/>
      </c>
      <c r="AK19">
        <f>IF(AI19&gt;=$B$8,$B$7,IF($B$10="ยุบ",AI19/$B$8*$B$7,(1-AI19/$B$8)*$B$7))</f>
        <v/>
      </c>
      <c r="AL19">
        <f>IF(AJ19&gt;=$B$8,$B$7,IF($B$10="ยุบ",AJ19/$B$8*$B$7,(1-AJ19/$B$8)*$B$7))</f>
        <v/>
      </c>
      <c r="AM19">
        <f>MIN(AK19,AL19)</f>
        <v/>
      </c>
      <c r="AN19">
        <f>IF(AH19&lt;=$E$6-1,CEILING(AM19/$B$82,1)+1,0)</f>
        <v/>
      </c>
      <c r="AP19" t="n">
        <v>18</v>
      </c>
      <c r="AQ19">
        <f>(18-1)*$E$9</f>
        <v/>
      </c>
      <c r="AR19">
        <f>18*$E$9</f>
        <v/>
      </c>
      <c r="AS19">
        <f>IF($B$4&lt;&gt;"ตัวแอล","",IF(AQ19&gt;=$B$7,$B$8,IF($B$10="ยุบ",AQ19/$B$7*$B$8,(1-AQ19/$B$7)*$B$8)))</f>
        <v/>
      </c>
      <c r="AT19">
        <f>IF($B$4&lt;&gt;"ตัวแอล","",IF(AR19&gt;=$B$7,$B$8,IF($B$10="ยุบ",AR19/$B$7*$B$8,(1-AR19/$B$7)*$B$8)))</f>
        <v/>
      </c>
      <c r="AU19">
        <f>IF($B$4&lt;&gt;"ตัวแอล","",MIN(AS19,AT19))</f>
        <v/>
      </c>
      <c r="AV19">
        <f>IF(AND($B$4="ตัวแอล",AP19&lt;=$E$7-1),CEILING(AU19/$B$82,1)+1,0)</f>
        <v/>
      </c>
    </row>
    <row r="20">
      <c r="A20" s="17" t="inlineStr">
        <is>
          <t>จันทันเต็ม A</t>
        </is>
      </c>
      <c r="B20" s="21">
        <f>ROUND(E4-$E$22,1)</f>
        <v/>
      </c>
      <c r="C20" s="18">
        <f>E15</f>
        <v/>
      </c>
      <c r="D20" s="17" t="inlineStr">
        <is>
          <t>จันทันรวม B</t>
        </is>
      </c>
      <c r="E20" s="18">
        <f>IF($B$4="ตัวแอล",E14+E16,0)</f>
        <v/>
      </c>
      <c r="AH20" t="n">
        <v>19</v>
      </c>
      <c r="AI20">
        <f>(19-1)*$E$8</f>
        <v/>
      </c>
      <c r="AJ20">
        <f>19*$E$8</f>
        <v/>
      </c>
      <c r="AK20">
        <f>IF(AI20&gt;=$B$8,$B$7,IF($B$10="ยุบ",AI20/$B$8*$B$7,(1-AI20/$B$8)*$B$7))</f>
        <v/>
      </c>
      <c r="AL20">
        <f>IF(AJ20&gt;=$B$8,$B$7,IF($B$10="ยุบ",AJ20/$B$8*$B$7,(1-AJ20/$B$8)*$B$7))</f>
        <v/>
      </c>
      <c r="AM20">
        <f>MIN(AK20,AL20)</f>
        <v/>
      </c>
      <c r="AN20">
        <f>IF(AH20&lt;=$E$6-1,CEILING(AM20/$B$82,1)+1,0)</f>
        <v/>
      </c>
      <c r="AP20" t="n">
        <v>19</v>
      </c>
      <c r="AQ20">
        <f>(19-1)*$E$9</f>
        <v/>
      </c>
      <c r="AR20">
        <f>19*$E$9</f>
        <v/>
      </c>
      <c r="AS20">
        <f>IF($B$4&lt;&gt;"ตัวแอล","",IF(AQ20&gt;=$B$7,$B$8,IF($B$10="ยุบ",AQ20/$B$7*$B$8,(1-AQ20/$B$7)*$B$8)))</f>
        <v/>
      </c>
      <c r="AT20">
        <f>IF($B$4&lt;&gt;"ตัวแอล","",IF(AR20&gt;=$B$7,$B$8,IF($B$10="ยุบ",AR20/$B$7*$B$8,(1-AR20/$B$7)*$B$8)))</f>
        <v/>
      </c>
      <c r="AU20">
        <f>IF($B$4&lt;&gt;"ตัวแอล","",MIN(AS20,AT20))</f>
        <v/>
      </c>
      <c r="AV20">
        <f>IF(AND($B$4="ตัวแอล",AP20&lt;=$E$7-1),CEILING(AU20/$B$82,1)+1,0)</f>
        <v/>
      </c>
    </row>
    <row r="21">
      <c r="A21" s="17" t="inlineStr">
        <is>
          <t>jack A #1</t>
        </is>
      </c>
      <c r="B21" s="21">
        <f>IF(1&lt;=$E$13,IF($B$10="ยุบ",ROUND(1*$E$8/$B$8*$E$4-$B$91,1),ROUND((1-1*$E$8/$B$8)*$E$4-$B$91,1)),"-")</f>
        <v/>
      </c>
      <c r="C21" s="21">
        <f>IF(1&lt;=$E$13,1,"-")</f>
        <v/>
      </c>
      <c r="G21" s="17" t="inlineStr">
        <is>
          <t>🎨 เขียว=ราง · ดำ=ผนัง · ส้ม=ตะเข้ · A(น้ำเงิน)/B(ม่วง)=ปีก · C=ผนังชน F=รางชน</t>
        </is>
      </c>
      <c r="AH21" t="n">
        <v>20</v>
      </c>
      <c r="AI21">
        <f>(20-1)*$E$8</f>
        <v/>
      </c>
      <c r="AJ21">
        <f>20*$E$8</f>
        <v/>
      </c>
      <c r="AK21">
        <f>IF(AI21&gt;=$B$8,$B$7,IF($B$10="ยุบ",AI21/$B$8*$B$7,(1-AI21/$B$8)*$B$7))</f>
        <v/>
      </c>
      <c r="AL21">
        <f>IF(AJ21&gt;=$B$8,$B$7,IF($B$10="ยุบ",AJ21/$B$8*$B$7,(1-AJ21/$B$8)*$B$7))</f>
        <v/>
      </c>
      <c r="AM21">
        <f>MIN(AK21,AL21)</f>
        <v/>
      </c>
      <c r="AN21">
        <f>IF(AH21&lt;=$E$6-1,CEILING(AM21/$B$82,1)+1,0)</f>
        <v/>
      </c>
      <c r="AP21" t="n">
        <v>20</v>
      </c>
      <c r="AQ21">
        <f>(20-1)*$E$9</f>
        <v/>
      </c>
      <c r="AR21">
        <f>20*$E$9</f>
        <v/>
      </c>
      <c r="AS21">
        <f>IF($B$4&lt;&gt;"ตัวแอล","",IF(AQ21&gt;=$B$7,$B$8,IF($B$10="ยุบ",AQ21/$B$7*$B$8,(1-AQ21/$B$7)*$B$8)))</f>
        <v/>
      </c>
      <c r="AT21">
        <f>IF($B$4&lt;&gt;"ตัวแอล","",IF(AR21&gt;=$B$7,$B$8,IF($B$10="ยุบ",AR21/$B$7*$B$8,(1-AR21/$B$7)*$B$8)))</f>
        <v/>
      </c>
      <c r="AU21">
        <f>IF($B$4&lt;&gt;"ตัวแอล","",MIN(AS21,AT21))</f>
        <v/>
      </c>
      <c r="AV21">
        <f>IF(AND($B$4="ตัวแอล",AP21&lt;=$E$7-1),CEILING(AU21/$B$82,1)+1,0)</f>
        <v/>
      </c>
    </row>
    <row r="22">
      <c r="A22" s="17" t="inlineStr">
        <is>
          <t>jack A #2</t>
        </is>
      </c>
      <c r="B22" s="21">
        <f>IF(2&lt;=$E$13,IF($B$10="ยุบ",ROUND(2*$E$8/$B$8*$E$4-$B$91,1),ROUND((1-2*$E$8/$B$8)*$E$4-$B$91,1)),"-")</f>
        <v/>
      </c>
      <c r="C22" s="21">
        <f>IF(2&lt;=$E$13,1,"-")</f>
        <v/>
      </c>
      <c r="D22" s="17" t="inlineStr">
        <is>
          <t>จันทันหัก (ตามปลาย)</t>
        </is>
      </c>
      <c r="E22" s="18">
        <f>IF(B11="รางน้ำ",$B$90,IF(B11="ยื่นปลาย",$B$88,$B$89))</f>
        <v/>
      </c>
      <c r="G22" s="17" t="inlineStr">
        <is>
          <t>(เพิงตรง=ไม่มีตะเข้/ปีก B จันทันเต็มหมด · มุมตะเข้ ยุบ/นูน ที่ B10)</t>
        </is>
      </c>
      <c r="AH22" t="n">
        <v>21</v>
      </c>
      <c r="AI22">
        <f>(21-1)*$E$8</f>
        <v/>
      </c>
      <c r="AJ22">
        <f>21*$E$8</f>
        <v/>
      </c>
      <c r="AK22">
        <f>IF(AI22&gt;=$B$8,$B$7,IF($B$10="ยุบ",AI22/$B$8*$B$7,(1-AI22/$B$8)*$B$7))</f>
        <v/>
      </c>
      <c r="AL22">
        <f>IF(AJ22&gt;=$B$8,$B$7,IF($B$10="ยุบ",AJ22/$B$8*$B$7,(1-AJ22/$B$8)*$B$7))</f>
        <v/>
      </c>
      <c r="AM22">
        <f>MIN(AK22,AL22)</f>
        <v/>
      </c>
      <c r="AN22">
        <f>IF(AH22&lt;=$E$6-1,CEILING(AM22/$B$82,1)+1,0)</f>
        <v/>
      </c>
      <c r="AP22" t="n">
        <v>21</v>
      </c>
      <c r="AQ22">
        <f>(21-1)*$E$9</f>
        <v/>
      </c>
      <c r="AR22">
        <f>21*$E$9</f>
        <v/>
      </c>
      <c r="AS22">
        <f>IF($B$4&lt;&gt;"ตัวแอล","",IF(AQ22&gt;=$B$7,$B$8,IF($B$10="ยุบ",AQ22/$B$7*$B$8,(1-AQ22/$B$7)*$B$8)))</f>
        <v/>
      </c>
      <c r="AT22">
        <f>IF($B$4&lt;&gt;"ตัวแอล","",IF(AR22&gt;=$B$7,$B$8,IF($B$10="ยุบ",AR22/$B$7*$B$8,(1-AR22/$B$7)*$B$8)))</f>
        <v/>
      </c>
      <c r="AU22">
        <f>IF($B$4&lt;&gt;"ตัวแอล","",MIN(AS22,AT22))</f>
        <v/>
      </c>
      <c r="AV22">
        <f>IF(AND($B$4="ตัวแอล",AP22&lt;=$E$7-1),CEILING(AU22/$B$82,1)+1,0)</f>
        <v/>
      </c>
    </row>
    <row r="23">
      <c r="A23" s="17" t="inlineStr">
        <is>
          <t>jack A #3</t>
        </is>
      </c>
      <c r="B23" s="21">
        <f>IF(3&lt;=$E$13,IF($B$10="ยุบ",ROUND(3*$E$8/$B$8*$E$4-$B$91,1),ROUND((1-3*$E$8/$B$8)*$E$4-$B$91,1)),"-")</f>
        <v/>
      </c>
      <c r="C23" s="21">
        <f>IF(3&lt;=$E$13,1,"-")</f>
        <v/>
      </c>
      <c r="D23" s="17" t="inlineStr">
        <is>
          <t>แถวแปรวม A (ต่อช่อง)</t>
        </is>
      </c>
      <c r="E23" s="22">
        <f>SUM(AN2:AN31)</f>
        <v/>
      </c>
      <c r="AH23" t="n">
        <v>22</v>
      </c>
      <c r="AI23">
        <f>(22-1)*$E$8</f>
        <v/>
      </c>
      <c r="AJ23">
        <f>22*$E$8</f>
        <v/>
      </c>
      <c r="AK23">
        <f>IF(AI23&gt;=$B$8,$B$7,IF($B$10="ยุบ",AI23/$B$8*$B$7,(1-AI23/$B$8)*$B$7))</f>
        <v/>
      </c>
      <c r="AL23">
        <f>IF(AJ23&gt;=$B$8,$B$7,IF($B$10="ยุบ",AJ23/$B$8*$B$7,(1-AJ23/$B$8)*$B$7))</f>
        <v/>
      </c>
      <c r="AM23">
        <f>MIN(AK23,AL23)</f>
        <v/>
      </c>
      <c r="AN23">
        <f>IF(AH23&lt;=$E$6-1,CEILING(AM23/$B$82,1)+1,0)</f>
        <v/>
      </c>
      <c r="AP23" t="n">
        <v>22</v>
      </c>
      <c r="AQ23">
        <f>(22-1)*$E$9</f>
        <v/>
      </c>
      <c r="AR23">
        <f>22*$E$9</f>
        <v/>
      </c>
      <c r="AS23">
        <f>IF($B$4&lt;&gt;"ตัวแอล","",IF(AQ23&gt;=$B$7,$B$8,IF($B$10="ยุบ",AQ23/$B$7*$B$8,(1-AQ23/$B$7)*$B$8)))</f>
        <v/>
      </c>
      <c r="AT23">
        <f>IF($B$4&lt;&gt;"ตัวแอล","",IF(AR23&gt;=$B$7,$B$8,IF($B$10="ยุบ",AR23/$B$7*$B$8,(1-AR23/$B$7)*$B$8)))</f>
        <v/>
      </c>
      <c r="AU23">
        <f>IF($B$4&lt;&gt;"ตัวแอล","",MIN(AS23,AT23))</f>
        <v/>
      </c>
      <c r="AV23">
        <f>IF(AND($B$4="ตัวแอล",AP23&lt;=$E$7-1),CEILING(AU23/$B$82,1)+1,0)</f>
        <v/>
      </c>
    </row>
    <row r="24">
      <c r="A24" s="17" t="inlineStr">
        <is>
          <t>jack A #4</t>
        </is>
      </c>
      <c r="B24" s="21">
        <f>IF(4&lt;=$E$13,IF($B$10="ยุบ",ROUND(4*$E$8/$B$8*$E$4-$B$91,1),ROUND((1-4*$E$8/$B$8)*$E$4-$B$91,1)),"-")</f>
        <v/>
      </c>
      <c r="C24" s="21">
        <f>IF(4&lt;=$E$13,1,"-")</f>
        <v/>
      </c>
      <c r="D24" s="17" t="inlineStr">
        <is>
          <t>แถวแปรวม B (ต่อช่อง)</t>
        </is>
      </c>
      <c r="E24" s="22">
        <f>IF($B$4="ตัวแอล",SUM(AV2:AV31),0)</f>
        <v/>
      </c>
      <c r="AH24" t="n">
        <v>23</v>
      </c>
      <c r="AI24">
        <f>(23-1)*$E$8</f>
        <v/>
      </c>
      <c r="AJ24">
        <f>23*$E$8</f>
        <v/>
      </c>
      <c r="AK24">
        <f>IF(AI24&gt;=$B$8,$B$7,IF($B$10="ยุบ",AI24/$B$8*$B$7,(1-AI24/$B$8)*$B$7))</f>
        <v/>
      </c>
      <c r="AL24">
        <f>IF(AJ24&gt;=$B$8,$B$7,IF($B$10="ยุบ",AJ24/$B$8*$B$7,(1-AJ24/$B$8)*$B$7))</f>
        <v/>
      </c>
      <c r="AM24">
        <f>MIN(AK24,AL24)</f>
        <v/>
      </c>
      <c r="AN24">
        <f>IF(AH24&lt;=$E$6-1,CEILING(AM24/$B$82,1)+1,0)</f>
        <v/>
      </c>
      <c r="AP24" t="n">
        <v>23</v>
      </c>
      <c r="AQ24">
        <f>(23-1)*$E$9</f>
        <v/>
      </c>
      <c r="AR24">
        <f>23*$E$9</f>
        <v/>
      </c>
      <c r="AS24">
        <f>IF($B$4&lt;&gt;"ตัวแอล","",IF(AQ24&gt;=$B$7,$B$8,IF($B$10="ยุบ",AQ24/$B$7*$B$8,(1-AQ24/$B$7)*$B$8)))</f>
        <v/>
      </c>
      <c r="AT24">
        <f>IF($B$4&lt;&gt;"ตัวแอล","",IF(AR24&gt;=$B$7,$B$8,IF($B$10="ยุบ",AR24/$B$7*$B$8,(1-AR24/$B$7)*$B$8)))</f>
        <v/>
      </c>
      <c r="AU24">
        <f>IF($B$4&lt;&gt;"ตัวแอล","",MIN(AS24,AT24))</f>
        <v/>
      </c>
      <c r="AV24">
        <f>IF(AND($B$4="ตัวแอล",AP24&lt;=$E$7-1),CEILING(AU24/$B$82,1)+1,0)</f>
        <v/>
      </c>
    </row>
    <row r="25">
      <c r="A25" s="17" t="inlineStr">
        <is>
          <t>jack A #5</t>
        </is>
      </c>
      <c r="B25" s="21">
        <f>IF(5&lt;=$E$13,IF($B$10="ยุบ",ROUND(5*$E$8/$B$8*$E$4-$B$91,1),ROUND((1-5*$E$8/$B$8)*$E$4-$B$91,1)),"-")</f>
        <v/>
      </c>
      <c r="C25" s="21">
        <f>IF(5&lt;=$E$13,1,"-")</f>
        <v/>
      </c>
      <c r="AH25" t="n">
        <v>24</v>
      </c>
      <c r="AI25">
        <f>(24-1)*$E$8</f>
        <v/>
      </c>
      <c r="AJ25">
        <f>24*$E$8</f>
        <v/>
      </c>
      <c r="AK25">
        <f>IF(AI25&gt;=$B$8,$B$7,IF($B$10="ยุบ",AI25/$B$8*$B$7,(1-AI25/$B$8)*$B$7))</f>
        <v/>
      </c>
      <c r="AL25">
        <f>IF(AJ25&gt;=$B$8,$B$7,IF($B$10="ยุบ",AJ25/$B$8*$B$7,(1-AJ25/$B$8)*$B$7))</f>
        <v/>
      </c>
      <c r="AM25">
        <f>MIN(AK25,AL25)</f>
        <v/>
      </c>
      <c r="AN25">
        <f>IF(AH25&lt;=$E$6-1,CEILING(AM25/$B$82,1)+1,0)</f>
        <v/>
      </c>
      <c r="AP25" t="n">
        <v>24</v>
      </c>
      <c r="AQ25">
        <f>(24-1)*$E$9</f>
        <v/>
      </c>
      <c r="AR25">
        <f>24*$E$9</f>
        <v/>
      </c>
      <c r="AS25">
        <f>IF($B$4&lt;&gt;"ตัวแอล","",IF(AQ25&gt;=$B$7,$B$8,IF($B$10="ยุบ",AQ25/$B$7*$B$8,(1-AQ25/$B$7)*$B$8)))</f>
        <v/>
      </c>
      <c r="AT25">
        <f>IF($B$4&lt;&gt;"ตัวแอล","",IF(AR25&gt;=$B$7,$B$8,IF($B$10="ยุบ",AR25/$B$7*$B$8,(1-AR25/$B$7)*$B$8)))</f>
        <v/>
      </c>
      <c r="AU25">
        <f>IF($B$4&lt;&gt;"ตัวแอล","",MIN(AS25,AT25))</f>
        <v/>
      </c>
      <c r="AV25">
        <f>IF(AND($B$4="ตัวแอล",AP25&lt;=$E$7-1),CEILING(AU25/$B$82,1)+1,0)</f>
        <v/>
      </c>
    </row>
    <row r="26">
      <c r="AH26" t="n">
        <v>25</v>
      </c>
      <c r="AI26">
        <f>(25-1)*$E$8</f>
        <v/>
      </c>
      <c r="AJ26">
        <f>25*$E$8</f>
        <v/>
      </c>
      <c r="AK26">
        <f>IF(AI26&gt;=$B$8,$B$7,IF($B$10="ยุบ",AI26/$B$8*$B$7,(1-AI26/$B$8)*$B$7))</f>
        <v/>
      </c>
      <c r="AL26">
        <f>IF(AJ26&gt;=$B$8,$B$7,IF($B$10="ยุบ",AJ26/$B$8*$B$7,(1-AJ26/$B$8)*$B$7))</f>
        <v/>
      </c>
      <c r="AM26">
        <f>MIN(AK26,AL26)</f>
        <v/>
      </c>
      <c r="AN26">
        <f>IF(AH26&lt;=$E$6-1,CEILING(AM26/$B$82,1)+1,0)</f>
        <v/>
      </c>
      <c r="AP26" t="n">
        <v>25</v>
      </c>
      <c r="AQ26">
        <f>(25-1)*$E$9</f>
        <v/>
      </c>
      <c r="AR26">
        <f>25*$E$9</f>
        <v/>
      </c>
      <c r="AS26">
        <f>IF($B$4&lt;&gt;"ตัวแอล","",IF(AQ26&gt;=$B$7,$B$8,IF($B$10="ยุบ",AQ26/$B$7*$B$8,(1-AQ26/$B$7)*$B$8)))</f>
        <v/>
      </c>
      <c r="AT26">
        <f>IF($B$4&lt;&gt;"ตัวแอล","",IF(AR26&gt;=$B$7,$B$8,IF($B$10="ยุบ",AR26/$B$7*$B$8,(1-AR26/$B$7)*$B$8)))</f>
        <v/>
      </c>
      <c r="AU26">
        <f>IF($B$4&lt;&gt;"ตัวแอล","",MIN(AS26,AT26))</f>
        <v/>
      </c>
      <c r="AV26">
        <f>IF(AND($B$4="ตัวแอล",AP26&lt;=$E$7-1),CEILING(AU26/$B$82,1)+1,0)</f>
        <v/>
      </c>
    </row>
    <row r="27">
      <c r="A27" s="19" t="inlineStr">
        <is>
          <t>④ จันทัน ปีก B (เฉพาะตัวแอล)</t>
        </is>
      </c>
      <c r="AH27" t="n">
        <v>26</v>
      </c>
      <c r="AI27">
        <f>(26-1)*$E$8</f>
        <v/>
      </c>
      <c r="AJ27">
        <f>26*$E$8</f>
        <v/>
      </c>
      <c r="AK27">
        <f>IF(AI27&gt;=$B$8,$B$7,IF($B$10="ยุบ",AI27/$B$8*$B$7,(1-AI27/$B$8)*$B$7))</f>
        <v/>
      </c>
      <c r="AL27">
        <f>IF(AJ27&gt;=$B$8,$B$7,IF($B$10="ยุบ",AJ27/$B$8*$B$7,(1-AJ27/$B$8)*$B$7))</f>
        <v/>
      </c>
      <c r="AM27">
        <f>MIN(AK27,AL27)</f>
        <v/>
      </c>
      <c r="AN27">
        <f>IF(AH27&lt;=$E$6-1,CEILING(AM27/$B$82,1)+1,0)</f>
        <v/>
      </c>
      <c r="AP27" t="n">
        <v>26</v>
      </c>
      <c r="AQ27">
        <f>(26-1)*$E$9</f>
        <v/>
      </c>
      <c r="AR27">
        <f>26*$E$9</f>
        <v/>
      </c>
      <c r="AS27">
        <f>IF($B$4&lt;&gt;"ตัวแอล","",IF(AQ27&gt;=$B$7,$B$8,IF($B$10="ยุบ",AQ27/$B$7*$B$8,(1-AQ27/$B$7)*$B$8)))</f>
        <v/>
      </c>
      <c r="AT27">
        <f>IF($B$4&lt;&gt;"ตัวแอล","",IF(AR27&gt;=$B$7,$B$8,IF($B$10="ยุบ",AR27/$B$7*$B$8,(1-AR27/$B$7)*$B$8)))</f>
        <v/>
      </c>
      <c r="AU27">
        <f>IF($B$4&lt;&gt;"ตัวแอล","",MIN(AS27,AT27))</f>
        <v/>
      </c>
      <c r="AV27">
        <f>IF(AND($B$4="ตัวแอล",AP27&lt;=$E$7-1),CEILING(AU27/$B$82,1)+1,0)</f>
        <v/>
      </c>
    </row>
    <row r="28">
      <c r="A28" s="20" t="inlineStr">
        <is>
          <t>รายการ</t>
        </is>
      </c>
      <c r="B28" s="20" t="inlineStr">
        <is>
          <t>ยาวตัด (ซม.)</t>
        </is>
      </c>
      <c r="C28" s="20" t="inlineStr">
        <is>
          <t>จำนวน</t>
        </is>
      </c>
      <c r="AH28" t="n">
        <v>27</v>
      </c>
      <c r="AI28">
        <f>(27-1)*$E$8</f>
        <v/>
      </c>
      <c r="AJ28">
        <f>27*$E$8</f>
        <v/>
      </c>
      <c r="AK28">
        <f>IF(AI28&gt;=$B$8,$B$7,IF($B$10="ยุบ",AI28/$B$8*$B$7,(1-AI28/$B$8)*$B$7))</f>
        <v/>
      </c>
      <c r="AL28">
        <f>IF(AJ28&gt;=$B$8,$B$7,IF($B$10="ยุบ",AJ28/$B$8*$B$7,(1-AJ28/$B$8)*$B$7))</f>
        <v/>
      </c>
      <c r="AM28">
        <f>MIN(AK28,AL28)</f>
        <v/>
      </c>
      <c r="AN28">
        <f>IF(AH28&lt;=$E$6-1,CEILING(AM28/$B$82,1)+1,0)</f>
        <v/>
      </c>
      <c r="AP28" t="n">
        <v>27</v>
      </c>
      <c r="AQ28">
        <f>(27-1)*$E$9</f>
        <v/>
      </c>
      <c r="AR28">
        <f>27*$E$9</f>
        <v/>
      </c>
      <c r="AS28">
        <f>IF($B$4&lt;&gt;"ตัวแอล","",IF(AQ28&gt;=$B$7,$B$8,IF($B$10="ยุบ",AQ28/$B$7*$B$8,(1-AQ28/$B$7)*$B$8)))</f>
        <v/>
      </c>
      <c r="AT28">
        <f>IF($B$4&lt;&gt;"ตัวแอล","",IF(AR28&gt;=$B$7,$B$8,IF($B$10="ยุบ",AR28/$B$7*$B$8,(1-AR28/$B$7)*$B$8)))</f>
        <v/>
      </c>
      <c r="AU28">
        <f>IF($B$4&lt;&gt;"ตัวแอล","",MIN(AS28,AT28))</f>
        <v/>
      </c>
      <c r="AV28">
        <f>IF(AND($B$4="ตัวแอล",AP28&lt;=$E$7-1),CEILING(AU28/$B$82,1)+1,0)</f>
        <v/>
      </c>
    </row>
    <row r="29">
      <c r="A29" s="17" t="inlineStr">
        <is>
          <t>จันทันเต็ม B</t>
        </is>
      </c>
      <c r="B29" s="21">
        <f>IF($B$4="ตัวแอล",ROUND(E5-$E$22,1),"-")</f>
        <v/>
      </c>
      <c r="C29" s="18">
        <f>E16</f>
        <v/>
      </c>
      <c r="AH29" t="n">
        <v>28</v>
      </c>
      <c r="AI29">
        <f>(28-1)*$E$8</f>
        <v/>
      </c>
      <c r="AJ29">
        <f>28*$E$8</f>
        <v/>
      </c>
      <c r="AK29">
        <f>IF(AI29&gt;=$B$8,$B$7,IF($B$10="ยุบ",AI29/$B$8*$B$7,(1-AI29/$B$8)*$B$7))</f>
        <v/>
      </c>
      <c r="AL29">
        <f>IF(AJ29&gt;=$B$8,$B$7,IF($B$10="ยุบ",AJ29/$B$8*$B$7,(1-AJ29/$B$8)*$B$7))</f>
        <v/>
      </c>
      <c r="AM29">
        <f>MIN(AK29,AL29)</f>
        <v/>
      </c>
      <c r="AN29">
        <f>IF(AH29&lt;=$E$6-1,CEILING(AM29/$B$82,1)+1,0)</f>
        <v/>
      </c>
      <c r="AP29" t="n">
        <v>28</v>
      </c>
      <c r="AQ29">
        <f>(28-1)*$E$9</f>
        <v/>
      </c>
      <c r="AR29">
        <f>28*$E$9</f>
        <v/>
      </c>
      <c r="AS29">
        <f>IF($B$4&lt;&gt;"ตัวแอล","",IF(AQ29&gt;=$B$7,$B$8,IF($B$10="ยุบ",AQ29/$B$7*$B$8,(1-AQ29/$B$7)*$B$8)))</f>
        <v/>
      </c>
      <c r="AT29">
        <f>IF($B$4&lt;&gt;"ตัวแอล","",IF(AR29&gt;=$B$7,$B$8,IF($B$10="ยุบ",AR29/$B$7*$B$8,(1-AR29/$B$7)*$B$8)))</f>
        <v/>
      </c>
      <c r="AU29">
        <f>IF($B$4&lt;&gt;"ตัวแอล","",MIN(AS29,AT29))</f>
        <v/>
      </c>
      <c r="AV29">
        <f>IF(AND($B$4="ตัวแอล",AP29&lt;=$E$7-1),CEILING(AU29/$B$82,1)+1,0)</f>
        <v/>
      </c>
    </row>
    <row r="30">
      <c r="A30" s="17" t="inlineStr">
        <is>
          <t>jack B #1</t>
        </is>
      </c>
      <c r="B30" s="21">
        <f>IF(1&lt;=$E$14,IF($B$10="ยุบ",ROUND(1*$E$9/$B$7*$E$5-$B$91,1),ROUND((1-1*$E$9/$B$7)*$E$5-$B$91,1)),"-")</f>
        <v/>
      </c>
      <c r="C30" s="21">
        <f>IF(1&lt;=$E$14,1,"-")</f>
        <v/>
      </c>
      <c r="AH30" t="n">
        <v>29</v>
      </c>
      <c r="AI30">
        <f>(29-1)*$E$8</f>
        <v/>
      </c>
      <c r="AJ30">
        <f>29*$E$8</f>
        <v/>
      </c>
      <c r="AK30">
        <f>IF(AI30&gt;=$B$8,$B$7,IF($B$10="ยุบ",AI30/$B$8*$B$7,(1-AI30/$B$8)*$B$7))</f>
        <v/>
      </c>
      <c r="AL30">
        <f>IF(AJ30&gt;=$B$8,$B$7,IF($B$10="ยุบ",AJ30/$B$8*$B$7,(1-AJ30/$B$8)*$B$7))</f>
        <v/>
      </c>
      <c r="AM30">
        <f>MIN(AK30,AL30)</f>
        <v/>
      </c>
      <c r="AN30">
        <f>IF(AH30&lt;=$E$6-1,CEILING(AM30/$B$82,1)+1,0)</f>
        <v/>
      </c>
      <c r="AP30" t="n">
        <v>29</v>
      </c>
      <c r="AQ30">
        <f>(29-1)*$E$9</f>
        <v/>
      </c>
      <c r="AR30">
        <f>29*$E$9</f>
        <v/>
      </c>
      <c r="AS30">
        <f>IF($B$4&lt;&gt;"ตัวแอล","",IF(AQ30&gt;=$B$7,$B$8,IF($B$10="ยุบ",AQ30/$B$7*$B$8,(1-AQ30/$B$7)*$B$8)))</f>
        <v/>
      </c>
      <c r="AT30">
        <f>IF($B$4&lt;&gt;"ตัวแอล","",IF(AR30&gt;=$B$7,$B$8,IF($B$10="ยุบ",AR30/$B$7*$B$8,(1-AR30/$B$7)*$B$8)))</f>
        <v/>
      </c>
      <c r="AU30">
        <f>IF($B$4&lt;&gt;"ตัวแอล","",MIN(AS30,AT30))</f>
        <v/>
      </c>
      <c r="AV30">
        <f>IF(AND($B$4="ตัวแอล",AP30&lt;=$E$7-1),CEILING(AU30/$B$82,1)+1,0)</f>
        <v/>
      </c>
    </row>
    <row r="31">
      <c r="A31" s="17" t="inlineStr">
        <is>
          <t>jack B #2</t>
        </is>
      </c>
      <c r="B31" s="21">
        <f>IF(2&lt;=$E$14,IF($B$10="ยุบ",ROUND(2*$E$9/$B$7*$E$5-$B$91,1),ROUND((1-2*$E$9/$B$7)*$E$5-$B$91,1)),"-")</f>
        <v/>
      </c>
      <c r="C31" s="21">
        <f>IF(2&lt;=$E$14,1,"-")</f>
        <v/>
      </c>
      <c r="AH31" t="n">
        <v>30</v>
      </c>
      <c r="AI31">
        <f>(30-1)*$E$8</f>
        <v/>
      </c>
      <c r="AJ31">
        <f>30*$E$8</f>
        <v/>
      </c>
      <c r="AK31">
        <f>IF(AI31&gt;=$B$8,$B$7,IF($B$10="ยุบ",AI31/$B$8*$B$7,(1-AI31/$B$8)*$B$7))</f>
        <v/>
      </c>
      <c r="AL31">
        <f>IF(AJ31&gt;=$B$8,$B$7,IF($B$10="ยุบ",AJ31/$B$8*$B$7,(1-AJ31/$B$8)*$B$7))</f>
        <v/>
      </c>
      <c r="AM31">
        <f>MIN(AK31,AL31)</f>
        <v/>
      </c>
      <c r="AN31">
        <f>IF(AH31&lt;=$E$6-1,CEILING(AM31/$B$82,1)+1,0)</f>
        <v/>
      </c>
      <c r="AP31" t="n">
        <v>30</v>
      </c>
      <c r="AQ31">
        <f>(30-1)*$E$9</f>
        <v/>
      </c>
      <c r="AR31">
        <f>30*$E$9</f>
        <v/>
      </c>
      <c r="AS31">
        <f>IF($B$4&lt;&gt;"ตัวแอล","",IF(AQ31&gt;=$B$7,$B$8,IF($B$10="ยุบ",AQ31/$B$7*$B$8,(1-AQ31/$B$7)*$B$8)))</f>
        <v/>
      </c>
      <c r="AT31">
        <f>IF($B$4&lt;&gt;"ตัวแอล","",IF(AR31&gt;=$B$7,$B$8,IF($B$10="ยุบ",AR31/$B$7*$B$8,(1-AR31/$B$7)*$B$8)))</f>
        <v/>
      </c>
      <c r="AU31">
        <f>IF($B$4&lt;&gt;"ตัวแอล","",MIN(AS31,AT31))</f>
        <v/>
      </c>
      <c r="AV31">
        <f>IF(AND($B$4="ตัวแอล",AP31&lt;=$E$7-1),CEILING(AU31/$B$82,1)+1,0)</f>
        <v/>
      </c>
    </row>
    <row r="32">
      <c r="A32" s="17" t="inlineStr">
        <is>
          <t>jack B #3</t>
        </is>
      </c>
      <c r="B32" s="21">
        <f>IF(3&lt;=$E$14,IF($B$10="ยุบ",ROUND(3*$E$9/$B$7*$E$5-$B$91,1),ROUND((1-3*$E$9/$B$7)*$E$5-$B$91,1)),"-")</f>
        <v/>
      </c>
      <c r="C32" s="21">
        <f>IF(3&lt;=$E$14,1,"-")</f>
        <v/>
      </c>
    </row>
    <row r="33">
      <c r="A33" s="17" t="inlineStr">
        <is>
          <t>jack B #4</t>
        </is>
      </c>
      <c r="B33" s="21">
        <f>IF(4&lt;=$E$14,IF($B$10="ยุบ",ROUND(4*$E$9/$B$7*$E$5-$B$91,1),ROUND((1-4*$E$9/$B$7)*$E$5-$B$91,1)),"-")</f>
        <v/>
      </c>
      <c r="C33" s="21">
        <f>IF(4&lt;=$E$14,1,"-")</f>
        <v/>
      </c>
    </row>
    <row r="34">
      <c r="A34" s="17" t="inlineStr">
        <is>
          <t>jack B #5</t>
        </is>
      </c>
      <c r="B34" s="21">
        <f>IF(5&lt;=$E$14,IF($B$10="ยุบ",ROUND(5*$E$9/$B$7*$E$5-$B$91,1),ROUND((1-5*$E$9/$B$7)*$E$5-$B$91,1)),"-")</f>
        <v/>
      </c>
      <c r="C34" s="21">
        <f>IF(5&lt;=$E$14,1,"-")</f>
        <v/>
      </c>
    </row>
    <row r="36">
      <c r="A36" s="19" t="inlineStr">
        <is>
          <t>⑤ ตะเข้ + ราง + แผ่นหลังคา</t>
        </is>
      </c>
    </row>
    <row r="37">
      <c r="A37" s="20" t="inlineStr">
        <is>
          <t>รายการ</t>
        </is>
      </c>
      <c r="B37" s="20" t="inlineStr">
        <is>
          <t>ยาวตัด (ซม.)</t>
        </is>
      </c>
      <c r="C37" s="20" t="inlineStr">
        <is>
          <t>จำนวน</t>
        </is>
      </c>
    </row>
    <row r="38">
      <c r="A38" s="17" t="inlineStr">
        <is>
          <t>จันทันตะเข้</t>
        </is>
      </c>
      <c r="B38" s="21">
        <f>E10</f>
        <v/>
      </c>
      <c r="C38" s="21">
        <f>IF($B$4="ตัวแอล",1,0)</f>
        <v/>
      </c>
    </row>
    <row r="39">
      <c r="A39" s="17" t="inlineStr">
        <is>
          <t>ราง ปีก A</t>
        </is>
      </c>
      <c r="B39" s="21">
        <f>E11</f>
        <v/>
      </c>
      <c r="C39" s="21" t="n">
        <v>1</v>
      </c>
    </row>
    <row r="40">
      <c r="A40" s="17" t="inlineStr">
        <is>
          <t>ราง ปีก B</t>
        </is>
      </c>
      <c r="B40" s="21">
        <f>E12</f>
        <v/>
      </c>
      <c r="C40" s="21">
        <f>IF($B$4="ตัวแอล",1,0)</f>
        <v/>
      </c>
    </row>
    <row r="41">
      <c r="A41" s="17" t="inlineStr">
        <is>
          <t>แผ่นหลังคา A</t>
        </is>
      </c>
      <c r="B41" s="21">
        <f>E4</f>
        <v/>
      </c>
      <c r="C41" s="21">
        <f>CEILING(B5/VLOOKUP(B3,$A$75:$C$80,3,0),1)</f>
        <v/>
      </c>
    </row>
    <row r="42">
      <c r="A42" s="17" t="inlineStr">
        <is>
          <t>แผ่นหลังคา B</t>
        </is>
      </c>
      <c r="B42" s="21">
        <f>E5</f>
        <v/>
      </c>
      <c r="C42" s="21">
        <f>IF($B$4="ตัวแอล",CEILING(B6/VLOOKUP(B3,$A$75:$C$80,3,0),1),"-")</f>
        <v/>
      </c>
    </row>
    <row r="44">
      <c r="A44" s="17" t="n"/>
    </row>
    <row r="45">
      <c r="A45" s="19" t="inlineStr">
        <is>
          <t>⑥ ปลายหลังคา + รางน้ำ + กล่องรัดรอบ (รอบนอกทั้งหมด)</t>
        </is>
      </c>
    </row>
    <row r="46">
      <c r="A46" s="20" t="inlineStr">
        <is>
          <t>รายการ</t>
        </is>
      </c>
      <c r="B46" s="20" t="inlineStr">
        <is>
          <t>ยาวตัด (ซม.)</t>
        </is>
      </c>
      <c r="C46" s="20" t="inlineStr">
        <is>
          <t>จำนวน</t>
        </is>
      </c>
    </row>
    <row r="47">
      <c r="A47" s="17" t="inlineStr">
        <is>
          <t>รางน้ำอลู ปีก A</t>
        </is>
      </c>
      <c r="B47" s="21">
        <f>E11</f>
        <v/>
      </c>
      <c r="C47" s="21">
        <f>IF($B$11="รางน้ำ",1,"-")</f>
        <v/>
      </c>
    </row>
    <row r="48">
      <c r="A48" s="17" t="inlineStr">
        <is>
          <t>รางน้ำอลู ปีก B</t>
        </is>
      </c>
      <c r="B48" s="21">
        <f>E12</f>
        <v/>
      </c>
      <c r="C48" s="21">
        <f>IF(AND($B$11="รางน้ำ",$B$4="ตัวแอล"),1,"-")</f>
        <v/>
      </c>
    </row>
    <row r="49">
      <c r="A49" s="17" t="inlineStr">
        <is>
          <t>รัดรอบ ผนัง A</t>
        </is>
      </c>
      <c r="B49" s="21">
        <f>B5</f>
        <v/>
      </c>
      <c r="C49" s="21" t="n">
        <v>1</v>
      </c>
    </row>
    <row r="50">
      <c r="A50" s="17" t="inlineStr">
        <is>
          <t>รัดรอบ ผนัง B</t>
        </is>
      </c>
      <c r="B50" s="21">
        <f>B6</f>
        <v/>
      </c>
      <c r="C50" s="21">
        <f>IF($B$4="ตัวแอล",1,"-")</f>
        <v/>
      </c>
    </row>
    <row r="51">
      <c r="A51" s="17" t="inlineStr">
        <is>
          <t>รัดรอบ ราง A</t>
        </is>
      </c>
      <c r="B51" s="21">
        <f>E11</f>
        <v/>
      </c>
      <c r="C51" s="21" t="n">
        <v>1</v>
      </c>
    </row>
    <row r="52">
      <c r="A52" s="17" t="inlineStr">
        <is>
          <t>รัดรอบ ราง B</t>
        </is>
      </c>
      <c r="B52" s="21">
        <f>E12</f>
        <v/>
      </c>
      <c r="C52" s="21">
        <f>IF($B$4="ตัวแอล",1,"-")</f>
        <v/>
      </c>
    </row>
    <row r="53">
      <c r="A53" s="17" t="inlineStr">
        <is>
          <t>รัดรอบ ปลาย A</t>
        </is>
      </c>
      <c r="B53" s="21">
        <f>E4</f>
        <v/>
      </c>
      <c r="C53" s="21">
        <f>IF($B$4="ตัวแอล",1,2)</f>
        <v/>
      </c>
    </row>
    <row r="54">
      <c r="A54" s="17" t="inlineStr">
        <is>
          <t>รัดรอบ ปลาย B</t>
        </is>
      </c>
      <c r="B54" s="21">
        <f>E5</f>
        <v/>
      </c>
      <c r="C54" s="21">
        <f>IF($B$4="ตัวแอล",1,"-")</f>
        <v/>
      </c>
    </row>
    <row r="56">
      <c r="A56" s="17" t="n"/>
    </row>
    <row r="57">
      <c r="A57" s="19" t="inlineStr">
        <is>
          <t>⑦ แป + เหล็ก + ฝาครอบ (×ปีก)</t>
        </is>
      </c>
    </row>
    <row r="58">
      <c r="A58" s="20" t="inlineStr">
        <is>
          <t>รายการ</t>
        </is>
      </c>
      <c r="B58" s="20" t="inlineStr">
        <is>
          <t>ยาวตัด (ซม.)</t>
        </is>
      </c>
      <c r="C58" s="20" t="inlineStr">
        <is>
          <t>จำนวน</t>
        </is>
      </c>
    </row>
    <row r="59">
      <c r="A59" s="17" t="inlineStr">
        <is>
          <t>แป 1×1½ ปีก A</t>
        </is>
      </c>
      <c r="B59" s="21">
        <f>ROUND((B5-E6*$B$83)/(E6-1),1)</f>
        <v/>
      </c>
      <c r="C59" s="21">
        <f>E23*IF($B$12="แปคู่",2,1)</f>
        <v/>
      </c>
    </row>
    <row r="60">
      <c r="A60" s="17" t="inlineStr">
        <is>
          <t>แป 1×1½ ปีก B</t>
        </is>
      </c>
      <c r="B60" s="21">
        <f>IF($B$4="ตัวแอล",ROUND((B6-E7*$B$83)/(E7-1),1),"-")</f>
        <v/>
      </c>
      <c r="C60" s="21">
        <f>IF($B$4="ตัวแอล",E24*IF($B$12="แปคู่",2,1),"-")</f>
        <v/>
      </c>
    </row>
    <row r="61">
      <c r="A61" s="17" t="inlineStr">
        <is>
          <t>ฉาก 6หุน A</t>
        </is>
      </c>
      <c r="B61" s="21">
        <f>B5</f>
        <v/>
      </c>
      <c r="C61" s="21">
        <f>ROUNDUP(B5/$B$85,0)</f>
        <v/>
      </c>
    </row>
    <row r="62">
      <c r="A62" s="17" t="inlineStr">
        <is>
          <t>ฉาก 6หุน B</t>
        </is>
      </c>
      <c r="B62" s="21">
        <f>IF($B$4="ตัวแอล",B6,"-")</f>
        <v/>
      </c>
      <c r="C62" s="21">
        <f>IF($B$4="ตัวแอล",ROUNDUP(B6/$B$85,0),"-")</f>
        <v/>
      </c>
    </row>
    <row r="63">
      <c r="A63" s="17" t="inlineStr">
        <is>
          <t>แซด 4" A</t>
        </is>
      </c>
      <c r="B63" s="21">
        <f>B5</f>
        <v/>
      </c>
      <c r="C63" s="21">
        <f>ROUNDUP(B5/$B$85,0)</f>
        <v/>
      </c>
    </row>
    <row r="64">
      <c r="A64" s="17" t="inlineStr">
        <is>
          <t>แซด 4" B</t>
        </is>
      </c>
      <c r="B64" s="21">
        <f>IF($B$4="ตัวแอล",B6,"-")</f>
        <v/>
      </c>
      <c r="C64" s="21">
        <f>IF($B$4="ตัวแอล",ROUNDUP(B6/$B$85,0),"-")</f>
        <v/>
      </c>
    </row>
    <row r="65">
      <c r="A65" s="17" t="inlineStr">
        <is>
          <t>เพลทเหล็ก</t>
        </is>
      </c>
      <c r="B65" s="21" t="inlineStr">
        <is>
          <t>—</t>
        </is>
      </c>
      <c r="C65" s="21">
        <f>2*(E19+E20)</f>
        <v/>
      </c>
    </row>
    <row r="66">
      <c r="A66" s="17" t="inlineStr">
        <is>
          <t>กล่องเหล็ก 1×1 A</t>
        </is>
      </c>
      <c r="B66" s="21">
        <f>ROUND(E4-$B$92,1)</f>
        <v/>
      </c>
      <c r="C66" s="21">
        <f>E19</f>
        <v/>
      </c>
    </row>
    <row r="67">
      <c r="A67" s="17" t="inlineStr">
        <is>
          <t>กล่องเหล็ก 1×1 B</t>
        </is>
      </c>
      <c r="B67" s="21">
        <f>IF($B$4="ตัวแอล",ROUND(E5-$B$92,1),"-")</f>
        <v/>
      </c>
      <c r="C67" s="21">
        <f>IF($B$4="ตัวแอล",E20,"-")</f>
        <v/>
      </c>
    </row>
    <row r="68">
      <c r="A68" s="17" t="inlineStr">
        <is>
          <t>กล่องครอบเพลท 1.6×4 A</t>
        </is>
      </c>
      <c r="B68" s="21">
        <f>ROUND(E4/$B$84-$B$93,1)</f>
        <v/>
      </c>
      <c r="C68" s="21">
        <f>E19</f>
        <v/>
      </c>
    </row>
    <row r="69">
      <c r="A69" s="17" t="inlineStr">
        <is>
          <t>กล่องครอบเพลท 1.6×4 B</t>
        </is>
      </c>
      <c r="B69" s="21">
        <f>IF($B$4="ตัวแอล",ROUND(E5/$B$84-$B$93,1),"-")</f>
        <v/>
      </c>
      <c r="C69" s="21">
        <f>IF($B$4="ตัวแอล",E20,"-")</f>
        <v/>
      </c>
    </row>
    <row r="70">
      <c r="A70" s="17" t="inlineStr">
        <is>
          <t>ฝาครอบ A (ไวนิล/โพลี)</t>
        </is>
      </c>
      <c r="B70" s="21">
        <f>E4</f>
        <v/>
      </c>
      <c r="C70" s="21">
        <f>IF(B3="ไวนิล",CEILING(B5/VLOOKUP(B3,$A$75:$C$80,3,0),1),IF(B3="โพลีตัน",E19,"-"))</f>
        <v/>
      </c>
    </row>
    <row r="71">
      <c r="A71" s="17" t="inlineStr">
        <is>
          <t>ฝาครอบ B</t>
        </is>
      </c>
      <c r="B71" s="21">
        <f>IF($B$4="ตัวแอล",E5,"-")</f>
        <v/>
      </c>
      <c r="C71" s="21">
        <f>IF($B$4="ตัวแอล",IF(B3="ไวนิล",CEILING(B6/VLOOKUP(B3,$A$75:$C$80,3,0),1),IF(B3="โพลีตัน",E20,"-")),"-")</f>
        <v/>
      </c>
    </row>
    <row r="73">
      <c r="A73" s="19" t="inlineStr">
        <is>
          <t>⑧ แผงแก้ค่า (เหลือง = แก้ที่เดียว)</t>
        </is>
      </c>
    </row>
    <row r="74">
      <c r="A74" s="19" t="inlineStr">
        <is>
          <t>ชนิดแผ่น</t>
        </is>
      </c>
      <c r="B74" s="19" t="inlineStr">
        <is>
          <t>จันทัน max</t>
        </is>
      </c>
      <c r="C74" s="19" t="inlineStr">
        <is>
          <t>กว้าง/แผ่น</t>
        </is>
      </c>
    </row>
    <row r="75">
      <c r="A75" s="17" t="inlineStr">
        <is>
          <t>ไวนิล</t>
        </is>
      </c>
      <c r="B75" s="16" t="n">
        <v>100</v>
      </c>
      <c r="C75" s="16" t="n">
        <v>25</v>
      </c>
    </row>
    <row r="76">
      <c r="A76" s="17" t="inlineStr">
        <is>
          <t>ดีไลท์</t>
        </is>
      </c>
      <c r="B76" s="16" t="n">
        <v>100</v>
      </c>
      <c r="C76" s="16" t="n">
        <v>100</v>
      </c>
    </row>
    <row r="77">
      <c r="A77" s="17" t="inlineStr">
        <is>
          <t>เมทัลชีท</t>
        </is>
      </c>
      <c r="B77" s="16" t="n">
        <v>100</v>
      </c>
      <c r="C77" s="16" t="n">
        <v>34</v>
      </c>
    </row>
    <row r="78">
      <c r="A78" s="17" t="inlineStr">
        <is>
          <t>โพลีตัน</t>
        </is>
      </c>
      <c r="B78" s="16" t="n">
        <v>122</v>
      </c>
      <c r="C78" s="16" t="n">
        <v>122</v>
      </c>
    </row>
    <row r="79">
      <c r="A79" s="17" t="inlineStr">
        <is>
          <t>ชินโคร์ HC</t>
        </is>
      </c>
      <c r="B79" s="16" t="n">
        <v>138</v>
      </c>
      <c r="C79" s="16" t="n">
        <v>138</v>
      </c>
    </row>
    <row r="80">
      <c r="A80" s="17" t="inlineStr">
        <is>
          <t>ชินโคร์ Sup</t>
        </is>
      </c>
      <c r="B80" s="16" t="n">
        <v>138</v>
      </c>
      <c r="C80" s="16" t="n">
        <v>138</v>
      </c>
    </row>
    <row r="82">
      <c r="A82" s="17" t="inlineStr">
        <is>
          <t>แป max (ซม.)</t>
        </is>
      </c>
      <c r="B82" s="16" t="n">
        <v>50</v>
      </c>
    </row>
    <row r="83">
      <c r="A83" s="17" t="inlineStr">
        <is>
          <t>แป จันทันหนา</t>
        </is>
      </c>
      <c r="B83" s="16" t="n">
        <v>4.5</v>
      </c>
    </row>
    <row r="84">
      <c r="A84" s="17" t="inlineStr">
        <is>
          <t>ครอบเพลท ÷</t>
        </is>
      </c>
      <c r="B84" s="16" t="n">
        <v>3</v>
      </c>
    </row>
    <row r="85">
      <c r="A85" s="17" t="inlineStr">
        <is>
          <t>เส้นสต็อก (ซม.)</t>
        </is>
      </c>
      <c r="B85" s="16" t="n">
        <v>600</v>
      </c>
    </row>
    <row r="87">
      <c r="A87" s="19" t="inlineStr">
        <is>
          <t>⑨ แผงค่าหัก (เหลือง = แก้ที่เดียว)</t>
        </is>
      </c>
    </row>
    <row r="88">
      <c r="A88" s="17" t="inlineStr">
        <is>
          <t>จันทันซอย ยื่นปลาย −</t>
        </is>
      </c>
      <c r="B88" s="16" t="n">
        <v>10</v>
      </c>
    </row>
    <row r="89">
      <c r="A89" s="17" t="inlineStr">
        <is>
          <t>จันทันซอย ปิดปลาย −</t>
        </is>
      </c>
      <c r="B89" s="16" t="n">
        <v>12.5</v>
      </c>
    </row>
    <row r="90">
      <c r="A90" s="17" t="inlineStr">
        <is>
          <t>จันทันซอย รางน้ำ −</t>
        </is>
      </c>
      <c r="B90" s="16" t="n">
        <v>10.2</v>
      </c>
    </row>
    <row r="91">
      <c r="A91" s="17" t="inlineStr">
        <is>
          <t>จันทันชนตะเข้ − (วางทาบ=0)</t>
        </is>
      </c>
      <c r="B91" s="16" t="n">
        <v>0</v>
      </c>
    </row>
    <row r="92">
      <c r="A92" s="17" t="inlineStr">
        <is>
          <t>กล่องเหล็ก −</t>
        </is>
      </c>
      <c r="B92" s="16" t="n">
        <v>0</v>
      </c>
    </row>
    <row r="93">
      <c r="A93" s="17" t="inlineStr">
        <is>
          <t>ครอบเพลท −</t>
        </is>
      </c>
      <c r="B93" s="16" t="n">
        <v>0</v>
      </c>
    </row>
  </sheetData>
  <mergeCells count="1">
    <mergeCell ref="A1:E1"/>
  </mergeCells>
  <dataValidations count="5">
    <dataValidation sqref="B10" showDropDown="0" showInputMessage="0" showErrorMessage="0" allowBlank="0" type="list">
      <formula1>"ยุบ,นูน"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4" showDropDown="0" showInputMessage="0" showErrorMessage="0" allowBlank="0" type="list">
      <formula1>"ตัวแอล,เพิงตรง"</formula1>
    </dataValidation>
    <dataValidation sqref="B11" showDropDown="0" showInputMessage="0" showErrorMessage="0" allowBlank="0" type="list">
      <formula1>"ปิดปลาย,ยื่นปลาย,รางน้ำ"</formula1>
    </dataValidation>
    <dataValidation sqref="B12" showDropDown="0" showInputMessage="0" showErrorMessage="0" allowBlank="0" type="list">
      <formula1>"แปเดี่ยว,แปคู่"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2026-07-08T11:01:25Z</dcterms:created>
  <dcterms:modified xmlns:dcterms="http://purl.org/dc/terms/" xmlns:xsi="http://www.w3.org/2001/XMLSchema-instance" xsi:type="dcterms:W3CDTF">2026-07-09T01:17:38Z</dcterms:modified>
</cp:coreProperties>
</file>