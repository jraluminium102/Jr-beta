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ลาสเฮ้าส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4" customWidth="1" min="4" max="4"/>
    <col width="11" customWidth="1" min="5" max="5"/>
  </cols>
  <sheetData>
    <row r="1">
      <c r="A1" s="1" t="inlineStr">
        <is>
          <t>JR — ใบตัดกลาสเฮ้าส์ (เพิงตรง: หลังคา+เสา ในตัว) · ซม.</t>
        </is>
      </c>
    </row>
    <row r="2">
      <c r="A2" s="2" t="inlineStr">
        <is>
          <t>① กรอก (เหลือง)</t>
        </is>
      </c>
      <c r="D2" s="2" t="inlineStr">
        <is>
          <t>② คำนวณ</t>
        </is>
      </c>
    </row>
    <row r="3">
      <c r="A3" s="3" t="inlineStr">
        <is>
          <t>ชนิดแผ่น</t>
        </is>
      </c>
      <c r="B3" s="4" t="inlineStr">
        <is>
          <t>ไวนิล</t>
        </is>
      </c>
      <c r="D3" s="5" t="inlineStr">
        <is>
          <t>ระยะตก (สโลป)</t>
        </is>
      </c>
      <c r="E3" s="6">
        <f>B6-B7</f>
        <v/>
      </c>
    </row>
    <row r="4">
      <c r="A4" s="3" t="inlineStr">
        <is>
          <t>กว้าง (W)</t>
        </is>
      </c>
      <c r="B4" s="4" t="n">
        <v>400</v>
      </c>
      <c r="D4" s="5" t="inlineStr">
        <is>
          <t>จันทัน √(ยาว²+ตก²)</t>
        </is>
      </c>
      <c r="E4" s="6">
        <f>ROUND(SQRT(B5^2+E3^2),1)</f>
        <v/>
      </c>
    </row>
    <row r="5">
      <c r="A5" s="3" t="inlineStr">
        <is>
          <t>ยาว (ทิศลาด)</t>
        </is>
      </c>
      <c r="B5" s="4" t="n">
        <v>300</v>
      </c>
      <c r="D5" s="5" t="inlineStr">
        <is>
          <t>จันทัน max</t>
        </is>
      </c>
      <c r="E5" s="6">
        <f>IF(B3="โพลีตัน",122,IF(OR(B3="ชินโคร์ HC",B3="ชินโคร์ Sup"),138,100))</f>
        <v/>
      </c>
    </row>
    <row r="6">
      <c r="A6" s="3" t="inlineStr">
        <is>
          <t>สูงฝั่งสูง (ชนบ้าน)</t>
        </is>
      </c>
      <c r="B6" s="4" t="n">
        <v>270</v>
      </c>
      <c r="D6" s="5" t="inlineStr">
        <is>
          <t>จำนวนจันทัน (รวม)</t>
        </is>
      </c>
      <c r="E6" s="6">
        <f>CEILING(B4/E5,1)+1</f>
        <v/>
      </c>
    </row>
    <row r="7">
      <c r="A7" s="3" t="inlineStr">
        <is>
          <t>สูงฝั่งต่ำ (หน้า)</t>
        </is>
      </c>
      <c r="B7" s="4" t="n">
        <v>240</v>
      </c>
      <c r="D7" s="5" t="inlineStr">
        <is>
          <t>จันทันซอย (ใน) = N−2</t>
        </is>
      </c>
      <c r="E7" s="6">
        <f>MAX(E6-2,0)</f>
        <v/>
      </c>
    </row>
    <row r="8">
      <c r="A8" s="3" t="inlineStr">
        <is>
          <t>ทรง</t>
        </is>
      </c>
      <c r="B8" s="4" t="inlineStr">
        <is>
          <t>เปิด</t>
        </is>
      </c>
    </row>
    <row r="9">
      <c r="A9" s="2" t="inlineStr">
        <is>
          <t>③ ใบตัด</t>
        </is>
      </c>
    </row>
    <row r="10">
      <c r="A10" s="7" t="inlineStr">
        <is>
          <t>รายการ</t>
        </is>
      </c>
      <c r="B10" s="7" t="inlineStr">
        <is>
          <t>ยาวตัด (ซม.)</t>
        </is>
      </c>
      <c r="C10" s="7" t="inlineStr">
        <is>
          <t>จำนวน</t>
        </is>
      </c>
    </row>
    <row r="11">
      <c r="A11" s="5" t="inlineStr">
        <is>
          <t>จันทันรัดรอบ 4×4 หน้า-หลัง</t>
        </is>
      </c>
      <c r="B11" s="8">
        <f>B4</f>
        <v/>
      </c>
      <c r="C11" s="8" t="n">
        <v>2</v>
      </c>
      <c r="D11" s="5" t="inlineStr">
        <is>
          <t>คาน+โครง วางบนหัวเสา</t>
        </is>
      </c>
    </row>
    <row r="12">
      <c r="A12" s="5" t="inlineStr">
        <is>
          <t>จันทันรัดรอบ 4×4 ข้าง (สโลป)</t>
        </is>
      </c>
      <c r="B12" s="8">
        <f>E4</f>
        <v/>
      </c>
      <c r="C12" s="8" t="n">
        <v>2</v>
      </c>
      <c r="D12" s="5" t="inlineStr">
        <is>
          <t>คาน+โครง วางบนหัวเสา</t>
        </is>
      </c>
    </row>
    <row r="13">
      <c r="A13" s="5" t="inlineStr">
        <is>
          <t>จันทันซอย 1.6×4 (ตัวใน)</t>
        </is>
      </c>
      <c r="B13" s="8">
        <f>E4</f>
        <v/>
      </c>
      <c r="C13" s="8">
        <f>E7</f>
        <v/>
      </c>
      <c r="D13" s="5" t="inlineStr">
        <is>
          <t>N−2 · พาดบน</t>
        </is>
      </c>
    </row>
    <row r="14">
      <c r="A14" s="5" t="inlineStr">
        <is>
          <t>แป 1×1½</t>
        </is>
      </c>
      <c r="B14" s="8">
        <f>ROUND((B4-E6*4.5)/(E6-1),1)</f>
        <v/>
      </c>
      <c r="C14" s="8">
        <f>(E6-1)*(CEILING(B5/50,1)+1)*2</f>
        <v/>
      </c>
      <c r="D14" s="5" t="inlineStr">
        <is>
          <t>ยัดในช่อง</t>
        </is>
      </c>
    </row>
    <row r="15">
      <c r="A15" s="5" t="inlineStr">
        <is>
          <t>ราง (เท่ากว้าง)</t>
        </is>
      </c>
      <c r="B15" s="8">
        <f>B4</f>
        <v/>
      </c>
      <c r="C15" s="8" t="n">
        <v>1</v>
      </c>
      <c r="D15" s="5" t="inlineStr">
        <is>
          <t>ขอบต่ำ</t>
        </is>
      </c>
    </row>
    <row r="16">
      <c r="A16" s="5" t="inlineStr">
        <is>
          <t>แผ่นหลังคา</t>
        </is>
      </c>
      <c r="B16" s="8">
        <f>E4</f>
        <v/>
      </c>
      <c r="C16" s="8">
        <f>CEILING(B4/IF(B3="ไวนิล",25,IF(B3="โพลีตัน",122,IF(OR(B3="ชินโคร์ HC",B3="ชินโคร์ Sup"),138,IF(B3="ดีไลท์",100,34)))),1)</f>
        <v/>
      </c>
      <c r="D16" s="5" t="inlineStr">
        <is>
          <t>ยาว=จันทัน</t>
        </is>
      </c>
    </row>
    <row r="17">
      <c r="A17" s="5" t="inlineStr">
        <is>
          <t>เสา 4×4 (ฝั่งต่ำ/หน้า)</t>
        </is>
      </c>
      <c r="B17" s="8">
        <f>B7</f>
        <v/>
      </c>
      <c r="C17" s="8" t="n">
        <v>2</v>
      </c>
      <c r="D17" s="5" t="inlineStr">
        <is>
          <t>ยาว=สูงฝั่งต่ำ</t>
        </is>
      </c>
    </row>
    <row r="18">
      <c r="A18" s="5" t="inlineStr">
        <is>
          <t>กล่อง 1.6×4 ตั้ง (ฝั่งสูง/บ้าน)</t>
        </is>
      </c>
      <c r="B18" s="8">
        <f>B6</f>
        <v/>
      </c>
      <c r="C18" s="8" t="n">
        <v>2</v>
      </c>
      <c r="D18" s="5" t="inlineStr">
        <is>
          <t>ยาว=สูงฝั่งสูง · ชนบ้าน</t>
        </is>
      </c>
    </row>
    <row r="20">
      <c r="A20" s="5" t="inlineStr">
        <is>
          <t>หมายเหตุ: จันทันรัดรอบ 4×4 = คาน+โครงหลังคาในตัว (วางบนหัวเสา) · จันทันซอย 1.6×4 พาดบน · ตัว L/จั่ว ทำเพิ่มทีหลัง</t>
        </is>
      </c>
    </row>
  </sheetData>
  <mergeCells count="1">
    <mergeCell ref="A1:D1"/>
  </mergeCells>
  <dataValidations count="2">
    <dataValidation sqref="B8" showDropDown="0" showInputMessage="0" showErrorMessage="0" allowBlank="0" type="list">
      <formula1>"ปิด,เปิด"</formula1>
    </dataValidation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2026-07-09T07:22:20Z</dcterms:created>
  <dcterms:modified xmlns:dcterms="http://purl.org/dc/terms/" xmlns:xsi="http://www.w3.org/2001/XMLSchema-instance" xsi:type="dcterms:W3CDTF">2026-07-13T04:05:39Z</dcterms:modified>
</cp:coreProperties>
</file>