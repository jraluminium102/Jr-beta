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DESKTOP-J4E87BD\jr_db_240815\มะนาว JR\คิดราคา\"/>
    </mc:Choice>
  </mc:AlternateContent>
  <xr:revisionPtr revIDLastSave="0" documentId="13_ncr:1_{2DEEF5B0-F1C6-4A3D-9808-AE7CB018E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คาอ้างอิง" sheetId="1" r:id="rId1"/>
    <sheet name="ตัวอย่างการคิดราคา" sheetId="2" r:id="rId2"/>
  </sheets>
  <calcPr calcId="191029"/>
</workbook>
</file>

<file path=xl/calcChain.xml><?xml version="1.0" encoding="utf-8"?>
<calcChain xmlns="http://schemas.openxmlformats.org/spreadsheetml/2006/main">
  <c r="C12" i="2" l="1"/>
  <c r="C9" i="2"/>
  <c r="D17" i="2" l="1"/>
  <c r="G12" i="2"/>
  <c r="D9" i="2"/>
  <c r="D8" i="2"/>
  <c r="D7" i="2"/>
  <c r="E16" i="2" l="1"/>
  <c r="C13" i="2"/>
  <c r="E13" i="2" s="1"/>
  <c r="E12" i="2"/>
  <c r="E9" i="2"/>
  <c r="C8" i="2"/>
  <c r="E8" i="2" s="1"/>
  <c r="E7" i="2"/>
  <c r="A4" i="2"/>
  <c r="C18" i="2" l="1"/>
  <c r="E18" i="2" s="1"/>
  <c r="C16" i="2"/>
  <c r="F12" i="2"/>
  <c r="H12" i="2" s="1"/>
  <c r="C17" i="2"/>
  <c r="E17" i="2" s="1"/>
  <c r="F16" i="2" s="1"/>
  <c r="G17" i="2"/>
  <c r="C20" i="2" l="1"/>
  <c r="C21" i="2" s="1"/>
</calcChain>
</file>

<file path=xl/sharedStrings.xml><?xml version="1.0" encoding="utf-8"?>
<sst xmlns="http://schemas.openxmlformats.org/spreadsheetml/2006/main" count="93" uniqueCount="64">
  <si>
    <t>ลำดับ</t>
  </si>
  <si>
    <t>รายการ</t>
  </si>
  <si>
    <t>ราคา</t>
  </si>
  <si>
    <t>หน่วย</t>
  </si>
  <si>
    <t>งานเข็ม Micropile I18</t>
  </si>
  <si>
    <t>บาท/ต้น</t>
  </si>
  <si>
    <t>งานเข็ม Micropile I22</t>
  </si>
  <si>
    <t>งานเข็มเหล็ก</t>
  </si>
  <si>
    <t>งานเข็มหกเหลี่ยม</t>
  </si>
  <si>
    <t>งานขุด</t>
  </si>
  <si>
    <t>บาท/หลุม</t>
  </si>
  <si>
    <t>งานฟุตติ้ง</t>
  </si>
  <si>
    <t>บาท/หลุุม</t>
  </si>
  <si>
    <t>งานคาน</t>
  </si>
  <si>
    <t>บาท/ความยาวคานทั้งหมด</t>
  </si>
  <si>
    <t>งานเทพื้น</t>
  </si>
  <si>
    <t>บาท/ตร.ม.</t>
  </si>
  <si>
    <t>งานก่ออิฐ, ฉาบปูน, จับเซี้ยม</t>
  </si>
  <si>
    <t>งานปูกระเบื้อง</t>
  </si>
  <si>
    <t>500 - 800</t>
  </si>
  <si>
    <t>งานทราย</t>
  </si>
  <si>
    <t>6,500 - 9,000</t>
  </si>
  <si>
    <t>บาท</t>
  </si>
  <si>
    <t>งานฝ้า</t>
  </si>
  <si>
    <t>1,500 - 2,500</t>
  </si>
  <si>
    <t>งานปลั๊ก</t>
  </si>
  <si>
    <t>บาท/จุด</t>
  </si>
  <si>
    <t>งานสวิตซ์</t>
  </si>
  <si>
    <t>งานเดินไฟ</t>
  </si>
  <si>
    <t>500 - 1,500</t>
  </si>
  <si>
    <t>พื้นที่</t>
  </si>
  <si>
    <t>X</t>
  </si>
  <si>
    <t>ตารางเมตร</t>
  </si>
  <si>
    <t>จำนวน</t>
  </si>
  <si>
    <t>รวม</t>
  </si>
  <si>
    <t>งานฐานราก</t>
  </si>
  <si>
    <t>ความยาวคาน</t>
  </si>
  <si>
    <t>รวมทั้งหมด</t>
  </si>
  <si>
    <t>ราคารวม</t>
  </si>
  <si>
    <t>คานแนวนอน</t>
  </si>
  <si>
    <t>คานแนวตั้ง</t>
  </si>
  <si>
    <t xml:space="preserve"> </t>
  </si>
  <si>
    <t>ราคางานเทปรับพื้น + กระเบื้อง</t>
  </si>
  <si>
    <t>ก่ออิฐ</t>
  </si>
  <si>
    <t>ทราย</t>
  </si>
  <si>
    <t>งานพื้น</t>
  </si>
  <si>
    <t>งานกระเบื้อง</t>
  </si>
  <si>
    <t>8,500 - 11,000</t>
  </si>
  <si>
    <t>งานรื้อสกัดพื้น (งานเล็ก/รอบๆบ้าน)</t>
  </si>
  <si>
    <t>งานรื้อสกัดพื้น (งานกลาง)</t>
  </si>
  <si>
    <t>งานรื้อสกัดพื้น (งานใหญ่/โรงจอดรถ)</t>
  </si>
  <si>
    <t>11,000 - 14,000</t>
  </si>
  <si>
    <t>12,000 - 16,000</t>
  </si>
  <si>
    <t>≤ 10 ตร.ม. (พื้นออนกราวด์ หนา 15-20 ซม. / ใช้แย๊ก)</t>
  </si>
  <si>
    <t>(โรงจอดรถ / ใช้แบคโฮ)</t>
  </si>
  <si>
    <t>15-30 ตร.ม. (แย๊กหนัก หรือเริ่มใช้แบคโฮ)</t>
  </si>
  <si>
    <t>ราคากรณีมีผนังปูน</t>
  </si>
  <si>
    <t>งานเข็ม I18</t>
  </si>
  <si>
    <t>งานเข็มไมโครไพล์+ฟุตติ้ง</t>
  </si>
  <si>
    <t>(โรงจอดรถ)</t>
  </si>
  <si>
    <t>งานลงเข็มหกเหลี่ยม,เทพื้น,ปูกระเบื้อง</t>
  </si>
  <si>
    <t>เข็มห้ามห่างกันเกิน 4 เมตร</t>
  </si>
  <si>
    <t>คานห้ามยื่นเกิน 1.5 เมตร</t>
  </si>
  <si>
    <t>กฎ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</si>
</sst>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"/>
    <numFmt numFmtId="188" formatCode="_-* #,##0_-;\-* #,##0_-;_-* &quot;-&quot;_-;_-@"/>
    <numFmt numFmtId="189" formatCode="_-* #,##0_-;\-* #,##0_-;_-* &quot;-&quot;??_-;_-@_-"/>
  </numFmts>
  <fonts count="9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6"/>
      <color theme="1"/>
      <name val="Angsana New"/>
      <family val="1"/>
    </font>
    <font>
      <sz val="16"/>
      <color rgb="FF000000"/>
      <name val="Angsana New"/>
      <family val="1"/>
    </font>
    <font>
      <sz val="16"/>
      <name val="Angsana New"/>
      <family val="1"/>
    </font>
    <font>
      <b/>
      <sz val="16"/>
      <color theme="1"/>
      <name val="Angsana New"/>
      <family val="1"/>
    </font>
    <font>
      <b/>
      <sz val="16"/>
      <name val="Angsana New"/>
      <family val="1"/>
    </font>
    <font>
      <sz val="8"/>
      <name val="Arial"/>
      <scheme val="minor"/>
    </font>
    <font>
      <sz val="1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87" fontId="2" fillId="0" borderId="1" xfId="0" applyNumberFormat="1" applyFont="1" applyBorder="1" applyAlignment="1">
      <alignment horizontal="center" vertical="center"/>
    </xf>
    <xf numFmtId="187" fontId="2" fillId="2" borderId="1" xfId="0" applyNumberFormat="1" applyFont="1" applyFill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87" fontId="2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87" fontId="2" fillId="2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87" fontId="5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89" fontId="2" fillId="0" borderId="5" xfId="1" applyNumberFormat="1" applyFont="1" applyBorder="1" applyAlignment="1">
      <alignment horizontal="center" vertical="center"/>
    </xf>
    <xf numFmtId="189" fontId="4" fillId="0" borderId="6" xfId="1" applyNumberFormat="1" applyFont="1" applyBorder="1" applyAlignment="1">
      <alignment vertical="center"/>
    </xf>
    <xf numFmtId="187" fontId="2" fillId="0" borderId="12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89" fontId="2" fillId="0" borderId="8" xfId="1" applyNumberFormat="1" applyFont="1" applyBorder="1" applyAlignment="1">
      <alignment horizontal="center" vertical="center"/>
    </xf>
    <xf numFmtId="189" fontId="4" fillId="0" borderId="9" xfId="1" applyNumberFormat="1" applyFont="1" applyBorder="1" applyAlignment="1">
      <alignment vertical="center"/>
    </xf>
    <xf numFmtId="189" fontId="4" fillId="0" borderId="10" xfId="1" applyNumberFormat="1" applyFont="1" applyBorder="1" applyAlignment="1">
      <alignment vertical="center"/>
    </xf>
    <xf numFmtId="189" fontId="4" fillId="0" borderId="11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22"/>
  <sheetViews>
    <sheetView tabSelected="1" topLeftCell="A4" workbookViewId="0">
      <selection activeCell="G2" sqref="G2"/>
    </sheetView>
  </sheetViews>
  <sheetFormatPr defaultColWidth="12.6640625" defaultRowHeight="15" x14ac:dyDescent="0.4"/>
  <cols>
    <col min="1" max="1" width="12.6640625" style="21"/>
    <col min="2" max="2" width="5.77734375" style="21" bestFit="1" customWidth="1"/>
    <col min="3" max="3" width="31.77734375" style="21" bestFit="1" customWidth="1"/>
    <col min="4" max="4" width="13.5546875" style="21" bestFit="1" customWidth="1"/>
    <col min="5" max="5" width="22.5546875" style="21" bestFit="1" customWidth="1"/>
    <col min="6" max="6" width="45.5546875" style="21" bestFit="1" customWidth="1"/>
    <col min="7" max="7" width="28" style="21" customWidth="1"/>
    <col min="8" max="16384" width="12.6640625" style="21"/>
  </cols>
  <sheetData>
    <row r="2" spans="2:7" ht="23.4" x14ac:dyDescent="0.6">
      <c r="B2" s="20" t="s">
        <v>0</v>
      </c>
      <c r="C2" s="20" t="s">
        <v>1</v>
      </c>
      <c r="D2" s="20" t="s">
        <v>2</v>
      </c>
      <c r="E2" s="20" t="s">
        <v>3</v>
      </c>
      <c r="G2" s="50" t="s">
        <v>63</v>
      </c>
    </row>
    <row r="3" spans="2:7" ht="23.4" x14ac:dyDescent="0.6">
      <c r="B3" s="22">
        <v>1</v>
      </c>
      <c r="C3" s="23" t="s">
        <v>4</v>
      </c>
      <c r="D3" s="24">
        <v>11000</v>
      </c>
      <c r="E3" s="22" t="s">
        <v>5</v>
      </c>
      <c r="G3" s="50" t="s">
        <v>61</v>
      </c>
    </row>
    <row r="4" spans="2:7" ht="23.4" x14ac:dyDescent="0.6">
      <c r="B4" s="22">
        <v>2</v>
      </c>
      <c r="C4" s="23" t="s">
        <v>6</v>
      </c>
      <c r="D4" s="24">
        <v>12000</v>
      </c>
      <c r="E4" s="22" t="s">
        <v>5</v>
      </c>
      <c r="G4" s="50" t="s">
        <v>62</v>
      </c>
    </row>
    <row r="5" spans="2:7" ht="23.4" x14ac:dyDescent="0.6">
      <c r="B5" s="22">
        <v>3</v>
      </c>
      <c r="C5" s="23" t="s">
        <v>7</v>
      </c>
      <c r="D5" s="24">
        <v>30000</v>
      </c>
      <c r="E5" s="22" t="s">
        <v>5</v>
      </c>
    </row>
    <row r="6" spans="2:7" ht="23.4" x14ac:dyDescent="0.6">
      <c r="B6" s="22">
        <v>4</v>
      </c>
      <c r="C6" s="23" t="s">
        <v>8</v>
      </c>
      <c r="D6" s="24">
        <v>1200</v>
      </c>
      <c r="E6" s="22" t="s">
        <v>5</v>
      </c>
    </row>
    <row r="7" spans="2:7" ht="23.4" x14ac:dyDescent="0.6">
      <c r="B7" s="22">
        <v>5</v>
      </c>
      <c r="C7" s="23" t="s">
        <v>9</v>
      </c>
      <c r="D7" s="24">
        <v>2000</v>
      </c>
      <c r="E7" s="22" t="s">
        <v>10</v>
      </c>
    </row>
    <row r="8" spans="2:7" ht="23.4" x14ac:dyDescent="0.6">
      <c r="B8" s="22">
        <v>6</v>
      </c>
      <c r="C8" s="23" t="s">
        <v>11</v>
      </c>
      <c r="D8" s="24">
        <v>2500</v>
      </c>
      <c r="E8" s="22" t="s">
        <v>12</v>
      </c>
    </row>
    <row r="9" spans="2:7" ht="23.4" x14ac:dyDescent="0.6">
      <c r="B9" s="22">
        <v>7</v>
      </c>
      <c r="C9" s="23" t="s">
        <v>13</v>
      </c>
      <c r="D9" s="24">
        <v>2400</v>
      </c>
      <c r="E9" s="22" t="s">
        <v>14</v>
      </c>
    </row>
    <row r="10" spans="2:7" ht="23.4" x14ac:dyDescent="0.6">
      <c r="B10" s="22">
        <v>8</v>
      </c>
      <c r="C10" s="23" t="s">
        <v>15</v>
      </c>
      <c r="D10" s="24">
        <v>1500</v>
      </c>
      <c r="E10" s="22" t="s">
        <v>16</v>
      </c>
    </row>
    <row r="11" spans="2:7" ht="23.4" x14ac:dyDescent="0.6">
      <c r="B11" s="22">
        <v>9</v>
      </c>
      <c r="C11" s="23" t="s">
        <v>17</v>
      </c>
      <c r="D11" s="24">
        <v>1000</v>
      </c>
      <c r="E11" s="22" t="s">
        <v>16</v>
      </c>
    </row>
    <row r="12" spans="2:7" ht="23.4" x14ac:dyDescent="0.6">
      <c r="B12" s="22">
        <v>10</v>
      </c>
      <c r="C12" s="23" t="s">
        <v>18</v>
      </c>
      <c r="D12" s="24" t="s">
        <v>19</v>
      </c>
      <c r="E12" s="22" t="s">
        <v>16</v>
      </c>
    </row>
    <row r="13" spans="2:7" ht="23.4" x14ac:dyDescent="0.6">
      <c r="B13" s="22">
        <v>11</v>
      </c>
      <c r="C13" s="23" t="s">
        <v>20</v>
      </c>
      <c r="D13" s="22" t="s">
        <v>21</v>
      </c>
      <c r="E13" s="22" t="s">
        <v>22</v>
      </c>
    </row>
    <row r="14" spans="2:7" ht="23.4" x14ac:dyDescent="0.6">
      <c r="B14" s="22">
        <v>12</v>
      </c>
      <c r="C14" s="23" t="s">
        <v>23</v>
      </c>
      <c r="D14" s="24" t="s">
        <v>24</v>
      </c>
      <c r="E14" s="22" t="s">
        <v>16</v>
      </c>
    </row>
    <row r="15" spans="2:7" ht="23.4" x14ac:dyDescent="0.6">
      <c r="B15" s="22">
        <v>13</v>
      </c>
      <c r="C15" s="23" t="s">
        <v>25</v>
      </c>
      <c r="D15" s="24">
        <v>500</v>
      </c>
      <c r="E15" s="22" t="s">
        <v>26</v>
      </c>
    </row>
    <row r="16" spans="2:7" ht="23.4" x14ac:dyDescent="0.6">
      <c r="B16" s="22">
        <v>14</v>
      </c>
      <c r="C16" s="23" t="s">
        <v>27</v>
      </c>
      <c r="D16" s="22">
        <v>500</v>
      </c>
      <c r="E16" s="22" t="s">
        <v>26</v>
      </c>
    </row>
    <row r="17" spans="2:6" ht="23.4" x14ac:dyDescent="0.6">
      <c r="B17" s="22">
        <v>15</v>
      </c>
      <c r="C17" s="23" t="s">
        <v>28</v>
      </c>
      <c r="D17" s="24" t="s">
        <v>29</v>
      </c>
      <c r="E17" s="22" t="s">
        <v>16</v>
      </c>
    </row>
    <row r="18" spans="2:6" ht="23.4" x14ac:dyDescent="0.6">
      <c r="B18" s="22">
        <v>16</v>
      </c>
      <c r="C18" s="23" t="s">
        <v>48</v>
      </c>
      <c r="D18" s="24" t="s">
        <v>47</v>
      </c>
      <c r="E18" s="22" t="s">
        <v>22</v>
      </c>
      <c r="F18" s="25" t="s">
        <v>53</v>
      </c>
    </row>
    <row r="19" spans="2:6" ht="23.4" x14ac:dyDescent="0.6">
      <c r="B19" s="22">
        <v>17</v>
      </c>
      <c r="C19" s="23" t="s">
        <v>49</v>
      </c>
      <c r="D19" s="24" t="s">
        <v>51</v>
      </c>
      <c r="E19" s="22" t="s">
        <v>22</v>
      </c>
      <c r="F19" s="26" t="s">
        <v>55</v>
      </c>
    </row>
    <row r="20" spans="2:6" ht="23.4" x14ac:dyDescent="0.6">
      <c r="B20" s="22">
        <v>18</v>
      </c>
      <c r="C20" s="23" t="s">
        <v>50</v>
      </c>
      <c r="D20" s="24" t="s">
        <v>52</v>
      </c>
      <c r="E20" s="22" t="s">
        <v>22</v>
      </c>
      <c r="F20" s="25" t="s">
        <v>54</v>
      </c>
    </row>
    <row r="21" spans="2:6" ht="23.4" x14ac:dyDescent="0.6">
      <c r="B21" s="22">
        <v>19</v>
      </c>
      <c r="C21" s="23" t="s">
        <v>58</v>
      </c>
      <c r="D21" s="24">
        <v>15000</v>
      </c>
      <c r="E21" s="22" t="s">
        <v>5</v>
      </c>
      <c r="F21" s="25" t="s">
        <v>59</v>
      </c>
    </row>
    <row r="22" spans="2:6" ht="23.4" x14ac:dyDescent="0.6">
      <c r="B22" s="22">
        <v>20</v>
      </c>
      <c r="C22" s="23" t="s">
        <v>60</v>
      </c>
      <c r="D22" s="24">
        <v>3500</v>
      </c>
      <c r="E22" s="22" t="s">
        <v>16</v>
      </c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1"/>
  <sheetViews>
    <sheetView topLeftCell="A9" workbookViewId="0">
      <selection activeCell="B22" sqref="B22:B24"/>
    </sheetView>
  </sheetViews>
  <sheetFormatPr defaultColWidth="12.6640625" defaultRowHeight="23.4" x14ac:dyDescent="0.25"/>
  <cols>
    <col min="1" max="1" width="5.77734375" style="8" bestFit="1" customWidth="1"/>
    <col min="2" max="2" width="16.33203125" style="8" bestFit="1" customWidth="1"/>
    <col min="3" max="3" width="12.109375" style="8" bestFit="1" customWidth="1"/>
    <col min="4" max="5" width="7.77734375" style="8" bestFit="1" customWidth="1"/>
    <col min="6" max="6" width="26.33203125" style="8" bestFit="1" customWidth="1"/>
    <col min="7" max="7" width="6.77734375" style="8" bestFit="1" customWidth="1"/>
    <col min="8" max="8" width="9.44140625" style="8" bestFit="1" customWidth="1"/>
    <col min="9" max="16384" width="12.6640625" style="8"/>
  </cols>
  <sheetData>
    <row r="1" spans="1:8" s="1" customFormat="1" x14ac:dyDescent="0.25"/>
    <row r="2" spans="1:8" s="1" customFormat="1" x14ac:dyDescent="0.25">
      <c r="A2" s="31" t="s">
        <v>30</v>
      </c>
      <c r="B2" s="32"/>
      <c r="C2" s="33"/>
      <c r="D2" s="2"/>
      <c r="E2" s="2"/>
      <c r="F2" s="2"/>
      <c r="G2" s="2"/>
      <c r="H2" s="2"/>
    </row>
    <row r="3" spans="1:8" s="1" customFormat="1" x14ac:dyDescent="0.25">
      <c r="A3" s="3">
        <v>1.8</v>
      </c>
      <c r="B3" s="4" t="s">
        <v>31</v>
      </c>
      <c r="C3" s="3">
        <v>3.5</v>
      </c>
      <c r="D3" s="2"/>
      <c r="E3" s="2"/>
      <c r="F3" s="2"/>
      <c r="G3" s="2"/>
      <c r="H3" s="2"/>
    </row>
    <row r="4" spans="1:8" s="1" customFormat="1" x14ac:dyDescent="0.25">
      <c r="A4" s="34">
        <f>A3*C3</f>
        <v>6.3</v>
      </c>
      <c r="B4" s="35"/>
      <c r="C4" s="36"/>
      <c r="D4" s="2"/>
      <c r="E4" s="2"/>
      <c r="F4" s="2"/>
      <c r="G4" s="2"/>
      <c r="H4" s="2"/>
    </row>
    <row r="5" spans="1:8" s="1" customFormat="1" x14ac:dyDescent="0.25">
      <c r="A5" s="37" t="s">
        <v>32</v>
      </c>
      <c r="B5" s="35"/>
      <c r="C5" s="36"/>
      <c r="D5" s="2"/>
      <c r="E5" s="2"/>
      <c r="F5" s="2"/>
      <c r="G5" s="2"/>
      <c r="H5" s="2"/>
    </row>
    <row r="6" spans="1:8" x14ac:dyDescent="0.25">
      <c r="A6" s="5" t="s">
        <v>0</v>
      </c>
      <c r="B6" s="5" t="s">
        <v>1</v>
      </c>
      <c r="C6" s="5" t="s">
        <v>33</v>
      </c>
      <c r="D6" s="5" t="s">
        <v>2</v>
      </c>
      <c r="E6" s="6" t="s">
        <v>34</v>
      </c>
      <c r="F6" s="7"/>
      <c r="G6" s="7"/>
      <c r="H6" s="7"/>
    </row>
    <row r="7" spans="1:8" x14ac:dyDescent="0.25">
      <c r="A7" s="4">
        <v>1</v>
      </c>
      <c r="B7" s="9" t="s">
        <v>57</v>
      </c>
      <c r="C7" s="3">
        <v>4</v>
      </c>
      <c r="D7" s="10">
        <f>ราคาอ้างอิง!D3</f>
        <v>11000</v>
      </c>
      <c r="E7" s="11">
        <f t="shared" ref="E7:E9" si="0">C7*D7</f>
        <v>44000</v>
      </c>
      <c r="F7" s="7"/>
      <c r="G7" s="7"/>
      <c r="H7" s="7"/>
    </row>
    <row r="8" spans="1:8" x14ac:dyDescent="0.25">
      <c r="A8" s="4">
        <v>2</v>
      </c>
      <c r="B8" s="9" t="s">
        <v>9</v>
      </c>
      <c r="C8" s="4">
        <f>C7</f>
        <v>4</v>
      </c>
      <c r="D8" s="10">
        <f>ราคาอ้างอิง!D7</f>
        <v>2000</v>
      </c>
      <c r="E8" s="11">
        <f t="shared" si="0"/>
        <v>8000</v>
      </c>
      <c r="F8" s="7"/>
      <c r="G8" s="7"/>
      <c r="H8" s="7"/>
    </row>
    <row r="9" spans="1:8" x14ac:dyDescent="0.25">
      <c r="A9" s="4">
        <v>3</v>
      </c>
      <c r="B9" s="9" t="s">
        <v>35</v>
      </c>
      <c r="C9" s="4">
        <f>C7</f>
        <v>4</v>
      </c>
      <c r="D9" s="12">
        <f>ราคาอ้างอิง!D8</f>
        <v>2500</v>
      </c>
      <c r="E9" s="11">
        <f t="shared" si="0"/>
        <v>10000</v>
      </c>
      <c r="F9" s="7"/>
      <c r="G9" s="7"/>
      <c r="H9" s="7"/>
    </row>
    <row r="10" spans="1:8" x14ac:dyDescent="0.25">
      <c r="A10" s="7"/>
      <c r="B10" s="13"/>
      <c r="C10" s="7"/>
      <c r="D10" s="7"/>
      <c r="E10" s="7"/>
      <c r="F10" s="7"/>
      <c r="G10" s="7"/>
      <c r="H10" s="7"/>
    </row>
    <row r="11" spans="1:8" x14ac:dyDescent="0.25">
      <c r="A11" s="5" t="s">
        <v>0</v>
      </c>
      <c r="B11" s="14" t="s">
        <v>1</v>
      </c>
      <c r="C11" s="5" t="s">
        <v>36</v>
      </c>
      <c r="D11" s="5" t="s">
        <v>33</v>
      </c>
      <c r="E11" s="5" t="s">
        <v>34</v>
      </c>
      <c r="F11" s="5" t="s">
        <v>37</v>
      </c>
      <c r="G11" s="5" t="s">
        <v>2</v>
      </c>
      <c r="H11" s="6" t="s">
        <v>38</v>
      </c>
    </row>
    <row r="12" spans="1:8" x14ac:dyDescent="0.25">
      <c r="A12" s="4">
        <v>4</v>
      </c>
      <c r="B12" s="9" t="s">
        <v>39</v>
      </c>
      <c r="C12" s="4">
        <f>C3</f>
        <v>3.5</v>
      </c>
      <c r="D12" s="3">
        <v>2</v>
      </c>
      <c r="E12" s="4">
        <f t="shared" ref="E12:E13" si="1">C12*D12</f>
        <v>7</v>
      </c>
      <c r="F12" s="38">
        <f>E12+E13</f>
        <v>10.6</v>
      </c>
      <c r="G12" s="39">
        <f>ราคาอ้างอิง!D9</f>
        <v>2400</v>
      </c>
      <c r="H12" s="27">
        <f>F12*G12</f>
        <v>25440</v>
      </c>
    </row>
    <row r="13" spans="1:8" x14ac:dyDescent="0.25">
      <c r="A13" s="4">
        <v>5</v>
      </c>
      <c r="B13" s="9" t="s">
        <v>40</v>
      </c>
      <c r="C13" s="4">
        <f>A3</f>
        <v>1.8</v>
      </c>
      <c r="D13" s="3">
        <v>2</v>
      </c>
      <c r="E13" s="4">
        <f t="shared" si="1"/>
        <v>3.6</v>
      </c>
      <c r="F13" s="28"/>
      <c r="G13" s="40"/>
      <c r="H13" s="28"/>
    </row>
    <row r="14" spans="1:8" x14ac:dyDescent="0.25">
      <c r="A14" s="7"/>
      <c r="B14" s="13"/>
      <c r="C14" s="7"/>
      <c r="D14" s="7" t="s">
        <v>41</v>
      </c>
      <c r="E14" s="7"/>
      <c r="F14" s="7"/>
      <c r="G14" s="7"/>
      <c r="H14" s="7"/>
    </row>
    <row r="15" spans="1:8" x14ac:dyDescent="0.25">
      <c r="A15" s="5" t="s">
        <v>0</v>
      </c>
      <c r="B15" s="14" t="s">
        <v>1</v>
      </c>
      <c r="C15" s="5" t="s">
        <v>33</v>
      </c>
      <c r="D15" s="5" t="s">
        <v>2</v>
      </c>
      <c r="E15" s="6" t="s">
        <v>34</v>
      </c>
      <c r="F15" s="5" t="s">
        <v>42</v>
      </c>
      <c r="G15" s="29" t="s">
        <v>43</v>
      </c>
      <c r="H15" s="30"/>
    </row>
    <row r="16" spans="1:8" x14ac:dyDescent="0.25">
      <c r="A16" s="4">
        <v>6</v>
      </c>
      <c r="B16" s="9" t="s">
        <v>44</v>
      </c>
      <c r="C16" s="15">
        <f>A4</f>
        <v>6.3</v>
      </c>
      <c r="D16" s="10">
        <v>7000</v>
      </c>
      <c r="E16" s="11">
        <f>D16</f>
        <v>7000</v>
      </c>
      <c r="F16" s="42">
        <f>E18+E17+E16</f>
        <v>21490</v>
      </c>
      <c r="G16" s="18">
        <v>1000</v>
      </c>
      <c r="H16" s="4" t="s">
        <v>16</v>
      </c>
    </row>
    <row r="17" spans="1:8" x14ac:dyDescent="0.25">
      <c r="A17" s="4">
        <v>7</v>
      </c>
      <c r="B17" s="9" t="s">
        <v>45</v>
      </c>
      <c r="C17" s="15">
        <f>A4</f>
        <v>6.3</v>
      </c>
      <c r="D17" s="18">
        <f>ราคาอ้างอิง!D10</f>
        <v>1500</v>
      </c>
      <c r="E17" s="11">
        <f t="shared" ref="E17:E18" si="2">C17*D17</f>
        <v>9450</v>
      </c>
      <c r="F17" s="43"/>
      <c r="G17" s="44">
        <f>A4*G16</f>
        <v>6300</v>
      </c>
      <c r="H17" s="45"/>
    </row>
    <row r="18" spans="1:8" x14ac:dyDescent="0.25">
      <c r="A18" s="4">
        <v>8</v>
      </c>
      <c r="B18" s="9" t="s">
        <v>46</v>
      </c>
      <c r="C18" s="15">
        <f>A4</f>
        <v>6.3</v>
      </c>
      <c r="D18" s="4">
        <v>800</v>
      </c>
      <c r="E18" s="11">
        <f t="shared" si="2"/>
        <v>5040</v>
      </c>
      <c r="F18" s="28"/>
      <c r="G18" s="46"/>
      <c r="H18" s="47"/>
    </row>
    <row r="19" spans="1:8" x14ac:dyDescent="0.25">
      <c r="A19" s="7"/>
      <c r="B19" s="7"/>
      <c r="C19" s="7"/>
      <c r="D19" s="7"/>
      <c r="E19" s="7"/>
      <c r="F19" s="48"/>
      <c r="G19" s="49"/>
      <c r="H19" s="7"/>
    </row>
    <row r="20" spans="1:8" x14ac:dyDescent="0.25">
      <c r="B20" s="16" t="s">
        <v>34</v>
      </c>
      <c r="C20" s="41">
        <f>(E7+E8+E9+H12+E16+E17+E18)</f>
        <v>108930</v>
      </c>
      <c r="D20" s="41"/>
      <c r="E20" s="41"/>
      <c r="F20" s="19"/>
      <c r="G20" s="7"/>
      <c r="H20" s="7"/>
    </row>
    <row r="21" spans="1:8" x14ac:dyDescent="0.25">
      <c r="B21" s="17" t="s">
        <v>56</v>
      </c>
      <c r="C21" s="41">
        <f>C20+G17</f>
        <v>115230</v>
      </c>
      <c r="D21" s="41"/>
      <c r="E21" s="41"/>
      <c r="F21" s="7"/>
      <c r="G21" s="7"/>
      <c r="H21" s="7"/>
    </row>
  </sheetData>
  <mergeCells count="12">
    <mergeCell ref="C20:E20"/>
    <mergeCell ref="C21:E21"/>
    <mergeCell ref="F16:F18"/>
    <mergeCell ref="G17:H18"/>
    <mergeCell ref="F19:G19"/>
    <mergeCell ref="H12:H13"/>
    <mergeCell ref="G15:H15"/>
    <mergeCell ref="A2:C2"/>
    <mergeCell ref="A4:C4"/>
    <mergeCell ref="A5:C5"/>
    <mergeCell ref="F12:F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ราคาอ้างอิง</vt:lpstr>
      <vt:lpstr>ตัวอย่างการคิดราคา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Aluminium</dc:creator>
  <cp:lastModifiedBy>JR Aluminium</cp:lastModifiedBy>
  <dcterms:created xsi:type="dcterms:W3CDTF">2026-04-20T04:30:54Z</dcterms:created>
  <dcterms:modified xsi:type="dcterms:W3CDTF">2026-08-06T02:30:11Z</dcterms:modified>
</cp:coreProperties>
</file>