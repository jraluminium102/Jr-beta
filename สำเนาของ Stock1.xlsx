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ับเข้า-เบิก" sheetId="1" r:id="rId5"/>
    <sheet state="visible" name="มือจับ" sheetId="2" r:id="rId6"/>
    <sheet state="visible" name="อุปกรณ์ " sheetId="3" r:id="rId7"/>
    <sheet state="visible" name="ยาง สักหลาด" sheetId="4" r:id="rId8"/>
    <sheet state="visible" name="น็อต" sheetId="5" r:id="rId9"/>
    <sheet state="visible" name="เครื่องมือช่างและอื่น ๆ" sheetId="6" r:id="rId10"/>
    <sheet state="visible" name="อลูมิเนียม" sheetId="7" r:id="rId11"/>
    <sheet state="visible" name="แผ่นหลังคาและผนัง" sheetId="8" r:id="rId12"/>
    <sheet state="visible" name="เช็ครายการเบิกต่องาน" sheetId="9" r:id="rId13"/>
    <sheet state="visible" name="สรุปรายการเบิกต่อเดือน" sheetId="10" r:id="rId14"/>
    <sheet state="hidden" name="รวมรายการสินค้า" sheetId="11" r:id="rId15"/>
  </sheets>
  <definedNames/>
  <calcPr/>
  <pivotCaches>
    <pivotCache cacheId="0" r:id="rId16"/>
  </pivotCaches>
</workbook>
</file>

<file path=xl/sharedStrings.xml><?xml version="1.0" encoding="utf-8"?>
<sst xmlns="http://schemas.openxmlformats.org/spreadsheetml/2006/main" count="10567" uniqueCount="3270">
  <si>
    <t>ลำดับเดือน</t>
  </si>
  <si>
    <t>เดือน</t>
  </si>
  <si>
    <t>วันที่</t>
  </si>
  <si>
    <t>ผู้เบิก</t>
  </si>
  <si>
    <t>งาน (ชื่อลูกค้า)</t>
  </si>
  <si>
    <t>หมวดหมู่</t>
  </si>
  <si>
    <t>รายการสินค้า</t>
  </si>
  <si>
    <t>จำนวน</t>
  </si>
  <si>
    <t>Status</t>
  </si>
  <si>
    <t>ราคารวม</t>
  </si>
  <si>
    <t>Remark</t>
  </si>
  <si>
    <t>อุปกรณ์</t>
  </si>
  <si>
    <t>STAINLESS STEEL BAR-สแตนเลส-แป๊ปสแตนเลสกลม</t>
  </si>
  <si>
    <t>รับเข้า</t>
  </si>
  <si>
    <t xml:space="preserve">STAINLESS STEEL PIPE -สแตนเลส-แป๊ปสแตนเลสเหลี่ยม </t>
  </si>
  <si>
    <t>บานพับ Shower VVP_SW303-สแตนเลส</t>
  </si>
  <si>
    <t>บานพับ Shower VVP_SW3049 (90 ํ)-สแตนเลส</t>
  </si>
  <si>
    <t>บานพับ Shower VVP_SW3041 (135 ํ)-สแตนเลส</t>
  </si>
  <si>
    <t>บานพับ Shower VVP_SW304 (180 ํ)-สแตนเลส</t>
  </si>
  <si>
    <t>ตัวหนีบกระจก shower VVP_GC506-สแตนเลส</t>
  </si>
  <si>
    <t>ตัวยึดร้อยผ่านแป๊ปสแตนเลสกลม VVP_SB900-สแตนเลส</t>
  </si>
  <si>
    <t>ตัวยึดกระจกห้องน้ำกันแกว่งกลม VVP_SB902-สแตนเลส</t>
  </si>
  <si>
    <t xml:space="preserve">ตัวยึดร้อยผ่านแป๊ปสแตนเลสกลม VVP_SBF906-สแตนเลส-ข้องอปรับได้ </t>
  </si>
  <si>
    <t>ตัวยึดร้อยผ่านแป๊ปสแตนเลสเหลี่ยม VVP_SBQ800-สแตนเลส</t>
  </si>
  <si>
    <t>ตัวยึดกระจกห้องน้ำกันแกว่งเหลี่ยม VVP_SBQ802-สแตนเลส</t>
  </si>
  <si>
    <t>ยางกันชนกลมเล็ก-ใส</t>
  </si>
  <si>
    <t>ซิลิโคน 1601-ลายไม้มะฮอกนี</t>
  </si>
  <si>
    <t>ซิลิโคน 1602-ลายไม้สักทอง</t>
  </si>
  <si>
    <t>ซิลิโคน 1301</t>
  </si>
  <si>
    <t>เทปใส่ม้วนใหญ่</t>
  </si>
  <si>
    <t>เทปขุ่น</t>
  </si>
  <si>
    <t>เทปพันอลูมิเนียม</t>
  </si>
  <si>
    <t>แร็ปผิวเรียบ-สีทอง</t>
  </si>
  <si>
    <t>แร็ปผิวซาฮาร่า</t>
  </si>
  <si>
    <t>เทปใส่ม้วนเล็ก</t>
  </si>
  <si>
    <t>เทปพันสายไฟสีดำ</t>
  </si>
  <si>
    <t>เทปกาว 3M กันจิ้งจก</t>
  </si>
  <si>
    <t>โพเทคส์พลาสติก</t>
  </si>
  <si>
    <t>แร็ป-สีฟ้า</t>
  </si>
  <si>
    <t>สเปรย์ 212-ดำด้าน</t>
  </si>
  <si>
    <t>สเปรย์ 210-ดำเงา</t>
  </si>
  <si>
    <t>สเปรย์ 1002825-สีขาวซาฮาร่า</t>
  </si>
  <si>
    <t>สเปรย์ 1002831-สีเทาซาฮาร่า</t>
  </si>
  <si>
    <t>สเปรย์ 132-สีชา</t>
  </si>
  <si>
    <t>สเปรย์-สีชาว</t>
  </si>
  <si>
    <t>ล้อฮาพาเล่ 100/A</t>
  </si>
  <si>
    <t>ISONAX</t>
  </si>
  <si>
    <t>เครื่องมือช่าง</t>
  </si>
  <si>
    <t>สว่านแบต INGCO</t>
  </si>
  <si>
    <t>สว่านสายไฟฟ้า MAKITA</t>
  </si>
  <si>
    <t>สว่านโรตารี่ สว่านเจาะปูน 3 ระบบ</t>
  </si>
  <si>
    <t>ชุดเครื่องเจียรไร้สาย INGCO</t>
  </si>
  <si>
    <t>ฐานชาร์จแบต + แบตก้อน</t>
  </si>
  <si>
    <t>เร้าเตอร์ INGCO</t>
  </si>
  <si>
    <t>เครื่องเจียร 7"  MAKITA</t>
  </si>
  <si>
    <t>เครื่องเป่าลม</t>
  </si>
  <si>
    <t>เครื่องเป่าลมร้อน</t>
  </si>
  <si>
    <t>เครื่องเจาะผนัง 5 นิ้ว</t>
  </si>
  <si>
    <t>เครืองตัดไม้ MAKITA รุ่น DTM51Z</t>
  </si>
  <si>
    <t xml:space="preserve">เลื่อยโซ่ไฟฟ้า </t>
  </si>
  <si>
    <t>เครื่องจิ๊กซอว์ไฟฟ้า</t>
  </si>
  <si>
    <t>เลื่อยวงเดือน MAKITA  7 นิ้ว</t>
  </si>
  <si>
    <t>เครื่องสกัดคอนกรีต MAKITA</t>
  </si>
  <si>
    <t>ตู้เชื่อมอาร์กอน</t>
  </si>
  <si>
    <t>เครื่องดูดฝุ่น เล็ก</t>
  </si>
  <si>
    <t>คีมย้ำรีเวท</t>
  </si>
  <si>
    <t>เครื่องวัดระดับ เลเซอร์ 5 เส้น</t>
  </si>
  <si>
    <t>เครื่องเจียร 4"  MAKITA</t>
  </si>
  <si>
    <t>เครื่องเจียร ไร้สาย แบตเตอรี่ MAKITA</t>
  </si>
  <si>
    <t>ปุ่มเสริมก้านมิเนียมบานเปิด 6.5 มม.</t>
  </si>
  <si>
    <t>ปืนยิงกาว PU</t>
  </si>
  <si>
    <t>ปืนยิงซิลิโคน</t>
  </si>
  <si>
    <t>ปืนยิงตะปูแม็กลมแม็กลมขาเดียว</t>
  </si>
  <si>
    <t xml:space="preserve"> ไม้รีดน้ํากระจก </t>
  </si>
  <si>
    <t>ก้านเหล็กปั่นเหล็ก</t>
  </si>
  <si>
    <t>ลูกกลิ้งทาสี  7 นิ้ว</t>
  </si>
  <si>
    <t>Tool Room ตัวปรับความสูงของกระเบื้อง</t>
  </si>
  <si>
    <t>ตลับกุญแจ มัลติพ้อย HD 851 L30</t>
  </si>
  <si>
    <t>ตลับกุญแจ Colt</t>
  </si>
  <si>
    <t>ตลับกุญแจ HD 840 L30</t>
  </si>
  <si>
    <t>ไส้กุญแจ Colt-สแตนเลส-35x35</t>
  </si>
  <si>
    <t>ไส้กุญแจ Colt-สแตนเลส-40x40</t>
  </si>
  <si>
    <t>มุมสแตนเลส</t>
  </si>
  <si>
    <t>เข้ามุมจีน</t>
  </si>
  <si>
    <t>น็อต</t>
  </si>
  <si>
    <t>พุกเหล็ก-46237</t>
  </si>
  <si>
    <t>พุกเหล็ก-46113</t>
  </si>
  <si>
    <t>พุกตะปู M10-</t>
  </si>
  <si>
    <t>พุกเคมี M8-</t>
  </si>
  <si>
    <t>พุกตะกั่ว-46113</t>
  </si>
  <si>
    <t>2</t>
  </si>
  <si>
    <t>รูปแบบ</t>
  </si>
  <si>
    <t>สี</t>
  </si>
  <si>
    <t>ราคา</t>
  </si>
  <si>
    <t>รูป</t>
  </si>
  <si>
    <t>ยอดคงเหลือ</t>
  </si>
  <si>
    <t>ยอดเบิกรวม</t>
  </si>
  <si>
    <t>มือจับประตูบานเลื่อนแขวน ทรงโค้ง HOYA</t>
  </si>
  <si>
    <t>PS-102</t>
  </si>
  <si>
    <t>สแตนเลส</t>
  </si>
  <si>
    <t>messageImage_1771731392413.jpg</t>
  </si>
  <si>
    <t>มือจับฝังบานเลื่อน  Hyda  416</t>
  </si>
  <si>
    <t>Dummy</t>
  </si>
  <si>
    <t>ดำ</t>
  </si>
  <si>
    <t>https://drive.google.com/file/d/1QDHWO3nr-M5wgnA4elVaJ-eQHqgBD8xw/view?usp=drive_link</t>
  </si>
  <si>
    <t>อบขาว</t>
  </si>
  <si>
    <t>Lock</t>
  </si>
  <si>
    <t>มือจับฝังบานเลื่อน  CMECH</t>
  </si>
  <si>
    <t>Fixed Recessed Handle</t>
  </si>
  <si>
    <t>https://drive.google.com/file/d/16OYjsugZURUYoNJGtGk8Mk_eKUm30fDo/view?usp=drive_link</t>
  </si>
  <si>
    <t>https://drive.google.com/file/d/1YPfwbIOTDgAt2T8rjyvCA9bUXGQXI_pW/view?usp=drive_link</t>
  </si>
  <si>
    <t>Multi-Point Lock Recessed Handle</t>
  </si>
  <si>
    <t>https://drive.google.com/file/d/1oQ1PFR9FJClH1URFkype7gtG_tI5OMXD/view?usp=drive_link</t>
  </si>
  <si>
    <t>Multi-Point Lock Recessed  Interior with Key</t>
  </si>
  <si>
    <t>https://drive.google.com/file/d/1A7onapIUsvEaCJjVirEGUCIuIepa73ij/view?usp=drive_link</t>
  </si>
  <si>
    <t>มือจับบานเลื่อน  CMECH</t>
  </si>
  <si>
    <t>Metro Handle_ Dummy</t>
  </si>
  <si>
    <t>https://drive.google.com/file/d/13KMHBhhROiy8TA_iLOEILmrZxELdaCSQ/view?usp=drive_link</t>
  </si>
  <si>
    <t>https://drive.google.com/file/d/18Iq4OGDLz5gZ3-hGwpCsdZqg0bOmxS23/view?usp=drive_link</t>
  </si>
  <si>
    <t>Metro Handle_ Lock</t>
  </si>
  <si>
    <t>https://drive.google.com/file/d/13f7V4OIqMVCzICU1_NO4UOznEYP_Au_Y/view?usp=drive_link</t>
  </si>
  <si>
    <t>https://drive.google.com/file/d/1f0h7OidDINymRitAFzORsSNF9d3BuENm/view?usp=drive_link</t>
  </si>
  <si>
    <t>Metro Handle_  Key</t>
  </si>
  <si>
    <t>https://drive.google.com/file/d/1WkiohR4loTupJciiryQmi1WLx7PcHB72/view?usp=drive_link</t>
  </si>
  <si>
    <t>https://drive.google.com/file/d/1jc4wRxSCCI3VYbsDbHUPNaAewQxV6Vvk/view?usp=drive_link</t>
  </si>
  <si>
    <t>มือจับฝังบานเลื่อน Align</t>
  </si>
  <si>
    <t>https://drive.google.com/file/d/1kg6yOPHAenZTMm9hsKczgUkQY8usnH0t/view?usp=drive_link</t>
  </si>
  <si>
    <t>Key</t>
  </si>
  <si>
    <t>มือจับเจาะกระจกประตูบานเลื่อน</t>
  </si>
  <si>
    <t>แบบกลม</t>
  </si>
  <si>
    <t>https://drive.google.com/file/d/1y7_AnPbBPYKzVf3ScIIXjt380Chk_wUp/view?usp=drive_link</t>
  </si>
  <si>
    <t>มือจับสแตนเลส VVP_HD110</t>
  </si>
  <si>
    <t>https://drive.google.com/file/d/13y0rDCvWuRt2PTqZjP3nMyIKlcyQEdBy/view?usp=drive_link</t>
  </si>
  <si>
    <t>มือจับสแตนเลส VVP_HD189</t>
  </si>
  <si>
    <t>แบบเหลี่ยม</t>
  </si>
  <si>
    <t>https://drive.google.com/file/d/1sdi0Ew3n3YbSGzV2qemdgmTNOIdlvqrp/view?usp=drive_link</t>
  </si>
  <si>
    <t>มือจับสแตนเลส VVP_HD190</t>
  </si>
  <si>
    <t>https://drive.google.com/file/d/10FtMLq5zrfga4XdXaIa6Xpmp1AsRcX0y/view?usp=drive_link</t>
  </si>
  <si>
    <t>มือจับบานกระทุ้ง CZ-HD-004</t>
  </si>
  <si>
    <t>CENZA_ ( L )</t>
  </si>
  <si>
    <t>https://drive.google.com/file/d/1yqTzaZthUyMyVVJ4Hr4kGUZudI-4oSfn/view?usp=drive_link</t>
  </si>
  <si>
    <t>CENZA_ ( R )</t>
  </si>
  <si>
    <t>มือจับบานกระทุ้งหลบมุ้ง</t>
  </si>
  <si>
    <t>CMECH_ ( L )</t>
  </si>
  <si>
    <t>https://drive.google.com/file/d/11sT_smtcC_H80DHesHnGiRfzAbNQbVTe/view?usp=drive_link</t>
  </si>
  <si>
    <t>CMECH_ ( R )</t>
  </si>
  <si>
    <t>https://drive.google.com/file/d/1AdA7WF_sgAFIMtOFdU8oHYru4ATP1V5t/view?usp=drive_link</t>
  </si>
  <si>
    <t>มือจับบานเปิด KINGBO</t>
  </si>
  <si>
    <t>https://drive.google.com/file/d/1CzNNZtaQSx58dLHn-v4pek6syK3CjfRh/view?usp=drive_link</t>
  </si>
  <si>
    <t>มือจับหลบมุ้ง KINGBO</t>
  </si>
  <si>
    <t>FH3016 _( L )</t>
  </si>
  <si>
    <t>https://drive.google.com/file/d/1UfA5qP-6SVkGhRa3Tp7xI6eoFKUfCPCB/view?usp=drive_link</t>
  </si>
  <si>
    <t>FH3016 _ ( R )</t>
  </si>
  <si>
    <t>มือจับฝัง Align</t>
  </si>
  <si>
    <t>กุญแจ</t>
  </si>
  <si>
    <t>https://drive.google.com/file/d/14xn-NCGqq5FDwmKcrNFIH3Y0jgKMHVLR/view?usp=drive_link</t>
  </si>
  <si>
    <t>ล็อค</t>
  </si>
  <si>
    <t>https://drive.google.com/file/d/17a-BLx9DUbFFvlM65kF9uzsI_cF4hjOa/view?usp=drive_link</t>
  </si>
  <si>
    <t>ดัมมี่</t>
  </si>
  <si>
    <t>https://drive.google.com/file/d/1jkF6sE7gE2qin-TU4c9O6fDTcLPF-VPF/view?usp=drive_link</t>
  </si>
  <si>
    <t>https://drive.google.com/file/d/1kVoAE29b5HZ47jPP3tp3R7cVC2DaPHhF/view?usp=drive_link</t>
  </si>
  <si>
    <t>https://drive.google.com/file/d/1--kH-jLxk-mvlxO1VbJG0j2wCNCZ8rJV/view?usp=drive_link</t>
  </si>
  <si>
    <t>https://drive.google.com/file/d/12BkwuHiy8V7tjRcnag-IqhGsEdNncckI/view?usp=drive_link</t>
  </si>
  <si>
    <t>มือจับ Husza</t>
  </si>
  <si>
    <t>https://drive.google.com/file/d/1Mrx2fZQtLIdGoZ6DayomFj2MIcnyJikb/view?usp=drive_link</t>
  </si>
  <si>
    <t>https://drive.google.com/file/d/1PTZJOVslhamOOtBX5JHGOCEzeioveytr/view?usp=drive_link</t>
  </si>
  <si>
    <t>เรียบมีรู</t>
  </si>
  <si>
    <t>https://drive.google.com/file/d/11Yy2PiRWZda70M1rEREhVQ8BnRKRBYET/view</t>
  </si>
  <si>
    <t>เรียบไม่มีรู</t>
  </si>
  <si>
    <t>https://drive.google.com/file/d/11Yy2PiRWZda70M1rEREhVQ8BnRKRBYET/view?usp=drive_link</t>
  </si>
  <si>
    <t>https://drive.google.com/file/d/1Odj1OSzJ7p6vgfzoLuxVtbJj8zYkR4Pq/view?usp=drive_link</t>
  </si>
  <si>
    <t>https://drive.google.com/file/d/1maaadTOOLtD5bbKeq0beew-7wWmV4ODi/view?usp=drive_link</t>
  </si>
  <si>
    <r>
      <rPr>
        <rFont val="Sarabun"/>
        <color rgb="FF1155CC"/>
        <u/>
      </rPr>
      <t>https://drive.google.com/file/d/1glMO0vi_zRsn-CLOFCaAFu2CPhkEwx3R/view?usp=drive_link</t>
    </r>
    <r>
      <rPr>
        <rFont val="Sarabun"/>
      </rPr>
      <t>k</t>
    </r>
  </si>
  <si>
    <t>https://drive.google.com/file/d/1glMO0vi_zRsn-CLOFCaAFu2CPhkEwx3R/view?usp=drive_link</t>
  </si>
  <si>
    <t xml:space="preserve">มือจับ เซ่นซ่า  </t>
  </si>
  <si>
    <t>ชุดกุญแจ</t>
  </si>
  <si>
    <t>https://drive.google.com/file/d/1cZ3L2RTFexXme3zc8p91ZiB8pTbu70U4/view?usp=drive_link</t>
  </si>
  <si>
    <t>https://drive.google.com/file/d/1mok2b_Q3F_wwabgEPA6O0CeL-qOEW8sm/view?usp=drive_link</t>
  </si>
  <si>
    <t>https://drive.google.com/file/d/1mgynXsruzMrwSOR-xlauw4x64o5PGai6/view?usp=drive_link</t>
  </si>
  <si>
    <t>https://drive.google.com/file/d/10TXNSGcXWCswtpM1itkiCRE_BSoOPzeX/view?usp=drive_link</t>
  </si>
  <si>
    <t>https://drive.google.com/file/d/1dl3sVsXVAegVc1O1oe3UYNSjR58Q9fkw/view?usp=drive_link</t>
  </si>
  <si>
    <t>https://drive.google.com/file/d/1C44RcX3wdqkoea4hkh78ROQnGDruz_XC/view?usp=drive_link</t>
  </si>
  <si>
    <t xml:space="preserve">มือจับหลบมุ้ง </t>
  </si>
  <si>
    <t>ข้างซ้าย</t>
  </si>
  <si>
    <t>ขาว + ดำ</t>
  </si>
  <si>
    <t>https://drive.google.com/file/d/1QwAFsqTBMgwhR2qn6-hbrgu52JfjObbq/view?usp=drive_link</t>
  </si>
  <si>
    <t>สีขาว60+สีดำ30</t>
  </si>
  <si>
    <t>ข้างขวา</t>
  </si>
  <si>
    <t>https://drive.google.com/file/d/1qlO00hPOGmAfRTLiL4F3Uvn64vo9XlGq/view?usp=drive_link</t>
  </si>
  <si>
    <t>สีขาว15+สีดำ40</t>
  </si>
  <si>
    <t>มือจับซีเมดข้างซ้ายสีดำ</t>
  </si>
  <si>
    <t>https://drive.google.com/file/d/1rrLk8ZT21qehJK3_MV8ZvRyeOKVYSQ4A/view?usp=drive_link</t>
  </si>
  <si>
    <t>มือจับบานกระทุ้งของจีน</t>
  </si>
  <si>
    <t>30+31</t>
  </si>
  <si>
    <t>57+52</t>
  </si>
  <si>
    <t>มือจับบานเลื่อน</t>
  </si>
  <si>
    <t>สลิม</t>
  </si>
  <si>
    <t>https://drive.google.com/file/d/12GT7LmIwa5EGz-QTYLWbhdBFoLO9ToNv/view?usp=drive_link</t>
  </si>
  <si>
    <t>สีขาว200+สีดำ70</t>
  </si>
  <si>
    <t>มือจับปากเป็ด CMECH</t>
  </si>
  <si>
    <t>https://drive.google.com/file/d/1wH3_t4byci8MaRqJHaiRqyQ1ZyB9BQx9/view?usp=drive_link</t>
  </si>
  <si>
    <t>เงิน</t>
  </si>
  <si>
    <t>https://drive.google.com/file/d/1NsZjb7H4O8n6pWCHQx-DZiICtAluiUCY/view?usp=drive_link</t>
  </si>
  <si>
    <t xml:space="preserve">มือจับปากเป็ด </t>
  </si>
  <si>
    <t>https://drive.google.com/file/d/1cZaSzqNliRnrn_ZEFqjHZSc4TEp7eJGM/view?usp=drive_link</t>
  </si>
  <si>
    <t>สีขาว16+สีดำ13</t>
  </si>
  <si>
    <t>มือจับบานเปิดจีน</t>
  </si>
  <si>
    <t>https://drive.google.com/file/d/19zdK4rcmF22Pkx8dBeCZgLKEoiN8Jv5y/view?usp=drive_link</t>
  </si>
  <si>
    <t xml:space="preserve">ล็อค  </t>
  </si>
  <si>
    <t>https://drive.google.com/file/d/1UW4IEFWkK1vMMPDkuk8I1p8EXbvhIq0n/view?usp=drive_link</t>
  </si>
  <si>
    <t>มือจับบานเปิด</t>
  </si>
  <si>
    <t>https://drive.google.com/file/d/1W63ZpE2vGWrIXkjiC1IXJduHSWvB80lf/view?usp=drive_link</t>
  </si>
  <si>
    <t>https://drive.google.com/file/d/12jr4dzpIr9RkLg15-VaiUdnUue9v2laE/view?usp=drive_link</t>
  </si>
  <si>
    <t>มือจับบานเปิด ไฮด้า</t>
  </si>
  <si>
    <t>https://drive.google.com/file/d/1h9_wszwnxkcYE_BpL4dwT5TINV8OLmqO/view?usp=drive_link</t>
  </si>
  <si>
    <t>https://drive.google.com/file/d/1EgtupHIDk8sSd2Mh5c5Km2nPlK90Li0T/view?usp=drive_link</t>
  </si>
  <si>
    <t>https://drive.google.com/file/d/1IGXTc7WVkBloadIaEQ4O9BYg8RuaDs1I/view?usp=drive_link</t>
  </si>
  <si>
    <t>มือจับ เขาควาย</t>
  </si>
  <si>
    <t>https://drive.google.com/file/d/1R7cQCrQQF7sVuTUuxeu9sHFsbgyHLrrr/view?usp=drive_link</t>
  </si>
  <si>
    <t>https://drive.google.com/file/d/1yGwoRJOD0W30VbMpiZAjg5VidTmWBxCL/view?usp=drive_link</t>
  </si>
  <si>
    <t>ล็อค + ดัมมี่</t>
  </si>
  <si>
    <t>153+16</t>
  </si>
  <si>
    <t>194+18</t>
  </si>
  <si>
    <t>https://drive.google.com/file/d/12jr4dzpIr9RkLg15-VaiUdnUue9v2laE/view</t>
  </si>
  <si>
    <t>มือจับบานกระทุ้งจีน</t>
  </si>
  <si>
    <t>ซ้าย + ขวา</t>
  </si>
  <si>
    <t>มือจับบานกระทุ้งแม่นํ้า</t>
  </si>
  <si>
    <t>https://drive.google.com/file/d/1kWidQX3rNaCBJPVUDTxNvL6ZjoF7vA9D/view?usp=drive_link</t>
  </si>
  <si>
    <t>ขาว</t>
  </si>
  <si>
    <t>https://drive.google.com/file/d/1CqK6Jlx-cr1bd9a7lFFmLwgeiSifqVfV/view?usp=drive_link</t>
  </si>
  <si>
    <t>มือบานเลื่อน เมโทร</t>
  </si>
  <si>
    <t xml:space="preserve">ขาว </t>
  </si>
  <si>
    <t>https://drive.google.com/file/d/1-0WUWDJbX-cKrT7b8bghq99kOtMxzzLr/view?usp=drive_link</t>
  </si>
  <si>
    <t>https://drive.google.com/file/d/1ECfWSKmHU0_St_NaBhtUCuc-PvoaZYY4/view?usp=drive_link</t>
  </si>
  <si>
    <t>https://drive.google.com/file/d/1BN6h8YIlTE02N7FtiJN4HCtqzf4S_2vB/view?usp=drive_link</t>
  </si>
  <si>
    <t>มือจับบานเลื่อนฝัง Align</t>
  </si>
  <si>
    <t>https://drive.google.com/file/d/1jaDNupi-6iftwYbsYwdJ432Xaw1wfCfx/view?usp=drive_link</t>
  </si>
  <si>
    <t>https://drive.google.com/file/d/1Iy7nCF89WhyIbqbXIXsLtGZcnnPUr-uW/view?usp=drive_link</t>
  </si>
  <si>
    <t>มือบานเลื่อนฝัง เซ่นซ่า</t>
  </si>
  <si>
    <t>มือจับ Husza บานเลื่อนฝัง</t>
  </si>
  <si>
    <t xml:space="preserve">มือจับบานเลื่อนฝังไฮด้า </t>
  </si>
  <si>
    <t>กุญแจสีดำ = 52</t>
  </si>
  <si>
    <t>https://drive.google.com/drive/folders/1FGIbDxCQnJOywHFkATHI4mg97Zt_7Sh9</t>
  </si>
  <si>
    <t>กุญแจสีขาว = 70</t>
  </si>
  <si>
    <t xml:space="preserve">ล็อคสีดำ = 6 </t>
  </si>
  <si>
    <t xml:space="preserve">ล็อคสีขาว = 6 </t>
  </si>
  <si>
    <t>เรียบมีรูสีขาว = 40 ไม่มีรู = 40</t>
  </si>
  <si>
    <t>40+40</t>
  </si>
  <si>
    <t>เรียบมีรูสีดำ = 30 ไม่มีรู = 21</t>
  </si>
  <si>
    <t>30+20</t>
  </si>
  <si>
    <t>มือจับบานเลื่อน Hoya แขวน ฝัง</t>
  </si>
  <si>
    <t>https://drive.google.com/file/d/1x0B6cEbMhaLSgOH8uaXmvujBiNNmAvXK/view?usp=drive_link</t>
  </si>
  <si>
    <t>https://drive.google.com/file/d/1MJDceK0aiSzZP6glcp2h-VfsXuJUdtJ5/view?usp=drive_link</t>
  </si>
  <si>
    <t>https://drive.google.com/file/d/1u7A4JqCpVOPsDqE4VE1B9v_pkj6uP47o/view?usp=drive_link</t>
  </si>
  <si>
    <t>ชา</t>
  </si>
  <si>
    <t>https://drive.google.com/file/d/1zHARiDDLfhZaoMegMBbKBLVhn2V3CcnB/view?usp=drive_link</t>
  </si>
  <si>
    <t xml:space="preserve">มือจับบานกระทุ้ง ไฮด้า </t>
  </si>
  <si>
    <t>ขวา</t>
  </si>
  <si>
    <t>ดำ + ขาว</t>
  </si>
  <si>
    <t>https://drive.google.com/file/d/1cGGf-HScg4Tn7j33HvY04Jpwvn90Sgra/view?usp=drive_link</t>
  </si>
  <si>
    <t>สีดำ35+สีขาว31</t>
  </si>
  <si>
    <t>ซ้าย</t>
  </si>
  <si>
    <t>https://drive.google.com/file/d/1gd1lXFL5WN6xTZiCEi4i4ne3T8asZ9rj/view?usp=drive_link</t>
  </si>
  <si>
    <t>สีดำ21+สีขาว74</t>
  </si>
  <si>
    <t>มือจับเขาควาย</t>
  </si>
  <si>
    <t>มีรู + ไม่มีรู</t>
  </si>
  <si>
    <t>https://drive.google.com/file/d/1xRF4HNdXmcMCupTjIYCkt0au1_ZgP-ze/view?usp=drive_link</t>
  </si>
  <si>
    <t>มือจับก้านโยกหลบมุ้ง</t>
  </si>
  <si>
    <t>มือจับบานเปิด เซ่นซ่า แม่นํ้า</t>
  </si>
  <si>
    <t xml:space="preserve">ล็อค = 1 </t>
  </si>
  <si>
    <t>https://drive.google.com/file/d/1VtbR38OaeUzvDPphqt0pz2NVZ9eYO65n/view?usp=drive_link</t>
  </si>
  <si>
    <t>ดัมมี่ = 5</t>
  </si>
  <si>
    <t>https://drive.google.com/file/d/1t70bD7cHNf6gVs7g8AzDuv55bjx2aGLp/view?usp=drive_link</t>
  </si>
  <si>
    <t xml:space="preserve">บานพับคอเสือ </t>
  </si>
  <si>
    <t>https://drive.google.com/file/d/1d8U5ie1767Z8Q_WuMOinKw6s5H0WIVg6/view?usp=drive_link</t>
  </si>
  <si>
    <t>SKU</t>
  </si>
  <si>
    <t>ขนาด</t>
  </si>
  <si>
    <t xml:space="preserve">STAINLESS STEEL PIPE </t>
  </si>
  <si>
    <t xml:space="preserve">แป๊ปสแตนเลสเหลี่ยม </t>
  </si>
  <si>
    <t>https://drive.google.com/file/d/1ksID7nRhz3chKkhg6cWrW0jLPsdB6NaU/view?usp=drive_link</t>
  </si>
  <si>
    <t>STAINLESS STEEL BAR</t>
  </si>
  <si>
    <t>แป๊ปสแตนเลสกลม</t>
  </si>
  <si>
    <t>https://drive.google.com/file/d/1f9LDjFr0kE-JpOrBRHx5K8bvBqCzR_lz/view?usp=drive_link</t>
  </si>
  <si>
    <t>บานพับ Shower VVP_SW303</t>
  </si>
  <si>
    <t>https://drive.google.com/file/d/179_ic3tBj9T4rt60oL0qAf3sgYM6XJa5/view?usp=drive_link</t>
  </si>
  <si>
    <t>บานพับ Shower VVP_SW3049 (90 ํ)</t>
  </si>
  <si>
    <t>https://drive.google.com/file/d/1zcRe5qoyo7DsctL7G5B4eEUcpIDRzG7t/view?usp=drive_link</t>
  </si>
  <si>
    <t>บานพับ Shower VVP_SW3041 (135 ํ)</t>
  </si>
  <si>
    <t>https://drive.google.com/file/d/1cie-F3YvmhMyeu35k7CkcFYknVdt73hD/view?usp=drive_link</t>
  </si>
  <si>
    <t>บานพับ Shower VVP_SW304 (180 ํ)</t>
  </si>
  <si>
    <t>https://drive.google.com/file/d/12gJnGoI1OJBSf2DUI7DCgx95PPR5ZVe-/view?usp=drive_link</t>
  </si>
  <si>
    <t>ชุดอุปกรณ์บานเลื่อนห้องน้ำ Shower Room-สแตนเลส</t>
  </si>
  <si>
    <t>ชุดอุปกรณ์บานเลื่อนห้องน้ำ Shower Room</t>
  </si>
  <si>
    <t>https://drive.google.com/file/d/1CP0SEI1nZrIqu8U2mTgA7aLlIJKiA_HS/view?usp=drive_link</t>
  </si>
  <si>
    <t>ตัวหนีบกระจก shower VVP_GC506</t>
  </si>
  <si>
    <t>https://drive.google.com/file/d/1rVhOBJtk39nfGt1Aho6GwF-jqLP15tjY/view?usp=drive_link</t>
  </si>
  <si>
    <t>ตัวยึดร้อยผ่านแป๊ปสแตนเลสกลม VVP_SB900</t>
  </si>
  <si>
    <t>https://drive.google.com/file/d/1asdMGHOpEWk6YPdQz7a8PPH_2qx7UhwO/view?usp=drive_link</t>
  </si>
  <si>
    <t>ตัวยึดกระจกห้องน้ำกันแกว่งกลม VVP_SB902</t>
  </si>
  <si>
    <t>https://drive.google.com/file/d/1-8sa7LWjZYvYdfio52wWpJjMibJXsUWr/view?usp=drive_link</t>
  </si>
  <si>
    <t>ตัวยึดร้อยผ่านแป๊ปสแตนเลสกลม VVP_SBF906</t>
  </si>
  <si>
    <t xml:space="preserve">ข้องอปรับได้ </t>
  </si>
  <si>
    <t>https://drive.google.com/file/d/13-gR4AOYZ_rK4aJE3Fad5R-J1gfy6OmT/view?usp=drive_link</t>
  </si>
  <si>
    <t>ตัวยึดร้อยผ่านแป๊ปสแตนเลสเหลี่ยม VVP_SBQ800</t>
  </si>
  <si>
    <t>https://drive.google.com/file/d/1vHOxAqyjZmIKUv5ML6lMnC6dhY-LLKlM/view?usp=drive_link</t>
  </si>
  <si>
    <t>ตัวยึดกระจกห้องน้ำกันแกว่งเหลี่ยม VVP_SBQ802</t>
  </si>
  <si>
    <t>https://drive.google.com/file/d/1JkPJBqFqjhV9DF2HNH69Ixh3w17RqlEj/view?usp=drive_link</t>
  </si>
  <si>
    <t xml:space="preserve">ตัวยึดร้อยผ่านแป๊ปสแตนเลสเหลี่ยม VVP_SBQ806-สแตนเลส-ข้องอปรับได้ </t>
  </si>
  <si>
    <t>ตัวยึดร้อยผ่านแป๊ปสแตนเลสเหลี่ยม VVP_SBQ806</t>
  </si>
  <si>
    <t>https://drive.google.com/file/d/1q4KrE1fMzGoSdTKE_rULuYSR9BQTEhCF/view?usp=drive_link</t>
  </si>
  <si>
    <t>ตัวหนีบกระจกล่าง VVP_ FT10 -สแตนเลส-5.5X17X3.5 cm.</t>
  </si>
  <si>
    <t xml:space="preserve">ตัวหนีบกระจกล่าง VVP_ FT10 </t>
  </si>
  <si>
    <t>5.5X17X3.5 cm.</t>
  </si>
  <si>
    <t>https://drive.google.com/file/d/1HsoF6GcgQ96nI5LUH6gUo845IJwpHtxf/view?usp=drive_link</t>
  </si>
  <si>
    <t>ตัวหนีบกระจกบน VVP_ FT20-สแตนเลส-5.5X17X3.5 cm.</t>
  </si>
  <si>
    <t>ตัวหนีบกระจกบน VVP_ FT20</t>
  </si>
  <si>
    <t>https://drive.google.com/file/d/1VUtnfjeVQxRr2zGWXChcWNVo7ns7Mtdz/view?usp=drive_link</t>
  </si>
  <si>
    <t>ตัวหนีบกระจกบน VVP_ FT30-สแตนเลส-5.5X17X3.5 cm.</t>
  </si>
  <si>
    <t>ตัวหนีบกระจกบน VVP_ FT30</t>
  </si>
  <si>
    <t>https://drive.google.com/file/d/1TAfZE-ck8oGq9ego9TxG2RQp32Ob0x0o/view?usp=drive_link</t>
  </si>
  <si>
    <t>กุญแจล็อคประตูกับพื้น VVP_ FT50-สแตนเลส-7.2X17.3X8.2 cm.</t>
  </si>
  <si>
    <t>กุญแจล็อคประตูกับพื้น VVP_ FT50</t>
  </si>
  <si>
    <t>7.2X17.3X8.2 cm.</t>
  </si>
  <si>
    <t>https://drive.google.com/file/d/1aweHuGJKBBI-ITDxY7XznOlbd1DRHkyC/view?usp=drive_link</t>
  </si>
  <si>
    <t>กุญแจล็อคประตูกับพื้น VVP_ FL50-สแตนเลส-7.2X17.3X8.2 cm.</t>
  </si>
  <si>
    <t>กุญแจล็อคประตูกับพื้น VVP_ FL50</t>
  </si>
  <si>
    <t>https://drive.google.com/file/d/1Xa31m8s8-VoyiieO33yoxHsfTsKTzpZi/view?usp=drive_link</t>
  </si>
  <si>
    <t>กุญแจล็อคล็อคกลางบาน VVP_ FL52-สแตนเลส-7.5X17X6 cm.</t>
  </si>
  <si>
    <t>กุญแจล็อคล็อคกลางบาน VVP_ FL52</t>
  </si>
  <si>
    <t>7.5X17X6 cm.</t>
  </si>
  <si>
    <t>https://drive.google.com/file/d/1D6ivCfLG7Xjnetl45UYMTSMB-UaBdg87/view?usp=drive_link</t>
  </si>
  <si>
    <t>โช้คประตูบานสวิง Diamond-800mm</t>
  </si>
  <si>
    <t>โช้คประตูบานสวิง Diamond</t>
  </si>
  <si>
    <t>800mm</t>
  </si>
  <si>
    <t>https://drive.google.com/file/d/1gqLMBoTN0FEvV4sUZuNFNObrdtc157OR/view?usp=drive_link</t>
  </si>
  <si>
    <t>โช้คประตูบานสวิง Diamond-1000mm</t>
  </si>
  <si>
    <t>1000mm</t>
  </si>
  <si>
    <t>โช้คประตูบานสวิง Diamond-1200mm</t>
  </si>
  <si>
    <t>1200mm</t>
  </si>
  <si>
    <t>โช้คประตูตั้งค้าง VVP_DC98  -สแตนเลส-27X8.5X8.5 cm.</t>
  </si>
  <si>
    <t xml:space="preserve">โช้คประตูตั้งค้าง VVP_DC98  </t>
  </si>
  <si>
    <t>27X8.5X8.5 cm.</t>
  </si>
  <si>
    <t>https://drive.google.com/file/d/1v2V3uSiBIde3fo9U1Z1NA-v144MKSNoC/view?usp=drive_link</t>
  </si>
  <si>
    <t>โช้คประตูไม่ตั้งค้าง VVP_DC98-สแตนเลส-27X8.5X8.5 cm.</t>
  </si>
  <si>
    <t>โช้คประตูไม่ตั้งค้าง VVP_DC98</t>
  </si>
  <si>
    <t>โช้คประตูตั้งค้าง VVP_DC98  -ดำ-27X8.5X8.5 cm.</t>
  </si>
  <si>
    <t>https://drive.google.com/file/d/1Og9EfRVllVvA3LN9IZ8AL613wI9cJRRn/view?usp=drive_link</t>
  </si>
  <si>
    <t>โช้คประตูไม่ตั้งค้าง VVP_DC98-ดำ-27X8.5X8.5 cm.</t>
  </si>
  <si>
    <t>โช้คประตูตั้งค้าง VVP_DC100-สแตนเลส-31X10X9.5 cm.</t>
  </si>
  <si>
    <t>โช้คประตูตั้งค้าง VVP_DC100</t>
  </si>
  <si>
    <t>31X10X9.5 cm.</t>
  </si>
  <si>
    <t>โช้คประตูไม่ตั้งค้าง VVP_DC100-สแตนเลส-31X10X9.5 cm.</t>
  </si>
  <si>
    <t>โช้คประตูไม่ตั้งค้าง VVP_DC100</t>
  </si>
  <si>
    <t>โช้คประตูตั้งค้าง VVP_DC100-ดำ-31X10X9.5 cm.</t>
  </si>
  <si>
    <t>โช้คประตูไม่ตั้งค้าง VVP_DC100-ดำ-31X10X9.5 cm.</t>
  </si>
  <si>
    <t>กันชนประตูแม่เหล็กแท่ง SOLO-สแตนเลส</t>
  </si>
  <si>
    <t>กันชนประตูแม่เหล็กแท่ง SOLO</t>
  </si>
  <si>
    <t>https://drive.google.com/file/d/1GBa2YgVXlGOd-7hO6GBV7AiULy8xvl-m/view?usp=drive_link</t>
  </si>
  <si>
    <t>กันชนประตูโดมติดพื้น solex-สแตนเลส</t>
  </si>
  <si>
    <t>กันชนประตูโดมติดพื้น solex</t>
  </si>
  <si>
    <t>https://drive.google.com/file/d/14NFWgK4c5mjh3_c0RlLanooN3iRzpM1e/view?usp=drive_link</t>
  </si>
  <si>
    <t>กันชนประตูแม่เหล็กติดพื้น-สแตนเลส</t>
  </si>
  <si>
    <t>กันชนประตูแม่เหล็กติดพื้น</t>
  </si>
  <si>
    <t>https://drive.google.com/file/d/1F8rYuemhlSYEMuYxhfVNxfowuheyOcq1/view?usp=drive_link</t>
  </si>
  <si>
    <t>กันชนประตูแม่เหล็กติดพื้น-ดำ</t>
  </si>
  <si>
    <t>https://drive.google.com/file/d/1HbAtdXWKvM_MVt0_1hD_1ViVSvldSQOM/view?usp=drive_link</t>
  </si>
  <si>
    <t>ยางกันชนเหลี่ยม-อบขาว</t>
  </si>
  <si>
    <t>ยางกันชนเหลี่ยม</t>
  </si>
  <si>
    <t>https://drive.google.com/file/d/1ouxNB50MyvHVo7pMGVlYj36BmEFSDr8D/view?usp=drive_link</t>
  </si>
  <si>
    <t>ยางกันชนเหลี่ยม-ดำ</t>
  </si>
  <si>
    <t>https://drive.google.com/file/d/15rpGty_WFB58dv-4jIoTRB5NYAts9BUg/view?usp=drive_link</t>
  </si>
  <si>
    <t>ยางกันชนกลมเล็ก-ดำ</t>
  </si>
  <si>
    <t>ยางกันชนกลมเล็ก</t>
  </si>
  <si>
    <t>https://drive.google.com/file/d/17-GsJNdO5HsU1VRnag2InV8z6-UpXSQo/view?usp=drive_link</t>
  </si>
  <si>
    <t>ล็อคกลางบานเลื่อน ( ล็อคก้นหอย )_ L-อบขาว</t>
  </si>
  <si>
    <t>ล็อคกลางบานเลื่อน ( ล็อคก้นหอย )_ L</t>
  </si>
  <si>
    <t>https://drive.google.com/file/d/1gmGd6H2JPr2d3r5X-Sr_DTBGgoHr6VCS/view?usp=drive_link</t>
  </si>
  <si>
    <t>ล็อคกลางบานเลื่อน ( ล็อคก้นหอย )_ R-อบขาว</t>
  </si>
  <si>
    <t>ล็อคกลางบานเลื่อน ( ล็อคก้นหอย )_ R</t>
  </si>
  <si>
    <t>ล็อคกลางบานเลื่อน ( ล็อคก้นหอย )_ L-ดำ</t>
  </si>
  <si>
    <t>https://drive.google.com/file/d/110U2ii_ChmFLCSJ2icCd4ROqhFCtJvOS/view?usp=drive_link</t>
  </si>
  <si>
    <t>ล็อคกลางบานเลื่อน ( ล็อคก้นหอย )_ R-ดำ</t>
  </si>
  <si>
    <t>พลาสติกปิดหัวน็อต-อบขาว</t>
  </si>
  <si>
    <t>พลาสติกปิดหัวน็อต</t>
  </si>
  <si>
    <t>https://drive.google.com/file/d/1TB1xqXNNscvp-76oVDiH9GetPZDDtQ1V/view?usp=drive_link</t>
  </si>
  <si>
    <t>พลาสติกปิดหัวน็อต-ดำ</t>
  </si>
  <si>
    <t>https://drive.google.com/file/d/1EEg6pEuOzitPqTOZNyJbjFLe7B1seTK6/view?usp=drive_link</t>
  </si>
  <si>
    <t>ยางอุด 3 หุน-อบขาว</t>
  </si>
  <si>
    <t>ยางอุด 3 หุน</t>
  </si>
  <si>
    <t>https://drive.google.com/file/d/1r3d6fGihyaXAzzcdpUmBxj4ZlnU6wgYj/view?usp=drive_link</t>
  </si>
  <si>
    <t>ยางอุด 3 หุน-ดำ</t>
  </si>
  <si>
    <t>https://drive.google.com/file/d/1talgy-KFpnvgqYnLnX_kLwQEMyMw1JyG/view?usp=drive_link</t>
  </si>
  <si>
    <t>พลาสติกฝาครอบน็อต หกเหลี่ยม-ดำ</t>
  </si>
  <si>
    <t>พลาสติกฝาครอบน็อต หกเหลี่ยม</t>
  </si>
  <si>
    <t>https://drive.google.com/file/d/1lpQ7hnkpjJrBAF7N3vUtJ13NK5cgCgHV/view?usp=drive_link</t>
  </si>
  <si>
    <t>ตลับกุญแจ CDQ20-สแตนเลส</t>
  </si>
  <si>
    <t>ตลับกุญแจ CDQ20</t>
  </si>
  <si>
    <t>https://drive.google.com/file/d/1GuyqrDXJPgkXWGgRrATDdrzDRyZgaAIU/view?usp=drive_link</t>
  </si>
  <si>
    <t>ตลับกุญแจ CDQ20-ดำ</t>
  </si>
  <si>
    <t>https://drive.google.com/file/d/1ECcFqUcOQocPSdWe7AfxNdnyqShKhooo/view?usp=drive_link</t>
  </si>
  <si>
    <t>ตลับกุญแจ Colt-สแตนเลส-35x85</t>
  </si>
  <si>
    <t>35x85</t>
  </si>
  <si>
    <t>https://drive.google.com/file/d/1vhWXW8ecdpi4YWGHNIZ5RfQFhtLc_efk/view?usp=drive_link</t>
  </si>
  <si>
    <t>ตลับกุญแจ Hyda HD851 -สแตนเลส</t>
  </si>
  <si>
    <t xml:space="preserve">ตลับกุญแจ Hyda HD851 </t>
  </si>
  <si>
    <t>ไส้กุญแจ Colt</t>
  </si>
  <si>
    <t>35x35</t>
  </si>
  <si>
    <t>https://drive.google.com/file/d/1260UITA5T-RGT8KSw95EfxTxBwvQjt2_/view?usp=drive_link</t>
  </si>
  <si>
    <t>40x40</t>
  </si>
  <si>
    <t>บานพับบานเปิด PBM-อบขาว</t>
  </si>
  <si>
    <t>บานพับบานเปิด PBM</t>
  </si>
  <si>
    <t>https://drive.google.com/file/d/1hvEjgxdq8Ndt6j-I0AdgS1Bl128qJKAz/view?usp=drive_link</t>
  </si>
  <si>
    <t>บานพับบานเปิด PBM-ดำ</t>
  </si>
  <si>
    <t>บานพับบานเปิด แบบหลบติ่ง PBM-อบขาว</t>
  </si>
  <si>
    <t>บานพับบานเปิด แบบหลบติ่ง PBM</t>
  </si>
  <si>
    <t>https://drive.google.com/file/d/1IxVRJDRaJ-9T5lN7u7i5m2G71UQ3CoMu/view?usp=drive_link</t>
  </si>
  <si>
    <t>บานพับบานเปิด แบบหลบติ่ง PBM-ดำ</t>
  </si>
  <si>
    <t>แป้นรับล็อคบานเลื่อน HD1104-เงิน</t>
  </si>
  <si>
    <t>แป้นรับล็อคบานเลื่อน HD1104</t>
  </si>
  <si>
    <t>https://drive.google.com/file/d/1Ov_RiVReaFszYxzvHKePfkQIrutzEu_6/view?usp=drive_link</t>
  </si>
  <si>
    <t>แป้นรับล็อคบานเลื่อน HD1105-ดำ</t>
  </si>
  <si>
    <t>แป้นรับล็อคบานเลื่อน HD1105</t>
  </si>
  <si>
    <t>https://drive.google.com/file/d/1FDlA7Ca7mIrQB-UE_g6mafMSFvUUu0Uf/view?usp=drive_link</t>
  </si>
  <si>
    <t>แป้นรับล็อคบานเลื่อน  HD1125-เงิน</t>
  </si>
  <si>
    <t>แป้นรับล็อคบานเลื่อน  HD1125</t>
  </si>
  <si>
    <t>https://drive.google.com/file/d/1MpfmRYB3978L427AshJHXYh9Ev0BlMa2/view?usp=drive_link</t>
  </si>
  <si>
    <t>ก้าน Connection Rod HD-1176A-ดำ</t>
  </si>
  <si>
    <t>ก้าน Connection Rod HD-1176A</t>
  </si>
  <si>
    <t>https://drive.google.com/file/d/1vHGD94XoMobY0A3bQ6WKbWQc0uKPO9Fv/view?usp=drive_link</t>
  </si>
  <si>
    <t>ก้าน Connection Rod HD-1176B-ดำ</t>
  </si>
  <si>
    <t>ก้าน Connection Rod HD-1176B</t>
  </si>
  <si>
    <t>https://drive.google.com/file/d/1fsBqttdjVGZNDNE8KMpY34GICjmO28Vb/view?usp=drive_link</t>
  </si>
  <si>
    <t>ตัวรับล็อค</t>
  </si>
  <si>
    <t>https://drive.google.com/file/d/1v17TfW7ri_89b9aNOXNn1JBZx9qSfYXY/view?usp=drive_link</t>
  </si>
  <si>
    <t>มุมอลูมิเนียมสปิก๊อต Hyda 214-Hyda 214</t>
  </si>
  <si>
    <t>มุมอลูมิเนียมสปิก๊อต Hyda 214</t>
  </si>
  <si>
    <t>Hyda 214</t>
  </si>
  <si>
    <t>https://drive.google.com/file/d/1Dr2ERs1VrODTwTFwl1ihS3AwV4eeme6-/view?usp=drive_link</t>
  </si>
  <si>
    <t>แป้นรับล็อค</t>
  </si>
  <si>
    <t>https://drive.google.com/file/d/12pYSCP8v134Z375CCK7U8BoTpR8crlUW/view?usp=drive_link</t>
  </si>
  <si>
    <t>แป้นรับล็อค T</t>
  </si>
  <si>
    <t>https://drive.google.com/file/d/1gf3-e1T6vQwWmhjNnRsHvQRfT_cgBEFw/view?usp=drive_link</t>
  </si>
  <si>
    <t>ฝาปิดรูน้ำเข้า ฝาปิดรูน้ำออก-ดำ</t>
  </si>
  <si>
    <t>ฝาปิดรูน้ำเข้า ฝาปิดรูน้ำออก</t>
  </si>
  <si>
    <t>https://drive.google.com/file/d/11LRifEmqwdYCINPds0dJ_2Vsc0fZOHgB/view?usp=drive_link</t>
  </si>
  <si>
    <t>https://drive.google.com/file/d/1P3je0YCR0pCXV-4uUoim82u3gS-nb0IM/view?usp=drive_link</t>
  </si>
  <si>
    <t>https://drive.google.com/file/d/1St4GWOpnB1NUm1O4MOHX6b7r3u92CT3w/view?usp=drive_link</t>
  </si>
  <si>
    <t>ตัวรับบาน KIN LONG</t>
  </si>
  <si>
    <t>https://drive.google.com/file/d/16FymDuyG_-TfiU2N65P2Lj4vKVfj3Qjw/view?usp=drive_link</t>
  </si>
  <si>
    <t>บานพับไฮด้า H-D631-ดำ</t>
  </si>
  <si>
    <t>บานพับไฮด้า H-D631</t>
  </si>
  <si>
    <t>https://drive.google.com/file/d/1OusYxJPlYwK1vplvqmsDDofjT2PQ0k4l/view?usp=drive_link</t>
  </si>
  <si>
    <t>บานพับไฮด้า H-D631-อบขาว</t>
  </si>
  <si>
    <t>https://drive.google.com/file/d/1EXMMIuGkS-zfvGf5dt6G_DMEfeBaOwgY/view?usp=drive_link</t>
  </si>
  <si>
    <t>บานพับบานเปิดยูโร HD-631-ดำ</t>
  </si>
  <si>
    <t>บานพับบานเปิดยูโร HD-631</t>
  </si>
  <si>
    <t>https://drive.google.com/file/d/1rocsCbPK31AESmXu7X8JUER9AHL-PG30/view?usp=drive_link</t>
  </si>
  <si>
    <t>บานพับบานเปิดยูโร HD-631-อบขาว</t>
  </si>
  <si>
    <t>ไส้กุญแจ Colt-สแตนเลส-50x50</t>
  </si>
  <si>
    <t>50x50</t>
  </si>
  <si>
    <t>ล้อสปริงกันแกว่ง มีน็อต</t>
  </si>
  <si>
    <t>https://drive.google.com/file/d/1gA6NydPOXYF6h-hfpxYde4xHNaVnr8N5/view?usp=drive_link</t>
  </si>
  <si>
    <t xml:space="preserve">โช้คฝังพื้น  FC34- 20NM </t>
  </si>
  <si>
    <t>โช้คฝังพื้น  FC34</t>
  </si>
  <si>
    <t xml:space="preserve"> 20NM </t>
  </si>
  <si>
    <t>https://drive.google.com/file/d/1AKKQzjv-GXX1xlLAtaB34HBxhpCkLbpe/view?usp=drive_link</t>
  </si>
  <si>
    <t xml:space="preserve">โช้คฝังพื้น  FC34- 25NM </t>
  </si>
  <si>
    <t xml:space="preserve"> 25NM </t>
  </si>
  <si>
    <t>กันลมสแตนเลส-12KC</t>
  </si>
  <si>
    <t>กันลมสแตนเลส</t>
  </si>
  <si>
    <t>12KC</t>
  </si>
  <si>
    <t>https://drive.google.com/file/d/1sQyKkGIg19nsv5adHBqTNFoMZiPw6dUR/view?usp=drive_link</t>
  </si>
  <si>
    <t>ไส้กุญแจ CH-ดำ-35x45</t>
  </si>
  <si>
    <t>ไส้กุญแจ CH</t>
  </si>
  <si>
    <t>35x45</t>
  </si>
  <si>
    <t>https://drive.google.com/file/d/1r6Ye4SvjM3SwyorxKxIL_G3UukKMF_ud/view?usp=drive_link</t>
  </si>
  <si>
    <t>ไส้กุญแจ CH-สแตนเลส-35x45</t>
  </si>
  <si>
    <t>https://drive.google.com/file/d/1iwh0mRK3mpQDU0rHMM7ViTOMqIMIr9G3/view?usp=drive_link</t>
  </si>
  <si>
    <t>ไส้กุญแจ CH-สแตนเลส-45x35</t>
  </si>
  <si>
    <t>45x35</t>
  </si>
  <si>
    <t>ใส</t>
  </si>
  <si>
    <t>https://drive.google.com/file/d/1_Wa5oheobUErrhKeLUbVcCk2j8zuadzW/view?usp=drive_link</t>
  </si>
  <si>
    <t>PU-791</t>
  </si>
  <si>
    <t>PU</t>
  </si>
  <si>
    <t>https://drive.google.com/file/d/1_6Op59D2AZik5QmGwwelXh4dr4SVw9YM/view?usp=drive_link</t>
  </si>
  <si>
    <t>PU-ขาว</t>
  </si>
  <si>
    <t>https://drive.google.com/file/d/1BWADJ-m2cJphQq-4IrUZPjSuXRzNWA-D/view?usp=drive_link</t>
  </si>
  <si>
    <t>ซิลิโคน-ใส</t>
  </si>
  <si>
    <t>ซิลิโคน</t>
  </si>
  <si>
    <t>https://drive.google.com/file/d/1Tw5QlP8BdCBv53wfP6nTtzCWEs8Fttt-/view?usp=drive_link</t>
  </si>
  <si>
    <t>ซิลิโคน ไร้กรด-ขาว</t>
  </si>
  <si>
    <t>ซิลิโคน ไร้กรด</t>
  </si>
  <si>
    <t>https://drive.google.com/file/d/1uz-pwdbif0QaCl7t3BB42q_x2H-8yXuD/view?usp=drive_link</t>
  </si>
  <si>
    <t>ซิลิโคน 1601</t>
  </si>
  <si>
    <t>ลายไม้มะฮอกนี</t>
  </si>
  <si>
    <t>https://drive.google.com/file/d/1TdYICfM7WsEp-s7TI78RaOhLguKEMkrY/view?usp=drive_link</t>
  </si>
  <si>
    <t>ซิลิโคน 1602</t>
  </si>
  <si>
    <t>ลายไม้สักทอง</t>
  </si>
  <si>
    <t>https://drive.google.com/file/d/1Jrx8LU0tmCAc6tPwiaLG9Ck5o9hCdZeV/view?usp=drive_link</t>
  </si>
  <si>
    <t>https://drive.google.com/file/d/1BalCF9rEFRiN-lM9Gh0Lg6-OLRkotTQN/view?usp=drive_link</t>
  </si>
  <si>
    <t>ซิลิโคน-ลายไม้หลอดฟ้า</t>
  </si>
  <si>
    <t>ลายไม้หลอดฟ้า</t>
  </si>
  <si>
    <t>https://drive.google.com/file/d/11Tv4_tWWAIMWtVU5JIxl8exbyV8qXhHt/view?usp=drive_link</t>
  </si>
  <si>
    <t>สเปรย์โฟม</t>
  </si>
  <si>
    <t>https://drive.google.com/file/d/1QObxWwKGcdvt6_EEQNNoMZKXna-CyhJs/view?usp=drive_link</t>
  </si>
  <si>
    <t>แด้บหลอดแดง</t>
  </si>
  <si>
    <t>https://drive.google.com/file/d/1fRNGOmt7k6TwxGJjhQ3wvr3gllZmyjNN/view?usp=drive_link</t>
  </si>
  <si>
    <t>PU-สีพิเศษ</t>
  </si>
  <si>
    <t>สีพิเศษ</t>
  </si>
  <si>
    <t>https://drive.google.com/file/d/1wS2gkzi4LhwepZJPRcQMadlwzEO3S7U9/view?usp=drive_link</t>
  </si>
  <si>
    <t>PU-สีทอง</t>
  </si>
  <si>
    <t>สีทอง</t>
  </si>
  <si>
    <t>https://drive.google.com/file/d/1xN-9-mGXi4yAsUEUURA7QHYtBE03ntm7/view?usp=drive_link</t>
  </si>
  <si>
    <t>นํ้ายาเช็ดคราบซิลิโคน</t>
  </si>
  <si>
    <t>https://drive.google.com/file/d/1h6AERyQ0YEvaQo_S9s8SQCj7neip59da/view?usp=drive_link</t>
  </si>
  <si>
    <t>น้ำยาเช็ดเทปกาว</t>
  </si>
  <si>
    <t>https://drive.google.com/file/d/1rjj4Ftith0_RliVe6aqrMGOO-Pb1CWZj/view?usp=drive_link</t>
  </si>
  <si>
    <t>นํ้ํ้าเช็ดกระจก</t>
  </si>
  <si>
    <t>https://drive.google.com/file/d/1TA0UcW9Mu29x4C-o08QN7i7Usp-cwrxB/view?usp=drive_link</t>
  </si>
  <si>
    <t>นํ้ายาถูพื้น</t>
  </si>
  <si>
    <t>https://drive.google.com/file/d/15712YIW1NLF3m0nZVoG1sfYujruje_76/view?usp=drive_link</t>
  </si>
  <si>
    <t>นํ้ายาล้างห้องนํ้า</t>
  </si>
  <si>
    <t>https://drive.google.com/file/d/1i5bMLlZ7QkDvACclyW9XzhpW-fEOMcq0/view?usp=drive_link</t>
  </si>
  <si>
    <t>นํ้ายาล้้างจาน</t>
  </si>
  <si>
    <t>https://drive.google.com/file/d/1RBEY1qIv3f_qXnLGP9kOIlL42HlhLwfg/view?usp=drive_link</t>
  </si>
  <si>
    <t>นํ้ามันสน</t>
  </si>
  <si>
    <t>https://drive.google.com/file/d/1WmOChyVngNvpe0UKZ6BHo4ytiKmL772N/view?usp=drive_link</t>
  </si>
  <si>
    <t>เทปกาว2หน้า บาง</t>
  </si>
  <si>
    <t>https://drive.google.com/file/d/1MFB6j7cUJImUIdYEkiCmqD_nt4s4PZa7/view?usp=drive_link</t>
  </si>
  <si>
    <t>เทปกาว2หน้า หนา-สีดำ</t>
  </si>
  <si>
    <t>เทปกาว2หน้า หนา</t>
  </si>
  <si>
    <t>สีดำ</t>
  </si>
  <si>
    <t>https://drive.google.com/file/d/1DpIxbnt911XuEWJnyeeAyfpjKKWVCWgk/view?usp=drive_link</t>
  </si>
  <si>
    <t>เทปกาว2หน้า หนา-สีขาว</t>
  </si>
  <si>
    <t>สีขาว</t>
  </si>
  <si>
    <t>https://drive.google.com/file/d/1_Ff6WbbHUZ35ziGRosu_U11gRa0QJLql/view?usp=drive_link</t>
  </si>
  <si>
    <t>เทปกระดาษ</t>
  </si>
  <si>
    <t>https://drive.google.com/file/d/16Hktj9Vz_N4vlZD2lozyodbuKQ3PHrxX/view?usp=drive_link</t>
  </si>
  <si>
    <t>https://drive.google.com/file/d/1RrNmIDIQtOS6yAcUUbHUtL3aycDm8Qn-/view?usp=drive_link</t>
  </si>
  <si>
    <t>https://drive.google.com/file/d/1jw8el_Y6VF-PD6ktOmKzTIt5Gv2V87DK/view?usp=drive_link</t>
  </si>
  <si>
    <t>https://drive.google.com/file/d/1Yn9IwSRuf1dmakVKL17KCevAGKs3S1Vl/view?usp=drive_link</t>
  </si>
  <si>
    <t>แร็ปผิวเรียบ</t>
  </si>
  <si>
    <t>https://drive.google.com/file/d/1V7-aXRxGLq6Y9eYuAy2dAsnJEIZT7naQ/view?usp=drive_link</t>
  </si>
  <si>
    <t>https://drive.google.com/file/d/1wqe_G0pJjB4862AWfkYsyurvM356YVwU/view?usp=drive_link</t>
  </si>
  <si>
    <t>https://drive.google.com/file/d/1bIrPG9CopVhwRUVjqydOfOmeIhhHzi9l/view?usp=drive_link</t>
  </si>
  <si>
    <t>เทปพันสายไฟ-สีดำ</t>
  </si>
  <si>
    <t>เทปพันสายไฟ</t>
  </si>
  <si>
    <t>https://drive.google.com/file/d/1lWF1a9bAUXrC4mVE_YdOlACT-DNjzJ2R/view?usp=drive_link</t>
  </si>
  <si>
    <t>เทปนอตัน ตัวหนา-สีฟ้า</t>
  </si>
  <si>
    <t>เทปนอตัน ตัวหนา</t>
  </si>
  <si>
    <t>สีฟ้า</t>
  </si>
  <si>
    <t>https://drive.google.com/file/d/1YfdQoy4kVRXLACD7QExhLH6FVBU8e4Ym/view?usp=drive_link</t>
  </si>
  <si>
    <t>เทปนอตัน ตัวบาง-สีฟ้า</t>
  </si>
  <si>
    <t>เทปนอตัน ตัวบาง</t>
  </si>
  <si>
    <t>เทปนอตัน-สีขาว</t>
  </si>
  <si>
    <t>เทปนอตัน</t>
  </si>
  <si>
    <t>https://drive.google.com/file/d/1DEHEvcUl4KN_lrUVNKGmFEx9-u56Yly1/view?usp=drive_link</t>
  </si>
  <si>
    <t>https://drive.google.com/file/d/1zTMzRcNfxoGvFtklcDZj7h99a6JIC83S/view?usp=drive_link</t>
  </si>
  <si>
    <t>https://drive.google.com/file/d/177zRjl2uI3v84cHYXWCekDuaJxqLDc2J/view?usp=drive_link</t>
  </si>
  <si>
    <t>แร็ป</t>
  </si>
  <si>
    <t>https://drive.google.com/file/d/1Fq4oG7jAKYxrXfFyjmZZemaDwYUFcq3e/view?usp=drive_link</t>
  </si>
  <si>
    <t>สเปรย์ 212</t>
  </si>
  <si>
    <t>ดำด้าน</t>
  </si>
  <si>
    <t>https://drive.google.com/file/d/1XiXmnYZqjBDPS9dXwsLnXv5U1H-svgj8/view?usp=drive_link</t>
  </si>
  <si>
    <t>สเปรย์ 210</t>
  </si>
  <si>
    <t>ดำเงา</t>
  </si>
  <si>
    <t>https://drive.google.com/file/d/1nU31yBi7FNNnsOHYMDhNqhWwFH5Xjlgq/view?usp=drive_link</t>
  </si>
  <si>
    <t>สเปรย์ 1002825</t>
  </si>
  <si>
    <t>สีขาวซาฮาร่า</t>
  </si>
  <si>
    <t>https://drive.google.com/file/d/1CuMzCLlq-hubNZ2owEQBwEYPseFPpZ3T/view?usp=drive_link</t>
  </si>
  <si>
    <t>สเปรย์ 1002823-สีดำซาฮาร่า</t>
  </si>
  <si>
    <t>สเปรย์ 1002823</t>
  </si>
  <si>
    <t>สีดำซาฮาร่า</t>
  </si>
  <si>
    <t>https://drive.google.com/file/d/1hLxmWmdfmfs7rk2Eqzh-3KUvOS_-j8IP/view?usp=drive_link</t>
  </si>
  <si>
    <t>สเปรย์ 1002831</t>
  </si>
  <si>
    <t>สีเทาซาฮาร่า</t>
  </si>
  <si>
    <t>https://drive.google.com/file/d/1c4igh-ZZHZQCcsykk7bnGZ91a0CtIrpG/view?usp=drive_link</t>
  </si>
  <si>
    <t>สเปรย์ 132</t>
  </si>
  <si>
    <t>สีชา</t>
  </si>
  <si>
    <t>https://drive.google.com/file/d/1wsphcN0FHaZvzHeENx-wek_oXE63NQbS/view?usp=drive_link</t>
  </si>
  <si>
    <t>สเปรย์ขาว-สีชาว</t>
  </si>
  <si>
    <t>สเปรย์ขาว</t>
  </si>
  <si>
    <t>สีชาว</t>
  </si>
  <si>
    <t>https://drive.google.com/file/d/1xCzm4ycbEYNul1kRy9OXruuiq4TixAlQ/view?usp=drive_link</t>
  </si>
  <si>
    <t>HAFELE อุปกรณ์บานเลื่อน รับน้ำหนัก 100 กก.</t>
  </si>
  <si>
    <t>https://drive.google.com/file/d/18oI2MKQxSTJZdDNc6pzuGjEEVTYG8VmA/view?usp=drive_link</t>
  </si>
  <si>
    <t>https://drive.google.com/file/d/1lsdVZ_g3sZ5DnXjc96DnKyH2uWztK0z9/view?usp=drive_link</t>
  </si>
  <si>
    <t>ตัวดูดจับกระจก 3ขา</t>
  </si>
  <si>
    <t>https://drive.google.com/file/d/1AvCtB6sLZpxFxXCfq61OAZENpLGcOYTd/view?usp=drive_link</t>
  </si>
  <si>
    <t>https://drive.google.com/file/d/1U68veleGUEn8p6EU13qgoZSv_Lgfa9jg/view?usp=drive_link</t>
  </si>
  <si>
    <t>https://drive.google.com/file/d/1qe68va3VDcDNM8uwFYX9UmJFe-P2Wy5o/view?usp=drive_link</t>
  </si>
  <si>
    <t>https://drive.google.com/file/d/1yMr3dIqHSagCZRbNCHk9HStR_WZNKht2/view?usp=drive_link</t>
  </si>
  <si>
    <t>https://drive.google.com/file/d/1P44oQZlKQGvQ1X0eeeHYZZRABNjueOQR/view?usp=drive_link</t>
  </si>
  <si>
    <t>https://drive.google.com/file/d/1zJkFtWCcROs-QWLqcWy0-zvQLG3-PUpM/view?usp=drive_link</t>
  </si>
  <si>
    <t>https://drive.google.com/file/d/1KbZRX0WWd-c9YuPkwrfuQUpBsQdn9V2I/view?usp=drive_link</t>
  </si>
  <si>
    <t>https://drive.google.com/file/d/1h-Lvnp8Jajp9MZtWaVdoWUn4FcmhRaaq/view?usp=drive_link</t>
  </si>
  <si>
    <t>ตลับกุญแจ-3"</t>
  </si>
  <si>
    <t>ตลับกุญแจ</t>
  </si>
  <si>
    <t>3"</t>
  </si>
  <si>
    <t>https://drive.google.com/file/d/1VO4r4NiDWIWid9CzUHO4AqqqcaPvdh1P/view?usp=drive_link</t>
  </si>
  <si>
    <t>เข้ามุมตัว (ญ)</t>
  </si>
  <si>
    <t>https://drive.google.com/file/d/1bzWbh1Ri8gplomnQbGT5l4thFVF6sFs7/view?usp=drive_link</t>
  </si>
  <si>
    <t>เข้ามุมเล็ก</t>
  </si>
  <si>
    <t>https://drive.google.com/file/d/1fsBqttdjVGZNDNE8KMpY34GICjmO28Vb/view?usp=sharing</t>
  </si>
  <si>
    <t>ไกด์รางแขวน-ดำ</t>
  </si>
  <si>
    <t>ไกด์รางแขวน</t>
  </si>
  <si>
    <t>https://drive.google.com/file/d/1RIKQR0OQvT5t1Jglrv7a17B10bfeoSDT/view?usp=sharing</t>
  </si>
  <si>
    <t>SC-304P/บานพับ - ใหญ่ IA</t>
  </si>
  <si>
    <t>https://drive.google.com/file/d/1QqLXYPT4ZBx4BvoABF5c1ubG1JiwRjwX/view?usp=drive_link</t>
  </si>
  <si>
    <t>6คู่</t>
  </si>
  <si>
    <t>บานพับจีน -สีดำ</t>
  </si>
  <si>
    <t xml:space="preserve">บานพับจีน </t>
  </si>
  <si>
    <t>https://drive.google.com/file/d/1outZbOSBqbBHzRkfneuW9e-TKBm-rk8I/view?usp=drive_link</t>
  </si>
  <si>
    <t>บานพับจีน -สีขาว</t>
  </si>
  <si>
    <t>https://drive.google.com/file/d/11HkikhyJvZaf4cyo7Usu4UOWmWhAUMUP/view?usp=drive_link</t>
  </si>
  <si>
    <t>แผ่นรับล็อคมือจับของไฮด้า</t>
  </si>
  <si>
    <t>https://drive.google.com/file/d/1gcQd80aS6MKPZFPzw20rAtWzpO3GnN5K/view?usp=drive_link</t>
  </si>
  <si>
    <t>CDQ ชุดบานเฟี้ยม CMECH</t>
  </si>
  <si>
    <t>https://drive.google.com/file/d/1Qip95IV0J8ntWvMWZIgZZkc1UQnji0ng/view?usp=drive_link</t>
  </si>
  <si>
    <t>CDQ ของจีน</t>
  </si>
  <si>
    <t>https://drive.google.com/file/d/1Ns6gqkCAeG2FOhpR_i-2sLpg-as0ndWn/view?usp=drive_link</t>
  </si>
  <si>
    <t>CDQ ชุดบานกระทุ้ง-ดำ</t>
  </si>
  <si>
    <t>CDQ ชุดบานกระทุ้ง</t>
  </si>
  <si>
    <t>https://drive.google.com/file/d/1VC8HN9a1ApWz2IRTVM4cDB-9bRBrfVUu/view?usp=drive_link</t>
  </si>
  <si>
    <t>CDQ ชุดบานกระทุ้ง-เงิน</t>
  </si>
  <si>
    <t>https://drive.google.com/file/d/1IjY3stpVAF97MQb2nQUs7E0N5c-QTq5r/view?usp=drive_link</t>
  </si>
  <si>
    <t>สต๊อปเปอร์หัวบานของบานเปิด</t>
  </si>
  <si>
    <t>https://drive.google.com/file/d/1-_T5isbXdjwMTWx4eqhMq9rQ0Ld0HsFY/view?usp=drive_link</t>
  </si>
  <si>
    <t>สต๊อปเปอร์ SUS304</t>
  </si>
  <si>
    <t>https://drive.google.com/file/d/1aLCLWXBfD5xTEUk4DLpiOh7Y-6sXWx0J/view?usp=drive_link</t>
  </si>
  <si>
    <t>สต๊อปเปอร์แปะพื้น</t>
  </si>
  <si>
    <t>สต๊อปเปอร์ดัดแปลง</t>
  </si>
  <si>
    <t>สต๊อปเปอร์ครึ่งวงกลม</t>
  </si>
  <si>
    <t>ล้ออะไหล่จีน CA-991782-003</t>
  </si>
  <si>
    <t>https://drive.google.com/file/d/1mhYGsJcbyrJAeh1liYTjTc1QKSQKTYOM/view?usp=drive_link</t>
  </si>
  <si>
    <t>อะไหล่บานเลือนสลิม CA-42000-002 (ยาว)</t>
  </si>
  <si>
    <t>https://drive.google.com/file/d/1gn6OHsiwRshZKHBHYA3CmWMxH7Rm2Q7b/view?usp=drive_link</t>
  </si>
  <si>
    <t>อะไหล่บานเลือนสลิม CA-420009-039 (ขวา)</t>
  </si>
  <si>
    <t>https://drive.google.com/file/d/18tf8oLB3voc0aqxlQPJC-meI0HiOuCGV/view?usp=drive_link</t>
  </si>
  <si>
    <t>อะไหล่บานเลือนสลิม CA-420009-040 (ซ้าย)</t>
  </si>
  <si>
    <t>https://drive.google.com/file/d/1y7g_8gR15J7u1XSnh0cI1gHUXqYa0yby/view?usp=drive_link</t>
  </si>
  <si>
    <t>ล้อบานเลื่อน-16x27x190</t>
  </si>
  <si>
    <t>ล้อบานเลื่อน</t>
  </si>
  <si>
    <t>16x27x190</t>
  </si>
  <si>
    <t>https://drive.google.com/file/d/1bVNtm7fP_S79R_pKd9Tuavabot0xI3c8/view?usp=drive_link</t>
  </si>
  <si>
    <t>ล้อ-15x20x230</t>
  </si>
  <si>
    <t>ล้อ</t>
  </si>
  <si>
    <t>15x20x230</t>
  </si>
  <si>
    <t>https://drive.google.com/file/d/1KPhx6AJu-_KE9jT1I6VACYh89TlprTPo/view?usp=drive_link</t>
  </si>
  <si>
    <t>ล้อ (27 ตัวใหญ่)-16x27x255</t>
  </si>
  <si>
    <t>ล้อ (27 ตัวใหญ่)</t>
  </si>
  <si>
    <t>16x27x255</t>
  </si>
  <si>
    <t>https://drive.google.com/file/d/1ZbUz1aPLO_Gl5DorcHbIOx4tHFQVlyOS/view?usp=drive_link</t>
  </si>
  <si>
    <t>ล้อเดียว-สีเขียว</t>
  </si>
  <si>
    <t>ล้อเดียว</t>
  </si>
  <si>
    <t>สีเขียว</t>
  </si>
  <si>
    <t>https://drive.google.com/file/d/15yevunDFeflZAA4HaFSaNx8VBsn7kyza/view?usp=drive_link</t>
  </si>
  <si>
    <t>ล้อเดียว-สีแดง</t>
  </si>
  <si>
    <t>สีแดง</t>
  </si>
  <si>
    <t>https://drive.google.com/file/d/1T4_p7B6718AJ-3Pfo0ecEsUo9bFSQJY8/view?usp=drive_link</t>
  </si>
  <si>
    <t>ล้อแฝด</t>
  </si>
  <si>
    <t>https://drive.google.com/file/d/1XgckA5lcYovIVHlXHSqkL026Bqe077de/view?usp=drive_link</t>
  </si>
  <si>
    <t>ล้อบานเลื่อนแขวน 240 กก.</t>
  </si>
  <si>
    <t>https://drive.google.com/file/d/15gss2zcZtSk2rXmpVZuO-bP1UROBo0ZC/view?usp=drive_link</t>
  </si>
  <si>
    <t>ล้อเดี่ยว-15x18 - 83</t>
  </si>
  <si>
    <t>ล้อเดี่ยว</t>
  </si>
  <si>
    <t>15x18 - 83</t>
  </si>
  <si>
    <t>https://drive.google.com/file/d/1FiVURtqcf8SRfaw0no7VlE9hjP6hwpg5/view?usp=drive_link</t>
  </si>
  <si>
    <t>หมด</t>
  </si>
  <si>
    <t>ล้อ-15x18 - 140</t>
  </si>
  <si>
    <t>15x18 - 140</t>
  </si>
  <si>
    <t>https://drive.google.com/file/d/18Xdin2VetqS3xwCByUG_WMqkbQ8zB977/view?usp=drive_link</t>
  </si>
  <si>
    <t>ล้อ-15x20 - 150</t>
  </si>
  <si>
    <t>15x20 - 150</t>
  </si>
  <si>
    <t>https://drive.google.com/file/d/1XlIfV6clHhNL1EWko3EQk8NJtP_j1Wer/view?usp=drive_link</t>
  </si>
  <si>
    <t>ล้อ-15x24 - 155</t>
  </si>
  <si>
    <t>15x24 - 155</t>
  </si>
  <si>
    <t>https://drive.google.com/file/d/1FvwZplTGfMOeS9MlqetKLYVJyVnJD8Ln/view?usp=drive_link</t>
  </si>
  <si>
    <t>ล้อกันกระดก</t>
  </si>
  <si>
    <t>https://drive.google.com/file/d/11xCwc6bFO5EGwOpDZrWAU_vn-Vnbb3uS/view?usp=drive_link</t>
  </si>
  <si>
    <t>ล้อ hafele -100/A</t>
  </si>
  <si>
    <t xml:space="preserve">ล้อ hafele </t>
  </si>
  <si>
    <t>100/A</t>
  </si>
  <si>
    <t>https://drive.google.com/drive/folders/1E3ESNiLrrKA1IuUNYZc1mKimwbVEdNtM</t>
  </si>
  <si>
    <t>รูระบายน้ำตัวกลม</t>
  </si>
  <si>
    <t>https://drive.google.com/file/d/1Ns0G5cP9TLnbmQ8dRKKFDSTeFTzgMbl7/view?usp=drive_link</t>
  </si>
  <si>
    <t>รูระบายน้ำตัวยาว</t>
  </si>
  <si>
    <t>https://drive.google.com/file/d/1auCqaudAgMVqu3BS-TcTafJz3xdyJsYy/view?usp=drive_link</t>
  </si>
  <si>
    <t>ก้ามปูบานเลื่อน</t>
  </si>
  <si>
    <t>https://drive.google.com/file/d/1OoiRANoaTW8_eav4_ZHGRQKbQr2N8AUy/view?usp=drive_link</t>
  </si>
  <si>
    <t>สปริงก๊อต</t>
  </si>
  <si>
    <t>https://drive.google.com/file/d/15FRlaLhmqQQEqc_qiQTEHJabM893cCau/view?usp=drive_link</t>
  </si>
  <si>
    <t>ลูกบิดมุ้ง-ดำ</t>
  </si>
  <si>
    <t>ลูกบิดมุ้ง</t>
  </si>
  <si>
    <t>https://drive.google.com/file/d/135e1l6P-eqUTliJIhTFXWVDPsXiTFj0m/view?usp=drive_link</t>
  </si>
  <si>
    <t>ลูกบิดมุ้ง-ชาว</t>
  </si>
  <si>
    <t>ชาว</t>
  </si>
  <si>
    <t>https://drive.google.com/file/d/1mbZAFVocqY4N3VFt6u54npaQS_mRk4zs/view?usp=drive_link</t>
  </si>
  <si>
    <t>ลูกบิดมุ้ง-ใส</t>
  </si>
  <si>
    <t>กลอนซ่อน</t>
  </si>
  <si>
    <t>https://drive.google.com/file/d/1hKxglWbvju6rDgO7E4Ta2iQacY1tl517/view?usp=drive_link</t>
  </si>
  <si>
    <t>ปิดร่องเฟรมบน บานเฟียม</t>
  </si>
  <si>
    <t>https://drive.google.com/file/d/1WNxL7bIws4spuIySeuTeYNrBqBhVx26T/view?usp=drive_link</t>
  </si>
  <si>
    <t>ลูกปืนทอง (ปลายกลอน)</t>
  </si>
  <si>
    <t>https://drive.google.com/file/d/1xy-uR_6wm9O8sWyYV3WenMT5D70MmZB4/view?usp=drive_link</t>
  </si>
  <si>
    <t>แผ่นรับล็อคบานเลื่อนยูโร</t>
  </si>
  <si>
    <t>https://drive.google.com/file/d/1GnGs-33lwqEjM_xT0vo04jDREKyKzJll/view?usp=drive_link</t>
  </si>
  <si>
    <t>ฝาปิดตบเกี่ยวยูโร</t>
  </si>
  <si>
    <t>https://drive.google.com/file/d/1VloZHykQlv-9UdrD_AtKlF4bFeTZuqOo/view?usp=drive_link</t>
  </si>
  <si>
    <t>ฝาปิดรูกลอนประตู</t>
  </si>
  <si>
    <t>https://drive.google.com/file/d/1vnAdkDseAJ-dSsAkTPxuflCwwI21RC53/view?usp=drive_link</t>
  </si>
  <si>
    <t>อุปกรณ์ชุดบานเฟี้ยม-สีดำ-05-004-BL</t>
  </si>
  <si>
    <t>อุปกรณ์ชุดบานเฟี้ยม</t>
  </si>
  <si>
    <t>05-004-BL</t>
  </si>
  <si>
    <t>https://drive.google.com/file/d/1-Qz0XemC4GbWQbciBOURl9bs9KU45kBb/view?usp=drive_link</t>
  </si>
  <si>
    <t>อุปกรณ์ชุดบานเฟี้ยม-สีดำ-05-005-BL</t>
  </si>
  <si>
    <t>05-005-BL</t>
  </si>
  <si>
    <t>https://drive.google.com/file/d/1r1qtUSleOCgz99FsqDXVyKj0b9bamEMn/view?usp=drive_link</t>
  </si>
  <si>
    <t>อุปกรณ์ชุดบานเฟี้ยม-สีดำ-05-006-BL</t>
  </si>
  <si>
    <t>05-006-BL</t>
  </si>
  <si>
    <t>https://drive.google.com/file/d/1f0IIkOf7LbsqHq_ZDlT3lmU_pRDtqDU_/view?usp=drive_link</t>
  </si>
  <si>
    <t>อุปกรณ์ชุดบานเฟี้ยม-สีดำ-05-007-BL</t>
  </si>
  <si>
    <t>05-007-BL</t>
  </si>
  <si>
    <t>https://drive.google.com/file/d/1x9GvxJUJGuVoz1RhLgraPa3qbtfEAv_v/view?usp=drive_link</t>
  </si>
  <si>
    <t>อุปกรณ์ชุดบานเฟี้ยม-สีดำ-05-008-BL</t>
  </si>
  <si>
    <t>05-008-BL</t>
  </si>
  <si>
    <t>https://drive.google.com/file/d/1MGA0pOmlZpH6XsXqs57r3j__Oe5vy1x7/view?usp=drive_link</t>
  </si>
  <si>
    <t>อุปกรณ์ชุดบานเฟี้ยม-สีดำ-05-009-BL</t>
  </si>
  <si>
    <t>05-009-BL</t>
  </si>
  <si>
    <t>https://drive.google.com/file/d/1ETAJd-bFEJNL7rIasHgxBC983cd_S0i4/view?usp=drive_link</t>
  </si>
  <si>
    <t>อุปกรณ์ชุดบานเฟี้ยม-สีดำ-05-010-BL</t>
  </si>
  <si>
    <t>05-010-BL</t>
  </si>
  <si>
    <t>https://drive.google.com/file/d/1Fgcm1ktUbB-L9njkwOPzAiZ6hB7jmmTH/view?usp=drive_link</t>
  </si>
  <si>
    <t>อุปกรณ์ชุดบานเฟี้ยม-สีดำ-05-011-BL</t>
  </si>
  <si>
    <t>05-011-BL</t>
  </si>
  <si>
    <t>https://drive.google.com/file/d/14dX8W3Vgj0aQ1duVU6BXBZQpO4c018nR/view?usp=drive_link</t>
  </si>
  <si>
    <t>อุปกรณ์ชุดบานเฟี้ยม-สีเงิน-05-004-SL</t>
  </si>
  <si>
    <t>สีเงิน</t>
  </si>
  <si>
    <t>05-004-SL</t>
  </si>
  <si>
    <t>https://drive.google.com/file/d/1hv3OjJhAQ78GwWEB_7k6VerdgPyHpLHv/view?usp=drive_link</t>
  </si>
  <si>
    <t>อุปกรณ์ชุดบานเฟี้ยม-สีเงิน-05-005-SL</t>
  </si>
  <si>
    <t>05-005-SL</t>
  </si>
  <si>
    <t>https://drive.google.com/file/d/1RLsJlZt0fEUr3whFCIYl25K18uv-eUP_/view?usp=drive_link</t>
  </si>
  <si>
    <t>อุปกรณ์ชุดบานเฟี้ยม-สีเงิน-05-006-SL</t>
  </si>
  <si>
    <t>05-006-SL</t>
  </si>
  <si>
    <t>https://drive.google.com/file/d/190qV8x20tMv5VwFOjq8T9_IQB9SJgdxn/view?usp=drive_link</t>
  </si>
  <si>
    <t>อุปกรณ์ชุดบานเฟี้ยม-สีเงิน-05-007-SL</t>
  </si>
  <si>
    <t>05-007-SL</t>
  </si>
  <si>
    <t>https://drive.google.com/file/d/1HZ71cnHSaVzNJitqRxcfbRgnFy0i43T0/view?usp=drive_link</t>
  </si>
  <si>
    <t>อุปกรณ์ชุดบานเฟี้ยม-สีเงิน-05-008-SL</t>
  </si>
  <si>
    <t>05-008-SL</t>
  </si>
  <si>
    <t>https://drive.google.com/file/d/1SSB_kpMS0rMsa4wCmo0zStnHfMseepJ1/view?usp=drive_link</t>
  </si>
  <si>
    <t>อุปกรณ์ชุดบานเฟี้ยม-สีเงิน-05-009-SL</t>
  </si>
  <si>
    <t>05-009-SL</t>
  </si>
  <si>
    <t>https://drive.google.com/file/d/1NECWtO9Vck6sExv3XMOOm5sf7bq50x3S/view?usp=drive_link</t>
  </si>
  <si>
    <t>อุปกรณ์ชุดบานเฟี้ยม-สีเงิน-05-010-SL</t>
  </si>
  <si>
    <t>05-010-SL</t>
  </si>
  <si>
    <t>https://drive.google.com/file/d/1rsGWmpcKIlQuOJ5PgRI9X4EwlN-FD2Kr/view?usp=drive_link</t>
  </si>
  <si>
    <t>อุปกรณ์ชุดบานเฟี้ยม-สีเงิน-05-011-SL</t>
  </si>
  <si>
    <t>05-011-SL</t>
  </si>
  <si>
    <t>https://drive.google.com/file/d/11zjcVKQstZBirq3dDb8P4Zsa1kM6E5VQ/view?usp=drive_link</t>
  </si>
  <si>
    <t>คอม้าเหล็กสแตนเลส</t>
  </si>
  <si>
    <t>https://drive.google.com/file/d/1jGSaZ_EVi0O1nYwoRDctTxXPfFQihO2e/view?usp=drive_link</t>
  </si>
  <si>
    <t>คอม้าบานสวิง-สีอบขาว</t>
  </si>
  <si>
    <t>คอม้าบานสวิง</t>
  </si>
  <si>
    <t>สีอบขาว</t>
  </si>
  <si>
    <t>https://drive.google.com/file/d/1tV5bL8SFJb58NASYxBUxxqHtliJf_GSv/view?usp=drive_link</t>
  </si>
  <si>
    <t>คอม้าบานสวิง-ดำ</t>
  </si>
  <si>
    <t>https://drive.google.com/file/d/172_Cswcbr1sCaWSN23aJluMXYVD-d0BN/view?usp=drive_link</t>
  </si>
  <si>
    <t>คอม้าบานสวิง-ชา</t>
  </si>
  <si>
    <t>https://drive.google.com/file/d/187xiTiValzF1Fo8O5e9mud9ajO_YhamK/view?usp=drive_link</t>
  </si>
  <si>
    <t>คอม้าบานสวิง-บรอนซ์</t>
  </si>
  <si>
    <t>บรอนซ์</t>
  </si>
  <si>
    <t>https://drive.google.com/file/d/1-xAIKBdA2k1GzjZ2j_oqDn9AKjFEYlSx/view?usp=drive_link</t>
  </si>
  <si>
    <t>คอม้าบานเลื่อน-สีอบขาว</t>
  </si>
  <si>
    <t>คอม้าบานเลื่อน</t>
  </si>
  <si>
    <t>https://drive.google.com/file/d/16Er3QytB-ynEvhpxIgNh4V8-sFnd8PuD/view?usp=drive_link</t>
  </si>
  <si>
    <t>คอม้าบานเลื่อน-ดำ</t>
  </si>
  <si>
    <t>https://drive.google.com/file/d/1q4a0-HiFOHXcfgAuhjg-4SlrulMGomqL/view?usp=drive_link</t>
  </si>
  <si>
    <t>คอม้าบานเลื่อน-ชา</t>
  </si>
  <si>
    <t>https://drive.google.com/file/d/1biWt4gKKepWLhV1m2VH38WdHHcsJxO-Y/view?usp=drive_link</t>
  </si>
  <si>
    <t>คอม้าบานเลื่อน-บรอนซ์</t>
  </si>
  <si>
    <t>https://drive.google.com/file/d/1jL0aeghjFo3inP9Iy4fw_bGfeZLABDql/view?usp=drive_link</t>
  </si>
  <si>
    <t>กลอนบานสวิงกล่องสีส้ม-ดำ</t>
  </si>
  <si>
    <t>กลอนบานสวิงกล่องสีส้ม</t>
  </si>
  <si>
    <t>https://drive.google.com/file/d/1TnCt9im6cyjwXSGZjtIo232Esgv71uy-/view?usp=drive_link</t>
  </si>
  <si>
    <t>กลอนบานสวิงกล่องสีส้ม-ขาว</t>
  </si>
  <si>
    <t>https://drive.google.com/file/d/1UKAhBpyyNYofKjSF7V-LlRP69G4vxTvM/view?usp=drive_link</t>
  </si>
  <si>
    <t>กลอนบานสวิงกล่องสีส้ม-สีชา</t>
  </si>
  <si>
    <t>https://drive.google.com/file/d/1Ls4bbNodlMXfotEwYQVNPy_2bWzG1uVm/view?usp=drive_link</t>
  </si>
  <si>
    <t>กลอนบานสวิงกล่องสีส้ม-อบขาว</t>
  </si>
  <si>
    <t>https://drive.google.com/file/d/1qXhHDMmtgodOoFzoV2-Xv5BZGtrGeZ4A/view?usp=drive_link</t>
  </si>
  <si>
    <t>ท่อนํ้าทิ้ง-2½"</t>
  </si>
  <si>
    <t>ท่อนํ้าทิ้ง</t>
  </si>
  <si>
    <t>2½"</t>
  </si>
  <si>
    <t>https://drive.google.com/file/d/1gwpHoQR95hKjL_-1MFQpQnscQG1Q0kBm/view?usp=drive_link</t>
  </si>
  <si>
    <t>ข้อต่อตรง-2½"</t>
  </si>
  <si>
    <t>ข้อต่อตรง</t>
  </si>
  <si>
    <t>https://drive.google.com/file/d/1kTFJQCXySDtQ-Qsk4X-nkUo_FB060v_a/view?usp=drive_link</t>
  </si>
  <si>
    <t>ข้องอ90-2½"</t>
  </si>
  <si>
    <t>ข้องอ90</t>
  </si>
  <si>
    <t>https://drive.google.com/file/d/1-_RRfCFlH9SYm9JX_KlRXHb0PzwqTBaY/view?usp=drive_link</t>
  </si>
  <si>
    <t>ข้องอ45-2½"</t>
  </si>
  <si>
    <t>ข้องอ45</t>
  </si>
  <si>
    <t>https://drive.google.com/file/d/1GU9COVDsYcPzIUpcLeQFg-Vf-b4MhcSk/view?usp=drive_link</t>
  </si>
  <si>
    <t>ต่อ 3 ทาง-2½"</t>
  </si>
  <si>
    <t>ต่อ 3 ทาง</t>
  </si>
  <si>
    <t>https://drive.google.com/file/d/1xR_x36BKDw6cHBIvbcaSmKNtxIIssCth/view?usp=drive_link</t>
  </si>
  <si>
    <t>ต่อ 3 ทาง y-2½"</t>
  </si>
  <si>
    <t>ต่อ 3 ทาง y</t>
  </si>
  <si>
    <t>https://drive.google.com/file/d/1NhrR-9hrzy0ErgVOXXpBlqXWy_hpqXxh/view?usp=drive_link</t>
  </si>
  <si>
    <t>กรวยรางนํ้าสแตนเลส-2½"</t>
  </si>
  <si>
    <t>กรวยรางนํ้าสแตนเลส</t>
  </si>
  <si>
    <t>https://drive.google.com/file/d/1l1tKUK9V7CxrD-ZTh3TEfTh81YR9Xj7C/view?usp=drive_link</t>
  </si>
  <si>
    <t>ท่อนํ้าทิ้ง-2"</t>
  </si>
  <si>
    <t>2"</t>
  </si>
  <si>
    <t>https://drive.google.com/file/d/1AjbAznfHdKETG800iRC7ovQSRqLONI2O/view?usp=drive_link</t>
  </si>
  <si>
    <t>ข้องอ 90-2"</t>
  </si>
  <si>
    <t>ข้องอ 90</t>
  </si>
  <si>
    <t>https://drive.google.com/file/d/1rLum1Fp8eVc5I92xcXgfuxLAYk96NCAZ/view?usp=drive_link</t>
  </si>
  <si>
    <t>ข้องอ 45-2"</t>
  </si>
  <si>
    <t>ข้องอ 45</t>
  </si>
  <si>
    <t>https://drive.google.com/file/d/1aoY_pYqAg36PpublDp8sJuuE-gs1QTKD/view?usp=drive_link</t>
  </si>
  <si>
    <t>กรวยรางนํ้าสแตนเลส-2"</t>
  </si>
  <si>
    <t>https://drive.google.com/file/d/1tl0EbwMKdrPc2qCbADAIMBtD2WfgQvDD/view?usp=drive_link</t>
  </si>
  <si>
    <t>กาวทาท่อนํ้า</t>
  </si>
  <si>
    <t>https://drive.google.com/file/d/1OxCJB-tfzvr-Ekf-W_Z7ZtC_juNnVBmT/view?usp=drive_link</t>
  </si>
  <si>
    <t>เทปพันท่อนํ้า -สีขาว</t>
  </si>
  <si>
    <t xml:space="preserve">เทปพันท่อนํ้า </t>
  </si>
  <si>
    <t>https://drive.google.com/file/d/1LfaMbCYz80BvtAxP36W6xQ7qhLyiWHwx/view?usp=drive_link</t>
  </si>
  <si>
    <t>โช่รางนํ้าโลตัส-สีขาว</t>
  </si>
  <si>
    <t>โช่รางนํ้าโลตัส</t>
  </si>
  <si>
    <t>https://drive.google.com/file/d/19Dxrs7-n21-oz9TqQD4PJy-POpoJFh7V/view?usp=drive_link</t>
  </si>
  <si>
    <t>โช่รางนํ้าโลตัส-สีนํ้าตาล</t>
  </si>
  <si>
    <t>สีนํ้าตาล</t>
  </si>
  <si>
    <t>https://drive.google.com/file/d/1SVUHBLkKi7k0z2-V5yDZggA3Be770CNk/view?usp=drive_link</t>
  </si>
  <si>
    <t>โช่รางนํ้า ทิวลิป-สีขาว</t>
  </si>
  <si>
    <t>โช่รางนํ้า ทิวลิป</t>
  </si>
  <si>
    <t>https://drive.google.com/file/d/1UWXcpj196-QTN_uFSNM9PDPe8jd2fBEm/view?usp=drive_link</t>
  </si>
  <si>
    <t>โช่รางนํ้า ทิวลิป-สีนํ้าตาล</t>
  </si>
  <si>
    <t>https://drive.google.com/file/d/1CHNpQl580aLSeWUesvJX5k1RlCB6_rHE/view?usp=drive_link</t>
  </si>
  <si>
    <t>พัดลมดูดอากาศ-สีขาว-8"</t>
  </si>
  <si>
    <t>พัดลมดูดอากาศ</t>
  </si>
  <si>
    <t>8"</t>
  </si>
  <si>
    <t>https://drive.google.com/file/d/1JJcHSbYXrA6tXc9yC-RYqsCO1zCO3o_v/view?usp=drive_link</t>
  </si>
  <si>
    <t>พัดลมดูดอากาศ-สีนํ้าตาล-8"</t>
  </si>
  <si>
    <t>https://drive.google.com/file/d/10PsJV7J9984SGqS5pXEvZy-dlBG_68KG/view?usp=drive_link</t>
  </si>
  <si>
    <t>หน้ากากระบายอากาศ-สีขาว-8"</t>
  </si>
  <si>
    <t>หน้ากากระบายอากาศ</t>
  </si>
  <si>
    <t>https://drive.google.com/file/d/1KZkqAQXFJTyZ1ApsuvSd6AXAfuFf4N6W/view?usp=drive_link</t>
  </si>
  <si>
    <t>พัดลมดูดอากาศ-สีขาว-10"</t>
  </si>
  <si>
    <t>10"</t>
  </si>
  <si>
    <t>หน้ากากระบายอากาศ-สีขาว-10"</t>
  </si>
  <si>
    <t>สายไฟ 1.5-ฟ้า</t>
  </si>
  <si>
    <t>สายไฟ 1.5</t>
  </si>
  <si>
    <t>ฟ้า</t>
  </si>
  <si>
    <t>https://drive.google.com/file/d/1HCjYTstQ_FET3B7s6Rw0GmBGNoBJ8zfz/view?usp=drive_link</t>
  </si>
  <si>
    <t>สายไฟ 1.5-แดง</t>
  </si>
  <si>
    <t>แดง</t>
  </si>
  <si>
    <t>https://drive.google.com/file/d/1zZt0kEjr44Qzu7NCk188lXRlsYfXpurS/view?usp=drive_link</t>
  </si>
  <si>
    <t>สายไฟ 1.5-น้ำตาล</t>
  </si>
  <si>
    <t>น้ำตาล</t>
  </si>
  <si>
    <t>https://drive.google.com/file/d/1GssZUCQMQOia-5Royo9BY3tteMba06QL/view?usp=drive_link</t>
  </si>
  <si>
    <t>สายไฟ 1.5-เขียว</t>
  </si>
  <si>
    <t>เขียว</t>
  </si>
  <si>
    <t>https://drive.google.com/file/d/1i5_SJuh4bkrLXQWfPSnvY3PDRxIXiWJW/view?usp=drive_link</t>
  </si>
  <si>
    <t>สายไฟ 2.5-ฟ้า</t>
  </si>
  <si>
    <t>สายไฟ 2.5</t>
  </si>
  <si>
    <t>https://drive.google.com/file/d/1gr_RFdj2ubWXCCS3pcW1qL0RlVlV-Ssw/view?usp=drive_link</t>
  </si>
  <si>
    <t>สายไฟ 2.5-น้ำตาล</t>
  </si>
  <si>
    <t>https://drive.google.com/file/d/1vJH36Td1QXqGbEdk3z8eF85XjDNNEa-G/view?usp=drive_link</t>
  </si>
  <si>
    <t>สายไฟ 2.5-เขียว</t>
  </si>
  <si>
    <t>https://drive.google.com/file/d/1Ain_BEHJGxBfLep-pZ50xpukF9QSWpWg/view?usp=drive_link</t>
  </si>
  <si>
    <t>ท่อไฟ T3</t>
  </si>
  <si>
    <t>https://drive.google.com/file/d/1j6MG9EATyZ40kLs-2A9gnEHDRZrZ3VSU/view?usp=drive_link</t>
  </si>
  <si>
    <t>รางไฟ T3</t>
  </si>
  <si>
    <t>https://drive.google.com/file/d/1vGIRw5emZiFZozCgM_Inp6NIKXgXjrdP/view?usp=drive_link</t>
  </si>
  <si>
    <t>รางไฟ T2</t>
  </si>
  <si>
    <t>https://drive.google.com/file/d/11fmG9166UiRL--AteA9q4vIz3aAkl7xk/view?usp=drive_link</t>
  </si>
  <si>
    <t>ปลั๊กกราวด์คู่</t>
  </si>
  <si>
    <t>https://drive.google.com/file/d/1hkvngwXYF12BjyVYl7SfgWce2gNshYqD/view?usp=drive_link</t>
  </si>
  <si>
    <t>ปลั๊กกราวด์เดี่ยว</t>
  </si>
  <si>
    <t>https://drive.google.com/file/d/1bfH_xPn77tSO9hbXcbLToFz6lf60TI-5/view?usp=drive_link</t>
  </si>
  <si>
    <t>สวิทช์ไฟ</t>
  </si>
  <si>
    <t>https://drive.google.com/file/d/1k1Jtun1JxdfaU8C30EdbLd-hz-A2hRis/view?usp=drive_link</t>
  </si>
  <si>
    <t>ปลั๊กตัวผู้</t>
  </si>
  <si>
    <t>https://drive.google.com/file/d/1Z9Y0A_dMDcsVic_TOfO6kPio7URpSrrR/view?usp=drive_link</t>
  </si>
  <si>
    <t>หน้ากาก 1 ช่อง-2x4</t>
  </si>
  <si>
    <t>หน้ากาก 1 ช่อง</t>
  </si>
  <si>
    <t>2x4</t>
  </si>
  <si>
    <t>https://drive.google.com/file/d/1INhc9e1rWMT3H3LMdUm3-yVNfr12hzAS/view?usp=drive_link</t>
  </si>
  <si>
    <t>หน้ากาก 3 ช่อง-4x4</t>
  </si>
  <si>
    <t>หน้ากาก 3 ช่อง</t>
  </si>
  <si>
    <t>4x4</t>
  </si>
  <si>
    <t>https://drive.google.com/file/d/18ojjvhT1soSyuoOj4oHGKwd4h8YuoxCN/view?usp=drive_link</t>
  </si>
  <si>
    <t>หน้ากาก 2 ช่อง-2x4</t>
  </si>
  <si>
    <t>หน้ากาก 2 ช่อง</t>
  </si>
  <si>
    <t>https://drive.google.com/file/d/1TKKo9G9UCXeJk0kVB0-9iYt_WQ50PBmY/view?usp=drive_link</t>
  </si>
  <si>
    <t>หน้ากาก 4 ช่อง-4x4</t>
  </si>
  <si>
    <t>หน้ากาก 4 ช่อง</t>
  </si>
  <si>
    <t>https://drive.google.com/file/d/1VbdTavzsolKTGdgRo_RTxEm5oPS-86iD/view?usp=drive_link</t>
  </si>
  <si>
    <t>กล่องลอย-2x4</t>
  </si>
  <si>
    <t>กล่องลอย</t>
  </si>
  <si>
    <t>https://drive.google.com/file/d/1EB59tJf55NH2fqk9CrfTw75ZyFiqHmcj/view?usp=drive_link</t>
  </si>
  <si>
    <t>กล่องลอย-4x4</t>
  </si>
  <si>
    <t>https://drive.google.com/file/d/12thVMsNlAtY5YpuCl6bb0-YbA31ED-I2/view?usp=drive_link</t>
  </si>
  <si>
    <t>กล่องกันนํ้า-2x4</t>
  </si>
  <si>
    <t>กล่องกันนํ้า</t>
  </si>
  <si>
    <t>https://drive.google.com/file/d/1esqrDDbmOhX-Qka1bsbe86kv4qGMIt8Z/view?usp=drive_link</t>
  </si>
  <si>
    <t>กล่องกันนํ้า-4x4</t>
  </si>
  <si>
    <t>https://drive.google.com/file/d/1lkDTrc-_dUOworzhexy9Ve_SKPiN5Nk5/view?usp=drive_link</t>
  </si>
  <si>
    <t>หลอดไฟกลม</t>
  </si>
  <si>
    <t>https://drive.google.com/file/d/16N64SkYFmw9_yGMtSWq84HCDahPn6eqM/view?usp=drive_link</t>
  </si>
  <si>
    <t>โคมไฟกระบอก-ขาว</t>
  </si>
  <si>
    <t>โคมไฟกระบอก</t>
  </si>
  <si>
    <t>https://drive.google.com/file/d/1_79dtt_Ek7ocP_Ryo1VqT-eY4ySKovX5/view?usp=drive_link</t>
  </si>
  <si>
    <t>โคมไฟกระบอก-ดำ</t>
  </si>
  <si>
    <t>https://drive.google.com/file/d/1jLs_nsiav-om92eLY9CiLiBzSD3y-4hK/view?usp=drive_link</t>
  </si>
  <si>
    <t>ไฟแบนฝังฝ้า</t>
  </si>
  <si>
    <t>https://drive.google.com/file/d/1-GZNLIcXy8xFJPCiMSTLEpS1GSe7Su5y/view?usp=drive_link</t>
  </si>
  <si>
    <t>ไฟแบนติดฝ้า-ดำ</t>
  </si>
  <si>
    <t>ไฟแบนติดฝ้า</t>
  </si>
  <si>
    <t>https://drive.google.com/file/d/1Qgag7ArPQagfs7TqszybhaiGIKBhMjEz/view?usp=drive_link</t>
  </si>
  <si>
    <t>ไฟแบนติดฝ้า-ขาว</t>
  </si>
  <si>
    <t>คอนเน็กเตอร์</t>
  </si>
  <si>
    <t>https://drive.google.com/file/d/13YsugpVCBAN2HAhNaQ4VOZFmGS5SyWb-/view?usp=drive_link</t>
  </si>
  <si>
    <t>ต่อตรง</t>
  </si>
  <si>
    <t>https://drive.google.com/file/d/1AT4-B4_Lja0c2DgMXbuQ-KmOuot5pTdG/view?usp=drive_link</t>
  </si>
  <si>
    <t>ข้องอ-16mm</t>
  </si>
  <si>
    <t>ข้องอ</t>
  </si>
  <si>
    <t>16mm</t>
  </si>
  <si>
    <t>https://drive.google.com/file/d/1TEfq9XGrxu-b9ZJBnpWYJiUOjVh2ieKZ/view?usp=drive_link</t>
  </si>
  <si>
    <t>ข้องอ 9 โค้ง</t>
  </si>
  <si>
    <t>https://drive.google.com/file/d/1FURWmAqjdySQJqVi7B6CIZNLkj3_vUDm/view?usp=drive_link</t>
  </si>
  <si>
    <t>ข้อต่อ 3 ทาง</t>
  </si>
  <si>
    <t>https://drive.google.com/file/d/1xjAIed_tTvNl82F27yJWQJNHRmsQ4l_R/view?usp=drive_link</t>
  </si>
  <si>
    <t>ข้อต่อ 3 ตัวใหญ่แบบฝาปิด</t>
  </si>
  <si>
    <t>https://drive.google.com/file/d/1LvK-_HorTNvTRzvzc3gkTZLQv6USNocx/view?usp=drive_link</t>
  </si>
  <si>
    <t>เฟล็ก งานไฟ</t>
  </si>
  <si>
    <t>https://drive.google.com/file/d/1xGfWl5mqsMJUEa9LybUE3N641rjr5y2T/view?usp=drive_link</t>
  </si>
  <si>
    <t>50เมตร</t>
  </si>
  <si>
    <t>ดอกเจาะปูน-6.5X160 MM</t>
  </si>
  <si>
    <t>ดอกเจาะปูน</t>
  </si>
  <si>
    <t>6.5X160 MM</t>
  </si>
  <si>
    <t>https://drive.google.com/file/d/1LaD1rPoPO0_9ZjFr-v6vOeYp1_8slC-x/view?usp=drive_link</t>
  </si>
  <si>
    <t>ดอกเจาะปูน-8X160 MM</t>
  </si>
  <si>
    <t>8X160 MM</t>
  </si>
  <si>
    <t>https://drive.google.com/file/d/1Ofs8o3i9ICKYXTuBXJH3W-s11ehXPmVv/view?usp=drive_link</t>
  </si>
  <si>
    <t>ดอกเจาะปูน-10</t>
  </si>
  <si>
    <t>https://drive.google.com/file/d/14r1s276ETlebU-c-5JmVdtGnMk457tyG/view?usp=drive_link</t>
  </si>
  <si>
    <t>ดอกเจาะปูน-12</t>
  </si>
  <si>
    <t>https://drive.google.com/file/d/1h-lphLQfWiv66cNB34Aau6ntCngXRYnq/view?usp=drive_link</t>
  </si>
  <si>
    <t>ดอกเจาะปูน-13</t>
  </si>
  <si>
    <t>https://drive.google.com/file/d/1B4QAZ93wCi3zQ0s2qSG8j4J9S30oiBuI/view?usp=drive_link</t>
  </si>
  <si>
    <t>ดอกเจาะปูน-19</t>
  </si>
  <si>
    <t>https://drive.google.com/file/d/1VahBm__3pf3IB1Y-ns3UB2p1L_KHVRBz/view?usp=drive_link</t>
  </si>
  <si>
    <t>ดอกสะกัด หัวแบน-14X250</t>
  </si>
  <si>
    <t>ดอกสะกัด หัวแบน</t>
  </si>
  <si>
    <t>14X250</t>
  </si>
  <si>
    <t>https://drive.google.com/file/d/1KU24_w0GXGZ1_4BX30fVRq2WQpKaYlMD/view?usp=drive_link</t>
  </si>
  <si>
    <t>ดอกสะกัด หัวแหลก-140X250</t>
  </si>
  <si>
    <t>ดอกสะกัด หัวแหลก</t>
  </si>
  <si>
    <t>140X250</t>
  </si>
  <si>
    <t>https://drive.google.com/file/d/1mbmXs9-9OztvPK0qQsaRkfbhJufvD37c/view?usp=drive_link</t>
  </si>
  <si>
    <t>ลูกกลิ้งเล็ก</t>
  </si>
  <si>
    <t>https://drive.google.com/file/d/1kwHhkPGhybaCdyTWVHpP77Isfh-3L5Wk/view?usp=drive_link</t>
  </si>
  <si>
    <t>แปรงทาสีอันเล็ก อันกลาง อันใหญ่ พู่กัน</t>
  </si>
  <si>
    <t>https://drive.google.com/file/d/1VPGw46lt-yAOxS_3K-Ttg_Dm_sYWvSOq/view?usp=drive_link</t>
  </si>
  <si>
    <t>แปรงไม้ไผ่15แปรง2"50</t>
  </si>
  <si>
    <t>ดอกสว่านเจาะ-01/8" = ดอกเล็ก</t>
  </si>
  <si>
    <t>ดอกสว่านเจาะ</t>
  </si>
  <si>
    <t>01/8" = ดอกเล็ก</t>
  </si>
  <si>
    <t>https://drive.google.com/file/d/16yaj2ioHGnizp5TLWc0HIruIQt67y1vb/view?usp=drive_link</t>
  </si>
  <si>
    <t>ดอกสว่านเจาะ-03/16" = ดอก1½</t>
  </si>
  <si>
    <t>03/16" = ดอก1½</t>
  </si>
  <si>
    <t>https://drive.google.com/file/d/1aLqnN9xg-OBEpHCpkoSvhr5U8vLCojsy/view?usp=drive_link</t>
  </si>
  <si>
    <t>ดอกสว่านเจาะ-01/4" = ดอก 2</t>
  </si>
  <si>
    <t>01/4" = ดอก 2</t>
  </si>
  <si>
    <t>https://drive.google.com/file/d/1JHich7MlOfiiJ6uZUYmpjueF2SecqF_u/view?usp=drive_link</t>
  </si>
  <si>
    <t>ดอกสว่านเจาะ-05/16" = ดอก 2½</t>
  </si>
  <si>
    <t>05/16" = ดอก 2½</t>
  </si>
  <si>
    <t>https://drive.google.com/file/d/1AvchSbKqYfGVXrSVfi5ac94vWTJ7IfyA/view?usp=drive_link</t>
  </si>
  <si>
    <t>ดอกสว่านเจาะ-03/8" = ดอก 3</t>
  </si>
  <si>
    <t>03/8" = ดอก 3</t>
  </si>
  <si>
    <t>https://drive.google.com/file/d/118q7ukC-SiVj7H_k_d8UCWpyHPQNyi4S/view?usp=drive_link</t>
  </si>
  <si>
    <t>ดอกสว่านเจาะ-07/16" = ดอก3½</t>
  </si>
  <si>
    <t>07/16" = ดอก3½</t>
  </si>
  <si>
    <t>https://drive.google.com/file/d/1ex6bXU-yn2hwZZOGThQrYhmZorDHjhQm/view?usp=drive_link</t>
  </si>
  <si>
    <t>ดอกสว่านเจาะ-01/2" = ดอก 4</t>
  </si>
  <si>
    <t>01/2" = ดอก 4</t>
  </si>
  <si>
    <t>https://drive.google.com/file/d/1USB97iUM8em1zVJdPHxMYuX2YEnMK5ad/view?usp=drive_link</t>
  </si>
  <si>
    <t>หัวขัน-65 mm</t>
  </si>
  <si>
    <t>หัวขัน</t>
  </si>
  <si>
    <t>65 mm</t>
  </si>
  <si>
    <t>https://drive.google.com/file/d/1vhYNLVjgqTbX40FEACD6Vaq6hDt-oKdK/view?usp=drive_link</t>
  </si>
  <si>
    <t>หัขัน-65</t>
  </si>
  <si>
    <t>หัขัน</t>
  </si>
  <si>
    <t>https://drive.google.com/file/d/1jwi7EP9pGUEXezPk5m1wkeTNhgW6dELI/view?usp=drive_link</t>
  </si>
  <si>
    <t>หัวขัน-100 mm</t>
  </si>
  <si>
    <t>100 mm</t>
  </si>
  <si>
    <t>https://drive.google.com/file/d/1bn1q8wM8Y2wHbkmeMx9NO11j2LWAwCmI/view?usp=drive_link</t>
  </si>
  <si>
    <t>หัวขันแม่เหล็ก-150 mm</t>
  </si>
  <si>
    <t>หัวขันแม่เหล็ก</t>
  </si>
  <si>
    <t>150 mm</t>
  </si>
  <si>
    <t>https://drive.google.com/file/d/1gDENucgkDEK-ftCoDeAS5ZnCEao4SvE7/view?usp=drive_link</t>
  </si>
  <si>
    <t>โฮลซอเจาะเหล็ก -75 mm</t>
  </si>
  <si>
    <t xml:space="preserve">โฮลซอเจาะเหล็ก </t>
  </si>
  <si>
    <t>75 mm</t>
  </si>
  <si>
    <t>https://drive.google.com/file/d/1E913rk8ItUyU4qCND4ELiWDzXh3FRVjB/view?usp=drive_link</t>
  </si>
  <si>
    <t>โฮลซอเจาะเหล็ก-16 mm</t>
  </si>
  <si>
    <t>โฮลซอเจาะเหล็ก</t>
  </si>
  <si>
    <t>16 mm</t>
  </si>
  <si>
    <t>https://drive.google.com/file/d/1v3hdaa948Kq0o8i2_iKlP5MaGzx5VwPN/view?usp=drive_link</t>
  </si>
  <si>
    <t>โฮลซอเจาะเหล็ก-18.5 mm</t>
  </si>
  <si>
    <t>18.5 mm</t>
  </si>
  <si>
    <t>https://drive.google.com/file/d/1vE3t4uHaMsvnKWKDi8ksxLmxlgCRJocS/view?usp=drive_link</t>
  </si>
  <si>
    <t>โฮลซอเจาะเหล็ก-20 mm</t>
  </si>
  <si>
    <t>20 mm</t>
  </si>
  <si>
    <t>https://drive.google.com/file/d/1bwmObWZfaWaH8iYkVjJf7LFaLnwYnSq6/view?usp=drive_link</t>
  </si>
  <si>
    <t>โฮลซอเจาะเหล็ก-25 mm</t>
  </si>
  <si>
    <t>25 mm</t>
  </si>
  <si>
    <t>https://drive.google.com/file/d/1qK-qHzAEQ2NuyODeY2j9KnsGss49UHC7/view?usp=drive_link</t>
  </si>
  <si>
    <t>โฮลซอเจาะเหล็ก-30 mm</t>
  </si>
  <si>
    <t>30 mm</t>
  </si>
  <si>
    <t>https://drive.google.com/file/d/1yMqr5Pj8MARxpkjPwOfVC_j9cq-npod7/view?usp=drive_link</t>
  </si>
  <si>
    <t>ดอกหัวเพชร-6</t>
  </si>
  <si>
    <t>ดอกหัวเพชร</t>
  </si>
  <si>
    <t>https://drive.google.com/file/d/1wyy4a1qleSyfOKKBfG6kr7ZnTxn830X1/view?usp=drive_link</t>
  </si>
  <si>
    <t>ดอกหัวเพชร-8</t>
  </si>
  <si>
    <t>https://drive.google.com/file/d/1UCbA-BdWl0jm_tljmAeNo_gnrgdzelk6/view?usp=drive_link</t>
  </si>
  <si>
    <t>ดอกหัวเพชร-10</t>
  </si>
  <si>
    <t>https://drive.google.com/file/d/1yzDhLng-YNSXCOihNoRnqt2Qh6LiUu1W/view?usp=drive_link</t>
  </si>
  <si>
    <t>ดอกหัวเพชร-12</t>
  </si>
  <si>
    <t>https://drive.google.com/file/d/1Wd2LuN2PI5xLqsV0bwVmcAqL8gx7iPVe/view?usp=drive_link</t>
  </si>
  <si>
    <t>ดอกหัวเพชร-14</t>
  </si>
  <si>
    <t>https://drive.google.com/file/d/1MCq-EFM5R44Gg33fbvlBkIUR4yAD-K0_/view?usp=drive_link</t>
  </si>
  <si>
    <t>ดอกหัวเพชร-16</t>
  </si>
  <si>
    <t>https://drive.google.com/file/d/1Y9DRZXBgypADCc3QTxmvUPzPOW-fVFfy/view?usp=drive_link</t>
  </si>
  <si>
    <t>ดอกหัวเพชร-18</t>
  </si>
  <si>
    <t>https://drive.google.com/file/d/13PXCIMD2hLZRjWtI1syFq4MxAHLAstli/view?usp=drive_link</t>
  </si>
  <si>
    <t>ดอกหัวเพชร-22</t>
  </si>
  <si>
    <t>https://drive.google.com/file/d/1ed0xHaB4Pi03DrNE3BI7rQyUaSbtGJdN/view?usp=drive_link</t>
  </si>
  <si>
    <t xml:space="preserve">มีดคัตเตอร์ </t>
  </si>
  <si>
    <t>https://drive.google.com/file/d/1ndDi3QScXFjqSrcuRGKGtBrL8ZyhLHrl/view?usp=drive_link</t>
  </si>
  <si>
    <t>ใบมีดคัตเตอร์</t>
  </si>
  <si>
    <t>https://drive.google.com/file/d/1U1ITtwzJYYQ4vQzwkvsEY1P65jldnlce/view?usp=drive_link</t>
  </si>
  <si>
    <t>ยางกันชนสี่เหลี่ยม สีขาว + สีดำ</t>
  </si>
  <si>
    <t>https://drive.google.com/file/d/1IS48TxjsP-d5cAPreuFtVzv-f0zc_5yp/view?usp=drive_link</t>
  </si>
  <si>
    <t>ดำ1010ขาว145</t>
  </si>
  <si>
    <t>ยางกันชน 3 หุน สีดำ + สีใส กลม</t>
  </si>
  <si>
    <t>https://drive.google.com/file/d/1ZfJ-o9C5yTwOGZBTB9Xxocg-XwE6lWAw/view?usp=drive_link</t>
  </si>
  <si>
    <t>ดำำ250ใส่1153</t>
  </si>
  <si>
    <t>ยางกันชนกลมตัวใหญ่ สีดำ + สีขาว + สีเทา</t>
  </si>
  <si>
    <r>
      <rPr>
        <rFont val="Sarabun"/>
        <color rgb="FF434343"/>
      </rPr>
      <t xml:space="preserve"> </t>
    </r>
    <r>
      <rPr>
        <rFont val="Sarabun"/>
        <color rgb="FF1155CC"/>
        <u/>
      </rPr>
      <t>https://drive.google.com/file/d/1SnjLEMCSp4jQAU-3ViE3VQreLmORBEqH/view?usp=drive_link</t>
    </r>
  </si>
  <si>
    <t>ยางกันชนรถถัง</t>
  </si>
  <si>
    <t>https://drive.google.com/file/d/1PKGWKDz5-1bqwwMg2zgLvBPF3WJv5Cmp/view?usp=drive_link</t>
  </si>
  <si>
    <t>ตัวอุด 3 หุน สีดำ + สีขาว</t>
  </si>
  <si>
    <t>https://drive.google.com/file/d/15QtUvCwoQw1IfE7fIqbQqPQw809JqyAt/view?usp=drive_link</t>
  </si>
  <si>
    <t>ตัวปิดหัวน๊อต สีขาว + สีดำ</t>
  </si>
  <si>
    <t>https://drive.google.com/file/d/1xOWRm--jdr3s5O3wi0VBNhIbuv22Ll_c/view?usp=drive_link</t>
  </si>
  <si>
    <t>แว่นดำ + แว่นใส</t>
  </si>
  <si>
    <t>https://drive.google.com/file/d/1iZFqiEB579igr_Aq9txBPoICIiU3ZDjy/view?usp=drive_link</t>
  </si>
  <si>
    <t>แว่นตากันสเก็ต-ตัวใหญ่</t>
  </si>
  <si>
    <t>แว่นตากันสเก็ต</t>
  </si>
  <si>
    <t>ตัวใหญ่</t>
  </si>
  <si>
    <t>https://drive.google.com/file/d/1EhFZPNUTSjQj9MabxrK6W4hxVeEdQeQw/view?usp=drive_link</t>
  </si>
  <si>
    <t>ครีมขัดอลูมิเนียม</t>
  </si>
  <si>
    <t>https://drive.google.com/file/d/1X8O4_VZbDA8u8I_cCFibeADOacy6wGme/view?usp=drive_link</t>
  </si>
  <si>
    <t>ใบเจียร-4"</t>
  </si>
  <si>
    <t>ใบเจียร</t>
  </si>
  <si>
    <t>4"</t>
  </si>
  <si>
    <t>https://drive.google.com/file/d/1aIB4hGDOaoycO2wjaYizzLqZLl65xHKd/view?usp=drive_link</t>
  </si>
  <si>
    <t>ใบเจียร-14"</t>
  </si>
  <si>
    <t>14"</t>
  </si>
  <si>
    <t>https://drive.google.com/file/d/1bogf98UZ3FFd6WNXUfxxiEQd-uMGYLRx/view?usp=drive_link</t>
  </si>
  <si>
    <t>ใบตัดบาง-4"</t>
  </si>
  <si>
    <t>ใบตัดบาง</t>
  </si>
  <si>
    <t>https://drive.google.com/file/d/1V5ZzhgLed3WwD-WPvsAeiq8coGUGRpPv/view?usp=drive_link</t>
  </si>
  <si>
    <t>ใบตัดกระเบื้อง-4"X1นิ้ว</t>
  </si>
  <si>
    <t>ใบตัดกระเบื้อง</t>
  </si>
  <si>
    <t>4"X1นิ้ว</t>
  </si>
  <si>
    <t>https://drive.google.com/file/d/1T7v-4fUyXb8QrAIzwGjQ-DLdzbCwGi6I/view?usp=drive_link</t>
  </si>
  <si>
    <t>ใบตัดปูนคอนกรีต-4"X1นิ้ว</t>
  </si>
  <si>
    <t>ใบตัดปูนคอนกรีต</t>
  </si>
  <si>
    <t>https://drive.google.com/file/d/1BvgrMlm4hJ7XA5EeQQiwiqrm9ci0Fgmp/view?usp=drive_link</t>
  </si>
  <si>
    <t>ใบตัดอลูมิเนียม-10"</t>
  </si>
  <si>
    <t>ใบตัดอลูมิเนียม</t>
  </si>
  <si>
    <t>https://drive.google.com/file/d/1sypu0KVezAqTZ1ChOe2XmwolR6gUOnmt/view?usp=drive_link</t>
  </si>
  <si>
    <t>ใบเลื่อยตัดเหล็ก</t>
  </si>
  <si>
    <t>https://drive.google.com/file/d/10o_QToF_-m-QCYin7QGxw0dKoROpgxYy/view?usp=drive_link</t>
  </si>
  <si>
    <t>ใบเลื่อย</t>
  </si>
  <si>
    <t>https://drive.google.com/file/d/1c9Pe_GxESHGVfO3zB57RSfGq7ieB0bzp/view?usp=drive_link</t>
  </si>
  <si>
    <t>ดอกเชื่อม</t>
  </si>
  <si>
    <t>https://drive.google.com/file/d/1PvA6ERh5Abosx2WhkW_-WoowdPvYWSKi/view?usp=drive_link</t>
  </si>
  <si>
    <t>ครีมจับลวดเชื่อมไฟฟ้า</t>
  </si>
  <si>
    <t>https://drive.google.com/file/d/1Tw2BWzW0Li9CC-ubvwld0MFrsp8IqJh8/view?usp=drive_link</t>
  </si>
  <si>
    <t>ใบขัดกระจก-4"</t>
  </si>
  <si>
    <t>ใบขัดกระจก</t>
  </si>
  <si>
    <t>https://drive.google.com/file/d/1DfyPAaVdpCnwEVhj-BhuY2D5vbPZwPoC/view?usp=drive_link</t>
  </si>
  <si>
    <t>กดกระเด้ง</t>
  </si>
  <si>
    <t>https://drive.google.com/file/d/1NDWQl98SEvm632fHpzCpgSvY7l40Kwy5/view?usp=drive_link</t>
  </si>
  <si>
    <t>คีมล็อค</t>
  </si>
  <si>
    <t>https://drive.google.com/file/d/1Z4IhB57vc8Ipj82qc2w0TtXs_fNPoedK/view?usp=drive_link</t>
  </si>
  <si>
    <t>สิ่วเซาะร่องไม้</t>
  </si>
  <si>
    <t>https://drive.google.com/file/d/1uv7G4Hm7EKDtHDWo9MlyhBUkesZmnMT3/view?usp=drive_link</t>
  </si>
  <si>
    <t>หกเหลี่ยม</t>
  </si>
  <si>
    <t>https://drive.google.com/file/d/1xG_rnS9Hh-sJqqvs7PZgelvAdq2SBuxE/view?usp=drive_link</t>
  </si>
  <si>
    <t>48ชุด</t>
  </si>
  <si>
    <t>ฉากไม้</t>
  </si>
  <si>
    <t>https://drive.google.com/file/d/1i5D4jiE8v0j1A9STXt2fqb6P-LprZDin/view?usp=drive_link</t>
  </si>
  <si>
    <t>กรรไกรตัดอลู</t>
  </si>
  <si>
    <t>https://drive.google.com/file/d/1C7W3kPycXazbetZJOUmVbaCliLqvA-6a/view?usp=drive_link</t>
  </si>
  <si>
    <t>ตลับเมตร-180</t>
  </si>
  <si>
    <t>ตลับเมตร</t>
  </si>
  <si>
    <t>https://drive.google.com/file/d/1csfi4_f5a7Tu9Hxzk76jj20ZO1jzB-4u/view?usp=drive_link</t>
  </si>
  <si>
    <t>กระดาษทราย</t>
  </si>
  <si>
    <t>https://drive.google.com/file/d/1g358SJXffsEjR9KwJ5Fyi6UwoYpwh3gC/view?usp=drive_link</t>
  </si>
  <si>
    <t>ถุงขยะดำ</t>
  </si>
  <si>
    <t>https://drive.google.com/file/d/1gLUA8geiZ1RmbDXr9QJIIltJLhRZz9CI/view?usp=drive_link</t>
  </si>
  <si>
    <t>15กระสอบ+2มัด</t>
  </si>
  <si>
    <t>กระดาษทิชชู่-แบบแผ่น</t>
  </si>
  <si>
    <t>กระดาษทิชชู่</t>
  </si>
  <si>
    <t>แบบแผ่น</t>
  </si>
  <si>
    <t>https://drive.google.com/file/d/1KqaStbIngvUk0ShxhczB22krE58Yy1w-/view?usp=drive_link</t>
  </si>
  <si>
    <t>กระดาษทิชชู่-แบบม้วน</t>
  </si>
  <si>
    <t>แบบม้วน</t>
  </si>
  <si>
    <t>https://drive.google.com/file/d/1H0Vzkj9Srcoi6k-YznBX6IWrz1xZ19YN/view?usp=drive_link</t>
  </si>
  <si>
    <t>ไม้กวาด</t>
  </si>
  <si>
    <t>https://drive.google.com/file/d/1oMXyYJeVGV6epVKxrFjm8yjRGA4J_yud/view?usp=drive_link</t>
  </si>
  <si>
    <t>ที่โกยขยะ</t>
  </si>
  <si>
    <t>https://drive.google.com/file/d/1_ktxMD2lewsQtG1f6XXDXkg7cTkhL5a9/view?usp=drive_link</t>
  </si>
  <si>
    <t>กาวร้อน</t>
  </si>
  <si>
    <t>https://drive.google.com/file/d/1vbMUCB1uXXo1Bz5l1n69Z8Qv9FmaqHZs/view?usp=drive_link</t>
  </si>
  <si>
    <t xml:space="preserve">6 เหลี่ยม </t>
  </si>
  <si>
    <t>https://drive.google.com/file/d/13y4rySwWlcE1ec-Gl-GiJw84WkoO1R-N/view?usp=drive_link</t>
  </si>
  <si>
    <t>รับลูกเบี้ยว+ลูกเบี้ยว</t>
  </si>
  <si>
    <t>https://drive.google.com/file/d/1JOklHfH5eo-TW7lPdmZUqgUoym5xSkzW/view?usp=drive_link</t>
  </si>
  <si>
    <t>โช๊ค-600</t>
  </si>
  <si>
    <t>โช๊ค</t>
  </si>
  <si>
    <t>https://drive.google.com/file/d/1B7xCA-JDUZQN0WR0WJNHcB_mbxZW4BkA/view?usp=drive_link</t>
  </si>
  <si>
    <t>โช๊ค-800</t>
  </si>
  <si>
    <t>https://drive.google.com/file/d/1Ijo8dyWhufD-5Y0yNCvxS3tSMmPmOK0F/view?usp=drive_link</t>
  </si>
  <si>
    <t>โช๊ค-1000</t>
  </si>
  <si>
    <t>https://drive.google.com/file/d/1ygot7OcfQhPbsiMrbPl1U-aglAr6P4AR/view?usp=drive_link</t>
  </si>
  <si>
    <t>โช๊ค-1200</t>
  </si>
  <si>
    <t>https://drive.google.com/file/d/1iwUhaIryOMkbnNzyxT3g2rZA3fxM2YZy/view?usp=drive_link</t>
  </si>
  <si>
    <t>โช๊ค VVP98-ดำ</t>
  </si>
  <si>
    <t>โช๊ค VVP98</t>
  </si>
  <si>
    <t>https://drive.google.com/file/d/19Jk0h8JGrcw2ObWEiL42iBwnAZTWXk6R/view?usp=drive_link</t>
  </si>
  <si>
    <t>โช๊ค VVP100-ดำ</t>
  </si>
  <si>
    <t>โช๊ค VVP100</t>
  </si>
  <si>
    <t/>
  </si>
  <si>
    <t>ยาง 044</t>
  </si>
  <si>
    <t>https://drive.google.com/file/d/1INtP8GlPhcVtEnMM69njHrcpBQZCPOMI/view?usp=drive_link</t>
  </si>
  <si>
    <t>ยาง 045</t>
  </si>
  <si>
    <t>https://drive.google.com/file/d/1W-3wrjOk-j633M1kbAOOAdcIw0q6zk-Q/view?usp=drive_link</t>
  </si>
  <si>
    <t>ยางรองกระจก  EPK-737</t>
  </si>
  <si>
    <t>https://drive.google.com/file/d/1n4Rsw9Xi0TWL3WYjPp5M5L5-qyB_k-en/view?usp=drive_link</t>
  </si>
  <si>
    <t>ยาง epdm sponge EFK77-4.7</t>
  </si>
  <si>
    <t>https://drive.google.com/file/d/18K6afXdDh21gnHMnXiEdhBgUssJSgUq4/view?usp=drive_link</t>
  </si>
  <si>
    <t>ยาง epdm sponge แบน EFK9-4</t>
  </si>
  <si>
    <t>ยางรองหลังคา EPJ-230</t>
  </si>
  <si>
    <t>https://drive.google.com/file/d/1KMBkINbZcXgl8pqMkS1gLZsyyDE3hWvz/view?usp=drive_link</t>
  </si>
  <si>
    <t>ยางชินโคไลท์ EPT-409-5.8</t>
  </si>
  <si>
    <t>https://drive.google.com/file/d/1-KoAeIUiHui-cv7C3iGK1pQ8xjte27Ry/view?usp=drive_link</t>
  </si>
  <si>
    <t>สักหลาดจีน 5*3</t>
  </si>
  <si>
    <t>https://drive.google.com/file/d/1VJgdPdJT7cVKdS06x7Z4GmpfhiL1Lhyr/view?usp=drive_link</t>
  </si>
  <si>
    <t>สักหลาดจีน 5*4</t>
  </si>
  <si>
    <t>สักหลาดจีน 3.5*4.8</t>
  </si>
  <si>
    <t>สักหลาดแถบกาว Hyda</t>
  </si>
  <si>
    <t>https://drive.google.com/file/d/1gcvmGbvoWB6VRGktNYNCAaVjTX7F4nd7/view?usp=drive_link</t>
  </si>
  <si>
    <t>ยางกันน้ำ Shower VVP_PS11</t>
  </si>
  <si>
    <t>https://drive.google.com/file/d/1PQkIKUhKauZmj0VNK3LXbfC7qw1GZi-S/view?usp=drive_link</t>
  </si>
  <si>
    <t>ยางกันน้ำ Shower VVP_PS12A</t>
  </si>
  <si>
    <t>https://drive.google.com/file/d/1AHM5YbMF5E2GiqjG7fIrZ9l4vCgn3qTq/view?usp=drive_link</t>
  </si>
  <si>
    <t>ยางกันน้ำ Shower VVP_PS14</t>
  </si>
  <si>
    <t>https://drive.google.com/file/d/1Ifo3qmXa24gWSF0DaVPYjleKuQgEL-zj/view?usp=drive_link</t>
  </si>
  <si>
    <t>ยางอัดตัวเล็ก 044</t>
  </si>
  <si>
    <t>ยางอัดตัวใหญ่ 044</t>
  </si>
  <si>
    <t>ยางอัด-5</t>
  </si>
  <si>
    <t>ยางอัด</t>
  </si>
  <si>
    <t>https://drive.google.com/file/d/1T0btq0YadIEg6cf25v-qKResBXRxoo2x/view?usp=drive_link</t>
  </si>
  <si>
    <t>ยางอัด-6</t>
  </si>
  <si>
    <t>https://drive.google.com/file/d/17LqeJqbwtfMRi-bmJzbw1luHLjkUz7Oq/view?usp=drive_link</t>
  </si>
  <si>
    <t>ยางอัด-13</t>
  </si>
  <si>
    <t>https://drive.google.com/file/d/14I689Lnmyqrya-YjCqfpBndnaJUQdoLm/view?usp=drive_link</t>
  </si>
  <si>
    <t>ยางอัด-15</t>
  </si>
  <si>
    <t>https://drive.google.com/file/d/1kn6FKRXfG19mLgKHF7YvT35kPy2U-Ket/view?usp=drive_link</t>
  </si>
  <si>
    <t>ยางเดิน-4</t>
  </si>
  <si>
    <t>ยางเดิน</t>
  </si>
  <si>
    <t>https://drive.google.com/file/d/1cGe6rhgxKL9NxGkh0OFJ3_DHj_Wn6plN/view?usp=drive_link</t>
  </si>
  <si>
    <t>ยางหุ้ม 6mm-1</t>
  </si>
  <si>
    <t>ยางหุ้ม 6mm</t>
  </si>
  <si>
    <t>https://drive.google.com/file/d/114AkNjl_OkFFTcx9yoEdR_pLT7In7EXJ/view?usp=drive_link</t>
  </si>
  <si>
    <t>ยางหุ้ม 5mm-2</t>
  </si>
  <si>
    <t>ยางหุ้ม 5mm</t>
  </si>
  <si>
    <t>https://drive.google.com/file/d/1_Q1dOetT3K3AYQZnff-cKf3geIIJruTE/view?usp=drive_link</t>
  </si>
  <si>
    <t>ยางบานเปิดตัวเตี้ย</t>
  </si>
  <si>
    <t>ยางแบนหลังคา</t>
  </si>
  <si>
    <t>ยางโพลีคาร์บอเนต</t>
  </si>
  <si>
    <t>https://drive.google.com/file/d/1vx1VsDBZ3oYrmTUtumr4gDMHTOvgXaRl/view?usp=drive_link</t>
  </si>
  <si>
    <t>สักหลาดคุณจรูญ</t>
  </si>
  <si>
    <t>สักหลาด สีดำ-5X3</t>
  </si>
  <si>
    <t>สักหลาด สีดำ</t>
  </si>
  <si>
    <t>5X3</t>
  </si>
  <si>
    <t>https://drive.google.com/file/d/1c97g7BDEk6nHWVAaQ3uuehJ4D2yA4YPQ/view?usp=drive_link</t>
  </si>
  <si>
    <t>สักหลาด สีดำ + สีเทา-5X4</t>
  </si>
  <si>
    <t>สักหลาด สีดำ + สีเทา</t>
  </si>
  <si>
    <t>5X4</t>
  </si>
  <si>
    <t>https://drive.google.com/file/d/1EOxhCmbCO9No1p7MSG1fB7SVFUNftTJZ/view?usp=drive_link</t>
  </si>
  <si>
    <t>สักหลาด สีเทา-5X5</t>
  </si>
  <si>
    <t>สักหลาด สีเทา</t>
  </si>
  <si>
    <t>5X5</t>
  </si>
  <si>
    <t>https://drive.google.com/file/d/1q29ExkwQGSd39tXmpOejsFBXDw-UTniU/view?usp=drive_link</t>
  </si>
  <si>
    <t>สักหลาด สีเทา-5X6</t>
  </si>
  <si>
    <t>5X6</t>
  </si>
  <si>
    <t>https://drive.google.com/file/d/1IkuczwtzmxiBF__BgZPkXZnt47fSPnpR/view?usp=drive_link</t>
  </si>
  <si>
    <t>สักหลาด สีเทา-5X7</t>
  </si>
  <si>
    <t>5X7</t>
  </si>
  <si>
    <t>https://drive.google.com/file/d/1qA9MMiCtwGG5Ay2P3V8ZgKcNbK_KElF5/view?usp=drive_link</t>
  </si>
  <si>
    <t>สักหลาด สีเทา-5X12</t>
  </si>
  <si>
    <t>5X12</t>
  </si>
  <si>
    <t>https://drive.google.com/file/d/10iYmud4Db1MnOxkhnZL5jkdyWy3aksKA/view?usp=drive_link</t>
  </si>
  <si>
    <t>สักหลาด แบบกาว</t>
  </si>
  <si>
    <t>https://drive.google.com/file/d/1Vd3F4oJHVNER99LPnV1xd4koE7e-1t0h/view?usp=drive_link</t>
  </si>
  <si>
    <t>สักหลาด บานเลื่อน สลิม จีน</t>
  </si>
  <si>
    <t>https://drive.google.com/file/d/1ywls-6XArmlv9J2oFtRJkRCnF9PcvoDQ/view?usp=drive_link</t>
  </si>
  <si>
    <t>กาว 2 หน้า 3M กันจิ้งจก</t>
  </si>
  <si>
    <t>https://drive.google.com/file/d/1_PabtCwQSwcjCvymcHx6DRqND3SpEFTL/view?usp=drive_link</t>
  </si>
  <si>
    <t>ยางกันจิ้งจก</t>
  </si>
  <si>
    <t>https://drive.google.com/file/d/1FOzujPFAOmWaVzPGDMKMUh_etwhhWRHN/view?usp=drive_link</t>
  </si>
  <si>
    <t>ยางบานเฟี้ยมตัวใหญ่</t>
  </si>
  <si>
    <t>https://drive.google.com/file/d/1-mcLmIhq4536FpXrku048eL2NL9fpNYx/view?usp=drive_link</t>
  </si>
  <si>
    <t>ยางบานเฟี้ยมตัวเล็ก</t>
  </si>
  <si>
    <t>https://drive.google.com/file/d/1VqBcLvbkAiRjllNOY_JREsb0G0wUiol1/view?usp=drive_link</t>
  </si>
  <si>
    <t>คอลัมน์ 1</t>
  </si>
  <si>
    <t>น็อตเป็นโล</t>
  </si>
  <si>
    <t>LB หัวเอฟ สีรุ้ง ปลายสว่าน</t>
  </si>
  <si>
    <t>#8*3/4"(19mm)</t>
  </si>
  <si>
    <t>https://drive.google.com/file/d/1qr7os9i4pcG-UvT9kx4NNsGVwYD5xphh/view?usp=drive_link</t>
  </si>
  <si>
    <t>YJ ผนังเบา สีทอง ปลายแหลมไม่ผ่า</t>
  </si>
  <si>
    <t>#6*3/4"(19mm)</t>
  </si>
  <si>
    <t>https://drive.google.com/file/d/1MyUgPYoJzKANYQ94RoY63eMx521GyFrd/view?usp=drive_link</t>
  </si>
  <si>
    <t>FSD SUS410 ปลายสว่านF สแตนเลส</t>
  </si>
  <si>
    <t>#8x25(1")</t>
  </si>
  <si>
    <t>https://drive.google.com/file/d/10AOlOFveDvCLs62aaEWRJbnNK9e8_qwo/view?usp=drive_link</t>
  </si>
  <si>
    <t>สกรูเกลียวปล่อย เตเปอร์</t>
  </si>
  <si>
    <t>#8X1"</t>
  </si>
  <si>
    <t>https://drive.google.com/file/d/1Tj2H9DMYUvr6GJUFmWUz1qGZX2PpFys9/view?usp=drive_link</t>
  </si>
  <si>
    <t>#8X1-1/2"</t>
  </si>
  <si>
    <t>https://drive.google.com/file/d/1R7dZqrSu6wiDXDJMooXzTwqpm7I8jLkn/view?usp=drive_link</t>
  </si>
  <si>
    <t>#8X2"</t>
  </si>
  <si>
    <t>#8X3"</t>
  </si>
  <si>
    <t>Phillip Pan Self Tapping Screws - AB</t>
  </si>
  <si>
    <t>#7X5/8"</t>
  </si>
  <si>
    <t>https://drive.google.com/file/d/1iP2PzWKk4G7gREn35nMLCSS5RaWMta0U/view?usp=drive_link</t>
  </si>
  <si>
    <t>DW07 สกรูไดร์วอลว์ ดำ</t>
  </si>
  <si>
    <t>#6*1"(25mm)</t>
  </si>
  <si>
    <t>https://drive.google.com/file/d/11F5lHmFs5RF_DZ4r-4JkiNL8sNsH3v4x/view?usp=drive_link</t>
  </si>
  <si>
    <t xml:space="preserve">Phillip Flat CSK Self Drilling Screws </t>
  </si>
  <si>
    <t>#8x3.1/2"</t>
  </si>
  <si>
    <t>https://drive.google.com/file/d/1q2sTNW4iokohNGkeKUBXi0aYb2jFbo71/view?usp=drive_link</t>
  </si>
  <si>
    <t>#8x4"</t>
  </si>
  <si>
    <t>#8x5/8"</t>
  </si>
  <si>
    <t>#8*1-1/2"(38mm)</t>
  </si>
  <si>
    <t>Hex Head Self Drilling Screws</t>
  </si>
  <si>
    <t>#10-16x1"(25mm.)</t>
  </si>
  <si>
    <t>https://drive.google.com/file/d/1cRfarLE3uO0flTaEkU434gB2ORMGUT8Z/view?usp=drive_link</t>
  </si>
  <si>
    <t>#8x2"</t>
  </si>
  <si>
    <t>#8*3"(75mm)</t>
  </si>
  <si>
    <t>#8*1"(25mm)</t>
  </si>
  <si>
    <t>YT หัวเวเฟอร์ ปลายสว่าน สีขาว</t>
  </si>
  <si>
    <t>https://drive.google.com/file/d/1GgB2kMy9jGBMe0yO4G6-hFXg-ek-pCkb/view?usp=drive_link</t>
  </si>
  <si>
    <t>SK สกรูไดวอล์ล</t>
  </si>
  <si>
    <t xml:space="preserve">#6x1 ½ </t>
  </si>
  <si>
    <t>สกรููยิงฝ้า HPP</t>
  </si>
  <si>
    <t>#6x3/4"</t>
  </si>
  <si>
    <t>Phillilp Pan Self Drilling Screws</t>
  </si>
  <si>
    <t>#8x1.1/2"</t>
  </si>
  <si>
    <t>https://drive.google.com/file/d/1EFwsrcdRrVuCLNr44YooFJ5no9RUIF0W/view?usp=drive_link</t>
  </si>
  <si>
    <t>Phillip Pan Self Drilling Screws</t>
  </si>
  <si>
    <t>#6x3/8"</t>
  </si>
  <si>
    <t>SK D.W. Screws</t>
  </si>
  <si>
    <t>6x1"</t>
  </si>
  <si>
    <t>สกรูปลายสว่าน SUS410</t>
  </si>
  <si>
    <t>4.2X19</t>
  </si>
  <si>
    <t>ZW ลอนคูู่ ปลายสว่าน สีรุ้ง ยางดำ</t>
  </si>
  <si>
    <t>#10X2(50mm)</t>
  </si>
  <si>
    <t>ZW ลอนคู่ ปลายสว่าน สีรุ้ง ยางดำ</t>
  </si>
  <si>
    <t>#10X3(75mm)</t>
  </si>
  <si>
    <t>#10X4(100mm)</t>
  </si>
  <si>
    <t>น๊อตเกลียวปล่อย เตเปอร์</t>
  </si>
  <si>
    <t xml:space="preserve">1 ½ </t>
  </si>
  <si>
    <t>https://drive.google.com/file/d/1zi4jmqt7KARYg9Cf2cF-RfJ-we5euWov/view?usp=drive_link</t>
  </si>
  <si>
    <t>https://drive.google.com/file/d/1HRJb7bv-L7Qxq2C0j5R4jQXy16ThK2g8/view?usp=drive_link</t>
  </si>
  <si>
    <t>https://drive.google.com/file/d/1SIxckNpj07I_c0pCAs-0C3_deGfzDCwd/view?usp=drive_link</t>
  </si>
  <si>
    <t>น๊อตหัวกลม เกลียวปล่อย</t>
  </si>
  <si>
    <t>7X5/8"</t>
  </si>
  <si>
    <t>https://drive.google.com/file/d/1RydPdOhADDBQIpUbFT5jnCIrx0Ex1z1K/view?usp=drive_link</t>
  </si>
  <si>
    <t>8X5/8"</t>
  </si>
  <si>
    <t>https://drive.google.com/file/d/1LVVNihAyXvLtC-wzk_JX_rBjKOf04Fao/view?usp=drive_link</t>
  </si>
  <si>
    <t>น๊อตหัวกลม ปลายสว่าน</t>
  </si>
  <si>
    <t>6x5/8</t>
  </si>
  <si>
    <t>https://drive.google.com/file/d/1q2poxwwoire2971haNIh5Qyz9anIK4jd/view?usp=drive_link</t>
  </si>
  <si>
    <t>8x25/1"</t>
  </si>
  <si>
    <t>https://drive.google.com/file/d/1wZzQrlD1QAqCu4KnE8jIYEJUtfZZrDpn/view?usp=drive_link</t>
  </si>
  <si>
    <t>6X3/8"</t>
  </si>
  <si>
    <t>https://drive.google.com/file/d/1wGM5sCqoxY-sYhiDk7vT3yxm6yMJqRCZ/view?usp=drive_link</t>
  </si>
  <si>
    <t>8X1½"</t>
  </si>
  <si>
    <t>https://drive.google.com/file/d/1Q4BYH89LNjuRbhK1ryOHiFJKhAV11FSc/view?usp=drive_link</t>
  </si>
  <si>
    <t>น๊อตสแตนเลส หัวกลม</t>
  </si>
  <si>
    <t>M4-1.4X19(8X3/4)</t>
  </si>
  <si>
    <t>https://drive.google.com/file/d/1K5mpUpwr2EuP1QvdRJQSq9iK7SrzP2aX/view?usp=drive_link</t>
  </si>
  <si>
    <t>น๊อตสแตนเลสเลส เตเปอร์ ปลายสว่าน</t>
  </si>
  <si>
    <t>4.2x19</t>
  </si>
  <si>
    <t>https://drive.google.com/file/d/16JNKyql-YDvjbloZzFJGysD67MTKc0FD/view?usp=drive_link</t>
  </si>
  <si>
    <t>น๊อตสแตนเลสยางก้ามปู</t>
  </si>
  <si>
    <t>8X25(1")</t>
  </si>
  <si>
    <t>https://drive.google.com/file/d/1nebDTPYv9XLQi0Gz-XtUBhfx9ixpfyPB/view?usp=drive_link</t>
  </si>
  <si>
    <t>พุกเหล็ก</t>
  </si>
  <si>
    <t>https://drive.google.com/file/d/16s7Q7mJaGy5Ky93JN47dPNpQI5ghQ8Rx/view?usp=drive_link</t>
  </si>
  <si>
    <t>https://drive.google.com/file/d/1MY3feTF2ZA-zuATe-uDmllOa_lH-M3mP/view?usp=drive_link</t>
  </si>
  <si>
    <t>พุกตะปู M10</t>
  </si>
  <si>
    <t>https://drive.google.com/file/d/1KxuK79LPA2nEHPnFa00qH5xSe3tZ6Ydk/view?usp=drive_link</t>
  </si>
  <si>
    <t>พุกตะปู M8</t>
  </si>
  <si>
    <t>https://drive.google.com/file/d/105U5oByCl09p8ySpJSeoWCR7oCdWA8Ep/view?usp=drive_link</t>
  </si>
  <si>
    <t>พุกตะกั่ว</t>
  </si>
  <si>
    <t>https://drive.google.com/file/d/19wnciIGO8MtpLawdneFPWVbWVt1l-1lM/view?usp=drive_link</t>
  </si>
  <si>
    <t>https://drive.google.com/file/d/1iDYIfyLeZ2Ujt3OdtVbRJ8ItmHZsniVA/view?usp=drive_link</t>
  </si>
  <si>
    <t>พุกเคมี M8</t>
  </si>
  <si>
    <t>https://drive.google.com/file/d/1_Levv9YGC1HrKTgjAmBj8usLlpjfsWZ7/view?usp=drive_link</t>
  </si>
  <si>
    <t>พุกเคมี M10</t>
  </si>
  <si>
    <t>พุกผีเสื้อ ยิบซั่ม พุกร่ม</t>
  </si>
  <si>
    <t>https://drive.google.com/file/d/1I-UBWjmEVF9RZBkeTYSlOJmKKm7xyI9a/view?usp=drive_link</t>
  </si>
  <si>
    <t>พุกพลาสติก</t>
  </si>
  <si>
    <t>https://drive.google.com/file/d/12saAj7pOm7iy9xgRlYO6FlkEoHiq5xkH/view?usp=drive_link</t>
  </si>
  <si>
    <t>น๊อตยิงฝ้า สีดำ</t>
  </si>
  <si>
    <t>6X1"</t>
  </si>
  <si>
    <t>https://drive.google.com/file/d/1cwdB9HjLoXAAZSu_d4Y1RYHJ5XjgyUkH/view?usp=drive_link</t>
  </si>
  <si>
    <t>6X1½"</t>
  </si>
  <si>
    <t>https://drive.google.com/file/d/1wDC74fmhOYqjWu7ngDh0QcFn3VMToN1d/view?usp=drive_link</t>
  </si>
  <si>
    <t>6X2"</t>
  </si>
  <si>
    <t>https://drive.google.com/file/d/1qBIrmWUVUNU-ny__AVlvfUp2LXjSaSu0/view?usp=drive_link</t>
  </si>
  <si>
    <t>น๊อตหัวบล็อค เหลี่ยมยางดำปลายสว่าน</t>
  </si>
  <si>
    <t>1"</t>
  </si>
  <si>
    <t>https://drive.google.com/file/d/1fyFihDSbhFyk__HNsmAo2FEN3O2DmV9x/view?usp=drive_link</t>
  </si>
  <si>
    <t>1½"</t>
  </si>
  <si>
    <t>https://drive.google.com/file/d/1mGeZGdJvs_sg3nCOt6wP1NB9MW7AAYg9/view?usp=drive_link</t>
  </si>
  <si>
    <t>https://drive.google.com/file/d/1PYnVbE4v2zyXpRwhg1C4qUX2nySD0-cg/view?usp=drive_link</t>
  </si>
  <si>
    <t>https://drive.google.com/file/d/1nPw2SLmXROGtBUK-iTDNIAh2vIoWOGSL/view?usp=drive_link</t>
  </si>
  <si>
    <t>https://drive.google.com/file/d/1jsk2ILUrhuLD3yXixw_29KT6-oG-5i4y/view?usp=drive_link</t>
  </si>
  <si>
    <t>น๊อตปลายสว่าน</t>
  </si>
  <si>
    <t>3/4"</t>
  </si>
  <si>
    <t>https://docs.google.com/spreadsheets/d/1SEN93p6OuhVkJkJaQM83fk4PFqL4ACkdjWYQiZblUvQ/edit?gid=322267480#gid=322267480&amp;range=E58</t>
  </si>
  <si>
    <t>https://drive.google.com/file/d/1pEZGjBj910NFv3iVa7JYvKJyE6aG2EnJ/view?usp=drive_link</t>
  </si>
  <si>
    <t>https://drive.google.com/file/d/1tYZL-FIxae4-FyQpSstTyXMXnJQ64OHp/view?usp=drive_link</t>
  </si>
  <si>
    <t>https://drive.google.com/file/d/1VoyHlMjG_DoQQpLQFG-jAA8dy3WSmjAN/view?usp=drive_link</t>
  </si>
  <si>
    <t>https://drive.google.com/file/d/1PmLFeM-aUH5S11lYhHyEU8J8LmUKu0wx/view?usp=drive_link</t>
  </si>
  <si>
    <t>3½"</t>
  </si>
  <si>
    <t>https://drive.google.com/file/d/11Z8PPFqEELn7fhcs0CrF3oP4ezy1M6Hi/view?usp=drive_link</t>
  </si>
  <si>
    <t>https://drive.google.com/file/d/1VTvlD9XIRUkEkFj7k-m49EPOzLhMx290/view?usp=drive_link</t>
  </si>
  <si>
    <t>ลูกรีเวท สีเงิน</t>
  </si>
  <si>
    <t>https://drive.google.com/file/d/1jOpCuNYBppDYiHNlhx8x2t3-ZgPQNeZ0/view?usp=drive_link</t>
  </si>
  <si>
    <t>https://drive.google.com/file/d/1wefV9emawT__L5nMJpa8VxGUM8On6J37/view?usp=drive_link</t>
  </si>
  <si>
    <t>https://drive.google.com/file/d/1XyzM_9mlzCAVIyLjwrq1EXHhEfnhruIR/view?usp=drive_link</t>
  </si>
  <si>
    <t>https://drive.google.com/file/d/1kA8u45RrGnQrQLchS0whgz62ssLIWMVE/view?usp=drive_link</t>
  </si>
  <si>
    <t>https://drive.google.com/file/d/1sRo6kIv9LtPyzK2XHHMiWruzhAJoVMaO/view?usp=drive_link</t>
  </si>
  <si>
    <t xml:space="preserve">ลูกรีเวท สีดำ </t>
  </si>
  <si>
    <t>https://drive.google.com/file/d/1MUjUAl4hkIzYsvBleGuCDuVQJoNS50j2/view?usp=drive_link</t>
  </si>
  <si>
    <t>https://drive.google.com/file/d/1YHO_yIOyhQjMKGHg98ZUdBCA-eTOwmbB/view?usp=drive_link</t>
  </si>
  <si>
    <t>https://drive.google.com/file/d/1i0z30xfy3KrYtvEN1-94NAAeZTY2_8w5/view?usp=drive_link</t>
  </si>
  <si>
    <t>ลูกรีเวท สีขาว</t>
  </si>
  <si>
    <t>https://drive.google.com/file/d/1qrFu5i6mMcx_ZmgnbYBXdQ48nIJmIBKI/view?usp=drive_link</t>
  </si>
  <si>
    <t>https://drive.google.com/file/d/1BU_96DJ-skUD4bFlbShc0H5ALXDCRF-w/view?usp=drive_link</t>
  </si>
  <si>
    <t>https://drive.google.com/file/d/1w_indelJ3gl04sGzM6YaRNlnAubLzFhn/view?usp=drive_link</t>
  </si>
  <si>
    <t>ลูกรีเวท สีชา</t>
  </si>
  <si>
    <t>https://drive.google.com/file/d/10iz5wSTtC_j6sVuY5vHLAdydIqIZLgvT/view?usp=drive_link</t>
  </si>
  <si>
    <t>https://drive.google.com/file/d/1bjk6AiCTJq8NuT3nSWKvGlNb93fwsxwR/view?usp=drive_link</t>
  </si>
  <si>
    <t>https://drive.google.com/file/d/1Ie82HyYtJVpfCRa7p1RM4Nd0sowqVVf1/view?usp=drive_link</t>
  </si>
  <si>
    <t>6x1½"</t>
  </si>
  <si>
    <t>6x2"</t>
  </si>
  <si>
    <t>https://drive.google.com/file/d/1RpRYvKiZ_7hgw09KaWQhwTZNcaK4pnWw/view?usp=drive_link</t>
  </si>
  <si>
    <t>6x3/4"</t>
  </si>
  <si>
    <t>https://drive.google.com/file/d/1RBzpbArXvFjfLHesehArAkhrP93On4dn/view?usp=drive_link</t>
  </si>
  <si>
    <t>น๊อตหกเหลี่ยมยางดำปลายสว่าน</t>
  </si>
  <si>
    <t>https://drive.google.com/file/d/1tkOg43BSwrmTdFo4hEkfU1S6uWMhWowS/view?usp=drive_link</t>
  </si>
  <si>
    <t>https://drive.google.com/drive/folders/1l3cB4zSgPuaQsS1EcbzYdZdODb_HTq71</t>
  </si>
  <si>
    <t>https://drive.google.com/file/d/1dxUgZ37PuC_ReNis7NN5bCdJU_y2iMRr/view?usp=drive_link</t>
  </si>
  <si>
    <t>https://drive.google.com/file/d/1c0EY8Zs22GjDv2n_INZ_Ps2SlT8YSJb6/view?usp=drive_link</t>
  </si>
  <si>
    <t>https://drive.google.com/file/d/1p8IRn5nlNcuUj5Ec7GUTMUAVYlZPwj16/view?usp=drive_link</t>
  </si>
  <si>
    <t>https://drive.google.com/file/d/11KKon3d3WVYdGg1Spd6hBKV1mUKQdp9w/view?usp=drive_link</t>
  </si>
  <si>
    <t>ชุดเครื่องเจียรไฟฟ้า 4 นิ้ว 750W INGCO</t>
  </si>
  <si>
    <t>https://drive.google.com/file/d/1HFQOceC0wFqvNIayCFJUoEfSOPi5nrvT/view?usp=drive_link</t>
  </si>
  <si>
    <t>ชุดเครื่องเจียรไฟฟ้า 4 นิ้ว 960W INGCO</t>
  </si>
  <si>
    <t>https://drive.google.com/file/d/1EShl9VSfnApe8xVvbDTXnz_7ovKAfdSb/view?usp=drive_link</t>
  </si>
  <si>
    <t>https://drive.google.com/file/d/1DVtwWbaVkDCQ7JccfmHYx-YIGGgOmPuC/view?usp=drive_link</t>
  </si>
  <si>
    <t>https://drive.google.com/file/d/1bW8TpiJNi4vpXEXfveyTUHhmornqmoc2/view?usp=drive_link</t>
  </si>
  <si>
    <t>https://drive.google.com/file/d/11eEnRS-IAjgRm_4-z_E7Hw6lLZXLOynm/view?usp=drive_link</t>
  </si>
  <si>
    <t>14ฅัวเก่าของคืน</t>
  </si>
  <si>
    <t>https://drive.google.com/file/d/1b4N_wN71TVvc6Ui0gXT0NmfxGl56ETMs/view?usp=drive_link</t>
  </si>
  <si>
    <t>https://drive.google.com/file/d/1A9fOCjayw3DSEicBnbd5X-sv4DRD4lLN/view?usp=drive_link</t>
  </si>
  <si>
    <t>https://drive.google.com/file/d/1kHEZTK1C2CBxcT1It4j8bSBmuqGz-SCK/view?usp=drive_link</t>
  </si>
  <si>
    <t>https://drive.google.com/file/d/1yFxpR2xqeElw6KSWxThQR0OiKK4ZhgBd/view?usp=drive_link</t>
  </si>
  <si>
    <t>https://drive.google.com/file/d/11_qW2myUnuIckTS-JB6AzkOfHqjvqPwv/view?usp=drive_link</t>
  </si>
  <si>
    <t>https://drive.google.com/file/d/1v6VM6sT2dkccbjsjLz8kGRISEeQr7ky5/view?usp=drive_link</t>
  </si>
  <si>
    <t>https://drive.google.com/file/d/17TChlyLWZRqjUfTN6Ox5tnBoqo8QGrTH/view?usp=drive_link</t>
  </si>
  <si>
    <t>https://drive.google.com/file/d/10tDNhjZyFQ_zu034At8oAPsdqEtI5CXh/view?usp=drive_link</t>
  </si>
  <si>
    <t>https://drive.google.com/file/d/1V_2bGk7pBApR19jQAv466ZkBbMnxyY-S/view?usp=drive_link</t>
  </si>
  <si>
    <t>https://drive.google.com/file/d/1BI1OuGPbS1UNrAay7aVIY45B07sUZh1x/view?usp=drive_link</t>
  </si>
  <si>
    <t>https://drive.google.com/file/d/1AtVvk8cJOk9_OXW5pGkifwqAynoBN5rG/view?usp=drive_link</t>
  </si>
  <si>
    <t>https://drive.google.com/file/d/1Uqo-f12winSThhO1EZdEHfut73ziu8bK/view?usp=drive_link</t>
  </si>
  <si>
    <t>https://drive.google.com/file/d/1Qtp107SxEw3hXLteBtUC0CcLzW0pQwHX/view?usp=drive_link</t>
  </si>
  <si>
    <t>https://drive.google.com/file/d/1GHcTPQB0sKVIz_dXkaA2UIM8L4ZP8_Hg/view?usp=drive_link</t>
  </si>
  <si>
    <t>https://drive.google.com/file/d/1b8M3B6t7Qnll9k4-vR-rG0teMFpzoRUb/view?usp=drive_link</t>
  </si>
  <si>
    <t>เครื่องดูดฝุ่น ใหญ่</t>
  </si>
  <si>
    <t>https://drive.google.com/file/d/1zecESMsQWrruEIUzhlIL1YfMe4ltkNA7/view?usp=drive_link</t>
  </si>
  <si>
    <t>https://drive.google.com/file/d/1CZVI5yeN74o0shGbPfE7eZnOU-9NxTWB/view?usp=drive_link</t>
  </si>
  <si>
    <t>กล่องเครื่องมือช่าง 2 ชั้น</t>
  </si>
  <si>
    <t>https://drive.google.com/file/d/1Hvvsm_PkraZMdKMV0mEHTw7EMWYc81mf/view?usp=drive_link</t>
  </si>
  <si>
    <t>เครื่องอ๊อกเหล็ก</t>
  </si>
  <si>
    <t>มือจับกระจก</t>
  </si>
  <si>
    <t>https://drive.google.com/file/d/1pCtgZY6OfjUdeWfztCr_Lvmf8NQspiBu/view?usp=drive_link</t>
  </si>
  <si>
    <t>ไม้กรีดน้ำบนกระจก</t>
  </si>
  <si>
    <t>https://drive.google.com/file/d/1mSaXqN2tcC2eV92od3cFAha1bQ9UZcEE/view?usp=drive_link</t>
  </si>
  <si>
    <t>ไม้กรีดน้ำบนกระจกแบบฟองน้ำ</t>
  </si>
  <si>
    <t>https://drive.google.com/file/d/1UXQjfpIDT1t3l5VYJl42lEwtQFyebrP-/view?usp=drive_link</t>
  </si>
  <si>
    <t>ก้านเหล็กปั่นปูน</t>
  </si>
  <si>
    <t>https://drive.google.com/file/d/14kv_bl3NW1M7x29DYWMUFe4TxoYE-tm2/view?usp=drive_link</t>
  </si>
  <si>
    <t>ลูกกลิ้ง 7"</t>
  </si>
  <si>
    <t>https://drive.google.com/file/d/1xIXcntlI1K_An1PB_Pg-lnE3meAopVYK/view?usp=drive_link</t>
  </si>
  <si>
    <t>ลูกกลิ้ง 10"</t>
  </si>
  <si>
    <t>https://drive.google.com/file/d/1oDBw8QmJHTuf6s02kxEoz1_L0UXBfIZH/view?usp=drive_link</t>
  </si>
  <si>
    <t>เหล็กจับอลูมิเนียม</t>
  </si>
  <si>
    <t>https://drive.google.com/file/d/1w6O1kBO0C7zxeQk_nwPjq4GIBERQ70vH/view?usp=drive_link</t>
  </si>
  <si>
    <t>เครื่องเลเซอร์</t>
  </si>
  <si>
    <t>https://drive.google.com/file/d/1KeNALltoYlW8MvouQ8ATTbAJVAey1MwK/view?usp=drive_link</t>
  </si>
  <si>
    <t>สว่านเจาะปูน 3 ระบบ</t>
  </si>
  <si>
    <t>https://drive.google.com/file/d/1r46H5K2_bmlA1LUNwAofL7KEqs4TYN2V/view?usp=drive_link</t>
  </si>
  <si>
    <t>ปืนยิงลูกรีเวท</t>
  </si>
  <si>
    <t>https://drive.google.com/file/d/1r4ic9Pf5VaHoo_NSjoR4vFXAbv2BmOSX/view?usp=drive_link</t>
  </si>
  <si>
    <t>หัวสว่านแบต</t>
  </si>
  <si>
    <t>https://drive.google.com/file/d/1AuVF7WL4wl_T_8oVIBPcS4Z-oW-PW66a/view?usp=drive_link</t>
  </si>
  <si>
    <t>หัวสว่านเจาะปูน</t>
  </si>
  <si>
    <t>https://drive.google.com/file/d/14B2_RKAg54f715aF0fcuggE8SeoLRDsD/view?usp=drive_link</t>
  </si>
  <si>
    <t>เครื่องขัดฝ้าขัดผนังพร้อมดูดฝุ่น</t>
  </si>
  <si>
    <t>https://drive.google.com/file/d/1Un3dDZPC0wTzKp7rKPfM09bv_j4I8bzX/view?usp=drive_link</t>
  </si>
  <si>
    <t>ปลัีกไฟพ่วง</t>
  </si>
  <si>
    <t>https://drive.google.com/file/d/13Kerqw7iXmexH_j0x7YlR3FKYbTYs3br/view?usp=drive_link</t>
  </si>
  <si>
    <t>ประเภท</t>
  </si>
  <si>
    <t>รหัส</t>
  </si>
  <si>
    <t>ขนาด  ( เมตร )</t>
  </si>
  <si>
    <t>อลูมิเนียม sms</t>
  </si>
  <si>
    <t>B20001</t>
  </si>
  <si>
    <t>เฟรมบนบานเลื่อน</t>
  </si>
  <si>
    <t>https://drive.google.com/file/d/19jyd6Vp8y0So1DxI4DyKAs1pHxlUPDox/view?usp=drive_link</t>
  </si>
  <si>
    <t>B20001-เฟรมบนบานเลื่อน-ดำ</t>
  </si>
  <si>
    <t>B20001-เฟรมบนบานเลื่อน-เทาซาฮาร่า</t>
  </si>
  <si>
    <t>เทาซาฮาร่า</t>
  </si>
  <si>
    <t>B20001-เฟรมบนบานเลื่อน-ลายไม้สักทอง</t>
  </si>
  <si>
    <t>B20001-เฟรมบนบานเลื่อน-อื่น ๆ</t>
  </si>
  <si>
    <t>อื่น ๆ</t>
  </si>
  <si>
    <t>B20002-เฟรมล่างบานเลื่อน-อบขาว</t>
  </si>
  <si>
    <t>B20002</t>
  </si>
  <si>
    <t>เฟรมล่างบานเลื่อน</t>
  </si>
  <si>
    <t>https://drive.google.com/file/d/1oAcMkGZgEXDtXBeUibNu61q8v-4GHul4/view?usp=drive_link</t>
  </si>
  <si>
    <t>B20002-เฟรมล่างบานเลื่อน-ดำ</t>
  </si>
  <si>
    <t>B20002-เฟรมล่างบานเลื่อน-เทาซาฮาร่า</t>
  </si>
  <si>
    <t>B20002-เฟรมล่างบานเลื่อน-ลายไม้สักทอง</t>
  </si>
  <si>
    <t>B20002-เฟรมล่างบานเลื่อน-อื่น ๆ</t>
  </si>
  <si>
    <t>B20003-เฟรมข้างบานเลื่อน-อบขาว</t>
  </si>
  <si>
    <t>B20003</t>
  </si>
  <si>
    <t>เฟรมข้างบานเลื่อน</t>
  </si>
  <si>
    <r>
      <rPr>
        <rFont val="Arial"/>
        <color rgb="FF1C4587"/>
        <u/>
      </rPr>
      <t>https://drive.google.com/file/d/1Rn9FSXnT0TU-PhwzIKM_XU4dWTYeqoru/view?usp=drive_link</t>
    </r>
  </si>
  <si>
    <t>B20003-เฟรมข้างบานเลื่อน-ดำ</t>
  </si>
  <si>
    <r>
      <rPr>
        <rFont val="Arial"/>
        <color rgb="FF1C4587"/>
        <u/>
      </rPr>
      <t>https://drive.google.com/file/d/1Rn9FSXnT0TU-PhwzIKM_XU4dWTYeqoru/view?usp=drive_link</t>
    </r>
  </si>
  <si>
    <t>B20003-เฟรมข้างบานเลื่อน-เทาซาฮาร่า</t>
  </si>
  <si>
    <r>
      <rPr>
        <rFont val="Arial"/>
        <color rgb="FF1C4587"/>
        <u/>
      </rPr>
      <t>https://drive.google.com/file/d/1Rn9FSXnT0TU-PhwzIKM_XU4dWTYeqoru/view?usp=drive_link</t>
    </r>
  </si>
  <si>
    <t>B20003-เฟรมข้างบานเลื่อน-ลายไม้สักทอง</t>
  </si>
  <si>
    <r>
      <rPr>
        <rFont val="Arial"/>
        <color rgb="FF1C4587"/>
        <u/>
      </rPr>
      <t>https://drive.google.com/file/d/1Rn9FSXnT0TU-PhwzIKM_XU4dWTYeqoru/view?usp=drive_link</t>
    </r>
  </si>
  <si>
    <t>B20003-เฟรมข้างบานเลื่อน-อื่น ๆ</t>
  </si>
  <si>
    <r>
      <rPr>
        <rFont val="Arial"/>
        <color rgb="FF1C4587"/>
        <u/>
      </rPr>
      <t>https://drive.google.com/file/d/1Rn9FSXnT0TU-PhwzIKM_XU4dWTYeqoru/view?usp=drive_link</t>
    </r>
  </si>
  <si>
    <t>B20004-เฟรมบนเสริมร่องกระจก-อบขาว</t>
  </si>
  <si>
    <t>B20004</t>
  </si>
  <si>
    <t>เฟรมบนเสริมร่องกระจก</t>
  </si>
  <si>
    <t>https://drive.google.com/file/d/1c2f42DRgP6pNZVxfgpaAJDbRLiNNO9On/view?usp=drive_link</t>
  </si>
  <si>
    <t>B20004-เฟรมบนเสริมร่องกระจก-ดำ</t>
  </si>
  <si>
    <t>B20004-เฟรมบนเสริมร่องกระจก-เทาซาฮาร่า</t>
  </si>
  <si>
    <t>B20004-เฟรมบนเสริมร่องกระจก-ลายไม้สักทอง</t>
  </si>
  <si>
    <t>B20004-เฟรมบนเสริมร่องกระจก-อื่น ๆ</t>
  </si>
  <si>
    <t>B20007-เสากุญแจ (ตูดตัน)-อบขาว</t>
  </si>
  <si>
    <t>B20007</t>
  </si>
  <si>
    <t>เสากุญแจ (ตูดตัน)</t>
  </si>
  <si>
    <r>
      <rPr>
        <rFont val="Arial"/>
        <color rgb="FF1C4587"/>
        <u/>
      </rPr>
      <t>https://drive.google.com/file/d/1yEbDgRN081wTEjkmM3QY0PEHhRIkOy89/view?usp=drive_link</t>
    </r>
  </si>
  <si>
    <t>B20007-เสากุญแจ (ตูดตัน)-ดำ</t>
  </si>
  <si>
    <r>
      <rPr>
        <rFont val="Arial"/>
        <color rgb="FF1C4587"/>
        <u/>
      </rPr>
      <t>https://drive.google.com/file/d/1yEbDgRN081wTEjkmM3QY0PEHhRIkOy89/view?usp=drive_link</t>
    </r>
  </si>
  <si>
    <t>B20007-เสากุญแจ (ตูดตัน)-เทาซาฮาร่า</t>
  </si>
  <si>
    <r>
      <rPr>
        <rFont val="Arial"/>
        <color rgb="FF1C4587"/>
        <u/>
      </rPr>
      <t>https://drive.google.com/file/d/1yEbDgRN081wTEjkmM3QY0PEHhRIkOy89/view?usp=drive_link</t>
    </r>
  </si>
  <si>
    <t>B20007-เสากุญแจ (ตูดตัน)-ลายไม้สักทอง</t>
  </si>
  <si>
    <r>
      <rPr>
        <rFont val="Arial"/>
        <color rgb="FF1C4587"/>
        <u/>
      </rPr>
      <t>https://drive.google.com/file/d/1yEbDgRN081wTEjkmM3QY0PEHhRIkOy89/view?usp=drive_link</t>
    </r>
  </si>
  <si>
    <t>B20007-เสากุญแจ (ตูดตัน)-อื่น ๆ</t>
  </si>
  <si>
    <r>
      <rPr>
        <rFont val="Arial"/>
        <color rgb="FF1C4587"/>
        <u/>
      </rPr>
      <t>https://drive.google.com/file/d/1yEbDgRN081wTEjkmM3QY0PEHhRIkOy89/view?usp=drive_link</t>
    </r>
  </si>
  <si>
    <t>B20008-เสากุญแจแบบรับแรง-อบขาว</t>
  </si>
  <si>
    <t>B20008</t>
  </si>
  <si>
    <t>เสากุญแจแบบรับแรง</t>
  </si>
  <si>
    <t>https://drive.google.com/file/d/1Sx66IFkix9Yg0hjpKsvW_DisZYUG2yuo/view?usp=drive_link</t>
  </si>
  <si>
    <t>B20008-เสากุญแจแบบรับแรง-ดำ</t>
  </si>
  <si>
    <t>B20008-เสากุญแจแบบรับแรง-เทาซาฮาร่า</t>
  </si>
  <si>
    <t>B20008-เสากุญแจแบบรับแรง-ลายไม้สักทอง</t>
  </si>
  <si>
    <t>B20008-เสากุญแจแบบรับแรง-อื่น ๆ</t>
  </si>
  <si>
    <t>B20009-เสาเกี่ยว (ธรรมดา)-อบขาว</t>
  </si>
  <si>
    <t>B20009</t>
  </si>
  <si>
    <t>เสาเกี่ยว (ธรรมดา)</t>
  </si>
  <si>
    <r>
      <rPr>
        <rFont val="Arial"/>
        <color rgb="FF1C4587"/>
        <u/>
      </rPr>
      <t>https://drive.google.com/file/d/1YTN5hqjITv1QkStRnkc-Yb5z3UrXTvTg/view?usp=drive_link</t>
    </r>
  </si>
  <si>
    <t>B20009-เสาเกี่ยว (ธรรมดา)-ดำ</t>
  </si>
  <si>
    <r>
      <rPr>
        <rFont val="Arial"/>
        <color rgb="FF1C4587"/>
        <u/>
      </rPr>
      <t>https://drive.google.com/file/d/1YTN5hqjITv1QkStRnkc-Yb5z3UrXTvTg/view?usp=drive_link</t>
    </r>
  </si>
  <si>
    <t>B20009-เสาเกี่ยว (ธรรมดา)-เทาซาฮาร่า</t>
  </si>
  <si>
    <r>
      <rPr>
        <rFont val="Arial"/>
        <color rgb="FF1C4587"/>
        <u/>
      </rPr>
      <t>https://drive.google.com/file/d/1YTN5hqjITv1QkStRnkc-Yb5z3UrXTvTg/view?usp=drive_link</t>
    </r>
  </si>
  <si>
    <t>B20009-เสาเกี่ยว (ธรรมดา)-ลายไม้สักทอง</t>
  </si>
  <si>
    <r>
      <rPr>
        <rFont val="Arial"/>
        <color rgb="FF1C4587"/>
        <u/>
      </rPr>
      <t>https://drive.google.com/file/d/1YTN5hqjITv1QkStRnkc-Yb5z3UrXTvTg/view?usp=drive_link</t>
    </r>
  </si>
  <si>
    <t>B20009-เสาเกี่ยว (ธรรมดา)-อื่น ๆ</t>
  </si>
  <si>
    <r>
      <rPr>
        <rFont val="Arial"/>
        <color rgb="FF1C4587"/>
        <u/>
      </rPr>
      <t>https://drive.google.com/file/d/1YTN5hqjITv1QkStRnkc-Yb5z3UrXTvTg/view?usp=drive_link</t>
    </r>
  </si>
  <si>
    <t>B20010-เสาเกี่ยวนอก (สูง 2.4 m)-อบขาว</t>
  </si>
  <si>
    <t>B20010</t>
  </si>
  <si>
    <t>เสาเกี่ยวนอก (สูง 2.4 m)</t>
  </si>
  <si>
    <r>
      <rPr>
        <rFont val="Arial"/>
        <color rgb="FF1C4587"/>
        <u/>
      </rPr>
      <t>https://drive.google.com/file/d/1anFasLFG_4K_vklSwjnyhMWv98YpO4xL/view?usp=drive_link</t>
    </r>
  </si>
  <si>
    <t>B20010-เสาเกี่ยวนอก (สูง 2.4 m)-ดำ</t>
  </si>
  <si>
    <r>
      <rPr>
        <rFont val="Arial"/>
        <color rgb="FF1C4587"/>
        <u/>
      </rPr>
      <t>https://drive.google.com/file/d/1anFasLFG_4K_vklSwjnyhMWv98YpO4xL/view?usp=drive_link</t>
    </r>
  </si>
  <si>
    <t>B20010-เสาเกี่ยวนอก (สูง 2.4 m)-เทาซาฮาร่า</t>
  </si>
  <si>
    <r>
      <rPr>
        <rFont val="Arial"/>
        <color rgb="FF1C4587"/>
        <u/>
      </rPr>
      <t>https://drive.google.com/file/d/1anFasLFG_4K_vklSwjnyhMWv98YpO4xL/view?usp=drive_link</t>
    </r>
  </si>
  <si>
    <t>B20010-เสาเกี่ยวนอก (สูง 2.4 m)-ลายไม้สักทอง</t>
  </si>
  <si>
    <r>
      <rPr>
        <rFont val="Arial"/>
        <color rgb="FF1C4587"/>
        <u/>
      </rPr>
      <t>https://drive.google.com/file/d/1anFasLFG_4K_vklSwjnyhMWv98YpO4xL/view?usp=drive_link</t>
    </r>
  </si>
  <si>
    <t>B20010-เสาเกี่ยวนอก (สูง 2.4 m)-อื่น ๆ</t>
  </si>
  <si>
    <r>
      <rPr>
        <rFont val="Arial"/>
        <color rgb="FF1C4587"/>
        <u/>
      </rPr>
      <t>https://drive.google.com/file/d/1anFasLFG_4K_vklSwjnyhMWv98YpO4xL/view?usp=drive_link</t>
    </r>
  </si>
  <si>
    <t>B20019-ฝาปิดเฟรมข้าง-อบขาว</t>
  </si>
  <si>
    <t>B20019</t>
  </si>
  <si>
    <t>ฝาปิดเฟรมข้าง</t>
  </si>
  <si>
    <r>
      <rPr>
        <rFont val="Arial"/>
        <color rgb="FF1C4587"/>
        <u/>
      </rPr>
      <t>https://drive.google.com/file/d/1DsDC4dUdUNCFqJjNxS7z0yr3jtNYVgtV/view?usp=drive_link</t>
    </r>
  </si>
  <si>
    <t>B20019-ฝาปิดเฟรมข้าง-ดำ</t>
  </si>
  <si>
    <r>
      <rPr>
        <rFont val="Arial"/>
        <color rgb="FF1C4587"/>
        <u/>
      </rPr>
      <t>https://drive.google.com/file/d/1DsDC4dUdUNCFqJjNxS7z0yr3jtNYVgtV/view?usp=drive_link</t>
    </r>
  </si>
  <si>
    <t>B20019-ฝาปิดเฟรมข้าง-เทาซาฮาร่า</t>
  </si>
  <si>
    <r>
      <rPr>
        <rFont val="Arial"/>
        <color rgb="FF1C4587"/>
        <u/>
      </rPr>
      <t>https://drive.google.com/file/d/1DsDC4dUdUNCFqJjNxS7z0yr3jtNYVgtV/view?usp=drive_link</t>
    </r>
  </si>
  <si>
    <t>B20019-ฝาปิดเฟรมข้าง-ลายไม้สักทอง</t>
  </si>
  <si>
    <r>
      <rPr>
        <rFont val="Arial"/>
        <color rgb="FF1C4587"/>
        <u/>
      </rPr>
      <t>https://drive.google.com/file/d/1DsDC4dUdUNCFqJjNxS7z0yr3jtNYVgtV/view?usp=drive_link</t>
    </r>
  </si>
  <si>
    <t>B20019-ฝาปิดเฟรมข้าง-อื่น ๆ</t>
  </si>
  <si>
    <r>
      <rPr>
        <rFont val="Arial"/>
        <color rgb="FF1C4587"/>
        <u/>
      </rPr>
      <t>https://drive.google.com/file/d/1DsDC4dUdUNCFqJjNxS7z0yr3jtNYVgtV/view?usp=drive_link</t>
    </r>
  </si>
  <si>
    <t>B20024-คิ้วกันตก-อบขาว</t>
  </si>
  <si>
    <t>B20024</t>
  </si>
  <si>
    <t>คิ้วกันตก</t>
  </si>
  <si>
    <r>
      <rPr>
        <rFont val="Arial"/>
        <color rgb="FF1C4587"/>
        <u/>
      </rPr>
      <t>https://drive.google.com/file/d/17_EICIY9hfQsaOeUOULOLmCQhmd_1G8A/view?usp=drive_link</t>
    </r>
  </si>
  <si>
    <t>B20024-คิ้วกันตก-ดำ</t>
  </si>
  <si>
    <r>
      <rPr>
        <rFont val="Arial"/>
        <color rgb="FF1C4587"/>
        <u/>
      </rPr>
      <t>https://drive.google.com/file/d/17_EICIY9hfQsaOeUOULOLmCQhmd_1G8A/view?usp=drive_link</t>
    </r>
  </si>
  <si>
    <t>B20024-คิ้วกันตก-เทาซาฮาร่า</t>
  </si>
  <si>
    <r>
      <rPr>
        <rFont val="Arial"/>
        <color rgb="FF1C4587"/>
        <u/>
      </rPr>
      <t>https://drive.google.com/file/d/17_EICIY9hfQsaOeUOULOLmCQhmd_1G8A/view?usp=drive_link</t>
    </r>
  </si>
  <si>
    <t>B20024-คิ้วกันตก-ลายไม้สักทอง</t>
  </si>
  <si>
    <r>
      <rPr>
        <rFont val="Arial"/>
        <color rgb="FF1C4587"/>
        <u/>
      </rPr>
      <t>https://drive.google.com/file/d/17_EICIY9hfQsaOeUOULOLmCQhmd_1G8A/view?usp=drive_link</t>
    </r>
  </si>
  <si>
    <t>B20024-คิ้วกันตก-อื่น ๆ</t>
  </si>
  <si>
    <r>
      <rPr>
        <rFont val="Arial"/>
        <color rgb="FF1C4587"/>
        <u/>
      </rPr>
      <t>https://drive.google.com/file/d/17_EICIY9hfQsaOeUOULOLmCQhmd_1G8A/view?usp=drive_link</t>
    </r>
  </si>
  <si>
    <t>B20041-เฟรมบานเลื่อน (3รางเสียบ)-อบขาว</t>
  </si>
  <si>
    <t>B20041</t>
  </si>
  <si>
    <t>เฟรมบานเลื่อน (3รางเสียบ)</t>
  </si>
  <si>
    <r>
      <rPr>
        <rFont val="Arial"/>
        <color rgb="FF1C4587"/>
        <u/>
      </rPr>
      <t>https://drive.google.com/file/d/18LUo6bwaiWPvXDAhQ8DWCLo73TEE1hMp/view?usp=drive_link</t>
    </r>
  </si>
  <si>
    <t>B20041-เฟรมบานเลื่อน (3รางเสียบ)-ดำ</t>
  </si>
  <si>
    <r>
      <rPr>
        <rFont val="Arial"/>
        <color rgb="FF1C4587"/>
        <u/>
      </rPr>
      <t>https://drive.google.com/file/d/18LUo6bwaiWPvXDAhQ8DWCLo73TEE1hMp/view?usp=drive_link</t>
    </r>
  </si>
  <si>
    <t>B20041-เฟรมบานเลื่อน (3รางเสียบ)-เทาซาฮาร่า</t>
  </si>
  <si>
    <r>
      <rPr>
        <rFont val="Arial"/>
        <color rgb="FF1C4587"/>
        <u/>
      </rPr>
      <t>https://drive.google.com/file/d/18LUo6bwaiWPvXDAhQ8DWCLo73TEE1hMp/view?usp=drive_link</t>
    </r>
  </si>
  <si>
    <t>B20041-เฟรมบานเลื่อน (3รางเสียบ)-ลายไม้สักทอง</t>
  </si>
  <si>
    <r>
      <rPr>
        <rFont val="Arial"/>
        <color rgb="FF1C4587"/>
        <u/>
      </rPr>
      <t>https://drive.google.com/file/d/18LUo6bwaiWPvXDAhQ8DWCLo73TEE1hMp/view?usp=drive_link</t>
    </r>
  </si>
  <si>
    <t>B20041-เฟรมบานเลื่อน (3รางเสียบ)-อื่น ๆ</t>
  </si>
  <si>
    <r>
      <rPr>
        <rFont val="Arial"/>
        <color rgb="FF1C4587"/>
        <u/>
      </rPr>
      <t>https://drive.google.com/file/d/18LUo6bwaiWPvXDAhQ8DWCLo73TEE1hMp/view?usp=drive_link</t>
    </r>
  </si>
  <si>
    <t>B20046-ตัวต่อมัลติพ้อยท์ล็อค (ชนกลางบานเลื่อน)-อบขาว</t>
  </si>
  <si>
    <t>B20046</t>
  </si>
  <si>
    <t>ตัวต่อมัลติพ้อยท์ล็อค (ชนกลางบานเลื่อน)</t>
  </si>
  <si>
    <r>
      <rPr>
        <rFont val="Arial"/>
        <color rgb="FF1C4587"/>
        <u/>
      </rPr>
      <t>https://drive.google.com/file/d/1PqAXLo9bYzjuAX3Q6gwfajj-avNYiKTC/view?usp=drive_link</t>
    </r>
  </si>
  <si>
    <t>B20046-ตัวต่อมัลติพ้อยท์ล็อค (ชนกลางบานเลื่อน)-ดำ</t>
  </si>
  <si>
    <r>
      <rPr>
        <rFont val="Arial"/>
        <color rgb="FF1C4587"/>
        <u/>
      </rPr>
      <t>https://drive.google.com/file/d/1PqAXLo9bYzjuAX3Q6gwfajj-avNYiKTC/view?usp=drive_link</t>
    </r>
  </si>
  <si>
    <t>B20046-ตัวต่อมัลติพ้อยท์ล็อค (ชนกลางบานเลื่อน)-เทาซาฮาร่า</t>
  </si>
  <si>
    <r>
      <rPr>
        <rFont val="Arial"/>
        <color rgb="FF1C4587"/>
        <u/>
      </rPr>
      <t>https://drive.google.com/file/d/1PqAXLo9bYzjuAX3Q6gwfajj-avNYiKTC/view?usp=drive_link</t>
    </r>
  </si>
  <si>
    <t>B20046-ตัวต่อมัลติพ้อยท์ล็อค (ชนกลางบานเลื่อน)-ลายไม้สักทอง</t>
  </si>
  <si>
    <r>
      <rPr>
        <rFont val="Arial"/>
        <color rgb="FF1C4587"/>
        <u/>
      </rPr>
      <t>https://drive.google.com/file/d/1PqAXLo9bYzjuAX3Q6gwfajj-avNYiKTC/view?usp=drive_link</t>
    </r>
  </si>
  <si>
    <t>B20046-ตัวต่อมัลติพ้อยท์ล็อค (ชนกลางบานเลื่อน)-อื่น ๆ</t>
  </si>
  <si>
    <r>
      <rPr>
        <rFont val="Arial"/>
        <color rgb="FF1C4587"/>
        <u/>
      </rPr>
      <t>https://drive.google.com/file/d/1PqAXLo9bYzjuAX3Q6gwfajj-avNYiKTC/view?usp=drive_link</t>
    </r>
  </si>
  <si>
    <t>B20047-เฟรมล่างบานเลื่อนภายใน 3 รางเสียบภายใน-อบขาว</t>
  </si>
  <si>
    <t>B20047</t>
  </si>
  <si>
    <t>เฟรมล่างบานเลื่อนภายใน 3 รางเสียบภายใน</t>
  </si>
  <si>
    <r>
      <rPr>
        <rFont val="Arial"/>
        <color rgb="FF1C4587"/>
        <u/>
      </rPr>
      <t>https://drive.google.com/file/d/1oWfy1OfeKf187GfwSwXO-jQpd-wR4XrB/view?usp=drive_link</t>
    </r>
  </si>
  <si>
    <t>B20047-เฟรมล่างบานเลื่อนภายใน 3 รางเสียบภายใน-ดำ</t>
  </si>
  <si>
    <r>
      <rPr>
        <rFont val="Arial"/>
        <color rgb="FF1C4587"/>
        <u/>
      </rPr>
      <t>https://drive.google.com/file/d/1oWfy1OfeKf187GfwSwXO-jQpd-wR4XrB/view?usp=drive_link</t>
    </r>
  </si>
  <si>
    <t>B20047-เฟรมล่างบานเลื่อนภายใน 3 รางเสียบภายใน-เทาซาฮาร่า</t>
  </si>
  <si>
    <r>
      <rPr>
        <rFont val="Arial"/>
        <color rgb="FF1C4587"/>
        <u/>
      </rPr>
      <t>https://drive.google.com/file/d/1oWfy1OfeKf187GfwSwXO-jQpd-wR4XrB/view?usp=drive_link</t>
    </r>
  </si>
  <si>
    <t>B20047-เฟรมล่างบานเลื่อนภายใน 3 รางเสียบภายใน-ลายไม้สักทอง</t>
  </si>
  <si>
    <r>
      <rPr>
        <rFont val="Arial"/>
        <color rgb="FF1C4587"/>
        <u/>
      </rPr>
      <t>https://drive.google.com/file/d/1oWfy1OfeKf187GfwSwXO-jQpd-wR4XrB/view?usp=drive_link</t>
    </r>
  </si>
  <si>
    <t>B20047-เฟรมล่างบานเลื่อนภายใน 3 รางเสียบภายใน-อื่น ๆ</t>
  </si>
  <si>
    <r>
      <rPr>
        <rFont val="Arial"/>
        <color rgb="FF1C4587"/>
        <u/>
      </rPr>
      <t>https://drive.google.com/file/d/1oWfy1OfeKf187GfwSwXO-jQpd-wR4XrB/view?usp=drive_link</t>
    </r>
  </si>
  <si>
    <t>B20048-ตัวตบรางมุ้ง-อบขาว</t>
  </si>
  <si>
    <t>B20048</t>
  </si>
  <si>
    <t>ตัวตบรางมุ้ง</t>
  </si>
  <si>
    <r>
      <rPr>
        <rFont val="Arial"/>
        <color rgb="FF1C4587"/>
        <u/>
      </rPr>
      <t>https://drive.google.com/file/d/1h7NjNAXMyBDWaqmL5MhZYHMA8qdB6LvX/view?usp=drive_link</t>
    </r>
  </si>
  <si>
    <t>B20048-ตัวตบรางมุ้ง-ดำ</t>
  </si>
  <si>
    <r>
      <rPr>
        <rFont val="Arial"/>
        <color rgb="FF1C4587"/>
        <u/>
      </rPr>
      <t>https://drive.google.com/file/d/1h7NjNAXMyBDWaqmL5MhZYHMA8qdB6LvX/view?usp=drive_link</t>
    </r>
  </si>
  <si>
    <t>B20048-ตัวตบรางมุ้ง-เทาซาฮาร่า</t>
  </si>
  <si>
    <r>
      <rPr>
        <rFont val="Arial"/>
        <color rgb="FF1C4587"/>
        <u/>
      </rPr>
      <t>https://drive.google.com/file/d/1h7NjNAXMyBDWaqmL5MhZYHMA8qdB6LvX/view?usp=drive_link</t>
    </r>
  </si>
  <si>
    <t>B20048-ตัวตบรางมุ้ง-ลายไม้สักทอง</t>
  </si>
  <si>
    <r>
      <rPr>
        <rFont val="Arial"/>
        <color rgb="FF1C4587"/>
        <u/>
      </rPr>
      <t>https://drive.google.com/file/d/1h7NjNAXMyBDWaqmL5MhZYHMA8qdB6LvX/view?usp=drive_link</t>
    </r>
  </si>
  <si>
    <t>B20048-ตัวตบรางมุ้ง-อื่น ๆ</t>
  </si>
  <si>
    <r>
      <rPr>
        <rFont val="Arial"/>
        <color rgb="FF1C4587"/>
        <u/>
      </rPr>
      <t>https://drive.google.com/file/d/1h7NjNAXMyBDWaqmL5MhZYHMA8qdB6LvX/view?usp=drive_link</t>
    </r>
  </si>
  <si>
    <t>B20050-ฝาตบปิดรางภายใน-อบขาว</t>
  </si>
  <si>
    <t>B20050</t>
  </si>
  <si>
    <t>ฝาตบปิดรางภายใน</t>
  </si>
  <si>
    <r>
      <rPr>
        <rFont val="Arial"/>
        <color rgb="FF1C4587"/>
        <u/>
      </rPr>
      <t>https://drive.google.com/file/d/1Jixq2ZayPNBEMC1jfWhmrlHMsZJwkFcx/view?usp=drive_link</t>
    </r>
  </si>
  <si>
    <t>B20050-ฝาตบปิดรางภายใน-ดำ</t>
  </si>
  <si>
    <r>
      <rPr>
        <rFont val="Arial"/>
        <color rgb="FF1C4587"/>
        <u/>
      </rPr>
      <t>https://drive.google.com/file/d/1Jixq2ZayPNBEMC1jfWhmrlHMsZJwkFcx/view?usp=drive_link</t>
    </r>
  </si>
  <si>
    <t>B20050-ฝาตบปิดรางภายใน-เทาซาฮาร่า</t>
  </si>
  <si>
    <r>
      <rPr>
        <rFont val="Arial"/>
        <color rgb="FF1C4587"/>
        <u/>
      </rPr>
      <t>https://drive.google.com/file/d/1Jixq2ZayPNBEMC1jfWhmrlHMsZJwkFcx/view?usp=drive_link</t>
    </r>
  </si>
  <si>
    <t>B20050-ฝาตบปิดรางภายใน-ลายไม้สักทอง</t>
  </si>
  <si>
    <r>
      <rPr>
        <rFont val="Arial"/>
        <color rgb="FF1C4587"/>
        <u/>
      </rPr>
      <t>https://drive.google.com/file/d/1Jixq2ZayPNBEMC1jfWhmrlHMsZJwkFcx/view?usp=drive_link</t>
    </r>
  </si>
  <si>
    <t>B20050-ฝาตบปิดรางภายใน-อื่น ๆ</t>
  </si>
  <si>
    <r>
      <rPr>
        <rFont val="Arial"/>
        <color rgb="FF1C4587"/>
        <u/>
      </rPr>
      <t>https://drive.google.com/file/d/1Jixq2ZayPNBEMC1jfWhmrlHMsZJwkFcx/view?usp=drive_link</t>
    </r>
  </si>
  <si>
    <t>B20051-กรอบบานมัลติพ้อยท์ล็อค-อบขาว</t>
  </si>
  <si>
    <t>B20051</t>
  </si>
  <si>
    <t>กรอบบานมัลติพ้อยท์ล็อค</t>
  </si>
  <si>
    <r>
      <rPr>
        <rFont val="Arial"/>
        <color rgb="FF1C4587"/>
        <u/>
      </rPr>
      <t>https://drive.google.com/file/d/14_kzWQaRZTHLS9USzr4Ik_vFT2UHDIcJ/view?usp=drive_link</t>
    </r>
  </si>
  <si>
    <t>B20051-กรอบบานมัลติพ้อยท์ล็อค-ดำ</t>
  </si>
  <si>
    <r>
      <rPr>
        <rFont val="Arial"/>
        <color rgb="FF1C4587"/>
        <u/>
      </rPr>
      <t>https://drive.google.com/file/d/14_kzWQaRZTHLS9USzr4Ik_vFT2UHDIcJ/view?usp=drive_link</t>
    </r>
  </si>
  <si>
    <t>B20051-กรอบบานมัลติพ้อยท์ล็อค-เทาซาฮาร่า</t>
  </si>
  <si>
    <r>
      <rPr>
        <rFont val="Arial"/>
        <color rgb="FF1C4587"/>
        <u/>
      </rPr>
      <t>https://drive.google.com/file/d/14_kzWQaRZTHLS9USzr4Ik_vFT2UHDIcJ/view?usp=drive_link</t>
    </r>
  </si>
  <si>
    <t>B20051-กรอบบานมัลติพ้อยท์ล็อค-ลายไม้สักทอง</t>
  </si>
  <si>
    <r>
      <rPr>
        <rFont val="Arial"/>
        <color rgb="FF1C4587"/>
        <u/>
      </rPr>
      <t>https://drive.google.com/file/d/14_kzWQaRZTHLS9USzr4Ik_vFT2UHDIcJ/view?usp=drive_link</t>
    </r>
  </si>
  <si>
    <t>B20051-กรอบบานมัลติพ้อยท์ล็อค-อื่น ๆ</t>
  </si>
  <si>
    <r>
      <rPr>
        <rFont val="Arial"/>
        <color rgb="FF1C4587"/>
        <u/>
      </rPr>
      <t>https://drive.google.com/file/d/14_kzWQaRZTHLS9USzr4Ik_vFT2UHDIcJ/view?usp=drive_link</t>
    </r>
  </si>
  <si>
    <t>B20053-กรอบบานมัลติพ้อยท์ล็อคร่องปกติมีมือจับ-อบขาว</t>
  </si>
  <si>
    <t>B20053</t>
  </si>
  <si>
    <t>กรอบบานมัลติพ้อยท์ล็อคร่องปกติมีมือจับ</t>
  </si>
  <si>
    <r>
      <rPr>
        <rFont val="Arial"/>
        <color rgb="FF1C4587"/>
        <u/>
      </rPr>
      <t>https://drive.google.com/file/d/1ZhbTfFQRFKtH78BxWUnxN17X53AGHJHQ/view?usp=drive_link</t>
    </r>
  </si>
  <si>
    <t>B20053-กรอบบานมัลติพ้อยท์ล็อคร่องปกติมีมือจับ-ดำ</t>
  </si>
  <si>
    <r>
      <rPr>
        <rFont val="Arial"/>
        <color rgb="FF1C4587"/>
        <u/>
      </rPr>
      <t>https://drive.google.com/file/d/1ZhbTfFQRFKtH78BxWUnxN17X53AGHJHQ/view?usp=drive_link</t>
    </r>
  </si>
  <si>
    <t>B20053-กรอบบานมัลติพ้อยท์ล็อคร่องปกติมีมือจับ-เทาซาฮาร่า</t>
  </si>
  <si>
    <r>
      <rPr>
        <rFont val="Arial"/>
        <color rgb="FF1C4587"/>
        <u/>
      </rPr>
      <t>https://drive.google.com/file/d/1ZhbTfFQRFKtH78BxWUnxN17X53AGHJHQ/view?usp=drive_link</t>
    </r>
  </si>
  <si>
    <t>B20053-กรอบบานมัลติพ้อยท์ล็อคร่องปกติมีมือจับ-ลายไม้สักทอง</t>
  </si>
  <si>
    <r>
      <rPr>
        <rFont val="Arial"/>
        <color rgb="FF1C4587"/>
        <u/>
      </rPr>
      <t>https://drive.google.com/file/d/1ZhbTfFQRFKtH78BxWUnxN17X53AGHJHQ/view?usp=drive_link</t>
    </r>
  </si>
  <si>
    <t>B20053-กรอบบานมัลติพ้อยท์ล็อคร่องปกติมีมือจับ-อื่น ๆ</t>
  </si>
  <si>
    <r>
      <rPr>
        <rFont val="Arial"/>
        <color rgb="FF1C4587"/>
        <u/>
      </rPr>
      <t>https://drive.google.com/file/d/1ZhbTfFQRFKtH78BxWUnxN17X53AGHJHQ/view?usp=drive_link</t>
    </r>
  </si>
  <si>
    <t>B20054-ขวางล่างใส่ล้อตลับขวางบน/ขวางล่าง-อบขาว</t>
  </si>
  <si>
    <t>B20054</t>
  </si>
  <si>
    <t>ขวางล่างใส่ล้อตลับขวางบน/ขวางล่าง</t>
  </si>
  <si>
    <r>
      <rPr>
        <rFont val="Arial"/>
        <color rgb="FF1C4587"/>
        <u/>
      </rPr>
      <t>https://drive.google.com/file/d/1AeB7emez1YjApaGcItvPeeDvTXOJmK_9/view?usp=drive_link</t>
    </r>
  </si>
  <si>
    <t>B20054-ขวางล่างใส่ล้อตลับขวางบน/ขวางล่าง-ดำ</t>
  </si>
  <si>
    <r>
      <rPr>
        <rFont val="Arial"/>
        <color rgb="FF1C4587"/>
        <u/>
      </rPr>
      <t>https://drive.google.com/file/d/1AeB7emez1YjApaGcItvPeeDvTXOJmK_9/view?usp=drive_link</t>
    </r>
  </si>
  <si>
    <t>B20054-ขวางล่างใส่ล้อตลับขวางบน/ขวางล่าง-เทาซาฮาร่า</t>
  </si>
  <si>
    <r>
      <rPr>
        <rFont val="Arial"/>
        <color rgb="FF1C4587"/>
        <u/>
      </rPr>
      <t>https://drive.google.com/file/d/1AeB7emez1YjApaGcItvPeeDvTXOJmK_9/view?usp=drive_link</t>
    </r>
  </si>
  <si>
    <t>B20054-ขวางล่างใส่ล้อตลับขวางบน/ขวางล่าง-ลายไม้สักทอง</t>
  </si>
  <si>
    <r>
      <rPr>
        <rFont val="Arial"/>
        <color rgb="FF1C4587"/>
        <u/>
      </rPr>
      <t>https://drive.google.com/file/d/1AeB7emez1YjApaGcItvPeeDvTXOJmK_9/view?usp=drive_link</t>
    </r>
  </si>
  <si>
    <t>B20054-ขวางล่างใส่ล้อตลับขวางบน/ขวางล่าง-อื่น ๆ</t>
  </si>
  <si>
    <r>
      <rPr>
        <rFont val="Arial"/>
        <color rgb="FF1C4587"/>
        <u/>
      </rPr>
      <t>https://drive.google.com/file/d/1AeB7emez1YjApaGcItvPeeDvTXOJmK_9/view?usp=drive_link</t>
    </r>
  </si>
  <si>
    <t>B22001-เฟรมบนบานเลื่อน 45 มม.-อบขาว</t>
  </si>
  <si>
    <t>B22001</t>
  </si>
  <si>
    <t>เฟรมบนบานเลื่อน 45 มม.</t>
  </si>
  <si>
    <t>https://drive.google.com/file/d/1y7S8gCl4rN1irUuhGPdGmP2VYS-A9uQJ/view?usp=drive_link</t>
  </si>
  <si>
    <t>B22001-เฟรมบนบานเลื่อน 45 มม.-ดำ</t>
  </si>
  <si>
    <t>B22001-เฟรมบนบานเลื่อน 45 มม.-เทาซาฮาร่า</t>
  </si>
  <si>
    <t>B22001-เฟรมบนบานเลื่อน 45 มม.-ลายไม้สักทอง</t>
  </si>
  <si>
    <t>B22001-เฟรมบนบานเลื่อน 45 มม.-อื่น ๆ</t>
  </si>
  <si>
    <t>B22002-เฟรมข้างบานเลื่อน 45 มม.-อบขาว</t>
  </si>
  <si>
    <t>B22002</t>
  </si>
  <si>
    <t>เฟรมข้างบานเลื่อน 45 มม.</t>
  </si>
  <si>
    <t>https://drive.google.com/file/d/1OXyMh0dmZE7X-lzliw2130oW99WcPowD/view?usp=drive_link</t>
  </si>
  <si>
    <t>B22002-เฟรมข้างบานเลื่อน 45 มม.-ดำ</t>
  </si>
  <si>
    <t>B22002-เฟรมข้างบานเลื่อน 45 มม.-เทาซาฮาร่า</t>
  </si>
  <si>
    <t>B22002-เฟรมข้างบานเลื่อน 45 มม.-ลายไม้สักทอง</t>
  </si>
  <si>
    <t>B22002-เฟรมข้างบานเลื่อน 45 มม.-อื่น ๆ</t>
  </si>
  <si>
    <r>
      <rPr>
        <rFont val="Arial"/>
        <color rgb="FF1C4587"/>
        <u/>
      </rPr>
      <t>https://drive.google.com/file/d/1u4f7Zv8EfkSvXtyAFamOfnpyAuTriPMK/view?usp=drive_link</t>
    </r>
  </si>
  <si>
    <t>B22004-คิ้วรางข้างตบร่อง-อบขาว</t>
  </si>
  <si>
    <t>B22004</t>
  </si>
  <si>
    <t>คิ้วรางข้างตบร่อง</t>
  </si>
  <si>
    <r>
      <rPr>
        <rFont val="Arial"/>
        <color rgb="FF1C4587"/>
        <u/>
      </rPr>
      <t>https://drive.google.com/file/d/1u4f7Zv8EfkSvXtyAFamOfnpyAuTriPMK/view?usp=drive_link</t>
    </r>
  </si>
  <si>
    <t>B22004-คิ้วรางข้างตบร่อง-ดำ</t>
  </si>
  <si>
    <r>
      <rPr>
        <rFont val="Arial"/>
        <color rgb="FF1C4587"/>
        <u/>
      </rPr>
      <t>https://drive.google.com/file/d/1u4f7Zv8EfkSvXtyAFamOfnpyAuTriPMK/view?usp=drive_link</t>
    </r>
  </si>
  <si>
    <t>B22004-คิ้วรางข้างตบร่อง-เทาซาฮาร่า</t>
  </si>
  <si>
    <r>
      <rPr>
        <rFont val="Arial"/>
        <color rgb="FF1C4587"/>
        <u/>
      </rPr>
      <t>https://drive.google.com/file/d/1u4f7Zv8EfkSvXtyAFamOfnpyAuTriPMK/view?usp=drive_link</t>
    </r>
  </si>
  <si>
    <t>B22004-คิ้วรางข้างตบร่อง-ลายไม้สักทอง</t>
  </si>
  <si>
    <r>
      <rPr>
        <rFont val="Arial"/>
        <color rgb="FF1C4587"/>
        <u/>
      </rPr>
      <t>https://drive.google.com/file/d/1u4f7Zv8EfkSvXtyAFamOfnpyAuTriPMK/view?usp=drive_link</t>
    </r>
  </si>
  <si>
    <t>B22004-คิ้วรางข้างตบร่อง-อื่น ๆ</t>
  </si>
  <si>
    <r>
      <rPr>
        <rFont val="Arial"/>
        <color rgb="FF1C4587"/>
        <u/>
      </rPr>
      <t>https://drive.google.com/file/d/1u4f7Zv8EfkSvXtyAFamOfnpyAuTriPMK/view?usp=drive_link</t>
    </r>
  </si>
  <si>
    <t>B24001-เฟรมบนบานเฟี้ยม-อบขาว</t>
  </si>
  <si>
    <t>B24001</t>
  </si>
  <si>
    <t>เฟรมบนบานเฟี้ยม</t>
  </si>
  <si>
    <r>
      <rPr>
        <rFont val="Arial"/>
        <color rgb="FF1C4587"/>
        <u/>
      </rPr>
      <t>https://drive.google.com/file/d/1-CuiYtlQrUY-Wf01AEgRWzySOjpBri6P/view?usp=drive_link</t>
    </r>
  </si>
  <si>
    <t>B24001-เฟรมบนบานเฟี้ยม-ดำ</t>
  </si>
  <si>
    <r>
      <rPr>
        <rFont val="Arial"/>
        <color rgb="FF1C4587"/>
        <u/>
      </rPr>
      <t>https://drive.google.com/file/d/1-CuiYtlQrUY-Wf01AEgRWzySOjpBri6P/view?usp=drive_link</t>
    </r>
  </si>
  <si>
    <t>B24001-เฟรมบนบานเฟี้ยม-เทาซาฮาร่า</t>
  </si>
  <si>
    <r>
      <rPr>
        <rFont val="Arial"/>
        <color rgb="FF1C4587"/>
        <u/>
      </rPr>
      <t>https://drive.google.com/file/d/1-CuiYtlQrUY-Wf01AEgRWzySOjpBri6P/view?usp=drive_link</t>
    </r>
  </si>
  <si>
    <t>B24001-เฟรมบนบานเฟี้ยม-ลายไม้สักทอง</t>
  </si>
  <si>
    <r>
      <rPr>
        <rFont val="Arial"/>
        <color rgb="FF1C4587"/>
        <u/>
      </rPr>
      <t>https://drive.google.com/file/d/1-CuiYtlQrUY-Wf01AEgRWzySOjpBri6P/view?usp=drive_link</t>
    </r>
  </si>
  <si>
    <t>B24001-เฟรมบนบานเฟี้ยม-อื่น ๆ</t>
  </si>
  <si>
    <r>
      <rPr>
        <rFont val="Arial"/>
        <color rgb="FF1C4587"/>
        <u/>
      </rPr>
      <t>https://drive.google.com/file/d/1-CuiYtlQrUY-Wf01AEgRWzySOjpBri6P/view?usp=drive_link</t>
    </r>
  </si>
  <si>
    <t>B24002-คิ้วเฟรมบน-อบขาว</t>
  </si>
  <si>
    <t>B24002</t>
  </si>
  <si>
    <t>คิ้วเฟรมบน</t>
  </si>
  <si>
    <r>
      <rPr>
        <rFont val="Arial"/>
        <color rgb="FF1C4587"/>
        <u/>
      </rPr>
      <t>https://drive.google.com/file/d/1pvZ61kWEWMCnriMTuL_S80GiNc1b2QjH/view?usp=drive_link</t>
    </r>
  </si>
  <si>
    <t>B24002-คิ้วเฟรมบน-ดำ</t>
  </si>
  <si>
    <r>
      <rPr>
        <rFont val="Arial"/>
        <color rgb="FF1C4587"/>
        <u/>
      </rPr>
      <t>https://drive.google.com/file/d/1pvZ61kWEWMCnriMTuL_S80GiNc1b2QjH/view?usp=drive_link</t>
    </r>
  </si>
  <si>
    <t>B24002-คิ้วเฟรมบน-เทาซาฮาร่า</t>
  </si>
  <si>
    <r>
      <rPr>
        <rFont val="Arial"/>
        <color rgb="FF1C4587"/>
        <u/>
      </rPr>
      <t>https://drive.google.com/file/d/1pvZ61kWEWMCnriMTuL_S80GiNc1b2QjH/view?usp=drive_link</t>
    </r>
  </si>
  <si>
    <t>B24002-คิ้วเฟรมบน-ลายไม้สักทอง</t>
  </si>
  <si>
    <r>
      <rPr>
        <rFont val="Arial"/>
        <color rgb="FF1C4587"/>
        <u/>
      </rPr>
      <t>https://drive.google.com/file/d/1pvZ61kWEWMCnriMTuL_S80GiNc1b2QjH/view?usp=drive_link</t>
    </r>
  </si>
  <si>
    <t>B24002-คิ้วเฟรมบน-อื่น ๆ</t>
  </si>
  <si>
    <r>
      <rPr>
        <rFont val="Arial"/>
        <color rgb="FF1C4587"/>
        <u/>
      </rPr>
      <t>https://drive.google.com/file/d/1pvZ61kWEWMCnriMTuL_S80GiNc1b2QjH/view?usp=drive_link</t>
    </r>
  </si>
  <si>
    <t>B24003-เฟรมล่างบานเฟี้ยม-อบขาว</t>
  </si>
  <si>
    <t>B24003</t>
  </si>
  <si>
    <t>เฟรมล่างบานเฟี้ยม</t>
  </si>
  <si>
    <r>
      <rPr>
        <rFont val="Arial"/>
        <color rgb="FF1C4587"/>
        <u/>
      </rPr>
      <t>https://drive.google.com/file/d/1vJVzLGuHP2e2YArHAr0c4GVHq9h-rkRW/view?usp=drive_link</t>
    </r>
  </si>
  <si>
    <t>B24003-เฟรมล่างบานเฟี้ยม-ดำ</t>
  </si>
  <si>
    <r>
      <rPr>
        <rFont val="Arial"/>
        <color rgb="FF1C4587"/>
        <u/>
      </rPr>
      <t>https://drive.google.com/file/d/1vJVzLGuHP2e2YArHAr0c4GVHq9h-rkRW/view?usp=drive_link</t>
    </r>
  </si>
  <si>
    <t>B24003-เฟรมล่างบานเฟี้ยม-เทาซาฮาร่า</t>
  </si>
  <si>
    <r>
      <rPr>
        <rFont val="Arial"/>
        <color rgb="FF1C4587"/>
        <u/>
      </rPr>
      <t>https://drive.google.com/file/d/1vJVzLGuHP2e2YArHAr0c4GVHq9h-rkRW/view?usp=drive_link</t>
    </r>
  </si>
  <si>
    <t>B24003-เฟรมล่างบานเฟี้ยม-ลายไม้สักทอง</t>
  </si>
  <si>
    <r>
      <rPr>
        <rFont val="Arial"/>
        <color rgb="FF1C4587"/>
        <u/>
      </rPr>
      <t>https://drive.google.com/file/d/1vJVzLGuHP2e2YArHAr0c4GVHq9h-rkRW/view?usp=drive_link</t>
    </r>
  </si>
  <si>
    <t>B24003-เฟรมล่างบานเฟี้ยม-อื่น ๆ</t>
  </si>
  <si>
    <r>
      <rPr>
        <rFont val="Arial"/>
        <color rgb="FF1C4587"/>
        <u/>
      </rPr>
      <t>https://drive.google.com/file/d/1vJVzLGuHP2e2YArHAr0c4GVHq9h-rkRW/view?usp=drive_link</t>
    </r>
  </si>
  <si>
    <t>B24004-ตบธรณี-อบขาว</t>
  </si>
  <si>
    <t>B24004</t>
  </si>
  <si>
    <t>ตบธรณี</t>
  </si>
  <si>
    <r>
      <rPr>
        <rFont val="Arial"/>
        <color rgb="FF1C4587"/>
        <u/>
      </rPr>
      <t>https://drive.google.com/file/d/1lvk5wE0RM3NTJof6lLj8lzmShXClSlDN/view?usp=drive_link</t>
    </r>
  </si>
  <si>
    <t>B24004-ตบธรณี-ดำ</t>
  </si>
  <si>
    <r>
      <rPr>
        <rFont val="Arial"/>
        <color rgb="FF1C4587"/>
        <u/>
      </rPr>
      <t>https://drive.google.com/file/d/1lvk5wE0RM3NTJof6lLj8lzmShXClSlDN/view?usp=drive_link</t>
    </r>
  </si>
  <si>
    <t>B24004-ตบธรณี-เทาซาฮาร่า</t>
  </si>
  <si>
    <r>
      <rPr>
        <rFont val="Arial"/>
        <color rgb="FF1C4587"/>
        <u/>
      </rPr>
      <t>https://drive.google.com/file/d/1lvk5wE0RM3NTJof6lLj8lzmShXClSlDN/view?usp=drive_link</t>
    </r>
  </si>
  <si>
    <t>B24004-ตบธรณี-ลายไม้สักทอง</t>
  </si>
  <si>
    <r>
      <rPr>
        <rFont val="Arial"/>
        <color rgb="FF1C4587"/>
        <u/>
      </rPr>
      <t>https://drive.google.com/file/d/1lvk5wE0RM3NTJof6lLj8lzmShXClSlDN/view?usp=drive_link</t>
    </r>
  </si>
  <si>
    <t>B24004-ตบธรณี-อื่น ๆ</t>
  </si>
  <si>
    <r>
      <rPr>
        <rFont val="Arial"/>
        <color rgb="FF1C4587"/>
        <u/>
      </rPr>
      <t>https://drive.google.com/file/d/1lvk5wE0RM3NTJof6lLj8lzmShXClSlDN/view?usp=drive_link</t>
    </r>
  </si>
  <si>
    <t>B24005-เฟรมข้างบานเฟี้ยม-อบขาว</t>
  </si>
  <si>
    <t>B24005</t>
  </si>
  <si>
    <t>เฟรมข้างบานเฟี้ยม</t>
  </si>
  <si>
    <r>
      <rPr>
        <rFont val="Arial"/>
        <color rgb="FF1C4587"/>
        <u/>
      </rPr>
      <t>https://drive.google.com/file/d/1FvUp-mNz-at-JqBszOYt_fwKAfeceozp/view?usp=drive_link</t>
    </r>
  </si>
  <si>
    <t>B24005-เฟรมข้างบานเฟี้ยม-ดำ</t>
  </si>
  <si>
    <r>
      <rPr>
        <rFont val="Arial"/>
        <color rgb="FF1C4587"/>
        <u/>
      </rPr>
      <t>https://drive.google.com/file/d/1FvUp-mNz-at-JqBszOYt_fwKAfeceozp/view?usp=drive_link</t>
    </r>
  </si>
  <si>
    <t>B24005-เฟรมข้างบานเฟี้ยม-เทาซาฮาร่า</t>
  </si>
  <si>
    <r>
      <rPr>
        <rFont val="Arial"/>
        <color rgb="FF1C4587"/>
        <u/>
      </rPr>
      <t>https://drive.google.com/file/d/1FvUp-mNz-at-JqBszOYt_fwKAfeceozp/view?usp=drive_link</t>
    </r>
  </si>
  <si>
    <t>B24005-เฟรมข้างบานเฟี้ยม-ลายไม้สักทอง</t>
  </si>
  <si>
    <r>
      <rPr>
        <rFont val="Arial"/>
        <color rgb="FF1C4587"/>
        <u/>
      </rPr>
      <t>https://drive.google.com/file/d/1FvUp-mNz-at-JqBszOYt_fwKAfeceozp/view?usp=drive_link</t>
    </r>
  </si>
  <si>
    <t>B24005-เฟรมข้างบานเฟี้ยม-อื่น ๆ</t>
  </si>
  <si>
    <r>
      <rPr>
        <rFont val="Arial"/>
        <color rgb="FF1C4587"/>
        <u/>
      </rPr>
      <t>https://drive.google.com/file/d/1FvUp-mNz-at-JqBszOYt_fwKAfeceozp/view?usp=drive_link</t>
    </r>
  </si>
  <si>
    <t>B24006-คิ้วเฟรมข้างประตู-อบขาว</t>
  </si>
  <si>
    <t>B24006</t>
  </si>
  <si>
    <t>คิ้วเฟรมข้างประตู</t>
  </si>
  <si>
    <r>
      <rPr>
        <rFont val="Arial"/>
        <color rgb="FF1C4587"/>
        <u/>
      </rPr>
      <t>https://drive.google.com/file/d/1WBcgHPeON2KeueM5p2XDLv5-w4DS-_Kf/view?usp=drive_link</t>
    </r>
  </si>
  <si>
    <t>B24006-คิ้วเฟรมข้างประตู-ดำ</t>
  </si>
  <si>
    <r>
      <rPr>
        <rFont val="Arial"/>
        <color rgb="FF1C4587"/>
        <u/>
      </rPr>
      <t>https://drive.google.com/file/d/1WBcgHPeON2KeueM5p2XDLv5-w4DS-_Kf/view?usp=drive_link</t>
    </r>
  </si>
  <si>
    <t>B24006-คิ้วเฟรมข้างประตู-เทาซาฮาร่า</t>
  </si>
  <si>
    <r>
      <rPr>
        <rFont val="Arial"/>
        <color rgb="FF1C4587"/>
        <u/>
      </rPr>
      <t>https://drive.google.com/file/d/1WBcgHPeON2KeueM5p2XDLv5-w4DS-_Kf/view?usp=drive_link</t>
    </r>
  </si>
  <si>
    <t>B24006-คิ้วเฟรมข้างประตู-ลายไม้สักทอง</t>
  </si>
  <si>
    <r>
      <rPr>
        <rFont val="Arial"/>
        <color rgb="FF1C4587"/>
        <u/>
      </rPr>
      <t>https://drive.google.com/file/d/1WBcgHPeON2KeueM5p2XDLv5-w4DS-_Kf/view?usp=drive_link</t>
    </r>
  </si>
  <si>
    <t>B24006-คิ้วเฟรมข้างประตู-อื่น ๆ</t>
  </si>
  <si>
    <r>
      <rPr>
        <rFont val="Arial"/>
        <color rgb="FF1C4587"/>
        <u/>
      </rPr>
      <t>https://drive.google.com/file/d/1WBcgHPeON2KeueM5p2XDLv5-w4DS-_Kf/view?usp=drive_link</t>
    </r>
  </si>
  <si>
    <t>B24007-เสาบานเฟี้ยม-อบขาว</t>
  </si>
  <si>
    <t>B24007</t>
  </si>
  <si>
    <t>เสาบานเฟี้ยม</t>
  </si>
  <si>
    <r>
      <rPr>
        <rFont val="Arial"/>
        <color rgb="FF1C4587"/>
        <u/>
      </rPr>
      <t>https://drive.google.com/file/d/1sN_x8La2yKwKOjoCzRA9xGu2tHw1ixGn/view?usp=drive_link</t>
    </r>
  </si>
  <si>
    <t>B24007-เสาบานเฟี้ยม-ดำ</t>
  </si>
  <si>
    <r>
      <rPr>
        <rFont val="Arial"/>
        <color rgb="FF1C4587"/>
        <u/>
      </rPr>
      <t>https://drive.google.com/file/d/1sN_x8La2yKwKOjoCzRA9xGu2tHw1ixGn/view?usp=drive_link</t>
    </r>
  </si>
  <si>
    <t>B24007-เสาบานเฟี้ยม-เทาซาฮาร่า</t>
  </si>
  <si>
    <r>
      <rPr>
        <rFont val="Arial"/>
        <color rgb="FF1C4587"/>
        <u/>
      </rPr>
      <t>https://drive.google.com/file/d/1sN_x8La2yKwKOjoCzRA9xGu2tHw1ixGn/view?usp=drive_link</t>
    </r>
  </si>
  <si>
    <t>B24007-เสาบานเฟี้ยม-ลายไม้สักทอง</t>
  </si>
  <si>
    <r>
      <rPr>
        <rFont val="Arial"/>
        <color rgb="FF1C4587"/>
        <u/>
      </rPr>
      <t>https://drive.google.com/file/d/1sN_x8La2yKwKOjoCzRA9xGu2tHw1ixGn/view?usp=drive_link</t>
    </r>
  </si>
  <si>
    <t>B24007-เสาบานเฟี้ยม-อื่น ๆ</t>
  </si>
  <si>
    <r>
      <rPr>
        <rFont val="Arial"/>
        <color rgb="FF1C4587"/>
        <u/>
      </rPr>
      <t>https://drive.google.com/file/d/1sN_x8La2yKwKOjoCzRA9xGu2tHw1ixGn/view?usp=drive_link</t>
    </r>
  </si>
  <si>
    <t>B24008-คิ้วตบกระจก 5-6 มม.-อบขาว</t>
  </si>
  <si>
    <t>B24008</t>
  </si>
  <si>
    <t>คิ้วตบกระจก 5-6 มม.</t>
  </si>
  <si>
    <r>
      <rPr>
        <rFont val="Arial"/>
        <color rgb="FF1C4587"/>
        <u/>
      </rPr>
      <t>https://drive.google.com/file/d/1Y0JqivywQkV4P0mmHxud2RMPoRk6QJdT/view?usp=drive_link</t>
    </r>
  </si>
  <si>
    <t>B24008-คิ้วตบกระจก 5-6 มม.-ดำ</t>
  </si>
  <si>
    <r>
      <rPr>
        <rFont val="Arial"/>
        <color rgb="FF1C4587"/>
        <u/>
      </rPr>
      <t>https://drive.google.com/file/d/1Y0JqivywQkV4P0mmHxud2RMPoRk6QJdT/view?usp=drive_link</t>
    </r>
  </si>
  <si>
    <t>B24008-คิ้วตบกระจก 5-6 มม.-เทาซาฮาร่า</t>
  </si>
  <si>
    <r>
      <rPr>
        <rFont val="Arial"/>
        <color rgb="FF1C4587"/>
        <u/>
      </rPr>
      <t>https://drive.google.com/file/d/1Y0JqivywQkV4P0mmHxud2RMPoRk6QJdT/view?usp=drive_link</t>
    </r>
  </si>
  <si>
    <t>B24008-คิ้วตบกระจก 5-6 มม.-ลายไม้สักทอง</t>
  </si>
  <si>
    <r>
      <rPr>
        <rFont val="Arial"/>
        <color rgb="FF1C4587"/>
        <u/>
      </rPr>
      <t>https://drive.google.com/file/d/1Y0JqivywQkV4P0mmHxud2RMPoRk6QJdT/view?usp=drive_link</t>
    </r>
  </si>
  <si>
    <t>B24008-คิ้วตบกระจก 5-6 มม.-อื่น ๆ</t>
  </si>
  <si>
    <r>
      <rPr>
        <rFont val="Arial"/>
        <color rgb="FF1C4587"/>
        <u/>
      </rPr>
      <t>https://drive.google.com/file/d/1Y0JqivywQkV4P0mmHxud2RMPoRk6QJdT/view?usp=drive_link</t>
    </r>
  </si>
  <si>
    <t>B24009-บังใบเสาประตูบานเฟี้ยม-อบขาว</t>
  </si>
  <si>
    <t>B24009</t>
  </si>
  <si>
    <t>บังใบเสาประตูบานเฟี้ยม</t>
  </si>
  <si>
    <r>
      <rPr>
        <rFont val="Arial"/>
        <color rgb="FF1C4587"/>
        <u/>
      </rPr>
      <t>https://drive.google.com/file/d/13WGawdq6l9MPghxN4tpVJqMC_QTCSYed/view?usp=drive_link</t>
    </r>
  </si>
  <si>
    <t>B24009-บังใบเสาประตูบานเฟี้ยม-ดำ</t>
  </si>
  <si>
    <r>
      <rPr>
        <rFont val="Arial"/>
        <color rgb="FF1C4587"/>
        <u/>
      </rPr>
      <t>https://drive.google.com/file/d/13WGawdq6l9MPghxN4tpVJqMC_QTCSYed/view?usp=drive_link</t>
    </r>
  </si>
  <si>
    <t>B24009-บังใบเสาประตูบานเฟี้ยม-เทาซาฮาร่า</t>
  </si>
  <si>
    <r>
      <rPr>
        <rFont val="Arial"/>
        <color rgb="FF1C4587"/>
        <u/>
      </rPr>
      <t>https://drive.google.com/file/d/13WGawdq6l9MPghxN4tpVJqMC_QTCSYed/view?usp=drive_link</t>
    </r>
  </si>
  <si>
    <t>B24009-บังใบเสาประตูบานเฟี้ยม-ลายไม้สักทอง</t>
  </si>
  <si>
    <r>
      <rPr>
        <rFont val="Arial"/>
        <color rgb="FF1C4587"/>
        <u/>
      </rPr>
      <t>https://drive.google.com/file/d/13WGawdq6l9MPghxN4tpVJqMC_QTCSYed/view?usp=drive_link</t>
    </r>
  </si>
  <si>
    <t>B24009-บังใบเสาประตูบานเฟี้ยม-อื่น ๆ</t>
  </si>
  <si>
    <r>
      <rPr>
        <rFont val="Arial"/>
        <color rgb="FF1C4587"/>
        <u/>
      </rPr>
      <t>https://drive.google.com/file/d/13WGawdq6l9MPghxN4tpVJqMC_QTCSYed/view?usp=drive_link</t>
    </r>
  </si>
  <si>
    <t>B24017-รางยู sms-อบขาว</t>
  </si>
  <si>
    <t>B24017</t>
  </si>
  <si>
    <t>รางยู sms</t>
  </si>
  <si>
    <r>
      <rPr>
        <rFont val="Arial"/>
        <color rgb="FF1C4587"/>
        <u/>
      </rPr>
      <t>https://drive.google.com/file/d/12kV20ck_aspleMVLC6g2k1zktnFuhm5D/view?usp=drive_link</t>
    </r>
  </si>
  <si>
    <t>B24017-รางยู sms-ดำ</t>
  </si>
  <si>
    <r>
      <rPr>
        <rFont val="Arial"/>
        <color rgb="FF1C4587"/>
        <u/>
      </rPr>
      <t>https://drive.google.com/file/d/12kV20ck_aspleMVLC6g2k1zktnFuhm5D/view?usp=drive_link</t>
    </r>
  </si>
  <si>
    <t>B24017-รางยู sms-เทาซาฮาร่า</t>
  </si>
  <si>
    <r>
      <rPr>
        <rFont val="Arial"/>
        <color rgb="FF1C4587"/>
        <u/>
      </rPr>
      <t>https://drive.google.com/file/d/12kV20ck_aspleMVLC6g2k1zktnFuhm5D/view?usp=drive_link</t>
    </r>
  </si>
  <si>
    <t>B24017-รางยู sms-ลายไม้สักทอง</t>
  </si>
  <si>
    <r>
      <rPr>
        <rFont val="Arial"/>
        <color rgb="FF1C4587"/>
        <u/>
      </rPr>
      <t>https://drive.google.com/file/d/12kV20ck_aspleMVLC6g2k1zktnFuhm5D/view?usp=drive_link</t>
    </r>
  </si>
  <si>
    <t>B24017-รางยู sms-อื่น ๆ</t>
  </si>
  <si>
    <r>
      <rPr>
        <rFont val="Arial"/>
        <color rgb="FF1C4587"/>
        <u/>
      </rPr>
      <t>https://drive.google.com/file/d/12kV20ck_aspleMVLC6g2k1zktnFuhm5D/view?usp=drive_link</t>
    </r>
  </si>
  <si>
    <t>B24018-รางบานเฟี้ยมภายใน sms-อบขาว</t>
  </si>
  <si>
    <t>B24018</t>
  </si>
  <si>
    <t>รางบานเฟี้ยมภายใน sms</t>
  </si>
  <si>
    <r>
      <rPr>
        <rFont val="Arial"/>
        <color rgb="FF1C4587"/>
        <u/>
      </rPr>
      <t>https://drive.google.com/file/d/1Lqlv80PZA3cRxbbBl_eH71ktimNrBjax/view?usp=drive_link</t>
    </r>
  </si>
  <si>
    <t>B24018-รางบานเฟี้ยมภายใน sms-ดำ</t>
  </si>
  <si>
    <r>
      <rPr>
        <rFont val="Arial"/>
        <color rgb="FF1C4587"/>
        <u/>
      </rPr>
      <t>https://drive.google.com/file/d/1Lqlv80PZA3cRxbbBl_eH71ktimNrBjax/view?usp=drive_link</t>
    </r>
  </si>
  <si>
    <t>B24018-รางบานเฟี้ยมภายใน sms-เทาซาฮาร่า</t>
  </si>
  <si>
    <r>
      <rPr>
        <rFont val="Arial"/>
        <color rgb="FF1C4587"/>
        <u/>
      </rPr>
      <t>https://drive.google.com/file/d/1Lqlv80PZA3cRxbbBl_eH71ktimNrBjax/view?usp=drive_link</t>
    </r>
  </si>
  <si>
    <t>B24018-รางบานเฟี้ยมภายใน sms-ลายไม้สักทอง</t>
  </si>
  <si>
    <r>
      <rPr>
        <rFont val="Arial"/>
        <color rgb="FF1C4587"/>
        <u/>
      </rPr>
      <t>https://drive.google.com/file/d/1Lqlv80PZA3cRxbbBl_eH71ktimNrBjax/view?usp=drive_link</t>
    </r>
  </si>
  <si>
    <t>B24018-รางบานเฟี้ยมภายใน sms-อื่น ๆ</t>
  </si>
  <si>
    <r>
      <rPr>
        <rFont val="Arial"/>
        <color rgb="FF1C4587"/>
        <u/>
      </rPr>
      <t>https://drive.google.com/file/d/1Lqlv80PZA3cRxbbBl_eH71ktimNrBjax/view?usp=drive_link</t>
    </r>
  </si>
  <si>
    <t>B30006-กรอบมุ้ง-อบขาว</t>
  </si>
  <si>
    <t>B30006</t>
  </si>
  <si>
    <t>กรอบมุ้ง</t>
  </si>
  <si>
    <t>https://drive.google.com/file/d/15blWqqSYHZRtyg_8C05pl-t6dbODcBOz/view?usp=drive_link</t>
  </si>
  <si>
    <t>B30006-กรอบมุ้ง-ดำ</t>
  </si>
  <si>
    <t>B30006-กรอบมุ้ง-เทาซาฮาร่า</t>
  </si>
  <si>
    <t>B30006-กรอบมุ้ง-ลายไม้สักทอง</t>
  </si>
  <si>
    <t>B30006-กรอบมุ้ง-อื่น ๆ</t>
  </si>
  <si>
    <t>F7976-เฟรมบน-ล่างบานเลื่อน 3 ราง-อบขาว</t>
  </si>
  <si>
    <t>อลูมิเนียม Fuji</t>
  </si>
  <si>
    <t>F7976</t>
  </si>
  <si>
    <t>เฟรมบน-ล่างบานเลื่อน 3 ราง</t>
  </si>
  <si>
    <t>https://drive.google.com/file/d/1GGxyYMpMCH9NeV5ej3jfvChNy1L2C3Sq/view?usp=drive_link</t>
  </si>
  <si>
    <t>F7976-เฟรมบน-ล่างบานเลื่อน 3 ราง-ดำ</t>
  </si>
  <si>
    <t>F7976-เฟรมบน-ล่างบานเลื่อน 3 ราง-เทาซาฮาร่า</t>
  </si>
  <si>
    <t>F7976-เฟรมบน-ล่างบานเลื่อน 3 ราง-Aztec gray</t>
  </si>
  <si>
    <t>Aztec gray</t>
  </si>
  <si>
    <t>F7976-เฟรมบน-ล่างบานเลื่อน 3 ราง-ลายไม้สักทอง</t>
  </si>
  <si>
    <t>F7976-เฟรมบน-ล่างบานเลื่อน 3 ราง-ไวท์โอ็ค</t>
  </si>
  <si>
    <t>ไวท์โอ็ค</t>
  </si>
  <si>
    <t>F7869-เฟรมบน-ล่างบานเลื่อน 3 ราง (ตัวหนา)-อบขาว</t>
  </si>
  <si>
    <t>F7869</t>
  </si>
  <si>
    <t>เฟรมบน-ล่างบานเลื่อน 3 ราง (ตัวหนา)</t>
  </si>
  <si>
    <t>https://drive.google.com/file/d/1w37htf4fNF0pcp1Dy-XPxGJbGe6Stpm5/view?usp=drive_link</t>
  </si>
  <si>
    <t>F7869-เฟรมบน-ล่างบานเลื่อน 3 ราง (ตัวหนา)-ดำ</t>
  </si>
  <si>
    <t>F7869-เฟรมบน-ล่างบานเลื่อน 3 ราง (ตัวหนา)-เทาซาฮาร่า</t>
  </si>
  <si>
    <t>F7869-เฟรมบน-ล่างบานเลื่อน 3 ราง (ตัวหนา)-Aztec gray</t>
  </si>
  <si>
    <t>F7869-เฟรมบน-ล่างบานเลื่อน 3 ราง (ตัวหนา)-ลายไม้สักทอง</t>
  </si>
  <si>
    <t>F7869-เฟรมบน-ล่างบานเลื่อน 3 ราง (ตัวหนา)-ไวท์โอ็ค</t>
  </si>
  <si>
    <t>F7869-เฟรมบน-ล่างบานเลื่อน 3 ราง (ตัวหนา)-มะฮอกกานี</t>
  </si>
  <si>
    <t>มะฮอกกานี</t>
  </si>
  <si>
    <t>F7977-เฟรมบน-ล่างบานเลื่อน 2 ราง-อบขาว</t>
  </si>
  <si>
    <t>F7977</t>
  </si>
  <si>
    <t>เฟรมบน-ล่างบานเลื่อน 2 ราง</t>
  </si>
  <si>
    <t>https://drive.google.com/file/d/1CJ-2lmBBZ8w_bDwEBUtib3JQapzqEq0Q/view?usp=drive_link</t>
  </si>
  <si>
    <t>F7977-เฟรมบน-ล่างบานเลื่อน 2 ราง-ดำ</t>
  </si>
  <si>
    <t>F7977-เฟรมบน-ล่างบานเลื่อน 2 ราง-เทาซาฮาร่า</t>
  </si>
  <si>
    <t>F7977-เฟรมบน-ล่างบานเลื่อน 2 ราง-Aztec gray</t>
  </si>
  <si>
    <t>F7977-เฟรมบน-ล่างบานเลื่อน 2 ราง-ลายไม้สักทอง</t>
  </si>
  <si>
    <t>F7977-เฟรมบน-ล่างบานเลื่อน 2 ราง-ไวท์โอ็ค</t>
  </si>
  <si>
    <t>F7977-เฟรมบน-ล่างบานเลื่อน 2 ราง-มะฮอกกานี</t>
  </si>
  <si>
    <t>F7990-ต่อเฟรมบน-ล่างบานเลื่อน-อบขาว</t>
  </si>
  <si>
    <t>F7990</t>
  </si>
  <si>
    <t>ต่อเฟรมบน-ล่างบานเลื่อน</t>
  </si>
  <si>
    <t>https://drive.google.com/file/d/1KW5BIHVFB3Jxx8Tiy3GH5-o1fjbFav69/view?usp=drive_link</t>
  </si>
  <si>
    <t>F7990-ต่อเฟรมบน-ล่างบานเลื่อน-ดำ</t>
  </si>
  <si>
    <t>F7990-ต่อเฟรมบน-ล่างบานเลื่อน-เทาซาฮาร่า</t>
  </si>
  <si>
    <t>F7990-ต่อเฟรมบน-ล่างบานเลื่อน-Aztec gray</t>
  </si>
  <si>
    <t>F7990-ต่อเฟรมบน-ล่างบานเลื่อน-ลายไม้สักทอง</t>
  </si>
  <si>
    <t>F7990-ต่อเฟรมบน-ล่างบานเลื่อน-ไวท์โอ็ค</t>
  </si>
  <si>
    <t>F7990-ต่อเฟรมบน-ล่างบานเลื่อน-มะฮอกกานี</t>
  </si>
  <si>
    <t>F7902-เฟรมล่างบานเลื่อน 3 ราง (ตัวเตี้ย)-อบขาว</t>
  </si>
  <si>
    <t>F7902</t>
  </si>
  <si>
    <t>เฟรมล่างบานเลื่อน 3 ราง (ตัวเตี้ย)</t>
  </si>
  <si>
    <t>https://drive.google.com/file/d/10giGZWdqAXn4H_7vcnLvUaFkX5-1YyyA/view?usp=drive_link</t>
  </si>
  <si>
    <t>F7902-เฟรมล่างบานเลื่อน 3 ราง (ตัวเตี้ย)-ดำ</t>
  </si>
  <si>
    <t>F7902-เฟรมล่างบานเลื่อน 3 ราง (ตัวเตี้ย)-เทาซาฮาร่า</t>
  </si>
  <si>
    <t>F7902-เฟรมล่างบานเลื่อน 3 ราง (ตัวเตี้ย)-Aztec gray</t>
  </si>
  <si>
    <t>F7902-เฟรมล่างบานเลื่อน 3 ราง (ตัวเตี้ย)-ลายไม้สักทอง</t>
  </si>
  <si>
    <t>F7902-เฟรมล่างบานเลื่อน 3 ราง (ตัวเตี้ย)-ไวท์โอ็ค</t>
  </si>
  <si>
    <t>F7902-เฟรมล่างบานเลื่อน 3 ราง (ตัวเตี้ย)-มะฮอกกานี</t>
  </si>
  <si>
    <t>F7978-เฟรมข้างบานเลื่อน 3 ราง-อบขาว</t>
  </si>
  <si>
    <t>F7978</t>
  </si>
  <si>
    <t>เฟรมข้างบานเลื่อน 3 ราง</t>
  </si>
  <si>
    <t>https://drive.google.com/file/d/1v_7SMO4X8YyMdvFw72lIhLJRse70mMMP/view?usp=drive_link</t>
  </si>
  <si>
    <t>F7978-เฟรมข้างบานเลื่อน 3 ราง-ดำ</t>
  </si>
  <si>
    <t>F7978-เฟรมข้างบานเลื่อน 3 ราง-เทาซาฮาร่า</t>
  </si>
  <si>
    <t>F7978-เฟรมข้างบานเลื่อน 3 ราง-Aztec gray</t>
  </si>
  <si>
    <t>F7978-เฟรมข้างบานเลื่อน 3 ราง-ลายไม้สักทอง</t>
  </si>
  <si>
    <t>F7978-เฟรมข้างบานเลื่อน 3 ราง-ไวท์โอ็ค</t>
  </si>
  <si>
    <t>F7978-เฟรมข้างบานเลื่อน 3 ราง-มะฮอกกานี</t>
  </si>
  <si>
    <t>F7870-เฟรมข้างบานเลื่อน 3 ราง (ตัวหนา)-อบขาว</t>
  </si>
  <si>
    <t>F7870</t>
  </si>
  <si>
    <t>เฟรมข้างบานเลื่อน 3 ราง (ตัวหนา)</t>
  </si>
  <si>
    <t>https://drive.google.com/file/d/11HJTe4WDS58SFhULVts0fIRBzAb3ROL8/view?usp=drive_link</t>
  </si>
  <si>
    <t>F7870-เฟรมข้างบานเลื่อน 3 ราง (ตัวหนา)-ดำ</t>
  </si>
  <si>
    <t>F7870-เฟรมข้างบานเลื่อน 3 ราง (ตัวหนา)-เทาซาฮาร่า</t>
  </si>
  <si>
    <t>F7870-เฟรมข้างบานเลื่อน 3 ราง (ตัวหนา)-Aztec gray</t>
  </si>
  <si>
    <t>F7870-เฟรมข้างบานเลื่อน 3 ราง (ตัวหนา)-ลายไม้สักทอง</t>
  </si>
  <si>
    <t>F7870-เฟรมข้างบานเลื่อน 3 ราง (ตัวหนา)-ไวท์โอ็ค</t>
  </si>
  <si>
    <t>F7870-เฟรมข้างบานเลื่อน 3 ราง (ตัวหนา)-มะฮอกกานี</t>
  </si>
  <si>
    <t>F7979-เฟรมข้างบานเลื่อน 2 ราง-อบขาว</t>
  </si>
  <si>
    <t>F7979</t>
  </si>
  <si>
    <t>เฟรมข้างบานเลื่อน 2 ราง</t>
  </si>
  <si>
    <t>https://drive.google.com/file/d/1L_MGjfSdTsA-L6b5PCwK471lhjQaZRPp/view?usp=drive_link</t>
  </si>
  <si>
    <t>F7979-เฟรมข้างบานเลื่อน 2 ราง-ดำ</t>
  </si>
  <si>
    <t>F7979-เฟรมข้างบานเลื่อน 2 ราง-เทาซาฮาร่า</t>
  </si>
  <si>
    <t>F7979-เฟรมข้างบานเลื่อน 2 ราง-Aztec gray</t>
  </si>
  <si>
    <t>F7979-เฟรมข้างบานเลื่อน 2 ราง-ลายไม้สักทอง</t>
  </si>
  <si>
    <t>F7979-เฟรมข้างบานเลื่อน 2 ราง-ไวท์โอ็ค</t>
  </si>
  <si>
    <t>F7979-เฟรมข้างบานเลื่อน 2 ราง-มะฮอกกานี</t>
  </si>
  <si>
    <t>F7986-ตบรับล็อกเฟรมข้าง-อบขาว</t>
  </si>
  <si>
    <t>F7986</t>
  </si>
  <si>
    <t>ตบรับล็อกเฟรมข้าง</t>
  </si>
  <si>
    <t>https://drive.google.com/file/d/1NBjTK6ckg6HIW6p54pYISkdDBdlMNJay/view?usp=drive_link</t>
  </si>
  <si>
    <t>F7986-ตบรับล็อกเฟรมข้าง-ดำ</t>
  </si>
  <si>
    <t>F7986-ตบรับล็อกเฟรมข้าง-เทาซาฮาร่า</t>
  </si>
  <si>
    <t>F7986-ตบรับล็อกเฟรมข้าง-Aztec gray</t>
  </si>
  <si>
    <t>F7986-ตบรับล็อกเฟรมข้าง-ลายไม้สักทอง</t>
  </si>
  <si>
    <t>F7986-ตบรับล็อกเฟรมข้าง-ไวท์โอ็ค</t>
  </si>
  <si>
    <t>F7986-ตบรับล็อกเฟรมข้าง-มะฮอกกานี</t>
  </si>
  <si>
    <t>F7989-กล่องต่อเฟรมข้างบานเลื่อน-อบขาว</t>
  </si>
  <si>
    <t>F7989</t>
  </si>
  <si>
    <t>กล่องต่อเฟรมข้างบานเลื่อน</t>
  </si>
  <si>
    <t>https://drive.google.com/file/d/1SOdHoCKdFbdSdbw3HIHU9vUtqw5GX5SX/view?usp=drive_link</t>
  </si>
  <si>
    <t>F7989-กล่องต่อเฟรมข้างบานเลื่อน-ดำ</t>
  </si>
  <si>
    <t>F7989-กล่องต่อเฟรมข้างบานเลื่อน-เทาซาฮาร่า</t>
  </si>
  <si>
    <t>F7989-กล่องต่อเฟรมข้างบานเลื่อน-Aztec gray</t>
  </si>
  <si>
    <t>F7989-กล่องต่อเฟรมข้างบานเลื่อน-ลายไม้สักทอง</t>
  </si>
  <si>
    <t>F7989-กล่องต่อเฟรมข้างบานเลื่อน-ไวท์โอ็ค</t>
  </si>
  <si>
    <t>F7989-กล่องต่อเฟรมข้างบานเลื่อน-มะฮอกกานี</t>
  </si>
  <si>
    <t>F7867-กรอบบานเลื่อน ประตู (ตัวบาง)-อบขาว</t>
  </si>
  <si>
    <t>F7867</t>
  </si>
  <si>
    <t>กรอบบานเลื่อน ประตู (ตัวบาง)</t>
  </si>
  <si>
    <t>https://drive.google.com/file/d/1w40JNT6fQq0Fr854lBuf80VEQkCD8Tx2/view?usp=drive_link</t>
  </si>
  <si>
    <t>F7867-กรอบบานเลื่อน ประตู (ตัวบาง)-ดำ</t>
  </si>
  <si>
    <t>F7867-กรอบบานเลื่อน ประตู (ตัวบาง)-เทาซาฮาร่า</t>
  </si>
  <si>
    <t>F7867-กรอบบานเลื่อน ประตู (ตัวบาง)-Aztec gray</t>
  </si>
  <si>
    <t>F7867-กรอบบานเลื่อน ประตู (ตัวบาง)-ลายไม้สักทอง</t>
  </si>
  <si>
    <t>F7867-กรอบบานเลื่อน ประตู (ตัวบาง)-ไวท์โอ็ค</t>
  </si>
  <si>
    <t>F7867-กรอบบานเลื่อน ประตู (ตัวบาง)-มะฮอกกานี</t>
  </si>
  <si>
    <t>F7980-กรอบบานเลื่อนประตู-อบขาว</t>
  </si>
  <si>
    <t>F7980</t>
  </si>
  <si>
    <t>กรอบบานเลื่อนประตู</t>
  </si>
  <si>
    <t>https://drive.google.com/file/d/1_R54zU_1KgccTX1U2QAti2X4GUJjoSKa/view?usp=drive_link</t>
  </si>
  <si>
    <t>F7980-กรอบบานเลื่อนประตู-ดำ</t>
  </si>
  <si>
    <t>F7980-กรอบบานเลื่อนประตู-เทาซาฮาร่า</t>
  </si>
  <si>
    <t>F7980-กรอบบานเลื่อนประตู-Aztec gray</t>
  </si>
  <si>
    <t>F7980-กรอบบานเลื่อนประตู-ลายไม้สักทอง</t>
  </si>
  <si>
    <t>F7980-กรอบบานเลื่อนประตู-ไวท์โอ็ค</t>
  </si>
  <si>
    <t>F7980-กรอบบานเลื่อนประตู-มะฮอกกานี</t>
  </si>
  <si>
    <t>F7981-กรอบบานเลื่อนหน้าต่าง-อบขาว</t>
  </si>
  <si>
    <t>F7981</t>
  </si>
  <si>
    <t>กรอบบานเลื่อนหน้าต่าง</t>
  </si>
  <si>
    <t>https://drive.google.com/file/d/13HiSXDjV2B1Kp-59EF_di4W1MF07Jwaj/view?usp=drive_link</t>
  </si>
  <si>
    <t>F7981-กรอบบานเลื่อนหน้าต่าง-ดำ</t>
  </si>
  <si>
    <t>F7981-กรอบบานเลื่อนหน้าต่าง-เทาซาฮาร่า</t>
  </si>
  <si>
    <t>F7981-กรอบบานเลื่อนหน้าต่าง-Aztec gray</t>
  </si>
  <si>
    <t>F7981-กรอบบานเลื่อนหน้าต่าง-ลายไม้สักทอง</t>
  </si>
  <si>
    <t>F7981-กรอบบานเลื่อนหน้าต่าง-ไวท์โอ็ค</t>
  </si>
  <si>
    <t>F7981-กรอบบานเลื่อนหน้าต่าง-มะฮอกกานี</t>
  </si>
  <si>
    <t>F7991-ตบธรณีบานเลื่อน-อบขาว</t>
  </si>
  <si>
    <t>F7991</t>
  </si>
  <si>
    <t>ตบธรณีบานเลื่อน</t>
  </si>
  <si>
    <t>https://drive.google.com/file/d/1sifR68rvGrD26Y5yICnAx0P9uTNSdXt2/view?usp=drive_link</t>
  </si>
  <si>
    <t>F7991-ตบธรณีบานเลื่อน-ดำ</t>
  </si>
  <si>
    <t>F7991-ตบธรณีบานเลื่อน-เทาซาฮาร่า</t>
  </si>
  <si>
    <t>F7991-ตบธรณีบานเลื่อน-Aztec gray</t>
  </si>
  <si>
    <t>F7991-ตบธรณีบานเลื่อน-ลายไม้สักทอง</t>
  </si>
  <si>
    <t>F7991-ตบธรณีบานเลื่อน-ไวท์โอ็ค</t>
  </si>
  <si>
    <t>F7991-ตบธรณีบานเลื่อน-มะฮอกกานี</t>
  </si>
  <si>
    <t>F7992-ตบฝังเฟรมบานเลื่อน-อบขาว</t>
  </si>
  <si>
    <t>F7992</t>
  </si>
  <si>
    <t>ตบฝังเฟรมบานเลื่อน</t>
  </si>
  <si>
    <t>https://drive.google.com/file/d/1F5SXnj5I_uWL7aIcTo9qrks5yixudt5A/view?usp=drive_link</t>
  </si>
  <si>
    <t>F7992-ตบฝังเฟรมบานเลื่อน-ดำ</t>
  </si>
  <si>
    <t>F7992-ตบฝังเฟรมบานเลื่อน-เทาซาฮาร่า</t>
  </si>
  <si>
    <t>F7992-ตบฝังเฟรมบานเลื่อน-Aztec gray</t>
  </si>
  <si>
    <t>F7992-ตบฝังเฟรมบานเลื่อน-ลายไม้สักทอง</t>
  </si>
  <si>
    <t>F7992-ตบฝังเฟรมบานเลื่อน-ไวท์โอ็ค</t>
  </si>
  <si>
    <t>F7992-ตบฝังเฟรมบานเลื่อน-มะฮอกกานี</t>
  </si>
  <si>
    <t>F7982-ตบเกี่ยวทางเดียว หน้าต่าง-อบขาว</t>
  </si>
  <si>
    <t>F7982</t>
  </si>
  <si>
    <t>ตบเกี่ยวทางเดียว หน้าต่าง</t>
  </si>
  <si>
    <t>https://drive.google.com/file/d/1oHqfDswAZ2aTUr34spGcNQI6-sxKn7dg/view?usp=drive_link</t>
  </si>
  <si>
    <t>F7982-ตบเกี่ยวทางเดียว หน้าต่าง-ดำ</t>
  </si>
  <si>
    <t>F7982-ตบเกี่ยวทางเดียว หน้าต่าง-เทาซาฮาร่า</t>
  </si>
  <si>
    <t>F7982-ตบเกี่ยวทางเดียว หน้าต่าง-Aztec gray</t>
  </si>
  <si>
    <t>F7982-ตบเกี่ยวทางเดียว หน้าต่าง-ลายไม้สักทอง</t>
  </si>
  <si>
    <t>F7982-ตบเกี่ยวทางเดียว หน้าต่าง-ไวท์โอ็ค</t>
  </si>
  <si>
    <t>F7982-ตบเกี่ยวทางเดียว หน้าต่าง-มะฮอกกานี</t>
  </si>
  <si>
    <t>F7983-ตบเกี่ยวทางเดียว ประตู-อบขาว</t>
  </si>
  <si>
    <t>F7983</t>
  </si>
  <si>
    <t>ตบเกี่ยวทางเดียว ประตู</t>
  </si>
  <si>
    <t>https://drive.google.com/file/d/1XYQ92VTU6NvU0GwN5ec70g_30pXMJvXt/view?usp=drive_link</t>
  </si>
  <si>
    <t>F7983-ตบเกี่ยวทางเดียว ประตู-ดำ</t>
  </si>
  <si>
    <t>F7983-ตบเกี่ยวทางเดียว ประตู-เทาซาฮาร่า</t>
  </si>
  <si>
    <t>F7983-ตบเกี่ยวทางเดียว ประตู-Aztec gray</t>
  </si>
  <si>
    <t>F7983-ตบเกี่ยวทางเดียว ประตู-ลายไม้สักทอง</t>
  </si>
  <si>
    <t>F7983-ตบเกี่ยวทางเดียว ประตู-ไวท์โอ็ค</t>
  </si>
  <si>
    <t>F7983-ตบเกี่ยวทางเดียว ประตู</t>
  </si>
  <si>
    <t>F7984-ตบเกี่ยวสองทาง หน้าต่าง-อบขาว</t>
  </si>
  <si>
    <t>F7984</t>
  </si>
  <si>
    <t>ตบเกี่ยวสองทาง หน้าต่าง</t>
  </si>
  <si>
    <t>https://drive.google.com/file/d/1tX6E-ECsjGbIT0rJ4JPdqMaq6M5AbEWo/view?usp=drive_link</t>
  </si>
  <si>
    <t>F7984-ตบเกี่ยวสองทาง หน้าต่าง-ดำ</t>
  </si>
  <si>
    <t>F7984-ตบเกี่ยวสองทาง หน้าต่าง-เทาซาฮาร่า</t>
  </si>
  <si>
    <t>F7984-ตบเกี่ยวสองทาง หน้าต่าง-Aztec gray</t>
  </si>
  <si>
    <t>F7984-ตบเกี่ยวสองทาง หน้าต่าง-ลายไม้สักทอง</t>
  </si>
  <si>
    <t>F7984-ตบเกี่ยวสองทาง หน้าต่าง-ไวท์โอ็ค</t>
  </si>
  <si>
    <t>F7984-ตบเกี่ยวสองทาง หน้าต่าง-มะฮอกกานี</t>
  </si>
  <si>
    <t>F7985-ตบเกี่ยวสองทาง ประตู-อบขาว</t>
  </si>
  <si>
    <t>F7985</t>
  </si>
  <si>
    <t>ตบเกี่ยวสองทาง ประตู</t>
  </si>
  <si>
    <t>https://drive.google.com/file/d/1K3WpcXJqp0lcz7Yj4Gers4qODbNfa_u0/view?usp=drive_link</t>
  </si>
  <si>
    <t>F7985-ตบเกี่ยวสองทาง ประตู-ดำ</t>
  </si>
  <si>
    <t>F7985-ตบเกี่ยวสองทาง ประตู-เทาซาฮาร่า</t>
  </si>
  <si>
    <t>F7985-ตบเกี่ยวสองทาง ประตู-Aztec gray</t>
  </si>
  <si>
    <t>F7985-ตบเกี่ยวสองทาง ประตู-ลายไม้สักทอง</t>
  </si>
  <si>
    <t>F7985-ตบเกี่ยวสองทาง ประตู-ไวท์โอ็ค</t>
  </si>
  <si>
    <t>F7985-ตบเกี่ยวสองทาง ประตู-มะฮอกกานี</t>
  </si>
  <si>
    <t>F7966-แบ่งบานมุ้งบานเลื่อน-อบขาว</t>
  </si>
  <si>
    <t>F7966</t>
  </si>
  <si>
    <t>แบ่งบานมุ้งบานเลื่อน</t>
  </si>
  <si>
    <t>F7966-แบ่งบานมุ้งบานเลื่อน-ดำ</t>
  </si>
  <si>
    <t>F7966-แบ่งบานมุ้งบานเลื่อน-เทาซาฮาร่า</t>
  </si>
  <si>
    <t>F7966-แบ่งบานมุ้งบานเลื่อน-Aztec gray</t>
  </si>
  <si>
    <t>F7966-แบ่งบานมุ้งบานเลื่อน-ลายไม้สักทอง</t>
  </si>
  <si>
    <t>F7966-แบ่งบานมุ้งบานเลื่อน-ไวท์โอ็ค</t>
  </si>
  <si>
    <t>F7966-แบ่งบานมุ้งบานเลื่อน-มะฮอกกานี</t>
  </si>
  <si>
    <t>F7925-ต่อชนกลาง-อบขาว</t>
  </si>
  <si>
    <t>F7925</t>
  </si>
  <si>
    <t>ต่อชนกลาง</t>
  </si>
  <si>
    <t>https://drive.google.com/file/d/1f7ZlQmW1EcnNVnnIyYU8wKIWfQrrd4nX/view?usp=drive_link</t>
  </si>
  <si>
    <t>F7925-ต่อชนกลาง-ดำ</t>
  </si>
  <si>
    <t>F7925-ต่อชนกลาง-เทาซาฮาร่า</t>
  </si>
  <si>
    <t>F7925-ต่อชนกลาง-Aztec gray</t>
  </si>
  <si>
    <t>F7925-ต่อชนกลาง-ลายไม้สักทอง</t>
  </si>
  <si>
    <t>F7925-ต่อชนกลาง-ไวท์โอ็ค</t>
  </si>
  <si>
    <t>F7925-ต่อชนกลาง-มะฮอกกานี</t>
  </si>
  <si>
    <t>F7855-ชนกลางบานเลื่อนรับแรง-อบขาว</t>
  </si>
  <si>
    <t>F7855</t>
  </si>
  <si>
    <t>ชนกลางบานเลื่อนรับแรง</t>
  </si>
  <si>
    <t>https://drive.google.com/file/d/1Uyw-vEcpTA3abD7GoCbKWcN72wWnA7wX/view?usp=drive_link</t>
  </si>
  <si>
    <t>F7855-ชนกลางบานเลื่อนรับแรง-ดำ</t>
  </si>
  <si>
    <t>F7855-ชนกลางบานเลื่อนรับแรง-เทาซาฮาร่า</t>
  </si>
  <si>
    <t>F7855-ชนกลางบานเลื่อนรับแรง-Aztec gray</t>
  </si>
  <si>
    <t>F7855-ชนกลางบานเลื่อนรับแรง-ลายไม้สักทอง</t>
  </si>
  <si>
    <t>F7855-ชนกลางบานเลื่อนรับแรง-ไวท์โอ็ค</t>
  </si>
  <si>
    <t>F7855-ชนกลางบานเลื่อนรับแรง-มะฮอกกานี</t>
  </si>
  <si>
    <t>F7951-เสารับแรงบานเลื่อน-อบขาว</t>
  </si>
  <si>
    <t>F7951</t>
  </si>
  <si>
    <t>เสารับแรงบานเลื่อน</t>
  </si>
  <si>
    <t>https://drive.google.com/file/d/1SaJ9SrAOavVgq5dw9KF-5OsepvLRAnGK/view?usp=drive_link</t>
  </si>
  <si>
    <t>F7951-เสารับแรงบานเลื่อน-ดำ</t>
  </si>
  <si>
    <t>F7951-เสารับแรงบานเลื่อน-เทาซาฮาร่า</t>
  </si>
  <si>
    <t>F7951-เสารับแรงบานเลื่อน-Aztec gray</t>
  </si>
  <si>
    <t>F7951-เสารับแรงบานเลื่อน-ลายไม้สักทอง</t>
  </si>
  <si>
    <t>F7951-เสารับแรงบานเลื่อน-ไวท์โอ็ค</t>
  </si>
  <si>
    <t>F7951-เสารับแรงบานเลื่อน-มะฮอกกานี</t>
  </si>
  <si>
    <t>F7856-อแดปเตอร์ประตูดิจิตอล-อบขาว</t>
  </si>
  <si>
    <t>F7856</t>
  </si>
  <si>
    <t>อแดปเตอร์ประตูดิจิตอล</t>
  </si>
  <si>
    <t>https://drive.google.com/file/d/1Cmj50YcpxCYJvfYx76sppvtyRFOLW-3I/view</t>
  </si>
  <si>
    <t>F7856-อแดปเตอร์ประตูดิจิตอล-ดำ</t>
  </si>
  <si>
    <t>F7856-อแดปเตอร์ประตูดิจิตอล-เทาซาฮาร่า</t>
  </si>
  <si>
    <t>F7856-อแดปเตอร์ประตูดิจิตอล-Aztec gray</t>
  </si>
  <si>
    <t>F7856-อแดปเตอร์ประตูดิจิตอล-ลายไม้สักทอง</t>
  </si>
  <si>
    <t>F7856-อแดปเตอร์ประตูดิจิตอล-ไวท์โอ็ค</t>
  </si>
  <si>
    <t>F7856-อแดปเตอร์ประตูดิจิตอล-มะฮอกกานี</t>
  </si>
  <si>
    <t>F7857-อแดปเตอร์บานเลือนดิจิตอล-อบขาว</t>
  </si>
  <si>
    <t>F7857</t>
  </si>
  <si>
    <t>อแดปเตอร์บานเลือนดิจิตอล</t>
  </si>
  <si>
    <t>https://drive.google.com/file/d/1-NJb7claDDGyZU7vmwXA_1DYFaA4NTn0/view?usp=drive_link</t>
  </si>
  <si>
    <t>F7857-อแดปเตอร์บานเลือนดิจิตอล-ดำ</t>
  </si>
  <si>
    <t>F7857-อแดปเตอร์บานเลือนดิจิตอล-เทาซาฮาร่า</t>
  </si>
  <si>
    <t>F7857-อแดปเตอร์บานเลือนดิจิตอล-Aztec gray</t>
  </si>
  <si>
    <t>F7857-อแดปเตอร์บานเลือนดิจิตอล-ลายไม้สักทอง</t>
  </si>
  <si>
    <t>F7857-อแดปเตอร์บานเลือนดิจิตอล-ไวท์โอ็ค</t>
  </si>
  <si>
    <t>F7857-อแดปเตอร์บานเลือนดิจิตอล-มะฮอกกานี</t>
  </si>
  <si>
    <t>F7918-เสาต่อหักมุม 90-อบขาว</t>
  </si>
  <si>
    <t>F7918</t>
  </si>
  <si>
    <t>เสาต่อหักมุม 90</t>
  </si>
  <si>
    <t>https://drive.google.com/file/d/15yO47uwvMLKqwmNgo1lYAGoecMcrOzN3/view?usp=drive_link</t>
  </si>
  <si>
    <t>F7918-เสาต่อหักมุม 90-ดำ</t>
  </si>
  <si>
    <t>F7918-เสาต่อหักมุม 90-เทาซาฮาร่า</t>
  </si>
  <si>
    <t>F7918-เสาต่อหักมุม 90-Aztec gray</t>
  </si>
  <si>
    <t>F7918-เสาต่อหักมุม 90-ลายไม้สักทอง</t>
  </si>
  <si>
    <t>F7918-เสาต่อหักมุม 90-ไวท์โอ็ค</t>
  </si>
  <si>
    <t>F7918-เสาต่อหักมุม 90-มะฮอกกานี</t>
  </si>
  <si>
    <t>F7993-ตบปิดร่องรางเลื่อน-อบขาว</t>
  </si>
  <si>
    <t>F7993</t>
  </si>
  <si>
    <t>ตบปิดร่องรางเลื่อน</t>
  </si>
  <si>
    <t>https://drive.google.com/file/d/1-BYtlw8twFmwOur3_JnVPiN1BxRTVN7u/view?usp=drive_link</t>
  </si>
  <si>
    <t>F7993-ตบปิดร่องรางเลื่อน-ดำ</t>
  </si>
  <si>
    <t>F7993-ตบปิดร่องรางเลื่อน-เทาซาฮาร่า</t>
  </si>
  <si>
    <t>F7993-ตบปิดร่องรางเลื่อน-Aztec gray</t>
  </si>
  <si>
    <t>F7993-ตบปิดร่องรางเลื่อน-ลายไม้สักทอง</t>
  </si>
  <si>
    <t>F7993-ตบปิดร่องรางเลื่อน-ไวท์โอ็ค</t>
  </si>
  <si>
    <t>F7993-ตบปิดร่องรางเลื่อน-มะฮอกกานี</t>
  </si>
  <si>
    <t>F7988-ตบปิดร่อง-อบขาว</t>
  </si>
  <si>
    <t>F7988</t>
  </si>
  <si>
    <t>ตบปิดร่อง</t>
  </si>
  <si>
    <t>https://drive.google.com/file/d/1esHxWmw6g2OesohupSO4bn8bjXQ42i7A/view?usp=drive_link</t>
  </si>
  <si>
    <t>F7988-ตบปิดร่อง-ดำ</t>
  </si>
  <si>
    <t>F7988-ตบปิดร่อง-เทาซาฮาร่า</t>
  </si>
  <si>
    <t>F7988-ตบปิดร่อง-Aztec gray</t>
  </si>
  <si>
    <t>F7988-ตบปิดร่อง-ลายไม้สักทอง</t>
  </si>
  <si>
    <t>F7988-ตบปิดร่อง-ไวท์โอ็ค</t>
  </si>
  <si>
    <t>F7988-ตบปิดร่อง-มะฮอกกานี</t>
  </si>
  <si>
    <t>F7994-เส้นรางเลื่อน-อบขาว</t>
  </si>
  <si>
    <t>F7994</t>
  </si>
  <si>
    <t>เส้นรางเลื่อน</t>
  </si>
  <si>
    <t>https://drive.google.com/file/d/1kfGfSoH8LQYXPHoAFaAHBiXj2FOwkP-M/view?usp=drive_link</t>
  </si>
  <si>
    <t>F7994-เส้นรางเลื่อน-ดำ</t>
  </si>
  <si>
    <t>F7994-เส้นรางเลื่อน-เทาซาฮาร่า</t>
  </si>
  <si>
    <t>F7994-เส้นรางเลื่อน-Aztec gray</t>
  </si>
  <si>
    <t>F7994-เส้นรางเลื่อน-ลายไม้สักทอง</t>
  </si>
  <si>
    <t>F7994-เส้นรางเลื่อน-ไวท์โอ็ค</t>
  </si>
  <si>
    <t>F7994-เส้นรางเลื่อน-มะฮอกกานี</t>
  </si>
  <si>
    <t>F303-ตัวเสริมเฟรมล่างบานเลื่อน-อบขาว</t>
  </si>
  <si>
    <t>F303</t>
  </si>
  <si>
    <t>ตัวเสริมเฟรมล่างบานเลื่อน</t>
  </si>
  <si>
    <t>https://drive.google.com/file/d/1T-61mP4Dioq8SyKqff1xPBlsSbM--M27/view?usp=drive_link</t>
  </si>
  <si>
    <t>F303-ตัวเสริมเฟรมล่างบานเลื่อน-ดำ</t>
  </si>
  <si>
    <t>F303-ตัวเสริมเฟรมล่างบานเลื่อน-เทาซาฮาร่า</t>
  </si>
  <si>
    <t>F303-ตัวเสริมเฟรมล่างบานเลื่อน-Aztec gray</t>
  </si>
  <si>
    <t>F303-ตัวเสริมเฟรมล่างบานเลื่อน-ลายไม้สักทอง</t>
  </si>
  <si>
    <t>F303-ตัวเสริมเฟรมล่างบานเลื่อน-ไวท์โอ็ค</t>
  </si>
  <si>
    <t>F303-ตัวเสริมเฟรมล่างบานเลื่อน-มะฮอกกานี</t>
  </si>
  <si>
    <t>F7987-คิ้วมุ้งบานเลื่อน-อบขาว</t>
  </si>
  <si>
    <t>F7987</t>
  </si>
  <si>
    <t>คิ้วมุ้งบานเลื่อน</t>
  </si>
  <si>
    <t>https://drive.google.com/file/d/1_v8JSd1ixO7hwE-9Ms11vJGQ40vlIZAu/view?usp=drive_link</t>
  </si>
  <si>
    <t>F7987-คิ้วมุ้งบานเลื่อน-ดำ</t>
  </si>
  <si>
    <t>F7987-คิ้วมุ้งบานเลื่อน-เทาซาฮาร่า</t>
  </si>
  <si>
    <t>F7987-คิ้วมุ้งบานเลื่อน-Aztec gray</t>
  </si>
  <si>
    <t>F7987-คิ้วมุ้งบานเลื่อน-ลายไม้สักทอง</t>
  </si>
  <si>
    <t>F7987-คิ้วมุ้งบานเลื่อน-ไวท์โอ็ค</t>
  </si>
  <si>
    <t>F7987-คิ้วมุ้งบานเลื่อน-มะฮอกกานี</t>
  </si>
  <si>
    <t>F7996-คิ้วลอยช่องแสง-อบขาว</t>
  </si>
  <si>
    <t>F7996</t>
  </si>
  <si>
    <t>คิ้วลอยช่องแสง</t>
  </si>
  <si>
    <t>F7996-คิ้วลอยช่องแสง-ดำ</t>
  </si>
  <si>
    <t>F7996-คิ้วลอยช่องแสง-เทาซาฮาร่า</t>
  </si>
  <si>
    <t>F7996-คิ้วลอยช่องแสง-Aztec gray</t>
  </si>
  <si>
    <t>F7996-คิ้วลอยช่องแสง-ลายไม้สักทอง</t>
  </si>
  <si>
    <t>F7996-คิ้วลอยช่องแสง-ไวท์โอ็ค</t>
  </si>
  <si>
    <t>F7996-คิ้วลอยช่องแสง-มะฮอกกานี</t>
  </si>
  <si>
    <t>F7919-คิ้วกรอบบาน-อบขาว</t>
  </si>
  <si>
    <t>F7919</t>
  </si>
  <si>
    <t>คิ้วกรอบบาน</t>
  </si>
  <si>
    <t>https://drive.google.com/file/d/1z7zuQnW8iFIGqOw3x0VreU1lkZrStZr1/view?usp=drive_link</t>
  </si>
  <si>
    <t>F7919-คิ้วกรอบบาน-ดำ</t>
  </si>
  <si>
    <t>F7919-คิ้วกรอบบาน-เทาซาฮาร่า</t>
  </si>
  <si>
    <t>F7919-คิ้วกรอบบาน-Aztec gray</t>
  </si>
  <si>
    <t>F7919-คิ้วกรอบบาน-ลายไม้สักทอง</t>
  </si>
  <si>
    <t>F7919-คิ้วกรอบบาน-ไวท์โอ็ค</t>
  </si>
  <si>
    <t>F7919-คิ้วกรอบบาน-มะฮอกกานี</t>
  </si>
  <si>
    <t>F7917-คิ้วกรอบบาน-อบขาว</t>
  </si>
  <si>
    <t>F7917</t>
  </si>
  <si>
    <t>https://drive.google.com/file/d/1U5NpUldX11lIUPg7cKfgimE2IcQ5pp7N/view?usp=drive_link</t>
  </si>
  <si>
    <t>F7917-คิ้วกรอบบาน-ดำ</t>
  </si>
  <si>
    <t>F7917-คิ้วกรอบบาน-เทาซาฮาร่า</t>
  </si>
  <si>
    <t>F7917-คิ้วกรอบบาน-Aztec gray</t>
  </si>
  <si>
    <t>F7917-คิ้วกรอบบาน-ลายไม้สักทอง</t>
  </si>
  <si>
    <t>F7917-คิ้วกรอบบาน-ไวท์โอ็ค</t>
  </si>
  <si>
    <t>F7917-คิ้วกรอบบาน-มะฮอกกานี</t>
  </si>
  <si>
    <t>F7950-คิ้วกรอบบาน-อบขาว</t>
  </si>
  <si>
    <t>F7950</t>
  </si>
  <si>
    <t>https://drive.google.com/file/d/1Iq4LJYdY_UQgHaM4IYsOJi-pF0vsd2EN/view?usp=drive_link</t>
  </si>
  <si>
    <t>F7950-คิ้วกรอบบาน-ดำ</t>
  </si>
  <si>
    <t>F7950-คิ้วกรอบบาน-เทาซาฮาร่า</t>
  </si>
  <si>
    <t>F7950-คิ้วกรอบบาน-Aztec gray</t>
  </si>
  <si>
    <t>F7950-คิ้วกรอบบาน-ลายไม้สักทอง</t>
  </si>
  <si>
    <t>F7950-คิ้วกรอบบาน-ไวท์โอ็ค</t>
  </si>
  <si>
    <t>F7950-คิ้วกรอบบาน-มะฮอกกานี</t>
  </si>
  <si>
    <t>F7995-กระดูกต่อเฟรรม-อบขาว</t>
  </si>
  <si>
    <t>F7995</t>
  </si>
  <si>
    <t>กระดูกต่อเฟรรม</t>
  </si>
  <si>
    <t>https://drive.google.com/file/d/1XAqTY5lDmz-Nlk-2RyZLDFLTdXFlQWwN/view?usp=drive_link</t>
  </si>
  <si>
    <t>F7995-กระดูกต่อเฟรรม-ดำ</t>
  </si>
  <si>
    <t>F7995-กระดูกต่อเฟรรม-เทาซาฮาร่า</t>
  </si>
  <si>
    <t>F7995-กระดูกต่อเฟรรม-Aztec gray</t>
  </si>
  <si>
    <t>F7995-กระดูกต่อเฟรรม-ลายไม้สักทอง</t>
  </si>
  <si>
    <t>F7995-กระดูกต่อเฟรรม-ไวท์โอ็ค</t>
  </si>
  <si>
    <t>F7995-กระดูกต่อเฟรรม-มะฮอกกานี</t>
  </si>
  <si>
    <t>F7952-แผ่นยึดเฟรมล่าง-อบขาว</t>
  </si>
  <si>
    <t>F7952</t>
  </si>
  <si>
    <t>แผ่นยึดเฟรมล่าง</t>
  </si>
  <si>
    <t>https://drive.google.com/file/d/1O_DSZsZns4i7Jm3wTSt4YTz9Ay-xRfBe/view?usp=drive_link</t>
  </si>
  <si>
    <t>F7952-แผ่นยึดเฟรมล่าง-ดำ</t>
  </si>
  <si>
    <t>F7952-แผ่นยึดเฟรมล่าง-เทาซาฮาร่า</t>
  </si>
  <si>
    <t>F7952-แผ่นยึดเฟรมล่าง-Aztec gray</t>
  </si>
  <si>
    <t>F7952-แผ่นยึดเฟรมล่าง-ลายไม้สักทอง</t>
  </si>
  <si>
    <t>F7952-แผ่นยึดเฟรมล่าง-ไวท์โอ็ค</t>
  </si>
  <si>
    <t>F7952-แผ่นยึดเฟรมล่าง-มะฮอกกานี</t>
  </si>
  <si>
    <t>F7879-ตบธรณีเรียบตัวกลาง-อบขาว</t>
  </si>
  <si>
    <t>F7879</t>
  </si>
  <si>
    <t>ตบธรณีเรียบตัวกลาง</t>
  </si>
  <si>
    <t>F7879-ตบธรณีเรียบตัวกลาง-ดำ</t>
  </si>
  <si>
    <t>F7879-ตบธรณีเรียบตัวกลาง-เทาซาฮาร่า</t>
  </si>
  <si>
    <t>F7879-ตบธรณีเรียบตัวกลาง-Aztec gray</t>
  </si>
  <si>
    <t>F7879-ตบธรณีเรียบตัวกลาง-ลายไม้สักทอง</t>
  </si>
  <si>
    <t>F7879-ตบธรณีเรียบตัวกลาง-ไวท์โอ็ค</t>
  </si>
  <si>
    <t>F7879-ตบธรณีเรียบตัวกลาง-มะฮอกกานี</t>
  </si>
  <si>
    <t>F7880-ตบธรณีเรียบตัวริม-อบขาว</t>
  </si>
  <si>
    <t>F7880</t>
  </si>
  <si>
    <t>ตบธรณีเรียบตัวริม</t>
  </si>
  <si>
    <t>F7880-ตบธรณีเรียบตัวริม-ดำ</t>
  </si>
  <si>
    <t>F7880-ตบธรณีเรียบตัวริม-เทาซาฮาร่า</t>
  </si>
  <si>
    <t>F7880-ตบธรณีเรียบตัวริม-Aztec gray</t>
  </si>
  <si>
    <t>F7880-ตบธรณีเรียบตัวริม-ลายไม้สักทอง</t>
  </si>
  <si>
    <t>F7880-ตบธรณีเรียบตัวริม-ไวท์โอ็ค</t>
  </si>
  <si>
    <t>F7880-ตบธรณีเรียบตัวริม-มะฮอกกานี</t>
  </si>
  <si>
    <t>10-เฟรมบานกระทุ้ง ไม่มีรูระบายน้ำ-อบขาว</t>
  </si>
  <si>
    <t>เฟรมบานกระทุ้ง ไม่มีรูระบายน้ำ</t>
  </si>
  <si>
    <t>https://drive.google.com/file/d/1JTzZuDXMa-LH3Bwf_FbwqpJKgZy37qfc/view?usp=drive_link</t>
  </si>
  <si>
    <t>F7859-เฟรมบานกระทุ้ง ไม่มีรูระบายน้ำ-ดำ</t>
  </si>
  <si>
    <t>F7859</t>
  </si>
  <si>
    <t>F7859-เฟรมบานกระทุ้ง ไม่มีรูระบายน้ำ-เทาซาฮาร่า</t>
  </si>
  <si>
    <t>F7859-เฟรมบานกระทุ้ง ไม่มีรูระบายน้ำ-Aztec gray</t>
  </si>
  <si>
    <t>F7859-เฟรมบานกระทุ้ง ไม่มีรูระบายน้ำ-ลายไม้สักทอง</t>
  </si>
  <si>
    <t>F7859-เฟรมบานกระทุ้ง ไม่มีรูระบายน้ำ-ไวท์โอ็ค</t>
  </si>
  <si>
    <t>F7859-เฟรมบานกระทุ้ง ไม่มีรูระบายน้ำ-มะฮอกกานี</t>
  </si>
  <si>
    <t>F7858-เฟรมบานตายคิ้วไม่มีรูระบายน้ำ-อบขาว</t>
  </si>
  <si>
    <t>F7858</t>
  </si>
  <si>
    <t>เฟรมบานตายคิ้วไม่มีรูระบายน้ำ</t>
  </si>
  <si>
    <t>https://drive.google.com/file/d/1u4EJSvK3AQicWK62g28mf84qbToXExyU/view?usp=drive_link</t>
  </si>
  <si>
    <t>F7858-เฟรมบานตายคิ้วไม่มีรูระบายน้ำ-ดำ</t>
  </si>
  <si>
    <t>F7858-เฟรมบานตายคิ้วไม่มีรูระบายน้ำ-เทาซาฮาร่า</t>
  </si>
  <si>
    <t>F7858-เฟรมบานตายคิ้วไม่มีรูระบายน้ำ-Aztec gray</t>
  </si>
  <si>
    <t>F7858-เฟรมบานตายคิ้วไม่มีรูระบายน้ำ-ลายไม้สักทอง</t>
  </si>
  <si>
    <t>F7858-เฟรมบานตายคิ้วไม่มีรูระบายน้ำ-ไวท์โอ็ค</t>
  </si>
  <si>
    <t>F7858-เฟรมบานตายคิ้วไม่มีรูระบายน้ำ-มะฮอกกานี</t>
  </si>
  <si>
    <t>F7812-เฟรมบานตายคิ้วไม่มีรูระบายน้ำ (ตัวหนา)-อบขาว</t>
  </si>
  <si>
    <t>F7812</t>
  </si>
  <si>
    <t>เฟรมบานตายคิ้วไม่มีรูระบายน้ำ (ตัวหนา)</t>
  </si>
  <si>
    <t>https://drive.google.com/file/d/1Kb8rZvl8MGay_saBmOKZjjph7phw8WWU/view?usp=drive_link</t>
  </si>
  <si>
    <t>F7812-เฟรมบานตายคิ้วไม่มีรูระบายน้ำ (ตัวหนา)-ดำ</t>
  </si>
  <si>
    <t>F7812-เฟรมบานตายคิ้วไม่มีรูระบายน้ำ (ตัวหนา)-เทาซาฮาร่า</t>
  </si>
  <si>
    <t>F7812-เฟรมบานตายคิ้วไม่มีรูระบายน้ำ (ตัวหนา)-Aztec gray</t>
  </si>
  <si>
    <t>F7812-เฟรมบานตายคิ้วไม่มีรูระบายน้ำ (ตัวหนา)-ลายไม้สักทอง</t>
  </si>
  <si>
    <t>F7812-เฟรมบานตายคิ้วไม่มีรูระบายน้ำ (ตัวหนา)-ไวท์โอ็ค</t>
  </si>
  <si>
    <t>F7812-เฟรมบานตายคิ้วไม่มีรูระบายน้ำ (ตัวหนา)-มะฮอกกานี</t>
  </si>
  <si>
    <t>F7937-เฟรมบานตายคิ้วใน-อบขาว</t>
  </si>
  <si>
    <t>F7937</t>
  </si>
  <si>
    <t>เฟรมบานตายคิ้วใน</t>
  </si>
  <si>
    <t>https://drive.google.com/file/d/1n35rcGUCLnU-hRonN4GJOkbM4d4KhEYS/view?usp=drive_link</t>
  </si>
  <si>
    <t>F7937-เฟรมบานตายคิ้วใน-ดำ</t>
  </si>
  <si>
    <t>F7937-เฟรมบานตายคิ้วใน-เทาซาฮาร่า</t>
  </si>
  <si>
    <t>F7937-เฟรมบานตายคิ้วใน-Aztec gray</t>
  </si>
  <si>
    <t>F7937-เฟรมบานตายคิ้วใน-ลายไม้สักทอง</t>
  </si>
  <si>
    <t>F7937-เฟรมบานตายคิ้วใน-ไวท์โอ็ค</t>
  </si>
  <si>
    <t>F7937-เฟรมบานตายคิ้วใน-มะฮอกกานี</t>
  </si>
  <si>
    <t>F7871-เฟรมบานตายคิ้วใน (ตัวหนา)-อบขาว</t>
  </si>
  <si>
    <t>F7871</t>
  </si>
  <si>
    <t>เฟรมบานตายคิ้วใน (ตัวหนา)</t>
  </si>
  <si>
    <t>https://drive.google.com/file/d/1iFudQzPWNp5Y8_R6PZkFJ5920uocuWe6/view?usp=drive_link</t>
  </si>
  <si>
    <t>F7871-เฟรมบานตายคิ้วใน (ตัวหนา)-ดำ</t>
  </si>
  <si>
    <t>F7871-เฟรมบานตายคิ้วใน (ตัวหนา)-เทาซาฮาร่า</t>
  </si>
  <si>
    <t>F7871-เฟรมบานตายคิ้วใน (ตัวหนา)-Aztec gray</t>
  </si>
  <si>
    <t>F7871-เฟรมบานตายคิ้วใน (ตัวหนา)-ลายไม้สักทอง</t>
  </si>
  <si>
    <t>F7871-เฟรมบานตายคิ้วใน (ตัวหนา)-ไวท์โอ็ค</t>
  </si>
  <si>
    <t>F7871-เฟรมบานตายคิ้วใน (ตัวหนา)-มะฮอกกานี</t>
  </si>
  <si>
    <t>F7939B-เฟรมบานกระทุ้ง-อบขาว</t>
  </si>
  <si>
    <t>F7939B</t>
  </si>
  <si>
    <t>เฟรมบานกระทุ้ง</t>
  </si>
  <si>
    <t>https://drive.google.com/file/d/1-cdkA5xSZU9mI9vkkVQbGSrJvuG-s3pt/view?usp=drive_link</t>
  </si>
  <si>
    <t>F7939B-เฟรมบานกระทุ้ง-ดำ</t>
  </si>
  <si>
    <t>F7939B-เฟรมบานกระทุ้ง-เทาซาฮาร่า</t>
  </si>
  <si>
    <t>F7939B-เฟรมบานกระทุ้ง-Aztec gray</t>
  </si>
  <si>
    <t>F7939B-เฟรมบานกระทุ้ง-ลายไม้สักทอง</t>
  </si>
  <si>
    <t>F7939B-เฟรมบานกระทุ้ง-ไวท์โอ็ค</t>
  </si>
  <si>
    <t>F7939B-เฟรมบานกระทุ้ง-มะฮอกกานี</t>
  </si>
  <si>
    <t>F7938B-เฟรมบานกระทุ้ง (ติดมุ้ง)-อบขาว</t>
  </si>
  <si>
    <t>F7938B</t>
  </si>
  <si>
    <t>เฟรมบานกระทุ้ง (ติดมุ้ง)</t>
  </si>
  <si>
    <t>https://drive.google.com/file/d/1J_YTDZZ1vJqrUvJO3JyZT2h0c2RqVUAe/view?usp=drive_link</t>
  </si>
  <si>
    <t>F7938B-เฟรมบานกระทุ้ง (ติดมุ้ง)-ดำ</t>
  </si>
  <si>
    <t>F7938B-เฟรมบานกระทุ้ง (ติดมุ้ง)-เทาซาฮาร่า</t>
  </si>
  <si>
    <t>F7938B-เฟรมบานกระทุ้ง (ติดมุ้ง)-Aztec gray</t>
  </si>
  <si>
    <t>F7938B-เฟรมบานกระทุ้ง (ติดมุ้ง)-ลายไม้สักทอง</t>
  </si>
  <si>
    <t>F7938B-เฟรมบานกระทุ้ง (ติดมุ้ง)-ไวท์โอ็ค</t>
  </si>
  <si>
    <t>F7938B-เฟรมบานกระทุ้ง (ติดมุ้ง)-มะฮอกกานี</t>
  </si>
  <si>
    <t>F7861-ตบเฟรมแบ่งบาน-อบขาว</t>
  </si>
  <si>
    <t>F7861</t>
  </si>
  <si>
    <t>ตบเฟรมแบ่งบาน</t>
  </si>
  <si>
    <t>https://drive.google.com/file/d/1EI7ldQmfAO_I-8YMID5IwPcTB5sm763M/view?usp=drive_link</t>
  </si>
  <si>
    <t>F7861-ตบเฟรมแบ่งบาน-ดำ</t>
  </si>
  <si>
    <t>F7861-ตบเฟรมแบ่งบาน-เทาซาฮาร่า</t>
  </si>
  <si>
    <t>F7861-ตบเฟรมแบ่งบาน-Aztec gray</t>
  </si>
  <si>
    <t>F7861-ตบเฟรมแบ่งบาน-ลายไม้สักทอง</t>
  </si>
  <si>
    <t>F7861-ตบเฟรมแบ่งบาน-ไวท์โอ็ค</t>
  </si>
  <si>
    <t>F7861-ตบเฟรมแบ่งบาน-มะฮอกกานี</t>
  </si>
  <si>
    <t>F7944B-กรอบมุ้ง-มุ้งนิรภัย-อบขาว</t>
  </si>
  <si>
    <t>F7944B</t>
  </si>
  <si>
    <t>กรอบมุ้ง-มุ้งนิรภัย</t>
  </si>
  <si>
    <t>https://drive.google.com/file/d/1T24pK15nR-6C4A2-ScdqY3BS-LxpX2X5/view?usp=drive_link</t>
  </si>
  <si>
    <t>F7944B-กรอบมุ้ง-มุ้งนิรภัย-ดำ</t>
  </si>
  <si>
    <t>F7944B-กรอบมุ้ง-มุ้งนิรภัย-เทาซาฮาร่า</t>
  </si>
  <si>
    <t>F7944B-กรอบมุ้ง-มุ้งนิรภัย-Aztec gray</t>
  </si>
  <si>
    <t>F7944B-กรอบมุ้ง-มุ้งนิรภัย-ลายไม้สักทอง</t>
  </si>
  <si>
    <t>F7944B-กรอบมุ้ง-มุ้งนิรภัย-ไวท์โอ็ค</t>
  </si>
  <si>
    <t>F7944B-กรอบมุ้ง-มุ้งนิรภัย-มะฮอกกานี</t>
  </si>
  <si>
    <t>F7958B-รับล็อคปิดกลางบานมุ้ง-อบขาว</t>
  </si>
  <si>
    <t>F7958B</t>
  </si>
  <si>
    <t>รับล็อคปิดกลางบานมุ้ง</t>
  </si>
  <si>
    <t>https://drive.google.com/file/d/1Get4ITp7qrFAyRFY1Hz-jT311vUWib9D/view?usp=drive_link</t>
  </si>
  <si>
    <t>F7958B-รับล็อคปิดกลางบานมุ้ง-ดำ</t>
  </si>
  <si>
    <t>F7958B-รับล็อคปิดกลางบานมุ้ง-เทาซาฮาร่า</t>
  </si>
  <si>
    <t>F7958B-รับล็อคปิดกลางบานมุ้ง-Aztec gray</t>
  </si>
  <si>
    <t>F7958B-รับล็อคปิดกลางบานมุ้ง-ลายไม้สักทอง</t>
  </si>
  <si>
    <t>F7958B-รับล็อคปิดกลางบานมุ้ง-ไวท์โอ็ค</t>
  </si>
  <si>
    <t>F7958B-รับล็อคปิดกลางบานมุ้ง-มะฮอกกานี</t>
  </si>
  <si>
    <t>F7998-กล่องก้านบานตายคิ้วใน-อบขาว</t>
  </si>
  <si>
    <t>F7998</t>
  </si>
  <si>
    <t>กล่องก้านบานตายคิ้วใน</t>
  </si>
  <si>
    <t>https://drive.google.com/file/d/1B2FbigtQwAAUQqz6gG3Er09MBiVq7qhv/view?usp=drive_link</t>
  </si>
  <si>
    <t>F7998-กล่องก้านบานตายคิ้วใน-ดำ</t>
  </si>
  <si>
    <t>F7998-กล่องก้านบานตายคิ้วใน-เทาซาฮาร่า</t>
  </si>
  <si>
    <t>F7998-กล่องก้านบานตายคิ้วใน-Aztec gray</t>
  </si>
  <si>
    <t>F7998-กล่องก้านบานตายคิ้วใน-ลายไม้สักทอง</t>
  </si>
  <si>
    <t>F7998-กล่องก้านบานตายคิ้วใน-ไวท์โอ็ค</t>
  </si>
  <si>
    <t>F7998-กล่องก้านบานตายคิ้วใน-มะฮอกกานี</t>
  </si>
  <si>
    <t>F7940B-กล่องก้านคิ้วนิก-อบขาว</t>
  </si>
  <si>
    <t>F7940B</t>
  </si>
  <si>
    <t>กล่องก้านคิ้วนิก</t>
  </si>
  <si>
    <t>https://drive.google.com/file/d/18sFACj0C1jfFLsMFFi-GgbQGgrw4mKcn/view?usp=drive_link</t>
  </si>
  <si>
    <t>F7940B-กล่องก้านคิ้วนิก-ดำ</t>
  </si>
  <si>
    <t>F7940B-กล่องก้านคิ้วนิก-เทาซาฮาร่า</t>
  </si>
  <si>
    <t>F7940B-กล่องก้านคิ้วนิก-Aztec gray</t>
  </si>
  <si>
    <t>F7940B-กล่องก้านคิ้วนิก-ลายไม้สักทอง</t>
  </si>
  <si>
    <t>F7940B-กล่องก้านคิ้วนิก-ไวท์โอ็ค</t>
  </si>
  <si>
    <t>F7940B-กล่องก้านคิ้วนิก-มะฮอกกานี</t>
  </si>
  <si>
    <t>F7868-กล่องก้าน 2 ทางคิ้วนอก (ติดมุ้ง)-อบขาว</t>
  </si>
  <si>
    <t>F7868</t>
  </si>
  <si>
    <t>กล่องก้าน 2 ทางคิ้วนอก (ติดมุ้ง)</t>
  </si>
  <si>
    <t>https://drive.google.com/file/d/1fTIZCHcHACdDoiWQyFoOBTTNoiUj0KhR/view?usp=drive_link</t>
  </si>
  <si>
    <t>F7868-กล่องก้าน 2 ทางคิ้วนอก (ติดมุ้ง)-ดำ</t>
  </si>
  <si>
    <t>F7868-กล่องก้าน 2 ทางคิ้วนอก (ติดมุ้ง)-เทาซาฮาร่า</t>
  </si>
  <si>
    <t>F7868-กล่องก้าน 2 ทางคิ้วนอก (ติดมุ้ง)-Aztec gray</t>
  </si>
  <si>
    <t>F7868-กล่องก้าน 2 ทางคิ้วนอก (ติดมุ้ง)-ลายไม้สักทอง</t>
  </si>
  <si>
    <t>F7868-กล่องก้าน 2 ทางคิ้วนอก (ติดมุ้ง)-ไวท์โอ็ค</t>
  </si>
  <si>
    <t>F7868-กล่องก้าน 2 ทางคิ้วนอก (ติดมุ้ง)-มะฮอกกานี</t>
  </si>
  <si>
    <t>F7997-กล่องก้านสลับ-อบขาว</t>
  </si>
  <si>
    <t>F7997</t>
  </si>
  <si>
    <t>กล่องก้านสลับ</t>
  </si>
  <si>
    <t>https://drive.google.com/file/d/1DhqTaXf3VjIGdNFAqi9BR-JU4zuOiLEc/view?usp=drive_link</t>
  </si>
  <si>
    <t>F7997-กล่องก้านสลับ-ดำ</t>
  </si>
  <si>
    <t>F7997-กล่องก้านสลับ-เทาซาฮาร่า</t>
  </si>
  <si>
    <t>F7997-กล่องก้านสลับ-Aztec gray</t>
  </si>
  <si>
    <t>F7997-กล่องก้านสลับ-ลายไม้สักทอง</t>
  </si>
  <si>
    <t>F7997-กล่องก้านสลับ-ไวท์โอ็ค</t>
  </si>
  <si>
    <t>F7997-กล่องก้านสลับ-มะฮอกกานี</t>
  </si>
  <si>
    <t>F7854-เฟรมแบ่งบานคิ้วนอก-อบขาว</t>
  </si>
  <si>
    <t>F7854</t>
  </si>
  <si>
    <t>เฟรมแบ่งบานคิ้วนอก</t>
  </si>
  <si>
    <t>https://drive.google.com/file/d/16J3sY9i3IhnVH5juN2p5r0OTCLcU1Hje/view?usp=drive_link</t>
  </si>
  <si>
    <t>F7854-เฟรมแบ่งบานคิ้วนอก-ดำ</t>
  </si>
  <si>
    <t>F7854-เฟรมแบ่งบานคิ้วนอก-เทาซาฮาร่า</t>
  </si>
  <si>
    <t>F7854-เฟรมแบ่งบานคิ้วนอก-Aztec gray</t>
  </si>
  <si>
    <t>F7854-เฟรมแบ่งบานคิ้วนอก-ลายไม้สักทอง</t>
  </si>
  <si>
    <t>F7854-เฟรมแบ่งบานคิ้วนอก-ไวท์โอ็ค</t>
  </si>
  <si>
    <t>F7854-เฟรมแบ่งบานคิ้วนอก-มะฮอกกานี</t>
  </si>
  <si>
    <t>F7852-ตบเฟรมแบ่งบานคิ้วใน-อบขาว</t>
  </si>
  <si>
    <t>F7852</t>
  </si>
  <si>
    <t>ตบเฟรมแบ่งบานคิ้วใน</t>
  </si>
  <si>
    <t>https://drive.google.com/file/d/1WQGpz0FOVfMZykTv_E8t9Z9mQDTghcTE/view?usp=drive_link</t>
  </si>
  <si>
    <t>F7852-ตบเฟรมแบ่งบานคิ้วใน-ดำ</t>
  </si>
  <si>
    <t>F7852-ตบเฟรมแบ่งบานคิ้วใน-เทาซาฮาร่า</t>
  </si>
  <si>
    <t>F7852-ตบเฟรมแบ่งบานคิ้วใน-Aztec gray</t>
  </si>
  <si>
    <t>F7852-ตบเฟรมแบ่งบานคิ้วใน-ลายไม้สักทอง</t>
  </si>
  <si>
    <t>F7852-ตบเฟรมแบ่งบานคิ้วใน-ไวท์โอ็ค</t>
  </si>
  <si>
    <t>F7852-ตบเฟรมแบ่งบานคิ้วใน-มะฮอกกานี</t>
  </si>
  <si>
    <t>F7999-เฟรมแบ่งบานคิ้วใน-อบขาว</t>
  </si>
  <si>
    <t>F7999</t>
  </si>
  <si>
    <t>เฟรมแบ่งบานคิ้วใน</t>
  </si>
  <si>
    <t>https://drive.google.com/file/d/1-pjO3bRhHCw_IFS9fdEWza2yNiozMRRh/view?usp=drive_link</t>
  </si>
  <si>
    <t>F7999-เฟรมแบ่งบานคิ้วใน-ดำ</t>
  </si>
  <si>
    <t>F7999-เฟรมแบ่งบานคิ้วใน-เทาซาฮาร่า</t>
  </si>
  <si>
    <t>F7999-เฟรมแบ่งบานคิ้วใน-Aztec gray</t>
  </si>
  <si>
    <t>F7999-เฟรมแบ่งบานคิ้วใน-ลายไม้สักทอง</t>
  </si>
  <si>
    <t>F7999-เฟรมแบ่งบานคิ้วใน-ไวท์โอ็ค</t>
  </si>
  <si>
    <t>F7999-เฟรมแบ่งบานคิ้วใน-มะฮอกกานี</t>
  </si>
  <si>
    <t>F7942-ตบเฟรมแบ่งบานคิ้วนอก-อบขาว</t>
  </si>
  <si>
    <t>F7942</t>
  </si>
  <si>
    <t>ตบเฟรมแบ่งบานคิ้วนอก</t>
  </si>
  <si>
    <t>https://drive.google.com/file/d/1kqex6NSGIfau_QSle63_ISHvszAtHtCL/view?usp=drive_link</t>
  </si>
  <si>
    <t>F7942-ตบเฟรมแบ่งบานคิ้วนอก-ดำ</t>
  </si>
  <si>
    <t>F7942-ตบเฟรมแบ่งบานคิ้วนอก-เทาซาฮาร่า</t>
  </si>
  <si>
    <t>F7942-ตบเฟรมแบ่งบานคิ้วนอก-Aztec gray</t>
  </si>
  <si>
    <t>F7942-ตบเฟรมแบ่งบานคิ้วนอก-ลายไม้สักทอง</t>
  </si>
  <si>
    <t>F7942-ตบเฟรมแบ่งบานคิ้วนอก-ไวท์โอ็ค</t>
  </si>
  <si>
    <t>F7942-ตบเฟรมแบ่งบานคิ้วนอก-มะฮอกกานี</t>
  </si>
  <si>
    <t>F7943B-กรอบบานกระทุ้ง-อบขาว</t>
  </si>
  <si>
    <t>F7943B</t>
  </si>
  <si>
    <t>กรอบบานกระทุ้ง</t>
  </si>
  <si>
    <t>F7943B-กรอบบานกระทุ้ง-ดำ</t>
  </si>
  <si>
    <t>F7943B-กรอบบานกระทุ้ง-เทาซาฮาร่า</t>
  </si>
  <si>
    <t>F7943B-กรอบบานกระทุ้ง-Aztec gray</t>
  </si>
  <si>
    <t>F7943B-กรอบบานกระทุ้ง-ลายไม้สักทอง</t>
  </si>
  <si>
    <t>F7943B-กรอบบานกระทุ้ง-ไวท์โอ็ค</t>
  </si>
  <si>
    <t>F7943B-กรอบบานกระทุ้ง-มะฮอกกานี</t>
  </si>
  <si>
    <t>F7945C-เสารับล็อกเปิดกลาง-อบขาว</t>
  </si>
  <si>
    <t>F7945C</t>
  </si>
  <si>
    <t>เสารับล็อกเปิดกลาง</t>
  </si>
  <si>
    <t>https://drive.google.com/file/d/1_BcR3Oc91eUCH3WBGPBjTUlmJPxv5cBY/view?usp=drive_link</t>
  </si>
  <si>
    <t>F7945C-เสารับล็อกเปิดกลาง-ดำ</t>
  </si>
  <si>
    <t>F7945C-เสารับล็อกเปิดกลาง-เทาซาฮาร่า</t>
  </si>
  <si>
    <t>F7945C-เสารับล็อกเปิดกลาง-Aztec gray</t>
  </si>
  <si>
    <t>F7945C-เสารับล็อกเปิดกลาง-ลายไม้สักทอง</t>
  </si>
  <si>
    <t>F7945C-เสารับล็อกเปิดกลาง-ไวท์โอ็ค</t>
  </si>
  <si>
    <t>F7945C-เสารับล็อกเปิดกลาง-มะฮอกกานี</t>
  </si>
  <si>
    <t>F7960-ตบธรณี-อบขาว</t>
  </si>
  <si>
    <t>F7960</t>
  </si>
  <si>
    <r>
      <rPr>
        <rFont val="Arial"/>
        <color rgb="FF1C4587"/>
        <u/>
      </rPr>
      <t>https://drive.google.com/file/d/1c9I_HJhw35lEZodWEu3-_0ZMrpcKwOxv/view?usp=drive_link</t>
    </r>
  </si>
  <si>
    <t>F7960-ตบธรณี-ดำ</t>
  </si>
  <si>
    <t>https://drive.google.com/file/d/1c9I_HJhw35lEZodWEu3-_0ZMrpcKwOxv/view?usp=drive_link</t>
  </si>
  <si>
    <t>F7960-ตบธรณี-เทาซาฮาร่า</t>
  </si>
  <si>
    <t>F7960-ตบธรณี-Aztec gray</t>
  </si>
  <si>
    <t>F7960-ตบธรณี-ลายไม้สักทอง</t>
  </si>
  <si>
    <t>F7960-ตบธรณี-ไวท์โอ็ค</t>
  </si>
  <si>
    <t>F7960-ตบธรณี-มะฮอกกานี</t>
  </si>
  <si>
    <t>F7959-กล่องค้ำบานมุ้ง-อบขาว</t>
  </si>
  <si>
    <t>F7959</t>
  </si>
  <si>
    <t>กล่องค้ำบานมุ้ง</t>
  </si>
  <si>
    <t>https://drive.google.com/file/d/1s0Wc9h3DPgmMocTW8Gu2XMnda_ByvHH0/view?usp=drive_link</t>
  </si>
  <si>
    <t>F7959-กล่องค้ำบานมุ้ง-ดำ</t>
  </si>
  <si>
    <t>F7959-กล่องค้ำบานมุ้ง-เทาซาฮาร่า</t>
  </si>
  <si>
    <t>F7959-กล่องค้ำบานมุ้ง-Aztec gray</t>
  </si>
  <si>
    <t>F7959-กล่องค้ำบานมุ้ง-ลายไม้สักทอง</t>
  </si>
  <si>
    <t>F7959-กล่องค้ำบานมุ้ง-ไวท์โอ็ค</t>
  </si>
  <si>
    <t>F7959-กล่องค้ำบานมุ้ง-มะฮอกกานี</t>
  </si>
  <si>
    <t>F7865B-แผงประตู-อบขาว</t>
  </si>
  <si>
    <t>F7865B</t>
  </si>
  <si>
    <t>แผงประตู</t>
  </si>
  <si>
    <t>https://drive.google.com/file/d/19T2CypxOowK4iYjkuOfbAkEqT05X8DOG/view?usp=drive_link</t>
  </si>
  <si>
    <t>F7865B-แผงประตู-ดำ</t>
  </si>
  <si>
    <t>F7865B-แผงประตู-เทาซาฮาร่า</t>
  </si>
  <si>
    <t>F7865B-แผงประตู-Aztec gray</t>
  </si>
  <si>
    <t>F7865B-แผงประตู-ลายไม้สักทอง</t>
  </si>
  <si>
    <t>F7865B-แผงประตู-ไวท์โอ็ค</t>
  </si>
  <si>
    <t>F7865B-แผงประตู-มะฮอกกานี</t>
  </si>
  <si>
    <t>F7965-ลูกฟักแบ่งบาน-อบขาว</t>
  </si>
  <si>
    <t>F7965</t>
  </si>
  <si>
    <t>ลูกฟักแบ่งบาน</t>
  </si>
  <si>
    <t>https://drive.google.com/file/d/1Zcoa0bnTGQ62UlSe1HIpAcF6pnzCk2GK/view?usp=drive_link</t>
  </si>
  <si>
    <t>F7965-ลูกฟักแบ่งบาน-ดำ</t>
  </si>
  <si>
    <t>F7965-ลูกฟักแบ่งบาน-เทาซาฮาร่า</t>
  </si>
  <si>
    <t>F7965-ลูกฟักแบ่งบาน-Aztec gray</t>
  </si>
  <si>
    <t>F7965-ลูกฟักแบ่งบาน-ลายไม้สักทอง</t>
  </si>
  <si>
    <t>F7965-ลูกฟักแบ่งบาน-ไวท์โอ็ค</t>
  </si>
  <si>
    <t>F7965-ลูกฟักแบ่งบาน-มะฮอกกานี</t>
  </si>
  <si>
    <t>F7946-คิ้วตบในบานตาย-อบขาว</t>
  </si>
  <si>
    <t>F7946</t>
  </si>
  <si>
    <t>คิ้วตบในบานตาย</t>
  </si>
  <si>
    <t>https://drive.google.com/file/d/1GTWnx1eDzhpqvB20MYFkg5Vx-XqR8DBZ/view?usp=drive_link</t>
  </si>
  <si>
    <t>F7946-คิ้วตบในบานตาย-ดำ</t>
  </si>
  <si>
    <t>F7946-คิ้วตบในบานตาย-เทาซาฮาร่า</t>
  </si>
  <si>
    <t>F7946-คิ้วตบในบานตาย-Aztec gray</t>
  </si>
  <si>
    <t>F7946-คิ้วตบในบานตาย-ลายไม้สักทอง</t>
  </si>
  <si>
    <t>F7946-คิ้วตบในบานตาย-ไวท์โอ็ค</t>
  </si>
  <si>
    <t>F7946-คิ้วตบในบานตาย-มะฮอกกานี</t>
  </si>
  <si>
    <t>F7947-คิ้วตบนอกบานตาย-อบขาว</t>
  </si>
  <si>
    <t>F7947</t>
  </si>
  <si>
    <t>คิ้วตบนอกบานตาย</t>
  </si>
  <si>
    <t>https://drive.google.com/file/d/1Y87GM4ZK9iAAQsMWVpL2rd8hhYzKiEYS/view?usp=drive_link</t>
  </si>
  <si>
    <t>F7947-คิ้วตบนอกบานตาย-ดำ</t>
  </si>
  <si>
    <t>F7947-คิ้วตบนอกบานตาย-เทาซาฮาร่า</t>
  </si>
  <si>
    <t>F7947-คิ้วตบนอกบานตาย-Aztec gray</t>
  </si>
  <si>
    <t>F7947-คิ้วตบนอกบานตาย-ลายไม้สักทอง</t>
  </si>
  <si>
    <t>F7947-คิ้วตบนอกบานตาย-ไวท์โอ็ค</t>
  </si>
  <si>
    <t>F7947-คิ้วตบนอกบานตาย-มะฮอกกานี</t>
  </si>
  <si>
    <t>F7968-เฟรมบานเฟี้ยม-อบขาว</t>
  </si>
  <si>
    <t>F7968</t>
  </si>
  <si>
    <t>เฟรมบานเฟี้ยม</t>
  </si>
  <si>
    <t>F7968-เฟรมบานเฟี้ยม-ดำ</t>
  </si>
  <si>
    <t>F7968-เฟรมบานเฟี้ยม-เทาซาฮาร่า</t>
  </si>
  <si>
    <t>F7968-เฟรมบานเฟี้ยม-Aztec gray</t>
  </si>
  <si>
    <t>F7968-เฟรมบานเฟี้ยม-ลายไม้สักทอง</t>
  </si>
  <si>
    <t>F7968-เฟรมบานเฟี้ยม-ไวท์โอ็ค</t>
  </si>
  <si>
    <t>F7968-เฟรมบานเฟี้ยม-มะฮอกกานี</t>
  </si>
  <si>
    <t>F7969-เฟรมล่างบานเฟี้ยม-อบขาว</t>
  </si>
  <si>
    <t>F7969</t>
  </si>
  <si>
    <t>F7969-เฟรมล่างบานเฟี้ยม-ดำ</t>
  </si>
  <si>
    <t>F7969-เฟรมล่างบานเฟี้ยม-เทาซาฮาร่า</t>
  </si>
  <si>
    <t>F7969-เฟรมล่างบานเฟี้ยม-Aztec gray</t>
  </si>
  <si>
    <t>F7969-เฟรมล่างบานเฟี้ยม-ลายไม้สักทอง</t>
  </si>
  <si>
    <t>F7969-เฟรมล่างบานเฟี้ยม-ไวท์โอ็ค</t>
  </si>
  <si>
    <t>F7969-เฟรมล่างบานเฟี้ยม-มะฮอกกานี</t>
  </si>
  <si>
    <t>F7970-เฟรมข้างบานเฟี้ยม-อบขาว</t>
  </si>
  <si>
    <t>F7970</t>
  </si>
  <si>
    <t>https://drive.google.com/file/d/1d6hD5CYKvvMeo0tRHQ7mTTQmnqIXZ2cf/view?usp=drive_link</t>
  </si>
  <si>
    <t>F7970-เฟรมข้างบานเฟี้ยม-ดำ</t>
  </si>
  <si>
    <t>F7970-เฟรมข้างบานเฟี้ยม-เทาซาฮาร่า</t>
  </si>
  <si>
    <t>F7970-เฟรมข้างบานเฟี้ยม-Aztec gray</t>
  </si>
  <si>
    <t>F7970-เฟรมข้างบานเฟี้ยม-ลายไม้สักทอง</t>
  </si>
  <si>
    <t>F7970-เฟรมข้างบานเฟี้ยม-ไวท์โอ็ค</t>
  </si>
  <si>
    <t>F7970-เฟรมข้างบานเฟี้ยม-มะฮอกกานี</t>
  </si>
  <si>
    <t>F7972-กรอบบานเฟี้ยม-อบขาว</t>
  </si>
  <si>
    <t>F7972</t>
  </si>
  <si>
    <t>กรอบบานเฟี้ยม</t>
  </si>
  <si>
    <t>https://drive.google.com/file/d/1DQGcH_bwwyrkKuyHpsz8Jqhr0Ne6WxuK/view?usp=drive_link</t>
  </si>
  <si>
    <t>F7972-กรอบบานเฟี้ยม-ดำ</t>
  </si>
  <si>
    <t>F7972-กรอบบานเฟี้ยม-เทาซาฮาร่า</t>
  </si>
  <si>
    <t>F7972-กรอบบานเฟี้ยม-Aztec gray</t>
  </si>
  <si>
    <t>F7972-กรอบบานเฟี้ยม-ลายไม้สักทอง</t>
  </si>
  <si>
    <t>F7972-กรอบบานเฟี้ยม-ไวท์โอ็ค</t>
  </si>
  <si>
    <t>F7972-กรอบบานเฟี้ยม-มะฮอกกานี</t>
  </si>
  <si>
    <t>F7917-คิ้วตบเฟรมข้าง-อบขาว</t>
  </si>
  <si>
    <t>คิ้วตบเฟรมข้าง</t>
  </si>
  <si>
    <t>F7917-คิ้วตบเฟรมข้าง-ดำ</t>
  </si>
  <si>
    <t>F7917-คิ้วตบเฟรมข้าง-เทาซาฮาร่า</t>
  </si>
  <si>
    <t>F7917-คิ้วตบเฟรมข้าง-Aztec gray</t>
  </si>
  <si>
    <t>F7917-คิ้วตบเฟรมข้าง-ลายไม้สักทอง</t>
  </si>
  <si>
    <t>F7917-คิ้วตบเฟรมข้าง-ไวท์โอ็ค</t>
  </si>
  <si>
    <t>F7917-คิ้วตบเฟรมข้าง-มะฮอกกานี</t>
  </si>
  <si>
    <t>F7932-รางยู-อบขาว</t>
  </si>
  <si>
    <t>F7932</t>
  </si>
  <si>
    <t>รางยู</t>
  </si>
  <si>
    <t>https://drive.google.com/file/d/1eiNVh2ScfQRFBPZp33flkmzTP8mxd5Gv/view?usp=drive_link</t>
  </si>
  <si>
    <t>F7932-รางยู-ดำ</t>
  </si>
  <si>
    <t>F7932-รางยู-เทาซาฮาร่า</t>
  </si>
  <si>
    <t>F7932-รางยู-Aztec gray</t>
  </si>
  <si>
    <t>F7932-รางยู-ลายไม้สักทอง</t>
  </si>
  <si>
    <t>F7932-รางยู-ไวท์โอ็ค</t>
  </si>
  <si>
    <t>F7932-รางยู-มะฮอกกานี</t>
  </si>
  <si>
    <t>F7864-เสาบานเปิด 10 ซม.-อบขาว</t>
  </si>
  <si>
    <t>F7864</t>
  </si>
  <si>
    <t>เสาบานเปิด 10 ซม.</t>
  </si>
  <si>
    <t>https://drive.google.com/file/d/1ysdPuBzJFgGcYHrxLhvpi-gD5T6sKDDh/view?usp=drive_link</t>
  </si>
  <si>
    <t>F7864-เสาบานเปิด 10 ซม.-ดำ</t>
  </si>
  <si>
    <t>F7864-เสาบานเปิด 10 ซม.-เทาซาฮาร่า</t>
  </si>
  <si>
    <t>F7864-เสาบานเปิด 10 ซม.-Aztec gray</t>
  </si>
  <si>
    <t>F7864-เสาบานเปิด 10 ซม.-ลายไม้สักทอง</t>
  </si>
  <si>
    <t>F7864-เสาบานเปิด 10 ซม.-ไวท์โอ็ค</t>
  </si>
  <si>
    <t>F7864-เสาบานเปิด 10 ซม.-มะฮอกกานี</t>
  </si>
  <si>
    <t>F7935-คิ้วกรอบบาน-อบขาว</t>
  </si>
  <si>
    <t>F7935</t>
  </si>
  <si>
    <t>https://drive.google.com/file/d/1iy76-8-rUD1wrMwp8L6Qs2C_fGapUu-H/view?usp=drive_link</t>
  </si>
  <si>
    <t>F7935-คิ้วกรอบบาน-ดำ</t>
  </si>
  <si>
    <t>F7935-คิ้วกรอบบาน-เทาซาฮาร่า</t>
  </si>
  <si>
    <t>F7935-คิ้วกรอบบาน-Aztec gray</t>
  </si>
  <si>
    <t>F7935-คิ้วกรอบบาน-ลายไม้สักทอง</t>
  </si>
  <si>
    <t>F7935-คิ้วกรอบบาน-ไวท์โอ็ค</t>
  </si>
  <si>
    <t>F7935-คิ้วกรอบบาน-มะฮอกกานี</t>
  </si>
  <si>
    <t>F7863-เสริมใต้บานไม่มีธรณี-อบขาว</t>
  </si>
  <si>
    <t>F7863</t>
  </si>
  <si>
    <t>เสริมใต้บานไม่มีธรณี</t>
  </si>
  <si>
    <t>https://drive.google.com/file/d/1SxqRu3v7AeS0IljpGYpG5bS9Z-89x6dR/view?usp=drive_link</t>
  </si>
  <si>
    <t>F7863-เสริมใต้บานไม่มีธรณี-ดำ</t>
  </si>
  <si>
    <t>F7863-เสริมใต้บานไม่มีธรณี-เทาซาฮาร่า</t>
  </si>
  <si>
    <t>F7863-เสริมใต้บานไม่มีธรณี-Aztec gray</t>
  </si>
  <si>
    <t>F7863-เสริมใต้บานไม่มีธรณี-ลายไม้สักทอง</t>
  </si>
  <si>
    <t>F7863-เสริมใต้บานไม่มีธรณี-ไวท์โอ็ค</t>
  </si>
  <si>
    <t>F7863-เสริมใต้บานไม่มีธรณี-มะฮอกกานี</t>
  </si>
  <si>
    <t>F7962-รับล็อกบานคู่ + บานคี่-อบขาว</t>
  </si>
  <si>
    <t>F7962</t>
  </si>
  <si>
    <t>รับล็อกบานคู่ + บานคี่</t>
  </si>
  <si>
    <t>https://drive.google.com/file/d/1NG4yYkbM4t_e_oTnI3euLbitSP02MI33/view?usp=drive_link</t>
  </si>
  <si>
    <t>F7962-รับล็อกบานคู่ + บานคี่-ดำ</t>
  </si>
  <si>
    <t>F7962-รับล็อกบานคู่ + บานคี่-เทาซาฮาร่า</t>
  </si>
  <si>
    <t>F7962-รับล็อกบานคู่ + บานคี่-Aztec gray</t>
  </si>
  <si>
    <t>F7962-รับล็อกบานคู่ + บานคี่-ลายไม้สักทอง</t>
  </si>
  <si>
    <t>F7962-รับล็อกบานคู่ + บานคี่-ไวท์โอ็ค</t>
  </si>
  <si>
    <t>F7962-รับล็อกบานคู่ + บานคี่-มะฮอกกานี</t>
  </si>
  <si>
    <t>F7961-รับล็อกเฟรมข้างบานคู่-อบขาว</t>
  </si>
  <si>
    <t>F7961</t>
  </si>
  <si>
    <t>รับล็อกเฟรมข้างบานคู่</t>
  </si>
  <si>
    <t>https://drive.google.com/file/d/1JhbuthMAuNadadzz1WKB4q3o_B8ld_mv/view?usp=drive_link</t>
  </si>
  <si>
    <t>F7961-รับล็อกเฟรมข้างบานคู่-ดำ</t>
  </si>
  <si>
    <t>F7961-รับล็อกเฟรมข้างบานคู่-เทาซาฮาร่า</t>
  </si>
  <si>
    <t>F7961-รับล็อกเฟรมข้างบานคู่-Aztec gray</t>
  </si>
  <si>
    <t>F7961-รับล็อกเฟรมข้างบานคู่-ลายไม้สักทอง</t>
  </si>
  <si>
    <t>F7961-รับล็อกเฟรมข้างบานคู่-ไวท์โอ็ค</t>
  </si>
  <si>
    <t>F7961-รับล็อกเฟรมข้างบานคู่-มะฮอกกานี</t>
  </si>
  <si>
    <t>F7963-รับล็อกเข้ามุมบานคู่-อบขาว</t>
  </si>
  <si>
    <t>F7963</t>
  </si>
  <si>
    <t>รับล็อกเข้ามุมบานคู่</t>
  </si>
  <si>
    <t>https://drive.google.com/file/d/1il-p9Ay-Z5xw3hdxWjKaOAGi0tZ8aqDB/view?usp=drive_link</t>
  </si>
  <si>
    <t>F7963-รับล็อกเข้ามุมบานคู่-ดำ</t>
  </si>
  <si>
    <t>F7963-รับล็อกเข้ามุมบานคู่-เทาซาฮาร่า</t>
  </si>
  <si>
    <t>F7963-รับล็อกเข้ามุมบานคู่-Aztec gray</t>
  </si>
  <si>
    <t>F7963-รับล็อกเข้ามุมบานคู่-ลายไม้สักทอง</t>
  </si>
  <si>
    <t>F7963-รับล็อกเข้ามุมบานคู่-ไวท์โอ็ค</t>
  </si>
  <si>
    <t>F7963-รับล็อกเข้ามุมบานคู่-มะฮอกกานี</t>
  </si>
  <si>
    <t>F7964-เสาเข้ามุม-อบขาว</t>
  </si>
  <si>
    <t>F7964</t>
  </si>
  <si>
    <t>เสาเข้ามุม</t>
  </si>
  <si>
    <t>https://drive.google.com/file/d/1sCfnV1H5k2mr5830aRcH038VnFf9W9cI/view?usp=drive_link</t>
  </si>
  <si>
    <t>F7964-เสาเข้ามุม-ดำ</t>
  </si>
  <si>
    <t>F7964-เสาเข้ามุม-เทาซาฮาร่า</t>
  </si>
  <si>
    <t>F7964-เสาเข้ามุม-Aztec gray</t>
  </si>
  <si>
    <t>F7964-เสาเข้ามุม-ลายไม้สักทอง</t>
  </si>
  <si>
    <t>F7964-เสาเข้ามุม-ไวท์โอ็ค</t>
  </si>
  <si>
    <t>F7964-เสาเข้ามุม-มะฮอกกานี</t>
  </si>
  <si>
    <t>F7974-ชนกลางบานคู่-อบขาว</t>
  </si>
  <si>
    <t>F7974</t>
  </si>
  <si>
    <t>ชนกลางบานคู่</t>
  </si>
  <si>
    <t>https://drive.google.com/file/d/13xVIr9GSlpOY2_5ytjMUgnXP9ntSYghh/view?usp=drive_link</t>
  </si>
  <si>
    <t>F7974-ชนกลางบานคู่-ดำ</t>
  </si>
  <si>
    <t>F7974-ชนกลางบานคู่-เทาซาฮาร่า</t>
  </si>
  <si>
    <t>F7974-ชนกลางบานคู่-Aztec gray</t>
  </si>
  <si>
    <t>F7974-ชนกลางบานคู่-ลายไม้สักทอง</t>
  </si>
  <si>
    <t>F7974-ชนกลางบานคู่-ไวท์โอ็ค</t>
  </si>
  <si>
    <t>F7974-ชนกลางบานคู่-มะฮอกกานี</t>
  </si>
  <si>
    <t>F7973-ตบเรียบบานเฟี้ยม-อบขาว</t>
  </si>
  <si>
    <t>F7973</t>
  </si>
  <si>
    <t>ตบเรียบบานเฟี้ยม</t>
  </si>
  <si>
    <t>https://drive.google.com/file/d/173pO5WEDiax43q7D6nLKPzB80hdwIVQ1/view?usp=drive_link</t>
  </si>
  <si>
    <t>F7973-ตบเรียบบานเฟี้ยม-ดำ</t>
  </si>
  <si>
    <t>F7973-ตบเรียบบานเฟี้ยม-เทาซาฮาร่า</t>
  </si>
  <si>
    <t>F7973-ตบเรียบบานเฟี้ยม-Aztec gray</t>
  </si>
  <si>
    <t>F7973-ตบเรียบบานเฟี้ยม-ลายไม้สักทอง</t>
  </si>
  <si>
    <t>F7973-ตบเรียบบานเฟี้ยม-ไวท์โอ็ค</t>
  </si>
  <si>
    <t>F7973-ตบเรียบบานเฟี้ยม-มะฮอกกานี</t>
  </si>
  <si>
    <t>F7975-บังใบสำหรับใส่กลอน-อบขาว</t>
  </si>
  <si>
    <t>F7975</t>
  </si>
  <si>
    <t>บังใบสำหรับใส่กลอน</t>
  </si>
  <si>
    <t>https://drive.google.com/file/d/1f08bBvNFiMTf587wOuNWelhEPh9Se7zh/view?usp=drive_link</t>
  </si>
  <si>
    <t>F7975-บังใบสำหรับใส่กลอน-ดำ</t>
  </si>
  <si>
    <t>F7975-บังใบสำหรับใส่กลอน-เทาซาฮาร่า</t>
  </si>
  <si>
    <t>F7975-บังใบสำหรับใส่กลอน-Aztec gray</t>
  </si>
  <si>
    <t>F7975-บังใบสำหรับใส่กลอน-ลายไม้สักทอง</t>
  </si>
  <si>
    <t>F7975-บังใบสำหรับใส่กลอน-ไวท์โอ็ค</t>
  </si>
  <si>
    <t>F7975-บังใบสำหรับใส่กลอน-มะฮอกกานี</t>
  </si>
  <si>
    <t>F7866-บังใบหลบ CDQ-อบขาว</t>
  </si>
  <si>
    <t>F7866</t>
  </si>
  <si>
    <t>บังใบหลบ CDQ</t>
  </si>
  <si>
    <t>https://drive.google.com/file/d/1CBI9RBXcyGDjryTwdPaWfIf3i4sZbosb/view?usp=drive_link</t>
  </si>
  <si>
    <t>F7866-บังใบหลบ CDQ-ดำ</t>
  </si>
  <si>
    <t>F7866-บังใบหลบ CDQ-เทาซาฮาร่า</t>
  </si>
  <si>
    <t>F7866-บังใบหลบ CDQ-Aztec gray</t>
  </si>
  <si>
    <t>F7866-บังใบหลบ CDQ-ลายไม้สักทอง</t>
  </si>
  <si>
    <t>F7866-บังใบหลบ CDQ-ไวท์โอ็ค</t>
  </si>
  <si>
    <t>F7866-บังใบหลบ CDQ-มะฮอกกานี</t>
  </si>
  <si>
    <t>กล่องร่อง-มิว</t>
  </si>
  <si>
    <t>อลูมิเนียมตลาด</t>
  </si>
  <si>
    <t>กล่องร่อง</t>
  </si>
  <si>
    <t>มิว</t>
  </si>
  <si>
    <r>
      <rPr>
        <rFont val="Arial"/>
        <color rgb="FF1C4587"/>
        <u/>
      </rPr>
      <t>https://drive.google.com/file/d/1PIijFaFbAwqzEg5kGnXw9rW_9wXtn7hw/view?usp=drive_link</t>
    </r>
  </si>
  <si>
    <t>กล่องร่อง-อบขาว</t>
  </si>
  <si>
    <r>
      <rPr>
        <rFont val="Arial"/>
        <color rgb="FF1C4587"/>
        <u/>
      </rPr>
      <t>https://drive.google.com/file/d/1PIijFaFbAwqzEg5kGnXw9rW_9wXtn7hw/view?usp=drive_link</t>
    </r>
  </si>
  <si>
    <t>กล่องร่อง-ดำ</t>
  </si>
  <si>
    <r>
      <rPr>
        <rFont val="Arial"/>
        <color rgb="FF1C4587"/>
        <u/>
      </rPr>
      <t>https://drive.google.com/file/d/1PIijFaFbAwqzEg5kGnXw9rW_9wXtn7hw/view?usp=drive_link</t>
    </r>
  </si>
  <si>
    <t>กล่องร่อง-เทาซาฮาร่า</t>
  </si>
  <si>
    <r>
      <rPr>
        <rFont val="Arial"/>
        <color rgb="FF1C4587"/>
        <u/>
      </rPr>
      <t>https://drive.google.com/file/d/1PIijFaFbAwqzEg5kGnXw9rW_9wXtn7hw/view?usp=drive_link</t>
    </r>
  </si>
  <si>
    <t>กล่องร่อง-ลายไม้สักทอง</t>
  </si>
  <si>
    <r>
      <rPr>
        <rFont val="Arial"/>
        <color rgb="FF1C4587"/>
        <u/>
      </rPr>
      <t>https://drive.google.com/file/d/1PIijFaFbAwqzEg5kGnXw9rW_9wXtn7hw/view?usp=drive_link</t>
    </r>
  </si>
  <si>
    <t>เส้นกลาง-มิว</t>
  </si>
  <si>
    <t>เส้นกลาง</t>
  </si>
  <si>
    <t>https://drive.google.com/file/d/1NtfXugttVyKjcGvRQYFmSu0vOSHFh1Ah/view?usp=drive_link</t>
  </si>
  <si>
    <t>เส้นกลาง-อบขาว</t>
  </si>
  <si>
    <t>เส้นกลาง-ดำ</t>
  </si>
  <si>
    <t>เส้นกลาง-เทาซาฮาร่า</t>
  </si>
  <si>
    <t>เส้นกลาง-Aztec gray</t>
  </si>
  <si>
    <t>เส้นกลาง-ลายไม้สักทอง</t>
  </si>
  <si>
    <t>เส้นกลาง-ไวท์โอ็ค</t>
  </si>
  <si>
    <t>เส้นกลาง-มะฮอกกานี</t>
  </si>
  <si>
    <t>เส้นกลาง-อื่นๆ</t>
  </si>
  <si>
    <t>อื่นๆ</t>
  </si>
  <si>
    <t>กล่อง 4 หุน-มิว</t>
  </si>
  <si>
    <t>กล่อง 4 หุน</t>
  </si>
  <si>
    <t>https://drive.google.com/file/d/1L4CozdjUOVvJAIVefrclrQLjtABwkZ0V/view?usp=drive_link</t>
  </si>
  <si>
    <t>กล่อง 4 หุน-อบขาว</t>
  </si>
  <si>
    <t>กล่อง 4 หุน-ดำ</t>
  </si>
  <si>
    <t>กล่อง 4 หุน-เทาซาฮาร่า</t>
  </si>
  <si>
    <t>กล่อง 4 หุน-Aztec gray</t>
  </si>
  <si>
    <t>กล่อง 4 หุน-ลายไม้สักทอง</t>
  </si>
  <si>
    <t>กล่อง 4 หุน-ไวท์โอ็ค</t>
  </si>
  <si>
    <t>กล่อง 4 หุน-มะฮอกกานี</t>
  </si>
  <si>
    <t>กล่อง 4 หุน-อื่นๆ</t>
  </si>
  <si>
    <t>กล่อง 6 หุน-มิว</t>
  </si>
  <si>
    <t>กล่อง 6 หุน</t>
  </si>
  <si>
    <t>https://drive.google.com/file/d/1NaaF3Qc8GJveg7nwLDiTKZzFglqY0Mz-/view?usp=drive_link</t>
  </si>
  <si>
    <t>กล่อง 6 หุน-อบขาว</t>
  </si>
  <si>
    <t>กล่อง 6 หุน-ดำ</t>
  </si>
  <si>
    <t>กล่อง 6 หุน-เทาซาฮาร่า</t>
  </si>
  <si>
    <t>กล่อง 6 หุน-Aztec gray</t>
  </si>
  <si>
    <t>กล่อง 6 หุน-ลายไม้สักทอง</t>
  </si>
  <si>
    <t>กล่อง 6 หุน-ไวท์โอ็ค</t>
  </si>
  <si>
    <t>กล่อง 6 หุน-มะฮอกกานี</t>
  </si>
  <si>
    <t>กล่อง 6 หุน-อื่นๆ</t>
  </si>
  <si>
    <t>กล่อง 1"x1"-มิว</t>
  </si>
  <si>
    <t>กล่อง 1"x1"</t>
  </si>
  <si>
    <t>https://drive.google.com/file/d/11bJ-CMBqxBEl4qg_GXdjTzkaNxiL5zkL/view?usp=drive_link</t>
  </si>
  <si>
    <t>กล่อง 1"x1"-อบขาว</t>
  </si>
  <si>
    <t>กล่อง 1"x1"-ดำ</t>
  </si>
  <si>
    <t>กล่อง 1"x1"-เทาซาฮาร่า</t>
  </si>
  <si>
    <t>กล่อง 1"x1"-Aztec gray</t>
  </si>
  <si>
    <t>กล่อง 1"x1"-ลายไม้สักทอง</t>
  </si>
  <si>
    <t>กล่อง 1"x1"-ไวท์โอ็ค</t>
  </si>
  <si>
    <t>กล่อง 1"x1"-มะฮอกกานี</t>
  </si>
  <si>
    <t>กล่อง 1"x1"-อื่นๆ</t>
  </si>
  <si>
    <t>กล่อง 1.2"x1.2"-มิว</t>
  </si>
  <si>
    <t>กล่อง 1.2"x1.2"</t>
  </si>
  <si>
    <t>https://drive.google.com/file/d/1ACsEVdFtzSlhRvr0XcUMjA6AhuwOS4sz/view?usp=drive_link</t>
  </si>
  <si>
    <t>กล่อง 1.2"x1.2"-อบขาว</t>
  </si>
  <si>
    <t>กล่อง 1.2"x1.2"-ดำ</t>
  </si>
  <si>
    <t>กล่อง 1.2"x1.2"-เทาซาฮาร่า</t>
  </si>
  <si>
    <t>กล่อง 1.2"x1.2"-Aztec gray</t>
  </si>
  <si>
    <t>กล่อง 1.2"x1.2"-ลายไม้สักทอง</t>
  </si>
  <si>
    <t>กล่อง 1.2"x1.2"-ไวท์โอ็ค</t>
  </si>
  <si>
    <t>กล่อง 1.2"x1.2"-มะฮอกกานี</t>
  </si>
  <si>
    <t>กล่อง 1.2"x1.2"-อื่นๆ</t>
  </si>
  <si>
    <t>กล่อง 1.5"x1.5"-มิว</t>
  </si>
  <si>
    <t>กล่อง 1.5"x1.5"</t>
  </si>
  <si>
    <t>https://drive.google.com/file/d/1_fGRIXJgyB1Db_h-giwf9Fvp53vlQBlt/view?usp=drive_link</t>
  </si>
  <si>
    <t>กล่อง 1.5"x1.5"-อบขาว</t>
  </si>
  <si>
    <t>กล่อง 1.5"x1.5"-ดำ</t>
  </si>
  <si>
    <t>กล่อง 1.5"x1.5"-เทาซาฮาร่า</t>
  </si>
  <si>
    <t>กล่อง 1.5"x1.5"-Aztec gray</t>
  </si>
  <si>
    <t>กล่อง 1.5"x1.5"-ลายไม้สักทอง</t>
  </si>
  <si>
    <t>กล่อง 1.5"x1.5"-ไวท์โอ็ค</t>
  </si>
  <si>
    <t>กล่อง 1.5"x1.5"-มะฮอกกานี</t>
  </si>
  <si>
    <t>กล่อง 1.5"x1.5"-อื่นๆ</t>
  </si>
  <si>
    <t>กล่อง 1.6"x1.6"-มิว</t>
  </si>
  <si>
    <t>กล่อง 1.6"x1.6"</t>
  </si>
  <si>
    <t>https://drive.google.com/file/d/1Yw5Af0zJVe495icp4k-IddPJ6U8onSey/view?usp=drive_link</t>
  </si>
  <si>
    <t>กล่อง 1.6"x1.6"-อบขาว</t>
  </si>
  <si>
    <t>กล่อง 1.6"x1.6"-ดำ</t>
  </si>
  <si>
    <t>กล่อง 1.6"x1.6"-เทาซาฮาร่า</t>
  </si>
  <si>
    <t>กล่อง 1.6"x1.6"-Aztec gray</t>
  </si>
  <si>
    <t>กล่อง 1.6"x1.6"-ลายไม้สักทอง</t>
  </si>
  <si>
    <t>กล่อง 1.6"x1.6"-ไวท์โอ็ค</t>
  </si>
  <si>
    <t>กล่อง 1.6"x1.6"-มะฮอกกานี</t>
  </si>
  <si>
    <t>กล่อง 1.6"x1.6"-อื่นๆ</t>
  </si>
  <si>
    <t>กล่อง 1.6"x3"-มิว</t>
  </si>
  <si>
    <t>กล่อง 1.6"x3"</t>
  </si>
  <si>
    <t>https://drive.google.com/file/d/1Co9WvDbH3talkGWHTm2IZopcK80W_ur7/view?usp=drive_link</t>
  </si>
  <si>
    <t>กล่อง 1.6"x3"-อบขาว</t>
  </si>
  <si>
    <t>กล่อง 1.6"x3"-ดำ</t>
  </si>
  <si>
    <t>กล่อง 1.6"x3"-เทาซาฮาร่า</t>
  </si>
  <si>
    <t>กล่อง 1.6"x3"-Aztec gray</t>
  </si>
  <si>
    <t>กล่อง 1.6"x3"-ลายไม้สักทอง</t>
  </si>
  <si>
    <t>กล่อง 1.6"x3"-ไวท์โอ็ค</t>
  </si>
  <si>
    <t>กล่อง 1.6"x3"-มะฮอกกานี</t>
  </si>
  <si>
    <t>กล่อง 1.6"x3"-อื่นๆ</t>
  </si>
  <si>
    <t>กล่อง 1.6"x4"-มิว</t>
  </si>
  <si>
    <t>กล่อง 1.6"x4"</t>
  </si>
  <si>
    <t>https://drive.google.com/file/d/1yD9hOWKLkB3ivIG2fCMv-3YUiBWpN8lo/view?usp=drive_link</t>
  </si>
  <si>
    <t>กล่อง 1.6"x4"-อบขาว</t>
  </si>
  <si>
    <t>กล่อง 1.6"x4"-ดำ</t>
  </si>
  <si>
    <t>กล่อง 1.6"x4"-เทาซาฮาร่า</t>
  </si>
  <si>
    <t>กล่อง 1.6"x4"-Aztec gray</t>
  </si>
  <si>
    <t>กล่อง 1.6"x4"-ลายไม้สักทอง</t>
  </si>
  <si>
    <t>กล่อง 1.6"x4"-ไวท์โอ็ค</t>
  </si>
  <si>
    <t xml:space="preserve">   </t>
  </si>
  <si>
    <t>กล่อง 1.6"x4"-มะฮอกกานี</t>
  </si>
  <si>
    <t>กล่อง 1.6"x4"-อื่นๆ</t>
  </si>
  <si>
    <t>กล่อง 1.6"x5"-มิว</t>
  </si>
  <si>
    <t>กล่อง 1.6"x5"</t>
  </si>
  <si>
    <t>https://drive.google.com/file/d/1LVUZbbcSINkLuxaxHyD6pjoAW69wLUn_/view?usp=drive_link</t>
  </si>
  <si>
    <t>กล่อง 1.6"x5"-อบขาว</t>
  </si>
  <si>
    <t>กล่อง 1.6"x5"-ดำ</t>
  </si>
  <si>
    <t>กล่อง 1.6"x5"-เทาซาฮาร่า</t>
  </si>
  <si>
    <t>กล่อง 1.6"x5"-Aztec gray</t>
  </si>
  <si>
    <t>กล่อง 1.6"x5"-ลายไม้สักทอง</t>
  </si>
  <si>
    <t>กล่อง 1.6"x5"-ไวท์โอ็ค</t>
  </si>
  <si>
    <t>กล่อง 1.6"x5"-มะฮอกกานี</t>
  </si>
  <si>
    <t>กล่อง 1.6"x5"-อื่นๆ</t>
  </si>
  <si>
    <t>กล่อง 1"x1.2"-มิว</t>
  </si>
  <si>
    <t>กล่อง 1"x1.2"</t>
  </si>
  <si>
    <t>https://drive.google.com/file/d/1II93fW73IzewK_ZzoDteMqm8pewKRITM/view?usp=drive_link</t>
  </si>
  <si>
    <t>กล่อง 1"x1.2"-อบขาว</t>
  </si>
  <si>
    <t>กล่อง 1"x1.2"-ดำ</t>
  </si>
  <si>
    <t>กล่อง 1"x1.2"-เทาซาฮาร่า</t>
  </si>
  <si>
    <t>กล่อง 1"x1.2"-Aztec gray</t>
  </si>
  <si>
    <t>กล่อง 1"x1.2"-ลายไม้สักทอง</t>
  </si>
  <si>
    <t>กล่อง 1"x1.2"-ไวท์โอ็ค</t>
  </si>
  <si>
    <t>กล่อง 1"x1.2"-มะฮอกกานี</t>
  </si>
  <si>
    <t>กล่อง 1"x1.2"-อื่นๆ</t>
  </si>
  <si>
    <t>กล่อง 1"x1.5"-มิว</t>
  </si>
  <si>
    <t>กล่อง 1"x1.5"</t>
  </si>
  <si>
    <t>https://drive.google.com/file/d/1L47azJSY1PPSWNackBlNm44DnXVOfHpf/view?usp=drive_link</t>
  </si>
  <si>
    <t>กล่อง 1"x1.5"-อบขาว</t>
  </si>
  <si>
    <t>กล่อง 1"x1.5"-ดำ</t>
  </si>
  <si>
    <t>กล่อง 1"x1.5"-เทาซาฮาร่า</t>
  </si>
  <si>
    <t>กล่อง 1"x1.5"-Aztec gray</t>
  </si>
  <si>
    <t>กล่อง 1"x1.5"-ลายไม้สักทอง</t>
  </si>
  <si>
    <t>กล่อง 1"x1.5"-ไวท์โอ็ค</t>
  </si>
  <si>
    <t>กล่อง 1"x1.5"-มะฮอกกานี</t>
  </si>
  <si>
    <t>กล่อง 1"x1.5"-อื่นๆ</t>
  </si>
  <si>
    <t>กล่อง 1"x1.6"-มิว</t>
  </si>
  <si>
    <t>กล่อง 1"x1.6"</t>
  </si>
  <si>
    <t>https://drive.google.com/file/d/15IHUlcNIUKXL9SsXqVNWKsMsXi77GfyK/view?usp=drive_link</t>
  </si>
  <si>
    <t>กล่อง 1"x1.6"-อบขาว</t>
  </si>
  <si>
    <t>กล่อง 1"x1.6"-ดำ</t>
  </si>
  <si>
    <t>กล่อง 1"x1.6"-เทาซาฮาร่า</t>
  </si>
  <si>
    <t>กล่อง 1"x1.6"-Aztec gray</t>
  </si>
  <si>
    <t>กล่อง 1"x1.6"-ลายไม้สักทอง</t>
  </si>
  <si>
    <t>กล่อง 1"x1.6"-ไวท์โอ็ค</t>
  </si>
  <si>
    <t>กล่อง 1"x1.6"-มะฮอกกานี</t>
  </si>
  <si>
    <t>กล่อง 1"x1.6"-อื่นๆ</t>
  </si>
  <si>
    <t>กล่อง 1"x2"-มิว</t>
  </si>
  <si>
    <t>กล่อง 1"x2"</t>
  </si>
  <si>
    <t>https://drive.google.com/file/d/1S4d3BkYQdGhZ_-d8m5VVtaP63cZcnvzY/view?usp=drive_link</t>
  </si>
  <si>
    <t>กล่อง 1"x2"-อบขาว</t>
  </si>
  <si>
    <t>กล่อง 1"x2"-ดำ</t>
  </si>
  <si>
    <t>กล่อง 1"x2"-เทาซาฮาร่า</t>
  </si>
  <si>
    <t>กล่อง 1"x2"-Aztec gray</t>
  </si>
  <si>
    <t>กล่อง 1"x2"-ลายไม้สักทอง</t>
  </si>
  <si>
    <t>กล่อง 1"x2"-ไวท์โอ็ค</t>
  </si>
  <si>
    <t>กล่อง 1"x2"-มะฮอกกานี</t>
  </si>
  <si>
    <t>กล่อง 1"x2"-อื่นๆ</t>
  </si>
  <si>
    <t>กล่อง 1/2"x1"-มิว</t>
  </si>
  <si>
    <t>กล่อง 1/2"x1"</t>
  </si>
  <si>
    <t>https://drive.google.com/file/d/1igI1wh_Q0jTB7TMB0o-EnoMxLaaHaFQI/view?usp=drive_link</t>
  </si>
  <si>
    <t>กล่อง 1/2"x1"-อบขาว</t>
  </si>
  <si>
    <t>กล่อง 1/2"x1"-ดำ</t>
  </si>
  <si>
    <t>กล่อง 1/2"x1"-เทาซาฮาร่า</t>
  </si>
  <si>
    <t>กล่อง 1/2"x1"-Aztec gray</t>
  </si>
  <si>
    <t>กล่อง 1/2"x1"-ลายไม้สักทอง</t>
  </si>
  <si>
    <t>กล่อง 1/2"x1"-ไวท์โอ็ค</t>
  </si>
  <si>
    <t>กล่อง 1/2"x1"-มะฮอกกานี</t>
  </si>
  <si>
    <t>กล่อง 1/2"x1"-อื่นๆ</t>
  </si>
  <si>
    <t>กล่อง 1"x3"-มิว</t>
  </si>
  <si>
    <t>กล่อง 1"x3"</t>
  </si>
  <si>
    <t>https://drive.google.com/file/d/1i_8abfonmG-89Ros0zHUWnNu8MzhQNxP/view?usp=drive_link</t>
  </si>
  <si>
    <t>กล่อง 1"x3"-อบขาว</t>
  </si>
  <si>
    <t>กล่อง 1"x3"-ดำ</t>
  </si>
  <si>
    <t>กล่อง 1"x3"-เทาซาฮาร่า</t>
  </si>
  <si>
    <t>กล่อง 1"x3"-Aztec gray</t>
  </si>
  <si>
    <t>กล่อง 1"x3"-ลายไม้สักทอง</t>
  </si>
  <si>
    <t>กล่อง 1"x3"-ไวท์โอ็ค</t>
  </si>
  <si>
    <t>กล่อง 1"x3"-มะฮอกกานี</t>
  </si>
  <si>
    <t>กล่อง 1"x3"-อื่นๆ</t>
  </si>
  <si>
    <t>กล่อง 1"x4"-มิว</t>
  </si>
  <si>
    <t>กล่อง 1"x4"</t>
  </si>
  <si>
    <t>https://drive.google.com/file/d/1c2y7YpGWl7FD5GAJYKJyFAbKMbkt5Vbc/view?usp=drive_link</t>
  </si>
  <si>
    <t>กล่อง 1"x4"-อบขาว</t>
  </si>
  <si>
    <t>กล่อง 1"x4"-ดำ</t>
  </si>
  <si>
    <t>กล่อง 1"x4"-เทาซาฮาร่า</t>
  </si>
  <si>
    <t>กล่อง 1"x4"-Aztec gray</t>
  </si>
  <si>
    <t>กล่อง 1"x4"-ลายไม้สักทอง</t>
  </si>
  <si>
    <t>กล่อง 1"x4"-ไวท์โอ็ค</t>
  </si>
  <si>
    <t>กล่อง 1"x4"-มะฮอกกานี</t>
  </si>
  <si>
    <t>กล่อง 1"x4"-อื่นๆ</t>
  </si>
  <si>
    <t>กล่อง 2"x2"-มิว</t>
  </si>
  <si>
    <t>กล่อง 2"x2"</t>
  </si>
  <si>
    <r>
      <rPr>
        <rFont val="Arial"/>
        <color rgb="FF1C4587"/>
        <u/>
      </rPr>
      <t>https://drive.google.com/file/d/11bJ-CMBqxBEl4qg_GXdjTzkaNxiL5zkL/view?usp=drive_link</t>
    </r>
  </si>
  <si>
    <t>กล่อง 2"x2"-อบขาว</t>
  </si>
  <si>
    <r>
      <rPr>
        <rFont val="Arial"/>
        <color rgb="FF1C4587"/>
        <u/>
      </rPr>
      <t>https://drive.google.com/file/d/11bJ-CMBqxBEl4qg_GXdjTzkaNxiL5zkL/view?usp=drive_link</t>
    </r>
  </si>
  <si>
    <t>กล่อง 2"x2"-ดำ</t>
  </si>
  <si>
    <r>
      <rPr>
        <rFont val="Arial"/>
        <color rgb="FF1C4587"/>
        <u/>
      </rPr>
      <t>https://drive.google.com/file/d/11bJ-CMBqxBEl4qg_GXdjTzkaNxiL5zkL/view?usp=drive_link</t>
    </r>
  </si>
  <si>
    <t>กล่อง 2"x2"-เทาซาฮาร่า</t>
  </si>
  <si>
    <r>
      <rPr>
        <rFont val="Arial"/>
        <color rgb="FF1C4587"/>
        <u/>
      </rPr>
      <t>https://drive.google.com/file/d/11bJ-CMBqxBEl4qg_GXdjTzkaNxiL5zkL/view?usp=drive_link</t>
    </r>
  </si>
  <si>
    <t>กล่อง 2"x2"-Aztec gray</t>
  </si>
  <si>
    <r>
      <rPr>
        <rFont val="Arial"/>
        <color rgb="FF1C4587"/>
        <u/>
      </rPr>
      <t>https://drive.google.com/file/d/11bJ-CMBqxBEl4qg_GXdjTzkaNxiL5zkL/view?usp=drive_link</t>
    </r>
  </si>
  <si>
    <t>กล่อง 2"x2"-ลายไม้สักทอง</t>
  </si>
  <si>
    <r>
      <rPr>
        <rFont val="Arial"/>
        <color rgb="FF1C4587"/>
        <u/>
      </rPr>
      <t>https://drive.google.com/file/d/11bJ-CMBqxBEl4qg_GXdjTzkaNxiL5zkL/view?usp=drive_link</t>
    </r>
  </si>
  <si>
    <t>กล่อง 2"x2"-ไวท์โอ็ค</t>
  </si>
  <si>
    <r>
      <rPr>
        <rFont val="Arial"/>
        <color rgb="FF1C4587"/>
        <u/>
      </rPr>
      <t>https://drive.google.com/file/d/11bJ-CMBqxBEl4qg_GXdjTzkaNxiL5zkL/view?usp=drive_link</t>
    </r>
  </si>
  <si>
    <t>กล่อง 2"x2"-มะฮอกกานี</t>
  </si>
  <si>
    <r>
      <rPr>
        <rFont val="Arial"/>
        <color rgb="FF1C4587"/>
        <u/>
      </rPr>
      <t>https://drive.google.com/file/d/11bJ-CMBqxBEl4qg_GXdjTzkaNxiL5zkL/view?usp=drive_link</t>
    </r>
  </si>
  <si>
    <t>กล่อง 2"x2"-อื่นๆ</t>
  </si>
  <si>
    <r>
      <rPr>
        <rFont val="Arial"/>
        <color rgb="FF1C4587"/>
        <u/>
      </rPr>
      <t>https://drive.google.com/file/d/11bJ-CMBqxBEl4qg_GXdjTzkaNxiL5zkL/view?usp=drive_link</t>
    </r>
  </si>
  <si>
    <t>กล่อง 2"x4"-มิว</t>
  </si>
  <si>
    <t>กล่อง 2"x4"</t>
  </si>
  <si>
    <r>
      <rPr>
        <rFont val="Arial"/>
        <color rgb="FF1C4587"/>
        <u/>
      </rPr>
      <t>https://drive.google.com/file/d/11bJ-CMBqxBEl4qg_GXdjTzkaNxiL5zkL/view?usp=drive_link</t>
    </r>
  </si>
  <si>
    <t>กล่อง 2"x4"-อบขาว</t>
  </si>
  <si>
    <t>https://drive.google.com/file/d/1imSx3obbbSc4-d6PJG_OfeFS6Nsj15J0/view?usp=drive_link</t>
  </si>
  <si>
    <t>กล่อง 2"x4"-ดำ</t>
  </si>
  <si>
    <t>กล่อง 2"x4"-เทาซาฮาร่า</t>
  </si>
  <si>
    <t>กล่อง 2"x4"-Aztec gray</t>
  </si>
  <si>
    <t>กล่อง 2"x4"-ลายไม้สักทอง</t>
  </si>
  <si>
    <t>กล่อง 2"x4"-ไวท์โอ็ค</t>
  </si>
  <si>
    <t>กล่อง 2"x4"-มะฮอกกานี</t>
  </si>
  <si>
    <t>กล่อง 2"x4"-อื่นๆ</t>
  </si>
  <si>
    <t>กล่อง 2"x6"-มิว</t>
  </si>
  <si>
    <t>กล่อง 2"x6"</t>
  </si>
  <si>
    <t>https://drive.google.com/file/d/1k2pKnv9sEFWfSsdYZHFUCjtL_o8Iz-df/view?usp=drive_link</t>
  </si>
  <si>
    <t>กล่อง 2"x6"-อบขาว</t>
  </si>
  <si>
    <t>กล่อง 2"x6"-ดำ</t>
  </si>
  <si>
    <t>กล่อง 2"x6"-เทาซาฮาร่า</t>
  </si>
  <si>
    <t>กล่อง 2"x6"-Aztec gray</t>
  </si>
  <si>
    <t>กล่อง 2"x6"-ลายไม้สักทอง</t>
  </si>
  <si>
    <t>กล่อง 2"x6"-ไวท์โอ็ค</t>
  </si>
  <si>
    <t>กล่อง 2"x6"-มะฮอกกานี</t>
  </si>
  <si>
    <t>กล่อง 2"x6"-อื่นๆ</t>
  </si>
  <si>
    <t>กล่อง 4"x4"-มิว</t>
  </si>
  <si>
    <t>กล่อง 4"x4"</t>
  </si>
  <si>
    <r>
      <rPr>
        <rFont val="Arial"/>
        <color rgb="FF1C4587"/>
        <u/>
      </rPr>
      <t>https://drive.google.com/file/d/1xg7xMaavWdiib7CVhRvGyH7Kk7KslU4z/view?usp=drive_link</t>
    </r>
  </si>
  <si>
    <t>กล่อง 4"x4"-อบขาว</t>
  </si>
  <si>
    <r>
      <rPr>
        <rFont val="Arial"/>
        <color rgb="FF1C4587"/>
        <u/>
      </rPr>
      <t>https://drive.google.com/file/d/1xg7xMaavWdiib7CVhRvGyH7Kk7KslU4z/view?usp=drive_link</t>
    </r>
  </si>
  <si>
    <t>กล่อง 4"x4"-ดำ</t>
  </si>
  <si>
    <r>
      <rPr>
        <rFont val="Arial"/>
        <color rgb="FF1C4587"/>
        <u/>
      </rPr>
      <t>https://drive.google.com/file/d/1xg7xMaavWdiib7CVhRvGyH7Kk7KslU4z/view?usp=drive_link</t>
    </r>
  </si>
  <si>
    <t>กล่อง 4"x4"-เทาซาฮาร่า</t>
  </si>
  <si>
    <r>
      <rPr>
        <rFont val="Arial"/>
        <color rgb="FF1C4587"/>
        <u/>
      </rPr>
      <t>https://drive.google.com/file/d/1xg7xMaavWdiib7CVhRvGyH7Kk7KslU4z/view?usp=drive_link</t>
    </r>
  </si>
  <si>
    <t>กล่อง 4"x4"-Aztec gray</t>
  </si>
  <si>
    <r>
      <rPr>
        <rFont val="Arial"/>
        <color rgb="FF1C4587"/>
        <u/>
      </rPr>
      <t>https://drive.google.com/file/d/1xg7xMaavWdiib7CVhRvGyH7Kk7KslU4z/view?usp=drive_link</t>
    </r>
  </si>
  <si>
    <t>กล่อง 4"x4"-ลายไม้สักทอง</t>
  </si>
  <si>
    <r>
      <rPr>
        <rFont val="Arial"/>
        <color rgb="FF1C4587"/>
        <u/>
      </rPr>
      <t>https://drive.google.com/file/d/1xg7xMaavWdiib7CVhRvGyH7Kk7KslU4z/view?usp=drive_link</t>
    </r>
  </si>
  <si>
    <t>กล่อง 4"x4"-ไวท์โอ็ค</t>
  </si>
  <si>
    <r>
      <rPr>
        <rFont val="Arial"/>
        <color rgb="FF1C4587"/>
        <u/>
      </rPr>
      <t>https://drive.google.com/file/d/1xg7xMaavWdiib7CVhRvGyH7Kk7KslU4z/view?usp=drive_link</t>
    </r>
  </si>
  <si>
    <t>กล่อง 4"x4"-มะฮอกกานี</t>
  </si>
  <si>
    <r>
      <rPr>
        <rFont val="Arial"/>
        <color rgb="FF1C4587"/>
        <u/>
      </rPr>
      <t>https://drive.google.com/file/d/1xg7xMaavWdiib7CVhRvGyH7Kk7KslU4z/view?usp=drive_link</t>
    </r>
  </si>
  <si>
    <t>กล่อง 4"x4"-อื่นๆ</t>
  </si>
  <si>
    <r>
      <rPr>
        <rFont val="Arial"/>
        <color rgb="FF1C4587"/>
        <u/>
      </rPr>
      <t>https://drive.google.com/file/d/1xg7xMaavWdiib7CVhRvGyH7Kk7KslU4z/view?usp=drive_link</t>
    </r>
  </si>
  <si>
    <t>กล่อง 4"x6"-มิว</t>
  </si>
  <si>
    <t>กล่อง 4"x6"</t>
  </si>
  <si>
    <t>https://drive.google.com/file/d/19e2efLEL_uzsrVpFJuqAgfBIqCLH_9cS/view?usp=drive_link</t>
  </si>
  <si>
    <t>กล่อง 4"x6"-อบขาว</t>
  </si>
  <si>
    <t>กล่อง 4"x6"-ดำ</t>
  </si>
  <si>
    <t>กล่อง 4"x6"-เทาซาฮาร่า</t>
  </si>
  <si>
    <t>กล่อง 4"x6"-Aztec gray</t>
  </si>
  <si>
    <t>กล่อง 4"x6"-ลายไม้สักทอง</t>
  </si>
  <si>
    <t>กล่อง 4"x6"-ไวท์โอ็ค</t>
  </si>
  <si>
    <t>กล่อง 4"x6"-มะฮอกกานี</t>
  </si>
  <si>
    <t>กล่อง 4"x6"-อื่นๆ</t>
  </si>
  <si>
    <t>ฉาก 6 หุน-มิว</t>
  </si>
  <si>
    <t>ฉาก 6 หุน</t>
  </si>
  <si>
    <t>https://drive.google.com/file/d/1CVYhgsuwgHXAGiO57PN4bh-os6bFvZ9t/view?usp=drive_link</t>
  </si>
  <si>
    <t>ฉาก 6 หุน-อบขาว</t>
  </si>
  <si>
    <t>ฉาก 6 หุน-ดำ</t>
  </si>
  <si>
    <t>ฉาก 6 หุน-เทาซาฮาร่า</t>
  </si>
  <si>
    <t>ฉาก 6 หุน-Aztec gray</t>
  </si>
  <si>
    <t>ฉาก 6 หุน-ลายไม้สักทอง</t>
  </si>
  <si>
    <t>ฉาก 6 หุน-ไวท์โอ็ค</t>
  </si>
  <si>
    <t>ฉาก 6 หุน-มะฮอกกานี</t>
  </si>
  <si>
    <t>ฉาก 6 หุน-อื่นๆ</t>
  </si>
  <si>
    <t>ฉาก 4 หุน-มิว</t>
  </si>
  <si>
    <t>ฉาก 4 หุน</t>
  </si>
  <si>
    <t>ฉาก 4 หุน-อบขาว</t>
  </si>
  <si>
    <t>https://drive.google.com/file/d/1GSd9HHHZ50nPHKaRl_uk3LIdCGTsQEGw/view?usp=drive_link</t>
  </si>
  <si>
    <t>ฉาก 4 หุน-ดำ</t>
  </si>
  <si>
    <t>ฉาก 4 หุน-เทาซาฮาร่า</t>
  </si>
  <si>
    <t>ฉาก 4 หุน-Aztec gray</t>
  </si>
  <si>
    <t>ฉาก 4 หุน-ลายไม้สักทอง</t>
  </si>
  <si>
    <t>ฉาก 4 หุน-ไวท์โอ็ค</t>
  </si>
  <si>
    <t>ฉาก 4 หุน-มะฮอกกานี</t>
  </si>
  <si>
    <t>ฉาก 4 หุน-อื่นๆ</t>
  </si>
  <si>
    <t>ฉากเสริม-มิว</t>
  </si>
  <si>
    <t>ฉากเสริม</t>
  </si>
  <si>
    <t>https://drive.google.com/file/d/1jS2qSBUGA8i9oGsvhCuZ0DxwVh_W0Aws/view?usp=drive_link</t>
  </si>
  <si>
    <t>ฉากเสริม-อบขาว</t>
  </si>
  <si>
    <t>ฉากเสริม-ดำ</t>
  </si>
  <si>
    <t>ฉากเสริม-เทาซาฮาร่า</t>
  </si>
  <si>
    <t>ฉากเสริม-Aztec gray</t>
  </si>
  <si>
    <t>ฉากเสริม-ลายไม้สักทอง</t>
  </si>
  <si>
    <t>ฉากเสริม-ไวท์โอ็ค</t>
  </si>
  <si>
    <t>ฉากเสริม-มะฮอกกานี</t>
  </si>
  <si>
    <t>ฉากเสริม-อื่นๆ</t>
  </si>
  <si>
    <t>ฉาก 1"-มิว</t>
  </si>
  <si>
    <t>ฉาก 1"</t>
  </si>
  <si>
    <t>https://drive.google.com/file/d/1sMV9FhUcPluKIMC3JAC3ScB8N1dSBPwj/view?usp=drive_link</t>
  </si>
  <si>
    <t>ฉาก 1"-อบขาว</t>
  </si>
  <si>
    <t>ฉาก 1"-ดำ</t>
  </si>
  <si>
    <t>ฉาก 1"-เทาซาฮาร่า</t>
  </si>
  <si>
    <t>ฉาก 1"-Aztec gray</t>
  </si>
  <si>
    <t>ฉาก 1"-ลายไม้สักทอง</t>
  </si>
  <si>
    <t>ฉาก 1"-ไวท์โอ็ค</t>
  </si>
  <si>
    <t>ฉาก 1"-มะฮอกกานี</t>
  </si>
  <si>
    <t>ฉาก 1"-อื่นๆ</t>
  </si>
  <si>
    <t>ฉาก 2"-มิว</t>
  </si>
  <si>
    <t>ฉาก 2"</t>
  </si>
  <si>
    <t>https://drive.google.com/file/d/1btDPlWcnETnPBAT-iKelxP5vmT6rqZ52/view?usp=drive_link</t>
  </si>
  <si>
    <t>ฉาก 2"-อบขาว</t>
  </si>
  <si>
    <t>ฉาก 2"-ดำ</t>
  </si>
  <si>
    <t>ฉาก 2"-เทาซาฮาร่า</t>
  </si>
  <si>
    <t>ฉาก 2"-Aztec gray</t>
  </si>
  <si>
    <t>ฉาก 2"-ลายไม้สักทอง</t>
  </si>
  <si>
    <t>ฉาก 2"-ไวท์โอ็ค</t>
  </si>
  <si>
    <t>ฉาก 2"-มะฮอกกานี</t>
  </si>
  <si>
    <t>ฉาก 2"-อื่นๆ</t>
  </si>
  <si>
    <t>ฉาก 3"-มิว</t>
  </si>
  <si>
    <t>ฉาก 3"</t>
  </si>
  <si>
    <t>https://drive.google.com/file/d/1Cr33fsYDlAmeKSrq54IpEwE4cuUYXSN_/view?usp=drive_link</t>
  </si>
  <si>
    <t>ฉาก 3"-อบขาว</t>
  </si>
  <si>
    <t>ฉาก 3"-ดำ</t>
  </si>
  <si>
    <t>ฉาก 3"-เทาซาฮาร่า</t>
  </si>
  <si>
    <t>ฉาก 3"-Aztec gray</t>
  </si>
  <si>
    <t>ฉาก 3"-ลายไม้สักทอง</t>
  </si>
  <si>
    <t>ฉาก 3"-ไวท์โอ็ค</t>
  </si>
  <si>
    <t>ฉาก 3"-มะฮอกกานี</t>
  </si>
  <si>
    <t>ฉาก 3"-อื่นๆ</t>
  </si>
  <si>
    <t>ฉาก 4"-มิว</t>
  </si>
  <si>
    <t>ฉาก 4"</t>
  </si>
  <si>
    <t>ฉาก 4"-อบขาว</t>
  </si>
  <si>
    <t>ฉาก 4"-ดำ</t>
  </si>
  <si>
    <t>ฉาก 4"-เทาซาฮาร่า</t>
  </si>
  <si>
    <t>ฉาก 4"-Aztec gray</t>
  </si>
  <si>
    <t>ฉาก 4"-ลายไม้สักทอง</t>
  </si>
  <si>
    <t>ฉาก 4"-ไวท์โอ็ค</t>
  </si>
  <si>
    <t>ฉาก 4"-มะฮอกกานี</t>
  </si>
  <si>
    <t>ฉาก 4"-อื่นๆ</t>
  </si>
  <si>
    <t>ยู 4 หุน-มิว</t>
  </si>
  <si>
    <t>ยู 4 หุน</t>
  </si>
  <si>
    <t>ยู 4 หุน-อบขาว</t>
  </si>
  <si>
    <t>ยู 4 หุน-ดำ</t>
  </si>
  <si>
    <t>ยู 4 หุน-เทาซาฮาร่า</t>
  </si>
  <si>
    <t>ยู 4 หุน-Aztec gray</t>
  </si>
  <si>
    <t>ยู 4 หุน-ลายไม้สักทอง</t>
  </si>
  <si>
    <t>ยู 4 หุน-ไวท์โอ็ค</t>
  </si>
  <si>
    <t>ยู 4 หุน-มะฮอกกานี</t>
  </si>
  <si>
    <t>ยู 4 หุน-อื่นๆ</t>
  </si>
  <si>
    <t>ยู 6 หุน-มิว</t>
  </si>
  <si>
    <t>ยู 6 หุน</t>
  </si>
  <si>
    <t>ยู 6 หุน-อบขาว</t>
  </si>
  <si>
    <t>ยู 6 หุน-ดำ</t>
  </si>
  <si>
    <t>ยู 6 หุน-เทาซาฮาร่า</t>
  </si>
  <si>
    <t>ยู 6 หุน-Aztec gray</t>
  </si>
  <si>
    <t>ยู 6 หุน-ลายไม้สักทอง</t>
  </si>
  <si>
    <t>ยู 6 หุน-ไวท์โอ็ค</t>
  </si>
  <si>
    <t>ยู 6 หุน-มะฮอกกานี</t>
  </si>
  <si>
    <t>ยู 6 หุน-อื่นๆ</t>
  </si>
  <si>
    <t>กล่องเรียบ 4"x4"-มิว</t>
  </si>
  <si>
    <t>กล่องเรียบ 4"x4"</t>
  </si>
  <si>
    <t>https://drive.google.com/file/d/1cQNrquWk0qP_oK58sZYc2Iz1tYqubUto/view?usp=drive_link</t>
  </si>
  <si>
    <t>กล่องเรียบ 4"x4"-อบขาว</t>
  </si>
  <si>
    <t>กล่องเรียบ 4"x4"-ดำ</t>
  </si>
  <si>
    <t>กล่องเรียบ 4"x4"-เทาซาฮาร่า</t>
  </si>
  <si>
    <t>กล่องเรียบ 4"x4"-Aztec gray</t>
  </si>
  <si>
    <t>กล่องเรียบ 4"x4"-ลายไม้สักทอง</t>
  </si>
  <si>
    <t>กล่องเรียบ 4"x4"-ไวท์โอ็ค</t>
  </si>
  <si>
    <t>กล่องเรียบ 4"x4"-มะฮอกกานี</t>
  </si>
  <si>
    <t>กล่องเรียบ 4"x4"-อื่นๆ</t>
  </si>
  <si>
    <t>กล่องเรียบ 1.6"x4"-มิว</t>
  </si>
  <si>
    <t>กล่องเรียบ 1.6"x4"</t>
  </si>
  <si>
    <t>กล่องเรียบ 1.6"x4"-อบขาว</t>
  </si>
  <si>
    <t>กล่องเรียบ 1.6"x4"-ดำ</t>
  </si>
  <si>
    <t>กล่องเรียบ 1.6"x4"-เทาซาฮาร่า</t>
  </si>
  <si>
    <t>กล่องเรียบ 1.6"x4"-Aztec gray</t>
  </si>
  <si>
    <t>กล่องเรียบ 1.6"x4"-ลายไม้สักทอง</t>
  </si>
  <si>
    <t>กล่องเรียบ 1.6"x4"-ไวท์โอ็ค</t>
  </si>
  <si>
    <t>กล่องเรียบ 1.6"x4"-มะฮอกกานี</t>
  </si>
  <si>
    <t>กล่องเรียบ 1.6"x4"-อื่นๆ</t>
  </si>
  <si>
    <t>ลูกฟูกเรียบ 2 หน้า-มิว</t>
  </si>
  <si>
    <t>ลูกฟูกเรียบ 2 หน้า</t>
  </si>
  <si>
    <r>
      <rPr>
        <rFont val="Arial"/>
        <color rgb="FF1C4587"/>
        <u/>
      </rPr>
      <t>https://drive.google.com/file/d/1rUQRhEcDil6fsnsw5tpLFzFxQpekMFtQ/view?usp=drive_link</t>
    </r>
  </si>
  <si>
    <t>ลูกฟูกเรียบ 2 หน้า-อบขาว</t>
  </si>
  <si>
    <r>
      <rPr>
        <rFont val="Arial"/>
        <color rgb="FF1C4587"/>
        <u/>
      </rPr>
      <t>https://drive.google.com/file/d/1rUQRhEcDil6fsnsw5tpLFzFxQpekMFtQ/view?usp=drive_link</t>
    </r>
  </si>
  <si>
    <t>ลูกฟูกเรียบ 2 หน้า-ดำ</t>
  </si>
  <si>
    <r>
      <rPr>
        <rFont val="Arial"/>
        <color rgb="FF1C4587"/>
        <u/>
      </rPr>
      <t>https://drive.google.com/file/d/1rUQRhEcDil6fsnsw5tpLFzFxQpekMFtQ/view?usp=drive_link</t>
    </r>
  </si>
  <si>
    <t>ลูกฟูกเรียบ 2 หน้า-เทาซาฮาร่า</t>
  </si>
  <si>
    <r>
      <rPr>
        <rFont val="Arial"/>
        <color rgb="FF1C4587"/>
        <u/>
      </rPr>
      <t>https://drive.google.com/file/d/1rUQRhEcDil6fsnsw5tpLFzFxQpekMFtQ/view?usp=drive_link</t>
    </r>
  </si>
  <si>
    <t>ลูกฟูกเรียบ 2 หน้า-Aztec gray</t>
  </si>
  <si>
    <r>
      <rPr>
        <rFont val="Arial"/>
        <color rgb="FF1C4587"/>
        <u/>
      </rPr>
      <t>https://drive.google.com/file/d/1rUQRhEcDil6fsnsw5tpLFzFxQpekMFtQ/view?usp=drive_link</t>
    </r>
  </si>
  <si>
    <t>ลูกฟูกเรียบ 2 หน้า-ลายไม้สักทอง</t>
  </si>
  <si>
    <r>
      <rPr>
        <rFont val="Arial"/>
        <color rgb="FF1C4587"/>
        <u/>
      </rPr>
      <t>https://drive.google.com/file/d/1rUQRhEcDil6fsnsw5tpLFzFxQpekMFtQ/view?usp=drive_link</t>
    </r>
  </si>
  <si>
    <t>ลูกฟูกเรียบ 2 หน้า-ไวท์โอ็ค</t>
  </si>
  <si>
    <r>
      <rPr>
        <rFont val="Arial"/>
        <color rgb="FF1C4587"/>
        <u/>
      </rPr>
      <t>https://drive.google.com/file/d/1rUQRhEcDil6fsnsw5tpLFzFxQpekMFtQ/view?usp=drive_link</t>
    </r>
  </si>
  <si>
    <t>ลูกฟูกเรียบ 2 หน้า-มะฮอกกานี</t>
  </si>
  <si>
    <r>
      <rPr>
        <rFont val="Arial"/>
        <color rgb="FF1C4587"/>
        <u/>
      </rPr>
      <t>https://drive.google.com/file/d/1rUQRhEcDil6fsnsw5tpLFzFxQpekMFtQ/view?usp=drive_link</t>
    </r>
  </si>
  <si>
    <t>ลูกฟูกเรียบ 2 หน้า-อื่นๆ</t>
  </si>
  <si>
    <r>
      <rPr>
        <rFont val="Arial"/>
        <color rgb="FF1C4587"/>
        <u/>
      </rPr>
      <t>https://drive.google.com/file/d/1rUQRhEcDil6fsnsw5tpLFzFxQpekMFtQ/view?usp=drive_link</t>
    </r>
  </si>
  <si>
    <t>ลูกฟูกเรียบ 1 หน้า-มิว</t>
  </si>
  <si>
    <t>ลูกฟูกเรียบ 1 หน้า</t>
  </si>
  <si>
    <t>https://drive.google.com/file/d/1rUQRhEcDil6fsnsw5tpLFzFxQpekMFtQ/view?usp=drive_link</t>
  </si>
  <si>
    <t>ลูกฟูกเรียบ 1 หน้า-อบขาว</t>
  </si>
  <si>
    <t>ลูกฟูกเรียบ 1 หน้า-ดำ</t>
  </si>
  <si>
    <t>ลูกฟูกเรียบ 1 หน้า-เทาซาฮาร่า</t>
  </si>
  <si>
    <t>ลูกฟูกเรียบ 1 หน้า-Aztec gray</t>
  </si>
  <si>
    <t>ลูกฟูกเรียบ 1 หน้า-ลายไม้สักทอง</t>
  </si>
  <si>
    <t>ลูกฟูกเรียบ 1 หน้า-ไวท์โอ็ค</t>
  </si>
  <si>
    <t>ลูกฟูกเรียบ 1 หน้า-มะฮอกกานี</t>
  </si>
  <si>
    <t>ลูกฟูกเรียบ 1 หน้า-อื่นๆ</t>
  </si>
  <si>
    <t>Z 2"-มิว</t>
  </si>
  <si>
    <t>Z 2"</t>
  </si>
  <si>
    <t>https://drive.google.com/file/d/1qP4J35MAAIkXUipkGPbjr3UeC1VVZuPg/view?usp=drive_link</t>
  </si>
  <si>
    <t>Z 2"-อบขาว</t>
  </si>
  <si>
    <t>Z 2"-ดำ</t>
  </si>
  <si>
    <t>Z 2"-เทาซาฮาร่า</t>
  </si>
  <si>
    <t>Z 2"-Aztec gray</t>
  </si>
  <si>
    <t>Z 2"-ลายไม้สักทอง</t>
  </si>
  <si>
    <t>Z 2"-ไวท์โอ็ค</t>
  </si>
  <si>
    <t>Z 2"-มะฮอกกานี</t>
  </si>
  <si>
    <t>Z 2"-อื่นๆ</t>
  </si>
  <si>
    <t>Z 4"-มิว</t>
  </si>
  <si>
    <t>Z 4"</t>
  </si>
  <si>
    <r>
      <rPr>
        <rFont val="Arial"/>
        <color rgb="FF1C4587"/>
        <u/>
      </rPr>
      <t>https://drive.google.com/file/d/1Z0_h4qTGJiYNPP8nVh8BjmRDEivWfQTJ/view?usp=drive_link</t>
    </r>
  </si>
  <si>
    <t>Z 4"-อบขาว</t>
  </si>
  <si>
    <r>
      <rPr>
        <rFont val="Arial"/>
        <color rgb="FF1C4587"/>
        <u/>
      </rPr>
      <t>https://drive.google.com/file/d/1Z0_h4qTGJiYNPP8nVh8BjmRDEivWfQTJ/view?usp=drive_link</t>
    </r>
  </si>
  <si>
    <t>Z 4"-ดำ</t>
  </si>
  <si>
    <r>
      <rPr>
        <rFont val="Arial"/>
        <color rgb="FF1C4587"/>
        <u/>
      </rPr>
      <t>https://drive.google.com/file/d/1Z0_h4qTGJiYNPP8nVh8BjmRDEivWfQTJ/view?usp=drive_link</t>
    </r>
  </si>
  <si>
    <t>Z 4"-เทาซาฮาร่า</t>
  </si>
  <si>
    <r>
      <rPr>
        <rFont val="Arial"/>
        <color rgb="FF1C4587"/>
        <u/>
      </rPr>
      <t>https://drive.google.com/file/d/1Z0_h4qTGJiYNPP8nVh8BjmRDEivWfQTJ/view?usp=drive_link</t>
    </r>
  </si>
  <si>
    <t>Z 4"-Aztec gray</t>
  </si>
  <si>
    <r>
      <rPr>
        <rFont val="Arial"/>
        <color rgb="FF1C4587"/>
        <u/>
      </rPr>
      <t>https://drive.google.com/file/d/1Z0_h4qTGJiYNPP8nVh8BjmRDEivWfQTJ/view?usp=drive_link</t>
    </r>
  </si>
  <si>
    <t>Z 4"-ลายไม้สักทอง</t>
  </si>
  <si>
    <r>
      <rPr>
        <rFont val="Arial"/>
        <color rgb="FF1C4587"/>
        <u/>
      </rPr>
      <t>https://drive.google.com/file/d/1Z0_h4qTGJiYNPP8nVh8BjmRDEivWfQTJ/view?usp=drive_link</t>
    </r>
  </si>
  <si>
    <t>Z 4"-ไวท์โอ็ค</t>
  </si>
  <si>
    <r>
      <rPr>
        <rFont val="Arial"/>
        <color rgb="FF1C4587"/>
        <u/>
      </rPr>
      <t>https://drive.google.com/file/d/1Z0_h4qTGJiYNPP8nVh8BjmRDEivWfQTJ/view?usp=drive_link</t>
    </r>
  </si>
  <si>
    <t>Z 4"-มะฮอกกานี</t>
  </si>
  <si>
    <r>
      <rPr>
        <rFont val="Arial"/>
        <color rgb="FF1C4587"/>
        <u/>
      </rPr>
      <t>https://drive.google.com/file/d/1Z0_h4qTGJiYNPP8nVh8BjmRDEivWfQTJ/view?usp=drive_link</t>
    </r>
  </si>
  <si>
    <t>Z 4"-อื่นๆ</t>
  </si>
  <si>
    <r>
      <rPr>
        <rFont val="Arial"/>
        <color rgb="FF1C4587"/>
        <u/>
      </rPr>
      <t>https://drive.google.com/file/d/1Z0_h4qTGJiYNPP8nVh8BjmRDEivWfQTJ/view?usp=drive_link</t>
    </r>
  </si>
  <si>
    <t>9014 ตัวตบเคอเทนวอล-มิว</t>
  </si>
  <si>
    <t>9014 ตัวตบเคอเทนวอล</t>
  </si>
  <si>
    <t>https://drive.google.com/file/d/1SgWDhT73M8XN2NqgxFOET-17WluBCcbt/view?usp=drive_link</t>
  </si>
  <si>
    <t>9014 ตัวตบเคอเทนวอล-อบขาว</t>
  </si>
  <si>
    <t>9014 ตัวตบเคอเทนวอล-ดำ</t>
  </si>
  <si>
    <t>9014 ตัวตบเคอเทนวอล-เทาซาฮาร่า</t>
  </si>
  <si>
    <t>9014 ตัวตบเคอเทนวอล-ลายไม้สักทอง</t>
  </si>
  <si>
    <t>9014 ตัวตบเคอเทนวอล-อื่นๆ</t>
  </si>
  <si>
    <t>9015 ตัวเดินเคอเทนวอล-มิว</t>
  </si>
  <si>
    <t>9015 ตัวเดินเคอเทนวอล</t>
  </si>
  <si>
    <t>คิ้วลอยเทเหลี่ยม ตัวเดิน-มิว</t>
  </si>
  <si>
    <t>คิ้วลอยเทเหลี่ยม ตัวเดิน</t>
  </si>
  <si>
    <r>
      <rPr>
        <rFont val="Arial"/>
        <color rgb="FF1C4587"/>
        <u/>
      </rPr>
      <t>https://drive.google.com/file/d/1DcyFMlcb0tmgqT4lUNxqkdM-SJNDpAko/view?usp=drive_link</t>
    </r>
  </si>
  <si>
    <t>คิ้วลอยเทเหลี่ยม ตัวเดิน-อบขาว</t>
  </si>
  <si>
    <r>
      <rPr>
        <rFont val="Arial"/>
        <color rgb="FF1C4587"/>
        <u/>
      </rPr>
      <t>https://drive.google.com/file/d/1DcyFMlcb0tmgqT4lUNxqkdM-SJNDpAko/view?usp=drive_link</t>
    </r>
  </si>
  <si>
    <t>คิ้วลอยเทเหลี่ยม ตัวเดิน-ดำ</t>
  </si>
  <si>
    <r>
      <rPr>
        <rFont val="Arial"/>
        <color rgb="FF1C4587"/>
        <u/>
      </rPr>
      <t>https://drive.google.com/file/d/1DcyFMlcb0tmgqT4lUNxqkdM-SJNDpAko/view?usp=drive_link</t>
    </r>
  </si>
  <si>
    <t>คิ้วลอยเทเหลี่ยม ตัวเดิน-เทาซาฮาร่า</t>
  </si>
  <si>
    <r>
      <rPr>
        <rFont val="Arial"/>
        <color rgb="FF1C4587"/>
        <u/>
      </rPr>
      <t>https://drive.google.com/file/d/1DcyFMlcb0tmgqT4lUNxqkdM-SJNDpAko/view?usp=drive_link</t>
    </r>
  </si>
  <si>
    <t>คิ้วลอยเทเหลี่ยม ตัวเดิน-ลายไม้สักทอง</t>
  </si>
  <si>
    <r>
      <rPr>
        <rFont val="Arial"/>
        <color rgb="FF1C4587"/>
        <u/>
      </rPr>
      <t>https://drive.google.com/file/d/1DcyFMlcb0tmgqT4lUNxqkdM-SJNDpAko/view?usp=drive_link</t>
    </r>
  </si>
  <si>
    <t>คิ้วลอยเทเหลี่ยม ตัวเดิน-อื่นๆ</t>
  </si>
  <si>
    <r>
      <rPr>
        <rFont val="Arial"/>
        <color rgb="FF1C4587"/>
        <u/>
      </rPr>
      <t>https://drive.google.com/file/d/1DcyFMlcb0tmgqT4lUNxqkdM-SJNDpAko/view?usp=drive_link</t>
    </r>
  </si>
  <si>
    <t>คิ้วลอยเทเหลี่ยม ตัวตบ-มิว</t>
  </si>
  <si>
    <t>คิ้วลอยเทเหลี่ยม ตัวตบ</t>
  </si>
  <si>
    <r>
      <rPr>
        <rFont val="Arial"/>
        <color rgb="FF1C4587"/>
        <u/>
      </rPr>
      <t>https://drive.google.com/file/d/15YRZSsZeXuG2VifJ6pp8G-s2_Inq5g0D/view?usp=drive_link</t>
    </r>
  </si>
  <si>
    <t>คิ้วลอยเทเหลี่ยม ตัวตบ-อบขาว</t>
  </si>
  <si>
    <r>
      <rPr>
        <rFont val="Arial"/>
        <color rgb="FF1C4587"/>
        <u/>
      </rPr>
      <t>https://drive.google.com/file/d/15YRZSsZeXuG2VifJ6pp8G-s2_Inq5g0D/view?usp=drive_link</t>
    </r>
  </si>
  <si>
    <t>คิ้วลอยเทเหลี่ยม ตัวตบ-ดำ</t>
  </si>
  <si>
    <r>
      <rPr>
        <rFont val="Arial"/>
        <color rgb="FF1C4587"/>
        <u/>
      </rPr>
      <t>https://drive.google.com/file/d/15YRZSsZeXuG2VifJ6pp8G-s2_Inq5g0D/view?usp=drive_link</t>
    </r>
  </si>
  <si>
    <t>คิ้วลอยเทเหลี่ยม ตัวตบ-เทาซาฮาร่า</t>
  </si>
  <si>
    <r>
      <rPr>
        <rFont val="Arial"/>
        <color rgb="FF1C4587"/>
        <u/>
      </rPr>
      <t>https://drive.google.com/file/d/15YRZSsZeXuG2VifJ6pp8G-s2_Inq5g0D/view?usp=drive_link</t>
    </r>
  </si>
  <si>
    <t>คิ้วลอยเทเหลี่ยม ตัวตบ-ลายไม้สักทอง</t>
  </si>
  <si>
    <r>
      <rPr>
        <rFont val="Arial"/>
        <color rgb="FF1C4587"/>
        <u/>
      </rPr>
      <t>https://drive.google.com/file/d/15YRZSsZeXuG2VifJ6pp8G-s2_Inq5g0D/view?usp=drive_link</t>
    </r>
  </si>
  <si>
    <t>คิ้วลอยเทเหลี่ยม ตัวตบ-อื่นๆ</t>
  </si>
  <si>
    <r>
      <rPr>
        <rFont val="Arial"/>
        <color rgb="FF1C4587"/>
        <u/>
      </rPr>
      <t>https://drive.google.com/file/d/15YRZSsZeXuG2VifJ6pp8G-s2_Inq5g0D/view?usp=drive_link</t>
    </r>
  </si>
  <si>
    <t>กล่องแจ๊คสัน-มิว</t>
  </si>
  <si>
    <t>กล่องแจ๊คสัน</t>
  </si>
  <si>
    <r>
      <rPr>
        <rFont val="Arial"/>
        <color rgb="FF1C4587"/>
        <u/>
      </rPr>
      <t>https://drive.google.com/file/d/1gm5CDjxsWAPyRAlcjq_HAaVzszfhd7Y8/view?usp=drive_link</t>
    </r>
  </si>
  <si>
    <t>กล่องแจ๊คสัน-อบขาว</t>
  </si>
  <si>
    <r>
      <rPr>
        <rFont val="Arial"/>
        <color rgb="FF1C4587"/>
        <u/>
      </rPr>
      <t>https://drive.google.com/file/d/1gm5CDjxsWAPyRAlcjq_HAaVzszfhd7Y8/view?usp=drive_link</t>
    </r>
  </si>
  <si>
    <t>กล่องแจ๊คสัน-ดำ</t>
  </si>
  <si>
    <r>
      <rPr>
        <rFont val="Arial"/>
        <color rgb="FF1C4587"/>
        <u/>
      </rPr>
      <t>https://drive.google.com/file/d/1gm5CDjxsWAPyRAlcjq_HAaVzszfhd7Y8/view?usp=drive_link</t>
    </r>
  </si>
  <si>
    <t>กล่องแจ๊คสัน-เทาซาฮาร่า</t>
  </si>
  <si>
    <r>
      <rPr>
        <rFont val="Arial"/>
        <color rgb="FF1C4587"/>
        <u/>
      </rPr>
      <t>https://drive.google.com/file/d/1gm5CDjxsWAPyRAlcjq_HAaVzszfhd7Y8/view?usp=drive_link</t>
    </r>
  </si>
  <si>
    <t>กล่องแจ๊คสัน-ลายไม้สักทอง</t>
  </si>
  <si>
    <r>
      <rPr>
        <rFont val="Arial"/>
        <color rgb="FF1C4587"/>
        <u/>
      </rPr>
      <t>https://drive.google.com/file/d/1gm5CDjxsWAPyRAlcjq_HAaVzszfhd7Y8/view?usp=drive_link</t>
    </r>
  </si>
  <si>
    <t>กล่องแจ๊คสัน-อื่นๆ</t>
  </si>
  <si>
    <r>
      <rPr>
        <rFont val="Arial"/>
        <color rgb="FF1C4587"/>
        <u/>
      </rPr>
      <t>https://drive.google.com/file/d/1gm5CDjxsWAPyRAlcjq_HAaVzszfhd7Y8/view?usp=drive_link</t>
    </r>
  </si>
  <si>
    <t>กล่องเรียบ-มิว</t>
  </si>
  <si>
    <t>กล่องเรียบ</t>
  </si>
  <si>
    <r>
      <rPr>
        <rFont val="Arial"/>
        <color rgb="FF1C4587"/>
        <u/>
      </rPr>
      <t>https://drive.google.com/file/d/1cQNrquWk0qP_oK58sZYc2Iz1tYqubUto/view?usp=drive_link</t>
    </r>
  </si>
  <si>
    <t>กล่องเรียบ-อบขาว</t>
  </si>
  <si>
    <r>
      <rPr>
        <rFont val="Arial"/>
        <color rgb="FF1C4587"/>
        <u/>
      </rPr>
      <t>https://drive.google.com/file/d/1cQNrquWk0qP_oK58sZYc2Iz1tYqubUto/view?usp=drive_link</t>
    </r>
  </si>
  <si>
    <t>กล่องเรียบ-ดำ</t>
  </si>
  <si>
    <r>
      <rPr>
        <rFont val="Arial"/>
        <color rgb="FF1C4587"/>
        <u/>
      </rPr>
      <t>https://drive.google.com/file/d/1cQNrquWk0qP_oK58sZYc2Iz1tYqubUto/view?usp=drive_link</t>
    </r>
  </si>
  <si>
    <t>กล่องเรียบ-เทาซาฮาร่า</t>
  </si>
  <si>
    <r>
      <rPr>
        <rFont val="Arial"/>
        <color rgb="FF1C4587"/>
        <u/>
      </rPr>
      <t>https://drive.google.com/file/d/1cQNrquWk0qP_oK58sZYc2Iz1tYqubUto/view?usp=drive_link</t>
    </r>
  </si>
  <si>
    <t>กล่องเรียบ-ลายไม้สักทอง</t>
  </si>
  <si>
    <r>
      <rPr>
        <rFont val="Arial"/>
        <color rgb="FF1C4587"/>
        <u/>
      </rPr>
      <t>https://drive.google.com/file/d/1cQNrquWk0qP_oK58sZYc2Iz1tYqubUto/view?usp=drive_link</t>
    </r>
  </si>
  <si>
    <t>กล่องเรียบ-อื่นๆ</t>
  </si>
  <si>
    <r>
      <rPr>
        <rFont val="Arial"/>
        <color rgb="FF1C4587"/>
        <u/>
      </rPr>
      <t>https://drive.google.com/file/d/1cQNrquWk0qP_oK58sZYc2Iz1tYqubUto/view?usp=drive_link</t>
    </r>
  </si>
  <si>
    <t>ตบเรียบ-มิว</t>
  </si>
  <si>
    <t>ตบเรียบ</t>
  </si>
  <si>
    <r>
      <rPr>
        <rFont val="Arial"/>
        <color rgb="FF1C4587"/>
        <u/>
      </rPr>
      <t>https://drive.google.com/file/d/1EMx5q8Da2zsQKp-tBKd8nZJ-A3s4qNuA/view?usp=drive_link</t>
    </r>
  </si>
  <si>
    <t>ตบเรียบ-อบขาว</t>
  </si>
  <si>
    <r>
      <rPr>
        <rFont val="Arial"/>
        <color rgb="FF1C4587"/>
        <u/>
      </rPr>
      <t>https://drive.google.com/file/d/1EMx5q8Da2zsQKp-tBKd8nZJ-A3s4qNuA/view?usp=drive_link</t>
    </r>
  </si>
  <si>
    <t>ตบเรียบ-ดำ</t>
  </si>
  <si>
    <r>
      <rPr>
        <rFont val="Arial"/>
        <color rgb="FF1C4587"/>
        <u/>
      </rPr>
      <t>https://drive.google.com/file/d/1EMx5q8Da2zsQKp-tBKd8nZJ-A3s4qNuA/view?usp=drive_link</t>
    </r>
  </si>
  <si>
    <t>ตบเรียบ-เทาซาฮาร่า</t>
  </si>
  <si>
    <r>
      <rPr>
        <rFont val="Arial"/>
        <color rgb="FF1C4587"/>
        <u/>
      </rPr>
      <t>https://drive.google.com/file/d/1EMx5q8Da2zsQKp-tBKd8nZJ-A3s4qNuA/view?usp=drive_link</t>
    </r>
  </si>
  <si>
    <t>ตบเรียบ-ลายไม้สักทอง</t>
  </si>
  <si>
    <r>
      <rPr>
        <rFont val="Arial"/>
        <color rgb="FF1C4587"/>
        <u/>
      </rPr>
      <t>https://drive.google.com/file/d/1EMx5q8Da2zsQKp-tBKd8nZJ-A3s4qNuA/view?usp=drive_link</t>
    </r>
  </si>
  <si>
    <t>ตบเรียบ-อื่นๆ</t>
  </si>
  <si>
    <r>
      <rPr>
        <rFont val="Arial"/>
        <color rgb="FF1C4587"/>
        <u/>
      </rPr>
      <t>https://drive.google.com/file/d/1EMx5q8Da2zsQKp-tBKd8nZJ-A3s4qNuA/view?usp=drive_link</t>
    </r>
  </si>
  <si>
    <t>กล่องเปิดปิด-มิว</t>
  </si>
  <si>
    <t>กล่องเปิดปิด</t>
  </si>
  <si>
    <r>
      <rPr>
        <rFont val="Arial"/>
        <color rgb="FF1C4587"/>
        <u/>
      </rPr>
      <t>https://drive.google.com/file/d/10lpoL2b4yCiwYzSQJBTYSk1w6BkJLPbA/view?usp=drive_link</t>
    </r>
  </si>
  <si>
    <t>กล่องเปิดปิด-อบขาว</t>
  </si>
  <si>
    <t>https://drive.google.com/file/d/10lpoL2b4yCiwYzSQJBTYSk1w6BkJLPbA/view?usp=drive_link</t>
  </si>
  <si>
    <t>กล่องเปิดปิด-ดำ</t>
  </si>
  <si>
    <t>กล่องเปิดปิด-เทาซาฮาร่า</t>
  </si>
  <si>
    <t>กล่องเปิดปิด-ลายไม้สักทอง</t>
  </si>
  <si>
    <t>กล่องเปิดปิด-อื่นๆ</t>
  </si>
  <si>
    <t>กล่องเปิดปิด ตัวตบ-มิว</t>
  </si>
  <si>
    <t>กล่องเปิดปิด ตัวตบ</t>
  </si>
  <si>
    <t>https://drive.google.com/file/d/19_xWdYhB8TC7UAqXZpP-W6D8JI0xpqMT/view?usp=drive_link</t>
  </si>
  <si>
    <t>กล่องเปิดปิด ตัวตบ-อบขาว</t>
  </si>
  <si>
    <t>กล่องเปิดปิด ตัวตบ-ดำ</t>
  </si>
  <si>
    <t>กล่องเปิดปิด ตัวตบ-เทาซาฮาร่า</t>
  </si>
  <si>
    <t>กล่องเปิดปิด ตัวตบ-ลายไม้สักทอง</t>
  </si>
  <si>
    <t>กล่องเปิดปิด ตัวตบ-อื่นๆ</t>
  </si>
  <si>
    <t>ต่อกลางบานเลื่อน-มิว</t>
  </si>
  <si>
    <t>ต่อกลางบานเลื่อน</t>
  </si>
  <si>
    <r>
      <rPr>
        <rFont val="Arial"/>
        <color rgb="FF1C4587"/>
        <u/>
      </rPr>
      <t>https://drive.google.com/file/d/1SwJkoZ0BFGLz5HdkagL_DO2A5Ekwlxsw/view?usp=drive_link</t>
    </r>
  </si>
  <si>
    <t>ต่อกลางบานเลื่อน-อบขาว</t>
  </si>
  <si>
    <r>
      <rPr>
        <rFont val="Arial"/>
        <color rgb="FF1C4587"/>
        <u/>
      </rPr>
      <t>https://drive.google.com/file/d/1SwJkoZ0BFGLz5HdkagL_DO2A5Ekwlxsw/view?usp=drive_link</t>
    </r>
  </si>
  <si>
    <t>ต่อกลางบานเลื่อน-ดำ</t>
  </si>
  <si>
    <r>
      <rPr>
        <rFont val="Arial"/>
        <color rgb="FF1C4587"/>
        <u/>
      </rPr>
      <t>https://drive.google.com/file/d/1SwJkoZ0BFGLz5HdkagL_DO2A5Ekwlxsw/view?usp=drive_link</t>
    </r>
  </si>
  <si>
    <t>ต่อกลางบานเลื่อน-เทาซาฮาร่า</t>
  </si>
  <si>
    <r>
      <rPr>
        <rFont val="Arial"/>
        <color rgb="FF1C4587"/>
        <u/>
      </rPr>
      <t>https://drive.google.com/file/d/1SwJkoZ0BFGLz5HdkagL_DO2A5Ekwlxsw/view?usp=drive_link</t>
    </r>
  </si>
  <si>
    <t>ต่อกลางบานเลื่อน-ลายไม้สักทอง</t>
  </si>
  <si>
    <r>
      <rPr>
        <rFont val="Arial"/>
        <color rgb="FF1C4587"/>
        <u/>
      </rPr>
      <t>https://drive.google.com/file/d/1SwJkoZ0BFGLz5HdkagL_DO2A5Ekwlxsw/view?usp=drive_link</t>
    </r>
  </si>
  <si>
    <t>ต่อกลางบานเลื่อน-อื่นๆ</t>
  </si>
  <si>
    <r>
      <rPr>
        <rFont val="Arial"/>
        <color rgb="FF1C4587"/>
        <u/>
      </rPr>
      <t>https://drive.google.com/file/d/1SwJkoZ0BFGLz5HdkagL_DO2A5Ekwlxsw/view?usp=drive_link</t>
    </r>
  </si>
  <si>
    <t>ตบร่อง-มิว</t>
  </si>
  <si>
    <t>ตบร่อง</t>
  </si>
  <si>
    <r>
      <rPr>
        <rFont val="Arial"/>
        <color rgb="FF1C4587"/>
        <u/>
      </rPr>
      <t>https://drive.google.com/file/d/1urgsHu9SNNs6FdGUdl-ILoOYhCE4Wfdk/view?usp=drive_link</t>
    </r>
  </si>
  <si>
    <t>ตบร่อง-อบขาว</t>
  </si>
  <si>
    <r>
      <rPr>
        <rFont val="Arial"/>
        <color rgb="FF1C4587"/>
        <u/>
      </rPr>
      <t>https://drive.google.com/file/d/1urgsHu9SNNs6FdGUdl-ILoOYhCE4Wfdk/view?usp=drive_link</t>
    </r>
  </si>
  <si>
    <t>ตบร่อง-ดำ</t>
  </si>
  <si>
    <r>
      <rPr>
        <rFont val="Arial"/>
        <color rgb="FF1C4587"/>
        <u/>
      </rPr>
      <t>https://drive.google.com/file/d/1urgsHu9SNNs6FdGUdl-ILoOYhCE4Wfdk/view?usp=drive_link</t>
    </r>
  </si>
  <si>
    <t>ตบร่อง-เทาซาฮาร่า</t>
  </si>
  <si>
    <r>
      <rPr>
        <rFont val="Arial"/>
        <color rgb="FF1C4587"/>
        <u/>
      </rPr>
      <t>https://drive.google.com/file/d/1urgsHu9SNNs6FdGUdl-ILoOYhCE4Wfdk/view?usp=drive_link</t>
    </r>
  </si>
  <si>
    <t>ตบร่อง-ลายไม้สักทอง</t>
  </si>
  <si>
    <r>
      <rPr>
        <rFont val="Arial"/>
        <color rgb="FF1C4587"/>
        <u/>
      </rPr>
      <t>https://drive.google.com/file/d/1urgsHu9SNNs6FdGUdl-ILoOYhCE4Wfdk/view?usp=drive_link</t>
    </r>
  </si>
  <si>
    <t>ตบร่อง-อื่นๆ</t>
  </si>
  <si>
    <r>
      <rPr>
        <rFont val="Arial"/>
        <color rgb="FF1C4587"/>
        <u/>
      </rPr>
      <t>https://drive.google.com/file/d/1urgsHu9SNNs6FdGUdl-ILoOYhCE4Wfdk/view?usp=drive_link</t>
    </r>
  </si>
  <si>
    <t>OPK-A201-40-ขวางบนล่าง-มิว</t>
  </si>
  <si>
    <t>อลูมิเนียมเฟรมสลิม</t>
  </si>
  <si>
    <t>OPK-A201-40</t>
  </si>
  <si>
    <t>ขวางบนล่าง</t>
  </si>
  <si>
    <t>https://drive.google.com/file/d/1UBM6Wj4wpiJpolLcwX9g8xMp9b1zBgwl/view?usp=drive_link</t>
  </si>
  <si>
    <t>OPK-A201-40-ขวางบนล่าง-อบขาว</t>
  </si>
  <si>
    <t>OPK-A201-40-ขวางบนล่าง-ดำ</t>
  </si>
  <si>
    <t>OPK-A201-40-ขวางบนล่าง-เทาซาฮาร่า</t>
  </si>
  <si>
    <t>OPK-A202-40-ไส้เสาบาน-มิว</t>
  </si>
  <si>
    <t>OPK-A202-40</t>
  </si>
  <si>
    <t>ไส้เสาบาน</t>
  </si>
  <si>
    <t>https://drive.google.com/file/d/1WhenN847mZTlFifNVWqEG7SP_bkJK5oj/view?usp=drive_link</t>
  </si>
  <si>
    <t>OPK-A202-40-ไส้เสาบาน-อบขาว</t>
  </si>
  <si>
    <t>OPK-A202-40-ไส้เสาบาน-ดำ</t>
  </si>
  <si>
    <t>OPK-A202-40-ไส้เสาบาน-เทาซาฮาร่า</t>
  </si>
  <si>
    <t>OPK-A203-40-ตบเรียบ-มิว</t>
  </si>
  <si>
    <t>OPK-A203-40</t>
  </si>
  <si>
    <r>
      <rPr>
        <rFont val="Arial"/>
        <color rgb="FF1C4587"/>
        <u/>
      </rPr>
      <t>https://drive.google.com/file/d/1EMx5q8Da2zsQKp-tBKd8nZJ-A3s4qNuA/view?usp=drive_link</t>
    </r>
  </si>
  <si>
    <t>OPK-A203-40-ตบเรียบ-อบขาว</t>
  </si>
  <si>
    <r>
      <rPr>
        <rFont val="Arial"/>
        <color rgb="FF1C4587"/>
        <u/>
      </rPr>
      <t>https://drive.google.com/file/d/1EMx5q8Da2zsQKp-tBKd8nZJ-A3s4qNuA/view?usp=drive_link</t>
    </r>
  </si>
  <si>
    <t>OPK-A203-40-ตบเรียบ-ดำ</t>
  </si>
  <si>
    <r>
      <rPr>
        <rFont val="Arial"/>
        <color rgb="FF1C4587"/>
        <u/>
      </rPr>
      <t>https://drive.google.com/file/d/1EMx5q8Da2zsQKp-tBKd8nZJ-A3s4qNuA/view?usp=drive_link</t>
    </r>
  </si>
  <si>
    <t>OPK-A203-40-ตบเรียบ-เทาซาฮาร่า</t>
  </si>
  <si>
    <r>
      <rPr>
        <rFont val="Arial"/>
        <color rgb="FF1C4587"/>
        <u/>
      </rPr>
      <t>https://drive.google.com/file/d/1EMx5q8Da2zsQKp-tBKd8nZJ-A3s4qNuA/view?usp=drive_link</t>
    </r>
  </si>
  <si>
    <t>OPK-A204-40-ตบเกี่ยว-มิว</t>
  </si>
  <si>
    <t>OPK-A204-40</t>
  </si>
  <si>
    <t>ตบเกี่ยว</t>
  </si>
  <si>
    <t>https://drive.google.com/file/d/15XYBPOeLDjEy8PDCxy7GqO_T8Q3x5Xtj/view?usp=drive_link</t>
  </si>
  <si>
    <t>OPK-A204-40-ตบเกี่ยว-อบขาว</t>
  </si>
  <si>
    <t>OPK-A204-40-ตบเกี่ยว-ดำ</t>
  </si>
  <si>
    <t>OPK-A204-40-ตบเกี่ยว-เทาซาฮาร่า</t>
  </si>
  <si>
    <t>XSW40008-รางแขวน 1 ราง-มิว</t>
  </si>
  <si>
    <t>XSW40008</t>
  </si>
  <si>
    <t>รางแขวน 1 ราง</t>
  </si>
  <si>
    <t>https://drive.google.com/file/d/1ngPKdyIXP5_3B0nlTv0sNO2QpyAnykAf/view?usp=drive_link</t>
  </si>
  <si>
    <t>XSW40008-รางแขวน 1 ราง-อบขาว</t>
  </si>
  <si>
    <t>XSW40008-รางแขวน 1 ราง-ดำ</t>
  </si>
  <si>
    <t>XSW40008-รางแขวน 1 ราง-เทาซาฮาร่า</t>
  </si>
  <si>
    <t>XSW400013-ฝากปิดล่าง เล็ก-มิว</t>
  </si>
  <si>
    <t>XSW400013</t>
  </si>
  <si>
    <t>ฝากปิดล่าง เล็ก</t>
  </si>
  <si>
    <t>https://drive.google.com/file/d/17dPPcxLhaoOTXVBauuLizSdgxv0kryUX/view?usp=drive_link</t>
  </si>
  <si>
    <t>XSW400013-ฝากปิดล่าง เล็ก-อบขาว</t>
  </si>
  <si>
    <t>XSW400013-ฝากปิดล่าง เล็ก-ดำ</t>
  </si>
  <si>
    <t>XSW400013-ฝากปิดล่าง เล็ก-เทาซาฮาร่า</t>
  </si>
  <si>
    <t>XSW400023-ฝากปิดล่าง ใหญ่-มิว</t>
  </si>
  <si>
    <t>XSW400023</t>
  </si>
  <si>
    <t>ฝากปิดล่าง ใหญ่</t>
  </si>
  <si>
    <t>https://drive.google.com/file/d/1gpQ_ptxtJGbsB14VLeQuBwbr5qK7h9eM/view?usp=drive_link</t>
  </si>
  <si>
    <t>XSW400023-ฝากปิดล่าง ใหญ่-อบขาว</t>
  </si>
  <si>
    <t>XSW400023-ฝากปิดล่าง ใหญ่-ดำ</t>
  </si>
  <si>
    <t>XSW400023-ฝากปิดล่าง ใหญ่-เทาซาฮาร่า</t>
  </si>
  <si>
    <t>ตัวตบหลังเต่า</t>
  </si>
  <si>
    <t>https://drive.google.com/file/d/14YoUuP9iQNtxRj2fVuhK4sc2KujDf-3T/view?usp=drive_link</t>
  </si>
  <si>
    <t>ตัวตบหลังเต่า-อบขาว</t>
  </si>
  <si>
    <t>ตัวตบหลังเต่า-ดำ</t>
  </si>
  <si>
    <t>ตัวตบหลังเต่า-เทาซาฮาร่า</t>
  </si>
  <si>
    <t>ตัวตบหลังเต่า-Aztec gray</t>
  </si>
  <si>
    <t>ตัวเดินหลังเต่าหลังคา-อบขาว</t>
  </si>
  <si>
    <t>ตัวเดินหลังเต่าหลังคา</t>
  </si>
  <si>
    <t>https://drive.google.com/file/d/1COsFZDP9fptiWLvKn9aNQEkLuXWtE5hZ/view?usp=drive_link</t>
  </si>
  <si>
    <t>ตัวเดินหลังเต่าหลังคา-ดำ</t>
  </si>
  <si>
    <t>ตัวตบหลังเต่าหลังคา-อบขาว</t>
  </si>
  <si>
    <t>ตัวตบหลังเต่าหลังคา</t>
  </si>
  <si>
    <t>ตัวตบหลังเต่าหลังคา-ดำ</t>
  </si>
  <si>
    <t>ชื่องาน (ลูกค้า)</t>
  </si>
  <si>
    <t>คุณแมว</t>
  </si>
  <si>
    <t>มูลค่ารวม</t>
  </si>
  <si>
    <t>ผลรวม</t>
  </si>
  <si>
    <t>ชื่อรายการ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</si>
</sst>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d/m"/>
    <numFmt numFmtId="166" formatCode="d-m"/>
  </numFmts>
  <fonts count="45">
    <font>
      <sz val="10.0"/>
      <color rgb="FF000000"/>
      <name val="Arial"/>
      <scheme val="minor"/>
    </font>
    <font>
      <b/>
      <sz val="12.0"/>
      <color theme="1"/>
      <name val="Sarabun"/>
    </font>
    <font>
      <color theme="1"/>
      <name val="Sarabun"/>
    </font>
    <font>
      <u/>
      <color theme="1"/>
      <name val="Sarabun"/>
    </font>
    <font>
      <color rgb="FF000000"/>
      <name val="Sarabun"/>
    </font>
    <font>
      <u/>
      <color rgb="FF0000FF"/>
      <name val="Sarabun"/>
    </font>
    <font>
      <u/>
      <color rgb="FF0000FF"/>
      <name val="Sarabun"/>
    </font>
    <font>
      <u/>
      <color rgb="FF0000FF"/>
      <name val="Sarabun"/>
    </font>
    <font>
      <u/>
      <color rgb="FF434343"/>
      <name val="Sarabun"/>
    </font>
    <font>
      <color rgb="FF434343"/>
      <name val="Sarabun"/>
    </font>
    <font>
      <u/>
      <color rgb="FF0000FF"/>
      <name val="Roboto"/>
    </font>
    <font>
      <u/>
      <color rgb="FF434343"/>
      <name val="Sarabun"/>
    </font>
    <font>
      <u/>
      <color rgb="FF0000FF"/>
      <name val="Sarabun"/>
    </font>
    <font>
      <color theme="1"/>
      <name val="Arial"/>
    </font>
    <font>
      <u/>
      <color rgb="FF434343"/>
      <name val="Sarabun"/>
    </font>
    <font>
      <u/>
      <color rgb="FF434343"/>
      <name val="Sarabun"/>
    </font>
    <font>
      <u/>
      <color rgb="FF434343"/>
      <name val="Sarabun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Sarabun"/>
    </font>
    <font>
      <u/>
      <color rgb="FF434343"/>
      <name val="Sarabun"/>
    </font>
    <font>
      <u/>
      <color rgb="FF0000FF"/>
      <name val="Sarabun"/>
    </font>
    <font>
      <u/>
      <color rgb="FF0000FF"/>
      <name val="Arial"/>
    </font>
    <font>
      <u/>
      <color rgb="FF0000FF"/>
      <name val="Arial"/>
    </font>
    <font>
      <u/>
      <color rgb="FF0000FF"/>
      <name val="Roboto"/>
    </font>
    <font>
      <u/>
      <color rgb="FF0000FF"/>
      <name val="Sarabun"/>
    </font>
    <font>
      <u/>
      <color rgb="FF1C4587"/>
      <name val="Sarabun"/>
    </font>
    <font>
      <u/>
      <color rgb="FF1C4587"/>
      <name val="Sarabun"/>
    </font>
    <font>
      <u/>
      <color rgb="FF1C4587"/>
      <name val="Arial"/>
    </font>
    <font>
      <u/>
      <color rgb="FF1C4587"/>
      <name val="Sarabun"/>
    </font>
    <font>
      <u/>
      <color rgb="FF1C4587"/>
      <name val="Arial"/>
    </font>
    <font>
      <color rgb="FF000000"/>
      <name val="Arial"/>
    </font>
    <font>
      <u/>
      <color rgb="FF1C4587"/>
      <name val="Sarabun"/>
    </font>
    <font>
      <color rgb="FF1C4587"/>
      <name val="Sarabun"/>
    </font>
    <font>
      <u/>
      <color rgb="FF1C4587"/>
      <name val="Sarabun"/>
    </font>
    <font>
      <u/>
      <color rgb="FF1C4587"/>
      <name val="Sarabun"/>
    </font>
    <font>
      <u/>
      <color rgb="FF0000FF"/>
      <name val="Arial"/>
    </font>
    <font>
      <color rgb="FF1C4587"/>
      <name val="Arial"/>
    </font>
    <font>
      <u/>
      <color rgb="FF1C4587"/>
      <name val="Arial"/>
    </font>
    <font>
      <u/>
      <color rgb="FF1C4587"/>
      <name val="Roboto"/>
    </font>
    <font>
      <u/>
      <color rgb="FF0000FF"/>
      <name val="Sarabun"/>
    </font>
    <font>
      <color rgb="FF1C4587"/>
      <name val="Arial"/>
      <scheme val="minor"/>
    </font>
    <font>
      <b/>
      <color theme="1"/>
      <name val="Sarabun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7CB4D"/>
        <bgColor rgb="FFF7CB4D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</fills>
  <borders count="3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49" xfId="0" applyAlignment="1" applyFont="1" applyNumberForma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2" fontId="2" numFmtId="49" xfId="0" applyAlignment="1" applyFill="1" applyFont="1" applyNumberFormat="1">
      <alignment horizontal="center" vertical="bottom"/>
    </xf>
    <xf borderId="0" fillId="2" fontId="2" numFmtId="49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2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3" fontId="2" numFmtId="0" xfId="0" applyAlignment="1" applyFill="1" applyFont="1">
      <alignment horizontal="left" readingOrder="0" shrinkToFit="0" vertical="center" wrapText="0"/>
    </xf>
    <xf borderId="1" fillId="4" fontId="9" numFmtId="0" xfId="0" applyAlignment="1" applyBorder="1" applyFill="1" applyFont="1">
      <alignment horizontal="center" shrinkToFit="0" vertical="center" wrapText="0"/>
    </xf>
    <xf borderId="1" fillId="4" fontId="9" numFmtId="0" xfId="0" applyAlignment="1" applyBorder="1" applyFont="1">
      <alignment readingOrder="0" shrinkToFit="0" vertical="center" wrapText="0"/>
    </xf>
    <xf borderId="2" fillId="5" fontId="9" numFmtId="0" xfId="0" applyAlignment="1" applyBorder="1" applyFill="1" applyFont="1">
      <alignment horizontal="center" shrinkToFit="0" vertical="center" wrapText="0"/>
    </xf>
    <xf borderId="2" fillId="5" fontId="9" numFmtId="0" xfId="0" applyAlignment="1" applyBorder="1" applyFont="1">
      <alignment shrinkToFit="0" vertical="center" wrapText="0"/>
    </xf>
    <xf borderId="0" fillId="4" fontId="2" numFmtId="0" xfId="0" applyAlignment="1" applyFont="1">
      <alignment horizontal="left" readingOrder="0" shrinkToFit="0" vertical="center" wrapText="0"/>
    </xf>
    <xf borderId="0" fillId="6" fontId="2" numFmtId="0" xfId="0" applyAlignment="1" applyFill="1" applyFont="1">
      <alignment horizontal="left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2" numFmtId="14" xfId="0" applyAlignment="1" applyFont="1" applyNumberForma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4" fontId="9" numFmtId="0" xfId="0" applyAlignment="1" applyFont="1">
      <alignment horizontal="center" readingOrder="0" shrinkToFit="0" vertical="center" wrapText="0"/>
    </xf>
    <xf borderId="0" fillId="5" fontId="2" numFmtId="0" xfId="0" applyAlignment="1" applyFont="1">
      <alignment horizontal="left" readingOrder="0" shrinkToFit="0" vertical="center" wrapText="0"/>
    </xf>
    <xf borderId="1" fillId="4" fontId="9" numFmtId="0" xfId="0" applyAlignment="1" applyBorder="1" applyFont="1">
      <alignment horizontal="center" shrinkToFit="0" vertical="center" wrapText="0"/>
    </xf>
    <xf borderId="1" fillId="4" fontId="13" numFmtId="0" xfId="0" applyAlignment="1" applyBorder="1" applyFont="1">
      <alignment shrinkToFit="0" vertical="center" wrapText="0"/>
    </xf>
    <xf borderId="1" fillId="4" fontId="14" numFmtId="0" xfId="0" applyAlignment="1" applyBorder="1" applyFont="1">
      <alignment horizontal="center" shrinkToFit="0" vertical="center" wrapText="0"/>
    </xf>
    <xf borderId="2" fillId="5" fontId="9" numFmtId="0" xfId="0" applyAlignment="1" applyBorder="1" applyFont="1">
      <alignment horizontal="center" shrinkToFit="0" vertical="center" wrapText="0"/>
    </xf>
    <xf borderId="2" fillId="5" fontId="13" numFmtId="0" xfId="0" applyAlignment="1" applyBorder="1" applyFont="1">
      <alignment shrinkToFit="0" vertical="center" wrapText="0"/>
    </xf>
    <xf borderId="2" fillId="5" fontId="15" numFmtId="0" xfId="0" applyAlignment="1" applyBorder="1" applyFont="1">
      <alignment horizontal="center" shrinkToFit="0" vertical="center" wrapText="0"/>
    </xf>
    <xf borderId="1" fillId="4" fontId="13" numFmtId="0" xfId="0" applyAlignment="1" applyBorder="1" applyFont="1">
      <alignment shrinkToFit="0" vertical="center" wrapText="0"/>
    </xf>
    <xf borderId="2" fillId="5" fontId="13" numFmtId="0" xfId="0" applyAlignment="1" applyBorder="1" applyFont="1">
      <alignment shrinkToFit="0" vertical="center" wrapText="0"/>
    </xf>
    <xf borderId="1" fillId="4" fontId="16" numFmtId="0" xfId="0" applyAlignment="1" applyBorder="1" applyFont="1">
      <alignment horizontal="center" shrinkToFit="0" vertical="center" wrapText="0"/>
    </xf>
    <xf borderId="1" fillId="4" fontId="9" numFmtId="0" xfId="0" applyAlignment="1" applyBorder="1" applyFont="1">
      <alignment horizontal="center" readingOrder="0" shrinkToFit="0" vertical="center" wrapText="0"/>
    </xf>
    <xf borderId="2" fillId="5" fontId="9" numFmtId="0" xfId="0" applyAlignment="1" applyBorder="1" applyFont="1">
      <alignment horizontal="center" readingOrder="0" shrinkToFit="0" vertical="center" wrapText="0"/>
    </xf>
    <xf borderId="2" fillId="5" fontId="17" numFmtId="0" xfId="0" applyAlignment="1" applyBorder="1" applyFont="1">
      <alignment readingOrder="0" shrinkToFit="0" vertical="center" wrapText="0"/>
    </xf>
    <xf borderId="1" fillId="4" fontId="18" numFmtId="0" xfId="0" applyAlignment="1" applyBorder="1" applyFont="1">
      <alignment readingOrder="0" shrinkToFit="0" vertical="center" wrapText="0"/>
    </xf>
    <xf borderId="2" fillId="5" fontId="19" numFmtId="0" xfId="0" applyAlignment="1" applyBorder="1" applyFont="1">
      <alignment readingOrder="0" shrinkToFit="0" vertical="center" wrapText="0"/>
    </xf>
    <xf borderId="0" fillId="4" fontId="13" numFmtId="0" xfId="0" applyAlignment="1" applyFont="1">
      <alignment shrinkToFit="0" vertical="center" wrapText="0"/>
    </xf>
    <xf borderId="0" fillId="4" fontId="13" numFmtId="0" xfId="0" applyAlignment="1" applyFont="1">
      <alignment shrinkToFit="0" vertical="center" wrapText="0"/>
    </xf>
    <xf borderId="0" fillId="4" fontId="20" numFmtId="0" xfId="0" applyAlignment="1" applyFont="1">
      <alignment horizontal="center" readingOrder="0" shrinkToFit="0" vertical="center" wrapText="0"/>
    </xf>
    <xf borderId="1" fillId="4" fontId="21" numFmtId="0" xfId="0" applyAlignment="1" applyBorder="1" applyFont="1">
      <alignment horizontal="center" readingOrder="0" shrinkToFit="0" vertical="center" wrapText="0"/>
    </xf>
    <xf borderId="0" fillId="5" fontId="13" numFmtId="0" xfId="0" applyAlignment="1" applyFont="1">
      <alignment readingOrder="0" shrinkToFit="0" vertical="center" wrapText="0"/>
    </xf>
    <xf borderId="0" fillId="5" fontId="13" numFmtId="0" xfId="0" applyAlignment="1" applyFont="1">
      <alignment shrinkToFit="0" vertical="center" wrapText="0"/>
    </xf>
    <xf borderId="0" fillId="5" fontId="22" numFmtId="0" xfId="0" applyAlignment="1" applyFont="1">
      <alignment horizontal="center" readingOrder="0" shrinkToFit="0" vertical="center" wrapText="0"/>
    </xf>
    <xf borderId="0" fillId="5" fontId="23" numFmtId="0" xfId="0" applyAlignment="1" applyFont="1">
      <alignment readingOrder="0" shrinkToFit="0" vertical="center" wrapText="0"/>
    </xf>
    <xf borderId="1" fillId="4" fontId="24" numFmtId="0" xfId="0" applyAlignment="1" applyBorder="1" applyFont="1">
      <alignment readingOrder="0"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7" fontId="2" numFmtId="0" xfId="0" applyAlignment="1" applyFill="1" applyFont="1">
      <alignment horizontal="left" shrinkToFit="0" vertical="center" wrapText="0"/>
    </xf>
    <xf borderId="0" fillId="7" fontId="2" numFmtId="0" xfId="0" applyAlignment="1" applyFont="1">
      <alignment horizontal="center" readingOrder="0" shrinkToFit="0" vertical="center" wrapText="0"/>
    </xf>
    <xf borderId="0" fillId="7" fontId="2" numFmtId="0" xfId="0" applyAlignment="1" applyFont="1">
      <alignment horizontal="center" shrinkToFit="0" vertical="center" wrapText="0"/>
    </xf>
    <xf borderId="0" fillId="7" fontId="26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3" xfId="0" applyAlignment="1" applyFont="1" applyNumberFormat="1">
      <alignment horizontal="center" readingOrder="0" shrinkToFit="0" vertical="center" wrapText="0"/>
    </xf>
    <xf borderId="0" fillId="0" fontId="2" numFmtId="166" xfId="0" applyAlignment="1" applyFont="1" applyNumberFormat="1">
      <alignment horizontal="center" readingOrder="0" shrinkToFit="0" vertical="center" wrapText="0"/>
    </xf>
    <xf borderId="0" fillId="3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4" numFmtId="3" xfId="0" applyAlignment="1" applyFont="1" applyNumberFormat="1">
      <alignment horizontal="center" readingOrder="0" shrinkToFit="0" vertical="center" wrapText="0"/>
    </xf>
    <xf borderId="0" fillId="0" fontId="27" numFmtId="0" xfId="0" applyAlignment="1" applyFont="1">
      <alignment horizontal="center" readingOrder="0" shrinkToFit="0" vertical="center" wrapText="0"/>
    </xf>
    <xf borderId="0" fillId="0" fontId="28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29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bottom" wrapText="0"/>
    </xf>
    <xf borderId="0" fillId="0" fontId="30" numFmtId="0" xfId="0" applyAlignment="1" applyFont="1">
      <alignment horizontal="center" readingOrder="0" shrinkToFit="0" vertical="bottom" wrapText="0"/>
    </xf>
    <xf borderId="0" fillId="0" fontId="4" numFmtId="3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31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32" numFmtId="0" xfId="0" applyAlignment="1" applyFont="1">
      <alignment shrinkToFit="0" vertical="bottom" wrapText="0"/>
    </xf>
    <xf borderId="0" fillId="0" fontId="32" numFmtId="3" xfId="0" applyAlignment="1" applyFont="1" applyNumberFormat="1">
      <alignment horizontal="center" readingOrder="0" shrinkToFit="0" vertical="bottom" wrapText="0"/>
    </xf>
    <xf borderId="0" fillId="0" fontId="32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33" numFmtId="0" xfId="0" applyAlignment="1" applyFont="1">
      <alignment horizontal="center" readingOrder="0" shrinkToFit="0" vertical="bottom" wrapText="0"/>
    </xf>
    <xf borderId="0" fillId="0" fontId="34" numFmtId="0" xfId="0" applyAlignment="1" applyFont="1">
      <alignment horizontal="center" shrinkToFit="0" vertical="center" wrapText="0"/>
    </xf>
    <xf borderId="0" fillId="0" fontId="34" numFmtId="0" xfId="0" applyAlignment="1" applyFont="1">
      <alignment horizontal="center" readingOrder="0" shrinkToFit="0" vertical="center" wrapText="0"/>
    </xf>
    <xf borderId="0" fillId="0" fontId="35" numFmtId="0" xfId="0" applyAlignment="1" applyFont="1">
      <alignment horizontal="center" readingOrder="0"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0" fillId="0" fontId="37" numFmtId="0" xfId="0" applyAlignment="1" applyFont="1">
      <alignment horizontal="center" readingOrder="0" shrinkToFit="0" vertical="bottom" wrapText="0"/>
    </xf>
    <xf borderId="0" fillId="0" fontId="38" numFmtId="0" xfId="0" applyAlignment="1" applyFont="1">
      <alignment horizontal="center" readingOrder="0" shrinkToFit="0" vertical="bottom" wrapText="0"/>
    </xf>
    <xf borderId="0" fillId="0" fontId="32" numFmtId="0" xfId="0" applyAlignment="1" applyFont="1">
      <alignment shrinkToFit="0" vertical="bottom" wrapText="0"/>
    </xf>
    <xf borderId="0" fillId="0" fontId="32" numFmtId="0" xfId="0" applyAlignment="1" applyFont="1">
      <alignment horizontal="left" readingOrder="0" shrinkToFit="0" vertical="bottom" wrapText="0"/>
    </xf>
    <xf borderId="0" fillId="0" fontId="39" numFmtId="0" xfId="0" applyAlignment="1" applyFont="1">
      <alignment readingOrder="0" shrinkToFit="0" vertical="bottom" wrapText="0"/>
    </xf>
    <xf borderId="0" fillId="0" fontId="40" numFmtId="0" xfId="0" applyAlignment="1" applyFont="1">
      <alignment readingOrder="0" shrinkToFit="0" vertical="center" wrapText="0"/>
    </xf>
    <xf borderId="0" fillId="0" fontId="32" numFmtId="0" xfId="0" applyAlignment="1" applyFont="1">
      <alignment readingOrder="0" shrinkToFit="0" vertical="bottom" wrapText="0"/>
    </xf>
    <xf borderId="0" fillId="0" fontId="41" numFmtId="0" xfId="0" applyAlignment="1" applyFont="1">
      <alignment horizontal="center" readingOrder="0" shrinkToFit="0" vertical="bottom" wrapText="0"/>
    </xf>
    <xf borderId="0" fillId="0" fontId="34" numFmtId="0" xfId="0" applyAlignment="1" applyFont="1">
      <alignment horizontal="center" readingOrder="0" shrinkToFit="0" vertical="bottom" wrapText="0"/>
    </xf>
    <xf borderId="0" fillId="0" fontId="34" numFmtId="0" xfId="0" applyAlignment="1" applyFont="1">
      <alignment horizontal="center" readingOrder="0" shrinkToFit="0" vertical="bottom" wrapText="0"/>
    </xf>
    <xf borderId="0" fillId="0" fontId="38" numFmtId="0" xfId="0" applyAlignment="1" applyFont="1">
      <alignment readingOrder="0" shrinkToFit="0" vertical="bottom" wrapText="0"/>
    </xf>
    <xf borderId="0" fillId="0" fontId="42" numFmtId="0" xfId="0" applyAlignment="1" applyFont="1">
      <alignment readingOrder="0" shrinkToFit="0" vertical="center" wrapText="0"/>
    </xf>
    <xf borderId="0" fillId="8" fontId="2" numFmtId="0" xfId="0" applyAlignment="1" applyFill="1" applyFont="1">
      <alignment horizontal="center" readingOrder="0"/>
    </xf>
    <xf borderId="0" fillId="9" fontId="43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10" fontId="43" numFmtId="3" xfId="0" applyAlignment="1" applyFill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horizontal="center"/>
    </xf>
    <xf borderId="0" fillId="0" fontId="2" numFmtId="0" xfId="0" applyFont="1"/>
    <xf borderId="0" fillId="0" fontId="44" numFmtId="0" xfId="0" applyAlignment="1" applyFont="1">
      <alignment readingOrder="0"/>
    </xf>
    <xf borderId="0" fillId="0" fontId="44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8">
    <tableStyle count="4" pivot="0" name="มือจับ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อุปกรณ์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ยาง สักหลา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น็อต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เครื่องมือช่างและอื่น ๆ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อลูมิเนียม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แผ่นหลังคาและผนัง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เช็ครายการเบิกต่องาน-style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125" sheet="รับเข้า-เบิก"/>
  </cacheSource>
  <cacheFields>
    <cacheField name="ลำดับเดือน" numFmtId="0">
      <sharedItems containsString="0" containsBlank="1">
        <m/>
      </sharedItems>
    </cacheField>
    <cacheField name="เดือน" numFmtId="0">
      <sharedItems containsString="0" containsBlank="1">
        <m/>
      </sharedItems>
    </cacheField>
    <cacheField name="วันที่" numFmtId="164">
      <sharedItems containsDate="1" containsString="0" containsBlank="1">
        <d v="2569-05-23T00:00:00Z"/>
        <d v="2026-05-23T00:00:00Z"/>
        <d v="2026-06-15T00:00:00Z"/>
        <d v="2026-06-17T00:00:00Z"/>
        <m/>
      </sharedItems>
    </cacheField>
    <cacheField name="ผู้เบิก" numFmtId="0">
      <sharedItems containsString="0" containsBlank="1">
        <m/>
      </sharedItems>
    </cacheField>
    <cacheField name="งาน (ชื่อลูกค้า)" numFmtId="0">
      <sharedItems containsString="0" containsBlank="1">
        <m/>
      </sharedItems>
    </cacheField>
    <cacheField name="หมวดหมู่" numFmtId="0">
      <sharedItems containsBlank="1">
        <s v="อุปกรณ์"/>
        <s v="เครื่องมือช่าง"/>
        <s v="น็อต"/>
        <m/>
      </sharedItems>
    </cacheField>
    <cacheField name="รายการสินค้า" numFmtId="0">
      <sharedItems containsBlank="1">
        <s v="STAINLESS STEEL BAR-สแตนเลส-แป๊ปสแตนเลสกลม"/>
        <s v="STAINLESS STEEL PIPE -สแตนเลส-แป๊ปสแตนเลสเหลี่ยม "/>
        <s v="บานพับ Shower VVP_SW303-สแตนเลส"/>
        <s v="บานพับ Shower VVP_SW3049 (90 ํ)-สแตนเลส"/>
        <s v="บานพับ Shower VVP_SW3041 (135 ํ)-สแตนเลส"/>
        <s v="บานพับ Shower VVP_SW304 (180 ํ)-สแตนเลส"/>
        <s v="ตัวหนีบกระจก shower VVP_GC506-สแตนเลส"/>
        <s v="ตัวยึดร้อยผ่านแป๊ปสแตนเลสกลม VVP_SB900-สแตนเลส"/>
        <s v="ตัวยึดกระจกห้องน้ำกันแกว่งกลม VVP_SB902-สแตนเลส"/>
        <s v="ตัวยึดร้อยผ่านแป๊ปสแตนเลสกลม VVP_SBF906-สแตนเลส-ข้องอปรับได้ "/>
        <s v="ตัวยึดร้อยผ่านแป๊ปสแตนเลสเหลี่ยม VVP_SBQ800-สแตนเลส"/>
        <s v="ตัวยึดกระจกห้องน้ำกันแกว่งเหลี่ยม VVP_SBQ802-สแตนเลส"/>
        <s v="ยางกันชนกลมเล็ก-ใส"/>
        <s v="ซิลิโคน 1601-ลายไม้มะฮอกนี"/>
        <s v="ซิลิโคน 1602-ลายไม้สักทอง"/>
        <s v="ซิลิโคน 1301"/>
        <s v="เทปใส่ม้วนใหญ่"/>
        <s v="เทปขุ่น"/>
        <s v="เทปพันอลูมิเนียม"/>
        <s v="แร็ปผิวเรียบ-สีทอง"/>
        <s v="แร็ปผิวซาฮาร่า"/>
        <s v="เทปใส่ม้วนเล็ก"/>
        <s v="เทปพันสายไฟสีดำ"/>
        <s v="เทปกาว 3M กันจิ้งจก"/>
        <s v="โพเทคส์พลาสติก"/>
        <s v="แร็ป-สีฟ้า"/>
        <s v="สเปรย์ 212-ดำด้าน"/>
        <s v="สเปรย์ 210-ดำเงา"/>
        <s v="สเปรย์ 1002825-สีขาวซาฮาร่า"/>
        <s v="สเปรย์ 1002831-สีเทาซาฮาร่า"/>
        <s v="สเปรย์ 132-สีชา"/>
        <s v="สเปรย์-สีชาว"/>
        <s v="ล้อฮาพาเล่ 100/A"/>
        <s v="ISONAX"/>
        <s v="สว่านแบต INGCO"/>
        <s v="สว่านสายไฟฟ้า MAKITA"/>
        <s v="สว่านโรตารี่ สว่านเจาะปูน 3 ระบบ"/>
        <s v="ชุดเครื่องเจียรไร้สาย INGCO"/>
        <s v="ฐานชาร์จแบต + แบตก้อน"/>
        <s v="เร้าเตอร์ INGCO"/>
        <s v="เครื่องเจียร 7&quot;  MAKITA"/>
        <s v="เครื่องเป่าลม"/>
        <s v="เครื่องเป่าลมร้อน"/>
        <s v="เครื่องเจาะผนัง 5 นิ้ว"/>
        <s v="เครืองตัดไม้ MAKITA รุ่น DTM51Z"/>
        <s v="เลื่อยโซ่ไฟฟ้า "/>
        <s v="เครื่องจิ๊กซอว์ไฟฟ้า"/>
        <s v="เลื่อยวงเดือน MAKITA  7 นิ้ว"/>
        <s v="เครื่องสกัดคอนกรีต MAKITA"/>
        <s v="ตู้เชื่อมอาร์กอน"/>
        <s v="เครื่องดูดฝุ่น เล็ก"/>
        <s v="คีมย้ำรีเวท"/>
        <s v="เครื่องวัดระดับ เลเซอร์ 5 เส้น"/>
        <s v="เครื่องเจียร 4&quot;  MAKITA"/>
        <s v="เครื่องเจียร ไร้สาย แบตเตอรี่ MAKITA"/>
        <s v="ปุ่มเสริมก้านมิเนียมบานเปิด 6.5 มม."/>
        <s v="ปืนยิงกาว PU"/>
        <s v="ปืนยิงซิลิโคน"/>
        <s v="ปืนยิงตะปูแม็กลมแม็กลมขาเดียว"/>
        <s v=" ไม้รีดน้ํากระจก "/>
        <s v="ก้านเหล็กปั่นเหล็ก"/>
        <s v="ลูกกลิ้งทาสี  7 นิ้ว"/>
        <s v="Tool Room ตัวปรับความสูงของกระเบื้อง"/>
        <s v="ตลับกุญแจ มัลติพ้อย HD 851 L30"/>
        <s v="ตลับกุญแจ Colt"/>
        <s v="ตลับกุญแจ HD 840 L30"/>
        <s v="ไส้กุญแจ Colt-สแตนเลส-35x35"/>
        <s v="ไส้กุญแจ Colt-สแตนเลส-40x40"/>
        <s v="มุมสแตนเลส"/>
        <s v="เข้ามุมจีน"/>
        <s v="พุกเหล็ก-46237"/>
        <s v="พุกเหล็ก-46113"/>
        <s v="พุกตะปู M10-"/>
        <s v="พุกเคมี M8-"/>
        <s v="พุกตะกั่ว-46113"/>
        <m/>
      </sharedItems>
    </cacheField>
    <cacheField name="จำนวน" numFmtId="0">
      <sharedItems containsString="0" containsBlank="1" containsNumber="1" containsInteger="1">
        <m/>
        <n v="6.0"/>
        <n v="2.0"/>
        <n v="21.0"/>
        <n v="25.0"/>
        <n v="5.0"/>
        <n v="9.0"/>
        <n v="3.0"/>
        <n v="6200.0"/>
        <n v="20.0"/>
        <n v="15.0"/>
        <n v="12.0"/>
        <n v="23.0"/>
        <n v="10.0"/>
        <n v="17.0"/>
        <n v="18.0"/>
        <n v="72.0"/>
        <n v="38.0"/>
        <n v="30.0"/>
        <n v="22.0"/>
        <n v="16.0"/>
        <n v="4.0"/>
        <n v="0.0"/>
        <n v="1.0"/>
        <n v="123.0"/>
        <n v="8.0"/>
        <n v="1600.0"/>
        <n v="220.0"/>
        <n v="240.0"/>
        <n v="5854.0"/>
        <n v="320.0"/>
        <n v="75.0"/>
        <n v="709.0"/>
      </sharedItems>
    </cacheField>
    <cacheField name="Status" numFmtId="0">
      <sharedItems containsBlank="1">
        <s v="รับเข้า"/>
        <m/>
      </sharedItems>
    </cacheField>
    <cacheField name="ราคารวม" numFmtId="0">
      <sharedItems containsString="0" containsBlank="1">
        <m/>
      </sharedItems>
    </cacheField>
    <cacheField name="Remark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สรุปรายการเบิกต่อเดือน" cacheId="0" dataCaption="" compact="0" compactData="0">
  <location ref="A3:F4" firstHeaderRow="0" firstDataRow="5" firstDataCol="0" rowPageCount="1" colPageCount="1"/>
  <pivotFields>
    <pivotField name="ลำดับเดือน" axis="axisRow" compact="0" outline="0" multipleItemSelectionAllowed="1" showAll="0" sortType="ascending" defaultSubtotal="0">
      <items>
        <item x="0"/>
      </items>
    </pivotField>
    <pivotField name="เดือน" axis="axisRow" compact="0" outline="0" multipleItemSelectionAllowed="1" showAll="0" sortType="ascending">
      <items>
        <item x="0"/>
        <item t="default"/>
      </items>
    </pivotField>
    <pivotField name="วันที่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ผู้เบิก" compact="0" outline="0" multipleItemSelectionAllowed="1" showAll="0">
      <items>
        <item x="0"/>
        <item t="default"/>
      </items>
    </pivotField>
    <pivotField name="งาน (ชื่อลูกค้า)" axis="axisRow" compact="0" outline="0" multipleItemSelectionAllowed="1" showAll="0" sortType="ascending">
      <items>
        <item x="0"/>
        <item t="default"/>
      </items>
    </pivotField>
    <pivotField name="หมวดหมู่" compact="0" outline="0" multipleItemSelectionAllowed="1" showAll="0">
      <items>
        <item x="0"/>
        <item x="1"/>
        <item x="2"/>
        <item x="3"/>
        <item t="default"/>
      </items>
    </pivotField>
    <pivotField name="รายการสินค้า" axis="axisRow" compact="0" outline="0" multipleItemSelectionAllowed="1" showAll="0" sortType="ascending" defaultSubtotal="0">
      <items>
        <item x="75"/>
        <item x="60"/>
        <item x="69"/>
        <item x="51"/>
        <item x="46"/>
        <item x="43"/>
        <item x="53"/>
        <item x="40"/>
        <item x="54"/>
        <item x="50"/>
        <item x="44"/>
        <item x="41"/>
        <item x="42"/>
        <item x="52"/>
        <item x="48"/>
        <item x="37"/>
        <item x="15"/>
        <item x="13"/>
        <item x="14"/>
        <item x="38"/>
        <item x="63"/>
        <item x="64"/>
        <item x="65"/>
        <item x="8"/>
        <item x="11"/>
        <item x="7"/>
        <item x="9"/>
        <item x="10"/>
        <item x="6"/>
        <item x="49"/>
        <item x="23"/>
        <item x="17"/>
        <item x="22"/>
        <item x="18"/>
        <item x="21"/>
        <item x="16"/>
        <item x="2"/>
        <item x="4"/>
        <item x="5"/>
        <item x="3"/>
        <item x="56"/>
        <item x="57"/>
        <item x="58"/>
        <item x="55"/>
        <item x="73"/>
        <item x="74"/>
        <item x="72"/>
        <item x="71"/>
        <item x="70"/>
        <item x="24"/>
        <item x="68"/>
        <item x="59"/>
        <item x="12"/>
        <item x="39"/>
        <item x="20"/>
        <item x="19"/>
        <item x="25"/>
        <item x="32"/>
        <item x="61"/>
        <item x="45"/>
        <item x="47"/>
        <item x="28"/>
        <item x="29"/>
        <item x="30"/>
        <item x="27"/>
        <item x="26"/>
        <item x="31"/>
        <item x="34"/>
        <item x="36"/>
        <item x="35"/>
        <item x="66"/>
        <item x="67"/>
        <item x="33"/>
        <item x="0"/>
        <item x="1"/>
        <item x="62"/>
      </items>
    </pivotField>
    <pivotField name="จำนวน" axis="axisRow" compact="0" outline="0" multipleItemSelectionAllowed="1" showAll="0" sortType="ascending">
      <items>
        <item x="0"/>
        <item x="22"/>
        <item x="23"/>
        <item x="2"/>
        <item x="7"/>
        <item x="21"/>
        <item x="5"/>
        <item x="1"/>
        <item x="25"/>
        <item x="6"/>
        <item x="13"/>
        <item x="11"/>
        <item x="10"/>
        <item x="20"/>
        <item x="14"/>
        <item x="15"/>
        <item x="9"/>
        <item x="3"/>
        <item x="19"/>
        <item x="12"/>
        <item x="4"/>
        <item x="18"/>
        <item x="17"/>
        <item x="16"/>
        <item x="31"/>
        <item x="24"/>
        <item x="27"/>
        <item x="28"/>
        <item x="30"/>
        <item x="32"/>
        <item x="26"/>
        <item x="29"/>
        <item x="8"/>
        <item t="default"/>
      </items>
    </pivotField>
    <pivotField name="Status" axis="axisPage" compact="0" outline="0" multipleItemSelectionAllowed="1" showAll="0">
      <items>
        <item h="1" x="0"/>
        <item h="1" x="1"/>
        <item t="default"/>
      </items>
    </pivotField>
    <pivotField name="ราคารวม" dataField="1" compact="0" outline="0" multipleItemSelectionAllowed="1" showAll="0">
      <items>
        <item x="0"/>
        <item t="default"/>
      </items>
    </pivotField>
    <pivotField name="Remark" compact="0" outline="0" multipleItemSelectionAllowed="1" showAll="0">
      <items>
        <item x="0"/>
        <item t="default"/>
      </items>
    </pivotField>
  </pivotFields>
  <rowFields>
    <field x="0"/>
    <field x="1"/>
    <field x="4"/>
    <field x="6"/>
    <field x="7"/>
  </rowFields>
  <pageFields>
    <pageField fld="8"/>
  </pageFields>
  <dataFields>
    <dataField name="ราคารวม" fld="9" baseField="0"/>
  </dataFields>
</pivotTableDefinition>
</file>

<file path=xl/tables/table1.xml><?xml version="1.0" encoding="utf-8"?>
<table xmlns="http://schemas.openxmlformats.org/spreadsheetml/2006/main" ref="A1:H165" displayName="ตาราง1" name="ตาราง1" id="1">
  <tableColumns count="8">
    <tableColumn name="2" id="1"/>
    <tableColumn name="รายการสินค้า" id="2"/>
    <tableColumn name="รูปแบบ" id="3"/>
    <tableColumn name="สี" id="4"/>
    <tableColumn name="ราคา" id="5"/>
    <tableColumn name="รูป" id="6"/>
    <tableColumn name="ยอดคงเหลือ" id="7"/>
    <tableColumn name="ยอดเบิกรวม" id="8"/>
  </tableColumns>
  <tableStyleInfo name="มือจับ-style" showColumnStripes="0" showFirstColumn="1" showLastColumn="1" showRowStripes="1"/>
</table>
</file>

<file path=xl/tables/table2.xml><?xml version="1.0" encoding="utf-8"?>
<table xmlns="http://schemas.openxmlformats.org/spreadsheetml/2006/main" ref="A1:H378" displayName="ตาราง1_2" name="ตาราง1_2" id="2">
  <tableColumns count="8">
    <tableColumn name="SKU" id="1"/>
    <tableColumn name="รายการสินค้า" id="2"/>
    <tableColumn name="สี" id="3"/>
    <tableColumn name="ขนาด" id="4"/>
    <tableColumn name="ราคา" id="5"/>
    <tableColumn name="รูป" id="6"/>
    <tableColumn name="ยอดคงเหลือ" id="7"/>
    <tableColumn name="ยอดเบิกรวม" id="8"/>
  </tableColumns>
  <tableStyleInfo name="อุปกรณ์ -style" showColumnStripes="0" showFirstColumn="1" showLastColumn="1" showRowStripes="1"/>
</table>
</file>

<file path=xl/tables/table3.xml><?xml version="1.0" encoding="utf-8"?>
<table xmlns="http://schemas.openxmlformats.org/spreadsheetml/2006/main" ref="A1:G102" displayName="ตาราง1_3" name="ตาราง1_3" id="3">
  <tableColumns count="7">
    <tableColumn name="SKU" id="1"/>
    <tableColumn name="รายการสินค้า" id="2"/>
    <tableColumn name="ขนาด" id="3"/>
    <tableColumn name="ราคา" id="4"/>
    <tableColumn name="รูป" id="5"/>
    <tableColumn name="ยอดคงเหลือ" id="6"/>
    <tableColumn name="ยอดเบิกรวม" id="7"/>
  </tableColumns>
  <tableStyleInfo name="ยาง สักหลาด-style" showColumnStripes="0" showFirstColumn="1" showLastColumn="1" showRowStripes="1"/>
</table>
</file>

<file path=xl/tables/table4.xml><?xml version="1.0" encoding="utf-8"?>
<table xmlns="http://schemas.openxmlformats.org/spreadsheetml/2006/main" ref="A1:H142" displayName="ตาราง1_5" name="ตาราง1_5" id="4">
  <tableColumns count="8">
    <tableColumn name="คอลัมน์ 1" id="1"/>
    <tableColumn name="รายการสินค้า" id="2"/>
    <tableColumn name="ขนาด" id="3"/>
    <tableColumn name="ราคา" id="4"/>
    <tableColumn name="รูป" id="5"/>
    <tableColumn name="ยอดคงเหลือ" id="6"/>
    <tableColumn name="ยอดเบิกรวม" id="7"/>
    <tableColumn name="น็อตเป็นโล" id="8"/>
  </tableColumns>
  <tableStyleInfo name="น็อต-style" showColumnStripes="0" showFirstColumn="1" showLastColumn="1" showRowStripes="1"/>
</table>
</file>

<file path=xl/tables/table5.xml><?xml version="1.0" encoding="utf-8"?>
<table xmlns="http://schemas.openxmlformats.org/spreadsheetml/2006/main" ref="A1:F50" displayName="ตาราง1_4" name="ตาราง1_4" id="5">
  <tableColumns count="6">
    <tableColumn name="SKU" id="1"/>
    <tableColumn name="รายการสินค้า" id="2"/>
    <tableColumn name="ราคา" id="3"/>
    <tableColumn name="รูป" id="4"/>
    <tableColumn name="ยอดคงเหลือ" id="5"/>
    <tableColumn name="ยอดเบิกรวม" id="6"/>
  </tableColumns>
  <tableStyleInfo name="เครื่องมือช่างและอื่น ๆ-style" showColumnStripes="0" showFirstColumn="1" showLastColumn="1" showRowStripes="1"/>
</table>
</file>

<file path=xl/tables/table6.xml><?xml version="1.0" encoding="utf-8"?>
<table xmlns="http://schemas.openxmlformats.org/spreadsheetml/2006/main" ref="A1:J1184" displayName="ตาราง1_6" name="ตาราง1_6" id="6">
  <tableColumns count="10">
    <tableColumn name="SKU" id="1"/>
    <tableColumn name="ประเภท" id="2"/>
    <tableColumn name="รหัส" id="3"/>
    <tableColumn name="รายการสินค้า" id="4"/>
    <tableColumn name="สี" id="5"/>
    <tableColumn name="ขนาด  ( เมตร )" id="6"/>
    <tableColumn name="ราคา" id="7"/>
    <tableColumn name="รูป" id="8"/>
    <tableColumn name="ยอดคงเหลือ" id="9"/>
    <tableColumn name="ยอดเบิกรวม" id="10"/>
  </tableColumns>
  <tableStyleInfo name="อลูมิเนียม-style" showColumnStripes="0" showFirstColumn="1" showLastColumn="1" showRowStripes="1"/>
</table>
</file>

<file path=xl/tables/table7.xml><?xml version="1.0" encoding="utf-8"?>
<table xmlns="http://schemas.openxmlformats.org/spreadsheetml/2006/main" ref="A1:J1063" displayName="ตาราง1_7" name="ตาราง1_7" id="7">
  <tableColumns count="10">
    <tableColumn name="SKU" id="1"/>
    <tableColumn name="ประเภท" id="2"/>
    <tableColumn name="รหัส" id="3"/>
    <tableColumn name="รายการสินค้า" id="4"/>
    <tableColumn name="สี" id="5"/>
    <tableColumn name="ขนาด" id="6"/>
    <tableColumn name="ราคา" id="7"/>
    <tableColumn name="รูป" id="8"/>
    <tableColumn name="ยอดคงเหลือ" id="9"/>
    <tableColumn name="ยอดเบิกรวม" id="10"/>
  </tableColumns>
  <tableStyleInfo name="แผ่นหลังคาและผนัง-style" showColumnStripes="0" showFirstColumn="1" showLastColumn="1" showRowStripes="1"/>
</table>
</file>

<file path=xl/tables/table8.xml><?xml version="1.0" encoding="utf-8"?>
<table xmlns="http://schemas.openxmlformats.org/spreadsheetml/2006/main" ref="C1:I2112" displayName="Table_1" name="Table_1" id="8">
  <tableColumns count="7">
    <tableColumn name="วันที่" id="1"/>
    <tableColumn name="ผู้เบิก" id="2"/>
    <tableColumn name="หมวดหมู่" id="3"/>
    <tableColumn name="รายการสินค้า" id="4"/>
    <tableColumn name="จำนวน" id="5"/>
    <tableColumn name="ราคารวม" id="6"/>
    <tableColumn name="Remark" id="7"/>
  </tableColumns>
  <tableStyleInfo name="เช็ครายการเบิกต่องาน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UfA5qP-6SVkGhRa3Tp7xI6eoFKUfCPCB/view?usp=drive_link" TargetMode="External"/><Relationship Id="rId42" Type="http://schemas.openxmlformats.org/officeDocument/2006/relationships/hyperlink" Target="https://drive.google.com/file/d/1UfA5qP-6SVkGhRa3Tp7xI6eoFKUfCPCB/view?usp=drive_link" TargetMode="External"/><Relationship Id="rId41" Type="http://schemas.openxmlformats.org/officeDocument/2006/relationships/hyperlink" Target="https://drive.google.com/file/d/1UfA5qP-6SVkGhRa3Tp7xI6eoFKUfCPCB/view?usp=drive_link" TargetMode="External"/><Relationship Id="rId44" Type="http://schemas.openxmlformats.org/officeDocument/2006/relationships/hyperlink" Target="https://drive.google.com/file/d/14xn-NCGqq5FDwmKcrNFIH3Y0jgKMHVLR/view?usp=drive_link" TargetMode="External"/><Relationship Id="rId43" Type="http://schemas.openxmlformats.org/officeDocument/2006/relationships/hyperlink" Target="https://drive.google.com/file/d/1UfA5qP-6SVkGhRa3Tp7xI6eoFKUfCPCB/view?usp=drive_link" TargetMode="External"/><Relationship Id="rId46" Type="http://schemas.openxmlformats.org/officeDocument/2006/relationships/hyperlink" Target="https://drive.google.com/file/d/1jkF6sE7gE2qin-TU4c9O6fDTcLPF-VPF/view?usp=drive_link" TargetMode="External"/><Relationship Id="rId45" Type="http://schemas.openxmlformats.org/officeDocument/2006/relationships/hyperlink" Target="https://drive.google.com/file/d/17a-BLx9DUbFFvlM65kF9uzsI_cF4hjOa/view?usp=drive_link" TargetMode="External"/><Relationship Id="rId107" Type="http://schemas.openxmlformats.org/officeDocument/2006/relationships/hyperlink" Target="https://drive.google.com/file/d/1--kH-jLxk-mvlxO1VbJG0j2wCNCZ8rJV/view?usp=drive_link" TargetMode="External"/><Relationship Id="rId106" Type="http://schemas.openxmlformats.org/officeDocument/2006/relationships/hyperlink" Target="https://drive.google.com/file/d/1kVoAE29b5HZ47jPP3tp3R7cVC2DaPHhF/view?usp=drive_link" TargetMode="External"/><Relationship Id="rId105" Type="http://schemas.openxmlformats.org/officeDocument/2006/relationships/hyperlink" Target="https://drive.google.com/file/d/1jaDNupi-6iftwYbsYwdJ432Xaw1wfCfx/view?usp=drive_link" TargetMode="External"/><Relationship Id="rId104" Type="http://schemas.openxmlformats.org/officeDocument/2006/relationships/hyperlink" Target="https://drive.google.com/file/d/17a-BLx9DUbFFvlM65kF9uzsI_cF4hjOa/view?usp=drive_link" TargetMode="External"/><Relationship Id="rId109" Type="http://schemas.openxmlformats.org/officeDocument/2006/relationships/hyperlink" Target="https://drive.google.com/file/d/1cZ3L2RTFexXme3zc8p91ZiB8pTbu70U4/view?usp=drive_link" TargetMode="External"/><Relationship Id="rId108" Type="http://schemas.openxmlformats.org/officeDocument/2006/relationships/hyperlink" Target="https://drive.google.com/file/d/1Iy7nCF89WhyIbqbXIXsLtGZcnnPUr-uW/view?usp=drive_link" TargetMode="External"/><Relationship Id="rId48" Type="http://schemas.openxmlformats.org/officeDocument/2006/relationships/hyperlink" Target="https://drive.google.com/file/d/1--kH-jLxk-mvlxO1VbJG0j2wCNCZ8rJV/view?usp=drive_link" TargetMode="External"/><Relationship Id="rId47" Type="http://schemas.openxmlformats.org/officeDocument/2006/relationships/hyperlink" Target="https://drive.google.com/file/d/1kVoAE29b5HZ47jPP3tp3R7cVC2DaPHhF/view?usp=drive_link" TargetMode="External"/><Relationship Id="rId49" Type="http://schemas.openxmlformats.org/officeDocument/2006/relationships/hyperlink" Target="https://drive.google.com/file/d/12BkwuHiy8V7tjRcnag-IqhGsEdNncckI/view?usp=drive_link" TargetMode="External"/><Relationship Id="rId103" Type="http://schemas.openxmlformats.org/officeDocument/2006/relationships/hyperlink" Target="https://drive.google.com/file/d/14xn-NCGqq5FDwmKcrNFIH3Y0jgKMHVLR/view?usp=drive_link" TargetMode="External"/><Relationship Id="rId102" Type="http://schemas.openxmlformats.org/officeDocument/2006/relationships/hyperlink" Target="https://drive.google.com/file/d/1BN6h8YIlTE02N7FtiJN4HCtqzf4S_2vB/view?usp=drive_link" TargetMode="External"/><Relationship Id="rId101" Type="http://schemas.openxmlformats.org/officeDocument/2006/relationships/hyperlink" Target="https://drive.google.com/file/d/1ECfWSKmHU0_St_NaBhtUCuc-PvoaZYY4/view?usp=drive_link" TargetMode="External"/><Relationship Id="rId100" Type="http://schemas.openxmlformats.org/officeDocument/2006/relationships/hyperlink" Target="https://drive.google.com/file/d/1-0WUWDJbX-cKrT7b8bghq99kOtMxzzLr/view?usp=drive_link" TargetMode="External"/><Relationship Id="rId31" Type="http://schemas.openxmlformats.org/officeDocument/2006/relationships/hyperlink" Target="https://drive.google.com/file/d/1yqTzaZthUyMyVVJ4Hr4kGUZudI-4oSfn/view?usp=drive_link" TargetMode="External"/><Relationship Id="rId30" Type="http://schemas.openxmlformats.org/officeDocument/2006/relationships/hyperlink" Target="https://drive.google.com/file/d/1yqTzaZthUyMyVVJ4Hr4kGUZudI-4oSfn/view?usp=drive_link" TargetMode="External"/><Relationship Id="rId33" Type="http://schemas.openxmlformats.org/officeDocument/2006/relationships/hyperlink" Target="https://drive.google.com/file/d/1AdA7WF_sgAFIMtOFdU8oHYru4ATP1V5t/view?usp=drive_link" TargetMode="External"/><Relationship Id="rId32" Type="http://schemas.openxmlformats.org/officeDocument/2006/relationships/hyperlink" Target="https://drive.google.com/file/d/11sT_smtcC_H80DHesHnGiRfzAbNQbVTe/view?usp=drive_link" TargetMode="External"/><Relationship Id="rId35" Type="http://schemas.openxmlformats.org/officeDocument/2006/relationships/hyperlink" Target="https://drive.google.com/file/d/1AdA7WF_sgAFIMtOFdU8oHYru4ATP1V5t/view?usp=drive_link" TargetMode="External"/><Relationship Id="rId34" Type="http://schemas.openxmlformats.org/officeDocument/2006/relationships/hyperlink" Target="https://drive.google.com/file/d/11sT_smtcC_H80DHesHnGiRfzAbNQbVTe/view?usp=drive_link" TargetMode="External"/><Relationship Id="rId37" Type="http://schemas.openxmlformats.org/officeDocument/2006/relationships/hyperlink" Target="https://drive.google.com/file/d/1CzNNZtaQSx58dLHn-v4pek6syK3CjfRh/view?usp=drive_link" TargetMode="External"/><Relationship Id="rId36" Type="http://schemas.openxmlformats.org/officeDocument/2006/relationships/hyperlink" Target="https://drive.google.com/file/d/1CzNNZtaQSx58dLHn-v4pek6syK3CjfRh/view?usp=drive_link" TargetMode="External"/><Relationship Id="rId39" Type="http://schemas.openxmlformats.org/officeDocument/2006/relationships/hyperlink" Target="https://drive.google.com/file/d/1CzNNZtaQSx58dLHn-v4pek6syK3CjfRh/view?usp=drive_link" TargetMode="External"/><Relationship Id="rId38" Type="http://schemas.openxmlformats.org/officeDocument/2006/relationships/hyperlink" Target="https://drive.google.com/file/d/1CzNNZtaQSx58dLHn-v4pek6syK3CjfRh/view?usp=drive_link" TargetMode="External"/><Relationship Id="rId20" Type="http://schemas.openxmlformats.org/officeDocument/2006/relationships/hyperlink" Target="https://drive.google.com/file/d/1kg6yOPHAenZTMm9hsKczgUkQY8usnH0t/view?usp=drive_link" TargetMode="External"/><Relationship Id="rId22" Type="http://schemas.openxmlformats.org/officeDocument/2006/relationships/hyperlink" Target="https://drive.google.com/file/d/1kg6yOPHAenZTMm9hsKczgUkQY8usnH0t/view?usp=drive_link" TargetMode="External"/><Relationship Id="rId21" Type="http://schemas.openxmlformats.org/officeDocument/2006/relationships/hyperlink" Target="https://drive.google.com/file/d/1kg6yOPHAenZTMm9hsKczgUkQY8usnH0t/view?usp=drive_link" TargetMode="External"/><Relationship Id="rId24" Type="http://schemas.openxmlformats.org/officeDocument/2006/relationships/hyperlink" Target="https://drive.google.com/file/d/1y7_AnPbBPYKzVf3ScIIXjt380Chk_wUp/view?usp=drive_link" TargetMode="External"/><Relationship Id="rId23" Type="http://schemas.openxmlformats.org/officeDocument/2006/relationships/hyperlink" Target="https://drive.google.com/file/d/1kg6yOPHAenZTMm9hsKczgUkQY8usnH0t/view?usp=drive_link" TargetMode="External"/><Relationship Id="rId129" Type="http://schemas.openxmlformats.org/officeDocument/2006/relationships/hyperlink" Target="https://drive.google.com/drive/folders/1FGIbDxCQnJOywHFkATHI4mg97Zt_7Sh9" TargetMode="External"/><Relationship Id="rId128" Type="http://schemas.openxmlformats.org/officeDocument/2006/relationships/hyperlink" Target="https://drive.google.com/drive/folders/1FGIbDxCQnJOywHFkATHI4mg97Zt_7Sh9" TargetMode="External"/><Relationship Id="rId127" Type="http://schemas.openxmlformats.org/officeDocument/2006/relationships/hyperlink" Target="https://drive.google.com/drive/folders/1FGIbDxCQnJOywHFkATHI4mg97Zt_7Sh9" TargetMode="External"/><Relationship Id="rId126" Type="http://schemas.openxmlformats.org/officeDocument/2006/relationships/hyperlink" Target="https://drive.google.com/drive/folders/1FGIbDxCQnJOywHFkATHI4mg97Zt_7Sh9" TargetMode="External"/><Relationship Id="rId26" Type="http://schemas.openxmlformats.org/officeDocument/2006/relationships/hyperlink" Target="https://drive.google.com/file/d/1sdi0Ew3n3YbSGzV2qemdgmTNOIdlvqrp/view?usp=drive_link" TargetMode="External"/><Relationship Id="rId121" Type="http://schemas.openxmlformats.org/officeDocument/2006/relationships/hyperlink" Target="https://drive.google.com/file/d/1Mrx2fZQtLIdGoZ6DayomFj2MIcnyJikb/view?usp=drive_link" TargetMode="External"/><Relationship Id="rId25" Type="http://schemas.openxmlformats.org/officeDocument/2006/relationships/hyperlink" Target="https://drive.google.com/file/d/13y0rDCvWuRt2PTqZjP3nMyIKlcyQEdBy/view?usp=drive_link" TargetMode="External"/><Relationship Id="rId120" Type="http://schemas.openxmlformats.org/officeDocument/2006/relationships/hyperlink" Target="https://drive.google.com/file/d/1glMO0vi_zRsn-CLOFCaAFu2CPhkEwx3R/view?usp=drive_link" TargetMode="External"/><Relationship Id="rId28" Type="http://schemas.openxmlformats.org/officeDocument/2006/relationships/hyperlink" Target="https://drive.google.com/file/d/1yqTzaZthUyMyVVJ4Hr4kGUZudI-4oSfn/view?usp=drive_link" TargetMode="External"/><Relationship Id="rId27" Type="http://schemas.openxmlformats.org/officeDocument/2006/relationships/hyperlink" Target="https://drive.google.com/file/d/10FtMLq5zrfga4XdXaIa6Xpmp1AsRcX0y/view?usp=drive_link" TargetMode="External"/><Relationship Id="rId125" Type="http://schemas.openxmlformats.org/officeDocument/2006/relationships/hyperlink" Target="https://drive.google.com/drive/folders/1FGIbDxCQnJOywHFkATHI4mg97Zt_7Sh9" TargetMode="External"/><Relationship Id="rId29" Type="http://schemas.openxmlformats.org/officeDocument/2006/relationships/hyperlink" Target="https://drive.google.com/file/d/1yqTzaZthUyMyVVJ4Hr4kGUZudI-4oSfn/view?usp=drive_link" TargetMode="External"/><Relationship Id="rId124" Type="http://schemas.openxmlformats.org/officeDocument/2006/relationships/hyperlink" Target="https://drive.google.com/file/d/11Yy2PiRWZda70M1rEREhVQ8BnRKRBYET/view?usp=drive_link" TargetMode="External"/><Relationship Id="rId123" Type="http://schemas.openxmlformats.org/officeDocument/2006/relationships/hyperlink" Target="https://drive.google.com/file/d/11Yy2PiRWZda70M1rEREhVQ8BnRKRBYET/view?usp=drive_link" TargetMode="External"/><Relationship Id="rId122" Type="http://schemas.openxmlformats.org/officeDocument/2006/relationships/hyperlink" Target="https://drive.google.com/file/d/1PTZJOVslhamOOtBX5JHGOCEzeioveytr/view?usp=drive_link" TargetMode="External"/><Relationship Id="rId95" Type="http://schemas.openxmlformats.org/officeDocument/2006/relationships/hyperlink" Target="https://drive.google.com/file/d/1CqK6Jlx-cr1bd9a7lFFmLwgeiSifqVfV/view?usp=drive_link" TargetMode="External"/><Relationship Id="rId94" Type="http://schemas.openxmlformats.org/officeDocument/2006/relationships/hyperlink" Target="https://drive.google.com/file/d/1kWidQX3rNaCBJPVUDTxNvL6ZjoF7vA9D/view?usp=drive_link" TargetMode="External"/><Relationship Id="rId97" Type="http://schemas.openxmlformats.org/officeDocument/2006/relationships/hyperlink" Target="https://drive.google.com/file/d/1-0WUWDJbX-cKrT7b8bghq99kOtMxzzLr/view?usp=drive_link" TargetMode="External"/><Relationship Id="rId96" Type="http://schemas.openxmlformats.org/officeDocument/2006/relationships/hyperlink" Target="https://drive.google.com/file/d/12GT7LmIwa5EGz-QTYLWbhdBFoLO9ToNv/view?usp=drive_link" TargetMode="External"/><Relationship Id="rId11" Type="http://schemas.openxmlformats.org/officeDocument/2006/relationships/hyperlink" Target="https://drive.google.com/file/d/1A7onapIUsvEaCJjVirEGUCIuIepa73ij/view?usp=drive_link" TargetMode="External"/><Relationship Id="rId99" Type="http://schemas.openxmlformats.org/officeDocument/2006/relationships/hyperlink" Target="https://drive.google.com/file/d/1BN6h8YIlTE02N7FtiJN4HCtqzf4S_2vB/view?usp=drive_link" TargetMode="External"/><Relationship Id="rId10" Type="http://schemas.openxmlformats.org/officeDocument/2006/relationships/hyperlink" Target="https://drive.google.com/file/d/16OYjsugZURUYoNJGtGk8Mk_eKUm30fDo/view?usp=drive_link" TargetMode="External"/><Relationship Id="rId98" Type="http://schemas.openxmlformats.org/officeDocument/2006/relationships/hyperlink" Target="https://drive.google.com/file/d/1ECfWSKmHU0_St_NaBhtUCuc-PvoaZYY4/view?usp=drive_link" TargetMode="External"/><Relationship Id="rId13" Type="http://schemas.openxmlformats.org/officeDocument/2006/relationships/hyperlink" Target="https://drive.google.com/file/d/18Iq4OGDLz5gZ3-hGwpCsdZqg0bOmxS23/view?usp=drive_link" TargetMode="External"/><Relationship Id="rId12" Type="http://schemas.openxmlformats.org/officeDocument/2006/relationships/hyperlink" Target="https://drive.google.com/file/d/13KMHBhhROiy8TA_iLOEILmrZxELdaCSQ/view?usp=drive_link" TargetMode="External"/><Relationship Id="rId91" Type="http://schemas.openxmlformats.org/officeDocument/2006/relationships/hyperlink" Target="https://drive.google.com/file/d/1W63ZpE2vGWrIXkjiC1IXJduHSWvB80lf/view?usp=drive_link" TargetMode="External"/><Relationship Id="rId90" Type="http://schemas.openxmlformats.org/officeDocument/2006/relationships/hyperlink" Target="https://drive.google.com/file/d/1IGXTc7WVkBloadIaEQ4O9BYg8RuaDs1I/view?usp=drive_link" TargetMode="External"/><Relationship Id="rId93" Type="http://schemas.openxmlformats.org/officeDocument/2006/relationships/hyperlink" Target="https://drive.google.com/file/d/1UfA5qP-6SVkGhRa3Tp7xI6eoFKUfCPCB/view?usp=drive_link" TargetMode="External"/><Relationship Id="rId92" Type="http://schemas.openxmlformats.org/officeDocument/2006/relationships/hyperlink" Target="https://drive.google.com/file/d/12jr4dzpIr9RkLg15-VaiUdnUue9v2laE/view" TargetMode="External"/><Relationship Id="rId118" Type="http://schemas.openxmlformats.org/officeDocument/2006/relationships/hyperlink" Target="https://drive.google.com/file/d/1maaadTOOLtD5bbKeq0beew-7wWmV4ODi/view?usp=drive_link" TargetMode="External"/><Relationship Id="rId117" Type="http://schemas.openxmlformats.org/officeDocument/2006/relationships/hyperlink" Target="https://drive.google.com/file/d/1Odj1OSzJ7p6vgfzoLuxVtbJj8zYkR4Pq/view?usp=drive_link" TargetMode="External"/><Relationship Id="rId116" Type="http://schemas.openxmlformats.org/officeDocument/2006/relationships/hyperlink" Target="https://drive.google.com/file/d/1C44RcX3wdqkoea4hkh78ROQnGDruz_XC/view?usp=drive_link" TargetMode="External"/><Relationship Id="rId115" Type="http://schemas.openxmlformats.org/officeDocument/2006/relationships/hyperlink" Target="https://drive.google.com/file/d/1C44RcX3wdqkoea4hkh78ROQnGDruz_XC/view?usp=drive_link" TargetMode="External"/><Relationship Id="rId119" Type="http://schemas.openxmlformats.org/officeDocument/2006/relationships/hyperlink" Target="https://drive.google.com/file/d/1mgynXsruzMrwSOR-xlauw4x64o5PGai6/view?usp=drive_link" TargetMode="External"/><Relationship Id="rId15" Type="http://schemas.openxmlformats.org/officeDocument/2006/relationships/hyperlink" Target="https://drive.google.com/file/d/1f0h7OidDINymRitAFzORsSNF9d3BuENm/view?usp=drive_link" TargetMode="External"/><Relationship Id="rId110" Type="http://schemas.openxmlformats.org/officeDocument/2006/relationships/hyperlink" Target="https://drive.google.com/file/d/1mok2b_Q3F_wwabgEPA6O0CeL-qOEW8sm/view?usp=drive_link" TargetMode="External"/><Relationship Id="rId14" Type="http://schemas.openxmlformats.org/officeDocument/2006/relationships/hyperlink" Target="https://drive.google.com/file/d/13f7V4OIqMVCzICU1_NO4UOznEYP_Au_Y/view?usp=drive_link" TargetMode="External"/><Relationship Id="rId17" Type="http://schemas.openxmlformats.org/officeDocument/2006/relationships/hyperlink" Target="https://drive.google.com/file/d/1jc4wRxSCCI3VYbsDbHUPNaAewQxV6Vvk/view?usp=drive_link" TargetMode="External"/><Relationship Id="rId16" Type="http://schemas.openxmlformats.org/officeDocument/2006/relationships/hyperlink" Target="https://drive.google.com/file/d/1WkiohR4loTupJciiryQmi1WLx7PcHB72/view?usp=drive_link" TargetMode="External"/><Relationship Id="rId19" Type="http://schemas.openxmlformats.org/officeDocument/2006/relationships/hyperlink" Target="https://drive.google.com/file/d/1kg6yOPHAenZTMm9hsKczgUkQY8usnH0t/view?usp=drive_link" TargetMode="External"/><Relationship Id="rId114" Type="http://schemas.openxmlformats.org/officeDocument/2006/relationships/hyperlink" Target="https://drive.google.com/file/d/1dl3sVsXVAegVc1O1oe3UYNSjR58Q9fkw/view?usp=drive_link" TargetMode="External"/><Relationship Id="rId18" Type="http://schemas.openxmlformats.org/officeDocument/2006/relationships/hyperlink" Target="https://drive.google.com/file/d/1kg6yOPHAenZTMm9hsKczgUkQY8usnH0t/view?usp=drive_link" TargetMode="External"/><Relationship Id="rId113" Type="http://schemas.openxmlformats.org/officeDocument/2006/relationships/hyperlink" Target="https://drive.google.com/file/d/10TXNSGcXWCswtpM1itkiCRE_BSoOPzeX/view?usp=drive_link" TargetMode="External"/><Relationship Id="rId112" Type="http://schemas.openxmlformats.org/officeDocument/2006/relationships/hyperlink" Target="https://drive.google.com/file/d/1mgynXsruzMrwSOR-xlauw4x64o5PGai6/view?usp=drive_link" TargetMode="External"/><Relationship Id="rId111" Type="http://schemas.openxmlformats.org/officeDocument/2006/relationships/hyperlink" Target="https://drive.google.com/file/d/1mgynXsruzMrwSOR-xlauw4x64o5PGai6/view?usp=drive_link" TargetMode="External"/><Relationship Id="rId84" Type="http://schemas.openxmlformats.org/officeDocument/2006/relationships/hyperlink" Target="https://drive.google.com/file/d/1R7cQCrQQF7sVuTUuxeu9sHFsbgyHLrrr/view?usp=drive_link" TargetMode="External"/><Relationship Id="rId83" Type="http://schemas.openxmlformats.org/officeDocument/2006/relationships/hyperlink" Target="https://drive.google.com/file/d/1IGXTc7WVkBloadIaEQ4O9BYg8RuaDs1I/view?usp=drive_link" TargetMode="External"/><Relationship Id="rId86" Type="http://schemas.openxmlformats.org/officeDocument/2006/relationships/hyperlink" Target="https://drive.google.com/file/d/12jr4dzpIr9RkLg15-VaiUdnUue9v2laE/view?usp=drive_link" TargetMode="External"/><Relationship Id="rId85" Type="http://schemas.openxmlformats.org/officeDocument/2006/relationships/hyperlink" Target="https://drive.google.com/file/d/1yGwoRJOD0W30VbMpiZAjg5VidTmWBxCL/view?usp=drive_link" TargetMode="External"/><Relationship Id="rId88" Type="http://schemas.openxmlformats.org/officeDocument/2006/relationships/hyperlink" Target="https://drive.google.com/file/d/1h9_wszwnxkcYE_BpL4dwT5TINV8OLmqO/view?usp=drive_link" TargetMode="External"/><Relationship Id="rId87" Type="http://schemas.openxmlformats.org/officeDocument/2006/relationships/hyperlink" Target="https://drive.google.com/file/d/1W63ZpE2vGWrIXkjiC1IXJduHSWvB80lf/view?usp=drive_link" TargetMode="External"/><Relationship Id="rId89" Type="http://schemas.openxmlformats.org/officeDocument/2006/relationships/hyperlink" Target="https://drive.google.com/file/d/1EgtupHIDk8sSd2Mh5c5Km2nPlK90Li0T/view?usp=drive_link" TargetMode="External"/><Relationship Id="rId80" Type="http://schemas.openxmlformats.org/officeDocument/2006/relationships/hyperlink" Target="https://drive.google.com/file/d/12jr4dzpIr9RkLg15-VaiUdnUue9v2laE/view?usp=drive_link" TargetMode="External"/><Relationship Id="rId82" Type="http://schemas.openxmlformats.org/officeDocument/2006/relationships/hyperlink" Target="https://drive.google.com/file/d/1EgtupHIDk8sSd2Mh5c5Km2nPlK90Li0T/view?usp=drive_link" TargetMode="External"/><Relationship Id="rId81" Type="http://schemas.openxmlformats.org/officeDocument/2006/relationships/hyperlink" Target="https://drive.google.com/file/d/1h9_wszwnxkcYE_BpL4dwT5TINV8OLmqO/view?usp=drive_link" TargetMode="External"/><Relationship Id="rId1" Type="http://schemas.openxmlformats.org/officeDocument/2006/relationships/hyperlink" Target="https://drive.google.com/file/d/1wdEDpbsgVJZe7tYAA5Jl7_q8ok5r2xJx/view?usp=drive_link" TargetMode="External"/><Relationship Id="rId2" Type="http://schemas.openxmlformats.org/officeDocument/2006/relationships/hyperlink" Target="https://drive.google.com/file/d/1QDHWO3nr-M5wgnA4elVaJ-eQHqgBD8xw/view?usp=drive_link" TargetMode="External"/><Relationship Id="rId3" Type="http://schemas.openxmlformats.org/officeDocument/2006/relationships/hyperlink" Target="https://drive.google.com/file/d/1QDHWO3nr-M5wgnA4elVaJ-eQHqgBD8xw/view?usp=drive_link" TargetMode="External"/><Relationship Id="rId149" Type="http://schemas.openxmlformats.org/officeDocument/2006/relationships/table" Target="../tables/table1.xml"/><Relationship Id="rId4" Type="http://schemas.openxmlformats.org/officeDocument/2006/relationships/hyperlink" Target="https://drive.google.com/file/d/1QDHWO3nr-M5wgnA4elVaJ-eQHqgBD8xw/view?usp=drive_link" TargetMode="External"/><Relationship Id="rId9" Type="http://schemas.openxmlformats.org/officeDocument/2006/relationships/hyperlink" Target="https://drive.google.com/file/d/1oQ1PFR9FJClH1URFkype7gtG_tI5OMXD/view?usp=drive_link" TargetMode="External"/><Relationship Id="rId143" Type="http://schemas.openxmlformats.org/officeDocument/2006/relationships/hyperlink" Target="https://drive.google.com/file/d/1NsZjb7H4O8n6pWCHQx-DZiICtAluiUCY/view?usp=drive_link" TargetMode="External"/><Relationship Id="rId142" Type="http://schemas.openxmlformats.org/officeDocument/2006/relationships/hyperlink" Target="https://drive.google.com/file/d/1t70bD7cHNf6gVs7g8AzDuv55bjx2aGLp/view?usp=drive_link" TargetMode="External"/><Relationship Id="rId141" Type="http://schemas.openxmlformats.org/officeDocument/2006/relationships/hyperlink" Target="https://drive.google.com/file/d/1VtbR38OaeUzvDPphqt0pz2NVZ9eYO65n/view?usp=drive_link" TargetMode="External"/><Relationship Id="rId140" Type="http://schemas.openxmlformats.org/officeDocument/2006/relationships/hyperlink" Target="https://drive.google.com/file/d/1QwAFsqTBMgwhR2qn6-hbrgu52JfjObbq/view?usp=drive_link" TargetMode="External"/><Relationship Id="rId5" Type="http://schemas.openxmlformats.org/officeDocument/2006/relationships/hyperlink" Target="https://drive.google.com/file/d/1QDHWO3nr-M5wgnA4elVaJ-eQHqgBD8xw/view?usp=drive_link" TargetMode="External"/><Relationship Id="rId147" Type="http://schemas.openxmlformats.org/officeDocument/2006/relationships/drawing" Target="../drawings/drawing2.xml"/><Relationship Id="rId6" Type="http://schemas.openxmlformats.org/officeDocument/2006/relationships/hyperlink" Target="https://drive.google.com/file/d/16OYjsugZURUYoNJGtGk8Mk_eKUm30fDo/view?usp=drive_link" TargetMode="External"/><Relationship Id="rId146" Type="http://schemas.openxmlformats.org/officeDocument/2006/relationships/hyperlink" Target="https://drive.google.com/file/d/1d8U5ie1767Z8Q_WuMOinKw6s5H0WIVg6/view?usp=drive_link" TargetMode="External"/><Relationship Id="rId7" Type="http://schemas.openxmlformats.org/officeDocument/2006/relationships/hyperlink" Target="https://drive.google.com/file/d/1YPfwbIOTDgAt2T8rjyvCA9bUXGQXI_pW/view?usp=drive_link" TargetMode="External"/><Relationship Id="rId145" Type="http://schemas.openxmlformats.org/officeDocument/2006/relationships/hyperlink" Target="https://drive.google.com/file/d/1d8U5ie1767Z8Q_WuMOinKw6s5H0WIVg6/view?usp=drive_link" TargetMode="External"/><Relationship Id="rId8" Type="http://schemas.openxmlformats.org/officeDocument/2006/relationships/hyperlink" Target="https://drive.google.com/file/d/16OYjsugZURUYoNJGtGk8Mk_eKUm30fDo/view?usp=drive_link" TargetMode="External"/><Relationship Id="rId144" Type="http://schemas.openxmlformats.org/officeDocument/2006/relationships/hyperlink" Target="https://drive.google.com/file/d/1wH3_t4byci8MaRqJHaiRqyQ1ZyB9BQx9/view?usp=drive_link" TargetMode="External"/><Relationship Id="rId73" Type="http://schemas.openxmlformats.org/officeDocument/2006/relationships/hyperlink" Target="https://drive.google.com/file/d/1NsZjb7H4O8n6pWCHQx-DZiICtAluiUCY/view?usp=drive_link" TargetMode="External"/><Relationship Id="rId72" Type="http://schemas.openxmlformats.org/officeDocument/2006/relationships/hyperlink" Target="https://drive.google.com/file/d/1wH3_t4byci8MaRqJHaiRqyQ1ZyB9BQx9/view?usp=drive_link" TargetMode="External"/><Relationship Id="rId75" Type="http://schemas.openxmlformats.org/officeDocument/2006/relationships/hyperlink" Target="https://drive.google.com/file/d/19zdK4rcmF22Pkx8dBeCZgLKEoiN8Jv5y/view?usp=drive_link" TargetMode="External"/><Relationship Id="rId74" Type="http://schemas.openxmlformats.org/officeDocument/2006/relationships/hyperlink" Target="https://drive.google.com/file/d/1cZaSzqNliRnrn_ZEFqjHZSc4TEp7eJGM/view?usp=drive_link" TargetMode="External"/><Relationship Id="rId77" Type="http://schemas.openxmlformats.org/officeDocument/2006/relationships/hyperlink" Target="https://drive.google.com/file/d/1UW4IEFWkK1vMMPDkuk8I1p8EXbvhIq0n/view?usp=drive_link" TargetMode="External"/><Relationship Id="rId76" Type="http://schemas.openxmlformats.org/officeDocument/2006/relationships/hyperlink" Target="https://drive.google.com/file/d/1jkF6sE7gE2qin-TU4c9O6fDTcLPF-VPF/view?usp=drive_link" TargetMode="External"/><Relationship Id="rId79" Type="http://schemas.openxmlformats.org/officeDocument/2006/relationships/hyperlink" Target="https://drive.google.com/file/d/1W63ZpE2vGWrIXkjiC1IXJduHSWvB80lf/view?usp=drive_link" TargetMode="External"/><Relationship Id="rId78" Type="http://schemas.openxmlformats.org/officeDocument/2006/relationships/hyperlink" Target="https://drive.google.com/file/d/12BkwuHiy8V7tjRcnag-IqhGsEdNncckI/view?usp=drive_link" TargetMode="External"/><Relationship Id="rId71" Type="http://schemas.openxmlformats.org/officeDocument/2006/relationships/hyperlink" Target="https://drive.google.com/file/d/12GT7LmIwa5EGz-QTYLWbhdBFoLO9ToNv/view?usp=drive_link" TargetMode="External"/><Relationship Id="rId70" Type="http://schemas.openxmlformats.org/officeDocument/2006/relationships/hyperlink" Target="https://drive.google.com/file/d/1UfA5qP-6SVkGhRa3Tp7xI6eoFKUfCPCB/view?usp=drive_link" TargetMode="External"/><Relationship Id="rId139" Type="http://schemas.openxmlformats.org/officeDocument/2006/relationships/hyperlink" Target="https://drive.google.com/file/d/1qlO00hPOGmAfRTLiL4F3Uvn64vo9XlGq/view?usp=drive_link" TargetMode="External"/><Relationship Id="rId138" Type="http://schemas.openxmlformats.org/officeDocument/2006/relationships/hyperlink" Target="https://drive.google.com/file/d/1xRF4HNdXmcMCupTjIYCkt0au1_ZgP-ze/view?usp=drive_link" TargetMode="External"/><Relationship Id="rId137" Type="http://schemas.openxmlformats.org/officeDocument/2006/relationships/hyperlink" Target="https://drive.google.com/file/d/1xRF4HNdXmcMCupTjIYCkt0au1_ZgP-ze/view?usp=drive_link" TargetMode="External"/><Relationship Id="rId132" Type="http://schemas.openxmlformats.org/officeDocument/2006/relationships/hyperlink" Target="https://drive.google.com/file/d/1MJDceK0aiSzZP6glcp2h-VfsXuJUdtJ5/view?usp=drive_link" TargetMode="External"/><Relationship Id="rId131" Type="http://schemas.openxmlformats.org/officeDocument/2006/relationships/hyperlink" Target="https://drive.google.com/file/d/1x0B6cEbMhaLSgOH8uaXmvujBiNNmAvXK/view?usp=drive_link" TargetMode="External"/><Relationship Id="rId130" Type="http://schemas.openxmlformats.org/officeDocument/2006/relationships/hyperlink" Target="https://drive.google.com/drive/folders/1FGIbDxCQnJOywHFkATHI4mg97Zt_7Sh9" TargetMode="External"/><Relationship Id="rId136" Type="http://schemas.openxmlformats.org/officeDocument/2006/relationships/hyperlink" Target="https://drive.google.com/file/d/1gd1lXFL5WN6xTZiCEi4i4ne3T8asZ9rj/view?usp=drive_link" TargetMode="External"/><Relationship Id="rId135" Type="http://schemas.openxmlformats.org/officeDocument/2006/relationships/hyperlink" Target="https://drive.google.com/file/d/1cGGf-HScg4Tn7j33HvY04Jpwvn90Sgra/view?usp=drive_link" TargetMode="External"/><Relationship Id="rId134" Type="http://schemas.openxmlformats.org/officeDocument/2006/relationships/hyperlink" Target="https://drive.google.com/file/d/1zHARiDDLfhZaoMegMBbKBLVhn2V3CcnB/view?usp=drive_link" TargetMode="External"/><Relationship Id="rId133" Type="http://schemas.openxmlformats.org/officeDocument/2006/relationships/hyperlink" Target="https://drive.google.com/file/d/1u7A4JqCpVOPsDqE4VE1B9v_pkj6uP47o/view?usp=drive_link" TargetMode="External"/><Relationship Id="rId62" Type="http://schemas.openxmlformats.org/officeDocument/2006/relationships/hyperlink" Target="https://drive.google.com/file/d/10TXNSGcXWCswtpM1itkiCRE_BSoOPzeX/view?usp=drive_link" TargetMode="External"/><Relationship Id="rId61" Type="http://schemas.openxmlformats.org/officeDocument/2006/relationships/hyperlink" Target="https://drive.google.com/file/d/1mgynXsruzMrwSOR-xlauw4x64o5PGai6/view?usp=drive_link" TargetMode="External"/><Relationship Id="rId64" Type="http://schemas.openxmlformats.org/officeDocument/2006/relationships/hyperlink" Target="https://drive.google.com/file/d/1C44RcX3wdqkoea4hkh78ROQnGDruz_XC/view?usp=drive_link" TargetMode="External"/><Relationship Id="rId63" Type="http://schemas.openxmlformats.org/officeDocument/2006/relationships/hyperlink" Target="https://drive.google.com/file/d/1dl3sVsXVAegVc1O1oe3UYNSjR58Q9fkw/view?usp=drive_link" TargetMode="External"/><Relationship Id="rId66" Type="http://schemas.openxmlformats.org/officeDocument/2006/relationships/hyperlink" Target="https://drive.google.com/file/d/1QwAFsqTBMgwhR2qn6-hbrgu52JfjObbq/view?usp=drive_link" TargetMode="External"/><Relationship Id="rId65" Type="http://schemas.openxmlformats.org/officeDocument/2006/relationships/hyperlink" Target="https://drive.google.com/file/d/1C44RcX3wdqkoea4hkh78ROQnGDruz_XC/view?usp=drive_link" TargetMode="External"/><Relationship Id="rId68" Type="http://schemas.openxmlformats.org/officeDocument/2006/relationships/hyperlink" Target="https://drive.google.com/file/d/1rrLk8ZT21qehJK3_MV8ZvRyeOKVYSQ4A/view?usp=drive_link" TargetMode="External"/><Relationship Id="rId67" Type="http://schemas.openxmlformats.org/officeDocument/2006/relationships/hyperlink" Target="https://drive.google.com/file/d/1qlO00hPOGmAfRTLiL4F3Uvn64vo9XlGq/view?usp=drive_link" TargetMode="External"/><Relationship Id="rId60" Type="http://schemas.openxmlformats.org/officeDocument/2006/relationships/hyperlink" Target="https://drive.google.com/file/d/1mgynXsruzMrwSOR-xlauw4x64o5PGai6/view?usp=drive_link" TargetMode="External"/><Relationship Id="rId69" Type="http://schemas.openxmlformats.org/officeDocument/2006/relationships/hyperlink" Target="https://drive.google.com/file/d/1UfA5qP-6SVkGhRa3Tp7xI6eoFKUfCPCB/view?usp=drive_link" TargetMode="External"/><Relationship Id="rId51" Type="http://schemas.openxmlformats.org/officeDocument/2006/relationships/hyperlink" Target="https://drive.google.com/file/d/1PTZJOVslhamOOtBX5JHGOCEzeioveytr/view?usp=drive_link" TargetMode="External"/><Relationship Id="rId50" Type="http://schemas.openxmlformats.org/officeDocument/2006/relationships/hyperlink" Target="https://drive.google.com/file/d/1Mrx2fZQtLIdGoZ6DayomFj2MIcnyJikb/view?usp=drive_link" TargetMode="External"/><Relationship Id="rId53" Type="http://schemas.openxmlformats.org/officeDocument/2006/relationships/hyperlink" Target="https://drive.google.com/file/d/11Yy2PiRWZda70M1rEREhVQ8BnRKRBYET/view?usp=drive_link" TargetMode="External"/><Relationship Id="rId52" Type="http://schemas.openxmlformats.org/officeDocument/2006/relationships/hyperlink" Target="https://drive.google.com/file/d/11Yy2PiRWZda70M1rEREhVQ8BnRKRBYET/view" TargetMode="External"/><Relationship Id="rId55" Type="http://schemas.openxmlformats.org/officeDocument/2006/relationships/hyperlink" Target="https://drive.google.com/file/d/1maaadTOOLtD5bbKeq0beew-7wWmV4ODi/view?usp=drive_link" TargetMode="External"/><Relationship Id="rId54" Type="http://schemas.openxmlformats.org/officeDocument/2006/relationships/hyperlink" Target="https://drive.google.com/file/d/1Odj1OSzJ7p6vgfzoLuxVtbJj8zYkR4Pq/view?usp=drive_link" TargetMode="External"/><Relationship Id="rId57" Type="http://schemas.openxmlformats.org/officeDocument/2006/relationships/hyperlink" Target="https://drive.google.com/file/d/1glMO0vi_zRsn-CLOFCaAFu2CPhkEwx3R/view?usp=drive_link" TargetMode="External"/><Relationship Id="rId56" Type="http://schemas.openxmlformats.org/officeDocument/2006/relationships/hyperlink" Target="https://drive.google.com/file/d/1glMO0vi_zRsn-CLOFCaAFu2CPhkEwx3R/view?usp=drive_link" TargetMode="External"/><Relationship Id="rId59" Type="http://schemas.openxmlformats.org/officeDocument/2006/relationships/hyperlink" Target="https://drive.google.com/file/d/1mok2b_Q3F_wwabgEPA6O0CeL-qOEW8sm/view?usp=drive_link" TargetMode="External"/><Relationship Id="rId58" Type="http://schemas.openxmlformats.org/officeDocument/2006/relationships/hyperlink" Target="https://drive.google.com/file/d/1cZ3L2RTFexXme3zc8p91ZiB8pTbu70U4/view?usp=drive_link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gmGd6H2JPr2d3r5X-Sr_DTBGgoHr6VCS/view?usp=drive_link" TargetMode="External"/><Relationship Id="rId190" Type="http://schemas.openxmlformats.org/officeDocument/2006/relationships/hyperlink" Target="https://drive.google.com/file/d/1MGA0pOmlZpH6XsXqs57r3j__Oe5vy1x7/view?usp=drive_link" TargetMode="External"/><Relationship Id="rId42" Type="http://schemas.openxmlformats.org/officeDocument/2006/relationships/hyperlink" Target="https://drive.google.com/file/d/110U2ii_ChmFLCSJ2icCd4ROqhFCtJvOS/view?usp=drive_link" TargetMode="External"/><Relationship Id="rId41" Type="http://schemas.openxmlformats.org/officeDocument/2006/relationships/hyperlink" Target="https://drive.google.com/file/d/110U2ii_ChmFLCSJ2icCd4ROqhFCtJvOS/view?usp=drive_link" TargetMode="External"/><Relationship Id="rId44" Type="http://schemas.openxmlformats.org/officeDocument/2006/relationships/hyperlink" Target="https://drive.google.com/file/d/1EEg6pEuOzitPqTOZNyJbjFLe7B1seTK6/view?usp=drive_link" TargetMode="External"/><Relationship Id="rId194" Type="http://schemas.openxmlformats.org/officeDocument/2006/relationships/hyperlink" Target="https://drive.google.com/file/d/1hv3OjJhAQ78GwWEB_7k6VerdgPyHpLHv/view?usp=drive_link" TargetMode="External"/><Relationship Id="rId43" Type="http://schemas.openxmlformats.org/officeDocument/2006/relationships/hyperlink" Target="https://drive.google.com/file/d/1TB1xqXNNscvp-76oVDiH9GetPZDDtQ1V/view?usp=drive_link" TargetMode="External"/><Relationship Id="rId193" Type="http://schemas.openxmlformats.org/officeDocument/2006/relationships/hyperlink" Target="https://drive.google.com/file/d/14dX8W3Vgj0aQ1duVU6BXBZQpO4c018nR/view?usp=drive_link" TargetMode="External"/><Relationship Id="rId46" Type="http://schemas.openxmlformats.org/officeDocument/2006/relationships/hyperlink" Target="https://drive.google.com/file/d/1talgy-KFpnvgqYnLnX_kLwQEMyMw1JyG/view?usp=drive_link" TargetMode="External"/><Relationship Id="rId192" Type="http://schemas.openxmlformats.org/officeDocument/2006/relationships/hyperlink" Target="https://drive.google.com/file/d/1Fgcm1ktUbB-L9njkwOPzAiZ6hB7jmmTH/view?usp=drive_link" TargetMode="External"/><Relationship Id="rId45" Type="http://schemas.openxmlformats.org/officeDocument/2006/relationships/hyperlink" Target="https://drive.google.com/file/d/1r3d6fGihyaXAzzcdpUmBxj4ZlnU6wgYj/view?usp=drive_link" TargetMode="External"/><Relationship Id="rId191" Type="http://schemas.openxmlformats.org/officeDocument/2006/relationships/hyperlink" Target="https://drive.google.com/file/d/1ETAJd-bFEJNL7rIasHgxBC983cd_S0i4/view?usp=drive_link" TargetMode="External"/><Relationship Id="rId48" Type="http://schemas.openxmlformats.org/officeDocument/2006/relationships/hyperlink" Target="https://drive.google.com/file/d/1GuyqrDXJPgkXWGgRrATDdrzDRyZgaAIU/view?usp=drive_link" TargetMode="External"/><Relationship Id="rId187" Type="http://schemas.openxmlformats.org/officeDocument/2006/relationships/hyperlink" Target="https://drive.google.com/file/d/1r1qtUSleOCgz99FsqDXVyKj0b9bamEMn/view?usp=drive_link" TargetMode="External"/><Relationship Id="rId47" Type="http://schemas.openxmlformats.org/officeDocument/2006/relationships/hyperlink" Target="https://drive.google.com/file/d/1lpQ7hnkpjJrBAF7N3vUtJ13NK5cgCgHV/view?usp=drive_link" TargetMode="External"/><Relationship Id="rId186" Type="http://schemas.openxmlformats.org/officeDocument/2006/relationships/hyperlink" Target="https://drive.google.com/file/d/1-Qz0XemC4GbWQbciBOURl9bs9KU45kBb/view?usp=drive_link" TargetMode="External"/><Relationship Id="rId185" Type="http://schemas.openxmlformats.org/officeDocument/2006/relationships/hyperlink" Target="https://drive.google.com/file/d/1vnAdkDseAJ-dSsAkTPxuflCwwI21RC53/view?usp=drive_link" TargetMode="External"/><Relationship Id="rId49" Type="http://schemas.openxmlformats.org/officeDocument/2006/relationships/hyperlink" Target="https://drive.google.com/file/d/1ECcFqUcOQocPSdWe7AfxNdnyqShKhooo/view?usp=drive_link" TargetMode="External"/><Relationship Id="rId184" Type="http://schemas.openxmlformats.org/officeDocument/2006/relationships/hyperlink" Target="https://drive.google.com/file/d/1VloZHykQlv-9UdrD_AtKlF4bFeTZuqOo/view?usp=drive_link" TargetMode="External"/><Relationship Id="rId189" Type="http://schemas.openxmlformats.org/officeDocument/2006/relationships/hyperlink" Target="https://drive.google.com/file/d/1x9GvxJUJGuVoz1RhLgraPa3qbtfEAv_v/view?usp=drive_link" TargetMode="External"/><Relationship Id="rId188" Type="http://schemas.openxmlformats.org/officeDocument/2006/relationships/hyperlink" Target="https://drive.google.com/file/d/1f0IIkOf7LbsqHq_ZDlT3lmU_pRDtqDU_/view?usp=drive_link" TargetMode="External"/><Relationship Id="rId31" Type="http://schemas.openxmlformats.org/officeDocument/2006/relationships/hyperlink" Target="https://drive.google.com/file/d/1Og9EfRVllVvA3LN9IZ8AL613wI9cJRRn/view?usp=drive_link" TargetMode="External"/><Relationship Id="rId30" Type="http://schemas.openxmlformats.org/officeDocument/2006/relationships/hyperlink" Target="https://drive.google.com/file/d/1Og9EfRVllVvA3LN9IZ8AL613wI9cJRRn/view?usp=drive_link" TargetMode="External"/><Relationship Id="rId33" Type="http://schemas.openxmlformats.org/officeDocument/2006/relationships/hyperlink" Target="https://drive.google.com/file/d/14NFWgK4c5mjh3_c0RlLanooN3iRzpM1e/view?usp=drive_link" TargetMode="External"/><Relationship Id="rId183" Type="http://schemas.openxmlformats.org/officeDocument/2006/relationships/hyperlink" Target="https://drive.google.com/file/d/1GnGs-33lwqEjM_xT0vo04jDREKyKzJll/view?usp=drive_link" TargetMode="External"/><Relationship Id="rId32" Type="http://schemas.openxmlformats.org/officeDocument/2006/relationships/hyperlink" Target="https://drive.google.com/file/d/1GBa2YgVXlGOd-7hO6GBV7AiULy8xvl-m/view?usp=drive_link" TargetMode="External"/><Relationship Id="rId182" Type="http://schemas.openxmlformats.org/officeDocument/2006/relationships/hyperlink" Target="https://drive.google.com/file/d/1xy-uR_6wm9O8sWyYV3WenMT5D70MmZB4/view?usp=drive_link" TargetMode="External"/><Relationship Id="rId35" Type="http://schemas.openxmlformats.org/officeDocument/2006/relationships/hyperlink" Target="https://drive.google.com/file/d/1HbAtdXWKvM_MVt0_1hD_1ViVSvldSQOM/view?usp=drive_link" TargetMode="External"/><Relationship Id="rId181" Type="http://schemas.openxmlformats.org/officeDocument/2006/relationships/hyperlink" Target="https://drive.google.com/file/d/1WNxL7bIws4spuIySeuTeYNrBqBhVx26T/view?usp=drive_link" TargetMode="External"/><Relationship Id="rId34" Type="http://schemas.openxmlformats.org/officeDocument/2006/relationships/hyperlink" Target="https://drive.google.com/file/d/1F8rYuemhlSYEMuYxhfVNxfowuheyOcq1/view?usp=drive_link" TargetMode="External"/><Relationship Id="rId180" Type="http://schemas.openxmlformats.org/officeDocument/2006/relationships/hyperlink" Target="https://drive.google.com/file/d/1hKxglWbvju6rDgO7E4Ta2iQacY1tl517/view?usp=drive_link" TargetMode="External"/><Relationship Id="rId37" Type="http://schemas.openxmlformats.org/officeDocument/2006/relationships/hyperlink" Target="https://drive.google.com/file/d/15rpGty_WFB58dv-4jIoTRB5NYAts9BUg/view?usp=drive_link" TargetMode="External"/><Relationship Id="rId176" Type="http://schemas.openxmlformats.org/officeDocument/2006/relationships/hyperlink" Target="https://drive.google.com/file/d/15FRlaLhmqQQEqc_qiQTEHJabM893cCau/view?usp=drive_link" TargetMode="External"/><Relationship Id="rId297" Type="http://schemas.openxmlformats.org/officeDocument/2006/relationships/hyperlink" Target="https://drive.google.com/file/d/1v3hdaa948Kq0o8i2_iKlP5MaGzx5VwPN/view?usp=drive_link" TargetMode="External"/><Relationship Id="rId36" Type="http://schemas.openxmlformats.org/officeDocument/2006/relationships/hyperlink" Target="https://drive.google.com/file/d/1ouxNB50MyvHVo7pMGVlYj36BmEFSDr8D/view?usp=drive_link" TargetMode="External"/><Relationship Id="rId175" Type="http://schemas.openxmlformats.org/officeDocument/2006/relationships/hyperlink" Target="https://drive.google.com/file/d/1OoiRANoaTW8_eav4_ZHGRQKbQr2N8AUy/view?usp=drive_link" TargetMode="External"/><Relationship Id="rId296" Type="http://schemas.openxmlformats.org/officeDocument/2006/relationships/hyperlink" Target="https://drive.google.com/file/d/1E913rk8ItUyU4qCND4ELiWDzXh3FRVjB/view?usp=drive_link" TargetMode="External"/><Relationship Id="rId39" Type="http://schemas.openxmlformats.org/officeDocument/2006/relationships/hyperlink" Target="https://drive.google.com/file/d/1gmGd6H2JPr2d3r5X-Sr_DTBGgoHr6VCS/view?usp=drive_link" TargetMode="External"/><Relationship Id="rId174" Type="http://schemas.openxmlformats.org/officeDocument/2006/relationships/hyperlink" Target="https://drive.google.com/file/d/1auCqaudAgMVqu3BS-TcTafJz3xdyJsYy/view?usp=drive_link" TargetMode="External"/><Relationship Id="rId295" Type="http://schemas.openxmlformats.org/officeDocument/2006/relationships/hyperlink" Target="https://drive.google.com/file/d/1gDENucgkDEK-ftCoDeAS5ZnCEao4SvE7/view?usp=drive_link" TargetMode="External"/><Relationship Id="rId38" Type="http://schemas.openxmlformats.org/officeDocument/2006/relationships/hyperlink" Target="https://drive.google.com/file/d/17-GsJNdO5HsU1VRnag2InV8z6-UpXSQo/view?usp=drive_link" TargetMode="External"/><Relationship Id="rId173" Type="http://schemas.openxmlformats.org/officeDocument/2006/relationships/hyperlink" Target="https://drive.google.com/file/d/1Ns0G5cP9TLnbmQ8dRKKFDSTeFTzgMbl7/view?usp=drive_link" TargetMode="External"/><Relationship Id="rId294" Type="http://schemas.openxmlformats.org/officeDocument/2006/relationships/hyperlink" Target="https://drive.google.com/file/d/1bn1q8wM8Y2wHbkmeMx9NO11j2LWAwCmI/view?usp=drive_link" TargetMode="External"/><Relationship Id="rId179" Type="http://schemas.openxmlformats.org/officeDocument/2006/relationships/hyperlink" Target="https://drive.google.com/file/d/1mbZAFVocqY4N3VFt6u54npaQS_mRk4zs/view?usp=drive_link" TargetMode="External"/><Relationship Id="rId178" Type="http://schemas.openxmlformats.org/officeDocument/2006/relationships/hyperlink" Target="https://drive.google.com/file/d/1mbZAFVocqY4N3VFt6u54npaQS_mRk4zs/view?usp=drive_link" TargetMode="External"/><Relationship Id="rId299" Type="http://schemas.openxmlformats.org/officeDocument/2006/relationships/hyperlink" Target="https://drive.google.com/file/d/1bwmObWZfaWaH8iYkVjJf7LFaLnwYnSq6/view?usp=drive_link" TargetMode="External"/><Relationship Id="rId177" Type="http://schemas.openxmlformats.org/officeDocument/2006/relationships/hyperlink" Target="https://drive.google.com/file/d/135e1l6P-eqUTliJIhTFXWVDPsXiTFj0m/view?usp=drive_link" TargetMode="External"/><Relationship Id="rId298" Type="http://schemas.openxmlformats.org/officeDocument/2006/relationships/hyperlink" Target="https://drive.google.com/file/d/1vE3t4uHaMsvnKWKDi8ksxLmxlgCRJocS/view?usp=drive_link" TargetMode="External"/><Relationship Id="rId20" Type="http://schemas.openxmlformats.org/officeDocument/2006/relationships/hyperlink" Target="https://drive.google.com/file/d/1D6ivCfLG7Xjnetl45UYMTSMB-UaBdg87/view?usp=drive_link" TargetMode="External"/><Relationship Id="rId22" Type="http://schemas.openxmlformats.org/officeDocument/2006/relationships/hyperlink" Target="https://drive.google.com/file/d/1gqLMBoTN0FEvV4sUZuNFNObrdtc157OR/view?usp=drive_link" TargetMode="External"/><Relationship Id="rId21" Type="http://schemas.openxmlformats.org/officeDocument/2006/relationships/hyperlink" Target="https://drive.google.com/file/d/1gqLMBoTN0FEvV4sUZuNFNObrdtc157OR/view?usp=drive_link" TargetMode="External"/><Relationship Id="rId24" Type="http://schemas.openxmlformats.org/officeDocument/2006/relationships/hyperlink" Target="https://drive.google.com/file/d/1v2V3uSiBIde3fo9U1Z1NA-v144MKSNoC/view?usp=drive_link" TargetMode="External"/><Relationship Id="rId23" Type="http://schemas.openxmlformats.org/officeDocument/2006/relationships/hyperlink" Target="https://drive.google.com/file/d/1gqLMBoTN0FEvV4sUZuNFNObrdtc157OR/view?usp=drive_link" TargetMode="External"/><Relationship Id="rId26" Type="http://schemas.openxmlformats.org/officeDocument/2006/relationships/hyperlink" Target="https://drive.google.com/file/d/1Og9EfRVllVvA3LN9IZ8AL613wI9cJRRn/view?usp=drive_link" TargetMode="External"/><Relationship Id="rId25" Type="http://schemas.openxmlformats.org/officeDocument/2006/relationships/hyperlink" Target="https://drive.google.com/file/d/1v2V3uSiBIde3fo9U1Z1NA-v144MKSNoC/view?usp=drive_link" TargetMode="External"/><Relationship Id="rId28" Type="http://schemas.openxmlformats.org/officeDocument/2006/relationships/hyperlink" Target="https://drive.google.com/file/d/1v2V3uSiBIde3fo9U1Z1NA-v144MKSNoC/view?usp=drive_link" TargetMode="External"/><Relationship Id="rId27" Type="http://schemas.openxmlformats.org/officeDocument/2006/relationships/hyperlink" Target="https://drive.google.com/file/d/1Og9EfRVllVvA3LN9IZ8AL613wI9cJRRn/view?usp=drive_link" TargetMode="External"/><Relationship Id="rId29" Type="http://schemas.openxmlformats.org/officeDocument/2006/relationships/hyperlink" Target="https://drive.google.com/file/d/1v2V3uSiBIde3fo9U1Z1NA-v144MKSNoC/view?usp=drive_link" TargetMode="External"/><Relationship Id="rId11" Type="http://schemas.openxmlformats.org/officeDocument/2006/relationships/hyperlink" Target="https://drive.google.com/file/d/13-gR4AOYZ_rK4aJE3Fad5R-J1gfy6OmT/view?usp=drive_link" TargetMode="External"/><Relationship Id="rId10" Type="http://schemas.openxmlformats.org/officeDocument/2006/relationships/hyperlink" Target="https://drive.google.com/file/d/1-8sa7LWjZYvYdfio52wWpJjMibJXsUWr/view?usp=drive_link" TargetMode="External"/><Relationship Id="rId13" Type="http://schemas.openxmlformats.org/officeDocument/2006/relationships/hyperlink" Target="https://drive.google.com/file/d/1JkPJBqFqjhV9DF2HNH69Ixh3w17RqlEj/view?usp=drive_link" TargetMode="External"/><Relationship Id="rId12" Type="http://schemas.openxmlformats.org/officeDocument/2006/relationships/hyperlink" Target="https://drive.google.com/file/d/1vHOxAqyjZmIKUv5ML6lMnC6dhY-LLKlM/view?usp=drive_link" TargetMode="External"/><Relationship Id="rId15" Type="http://schemas.openxmlformats.org/officeDocument/2006/relationships/hyperlink" Target="https://drive.google.com/file/d/1HsoF6GcgQ96nI5LUH6gUo845IJwpHtxf/view?usp=drive_link" TargetMode="External"/><Relationship Id="rId198" Type="http://schemas.openxmlformats.org/officeDocument/2006/relationships/hyperlink" Target="https://drive.google.com/file/d/1SSB_kpMS0rMsa4wCmo0zStnHfMseepJ1/view?usp=drive_link" TargetMode="External"/><Relationship Id="rId14" Type="http://schemas.openxmlformats.org/officeDocument/2006/relationships/hyperlink" Target="https://drive.google.com/file/d/1q4KrE1fMzGoSdTKE_rULuYSR9BQTEhCF/view?usp=drive_link" TargetMode="External"/><Relationship Id="rId197" Type="http://schemas.openxmlformats.org/officeDocument/2006/relationships/hyperlink" Target="https://drive.google.com/file/d/1HZ71cnHSaVzNJitqRxcfbRgnFy0i43T0/view?usp=drive_link" TargetMode="External"/><Relationship Id="rId17" Type="http://schemas.openxmlformats.org/officeDocument/2006/relationships/hyperlink" Target="https://drive.google.com/file/d/1TAfZE-ck8oGq9ego9TxG2RQp32Ob0x0o/view?usp=drive_link" TargetMode="External"/><Relationship Id="rId196" Type="http://schemas.openxmlformats.org/officeDocument/2006/relationships/hyperlink" Target="https://drive.google.com/file/d/190qV8x20tMv5VwFOjq8T9_IQB9SJgdxn/view?usp=drive_link" TargetMode="External"/><Relationship Id="rId16" Type="http://schemas.openxmlformats.org/officeDocument/2006/relationships/hyperlink" Target="https://drive.google.com/file/d/1VUtnfjeVQxRr2zGWXChcWNVo7ns7Mtdz/view?usp=drive_link" TargetMode="External"/><Relationship Id="rId195" Type="http://schemas.openxmlformats.org/officeDocument/2006/relationships/hyperlink" Target="https://drive.google.com/file/d/1RLsJlZt0fEUr3whFCIYl25K18uv-eUP_/view?usp=drive_link" TargetMode="External"/><Relationship Id="rId19" Type="http://schemas.openxmlformats.org/officeDocument/2006/relationships/hyperlink" Target="https://drive.google.com/file/d/1Xa31m8s8-VoyiieO33yoxHsfTsKTzpZi/view?usp=drive_link" TargetMode="External"/><Relationship Id="rId18" Type="http://schemas.openxmlformats.org/officeDocument/2006/relationships/hyperlink" Target="https://drive.google.com/file/d/1aweHuGJKBBI-ITDxY7XznOlbd1DRHkyC/view?usp=drive_link" TargetMode="External"/><Relationship Id="rId199" Type="http://schemas.openxmlformats.org/officeDocument/2006/relationships/hyperlink" Target="https://drive.google.com/file/d/1NECWtO9Vck6sExv3XMOOm5sf7bq50x3S/view?usp=drive_link" TargetMode="External"/><Relationship Id="rId84" Type="http://schemas.openxmlformats.org/officeDocument/2006/relationships/hyperlink" Target="https://drive.google.com/file/d/1_Wa5oheobUErrhKeLUbVcCk2j8zuadzW/view?usp=drive_link" TargetMode="External"/><Relationship Id="rId83" Type="http://schemas.openxmlformats.org/officeDocument/2006/relationships/hyperlink" Target="https://drive.google.com/file/d/1iwh0mRK3mpQDU0rHMM7ViTOMqIMIr9G3/view?usp=drive_link" TargetMode="External"/><Relationship Id="rId86" Type="http://schemas.openxmlformats.org/officeDocument/2006/relationships/hyperlink" Target="https://drive.google.com/file/d/1BWADJ-m2cJphQq-4IrUZPjSuXRzNWA-D/view?usp=drive_link" TargetMode="External"/><Relationship Id="rId85" Type="http://schemas.openxmlformats.org/officeDocument/2006/relationships/hyperlink" Target="https://drive.google.com/file/d/1_6Op59D2AZik5QmGwwelXh4dr4SVw9YM/view?usp=drive_link" TargetMode="External"/><Relationship Id="rId88" Type="http://schemas.openxmlformats.org/officeDocument/2006/relationships/hyperlink" Target="https://drive.google.com/file/d/1uz-pwdbif0QaCl7t3BB42q_x2H-8yXuD/view?usp=drive_link" TargetMode="External"/><Relationship Id="rId150" Type="http://schemas.openxmlformats.org/officeDocument/2006/relationships/hyperlink" Target="https://drive.google.com/file/d/1IjY3stpVAF97MQb2nQUs7E0N5c-QTq5r/view?usp=drive_link" TargetMode="External"/><Relationship Id="rId271" Type="http://schemas.openxmlformats.org/officeDocument/2006/relationships/hyperlink" Target="https://drive.google.com/file/d/1FURWmAqjdySQJqVi7B6CIZNLkj3_vUDm/view?usp=drive_link" TargetMode="External"/><Relationship Id="rId87" Type="http://schemas.openxmlformats.org/officeDocument/2006/relationships/hyperlink" Target="https://drive.google.com/file/d/1Tw5QlP8BdCBv53wfP6nTtzCWEs8Fttt-/view?usp=drive_link" TargetMode="External"/><Relationship Id="rId270" Type="http://schemas.openxmlformats.org/officeDocument/2006/relationships/hyperlink" Target="https://drive.google.com/file/d/1TEfq9XGrxu-b9ZJBnpWYJiUOjVh2ieKZ/view?usp=drive_link" TargetMode="External"/><Relationship Id="rId89" Type="http://schemas.openxmlformats.org/officeDocument/2006/relationships/hyperlink" Target="https://drive.google.com/file/d/1TdYICfM7WsEp-s7TI78RaOhLguKEMkrY/view?usp=drive_link" TargetMode="External"/><Relationship Id="rId80" Type="http://schemas.openxmlformats.org/officeDocument/2006/relationships/hyperlink" Target="https://drive.google.com/file/d/1sQyKkGIg19nsv5adHBqTNFoMZiPw6dUR/view?usp=drive_link" TargetMode="External"/><Relationship Id="rId82" Type="http://schemas.openxmlformats.org/officeDocument/2006/relationships/hyperlink" Target="https://drive.google.com/file/d/1iwh0mRK3mpQDU0rHMM7ViTOMqIMIr9G3/view?usp=drive_link" TargetMode="External"/><Relationship Id="rId81" Type="http://schemas.openxmlformats.org/officeDocument/2006/relationships/hyperlink" Target="https://drive.google.com/file/d/1r6Ye4SvjM3SwyorxKxIL_G3UukKMF_ud/view?usp=drive_link" TargetMode="External"/><Relationship Id="rId1" Type="http://schemas.openxmlformats.org/officeDocument/2006/relationships/hyperlink" Target="https://drive.google.com/file/d/1ksID7nRhz3chKkhg6cWrW0jLPsdB6NaU/view?usp=drive_link" TargetMode="External"/><Relationship Id="rId2" Type="http://schemas.openxmlformats.org/officeDocument/2006/relationships/hyperlink" Target="https://drive.google.com/file/d/1f9LDjFr0kE-JpOrBRHx5K8bvBqCzR_lz/view?usp=drive_link" TargetMode="External"/><Relationship Id="rId3" Type="http://schemas.openxmlformats.org/officeDocument/2006/relationships/hyperlink" Target="https://drive.google.com/file/d/179_ic3tBj9T4rt60oL0qAf3sgYM6XJa5/view?usp=drive_link" TargetMode="External"/><Relationship Id="rId149" Type="http://schemas.openxmlformats.org/officeDocument/2006/relationships/hyperlink" Target="https://drive.google.com/file/d/1VC8HN9a1ApWz2IRTVM4cDB-9bRBrfVUu/view?usp=drive_link" TargetMode="External"/><Relationship Id="rId4" Type="http://schemas.openxmlformats.org/officeDocument/2006/relationships/hyperlink" Target="https://drive.google.com/file/d/1zcRe5qoyo7DsctL7G5B4eEUcpIDRzG7t/view?usp=drive_link" TargetMode="External"/><Relationship Id="rId148" Type="http://schemas.openxmlformats.org/officeDocument/2006/relationships/hyperlink" Target="https://drive.google.com/file/d/1Ns6gqkCAeG2FOhpR_i-2sLpg-as0ndWn/view?usp=drive_link" TargetMode="External"/><Relationship Id="rId269" Type="http://schemas.openxmlformats.org/officeDocument/2006/relationships/hyperlink" Target="https://drive.google.com/file/d/1AT4-B4_Lja0c2DgMXbuQ-KmOuot5pTdG/view?usp=drive_link" TargetMode="External"/><Relationship Id="rId9" Type="http://schemas.openxmlformats.org/officeDocument/2006/relationships/hyperlink" Target="https://drive.google.com/file/d/1asdMGHOpEWk6YPdQz7a8PPH_2qx7UhwO/view?usp=drive_link" TargetMode="External"/><Relationship Id="rId143" Type="http://schemas.openxmlformats.org/officeDocument/2006/relationships/hyperlink" Target="https://drive.google.com/file/d/1QqLXYPT4ZBx4BvoABF5c1ubG1JiwRjwX/view?usp=drive_link" TargetMode="External"/><Relationship Id="rId264" Type="http://schemas.openxmlformats.org/officeDocument/2006/relationships/hyperlink" Target="https://drive.google.com/file/d/1jLs_nsiav-om92eLY9CiLiBzSD3y-4hK/view?usp=drive_link" TargetMode="External"/><Relationship Id="rId142" Type="http://schemas.openxmlformats.org/officeDocument/2006/relationships/hyperlink" Target="https://drive.google.com/file/d/1RIKQR0OQvT5t1Jglrv7a17B10bfeoSDT/view?usp=sharing" TargetMode="External"/><Relationship Id="rId263" Type="http://schemas.openxmlformats.org/officeDocument/2006/relationships/hyperlink" Target="https://drive.google.com/file/d/1_79dtt_Ek7ocP_Ryo1VqT-eY4ySKovX5/view?usp=drive_link" TargetMode="External"/><Relationship Id="rId141" Type="http://schemas.openxmlformats.org/officeDocument/2006/relationships/hyperlink" Target="https://drive.google.com/file/d/1fsBqttdjVGZNDNE8KMpY34GICjmO28Vb/view?usp=sharing" TargetMode="External"/><Relationship Id="rId262" Type="http://schemas.openxmlformats.org/officeDocument/2006/relationships/hyperlink" Target="https://drive.google.com/file/d/16N64SkYFmw9_yGMtSWq84HCDahPn6eqM/view?usp=drive_link" TargetMode="External"/><Relationship Id="rId140" Type="http://schemas.openxmlformats.org/officeDocument/2006/relationships/hyperlink" Target="https://drive.google.com/file/d/1bzWbh1Ri8gplomnQbGT5l4thFVF6sFs7/view?usp=drive_link" TargetMode="External"/><Relationship Id="rId261" Type="http://schemas.openxmlformats.org/officeDocument/2006/relationships/hyperlink" Target="https://drive.google.com/file/d/1lkDTrc-_dUOworzhexy9Ve_SKPiN5Nk5/view?usp=drive_link" TargetMode="External"/><Relationship Id="rId5" Type="http://schemas.openxmlformats.org/officeDocument/2006/relationships/hyperlink" Target="https://drive.google.com/file/d/1cie-F3YvmhMyeu35k7CkcFYknVdt73hD/view?usp=drive_link" TargetMode="External"/><Relationship Id="rId147" Type="http://schemas.openxmlformats.org/officeDocument/2006/relationships/hyperlink" Target="https://drive.google.com/file/d/1Qip95IV0J8ntWvMWZIgZZkc1UQnji0ng/view?usp=drive_link" TargetMode="External"/><Relationship Id="rId268" Type="http://schemas.openxmlformats.org/officeDocument/2006/relationships/hyperlink" Target="https://drive.google.com/file/d/13YsugpVCBAN2HAhNaQ4VOZFmGS5SyWb-/view?usp=drive_link" TargetMode="External"/><Relationship Id="rId6" Type="http://schemas.openxmlformats.org/officeDocument/2006/relationships/hyperlink" Target="https://drive.google.com/file/d/12gJnGoI1OJBSf2DUI7DCgx95PPR5ZVe-/view?usp=drive_link" TargetMode="External"/><Relationship Id="rId146" Type="http://schemas.openxmlformats.org/officeDocument/2006/relationships/hyperlink" Target="https://drive.google.com/file/d/1gcQd80aS6MKPZFPzw20rAtWzpO3GnN5K/view?usp=drive_link" TargetMode="External"/><Relationship Id="rId267" Type="http://schemas.openxmlformats.org/officeDocument/2006/relationships/hyperlink" Target="https://drive.google.com/file/d/1Qgag7ArPQagfs7TqszybhaiGIKBhMjEz/view?usp=drive_link" TargetMode="External"/><Relationship Id="rId7" Type="http://schemas.openxmlformats.org/officeDocument/2006/relationships/hyperlink" Target="https://drive.google.com/file/d/1CP0SEI1nZrIqu8U2mTgA7aLlIJKiA_HS/view?usp=drive_link" TargetMode="External"/><Relationship Id="rId145" Type="http://schemas.openxmlformats.org/officeDocument/2006/relationships/hyperlink" Target="https://drive.google.com/file/d/11HkikhyJvZaf4cyo7Usu4UOWmWhAUMUP/view?usp=drive_link" TargetMode="External"/><Relationship Id="rId266" Type="http://schemas.openxmlformats.org/officeDocument/2006/relationships/hyperlink" Target="https://drive.google.com/file/d/1Qgag7ArPQagfs7TqszybhaiGIKBhMjEz/view?usp=drive_link" TargetMode="External"/><Relationship Id="rId8" Type="http://schemas.openxmlformats.org/officeDocument/2006/relationships/hyperlink" Target="https://drive.google.com/file/d/1rVhOBJtk39nfGt1Aho6GwF-jqLP15tjY/view?usp=drive_link" TargetMode="External"/><Relationship Id="rId144" Type="http://schemas.openxmlformats.org/officeDocument/2006/relationships/hyperlink" Target="https://drive.google.com/file/d/1outZbOSBqbBHzRkfneuW9e-TKBm-rk8I/view?usp=drive_link" TargetMode="External"/><Relationship Id="rId265" Type="http://schemas.openxmlformats.org/officeDocument/2006/relationships/hyperlink" Target="https://drive.google.com/file/d/1-GZNLIcXy8xFJPCiMSTLEpS1GSe7Su5y/view?usp=drive_link" TargetMode="External"/><Relationship Id="rId73" Type="http://schemas.openxmlformats.org/officeDocument/2006/relationships/hyperlink" Target="https://drive.google.com/file/d/1EXMMIuGkS-zfvGf5dt6G_DMEfeBaOwgY/view?usp=drive_link" TargetMode="External"/><Relationship Id="rId72" Type="http://schemas.openxmlformats.org/officeDocument/2006/relationships/hyperlink" Target="https://drive.google.com/file/d/1OusYxJPlYwK1vplvqmsDDofjT2PQ0k4l/view?usp=drive_link" TargetMode="External"/><Relationship Id="rId75" Type="http://schemas.openxmlformats.org/officeDocument/2006/relationships/hyperlink" Target="https://drive.google.com/file/d/1rocsCbPK31AESmXu7X8JUER9AHL-PG30/view?usp=drive_link" TargetMode="External"/><Relationship Id="rId74" Type="http://schemas.openxmlformats.org/officeDocument/2006/relationships/hyperlink" Target="https://drive.google.com/file/d/1rocsCbPK31AESmXu7X8JUER9AHL-PG30/view?usp=drive_link" TargetMode="External"/><Relationship Id="rId77" Type="http://schemas.openxmlformats.org/officeDocument/2006/relationships/hyperlink" Target="https://drive.google.com/file/d/1gA6NydPOXYF6h-hfpxYde4xHNaVnr8N5/view?usp=drive_link" TargetMode="External"/><Relationship Id="rId260" Type="http://schemas.openxmlformats.org/officeDocument/2006/relationships/hyperlink" Target="https://drive.google.com/file/d/1esqrDDbmOhX-Qka1bsbe86kv4qGMIt8Z/view?usp=drive_link" TargetMode="External"/><Relationship Id="rId76" Type="http://schemas.openxmlformats.org/officeDocument/2006/relationships/hyperlink" Target="https://drive.google.com/file/d/1260UITA5T-RGT8KSw95EfxTxBwvQjt2_/view?usp=drive_link" TargetMode="External"/><Relationship Id="rId79" Type="http://schemas.openxmlformats.org/officeDocument/2006/relationships/hyperlink" Target="https://drive.google.com/file/d/1AKKQzjv-GXX1xlLAtaB34HBxhpCkLbpe/view?usp=drive_link" TargetMode="External"/><Relationship Id="rId78" Type="http://schemas.openxmlformats.org/officeDocument/2006/relationships/hyperlink" Target="https://drive.google.com/file/d/1AKKQzjv-GXX1xlLAtaB34HBxhpCkLbpe/view?usp=drive_link" TargetMode="External"/><Relationship Id="rId71" Type="http://schemas.openxmlformats.org/officeDocument/2006/relationships/hyperlink" Target="https://drive.google.com/file/d/16FymDuyG_-TfiU2N65P2Lj4vKVfj3Qjw/view?usp=drive_link" TargetMode="External"/><Relationship Id="rId70" Type="http://schemas.openxmlformats.org/officeDocument/2006/relationships/hyperlink" Target="https://drive.google.com/file/d/1St4GWOpnB1NUm1O4MOHX6b7r3u92CT3w/view?usp=drive_link" TargetMode="External"/><Relationship Id="rId139" Type="http://schemas.openxmlformats.org/officeDocument/2006/relationships/hyperlink" Target="https://drive.google.com/file/d/1VO4r4NiDWIWid9CzUHO4AqqqcaPvdh1P/view?usp=drive_link" TargetMode="External"/><Relationship Id="rId138" Type="http://schemas.openxmlformats.org/officeDocument/2006/relationships/hyperlink" Target="https://drive.google.com/file/d/1KbZRX0WWd-c9YuPkwrfuQUpBsQdn9V2I/view?usp=drive_link" TargetMode="External"/><Relationship Id="rId259" Type="http://schemas.openxmlformats.org/officeDocument/2006/relationships/hyperlink" Target="https://drive.google.com/file/d/12thVMsNlAtY5YpuCl6bb0-YbA31ED-I2/view?usp=drive_link" TargetMode="External"/><Relationship Id="rId137" Type="http://schemas.openxmlformats.org/officeDocument/2006/relationships/hyperlink" Target="https://drive.google.com/file/d/1h-Lvnp8Jajp9MZtWaVdoWUn4FcmhRaaq/view?usp=drive_link" TargetMode="External"/><Relationship Id="rId258" Type="http://schemas.openxmlformats.org/officeDocument/2006/relationships/hyperlink" Target="https://drive.google.com/file/d/1EB59tJf55NH2fqk9CrfTw75ZyFiqHmcj/view?usp=drive_link" TargetMode="External"/><Relationship Id="rId132" Type="http://schemas.openxmlformats.org/officeDocument/2006/relationships/hyperlink" Target="https://drive.google.com/file/d/1qe68va3VDcDNM8uwFYX9UmJFe-P2Wy5o/view?usp=drive_link" TargetMode="External"/><Relationship Id="rId253" Type="http://schemas.openxmlformats.org/officeDocument/2006/relationships/hyperlink" Target="https://drive.google.com/file/d/1Z9Y0A_dMDcsVic_TOfO6kPio7URpSrrR/view?usp=drive_link" TargetMode="External"/><Relationship Id="rId131" Type="http://schemas.openxmlformats.org/officeDocument/2006/relationships/hyperlink" Target="https://drive.google.com/file/d/1U68veleGUEn8p6EU13qgoZSv_Lgfa9jg/view?usp=drive_link" TargetMode="External"/><Relationship Id="rId252" Type="http://schemas.openxmlformats.org/officeDocument/2006/relationships/hyperlink" Target="https://drive.google.com/file/d/1k1Jtun1JxdfaU8C30EdbLd-hz-A2hRis/view?usp=drive_link" TargetMode="External"/><Relationship Id="rId130" Type="http://schemas.openxmlformats.org/officeDocument/2006/relationships/hyperlink" Target="https://drive.google.com/file/d/1AvCtB6sLZpxFxXCfq61OAZENpLGcOYTd/view?usp=drive_link" TargetMode="External"/><Relationship Id="rId251" Type="http://schemas.openxmlformats.org/officeDocument/2006/relationships/hyperlink" Target="https://drive.google.com/file/d/1bfH_xPn77tSO9hbXcbLToFz6lf60TI-5/view?usp=drive_link" TargetMode="External"/><Relationship Id="rId250" Type="http://schemas.openxmlformats.org/officeDocument/2006/relationships/hyperlink" Target="https://drive.google.com/file/d/1hkvngwXYF12BjyVYl7SfgWce2gNshYqD/view?usp=drive_link" TargetMode="External"/><Relationship Id="rId136" Type="http://schemas.openxmlformats.org/officeDocument/2006/relationships/hyperlink" Target="https://drive.google.com/file/d/1KbZRX0WWd-c9YuPkwrfuQUpBsQdn9V2I/view?usp=drive_link" TargetMode="External"/><Relationship Id="rId257" Type="http://schemas.openxmlformats.org/officeDocument/2006/relationships/hyperlink" Target="https://drive.google.com/file/d/1VbdTavzsolKTGdgRo_RTxEm5oPS-86iD/view?usp=drive_link" TargetMode="External"/><Relationship Id="rId135" Type="http://schemas.openxmlformats.org/officeDocument/2006/relationships/hyperlink" Target="https://drive.google.com/file/d/1zJkFtWCcROs-QWLqcWy0-zvQLG3-PUpM/view?usp=drive_link" TargetMode="External"/><Relationship Id="rId256" Type="http://schemas.openxmlformats.org/officeDocument/2006/relationships/hyperlink" Target="https://drive.google.com/file/d/1TKKo9G9UCXeJk0kVB0-9iYt_WQ50PBmY/view?usp=drive_link" TargetMode="External"/><Relationship Id="rId134" Type="http://schemas.openxmlformats.org/officeDocument/2006/relationships/hyperlink" Target="https://drive.google.com/file/d/1P44oQZlKQGvQ1X0eeeHYZZRABNjueOQR/view?usp=drive_link" TargetMode="External"/><Relationship Id="rId255" Type="http://schemas.openxmlformats.org/officeDocument/2006/relationships/hyperlink" Target="https://drive.google.com/file/d/18ojjvhT1soSyuoOj4oHGKwd4h8YuoxCN/view?usp=drive_link" TargetMode="External"/><Relationship Id="rId133" Type="http://schemas.openxmlformats.org/officeDocument/2006/relationships/hyperlink" Target="https://drive.google.com/file/d/1yMr3dIqHSagCZRbNCHk9HStR_WZNKht2/view?usp=drive_link" TargetMode="External"/><Relationship Id="rId254" Type="http://schemas.openxmlformats.org/officeDocument/2006/relationships/hyperlink" Target="https://drive.google.com/file/d/1INhc9e1rWMT3H3LMdUm3-yVNfr12hzAS/view?usp=drive_link" TargetMode="External"/><Relationship Id="rId62" Type="http://schemas.openxmlformats.org/officeDocument/2006/relationships/hyperlink" Target="https://drive.google.com/file/d/1vHGD94XoMobY0A3bQ6WKbWQc0uKPO9Fv/view?usp=drive_link" TargetMode="External"/><Relationship Id="rId61" Type="http://schemas.openxmlformats.org/officeDocument/2006/relationships/hyperlink" Target="https://drive.google.com/file/d/1vHGD94XoMobY0A3bQ6WKbWQc0uKPO9Fv/view?usp=drive_link" TargetMode="External"/><Relationship Id="rId64" Type="http://schemas.openxmlformats.org/officeDocument/2006/relationships/hyperlink" Target="https://drive.google.com/file/d/1v17TfW7ri_89b9aNOXNn1JBZx9qSfYXY/view?usp=drive_link" TargetMode="External"/><Relationship Id="rId63" Type="http://schemas.openxmlformats.org/officeDocument/2006/relationships/hyperlink" Target="https://drive.google.com/file/d/1fsBqttdjVGZNDNE8KMpY34GICjmO28Vb/view?usp=drive_link" TargetMode="External"/><Relationship Id="rId66" Type="http://schemas.openxmlformats.org/officeDocument/2006/relationships/hyperlink" Target="https://drive.google.com/file/d/12pYSCP8v134Z375CCK7U8BoTpR8crlUW/view?usp=drive_link" TargetMode="External"/><Relationship Id="rId172" Type="http://schemas.openxmlformats.org/officeDocument/2006/relationships/hyperlink" Target="https://drive.google.com/drive/folders/1E3ESNiLrrKA1IuUNYZc1mKimwbVEdNtM" TargetMode="External"/><Relationship Id="rId293" Type="http://schemas.openxmlformats.org/officeDocument/2006/relationships/hyperlink" Target="https://drive.google.com/file/d/1jwi7EP9pGUEXezPk5m1wkeTNhgW6dELI/view?usp=drive_link" TargetMode="External"/><Relationship Id="rId65" Type="http://schemas.openxmlformats.org/officeDocument/2006/relationships/hyperlink" Target="https://drive.google.com/file/d/1Dr2ERs1VrODTwTFwl1ihS3AwV4eeme6-/view?usp=drive_link" TargetMode="External"/><Relationship Id="rId171" Type="http://schemas.openxmlformats.org/officeDocument/2006/relationships/hyperlink" Target="https://drive.google.com/file/d/11xCwc6bFO5EGwOpDZrWAU_vn-Vnbb3uS/view?usp=drive_link" TargetMode="External"/><Relationship Id="rId292" Type="http://schemas.openxmlformats.org/officeDocument/2006/relationships/hyperlink" Target="https://drive.google.com/file/d/1vhYNLVjgqTbX40FEACD6Vaq6hDt-oKdK/view?usp=drive_link" TargetMode="External"/><Relationship Id="rId68" Type="http://schemas.openxmlformats.org/officeDocument/2006/relationships/hyperlink" Target="https://drive.google.com/file/d/11LRifEmqwdYCINPds0dJ_2Vsc0fZOHgB/view?usp=drive_link" TargetMode="External"/><Relationship Id="rId170" Type="http://schemas.openxmlformats.org/officeDocument/2006/relationships/hyperlink" Target="https://drive.google.com/file/d/1FvwZplTGfMOeS9MlqetKLYVJyVnJD8Ln/view?usp=drive_link" TargetMode="External"/><Relationship Id="rId291" Type="http://schemas.openxmlformats.org/officeDocument/2006/relationships/hyperlink" Target="https://drive.google.com/file/d/1USB97iUM8em1zVJdPHxMYuX2YEnMK5ad/view?usp=drive_link" TargetMode="External"/><Relationship Id="rId67" Type="http://schemas.openxmlformats.org/officeDocument/2006/relationships/hyperlink" Target="https://drive.google.com/file/d/1gf3-e1T6vQwWmhjNnRsHvQRfT_cgBEFw/view?usp=drive_link" TargetMode="External"/><Relationship Id="rId290" Type="http://schemas.openxmlformats.org/officeDocument/2006/relationships/hyperlink" Target="https://drive.google.com/file/d/1ex6bXU-yn2hwZZOGThQrYhmZorDHjhQm/view?usp=drive_link" TargetMode="External"/><Relationship Id="rId60" Type="http://schemas.openxmlformats.org/officeDocument/2006/relationships/hyperlink" Target="https://drive.google.com/file/d/1MpfmRYB3978L427AshJHXYh9Ev0BlMa2/view?usp=drive_link" TargetMode="External"/><Relationship Id="rId165" Type="http://schemas.openxmlformats.org/officeDocument/2006/relationships/hyperlink" Target="https://drive.google.com/file/d/1XgckA5lcYovIVHlXHSqkL026Bqe077de/view?usp=drive_link" TargetMode="External"/><Relationship Id="rId286" Type="http://schemas.openxmlformats.org/officeDocument/2006/relationships/hyperlink" Target="https://drive.google.com/file/d/1aLqnN9xg-OBEpHCpkoSvhr5U8vLCojsy/view?usp=drive_link" TargetMode="External"/><Relationship Id="rId69" Type="http://schemas.openxmlformats.org/officeDocument/2006/relationships/hyperlink" Target="https://drive.google.com/file/d/1P3je0YCR0pCXV-4uUoim82u3gS-nb0IM/view?usp=drive_link" TargetMode="External"/><Relationship Id="rId164" Type="http://schemas.openxmlformats.org/officeDocument/2006/relationships/hyperlink" Target="https://drive.google.com/file/d/1T4_p7B6718AJ-3Pfo0ecEsUo9bFSQJY8/view?usp=drive_link" TargetMode="External"/><Relationship Id="rId285" Type="http://schemas.openxmlformats.org/officeDocument/2006/relationships/hyperlink" Target="https://drive.google.com/file/d/16yaj2ioHGnizp5TLWc0HIruIQt67y1vb/view?usp=drive_link" TargetMode="External"/><Relationship Id="rId163" Type="http://schemas.openxmlformats.org/officeDocument/2006/relationships/hyperlink" Target="https://drive.google.com/file/d/15yevunDFeflZAA4HaFSaNx8VBsn7kyza/view?usp=drive_link" TargetMode="External"/><Relationship Id="rId284" Type="http://schemas.openxmlformats.org/officeDocument/2006/relationships/hyperlink" Target="https://drive.google.com/file/d/1VPGw46lt-yAOxS_3K-Ttg_Dm_sYWvSOq/view?usp=drive_link" TargetMode="External"/><Relationship Id="rId162" Type="http://schemas.openxmlformats.org/officeDocument/2006/relationships/hyperlink" Target="https://drive.google.com/file/d/1ZbUz1aPLO_Gl5DorcHbIOx4tHFQVlyOS/view?usp=drive_link" TargetMode="External"/><Relationship Id="rId283" Type="http://schemas.openxmlformats.org/officeDocument/2006/relationships/hyperlink" Target="https://drive.google.com/file/d/1kwHhkPGhybaCdyTWVHpP77Isfh-3L5Wk/view?usp=drive_link" TargetMode="External"/><Relationship Id="rId169" Type="http://schemas.openxmlformats.org/officeDocument/2006/relationships/hyperlink" Target="https://drive.google.com/file/d/1XlIfV6clHhNL1EWko3EQk8NJtP_j1Wer/view?usp=drive_link" TargetMode="External"/><Relationship Id="rId168" Type="http://schemas.openxmlformats.org/officeDocument/2006/relationships/hyperlink" Target="https://drive.google.com/file/d/18Xdin2VetqS3xwCByUG_WMqkbQ8zB977/view?usp=drive_link" TargetMode="External"/><Relationship Id="rId289" Type="http://schemas.openxmlformats.org/officeDocument/2006/relationships/hyperlink" Target="https://drive.google.com/file/d/118q7ukC-SiVj7H_k_d8UCWpyHPQNyi4S/view?usp=drive_link" TargetMode="External"/><Relationship Id="rId167" Type="http://schemas.openxmlformats.org/officeDocument/2006/relationships/hyperlink" Target="https://drive.google.com/file/d/1FiVURtqcf8SRfaw0no7VlE9hjP6hwpg5/view?usp=drive_link" TargetMode="External"/><Relationship Id="rId288" Type="http://schemas.openxmlformats.org/officeDocument/2006/relationships/hyperlink" Target="https://drive.google.com/file/d/1AvchSbKqYfGVXrSVfi5ac94vWTJ7IfyA/view?usp=drive_link" TargetMode="External"/><Relationship Id="rId166" Type="http://schemas.openxmlformats.org/officeDocument/2006/relationships/hyperlink" Target="https://drive.google.com/file/d/15gss2zcZtSk2rXmpVZuO-bP1UROBo0ZC/view?usp=drive_link" TargetMode="External"/><Relationship Id="rId287" Type="http://schemas.openxmlformats.org/officeDocument/2006/relationships/hyperlink" Target="https://drive.google.com/file/d/1JHich7MlOfiiJ6uZUYmpjueF2SecqF_u/view?usp=drive_link" TargetMode="External"/><Relationship Id="rId51" Type="http://schemas.openxmlformats.org/officeDocument/2006/relationships/hyperlink" Target="https://drive.google.com/file/d/1vhWXW8ecdpi4YWGHNIZ5RfQFhtLc_efk/view?usp=drive_link" TargetMode="External"/><Relationship Id="rId50" Type="http://schemas.openxmlformats.org/officeDocument/2006/relationships/hyperlink" Target="https://drive.google.com/file/d/1vhWXW8ecdpi4YWGHNIZ5RfQFhtLc_efk/view?usp=drive_link" TargetMode="External"/><Relationship Id="rId53" Type="http://schemas.openxmlformats.org/officeDocument/2006/relationships/hyperlink" Target="https://drive.google.com/file/d/1260UITA5T-RGT8KSw95EfxTxBwvQjt2_/view?usp=drive_link" TargetMode="External"/><Relationship Id="rId52" Type="http://schemas.openxmlformats.org/officeDocument/2006/relationships/hyperlink" Target="https://drive.google.com/file/d/1260UITA5T-RGT8KSw95EfxTxBwvQjt2_/view?usp=drive_link" TargetMode="External"/><Relationship Id="rId55" Type="http://schemas.openxmlformats.org/officeDocument/2006/relationships/hyperlink" Target="https://drive.google.com/file/d/1hvEjgxdq8Ndt6j-I0AdgS1Bl128qJKAz/view?usp=drive_link" TargetMode="External"/><Relationship Id="rId161" Type="http://schemas.openxmlformats.org/officeDocument/2006/relationships/hyperlink" Target="https://drive.google.com/file/d/1KPhx6AJu-_KE9jT1I6VACYh89TlprTPo/view?usp=drive_link" TargetMode="External"/><Relationship Id="rId282" Type="http://schemas.openxmlformats.org/officeDocument/2006/relationships/hyperlink" Target="https://drive.google.com/file/d/1mbmXs9-9OztvPK0qQsaRkfbhJufvD37c/view?usp=drive_link" TargetMode="External"/><Relationship Id="rId54" Type="http://schemas.openxmlformats.org/officeDocument/2006/relationships/hyperlink" Target="https://drive.google.com/file/d/1hvEjgxdq8Ndt6j-I0AdgS1Bl128qJKAz/view?usp=drive_link" TargetMode="External"/><Relationship Id="rId160" Type="http://schemas.openxmlformats.org/officeDocument/2006/relationships/hyperlink" Target="https://drive.google.com/file/d/1bVNtm7fP_S79R_pKd9Tuavabot0xI3c8/view?usp=drive_link" TargetMode="External"/><Relationship Id="rId281" Type="http://schemas.openxmlformats.org/officeDocument/2006/relationships/hyperlink" Target="https://drive.google.com/file/d/1KU24_w0GXGZ1_4BX30fVRq2WQpKaYlMD/view?usp=drive_link" TargetMode="External"/><Relationship Id="rId57" Type="http://schemas.openxmlformats.org/officeDocument/2006/relationships/hyperlink" Target="https://drive.google.com/file/d/1IxVRJDRaJ-9T5lN7u7i5m2G71UQ3CoMu/view?usp=drive_link" TargetMode="External"/><Relationship Id="rId280" Type="http://schemas.openxmlformats.org/officeDocument/2006/relationships/hyperlink" Target="https://drive.google.com/file/d/1VahBm__3pf3IB1Y-ns3UB2p1L_KHVRBz/view?usp=drive_link" TargetMode="External"/><Relationship Id="rId56" Type="http://schemas.openxmlformats.org/officeDocument/2006/relationships/hyperlink" Target="https://drive.google.com/file/d/1IxVRJDRaJ-9T5lN7u7i5m2G71UQ3CoMu/view?usp=drive_link" TargetMode="External"/><Relationship Id="rId159" Type="http://schemas.openxmlformats.org/officeDocument/2006/relationships/hyperlink" Target="https://drive.google.com/file/d/1y7g_8gR15J7u1XSnh0cI1gHUXqYa0yby/view?usp=drive_link" TargetMode="External"/><Relationship Id="rId59" Type="http://schemas.openxmlformats.org/officeDocument/2006/relationships/hyperlink" Target="https://drive.google.com/file/d/1FDlA7Ca7mIrQB-UE_g6mafMSFvUUu0Uf/view?usp=drive_link" TargetMode="External"/><Relationship Id="rId154" Type="http://schemas.openxmlformats.org/officeDocument/2006/relationships/hyperlink" Target="https://drive.google.com/file/d/1aLCLWXBfD5xTEUk4DLpiOh7Y-6sXWx0J/view?usp=drive_link" TargetMode="External"/><Relationship Id="rId275" Type="http://schemas.openxmlformats.org/officeDocument/2006/relationships/hyperlink" Target="https://drive.google.com/file/d/1LaD1rPoPO0_9ZjFr-v6vOeYp1_8slC-x/view?usp=drive_link" TargetMode="External"/><Relationship Id="rId58" Type="http://schemas.openxmlformats.org/officeDocument/2006/relationships/hyperlink" Target="https://drive.google.com/file/d/1Ov_RiVReaFszYxzvHKePfkQIrutzEu_6/view?usp=drive_link" TargetMode="External"/><Relationship Id="rId153" Type="http://schemas.openxmlformats.org/officeDocument/2006/relationships/hyperlink" Target="https://drive.google.com/file/d/1HbAtdXWKvM_MVt0_1hD_1ViVSvldSQOM/view?usp=drive_link" TargetMode="External"/><Relationship Id="rId274" Type="http://schemas.openxmlformats.org/officeDocument/2006/relationships/hyperlink" Target="https://drive.google.com/file/d/1xGfWl5mqsMJUEa9LybUE3N641rjr5y2T/view?usp=drive_link" TargetMode="External"/><Relationship Id="rId152" Type="http://schemas.openxmlformats.org/officeDocument/2006/relationships/hyperlink" Target="https://drive.google.com/file/d/1aLCLWXBfD5xTEUk4DLpiOh7Y-6sXWx0J/view?usp=drive_link" TargetMode="External"/><Relationship Id="rId273" Type="http://schemas.openxmlformats.org/officeDocument/2006/relationships/hyperlink" Target="https://drive.google.com/file/d/1LvK-_HorTNvTRzvzc3gkTZLQv6USNocx/view?usp=drive_link" TargetMode="External"/><Relationship Id="rId151" Type="http://schemas.openxmlformats.org/officeDocument/2006/relationships/hyperlink" Target="https://drive.google.com/file/d/1-_T5isbXdjwMTWx4eqhMq9rQ0Ld0HsFY/view?usp=drive_link" TargetMode="External"/><Relationship Id="rId272" Type="http://schemas.openxmlformats.org/officeDocument/2006/relationships/hyperlink" Target="https://drive.google.com/file/d/1xjAIed_tTvNl82F27yJWQJNHRmsQ4l_R/view?usp=drive_link" TargetMode="External"/><Relationship Id="rId158" Type="http://schemas.openxmlformats.org/officeDocument/2006/relationships/hyperlink" Target="https://drive.google.com/file/d/18tf8oLB3voc0aqxlQPJC-meI0HiOuCGV/view?usp=drive_link" TargetMode="External"/><Relationship Id="rId279" Type="http://schemas.openxmlformats.org/officeDocument/2006/relationships/hyperlink" Target="https://drive.google.com/file/d/1B4QAZ93wCi3zQ0s2qSG8j4J9S30oiBuI/view?usp=drive_link" TargetMode="External"/><Relationship Id="rId157" Type="http://schemas.openxmlformats.org/officeDocument/2006/relationships/hyperlink" Target="https://drive.google.com/file/d/1gn6OHsiwRshZKHBHYA3CmWMxH7Rm2Q7b/view?usp=drive_link" TargetMode="External"/><Relationship Id="rId278" Type="http://schemas.openxmlformats.org/officeDocument/2006/relationships/hyperlink" Target="https://drive.google.com/file/d/1h-lphLQfWiv66cNB34Aau6ntCngXRYnq/view?usp=drive_link" TargetMode="External"/><Relationship Id="rId156" Type="http://schemas.openxmlformats.org/officeDocument/2006/relationships/hyperlink" Target="https://drive.google.com/file/d/1mhYGsJcbyrJAeh1liYTjTc1QKSQKTYOM/view?usp=drive_link" TargetMode="External"/><Relationship Id="rId277" Type="http://schemas.openxmlformats.org/officeDocument/2006/relationships/hyperlink" Target="https://drive.google.com/file/d/14r1s276ETlebU-c-5JmVdtGnMk457tyG/view?usp=drive_link" TargetMode="External"/><Relationship Id="rId155" Type="http://schemas.openxmlformats.org/officeDocument/2006/relationships/hyperlink" Target="https://drive.google.com/file/d/14NFWgK4c5mjh3_c0RlLanooN3iRzpM1e/view?usp=drive_link" TargetMode="External"/><Relationship Id="rId276" Type="http://schemas.openxmlformats.org/officeDocument/2006/relationships/hyperlink" Target="https://drive.google.com/file/d/1Ofs8o3i9ICKYXTuBXJH3W-s11ehXPmVv/view?usp=drive_link" TargetMode="External"/><Relationship Id="rId107" Type="http://schemas.openxmlformats.org/officeDocument/2006/relationships/hyperlink" Target="https://drive.google.com/file/d/16Hktj9Vz_N4vlZD2lozyodbuKQ3PHrxX/view?usp=drive_link" TargetMode="External"/><Relationship Id="rId228" Type="http://schemas.openxmlformats.org/officeDocument/2006/relationships/hyperlink" Target="https://drive.google.com/file/d/1tl0EbwMKdrPc2qCbADAIMBtD2WfgQvDD/view?usp=drive_link" TargetMode="External"/><Relationship Id="rId349" Type="http://schemas.openxmlformats.org/officeDocument/2006/relationships/hyperlink" Target="https://drive.google.com/file/d/1Ijo8dyWhufD-5Y0yNCvxS3tSMmPmOK0F/view?usp=drive_link" TargetMode="External"/><Relationship Id="rId106" Type="http://schemas.openxmlformats.org/officeDocument/2006/relationships/hyperlink" Target="https://drive.google.com/file/d/1_Ff6WbbHUZ35ziGRosu_U11gRa0QJLql/view?usp=drive_link" TargetMode="External"/><Relationship Id="rId227" Type="http://schemas.openxmlformats.org/officeDocument/2006/relationships/hyperlink" Target="https://drive.google.com/file/d/1aoY_pYqAg36PpublDp8sJuuE-gs1QTKD/view?usp=drive_link" TargetMode="External"/><Relationship Id="rId348" Type="http://schemas.openxmlformats.org/officeDocument/2006/relationships/hyperlink" Target="https://drive.google.com/file/d/1B7xCA-JDUZQN0WR0WJNHcB_mbxZW4BkA/view?usp=drive_link" TargetMode="External"/><Relationship Id="rId105" Type="http://schemas.openxmlformats.org/officeDocument/2006/relationships/hyperlink" Target="https://drive.google.com/file/d/1DpIxbnt911XuEWJnyeeAyfpjKKWVCWgk/view?usp=drive_link" TargetMode="External"/><Relationship Id="rId226" Type="http://schemas.openxmlformats.org/officeDocument/2006/relationships/hyperlink" Target="https://drive.google.com/file/d/1rLum1Fp8eVc5I92xcXgfuxLAYk96NCAZ/view?usp=drive_link" TargetMode="External"/><Relationship Id="rId347" Type="http://schemas.openxmlformats.org/officeDocument/2006/relationships/hyperlink" Target="https://drive.google.com/file/d/1JOklHfH5eo-TW7lPdmZUqgUoym5xSkzW/view?usp=drive_link" TargetMode="External"/><Relationship Id="rId104" Type="http://schemas.openxmlformats.org/officeDocument/2006/relationships/hyperlink" Target="https://drive.google.com/file/d/1MFB6j7cUJImUIdYEkiCmqD_nt4s4PZa7/view?usp=drive_link" TargetMode="External"/><Relationship Id="rId225" Type="http://schemas.openxmlformats.org/officeDocument/2006/relationships/hyperlink" Target="https://drive.google.com/file/d/1AjbAznfHdKETG800iRC7ovQSRqLONI2O/view?usp=drive_link" TargetMode="External"/><Relationship Id="rId346" Type="http://schemas.openxmlformats.org/officeDocument/2006/relationships/hyperlink" Target="https://drive.google.com/file/d/13y4rySwWlcE1ec-Gl-GiJw84WkoO1R-N/view?usp=drive_link" TargetMode="External"/><Relationship Id="rId109" Type="http://schemas.openxmlformats.org/officeDocument/2006/relationships/hyperlink" Target="https://drive.google.com/file/d/1jw8el_Y6VF-PD6ktOmKzTIt5Gv2V87DK/view?usp=drive_link" TargetMode="External"/><Relationship Id="rId108" Type="http://schemas.openxmlformats.org/officeDocument/2006/relationships/hyperlink" Target="https://drive.google.com/file/d/1RrNmIDIQtOS6yAcUUbHUtL3aycDm8Qn-/view?usp=drive_link" TargetMode="External"/><Relationship Id="rId229" Type="http://schemas.openxmlformats.org/officeDocument/2006/relationships/hyperlink" Target="https://drive.google.com/file/d/1OxCJB-tfzvr-Ekf-W_Z7ZtC_juNnVBmT/view?usp=drive_link" TargetMode="External"/><Relationship Id="rId220" Type="http://schemas.openxmlformats.org/officeDocument/2006/relationships/hyperlink" Target="https://drive.google.com/file/d/1-_RRfCFlH9SYm9JX_KlRXHb0PzwqTBaY/view?usp=drive_link" TargetMode="External"/><Relationship Id="rId341" Type="http://schemas.openxmlformats.org/officeDocument/2006/relationships/hyperlink" Target="https://drive.google.com/file/d/1KqaStbIngvUk0ShxhczB22krE58Yy1w-/view?usp=drive_link" TargetMode="External"/><Relationship Id="rId340" Type="http://schemas.openxmlformats.org/officeDocument/2006/relationships/hyperlink" Target="https://drive.google.com/file/d/1gLUA8geiZ1RmbDXr9QJIIltJLhRZz9CI/view?usp=drive_link" TargetMode="External"/><Relationship Id="rId103" Type="http://schemas.openxmlformats.org/officeDocument/2006/relationships/hyperlink" Target="https://drive.google.com/file/d/1WmOChyVngNvpe0UKZ6BHo4ytiKmL772N/view?usp=drive_link" TargetMode="External"/><Relationship Id="rId224" Type="http://schemas.openxmlformats.org/officeDocument/2006/relationships/hyperlink" Target="https://drive.google.com/file/d/1l1tKUK9V7CxrD-ZTh3TEfTh81YR9Xj7C/view?usp=drive_link" TargetMode="External"/><Relationship Id="rId345" Type="http://schemas.openxmlformats.org/officeDocument/2006/relationships/hyperlink" Target="https://drive.google.com/file/d/1vbMUCB1uXXo1Bz5l1n69Z8Qv9FmaqHZs/view?usp=drive_link" TargetMode="External"/><Relationship Id="rId102" Type="http://schemas.openxmlformats.org/officeDocument/2006/relationships/hyperlink" Target="https://drive.google.com/file/d/1RBEY1qIv3f_qXnLGP9kOIlL42HlhLwfg/view?usp=drive_link" TargetMode="External"/><Relationship Id="rId223" Type="http://schemas.openxmlformats.org/officeDocument/2006/relationships/hyperlink" Target="https://drive.google.com/file/d/1NhrR-9hrzy0ErgVOXXpBlqXWy_hpqXxh/view?usp=drive_link" TargetMode="External"/><Relationship Id="rId344" Type="http://schemas.openxmlformats.org/officeDocument/2006/relationships/hyperlink" Target="https://drive.google.com/file/d/1_ktxMD2lewsQtG1f6XXDXkg7cTkhL5a9/view?usp=drive_link" TargetMode="External"/><Relationship Id="rId101" Type="http://schemas.openxmlformats.org/officeDocument/2006/relationships/hyperlink" Target="https://drive.google.com/file/d/1i5bMLlZ7QkDvACclyW9XzhpW-fEOMcq0/view?usp=drive_link" TargetMode="External"/><Relationship Id="rId222" Type="http://schemas.openxmlformats.org/officeDocument/2006/relationships/hyperlink" Target="https://drive.google.com/file/d/1xR_x36BKDw6cHBIvbcaSmKNtxIIssCth/view?usp=drive_link" TargetMode="External"/><Relationship Id="rId343" Type="http://schemas.openxmlformats.org/officeDocument/2006/relationships/hyperlink" Target="https://drive.google.com/file/d/1oMXyYJeVGV6epVKxrFjm8yjRGA4J_yud/view?usp=drive_link" TargetMode="External"/><Relationship Id="rId100" Type="http://schemas.openxmlformats.org/officeDocument/2006/relationships/hyperlink" Target="https://drive.google.com/file/d/15712YIW1NLF3m0nZVoG1sfYujruje_76/view?usp=drive_link" TargetMode="External"/><Relationship Id="rId221" Type="http://schemas.openxmlformats.org/officeDocument/2006/relationships/hyperlink" Target="https://drive.google.com/file/d/1GU9COVDsYcPzIUpcLeQFg-Vf-b4MhcSk/view?usp=drive_link" TargetMode="External"/><Relationship Id="rId342" Type="http://schemas.openxmlformats.org/officeDocument/2006/relationships/hyperlink" Target="https://drive.google.com/file/d/1H0Vzkj9Srcoi6k-YznBX6IWrz1xZ19YN/view?usp=drive_link" TargetMode="External"/><Relationship Id="rId217" Type="http://schemas.openxmlformats.org/officeDocument/2006/relationships/hyperlink" Target="https://drive.google.com/file/d/1qXhHDMmtgodOoFzoV2-Xv5BZGtrGeZ4A/view?usp=drive_link" TargetMode="External"/><Relationship Id="rId338" Type="http://schemas.openxmlformats.org/officeDocument/2006/relationships/hyperlink" Target="https://drive.google.com/file/d/1csfi4_f5a7Tu9Hxzk76jj20ZO1jzB-4u/view?usp=drive_link" TargetMode="External"/><Relationship Id="rId216" Type="http://schemas.openxmlformats.org/officeDocument/2006/relationships/hyperlink" Target="https://drive.google.com/file/d/1Ls4bbNodlMXfotEwYQVNPy_2bWzG1uVm/view?usp=drive_link" TargetMode="External"/><Relationship Id="rId337" Type="http://schemas.openxmlformats.org/officeDocument/2006/relationships/hyperlink" Target="https://drive.google.com/file/d/1C7W3kPycXazbetZJOUmVbaCliLqvA-6a/view?usp=drive_link" TargetMode="External"/><Relationship Id="rId215" Type="http://schemas.openxmlformats.org/officeDocument/2006/relationships/hyperlink" Target="https://drive.google.com/file/d/1UKAhBpyyNYofKjSF7V-LlRP69G4vxTvM/view?usp=drive_link" TargetMode="External"/><Relationship Id="rId336" Type="http://schemas.openxmlformats.org/officeDocument/2006/relationships/hyperlink" Target="https://drive.google.com/file/d/1i5D4jiE8v0j1A9STXt2fqb6P-LprZDin/view?usp=drive_link" TargetMode="External"/><Relationship Id="rId214" Type="http://schemas.openxmlformats.org/officeDocument/2006/relationships/hyperlink" Target="https://drive.google.com/file/d/1TnCt9im6cyjwXSGZjtIo232Esgv71uy-/view?usp=drive_link" TargetMode="External"/><Relationship Id="rId335" Type="http://schemas.openxmlformats.org/officeDocument/2006/relationships/hyperlink" Target="https://drive.google.com/file/d/1xG_rnS9Hh-sJqqvs7PZgelvAdq2SBuxE/view?usp=drive_link" TargetMode="External"/><Relationship Id="rId219" Type="http://schemas.openxmlformats.org/officeDocument/2006/relationships/hyperlink" Target="https://drive.google.com/file/d/1kTFJQCXySDtQ-Qsk4X-nkUo_FB060v_a/view?usp=drive_link" TargetMode="External"/><Relationship Id="rId218" Type="http://schemas.openxmlformats.org/officeDocument/2006/relationships/hyperlink" Target="https://drive.google.com/file/d/1gwpHoQR95hKjL_-1MFQpQnscQG1Q0kBm/view?usp=drive_link" TargetMode="External"/><Relationship Id="rId339" Type="http://schemas.openxmlformats.org/officeDocument/2006/relationships/hyperlink" Target="https://drive.google.com/file/d/1g358SJXffsEjR9KwJ5Fyi6UwoYpwh3gC/view?usp=drive_link" TargetMode="External"/><Relationship Id="rId330" Type="http://schemas.openxmlformats.org/officeDocument/2006/relationships/hyperlink" Target="https://drive.google.com/file/d/1Tw2BWzW0Li9CC-ubvwld0MFrsp8IqJh8/view?usp=drive_link" TargetMode="External"/><Relationship Id="rId213" Type="http://schemas.openxmlformats.org/officeDocument/2006/relationships/hyperlink" Target="https://drive.google.com/file/d/1jL0aeghjFo3inP9Iy4fw_bGfeZLABDql/view?usp=drive_link" TargetMode="External"/><Relationship Id="rId334" Type="http://schemas.openxmlformats.org/officeDocument/2006/relationships/hyperlink" Target="https://drive.google.com/file/d/1uv7G4Hm7EKDtHDWo9MlyhBUkesZmnMT3/view?usp=drive_link" TargetMode="External"/><Relationship Id="rId212" Type="http://schemas.openxmlformats.org/officeDocument/2006/relationships/hyperlink" Target="https://drive.google.com/file/d/1biWt4gKKepWLhV1m2VH38WdHHcsJxO-Y/view?usp=drive_link" TargetMode="External"/><Relationship Id="rId333" Type="http://schemas.openxmlformats.org/officeDocument/2006/relationships/hyperlink" Target="https://drive.google.com/file/d/1Z4IhB57vc8Ipj82qc2w0TtXs_fNPoedK/view?usp=drive_link" TargetMode="External"/><Relationship Id="rId211" Type="http://schemas.openxmlformats.org/officeDocument/2006/relationships/hyperlink" Target="https://drive.google.com/file/d/1q4a0-HiFOHXcfgAuhjg-4SlrulMGomqL/view?usp=drive_link" TargetMode="External"/><Relationship Id="rId332" Type="http://schemas.openxmlformats.org/officeDocument/2006/relationships/hyperlink" Target="https://drive.google.com/file/d/1NDWQl98SEvm632fHpzCpgSvY7l40Kwy5/view?usp=drive_link" TargetMode="External"/><Relationship Id="rId210" Type="http://schemas.openxmlformats.org/officeDocument/2006/relationships/hyperlink" Target="https://drive.google.com/file/d/16Er3QytB-ynEvhpxIgNh4V8-sFnd8PuD/view?usp=drive_link" TargetMode="External"/><Relationship Id="rId331" Type="http://schemas.openxmlformats.org/officeDocument/2006/relationships/hyperlink" Target="https://drive.google.com/file/d/1DfyPAaVdpCnwEVhj-BhuY2D5vbPZwPoC/view?usp=drive_link" TargetMode="External"/><Relationship Id="rId129" Type="http://schemas.openxmlformats.org/officeDocument/2006/relationships/hyperlink" Target="https://drive.google.com/file/d/1lsdVZ_g3sZ5DnXjc96DnKyH2uWztK0z9/view?usp=drive_link" TargetMode="External"/><Relationship Id="rId128" Type="http://schemas.openxmlformats.org/officeDocument/2006/relationships/hyperlink" Target="https://drive.google.com/file/d/18oI2MKQxSTJZdDNc6pzuGjEEVTYG8VmA/view?usp=drive_link" TargetMode="External"/><Relationship Id="rId249" Type="http://schemas.openxmlformats.org/officeDocument/2006/relationships/hyperlink" Target="https://drive.google.com/file/d/11fmG9166UiRL--AteA9q4vIz3aAkl7xk/view?usp=drive_link" TargetMode="External"/><Relationship Id="rId127" Type="http://schemas.openxmlformats.org/officeDocument/2006/relationships/hyperlink" Target="https://drive.google.com/file/d/1xCzm4ycbEYNul1kRy9OXruuiq4TixAlQ/view?usp=drive_link" TargetMode="External"/><Relationship Id="rId248" Type="http://schemas.openxmlformats.org/officeDocument/2006/relationships/hyperlink" Target="https://drive.google.com/file/d/1vGIRw5emZiFZozCgM_Inp6NIKXgXjrdP/view?usp=drive_link" TargetMode="External"/><Relationship Id="rId126" Type="http://schemas.openxmlformats.org/officeDocument/2006/relationships/hyperlink" Target="https://drive.google.com/file/d/1wsphcN0FHaZvzHeENx-wek_oXE63NQbS/view?usp=drive_link" TargetMode="External"/><Relationship Id="rId247" Type="http://schemas.openxmlformats.org/officeDocument/2006/relationships/hyperlink" Target="https://drive.google.com/file/d/1j6MG9EATyZ40kLs-2A9gnEHDRZrZ3VSU/view?usp=drive_link" TargetMode="External"/><Relationship Id="rId121" Type="http://schemas.openxmlformats.org/officeDocument/2006/relationships/hyperlink" Target="https://drive.google.com/file/d/1XiXmnYZqjBDPS9dXwsLnXv5U1H-svgj8/view?usp=drive_link" TargetMode="External"/><Relationship Id="rId242" Type="http://schemas.openxmlformats.org/officeDocument/2006/relationships/hyperlink" Target="https://drive.google.com/file/d/1GssZUCQMQOia-5Royo9BY3tteMba06QL/view?usp=drive_link" TargetMode="External"/><Relationship Id="rId120" Type="http://schemas.openxmlformats.org/officeDocument/2006/relationships/hyperlink" Target="https://drive.google.com/file/d/1Fq4oG7jAKYxrXfFyjmZZemaDwYUFcq3e/view?usp=drive_link" TargetMode="External"/><Relationship Id="rId241" Type="http://schemas.openxmlformats.org/officeDocument/2006/relationships/hyperlink" Target="https://drive.google.com/file/d/1zZt0kEjr44Qzu7NCk188lXRlsYfXpurS/view?usp=drive_link" TargetMode="External"/><Relationship Id="rId240" Type="http://schemas.openxmlformats.org/officeDocument/2006/relationships/hyperlink" Target="https://drive.google.com/file/d/1HCjYTstQ_FET3B7s6Rw0GmBGNoBJ8zfz/view?usp=drive_link" TargetMode="External"/><Relationship Id="rId125" Type="http://schemas.openxmlformats.org/officeDocument/2006/relationships/hyperlink" Target="https://drive.google.com/file/d/1c4igh-ZZHZQCcsykk7bnGZ91a0CtIrpG/view?usp=drive_link" TargetMode="External"/><Relationship Id="rId246" Type="http://schemas.openxmlformats.org/officeDocument/2006/relationships/hyperlink" Target="https://drive.google.com/file/d/1Ain_BEHJGxBfLep-pZ50xpukF9QSWpWg/view?usp=drive_link" TargetMode="External"/><Relationship Id="rId124" Type="http://schemas.openxmlformats.org/officeDocument/2006/relationships/hyperlink" Target="https://drive.google.com/file/d/1hLxmWmdfmfs7rk2Eqzh-3KUvOS_-j8IP/view?usp=drive_link" TargetMode="External"/><Relationship Id="rId245" Type="http://schemas.openxmlformats.org/officeDocument/2006/relationships/hyperlink" Target="https://drive.google.com/file/d/1vJH36Td1QXqGbEdk3z8eF85XjDNNEa-G/view?usp=drive_link" TargetMode="External"/><Relationship Id="rId123" Type="http://schemas.openxmlformats.org/officeDocument/2006/relationships/hyperlink" Target="https://drive.google.com/file/d/1CuMzCLlq-hubNZ2owEQBwEYPseFPpZ3T/view?usp=drive_link" TargetMode="External"/><Relationship Id="rId244" Type="http://schemas.openxmlformats.org/officeDocument/2006/relationships/hyperlink" Target="https://drive.google.com/file/d/1gr_RFdj2ubWXCCS3pcW1qL0RlVlV-Ssw/view?usp=drive_link" TargetMode="External"/><Relationship Id="rId122" Type="http://schemas.openxmlformats.org/officeDocument/2006/relationships/hyperlink" Target="https://drive.google.com/file/d/1nU31yBi7FNNnsOHYMDhNqhWwFH5Xjlgq/view?usp=drive_link" TargetMode="External"/><Relationship Id="rId243" Type="http://schemas.openxmlformats.org/officeDocument/2006/relationships/hyperlink" Target="https://drive.google.com/file/d/1i5_SJuh4bkrLXQWfPSnvY3PDRxIXiWJW/view?usp=drive_link" TargetMode="External"/><Relationship Id="rId95" Type="http://schemas.openxmlformats.org/officeDocument/2006/relationships/hyperlink" Target="https://drive.google.com/file/d/1wS2gkzi4LhwepZJPRcQMadlwzEO3S7U9/view?usp=drive_link" TargetMode="External"/><Relationship Id="rId94" Type="http://schemas.openxmlformats.org/officeDocument/2006/relationships/hyperlink" Target="https://drive.google.com/file/d/1fRNGOmt7k6TwxGJjhQ3wvr3gllZmyjNN/view?usp=drive_link" TargetMode="External"/><Relationship Id="rId97" Type="http://schemas.openxmlformats.org/officeDocument/2006/relationships/hyperlink" Target="https://drive.google.com/file/d/1h6AERyQ0YEvaQo_S9s8SQCj7neip59da/view?usp=drive_link" TargetMode="External"/><Relationship Id="rId96" Type="http://schemas.openxmlformats.org/officeDocument/2006/relationships/hyperlink" Target="https://drive.google.com/file/d/1xN-9-mGXi4yAsUEUURA7QHYtBE03ntm7/view?usp=drive_link" TargetMode="External"/><Relationship Id="rId99" Type="http://schemas.openxmlformats.org/officeDocument/2006/relationships/hyperlink" Target="https://drive.google.com/file/d/1TA0UcW9Mu29x4C-o08QN7i7Usp-cwrxB/view?usp=drive_link" TargetMode="External"/><Relationship Id="rId98" Type="http://schemas.openxmlformats.org/officeDocument/2006/relationships/hyperlink" Target="https://drive.google.com/file/d/1rjj4Ftith0_RliVe6aqrMGOO-Pb1CWZj/view?usp=drive_link" TargetMode="External"/><Relationship Id="rId91" Type="http://schemas.openxmlformats.org/officeDocument/2006/relationships/hyperlink" Target="https://drive.google.com/file/d/1BalCF9rEFRiN-lM9Gh0Lg6-OLRkotTQN/view?usp=drive_link" TargetMode="External"/><Relationship Id="rId90" Type="http://schemas.openxmlformats.org/officeDocument/2006/relationships/hyperlink" Target="https://drive.google.com/file/d/1Jrx8LU0tmCAc6tPwiaLG9Ck5o9hCdZeV/view?usp=drive_link" TargetMode="External"/><Relationship Id="rId93" Type="http://schemas.openxmlformats.org/officeDocument/2006/relationships/hyperlink" Target="https://drive.google.com/file/d/1QObxWwKGcdvt6_EEQNNoMZKXna-CyhJs/view?usp=drive_link" TargetMode="External"/><Relationship Id="rId92" Type="http://schemas.openxmlformats.org/officeDocument/2006/relationships/hyperlink" Target="https://drive.google.com/file/d/11Tv4_tWWAIMWtVU5JIxl8exbyV8qXhHt/view?usp=drive_link" TargetMode="External"/><Relationship Id="rId118" Type="http://schemas.openxmlformats.org/officeDocument/2006/relationships/hyperlink" Target="https://drive.google.com/file/d/1zTMzRcNfxoGvFtklcDZj7h99a6JIC83S/view?usp=drive_link" TargetMode="External"/><Relationship Id="rId239" Type="http://schemas.openxmlformats.org/officeDocument/2006/relationships/hyperlink" Target="https://drive.google.com/file/d/1KZkqAQXFJTyZ1ApsuvSd6AXAfuFf4N6W/view?usp=drive_link" TargetMode="External"/><Relationship Id="rId117" Type="http://schemas.openxmlformats.org/officeDocument/2006/relationships/hyperlink" Target="https://drive.google.com/file/d/1DEHEvcUl4KN_lrUVNKGmFEx9-u56Yly1/view?usp=drive_link" TargetMode="External"/><Relationship Id="rId238" Type="http://schemas.openxmlformats.org/officeDocument/2006/relationships/hyperlink" Target="https://drive.google.com/file/d/1JJcHSbYXrA6tXc9yC-RYqsCO1zCO3o_v/view?usp=drive_link" TargetMode="External"/><Relationship Id="rId116" Type="http://schemas.openxmlformats.org/officeDocument/2006/relationships/hyperlink" Target="https://drive.google.com/file/d/1YfdQoy4kVRXLACD7QExhLH6FVBU8e4Ym/view?usp=drive_link" TargetMode="External"/><Relationship Id="rId237" Type="http://schemas.openxmlformats.org/officeDocument/2006/relationships/hyperlink" Target="https://drive.google.com/file/d/1KZkqAQXFJTyZ1ApsuvSd6AXAfuFf4N6W/view?usp=drive_link" TargetMode="External"/><Relationship Id="rId115" Type="http://schemas.openxmlformats.org/officeDocument/2006/relationships/hyperlink" Target="https://drive.google.com/file/d/1YfdQoy4kVRXLACD7QExhLH6FVBU8e4Ym/view?usp=drive_link" TargetMode="External"/><Relationship Id="rId236" Type="http://schemas.openxmlformats.org/officeDocument/2006/relationships/hyperlink" Target="https://drive.google.com/file/d/10PsJV7J9984SGqS5pXEvZy-dlBG_68KG/view?usp=drive_link" TargetMode="External"/><Relationship Id="rId119" Type="http://schemas.openxmlformats.org/officeDocument/2006/relationships/hyperlink" Target="https://drive.google.com/file/d/177zRjl2uI3v84cHYXWCekDuaJxqLDc2J/view?usp=drive_link" TargetMode="External"/><Relationship Id="rId110" Type="http://schemas.openxmlformats.org/officeDocument/2006/relationships/hyperlink" Target="https://drive.google.com/file/d/1Yn9IwSRuf1dmakVKL17KCevAGKs3S1Vl/view?usp=drive_link" TargetMode="External"/><Relationship Id="rId231" Type="http://schemas.openxmlformats.org/officeDocument/2006/relationships/hyperlink" Target="https://drive.google.com/file/d/19Dxrs7-n21-oz9TqQD4PJy-POpoJFh7V/view?usp=drive_link" TargetMode="External"/><Relationship Id="rId352" Type="http://schemas.openxmlformats.org/officeDocument/2006/relationships/hyperlink" Target="https://drive.google.com/file/d/19Jk0h8JGrcw2ObWEiL42iBwnAZTWXk6R/view?usp=drive_link" TargetMode="External"/><Relationship Id="rId230" Type="http://schemas.openxmlformats.org/officeDocument/2006/relationships/hyperlink" Target="https://drive.google.com/file/d/1LfaMbCYz80BvtAxP36W6xQ7qhLyiWHwx/view?usp=drive_link" TargetMode="External"/><Relationship Id="rId351" Type="http://schemas.openxmlformats.org/officeDocument/2006/relationships/hyperlink" Target="https://drive.google.com/file/d/1iwUhaIryOMkbnNzyxT3g2rZA3fxM2YZy/view?usp=drive_link" TargetMode="External"/><Relationship Id="rId350" Type="http://schemas.openxmlformats.org/officeDocument/2006/relationships/hyperlink" Target="https://drive.google.com/file/d/1ygot7OcfQhPbsiMrbPl1U-aglAr6P4AR/view?usp=drive_link" TargetMode="External"/><Relationship Id="rId114" Type="http://schemas.openxmlformats.org/officeDocument/2006/relationships/hyperlink" Target="https://drive.google.com/file/d/1lWF1a9bAUXrC4mVE_YdOlACT-DNjzJ2R/view?usp=drive_link" TargetMode="External"/><Relationship Id="rId235" Type="http://schemas.openxmlformats.org/officeDocument/2006/relationships/hyperlink" Target="https://drive.google.com/file/d/1JJcHSbYXrA6tXc9yC-RYqsCO1zCO3o_v/view?usp=drive_link" TargetMode="External"/><Relationship Id="rId356" Type="http://schemas.openxmlformats.org/officeDocument/2006/relationships/table" Target="../tables/table2.xml"/><Relationship Id="rId113" Type="http://schemas.openxmlformats.org/officeDocument/2006/relationships/hyperlink" Target="https://drive.google.com/file/d/1bIrPG9CopVhwRUVjqydOfOmeIhhHzi9l/view?usp=drive_link" TargetMode="External"/><Relationship Id="rId234" Type="http://schemas.openxmlformats.org/officeDocument/2006/relationships/hyperlink" Target="https://drive.google.com/file/d/1CHNpQl580aLSeWUesvJX5k1RlCB6_rHE/view?usp=drive_link" TargetMode="External"/><Relationship Id="rId112" Type="http://schemas.openxmlformats.org/officeDocument/2006/relationships/hyperlink" Target="https://drive.google.com/file/d/1wqe_G0pJjB4862AWfkYsyurvM356YVwU/view?usp=drive_link" TargetMode="External"/><Relationship Id="rId233" Type="http://schemas.openxmlformats.org/officeDocument/2006/relationships/hyperlink" Target="https://drive.google.com/file/d/1UWXcpj196-QTN_uFSNM9PDPe8jd2fBEm/view?usp=drive_link" TargetMode="External"/><Relationship Id="rId354" Type="http://schemas.openxmlformats.org/officeDocument/2006/relationships/drawing" Target="../drawings/drawing3.xml"/><Relationship Id="rId111" Type="http://schemas.openxmlformats.org/officeDocument/2006/relationships/hyperlink" Target="https://drive.google.com/file/d/1V7-aXRxGLq6Y9eYuAy2dAsnJEIZT7naQ/view?usp=drive_link" TargetMode="External"/><Relationship Id="rId232" Type="http://schemas.openxmlformats.org/officeDocument/2006/relationships/hyperlink" Target="https://drive.google.com/file/d/1SVUHBLkKi7k0z2-V5yDZggA3Be770CNk/view?usp=drive_link" TargetMode="External"/><Relationship Id="rId353" Type="http://schemas.openxmlformats.org/officeDocument/2006/relationships/hyperlink" Target="https://drive.google.com/file/d/19Jk0h8JGrcw2ObWEiL42iBwnAZTWXk6R/view?usp=drive_link" TargetMode="External"/><Relationship Id="rId305" Type="http://schemas.openxmlformats.org/officeDocument/2006/relationships/hyperlink" Target="https://drive.google.com/file/d/1Wd2LuN2PI5xLqsV0bwVmcAqL8gx7iPVe/view?usp=drive_link" TargetMode="External"/><Relationship Id="rId304" Type="http://schemas.openxmlformats.org/officeDocument/2006/relationships/hyperlink" Target="https://drive.google.com/file/d/1yzDhLng-YNSXCOihNoRnqt2Qh6LiUu1W/view?usp=drive_link" TargetMode="External"/><Relationship Id="rId303" Type="http://schemas.openxmlformats.org/officeDocument/2006/relationships/hyperlink" Target="https://drive.google.com/file/d/1UCbA-BdWl0jm_tljmAeNo_gnrgdzelk6/view?usp=drive_link" TargetMode="External"/><Relationship Id="rId302" Type="http://schemas.openxmlformats.org/officeDocument/2006/relationships/hyperlink" Target="https://drive.google.com/file/d/1wyy4a1qleSyfOKKBfG6kr7ZnTxn830X1/view?usp=drive_link" TargetMode="External"/><Relationship Id="rId309" Type="http://schemas.openxmlformats.org/officeDocument/2006/relationships/hyperlink" Target="https://drive.google.com/file/d/1ed0xHaB4Pi03DrNE3BI7rQyUaSbtGJdN/view?usp=drive_link" TargetMode="External"/><Relationship Id="rId308" Type="http://schemas.openxmlformats.org/officeDocument/2006/relationships/hyperlink" Target="https://drive.google.com/file/d/13PXCIMD2hLZRjWtI1syFq4MxAHLAstli/view?usp=drive_link" TargetMode="External"/><Relationship Id="rId307" Type="http://schemas.openxmlformats.org/officeDocument/2006/relationships/hyperlink" Target="https://drive.google.com/file/d/1Y9DRZXBgypADCc3QTxmvUPzPOW-fVFfy/view?usp=drive_link" TargetMode="External"/><Relationship Id="rId306" Type="http://schemas.openxmlformats.org/officeDocument/2006/relationships/hyperlink" Target="https://drive.google.com/file/d/1MCq-EFM5R44Gg33fbvlBkIUR4yAD-K0_/view?usp=drive_link" TargetMode="External"/><Relationship Id="rId301" Type="http://schemas.openxmlformats.org/officeDocument/2006/relationships/hyperlink" Target="https://drive.google.com/file/d/1yMqr5Pj8MARxpkjPwOfVC_j9cq-npod7/view?usp=drive_link" TargetMode="External"/><Relationship Id="rId300" Type="http://schemas.openxmlformats.org/officeDocument/2006/relationships/hyperlink" Target="https://drive.google.com/file/d/1qK-qHzAEQ2NuyODeY2j9KnsGss49UHC7/view?usp=drive_link" TargetMode="External"/><Relationship Id="rId206" Type="http://schemas.openxmlformats.org/officeDocument/2006/relationships/hyperlink" Target="https://drive.google.com/file/d/1tV5bL8SFJb58NASYxBUxxqHtliJf_GSv/view?usp=drive_link" TargetMode="External"/><Relationship Id="rId327" Type="http://schemas.openxmlformats.org/officeDocument/2006/relationships/hyperlink" Target="https://drive.google.com/file/d/10o_QToF_-m-QCYin7QGxw0dKoROpgxYy/view?usp=drive_link" TargetMode="External"/><Relationship Id="rId205" Type="http://schemas.openxmlformats.org/officeDocument/2006/relationships/hyperlink" Target="https://drive.google.com/file/d/1jGSaZ_EVi0O1nYwoRDctTxXPfFQihO2e/view?usp=drive_link" TargetMode="External"/><Relationship Id="rId326" Type="http://schemas.openxmlformats.org/officeDocument/2006/relationships/hyperlink" Target="https://drive.google.com/file/d/1sypu0KVezAqTZ1ChOe2XmwolR6gUOnmt/view?usp=drive_link" TargetMode="External"/><Relationship Id="rId204" Type="http://schemas.openxmlformats.org/officeDocument/2006/relationships/hyperlink" Target="https://drive.google.com/file/d/1FvwZplTGfMOeS9MlqetKLYVJyVnJD8Ln/view?usp=drive_link" TargetMode="External"/><Relationship Id="rId325" Type="http://schemas.openxmlformats.org/officeDocument/2006/relationships/hyperlink" Target="https://drive.google.com/file/d/1BvgrMlm4hJ7XA5EeQQiwiqrm9ci0Fgmp/view?usp=drive_link" TargetMode="External"/><Relationship Id="rId203" Type="http://schemas.openxmlformats.org/officeDocument/2006/relationships/hyperlink" Target="https://drive.google.com/file/d/1XlIfV6clHhNL1EWko3EQk8NJtP_j1Wer/view?usp=drive_link" TargetMode="External"/><Relationship Id="rId324" Type="http://schemas.openxmlformats.org/officeDocument/2006/relationships/hyperlink" Target="https://drive.google.com/file/d/1T7v-4fUyXb8QrAIzwGjQ-DLdzbCwGi6I/view?usp=drive_link" TargetMode="External"/><Relationship Id="rId209" Type="http://schemas.openxmlformats.org/officeDocument/2006/relationships/hyperlink" Target="https://drive.google.com/file/d/1-xAIKBdA2k1GzjZ2j_oqDn9AKjFEYlSx/view?usp=drive_link" TargetMode="External"/><Relationship Id="rId208" Type="http://schemas.openxmlformats.org/officeDocument/2006/relationships/hyperlink" Target="https://drive.google.com/file/d/187xiTiValzF1Fo8O5e9mud9ajO_YhamK/view?usp=drive_link" TargetMode="External"/><Relationship Id="rId329" Type="http://schemas.openxmlformats.org/officeDocument/2006/relationships/hyperlink" Target="https://drive.google.com/file/d/1PvA6ERh5Abosx2WhkW_-WoowdPvYWSKi/view?usp=drive_link" TargetMode="External"/><Relationship Id="rId207" Type="http://schemas.openxmlformats.org/officeDocument/2006/relationships/hyperlink" Target="https://drive.google.com/file/d/172_Cswcbr1sCaWSN23aJluMXYVD-d0BN/view?usp=drive_link" TargetMode="External"/><Relationship Id="rId328" Type="http://schemas.openxmlformats.org/officeDocument/2006/relationships/hyperlink" Target="https://drive.google.com/file/d/1c9Pe_GxESHGVfO3zB57RSfGq7ieB0bzp/view?usp=drive_link" TargetMode="External"/><Relationship Id="rId202" Type="http://schemas.openxmlformats.org/officeDocument/2006/relationships/hyperlink" Target="https://drive.google.com/file/d/18Xdin2VetqS3xwCByUG_WMqkbQ8zB977/view?usp=drive_link" TargetMode="External"/><Relationship Id="rId323" Type="http://schemas.openxmlformats.org/officeDocument/2006/relationships/hyperlink" Target="https://drive.google.com/file/d/1V5ZzhgLed3WwD-WPvsAeiq8coGUGRpPv/view?usp=drive_link" TargetMode="External"/><Relationship Id="rId201" Type="http://schemas.openxmlformats.org/officeDocument/2006/relationships/hyperlink" Target="https://drive.google.com/file/d/11zjcVKQstZBirq3dDb8P4Zsa1kM6E5VQ/view?usp=drive_link" TargetMode="External"/><Relationship Id="rId322" Type="http://schemas.openxmlformats.org/officeDocument/2006/relationships/hyperlink" Target="https://drive.google.com/file/d/1bogf98UZ3FFd6WNXUfxxiEQd-uMGYLRx/view?usp=drive_link" TargetMode="External"/><Relationship Id="rId200" Type="http://schemas.openxmlformats.org/officeDocument/2006/relationships/hyperlink" Target="https://drive.google.com/file/d/1rsGWmpcKIlQuOJ5PgRI9X4EwlN-FD2Kr/view?usp=drive_link" TargetMode="External"/><Relationship Id="rId321" Type="http://schemas.openxmlformats.org/officeDocument/2006/relationships/hyperlink" Target="https://drive.google.com/file/d/1aIB4hGDOaoycO2wjaYizzLqZLl65xHKd/view?usp=drive_link" TargetMode="External"/><Relationship Id="rId320" Type="http://schemas.openxmlformats.org/officeDocument/2006/relationships/hyperlink" Target="https://drive.google.com/file/d/1X8O4_VZbDA8u8I_cCFibeADOacy6wGme/view?usp=drive_link" TargetMode="External"/><Relationship Id="rId316" Type="http://schemas.openxmlformats.org/officeDocument/2006/relationships/hyperlink" Target="https://drive.google.com/file/d/15QtUvCwoQw1IfE7fIqbQqPQw809JqyAt/view?usp=drive_link" TargetMode="External"/><Relationship Id="rId315" Type="http://schemas.openxmlformats.org/officeDocument/2006/relationships/hyperlink" Target="https://drive.google.com/file/d/1PKGWKDz5-1bqwwMg2zgLvBPF3WJv5Cmp/view?usp=drive_link" TargetMode="External"/><Relationship Id="rId314" Type="http://schemas.openxmlformats.org/officeDocument/2006/relationships/hyperlink" Target="https://drive.google.com/file/d/1SnjLEMCSp4jQAU-3ViE3VQreLmORBEqH/view?usp=drive_link" TargetMode="External"/><Relationship Id="rId313" Type="http://schemas.openxmlformats.org/officeDocument/2006/relationships/hyperlink" Target="https://drive.google.com/file/d/1ZfJ-o9C5yTwOGZBTB9Xxocg-XwE6lWAw/view?usp=drive_link" TargetMode="External"/><Relationship Id="rId319" Type="http://schemas.openxmlformats.org/officeDocument/2006/relationships/hyperlink" Target="https://drive.google.com/file/d/1EhFZPNUTSjQj9MabxrK6W4hxVeEdQeQw/view?usp=drive_link" TargetMode="External"/><Relationship Id="rId318" Type="http://schemas.openxmlformats.org/officeDocument/2006/relationships/hyperlink" Target="https://drive.google.com/file/d/1iZFqiEB579igr_Aq9txBPoICIiU3ZDjy/view?usp=drive_link" TargetMode="External"/><Relationship Id="rId317" Type="http://schemas.openxmlformats.org/officeDocument/2006/relationships/hyperlink" Target="https://drive.google.com/file/d/1xOWRm--jdr3s5O3wi0VBNhIbuv22Ll_c/view?usp=drive_link" TargetMode="External"/><Relationship Id="rId312" Type="http://schemas.openxmlformats.org/officeDocument/2006/relationships/hyperlink" Target="https://drive.google.com/file/d/1IS48TxjsP-d5cAPreuFtVzv-f0zc_5yp/view?usp=drive_link" TargetMode="External"/><Relationship Id="rId311" Type="http://schemas.openxmlformats.org/officeDocument/2006/relationships/hyperlink" Target="https://drive.google.com/file/d/1U1ITtwzJYYQ4vQzwkvsEY1P65jldnlce/view?usp=drive_link" TargetMode="External"/><Relationship Id="rId310" Type="http://schemas.openxmlformats.org/officeDocument/2006/relationships/hyperlink" Target="https://drive.google.com/file/d/1ndDi3QScXFjqSrcuRGKGtBrL8ZyhLHrl/view?usp=drive_link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4.xml"/><Relationship Id="rId42" Type="http://schemas.openxmlformats.org/officeDocument/2006/relationships/table" Target="../tables/table3.xml"/><Relationship Id="rId31" Type="http://schemas.openxmlformats.org/officeDocument/2006/relationships/hyperlink" Target="https://drive.google.com/file/d/1IkuczwtzmxiBF__BgZPkXZnt47fSPnpR/view?usp=drive_link" TargetMode="External"/><Relationship Id="rId30" Type="http://schemas.openxmlformats.org/officeDocument/2006/relationships/hyperlink" Target="https://drive.google.com/file/d/1q29ExkwQGSd39tXmpOejsFBXDw-UTniU/view?usp=drive_link" TargetMode="External"/><Relationship Id="rId33" Type="http://schemas.openxmlformats.org/officeDocument/2006/relationships/hyperlink" Target="https://drive.google.com/file/d/10iYmud4Db1MnOxkhnZL5jkdyWy3aksKA/view?usp=drive_link" TargetMode="External"/><Relationship Id="rId32" Type="http://schemas.openxmlformats.org/officeDocument/2006/relationships/hyperlink" Target="https://drive.google.com/file/d/1qA9MMiCtwGG5Ay2P3V8ZgKcNbK_KElF5/view?usp=drive_link" TargetMode="External"/><Relationship Id="rId35" Type="http://schemas.openxmlformats.org/officeDocument/2006/relationships/hyperlink" Target="https://drive.google.com/file/d/1ywls-6XArmlv9J2oFtRJkRCnF9PcvoDQ/view?usp=drive_link" TargetMode="External"/><Relationship Id="rId34" Type="http://schemas.openxmlformats.org/officeDocument/2006/relationships/hyperlink" Target="https://drive.google.com/file/d/1Vd3F4oJHVNER99LPnV1xd4koE7e-1t0h/view?usp=drive_link" TargetMode="External"/><Relationship Id="rId37" Type="http://schemas.openxmlformats.org/officeDocument/2006/relationships/hyperlink" Target="https://drive.google.com/file/d/1FOzujPFAOmWaVzPGDMKMUh_etwhhWRHN/view?usp=drive_link" TargetMode="External"/><Relationship Id="rId36" Type="http://schemas.openxmlformats.org/officeDocument/2006/relationships/hyperlink" Target="https://drive.google.com/file/d/1_PabtCwQSwcjCvymcHx6DRqND3SpEFTL/view?usp=drive_link" TargetMode="External"/><Relationship Id="rId39" Type="http://schemas.openxmlformats.org/officeDocument/2006/relationships/hyperlink" Target="https://drive.google.com/file/d/1VqBcLvbkAiRjllNOY_JREsb0G0wUiol1/view?usp=drive_link" TargetMode="External"/><Relationship Id="rId38" Type="http://schemas.openxmlformats.org/officeDocument/2006/relationships/hyperlink" Target="https://drive.google.com/file/d/1-mcLmIhq4536FpXrku048eL2NL9fpNYx/view?usp=drive_link" TargetMode="External"/><Relationship Id="rId20" Type="http://schemas.openxmlformats.org/officeDocument/2006/relationships/hyperlink" Target="https://drive.google.com/file/d/1kn6FKRXfG19mLgKHF7YvT35kPy2U-Ket/view?usp=drive_link" TargetMode="External"/><Relationship Id="rId22" Type="http://schemas.openxmlformats.org/officeDocument/2006/relationships/hyperlink" Target="https://drive.google.com/file/d/114AkNjl_OkFFTcx9yoEdR_pLT7In7EXJ/view?usp=drive_link" TargetMode="External"/><Relationship Id="rId21" Type="http://schemas.openxmlformats.org/officeDocument/2006/relationships/hyperlink" Target="https://drive.google.com/file/d/1cGe6rhgxKL9NxGkh0OFJ3_DHj_Wn6plN/view?usp=drive_link" TargetMode="External"/><Relationship Id="rId24" Type="http://schemas.openxmlformats.org/officeDocument/2006/relationships/hyperlink" Target="https://drive.google.com/file/d/18K6afXdDh21gnHMnXiEdhBgUssJSgUq4/view?usp=drive_link" TargetMode="External"/><Relationship Id="rId23" Type="http://schemas.openxmlformats.org/officeDocument/2006/relationships/hyperlink" Target="https://drive.google.com/file/d/1_Q1dOetT3K3AYQZnff-cKf3geIIJruTE/view?usp=drive_link" TargetMode="External"/><Relationship Id="rId26" Type="http://schemas.openxmlformats.org/officeDocument/2006/relationships/hyperlink" Target="https://drive.google.com/file/d/1vx1VsDBZ3oYrmTUtumr4gDMHTOvgXaRl/view?usp=drive_link" TargetMode="External"/><Relationship Id="rId25" Type="http://schemas.openxmlformats.org/officeDocument/2006/relationships/hyperlink" Target="https://drive.google.com/file/d/1KMBkINbZcXgl8pqMkS1gLZsyyDE3hWvz/view?usp=drive_link" TargetMode="External"/><Relationship Id="rId28" Type="http://schemas.openxmlformats.org/officeDocument/2006/relationships/hyperlink" Target="https://drive.google.com/file/d/1c97g7BDEk6nHWVAaQ3uuehJ4D2yA4YPQ/view?usp=drive_link" TargetMode="External"/><Relationship Id="rId27" Type="http://schemas.openxmlformats.org/officeDocument/2006/relationships/hyperlink" Target="https://drive.google.com/file/d/1gcvmGbvoWB6VRGktNYNCAaVjTX7F4nd7/view?usp=drive_link" TargetMode="External"/><Relationship Id="rId29" Type="http://schemas.openxmlformats.org/officeDocument/2006/relationships/hyperlink" Target="https://drive.google.com/file/d/1EOxhCmbCO9No1p7MSG1fB7SVFUNftTJZ/view?usp=drive_link" TargetMode="External"/><Relationship Id="rId11" Type="http://schemas.openxmlformats.org/officeDocument/2006/relationships/hyperlink" Target="https://drive.google.com/file/d/1gcvmGbvoWB6VRGktNYNCAaVjTX7F4nd7/view?usp=drive_link" TargetMode="External"/><Relationship Id="rId10" Type="http://schemas.openxmlformats.org/officeDocument/2006/relationships/hyperlink" Target="https://drive.google.com/file/d/1VJgdPdJT7cVKdS06x7Z4GmpfhiL1Lhyr/view?usp=drive_link" TargetMode="External"/><Relationship Id="rId13" Type="http://schemas.openxmlformats.org/officeDocument/2006/relationships/hyperlink" Target="https://drive.google.com/file/d/1AHM5YbMF5E2GiqjG7fIrZ9l4vCgn3qTq/view?usp=drive_link" TargetMode="External"/><Relationship Id="rId12" Type="http://schemas.openxmlformats.org/officeDocument/2006/relationships/hyperlink" Target="https://drive.google.com/file/d/1PQkIKUhKauZmj0VNK3LXbfC7qw1GZi-S/view?usp=drive_link" TargetMode="External"/><Relationship Id="rId15" Type="http://schemas.openxmlformats.org/officeDocument/2006/relationships/hyperlink" Target="https://drive.google.com/file/d/1INtP8GlPhcVtEnMM69njHrcpBQZCPOMI/view?usp=drive_link" TargetMode="External"/><Relationship Id="rId14" Type="http://schemas.openxmlformats.org/officeDocument/2006/relationships/hyperlink" Target="https://drive.google.com/file/d/1Ifo3qmXa24gWSF0DaVPYjleKuQgEL-zj/view?usp=drive_link" TargetMode="External"/><Relationship Id="rId17" Type="http://schemas.openxmlformats.org/officeDocument/2006/relationships/hyperlink" Target="https://drive.google.com/file/d/1T0btq0YadIEg6cf25v-qKResBXRxoo2x/view?usp=drive_link" TargetMode="External"/><Relationship Id="rId16" Type="http://schemas.openxmlformats.org/officeDocument/2006/relationships/hyperlink" Target="https://drive.google.com/file/d/1INtP8GlPhcVtEnMM69njHrcpBQZCPOMI/view?usp=drive_link" TargetMode="External"/><Relationship Id="rId19" Type="http://schemas.openxmlformats.org/officeDocument/2006/relationships/hyperlink" Target="https://drive.google.com/file/d/14I689Lnmyqrya-YjCqfpBndnaJUQdoLm/view?usp=drive_link" TargetMode="External"/><Relationship Id="rId18" Type="http://schemas.openxmlformats.org/officeDocument/2006/relationships/hyperlink" Target="https://drive.google.com/file/d/17LqeJqbwtfMRi-bmJzbw1luHLjkUz7Oq/view?usp=drive_link" TargetMode="External"/><Relationship Id="rId1" Type="http://schemas.openxmlformats.org/officeDocument/2006/relationships/hyperlink" Target="https://drive.google.com/file/d/1INtP8GlPhcVtEnMM69njHrcpBQZCPOMI/view?usp=drive_link" TargetMode="External"/><Relationship Id="rId2" Type="http://schemas.openxmlformats.org/officeDocument/2006/relationships/hyperlink" Target="https://drive.google.com/file/d/1W-3wrjOk-j633M1kbAOOAdcIw0q6zk-Q/view?usp=drive_link" TargetMode="External"/><Relationship Id="rId3" Type="http://schemas.openxmlformats.org/officeDocument/2006/relationships/hyperlink" Target="https://drive.google.com/file/d/1n4Rsw9Xi0TWL3WYjPp5M5L5-qyB_k-en/view?usp=drive_link" TargetMode="External"/><Relationship Id="rId4" Type="http://schemas.openxmlformats.org/officeDocument/2006/relationships/hyperlink" Target="https://drive.google.com/file/d/18K6afXdDh21gnHMnXiEdhBgUssJSgUq4/view?usp=drive_link" TargetMode="External"/><Relationship Id="rId9" Type="http://schemas.openxmlformats.org/officeDocument/2006/relationships/hyperlink" Target="https://drive.google.com/file/d/1VJgdPdJT7cVKdS06x7Z4GmpfhiL1Lhyr/view?usp=drive_link" TargetMode="External"/><Relationship Id="rId5" Type="http://schemas.openxmlformats.org/officeDocument/2006/relationships/hyperlink" Target="https://drive.google.com/file/d/18K6afXdDh21gnHMnXiEdhBgUssJSgUq4/view?usp=drive_link" TargetMode="External"/><Relationship Id="rId6" Type="http://schemas.openxmlformats.org/officeDocument/2006/relationships/hyperlink" Target="https://drive.google.com/file/d/1KMBkINbZcXgl8pqMkS1gLZsyyDE3hWvz/view?usp=drive_link" TargetMode="External"/><Relationship Id="rId7" Type="http://schemas.openxmlformats.org/officeDocument/2006/relationships/hyperlink" Target="https://drive.google.com/file/d/1-KoAeIUiHui-cv7C3iGK1pQ8xjte27Ry/view?usp=drive_link" TargetMode="External"/><Relationship Id="rId8" Type="http://schemas.openxmlformats.org/officeDocument/2006/relationships/hyperlink" Target="https://drive.google.com/file/d/1VJgdPdJT7cVKdS06x7Z4GmpfhiL1Lhyr/view?usp=drive_link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nebDTPYv9XLQi0Gz-XtUBhfx9ixpfyPB/view?usp=drive_link" TargetMode="External"/><Relationship Id="rId42" Type="http://schemas.openxmlformats.org/officeDocument/2006/relationships/hyperlink" Target="https://drive.google.com/file/d/1MY3feTF2ZA-zuATe-uDmllOa_lH-M3mP/view?usp=drive_link" TargetMode="External"/><Relationship Id="rId41" Type="http://schemas.openxmlformats.org/officeDocument/2006/relationships/hyperlink" Target="https://drive.google.com/file/d/16s7Q7mJaGy5Ky93JN47dPNpQI5ghQ8Rx/view?usp=drive_link" TargetMode="External"/><Relationship Id="rId44" Type="http://schemas.openxmlformats.org/officeDocument/2006/relationships/hyperlink" Target="https://drive.google.com/file/d/105U5oByCl09p8ySpJSeoWCR7oCdWA8Ep/view?usp=drive_link" TargetMode="External"/><Relationship Id="rId43" Type="http://schemas.openxmlformats.org/officeDocument/2006/relationships/hyperlink" Target="https://drive.google.com/file/d/1KxuK79LPA2nEHPnFa00qH5xSe3tZ6Ydk/view?usp=drive_link" TargetMode="External"/><Relationship Id="rId46" Type="http://schemas.openxmlformats.org/officeDocument/2006/relationships/hyperlink" Target="https://drive.google.com/file/d/1iDYIfyLeZ2Ujt3OdtVbRJ8ItmHZsniVA/view?usp=drive_link" TargetMode="External"/><Relationship Id="rId45" Type="http://schemas.openxmlformats.org/officeDocument/2006/relationships/hyperlink" Target="https://drive.google.com/file/d/19wnciIGO8MtpLawdneFPWVbWVt1l-1lM/view?usp=drive_link" TargetMode="External"/><Relationship Id="rId48" Type="http://schemas.openxmlformats.org/officeDocument/2006/relationships/hyperlink" Target="https://drive.google.com/file/d/1_Levv9YGC1HrKTgjAmBj8usLlpjfsWZ7/view?usp=drive_link" TargetMode="External"/><Relationship Id="rId47" Type="http://schemas.openxmlformats.org/officeDocument/2006/relationships/hyperlink" Target="https://drive.google.com/file/d/1_Levv9YGC1HrKTgjAmBj8usLlpjfsWZ7/view?usp=drive_link" TargetMode="External"/><Relationship Id="rId49" Type="http://schemas.openxmlformats.org/officeDocument/2006/relationships/hyperlink" Target="https://drive.google.com/file/d/1I-UBWjmEVF9RZBkeTYSlOJmKKm7xyI9a/view?usp=drive_link" TargetMode="External"/><Relationship Id="rId31" Type="http://schemas.openxmlformats.org/officeDocument/2006/relationships/hyperlink" Target="https://drive.google.com/file/d/1SIxckNpj07I_c0pCAs-0C3_deGfzDCwd/view?usp=drive_link" TargetMode="External"/><Relationship Id="rId30" Type="http://schemas.openxmlformats.org/officeDocument/2006/relationships/hyperlink" Target="https://drive.google.com/file/d/1HRJb7bv-L7Qxq2C0j5R4jQXy16ThK2g8/view?usp=drive_link" TargetMode="External"/><Relationship Id="rId33" Type="http://schemas.openxmlformats.org/officeDocument/2006/relationships/hyperlink" Target="https://drive.google.com/file/d/1LVVNihAyXvLtC-wzk_JX_rBjKOf04Fao/view?usp=drive_link" TargetMode="External"/><Relationship Id="rId32" Type="http://schemas.openxmlformats.org/officeDocument/2006/relationships/hyperlink" Target="https://drive.google.com/file/d/1RydPdOhADDBQIpUbFT5jnCIrx0Ex1z1K/view?usp=drive_link" TargetMode="External"/><Relationship Id="rId35" Type="http://schemas.openxmlformats.org/officeDocument/2006/relationships/hyperlink" Target="https://drive.google.com/file/d/1wZzQrlD1QAqCu4KnE8jIYEJUtfZZrDpn/view?usp=drive_link" TargetMode="External"/><Relationship Id="rId34" Type="http://schemas.openxmlformats.org/officeDocument/2006/relationships/hyperlink" Target="https://drive.google.com/file/d/1q2poxwwoire2971haNIh5Qyz9anIK4jd/view?usp=drive_link" TargetMode="External"/><Relationship Id="rId37" Type="http://schemas.openxmlformats.org/officeDocument/2006/relationships/hyperlink" Target="https://drive.google.com/file/d/1Q4BYH89LNjuRbhK1ryOHiFJKhAV11FSc/view?usp=drive_link" TargetMode="External"/><Relationship Id="rId36" Type="http://schemas.openxmlformats.org/officeDocument/2006/relationships/hyperlink" Target="https://drive.google.com/file/d/1wGM5sCqoxY-sYhiDk7vT3yxm6yMJqRCZ/view?usp=drive_link" TargetMode="External"/><Relationship Id="rId39" Type="http://schemas.openxmlformats.org/officeDocument/2006/relationships/hyperlink" Target="https://drive.google.com/file/d/16JNKyql-YDvjbloZzFJGysD67MTKc0FD/view?usp=drive_link" TargetMode="External"/><Relationship Id="rId38" Type="http://schemas.openxmlformats.org/officeDocument/2006/relationships/hyperlink" Target="https://drive.google.com/file/d/1K5mpUpwr2EuP1QvdRJQSq9iK7SrzP2aX/view?usp=drive_link" TargetMode="External"/><Relationship Id="rId20" Type="http://schemas.openxmlformats.org/officeDocument/2006/relationships/hyperlink" Target="https://drive.google.com/file/d/11F5lHmFs5RF_DZ4r-4JkiNL8sNsH3v4x/view?usp=drive_link" TargetMode="External"/><Relationship Id="rId22" Type="http://schemas.openxmlformats.org/officeDocument/2006/relationships/hyperlink" Target="https://drive.google.com/file/d/1EFwsrcdRrVuCLNr44YooFJ5no9RUIF0W/view?usp=drive_link" TargetMode="External"/><Relationship Id="rId21" Type="http://schemas.openxmlformats.org/officeDocument/2006/relationships/hyperlink" Target="https://drive.google.com/file/d/11F5lHmFs5RF_DZ4r-4JkiNL8sNsH3v4x/view?usp=drive_link" TargetMode="External"/><Relationship Id="rId24" Type="http://schemas.openxmlformats.org/officeDocument/2006/relationships/hyperlink" Target="https://drive.google.com/file/d/11F5lHmFs5RF_DZ4r-4JkiNL8sNsH3v4x/view?usp=drive_link" TargetMode="External"/><Relationship Id="rId23" Type="http://schemas.openxmlformats.org/officeDocument/2006/relationships/hyperlink" Target="https://drive.google.com/file/d/1EFwsrcdRrVuCLNr44YooFJ5no9RUIF0W/view?usp=drive_link" TargetMode="External"/><Relationship Id="rId26" Type="http://schemas.openxmlformats.org/officeDocument/2006/relationships/hyperlink" Target="https://drive.google.com/file/d/1cRfarLE3uO0flTaEkU434gB2ORMGUT8Z/view?usp=drive_link" TargetMode="External"/><Relationship Id="rId25" Type="http://schemas.openxmlformats.org/officeDocument/2006/relationships/hyperlink" Target="https://drive.google.com/file/d/10AOlOFveDvCLs62aaEWRJbnNK9e8_qwo/view?usp=drive_link" TargetMode="External"/><Relationship Id="rId28" Type="http://schemas.openxmlformats.org/officeDocument/2006/relationships/hyperlink" Target="https://drive.google.com/file/d/1cRfarLE3uO0flTaEkU434gB2ORMGUT8Z/view?usp=drive_link" TargetMode="External"/><Relationship Id="rId27" Type="http://schemas.openxmlformats.org/officeDocument/2006/relationships/hyperlink" Target="https://drive.google.com/file/d/1cRfarLE3uO0flTaEkU434gB2ORMGUT8Z/view?usp=drive_link" TargetMode="External"/><Relationship Id="rId29" Type="http://schemas.openxmlformats.org/officeDocument/2006/relationships/hyperlink" Target="https://drive.google.com/file/d/1zi4jmqt7KARYg9Cf2cF-RfJ-we5euWov/view?usp=drive_link" TargetMode="External"/><Relationship Id="rId11" Type="http://schemas.openxmlformats.org/officeDocument/2006/relationships/hyperlink" Target="https://drive.google.com/file/d/1q2sTNW4iokohNGkeKUBXi0aYb2jFbo71/view?usp=drive_link" TargetMode="External"/><Relationship Id="rId10" Type="http://schemas.openxmlformats.org/officeDocument/2006/relationships/hyperlink" Target="https://drive.google.com/file/d/1qr7os9i4pcG-UvT9kx4NNsGVwYD5xphh/view?usp=drive_link" TargetMode="External"/><Relationship Id="rId13" Type="http://schemas.openxmlformats.org/officeDocument/2006/relationships/hyperlink" Target="https://drive.google.com/file/d/1iP2PzWKk4G7gREn35nMLCSS5RaWMta0U/view?usp=drive_link" TargetMode="External"/><Relationship Id="rId12" Type="http://schemas.openxmlformats.org/officeDocument/2006/relationships/hyperlink" Target="https://drive.google.com/file/d/1q2sTNW4iokohNGkeKUBXi0aYb2jFbo71/view?usp=drive_link" TargetMode="External"/><Relationship Id="rId15" Type="http://schemas.openxmlformats.org/officeDocument/2006/relationships/hyperlink" Target="https://drive.google.com/file/d/1cRfarLE3uO0flTaEkU434gB2ORMGUT8Z/view?usp=drive_link" TargetMode="External"/><Relationship Id="rId14" Type="http://schemas.openxmlformats.org/officeDocument/2006/relationships/hyperlink" Target="https://drive.google.com/file/d/1qr7os9i4pcG-UvT9kx4NNsGVwYD5xphh/view?usp=drive_link" TargetMode="External"/><Relationship Id="rId17" Type="http://schemas.openxmlformats.org/officeDocument/2006/relationships/hyperlink" Target="https://drive.google.com/file/d/1q2sTNW4iokohNGkeKUBXi0aYb2jFbo71/view?usp=drive_link" TargetMode="External"/><Relationship Id="rId16" Type="http://schemas.openxmlformats.org/officeDocument/2006/relationships/hyperlink" Target="https://drive.google.com/file/d/1q2sTNW4iokohNGkeKUBXi0aYb2jFbo71/view?usp=drive_link" TargetMode="External"/><Relationship Id="rId19" Type="http://schemas.openxmlformats.org/officeDocument/2006/relationships/hyperlink" Target="https://drive.google.com/file/d/1GgB2kMy9jGBMe0yO4G6-hFXg-ek-pCkb/view?usp=drive_link" TargetMode="External"/><Relationship Id="rId18" Type="http://schemas.openxmlformats.org/officeDocument/2006/relationships/hyperlink" Target="https://drive.google.com/file/d/1qr7os9i4pcG-UvT9kx4NNsGVwYD5xphh/view?usp=drive_link" TargetMode="External"/><Relationship Id="rId84" Type="http://schemas.openxmlformats.org/officeDocument/2006/relationships/hyperlink" Target="https://drive.google.com/file/d/1tkOg43BSwrmTdFo4hEkfU1S6uWMhWowS/view?usp=drive_link" TargetMode="External"/><Relationship Id="rId83" Type="http://schemas.openxmlformats.org/officeDocument/2006/relationships/hyperlink" Target="https://drive.google.com/file/d/1RBzpbArXvFjfLHesehArAkhrP93On4dn/view?usp=drive_link" TargetMode="External"/><Relationship Id="rId86" Type="http://schemas.openxmlformats.org/officeDocument/2006/relationships/hyperlink" Target="https://drive.google.com/file/d/1PYnVbE4v2zyXpRwhg1C4qUX2nySD0-cg/view?usp=drive_link" TargetMode="External"/><Relationship Id="rId85" Type="http://schemas.openxmlformats.org/officeDocument/2006/relationships/hyperlink" Target="https://drive.google.com/file/d/1mGeZGdJvs_sg3nCOt6wP1NB9MW7AAYg9/view?usp=drive_link" TargetMode="External"/><Relationship Id="rId88" Type="http://schemas.openxmlformats.org/officeDocument/2006/relationships/hyperlink" Target="https://drive.google.com/drive/folders/1l3cB4zSgPuaQsS1EcbzYdZdODb_HTq71" TargetMode="External"/><Relationship Id="rId87" Type="http://schemas.openxmlformats.org/officeDocument/2006/relationships/hyperlink" Target="https://drive.google.com/file/d/1nPw2SLmXROGtBUK-iTDNIAh2vIoWOGSL/view?usp=drive_link" TargetMode="External"/><Relationship Id="rId89" Type="http://schemas.openxmlformats.org/officeDocument/2006/relationships/drawing" Target="../drawings/drawing5.xml"/><Relationship Id="rId80" Type="http://schemas.openxmlformats.org/officeDocument/2006/relationships/hyperlink" Target="https://drive.google.com/file/d/1cwdB9HjLoXAAZSu_d4Y1RYHJ5XjgyUkH/view?usp=drive_link" TargetMode="External"/><Relationship Id="rId82" Type="http://schemas.openxmlformats.org/officeDocument/2006/relationships/hyperlink" Target="https://drive.google.com/file/d/1RpRYvKiZ_7hgw09KaWQhwTZNcaK4pnWw/view?usp=drive_link" TargetMode="External"/><Relationship Id="rId81" Type="http://schemas.openxmlformats.org/officeDocument/2006/relationships/hyperlink" Target="https://drive.google.com/file/d/1wDC74fmhOYqjWu7ngDh0QcFn3VMToN1d/view?usp=drive_link" TargetMode="External"/><Relationship Id="rId1" Type="http://schemas.openxmlformats.org/officeDocument/2006/relationships/hyperlink" Target="https://drive.google.com/file/d/1qr7os9i4pcG-UvT9kx4NNsGVwYD5xphh/view?usp=drive_link" TargetMode="External"/><Relationship Id="rId2" Type="http://schemas.openxmlformats.org/officeDocument/2006/relationships/hyperlink" Target="https://drive.google.com/file/d/1MyUgPYoJzKANYQ94RoY63eMx521GyFrd/view?usp=drive_link" TargetMode="External"/><Relationship Id="rId3" Type="http://schemas.openxmlformats.org/officeDocument/2006/relationships/hyperlink" Target="https://drive.google.com/file/d/10AOlOFveDvCLs62aaEWRJbnNK9e8_qwo/view?usp=drive_link" TargetMode="External"/><Relationship Id="rId4" Type="http://schemas.openxmlformats.org/officeDocument/2006/relationships/hyperlink" Target="https://drive.google.com/file/d/1Tj2H9DMYUvr6GJUFmWUz1qGZX2PpFys9/view?usp=drive_link" TargetMode="External"/><Relationship Id="rId9" Type="http://schemas.openxmlformats.org/officeDocument/2006/relationships/hyperlink" Target="https://drive.google.com/file/d/11F5lHmFs5RF_DZ4r-4JkiNL8sNsH3v4x/view?usp=drive_link" TargetMode="External"/><Relationship Id="rId5" Type="http://schemas.openxmlformats.org/officeDocument/2006/relationships/hyperlink" Target="https://drive.google.com/file/d/1R7dZqrSu6wiDXDJMooXzTwqpm7I8jLkn/view?usp=drive_link" TargetMode="External"/><Relationship Id="rId6" Type="http://schemas.openxmlformats.org/officeDocument/2006/relationships/hyperlink" Target="https://drive.google.com/file/d/1R7dZqrSu6wiDXDJMooXzTwqpm7I8jLkn/view?usp=drive_link" TargetMode="External"/><Relationship Id="rId7" Type="http://schemas.openxmlformats.org/officeDocument/2006/relationships/hyperlink" Target="https://drive.google.com/file/d/1R7dZqrSu6wiDXDJMooXzTwqpm7I8jLkn/view?usp=drive_link" TargetMode="External"/><Relationship Id="rId8" Type="http://schemas.openxmlformats.org/officeDocument/2006/relationships/hyperlink" Target="https://drive.google.com/file/d/1iP2PzWKk4G7gREn35nMLCSS5RaWMta0U/view?usp=drive_link" TargetMode="External"/><Relationship Id="rId73" Type="http://schemas.openxmlformats.org/officeDocument/2006/relationships/hyperlink" Target="https://drive.google.com/file/d/1i0z30xfy3KrYtvEN1-94NAAeZTY2_8w5/view?usp=drive_link" TargetMode="External"/><Relationship Id="rId72" Type="http://schemas.openxmlformats.org/officeDocument/2006/relationships/hyperlink" Target="https://drive.google.com/file/d/1YHO_yIOyhQjMKGHg98ZUdBCA-eTOwmbB/view?usp=drive_link" TargetMode="External"/><Relationship Id="rId75" Type="http://schemas.openxmlformats.org/officeDocument/2006/relationships/hyperlink" Target="https://drive.google.com/file/d/1BU_96DJ-skUD4bFlbShc0H5ALXDCRF-w/view?usp=drive_link" TargetMode="External"/><Relationship Id="rId74" Type="http://schemas.openxmlformats.org/officeDocument/2006/relationships/hyperlink" Target="https://drive.google.com/file/d/1qrFu5i6mMcx_ZmgnbYBXdQ48nIJmIBKI/view?usp=drive_link" TargetMode="External"/><Relationship Id="rId77" Type="http://schemas.openxmlformats.org/officeDocument/2006/relationships/hyperlink" Target="https://drive.google.com/file/d/10iz5wSTtC_j6sVuY5vHLAdydIqIZLgvT/view?usp=drive_link" TargetMode="External"/><Relationship Id="rId76" Type="http://schemas.openxmlformats.org/officeDocument/2006/relationships/hyperlink" Target="https://drive.google.com/file/d/1w_indelJ3gl04sGzM6YaRNlnAubLzFhn/view?usp=drive_link" TargetMode="External"/><Relationship Id="rId79" Type="http://schemas.openxmlformats.org/officeDocument/2006/relationships/hyperlink" Target="https://drive.google.com/file/d/1Ie82HyYtJVpfCRa7p1RM4Nd0sowqVVf1/view?usp=drive_link" TargetMode="External"/><Relationship Id="rId78" Type="http://schemas.openxmlformats.org/officeDocument/2006/relationships/hyperlink" Target="https://drive.google.com/file/d/1bjk6AiCTJq8NuT3nSWKvGlNb93fwsxwR/view?usp=drive_link" TargetMode="External"/><Relationship Id="rId71" Type="http://schemas.openxmlformats.org/officeDocument/2006/relationships/hyperlink" Target="https://drive.google.com/file/d/1MUjUAl4hkIzYsvBleGuCDuVQJoNS50j2/view?usp=drive_link" TargetMode="External"/><Relationship Id="rId70" Type="http://schemas.openxmlformats.org/officeDocument/2006/relationships/hyperlink" Target="https://drive.google.com/file/d/1sRo6kIv9LtPyzK2XHHMiWruzhAJoVMaO/view?usp=drive_link" TargetMode="External"/><Relationship Id="rId62" Type="http://schemas.openxmlformats.org/officeDocument/2006/relationships/hyperlink" Target="https://drive.google.com/file/d/1VoyHlMjG_DoQQpLQFG-jAA8dy3WSmjAN/view?usp=drive_link" TargetMode="External"/><Relationship Id="rId61" Type="http://schemas.openxmlformats.org/officeDocument/2006/relationships/hyperlink" Target="https://drive.google.com/file/d/1tYZL-FIxae4-FyQpSstTyXMXnJQ64OHp/view?usp=drive_link" TargetMode="External"/><Relationship Id="rId64" Type="http://schemas.openxmlformats.org/officeDocument/2006/relationships/hyperlink" Target="https://drive.google.com/file/d/11Z8PPFqEELn7fhcs0CrF3oP4ezy1M6Hi/view?usp=drive_link" TargetMode="External"/><Relationship Id="rId63" Type="http://schemas.openxmlformats.org/officeDocument/2006/relationships/hyperlink" Target="https://drive.google.com/file/d/1PmLFeM-aUH5S11lYhHyEU8J8LmUKu0wx/view?usp=drive_link" TargetMode="External"/><Relationship Id="rId66" Type="http://schemas.openxmlformats.org/officeDocument/2006/relationships/hyperlink" Target="https://drive.google.com/file/d/1jOpCuNYBppDYiHNlhx8x2t3-ZgPQNeZ0/view?usp=drive_link" TargetMode="External"/><Relationship Id="rId65" Type="http://schemas.openxmlformats.org/officeDocument/2006/relationships/hyperlink" Target="https://drive.google.com/file/d/1VTvlD9XIRUkEkFj7k-m49EPOzLhMx290/view?usp=drive_link" TargetMode="External"/><Relationship Id="rId68" Type="http://schemas.openxmlformats.org/officeDocument/2006/relationships/hyperlink" Target="https://drive.google.com/file/d/1XyzM_9mlzCAVIyLjwrq1EXHhEfnhruIR/view?usp=drive_link" TargetMode="External"/><Relationship Id="rId67" Type="http://schemas.openxmlformats.org/officeDocument/2006/relationships/hyperlink" Target="https://drive.google.com/file/d/1wefV9emawT__L5nMJpa8VxGUM8On6J37/view?usp=drive_link" TargetMode="External"/><Relationship Id="rId60" Type="http://schemas.openxmlformats.org/officeDocument/2006/relationships/hyperlink" Target="https://drive.google.com/file/d/1pEZGjBj910NFv3iVa7JYvKJyE6aG2EnJ/view?usp=drive_link" TargetMode="External"/><Relationship Id="rId69" Type="http://schemas.openxmlformats.org/officeDocument/2006/relationships/hyperlink" Target="https://drive.google.com/file/d/1kA8u45RrGnQrQLchS0whgz62ssLIWMVE/view?usp=drive_link" TargetMode="External"/><Relationship Id="rId51" Type="http://schemas.openxmlformats.org/officeDocument/2006/relationships/hyperlink" Target="https://drive.google.com/file/d/1cwdB9HjLoXAAZSu_d4Y1RYHJ5XjgyUkH/view?usp=drive_link" TargetMode="External"/><Relationship Id="rId50" Type="http://schemas.openxmlformats.org/officeDocument/2006/relationships/hyperlink" Target="https://drive.google.com/file/d/12saAj7pOm7iy9xgRlYO6FlkEoHiq5xkH/view?usp=drive_link" TargetMode="External"/><Relationship Id="rId53" Type="http://schemas.openxmlformats.org/officeDocument/2006/relationships/hyperlink" Target="https://drive.google.com/file/d/1qBIrmWUVUNU-ny__AVlvfUp2LXjSaSu0/view?usp=drive_link" TargetMode="External"/><Relationship Id="rId52" Type="http://schemas.openxmlformats.org/officeDocument/2006/relationships/hyperlink" Target="https://drive.google.com/file/d/1wDC74fmhOYqjWu7ngDh0QcFn3VMToN1d/view?usp=drive_link" TargetMode="External"/><Relationship Id="rId55" Type="http://schemas.openxmlformats.org/officeDocument/2006/relationships/hyperlink" Target="https://drive.google.com/file/d/1mGeZGdJvs_sg3nCOt6wP1NB9MW7AAYg9/view?usp=drive_link" TargetMode="External"/><Relationship Id="rId54" Type="http://schemas.openxmlformats.org/officeDocument/2006/relationships/hyperlink" Target="https://drive.google.com/file/d/1fyFihDSbhFyk__HNsmAo2FEN3O2DmV9x/view?usp=drive_link" TargetMode="External"/><Relationship Id="rId57" Type="http://schemas.openxmlformats.org/officeDocument/2006/relationships/hyperlink" Target="https://drive.google.com/file/d/1nPw2SLmXROGtBUK-iTDNIAh2vIoWOGSL/view?usp=drive_link" TargetMode="External"/><Relationship Id="rId56" Type="http://schemas.openxmlformats.org/officeDocument/2006/relationships/hyperlink" Target="https://drive.google.com/file/d/1PYnVbE4v2zyXpRwhg1C4qUX2nySD0-cg/view?usp=drive_link" TargetMode="External"/><Relationship Id="rId59" Type="http://schemas.openxmlformats.org/officeDocument/2006/relationships/hyperlink" Target="https://docs.google.com/spreadsheets/d/1SEN93p6OuhVkJkJaQM83fk4PFqL4ACkdjWYQiZblUvQ/edit?gid=322267480" TargetMode="External"/><Relationship Id="rId58" Type="http://schemas.openxmlformats.org/officeDocument/2006/relationships/hyperlink" Target="https://drive.google.com/file/d/1jsk2ILUrhuLD3yXixw_29KT6-oG-5i4y/view?usp=drive_link" TargetMode="External"/><Relationship Id="rId91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AuVF7WL4wl_T_8oVIBPcS4Z-oW-PW66a/view?usp=drive_link" TargetMode="External"/><Relationship Id="rId42" Type="http://schemas.openxmlformats.org/officeDocument/2006/relationships/hyperlink" Target="https://drive.google.com/file/d/1Un3dDZPC0wTzKp7rKPfM09bv_j4I8bzX/view?usp=drive_link" TargetMode="External"/><Relationship Id="rId41" Type="http://schemas.openxmlformats.org/officeDocument/2006/relationships/hyperlink" Target="https://drive.google.com/file/d/14B2_RKAg54f715aF0fcuggE8SeoLRDsD/view?usp=drive_link" TargetMode="External"/><Relationship Id="rId44" Type="http://schemas.openxmlformats.org/officeDocument/2006/relationships/drawing" Target="../drawings/drawing6.xml"/><Relationship Id="rId43" Type="http://schemas.openxmlformats.org/officeDocument/2006/relationships/hyperlink" Target="https://drive.google.com/file/d/13Kerqw7iXmexH_j0x7YlR3FKYbTYs3br/view?usp=drive_link" TargetMode="External"/><Relationship Id="rId46" Type="http://schemas.openxmlformats.org/officeDocument/2006/relationships/table" Target="../tables/table5.xml"/><Relationship Id="rId31" Type="http://schemas.openxmlformats.org/officeDocument/2006/relationships/hyperlink" Target="https://drive.google.com/file/d/1mSaXqN2tcC2eV92od3cFAha1bQ9UZcEE/view?usp=drive_link" TargetMode="External"/><Relationship Id="rId30" Type="http://schemas.openxmlformats.org/officeDocument/2006/relationships/hyperlink" Target="https://drive.google.com/file/d/1pCtgZY6OfjUdeWfztCr_Lvmf8NQspiBu/view?usp=drive_link" TargetMode="External"/><Relationship Id="rId33" Type="http://schemas.openxmlformats.org/officeDocument/2006/relationships/hyperlink" Target="https://drive.google.com/file/d/14kv_bl3NW1M7x29DYWMUFe4TxoYE-tm2/view?usp=drive_link" TargetMode="External"/><Relationship Id="rId32" Type="http://schemas.openxmlformats.org/officeDocument/2006/relationships/hyperlink" Target="https://drive.google.com/file/d/1UXQjfpIDT1t3l5VYJl42lEwtQFyebrP-/view?usp=drive_link" TargetMode="External"/><Relationship Id="rId35" Type="http://schemas.openxmlformats.org/officeDocument/2006/relationships/hyperlink" Target="https://drive.google.com/file/d/1oDBw8QmJHTuf6s02kxEoz1_L0UXBfIZH/view?usp=drive_link" TargetMode="External"/><Relationship Id="rId34" Type="http://schemas.openxmlformats.org/officeDocument/2006/relationships/hyperlink" Target="https://drive.google.com/file/d/1xIXcntlI1K_An1PB_Pg-lnE3meAopVYK/view?usp=drive_link" TargetMode="External"/><Relationship Id="rId37" Type="http://schemas.openxmlformats.org/officeDocument/2006/relationships/hyperlink" Target="https://drive.google.com/file/d/1KeNALltoYlW8MvouQ8ATTbAJVAey1MwK/view?usp=drive_link" TargetMode="External"/><Relationship Id="rId36" Type="http://schemas.openxmlformats.org/officeDocument/2006/relationships/hyperlink" Target="https://drive.google.com/file/d/1w6O1kBO0C7zxeQk_nwPjq4GIBERQ70vH/view?usp=drive_link" TargetMode="External"/><Relationship Id="rId39" Type="http://schemas.openxmlformats.org/officeDocument/2006/relationships/hyperlink" Target="https://drive.google.com/file/d/1r4ic9Pf5VaHoo_NSjoR4vFXAbv2BmOSX/view?usp=drive_link" TargetMode="External"/><Relationship Id="rId38" Type="http://schemas.openxmlformats.org/officeDocument/2006/relationships/hyperlink" Target="https://drive.google.com/file/d/1r46H5K2_bmlA1LUNwAofL7KEqs4TYN2V/view?usp=drive_link" TargetMode="External"/><Relationship Id="rId20" Type="http://schemas.openxmlformats.org/officeDocument/2006/relationships/hyperlink" Target="https://drive.google.com/file/d/1BI1OuGPbS1UNrAay7aVIY45B07sUZh1x/view?usp=drive_link" TargetMode="External"/><Relationship Id="rId22" Type="http://schemas.openxmlformats.org/officeDocument/2006/relationships/hyperlink" Target="https://drive.google.com/file/d/1Uqo-f12winSThhO1EZdEHfut73ziu8bK/view?usp=drive_link" TargetMode="External"/><Relationship Id="rId21" Type="http://schemas.openxmlformats.org/officeDocument/2006/relationships/hyperlink" Target="https://drive.google.com/file/d/1AtVvk8cJOk9_OXW5pGkifwqAynoBN5rG/view?usp=drive_link" TargetMode="External"/><Relationship Id="rId24" Type="http://schemas.openxmlformats.org/officeDocument/2006/relationships/hyperlink" Target="https://drive.google.com/file/d/1GHcTPQB0sKVIz_dXkaA2UIM8L4ZP8_Hg/view?usp=drive_link" TargetMode="External"/><Relationship Id="rId23" Type="http://schemas.openxmlformats.org/officeDocument/2006/relationships/hyperlink" Target="https://drive.google.com/file/d/1Qtp107SxEw3hXLteBtUC0CcLzW0pQwHX/view?usp=drive_link" TargetMode="External"/><Relationship Id="rId26" Type="http://schemas.openxmlformats.org/officeDocument/2006/relationships/hyperlink" Target="https://drive.google.com/file/d/1zecESMsQWrruEIUzhlIL1YfMe4ltkNA7/view?usp=drive_link" TargetMode="External"/><Relationship Id="rId25" Type="http://schemas.openxmlformats.org/officeDocument/2006/relationships/hyperlink" Target="https://drive.google.com/file/d/1b8M3B6t7Qnll9k4-vR-rG0teMFpzoRUb/view?usp=drive_link" TargetMode="External"/><Relationship Id="rId28" Type="http://schemas.openxmlformats.org/officeDocument/2006/relationships/hyperlink" Target="https://drive.google.com/file/d/1Hvvsm_PkraZMdKMV0mEHTw7EMWYc81mf/view?usp=drive_link" TargetMode="External"/><Relationship Id="rId27" Type="http://schemas.openxmlformats.org/officeDocument/2006/relationships/hyperlink" Target="https://drive.google.com/file/d/1CZVI5yeN74o0shGbPfE7eZnOU-9NxTWB/view?usp=drive_link" TargetMode="External"/><Relationship Id="rId29" Type="http://schemas.openxmlformats.org/officeDocument/2006/relationships/hyperlink" Target="https://drive.google.com/file/d/1GHcTPQB0sKVIz_dXkaA2UIM8L4ZP8_Hg/view?usp=drive_link" TargetMode="External"/><Relationship Id="rId11" Type="http://schemas.openxmlformats.org/officeDocument/2006/relationships/hyperlink" Target="https://drive.google.com/file/d/1b4N_wN71TVvc6Ui0gXT0NmfxGl56ETMs/view?usp=drive_link" TargetMode="External"/><Relationship Id="rId10" Type="http://schemas.openxmlformats.org/officeDocument/2006/relationships/hyperlink" Target="https://drive.google.com/file/d/11eEnRS-IAjgRm_4-z_E7Hw6lLZXLOynm/view?usp=drive_link" TargetMode="External"/><Relationship Id="rId13" Type="http://schemas.openxmlformats.org/officeDocument/2006/relationships/hyperlink" Target="https://drive.google.com/file/d/1kHEZTK1C2CBxcT1It4j8bSBmuqGz-SCK/view?usp=drive_link" TargetMode="External"/><Relationship Id="rId12" Type="http://schemas.openxmlformats.org/officeDocument/2006/relationships/hyperlink" Target="https://drive.google.com/file/d/1A9fOCjayw3DSEicBnbd5X-sv4DRD4lLN/view?usp=drive_link" TargetMode="External"/><Relationship Id="rId15" Type="http://schemas.openxmlformats.org/officeDocument/2006/relationships/hyperlink" Target="https://drive.google.com/file/d/11_qW2myUnuIckTS-JB6AzkOfHqjvqPwv/view?usp=drive_link" TargetMode="External"/><Relationship Id="rId14" Type="http://schemas.openxmlformats.org/officeDocument/2006/relationships/hyperlink" Target="https://drive.google.com/file/d/1yFxpR2xqeElw6KSWxThQR0OiKK4ZhgBd/view?usp=drive_link" TargetMode="External"/><Relationship Id="rId17" Type="http://schemas.openxmlformats.org/officeDocument/2006/relationships/hyperlink" Target="https://drive.google.com/file/d/17TChlyLWZRqjUfTN6Ox5tnBoqo8QGrTH/view?usp=drive_link" TargetMode="External"/><Relationship Id="rId16" Type="http://schemas.openxmlformats.org/officeDocument/2006/relationships/hyperlink" Target="https://drive.google.com/file/d/1v6VM6sT2dkccbjsjLz8kGRISEeQr7ky5/view?usp=drive_link" TargetMode="External"/><Relationship Id="rId19" Type="http://schemas.openxmlformats.org/officeDocument/2006/relationships/hyperlink" Target="https://drive.google.com/file/d/1V_2bGk7pBApR19jQAv466ZkBbMnxyY-S/view?usp=drive_link" TargetMode="External"/><Relationship Id="rId18" Type="http://schemas.openxmlformats.org/officeDocument/2006/relationships/hyperlink" Target="https://drive.google.com/file/d/10tDNhjZyFQ_zu034At8oAPsdqEtI5CXh/view?usp=drive_link" TargetMode="External"/><Relationship Id="rId1" Type="http://schemas.openxmlformats.org/officeDocument/2006/relationships/hyperlink" Target="https://drive.google.com/file/d/1dxUgZ37PuC_ReNis7NN5bCdJU_y2iMRr/view?usp=drive_link" TargetMode="External"/><Relationship Id="rId2" Type="http://schemas.openxmlformats.org/officeDocument/2006/relationships/hyperlink" Target="https://drive.google.com/file/d/1c0EY8Zs22GjDv2n_INZ_Ps2SlT8YSJb6/view?usp=drive_link" TargetMode="External"/><Relationship Id="rId3" Type="http://schemas.openxmlformats.org/officeDocument/2006/relationships/hyperlink" Target="https://drive.google.com/file/d/1p8IRn5nlNcuUj5Ec7GUTMUAVYlZPwj16/view?usp=drive_link" TargetMode="External"/><Relationship Id="rId4" Type="http://schemas.openxmlformats.org/officeDocument/2006/relationships/hyperlink" Target="https://drive.google.com/file/d/11KKon3d3WVYdGg1Spd6hBKV1mUKQdp9w/view?usp=drive_link" TargetMode="External"/><Relationship Id="rId9" Type="http://schemas.openxmlformats.org/officeDocument/2006/relationships/hyperlink" Target="https://drive.google.com/file/d/1bW8TpiJNi4vpXEXfveyTUHhmornqmoc2/view?usp=drive_link" TargetMode="External"/><Relationship Id="rId5" Type="http://schemas.openxmlformats.org/officeDocument/2006/relationships/hyperlink" Target="https://drive.google.com/file/d/1HFQOceC0wFqvNIayCFJUoEfSOPi5nrvT/view?usp=drive_link" TargetMode="External"/><Relationship Id="rId6" Type="http://schemas.openxmlformats.org/officeDocument/2006/relationships/hyperlink" Target="https://drive.google.com/file/d/1HFQOceC0wFqvNIayCFJUoEfSOPi5nrvT/view?usp=drive_link" TargetMode="External"/><Relationship Id="rId7" Type="http://schemas.openxmlformats.org/officeDocument/2006/relationships/hyperlink" Target="https://drive.google.com/file/d/1EShl9VSfnApe8xVvbDTXnz_7ovKAfdSb/view?usp=drive_link" TargetMode="External"/><Relationship Id="rId8" Type="http://schemas.openxmlformats.org/officeDocument/2006/relationships/hyperlink" Target="https://drive.google.com/file/d/1DVtwWbaVkDCQ7JccfmHYx-YIGGgOmPuC/view?usp=drive_link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KW5BIHVFB3Jxx8Tiy3GH5-o1fjbFav69/view?usp=drive_link" TargetMode="External"/><Relationship Id="rId194" Type="http://schemas.openxmlformats.org/officeDocument/2006/relationships/hyperlink" Target="https://drive.google.com/file/d/10giGZWdqAXn4H_7vcnLvUaFkX5-1YyyA/view?usp=drive_link" TargetMode="External"/><Relationship Id="rId193" Type="http://schemas.openxmlformats.org/officeDocument/2006/relationships/hyperlink" Target="https://drive.google.com/file/d/10giGZWdqAXn4H_7vcnLvUaFkX5-1YyyA/view?usp=drive_link" TargetMode="External"/><Relationship Id="rId192" Type="http://schemas.openxmlformats.org/officeDocument/2006/relationships/hyperlink" Target="https://drive.google.com/file/d/1KW5BIHVFB3Jxx8Tiy3GH5-o1fjbFav69/view?usp=drive_link" TargetMode="External"/><Relationship Id="rId191" Type="http://schemas.openxmlformats.org/officeDocument/2006/relationships/hyperlink" Target="https://drive.google.com/file/d/1KW5BIHVFB3Jxx8Tiy3GH5-o1fjbFav69/view?usp=drive_link" TargetMode="External"/><Relationship Id="rId187" Type="http://schemas.openxmlformats.org/officeDocument/2006/relationships/hyperlink" Target="https://drive.google.com/file/d/1KW5BIHVFB3Jxx8Tiy3GH5-o1fjbFav69/view?usp=drive_link" TargetMode="External"/><Relationship Id="rId186" Type="http://schemas.openxmlformats.org/officeDocument/2006/relationships/hyperlink" Target="https://drive.google.com/file/d/1KW5BIHVFB3Jxx8Tiy3GH5-o1fjbFav69/view?usp=drive_link" TargetMode="External"/><Relationship Id="rId185" Type="http://schemas.openxmlformats.org/officeDocument/2006/relationships/hyperlink" Target="https://drive.google.com/file/d/1CJ-2lmBBZ8w_bDwEBUtib3JQapzqEq0Q/view?usp=drive_link" TargetMode="External"/><Relationship Id="rId184" Type="http://schemas.openxmlformats.org/officeDocument/2006/relationships/hyperlink" Target="https://drive.google.com/file/d/1CJ-2lmBBZ8w_bDwEBUtib3JQapzqEq0Q/view?usp=drive_link" TargetMode="External"/><Relationship Id="rId189" Type="http://schemas.openxmlformats.org/officeDocument/2006/relationships/hyperlink" Target="https://drive.google.com/file/d/1KW5BIHVFB3Jxx8Tiy3GH5-o1fjbFav69/view?usp=drive_link" TargetMode="External"/><Relationship Id="rId188" Type="http://schemas.openxmlformats.org/officeDocument/2006/relationships/hyperlink" Target="https://drive.google.com/file/d/1KW5BIHVFB3Jxx8Tiy3GH5-o1fjbFav69/view?usp=drive_link" TargetMode="External"/><Relationship Id="rId183" Type="http://schemas.openxmlformats.org/officeDocument/2006/relationships/hyperlink" Target="https://drive.google.com/file/d/1CJ-2lmBBZ8w_bDwEBUtib3JQapzqEq0Q/view?usp=drive_link" TargetMode="External"/><Relationship Id="rId182" Type="http://schemas.openxmlformats.org/officeDocument/2006/relationships/hyperlink" Target="https://drive.google.com/file/d/1CJ-2lmBBZ8w_bDwEBUtib3JQapzqEq0Q/view?usp=drive_link" TargetMode="External"/><Relationship Id="rId181" Type="http://schemas.openxmlformats.org/officeDocument/2006/relationships/hyperlink" Target="https://drive.google.com/file/d/1CJ-2lmBBZ8w_bDwEBUtib3JQapzqEq0Q/view?usp=drive_link" TargetMode="External"/><Relationship Id="rId180" Type="http://schemas.openxmlformats.org/officeDocument/2006/relationships/hyperlink" Target="https://drive.google.com/file/d/1CJ-2lmBBZ8w_bDwEBUtib3JQapzqEq0Q/view?usp=drive_link" TargetMode="External"/><Relationship Id="rId176" Type="http://schemas.openxmlformats.org/officeDocument/2006/relationships/hyperlink" Target="https://drive.google.com/file/d/1w37htf4fNF0pcp1Dy-XPxGJbGe6Stpm5/view?usp=drive_link" TargetMode="External"/><Relationship Id="rId175" Type="http://schemas.openxmlformats.org/officeDocument/2006/relationships/hyperlink" Target="https://drive.google.com/file/d/1w37htf4fNF0pcp1Dy-XPxGJbGe6Stpm5/view?usp=drive_link" TargetMode="External"/><Relationship Id="rId174" Type="http://schemas.openxmlformats.org/officeDocument/2006/relationships/hyperlink" Target="https://drive.google.com/file/d/1w37htf4fNF0pcp1Dy-XPxGJbGe6Stpm5/view?usp=drive_link" TargetMode="External"/><Relationship Id="rId173" Type="http://schemas.openxmlformats.org/officeDocument/2006/relationships/hyperlink" Target="https://drive.google.com/file/d/1w37htf4fNF0pcp1Dy-XPxGJbGe6Stpm5/view?usp=drive_link" TargetMode="External"/><Relationship Id="rId179" Type="http://schemas.openxmlformats.org/officeDocument/2006/relationships/hyperlink" Target="https://drive.google.com/file/d/1CJ-2lmBBZ8w_bDwEBUtib3JQapzqEq0Q/view?usp=drive_link" TargetMode="External"/><Relationship Id="rId178" Type="http://schemas.openxmlformats.org/officeDocument/2006/relationships/hyperlink" Target="https://drive.google.com/file/d/1w37htf4fNF0pcp1Dy-XPxGJbGe6Stpm5/view?usp=drive_link" TargetMode="External"/><Relationship Id="rId177" Type="http://schemas.openxmlformats.org/officeDocument/2006/relationships/hyperlink" Target="https://drive.google.com/file/d/1w37htf4fNF0pcp1Dy-XPxGJbGe6Stpm5/view?usp=drive_link" TargetMode="External"/><Relationship Id="rId198" Type="http://schemas.openxmlformats.org/officeDocument/2006/relationships/hyperlink" Target="https://drive.google.com/file/d/10giGZWdqAXn4H_7vcnLvUaFkX5-1YyyA/view?usp=drive_link" TargetMode="External"/><Relationship Id="rId197" Type="http://schemas.openxmlformats.org/officeDocument/2006/relationships/hyperlink" Target="https://drive.google.com/file/d/10giGZWdqAXn4H_7vcnLvUaFkX5-1YyyA/view?usp=drive_link" TargetMode="External"/><Relationship Id="rId196" Type="http://schemas.openxmlformats.org/officeDocument/2006/relationships/hyperlink" Target="https://drive.google.com/file/d/10giGZWdqAXn4H_7vcnLvUaFkX5-1YyyA/view?usp=drive_link" TargetMode="External"/><Relationship Id="rId195" Type="http://schemas.openxmlformats.org/officeDocument/2006/relationships/hyperlink" Target="https://drive.google.com/file/d/10giGZWdqAXn4H_7vcnLvUaFkX5-1YyyA/view?usp=drive_link" TargetMode="External"/><Relationship Id="rId199" Type="http://schemas.openxmlformats.org/officeDocument/2006/relationships/hyperlink" Target="https://drive.google.com/file/d/10giGZWdqAXn4H_7vcnLvUaFkX5-1YyyA/view?usp=drive_link" TargetMode="External"/><Relationship Id="rId150" Type="http://schemas.openxmlformats.org/officeDocument/2006/relationships/hyperlink" Target="https://drive.google.com/file/d/13WGawdq6l9MPghxN4tpVJqMC_QTCSYed/view?usp=drive_link" TargetMode="External"/><Relationship Id="rId392" Type="http://schemas.openxmlformats.org/officeDocument/2006/relationships/hyperlink" Target="https://drive.google.com/file/d/1z7zuQnW8iFIGqOw3x0VreU1lkZrStZr1/view?usp=drive_link" TargetMode="External"/><Relationship Id="rId391" Type="http://schemas.openxmlformats.org/officeDocument/2006/relationships/hyperlink" Target="https://drive.google.com/file/d/1z7zuQnW8iFIGqOw3x0VreU1lkZrStZr1/view?usp=drive_link" TargetMode="External"/><Relationship Id="rId390" Type="http://schemas.openxmlformats.org/officeDocument/2006/relationships/hyperlink" Target="https://drive.google.com/file/d/1z7zuQnW8iFIGqOw3x0VreU1lkZrStZr1/view?usp=drive_link" TargetMode="External"/><Relationship Id="rId1" Type="http://schemas.openxmlformats.org/officeDocument/2006/relationships/hyperlink" Target="https://drive.google.com/file/d/19jyd6Vp8y0So1DxI4DyKAs1pHxlUPDox/view?usp=drive_link" TargetMode="External"/><Relationship Id="rId2" Type="http://schemas.openxmlformats.org/officeDocument/2006/relationships/hyperlink" Target="https://drive.google.com/file/d/19jyd6Vp8y0So1DxI4DyKAs1pHxlUPDox/view?usp=drive_link" TargetMode="External"/><Relationship Id="rId3" Type="http://schemas.openxmlformats.org/officeDocument/2006/relationships/hyperlink" Target="https://drive.google.com/file/d/19jyd6Vp8y0So1DxI4DyKAs1pHxlUPDox/view?usp=drive_link" TargetMode="External"/><Relationship Id="rId149" Type="http://schemas.openxmlformats.org/officeDocument/2006/relationships/hyperlink" Target="https://drive.google.com/file/d/13WGawdq6l9MPghxN4tpVJqMC_QTCSYed/view?usp=drive_link" TargetMode="External"/><Relationship Id="rId4" Type="http://schemas.openxmlformats.org/officeDocument/2006/relationships/hyperlink" Target="https://drive.google.com/file/d/19jyd6Vp8y0So1DxI4DyKAs1pHxlUPDox/view?usp=drive_link" TargetMode="External"/><Relationship Id="rId148" Type="http://schemas.openxmlformats.org/officeDocument/2006/relationships/hyperlink" Target="https://drive.google.com/file/d/13WGawdq6l9MPghxN4tpVJqMC_QTCSYed/view?usp=drive_link" TargetMode="External"/><Relationship Id="rId1090" Type="http://schemas.openxmlformats.org/officeDocument/2006/relationships/hyperlink" Target="https://drive.google.com/file/d/15YRZSsZeXuG2VifJ6pp8G-s2_Inq5g0D/view?usp=drive_link" TargetMode="External"/><Relationship Id="rId1091" Type="http://schemas.openxmlformats.org/officeDocument/2006/relationships/hyperlink" Target="https://drive.google.com/file/d/15YRZSsZeXuG2VifJ6pp8G-s2_Inq5g0D/view?usp=drive_link" TargetMode="External"/><Relationship Id="rId1092" Type="http://schemas.openxmlformats.org/officeDocument/2006/relationships/hyperlink" Target="https://drive.google.com/file/d/15YRZSsZeXuG2VifJ6pp8G-s2_Inq5g0D/view?usp=drive_link" TargetMode="External"/><Relationship Id="rId1093" Type="http://schemas.openxmlformats.org/officeDocument/2006/relationships/hyperlink" Target="https://drive.google.com/file/d/15YRZSsZeXuG2VifJ6pp8G-s2_Inq5g0D/view?usp=drive_link" TargetMode="External"/><Relationship Id="rId1094" Type="http://schemas.openxmlformats.org/officeDocument/2006/relationships/hyperlink" Target="https://drive.google.com/file/d/15YRZSsZeXuG2VifJ6pp8G-s2_Inq5g0D/view?usp=drive_link" TargetMode="External"/><Relationship Id="rId9" Type="http://schemas.openxmlformats.org/officeDocument/2006/relationships/hyperlink" Target="https://drive.google.com/file/d/1oAcMkGZgEXDtXBeUibNu61q8v-4GHul4/view?usp=drive_link" TargetMode="External"/><Relationship Id="rId143" Type="http://schemas.openxmlformats.org/officeDocument/2006/relationships/hyperlink" Target="https://drive.google.com/file/d/1Y0JqivywQkV4P0mmHxud2RMPoRk6QJdT/view?usp=drive_link" TargetMode="External"/><Relationship Id="rId385" Type="http://schemas.openxmlformats.org/officeDocument/2006/relationships/hyperlink" Target="https://drive.google.com/file/d/1GGxyYMpMCH9NeV5ej3jfvChNy1L2C3Sq/view?usp=drive_link" TargetMode="External"/><Relationship Id="rId1095" Type="http://schemas.openxmlformats.org/officeDocument/2006/relationships/hyperlink" Target="https://drive.google.com/file/d/15YRZSsZeXuG2VifJ6pp8G-s2_Inq5g0D/view?usp=drive_link" TargetMode="External"/><Relationship Id="rId142" Type="http://schemas.openxmlformats.org/officeDocument/2006/relationships/hyperlink" Target="https://drive.google.com/file/d/1Y0JqivywQkV4P0mmHxud2RMPoRk6QJdT/view?usp=drive_link" TargetMode="External"/><Relationship Id="rId384" Type="http://schemas.openxmlformats.org/officeDocument/2006/relationships/hyperlink" Target="https://drive.google.com/file/d/1GGxyYMpMCH9NeV5ej3jfvChNy1L2C3Sq/view?usp=drive_link" TargetMode="External"/><Relationship Id="rId1096" Type="http://schemas.openxmlformats.org/officeDocument/2006/relationships/hyperlink" Target="https://drive.google.com/file/d/1gm5CDjxsWAPyRAlcjq_HAaVzszfhd7Y8/view?usp=drive_link" TargetMode="External"/><Relationship Id="rId141" Type="http://schemas.openxmlformats.org/officeDocument/2006/relationships/hyperlink" Target="https://drive.google.com/file/d/1Y0JqivywQkV4P0mmHxud2RMPoRk6QJdT/view?usp=drive_link" TargetMode="External"/><Relationship Id="rId383" Type="http://schemas.openxmlformats.org/officeDocument/2006/relationships/hyperlink" Target="https://drive.google.com/file/d/1GGxyYMpMCH9NeV5ej3jfvChNy1L2C3Sq/view?usp=drive_link" TargetMode="External"/><Relationship Id="rId1097" Type="http://schemas.openxmlformats.org/officeDocument/2006/relationships/hyperlink" Target="https://drive.google.com/file/d/1gm5CDjxsWAPyRAlcjq_HAaVzszfhd7Y8/view?usp=drive_link" TargetMode="External"/><Relationship Id="rId140" Type="http://schemas.openxmlformats.org/officeDocument/2006/relationships/hyperlink" Target="https://drive.google.com/file/d/1sN_x8La2yKwKOjoCzRA9xGu2tHw1ixGn/view?usp=drive_link" TargetMode="External"/><Relationship Id="rId382" Type="http://schemas.openxmlformats.org/officeDocument/2006/relationships/hyperlink" Target="https://drive.google.com/file/d/1GGxyYMpMCH9NeV5ej3jfvChNy1L2C3Sq/view?usp=drive_link" TargetMode="External"/><Relationship Id="rId1098" Type="http://schemas.openxmlformats.org/officeDocument/2006/relationships/hyperlink" Target="https://drive.google.com/file/d/1gm5CDjxsWAPyRAlcjq_HAaVzszfhd7Y8/view?usp=drive_link" TargetMode="External"/><Relationship Id="rId5" Type="http://schemas.openxmlformats.org/officeDocument/2006/relationships/hyperlink" Target="https://drive.google.com/file/d/19jyd6Vp8y0So1DxI4DyKAs1pHxlUPDox/view?usp=drive_link" TargetMode="External"/><Relationship Id="rId147" Type="http://schemas.openxmlformats.org/officeDocument/2006/relationships/hyperlink" Target="https://drive.google.com/file/d/13WGawdq6l9MPghxN4tpVJqMC_QTCSYed/view?usp=drive_link" TargetMode="External"/><Relationship Id="rId389" Type="http://schemas.openxmlformats.org/officeDocument/2006/relationships/hyperlink" Target="https://drive.google.com/file/d/1z7zuQnW8iFIGqOw3x0VreU1lkZrStZr1/view?usp=drive_link" TargetMode="External"/><Relationship Id="rId1099" Type="http://schemas.openxmlformats.org/officeDocument/2006/relationships/hyperlink" Target="https://drive.google.com/file/d/1gm5CDjxsWAPyRAlcjq_HAaVzszfhd7Y8/view?usp=drive_link" TargetMode="External"/><Relationship Id="rId6" Type="http://schemas.openxmlformats.org/officeDocument/2006/relationships/hyperlink" Target="https://drive.google.com/file/d/1oAcMkGZgEXDtXBeUibNu61q8v-4GHul4/view?usp=drive_link" TargetMode="External"/><Relationship Id="rId146" Type="http://schemas.openxmlformats.org/officeDocument/2006/relationships/hyperlink" Target="https://drive.google.com/file/d/13WGawdq6l9MPghxN4tpVJqMC_QTCSYed/view?usp=drive_link" TargetMode="External"/><Relationship Id="rId388" Type="http://schemas.openxmlformats.org/officeDocument/2006/relationships/hyperlink" Target="https://drive.google.com/file/d/1GGxyYMpMCH9NeV5ej3jfvChNy1L2C3Sq/view?usp=drive_link" TargetMode="External"/><Relationship Id="rId7" Type="http://schemas.openxmlformats.org/officeDocument/2006/relationships/hyperlink" Target="https://drive.google.com/file/d/1oAcMkGZgEXDtXBeUibNu61q8v-4GHul4/view?usp=drive_link" TargetMode="External"/><Relationship Id="rId145" Type="http://schemas.openxmlformats.org/officeDocument/2006/relationships/hyperlink" Target="https://drive.google.com/file/d/1Y0JqivywQkV4P0mmHxud2RMPoRk6QJdT/view?usp=drive_link" TargetMode="External"/><Relationship Id="rId387" Type="http://schemas.openxmlformats.org/officeDocument/2006/relationships/hyperlink" Target="https://drive.google.com/file/d/1GGxyYMpMCH9NeV5ej3jfvChNy1L2C3Sq/view?usp=drive_link" TargetMode="External"/><Relationship Id="rId8" Type="http://schemas.openxmlformats.org/officeDocument/2006/relationships/hyperlink" Target="https://drive.google.com/file/d/1oAcMkGZgEXDtXBeUibNu61q8v-4GHul4/view?usp=drive_link" TargetMode="External"/><Relationship Id="rId144" Type="http://schemas.openxmlformats.org/officeDocument/2006/relationships/hyperlink" Target="https://drive.google.com/file/d/1Y0JqivywQkV4P0mmHxud2RMPoRk6QJdT/view?usp=drive_link" TargetMode="External"/><Relationship Id="rId386" Type="http://schemas.openxmlformats.org/officeDocument/2006/relationships/hyperlink" Target="https://drive.google.com/file/d/1GGxyYMpMCH9NeV5ej3jfvChNy1L2C3Sq/view?usp=drive_link" TargetMode="External"/><Relationship Id="rId381" Type="http://schemas.openxmlformats.org/officeDocument/2006/relationships/hyperlink" Target="https://drive.google.com/file/d/1_v8JSd1ixO7hwE-9Ms11vJGQ40vlIZAu/view?usp=drive_link" TargetMode="External"/><Relationship Id="rId380" Type="http://schemas.openxmlformats.org/officeDocument/2006/relationships/hyperlink" Target="https://drive.google.com/file/d/1_v8JSd1ixO7hwE-9Ms11vJGQ40vlIZAu/view?usp=drive_link" TargetMode="External"/><Relationship Id="rId139" Type="http://schemas.openxmlformats.org/officeDocument/2006/relationships/hyperlink" Target="https://drive.google.com/file/d/1sN_x8La2yKwKOjoCzRA9xGu2tHw1ixGn/view?usp=drive_link" TargetMode="External"/><Relationship Id="rId138" Type="http://schemas.openxmlformats.org/officeDocument/2006/relationships/hyperlink" Target="https://drive.google.com/file/d/1sN_x8La2yKwKOjoCzRA9xGu2tHw1ixGn/view?usp=drive_link" TargetMode="External"/><Relationship Id="rId137" Type="http://schemas.openxmlformats.org/officeDocument/2006/relationships/hyperlink" Target="https://drive.google.com/file/d/1sN_x8La2yKwKOjoCzRA9xGu2tHw1ixGn/view?usp=drive_link" TargetMode="External"/><Relationship Id="rId379" Type="http://schemas.openxmlformats.org/officeDocument/2006/relationships/hyperlink" Target="https://drive.google.com/file/d/1_v8JSd1ixO7hwE-9Ms11vJGQ40vlIZAu/view?usp=drive_link" TargetMode="External"/><Relationship Id="rId1080" Type="http://schemas.openxmlformats.org/officeDocument/2006/relationships/hyperlink" Target="https://drive.google.com/file/d/1SgWDhT73M8XN2NqgxFOET-17WluBCcbt/view?usp=drive_link" TargetMode="External"/><Relationship Id="rId1081" Type="http://schemas.openxmlformats.org/officeDocument/2006/relationships/hyperlink" Target="https://drive.google.com/file/d/1SgWDhT73M8XN2NqgxFOET-17WluBCcbt/view?usp=drive_link" TargetMode="External"/><Relationship Id="rId1082" Type="http://schemas.openxmlformats.org/officeDocument/2006/relationships/hyperlink" Target="https://drive.google.com/file/d/1SgWDhT73M8XN2NqgxFOET-17WluBCcbt/view?usp=drive_link" TargetMode="External"/><Relationship Id="rId1083" Type="http://schemas.openxmlformats.org/officeDocument/2006/relationships/hyperlink" Target="https://drive.google.com/file/d/1SgWDhT73M8XN2NqgxFOET-17WluBCcbt/view?usp=drive_link" TargetMode="External"/><Relationship Id="rId132" Type="http://schemas.openxmlformats.org/officeDocument/2006/relationships/hyperlink" Target="https://drive.google.com/file/d/1WBcgHPeON2KeueM5p2XDLv5-w4DS-_Kf/view?usp=drive_link" TargetMode="External"/><Relationship Id="rId374" Type="http://schemas.openxmlformats.org/officeDocument/2006/relationships/hyperlink" Target="https://drive.google.com/file/d/1T-61mP4Dioq8SyKqff1xPBlsSbM--M27/view?usp=drive_link" TargetMode="External"/><Relationship Id="rId1084" Type="http://schemas.openxmlformats.org/officeDocument/2006/relationships/hyperlink" Target="https://drive.google.com/file/d/1DcyFMlcb0tmgqT4lUNxqkdM-SJNDpAko/view?usp=drive_link" TargetMode="External"/><Relationship Id="rId131" Type="http://schemas.openxmlformats.org/officeDocument/2006/relationships/hyperlink" Target="https://drive.google.com/file/d/1WBcgHPeON2KeueM5p2XDLv5-w4DS-_Kf/view?usp=drive_link" TargetMode="External"/><Relationship Id="rId373" Type="http://schemas.openxmlformats.org/officeDocument/2006/relationships/hyperlink" Target="https://drive.google.com/file/d/1T-61mP4Dioq8SyKqff1xPBlsSbM--M27/view?usp=drive_link" TargetMode="External"/><Relationship Id="rId1085" Type="http://schemas.openxmlformats.org/officeDocument/2006/relationships/hyperlink" Target="https://drive.google.com/file/d/1DcyFMlcb0tmgqT4lUNxqkdM-SJNDpAko/view?usp=drive_link" TargetMode="External"/><Relationship Id="rId130" Type="http://schemas.openxmlformats.org/officeDocument/2006/relationships/hyperlink" Target="https://drive.google.com/file/d/1FvUp-mNz-at-JqBszOYt_fwKAfeceozp/view?usp=drive_link" TargetMode="External"/><Relationship Id="rId372" Type="http://schemas.openxmlformats.org/officeDocument/2006/relationships/hyperlink" Target="https://drive.google.com/file/d/1T-61mP4Dioq8SyKqff1xPBlsSbM--M27/view?usp=drive_link" TargetMode="External"/><Relationship Id="rId1086" Type="http://schemas.openxmlformats.org/officeDocument/2006/relationships/hyperlink" Target="https://drive.google.com/file/d/1DcyFMlcb0tmgqT4lUNxqkdM-SJNDpAko/view?usp=drive_link" TargetMode="External"/><Relationship Id="rId371" Type="http://schemas.openxmlformats.org/officeDocument/2006/relationships/hyperlink" Target="https://drive.google.com/file/d/1T-61mP4Dioq8SyKqff1xPBlsSbM--M27/view?usp=drive_link" TargetMode="External"/><Relationship Id="rId1087" Type="http://schemas.openxmlformats.org/officeDocument/2006/relationships/hyperlink" Target="https://drive.google.com/file/d/1DcyFMlcb0tmgqT4lUNxqkdM-SJNDpAko/view?usp=drive_link" TargetMode="External"/><Relationship Id="rId136" Type="http://schemas.openxmlformats.org/officeDocument/2006/relationships/hyperlink" Target="https://drive.google.com/file/d/1sN_x8La2yKwKOjoCzRA9xGu2tHw1ixGn/view?usp=drive_link" TargetMode="External"/><Relationship Id="rId378" Type="http://schemas.openxmlformats.org/officeDocument/2006/relationships/hyperlink" Target="https://drive.google.com/file/d/1_v8JSd1ixO7hwE-9Ms11vJGQ40vlIZAu/view?usp=drive_link" TargetMode="External"/><Relationship Id="rId1088" Type="http://schemas.openxmlformats.org/officeDocument/2006/relationships/hyperlink" Target="https://drive.google.com/file/d/1DcyFMlcb0tmgqT4lUNxqkdM-SJNDpAko/view?usp=drive_link" TargetMode="External"/><Relationship Id="rId135" Type="http://schemas.openxmlformats.org/officeDocument/2006/relationships/hyperlink" Target="https://drive.google.com/file/d/1WBcgHPeON2KeueM5p2XDLv5-w4DS-_Kf/view?usp=drive_link" TargetMode="External"/><Relationship Id="rId377" Type="http://schemas.openxmlformats.org/officeDocument/2006/relationships/hyperlink" Target="https://drive.google.com/file/d/1_v8JSd1ixO7hwE-9Ms11vJGQ40vlIZAu/view?usp=drive_link" TargetMode="External"/><Relationship Id="rId1089" Type="http://schemas.openxmlformats.org/officeDocument/2006/relationships/hyperlink" Target="https://drive.google.com/file/d/1DcyFMlcb0tmgqT4lUNxqkdM-SJNDpAko/view?usp=drive_link" TargetMode="External"/><Relationship Id="rId134" Type="http://schemas.openxmlformats.org/officeDocument/2006/relationships/hyperlink" Target="https://drive.google.com/file/d/1WBcgHPeON2KeueM5p2XDLv5-w4DS-_Kf/view?usp=drive_link" TargetMode="External"/><Relationship Id="rId376" Type="http://schemas.openxmlformats.org/officeDocument/2006/relationships/hyperlink" Target="https://drive.google.com/file/d/1_v8JSd1ixO7hwE-9Ms11vJGQ40vlIZAu/view?usp=drive_link" TargetMode="External"/><Relationship Id="rId133" Type="http://schemas.openxmlformats.org/officeDocument/2006/relationships/hyperlink" Target="https://drive.google.com/file/d/1WBcgHPeON2KeueM5p2XDLv5-w4DS-_Kf/view?usp=drive_link" TargetMode="External"/><Relationship Id="rId375" Type="http://schemas.openxmlformats.org/officeDocument/2006/relationships/hyperlink" Target="https://drive.google.com/file/d/1_v8JSd1ixO7hwE-9Ms11vJGQ40vlIZAu/view?usp=drive_link" TargetMode="External"/><Relationship Id="rId172" Type="http://schemas.openxmlformats.org/officeDocument/2006/relationships/hyperlink" Target="https://drive.google.com/file/d/1w37htf4fNF0pcp1Dy-XPxGJbGe6Stpm5/view?usp=drive_link" TargetMode="External"/><Relationship Id="rId171" Type="http://schemas.openxmlformats.org/officeDocument/2006/relationships/hyperlink" Target="https://drive.google.com/file/d/1GGxyYMpMCH9NeV5ej3jfvChNy1L2C3Sq/view?usp=drive_link" TargetMode="External"/><Relationship Id="rId170" Type="http://schemas.openxmlformats.org/officeDocument/2006/relationships/hyperlink" Target="https://drive.google.com/file/d/1GGxyYMpMCH9NeV5ej3jfvChNy1L2C3Sq/view?usp=drive_link" TargetMode="External"/><Relationship Id="rId165" Type="http://schemas.openxmlformats.org/officeDocument/2006/relationships/hyperlink" Target="https://drive.google.com/file/d/15blWqqSYHZRtyg_8C05pl-t6dbODcBOz/view?usp=drive_link" TargetMode="External"/><Relationship Id="rId164" Type="http://schemas.openxmlformats.org/officeDocument/2006/relationships/hyperlink" Target="https://drive.google.com/file/d/15blWqqSYHZRtyg_8C05pl-t6dbODcBOz/view?usp=drive_link" TargetMode="External"/><Relationship Id="rId163" Type="http://schemas.openxmlformats.org/officeDocument/2006/relationships/hyperlink" Target="https://drive.google.com/file/d/15blWqqSYHZRtyg_8C05pl-t6dbODcBOz/view?usp=drive_link" TargetMode="External"/><Relationship Id="rId162" Type="http://schemas.openxmlformats.org/officeDocument/2006/relationships/hyperlink" Target="https://drive.google.com/file/d/15blWqqSYHZRtyg_8C05pl-t6dbODcBOz/view?usp=drive_link" TargetMode="External"/><Relationship Id="rId169" Type="http://schemas.openxmlformats.org/officeDocument/2006/relationships/hyperlink" Target="https://drive.google.com/file/d/1GGxyYMpMCH9NeV5ej3jfvChNy1L2C3Sq/view?usp=drive_link" TargetMode="External"/><Relationship Id="rId168" Type="http://schemas.openxmlformats.org/officeDocument/2006/relationships/hyperlink" Target="https://drive.google.com/file/d/1GGxyYMpMCH9NeV5ej3jfvChNy1L2C3Sq/view?usp=drive_link" TargetMode="External"/><Relationship Id="rId167" Type="http://schemas.openxmlformats.org/officeDocument/2006/relationships/hyperlink" Target="https://drive.google.com/file/d/1GGxyYMpMCH9NeV5ej3jfvChNy1L2C3Sq/view?usp=drive_link" TargetMode="External"/><Relationship Id="rId166" Type="http://schemas.openxmlformats.org/officeDocument/2006/relationships/hyperlink" Target="https://drive.google.com/file/d/1GGxyYMpMCH9NeV5ej3jfvChNy1L2C3Sq/view?usp=drive_link" TargetMode="External"/><Relationship Id="rId161" Type="http://schemas.openxmlformats.org/officeDocument/2006/relationships/hyperlink" Target="https://drive.google.com/file/d/15blWqqSYHZRtyg_8C05pl-t6dbODcBOz/view?usp=drive_link" TargetMode="External"/><Relationship Id="rId160" Type="http://schemas.openxmlformats.org/officeDocument/2006/relationships/hyperlink" Target="https://drive.google.com/file/d/1Lqlv80PZA3cRxbbBl_eH71ktimNrBjax/view?usp=drive_link" TargetMode="External"/><Relationship Id="rId159" Type="http://schemas.openxmlformats.org/officeDocument/2006/relationships/hyperlink" Target="https://drive.google.com/file/d/1Lqlv80PZA3cRxbbBl_eH71ktimNrBjax/view?usp=drive_link" TargetMode="External"/><Relationship Id="rId154" Type="http://schemas.openxmlformats.org/officeDocument/2006/relationships/hyperlink" Target="https://drive.google.com/file/d/12kV20ck_aspleMVLC6g2k1zktnFuhm5D/view?usp=drive_link" TargetMode="External"/><Relationship Id="rId396" Type="http://schemas.openxmlformats.org/officeDocument/2006/relationships/hyperlink" Target="https://drive.google.com/file/d/1U5NpUldX11lIUPg7cKfgimE2IcQ5pp7N/view?usp=drive_link" TargetMode="External"/><Relationship Id="rId153" Type="http://schemas.openxmlformats.org/officeDocument/2006/relationships/hyperlink" Target="https://drive.google.com/file/d/12kV20ck_aspleMVLC6g2k1zktnFuhm5D/view?usp=drive_link" TargetMode="External"/><Relationship Id="rId395" Type="http://schemas.openxmlformats.org/officeDocument/2006/relationships/hyperlink" Target="https://drive.google.com/file/d/1z7zuQnW8iFIGqOw3x0VreU1lkZrStZr1/view?usp=drive_link" TargetMode="External"/><Relationship Id="rId152" Type="http://schemas.openxmlformats.org/officeDocument/2006/relationships/hyperlink" Target="https://drive.google.com/file/d/12kV20ck_aspleMVLC6g2k1zktnFuhm5D/view?usp=drive_link" TargetMode="External"/><Relationship Id="rId394" Type="http://schemas.openxmlformats.org/officeDocument/2006/relationships/hyperlink" Target="https://drive.google.com/file/d/1z7zuQnW8iFIGqOw3x0VreU1lkZrStZr1/view?usp=drive_link" TargetMode="External"/><Relationship Id="rId151" Type="http://schemas.openxmlformats.org/officeDocument/2006/relationships/hyperlink" Target="https://drive.google.com/file/d/12kV20ck_aspleMVLC6g2k1zktnFuhm5D/view?usp=drive_link" TargetMode="External"/><Relationship Id="rId393" Type="http://schemas.openxmlformats.org/officeDocument/2006/relationships/hyperlink" Target="https://drive.google.com/file/d/1z7zuQnW8iFIGqOw3x0VreU1lkZrStZr1/view?usp=drive_link" TargetMode="External"/><Relationship Id="rId158" Type="http://schemas.openxmlformats.org/officeDocument/2006/relationships/hyperlink" Target="https://drive.google.com/file/d/1Lqlv80PZA3cRxbbBl_eH71ktimNrBjax/view?usp=drive_link" TargetMode="External"/><Relationship Id="rId157" Type="http://schemas.openxmlformats.org/officeDocument/2006/relationships/hyperlink" Target="https://drive.google.com/file/d/1Lqlv80PZA3cRxbbBl_eH71ktimNrBjax/view?usp=drive_link" TargetMode="External"/><Relationship Id="rId399" Type="http://schemas.openxmlformats.org/officeDocument/2006/relationships/hyperlink" Target="https://drive.google.com/file/d/1U5NpUldX11lIUPg7cKfgimE2IcQ5pp7N/view?usp=drive_link" TargetMode="External"/><Relationship Id="rId156" Type="http://schemas.openxmlformats.org/officeDocument/2006/relationships/hyperlink" Target="https://drive.google.com/file/d/1Lqlv80PZA3cRxbbBl_eH71ktimNrBjax/view?usp=drive_link" TargetMode="External"/><Relationship Id="rId398" Type="http://schemas.openxmlformats.org/officeDocument/2006/relationships/hyperlink" Target="https://drive.google.com/file/d/1U5NpUldX11lIUPg7cKfgimE2IcQ5pp7N/view?usp=drive_link" TargetMode="External"/><Relationship Id="rId155" Type="http://schemas.openxmlformats.org/officeDocument/2006/relationships/hyperlink" Target="https://drive.google.com/file/d/12kV20ck_aspleMVLC6g2k1zktnFuhm5D/view?usp=drive_link" TargetMode="External"/><Relationship Id="rId397" Type="http://schemas.openxmlformats.org/officeDocument/2006/relationships/hyperlink" Target="https://drive.google.com/file/d/1U5NpUldX11lIUPg7cKfgimE2IcQ5pp7N/view?usp=drive_link" TargetMode="External"/><Relationship Id="rId808" Type="http://schemas.openxmlformats.org/officeDocument/2006/relationships/hyperlink" Target="https://drive.google.com/file/d/1Co9WvDbH3talkGWHTm2IZopcK80W_ur7/view?usp=drive_link" TargetMode="External"/><Relationship Id="rId807" Type="http://schemas.openxmlformats.org/officeDocument/2006/relationships/hyperlink" Target="https://drive.google.com/file/d/1Co9WvDbH3talkGWHTm2IZopcK80W_ur7/view?usp=drive_link" TargetMode="External"/><Relationship Id="rId806" Type="http://schemas.openxmlformats.org/officeDocument/2006/relationships/hyperlink" Target="https://drive.google.com/file/d/1Yw5Af0zJVe495icp4k-IddPJ6U8onSey/view?usp=drive_link" TargetMode="External"/><Relationship Id="rId805" Type="http://schemas.openxmlformats.org/officeDocument/2006/relationships/hyperlink" Target="https://drive.google.com/file/d/1Yw5Af0zJVe495icp4k-IddPJ6U8onSey/view?usp=drive_link" TargetMode="External"/><Relationship Id="rId809" Type="http://schemas.openxmlformats.org/officeDocument/2006/relationships/hyperlink" Target="https://drive.google.com/file/d/1Co9WvDbH3talkGWHTm2IZopcK80W_ur7/view?usp=drive_link" TargetMode="External"/><Relationship Id="rId800" Type="http://schemas.openxmlformats.org/officeDocument/2006/relationships/hyperlink" Target="https://drive.google.com/file/d/1Yw5Af0zJVe495icp4k-IddPJ6U8onSey/view?usp=drive_link" TargetMode="External"/><Relationship Id="rId804" Type="http://schemas.openxmlformats.org/officeDocument/2006/relationships/hyperlink" Target="https://drive.google.com/file/d/1Yw5Af0zJVe495icp4k-IddPJ6U8onSey/view?usp=drive_link" TargetMode="External"/><Relationship Id="rId803" Type="http://schemas.openxmlformats.org/officeDocument/2006/relationships/hyperlink" Target="https://drive.google.com/file/d/1Yw5Af0zJVe495icp4k-IddPJ6U8onSey/view?usp=drive_link" TargetMode="External"/><Relationship Id="rId802" Type="http://schemas.openxmlformats.org/officeDocument/2006/relationships/hyperlink" Target="https://drive.google.com/file/d/1Yw5Af0zJVe495icp4k-IddPJ6U8onSey/view?usp=drive_link" TargetMode="External"/><Relationship Id="rId801" Type="http://schemas.openxmlformats.org/officeDocument/2006/relationships/hyperlink" Target="https://drive.google.com/file/d/1Yw5Af0zJVe495icp4k-IddPJ6U8onSey/view?usp=drive_link" TargetMode="External"/><Relationship Id="rId40" Type="http://schemas.openxmlformats.org/officeDocument/2006/relationships/hyperlink" Target="https://drive.google.com/file/d/1anFasLFG_4K_vklSwjnyhMWv98YpO4xL/view?usp=drive_link" TargetMode="External"/><Relationship Id="rId42" Type="http://schemas.openxmlformats.org/officeDocument/2006/relationships/hyperlink" Target="https://drive.google.com/file/d/1DsDC4dUdUNCFqJjNxS7z0yr3jtNYVgtV/view?usp=drive_link" TargetMode="External"/><Relationship Id="rId41" Type="http://schemas.openxmlformats.org/officeDocument/2006/relationships/hyperlink" Target="https://drive.google.com/file/d/1DsDC4dUdUNCFqJjNxS7z0yr3jtNYVgtV/view?usp=drive_link" TargetMode="External"/><Relationship Id="rId44" Type="http://schemas.openxmlformats.org/officeDocument/2006/relationships/hyperlink" Target="https://drive.google.com/file/d/1DsDC4dUdUNCFqJjNxS7z0yr3jtNYVgtV/view?usp=drive_link" TargetMode="External"/><Relationship Id="rId43" Type="http://schemas.openxmlformats.org/officeDocument/2006/relationships/hyperlink" Target="https://drive.google.com/file/d/1DsDC4dUdUNCFqJjNxS7z0yr3jtNYVgtV/view?usp=drive_link" TargetMode="External"/><Relationship Id="rId46" Type="http://schemas.openxmlformats.org/officeDocument/2006/relationships/hyperlink" Target="https://drive.google.com/file/d/17_EICIY9hfQsaOeUOULOLmCQhmd_1G8A/view?usp=drive_link" TargetMode="External"/><Relationship Id="rId45" Type="http://schemas.openxmlformats.org/officeDocument/2006/relationships/hyperlink" Target="https://drive.google.com/file/d/1DsDC4dUdUNCFqJjNxS7z0yr3jtNYVgtV/view?usp=drive_link" TargetMode="External"/><Relationship Id="rId509" Type="http://schemas.openxmlformats.org/officeDocument/2006/relationships/hyperlink" Target="https://drive.google.com/file/d/1B2FbigtQwAAUQqz6gG3Er09MBiVq7qhv/view?usp=drive_link" TargetMode="External"/><Relationship Id="rId508" Type="http://schemas.openxmlformats.org/officeDocument/2006/relationships/hyperlink" Target="https://drive.google.com/file/d/1B2FbigtQwAAUQqz6gG3Er09MBiVq7qhv/view?usp=drive_link" TargetMode="External"/><Relationship Id="rId503" Type="http://schemas.openxmlformats.org/officeDocument/2006/relationships/hyperlink" Target="https://drive.google.com/file/d/1Get4ITp7qrFAyRFY1Hz-jT311vUWib9D/view?usp=drive_link" TargetMode="External"/><Relationship Id="rId745" Type="http://schemas.openxmlformats.org/officeDocument/2006/relationships/hyperlink" Target="https://drive.google.com/file/d/1NtfXugttVyKjcGvRQYFmSu0vOSHFh1Ah/view?usp=drive_link" TargetMode="External"/><Relationship Id="rId987" Type="http://schemas.openxmlformats.org/officeDocument/2006/relationships/hyperlink" Target="https://drive.google.com/file/d/1sMV9FhUcPluKIMC3JAC3ScB8N1dSBPwj/view?usp=drive_link" TargetMode="External"/><Relationship Id="rId502" Type="http://schemas.openxmlformats.org/officeDocument/2006/relationships/hyperlink" Target="https://drive.google.com/file/d/1Get4ITp7qrFAyRFY1Hz-jT311vUWib9D/view?usp=drive_link" TargetMode="External"/><Relationship Id="rId744" Type="http://schemas.openxmlformats.org/officeDocument/2006/relationships/hyperlink" Target="https://drive.google.com/file/d/1NtfXugttVyKjcGvRQYFmSu0vOSHFh1Ah/view?usp=drive_link" TargetMode="External"/><Relationship Id="rId986" Type="http://schemas.openxmlformats.org/officeDocument/2006/relationships/hyperlink" Target="https://drive.google.com/file/d/1jS2qSBUGA8i9oGsvhCuZ0DxwVh_W0Aws/view?usp=drive_link" TargetMode="External"/><Relationship Id="rId501" Type="http://schemas.openxmlformats.org/officeDocument/2006/relationships/hyperlink" Target="https://drive.google.com/file/d/1Get4ITp7qrFAyRFY1Hz-jT311vUWib9D/view?usp=drive_link" TargetMode="External"/><Relationship Id="rId743" Type="http://schemas.openxmlformats.org/officeDocument/2006/relationships/hyperlink" Target="https://drive.google.com/file/d/1PIijFaFbAwqzEg5kGnXw9rW_9wXtn7hw/view?usp=drive_link" TargetMode="External"/><Relationship Id="rId985" Type="http://schemas.openxmlformats.org/officeDocument/2006/relationships/hyperlink" Target="https://drive.google.com/file/d/1jS2qSBUGA8i9oGsvhCuZ0DxwVh_W0Aws/view?usp=drive_link" TargetMode="External"/><Relationship Id="rId500" Type="http://schemas.openxmlformats.org/officeDocument/2006/relationships/hyperlink" Target="https://drive.google.com/file/d/1T24pK15nR-6C4A2-ScdqY3BS-LxpX2X5/view?usp=drive_link" TargetMode="External"/><Relationship Id="rId742" Type="http://schemas.openxmlformats.org/officeDocument/2006/relationships/hyperlink" Target="https://drive.google.com/file/d/1PIijFaFbAwqzEg5kGnXw9rW_9wXtn7hw/view?usp=drive_link" TargetMode="External"/><Relationship Id="rId984" Type="http://schemas.openxmlformats.org/officeDocument/2006/relationships/hyperlink" Target="https://drive.google.com/file/d/1jS2qSBUGA8i9oGsvhCuZ0DxwVh_W0Aws/view?usp=drive_link" TargetMode="External"/><Relationship Id="rId507" Type="http://schemas.openxmlformats.org/officeDocument/2006/relationships/hyperlink" Target="https://drive.google.com/file/d/1Get4ITp7qrFAyRFY1Hz-jT311vUWib9D/view?usp=drive_link" TargetMode="External"/><Relationship Id="rId749" Type="http://schemas.openxmlformats.org/officeDocument/2006/relationships/hyperlink" Target="https://drive.google.com/file/d/1NtfXugttVyKjcGvRQYFmSu0vOSHFh1Ah/view?usp=drive_link" TargetMode="External"/><Relationship Id="rId506" Type="http://schemas.openxmlformats.org/officeDocument/2006/relationships/hyperlink" Target="https://drive.google.com/file/d/1Get4ITp7qrFAyRFY1Hz-jT311vUWib9D/view?usp=drive_link" TargetMode="External"/><Relationship Id="rId748" Type="http://schemas.openxmlformats.org/officeDocument/2006/relationships/hyperlink" Target="https://drive.google.com/file/d/1NtfXugttVyKjcGvRQYFmSu0vOSHFh1Ah/view?usp=drive_link" TargetMode="External"/><Relationship Id="rId505" Type="http://schemas.openxmlformats.org/officeDocument/2006/relationships/hyperlink" Target="https://drive.google.com/file/d/1Get4ITp7qrFAyRFY1Hz-jT311vUWib9D/view?usp=drive_link" TargetMode="External"/><Relationship Id="rId747" Type="http://schemas.openxmlformats.org/officeDocument/2006/relationships/hyperlink" Target="https://drive.google.com/file/d/1NtfXugttVyKjcGvRQYFmSu0vOSHFh1Ah/view?usp=drive_link" TargetMode="External"/><Relationship Id="rId989" Type="http://schemas.openxmlformats.org/officeDocument/2006/relationships/hyperlink" Target="https://drive.google.com/file/d/1sMV9FhUcPluKIMC3JAC3ScB8N1dSBPwj/view?usp=drive_link" TargetMode="External"/><Relationship Id="rId504" Type="http://schemas.openxmlformats.org/officeDocument/2006/relationships/hyperlink" Target="https://drive.google.com/file/d/1Get4ITp7qrFAyRFY1Hz-jT311vUWib9D/view?usp=drive_link" TargetMode="External"/><Relationship Id="rId746" Type="http://schemas.openxmlformats.org/officeDocument/2006/relationships/hyperlink" Target="https://drive.google.com/file/d/1NtfXugttVyKjcGvRQYFmSu0vOSHFh1Ah/view?usp=drive_link" TargetMode="External"/><Relationship Id="rId988" Type="http://schemas.openxmlformats.org/officeDocument/2006/relationships/hyperlink" Target="https://drive.google.com/file/d/1sMV9FhUcPluKIMC3JAC3ScB8N1dSBPwj/view?usp=drive_link" TargetMode="External"/><Relationship Id="rId48" Type="http://schemas.openxmlformats.org/officeDocument/2006/relationships/hyperlink" Target="https://drive.google.com/file/d/17_EICIY9hfQsaOeUOULOLmCQhmd_1G8A/view?usp=drive_link" TargetMode="External"/><Relationship Id="rId47" Type="http://schemas.openxmlformats.org/officeDocument/2006/relationships/hyperlink" Target="https://drive.google.com/file/d/17_EICIY9hfQsaOeUOULOLmCQhmd_1G8A/view?usp=drive_link" TargetMode="External"/><Relationship Id="rId49" Type="http://schemas.openxmlformats.org/officeDocument/2006/relationships/hyperlink" Target="https://drive.google.com/file/d/17_EICIY9hfQsaOeUOULOLmCQhmd_1G8A/view?usp=drive_link" TargetMode="External"/><Relationship Id="rId741" Type="http://schemas.openxmlformats.org/officeDocument/2006/relationships/hyperlink" Target="https://drive.google.com/file/d/1PIijFaFbAwqzEg5kGnXw9rW_9wXtn7hw/view?usp=drive_link" TargetMode="External"/><Relationship Id="rId983" Type="http://schemas.openxmlformats.org/officeDocument/2006/relationships/hyperlink" Target="https://drive.google.com/file/d/1jS2qSBUGA8i9oGsvhCuZ0DxwVh_W0Aws/view?usp=drive_link" TargetMode="External"/><Relationship Id="rId740" Type="http://schemas.openxmlformats.org/officeDocument/2006/relationships/hyperlink" Target="https://drive.google.com/file/d/1PIijFaFbAwqzEg5kGnXw9rW_9wXtn7hw/view?usp=drive_link" TargetMode="External"/><Relationship Id="rId982" Type="http://schemas.openxmlformats.org/officeDocument/2006/relationships/hyperlink" Target="https://drive.google.com/file/d/1jS2qSBUGA8i9oGsvhCuZ0DxwVh_W0Aws/view?usp=drive_link" TargetMode="External"/><Relationship Id="rId981" Type="http://schemas.openxmlformats.org/officeDocument/2006/relationships/hyperlink" Target="https://drive.google.com/file/d/1jS2qSBUGA8i9oGsvhCuZ0DxwVh_W0Aws/view?usp=drive_link" TargetMode="External"/><Relationship Id="rId980" Type="http://schemas.openxmlformats.org/officeDocument/2006/relationships/hyperlink" Target="https://drive.google.com/file/d/1jS2qSBUGA8i9oGsvhCuZ0DxwVh_W0Aws/view?usp=drive_link" TargetMode="External"/><Relationship Id="rId31" Type="http://schemas.openxmlformats.org/officeDocument/2006/relationships/hyperlink" Target="https://drive.google.com/file/d/1YTN5hqjITv1QkStRnkc-Yb5z3UrXTvTg/view?usp=drive_link" TargetMode="External"/><Relationship Id="rId30" Type="http://schemas.openxmlformats.org/officeDocument/2006/relationships/hyperlink" Target="https://drive.google.com/file/d/1Sx66IFkix9Yg0hjpKsvW_DisZYUG2yuo/view?usp=drive_link" TargetMode="External"/><Relationship Id="rId33" Type="http://schemas.openxmlformats.org/officeDocument/2006/relationships/hyperlink" Target="https://drive.google.com/file/d/1YTN5hqjITv1QkStRnkc-Yb5z3UrXTvTg/view?usp=drive_link" TargetMode="External"/><Relationship Id="rId32" Type="http://schemas.openxmlformats.org/officeDocument/2006/relationships/hyperlink" Target="https://drive.google.com/file/d/1YTN5hqjITv1QkStRnkc-Yb5z3UrXTvTg/view?usp=drive_link" TargetMode="External"/><Relationship Id="rId35" Type="http://schemas.openxmlformats.org/officeDocument/2006/relationships/hyperlink" Target="https://drive.google.com/file/d/1YTN5hqjITv1QkStRnkc-Yb5z3UrXTvTg/view?usp=drive_link" TargetMode="External"/><Relationship Id="rId34" Type="http://schemas.openxmlformats.org/officeDocument/2006/relationships/hyperlink" Target="https://drive.google.com/file/d/1YTN5hqjITv1QkStRnkc-Yb5z3UrXTvTg/view?usp=drive_link" TargetMode="External"/><Relationship Id="rId739" Type="http://schemas.openxmlformats.org/officeDocument/2006/relationships/hyperlink" Target="https://drive.google.com/file/d/1PIijFaFbAwqzEg5kGnXw9rW_9wXtn7hw/view?usp=drive_link" TargetMode="External"/><Relationship Id="rId734" Type="http://schemas.openxmlformats.org/officeDocument/2006/relationships/hyperlink" Target="https://drive.google.com/file/d/1CBI9RBXcyGDjryTwdPaWfIf3i4sZbosb/view?usp=drive_link" TargetMode="External"/><Relationship Id="rId976" Type="http://schemas.openxmlformats.org/officeDocument/2006/relationships/hyperlink" Target="https://drive.google.com/file/d/1GSd9HHHZ50nPHKaRl_uk3LIdCGTsQEGw/view?usp=drive_link" TargetMode="External"/><Relationship Id="rId733" Type="http://schemas.openxmlformats.org/officeDocument/2006/relationships/hyperlink" Target="https://drive.google.com/file/d/1CBI9RBXcyGDjryTwdPaWfIf3i4sZbosb/view?usp=drive_link" TargetMode="External"/><Relationship Id="rId975" Type="http://schemas.openxmlformats.org/officeDocument/2006/relationships/hyperlink" Target="https://drive.google.com/file/d/1GSd9HHHZ50nPHKaRl_uk3LIdCGTsQEGw/view?usp=drive_link" TargetMode="External"/><Relationship Id="rId732" Type="http://schemas.openxmlformats.org/officeDocument/2006/relationships/hyperlink" Target="https://drive.google.com/file/d/1CBI9RBXcyGDjryTwdPaWfIf3i4sZbosb/view?usp=drive_link" TargetMode="External"/><Relationship Id="rId974" Type="http://schemas.openxmlformats.org/officeDocument/2006/relationships/hyperlink" Target="https://drive.google.com/file/d/1GSd9HHHZ50nPHKaRl_uk3LIdCGTsQEGw/view?usp=drive_link" TargetMode="External"/><Relationship Id="rId731" Type="http://schemas.openxmlformats.org/officeDocument/2006/relationships/hyperlink" Target="https://drive.google.com/file/d/1f08bBvNFiMTf587wOuNWelhEPh9Se7zh/view?usp=drive_link" TargetMode="External"/><Relationship Id="rId973" Type="http://schemas.openxmlformats.org/officeDocument/2006/relationships/hyperlink" Target="https://drive.google.com/file/d/1GSd9HHHZ50nPHKaRl_uk3LIdCGTsQEGw/view?usp=drive_link" TargetMode="External"/><Relationship Id="rId738" Type="http://schemas.openxmlformats.org/officeDocument/2006/relationships/hyperlink" Target="https://drive.google.com/file/d/1CBI9RBXcyGDjryTwdPaWfIf3i4sZbosb/view?usp=drive_link" TargetMode="External"/><Relationship Id="rId737" Type="http://schemas.openxmlformats.org/officeDocument/2006/relationships/hyperlink" Target="https://drive.google.com/file/d/1CBI9RBXcyGDjryTwdPaWfIf3i4sZbosb/view?usp=drive_link" TargetMode="External"/><Relationship Id="rId979" Type="http://schemas.openxmlformats.org/officeDocument/2006/relationships/hyperlink" Target="https://drive.google.com/file/d/1jS2qSBUGA8i9oGsvhCuZ0DxwVh_W0Aws/view?usp=drive_link" TargetMode="External"/><Relationship Id="rId736" Type="http://schemas.openxmlformats.org/officeDocument/2006/relationships/hyperlink" Target="https://drive.google.com/file/d/1CBI9RBXcyGDjryTwdPaWfIf3i4sZbosb/view?usp=drive_link" TargetMode="External"/><Relationship Id="rId978" Type="http://schemas.openxmlformats.org/officeDocument/2006/relationships/hyperlink" Target="https://drive.google.com/file/d/1jS2qSBUGA8i9oGsvhCuZ0DxwVh_W0Aws/view?usp=drive_link" TargetMode="External"/><Relationship Id="rId735" Type="http://schemas.openxmlformats.org/officeDocument/2006/relationships/hyperlink" Target="https://drive.google.com/file/d/1CBI9RBXcyGDjryTwdPaWfIf3i4sZbosb/view?usp=drive_link" TargetMode="External"/><Relationship Id="rId977" Type="http://schemas.openxmlformats.org/officeDocument/2006/relationships/hyperlink" Target="https://drive.google.com/file/d/1GSd9HHHZ50nPHKaRl_uk3LIdCGTsQEGw/view?usp=drive_link" TargetMode="External"/><Relationship Id="rId37" Type="http://schemas.openxmlformats.org/officeDocument/2006/relationships/hyperlink" Target="https://drive.google.com/file/d/1anFasLFG_4K_vklSwjnyhMWv98YpO4xL/view?usp=drive_link" TargetMode="External"/><Relationship Id="rId36" Type="http://schemas.openxmlformats.org/officeDocument/2006/relationships/hyperlink" Target="https://drive.google.com/file/d/1anFasLFG_4K_vklSwjnyhMWv98YpO4xL/view?usp=drive_link" TargetMode="External"/><Relationship Id="rId39" Type="http://schemas.openxmlformats.org/officeDocument/2006/relationships/hyperlink" Target="https://drive.google.com/file/d/1anFasLFG_4K_vklSwjnyhMWv98YpO4xL/view?usp=drive_link" TargetMode="External"/><Relationship Id="rId38" Type="http://schemas.openxmlformats.org/officeDocument/2006/relationships/hyperlink" Target="https://drive.google.com/file/d/1anFasLFG_4K_vklSwjnyhMWv98YpO4xL/view?usp=drive_link" TargetMode="External"/><Relationship Id="rId730" Type="http://schemas.openxmlformats.org/officeDocument/2006/relationships/hyperlink" Target="https://drive.google.com/file/d/1f08bBvNFiMTf587wOuNWelhEPh9Se7zh/view?usp=drive_link" TargetMode="External"/><Relationship Id="rId972" Type="http://schemas.openxmlformats.org/officeDocument/2006/relationships/hyperlink" Target="https://drive.google.com/file/d/1GSd9HHHZ50nPHKaRl_uk3LIdCGTsQEGw/view?usp=drive_link" TargetMode="External"/><Relationship Id="rId971" Type="http://schemas.openxmlformats.org/officeDocument/2006/relationships/hyperlink" Target="https://drive.google.com/file/d/1GSd9HHHZ50nPHKaRl_uk3LIdCGTsQEGw/view?usp=drive_link" TargetMode="External"/><Relationship Id="rId970" Type="http://schemas.openxmlformats.org/officeDocument/2006/relationships/hyperlink" Target="https://drive.google.com/file/d/1GSd9HHHZ50nPHKaRl_uk3LIdCGTsQEGw/view?usp=drive_link" TargetMode="External"/><Relationship Id="rId1114" Type="http://schemas.openxmlformats.org/officeDocument/2006/relationships/hyperlink" Target="https://drive.google.com/file/d/10lpoL2b4yCiwYzSQJBTYSk1w6BkJLPbA/view?usp=drive_link" TargetMode="External"/><Relationship Id="rId1115" Type="http://schemas.openxmlformats.org/officeDocument/2006/relationships/hyperlink" Target="https://drive.google.com/file/d/10lpoL2b4yCiwYzSQJBTYSk1w6BkJLPbA/view?usp=drive_link" TargetMode="External"/><Relationship Id="rId20" Type="http://schemas.openxmlformats.org/officeDocument/2006/relationships/hyperlink" Target="https://drive.google.com/file/d/1c2f42DRgP6pNZVxfgpaAJDbRLiNNO9On/view?usp=drive_link" TargetMode="External"/><Relationship Id="rId1116" Type="http://schemas.openxmlformats.org/officeDocument/2006/relationships/hyperlink" Target="https://drive.google.com/file/d/10lpoL2b4yCiwYzSQJBTYSk1w6BkJLPbA/view?usp=drive_link" TargetMode="External"/><Relationship Id="rId1117" Type="http://schemas.openxmlformats.org/officeDocument/2006/relationships/hyperlink" Target="https://drive.google.com/file/d/10lpoL2b4yCiwYzSQJBTYSk1w6BkJLPbA/view?usp=drive_link" TargetMode="External"/><Relationship Id="rId22" Type="http://schemas.openxmlformats.org/officeDocument/2006/relationships/hyperlink" Target="https://drive.google.com/file/d/1yEbDgRN081wTEjkmM3QY0PEHhRIkOy89/view?usp=drive_link" TargetMode="External"/><Relationship Id="rId1118" Type="http://schemas.openxmlformats.org/officeDocument/2006/relationships/hyperlink" Target="https://drive.google.com/file/d/10lpoL2b4yCiwYzSQJBTYSk1w6BkJLPbA/view?usp=drive_link" TargetMode="External"/><Relationship Id="rId21" Type="http://schemas.openxmlformats.org/officeDocument/2006/relationships/hyperlink" Target="https://drive.google.com/file/d/1yEbDgRN081wTEjkmM3QY0PEHhRIkOy89/view?usp=drive_link" TargetMode="External"/><Relationship Id="rId1119" Type="http://schemas.openxmlformats.org/officeDocument/2006/relationships/hyperlink" Target="https://drive.google.com/file/d/10lpoL2b4yCiwYzSQJBTYSk1w6BkJLPbA/view?usp=drive_link" TargetMode="External"/><Relationship Id="rId24" Type="http://schemas.openxmlformats.org/officeDocument/2006/relationships/hyperlink" Target="https://drive.google.com/file/d/1yEbDgRN081wTEjkmM3QY0PEHhRIkOy89/view?usp=drive_link" TargetMode="External"/><Relationship Id="rId23" Type="http://schemas.openxmlformats.org/officeDocument/2006/relationships/hyperlink" Target="https://drive.google.com/file/d/1yEbDgRN081wTEjkmM3QY0PEHhRIkOy89/view?usp=drive_link" TargetMode="External"/><Relationship Id="rId525" Type="http://schemas.openxmlformats.org/officeDocument/2006/relationships/hyperlink" Target="https://drive.google.com/file/d/1fTIZCHcHACdDoiWQyFoOBTTNoiUj0KhR/view?usp=drive_link" TargetMode="External"/><Relationship Id="rId767" Type="http://schemas.openxmlformats.org/officeDocument/2006/relationships/hyperlink" Target="https://drive.google.com/file/d/1NaaF3Qc8GJveg7nwLDiTKZzFglqY0Mz-/view?usp=drive_link" TargetMode="External"/><Relationship Id="rId524" Type="http://schemas.openxmlformats.org/officeDocument/2006/relationships/hyperlink" Target="https://drive.google.com/file/d/1fTIZCHcHACdDoiWQyFoOBTTNoiUj0KhR/view?usp=drive_link" TargetMode="External"/><Relationship Id="rId766" Type="http://schemas.openxmlformats.org/officeDocument/2006/relationships/hyperlink" Target="https://drive.google.com/file/d/1NaaF3Qc8GJveg7nwLDiTKZzFglqY0Mz-/view?usp=drive_link" TargetMode="External"/><Relationship Id="rId523" Type="http://schemas.openxmlformats.org/officeDocument/2006/relationships/hyperlink" Target="https://drive.google.com/file/d/1fTIZCHcHACdDoiWQyFoOBTTNoiUj0KhR/view?usp=drive_link" TargetMode="External"/><Relationship Id="rId765" Type="http://schemas.openxmlformats.org/officeDocument/2006/relationships/hyperlink" Target="https://drive.google.com/file/d/1NaaF3Qc8GJveg7nwLDiTKZzFglqY0Mz-/view?usp=drive_link" TargetMode="External"/><Relationship Id="rId522" Type="http://schemas.openxmlformats.org/officeDocument/2006/relationships/hyperlink" Target="https://drive.google.com/file/d/1fTIZCHcHACdDoiWQyFoOBTTNoiUj0KhR/view?usp=drive_link" TargetMode="External"/><Relationship Id="rId764" Type="http://schemas.openxmlformats.org/officeDocument/2006/relationships/hyperlink" Target="https://drive.google.com/file/d/1NaaF3Qc8GJveg7nwLDiTKZzFglqY0Mz-/view?usp=drive_link" TargetMode="External"/><Relationship Id="rId529" Type="http://schemas.openxmlformats.org/officeDocument/2006/relationships/hyperlink" Target="https://drive.google.com/file/d/1DhqTaXf3VjIGdNFAqi9BR-JU4zuOiLEc/view?usp=drive_link" TargetMode="External"/><Relationship Id="rId528" Type="http://schemas.openxmlformats.org/officeDocument/2006/relationships/hyperlink" Target="https://drive.google.com/file/d/1fTIZCHcHACdDoiWQyFoOBTTNoiUj0KhR/view?usp=drive_link" TargetMode="External"/><Relationship Id="rId527" Type="http://schemas.openxmlformats.org/officeDocument/2006/relationships/hyperlink" Target="https://drive.google.com/file/d/1fTIZCHcHACdDoiWQyFoOBTTNoiUj0KhR/view?usp=drive_link" TargetMode="External"/><Relationship Id="rId769" Type="http://schemas.openxmlformats.org/officeDocument/2006/relationships/hyperlink" Target="https://drive.google.com/file/d/1NaaF3Qc8GJveg7nwLDiTKZzFglqY0Mz-/view?usp=drive_link" TargetMode="External"/><Relationship Id="rId526" Type="http://schemas.openxmlformats.org/officeDocument/2006/relationships/hyperlink" Target="https://drive.google.com/file/d/1fTIZCHcHACdDoiWQyFoOBTTNoiUj0KhR/view?usp=drive_link" TargetMode="External"/><Relationship Id="rId768" Type="http://schemas.openxmlformats.org/officeDocument/2006/relationships/hyperlink" Target="https://drive.google.com/file/d/1NaaF3Qc8GJveg7nwLDiTKZzFglqY0Mz-/view?usp=drive_link" TargetMode="External"/><Relationship Id="rId26" Type="http://schemas.openxmlformats.org/officeDocument/2006/relationships/hyperlink" Target="https://drive.google.com/file/d/1Sx66IFkix9Yg0hjpKsvW_DisZYUG2yuo/view?usp=drive_link" TargetMode="External"/><Relationship Id="rId25" Type="http://schemas.openxmlformats.org/officeDocument/2006/relationships/hyperlink" Target="https://drive.google.com/file/d/1yEbDgRN081wTEjkmM3QY0PEHhRIkOy89/view?usp=drive_link" TargetMode="External"/><Relationship Id="rId28" Type="http://schemas.openxmlformats.org/officeDocument/2006/relationships/hyperlink" Target="https://drive.google.com/file/d/1Sx66IFkix9Yg0hjpKsvW_DisZYUG2yuo/view?usp=drive_link" TargetMode="External"/><Relationship Id="rId27" Type="http://schemas.openxmlformats.org/officeDocument/2006/relationships/hyperlink" Target="https://drive.google.com/file/d/1Sx66IFkix9Yg0hjpKsvW_DisZYUG2yuo/view?usp=drive_link" TargetMode="External"/><Relationship Id="rId521" Type="http://schemas.openxmlformats.org/officeDocument/2006/relationships/hyperlink" Target="https://drive.google.com/file/d/18sFACj0C1jfFLsMFFi-GgbQGgrw4mKcn/view?usp=drive_link" TargetMode="External"/><Relationship Id="rId763" Type="http://schemas.openxmlformats.org/officeDocument/2006/relationships/hyperlink" Target="https://drive.google.com/file/d/1NaaF3Qc8GJveg7nwLDiTKZzFglqY0Mz-/view?usp=drive_link" TargetMode="External"/><Relationship Id="rId1110" Type="http://schemas.openxmlformats.org/officeDocument/2006/relationships/hyperlink" Target="https://drive.google.com/file/d/1EMx5q8Da2zsQKp-tBKd8nZJ-A3s4qNuA/view?usp=drive_link" TargetMode="External"/><Relationship Id="rId29" Type="http://schemas.openxmlformats.org/officeDocument/2006/relationships/hyperlink" Target="https://drive.google.com/file/d/1Sx66IFkix9Yg0hjpKsvW_DisZYUG2yuo/view?usp=drive_link" TargetMode="External"/><Relationship Id="rId520" Type="http://schemas.openxmlformats.org/officeDocument/2006/relationships/hyperlink" Target="https://drive.google.com/file/d/18sFACj0C1jfFLsMFFi-GgbQGgrw4mKcn/view?usp=drive_link" TargetMode="External"/><Relationship Id="rId762" Type="http://schemas.openxmlformats.org/officeDocument/2006/relationships/hyperlink" Target="https://drive.google.com/file/d/1NaaF3Qc8GJveg7nwLDiTKZzFglqY0Mz-/view?usp=drive_link" TargetMode="External"/><Relationship Id="rId1111" Type="http://schemas.openxmlformats.org/officeDocument/2006/relationships/hyperlink" Target="https://drive.google.com/file/d/1EMx5q8Da2zsQKp-tBKd8nZJ-A3s4qNuA/view?usp=drive_link" TargetMode="External"/><Relationship Id="rId761" Type="http://schemas.openxmlformats.org/officeDocument/2006/relationships/hyperlink" Target="https://drive.google.com/file/d/1L4CozdjUOVvJAIVefrclrQLjtABwkZ0V/view?usp=drive_link" TargetMode="External"/><Relationship Id="rId1112" Type="http://schemas.openxmlformats.org/officeDocument/2006/relationships/hyperlink" Target="https://drive.google.com/file/d/1EMx5q8Da2zsQKp-tBKd8nZJ-A3s4qNuA/view?usp=drive_link" TargetMode="External"/><Relationship Id="rId760" Type="http://schemas.openxmlformats.org/officeDocument/2006/relationships/hyperlink" Target="https://drive.google.com/file/d/1L4CozdjUOVvJAIVefrclrQLjtABwkZ0V/view?usp=drive_link" TargetMode="External"/><Relationship Id="rId1113" Type="http://schemas.openxmlformats.org/officeDocument/2006/relationships/hyperlink" Target="https://drive.google.com/file/d/1EMx5q8Da2zsQKp-tBKd8nZJ-A3s4qNuA/view?usp=drive_link" TargetMode="External"/><Relationship Id="rId1103" Type="http://schemas.openxmlformats.org/officeDocument/2006/relationships/hyperlink" Target="https://drive.google.com/file/d/1cQNrquWk0qP_oK58sZYc2Iz1tYqubUto/view?usp=drive_link" TargetMode="External"/><Relationship Id="rId1104" Type="http://schemas.openxmlformats.org/officeDocument/2006/relationships/hyperlink" Target="https://drive.google.com/file/d/1cQNrquWk0qP_oK58sZYc2Iz1tYqubUto/view?usp=drive_link" TargetMode="External"/><Relationship Id="rId1105" Type="http://schemas.openxmlformats.org/officeDocument/2006/relationships/hyperlink" Target="https://drive.google.com/file/d/1cQNrquWk0qP_oK58sZYc2Iz1tYqubUto/view?usp=drive_link" TargetMode="External"/><Relationship Id="rId1106" Type="http://schemas.openxmlformats.org/officeDocument/2006/relationships/hyperlink" Target="https://drive.google.com/file/d/1cQNrquWk0qP_oK58sZYc2Iz1tYqubUto/view?usp=drive_link" TargetMode="External"/><Relationship Id="rId11" Type="http://schemas.openxmlformats.org/officeDocument/2006/relationships/hyperlink" Target="https://drive.google.com/file/d/1Rn9FSXnT0TU-PhwzIKM_XU4dWTYeqoru/view?usp=drive_link" TargetMode="External"/><Relationship Id="rId1107" Type="http://schemas.openxmlformats.org/officeDocument/2006/relationships/hyperlink" Target="https://drive.google.com/file/d/1cQNrquWk0qP_oK58sZYc2Iz1tYqubUto/view?usp=drive_link" TargetMode="External"/><Relationship Id="rId10" Type="http://schemas.openxmlformats.org/officeDocument/2006/relationships/hyperlink" Target="https://drive.google.com/file/d/1oAcMkGZgEXDtXBeUibNu61q8v-4GHul4/view?usp=drive_link" TargetMode="External"/><Relationship Id="rId1108" Type="http://schemas.openxmlformats.org/officeDocument/2006/relationships/hyperlink" Target="https://drive.google.com/file/d/1EMx5q8Da2zsQKp-tBKd8nZJ-A3s4qNuA/view?usp=drive_link" TargetMode="External"/><Relationship Id="rId13" Type="http://schemas.openxmlformats.org/officeDocument/2006/relationships/hyperlink" Target="https://drive.google.com/file/d/1Rn9FSXnT0TU-PhwzIKM_XU4dWTYeqoru/view?usp=drive_link" TargetMode="External"/><Relationship Id="rId1109" Type="http://schemas.openxmlformats.org/officeDocument/2006/relationships/hyperlink" Target="https://drive.google.com/file/d/1EMx5q8Da2zsQKp-tBKd8nZJ-A3s4qNuA/view?usp=drive_link" TargetMode="External"/><Relationship Id="rId12" Type="http://schemas.openxmlformats.org/officeDocument/2006/relationships/hyperlink" Target="https://drive.google.com/file/d/1Rn9FSXnT0TU-PhwzIKM_XU4dWTYeqoru/view?usp=drive_link" TargetMode="External"/><Relationship Id="rId519" Type="http://schemas.openxmlformats.org/officeDocument/2006/relationships/hyperlink" Target="https://drive.google.com/file/d/18sFACj0C1jfFLsMFFi-GgbQGgrw4mKcn/view?usp=drive_link" TargetMode="External"/><Relationship Id="rId514" Type="http://schemas.openxmlformats.org/officeDocument/2006/relationships/hyperlink" Target="https://drive.google.com/file/d/1B2FbigtQwAAUQqz6gG3Er09MBiVq7qhv/view?usp=drive_link" TargetMode="External"/><Relationship Id="rId756" Type="http://schemas.openxmlformats.org/officeDocument/2006/relationships/hyperlink" Target="https://drive.google.com/file/d/1L4CozdjUOVvJAIVefrclrQLjtABwkZ0V/view?usp=drive_link" TargetMode="External"/><Relationship Id="rId998" Type="http://schemas.openxmlformats.org/officeDocument/2006/relationships/hyperlink" Target="https://drive.google.com/file/d/1btDPlWcnETnPBAT-iKelxP5vmT6rqZ52/view?usp=drive_link" TargetMode="External"/><Relationship Id="rId513" Type="http://schemas.openxmlformats.org/officeDocument/2006/relationships/hyperlink" Target="https://drive.google.com/file/d/1B2FbigtQwAAUQqz6gG3Er09MBiVq7qhv/view?usp=drive_link" TargetMode="External"/><Relationship Id="rId755" Type="http://schemas.openxmlformats.org/officeDocument/2006/relationships/hyperlink" Target="https://drive.google.com/file/d/1L4CozdjUOVvJAIVefrclrQLjtABwkZ0V/view?usp=drive_link" TargetMode="External"/><Relationship Id="rId997" Type="http://schemas.openxmlformats.org/officeDocument/2006/relationships/hyperlink" Target="https://drive.google.com/file/d/1btDPlWcnETnPBAT-iKelxP5vmT6rqZ52/view?usp=drive_link" TargetMode="External"/><Relationship Id="rId512" Type="http://schemas.openxmlformats.org/officeDocument/2006/relationships/hyperlink" Target="https://drive.google.com/file/d/1B2FbigtQwAAUQqz6gG3Er09MBiVq7qhv/view?usp=drive_link" TargetMode="External"/><Relationship Id="rId754" Type="http://schemas.openxmlformats.org/officeDocument/2006/relationships/hyperlink" Target="https://drive.google.com/file/d/1L4CozdjUOVvJAIVefrclrQLjtABwkZ0V/view?usp=drive_link" TargetMode="External"/><Relationship Id="rId996" Type="http://schemas.openxmlformats.org/officeDocument/2006/relationships/hyperlink" Target="https://drive.google.com/file/d/1btDPlWcnETnPBAT-iKelxP5vmT6rqZ52/view?usp=drive_link" TargetMode="External"/><Relationship Id="rId511" Type="http://schemas.openxmlformats.org/officeDocument/2006/relationships/hyperlink" Target="https://drive.google.com/file/d/1B2FbigtQwAAUQqz6gG3Er09MBiVq7qhv/view?usp=drive_link" TargetMode="External"/><Relationship Id="rId753" Type="http://schemas.openxmlformats.org/officeDocument/2006/relationships/hyperlink" Target="https://drive.google.com/file/d/1L4CozdjUOVvJAIVefrclrQLjtABwkZ0V/view?usp=drive_link" TargetMode="External"/><Relationship Id="rId995" Type="http://schemas.openxmlformats.org/officeDocument/2006/relationships/hyperlink" Target="https://drive.google.com/file/d/1sMV9FhUcPluKIMC3JAC3ScB8N1dSBPwj/view?usp=drive_link" TargetMode="External"/><Relationship Id="rId518" Type="http://schemas.openxmlformats.org/officeDocument/2006/relationships/hyperlink" Target="https://drive.google.com/file/d/18sFACj0C1jfFLsMFFi-GgbQGgrw4mKcn/view?usp=drive_link" TargetMode="External"/><Relationship Id="rId517" Type="http://schemas.openxmlformats.org/officeDocument/2006/relationships/hyperlink" Target="https://drive.google.com/file/d/18sFACj0C1jfFLsMFFi-GgbQGgrw4mKcn/view?usp=drive_link" TargetMode="External"/><Relationship Id="rId759" Type="http://schemas.openxmlformats.org/officeDocument/2006/relationships/hyperlink" Target="https://drive.google.com/file/d/1L4CozdjUOVvJAIVefrclrQLjtABwkZ0V/view?usp=drive_link" TargetMode="External"/><Relationship Id="rId516" Type="http://schemas.openxmlformats.org/officeDocument/2006/relationships/hyperlink" Target="https://drive.google.com/file/d/18sFACj0C1jfFLsMFFi-GgbQGgrw4mKcn/view?usp=drive_link" TargetMode="External"/><Relationship Id="rId758" Type="http://schemas.openxmlformats.org/officeDocument/2006/relationships/hyperlink" Target="https://drive.google.com/file/d/1L4CozdjUOVvJAIVefrclrQLjtABwkZ0V/view?usp=drive_link" TargetMode="External"/><Relationship Id="rId515" Type="http://schemas.openxmlformats.org/officeDocument/2006/relationships/hyperlink" Target="https://drive.google.com/file/d/18sFACj0C1jfFLsMFFi-GgbQGgrw4mKcn/view?usp=drive_link" TargetMode="External"/><Relationship Id="rId757" Type="http://schemas.openxmlformats.org/officeDocument/2006/relationships/hyperlink" Target="https://drive.google.com/file/d/1L4CozdjUOVvJAIVefrclrQLjtABwkZ0V/view?usp=drive_link" TargetMode="External"/><Relationship Id="rId999" Type="http://schemas.openxmlformats.org/officeDocument/2006/relationships/hyperlink" Target="https://drive.google.com/file/d/1btDPlWcnETnPBAT-iKelxP5vmT6rqZ52/view?usp=drive_link" TargetMode="External"/><Relationship Id="rId15" Type="http://schemas.openxmlformats.org/officeDocument/2006/relationships/hyperlink" Target="https://drive.google.com/file/d/1Rn9FSXnT0TU-PhwzIKM_XU4dWTYeqoru/view?usp=drive_link" TargetMode="External"/><Relationship Id="rId990" Type="http://schemas.openxmlformats.org/officeDocument/2006/relationships/hyperlink" Target="https://drive.google.com/file/d/1sMV9FhUcPluKIMC3JAC3ScB8N1dSBPwj/view?usp=drive_link" TargetMode="External"/><Relationship Id="rId14" Type="http://schemas.openxmlformats.org/officeDocument/2006/relationships/hyperlink" Target="https://drive.google.com/file/d/1Rn9FSXnT0TU-PhwzIKM_XU4dWTYeqoru/view?usp=drive_link" TargetMode="External"/><Relationship Id="rId17" Type="http://schemas.openxmlformats.org/officeDocument/2006/relationships/hyperlink" Target="https://drive.google.com/file/d/1c2f42DRgP6pNZVxfgpaAJDbRLiNNO9On/view?usp=drive_link" TargetMode="External"/><Relationship Id="rId16" Type="http://schemas.openxmlformats.org/officeDocument/2006/relationships/hyperlink" Target="https://drive.google.com/file/d/1c2f42DRgP6pNZVxfgpaAJDbRLiNNO9On/view?usp=drive_link" TargetMode="External"/><Relationship Id="rId19" Type="http://schemas.openxmlformats.org/officeDocument/2006/relationships/hyperlink" Target="https://drive.google.com/file/d/1c2f42DRgP6pNZVxfgpaAJDbRLiNNO9On/view?usp=drive_link" TargetMode="External"/><Relationship Id="rId510" Type="http://schemas.openxmlformats.org/officeDocument/2006/relationships/hyperlink" Target="https://drive.google.com/file/d/1B2FbigtQwAAUQqz6gG3Er09MBiVq7qhv/view?usp=drive_link" TargetMode="External"/><Relationship Id="rId752" Type="http://schemas.openxmlformats.org/officeDocument/2006/relationships/hyperlink" Target="https://drive.google.com/file/d/1NtfXugttVyKjcGvRQYFmSu0vOSHFh1Ah/view?usp=drive_link" TargetMode="External"/><Relationship Id="rId994" Type="http://schemas.openxmlformats.org/officeDocument/2006/relationships/hyperlink" Target="https://drive.google.com/file/d/1sMV9FhUcPluKIMC3JAC3ScB8N1dSBPwj/view?usp=drive_link" TargetMode="External"/><Relationship Id="rId18" Type="http://schemas.openxmlformats.org/officeDocument/2006/relationships/hyperlink" Target="https://drive.google.com/file/d/1c2f42DRgP6pNZVxfgpaAJDbRLiNNO9On/view?usp=drive_link" TargetMode="External"/><Relationship Id="rId751" Type="http://schemas.openxmlformats.org/officeDocument/2006/relationships/hyperlink" Target="https://drive.google.com/file/d/1NtfXugttVyKjcGvRQYFmSu0vOSHFh1Ah/view?usp=drive_link" TargetMode="External"/><Relationship Id="rId993" Type="http://schemas.openxmlformats.org/officeDocument/2006/relationships/hyperlink" Target="https://drive.google.com/file/d/1sMV9FhUcPluKIMC3JAC3ScB8N1dSBPwj/view?usp=drive_link" TargetMode="External"/><Relationship Id="rId1100" Type="http://schemas.openxmlformats.org/officeDocument/2006/relationships/hyperlink" Target="https://drive.google.com/file/d/1gm5CDjxsWAPyRAlcjq_HAaVzszfhd7Y8/view?usp=drive_link" TargetMode="External"/><Relationship Id="rId750" Type="http://schemas.openxmlformats.org/officeDocument/2006/relationships/hyperlink" Target="https://drive.google.com/file/d/1NtfXugttVyKjcGvRQYFmSu0vOSHFh1Ah/view?usp=drive_link" TargetMode="External"/><Relationship Id="rId992" Type="http://schemas.openxmlformats.org/officeDocument/2006/relationships/hyperlink" Target="https://drive.google.com/file/d/1sMV9FhUcPluKIMC3JAC3ScB8N1dSBPwj/view?usp=drive_link" TargetMode="External"/><Relationship Id="rId1101" Type="http://schemas.openxmlformats.org/officeDocument/2006/relationships/hyperlink" Target="https://drive.google.com/file/d/1gm5CDjxsWAPyRAlcjq_HAaVzszfhd7Y8/view?usp=drive_link" TargetMode="External"/><Relationship Id="rId991" Type="http://schemas.openxmlformats.org/officeDocument/2006/relationships/hyperlink" Target="https://drive.google.com/file/d/1sMV9FhUcPluKIMC3JAC3ScB8N1dSBPwj/view?usp=drive_link" TargetMode="External"/><Relationship Id="rId1102" Type="http://schemas.openxmlformats.org/officeDocument/2006/relationships/hyperlink" Target="https://drive.google.com/file/d/1cQNrquWk0qP_oK58sZYc2Iz1tYqubUto/view?usp=drive_link" TargetMode="External"/><Relationship Id="rId84" Type="http://schemas.openxmlformats.org/officeDocument/2006/relationships/hyperlink" Target="https://drive.google.com/file/d/1ZhbTfFQRFKtH78BxWUnxN17X53AGHJHQ/view?usp=drive_link" TargetMode="External"/><Relationship Id="rId83" Type="http://schemas.openxmlformats.org/officeDocument/2006/relationships/hyperlink" Target="https://drive.google.com/file/d/1ZhbTfFQRFKtH78BxWUnxN17X53AGHJHQ/view?usp=drive_link" TargetMode="External"/><Relationship Id="rId86" Type="http://schemas.openxmlformats.org/officeDocument/2006/relationships/hyperlink" Target="https://drive.google.com/file/d/1AeB7emez1YjApaGcItvPeeDvTXOJmK_9/view?usp=drive_link" TargetMode="External"/><Relationship Id="rId85" Type="http://schemas.openxmlformats.org/officeDocument/2006/relationships/hyperlink" Target="https://drive.google.com/file/d/1ZhbTfFQRFKtH78BxWUnxN17X53AGHJHQ/view?usp=drive_link" TargetMode="External"/><Relationship Id="rId88" Type="http://schemas.openxmlformats.org/officeDocument/2006/relationships/hyperlink" Target="https://drive.google.com/file/d/1AeB7emez1YjApaGcItvPeeDvTXOJmK_9/view?usp=drive_link" TargetMode="External"/><Relationship Id="rId87" Type="http://schemas.openxmlformats.org/officeDocument/2006/relationships/hyperlink" Target="https://drive.google.com/file/d/1AeB7emez1YjApaGcItvPeeDvTXOJmK_9/view?usp=drive_link" TargetMode="External"/><Relationship Id="rId89" Type="http://schemas.openxmlformats.org/officeDocument/2006/relationships/hyperlink" Target="https://drive.google.com/file/d/1AeB7emez1YjApaGcItvPeeDvTXOJmK_9/view?usp=drive_link" TargetMode="External"/><Relationship Id="rId709" Type="http://schemas.openxmlformats.org/officeDocument/2006/relationships/hyperlink" Target="https://drive.google.com/file/d/1sCfnV1H5k2mr5830aRcH038VnFf9W9cI/view?usp=drive_link" TargetMode="External"/><Relationship Id="rId708" Type="http://schemas.openxmlformats.org/officeDocument/2006/relationships/hyperlink" Target="https://drive.google.com/file/d/1sCfnV1H5k2mr5830aRcH038VnFf9W9cI/view?usp=drive_link" TargetMode="External"/><Relationship Id="rId707" Type="http://schemas.openxmlformats.org/officeDocument/2006/relationships/hyperlink" Target="https://drive.google.com/file/d/1sCfnV1H5k2mr5830aRcH038VnFf9W9cI/view?usp=drive_link" TargetMode="External"/><Relationship Id="rId949" Type="http://schemas.openxmlformats.org/officeDocument/2006/relationships/hyperlink" Target="https://drive.google.com/file/d/1xg7xMaavWdiib7CVhRvGyH7Kk7KslU4z/view?usp=drive_link" TargetMode="External"/><Relationship Id="rId706" Type="http://schemas.openxmlformats.org/officeDocument/2006/relationships/hyperlink" Target="https://drive.google.com/file/d/1sCfnV1H5k2mr5830aRcH038VnFf9W9cI/view?usp=drive_link" TargetMode="External"/><Relationship Id="rId948" Type="http://schemas.openxmlformats.org/officeDocument/2006/relationships/hyperlink" Target="https://drive.google.com/file/d/1xg7xMaavWdiib7CVhRvGyH7Kk7KslU4z/view?usp=drive_link" TargetMode="External"/><Relationship Id="rId80" Type="http://schemas.openxmlformats.org/officeDocument/2006/relationships/hyperlink" Target="https://drive.google.com/file/d/14_kzWQaRZTHLS9USzr4Ik_vFT2UHDIcJ/view?usp=drive_link" TargetMode="External"/><Relationship Id="rId82" Type="http://schemas.openxmlformats.org/officeDocument/2006/relationships/hyperlink" Target="https://drive.google.com/file/d/1ZhbTfFQRFKtH78BxWUnxN17X53AGHJHQ/view?usp=drive_link" TargetMode="External"/><Relationship Id="rId81" Type="http://schemas.openxmlformats.org/officeDocument/2006/relationships/hyperlink" Target="https://drive.google.com/file/d/1ZhbTfFQRFKtH78BxWUnxN17X53AGHJHQ/view?usp=drive_link" TargetMode="External"/><Relationship Id="rId701" Type="http://schemas.openxmlformats.org/officeDocument/2006/relationships/hyperlink" Target="https://drive.google.com/file/d/1il-p9Ay-Z5xw3hdxWjKaOAGi0tZ8aqDB/view?usp=drive_link" TargetMode="External"/><Relationship Id="rId943" Type="http://schemas.openxmlformats.org/officeDocument/2006/relationships/hyperlink" Target="https://drive.google.com/file/d/1xg7xMaavWdiib7CVhRvGyH7Kk7KslU4z/view?usp=drive_link" TargetMode="External"/><Relationship Id="rId700" Type="http://schemas.openxmlformats.org/officeDocument/2006/relationships/hyperlink" Target="https://drive.google.com/file/d/1il-p9Ay-Z5xw3hdxWjKaOAGi0tZ8aqDB/view?usp=drive_link" TargetMode="External"/><Relationship Id="rId942" Type="http://schemas.openxmlformats.org/officeDocument/2006/relationships/hyperlink" Target="https://drive.google.com/file/d/1xg7xMaavWdiib7CVhRvGyH7Kk7KslU4z/view?usp=drive_link" TargetMode="External"/><Relationship Id="rId941" Type="http://schemas.openxmlformats.org/officeDocument/2006/relationships/hyperlink" Target="https://drive.google.com/file/d/1k2pKnv9sEFWfSsdYZHFUCjtL_o8Iz-df/view?usp=drive_link" TargetMode="External"/><Relationship Id="rId940" Type="http://schemas.openxmlformats.org/officeDocument/2006/relationships/hyperlink" Target="https://drive.google.com/file/d/1k2pKnv9sEFWfSsdYZHFUCjtL_o8Iz-df/view?usp=drive_link" TargetMode="External"/><Relationship Id="rId705" Type="http://schemas.openxmlformats.org/officeDocument/2006/relationships/hyperlink" Target="https://drive.google.com/file/d/1sCfnV1H5k2mr5830aRcH038VnFf9W9cI/view?usp=drive_link" TargetMode="External"/><Relationship Id="rId947" Type="http://schemas.openxmlformats.org/officeDocument/2006/relationships/hyperlink" Target="https://drive.google.com/file/d/1xg7xMaavWdiib7CVhRvGyH7Kk7KslU4z/view?usp=drive_link" TargetMode="External"/><Relationship Id="rId704" Type="http://schemas.openxmlformats.org/officeDocument/2006/relationships/hyperlink" Target="https://drive.google.com/file/d/1sCfnV1H5k2mr5830aRcH038VnFf9W9cI/view?usp=drive_link" TargetMode="External"/><Relationship Id="rId946" Type="http://schemas.openxmlformats.org/officeDocument/2006/relationships/hyperlink" Target="https://drive.google.com/file/d/1xg7xMaavWdiib7CVhRvGyH7Kk7KslU4z/view?usp=drive_link" TargetMode="External"/><Relationship Id="rId703" Type="http://schemas.openxmlformats.org/officeDocument/2006/relationships/hyperlink" Target="https://drive.google.com/file/d/1il-p9Ay-Z5xw3hdxWjKaOAGi0tZ8aqDB/view?usp=drive_link" TargetMode="External"/><Relationship Id="rId945" Type="http://schemas.openxmlformats.org/officeDocument/2006/relationships/hyperlink" Target="https://drive.google.com/file/d/1xg7xMaavWdiib7CVhRvGyH7Kk7KslU4z/view?usp=drive_link" TargetMode="External"/><Relationship Id="rId702" Type="http://schemas.openxmlformats.org/officeDocument/2006/relationships/hyperlink" Target="https://drive.google.com/file/d/1il-p9Ay-Z5xw3hdxWjKaOAGi0tZ8aqDB/view?usp=drive_link" TargetMode="External"/><Relationship Id="rId944" Type="http://schemas.openxmlformats.org/officeDocument/2006/relationships/hyperlink" Target="https://drive.google.com/file/d/1xg7xMaavWdiib7CVhRvGyH7Kk7KslU4z/view?usp=drive_link" TargetMode="External"/><Relationship Id="rId73" Type="http://schemas.openxmlformats.org/officeDocument/2006/relationships/hyperlink" Target="https://drive.google.com/file/d/1Jixq2ZayPNBEMC1jfWhmrlHMsZJwkFcx/view?usp=drive_link" TargetMode="External"/><Relationship Id="rId72" Type="http://schemas.openxmlformats.org/officeDocument/2006/relationships/hyperlink" Target="https://drive.google.com/file/d/1Jixq2ZayPNBEMC1jfWhmrlHMsZJwkFcx/view?usp=drive_link" TargetMode="External"/><Relationship Id="rId75" Type="http://schemas.openxmlformats.org/officeDocument/2006/relationships/hyperlink" Target="https://drive.google.com/file/d/1Jixq2ZayPNBEMC1jfWhmrlHMsZJwkFcx/view?usp=drive_link" TargetMode="External"/><Relationship Id="rId74" Type="http://schemas.openxmlformats.org/officeDocument/2006/relationships/hyperlink" Target="https://drive.google.com/file/d/1Jixq2ZayPNBEMC1jfWhmrlHMsZJwkFcx/view?usp=drive_link" TargetMode="External"/><Relationship Id="rId77" Type="http://schemas.openxmlformats.org/officeDocument/2006/relationships/hyperlink" Target="https://drive.google.com/file/d/14_kzWQaRZTHLS9USzr4Ik_vFT2UHDIcJ/view?usp=drive_link" TargetMode="External"/><Relationship Id="rId76" Type="http://schemas.openxmlformats.org/officeDocument/2006/relationships/hyperlink" Target="https://drive.google.com/file/d/14_kzWQaRZTHLS9USzr4Ik_vFT2UHDIcJ/view?usp=drive_link" TargetMode="External"/><Relationship Id="rId79" Type="http://schemas.openxmlformats.org/officeDocument/2006/relationships/hyperlink" Target="https://drive.google.com/file/d/14_kzWQaRZTHLS9USzr4Ik_vFT2UHDIcJ/view?usp=drive_link" TargetMode="External"/><Relationship Id="rId78" Type="http://schemas.openxmlformats.org/officeDocument/2006/relationships/hyperlink" Target="https://drive.google.com/file/d/14_kzWQaRZTHLS9USzr4Ik_vFT2UHDIcJ/view?usp=drive_link" TargetMode="External"/><Relationship Id="rId939" Type="http://schemas.openxmlformats.org/officeDocument/2006/relationships/hyperlink" Target="https://drive.google.com/file/d/1k2pKnv9sEFWfSsdYZHFUCjtL_o8Iz-df/view?usp=drive_link" TargetMode="External"/><Relationship Id="rId938" Type="http://schemas.openxmlformats.org/officeDocument/2006/relationships/hyperlink" Target="https://drive.google.com/file/d/1k2pKnv9sEFWfSsdYZHFUCjtL_o8Iz-df/view?usp=drive_link" TargetMode="External"/><Relationship Id="rId937" Type="http://schemas.openxmlformats.org/officeDocument/2006/relationships/hyperlink" Target="https://drive.google.com/file/d/1k2pKnv9sEFWfSsdYZHFUCjtL_o8Iz-df/view?usp=drive_link" TargetMode="External"/><Relationship Id="rId71" Type="http://schemas.openxmlformats.org/officeDocument/2006/relationships/hyperlink" Target="https://drive.google.com/file/d/1Jixq2ZayPNBEMC1jfWhmrlHMsZJwkFcx/view?usp=drive_link" TargetMode="External"/><Relationship Id="rId70" Type="http://schemas.openxmlformats.org/officeDocument/2006/relationships/hyperlink" Target="https://drive.google.com/file/d/1h7NjNAXMyBDWaqmL5MhZYHMA8qdB6LvX/view?usp=drive_link" TargetMode="External"/><Relationship Id="rId932" Type="http://schemas.openxmlformats.org/officeDocument/2006/relationships/hyperlink" Target="https://drive.google.com/file/d/1imSx3obbbSc4-d6PJG_OfeFS6Nsj15J0/view?usp=drive_link" TargetMode="External"/><Relationship Id="rId931" Type="http://schemas.openxmlformats.org/officeDocument/2006/relationships/hyperlink" Target="https://drive.google.com/file/d/1imSx3obbbSc4-d6PJG_OfeFS6Nsj15J0/view?usp=drive_link" TargetMode="External"/><Relationship Id="rId930" Type="http://schemas.openxmlformats.org/officeDocument/2006/relationships/hyperlink" Target="https://drive.google.com/file/d/1imSx3obbbSc4-d6PJG_OfeFS6Nsj15J0/view?usp=drive_link" TargetMode="External"/><Relationship Id="rId936" Type="http://schemas.openxmlformats.org/officeDocument/2006/relationships/hyperlink" Target="https://drive.google.com/file/d/1k2pKnv9sEFWfSsdYZHFUCjtL_o8Iz-df/view?usp=drive_link" TargetMode="External"/><Relationship Id="rId935" Type="http://schemas.openxmlformats.org/officeDocument/2006/relationships/hyperlink" Target="https://drive.google.com/file/d/1k2pKnv9sEFWfSsdYZHFUCjtL_o8Iz-df/view?usp=drive_link" TargetMode="External"/><Relationship Id="rId934" Type="http://schemas.openxmlformats.org/officeDocument/2006/relationships/hyperlink" Target="https://drive.google.com/file/d/1k2pKnv9sEFWfSsdYZHFUCjtL_o8Iz-df/view?usp=drive_link" TargetMode="External"/><Relationship Id="rId933" Type="http://schemas.openxmlformats.org/officeDocument/2006/relationships/hyperlink" Target="https://drive.google.com/file/d/1k2pKnv9sEFWfSsdYZHFUCjtL_o8Iz-df/view?usp=drive_link" TargetMode="External"/><Relationship Id="rId62" Type="http://schemas.openxmlformats.org/officeDocument/2006/relationships/hyperlink" Target="https://drive.google.com/file/d/1oWfy1OfeKf187GfwSwXO-jQpd-wR4XrB/view?usp=drive_link" TargetMode="External"/><Relationship Id="rId61" Type="http://schemas.openxmlformats.org/officeDocument/2006/relationships/hyperlink" Target="https://drive.google.com/file/d/1oWfy1OfeKf187GfwSwXO-jQpd-wR4XrB/view?usp=drive_link" TargetMode="External"/><Relationship Id="rId64" Type="http://schemas.openxmlformats.org/officeDocument/2006/relationships/hyperlink" Target="https://drive.google.com/file/d/1oWfy1OfeKf187GfwSwXO-jQpd-wR4XrB/view?usp=drive_link" TargetMode="External"/><Relationship Id="rId63" Type="http://schemas.openxmlformats.org/officeDocument/2006/relationships/hyperlink" Target="https://drive.google.com/file/d/1oWfy1OfeKf187GfwSwXO-jQpd-wR4XrB/view?usp=drive_link" TargetMode="External"/><Relationship Id="rId66" Type="http://schemas.openxmlformats.org/officeDocument/2006/relationships/hyperlink" Target="https://drive.google.com/file/d/1h7NjNAXMyBDWaqmL5MhZYHMA8qdB6LvX/view?usp=drive_link" TargetMode="External"/><Relationship Id="rId65" Type="http://schemas.openxmlformats.org/officeDocument/2006/relationships/hyperlink" Target="https://drive.google.com/file/d/1oWfy1OfeKf187GfwSwXO-jQpd-wR4XrB/view?usp=drive_link" TargetMode="External"/><Relationship Id="rId68" Type="http://schemas.openxmlformats.org/officeDocument/2006/relationships/hyperlink" Target="https://drive.google.com/file/d/1h7NjNAXMyBDWaqmL5MhZYHMA8qdB6LvX/view?usp=drive_link" TargetMode="External"/><Relationship Id="rId67" Type="http://schemas.openxmlformats.org/officeDocument/2006/relationships/hyperlink" Target="https://drive.google.com/file/d/1h7NjNAXMyBDWaqmL5MhZYHMA8qdB6LvX/view?usp=drive_link" TargetMode="External"/><Relationship Id="rId729" Type="http://schemas.openxmlformats.org/officeDocument/2006/relationships/hyperlink" Target="https://drive.google.com/file/d/1f08bBvNFiMTf587wOuNWelhEPh9Se7zh/view?usp=drive_link" TargetMode="External"/><Relationship Id="rId728" Type="http://schemas.openxmlformats.org/officeDocument/2006/relationships/hyperlink" Target="https://drive.google.com/file/d/1f08bBvNFiMTf587wOuNWelhEPh9Se7zh/view?usp=drive_link" TargetMode="External"/><Relationship Id="rId60" Type="http://schemas.openxmlformats.org/officeDocument/2006/relationships/hyperlink" Target="https://drive.google.com/file/d/1PqAXLo9bYzjuAX3Q6gwfajj-avNYiKTC/view?usp=drive_link" TargetMode="External"/><Relationship Id="rId723" Type="http://schemas.openxmlformats.org/officeDocument/2006/relationships/hyperlink" Target="https://drive.google.com/file/d/173pO5WEDiax43q7D6nLKPzB80hdwIVQ1/view?usp=drive_link" TargetMode="External"/><Relationship Id="rId965" Type="http://schemas.openxmlformats.org/officeDocument/2006/relationships/hyperlink" Target="https://drive.google.com/file/d/1CVYhgsuwgHXAGiO57PN4bh-os6bFvZ9t/view?usp=drive_link" TargetMode="External"/><Relationship Id="rId722" Type="http://schemas.openxmlformats.org/officeDocument/2006/relationships/hyperlink" Target="https://drive.google.com/file/d/173pO5WEDiax43q7D6nLKPzB80hdwIVQ1/view?usp=drive_link" TargetMode="External"/><Relationship Id="rId964" Type="http://schemas.openxmlformats.org/officeDocument/2006/relationships/hyperlink" Target="https://drive.google.com/file/d/1CVYhgsuwgHXAGiO57PN4bh-os6bFvZ9t/view?usp=drive_link" TargetMode="External"/><Relationship Id="rId721" Type="http://schemas.openxmlformats.org/officeDocument/2006/relationships/hyperlink" Target="https://drive.google.com/file/d/173pO5WEDiax43q7D6nLKPzB80hdwIVQ1/view?usp=drive_link" TargetMode="External"/><Relationship Id="rId963" Type="http://schemas.openxmlformats.org/officeDocument/2006/relationships/hyperlink" Target="https://drive.google.com/file/d/1CVYhgsuwgHXAGiO57PN4bh-os6bFvZ9t/view?usp=drive_link" TargetMode="External"/><Relationship Id="rId720" Type="http://schemas.openxmlformats.org/officeDocument/2006/relationships/hyperlink" Target="https://drive.google.com/file/d/173pO5WEDiax43q7D6nLKPzB80hdwIVQ1/view?usp=drive_link" TargetMode="External"/><Relationship Id="rId962" Type="http://schemas.openxmlformats.org/officeDocument/2006/relationships/hyperlink" Target="https://drive.google.com/file/d/1CVYhgsuwgHXAGiO57PN4bh-os6bFvZ9t/view?usp=drive_link" TargetMode="External"/><Relationship Id="rId727" Type="http://schemas.openxmlformats.org/officeDocument/2006/relationships/hyperlink" Target="https://drive.google.com/file/d/1f08bBvNFiMTf587wOuNWelhEPh9Se7zh/view?usp=drive_link" TargetMode="External"/><Relationship Id="rId969" Type="http://schemas.openxmlformats.org/officeDocument/2006/relationships/hyperlink" Target="https://drive.google.com/file/d/1CVYhgsuwgHXAGiO57PN4bh-os6bFvZ9t/view?usp=drive_link" TargetMode="External"/><Relationship Id="rId726" Type="http://schemas.openxmlformats.org/officeDocument/2006/relationships/hyperlink" Target="https://drive.google.com/file/d/1f08bBvNFiMTf587wOuNWelhEPh9Se7zh/view?usp=drive_link" TargetMode="External"/><Relationship Id="rId968" Type="http://schemas.openxmlformats.org/officeDocument/2006/relationships/hyperlink" Target="https://drive.google.com/file/d/1CVYhgsuwgHXAGiO57PN4bh-os6bFvZ9t/view?usp=drive_link" TargetMode="External"/><Relationship Id="rId725" Type="http://schemas.openxmlformats.org/officeDocument/2006/relationships/hyperlink" Target="https://drive.google.com/file/d/1f08bBvNFiMTf587wOuNWelhEPh9Se7zh/view?usp=drive_link" TargetMode="External"/><Relationship Id="rId967" Type="http://schemas.openxmlformats.org/officeDocument/2006/relationships/hyperlink" Target="https://drive.google.com/file/d/1CVYhgsuwgHXAGiO57PN4bh-os6bFvZ9t/view?usp=drive_link" TargetMode="External"/><Relationship Id="rId724" Type="http://schemas.openxmlformats.org/officeDocument/2006/relationships/hyperlink" Target="https://drive.google.com/file/d/173pO5WEDiax43q7D6nLKPzB80hdwIVQ1/view?usp=drive_link" TargetMode="External"/><Relationship Id="rId966" Type="http://schemas.openxmlformats.org/officeDocument/2006/relationships/hyperlink" Target="https://drive.google.com/file/d/1CVYhgsuwgHXAGiO57PN4bh-os6bFvZ9t/view?usp=drive_link" TargetMode="External"/><Relationship Id="rId69" Type="http://schemas.openxmlformats.org/officeDocument/2006/relationships/hyperlink" Target="https://drive.google.com/file/d/1h7NjNAXMyBDWaqmL5MhZYHMA8qdB6LvX/view?usp=drive_link" TargetMode="External"/><Relationship Id="rId961" Type="http://schemas.openxmlformats.org/officeDocument/2006/relationships/hyperlink" Target="https://drive.google.com/file/d/1CVYhgsuwgHXAGiO57PN4bh-os6bFvZ9t/view?usp=drive_link" TargetMode="External"/><Relationship Id="rId960" Type="http://schemas.openxmlformats.org/officeDocument/2006/relationships/hyperlink" Target="https://drive.google.com/file/d/1CVYhgsuwgHXAGiO57PN4bh-os6bFvZ9t/view?usp=drive_link" TargetMode="External"/><Relationship Id="rId51" Type="http://schemas.openxmlformats.org/officeDocument/2006/relationships/hyperlink" Target="https://drive.google.com/file/d/18LUo6bwaiWPvXDAhQ8DWCLo73TEE1hMp/view?usp=drive_link" TargetMode="External"/><Relationship Id="rId50" Type="http://schemas.openxmlformats.org/officeDocument/2006/relationships/hyperlink" Target="https://drive.google.com/file/d/17_EICIY9hfQsaOeUOULOLmCQhmd_1G8A/view?usp=drive_link" TargetMode="External"/><Relationship Id="rId53" Type="http://schemas.openxmlformats.org/officeDocument/2006/relationships/hyperlink" Target="https://drive.google.com/file/d/18LUo6bwaiWPvXDAhQ8DWCLo73TEE1hMp/view?usp=drive_link" TargetMode="External"/><Relationship Id="rId52" Type="http://schemas.openxmlformats.org/officeDocument/2006/relationships/hyperlink" Target="https://drive.google.com/file/d/18LUo6bwaiWPvXDAhQ8DWCLo73TEE1hMp/view?usp=drive_link" TargetMode="External"/><Relationship Id="rId55" Type="http://schemas.openxmlformats.org/officeDocument/2006/relationships/hyperlink" Target="https://drive.google.com/file/d/18LUo6bwaiWPvXDAhQ8DWCLo73TEE1hMp/view?usp=drive_link" TargetMode="External"/><Relationship Id="rId54" Type="http://schemas.openxmlformats.org/officeDocument/2006/relationships/hyperlink" Target="https://drive.google.com/file/d/18LUo6bwaiWPvXDAhQ8DWCLo73TEE1hMp/view?usp=drive_link" TargetMode="External"/><Relationship Id="rId57" Type="http://schemas.openxmlformats.org/officeDocument/2006/relationships/hyperlink" Target="https://drive.google.com/file/d/1PqAXLo9bYzjuAX3Q6gwfajj-avNYiKTC/view?usp=drive_link" TargetMode="External"/><Relationship Id="rId56" Type="http://schemas.openxmlformats.org/officeDocument/2006/relationships/hyperlink" Target="https://drive.google.com/file/d/1PqAXLo9bYzjuAX3Q6gwfajj-avNYiKTC/view?usp=drive_link" TargetMode="External"/><Relationship Id="rId719" Type="http://schemas.openxmlformats.org/officeDocument/2006/relationships/hyperlink" Target="https://drive.google.com/file/d/173pO5WEDiax43q7D6nLKPzB80hdwIVQ1/view?usp=drive_link" TargetMode="External"/><Relationship Id="rId718" Type="http://schemas.openxmlformats.org/officeDocument/2006/relationships/hyperlink" Target="https://drive.google.com/file/d/173pO5WEDiax43q7D6nLKPzB80hdwIVQ1/view?usp=drive_link" TargetMode="External"/><Relationship Id="rId717" Type="http://schemas.openxmlformats.org/officeDocument/2006/relationships/hyperlink" Target="https://drive.google.com/file/d/13xVIr9GSlpOY2_5ytjMUgnXP9ntSYghh/view?usp=drive_link" TargetMode="External"/><Relationship Id="rId959" Type="http://schemas.openxmlformats.org/officeDocument/2006/relationships/hyperlink" Target="https://drive.google.com/file/d/19e2efLEL_uzsrVpFJuqAgfBIqCLH_9cS/view?usp=drive_link" TargetMode="External"/><Relationship Id="rId712" Type="http://schemas.openxmlformats.org/officeDocument/2006/relationships/hyperlink" Target="https://drive.google.com/file/d/13xVIr9GSlpOY2_5ytjMUgnXP9ntSYghh/view?usp=drive_link" TargetMode="External"/><Relationship Id="rId954" Type="http://schemas.openxmlformats.org/officeDocument/2006/relationships/hyperlink" Target="https://drive.google.com/file/d/19e2efLEL_uzsrVpFJuqAgfBIqCLH_9cS/view?usp=drive_link" TargetMode="External"/><Relationship Id="rId711" Type="http://schemas.openxmlformats.org/officeDocument/2006/relationships/hyperlink" Target="https://drive.google.com/file/d/13xVIr9GSlpOY2_5ytjMUgnXP9ntSYghh/view?usp=drive_link" TargetMode="External"/><Relationship Id="rId953" Type="http://schemas.openxmlformats.org/officeDocument/2006/relationships/hyperlink" Target="https://drive.google.com/file/d/19e2efLEL_uzsrVpFJuqAgfBIqCLH_9cS/view?usp=drive_link" TargetMode="External"/><Relationship Id="rId710" Type="http://schemas.openxmlformats.org/officeDocument/2006/relationships/hyperlink" Target="https://drive.google.com/file/d/1sCfnV1H5k2mr5830aRcH038VnFf9W9cI/view?usp=drive_link" TargetMode="External"/><Relationship Id="rId952" Type="http://schemas.openxmlformats.org/officeDocument/2006/relationships/hyperlink" Target="https://drive.google.com/file/d/19e2efLEL_uzsrVpFJuqAgfBIqCLH_9cS/view?usp=drive_link" TargetMode="External"/><Relationship Id="rId951" Type="http://schemas.openxmlformats.org/officeDocument/2006/relationships/hyperlink" Target="https://drive.google.com/file/d/19e2efLEL_uzsrVpFJuqAgfBIqCLH_9cS/view?usp=drive_link" TargetMode="External"/><Relationship Id="rId716" Type="http://schemas.openxmlformats.org/officeDocument/2006/relationships/hyperlink" Target="https://drive.google.com/file/d/13xVIr9GSlpOY2_5ytjMUgnXP9ntSYghh/view?usp=drive_link" TargetMode="External"/><Relationship Id="rId958" Type="http://schemas.openxmlformats.org/officeDocument/2006/relationships/hyperlink" Target="https://drive.google.com/file/d/19e2efLEL_uzsrVpFJuqAgfBIqCLH_9cS/view?usp=drive_link" TargetMode="External"/><Relationship Id="rId715" Type="http://schemas.openxmlformats.org/officeDocument/2006/relationships/hyperlink" Target="https://drive.google.com/file/d/13xVIr9GSlpOY2_5ytjMUgnXP9ntSYghh/view?usp=drive_link" TargetMode="External"/><Relationship Id="rId957" Type="http://schemas.openxmlformats.org/officeDocument/2006/relationships/hyperlink" Target="https://drive.google.com/file/d/19e2efLEL_uzsrVpFJuqAgfBIqCLH_9cS/view?usp=drive_link" TargetMode="External"/><Relationship Id="rId714" Type="http://schemas.openxmlformats.org/officeDocument/2006/relationships/hyperlink" Target="https://drive.google.com/file/d/13xVIr9GSlpOY2_5ytjMUgnXP9ntSYghh/view?usp=drive_link" TargetMode="External"/><Relationship Id="rId956" Type="http://schemas.openxmlformats.org/officeDocument/2006/relationships/hyperlink" Target="https://drive.google.com/file/d/19e2efLEL_uzsrVpFJuqAgfBIqCLH_9cS/view?usp=drive_link" TargetMode="External"/><Relationship Id="rId713" Type="http://schemas.openxmlformats.org/officeDocument/2006/relationships/hyperlink" Target="https://drive.google.com/file/d/13xVIr9GSlpOY2_5ytjMUgnXP9ntSYghh/view?usp=drive_link" TargetMode="External"/><Relationship Id="rId955" Type="http://schemas.openxmlformats.org/officeDocument/2006/relationships/hyperlink" Target="https://drive.google.com/file/d/19e2efLEL_uzsrVpFJuqAgfBIqCLH_9cS/view?usp=drive_link" TargetMode="External"/><Relationship Id="rId59" Type="http://schemas.openxmlformats.org/officeDocument/2006/relationships/hyperlink" Target="https://drive.google.com/file/d/1PqAXLo9bYzjuAX3Q6gwfajj-avNYiKTC/view?usp=drive_link" TargetMode="External"/><Relationship Id="rId58" Type="http://schemas.openxmlformats.org/officeDocument/2006/relationships/hyperlink" Target="https://drive.google.com/file/d/1PqAXLo9bYzjuAX3Q6gwfajj-avNYiKTC/view?usp=drive_link" TargetMode="External"/><Relationship Id="rId950" Type="http://schemas.openxmlformats.org/officeDocument/2006/relationships/hyperlink" Target="https://drive.google.com/file/d/1xg7xMaavWdiib7CVhRvGyH7Kk7KslU4z/view?usp=drive_link" TargetMode="External"/><Relationship Id="rId590" Type="http://schemas.openxmlformats.org/officeDocument/2006/relationships/hyperlink" Target="https://drive.google.com/file/d/1s0Wc9h3DPgmMocTW8Gu2XMnda_ByvHH0/view?usp=drive_link" TargetMode="External"/><Relationship Id="rId107" Type="http://schemas.openxmlformats.org/officeDocument/2006/relationships/hyperlink" Target="https://drive.google.com/file/d/1-CuiYtlQrUY-Wf01AEgRWzySOjpBri6P/view?usp=drive_link" TargetMode="External"/><Relationship Id="rId349" Type="http://schemas.openxmlformats.org/officeDocument/2006/relationships/hyperlink" Target="https://drive.google.com/file/d/1-BYtlw8twFmwOur3_JnVPiN1BxRTVN7u/view?usp=drive_link" TargetMode="External"/><Relationship Id="rId106" Type="http://schemas.openxmlformats.org/officeDocument/2006/relationships/hyperlink" Target="https://drive.google.com/file/d/1-CuiYtlQrUY-Wf01AEgRWzySOjpBri6P/view?usp=drive_link" TargetMode="External"/><Relationship Id="rId348" Type="http://schemas.openxmlformats.org/officeDocument/2006/relationships/hyperlink" Target="https://drive.google.com/file/d/1-BYtlw8twFmwOur3_JnVPiN1BxRTVN7u/view?usp=drive_link" TargetMode="External"/><Relationship Id="rId105" Type="http://schemas.openxmlformats.org/officeDocument/2006/relationships/hyperlink" Target="https://drive.google.com/file/d/1u4f7Zv8EfkSvXtyAFamOfnpyAuTriPMK/view?usp=drive_link" TargetMode="External"/><Relationship Id="rId347" Type="http://schemas.openxmlformats.org/officeDocument/2006/relationships/hyperlink" Target="https://drive.google.com/file/d/1-BYtlw8twFmwOur3_JnVPiN1BxRTVN7u/view?usp=drive_link" TargetMode="External"/><Relationship Id="rId589" Type="http://schemas.openxmlformats.org/officeDocument/2006/relationships/hyperlink" Target="https://drive.google.com/file/d/1s0Wc9h3DPgmMocTW8Gu2XMnda_ByvHH0/view?usp=drive_link" TargetMode="External"/><Relationship Id="rId104" Type="http://schemas.openxmlformats.org/officeDocument/2006/relationships/hyperlink" Target="https://drive.google.com/file/d/1u4f7Zv8EfkSvXtyAFamOfnpyAuTriPMK/view?usp=drive_link" TargetMode="External"/><Relationship Id="rId346" Type="http://schemas.openxmlformats.org/officeDocument/2006/relationships/hyperlink" Target="https://drive.google.com/file/d/15yO47uwvMLKqwmNgo1lYAGoecMcrOzN3/view?usp=drive_link" TargetMode="External"/><Relationship Id="rId588" Type="http://schemas.openxmlformats.org/officeDocument/2006/relationships/hyperlink" Target="https://drive.google.com/file/d/1s0Wc9h3DPgmMocTW8Gu2XMnda_ByvHH0/view?usp=drive_link" TargetMode="External"/><Relationship Id="rId109" Type="http://schemas.openxmlformats.org/officeDocument/2006/relationships/hyperlink" Target="https://drive.google.com/file/d/1-CuiYtlQrUY-Wf01AEgRWzySOjpBri6P/view?usp=drive_link" TargetMode="External"/><Relationship Id="rId108" Type="http://schemas.openxmlformats.org/officeDocument/2006/relationships/hyperlink" Target="https://drive.google.com/file/d/1-CuiYtlQrUY-Wf01AEgRWzySOjpBri6P/view?usp=drive_link" TargetMode="External"/><Relationship Id="rId341" Type="http://schemas.openxmlformats.org/officeDocument/2006/relationships/hyperlink" Target="https://drive.google.com/file/d/15yO47uwvMLKqwmNgo1lYAGoecMcrOzN3/view?usp=drive_link" TargetMode="External"/><Relationship Id="rId583" Type="http://schemas.openxmlformats.org/officeDocument/2006/relationships/hyperlink" Target="https://drive.google.com/file/d/1c9I_HJhw35lEZodWEu3-_0ZMrpcKwOxv/view?usp=drive_link" TargetMode="External"/><Relationship Id="rId340" Type="http://schemas.openxmlformats.org/officeDocument/2006/relationships/hyperlink" Target="https://drive.google.com/file/d/15yO47uwvMLKqwmNgo1lYAGoecMcrOzN3/view?usp=drive_link" TargetMode="External"/><Relationship Id="rId582" Type="http://schemas.openxmlformats.org/officeDocument/2006/relationships/hyperlink" Target="https://drive.google.com/file/d/1c9I_HJhw35lEZodWEu3-_0ZMrpcKwOxv/view?usp=drive_link" TargetMode="External"/><Relationship Id="rId581" Type="http://schemas.openxmlformats.org/officeDocument/2006/relationships/hyperlink" Target="https://drive.google.com/file/d/1c9I_HJhw35lEZodWEu3-_0ZMrpcKwOxv/view?usp=drive_link" TargetMode="External"/><Relationship Id="rId580" Type="http://schemas.openxmlformats.org/officeDocument/2006/relationships/hyperlink" Target="https://drive.google.com/file/d/1c9I_HJhw35lEZodWEu3-_0ZMrpcKwOxv/view?usp=drive_link" TargetMode="External"/><Relationship Id="rId103" Type="http://schemas.openxmlformats.org/officeDocument/2006/relationships/hyperlink" Target="https://drive.google.com/file/d/1u4f7Zv8EfkSvXtyAFamOfnpyAuTriPMK/view?usp=drive_link" TargetMode="External"/><Relationship Id="rId345" Type="http://schemas.openxmlformats.org/officeDocument/2006/relationships/hyperlink" Target="https://drive.google.com/file/d/15yO47uwvMLKqwmNgo1lYAGoecMcrOzN3/view?usp=drive_link" TargetMode="External"/><Relationship Id="rId587" Type="http://schemas.openxmlformats.org/officeDocument/2006/relationships/hyperlink" Target="https://drive.google.com/file/d/1s0Wc9h3DPgmMocTW8Gu2XMnda_ByvHH0/view?usp=drive_link" TargetMode="External"/><Relationship Id="rId102" Type="http://schemas.openxmlformats.org/officeDocument/2006/relationships/hyperlink" Target="https://drive.google.com/file/d/1u4f7Zv8EfkSvXtyAFamOfnpyAuTriPMK/view?usp=drive_link" TargetMode="External"/><Relationship Id="rId344" Type="http://schemas.openxmlformats.org/officeDocument/2006/relationships/hyperlink" Target="https://drive.google.com/file/d/15yO47uwvMLKqwmNgo1lYAGoecMcrOzN3/view?usp=drive_link" TargetMode="External"/><Relationship Id="rId586" Type="http://schemas.openxmlformats.org/officeDocument/2006/relationships/hyperlink" Target="https://drive.google.com/file/d/1s0Wc9h3DPgmMocTW8Gu2XMnda_ByvHH0/view?usp=drive_link" TargetMode="External"/><Relationship Id="rId101" Type="http://schemas.openxmlformats.org/officeDocument/2006/relationships/hyperlink" Target="https://drive.google.com/file/d/1u4f7Zv8EfkSvXtyAFamOfnpyAuTriPMK/view?usp=drive_link" TargetMode="External"/><Relationship Id="rId343" Type="http://schemas.openxmlformats.org/officeDocument/2006/relationships/hyperlink" Target="https://drive.google.com/file/d/15yO47uwvMLKqwmNgo1lYAGoecMcrOzN3/view?usp=drive_link" TargetMode="External"/><Relationship Id="rId585" Type="http://schemas.openxmlformats.org/officeDocument/2006/relationships/hyperlink" Target="https://drive.google.com/file/d/1s0Wc9h3DPgmMocTW8Gu2XMnda_ByvHH0/view?usp=drive_link" TargetMode="External"/><Relationship Id="rId100" Type="http://schemas.openxmlformats.org/officeDocument/2006/relationships/hyperlink" Target="https://drive.google.com/file/d/1u4f7Zv8EfkSvXtyAFamOfnpyAuTriPMK/view?usp=drive_link" TargetMode="External"/><Relationship Id="rId342" Type="http://schemas.openxmlformats.org/officeDocument/2006/relationships/hyperlink" Target="https://drive.google.com/file/d/15yO47uwvMLKqwmNgo1lYAGoecMcrOzN3/view?usp=drive_link" TargetMode="External"/><Relationship Id="rId584" Type="http://schemas.openxmlformats.org/officeDocument/2006/relationships/hyperlink" Target="https://drive.google.com/file/d/1c9I_HJhw35lEZodWEu3-_0ZMrpcKwOxv/view?usp=drive_link" TargetMode="External"/><Relationship Id="rId338" Type="http://schemas.openxmlformats.org/officeDocument/2006/relationships/hyperlink" Target="https://drive.google.com/file/d/1-NJb7claDDGyZU7vmwXA_1DYFaA4NTn0/view?usp=drive_link" TargetMode="External"/><Relationship Id="rId337" Type="http://schemas.openxmlformats.org/officeDocument/2006/relationships/hyperlink" Target="https://drive.google.com/file/d/1-NJb7claDDGyZU7vmwXA_1DYFaA4NTn0/view?usp=drive_link" TargetMode="External"/><Relationship Id="rId579" Type="http://schemas.openxmlformats.org/officeDocument/2006/relationships/hyperlink" Target="https://drive.google.com/file/d/1c9I_HJhw35lEZodWEu3-_0ZMrpcKwOxv/view?usp=drive_link" TargetMode="External"/><Relationship Id="rId336" Type="http://schemas.openxmlformats.org/officeDocument/2006/relationships/hyperlink" Target="https://drive.google.com/file/d/1-NJb7claDDGyZU7vmwXA_1DYFaA4NTn0/view?usp=drive_link" TargetMode="External"/><Relationship Id="rId578" Type="http://schemas.openxmlformats.org/officeDocument/2006/relationships/hyperlink" Target="https://drive.google.com/file/d/1c9I_HJhw35lEZodWEu3-_0ZMrpcKwOxv/view?usp=drive_link" TargetMode="External"/><Relationship Id="rId335" Type="http://schemas.openxmlformats.org/officeDocument/2006/relationships/hyperlink" Target="https://drive.google.com/file/d/1-NJb7claDDGyZU7vmwXA_1DYFaA4NTn0/view?usp=drive_link" TargetMode="External"/><Relationship Id="rId577" Type="http://schemas.openxmlformats.org/officeDocument/2006/relationships/hyperlink" Target="https://drive.google.com/file/d/1_BcR3Oc91eUCH3WBGPBjTUlmJPxv5cBY/view?usp=drive_link" TargetMode="External"/><Relationship Id="rId339" Type="http://schemas.openxmlformats.org/officeDocument/2006/relationships/hyperlink" Target="https://drive.google.com/file/d/1-NJb7claDDGyZU7vmwXA_1DYFaA4NTn0/view?usp=drive_link" TargetMode="External"/><Relationship Id="rId1160" Type="http://schemas.openxmlformats.org/officeDocument/2006/relationships/hyperlink" Target="https://drive.google.com/file/d/17dPPcxLhaoOTXVBauuLizSdgxv0kryUX/view?usp=drive_link" TargetMode="External"/><Relationship Id="rId330" Type="http://schemas.openxmlformats.org/officeDocument/2006/relationships/hyperlink" Target="https://drive.google.com/file/d/1Cmj50YcpxCYJvfYx76sppvtyRFOLW-3I/view" TargetMode="External"/><Relationship Id="rId572" Type="http://schemas.openxmlformats.org/officeDocument/2006/relationships/hyperlink" Target="https://drive.google.com/file/d/1_BcR3Oc91eUCH3WBGPBjTUlmJPxv5cBY/view?usp=drive_link" TargetMode="External"/><Relationship Id="rId1161" Type="http://schemas.openxmlformats.org/officeDocument/2006/relationships/hyperlink" Target="https://drive.google.com/file/d/17dPPcxLhaoOTXVBauuLizSdgxv0kryUX/view?usp=drive_link" TargetMode="External"/><Relationship Id="rId571" Type="http://schemas.openxmlformats.org/officeDocument/2006/relationships/hyperlink" Target="https://drive.google.com/file/d/1_BcR3Oc91eUCH3WBGPBjTUlmJPxv5cBY/view?usp=drive_link" TargetMode="External"/><Relationship Id="rId1162" Type="http://schemas.openxmlformats.org/officeDocument/2006/relationships/hyperlink" Target="https://drive.google.com/file/d/1gpQ_ptxtJGbsB14VLeQuBwbr5qK7h9eM/view?usp=drive_link" TargetMode="External"/><Relationship Id="rId570" Type="http://schemas.openxmlformats.org/officeDocument/2006/relationships/hyperlink" Target="https://drive.google.com/file/d/1T24pK15nR-6C4A2-ScdqY3BS-LxpX2X5/view?usp=drive_link" TargetMode="External"/><Relationship Id="rId1163" Type="http://schemas.openxmlformats.org/officeDocument/2006/relationships/hyperlink" Target="https://drive.google.com/file/d/1gpQ_ptxtJGbsB14VLeQuBwbr5qK7h9eM/view?usp=drive_link" TargetMode="External"/><Relationship Id="rId1164" Type="http://schemas.openxmlformats.org/officeDocument/2006/relationships/hyperlink" Target="https://drive.google.com/file/d/1gpQ_ptxtJGbsB14VLeQuBwbr5qK7h9eM/view?usp=drive_link" TargetMode="External"/><Relationship Id="rId334" Type="http://schemas.openxmlformats.org/officeDocument/2006/relationships/hyperlink" Target="https://drive.google.com/file/d/1-NJb7claDDGyZU7vmwXA_1DYFaA4NTn0/view?usp=drive_link" TargetMode="External"/><Relationship Id="rId576" Type="http://schemas.openxmlformats.org/officeDocument/2006/relationships/hyperlink" Target="https://drive.google.com/file/d/1_BcR3Oc91eUCH3WBGPBjTUlmJPxv5cBY/view?usp=drive_link" TargetMode="External"/><Relationship Id="rId1165" Type="http://schemas.openxmlformats.org/officeDocument/2006/relationships/hyperlink" Target="https://drive.google.com/file/d/1gpQ_ptxtJGbsB14VLeQuBwbr5qK7h9eM/view?usp=drive_link" TargetMode="External"/><Relationship Id="rId333" Type="http://schemas.openxmlformats.org/officeDocument/2006/relationships/hyperlink" Target="https://drive.google.com/file/d/1-NJb7claDDGyZU7vmwXA_1DYFaA4NTn0/view?usp=drive_link" TargetMode="External"/><Relationship Id="rId575" Type="http://schemas.openxmlformats.org/officeDocument/2006/relationships/hyperlink" Target="https://drive.google.com/file/d/1_BcR3Oc91eUCH3WBGPBjTUlmJPxv5cBY/view?usp=drive_link" TargetMode="External"/><Relationship Id="rId1166" Type="http://schemas.openxmlformats.org/officeDocument/2006/relationships/drawing" Target="../drawings/drawing7.xml"/><Relationship Id="rId332" Type="http://schemas.openxmlformats.org/officeDocument/2006/relationships/hyperlink" Target="https://drive.google.com/file/d/1Cmj50YcpxCYJvfYx76sppvtyRFOLW-3I/view" TargetMode="External"/><Relationship Id="rId574" Type="http://schemas.openxmlformats.org/officeDocument/2006/relationships/hyperlink" Target="https://drive.google.com/file/d/1_BcR3Oc91eUCH3WBGPBjTUlmJPxv5cBY/view?usp=drive_link" TargetMode="External"/><Relationship Id="rId331" Type="http://schemas.openxmlformats.org/officeDocument/2006/relationships/hyperlink" Target="https://drive.google.com/file/d/1Cmj50YcpxCYJvfYx76sppvtyRFOLW-3I/view" TargetMode="External"/><Relationship Id="rId573" Type="http://schemas.openxmlformats.org/officeDocument/2006/relationships/hyperlink" Target="https://drive.google.com/file/d/1_BcR3Oc91eUCH3WBGPBjTUlmJPxv5cBY/view?usp=drive_link" TargetMode="External"/><Relationship Id="rId1168" Type="http://schemas.openxmlformats.org/officeDocument/2006/relationships/table" Target="../tables/table6.xml"/><Relationship Id="rId370" Type="http://schemas.openxmlformats.org/officeDocument/2006/relationships/hyperlink" Target="https://drive.google.com/file/d/1T-61mP4Dioq8SyKqff1xPBlsSbM--M27/view?usp=drive_link" TargetMode="External"/><Relationship Id="rId129" Type="http://schemas.openxmlformats.org/officeDocument/2006/relationships/hyperlink" Target="https://drive.google.com/file/d/1FvUp-mNz-at-JqBszOYt_fwKAfeceozp/view?usp=drive_link" TargetMode="External"/><Relationship Id="rId128" Type="http://schemas.openxmlformats.org/officeDocument/2006/relationships/hyperlink" Target="https://drive.google.com/file/d/1FvUp-mNz-at-JqBszOYt_fwKAfeceozp/view?usp=drive_link" TargetMode="External"/><Relationship Id="rId127" Type="http://schemas.openxmlformats.org/officeDocument/2006/relationships/hyperlink" Target="https://drive.google.com/file/d/1FvUp-mNz-at-JqBszOYt_fwKAfeceozp/view?usp=drive_link" TargetMode="External"/><Relationship Id="rId369" Type="http://schemas.openxmlformats.org/officeDocument/2006/relationships/hyperlink" Target="https://drive.google.com/file/d/1T-61mP4Dioq8SyKqff1xPBlsSbM--M27/view?usp=drive_link" TargetMode="External"/><Relationship Id="rId126" Type="http://schemas.openxmlformats.org/officeDocument/2006/relationships/hyperlink" Target="https://drive.google.com/file/d/1FvUp-mNz-at-JqBszOYt_fwKAfeceozp/view?usp=drive_link" TargetMode="External"/><Relationship Id="rId368" Type="http://schemas.openxmlformats.org/officeDocument/2006/relationships/hyperlink" Target="https://drive.google.com/file/d/1T-61mP4Dioq8SyKqff1xPBlsSbM--M27/view?usp=drive_link" TargetMode="External"/><Relationship Id="rId121" Type="http://schemas.openxmlformats.org/officeDocument/2006/relationships/hyperlink" Target="https://drive.google.com/file/d/1lvk5wE0RM3NTJof6lLj8lzmShXClSlDN/view?usp=drive_link" TargetMode="External"/><Relationship Id="rId363" Type="http://schemas.openxmlformats.org/officeDocument/2006/relationships/hyperlink" Target="https://drive.google.com/file/d/1kfGfSoH8LQYXPHoAFaAHBiXj2FOwkP-M/view?usp=drive_link" TargetMode="External"/><Relationship Id="rId120" Type="http://schemas.openxmlformats.org/officeDocument/2006/relationships/hyperlink" Target="https://drive.google.com/file/d/1vJVzLGuHP2e2YArHAr0c4GVHq9h-rkRW/view?usp=drive_link" TargetMode="External"/><Relationship Id="rId362" Type="http://schemas.openxmlformats.org/officeDocument/2006/relationships/hyperlink" Target="https://drive.google.com/file/d/1kfGfSoH8LQYXPHoAFaAHBiXj2FOwkP-M/view?usp=drive_link" TargetMode="External"/><Relationship Id="rId361" Type="http://schemas.openxmlformats.org/officeDocument/2006/relationships/hyperlink" Target="https://drive.google.com/file/d/1kfGfSoH8LQYXPHoAFaAHBiXj2FOwkP-M/view?usp=drive_link" TargetMode="External"/><Relationship Id="rId360" Type="http://schemas.openxmlformats.org/officeDocument/2006/relationships/hyperlink" Target="https://drive.google.com/file/d/1esHxWmw6g2OesohupSO4bn8bjXQ42i7A/view?usp=drive_link" TargetMode="External"/><Relationship Id="rId125" Type="http://schemas.openxmlformats.org/officeDocument/2006/relationships/hyperlink" Target="https://drive.google.com/file/d/1lvk5wE0RM3NTJof6lLj8lzmShXClSlDN/view?usp=drive_link" TargetMode="External"/><Relationship Id="rId367" Type="http://schemas.openxmlformats.org/officeDocument/2006/relationships/hyperlink" Target="https://drive.google.com/file/d/1kfGfSoH8LQYXPHoAFaAHBiXj2FOwkP-M/view?usp=drive_link" TargetMode="External"/><Relationship Id="rId124" Type="http://schemas.openxmlformats.org/officeDocument/2006/relationships/hyperlink" Target="https://drive.google.com/file/d/1lvk5wE0RM3NTJof6lLj8lzmShXClSlDN/view?usp=drive_link" TargetMode="External"/><Relationship Id="rId366" Type="http://schemas.openxmlformats.org/officeDocument/2006/relationships/hyperlink" Target="https://drive.google.com/file/d/1kfGfSoH8LQYXPHoAFaAHBiXj2FOwkP-M/view?usp=drive_link" TargetMode="External"/><Relationship Id="rId123" Type="http://schemas.openxmlformats.org/officeDocument/2006/relationships/hyperlink" Target="https://drive.google.com/file/d/1lvk5wE0RM3NTJof6lLj8lzmShXClSlDN/view?usp=drive_link" TargetMode="External"/><Relationship Id="rId365" Type="http://schemas.openxmlformats.org/officeDocument/2006/relationships/hyperlink" Target="https://drive.google.com/file/d/1kfGfSoH8LQYXPHoAFaAHBiXj2FOwkP-M/view?usp=drive_link" TargetMode="External"/><Relationship Id="rId122" Type="http://schemas.openxmlformats.org/officeDocument/2006/relationships/hyperlink" Target="https://drive.google.com/file/d/1lvk5wE0RM3NTJof6lLj8lzmShXClSlDN/view?usp=drive_link" TargetMode="External"/><Relationship Id="rId364" Type="http://schemas.openxmlformats.org/officeDocument/2006/relationships/hyperlink" Target="https://drive.google.com/file/d/1kfGfSoH8LQYXPHoAFaAHBiXj2FOwkP-M/view?usp=drive_link" TargetMode="External"/><Relationship Id="rId95" Type="http://schemas.openxmlformats.org/officeDocument/2006/relationships/hyperlink" Target="https://drive.google.com/file/d/1y7S8gCl4rN1irUuhGPdGmP2VYS-A9uQJ/view?usp=drive_link" TargetMode="External"/><Relationship Id="rId94" Type="http://schemas.openxmlformats.org/officeDocument/2006/relationships/hyperlink" Target="https://drive.google.com/file/d/1y7S8gCl4rN1irUuhGPdGmP2VYS-A9uQJ/view?usp=drive_link" TargetMode="External"/><Relationship Id="rId97" Type="http://schemas.openxmlformats.org/officeDocument/2006/relationships/hyperlink" Target="https://drive.google.com/file/d/1OXyMh0dmZE7X-lzliw2130oW99WcPowD/view?usp=drive_link" TargetMode="External"/><Relationship Id="rId96" Type="http://schemas.openxmlformats.org/officeDocument/2006/relationships/hyperlink" Target="https://drive.google.com/file/d/1OXyMh0dmZE7X-lzliw2130oW99WcPowD/view?usp=drive_link" TargetMode="External"/><Relationship Id="rId99" Type="http://schemas.openxmlformats.org/officeDocument/2006/relationships/hyperlink" Target="https://drive.google.com/file/d/1OXyMh0dmZE7X-lzliw2130oW99WcPowD/view?usp=drive_link" TargetMode="External"/><Relationship Id="rId98" Type="http://schemas.openxmlformats.org/officeDocument/2006/relationships/hyperlink" Target="https://drive.google.com/file/d/1OXyMh0dmZE7X-lzliw2130oW99WcPowD/view?usp=drive_link" TargetMode="External"/><Relationship Id="rId91" Type="http://schemas.openxmlformats.org/officeDocument/2006/relationships/hyperlink" Target="https://drive.google.com/file/d/1y7S8gCl4rN1irUuhGPdGmP2VYS-A9uQJ/view?usp=drive_link" TargetMode="External"/><Relationship Id="rId90" Type="http://schemas.openxmlformats.org/officeDocument/2006/relationships/hyperlink" Target="https://drive.google.com/file/d/1AeB7emez1YjApaGcItvPeeDvTXOJmK_9/view?usp=drive_link" TargetMode="External"/><Relationship Id="rId93" Type="http://schemas.openxmlformats.org/officeDocument/2006/relationships/hyperlink" Target="https://drive.google.com/file/d/1y7S8gCl4rN1irUuhGPdGmP2VYS-A9uQJ/view?usp=drive_link" TargetMode="External"/><Relationship Id="rId92" Type="http://schemas.openxmlformats.org/officeDocument/2006/relationships/hyperlink" Target="https://drive.google.com/file/d/1y7S8gCl4rN1irUuhGPdGmP2VYS-A9uQJ/view?usp=drive_link" TargetMode="External"/><Relationship Id="rId118" Type="http://schemas.openxmlformats.org/officeDocument/2006/relationships/hyperlink" Target="https://drive.google.com/file/d/1vJVzLGuHP2e2YArHAr0c4GVHq9h-rkRW/view?usp=drive_link" TargetMode="External"/><Relationship Id="rId117" Type="http://schemas.openxmlformats.org/officeDocument/2006/relationships/hyperlink" Target="https://drive.google.com/file/d/1vJVzLGuHP2e2YArHAr0c4GVHq9h-rkRW/view?usp=drive_link" TargetMode="External"/><Relationship Id="rId359" Type="http://schemas.openxmlformats.org/officeDocument/2006/relationships/hyperlink" Target="https://drive.google.com/file/d/1esHxWmw6g2OesohupSO4bn8bjXQ42i7A/view?usp=drive_link" TargetMode="External"/><Relationship Id="rId116" Type="http://schemas.openxmlformats.org/officeDocument/2006/relationships/hyperlink" Target="https://drive.google.com/file/d/1vJVzLGuHP2e2YArHAr0c4GVHq9h-rkRW/view?usp=drive_link" TargetMode="External"/><Relationship Id="rId358" Type="http://schemas.openxmlformats.org/officeDocument/2006/relationships/hyperlink" Target="https://drive.google.com/file/d/1esHxWmw6g2OesohupSO4bn8bjXQ42i7A/view?usp=drive_link" TargetMode="External"/><Relationship Id="rId115" Type="http://schemas.openxmlformats.org/officeDocument/2006/relationships/hyperlink" Target="https://drive.google.com/file/d/1pvZ61kWEWMCnriMTuL_S80GiNc1b2QjH/view?usp=drive_link" TargetMode="External"/><Relationship Id="rId357" Type="http://schemas.openxmlformats.org/officeDocument/2006/relationships/hyperlink" Target="https://drive.google.com/file/d/1esHxWmw6g2OesohupSO4bn8bjXQ42i7A/view?usp=drive_link" TargetMode="External"/><Relationship Id="rId599" Type="http://schemas.openxmlformats.org/officeDocument/2006/relationships/hyperlink" Target="https://drive.google.com/file/d/1Zcoa0bnTGQ62UlSe1HIpAcF6pnzCk2GK/view?usp=drive_link" TargetMode="External"/><Relationship Id="rId119" Type="http://schemas.openxmlformats.org/officeDocument/2006/relationships/hyperlink" Target="https://drive.google.com/file/d/1vJVzLGuHP2e2YArHAr0c4GVHq9h-rkRW/view?usp=drive_link" TargetMode="External"/><Relationship Id="rId110" Type="http://schemas.openxmlformats.org/officeDocument/2006/relationships/hyperlink" Target="https://drive.google.com/file/d/1-CuiYtlQrUY-Wf01AEgRWzySOjpBri6P/view?usp=drive_link" TargetMode="External"/><Relationship Id="rId352" Type="http://schemas.openxmlformats.org/officeDocument/2006/relationships/hyperlink" Target="https://drive.google.com/file/d/1-BYtlw8twFmwOur3_JnVPiN1BxRTVN7u/view?usp=drive_link" TargetMode="External"/><Relationship Id="rId594" Type="http://schemas.openxmlformats.org/officeDocument/2006/relationships/hyperlink" Target="https://drive.google.com/file/d/19T2CypxOowK4iYjkuOfbAkEqT05X8DOG/view?usp=drive_link" TargetMode="External"/><Relationship Id="rId351" Type="http://schemas.openxmlformats.org/officeDocument/2006/relationships/hyperlink" Target="https://drive.google.com/file/d/1-BYtlw8twFmwOur3_JnVPiN1BxRTVN7u/view?usp=drive_link" TargetMode="External"/><Relationship Id="rId593" Type="http://schemas.openxmlformats.org/officeDocument/2006/relationships/hyperlink" Target="https://drive.google.com/file/d/19T2CypxOowK4iYjkuOfbAkEqT05X8DOG/view?usp=drive_link" TargetMode="External"/><Relationship Id="rId350" Type="http://schemas.openxmlformats.org/officeDocument/2006/relationships/hyperlink" Target="https://drive.google.com/file/d/1-BYtlw8twFmwOur3_JnVPiN1BxRTVN7u/view?usp=drive_link" TargetMode="External"/><Relationship Id="rId592" Type="http://schemas.openxmlformats.org/officeDocument/2006/relationships/hyperlink" Target="https://drive.google.com/file/d/19T2CypxOowK4iYjkuOfbAkEqT05X8DOG/view?usp=drive_link" TargetMode="External"/><Relationship Id="rId591" Type="http://schemas.openxmlformats.org/officeDocument/2006/relationships/hyperlink" Target="https://drive.google.com/file/d/1s0Wc9h3DPgmMocTW8Gu2XMnda_ByvHH0/view?usp=drive_link" TargetMode="External"/><Relationship Id="rId114" Type="http://schemas.openxmlformats.org/officeDocument/2006/relationships/hyperlink" Target="https://drive.google.com/file/d/1pvZ61kWEWMCnriMTuL_S80GiNc1b2QjH/view?usp=drive_link" TargetMode="External"/><Relationship Id="rId356" Type="http://schemas.openxmlformats.org/officeDocument/2006/relationships/hyperlink" Target="https://drive.google.com/file/d/1esHxWmw6g2OesohupSO4bn8bjXQ42i7A/view?usp=drive_link" TargetMode="External"/><Relationship Id="rId598" Type="http://schemas.openxmlformats.org/officeDocument/2006/relationships/hyperlink" Target="https://drive.google.com/file/d/19T2CypxOowK4iYjkuOfbAkEqT05X8DOG/view?usp=drive_link" TargetMode="External"/><Relationship Id="rId113" Type="http://schemas.openxmlformats.org/officeDocument/2006/relationships/hyperlink" Target="https://drive.google.com/file/d/1pvZ61kWEWMCnriMTuL_S80GiNc1b2QjH/view?usp=drive_link" TargetMode="External"/><Relationship Id="rId355" Type="http://schemas.openxmlformats.org/officeDocument/2006/relationships/hyperlink" Target="https://drive.google.com/file/d/1esHxWmw6g2OesohupSO4bn8bjXQ42i7A/view?usp=drive_link" TargetMode="External"/><Relationship Id="rId597" Type="http://schemas.openxmlformats.org/officeDocument/2006/relationships/hyperlink" Target="https://drive.google.com/file/d/19T2CypxOowK4iYjkuOfbAkEqT05X8DOG/view?usp=drive_link" TargetMode="External"/><Relationship Id="rId112" Type="http://schemas.openxmlformats.org/officeDocument/2006/relationships/hyperlink" Target="https://drive.google.com/file/d/1pvZ61kWEWMCnriMTuL_S80GiNc1b2QjH/view?usp=drive_link" TargetMode="External"/><Relationship Id="rId354" Type="http://schemas.openxmlformats.org/officeDocument/2006/relationships/hyperlink" Target="https://drive.google.com/file/d/1esHxWmw6g2OesohupSO4bn8bjXQ42i7A/view?usp=drive_link" TargetMode="External"/><Relationship Id="rId596" Type="http://schemas.openxmlformats.org/officeDocument/2006/relationships/hyperlink" Target="https://drive.google.com/file/d/19T2CypxOowK4iYjkuOfbAkEqT05X8DOG/view?usp=drive_link" TargetMode="External"/><Relationship Id="rId111" Type="http://schemas.openxmlformats.org/officeDocument/2006/relationships/hyperlink" Target="https://drive.google.com/file/d/1pvZ61kWEWMCnriMTuL_S80GiNc1b2QjH/view?usp=drive_link" TargetMode="External"/><Relationship Id="rId353" Type="http://schemas.openxmlformats.org/officeDocument/2006/relationships/hyperlink" Target="https://drive.google.com/file/d/1-BYtlw8twFmwOur3_JnVPiN1BxRTVN7u/view?usp=drive_link" TargetMode="External"/><Relationship Id="rId595" Type="http://schemas.openxmlformats.org/officeDocument/2006/relationships/hyperlink" Target="https://drive.google.com/file/d/19T2CypxOowK4iYjkuOfbAkEqT05X8DOG/view?usp=drive_link" TargetMode="External"/><Relationship Id="rId1136" Type="http://schemas.openxmlformats.org/officeDocument/2006/relationships/hyperlink" Target="https://drive.google.com/file/d/1urgsHu9SNNs6FdGUdl-ILoOYhCE4Wfdk/view?usp=drive_link" TargetMode="External"/><Relationship Id="rId1137" Type="http://schemas.openxmlformats.org/officeDocument/2006/relationships/hyperlink" Target="https://drive.google.com/file/d/1urgsHu9SNNs6FdGUdl-ILoOYhCE4Wfdk/view?usp=drive_link" TargetMode="External"/><Relationship Id="rId1138" Type="http://schemas.openxmlformats.org/officeDocument/2006/relationships/hyperlink" Target="https://drive.google.com/file/d/1UBM6Wj4wpiJpolLcwX9g8xMp9b1zBgwl/view?usp=drive_link" TargetMode="External"/><Relationship Id="rId1139" Type="http://schemas.openxmlformats.org/officeDocument/2006/relationships/hyperlink" Target="https://drive.google.com/file/d/1UBM6Wj4wpiJpolLcwX9g8xMp9b1zBgwl/view?usp=drive_link" TargetMode="External"/><Relationship Id="rId305" Type="http://schemas.openxmlformats.org/officeDocument/2006/relationships/hyperlink" Target="https://drive.google.com/file/d/1f7ZlQmW1EcnNVnnIyYU8wKIWfQrrd4nX/view?usp=drive_link" TargetMode="External"/><Relationship Id="rId547" Type="http://schemas.openxmlformats.org/officeDocument/2006/relationships/hyperlink" Target="https://drive.google.com/file/d/1WQGpz0FOVfMZykTv_E8t9Z9mQDTghcTE/view?usp=drive_link" TargetMode="External"/><Relationship Id="rId789" Type="http://schemas.openxmlformats.org/officeDocument/2006/relationships/hyperlink" Target="https://drive.google.com/file/d/1_fGRIXJgyB1Db_h-giwf9Fvp53vlQBlt/view?usp=drive_link" TargetMode="External"/><Relationship Id="rId304" Type="http://schemas.openxmlformats.org/officeDocument/2006/relationships/hyperlink" Target="https://drive.google.com/file/d/1GGxyYMpMCH9NeV5ej3jfvChNy1L2C3Sq/view?usp=drive_link" TargetMode="External"/><Relationship Id="rId546" Type="http://schemas.openxmlformats.org/officeDocument/2006/relationships/hyperlink" Target="https://drive.google.com/file/d/1WQGpz0FOVfMZykTv_E8t9Z9mQDTghcTE/view?usp=drive_link" TargetMode="External"/><Relationship Id="rId788" Type="http://schemas.openxmlformats.org/officeDocument/2006/relationships/hyperlink" Target="https://drive.google.com/file/d/1ACsEVdFtzSlhRvr0XcUMjA6AhuwOS4sz/view?usp=drive_link" TargetMode="External"/><Relationship Id="rId303" Type="http://schemas.openxmlformats.org/officeDocument/2006/relationships/hyperlink" Target="https://drive.google.com/file/d/1GGxyYMpMCH9NeV5ej3jfvChNy1L2C3Sq/view?usp=drive_link" TargetMode="External"/><Relationship Id="rId545" Type="http://schemas.openxmlformats.org/officeDocument/2006/relationships/hyperlink" Target="https://drive.google.com/file/d/1WQGpz0FOVfMZykTv_E8t9Z9mQDTghcTE/view?usp=drive_link" TargetMode="External"/><Relationship Id="rId787" Type="http://schemas.openxmlformats.org/officeDocument/2006/relationships/hyperlink" Target="https://drive.google.com/file/d/1ACsEVdFtzSlhRvr0XcUMjA6AhuwOS4sz/view?usp=drive_link" TargetMode="External"/><Relationship Id="rId302" Type="http://schemas.openxmlformats.org/officeDocument/2006/relationships/hyperlink" Target="https://drive.google.com/file/d/1GGxyYMpMCH9NeV5ej3jfvChNy1L2C3Sq/view?usp=drive_link" TargetMode="External"/><Relationship Id="rId544" Type="http://schemas.openxmlformats.org/officeDocument/2006/relationships/hyperlink" Target="https://drive.google.com/file/d/1WQGpz0FOVfMZykTv_E8t9Z9mQDTghcTE/view?usp=drive_link" TargetMode="External"/><Relationship Id="rId786" Type="http://schemas.openxmlformats.org/officeDocument/2006/relationships/hyperlink" Target="https://drive.google.com/file/d/1ACsEVdFtzSlhRvr0XcUMjA6AhuwOS4sz/view?usp=drive_link" TargetMode="External"/><Relationship Id="rId309" Type="http://schemas.openxmlformats.org/officeDocument/2006/relationships/hyperlink" Target="https://drive.google.com/file/d/1f7ZlQmW1EcnNVnnIyYU8wKIWfQrrd4nX/view?usp=drive_link" TargetMode="External"/><Relationship Id="rId308" Type="http://schemas.openxmlformats.org/officeDocument/2006/relationships/hyperlink" Target="https://drive.google.com/file/d/1f7ZlQmW1EcnNVnnIyYU8wKIWfQrrd4nX/view?usp=drive_link" TargetMode="External"/><Relationship Id="rId307" Type="http://schemas.openxmlformats.org/officeDocument/2006/relationships/hyperlink" Target="https://drive.google.com/file/d/1f7ZlQmW1EcnNVnnIyYU8wKIWfQrrd4nX/view?usp=drive_link" TargetMode="External"/><Relationship Id="rId549" Type="http://schemas.openxmlformats.org/officeDocument/2006/relationships/hyperlink" Target="https://drive.google.com/file/d/1WQGpz0FOVfMZykTv_E8t9Z9mQDTghcTE/view?usp=drive_link" TargetMode="External"/><Relationship Id="rId306" Type="http://schemas.openxmlformats.org/officeDocument/2006/relationships/hyperlink" Target="https://drive.google.com/file/d/1f7ZlQmW1EcnNVnnIyYU8wKIWfQrrd4nX/view?usp=drive_link" TargetMode="External"/><Relationship Id="rId548" Type="http://schemas.openxmlformats.org/officeDocument/2006/relationships/hyperlink" Target="https://drive.google.com/file/d/1WQGpz0FOVfMZykTv_E8t9Z9mQDTghcTE/view?usp=drive_link" TargetMode="External"/><Relationship Id="rId781" Type="http://schemas.openxmlformats.org/officeDocument/2006/relationships/hyperlink" Target="https://drive.google.com/file/d/1ACsEVdFtzSlhRvr0XcUMjA6AhuwOS4sz/view?usp=drive_link" TargetMode="External"/><Relationship Id="rId780" Type="http://schemas.openxmlformats.org/officeDocument/2006/relationships/hyperlink" Target="https://drive.google.com/file/d/1ACsEVdFtzSlhRvr0XcUMjA6AhuwOS4sz/view?usp=drive_link" TargetMode="External"/><Relationship Id="rId1130" Type="http://schemas.openxmlformats.org/officeDocument/2006/relationships/hyperlink" Target="https://drive.google.com/file/d/1SwJkoZ0BFGLz5HdkagL_DO2A5Ekwlxsw/view?usp=drive_link" TargetMode="External"/><Relationship Id="rId1131" Type="http://schemas.openxmlformats.org/officeDocument/2006/relationships/hyperlink" Target="https://drive.google.com/file/d/1SwJkoZ0BFGLz5HdkagL_DO2A5Ekwlxsw/view?usp=drive_link" TargetMode="External"/><Relationship Id="rId301" Type="http://schemas.openxmlformats.org/officeDocument/2006/relationships/hyperlink" Target="https://drive.google.com/file/d/1GGxyYMpMCH9NeV5ej3jfvChNy1L2C3Sq/view?usp=drive_link" TargetMode="External"/><Relationship Id="rId543" Type="http://schemas.openxmlformats.org/officeDocument/2006/relationships/hyperlink" Target="https://drive.google.com/file/d/1WQGpz0FOVfMZykTv_E8t9Z9mQDTghcTE/view?usp=drive_link" TargetMode="External"/><Relationship Id="rId785" Type="http://schemas.openxmlformats.org/officeDocument/2006/relationships/hyperlink" Target="https://drive.google.com/file/d/1ACsEVdFtzSlhRvr0XcUMjA6AhuwOS4sz/view?usp=drive_link" TargetMode="External"/><Relationship Id="rId1132" Type="http://schemas.openxmlformats.org/officeDocument/2006/relationships/hyperlink" Target="https://drive.google.com/file/d/1urgsHu9SNNs6FdGUdl-ILoOYhCE4Wfdk/view?usp=drive_link" TargetMode="External"/><Relationship Id="rId300" Type="http://schemas.openxmlformats.org/officeDocument/2006/relationships/hyperlink" Target="https://drive.google.com/file/d/1GGxyYMpMCH9NeV5ej3jfvChNy1L2C3Sq/view?usp=drive_link" TargetMode="External"/><Relationship Id="rId542" Type="http://schemas.openxmlformats.org/officeDocument/2006/relationships/hyperlink" Target="https://drive.google.com/file/d/16J3sY9i3IhnVH5juN2p5r0OTCLcU1Hje/view?usp=drive_link" TargetMode="External"/><Relationship Id="rId784" Type="http://schemas.openxmlformats.org/officeDocument/2006/relationships/hyperlink" Target="https://drive.google.com/file/d/1ACsEVdFtzSlhRvr0XcUMjA6AhuwOS4sz/view?usp=drive_link" TargetMode="External"/><Relationship Id="rId1133" Type="http://schemas.openxmlformats.org/officeDocument/2006/relationships/hyperlink" Target="https://drive.google.com/file/d/1urgsHu9SNNs6FdGUdl-ILoOYhCE4Wfdk/view?usp=drive_link" TargetMode="External"/><Relationship Id="rId541" Type="http://schemas.openxmlformats.org/officeDocument/2006/relationships/hyperlink" Target="https://drive.google.com/file/d/16J3sY9i3IhnVH5juN2p5r0OTCLcU1Hje/view?usp=drive_link" TargetMode="External"/><Relationship Id="rId783" Type="http://schemas.openxmlformats.org/officeDocument/2006/relationships/hyperlink" Target="https://drive.google.com/file/d/1ACsEVdFtzSlhRvr0XcUMjA6AhuwOS4sz/view?usp=drive_link" TargetMode="External"/><Relationship Id="rId1134" Type="http://schemas.openxmlformats.org/officeDocument/2006/relationships/hyperlink" Target="https://drive.google.com/file/d/1urgsHu9SNNs6FdGUdl-ILoOYhCE4Wfdk/view?usp=drive_link" TargetMode="External"/><Relationship Id="rId540" Type="http://schemas.openxmlformats.org/officeDocument/2006/relationships/hyperlink" Target="https://drive.google.com/file/d/16J3sY9i3IhnVH5juN2p5r0OTCLcU1Hje/view?usp=drive_link" TargetMode="External"/><Relationship Id="rId782" Type="http://schemas.openxmlformats.org/officeDocument/2006/relationships/hyperlink" Target="https://drive.google.com/file/d/1ACsEVdFtzSlhRvr0XcUMjA6AhuwOS4sz/view?usp=drive_link" TargetMode="External"/><Relationship Id="rId1135" Type="http://schemas.openxmlformats.org/officeDocument/2006/relationships/hyperlink" Target="https://drive.google.com/file/d/1urgsHu9SNNs6FdGUdl-ILoOYhCE4Wfdk/view?usp=drive_link" TargetMode="External"/><Relationship Id="rId1125" Type="http://schemas.openxmlformats.org/officeDocument/2006/relationships/hyperlink" Target="https://drive.google.com/file/d/19_xWdYhB8TC7UAqXZpP-W6D8JI0xpqMT/view?usp=drive_link" TargetMode="External"/><Relationship Id="rId1126" Type="http://schemas.openxmlformats.org/officeDocument/2006/relationships/hyperlink" Target="https://drive.google.com/file/d/1SwJkoZ0BFGLz5HdkagL_DO2A5Ekwlxsw/view?usp=drive_link" TargetMode="External"/><Relationship Id="rId1127" Type="http://schemas.openxmlformats.org/officeDocument/2006/relationships/hyperlink" Target="https://drive.google.com/file/d/1SwJkoZ0BFGLz5HdkagL_DO2A5Ekwlxsw/view?usp=drive_link" TargetMode="External"/><Relationship Id="rId1128" Type="http://schemas.openxmlformats.org/officeDocument/2006/relationships/hyperlink" Target="https://drive.google.com/file/d/1SwJkoZ0BFGLz5HdkagL_DO2A5Ekwlxsw/view?usp=drive_link" TargetMode="External"/><Relationship Id="rId1129" Type="http://schemas.openxmlformats.org/officeDocument/2006/relationships/hyperlink" Target="https://drive.google.com/file/d/1SwJkoZ0BFGLz5HdkagL_DO2A5Ekwlxsw/view?usp=drive_link" TargetMode="External"/><Relationship Id="rId536" Type="http://schemas.openxmlformats.org/officeDocument/2006/relationships/hyperlink" Target="https://drive.google.com/file/d/16J3sY9i3IhnVH5juN2p5r0OTCLcU1Hje/view?usp=drive_link" TargetMode="External"/><Relationship Id="rId778" Type="http://schemas.openxmlformats.org/officeDocument/2006/relationships/hyperlink" Target="https://drive.google.com/file/d/11bJ-CMBqxBEl4qg_GXdjTzkaNxiL5zkL/view?usp=drive_link" TargetMode="External"/><Relationship Id="rId535" Type="http://schemas.openxmlformats.org/officeDocument/2006/relationships/hyperlink" Target="https://drive.google.com/file/d/1DhqTaXf3VjIGdNFAqi9BR-JU4zuOiLEc/view?usp=drive_link" TargetMode="External"/><Relationship Id="rId777" Type="http://schemas.openxmlformats.org/officeDocument/2006/relationships/hyperlink" Target="https://drive.google.com/file/d/11bJ-CMBqxBEl4qg_GXdjTzkaNxiL5zkL/view?usp=drive_link" TargetMode="External"/><Relationship Id="rId534" Type="http://schemas.openxmlformats.org/officeDocument/2006/relationships/hyperlink" Target="https://drive.google.com/file/d/1DhqTaXf3VjIGdNFAqi9BR-JU4zuOiLEc/view?usp=drive_link" TargetMode="External"/><Relationship Id="rId776" Type="http://schemas.openxmlformats.org/officeDocument/2006/relationships/hyperlink" Target="https://drive.google.com/file/d/11bJ-CMBqxBEl4qg_GXdjTzkaNxiL5zkL/view?usp=drive_link" TargetMode="External"/><Relationship Id="rId533" Type="http://schemas.openxmlformats.org/officeDocument/2006/relationships/hyperlink" Target="https://drive.google.com/file/d/1DhqTaXf3VjIGdNFAqi9BR-JU4zuOiLEc/view?usp=drive_link" TargetMode="External"/><Relationship Id="rId775" Type="http://schemas.openxmlformats.org/officeDocument/2006/relationships/hyperlink" Target="https://drive.google.com/file/d/11bJ-CMBqxBEl4qg_GXdjTzkaNxiL5zkL/view?usp=drive_link" TargetMode="External"/><Relationship Id="rId539" Type="http://schemas.openxmlformats.org/officeDocument/2006/relationships/hyperlink" Target="https://drive.google.com/file/d/16J3sY9i3IhnVH5juN2p5r0OTCLcU1Hje/view?usp=drive_link" TargetMode="External"/><Relationship Id="rId538" Type="http://schemas.openxmlformats.org/officeDocument/2006/relationships/hyperlink" Target="https://drive.google.com/file/d/16J3sY9i3IhnVH5juN2p5r0OTCLcU1Hje/view?usp=drive_link" TargetMode="External"/><Relationship Id="rId537" Type="http://schemas.openxmlformats.org/officeDocument/2006/relationships/hyperlink" Target="https://drive.google.com/file/d/16J3sY9i3IhnVH5juN2p5r0OTCLcU1Hje/view?usp=drive_link" TargetMode="External"/><Relationship Id="rId779" Type="http://schemas.openxmlformats.org/officeDocument/2006/relationships/hyperlink" Target="https://drive.google.com/file/d/11bJ-CMBqxBEl4qg_GXdjTzkaNxiL5zkL/view?usp=drive_link" TargetMode="External"/><Relationship Id="rId770" Type="http://schemas.openxmlformats.org/officeDocument/2006/relationships/hyperlink" Target="https://drive.google.com/file/d/1NaaF3Qc8GJveg7nwLDiTKZzFglqY0Mz-/view?usp=drive_link" TargetMode="External"/><Relationship Id="rId1120" Type="http://schemas.openxmlformats.org/officeDocument/2006/relationships/hyperlink" Target="https://drive.google.com/file/d/19_xWdYhB8TC7UAqXZpP-W6D8JI0xpqMT/view?usp=drive_link" TargetMode="External"/><Relationship Id="rId532" Type="http://schemas.openxmlformats.org/officeDocument/2006/relationships/hyperlink" Target="https://drive.google.com/file/d/1DhqTaXf3VjIGdNFAqi9BR-JU4zuOiLEc/view?usp=drive_link" TargetMode="External"/><Relationship Id="rId774" Type="http://schemas.openxmlformats.org/officeDocument/2006/relationships/hyperlink" Target="https://drive.google.com/file/d/11bJ-CMBqxBEl4qg_GXdjTzkaNxiL5zkL/view?usp=drive_link" TargetMode="External"/><Relationship Id="rId1121" Type="http://schemas.openxmlformats.org/officeDocument/2006/relationships/hyperlink" Target="https://drive.google.com/file/d/19_xWdYhB8TC7UAqXZpP-W6D8JI0xpqMT/view?usp=drive_link" TargetMode="External"/><Relationship Id="rId531" Type="http://schemas.openxmlformats.org/officeDocument/2006/relationships/hyperlink" Target="https://drive.google.com/file/d/1DhqTaXf3VjIGdNFAqi9BR-JU4zuOiLEc/view?usp=drive_link" TargetMode="External"/><Relationship Id="rId773" Type="http://schemas.openxmlformats.org/officeDocument/2006/relationships/hyperlink" Target="https://drive.google.com/file/d/11bJ-CMBqxBEl4qg_GXdjTzkaNxiL5zkL/view?usp=drive_link" TargetMode="External"/><Relationship Id="rId1122" Type="http://schemas.openxmlformats.org/officeDocument/2006/relationships/hyperlink" Target="https://drive.google.com/file/d/19_xWdYhB8TC7UAqXZpP-W6D8JI0xpqMT/view?usp=drive_link" TargetMode="External"/><Relationship Id="rId530" Type="http://schemas.openxmlformats.org/officeDocument/2006/relationships/hyperlink" Target="https://drive.google.com/file/d/1DhqTaXf3VjIGdNFAqi9BR-JU4zuOiLEc/view?usp=drive_link" TargetMode="External"/><Relationship Id="rId772" Type="http://schemas.openxmlformats.org/officeDocument/2006/relationships/hyperlink" Target="https://drive.google.com/file/d/11bJ-CMBqxBEl4qg_GXdjTzkaNxiL5zkL/view?usp=drive_link" TargetMode="External"/><Relationship Id="rId1123" Type="http://schemas.openxmlformats.org/officeDocument/2006/relationships/hyperlink" Target="https://drive.google.com/file/d/19_xWdYhB8TC7UAqXZpP-W6D8JI0xpqMT/view?usp=drive_link" TargetMode="External"/><Relationship Id="rId771" Type="http://schemas.openxmlformats.org/officeDocument/2006/relationships/hyperlink" Target="https://drive.google.com/file/d/11bJ-CMBqxBEl4qg_GXdjTzkaNxiL5zkL/view?usp=drive_link" TargetMode="External"/><Relationship Id="rId1124" Type="http://schemas.openxmlformats.org/officeDocument/2006/relationships/hyperlink" Target="https://drive.google.com/file/d/19_xWdYhB8TC7UAqXZpP-W6D8JI0xpqMT/view?usp=drive_link" TargetMode="External"/><Relationship Id="rId1158" Type="http://schemas.openxmlformats.org/officeDocument/2006/relationships/hyperlink" Target="https://drive.google.com/file/d/17dPPcxLhaoOTXVBauuLizSdgxv0kryUX/view?usp=drive_link" TargetMode="External"/><Relationship Id="rId1159" Type="http://schemas.openxmlformats.org/officeDocument/2006/relationships/hyperlink" Target="https://drive.google.com/file/d/17dPPcxLhaoOTXVBauuLizSdgxv0kryUX/view?usp=drive_link" TargetMode="External"/><Relationship Id="rId327" Type="http://schemas.openxmlformats.org/officeDocument/2006/relationships/hyperlink" Target="https://drive.google.com/file/d/1Cmj50YcpxCYJvfYx76sppvtyRFOLW-3I/view" TargetMode="External"/><Relationship Id="rId569" Type="http://schemas.openxmlformats.org/officeDocument/2006/relationships/hyperlink" Target="https://drive.google.com/file/d/1T24pK15nR-6C4A2-ScdqY3BS-LxpX2X5/view?usp=drive_link" TargetMode="External"/><Relationship Id="rId326" Type="http://schemas.openxmlformats.org/officeDocument/2006/relationships/hyperlink" Target="https://drive.google.com/file/d/1Cmj50YcpxCYJvfYx76sppvtyRFOLW-3I/view" TargetMode="External"/><Relationship Id="rId568" Type="http://schemas.openxmlformats.org/officeDocument/2006/relationships/hyperlink" Target="https://drive.google.com/file/d/1T24pK15nR-6C4A2-ScdqY3BS-LxpX2X5/view?usp=drive_link" TargetMode="External"/><Relationship Id="rId325" Type="http://schemas.openxmlformats.org/officeDocument/2006/relationships/hyperlink" Target="https://drive.google.com/file/d/1SaJ9SrAOavVgq5dw9KF-5OsepvLRAnGK/view?usp=drive_link" TargetMode="External"/><Relationship Id="rId567" Type="http://schemas.openxmlformats.org/officeDocument/2006/relationships/hyperlink" Target="https://drive.google.com/file/d/1T24pK15nR-6C4A2-ScdqY3BS-LxpX2X5/view?usp=drive_link" TargetMode="External"/><Relationship Id="rId324" Type="http://schemas.openxmlformats.org/officeDocument/2006/relationships/hyperlink" Target="https://drive.google.com/file/d/1SaJ9SrAOavVgq5dw9KF-5OsepvLRAnGK/view?usp=drive_link" TargetMode="External"/><Relationship Id="rId566" Type="http://schemas.openxmlformats.org/officeDocument/2006/relationships/hyperlink" Target="https://drive.google.com/file/d/1T24pK15nR-6C4A2-ScdqY3BS-LxpX2X5/view?usp=drive_link" TargetMode="External"/><Relationship Id="rId329" Type="http://schemas.openxmlformats.org/officeDocument/2006/relationships/hyperlink" Target="https://drive.google.com/file/d/1Cmj50YcpxCYJvfYx76sppvtyRFOLW-3I/view" TargetMode="External"/><Relationship Id="rId328" Type="http://schemas.openxmlformats.org/officeDocument/2006/relationships/hyperlink" Target="https://drive.google.com/file/d/1Cmj50YcpxCYJvfYx76sppvtyRFOLW-3I/view" TargetMode="External"/><Relationship Id="rId561" Type="http://schemas.openxmlformats.org/officeDocument/2006/relationships/hyperlink" Target="https://drive.google.com/file/d/1kqex6NSGIfau_QSle63_ISHvszAtHtCL/view?usp=drive_link" TargetMode="External"/><Relationship Id="rId1150" Type="http://schemas.openxmlformats.org/officeDocument/2006/relationships/hyperlink" Target="https://drive.google.com/file/d/15XYBPOeLDjEy8PDCxy7GqO_T8Q3x5Xtj/view?usp=drive_link" TargetMode="External"/><Relationship Id="rId560" Type="http://schemas.openxmlformats.org/officeDocument/2006/relationships/hyperlink" Target="https://drive.google.com/file/d/1kqex6NSGIfau_QSle63_ISHvszAtHtCL/view?usp=drive_link" TargetMode="External"/><Relationship Id="rId1151" Type="http://schemas.openxmlformats.org/officeDocument/2006/relationships/hyperlink" Target="https://drive.google.com/file/d/15XYBPOeLDjEy8PDCxy7GqO_T8Q3x5Xtj/view?usp=drive_link" TargetMode="External"/><Relationship Id="rId1152" Type="http://schemas.openxmlformats.org/officeDocument/2006/relationships/hyperlink" Target="https://drive.google.com/file/d/15XYBPOeLDjEy8PDCxy7GqO_T8Q3x5Xtj/view?usp=drive_link" TargetMode="External"/><Relationship Id="rId1153" Type="http://schemas.openxmlformats.org/officeDocument/2006/relationships/hyperlink" Target="https://drive.google.com/file/d/15XYBPOeLDjEy8PDCxy7GqO_T8Q3x5Xtj/view?usp=drive_link" TargetMode="External"/><Relationship Id="rId323" Type="http://schemas.openxmlformats.org/officeDocument/2006/relationships/hyperlink" Target="https://drive.google.com/file/d/1SaJ9SrAOavVgq5dw9KF-5OsepvLRAnGK/view?usp=drive_link" TargetMode="External"/><Relationship Id="rId565" Type="http://schemas.openxmlformats.org/officeDocument/2006/relationships/hyperlink" Target="https://drive.google.com/file/d/1T24pK15nR-6C4A2-ScdqY3BS-LxpX2X5/view?usp=drive_link" TargetMode="External"/><Relationship Id="rId1154" Type="http://schemas.openxmlformats.org/officeDocument/2006/relationships/hyperlink" Target="https://drive.google.com/file/d/1ngPKdyIXP5_3B0nlTv0sNO2QpyAnykAf/view?usp=drive_link" TargetMode="External"/><Relationship Id="rId322" Type="http://schemas.openxmlformats.org/officeDocument/2006/relationships/hyperlink" Target="https://drive.google.com/file/d/1SaJ9SrAOavVgq5dw9KF-5OsepvLRAnGK/view?usp=drive_link" TargetMode="External"/><Relationship Id="rId564" Type="http://schemas.openxmlformats.org/officeDocument/2006/relationships/hyperlink" Target="https://drive.google.com/file/d/1T24pK15nR-6C4A2-ScdqY3BS-LxpX2X5/view?usp=drive_link" TargetMode="External"/><Relationship Id="rId1155" Type="http://schemas.openxmlformats.org/officeDocument/2006/relationships/hyperlink" Target="https://drive.google.com/file/d/1ngPKdyIXP5_3B0nlTv0sNO2QpyAnykAf/view?usp=drive_link" TargetMode="External"/><Relationship Id="rId321" Type="http://schemas.openxmlformats.org/officeDocument/2006/relationships/hyperlink" Target="https://drive.google.com/file/d/1SaJ9SrAOavVgq5dw9KF-5OsepvLRAnGK/view?usp=drive_link" TargetMode="External"/><Relationship Id="rId563" Type="http://schemas.openxmlformats.org/officeDocument/2006/relationships/hyperlink" Target="https://drive.google.com/file/d/1kqex6NSGIfau_QSle63_ISHvszAtHtCL/view?usp=drive_link" TargetMode="External"/><Relationship Id="rId1156" Type="http://schemas.openxmlformats.org/officeDocument/2006/relationships/hyperlink" Target="https://drive.google.com/file/d/1ngPKdyIXP5_3B0nlTv0sNO2QpyAnykAf/view?usp=drive_link" TargetMode="External"/><Relationship Id="rId320" Type="http://schemas.openxmlformats.org/officeDocument/2006/relationships/hyperlink" Target="https://drive.google.com/file/d/1SaJ9SrAOavVgq5dw9KF-5OsepvLRAnGK/view?usp=drive_link" TargetMode="External"/><Relationship Id="rId562" Type="http://schemas.openxmlformats.org/officeDocument/2006/relationships/hyperlink" Target="https://drive.google.com/file/d/1kqex6NSGIfau_QSle63_ISHvszAtHtCL/view?usp=drive_link" TargetMode="External"/><Relationship Id="rId1157" Type="http://schemas.openxmlformats.org/officeDocument/2006/relationships/hyperlink" Target="https://drive.google.com/file/d/1ngPKdyIXP5_3B0nlTv0sNO2QpyAnykAf/view?usp=drive_link" TargetMode="External"/><Relationship Id="rId1147" Type="http://schemas.openxmlformats.org/officeDocument/2006/relationships/hyperlink" Target="https://drive.google.com/file/d/1EMx5q8Da2zsQKp-tBKd8nZJ-A3s4qNuA/view?usp=drive_link" TargetMode="External"/><Relationship Id="rId1148" Type="http://schemas.openxmlformats.org/officeDocument/2006/relationships/hyperlink" Target="https://drive.google.com/file/d/1EMx5q8Da2zsQKp-tBKd8nZJ-A3s4qNuA/view?usp=drive_link" TargetMode="External"/><Relationship Id="rId1149" Type="http://schemas.openxmlformats.org/officeDocument/2006/relationships/hyperlink" Target="https://drive.google.com/file/d/1EMx5q8Da2zsQKp-tBKd8nZJ-A3s4qNuA/view?usp=drive_link" TargetMode="External"/><Relationship Id="rId316" Type="http://schemas.openxmlformats.org/officeDocument/2006/relationships/hyperlink" Target="https://drive.google.com/file/d/1Uyw-vEcpTA3abD7GoCbKWcN72wWnA7wX/view?usp=drive_link" TargetMode="External"/><Relationship Id="rId558" Type="http://schemas.openxmlformats.org/officeDocument/2006/relationships/hyperlink" Target="https://drive.google.com/file/d/1kqex6NSGIfau_QSle63_ISHvszAtHtCL/view?usp=drive_link" TargetMode="External"/><Relationship Id="rId315" Type="http://schemas.openxmlformats.org/officeDocument/2006/relationships/hyperlink" Target="https://drive.google.com/file/d/1Uyw-vEcpTA3abD7GoCbKWcN72wWnA7wX/view?usp=drive_link" TargetMode="External"/><Relationship Id="rId557" Type="http://schemas.openxmlformats.org/officeDocument/2006/relationships/hyperlink" Target="https://drive.google.com/file/d/1kqex6NSGIfau_QSle63_ISHvszAtHtCL/view?usp=drive_link" TargetMode="External"/><Relationship Id="rId799" Type="http://schemas.openxmlformats.org/officeDocument/2006/relationships/hyperlink" Target="https://drive.google.com/file/d/1Yw5Af0zJVe495icp4k-IddPJ6U8onSey/view?usp=drive_link" TargetMode="External"/><Relationship Id="rId314" Type="http://schemas.openxmlformats.org/officeDocument/2006/relationships/hyperlink" Target="https://drive.google.com/file/d/1Uyw-vEcpTA3abD7GoCbKWcN72wWnA7wX/view?usp=drive_link" TargetMode="External"/><Relationship Id="rId556" Type="http://schemas.openxmlformats.org/officeDocument/2006/relationships/hyperlink" Target="https://drive.google.com/file/d/1-pjO3bRhHCw_IFS9fdEWza2yNiozMRRh/view?usp=drive_link" TargetMode="External"/><Relationship Id="rId798" Type="http://schemas.openxmlformats.org/officeDocument/2006/relationships/hyperlink" Target="https://drive.google.com/file/d/1Yw5Af0zJVe495icp4k-IddPJ6U8onSey/view?usp=drive_link" TargetMode="External"/><Relationship Id="rId313" Type="http://schemas.openxmlformats.org/officeDocument/2006/relationships/hyperlink" Target="https://drive.google.com/file/d/1Uyw-vEcpTA3abD7GoCbKWcN72wWnA7wX/view?usp=drive_link" TargetMode="External"/><Relationship Id="rId555" Type="http://schemas.openxmlformats.org/officeDocument/2006/relationships/hyperlink" Target="https://drive.google.com/file/d/1-pjO3bRhHCw_IFS9fdEWza2yNiozMRRh/view?usp=drive_link" TargetMode="External"/><Relationship Id="rId797" Type="http://schemas.openxmlformats.org/officeDocument/2006/relationships/hyperlink" Target="https://drive.google.com/file/d/1_fGRIXJgyB1Db_h-giwf9Fvp53vlQBlt/view?usp=drive_link" TargetMode="External"/><Relationship Id="rId319" Type="http://schemas.openxmlformats.org/officeDocument/2006/relationships/hyperlink" Target="https://drive.google.com/file/d/1SaJ9SrAOavVgq5dw9KF-5OsepvLRAnGK/view?usp=drive_link" TargetMode="External"/><Relationship Id="rId318" Type="http://schemas.openxmlformats.org/officeDocument/2006/relationships/hyperlink" Target="https://drive.google.com/file/d/1Uyw-vEcpTA3abD7GoCbKWcN72wWnA7wX/view?usp=drive_link" TargetMode="External"/><Relationship Id="rId317" Type="http://schemas.openxmlformats.org/officeDocument/2006/relationships/hyperlink" Target="https://drive.google.com/file/d/1Uyw-vEcpTA3abD7GoCbKWcN72wWnA7wX/view?usp=drive_link" TargetMode="External"/><Relationship Id="rId559" Type="http://schemas.openxmlformats.org/officeDocument/2006/relationships/hyperlink" Target="https://drive.google.com/file/d/1kqex6NSGIfau_QSle63_ISHvszAtHtCL/view?usp=drive_link" TargetMode="External"/><Relationship Id="rId550" Type="http://schemas.openxmlformats.org/officeDocument/2006/relationships/hyperlink" Target="https://drive.google.com/file/d/1-pjO3bRhHCw_IFS9fdEWza2yNiozMRRh/view?usp=drive_link" TargetMode="External"/><Relationship Id="rId792" Type="http://schemas.openxmlformats.org/officeDocument/2006/relationships/hyperlink" Target="https://drive.google.com/file/d/1_fGRIXJgyB1Db_h-giwf9Fvp53vlQBlt/view?usp=drive_link" TargetMode="External"/><Relationship Id="rId791" Type="http://schemas.openxmlformats.org/officeDocument/2006/relationships/hyperlink" Target="https://drive.google.com/file/d/1_fGRIXJgyB1Db_h-giwf9Fvp53vlQBlt/view?usp=drive_link" TargetMode="External"/><Relationship Id="rId1140" Type="http://schemas.openxmlformats.org/officeDocument/2006/relationships/hyperlink" Target="https://drive.google.com/file/d/1UBM6Wj4wpiJpolLcwX9g8xMp9b1zBgwl/view?usp=drive_link" TargetMode="External"/><Relationship Id="rId790" Type="http://schemas.openxmlformats.org/officeDocument/2006/relationships/hyperlink" Target="https://drive.google.com/file/d/1_fGRIXJgyB1Db_h-giwf9Fvp53vlQBlt/view?usp=drive_link" TargetMode="External"/><Relationship Id="rId1141" Type="http://schemas.openxmlformats.org/officeDocument/2006/relationships/hyperlink" Target="https://drive.google.com/file/d/1UBM6Wj4wpiJpolLcwX9g8xMp9b1zBgwl/view?usp=drive_link" TargetMode="External"/><Relationship Id="rId1142" Type="http://schemas.openxmlformats.org/officeDocument/2006/relationships/hyperlink" Target="https://drive.google.com/file/d/1WhenN847mZTlFifNVWqEG7SP_bkJK5oj/view?usp=drive_link" TargetMode="External"/><Relationship Id="rId312" Type="http://schemas.openxmlformats.org/officeDocument/2006/relationships/hyperlink" Target="https://drive.google.com/file/d/1Uyw-vEcpTA3abD7GoCbKWcN72wWnA7wX/view?usp=drive_link" TargetMode="External"/><Relationship Id="rId554" Type="http://schemas.openxmlformats.org/officeDocument/2006/relationships/hyperlink" Target="https://drive.google.com/file/d/1-pjO3bRhHCw_IFS9fdEWza2yNiozMRRh/view?usp=drive_link" TargetMode="External"/><Relationship Id="rId796" Type="http://schemas.openxmlformats.org/officeDocument/2006/relationships/hyperlink" Target="https://drive.google.com/file/d/1_fGRIXJgyB1Db_h-giwf9Fvp53vlQBlt/view?usp=drive_link" TargetMode="External"/><Relationship Id="rId1143" Type="http://schemas.openxmlformats.org/officeDocument/2006/relationships/hyperlink" Target="https://drive.google.com/file/d/1WhenN847mZTlFifNVWqEG7SP_bkJK5oj/view?usp=drive_link" TargetMode="External"/><Relationship Id="rId311" Type="http://schemas.openxmlformats.org/officeDocument/2006/relationships/hyperlink" Target="https://drive.google.com/file/d/1f7ZlQmW1EcnNVnnIyYU8wKIWfQrrd4nX/view?usp=drive_link" TargetMode="External"/><Relationship Id="rId553" Type="http://schemas.openxmlformats.org/officeDocument/2006/relationships/hyperlink" Target="https://drive.google.com/file/d/1-pjO3bRhHCw_IFS9fdEWza2yNiozMRRh/view?usp=drive_link" TargetMode="External"/><Relationship Id="rId795" Type="http://schemas.openxmlformats.org/officeDocument/2006/relationships/hyperlink" Target="https://drive.google.com/file/d/1_fGRIXJgyB1Db_h-giwf9Fvp53vlQBlt/view?usp=drive_link" TargetMode="External"/><Relationship Id="rId1144" Type="http://schemas.openxmlformats.org/officeDocument/2006/relationships/hyperlink" Target="https://drive.google.com/file/d/1WhenN847mZTlFifNVWqEG7SP_bkJK5oj/view?usp=drive_link" TargetMode="External"/><Relationship Id="rId310" Type="http://schemas.openxmlformats.org/officeDocument/2006/relationships/hyperlink" Target="https://drive.google.com/file/d/1f7ZlQmW1EcnNVnnIyYU8wKIWfQrrd4nX/view?usp=drive_link" TargetMode="External"/><Relationship Id="rId552" Type="http://schemas.openxmlformats.org/officeDocument/2006/relationships/hyperlink" Target="https://drive.google.com/file/d/1-pjO3bRhHCw_IFS9fdEWza2yNiozMRRh/view?usp=drive_link" TargetMode="External"/><Relationship Id="rId794" Type="http://schemas.openxmlformats.org/officeDocument/2006/relationships/hyperlink" Target="https://drive.google.com/file/d/1_fGRIXJgyB1Db_h-giwf9Fvp53vlQBlt/view?usp=drive_link" TargetMode="External"/><Relationship Id="rId1145" Type="http://schemas.openxmlformats.org/officeDocument/2006/relationships/hyperlink" Target="https://drive.google.com/file/d/1WhenN847mZTlFifNVWqEG7SP_bkJK5oj/view?usp=drive_link" TargetMode="External"/><Relationship Id="rId551" Type="http://schemas.openxmlformats.org/officeDocument/2006/relationships/hyperlink" Target="https://drive.google.com/file/d/1-pjO3bRhHCw_IFS9fdEWza2yNiozMRRh/view?usp=drive_link" TargetMode="External"/><Relationship Id="rId793" Type="http://schemas.openxmlformats.org/officeDocument/2006/relationships/hyperlink" Target="https://drive.google.com/file/d/1_fGRIXJgyB1Db_h-giwf9Fvp53vlQBlt/view?usp=drive_link" TargetMode="External"/><Relationship Id="rId1146" Type="http://schemas.openxmlformats.org/officeDocument/2006/relationships/hyperlink" Target="https://drive.google.com/file/d/1EMx5q8Da2zsQKp-tBKd8nZJ-A3s4qNuA/view?usp=drive_link" TargetMode="External"/><Relationship Id="rId297" Type="http://schemas.openxmlformats.org/officeDocument/2006/relationships/hyperlink" Target="https://drive.google.com/file/d/1K3WpcXJqp0lcz7Yj4Gers4qODbNfa_u0/view?usp=drive_link" TargetMode="External"/><Relationship Id="rId296" Type="http://schemas.openxmlformats.org/officeDocument/2006/relationships/hyperlink" Target="https://drive.google.com/file/d/1K3WpcXJqp0lcz7Yj4Gers4qODbNfa_u0/view?usp=drive_link" TargetMode="External"/><Relationship Id="rId295" Type="http://schemas.openxmlformats.org/officeDocument/2006/relationships/hyperlink" Target="https://drive.google.com/file/d/1K3WpcXJqp0lcz7Yj4Gers4qODbNfa_u0/view?usp=drive_link" TargetMode="External"/><Relationship Id="rId294" Type="http://schemas.openxmlformats.org/officeDocument/2006/relationships/hyperlink" Target="https://drive.google.com/file/d/1K3WpcXJqp0lcz7Yj4Gers4qODbNfa_u0/view?usp=drive_link" TargetMode="External"/><Relationship Id="rId299" Type="http://schemas.openxmlformats.org/officeDocument/2006/relationships/hyperlink" Target="https://drive.google.com/file/d/1GGxyYMpMCH9NeV5ej3jfvChNy1L2C3Sq/view?usp=drive_link" TargetMode="External"/><Relationship Id="rId298" Type="http://schemas.openxmlformats.org/officeDocument/2006/relationships/hyperlink" Target="https://drive.google.com/file/d/1GGxyYMpMCH9NeV5ej3jfvChNy1L2C3Sq/view?usp=drive_link" TargetMode="External"/><Relationship Id="rId271" Type="http://schemas.openxmlformats.org/officeDocument/2006/relationships/hyperlink" Target="https://drive.google.com/file/d/1oHqfDswAZ2aTUr34spGcNQI6-sxKn7dg/view?usp=drive_link" TargetMode="External"/><Relationship Id="rId270" Type="http://schemas.openxmlformats.org/officeDocument/2006/relationships/hyperlink" Target="https://drive.google.com/file/d/1oHqfDswAZ2aTUr34spGcNQI6-sxKn7dg/view?usp=drive_link" TargetMode="External"/><Relationship Id="rId269" Type="http://schemas.openxmlformats.org/officeDocument/2006/relationships/hyperlink" Target="https://drive.google.com/file/d/1F5SXnj5I_uWL7aIcTo9qrks5yixudt5A/view?usp=drive_link" TargetMode="External"/><Relationship Id="rId264" Type="http://schemas.openxmlformats.org/officeDocument/2006/relationships/hyperlink" Target="https://drive.google.com/file/d/1F5SXnj5I_uWL7aIcTo9qrks5yixudt5A/view?usp=drive_link" TargetMode="External"/><Relationship Id="rId263" Type="http://schemas.openxmlformats.org/officeDocument/2006/relationships/hyperlink" Target="https://drive.google.com/file/d/1F5SXnj5I_uWL7aIcTo9qrks5yixudt5A/view?usp=drive_link" TargetMode="External"/><Relationship Id="rId262" Type="http://schemas.openxmlformats.org/officeDocument/2006/relationships/hyperlink" Target="https://drive.google.com/file/d/1sifR68rvGrD26Y5yICnAx0P9uTNSdXt2/view?usp=drive_link" TargetMode="External"/><Relationship Id="rId261" Type="http://schemas.openxmlformats.org/officeDocument/2006/relationships/hyperlink" Target="https://drive.google.com/file/d/1sifR68rvGrD26Y5yICnAx0P9uTNSdXt2/view?usp=drive_link" TargetMode="External"/><Relationship Id="rId268" Type="http://schemas.openxmlformats.org/officeDocument/2006/relationships/hyperlink" Target="https://drive.google.com/file/d/1F5SXnj5I_uWL7aIcTo9qrks5yixudt5A/view?usp=drive_link" TargetMode="External"/><Relationship Id="rId267" Type="http://schemas.openxmlformats.org/officeDocument/2006/relationships/hyperlink" Target="https://drive.google.com/file/d/1F5SXnj5I_uWL7aIcTo9qrks5yixudt5A/view?usp=drive_link" TargetMode="External"/><Relationship Id="rId266" Type="http://schemas.openxmlformats.org/officeDocument/2006/relationships/hyperlink" Target="https://drive.google.com/file/d/1F5SXnj5I_uWL7aIcTo9qrks5yixudt5A/view?usp=drive_link" TargetMode="External"/><Relationship Id="rId265" Type="http://schemas.openxmlformats.org/officeDocument/2006/relationships/hyperlink" Target="https://drive.google.com/file/d/1F5SXnj5I_uWL7aIcTo9qrks5yixudt5A/view?usp=drive_link" TargetMode="External"/><Relationship Id="rId260" Type="http://schemas.openxmlformats.org/officeDocument/2006/relationships/hyperlink" Target="https://drive.google.com/file/d/1sifR68rvGrD26Y5yICnAx0P9uTNSdXt2/view?usp=drive_link" TargetMode="External"/><Relationship Id="rId259" Type="http://schemas.openxmlformats.org/officeDocument/2006/relationships/hyperlink" Target="https://drive.google.com/file/d/1sifR68rvGrD26Y5yICnAx0P9uTNSdXt2/view?usp=drive_link" TargetMode="External"/><Relationship Id="rId258" Type="http://schemas.openxmlformats.org/officeDocument/2006/relationships/hyperlink" Target="https://drive.google.com/file/d/1sifR68rvGrD26Y5yICnAx0P9uTNSdXt2/view?usp=drive_link" TargetMode="External"/><Relationship Id="rId253" Type="http://schemas.openxmlformats.org/officeDocument/2006/relationships/hyperlink" Target="https://drive.google.com/file/d/13HiSXDjV2B1Kp-59EF_di4W1MF07Jwaj/view?usp=drive_link" TargetMode="External"/><Relationship Id="rId495" Type="http://schemas.openxmlformats.org/officeDocument/2006/relationships/hyperlink" Target="https://drive.google.com/file/d/1T24pK15nR-6C4A2-ScdqY3BS-LxpX2X5/view?usp=drive_link" TargetMode="External"/><Relationship Id="rId252" Type="http://schemas.openxmlformats.org/officeDocument/2006/relationships/hyperlink" Target="https://drive.google.com/file/d/13HiSXDjV2B1Kp-59EF_di4W1MF07Jwaj/view?usp=drive_link" TargetMode="External"/><Relationship Id="rId494" Type="http://schemas.openxmlformats.org/officeDocument/2006/relationships/hyperlink" Target="https://drive.google.com/file/d/1T24pK15nR-6C4A2-ScdqY3BS-LxpX2X5/view?usp=drive_link" TargetMode="External"/><Relationship Id="rId251" Type="http://schemas.openxmlformats.org/officeDocument/2006/relationships/hyperlink" Target="https://drive.google.com/file/d/13HiSXDjV2B1Kp-59EF_di4W1MF07Jwaj/view?usp=drive_link" TargetMode="External"/><Relationship Id="rId493" Type="http://schemas.openxmlformats.org/officeDocument/2006/relationships/hyperlink" Target="https://drive.google.com/file/d/1EI7ldQmfAO_I-8YMID5IwPcTB5sm763M/view?usp=drive_link" TargetMode="External"/><Relationship Id="rId250" Type="http://schemas.openxmlformats.org/officeDocument/2006/relationships/hyperlink" Target="https://drive.google.com/file/d/13HiSXDjV2B1Kp-59EF_di4W1MF07Jwaj/view?usp=drive_link" TargetMode="External"/><Relationship Id="rId492" Type="http://schemas.openxmlformats.org/officeDocument/2006/relationships/hyperlink" Target="https://drive.google.com/file/d/1EI7ldQmfAO_I-8YMID5IwPcTB5sm763M/view?usp=drive_link" TargetMode="External"/><Relationship Id="rId257" Type="http://schemas.openxmlformats.org/officeDocument/2006/relationships/hyperlink" Target="https://drive.google.com/file/d/1sifR68rvGrD26Y5yICnAx0P9uTNSdXt2/view?usp=drive_link" TargetMode="External"/><Relationship Id="rId499" Type="http://schemas.openxmlformats.org/officeDocument/2006/relationships/hyperlink" Target="https://drive.google.com/file/d/1T24pK15nR-6C4A2-ScdqY3BS-LxpX2X5/view?usp=drive_link" TargetMode="External"/><Relationship Id="rId256" Type="http://schemas.openxmlformats.org/officeDocument/2006/relationships/hyperlink" Target="https://drive.google.com/file/d/1sifR68rvGrD26Y5yICnAx0P9uTNSdXt2/view?usp=drive_link" TargetMode="External"/><Relationship Id="rId498" Type="http://schemas.openxmlformats.org/officeDocument/2006/relationships/hyperlink" Target="https://drive.google.com/file/d/1T24pK15nR-6C4A2-ScdqY3BS-LxpX2X5/view?usp=drive_link" TargetMode="External"/><Relationship Id="rId255" Type="http://schemas.openxmlformats.org/officeDocument/2006/relationships/hyperlink" Target="https://drive.google.com/file/d/13HiSXDjV2B1Kp-59EF_di4W1MF07Jwaj/view?usp=drive_link" TargetMode="External"/><Relationship Id="rId497" Type="http://schemas.openxmlformats.org/officeDocument/2006/relationships/hyperlink" Target="https://drive.google.com/file/d/1T24pK15nR-6C4A2-ScdqY3BS-LxpX2X5/view?usp=drive_link" TargetMode="External"/><Relationship Id="rId254" Type="http://schemas.openxmlformats.org/officeDocument/2006/relationships/hyperlink" Target="https://drive.google.com/file/d/13HiSXDjV2B1Kp-59EF_di4W1MF07Jwaj/view?usp=drive_link" TargetMode="External"/><Relationship Id="rId496" Type="http://schemas.openxmlformats.org/officeDocument/2006/relationships/hyperlink" Target="https://drive.google.com/file/d/1T24pK15nR-6C4A2-ScdqY3BS-LxpX2X5/view?usp=drive_link" TargetMode="External"/><Relationship Id="rId293" Type="http://schemas.openxmlformats.org/officeDocument/2006/relationships/hyperlink" Target="https://drive.google.com/file/d/1K3WpcXJqp0lcz7Yj4Gers4qODbNfa_u0/view?usp=drive_link" TargetMode="External"/><Relationship Id="rId292" Type="http://schemas.openxmlformats.org/officeDocument/2006/relationships/hyperlink" Target="https://drive.google.com/file/d/1K3WpcXJqp0lcz7Yj4Gers4qODbNfa_u0/view?usp=drive_link" TargetMode="External"/><Relationship Id="rId291" Type="http://schemas.openxmlformats.org/officeDocument/2006/relationships/hyperlink" Target="https://drive.google.com/file/d/1K3WpcXJqp0lcz7Yj4Gers4qODbNfa_u0/view?usp=drive_link" TargetMode="External"/><Relationship Id="rId290" Type="http://schemas.openxmlformats.org/officeDocument/2006/relationships/hyperlink" Target="https://drive.google.com/file/d/1tX6E-ECsjGbIT0rJ4JPdqMaq6M5AbEWo/view?usp=drive_link" TargetMode="External"/><Relationship Id="rId286" Type="http://schemas.openxmlformats.org/officeDocument/2006/relationships/hyperlink" Target="https://drive.google.com/file/d/1tX6E-ECsjGbIT0rJ4JPdqMaq6M5AbEWo/view?usp=drive_link" TargetMode="External"/><Relationship Id="rId285" Type="http://schemas.openxmlformats.org/officeDocument/2006/relationships/hyperlink" Target="https://drive.google.com/file/d/1tX6E-ECsjGbIT0rJ4JPdqMaq6M5AbEWo/view?usp=drive_link" TargetMode="External"/><Relationship Id="rId284" Type="http://schemas.openxmlformats.org/officeDocument/2006/relationships/hyperlink" Target="https://drive.google.com/file/d/1tX6E-ECsjGbIT0rJ4JPdqMaq6M5AbEWo/view?usp=drive_link" TargetMode="External"/><Relationship Id="rId283" Type="http://schemas.openxmlformats.org/officeDocument/2006/relationships/hyperlink" Target="https://drive.google.com/file/d/1XYQ92VTU6NvU0GwN5ec70g_30pXMJvXt/view?usp=drive_link" TargetMode="External"/><Relationship Id="rId289" Type="http://schemas.openxmlformats.org/officeDocument/2006/relationships/hyperlink" Target="https://drive.google.com/file/d/1tX6E-ECsjGbIT0rJ4JPdqMaq6M5AbEWo/view?usp=drive_link" TargetMode="External"/><Relationship Id="rId288" Type="http://schemas.openxmlformats.org/officeDocument/2006/relationships/hyperlink" Target="https://drive.google.com/file/d/1tX6E-ECsjGbIT0rJ4JPdqMaq6M5AbEWo/view?usp=drive_link" TargetMode="External"/><Relationship Id="rId287" Type="http://schemas.openxmlformats.org/officeDocument/2006/relationships/hyperlink" Target="https://drive.google.com/file/d/1tX6E-ECsjGbIT0rJ4JPdqMaq6M5AbEWo/view?usp=drive_link" TargetMode="External"/><Relationship Id="rId282" Type="http://schemas.openxmlformats.org/officeDocument/2006/relationships/hyperlink" Target="https://drive.google.com/file/d/1XYQ92VTU6NvU0GwN5ec70g_30pXMJvXt/view?usp=drive_link" TargetMode="External"/><Relationship Id="rId281" Type="http://schemas.openxmlformats.org/officeDocument/2006/relationships/hyperlink" Target="https://drive.google.com/file/d/1XYQ92VTU6NvU0GwN5ec70g_30pXMJvXt/view?usp=drive_link" TargetMode="External"/><Relationship Id="rId280" Type="http://schemas.openxmlformats.org/officeDocument/2006/relationships/hyperlink" Target="https://drive.google.com/file/d/1XYQ92VTU6NvU0GwN5ec70g_30pXMJvXt/view?usp=drive_link" TargetMode="External"/><Relationship Id="rId275" Type="http://schemas.openxmlformats.org/officeDocument/2006/relationships/hyperlink" Target="https://drive.google.com/file/d/1oHqfDswAZ2aTUr34spGcNQI6-sxKn7dg/view?usp=drive_link" TargetMode="External"/><Relationship Id="rId274" Type="http://schemas.openxmlformats.org/officeDocument/2006/relationships/hyperlink" Target="https://drive.google.com/file/d/1oHqfDswAZ2aTUr34spGcNQI6-sxKn7dg/view?usp=drive_link" TargetMode="External"/><Relationship Id="rId273" Type="http://schemas.openxmlformats.org/officeDocument/2006/relationships/hyperlink" Target="https://drive.google.com/file/d/1oHqfDswAZ2aTUr34spGcNQI6-sxKn7dg/view?usp=drive_link" TargetMode="External"/><Relationship Id="rId272" Type="http://schemas.openxmlformats.org/officeDocument/2006/relationships/hyperlink" Target="https://drive.google.com/file/d/1oHqfDswAZ2aTUr34spGcNQI6-sxKn7dg/view?usp=drive_link" TargetMode="External"/><Relationship Id="rId279" Type="http://schemas.openxmlformats.org/officeDocument/2006/relationships/hyperlink" Target="https://drive.google.com/file/d/1XYQ92VTU6NvU0GwN5ec70g_30pXMJvXt/view?usp=drive_link" TargetMode="External"/><Relationship Id="rId278" Type="http://schemas.openxmlformats.org/officeDocument/2006/relationships/hyperlink" Target="https://drive.google.com/file/d/1XYQ92VTU6NvU0GwN5ec70g_30pXMJvXt/view?usp=drive_link" TargetMode="External"/><Relationship Id="rId277" Type="http://schemas.openxmlformats.org/officeDocument/2006/relationships/hyperlink" Target="https://drive.google.com/file/d/1XYQ92VTU6NvU0GwN5ec70g_30pXMJvXt/view?usp=drive_link" TargetMode="External"/><Relationship Id="rId276" Type="http://schemas.openxmlformats.org/officeDocument/2006/relationships/hyperlink" Target="https://drive.google.com/file/d/1oHqfDswAZ2aTUr34spGcNQI6-sxKn7dg/view?usp=drive_link" TargetMode="External"/><Relationship Id="rId907" Type="http://schemas.openxmlformats.org/officeDocument/2006/relationships/hyperlink" Target="https://drive.google.com/file/d/1c2y7YpGWl7FD5GAJYKJyFAbKMbkt5Vbc/view?usp=drive_link" TargetMode="External"/><Relationship Id="rId906" Type="http://schemas.openxmlformats.org/officeDocument/2006/relationships/hyperlink" Target="https://drive.google.com/file/d/1c2y7YpGWl7FD5GAJYKJyFAbKMbkt5Vbc/view?usp=drive_link" TargetMode="External"/><Relationship Id="rId905" Type="http://schemas.openxmlformats.org/officeDocument/2006/relationships/hyperlink" Target="https://drive.google.com/file/d/1i_8abfonmG-89Ros0zHUWnNu8MzhQNxP/view?usp=drive_link" TargetMode="External"/><Relationship Id="rId904" Type="http://schemas.openxmlformats.org/officeDocument/2006/relationships/hyperlink" Target="https://drive.google.com/file/d/1i_8abfonmG-89Ros0zHUWnNu8MzhQNxP/view?usp=drive_link" TargetMode="External"/><Relationship Id="rId909" Type="http://schemas.openxmlformats.org/officeDocument/2006/relationships/hyperlink" Target="https://drive.google.com/file/d/1c2y7YpGWl7FD5GAJYKJyFAbKMbkt5Vbc/view?usp=drive_link" TargetMode="External"/><Relationship Id="rId908" Type="http://schemas.openxmlformats.org/officeDocument/2006/relationships/hyperlink" Target="https://drive.google.com/file/d/1c2y7YpGWl7FD5GAJYKJyFAbKMbkt5Vbc/view?usp=drive_link" TargetMode="External"/><Relationship Id="rId903" Type="http://schemas.openxmlformats.org/officeDocument/2006/relationships/hyperlink" Target="https://drive.google.com/file/d/1i_8abfonmG-89Ros0zHUWnNu8MzhQNxP/view?usp=drive_link" TargetMode="External"/><Relationship Id="rId902" Type="http://schemas.openxmlformats.org/officeDocument/2006/relationships/hyperlink" Target="https://drive.google.com/file/d/1i_8abfonmG-89Ros0zHUWnNu8MzhQNxP/view?usp=drive_link" TargetMode="External"/><Relationship Id="rId901" Type="http://schemas.openxmlformats.org/officeDocument/2006/relationships/hyperlink" Target="https://drive.google.com/file/d/1i_8abfonmG-89Ros0zHUWnNu8MzhQNxP/view?usp=drive_link" TargetMode="External"/><Relationship Id="rId900" Type="http://schemas.openxmlformats.org/officeDocument/2006/relationships/hyperlink" Target="https://drive.google.com/file/d/1i_8abfonmG-89Ros0zHUWnNu8MzhQNxP/view?usp=drive_link" TargetMode="External"/><Relationship Id="rId929" Type="http://schemas.openxmlformats.org/officeDocument/2006/relationships/hyperlink" Target="https://drive.google.com/file/d/1imSx3obbbSc4-d6PJG_OfeFS6Nsj15J0/view?usp=drive_link" TargetMode="External"/><Relationship Id="rId928" Type="http://schemas.openxmlformats.org/officeDocument/2006/relationships/hyperlink" Target="https://drive.google.com/file/d/1imSx3obbbSc4-d6PJG_OfeFS6Nsj15J0/view?usp=drive_link" TargetMode="External"/><Relationship Id="rId927" Type="http://schemas.openxmlformats.org/officeDocument/2006/relationships/hyperlink" Target="https://drive.google.com/file/d/1imSx3obbbSc4-d6PJG_OfeFS6Nsj15J0/view?usp=drive_link" TargetMode="External"/><Relationship Id="rId926" Type="http://schemas.openxmlformats.org/officeDocument/2006/relationships/hyperlink" Target="https://drive.google.com/file/d/1imSx3obbbSc4-d6PJG_OfeFS6Nsj15J0/view?usp=drive_link" TargetMode="External"/><Relationship Id="rId921" Type="http://schemas.openxmlformats.org/officeDocument/2006/relationships/hyperlink" Target="https://drive.google.com/file/d/11bJ-CMBqxBEl4qg_GXdjTzkaNxiL5zkL/view?usp=drive_link" TargetMode="External"/><Relationship Id="rId920" Type="http://schemas.openxmlformats.org/officeDocument/2006/relationships/hyperlink" Target="https://drive.google.com/file/d/11bJ-CMBqxBEl4qg_GXdjTzkaNxiL5zkL/view?usp=drive_link" TargetMode="External"/><Relationship Id="rId925" Type="http://schemas.openxmlformats.org/officeDocument/2006/relationships/hyperlink" Target="https://drive.google.com/file/d/1imSx3obbbSc4-d6PJG_OfeFS6Nsj15J0/view?usp=drive_link" TargetMode="External"/><Relationship Id="rId924" Type="http://schemas.openxmlformats.org/officeDocument/2006/relationships/hyperlink" Target="https://drive.google.com/file/d/11bJ-CMBqxBEl4qg_GXdjTzkaNxiL5zkL/view?usp=drive_link" TargetMode="External"/><Relationship Id="rId923" Type="http://schemas.openxmlformats.org/officeDocument/2006/relationships/hyperlink" Target="https://drive.google.com/file/d/11bJ-CMBqxBEl4qg_GXdjTzkaNxiL5zkL/view?usp=drive_link" TargetMode="External"/><Relationship Id="rId922" Type="http://schemas.openxmlformats.org/officeDocument/2006/relationships/hyperlink" Target="https://drive.google.com/file/d/11bJ-CMBqxBEl4qg_GXdjTzkaNxiL5zkL/view?usp=drive_link" TargetMode="External"/><Relationship Id="rId918" Type="http://schemas.openxmlformats.org/officeDocument/2006/relationships/hyperlink" Target="https://drive.google.com/file/d/11bJ-CMBqxBEl4qg_GXdjTzkaNxiL5zkL/view?usp=drive_link" TargetMode="External"/><Relationship Id="rId917" Type="http://schemas.openxmlformats.org/officeDocument/2006/relationships/hyperlink" Target="https://drive.google.com/file/d/11bJ-CMBqxBEl4qg_GXdjTzkaNxiL5zkL/view?usp=drive_link" TargetMode="External"/><Relationship Id="rId916" Type="http://schemas.openxmlformats.org/officeDocument/2006/relationships/hyperlink" Target="https://drive.google.com/file/d/11bJ-CMBqxBEl4qg_GXdjTzkaNxiL5zkL/view?usp=drive_link" TargetMode="External"/><Relationship Id="rId915" Type="http://schemas.openxmlformats.org/officeDocument/2006/relationships/hyperlink" Target="https://drive.google.com/file/d/11bJ-CMBqxBEl4qg_GXdjTzkaNxiL5zkL/view?usp=drive_link" TargetMode="External"/><Relationship Id="rId919" Type="http://schemas.openxmlformats.org/officeDocument/2006/relationships/hyperlink" Target="https://drive.google.com/file/d/11bJ-CMBqxBEl4qg_GXdjTzkaNxiL5zkL/view?usp=drive_link" TargetMode="External"/><Relationship Id="rId910" Type="http://schemas.openxmlformats.org/officeDocument/2006/relationships/hyperlink" Target="https://drive.google.com/file/d/1c2y7YpGWl7FD5GAJYKJyFAbKMbkt5Vbc/view?usp=drive_link" TargetMode="External"/><Relationship Id="rId914" Type="http://schemas.openxmlformats.org/officeDocument/2006/relationships/hyperlink" Target="https://drive.google.com/file/d/1c2y7YpGWl7FD5GAJYKJyFAbKMbkt5Vbc/view?usp=drive_link" TargetMode="External"/><Relationship Id="rId913" Type="http://schemas.openxmlformats.org/officeDocument/2006/relationships/hyperlink" Target="https://drive.google.com/file/d/1c2y7YpGWl7FD5GAJYKJyFAbKMbkt5Vbc/view?usp=drive_link" TargetMode="External"/><Relationship Id="rId912" Type="http://schemas.openxmlformats.org/officeDocument/2006/relationships/hyperlink" Target="https://drive.google.com/file/d/1c2y7YpGWl7FD5GAJYKJyFAbKMbkt5Vbc/view?usp=drive_link" TargetMode="External"/><Relationship Id="rId911" Type="http://schemas.openxmlformats.org/officeDocument/2006/relationships/hyperlink" Target="https://drive.google.com/file/d/1c2y7YpGWl7FD5GAJYKJyFAbKMbkt5Vbc/view?usp=drive_link" TargetMode="External"/><Relationship Id="rId629" Type="http://schemas.openxmlformats.org/officeDocument/2006/relationships/hyperlink" Target="https://drive.google.com/file/d/1w37htf4fNF0pcp1Dy-XPxGJbGe6Stpm5/view?usp=drive_link" TargetMode="External"/><Relationship Id="rId624" Type="http://schemas.openxmlformats.org/officeDocument/2006/relationships/hyperlink" Target="https://drive.google.com/file/d/1fTIZCHcHACdDoiWQyFoOBTTNoiUj0KhR/view?usp=drive_link" TargetMode="External"/><Relationship Id="rId866" Type="http://schemas.openxmlformats.org/officeDocument/2006/relationships/hyperlink" Target="https://drive.google.com/file/d/1L47azJSY1PPSWNackBlNm44DnXVOfHpf/view?usp=drive_link" TargetMode="External"/><Relationship Id="rId623" Type="http://schemas.openxmlformats.org/officeDocument/2006/relationships/hyperlink" Target="https://drive.google.com/file/d/1fTIZCHcHACdDoiWQyFoOBTTNoiUj0KhR/view?usp=drive_link" TargetMode="External"/><Relationship Id="rId865" Type="http://schemas.openxmlformats.org/officeDocument/2006/relationships/hyperlink" Target="https://drive.google.com/file/d/1L47azJSY1PPSWNackBlNm44DnXVOfHpf/view?usp=drive_link" TargetMode="External"/><Relationship Id="rId622" Type="http://schemas.openxmlformats.org/officeDocument/2006/relationships/hyperlink" Target="https://drive.google.com/file/d/1fTIZCHcHACdDoiWQyFoOBTTNoiUj0KhR/view?usp=drive_link" TargetMode="External"/><Relationship Id="rId864" Type="http://schemas.openxmlformats.org/officeDocument/2006/relationships/hyperlink" Target="https://drive.google.com/file/d/1L47azJSY1PPSWNackBlNm44DnXVOfHpf/view?usp=drive_link" TargetMode="External"/><Relationship Id="rId621" Type="http://schemas.openxmlformats.org/officeDocument/2006/relationships/hyperlink" Target="https://drive.google.com/file/d/1fTIZCHcHACdDoiWQyFoOBTTNoiUj0KhR/view?usp=drive_link" TargetMode="External"/><Relationship Id="rId863" Type="http://schemas.openxmlformats.org/officeDocument/2006/relationships/hyperlink" Target="https://drive.google.com/file/d/1L47azJSY1PPSWNackBlNm44DnXVOfHpf/view?usp=drive_link" TargetMode="External"/><Relationship Id="rId628" Type="http://schemas.openxmlformats.org/officeDocument/2006/relationships/hyperlink" Target="https://drive.google.com/file/d/1w37htf4fNF0pcp1Dy-XPxGJbGe6Stpm5/view?usp=drive_link" TargetMode="External"/><Relationship Id="rId627" Type="http://schemas.openxmlformats.org/officeDocument/2006/relationships/hyperlink" Target="https://drive.google.com/file/d/1w37htf4fNF0pcp1Dy-XPxGJbGe6Stpm5/view?usp=drive_link" TargetMode="External"/><Relationship Id="rId869" Type="http://schemas.openxmlformats.org/officeDocument/2006/relationships/hyperlink" Target="https://drive.google.com/file/d/1L47azJSY1PPSWNackBlNm44DnXVOfHpf/view?usp=drive_link" TargetMode="External"/><Relationship Id="rId626" Type="http://schemas.openxmlformats.org/officeDocument/2006/relationships/hyperlink" Target="https://drive.google.com/file/d/1fTIZCHcHACdDoiWQyFoOBTTNoiUj0KhR/view?usp=drive_link" TargetMode="External"/><Relationship Id="rId868" Type="http://schemas.openxmlformats.org/officeDocument/2006/relationships/hyperlink" Target="https://drive.google.com/file/d/1L47azJSY1PPSWNackBlNm44DnXVOfHpf/view?usp=drive_link" TargetMode="External"/><Relationship Id="rId625" Type="http://schemas.openxmlformats.org/officeDocument/2006/relationships/hyperlink" Target="https://drive.google.com/file/d/1fTIZCHcHACdDoiWQyFoOBTTNoiUj0KhR/view?usp=drive_link" TargetMode="External"/><Relationship Id="rId867" Type="http://schemas.openxmlformats.org/officeDocument/2006/relationships/hyperlink" Target="https://drive.google.com/file/d/1L47azJSY1PPSWNackBlNm44DnXVOfHpf/view?usp=drive_link" TargetMode="External"/><Relationship Id="rId620" Type="http://schemas.openxmlformats.org/officeDocument/2006/relationships/hyperlink" Target="https://drive.google.com/file/d/1fTIZCHcHACdDoiWQyFoOBTTNoiUj0KhR/view?usp=drive_link" TargetMode="External"/><Relationship Id="rId862" Type="http://schemas.openxmlformats.org/officeDocument/2006/relationships/hyperlink" Target="https://drive.google.com/file/d/1L47azJSY1PPSWNackBlNm44DnXVOfHpf/view?usp=drive_link" TargetMode="External"/><Relationship Id="rId861" Type="http://schemas.openxmlformats.org/officeDocument/2006/relationships/hyperlink" Target="https://drive.google.com/file/d/1L47azJSY1PPSWNackBlNm44DnXVOfHpf/view?usp=drive_link" TargetMode="External"/><Relationship Id="rId860" Type="http://schemas.openxmlformats.org/officeDocument/2006/relationships/hyperlink" Target="https://drive.google.com/file/d/1II93fW73IzewK_ZzoDteMqm8pewKRITM/view?usp=drive_link" TargetMode="External"/><Relationship Id="rId619" Type="http://schemas.openxmlformats.org/officeDocument/2006/relationships/hyperlink" Target="https://drive.google.com/file/d/1Y87GM4ZK9iAAQsMWVpL2rd8hhYzKiEYS/view?usp=drive_link" TargetMode="External"/><Relationship Id="rId618" Type="http://schemas.openxmlformats.org/officeDocument/2006/relationships/hyperlink" Target="https://drive.google.com/file/d/1Y87GM4ZK9iAAQsMWVpL2rd8hhYzKiEYS/view?usp=drive_link" TargetMode="External"/><Relationship Id="rId613" Type="http://schemas.openxmlformats.org/officeDocument/2006/relationships/hyperlink" Target="https://drive.google.com/file/d/1Y87GM4ZK9iAAQsMWVpL2rd8hhYzKiEYS/view?usp=drive_link" TargetMode="External"/><Relationship Id="rId855" Type="http://schemas.openxmlformats.org/officeDocument/2006/relationships/hyperlink" Target="https://drive.google.com/file/d/1II93fW73IzewK_ZzoDteMqm8pewKRITM/view?usp=drive_link" TargetMode="External"/><Relationship Id="rId612" Type="http://schemas.openxmlformats.org/officeDocument/2006/relationships/hyperlink" Target="https://drive.google.com/file/d/1GTWnx1eDzhpqvB20MYFkg5Vx-XqR8DBZ/view?usp=drive_link" TargetMode="External"/><Relationship Id="rId854" Type="http://schemas.openxmlformats.org/officeDocument/2006/relationships/hyperlink" Target="https://drive.google.com/file/d/1II93fW73IzewK_ZzoDteMqm8pewKRITM/view?usp=drive_link" TargetMode="External"/><Relationship Id="rId611" Type="http://schemas.openxmlformats.org/officeDocument/2006/relationships/hyperlink" Target="https://drive.google.com/file/d/1GTWnx1eDzhpqvB20MYFkg5Vx-XqR8DBZ/view?usp=drive_link" TargetMode="External"/><Relationship Id="rId853" Type="http://schemas.openxmlformats.org/officeDocument/2006/relationships/hyperlink" Target="https://drive.google.com/file/d/1II93fW73IzewK_ZzoDteMqm8pewKRITM/view?usp=drive_link" TargetMode="External"/><Relationship Id="rId610" Type="http://schemas.openxmlformats.org/officeDocument/2006/relationships/hyperlink" Target="https://drive.google.com/file/d/1GTWnx1eDzhpqvB20MYFkg5Vx-XqR8DBZ/view?usp=drive_link" TargetMode="External"/><Relationship Id="rId852" Type="http://schemas.openxmlformats.org/officeDocument/2006/relationships/hyperlink" Target="https://drive.google.com/file/d/1II93fW73IzewK_ZzoDteMqm8pewKRITM/view?usp=drive_link" TargetMode="External"/><Relationship Id="rId617" Type="http://schemas.openxmlformats.org/officeDocument/2006/relationships/hyperlink" Target="https://drive.google.com/file/d/1Y87GM4ZK9iAAQsMWVpL2rd8hhYzKiEYS/view?usp=drive_link" TargetMode="External"/><Relationship Id="rId859" Type="http://schemas.openxmlformats.org/officeDocument/2006/relationships/hyperlink" Target="https://drive.google.com/file/d/1II93fW73IzewK_ZzoDteMqm8pewKRITM/view?usp=drive_link" TargetMode="External"/><Relationship Id="rId616" Type="http://schemas.openxmlformats.org/officeDocument/2006/relationships/hyperlink" Target="https://drive.google.com/file/d/1Y87GM4ZK9iAAQsMWVpL2rd8hhYzKiEYS/view?usp=drive_link" TargetMode="External"/><Relationship Id="rId858" Type="http://schemas.openxmlformats.org/officeDocument/2006/relationships/hyperlink" Target="https://drive.google.com/file/d/1II93fW73IzewK_ZzoDteMqm8pewKRITM/view?usp=drive_link" TargetMode="External"/><Relationship Id="rId615" Type="http://schemas.openxmlformats.org/officeDocument/2006/relationships/hyperlink" Target="https://drive.google.com/file/d/1Y87GM4ZK9iAAQsMWVpL2rd8hhYzKiEYS/view?usp=drive_link" TargetMode="External"/><Relationship Id="rId857" Type="http://schemas.openxmlformats.org/officeDocument/2006/relationships/hyperlink" Target="https://drive.google.com/file/d/1II93fW73IzewK_ZzoDteMqm8pewKRITM/view?usp=drive_link" TargetMode="External"/><Relationship Id="rId614" Type="http://schemas.openxmlformats.org/officeDocument/2006/relationships/hyperlink" Target="https://drive.google.com/file/d/1Y87GM4ZK9iAAQsMWVpL2rd8hhYzKiEYS/view?usp=drive_link" TargetMode="External"/><Relationship Id="rId856" Type="http://schemas.openxmlformats.org/officeDocument/2006/relationships/hyperlink" Target="https://drive.google.com/file/d/1II93fW73IzewK_ZzoDteMqm8pewKRITM/view?usp=drive_link" TargetMode="External"/><Relationship Id="rId851" Type="http://schemas.openxmlformats.org/officeDocument/2006/relationships/hyperlink" Target="https://drive.google.com/file/d/1L47azJSY1PPSWNackBlNm44DnXVOfHpf/view?usp=drive_link" TargetMode="External"/><Relationship Id="rId850" Type="http://schemas.openxmlformats.org/officeDocument/2006/relationships/hyperlink" Target="https://drive.google.com/file/d/1L47azJSY1PPSWNackBlNm44DnXVOfHpf/view?usp=drive_link" TargetMode="External"/><Relationship Id="rId409" Type="http://schemas.openxmlformats.org/officeDocument/2006/relationships/hyperlink" Target="https://drive.google.com/file/d/1Iq4LJYdY_UQgHaM4IYsOJi-pF0vsd2EN/view?usp=drive_link" TargetMode="External"/><Relationship Id="rId404" Type="http://schemas.openxmlformats.org/officeDocument/2006/relationships/hyperlink" Target="https://drive.google.com/file/d/1Iq4LJYdY_UQgHaM4IYsOJi-pF0vsd2EN/view?usp=drive_link" TargetMode="External"/><Relationship Id="rId646" Type="http://schemas.openxmlformats.org/officeDocument/2006/relationships/hyperlink" Target="https://drive.google.com/file/d/1DQGcH_bwwyrkKuyHpsz8Jqhr0Ne6WxuK/view?usp=drive_link" TargetMode="External"/><Relationship Id="rId888" Type="http://schemas.openxmlformats.org/officeDocument/2006/relationships/hyperlink" Target="https://drive.google.com/file/d/1igI1wh_Q0jTB7TMB0o-EnoMxLaaHaFQI/view?usp=drive_link" TargetMode="External"/><Relationship Id="rId403" Type="http://schemas.openxmlformats.org/officeDocument/2006/relationships/hyperlink" Target="https://drive.google.com/file/d/1Iq4LJYdY_UQgHaM4IYsOJi-pF0vsd2EN/view?usp=drive_link" TargetMode="External"/><Relationship Id="rId645" Type="http://schemas.openxmlformats.org/officeDocument/2006/relationships/hyperlink" Target="https://drive.google.com/file/d/1DQGcH_bwwyrkKuyHpsz8Jqhr0Ne6WxuK/view?usp=drive_link" TargetMode="External"/><Relationship Id="rId887" Type="http://schemas.openxmlformats.org/officeDocument/2006/relationships/hyperlink" Target="https://drive.google.com/file/d/1S4d3BkYQdGhZ_-d8m5VVtaP63cZcnvzY/view?usp=drive_link" TargetMode="External"/><Relationship Id="rId402" Type="http://schemas.openxmlformats.org/officeDocument/2006/relationships/hyperlink" Target="https://drive.google.com/file/d/1U5NpUldX11lIUPg7cKfgimE2IcQ5pp7N/view?usp=drive_link" TargetMode="External"/><Relationship Id="rId644" Type="http://schemas.openxmlformats.org/officeDocument/2006/relationships/hyperlink" Target="https://drive.google.com/file/d/1DQGcH_bwwyrkKuyHpsz8Jqhr0Ne6WxuK/view?usp=drive_link" TargetMode="External"/><Relationship Id="rId886" Type="http://schemas.openxmlformats.org/officeDocument/2006/relationships/hyperlink" Target="https://drive.google.com/file/d/1S4d3BkYQdGhZ_-d8m5VVtaP63cZcnvzY/view?usp=drive_link" TargetMode="External"/><Relationship Id="rId401" Type="http://schemas.openxmlformats.org/officeDocument/2006/relationships/hyperlink" Target="https://drive.google.com/file/d/1U5NpUldX11lIUPg7cKfgimE2IcQ5pp7N/view?usp=drive_link" TargetMode="External"/><Relationship Id="rId643" Type="http://schemas.openxmlformats.org/officeDocument/2006/relationships/hyperlink" Target="https://drive.google.com/file/d/1DQGcH_bwwyrkKuyHpsz8Jqhr0Ne6WxuK/view?usp=drive_link" TargetMode="External"/><Relationship Id="rId885" Type="http://schemas.openxmlformats.org/officeDocument/2006/relationships/hyperlink" Target="https://drive.google.com/file/d/1S4d3BkYQdGhZ_-d8m5VVtaP63cZcnvzY/view?usp=drive_link" TargetMode="External"/><Relationship Id="rId408" Type="http://schemas.openxmlformats.org/officeDocument/2006/relationships/hyperlink" Target="https://drive.google.com/file/d/1Iq4LJYdY_UQgHaM4IYsOJi-pF0vsd2EN/view?usp=drive_link" TargetMode="External"/><Relationship Id="rId407" Type="http://schemas.openxmlformats.org/officeDocument/2006/relationships/hyperlink" Target="https://drive.google.com/file/d/1Iq4LJYdY_UQgHaM4IYsOJi-pF0vsd2EN/view?usp=drive_link" TargetMode="External"/><Relationship Id="rId649" Type="http://schemas.openxmlformats.org/officeDocument/2006/relationships/hyperlink" Target="https://drive.google.com/file/d/1U5NpUldX11lIUPg7cKfgimE2IcQ5pp7N/view?usp=drive_link" TargetMode="External"/><Relationship Id="rId406" Type="http://schemas.openxmlformats.org/officeDocument/2006/relationships/hyperlink" Target="https://drive.google.com/file/d/1Iq4LJYdY_UQgHaM4IYsOJi-pF0vsd2EN/view?usp=drive_link" TargetMode="External"/><Relationship Id="rId648" Type="http://schemas.openxmlformats.org/officeDocument/2006/relationships/hyperlink" Target="https://drive.google.com/file/d/1U5NpUldX11lIUPg7cKfgimE2IcQ5pp7N/view?usp=drive_link" TargetMode="External"/><Relationship Id="rId405" Type="http://schemas.openxmlformats.org/officeDocument/2006/relationships/hyperlink" Target="https://drive.google.com/file/d/1Iq4LJYdY_UQgHaM4IYsOJi-pF0vsd2EN/view?usp=drive_link" TargetMode="External"/><Relationship Id="rId647" Type="http://schemas.openxmlformats.org/officeDocument/2006/relationships/hyperlink" Target="https://drive.google.com/file/d/1DQGcH_bwwyrkKuyHpsz8Jqhr0Ne6WxuK/view?usp=drive_link" TargetMode="External"/><Relationship Id="rId889" Type="http://schemas.openxmlformats.org/officeDocument/2006/relationships/hyperlink" Target="https://drive.google.com/file/d/1igI1wh_Q0jTB7TMB0o-EnoMxLaaHaFQI/view?usp=drive_link" TargetMode="External"/><Relationship Id="rId880" Type="http://schemas.openxmlformats.org/officeDocument/2006/relationships/hyperlink" Target="https://drive.google.com/file/d/1S4d3BkYQdGhZ_-d8m5VVtaP63cZcnvzY/view?usp=drive_link" TargetMode="External"/><Relationship Id="rId400" Type="http://schemas.openxmlformats.org/officeDocument/2006/relationships/hyperlink" Target="https://drive.google.com/file/d/1U5NpUldX11lIUPg7cKfgimE2IcQ5pp7N/view?usp=drive_link" TargetMode="External"/><Relationship Id="rId642" Type="http://schemas.openxmlformats.org/officeDocument/2006/relationships/hyperlink" Target="https://drive.google.com/file/d/1DQGcH_bwwyrkKuyHpsz8Jqhr0Ne6WxuK/view?usp=drive_link" TargetMode="External"/><Relationship Id="rId884" Type="http://schemas.openxmlformats.org/officeDocument/2006/relationships/hyperlink" Target="https://drive.google.com/file/d/1S4d3BkYQdGhZ_-d8m5VVtaP63cZcnvzY/view?usp=drive_link" TargetMode="External"/><Relationship Id="rId641" Type="http://schemas.openxmlformats.org/officeDocument/2006/relationships/hyperlink" Target="https://drive.google.com/file/d/1DQGcH_bwwyrkKuyHpsz8Jqhr0Ne6WxuK/view?usp=drive_link" TargetMode="External"/><Relationship Id="rId883" Type="http://schemas.openxmlformats.org/officeDocument/2006/relationships/hyperlink" Target="https://drive.google.com/file/d/1S4d3BkYQdGhZ_-d8m5VVtaP63cZcnvzY/view?usp=drive_link" TargetMode="External"/><Relationship Id="rId640" Type="http://schemas.openxmlformats.org/officeDocument/2006/relationships/hyperlink" Target="https://drive.google.com/file/d/1d6hD5CYKvvMeo0tRHQ7mTTQmnqIXZ2cf/view?usp=drive_link" TargetMode="External"/><Relationship Id="rId882" Type="http://schemas.openxmlformats.org/officeDocument/2006/relationships/hyperlink" Target="https://drive.google.com/file/d/1S4d3BkYQdGhZ_-d8m5VVtaP63cZcnvzY/view?usp=drive_link" TargetMode="External"/><Relationship Id="rId881" Type="http://schemas.openxmlformats.org/officeDocument/2006/relationships/hyperlink" Target="https://drive.google.com/file/d/1S4d3BkYQdGhZ_-d8m5VVtaP63cZcnvzY/view?usp=drive_link" TargetMode="External"/><Relationship Id="rId635" Type="http://schemas.openxmlformats.org/officeDocument/2006/relationships/hyperlink" Target="https://drive.google.com/file/d/1d6hD5CYKvvMeo0tRHQ7mTTQmnqIXZ2cf/view?usp=drive_link" TargetMode="External"/><Relationship Id="rId877" Type="http://schemas.openxmlformats.org/officeDocument/2006/relationships/hyperlink" Target="https://drive.google.com/file/d/15IHUlcNIUKXL9SsXqVNWKsMsXi77GfyK/view?usp=drive_link" TargetMode="External"/><Relationship Id="rId634" Type="http://schemas.openxmlformats.org/officeDocument/2006/relationships/hyperlink" Target="https://drive.google.com/file/d/1d6hD5CYKvvMeo0tRHQ7mTTQmnqIXZ2cf/view?usp=drive_link" TargetMode="External"/><Relationship Id="rId876" Type="http://schemas.openxmlformats.org/officeDocument/2006/relationships/hyperlink" Target="https://drive.google.com/file/d/15IHUlcNIUKXL9SsXqVNWKsMsXi77GfyK/view?usp=drive_link" TargetMode="External"/><Relationship Id="rId633" Type="http://schemas.openxmlformats.org/officeDocument/2006/relationships/hyperlink" Target="https://drive.google.com/file/d/1w37htf4fNF0pcp1Dy-XPxGJbGe6Stpm5/view?usp=drive_link" TargetMode="External"/><Relationship Id="rId875" Type="http://schemas.openxmlformats.org/officeDocument/2006/relationships/hyperlink" Target="https://drive.google.com/file/d/15IHUlcNIUKXL9SsXqVNWKsMsXi77GfyK/view?usp=drive_link" TargetMode="External"/><Relationship Id="rId632" Type="http://schemas.openxmlformats.org/officeDocument/2006/relationships/hyperlink" Target="https://drive.google.com/file/d/1w37htf4fNF0pcp1Dy-XPxGJbGe6Stpm5/view?usp=drive_link" TargetMode="External"/><Relationship Id="rId874" Type="http://schemas.openxmlformats.org/officeDocument/2006/relationships/hyperlink" Target="https://drive.google.com/file/d/15IHUlcNIUKXL9SsXqVNWKsMsXi77GfyK/view?usp=drive_link" TargetMode="External"/><Relationship Id="rId639" Type="http://schemas.openxmlformats.org/officeDocument/2006/relationships/hyperlink" Target="https://drive.google.com/file/d/1d6hD5CYKvvMeo0tRHQ7mTTQmnqIXZ2cf/view?usp=drive_link" TargetMode="External"/><Relationship Id="rId638" Type="http://schemas.openxmlformats.org/officeDocument/2006/relationships/hyperlink" Target="https://drive.google.com/file/d/1d6hD5CYKvvMeo0tRHQ7mTTQmnqIXZ2cf/view?usp=drive_link" TargetMode="External"/><Relationship Id="rId637" Type="http://schemas.openxmlformats.org/officeDocument/2006/relationships/hyperlink" Target="https://drive.google.com/file/d/1d6hD5CYKvvMeo0tRHQ7mTTQmnqIXZ2cf/view?usp=drive_link" TargetMode="External"/><Relationship Id="rId879" Type="http://schemas.openxmlformats.org/officeDocument/2006/relationships/hyperlink" Target="https://drive.google.com/file/d/1S4d3BkYQdGhZ_-d8m5VVtaP63cZcnvzY/view?usp=drive_link" TargetMode="External"/><Relationship Id="rId636" Type="http://schemas.openxmlformats.org/officeDocument/2006/relationships/hyperlink" Target="https://drive.google.com/file/d/1d6hD5CYKvvMeo0tRHQ7mTTQmnqIXZ2cf/view?usp=drive_link" TargetMode="External"/><Relationship Id="rId878" Type="http://schemas.openxmlformats.org/officeDocument/2006/relationships/hyperlink" Target="https://drive.google.com/file/d/15IHUlcNIUKXL9SsXqVNWKsMsXi77GfyK/view?usp=drive_link" TargetMode="External"/><Relationship Id="rId631" Type="http://schemas.openxmlformats.org/officeDocument/2006/relationships/hyperlink" Target="https://drive.google.com/file/d/1w37htf4fNF0pcp1Dy-XPxGJbGe6Stpm5/view?usp=drive_link" TargetMode="External"/><Relationship Id="rId873" Type="http://schemas.openxmlformats.org/officeDocument/2006/relationships/hyperlink" Target="https://drive.google.com/file/d/15IHUlcNIUKXL9SsXqVNWKsMsXi77GfyK/view?usp=drive_link" TargetMode="External"/><Relationship Id="rId630" Type="http://schemas.openxmlformats.org/officeDocument/2006/relationships/hyperlink" Target="https://drive.google.com/file/d/1w37htf4fNF0pcp1Dy-XPxGJbGe6Stpm5/view?usp=drive_link" TargetMode="External"/><Relationship Id="rId872" Type="http://schemas.openxmlformats.org/officeDocument/2006/relationships/hyperlink" Target="https://drive.google.com/file/d/15IHUlcNIUKXL9SsXqVNWKsMsXi77GfyK/view?usp=drive_link" TargetMode="External"/><Relationship Id="rId871" Type="http://schemas.openxmlformats.org/officeDocument/2006/relationships/hyperlink" Target="https://drive.google.com/file/d/15IHUlcNIUKXL9SsXqVNWKsMsXi77GfyK/view?usp=drive_link" TargetMode="External"/><Relationship Id="rId870" Type="http://schemas.openxmlformats.org/officeDocument/2006/relationships/hyperlink" Target="https://drive.google.com/file/d/15IHUlcNIUKXL9SsXqVNWKsMsXi77GfyK/view?usp=drive_link" TargetMode="External"/><Relationship Id="rId829" Type="http://schemas.openxmlformats.org/officeDocument/2006/relationships/hyperlink" Target="https://drive.google.com/file/d/1LVUZbbcSINkLuxaxHyD6pjoAW69wLUn_/view?usp=drive_link" TargetMode="External"/><Relationship Id="rId828" Type="http://schemas.openxmlformats.org/officeDocument/2006/relationships/hyperlink" Target="https://drive.google.com/file/d/1LVUZbbcSINkLuxaxHyD6pjoAW69wLUn_/view?usp=drive_link" TargetMode="External"/><Relationship Id="rId827" Type="http://schemas.openxmlformats.org/officeDocument/2006/relationships/hyperlink" Target="https://drive.google.com/file/d/1LVUZbbcSINkLuxaxHyD6pjoAW69wLUn_/view?usp=drive_link" TargetMode="External"/><Relationship Id="rId822" Type="http://schemas.openxmlformats.org/officeDocument/2006/relationships/hyperlink" Target="https://drive.google.com/file/d/1yD9hOWKLkB3ivIG2fCMv-3YUiBWpN8lo/view?usp=drive_link" TargetMode="External"/><Relationship Id="rId821" Type="http://schemas.openxmlformats.org/officeDocument/2006/relationships/hyperlink" Target="https://drive.google.com/file/d/1yD9hOWKLkB3ivIG2fCMv-3YUiBWpN8lo/view?usp=drive_link" TargetMode="External"/><Relationship Id="rId820" Type="http://schemas.openxmlformats.org/officeDocument/2006/relationships/hyperlink" Target="https://drive.google.com/file/d/1yD9hOWKLkB3ivIG2fCMv-3YUiBWpN8lo/view?usp=drive_link" TargetMode="External"/><Relationship Id="rId826" Type="http://schemas.openxmlformats.org/officeDocument/2006/relationships/hyperlink" Target="https://drive.google.com/file/d/1LVUZbbcSINkLuxaxHyD6pjoAW69wLUn_/view?usp=drive_link" TargetMode="External"/><Relationship Id="rId825" Type="http://schemas.openxmlformats.org/officeDocument/2006/relationships/hyperlink" Target="https://drive.google.com/file/d/1LVUZbbcSINkLuxaxHyD6pjoAW69wLUn_/view?usp=drive_link" TargetMode="External"/><Relationship Id="rId824" Type="http://schemas.openxmlformats.org/officeDocument/2006/relationships/hyperlink" Target="https://drive.google.com/file/d/1yD9hOWKLkB3ivIG2fCMv-3YUiBWpN8lo/view?usp=drive_link" TargetMode="External"/><Relationship Id="rId823" Type="http://schemas.openxmlformats.org/officeDocument/2006/relationships/hyperlink" Target="https://drive.google.com/file/d/1yD9hOWKLkB3ivIG2fCMv-3YUiBWpN8lo/view?usp=drive_link" TargetMode="External"/><Relationship Id="rId819" Type="http://schemas.openxmlformats.org/officeDocument/2006/relationships/hyperlink" Target="https://drive.google.com/file/d/1yD9hOWKLkB3ivIG2fCMv-3YUiBWpN8lo/view?usp=drive_link" TargetMode="External"/><Relationship Id="rId818" Type="http://schemas.openxmlformats.org/officeDocument/2006/relationships/hyperlink" Target="https://drive.google.com/file/d/1yD9hOWKLkB3ivIG2fCMv-3YUiBWpN8lo/view?usp=drive_link" TargetMode="External"/><Relationship Id="rId817" Type="http://schemas.openxmlformats.org/officeDocument/2006/relationships/hyperlink" Target="https://drive.google.com/file/d/1yD9hOWKLkB3ivIG2fCMv-3YUiBWpN8lo/view?usp=drive_link" TargetMode="External"/><Relationship Id="rId816" Type="http://schemas.openxmlformats.org/officeDocument/2006/relationships/hyperlink" Target="https://drive.google.com/file/d/1yD9hOWKLkB3ivIG2fCMv-3YUiBWpN8lo/view?usp=drive_link" TargetMode="External"/><Relationship Id="rId811" Type="http://schemas.openxmlformats.org/officeDocument/2006/relationships/hyperlink" Target="https://drive.google.com/file/d/1Co9WvDbH3talkGWHTm2IZopcK80W_ur7/view?usp=drive_link" TargetMode="External"/><Relationship Id="rId810" Type="http://schemas.openxmlformats.org/officeDocument/2006/relationships/hyperlink" Target="https://drive.google.com/file/d/1Co9WvDbH3talkGWHTm2IZopcK80W_ur7/view?usp=drive_link" TargetMode="External"/><Relationship Id="rId815" Type="http://schemas.openxmlformats.org/officeDocument/2006/relationships/hyperlink" Target="https://drive.google.com/file/d/1Co9WvDbH3talkGWHTm2IZopcK80W_ur7/view?usp=drive_link" TargetMode="External"/><Relationship Id="rId814" Type="http://schemas.openxmlformats.org/officeDocument/2006/relationships/hyperlink" Target="https://drive.google.com/file/d/1Co9WvDbH3talkGWHTm2IZopcK80W_ur7/view?usp=drive_link" TargetMode="External"/><Relationship Id="rId813" Type="http://schemas.openxmlformats.org/officeDocument/2006/relationships/hyperlink" Target="https://drive.google.com/file/d/1Co9WvDbH3talkGWHTm2IZopcK80W_ur7/view?usp=drive_link" TargetMode="External"/><Relationship Id="rId812" Type="http://schemas.openxmlformats.org/officeDocument/2006/relationships/hyperlink" Target="https://drive.google.com/file/d/1Co9WvDbH3talkGWHTm2IZopcK80W_ur7/view?usp=drive_link" TargetMode="External"/><Relationship Id="rId609" Type="http://schemas.openxmlformats.org/officeDocument/2006/relationships/hyperlink" Target="https://drive.google.com/file/d/1GTWnx1eDzhpqvB20MYFkg5Vx-XqR8DBZ/view?usp=drive_link" TargetMode="External"/><Relationship Id="rId608" Type="http://schemas.openxmlformats.org/officeDocument/2006/relationships/hyperlink" Target="https://drive.google.com/file/d/1GTWnx1eDzhpqvB20MYFkg5Vx-XqR8DBZ/view?usp=drive_link" TargetMode="External"/><Relationship Id="rId607" Type="http://schemas.openxmlformats.org/officeDocument/2006/relationships/hyperlink" Target="https://drive.google.com/file/d/1GTWnx1eDzhpqvB20MYFkg5Vx-XqR8DBZ/view?usp=drive_link" TargetMode="External"/><Relationship Id="rId849" Type="http://schemas.openxmlformats.org/officeDocument/2006/relationships/hyperlink" Target="https://drive.google.com/file/d/1L47azJSY1PPSWNackBlNm44DnXVOfHpf/view?usp=drive_link" TargetMode="External"/><Relationship Id="rId602" Type="http://schemas.openxmlformats.org/officeDocument/2006/relationships/hyperlink" Target="https://drive.google.com/file/d/1Zcoa0bnTGQ62UlSe1HIpAcF6pnzCk2GK/view?usp=drive_link" TargetMode="External"/><Relationship Id="rId844" Type="http://schemas.openxmlformats.org/officeDocument/2006/relationships/hyperlink" Target="https://drive.google.com/file/d/1L47azJSY1PPSWNackBlNm44DnXVOfHpf/view?usp=drive_link" TargetMode="External"/><Relationship Id="rId601" Type="http://schemas.openxmlformats.org/officeDocument/2006/relationships/hyperlink" Target="https://drive.google.com/file/d/1Zcoa0bnTGQ62UlSe1HIpAcF6pnzCk2GK/view?usp=drive_link" TargetMode="External"/><Relationship Id="rId843" Type="http://schemas.openxmlformats.org/officeDocument/2006/relationships/hyperlink" Target="https://drive.google.com/file/d/1L47azJSY1PPSWNackBlNm44DnXVOfHpf/view?usp=drive_link" TargetMode="External"/><Relationship Id="rId600" Type="http://schemas.openxmlformats.org/officeDocument/2006/relationships/hyperlink" Target="https://drive.google.com/file/d/1Zcoa0bnTGQ62UlSe1HIpAcF6pnzCk2GK/view?usp=drive_link" TargetMode="External"/><Relationship Id="rId842" Type="http://schemas.openxmlformats.org/officeDocument/2006/relationships/hyperlink" Target="https://drive.google.com/file/d/1II93fW73IzewK_ZzoDteMqm8pewKRITM/view?usp=drive_link" TargetMode="External"/><Relationship Id="rId841" Type="http://schemas.openxmlformats.org/officeDocument/2006/relationships/hyperlink" Target="https://drive.google.com/file/d/1II93fW73IzewK_ZzoDteMqm8pewKRITM/view?usp=drive_link" TargetMode="External"/><Relationship Id="rId606" Type="http://schemas.openxmlformats.org/officeDocument/2006/relationships/hyperlink" Target="https://drive.google.com/file/d/1GTWnx1eDzhpqvB20MYFkg5Vx-XqR8DBZ/view?usp=drive_link" TargetMode="External"/><Relationship Id="rId848" Type="http://schemas.openxmlformats.org/officeDocument/2006/relationships/hyperlink" Target="https://drive.google.com/file/d/1L47azJSY1PPSWNackBlNm44DnXVOfHpf/view?usp=drive_link" TargetMode="External"/><Relationship Id="rId605" Type="http://schemas.openxmlformats.org/officeDocument/2006/relationships/hyperlink" Target="https://drive.google.com/file/d/1Zcoa0bnTGQ62UlSe1HIpAcF6pnzCk2GK/view?usp=drive_link" TargetMode="External"/><Relationship Id="rId847" Type="http://schemas.openxmlformats.org/officeDocument/2006/relationships/hyperlink" Target="https://drive.google.com/file/d/1L47azJSY1PPSWNackBlNm44DnXVOfHpf/view?usp=drive_link" TargetMode="External"/><Relationship Id="rId604" Type="http://schemas.openxmlformats.org/officeDocument/2006/relationships/hyperlink" Target="https://drive.google.com/file/d/1Zcoa0bnTGQ62UlSe1HIpAcF6pnzCk2GK/view?usp=drive_link" TargetMode="External"/><Relationship Id="rId846" Type="http://schemas.openxmlformats.org/officeDocument/2006/relationships/hyperlink" Target="https://drive.google.com/file/d/1L47azJSY1PPSWNackBlNm44DnXVOfHpf/view?usp=drive_link" TargetMode="External"/><Relationship Id="rId603" Type="http://schemas.openxmlformats.org/officeDocument/2006/relationships/hyperlink" Target="https://drive.google.com/file/d/1Zcoa0bnTGQ62UlSe1HIpAcF6pnzCk2GK/view?usp=drive_link" TargetMode="External"/><Relationship Id="rId845" Type="http://schemas.openxmlformats.org/officeDocument/2006/relationships/hyperlink" Target="https://drive.google.com/file/d/1L47azJSY1PPSWNackBlNm44DnXVOfHpf/view?usp=drive_link" TargetMode="External"/><Relationship Id="rId840" Type="http://schemas.openxmlformats.org/officeDocument/2006/relationships/hyperlink" Target="https://drive.google.com/file/d/1II93fW73IzewK_ZzoDteMqm8pewKRITM/view?usp=drive_link" TargetMode="External"/><Relationship Id="rId839" Type="http://schemas.openxmlformats.org/officeDocument/2006/relationships/hyperlink" Target="https://drive.google.com/file/d/1II93fW73IzewK_ZzoDteMqm8pewKRITM/view?usp=drive_link" TargetMode="External"/><Relationship Id="rId838" Type="http://schemas.openxmlformats.org/officeDocument/2006/relationships/hyperlink" Target="https://drive.google.com/file/d/1II93fW73IzewK_ZzoDteMqm8pewKRITM/view?usp=drive_link" TargetMode="External"/><Relationship Id="rId833" Type="http://schemas.openxmlformats.org/officeDocument/2006/relationships/hyperlink" Target="https://drive.google.com/file/d/1LVUZbbcSINkLuxaxHyD6pjoAW69wLUn_/view?usp=drive_link" TargetMode="External"/><Relationship Id="rId832" Type="http://schemas.openxmlformats.org/officeDocument/2006/relationships/hyperlink" Target="https://drive.google.com/file/d/1LVUZbbcSINkLuxaxHyD6pjoAW69wLUn_/view?usp=drive_link" TargetMode="External"/><Relationship Id="rId831" Type="http://schemas.openxmlformats.org/officeDocument/2006/relationships/hyperlink" Target="https://drive.google.com/file/d/1LVUZbbcSINkLuxaxHyD6pjoAW69wLUn_/view?usp=drive_link" TargetMode="External"/><Relationship Id="rId830" Type="http://schemas.openxmlformats.org/officeDocument/2006/relationships/hyperlink" Target="https://drive.google.com/file/d/1LVUZbbcSINkLuxaxHyD6pjoAW69wLUn_/view?usp=drive_link" TargetMode="External"/><Relationship Id="rId837" Type="http://schemas.openxmlformats.org/officeDocument/2006/relationships/hyperlink" Target="https://drive.google.com/file/d/1II93fW73IzewK_ZzoDteMqm8pewKRITM/view?usp=drive_link" TargetMode="External"/><Relationship Id="rId836" Type="http://schemas.openxmlformats.org/officeDocument/2006/relationships/hyperlink" Target="https://drive.google.com/file/d/1II93fW73IzewK_ZzoDteMqm8pewKRITM/view?usp=drive_link" TargetMode="External"/><Relationship Id="rId835" Type="http://schemas.openxmlformats.org/officeDocument/2006/relationships/hyperlink" Target="https://drive.google.com/file/d/1II93fW73IzewK_ZzoDteMqm8pewKRITM/view?usp=drive_link" TargetMode="External"/><Relationship Id="rId834" Type="http://schemas.openxmlformats.org/officeDocument/2006/relationships/hyperlink" Target="https://drive.google.com/file/d/1II93fW73IzewK_ZzoDteMqm8pewKRITM/view?usp=drive_link" TargetMode="External"/><Relationship Id="rId1059" Type="http://schemas.openxmlformats.org/officeDocument/2006/relationships/hyperlink" Target="https://drive.google.com/file/d/1qP4J35MAAIkXUipkGPbjr3UeC1VVZuPg/view?usp=drive_link" TargetMode="External"/><Relationship Id="rId228" Type="http://schemas.openxmlformats.org/officeDocument/2006/relationships/hyperlink" Target="https://drive.google.com/file/d/1SOdHoCKdFbdSdbw3HIHU9vUtqw5GX5SX/view?usp=drive_link" TargetMode="External"/><Relationship Id="rId227" Type="http://schemas.openxmlformats.org/officeDocument/2006/relationships/hyperlink" Target="https://drive.google.com/file/d/1NBjTK6ckg6HIW6p54pYISkdDBdlMNJay/view?usp=drive_link" TargetMode="External"/><Relationship Id="rId469" Type="http://schemas.openxmlformats.org/officeDocument/2006/relationships/hyperlink" Target="https://drive.google.com/file/d/1iFudQzPWNp5Y8_R6PZkFJ5920uocuWe6/view?usp=drive_link" TargetMode="External"/><Relationship Id="rId226" Type="http://schemas.openxmlformats.org/officeDocument/2006/relationships/hyperlink" Target="https://drive.google.com/file/d/1NBjTK6ckg6HIW6p54pYISkdDBdlMNJay/view?usp=drive_link" TargetMode="External"/><Relationship Id="rId468" Type="http://schemas.openxmlformats.org/officeDocument/2006/relationships/hyperlink" Target="https://drive.google.com/file/d/1iFudQzPWNp5Y8_R6PZkFJ5920uocuWe6/view?usp=drive_link" TargetMode="External"/><Relationship Id="rId225" Type="http://schemas.openxmlformats.org/officeDocument/2006/relationships/hyperlink" Target="https://drive.google.com/file/d/1NBjTK6ckg6HIW6p54pYISkdDBdlMNJay/view?usp=drive_link" TargetMode="External"/><Relationship Id="rId467" Type="http://schemas.openxmlformats.org/officeDocument/2006/relationships/hyperlink" Target="https://drive.google.com/file/d/1iFudQzPWNp5Y8_R6PZkFJ5920uocuWe6/view?usp=drive_link" TargetMode="External"/><Relationship Id="rId229" Type="http://schemas.openxmlformats.org/officeDocument/2006/relationships/hyperlink" Target="https://drive.google.com/file/d/1SOdHoCKdFbdSdbw3HIHU9vUtqw5GX5SX/view?usp=drive_link" TargetMode="External"/><Relationship Id="rId1050" Type="http://schemas.openxmlformats.org/officeDocument/2006/relationships/hyperlink" Target="https://drive.google.com/file/d/1rUQRhEcDil6fsnsw5tpLFzFxQpekMFtQ/view?usp=drive_link" TargetMode="External"/><Relationship Id="rId220" Type="http://schemas.openxmlformats.org/officeDocument/2006/relationships/hyperlink" Target="https://drive.google.com/file/d/1L_MGjfSdTsA-L6b5PCwK471lhjQaZRPp/view?usp=drive_link" TargetMode="External"/><Relationship Id="rId462" Type="http://schemas.openxmlformats.org/officeDocument/2006/relationships/hyperlink" Target="https://drive.google.com/file/d/1n35rcGUCLnU-hRonN4GJOkbM4d4KhEYS/view?usp=drive_link" TargetMode="External"/><Relationship Id="rId1051" Type="http://schemas.openxmlformats.org/officeDocument/2006/relationships/hyperlink" Target="https://drive.google.com/file/d/1rUQRhEcDil6fsnsw5tpLFzFxQpekMFtQ/view?usp=drive_link" TargetMode="External"/><Relationship Id="rId461" Type="http://schemas.openxmlformats.org/officeDocument/2006/relationships/hyperlink" Target="https://drive.google.com/file/d/1n35rcGUCLnU-hRonN4GJOkbM4d4KhEYS/view?usp=drive_link" TargetMode="External"/><Relationship Id="rId1052" Type="http://schemas.openxmlformats.org/officeDocument/2006/relationships/hyperlink" Target="https://drive.google.com/file/d/1rUQRhEcDil6fsnsw5tpLFzFxQpekMFtQ/view?usp=drive_link" TargetMode="External"/><Relationship Id="rId460" Type="http://schemas.openxmlformats.org/officeDocument/2006/relationships/hyperlink" Target="https://drive.google.com/file/d/1n35rcGUCLnU-hRonN4GJOkbM4d4KhEYS/view?usp=drive_link" TargetMode="External"/><Relationship Id="rId1053" Type="http://schemas.openxmlformats.org/officeDocument/2006/relationships/hyperlink" Target="https://drive.google.com/file/d/1rUQRhEcDil6fsnsw5tpLFzFxQpekMFtQ/view?usp=drive_link" TargetMode="External"/><Relationship Id="rId1054" Type="http://schemas.openxmlformats.org/officeDocument/2006/relationships/hyperlink" Target="https://drive.google.com/file/d/1rUQRhEcDil6fsnsw5tpLFzFxQpekMFtQ/view?usp=drive_link" TargetMode="External"/><Relationship Id="rId224" Type="http://schemas.openxmlformats.org/officeDocument/2006/relationships/hyperlink" Target="https://drive.google.com/file/d/1NBjTK6ckg6HIW6p54pYISkdDBdlMNJay/view?usp=drive_link" TargetMode="External"/><Relationship Id="rId466" Type="http://schemas.openxmlformats.org/officeDocument/2006/relationships/hyperlink" Target="https://drive.google.com/file/d/1iFudQzPWNp5Y8_R6PZkFJ5920uocuWe6/view?usp=drive_link" TargetMode="External"/><Relationship Id="rId1055" Type="http://schemas.openxmlformats.org/officeDocument/2006/relationships/hyperlink" Target="https://drive.google.com/file/d/1rUQRhEcDil6fsnsw5tpLFzFxQpekMFtQ/view?usp=drive_link" TargetMode="External"/><Relationship Id="rId223" Type="http://schemas.openxmlformats.org/officeDocument/2006/relationships/hyperlink" Target="https://drive.google.com/file/d/1NBjTK6ckg6HIW6p54pYISkdDBdlMNJay/view?usp=drive_link" TargetMode="External"/><Relationship Id="rId465" Type="http://schemas.openxmlformats.org/officeDocument/2006/relationships/hyperlink" Target="https://drive.google.com/file/d/1n35rcGUCLnU-hRonN4GJOkbM4d4KhEYS/view?usp=drive_link" TargetMode="External"/><Relationship Id="rId1056" Type="http://schemas.openxmlformats.org/officeDocument/2006/relationships/hyperlink" Target="https://drive.google.com/file/d/1rUQRhEcDil6fsnsw5tpLFzFxQpekMFtQ/view?usp=drive_link" TargetMode="External"/><Relationship Id="rId222" Type="http://schemas.openxmlformats.org/officeDocument/2006/relationships/hyperlink" Target="https://drive.google.com/file/d/1NBjTK6ckg6HIW6p54pYISkdDBdlMNJay/view?usp=drive_link" TargetMode="External"/><Relationship Id="rId464" Type="http://schemas.openxmlformats.org/officeDocument/2006/relationships/hyperlink" Target="https://drive.google.com/file/d/1n35rcGUCLnU-hRonN4GJOkbM4d4KhEYS/view?usp=drive_link" TargetMode="External"/><Relationship Id="rId1057" Type="http://schemas.openxmlformats.org/officeDocument/2006/relationships/hyperlink" Target="https://drive.google.com/file/d/1rUQRhEcDil6fsnsw5tpLFzFxQpekMFtQ/view?usp=drive_link" TargetMode="External"/><Relationship Id="rId221" Type="http://schemas.openxmlformats.org/officeDocument/2006/relationships/hyperlink" Target="https://drive.google.com/file/d/1NBjTK6ckg6HIW6p54pYISkdDBdlMNJay/view?usp=drive_link" TargetMode="External"/><Relationship Id="rId463" Type="http://schemas.openxmlformats.org/officeDocument/2006/relationships/hyperlink" Target="https://drive.google.com/file/d/1n35rcGUCLnU-hRonN4GJOkbM4d4KhEYS/view?usp=drive_link" TargetMode="External"/><Relationship Id="rId1058" Type="http://schemas.openxmlformats.org/officeDocument/2006/relationships/hyperlink" Target="https://drive.google.com/file/d/1rUQRhEcDil6fsnsw5tpLFzFxQpekMFtQ/view?usp=drive_link" TargetMode="External"/><Relationship Id="rId1048" Type="http://schemas.openxmlformats.org/officeDocument/2006/relationships/hyperlink" Target="https://drive.google.com/file/d/1rUQRhEcDil6fsnsw5tpLFzFxQpekMFtQ/view?usp=drive_link" TargetMode="External"/><Relationship Id="rId1049" Type="http://schemas.openxmlformats.org/officeDocument/2006/relationships/hyperlink" Target="https://drive.google.com/file/d/1rUQRhEcDil6fsnsw5tpLFzFxQpekMFtQ/view?usp=drive_link" TargetMode="External"/><Relationship Id="rId217" Type="http://schemas.openxmlformats.org/officeDocument/2006/relationships/hyperlink" Target="https://drive.google.com/file/d/1L_MGjfSdTsA-L6b5PCwK471lhjQaZRPp/view?usp=drive_link" TargetMode="External"/><Relationship Id="rId459" Type="http://schemas.openxmlformats.org/officeDocument/2006/relationships/hyperlink" Target="https://drive.google.com/file/d/1n35rcGUCLnU-hRonN4GJOkbM4d4KhEYS/view?usp=drive_link" TargetMode="External"/><Relationship Id="rId216" Type="http://schemas.openxmlformats.org/officeDocument/2006/relationships/hyperlink" Target="https://drive.google.com/file/d/1L_MGjfSdTsA-L6b5PCwK471lhjQaZRPp/view?usp=drive_link" TargetMode="External"/><Relationship Id="rId458" Type="http://schemas.openxmlformats.org/officeDocument/2006/relationships/hyperlink" Target="https://drive.google.com/file/d/1Kb8rZvl8MGay_saBmOKZjjph7phw8WWU/view?usp=drive_link" TargetMode="External"/><Relationship Id="rId215" Type="http://schemas.openxmlformats.org/officeDocument/2006/relationships/hyperlink" Target="https://drive.google.com/file/d/1L_MGjfSdTsA-L6b5PCwK471lhjQaZRPp/view?usp=drive_link" TargetMode="External"/><Relationship Id="rId457" Type="http://schemas.openxmlformats.org/officeDocument/2006/relationships/hyperlink" Target="https://drive.google.com/file/d/1Kb8rZvl8MGay_saBmOKZjjph7phw8WWU/view?usp=drive_link" TargetMode="External"/><Relationship Id="rId699" Type="http://schemas.openxmlformats.org/officeDocument/2006/relationships/hyperlink" Target="https://drive.google.com/file/d/1il-p9Ay-Z5xw3hdxWjKaOAGi0tZ8aqDB/view?usp=drive_link" TargetMode="External"/><Relationship Id="rId214" Type="http://schemas.openxmlformats.org/officeDocument/2006/relationships/hyperlink" Target="https://drive.google.com/file/d/1L_MGjfSdTsA-L6b5PCwK471lhjQaZRPp/view?usp=drive_link" TargetMode="External"/><Relationship Id="rId456" Type="http://schemas.openxmlformats.org/officeDocument/2006/relationships/hyperlink" Target="https://drive.google.com/file/d/1Kb8rZvl8MGay_saBmOKZjjph7phw8WWU/view?usp=drive_link" TargetMode="External"/><Relationship Id="rId698" Type="http://schemas.openxmlformats.org/officeDocument/2006/relationships/hyperlink" Target="https://drive.google.com/file/d/1il-p9Ay-Z5xw3hdxWjKaOAGi0tZ8aqDB/view?usp=drive_link" TargetMode="External"/><Relationship Id="rId219" Type="http://schemas.openxmlformats.org/officeDocument/2006/relationships/hyperlink" Target="https://drive.google.com/file/d/1L_MGjfSdTsA-L6b5PCwK471lhjQaZRPp/view?usp=drive_link" TargetMode="External"/><Relationship Id="rId218" Type="http://schemas.openxmlformats.org/officeDocument/2006/relationships/hyperlink" Target="https://drive.google.com/file/d/1L_MGjfSdTsA-L6b5PCwK471lhjQaZRPp/view?usp=drive_link" TargetMode="External"/><Relationship Id="rId451" Type="http://schemas.openxmlformats.org/officeDocument/2006/relationships/hyperlink" Target="https://drive.google.com/file/d/1u4EJSvK3AQicWK62g28mf84qbToXExyU/view?usp=drive_link" TargetMode="External"/><Relationship Id="rId693" Type="http://schemas.openxmlformats.org/officeDocument/2006/relationships/hyperlink" Target="https://drive.google.com/file/d/1JhbuthMAuNadadzz1WKB4q3o_B8ld_mv/view?usp=drive_link" TargetMode="External"/><Relationship Id="rId1040" Type="http://schemas.openxmlformats.org/officeDocument/2006/relationships/hyperlink" Target="https://drive.google.com/file/d/1cQNrquWk0qP_oK58sZYc2Iz1tYqubUto/view?usp=drive_link" TargetMode="External"/><Relationship Id="rId450" Type="http://schemas.openxmlformats.org/officeDocument/2006/relationships/hyperlink" Target="https://drive.google.com/file/d/1u4EJSvK3AQicWK62g28mf84qbToXExyU/view?usp=drive_link" TargetMode="External"/><Relationship Id="rId692" Type="http://schemas.openxmlformats.org/officeDocument/2006/relationships/hyperlink" Target="https://drive.google.com/file/d/1JhbuthMAuNadadzz1WKB4q3o_B8ld_mv/view?usp=drive_link" TargetMode="External"/><Relationship Id="rId1041" Type="http://schemas.openxmlformats.org/officeDocument/2006/relationships/hyperlink" Target="https://drive.google.com/file/d/1rUQRhEcDil6fsnsw5tpLFzFxQpekMFtQ/view?usp=drive_link" TargetMode="External"/><Relationship Id="rId691" Type="http://schemas.openxmlformats.org/officeDocument/2006/relationships/hyperlink" Target="https://drive.google.com/file/d/1JhbuthMAuNadadzz1WKB4q3o_B8ld_mv/view?usp=drive_link" TargetMode="External"/><Relationship Id="rId1042" Type="http://schemas.openxmlformats.org/officeDocument/2006/relationships/hyperlink" Target="https://drive.google.com/file/d/1rUQRhEcDil6fsnsw5tpLFzFxQpekMFtQ/view?usp=drive_link" TargetMode="External"/><Relationship Id="rId690" Type="http://schemas.openxmlformats.org/officeDocument/2006/relationships/hyperlink" Target="https://drive.google.com/file/d/1JhbuthMAuNadadzz1WKB4q3o_B8ld_mv/view?usp=drive_link" TargetMode="External"/><Relationship Id="rId1043" Type="http://schemas.openxmlformats.org/officeDocument/2006/relationships/hyperlink" Target="https://drive.google.com/file/d/1rUQRhEcDil6fsnsw5tpLFzFxQpekMFtQ/view?usp=drive_link" TargetMode="External"/><Relationship Id="rId213" Type="http://schemas.openxmlformats.org/officeDocument/2006/relationships/hyperlink" Target="https://drive.google.com/file/d/11HJTe4WDS58SFhULVts0fIRBzAb3ROL8/view?usp=drive_link" TargetMode="External"/><Relationship Id="rId455" Type="http://schemas.openxmlformats.org/officeDocument/2006/relationships/hyperlink" Target="https://drive.google.com/file/d/1Kb8rZvl8MGay_saBmOKZjjph7phw8WWU/view?usp=drive_link" TargetMode="External"/><Relationship Id="rId697" Type="http://schemas.openxmlformats.org/officeDocument/2006/relationships/hyperlink" Target="https://drive.google.com/file/d/1il-p9Ay-Z5xw3hdxWjKaOAGi0tZ8aqDB/view?usp=drive_link" TargetMode="External"/><Relationship Id="rId1044" Type="http://schemas.openxmlformats.org/officeDocument/2006/relationships/hyperlink" Target="https://drive.google.com/file/d/1rUQRhEcDil6fsnsw5tpLFzFxQpekMFtQ/view?usp=drive_link" TargetMode="External"/><Relationship Id="rId212" Type="http://schemas.openxmlformats.org/officeDocument/2006/relationships/hyperlink" Target="https://drive.google.com/file/d/11HJTe4WDS58SFhULVts0fIRBzAb3ROL8/view?usp=drive_link" TargetMode="External"/><Relationship Id="rId454" Type="http://schemas.openxmlformats.org/officeDocument/2006/relationships/hyperlink" Target="https://drive.google.com/file/d/1Kb8rZvl8MGay_saBmOKZjjph7phw8WWU/view?usp=drive_link" TargetMode="External"/><Relationship Id="rId696" Type="http://schemas.openxmlformats.org/officeDocument/2006/relationships/hyperlink" Target="https://drive.google.com/file/d/1JhbuthMAuNadadzz1WKB4q3o_B8ld_mv/view?usp=drive_link" TargetMode="External"/><Relationship Id="rId1045" Type="http://schemas.openxmlformats.org/officeDocument/2006/relationships/hyperlink" Target="https://drive.google.com/file/d/1rUQRhEcDil6fsnsw5tpLFzFxQpekMFtQ/view?usp=drive_link" TargetMode="External"/><Relationship Id="rId211" Type="http://schemas.openxmlformats.org/officeDocument/2006/relationships/hyperlink" Target="https://drive.google.com/file/d/11HJTe4WDS58SFhULVts0fIRBzAb3ROL8/view?usp=drive_link" TargetMode="External"/><Relationship Id="rId453" Type="http://schemas.openxmlformats.org/officeDocument/2006/relationships/hyperlink" Target="https://drive.google.com/file/d/1Kb8rZvl8MGay_saBmOKZjjph7phw8WWU/view?usp=drive_link" TargetMode="External"/><Relationship Id="rId695" Type="http://schemas.openxmlformats.org/officeDocument/2006/relationships/hyperlink" Target="https://drive.google.com/file/d/1JhbuthMAuNadadzz1WKB4q3o_B8ld_mv/view?usp=drive_link" TargetMode="External"/><Relationship Id="rId1046" Type="http://schemas.openxmlformats.org/officeDocument/2006/relationships/hyperlink" Target="https://drive.google.com/file/d/1rUQRhEcDil6fsnsw5tpLFzFxQpekMFtQ/view?usp=drive_link" TargetMode="External"/><Relationship Id="rId210" Type="http://schemas.openxmlformats.org/officeDocument/2006/relationships/hyperlink" Target="https://drive.google.com/file/d/11HJTe4WDS58SFhULVts0fIRBzAb3ROL8/view?usp=drive_link" TargetMode="External"/><Relationship Id="rId452" Type="http://schemas.openxmlformats.org/officeDocument/2006/relationships/hyperlink" Target="https://drive.google.com/file/d/1Kb8rZvl8MGay_saBmOKZjjph7phw8WWU/view?usp=drive_link" TargetMode="External"/><Relationship Id="rId694" Type="http://schemas.openxmlformats.org/officeDocument/2006/relationships/hyperlink" Target="https://drive.google.com/file/d/1JhbuthMAuNadadzz1WKB4q3o_B8ld_mv/view?usp=drive_link" TargetMode="External"/><Relationship Id="rId1047" Type="http://schemas.openxmlformats.org/officeDocument/2006/relationships/hyperlink" Target="https://drive.google.com/file/d/1rUQRhEcDil6fsnsw5tpLFzFxQpekMFtQ/view?usp=drive_link" TargetMode="External"/><Relationship Id="rId491" Type="http://schemas.openxmlformats.org/officeDocument/2006/relationships/hyperlink" Target="https://drive.google.com/file/d/1EI7ldQmfAO_I-8YMID5IwPcTB5sm763M/view?usp=drive_link" TargetMode="External"/><Relationship Id="rId490" Type="http://schemas.openxmlformats.org/officeDocument/2006/relationships/hyperlink" Target="https://drive.google.com/file/d/1EI7ldQmfAO_I-8YMID5IwPcTB5sm763M/view?usp=drive_link" TargetMode="External"/><Relationship Id="rId249" Type="http://schemas.openxmlformats.org/officeDocument/2006/relationships/hyperlink" Target="https://drive.google.com/file/d/13HiSXDjV2B1Kp-59EF_di4W1MF07Jwaj/view?usp=drive_link" TargetMode="External"/><Relationship Id="rId248" Type="http://schemas.openxmlformats.org/officeDocument/2006/relationships/hyperlink" Target="https://drive.google.com/file/d/1_R54zU_1KgccTX1U2QAti2X4GUJjoSKa/view?usp=drive_link" TargetMode="External"/><Relationship Id="rId247" Type="http://schemas.openxmlformats.org/officeDocument/2006/relationships/hyperlink" Target="https://drive.google.com/file/d/1_R54zU_1KgccTX1U2QAti2X4GUJjoSKa/view?usp=drive_link" TargetMode="External"/><Relationship Id="rId489" Type="http://schemas.openxmlformats.org/officeDocument/2006/relationships/hyperlink" Target="https://drive.google.com/file/d/1EI7ldQmfAO_I-8YMID5IwPcTB5sm763M/view?usp=drive_link" TargetMode="External"/><Relationship Id="rId1070" Type="http://schemas.openxmlformats.org/officeDocument/2006/relationships/hyperlink" Target="https://drive.google.com/file/d/1Z0_h4qTGJiYNPP8nVh8BjmRDEivWfQTJ/view?usp=drive_link" TargetMode="External"/><Relationship Id="rId1071" Type="http://schemas.openxmlformats.org/officeDocument/2006/relationships/hyperlink" Target="https://drive.google.com/file/d/1Z0_h4qTGJiYNPP8nVh8BjmRDEivWfQTJ/view?usp=drive_link" TargetMode="External"/><Relationship Id="rId1072" Type="http://schemas.openxmlformats.org/officeDocument/2006/relationships/hyperlink" Target="https://drive.google.com/file/d/1Z0_h4qTGJiYNPP8nVh8BjmRDEivWfQTJ/view?usp=drive_link" TargetMode="External"/><Relationship Id="rId242" Type="http://schemas.openxmlformats.org/officeDocument/2006/relationships/hyperlink" Target="https://drive.google.com/file/d/1_R54zU_1KgccTX1U2QAti2X4GUJjoSKa/view?usp=drive_link" TargetMode="External"/><Relationship Id="rId484" Type="http://schemas.openxmlformats.org/officeDocument/2006/relationships/hyperlink" Target="https://drive.google.com/file/d/1J_YTDZZ1vJqrUvJO3JyZT2h0c2RqVUAe/view?usp=drive_link" TargetMode="External"/><Relationship Id="rId1073" Type="http://schemas.openxmlformats.org/officeDocument/2006/relationships/hyperlink" Target="https://drive.google.com/file/d/1Z0_h4qTGJiYNPP8nVh8BjmRDEivWfQTJ/view?usp=drive_link" TargetMode="External"/><Relationship Id="rId241" Type="http://schemas.openxmlformats.org/officeDocument/2006/relationships/hyperlink" Target="https://drive.google.com/file/d/1w40JNT6fQq0Fr854lBuf80VEQkCD8Tx2/view?usp=drive_link" TargetMode="External"/><Relationship Id="rId483" Type="http://schemas.openxmlformats.org/officeDocument/2006/relationships/hyperlink" Target="https://drive.google.com/file/d/1J_YTDZZ1vJqrUvJO3JyZT2h0c2RqVUAe/view?usp=drive_link" TargetMode="External"/><Relationship Id="rId1074" Type="http://schemas.openxmlformats.org/officeDocument/2006/relationships/hyperlink" Target="https://drive.google.com/file/d/1Z0_h4qTGJiYNPP8nVh8BjmRDEivWfQTJ/view?usp=drive_link" TargetMode="External"/><Relationship Id="rId240" Type="http://schemas.openxmlformats.org/officeDocument/2006/relationships/hyperlink" Target="https://drive.google.com/file/d/1w40JNT6fQq0Fr854lBuf80VEQkCD8Tx2/view?usp=drive_link" TargetMode="External"/><Relationship Id="rId482" Type="http://schemas.openxmlformats.org/officeDocument/2006/relationships/hyperlink" Target="https://drive.google.com/file/d/1J_YTDZZ1vJqrUvJO3JyZT2h0c2RqVUAe/view?usp=drive_link" TargetMode="External"/><Relationship Id="rId1075" Type="http://schemas.openxmlformats.org/officeDocument/2006/relationships/hyperlink" Target="https://drive.google.com/file/d/1Z0_h4qTGJiYNPP8nVh8BjmRDEivWfQTJ/view?usp=drive_link" TargetMode="External"/><Relationship Id="rId481" Type="http://schemas.openxmlformats.org/officeDocument/2006/relationships/hyperlink" Target="https://drive.google.com/file/d/1J_YTDZZ1vJqrUvJO3JyZT2h0c2RqVUAe/view?usp=drive_link" TargetMode="External"/><Relationship Id="rId1076" Type="http://schemas.openxmlformats.org/officeDocument/2006/relationships/hyperlink" Target="https://drive.google.com/file/d/1Z0_h4qTGJiYNPP8nVh8BjmRDEivWfQTJ/view?usp=drive_link" TargetMode="External"/><Relationship Id="rId246" Type="http://schemas.openxmlformats.org/officeDocument/2006/relationships/hyperlink" Target="https://drive.google.com/file/d/1_R54zU_1KgccTX1U2QAti2X4GUJjoSKa/view?usp=drive_link" TargetMode="External"/><Relationship Id="rId488" Type="http://schemas.openxmlformats.org/officeDocument/2006/relationships/hyperlink" Target="https://drive.google.com/file/d/1EI7ldQmfAO_I-8YMID5IwPcTB5sm763M/view?usp=drive_link" TargetMode="External"/><Relationship Id="rId1077" Type="http://schemas.openxmlformats.org/officeDocument/2006/relationships/hyperlink" Target="https://drive.google.com/file/d/1SgWDhT73M8XN2NqgxFOET-17WluBCcbt/view?usp=drive_link" TargetMode="External"/><Relationship Id="rId245" Type="http://schemas.openxmlformats.org/officeDocument/2006/relationships/hyperlink" Target="https://drive.google.com/file/d/1_R54zU_1KgccTX1U2QAti2X4GUJjoSKa/view?usp=drive_link" TargetMode="External"/><Relationship Id="rId487" Type="http://schemas.openxmlformats.org/officeDocument/2006/relationships/hyperlink" Target="https://drive.google.com/file/d/1EI7ldQmfAO_I-8YMID5IwPcTB5sm763M/view?usp=drive_link" TargetMode="External"/><Relationship Id="rId1078" Type="http://schemas.openxmlformats.org/officeDocument/2006/relationships/hyperlink" Target="https://drive.google.com/file/d/1SgWDhT73M8XN2NqgxFOET-17WluBCcbt/view?usp=drive_link" TargetMode="External"/><Relationship Id="rId244" Type="http://schemas.openxmlformats.org/officeDocument/2006/relationships/hyperlink" Target="https://drive.google.com/file/d/1_R54zU_1KgccTX1U2QAti2X4GUJjoSKa/view?usp=drive_link" TargetMode="External"/><Relationship Id="rId486" Type="http://schemas.openxmlformats.org/officeDocument/2006/relationships/hyperlink" Target="https://drive.google.com/file/d/1J_YTDZZ1vJqrUvJO3JyZT2h0c2RqVUAe/view?usp=drive_link" TargetMode="External"/><Relationship Id="rId1079" Type="http://schemas.openxmlformats.org/officeDocument/2006/relationships/hyperlink" Target="https://drive.google.com/file/d/1SgWDhT73M8XN2NqgxFOET-17WluBCcbt/view?usp=drive_link" TargetMode="External"/><Relationship Id="rId243" Type="http://schemas.openxmlformats.org/officeDocument/2006/relationships/hyperlink" Target="https://drive.google.com/file/d/1_R54zU_1KgccTX1U2QAti2X4GUJjoSKa/view?usp=drive_link" TargetMode="External"/><Relationship Id="rId485" Type="http://schemas.openxmlformats.org/officeDocument/2006/relationships/hyperlink" Target="https://drive.google.com/file/d/1J_YTDZZ1vJqrUvJO3JyZT2h0c2RqVUAe/view?usp=drive_link" TargetMode="External"/><Relationship Id="rId480" Type="http://schemas.openxmlformats.org/officeDocument/2006/relationships/hyperlink" Target="https://drive.google.com/file/d/1J_YTDZZ1vJqrUvJO3JyZT2h0c2RqVUAe/view?usp=drive_link" TargetMode="External"/><Relationship Id="rId239" Type="http://schemas.openxmlformats.org/officeDocument/2006/relationships/hyperlink" Target="https://drive.google.com/file/d/1w40JNT6fQq0Fr854lBuf80VEQkCD8Tx2/view?usp=drive_link" TargetMode="External"/><Relationship Id="rId238" Type="http://schemas.openxmlformats.org/officeDocument/2006/relationships/hyperlink" Target="https://drive.google.com/file/d/1w40JNT6fQq0Fr854lBuf80VEQkCD8Tx2/view?usp=drive_link" TargetMode="External"/><Relationship Id="rId237" Type="http://schemas.openxmlformats.org/officeDocument/2006/relationships/hyperlink" Target="https://drive.google.com/file/d/1w40JNT6fQq0Fr854lBuf80VEQkCD8Tx2/view?usp=drive_link" TargetMode="External"/><Relationship Id="rId479" Type="http://schemas.openxmlformats.org/officeDocument/2006/relationships/hyperlink" Target="https://drive.google.com/file/d/1-cdkA5xSZU9mI9vkkVQbGSrJvuG-s3pt/view?usp=drive_link" TargetMode="External"/><Relationship Id="rId236" Type="http://schemas.openxmlformats.org/officeDocument/2006/relationships/hyperlink" Target="https://drive.google.com/file/d/1w40JNT6fQq0Fr854lBuf80VEQkCD8Tx2/view?usp=drive_link" TargetMode="External"/><Relationship Id="rId478" Type="http://schemas.openxmlformats.org/officeDocument/2006/relationships/hyperlink" Target="https://drive.google.com/file/d/1-cdkA5xSZU9mI9vkkVQbGSrJvuG-s3pt/view?usp=drive_link" TargetMode="External"/><Relationship Id="rId1060" Type="http://schemas.openxmlformats.org/officeDocument/2006/relationships/hyperlink" Target="https://drive.google.com/file/d/1qP4J35MAAIkXUipkGPbjr3UeC1VVZuPg/view?usp=drive_link" TargetMode="External"/><Relationship Id="rId1061" Type="http://schemas.openxmlformats.org/officeDocument/2006/relationships/hyperlink" Target="https://drive.google.com/file/d/1qP4J35MAAIkXUipkGPbjr3UeC1VVZuPg/view?usp=drive_link" TargetMode="External"/><Relationship Id="rId231" Type="http://schemas.openxmlformats.org/officeDocument/2006/relationships/hyperlink" Target="https://drive.google.com/file/d/1SOdHoCKdFbdSdbw3HIHU9vUtqw5GX5SX/view?usp=drive_link" TargetMode="External"/><Relationship Id="rId473" Type="http://schemas.openxmlformats.org/officeDocument/2006/relationships/hyperlink" Target="https://drive.google.com/file/d/1-cdkA5xSZU9mI9vkkVQbGSrJvuG-s3pt/view?usp=drive_link" TargetMode="External"/><Relationship Id="rId1062" Type="http://schemas.openxmlformats.org/officeDocument/2006/relationships/hyperlink" Target="https://drive.google.com/file/d/1qP4J35MAAIkXUipkGPbjr3UeC1VVZuPg/view?usp=drive_link" TargetMode="External"/><Relationship Id="rId230" Type="http://schemas.openxmlformats.org/officeDocument/2006/relationships/hyperlink" Target="https://drive.google.com/file/d/1SOdHoCKdFbdSdbw3HIHU9vUtqw5GX5SX/view?usp=drive_link" TargetMode="External"/><Relationship Id="rId472" Type="http://schemas.openxmlformats.org/officeDocument/2006/relationships/hyperlink" Target="https://drive.google.com/file/d/1iFudQzPWNp5Y8_R6PZkFJ5920uocuWe6/view?usp=drive_link" TargetMode="External"/><Relationship Id="rId1063" Type="http://schemas.openxmlformats.org/officeDocument/2006/relationships/hyperlink" Target="https://drive.google.com/file/d/1qP4J35MAAIkXUipkGPbjr3UeC1VVZuPg/view?usp=drive_link" TargetMode="External"/><Relationship Id="rId471" Type="http://schemas.openxmlformats.org/officeDocument/2006/relationships/hyperlink" Target="https://drive.google.com/file/d/1iFudQzPWNp5Y8_R6PZkFJ5920uocuWe6/view?usp=drive_link" TargetMode="External"/><Relationship Id="rId1064" Type="http://schemas.openxmlformats.org/officeDocument/2006/relationships/hyperlink" Target="https://drive.google.com/file/d/1qP4J35MAAIkXUipkGPbjr3UeC1VVZuPg/view?usp=drive_link" TargetMode="External"/><Relationship Id="rId470" Type="http://schemas.openxmlformats.org/officeDocument/2006/relationships/hyperlink" Target="https://drive.google.com/file/d/1iFudQzPWNp5Y8_R6PZkFJ5920uocuWe6/view?usp=drive_link" TargetMode="External"/><Relationship Id="rId1065" Type="http://schemas.openxmlformats.org/officeDocument/2006/relationships/hyperlink" Target="https://drive.google.com/file/d/1qP4J35MAAIkXUipkGPbjr3UeC1VVZuPg/view?usp=drive_link" TargetMode="External"/><Relationship Id="rId235" Type="http://schemas.openxmlformats.org/officeDocument/2006/relationships/hyperlink" Target="https://drive.google.com/file/d/1w40JNT6fQq0Fr854lBuf80VEQkCD8Tx2/view?usp=drive_link" TargetMode="External"/><Relationship Id="rId477" Type="http://schemas.openxmlformats.org/officeDocument/2006/relationships/hyperlink" Target="https://drive.google.com/file/d/1-cdkA5xSZU9mI9vkkVQbGSrJvuG-s3pt/view?usp=drive_link" TargetMode="External"/><Relationship Id="rId1066" Type="http://schemas.openxmlformats.org/officeDocument/2006/relationships/hyperlink" Target="https://drive.google.com/file/d/1qP4J35MAAIkXUipkGPbjr3UeC1VVZuPg/view?usp=drive_link" TargetMode="External"/><Relationship Id="rId234" Type="http://schemas.openxmlformats.org/officeDocument/2006/relationships/hyperlink" Target="https://drive.google.com/file/d/1SOdHoCKdFbdSdbw3HIHU9vUtqw5GX5SX/view?usp=drive_link" TargetMode="External"/><Relationship Id="rId476" Type="http://schemas.openxmlformats.org/officeDocument/2006/relationships/hyperlink" Target="https://drive.google.com/file/d/1-cdkA5xSZU9mI9vkkVQbGSrJvuG-s3pt/view?usp=drive_link" TargetMode="External"/><Relationship Id="rId1067" Type="http://schemas.openxmlformats.org/officeDocument/2006/relationships/hyperlink" Target="https://drive.google.com/file/d/1qP4J35MAAIkXUipkGPbjr3UeC1VVZuPg/view?usp=drive_link" TargetMode="External"/><Relationship Id="rId233" Type="http://schemas.openxmlformats.org/officeDocument/2006/relationships/hyperlink" Target="https://drive.google.com/file/d/1SOdHoCKdFbdSdbw3HIHU9vUtqw5GX5SX/view?usp=drive_link" TargetMode="External"/><Relationship Id="rId475" Type="http://schemas.openxmlformats.org/officeDocument/2006/relationships/hyperlink" Target="https://drive.google.com/file/d/1-cdkA5xSZU9mI9vkkVQbGSrJvuG-s3pt/view?usp=drive_link" TargetMode="External"/><Relationship Id="rId1068" Type="http://schemas.openxmlformats.org/officeDocument/2006/relationships/hyperlink" Target="https://drive.google.com/file/d/1Z0_h4qTGJiYNPP8nVh8BjmRDEivWfQTJ/view?usp=drive_link" TargetMode="External"/><Relationship Id="rId232" Type="http://schemas.openxmlformats.org/officeDocument/2006/relationships/hyperlink" Target="https://drive.google.com/file/d/1SOdHoCKdFbdSdbw3HIHU9vUtqw5GX5SX/view?usp=drive_link" TargetMode="External"/><Relationship Id="rId474" Type="http://schemas.openxmlformats.org/officeDocument/2006/relationships/hyperlink" Target="https://drive.google.com/file/d/1-cdkA5xSZU9mI9vkkVQbGSrJvuG-s3pt/view?usp=drive_link" TargetMode="External"/><Relationship Id="rId1069" Type="http://schemas.openxmlformats.org/officeDocument/2006/relationships/hyperlink" Target="https://drive.google.com/file/d/1Z0_h4qTGJiYNPP8nVh8BjmRDEivWfQTJ/view?usp=drive_link" TargetMode="External"/><Relationship Id="rId1015" Type="http://schemas.openxmlformats.org/officeDocument/2006/relationships/hyperlink" Target="https://drive.google.com/file/d/1GSd9HHHZ50nPHKaRl_uk3LIdCGTsQEGw/view?usp=drive_link" TargetMode="External"/><Relationship Id="rId1016" Type="http://schemas.openxmlformats.org/officeDocument/2006/relationships/hyperlink" Target="https://drive.google.com/file/d/1GSd9HHHZ50nPHKaRl_uk3LIdCGTsQEGw/view?usp=drive_link" TargetMode="External"/><Relationship Id="rId1017" Type="http://schemas.openxmlformats.org/officeDocument/2006/relationships/hyperlink" Target="https://drive.google.com/file/d/1GSd9HHHZ50nPHKaRl_uk3LIdCGTsQEGw/view?usp=drive_link" TargetMode="External"/><Relationship Id="rId1018" Type="http://schemas.openxmlformats.org/officeDocument/2006/relationships/hyperlink" Target="https://drive.google.com/file/d/1GSd9HHHZ50nPHKaRl_uk3LIdCGTsQEGw/view?usp=drive_link" TargetMode="External"/><Relationship Id="rId1019" Type="http://schemas.openxmlformats.org/officeDocument/2006/relationships/hyperlink" Target="https://drive.google.com/file/d/1GSd9HHHZ50nPHKaRl_uk3LIdCGTsQEGw/view?usp=drive_link" TargetMode="External"/><Relationship Id="rId426" Type="http://schemas.openxmlformats.org/officeDocument/2006/relationships/hyperlink" Target="https://drive.google.com/file/d/1L_MGjfSdTsA-L6b5PCwK471lhjQaZRPp/view?usp=drive_link" TargetMode="External"/><Relationship Id="rId668" Type="http://schemas.openxmlformats.org/officeDocument/2006/relationships/hyperlink" Target="https://drive.google.com/file/d/1ysdPuBzJFgGcYHrxLhvpi-gD5T6sKDDh/view?usp=drive_link" TargetMode="External"/><Relationship Id="rId425" Type="http://schemas.openxmlformats.org/officeDocument/2006/relationships/hyperlink" Target="https://drive.google.com/file/d/1L_MGjfSdTsA-L6b5PCwK471lhjQaZRPp/view?usp=drive_link" TargetMode="External"/><Relationship Id="rId667" Type="http://schemas.openxmlformats.org/officeDocument/2006/relationships/hyperlink" Target="https://drive.google.com/file/d/1ysdPuBzJFgGcYHrxLhvpi-gD5T6sKDDh/view?usp=drive_link" TargetMode="External"/><Relationship Id="rId424" Type="http://schemas.openxmlformats.org/officeDocument/2006/relationships/hyperlink" Target="https://drive.google.com/file/d/1L_MGjfSdTsA-L6b5PCwK471lhjQaZRPp/view?usp=drive_link" TargetMode="External"/><Relationship Id="rId666" Type="http://schemas.openxmlformats.org/officeDocument/2006/relationships/hyperlink" Target="https://drive.google.com/file/d/1ysdPuBzJFgGcYHrxLhvpi-gD5T6sKDDh/view?usp=drive_link" TargetMode="External"/><Relationship Id="rId423" Type="http://schemas.openxmlformats.org/officeDocument/2006/relationships/hyperlink" Target="https://drive.google.com/file/d/1O_DSZsZns4i7Jm3wTSt4YTz9Ay-xRfBe/view?usp=drive_link" TargetMode="External"/><Relationship Id="rId665" Type="http://schemas.openxmlformats.org/officeDocument/2006/relationships/hyperlink" Target="https://drive.google.com/file/d/1ysdPuBzJFgGcYHrxLhvpi-gD5T6sKDDh/view?usp=drive_link" TargetMode="External"/><Relationship Id="rId429" Type="http://schemas.openxmlformats.org/officeDocument/2006/relationships/hyperlink" Target="https://drive.google.com/file/d/1L_MGjfSdTsA-L6b5PCwK471lhjQaZRPp/view?usp=drive_link" TargetMode="External"/><Relationship Id="rId428" Type="http://schemas.openxmlformats.org/officeDocument/2006/relationships/hyperlink" Target="https://drive.google.com/file/d/1L_MGjfSdTsA-L6b5PCwK471lhjQaZRPp/view?usp=drive_link" TargetMode="External"/><Relationship Id="rId427" Type="http://schemas.openxmlformats.org/officeDocument/2006/relationships/hyperlink" Target="https://drive.google.com/file/d/1L_MGjfSdTsA-L6b5PCwK471lhjQaZRPp/view?usp=drive_link" TargetMode="External"/><Relationship Id="rId669" Type="http://schemas.openxmlformats.org/officeDocument/2006/relationships/hyperlink" Target="https://drive.google.com/file/d/1iy76-8-rUD1wrMwp8L6Qs2C_fGapUu-H/view?usp=drive_link" TargetMode="External"/><Relationship Id="rId660" Type="http://schemas.openxmlformats.org/officeDocument/2006/relationships/hyperlink" Target="https://drive.google.com/file/d/1eiNVh2ScfQRFBPZp33flkmzTP8mxd5Gv/view?usp=drive_link" TargetMode="External"/><Relationship Id="rId1010" Type="http://schemas.openxmlformats.org/officeDocument/2006/relationships/hyperlink" Target="https://drive.google.com/file/d/1Cr33fsYDlAmeKSrq54IpEwE4cuUYXSN_/view?usp=drive_link" TargetMode="External"/><Relationship Id="rId422" Type="http://schemas.openxmlformats.org/officeDocument/2006/relationships/hyperlink" Target="https://drive.google.com/file/d/1O_DSZsZns4i7Jm3wTSt4YTz9Ay-xRfBe/view?usp=drive_link" TargetMode="External"/><Relationship Id="rId664" Type="http://schemas.openxmlformats.org/officeDocument/2006/relationships/hyperlink" Target="https://drive.google.com/file/d/1ysdPuBzJFgGcYHrxLhvpi-gD5T6sKDDh/view?usp=drive_link" TargetMode="External"/><Relationship Id="rId1011" Type="http://schemas.openxmlformats.org/officeDocument/2006/relationships/hyperlink" Target="https://drive.google.com/file/d/1Cr33fsYDlAmeKSrq54IpEwE4cuUYXSN_/view?usp=drive_link" TargetMode="External"/><Relationship Id="rId421" Type="http://schemas.openxmlformats.org/officeDocument/2006/relationships/hyperlink" Target="https://drive.google.com/file/d/1O_DSZsZns4i7Jm3wTSt4YTz9Ay-xRfBe/view?usp=drive_link" TargetMode="External"/><Relationship Id="rId663" Type="http://schemas.openxmlformats.org/officeDocument/2006/relationships/hyperlink" Target="https://drive.google.com/file/d/1ysdPuBzJFgGcYHrxLhvpi-gD5T6sKDDh/view?usp=drive_link" TargetMode="External"/><Relationship Id="rId1012" Type="http://schemas.openxmlformats.org/officeDocument/2006/relationships/hyperlink" Target="https://drive.google.com/file/d/1Cr33fsYDlAmeKSrq54IpEwE4cuUYXSN_/view?usp=drive_link" TargetMode="External"/><Relationship Id="rId420" Type="http://schemas.openxmlformats.org/officeDocument/2006/relationships/hyperlink" Target="https://drive.google.com/file/d/1O_DSZsZns4i7Jm3wTSt4YTz9Ay-xRfBe/view?usp=drive_link" TargetMode="External"/><Relationship Id="rId662" Type="http://schemas.openxmlformats.org/officeDocument/2006/relationships/hyperlink" Target="https://drive.google.com/file/d/1ysdPuBzJFgGcYHrxLhvpi-gD5T6sKDDh/view?usp=drive_link" TargetMode="External"/><Relationship Id="rId1013" Type="http://schemas.openxmlformats.org/officeDocument/2006/relationships/hyperlink" Target="https://drive.google.com/file/d/1Cr33fsYDlAmeKSrq54IpEwE4cuUYXSN_/view?usp=drive_link" TargetMode="External"/><Relationship Id="rId661" Type="http://schemas.openxmlformats.org/officeDocument/2006/relationships/hyperlink" Target="https://drive.google.com/file/d/1eiNVh2ScfQRFBPZp33flkmzTP8mxd5Gv/view?usp=drive_link" TargetMode="External"/><Relationship Id="rId1014" Type="http://schemas.openxmlformats.org/officeDocument/2006/relationships/hyperlink" Target="https://drive.google.com/file/d/1GSd9HHHZ50nPHKaRl_uk3LIdCGTsQEGw/view?usp=drive_link" TargetMode="External"/><Relationship Id="rId1004" Type="http://schemas.openxmlformats.org/officeDocument/2006/relationships/hyperlink" Target="https://drive.google.com/file/d/1btDPlWcnETnPBAT-iKelxP5vmT6rqZ52/view?usp=drive_link" TargetMode="External"/><Relationship Id="rId1005" Type="http://schemas.openxmlformats.org/officeDocument/2006/relationships/hyperlink" Target="https://drive.google.com/file/d/1Cr33fsYDlAmeKSrq54IpEwE4cuUYXSN_/view?usp=drive_link" TargetMode="External"/><Relationship Id="rId1006" Type="http://schemas.openxmlformats.org/officeDocument/2006/relationships/hyperlink" Target="https://drive.google.com/file/d/1Cr33fsYDlAmeKSrq54IpEwE4cuUYXSN_/view?usp=drive_link" TargetMode="External"/><Relationship Id="rId1007" Type="http://schemas.openxmlformats.org/officeDocument/2006/relationships/hyperlink" Target="https://drive.google.com/file/d/1Cr33fsYDlAmeKSrq54IpEwE4cuUYXSN_/view?usp=drive_link" TargetMode="External"/><Relationship Id="rId1008" Type="http://schemas.openxmlformats.org/officeDocument/2006/relationships/hyperlink" Target="https://drive.google.com/file/d/1Cr33fsYDlAmeKSrq54IpEwE4cuUYXSN_/view?usp=drive_link" TargetMode="External"/><Relationship Id="rId1009" Type="http://schemas.openxmlformats.org/officeDocument/2006/relationships/hyperlink" Target="https://drive.google.com/file/d/1Cr33fsYDlAmeKSrq54IpEwE4cuUYXSN_/view?usp=drive_link" TargetMode="External"/><Relationship Id="rId415" Type="http://schemas.openxmlformats.org/officeDocument/2006/relationships/hyperlink" Target="https://drive.google.com/file/d/1XAqTY5lDmz-Nlk-2RyZLDFLTdXFlQWwN/view?usp=drive_link" TargetMode="External"/><Relationship Id="rId657" Type="http://schemas.openxmlformats.org/officeDocument/2006/relationships/hyperlink" Target="https://drive.google.com/file/d/1eiNVh2ScfQRFBPZp33flkmzTP8mxd5Gv/view?usp=drive_link" TargetMode="External"/><Relationship Id="rId899" Type="http://schemas.openxmlformats.org/officeDocument/2006/relationships/hyperlink" Target="https://drive.google.com/file/d/1i_8abfonmG-89Ros0zHUWnNu8MzhQNxP/view?usp=drive_link" TargetMode="External"/><Relationship Id="rId414" Type="http://schemas.openxmlformats.org/officeDocument/2006/relationships/hyperlink" Target="https://drive.google.com/file/d/1XAqTY5lDmz-Nlk-2RyZLDFLTdXFlQWwN/view?usp=drive_link" TargetMode="External"/><Relationship Id="rId656" Type="http://schemas.openxmlformats.org/officeDocument/2006/relationships/hyperlink" Target="https://drive.google.com/file/d/1eiNVh2ScfQRFBPZp33flkmzTP8mxd5Gv/view?usp=drive_link" TargetMode="External"/><Relationship Id="rId898" Type="http://schemas.openxmlformats.org/officeDocument/2006/relationships/hyperlink" Target="https://drive.google.com/file/d/1i_8abfonmG-89Ros0zHUWnNu8MzhQNxP/view?usp=drive_link" TargetMode="External"/><Relationship Id="rId413" Type="http://schemas.openxmlformats.org/officeDocument/2006/relationships/hyperlink" Target="https://drive.google.com/file/d/1XAqTY5lDmz-Nlk-2RyZLDFLTdXFlQWwN/view?usp=drive_link" TargetMode="External"/><Relationship Id="rId655" Type="http://schemas.openxmlformats.org/officeDocument/2006/relationships/hyperlink" Target="https://drive.google.com/file/d/1eiNVh2ScfQRFBPZp33flkmzTP8mxd5Gv/view?usp=drive_link" TargetMode="External"/><Relationship Id="rId897" Type="http://schemas.openxmlformats.org/officeDocument/2006/relationships/hyperlink" Target="https://drive.google.com/file/d/1i_8abfonmG-89Ros0zHUWnNu8MzhQNxP/view?usp=drive_link" TargetMode="External"/><Relationship Id="rId412" Type="http://schemas.openxmlformats.org/officeDocument/2006/relationships/hyperlink" Target="https://drive.google.com/file/d/1XAqTY5lDmz-Nlk-2RyZLDFLTdXFlQWwN/view?usp=drive_link" TargetMode="External"/><Relationship Id="rId654" Type="http://schemas.openxmlformats.org/officeDocument/2006/relationships/hyperlink" Target="https://drive.google.com/file/d/1U5NpUldX11lIUPg7cKfgimE2IcQ5pp7N/view?usp=drive_link" TargetMode="External"/><Relationship Id="rId896" Type="http://schemas.openxmlformats.org/officeDocument/2006/relationships/hyperlink" Target="https://drive.google.com/file/d/1igI1wh_Q0jTB7TMB0o-EnoMxLaaHaFQI/view?usp=drive_link" TargetMode="External"/><Relationship Id="rId419" Type="http://schemas.openxmlformats.org/officeDocument/2006/relationships/hyperlink" Target="https://drive.google.com/file/d/1O_DSZsZns4i7Jm3wTSt4YTz9Ay-xRfBe/view?usp=drive_link" TargetMode="External"/><Relationship Id="rId418" Type="http://schemas.openxmlformats.org/officeDocument/2006/relationships/hyperlink" Target="https://drive.google.com/file/d/1O_DSZsZns4i7Jm3wTSt4YTz9Ay-xRfBe/view?usp=drive_link" TargetMode="External"/><Relationship Id="rId417" Type="http://schemas.openxmlformats.org/officeDocument/2006/relationships/hyperlink" Target="https://drive.google.com/file/d/1O_DSZsZns4i7Jm3wTSt4YTz9Ay-xRfBe/view?usp=drive_link" TargetMode="External"/><Relationship Id="rId659" Type="http://schemas.openxmlformats.org/officeDocument/2006/relationships/hyperlink" Target="https://drive.google.com/file/d/1eiNVh2ScfQRFBPZp33flkmzTP8mxd5Gv/view?usp=drive_link" TargetMode="External"/><Relationship Id="rId416" Type="http://schemas.openxmlformats.org/officeDocument/2006/relationships/hyperlink" Target="https://drive.google.com/file/d/1XAqTY5lDmz-Nlk-2RyZLDFLTdXFlQWwN/view?usp=drive_link" TargetMode="External"/><Relationship Id="rId658" Type="http://schemas.openxmlformats.org/officeDocument/2006/relationships/hyperlink" Target="https://drive.google.com/file/d/1eiNVh2ScfQRFBPZp33flkmzTP8mxd5Gv/view?usp=drive_link" TargetMode="External"/><Relationship Id="rId891" Type="http://schemas.openxmlformats.org/officeDocument/2006/relationships/hyperlink" Target="https://drive.google.com/file/d/1igI1wh_Q0jTB7TMB0o-EnoMxLaaHaFQI/view?usp=drive_link" TargetMode="External"/><Relationship Id="rId890" Type="http://schemas.openxmlformats.org/officeDocument/2006/relationships/hyperlink" Target="https://drive.google.com/file/d/1igI1wh_Q0jTB7TMB0o-EnoMxLaaHaFQI/view?usp=drive_link" TargetMode="External"/><Relationship Id="rId411" Type="http://schemas.openxmlformats.org/officeDocument/2006/relationships/hyperlink" Target="https://drive.google.com/file/d/1XAqTY5lDmz-Nlk-2RyZLDFLTdXFlQWwN/view?usp=drive_link" TargetMode="External"/><Relationship Id="rId653" Type="http://schemas.openxmlformats.org/officeDocument/2006/relationships/hyperlink" Target="https://drive.google.com/file/d/1U5NpUldX11lIUPg7cKfgimE2IcQ5pp7N/view?usp=drive_link" TargetMode="External"/><Relationship Id="rId895" Type="http://schemas.openxmlformats.org/officeDocument/2006/relationships/hyperlink" Target="https://drive.google.com/file/d/1igI1wh_Q0jTB7TMB0o-EnoMxLaaHaFQI/view?usp=drive_link" TargetMode="External"/><Relationship Id="rId1000" Type="http://schemas.openxmlformats.org/officeDocument/2006/relationships/hyperlink" Target="https://drive.google.com/file/d/1btDPlWcnETnPBAT-iKelxP5vmT6rqZ52/view?usp=drive_link" TargetMode="External"/><Relationship Id="rId410" Type="http://schemas.openxmlformats.org/officeDocument/2006/relationships/hyperlink" Target="https://drive.google.com/file/d/1XAqTY5lDmz-Nlk-2RyZLDFLTdXFlQWwN/view?usp=drive_link" TargetMode="External"/><Relationship Id="rId652" Type="http://schemas.openxmlformats.org/officeDocument/2006/relationships/hyperlink" Target="https://drive.google.com/file/d/1U5NpUldX11lIUPg7cKfgimE2IcQ5pp7N/view?usp=drive_link" TargetMode="External"/><Relationship Id="rId894" Type="http://schemas.openxmlformats.org/officeDocument/2006/relationships/hyperlink" Target="https://drive.google.com/file/d/1igI1wh_Q0jTB7TMB0o-EnoMxLaaHaFQI/view?usp=drive_link" TargetMode="External"/><Relationship Id="rId1001" Type="http://schemas.openxmlformats.org/officeDocument/2006/relationships/hyperlink" Target="https://drive.google.com/file/d/1btDPlWcnETnPBAT-iKelxP5vmT6rqZ52/view?usp=drive_link" TargetMode="External"/><Relationship Id="rId651" Type="http://schemas.openxmlformats.org/officeDocument/2006/relationships/hyperlink" Target="https://drive.google.com/file/d/1U5NpUldX11lIUPg7cKfgimE2IcQ5pp7N/view?usp=drive_link" TargetMode="External"/><Relationship Id="rId893" Type="http://schemas.openxmlformats.org/officeDocument/2006/relationships/hyperlink" Target="https://drive.google.com/file/d/1igI1wh_Q0jTB7TMB0o-EnoMxLaaHaFQI/view?usp=drive_link" TargetMode="External"/><Relationship Id="rId1002" Type="http://schemas.openxmlformats.org/officeDocument/2006/relationships/hyperlink" Target="https://drive.google.com/file/d/1btDPlWcnETnPBAT-iKelxP5vmT6rqZ52/view?usp=drive_link" TargetMode="External"/><Relationship Id="rId650" Type="http://schemas.openxmlformats.org/officeDocument/2006/relationships/hyperlink" Target="https://drive.google.com/file/d/1U5NpUldX11lIUPg7cKfgimE2IcQ5pp7N/view?usp=drive_link" TargetMode="External"/><Relationship Id="rId892" Type="http://schemas.openxmlformats.org/officeDocument/2006/relationships/hyperlink" Target="https://drive.google.com/file/d/1igI1wh_Q0jTB7TMB0o-EnoMxLaaHaFQI/view?usp=drive_link" TargetMode="External"/><Relationship Id="rId1003" Type="http://schemas.openxmlformats.org/officeDocument/2006/relationships/hyperlink" Target="https://drive.google.com/file/d/1btDPlWcnETnPBAT-iKelxP5vmT6rqZ52/view?usp=drive_link" TargetMode="External"/><Relationship Id="rId1037" Type="http://schemas.openxmlformats.org/officeDocument/2006/relationships/hyperlink" Target="https://drive.google.com/file/d/1cQNrquWk0qP_oK58sZYc2Iz1tYqubUto/view?usp=drive_link" TargetMode="External"/><Relationship Id="rId1038" Type="http://schemas.openxmlformats.org/officeDocument/2006/relationships/hyperlink" Target="https://drive.google.com/file/d/1cQNrquWk0qP_oK58sZYc2Iz1tYqubUto/view?usp=drive_link" TargetMode="External"/><Relationship Id="rId1039" Type="http://schemas.openxmlformats.org/officeDocument/2006/relationships/hyperlink" Target="https://drive.google.com/file/d/1cQNrquWk0qP_oK58sZYc2Iz1tYqubUto/view?usp=drive_link" TargetMode="External"/><Relationship Id="rId206" Type="http://schemas.openxmlformats.org/officeDocument/2006/relationships/hyperlink" Target="https://drive.google.com/file/d/1v_7SMO4X8YyMdvFw72lIhLJRse70mMMP/view?usp=drive_link" TargetMode="External"/><Relationship Id="rId448" Type="http://schemas.openxmlformats.org/officeDocument/2006/relationships/hyperlink" Target="https://drive.google.com/file/d/1u4EJSvK3AQicWK62g28mf84qbToXExyU/view?usp=drive_link" TargetMode="External"/><Relationship Id="rId205" Type="http://schemas.openxmlformats.org/officeDocument/2006/relationships/hyperlink" Target="https://drive.google.com/file/d/1v_7SMO4X8YyMdvFw72lIhLJRse70mMMP/view?usp=drive_link" TargetMode="External"/><Relationship Id="rId447" Type="http://schemas.openxmlformats.org/officeDocument/2006/relationships/hyperlink" Target="https://drive.google.com/file/d/1u4EJSvK3AQicWK62g28mf84qbToXExyU/view?usp=drive_link" TargetMode="External"/><Relationship Id="rId689" Type="http://schemas.openxmlformats.org/officeDocument/2006/relationships/hyperlink" Target="https://drive.google.com/file/d/1NG4yYkbM4t_e_oTnI3euLbitSP02MI33/view?usp=drive_link" TargetMode="External"/><Relationship Id="rId204" Type="http://schemas.openxmlformats.org/officeDocument/2006/relationships/hyperlink" Target="https://drive.google.com/file/d/1v_7SMO4X8YyMdvFw72lIhLJRse70mMMP/view?usp=drive_link" TargetMode="External"/><Relationship Id="rId446" Type="http://schemas.openxmlformats.org/officeDocument/2006/relationships/hyperlink" Target="https://drive.google.com/file/d/1u4EJSvK3AQicWK62g28mf84qbToXExyU/view?usp=drive_link" TargetMode="External"/><Relationship Id="rId688" Type="http://schemas.openxmlformats.org/officeDocument/2006/relationships/hyperlink" Target="https://drive.google.com/file/d/1NG4yYkbM4t_e_oTnI3euLbitSP02MI33/view?usp=drive_link" TargetMode="External"/><Relationship Id="rId203" Type="http://schemas.openxmlformats.org/officeDocument/2006/relationships/hyperlink" Target="https://drive.google.com/file/d/1v_7SMO4X8YyMdvFw72lIhLJRse70mMMP/view?usp=drive_link" TargetMode="External"/><Relationship Id="rId445" Type="http://schemas.openxmlformats.org/officeDocument/2006/relationships/hyperlink" Target="https://drive.google.com/file/d/1u4EJSvK3AQicWK62g28mf84qbToXExyU/view?usp=drive_link" TargetMode="External"/><Relationship Id="rId687" Type="http://schemas.openxmlformats.org/officeDocument/2006/relationships/hyperlink" Target="https://drive.google.com/file/d/1NG4yYkbM4t_e_oTnI3euLbitSP02MI33/view?usp=drive_link" TargetMode="External"/><Relationship Id="rId209" Type="http://schemas.openxmlformats.org/officeDocument/2006/relationships/hyperlink" Target="https://drive.google.com/file/d/11HJTe4WDS58SFhULVts0fIRBzAb3ROL8/view?usp=drive_link" TargetMode="External"/><Relationship Id="rId208" Type="http://schemas.openxmlformats.org/officeDocument/2006/relationships/hyperlink" Target="https://drive.google.com/file/d/11HJTe4WDS58SFhULVts0fIRBzAb3ROL8/view?usp=drive_link" TargetMode="External"/><Relationship Id="rId207" Type="http://schemas.openxmlformats.org/officeDocument/2006/relationships/hyperlink" Target="https://drive.google.com/file/d/11HJTe4WDS58SFhULVts0fIRBzAb3ROL8/view?usp=drive_link" TargetMode="External"/><Relationship Id="rId449" Type="http://schemas.openxmlformats.org/officeDocument/2006/relationships/hyperlink" Target="https://drive.google.com/file/d/1u4EJSvK3AQicWK62g28mf84qbToXExyU/view?usp=drive_link" TargetMode="External"/><Relationship Id="rId440" Type="http://schemas.openxmlformats.org/officeDocument/2006/relationships/hyperlink" Target="https://drive.google.com/file/d/1JTzZuDXMa-LH3Bwf_FbwqpJKgZy37qfc/view?usp=drive_link" TargetMode="External"/><Relationship Id="rId682" Type="http://schemas.openxmlformats.org/officeDocument/2006/relationships/hyperlink" Target="https://drive.google.com/file/d/1SxqRu3v7AeS0IljpGYpG5bS9Z-89x6dR/view?usp=drive_link" TargetMode="External"/><Relationship Id="rId681" Type="http://schemas.openxmlformats.org/officeDocument/2006/relationships/hyperlink" Target="https://drive.google.com/file/d/1SxqRu3v7AeS0IljpGYpG5bS9Z-89x6dR/view?usp=drive_link" TargetMode="External"/><Relationship Id="rId1030" Type="http://schemas.openxmlformats.org/officeDocument/2006/relationships/hyperlink" Target="https://drive.google.com/file/d/1cQNrquWk0qP_oK58sZYc2Iz1tYqubUto/view?usp=drive_link" TargetMode="External"/><Relationship Id="rId680" Type="http://schemas.openxmlformats.org/officeDocument/2006/relationships/hyperlink" Target="https://drive.google.com/file/d/1SxqRu3v7AeS0IljpGYpG5bS9Z-89x6dR/view?usp=drive_link" TargetMode="External"/><Relationship Id="rId1031" Type="http://schemas.openxmlformats.org/officeDocument/2006/relationships/hyperlink" Target="https://drive.google.com/file/d/1cQNrquWk0qP_oK58sZYc2Iz1tYqubUto/view?usp=drive_link" TargetMode="External"/><Relationship Id="rId1032" Type="http://schemas.openxmlformats.org/officeDocument/2006/relationships/hyperlink" Target="https://drive.google.com/file/d/1cQNrquWk0qP_oK58sZYc2Iz1tYqubUto/view?usp=drive_link" TargetMode="External"/><Relationship Id="rId202" Type="http://schemas.openxmlformats.org/officeDocument/2006/relationships/hyperlink" Target="https://drive.google.com/file/d/1v_7SMO4X8YyMdvFw72lIhLJRse70mMMP/view?usp=drive_link" TargetMode="External"/><Relationship Id="rId444" Type="http://schemas.openxmlformats.org/officeDocument/2006/relationships/hyperlink" Target="https://drive.google.com/file/d/1JTzZuDXMa-LH3Bwf_FbwqpJKgZy37qfc/view?usp=drive_link" TargetMode="External"/><Relationship Id="rId686" Type="http://schemas.openxmlformats.org/officeDocument/2006/relationships/hyperlink" Target="https://drive.google.com/file/d/1NG4yYkbM4t_e_oTnI3euLbitSP02MI33/view?usp=drive_link" TargetMode="External"/><Relationship Id="rId1033" Type="http://schemas.openxmlformats.org/officeDocument/2006/relationships/hyperlink" Target="https://drive.google.com/file/d/1cQNrquWk0qP_oK58sZYc2Iz1tYqubUto/view?usp=drive_link" TargetMode="External"/><Relationship Id="rId201" Type="http://schemas.openxmlformats.org/officeDocument/2006/relationships/hyperlink" Target="https://drive.google.com/file/d/1v_7SMO4X8YyMdvFw72lIhLJRse70mMMP/view?usp=drive_link" TargetMode="External"/><Relationship Id="rId443" Type="http://schemas.openxmlformats.org/officeDocument/2006/relationships/hyperlink" Target="https://drive.google.com/file/d/1JTzZuDXMa-LH3Bwf_FbwqpJKgZy37qfc/view?usp=drive_link" TargetMode="External"/><Relationship Id="rId685" Type="http://schemas.openxmlformats.org/officeDocument/2006/relationships/hyperlink" Target="https://drive.google.com/file/d/1NG4yYkbM4t_e_oTnI3euLbitSP02MI33/view?usp=drive_link" TargetMode="External"/><Relationship Id="rId1034" Type="http://schemas.openxmlformats.org/officeDocument/2006/relationships/hyperlink" Target="https://drive.google.com/file/d/1cQNrquWk0qP_oK58sZYc2Iz1tYqubUto/view?usp=drive_link" TargetMode="External"/><Relationship Id="rId200" Type="http://schemas.openxmlformats.org/officeDocument/2006/relationships/hyperlink" Target="https://drive.google.com/file/d/1v_7SMO4X8YyMdvFw72lIhLJRse70mMMP/view?usp=drive_link" TargetMode="External"/><Relationship Id="rId442" Type="http://schemas.openxmlformats.org/officeDocument/2006/relationships/hyperlink" Target="https://drive.google.com/file/d/1JTzZuDXMa-LH3Bwf_FbwqpJKgZy37qfc/view?usp=drive_link" TargetMode="External"/><Relationship Id="rId684" Type="http://schemas.openxmlformats.org/officeDocument/2006/relationships/hyperlink" Target="https://drive.google.com/file/d/1NG4yYkbM4t_e_oTnI3euLbitSP02MI33/view?usp=drive_link" TargetMode="External"/><Relationship Id="rId1035" Type="http://schemas.openxmlformats.org/officeDocument/2006/relationships/hyperlink" Target="https://drive.google.com/file/d/1cQNrquWk0qP_oK58sZYc2Iz1tYqubUto/view?usp=drive_link" TargetMode="External"/><Relationship Id="rId441" Type="http://schemas.openxmlformats.org/officeDocument/2006/relationships/hyperlink" Target="https://drive.google.com/file/d/1JTzZuDXMa-LH3Bwf_FbwqpJKgZy37qfc/view?usp=drive_link" TargetMode="External"/><Relationship Id="rId683" Type="http://schemas.openxmlformats.org/officeDocument/2006/relationships/hyperlink" Target="https://drive.google.com/file/d/1NG4yYkbM4t_e_oTnI3euLbitSP02MI33/view?usp=drive_link" TargetMode="External"/><Relationship Id="rId1036" Type="http://schemas.openxmlformats.org/officeDocument/2006/relationships/hyperlink" Target="https://drive.google.com/file/d/1cQNrquWk0qP_oK58sZYc2Iz1tYqubUto/view?usp=drive_link" TargetMode="External"/><Relationship Id="rId1026" Type="http://schemas.openxmlformats.org/officeDocument/2006/relationships/hyperlink" Target="https://drive.google.com/file/d/1cQNrquWk0qP_oK58sZYc2Iz1tYqubUto/view?usp=drive_link" TargetMode="External"/><Relationship Id="rId1027" Type="http://schemas.openxmlformats.org/officeDocument/2006/relationships/hyperlink" Target="https://drive.google.com/file/d/1cQNrquWk0qP_oK58sZYc2Iz1tYqubUto/view?usp=drive_link" TargetMode="External"/><Relationship Id="rId1028" Type="http://schemas.openxmlformats.org/officeDocument/2006/relationships/hyperlink" Target="https://drive.google.com/file/d/1cQNrquWk0qP_oK58sZYc2Iz1tYqubUto/view?usp=drive_link" TargetMode="External"/><Relationship Id="rId1029" Type="http://schemas.openxmlformats.org/officeDocument/2006/relationships/hyperlink" Target="https://drive.google.com/file/d/1cQNrquWk0qP_oK58sZYc2Iz1tYqubUto/view?usp=drive_link" TargetMode="External"/><Relationship Id="rId437" Type="http://schemas.openxmlformats.org/officeDocument/2006/relationships/hyperlink" Target="https://drive.google.com/file/d/1_R54zU_1KgccTX1U2QAti2X4GUJjoSKa/view?usp=drive_link" TargetMode="External"/><Relationship Id="rId679" Type="http://schemas.openxmlformats.org/officeDocument/2006/relationships/hyperlink" Target="https://drive.google.com/file/d/1SxqRu3v7AeS0IljpGYpG5bS9Z-89x6dR/view?usp=drive_link" TargetMode="External"/><Relationship Id="rId436" Type="http://schemas.openxmlformats.org/officeDocument/2006/relationships/hyperlink" Target="https://drive.google.com/file/d/1_R54zU_1KgccTX1U2QAti2X4GUJjoSKa/view?usp=drive_link" TargetMode="External"/><Relationship Id="rId678" Type="http://schemas.openxmlformats.org/officeDocument/2006/relationships/hyperlink" Target="https://drive.google.com/file/d/1SxqRu3v7AeS0IljpGYpG5bS9Z-89x6dR/view?usp=drive_link" TargetMode="External"/><Relationship Id="rId435" Type="http://schemas.openxmlformats.org/officeDocument/2006/relationships/hyperlink" Target="https://drive.google.com/file/d/1_R54zU_1KgccTX1U2QAti2X4GUJjoSKa/view?usp=drive_link" TargetMode="External"/><Relationship Id="rId677" Type="http://schemas.openxmlformats.org/officeDocument/2006/relationships/hyperlink" Target="https://drive.google.com/file/d/1SxqRu3v7AeS0IljpGYpG5bS9Z-89x6dR/view?usp=drive_link" TargetMode="External"/><Relationship Id="rId434" Type="http://schemas.openxmlformats.org/officeDocument/2006/relationships/hyperlink" Target="https://drive.google.com/file/d/1_R54zU_1KgccTX1U2QAti2X4GUJjoSKa/view?usp=drive_link" TargetMode="External"/><Relationship Id="rId676" Type="http://schemas.openxmlformats.org/officeDocument/2006/relationships/hyperlink" Target="https://drive.google.com/file/d/1SxqRu3v7AeS0IljpGYpG5bS9Z-89x6dR/view?usp=drive_link" TargetMode="External"/><Relationship Id="rId439" Type="http://schemas.openxmlformats.org/officeDocument/2006/relationships/hyperlink" Target="https://drive.google.com/file/d/1JTzZuDXMa-LH3Bwf_FbwqpJKgZy37qfc/view?usp=drive_link" TargetMode="External"/><Relationship Id="rId438" Type="http://schemas.openxmlformats.org/officeDocument/2006/relationships/hyperlink" Target="https://drive.google.com/file/d/1JTzZuDXMa-LH3Bwf_FbwqpJKgZy37qfc/view?usp=drive_link" TargetMode="External"/><Relationship Id="rId671" Type="http://schemas.openxmlformats.org/officeDocument/2006/relationships/hyperlink" Target="https://drive.google.com/file/d/1iy76-8-rUD1wrMwp8L6Qs2C_fGapUu-H/view?usp=drive_link" TargetMode="External"/><Relationship Id="rId670" Type="http://schemas.openxmlformats.org/officeDocument/2006/relationships/hyperlink" Target="https://drive.google.com/file/d/1iy76-8-rUD1wrMwp8L6Qs2C_fGapUu-H/view?usp=drive_link" TargetMode="External"/><Relationship Id="rId1020" Type="http://schemas.openxmlformats.org/officeDocument/2006/relationships/hyperlink" Target="https://drive.google.com/file/d/1GSd9HHHZ50nPHKaRl_uk3LIdCGTsQEGw/view?usp=drive_link" TargetMode="External"/><Relationship Id="rId1021" Type="http://schemas.openxmlformats.org/officeDocument/2006/relationships/hyperlink" Target="https://drive.google.com/file/d/1GSd9HHHZ50nPHKaRl_uk3LIdCGTsQEGw/view?usp=drive_link" TargetMode="External"/><Relationship Id="rId433" Type="http://schemas.openxmlformats.org/officeDocument/2006/relationships/hyperlink" Target="https://drive.google.com/file/d/1_R54zU_1KgccTX1U2QAti2X4GUJjoSKa/view?usp=drive_link" TargetMode="External"/><Relationship Id="rId675" Type="http://schemas.openxmlformats.org/officeDocument/2006/relationships/hyperlink" Target="https://drive.google.com/file/d/1iy76-8-rUD1wrMwp8L6Qs2C_fGapUu-H/view?usp=drive_link" TargetMode="External"/><Relationship Id="rId1022" Type="http://schemas.openxmlformats.org/officeDocument/2006/relationships/hyperlink" Target="https://drive.google.com/file/d/1GSd9HHHZ50nPHKaRl_uk3LIdCGTsQEGw/view?usp=drive_link" TargetMode="External"/><Relationship Id="rId432" Type="http://schemas.openxmlformats.org/officeDocument/2006/relationships/hyperlink" Target="https://drive.google.com/file/d/1_R54zU_1KgccTX1U2QAti2X4GUJjoSKa/view?usp=drive_link" TargetMode="External"/><Relationship Id="rId674" Type="http://schemas.openxmlformats.org/officeDocument/2006/relationships/hyperlink" Target="https://drive.google.com/file/d/1iy76-8-rUD1wrMwp8L6Qs2C_fGapUu-H/view?usp=drive_link" TargetMode="External"/><Relationship Id="rId1023" Type="http://schemas.openxmlformats.org/officeDocument/2006/relationships/hyperlink" Target="https://drive.google.com/file/d/1cQNrquWk0qP_oK58sZYc2Iz1tYqubUto/view?usp=drive_link" TargetMode="External"/><Relationship Id="rId431" Type="http://schemas.openxmlformats.org/officeDocument/2006/relationships/hyperlink" Target="https://drive.google.com/file/d/1_R54zU_1KgccTX1U2QAti2X4GUJjoSKa/view?usp=drive_link" TargetMode="External"/><Relationship Id="rId673" Type="http://schemas.openxmlformats.org/officeDocument/2006/relationships/hyperlink" Target="https://drive.google.com/file/d/1iy76-8-rUD1wrMwp8L6Qs2C_fGapUu-H/view?usp=drive_link" TargetMode="External"/><Relationship Id="rId1024" Type="http://schemas.openxmlformats.org/officeDocument/2006/relationships/hyperlink" Target="https://drive.google.com/file/d/1cQNrquWk0qP_oK58sZYc2Iz1tYqubUto/view?usp=drive_link" TargetMode="External"/><Relationship Id="rId430" Type="http://schemas.openxmlformats.org/officeDocument/2006/relationships/hyperlink" Target="https://drive.google.com/file/d/1L_MGjfSdTsA-L6b5PCwK471lhjQaZRPp/view?usp=drive_link" TargetMode="External"/><Relationship Id="rId672" Type="http://schemas.openxmlformats.org/officeDocument/2006/relationships/hyperlink" Target="https://drive.google.com/file/d/1iy76-8-rUD1wrMwp8L6Qs2C_fGapUu-H/view?usp=drive_link" TargetMode="External"/><Relationship Id="rId1025" Type="http://schemas.openxmlformats.org/officeDocument/2006/relationships/hyperlink" Target="https://drive.google.com/file/d/1cQNrquWk0qP_oK58sZYc2Iz1tYqubUto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4YoUuP9iQNtxRj2fVuhK4sc2KujDf-3T/view?usp=drive_link" TargetMode="External"/><Relationship Id="rId2" Type="http://schemas.openxmlformats.org/officeDocument/2006/relationships/hyperlink" Target="https://drive.google.com/file/d/14YoUuP9iQNtxRj2fVuhK4sc2KujDf-3T/view?usp=drive_link" TargetMode="External"/><Relationship Id="rId3" Type="http://schemas.openxmlformats.org/officeDocument/2006/relationships/hyperlink" Target="https://drive.google.com/file/d/14YoUuP9iQNtxRj2fVuhK4sc2KujDf-3T/view?usp=drive_link" TargetMode="External"/><Relationship Id="rId4" Type="http://schemas.openxmlformats.org/officeDocument/2006/relationships/hyperlink" Target="https://drive.google.com/file/d/14YoUuP9iQNtxRj2fVuhK4sc2KujDf-3T/view?usp=drive_link" TargetMode="External"/><Relationship Id="rId9" Type="http://schemas.openxmlformats.org/officeDocument/2006/relationships/hyperlink" Target="https://drive.google.com/file/d/1COsFZDP9fptiWLvKn9aNQEkLuXWtE5hZ/view?usp=drive_link" TargetMode="External"/><Relationship Id="rId5" Type="http://schemas.openxmlformats.org/officeDocument/2006/relationships/hyperlink" Target="https://drive.google.com/file/d/14YoUuP9iQNtxRj2fVuhK4sc2KujDf-3T/view?usp=drive_link" TargetMode="External"/><Relationship Id="rId6" Type="http://schemas.openxmlformats.org/officeDocument/2006/relationships/hyperlink" Target="https://drive.google.com/file/d/1COsFZDP9fptiWLvKn9aNQEkLuXWtE5hZ/view?usp=drive_link" TargetMode="External"/><Relationship Id="rId7" Type="http://schemas.openxmlformats.org/officeDocument/2006/relationships/hyperlink" Target="https://drive.google.com/file/d/1COsFZDP9fptiWLvKn9aNQEkLuXWtE5hZ/view?usp=drive_link" TargetMode="External"/><Relationship Id="rId8" Type="http://schemas.openxmlformats.org/officeDocument/2006/relationships/hyperlink" Target="https://drive.google.com/file/d/1COsFZDP9fptiWLvKn9aNQEkLuXWtE5hZ/view?usp=drive_link" TargetMode="External"/><Relationship Id="rId10" Type="http://schemas.openxmlformats.org/officeDocument/2006/relationships/drawing" Target="../drawings/drawing8.xml"/><Relationship Id="rId12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63"/>
    <col customWidth="1" min="3" max="3" width="13.0"/>
    <col customWidth="1" min="5" max="6" width="17.88"/>
    <col customWidth="1" min="7" max="7" width="61.63"/>
    <col customWidth="1" min="9" max="9" width="16.5"/>
    <col customWidth="1" min="10" max="10" width="11.88"/>
    <col customWidth="1" min="11" max="11" width="38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1" t="s">
        <v>8</v>
      </c>
      <c r="J1" s="3" t="s">
        <v>9</v>
      </c>
      <c r="K1" s="1" t="s">
        <v>10</v>
      </c>
    </row>
    <row r="2">
      <c r="A2" s="6"/>
      <c r="B2" s="7"/>
      <c r="C2" s="8">
        <v>244492.0</v>
      </c>
      <c r="D2" s="9"/>
      <c r="E2" s="9"/>
      <c r="F2" s="10" t="s">
        <v>11</v>
      </c>
      <c r="G2" s="11" t="s">
        <v>12</v>
      </c>
      <c r="H2" s="9"/>
      <c r="I2" s="9" t="s">
        <v>13</v>
      </c>
      <c r="J2" s="12"/>
      <c r="K2" s="9"/>
    </row>
    <row r="3">
      <c r="A3" s="6"/>
      <c r="B3" s="6"/>
      <c r="C3" s="8">
        <v>244492.0</v>
      </c>
      <c r="D3" s="9"/>
      <c r="E3" s="9"/>
      <c r="F3" s="10" t="s">
        <v>11</v>
      </c>
      <c r="G3" s="11" t="s">
        <v>14</v>
      </c>
      <c r="H3" s="9"/>
      <c r="I3" s="9" t="s">
        <v>13</v>
      </c>
      <c r="J3" s="12"/>
      <c r="K3" s="13"/>
    </row>
    <row r="4">
      <c r="A4" s="6"/>
      <c r="B4" s="6"/>
      <c r="C4" s="8">
        <v>244492.0</v>
      </c>
      <c r="D4" s="9"/>
      <c r="E4" s="9"/>
      <c r="F4" s="10" t="s">
        <v>11</v>
      </c>
      <c r="G4" s="11" t="s">
        <v>15</v>
      </c>
      <c r="H4" s="9">
        <v>6.0</v>
      </c>
      <c r="I4" s="9" t="s">
        <v>13</v>
      </c>
      <c r="J4" s="12"/>
      <c r="K4" s="13"/>
    </row>
    <row r="5">
      <c r="A5" s="6"/>
      <c r="B5" s="6"/>
      <c r="C5" s="8">
        <v>244492.0</v>
      </c>
      <c r="D5" s="9"/>
      <c r="E5" s="9"/>
      <c r="F5" s="10" t="s">
        <v>11</v>
      </c>
      <c r="G5" s="11" t="s">
        <v>16</v>
      </c>
      <c r="H5" s="9">
        <v>6.0</v>
      </c>
      <c r="I5" s="9" t="s">
        <v>13</v>
      </c>
      <c r="J5" s="12"/>
      <c r="K5" s="13"/>
    </row>
    <row r="6">
      <c r="A6" s="6"/>
      <c r="B6" s="6"/>
      <c r="C6" s="8">
        <v>244492.0</v>
      </c>
      <c r="D6" s="9"/>
      <c r="E6" s="9"/>
      <c r="F6" s="10" t="s">
        <v>11</v>
      </c>
      <c r="G6" s="11" t="s">
        <v>17</v>
      </c>
      <c r="H6" s="9">
        <v>2.0</v>
      </c>
      <c r="I6" s="9" t="s">
        <v>13</v>
      </c>
      <c r="J6" s="12"/>
      <c r="K6" s="13"/>
    </row>
    <row r="7">
      <c r="A7" s="6"/>
      <c r="B7" s="6"/>
      <c r="C7" s="8">
        <v>244492.0</v>
      </c>
      <c r="D7" s="9"/>
      <c r="E7" s="9"/>
      <c r="F7" s="10" t="s">
        <v>11</v>
      </c>
      <c r="G7" s="11" t="s">
        <v>18</v>
      </c>
      <c r="H7" s="9">
        <v>6.0</v>
      </c>
      <c r="I7" s="9" t="s">
        <v>13</v>
      </c>
      <c r="J7" s="12"/>
      <c r="K7" s="13"/>
    </row>
    <row r="8">
      <c r="A8" s="6"/>
      <c r="B8" s="6"/>
      <c r="C8" s="8">
        <v>244492.0</v>
      </c>
      <c r="D8" s="9"/>
      <c r="E8" s="9"/>
      <c r="F8" s="10" t="s">
        <v>11</v>
      </c>
      <c r="G8" s="11" t="s">
        <v>19</v>
      </c>
      <c r="H8" s="9">
        <v>6.0</v>
      </c>
      <c r="I8" s="9" t="s">
        <v>13</v>
      </c>
      <c r="J8" s="12"/>
      <c r="K8" s="13"/>
    </row>
    <row r="9">
      <c r="A9" s="6"/>
      <c r="B9" s="6"/>
      <c r="C9" s="8">
        <v>244492.0</v>
      </c>
      <c r="D9" s="9"/>
      <c r="E9" s="9"/>
      <c r="F9" s="10" t="s">
        <v>11</v>
      </c>
      <c r="G9" s="11" t="s">
        <v>20</v>
      </c>
      <c r="H9" s="9">
        <v>21.0</v>
      </c>
      <c r="I9" s="9" t="s">
        <v>13</v>
      </c>
      <c r="J9" s="12"/>
      <c r="K9" s="13"/>
    </row>
    <row r="10">
      <c r="A10" s="6"/>
      <c r="B10" s="6"/>
      <c r="C10" s="8">
        <v>244492.0</v>
      </c>
      <c r="D10" s="9"/>
      <c r="E10" s="9"/>
      <c r="F10" s="10" t="s">
        <v>11</v>
      </c>
      <c r="G10" s="11" t="s">
        <v>21</v>
      </c>
      <c r="H10" s="9">
        <v>25.0</v>
      </c>
      <c r="I10" s="9" t="s">
        <v>13</v>
      </c>
      <c r="J10" s="12"/>
      <c r="K10" s="13"/>
    </row>
    <row r="11">
      <c r="A11" s="6"/>
      <c r="B11" s="6"/>
      <c r="C11" s="8">
        <v>244492.0</v>
      </c>
      <c r="D11" s="9"/>
      <c r="E11" s="9"/>
      <c r="F11" s="10" t="s">
        <v>11</v>
      </c>
      <c r="G11" s="11" t="s">
        <v>22</v>
      </c>
      <c r="H11" s="9">
        <v>5.0</v>
      </c>
      <c r="I11" s="9" t="s">
        <v>13</v>
      </c>
      <c r="J11" s="12"/>
      <c r="K11" s="13"/>
    </row>
    <row r="12">
      <c r="A12" s="6"/>
      <c r="B12" s="6"/>
      <c r="C12" s="8">
        <v>244492.0</v>
      </c>
      <c r="D12" s="9"/>
      <c r="E12" s="9"/>
      <c r="F12" s="10" t="s">
        <v>11</v>
      </c>
      <c r="G12" s="11" t="s">
        <v>23</v>
      </c>
      <c r="H12" s="9">
        <v>9.0</v>
      </c>
      <c r="I12" s="9" t="s">
        <v>13</v>
      </c>
      <c r="J12" s="14"/>
      <c r="K12" s="9"/>
    </row>
    <row r="13">
      <c r="A13" s="6"/>
      <c r="B13" s="6"/>
      <c r="C13" s="8">
        <v>244492.0</v>
      </c>
      <c r="D13" s="9"/>
      <c r="E13" s="9"/>
      <c r="F13" s="10" t="s">
        <v>11</v>
      </c>
      <c r="G13" s="11" t="s">
        <v>24</v>
      </c>
      <c r="H13" s="9">
        <v>3.0</v>
      </c>
      <c r="I13" s="9" t="s">
        <v>13</v>
      </c>
      <c r="J13" s="12"/>
      <c r="K13" s="13"/>
    </row>
    <row r="14">
      <c r="A14" s="6"/>
      <c r="B14" s="6"/>
      <c r="C14" s="8">
        <v>244492.0</v>
      </c>
      <c r="D14" s="9"/>
      <c r="E14" s="9"/>
      <c r="F14" s="10" t="s">
        <v>11</v>
      </c>
      <c r="G14" s="11" t="s">
        <v>25</v>
      </c>
      <c r="H14" s="9">
        <v>6200.0</v>
      </c>
      <c r="I14" s="9" t="s">
        <v>13</v>
      </c>
      <c r="J14" s="12"/>
      <c r="K14" s="13"/>
    </row>
    <row r="15">
      <c r="A15" s="6"/>
      <c r="B15" s="6"/>
      <c r="C15" s="8">
        <v>244492.0</v>
      </c>
      <c r="D15" s="9"/>
      <c r="E15" s="9"/>
      <c r="F15" s="10" t="s">
        <v>11</v>
      </c>
      <c r="G15" s="11" t="s">
        <v>26</v>
      </c>
      <c r="H15" s="9">
        <v>20.0</v>
      </c>
      <c r="I15" s="9" t="s">
        <v>13</v>
      </c>
      <c r="J15" s="12"/>
      <c r="K15" s="13"/>
    </row>
    <row r="16">
      <c r="A16" s="6"/>
      <c r="B16" s="6"/>
      <c r="C16" s="8">
        <v>244492.0</v>
      </c>
      <c r="D16" s="9"/>
      <c r="E16" s="9"/>
      <c r="F16" s="10" t="s">
        <v>11</v>
      </c>
      <c r="G16" s="11" t="s">
        <v>27</v>
      </c>
      <c r="H16" s="9">
        <v>15.0</v>
      </c>
      <c r="I16" s="9" t="s">
        <v>13</v>
      </c>
      <c r="J16" s="12"/>
      <c r="K16" s="13"/>
    </row>
    <row r="17">
      <c r="A17" s="6"/>
      <c r="B17" s="6"/>
      <c r="C17" s="8">
        <v>244492.0</v>
      </c>
      <c r="D17" s="9"/>
      <c r="E17" s="9"/>
      <c r="F17" s="10" t="s">
        <v>11</v>
      </c>
      <c r="G17" s="11" t="s">
        <v>28</v>
      </c>
      <c r="H17" s="9">
        <v>12.0</v>
      </c>
      <c r="I17" s="9" t="s">
        <v>13</v>
      </c>
      <c r="J17" s="12"/>
      <c r="K17" s="13"/>
    </row>
    <row r="18">
      <c r="A18" s="6"/>
      <c r="B18" s="6"/>
      <c r="C18" s="8">
        <v>244492.0</v>
      </c>
      <c r="D18" s="9"/>
      <c r="E18" s="9"/>
      <c r="F18" s="10" t="s">
        <v>11</v>
      </c>
      <c r="G18" s="11" t="s">
        <v>29</v>
      </c>
      <c r="H18" s="9">
        <v>12.0</v>
      </c>
      <c r="I18" s="9" t="s">
        <v>13</v>
      </c>
      <c r="J18" s="12"/>
      <c r="K18" s="13"/>
    </row>
    <row r="19">
      <c r="A19" s="6"/>
      <c r="B19" s="6"/>
      <c r="C19" s="8">
        <v>244492.0</v>
      </c>
      <c r="D19" s="9"/>
      <c r="E19" s="9"/>
      <c r="F19" s="10" t="s">
        <v>11</v>
      </c>
      <c r="G19" s="11" t="s">
        <v>30</v>
      </c>
      <c r="H19" s="9">
        <v>23.0</v>
      </c>
      <c r="I19" s="9" t="s">
        <v>13</v>
      </c>
      <c r="J19" s="12"/>
      <c r="K19" s="13"/>
    </row>
    <row r="20">
      <c r="A20" s="6"/>
      <c r="B20" s="6"/>
      <c r="C20" s="8">
        <v>244492.0</v>
      </c>
      <c r="D20" s="9"/>
      <c r="E20" s="9"/>
      <c r="F20" s="10" t="s">
        <v>11</v>
      </c>
      <c r="G20" s="11" t="s">
        <v>31</v>
      </c>
      <c r="H20" s="9">
        <v>10.0</v>
      </c>
      <c r="I20" s="9" t="s">
        <v>13</v>
      </c>
      <c r="J20" s="12"/>
      <c r="K20" s="13"/>
    </row>
    <row r="21">
      <c r="A21" s="6"/>
      <c r="B21" s="6"/>
      <c r="C21" s="8">
        <v>244492.0</v>
      </c>
      <c r="D21" s="9"/>
      <c r="E21" s="9"/>
      <c r="F21" s="10" t="s">
        <v>11</v>
      </c>
      <c r="G21" s="11" t="s">
        <v>32</v>
      </c>
      <c r="H21" s="9">
        <v>17.0</v>
      </c>
      <c r="I21" s="9" t="s">
        <v>13</v>
      </c>
      <c r="J21" s="12"/>
      <c r="K21" s="13"/>
    </row>
    <row r="22">
      <c r="A22" s="6"/>
      <c r="B22" s="6"/>
      <c r="C22" s="8">
        <v>244492.0</v>
      </c>
      <c r="D22" s="9"/>
      <c r="E22" s="9"/>
      <c r="F22" s="10" t="s">
        <v>11</v>
      </c>
      <c r="G22" s="11" t="s">
        <v>33</v>
      </c>
      <c r="H22" s="9">
        <v>18.0</v>
      </c>
      <c r="I22" s="9" t="s">
        <v>13</v>
      </c>
      <c r="J22" s="12"/>
      <c r="K22" s="13"/>
    </row>
    <row r="23">
      <c r="A23" s="6"/>
      <c r="B23" s="6"/>
      <c r="C23" s="8">
        <v>244492.0</v>
      </c>
      <c r="D23" s="9"/>
      <c r="E23" s="9"/>
      <c r="F23" s="10" t="s">
        <v>11</v>
      </c>
      <c r="G23" s="11" t="s">
        <v>34</v>
      </c>
      <c r="H23" s="9">
        <v>72.0</v>
      </c>
      <c r="I23" s="9" t="s">
        <v>13</v>
      </c>
      <c r="J23" s="12"/>
      <c r="K23" s="13"/>
    </row>
    <row r="24">
      <c r="A24" s="6"/>
      <c r="B24" s="6"/>
      <c r="C24" s="8">
        <v>244492.0</v>
      </c>
      <c r="D24" s="9"/>
      <c r="E24" s="9"/>
      <c r="F24" s="10" t="s">
        <v>11</v>
      </c>
      <c r="G24" s="11" t="s">
        <v>35</v>
      </c>
      <c r="H24" s="9">
        <v>38.0</v>
      </c>
      <c r="I24" s="9" t="s">
        <v>13</v>
      </c>
      <c r="J24" s="12"/>
      <c r="K24" s="13"/>
    </row>
    <row r="25">
      <c r="A25" s="6"/>
      <c r="B25" s="6"/>
      <c r="C25" s="8">
        <v>244492.0</v>
      </c>
      <c r="D25" s="9"/>
      <c r="E25" s="9"/>
      <c r="F25" s="10" t="s">
        <v>11</v>
      </c>
      <c r="G25" s="11" t="s">
        <v>36</v>
      </c>
      <c r="H25" s="9">
        <v>30.0</v>
      </c>
      <c r="I25" s="9" t="s">
        <v>13</v>
      </c>
      <c r="J25" s="12"/>
      <c r="K25" s="13"/>
    </row>
    <row r="26">
      <c r="A26" s="6"/>
      <c r="B26" s="6"/>
      <c r="C26" s="8">
        <v>244492.0</v>
      </c>
      <c r="D26" s="9"/>
      <c r="E26" s="9"/>
      <c r="F26" s="10" t="s">
        <v>11</v>
      </c>
      <c r="G26" s="11" t="s">
        <v>37</v>
      </c>
      <c r="H26" s="9">
        <v>15.0</v>
      </c>
      <c r="I26" s="9" t="s">
        <v>13</v>
      </c>
      <c r="J26" s="12"/>
      <c r="K26" s="13"/>
    </row>
    <row r="27">
      <c r="A27" s="6"/>
      <c r="B27" s="6"/>
      <c r="C27" s="8">
        <v>244492.0</v>
      </c>
      <c r="D27" s="9"/>
      <c r="E27" s="9"/>
      <c r="F27" s="10" t="s">
        <v>11</v>
      </c>
      <c r="G27" s="11" t="s">
        <v>38</v>
      </c>
      <c r="H27" s="9">
        <v>9.0</v>
      </c>
      <c r="I27" s="9" t="s">
        <v>13</v>
      </c>
      <c r="J27" s="12"/>
      <c r="K27" s="13"/>
    </row>
    <row r="28">
      <c r="A28" s="6"/>
      <c r="B28" s="6"/>
      <c r="C28" s="8">
        <v>244492.0</v>
      </c>
      <c r="D28" s="9"/>
      <c r="E28" s="9"/>
      <c r="F28" s="10" t="s">
        <v>11</v>
      </c>
      <c r="G28" s="11" t="s">
        <v>39</v>
      </c>
      <c r="H28" s="9">
        <v>22.0</v>
      </c>
      <c r="I28" s="9" t="s">
        <v>13</v>
      </c>
      <c r="J28" s="12"/>
      <c r="K28" s="13"/>
    </row>
    <row r="29">
      <c r="A29" s="6"/>
      <c r="B29" s="6"/>
      <c r="C29" s="8">
        <v>244492.0</v>
      </c>
      <c r="D29" s="9"/>
      <c r="E29" s="9"/>
      <c r="F29" s="10" t="s">
        <v>11</v>
      </c>
      <c r="G29" s="11" t="s">
        <v>40</v>
      </c>
      <c r="H29" s="9">
        <v>18.0</v>
      </c>
      <c r="I29" s="9" t="s">
        <v>13</v>
      </c>
      <c r="J29" s="12"/>
      <c r="K29" s="13"/>
    </row>
    <row r="30">
      <c r="A30" s="6"/>
      <c r="B30" s="6"/>
      <c r="C30" s="8">
        <v>244492.0</v>
      </c>
      <c r="D30" s="9"/>
      <c r="E30" s="9"/>
      <c r="F30" s="10" t="s">
        <v>11</v>
      </c>
      <c r="G30" s="11" t="s">
        <v>41</v>
      </c>
      <c r="H30" s="9">
        <v>6.0</v>
      </c>
      <c r="I30" s="9" t="s">
        <v>13</v>
      </c>
      <c r="J30" s="12"/>
      <c r="K30" s="13"/>
    </row>
    <row r="31">
      <c r="A31" s="6"/>
      <c r="B31" s="6"/>
      <c r="C31" s="8">
        <v>244492.0</v>
      </c>
      <c r="D31" s="9"/>
      <c r="E31" s="9"/>
      <c r="F31" s="10" t="s">
        <v>11</v>
      </c>
      <c r="G31" s="11" t="s">
        <v>42</v>
      </c>
      <c r="H31" s="9">
        <v>16.0</v>
      </c>
      <c r="I31" s="9" t="s">
        <v>13</v>
      </c>
      <c r="J31" s="12"/>
      <c r="K31" s="13"/>
    </row>
    <row r="32">
      <c r="A32" s="6"/>
      <c r="B32" s="6"/>
      <c r="C32" s="8">
        <v>244492.0</v>
      </c>
      <c r="D32" s="9"/>
      <c r="E32" s="9"/>
      <c r="F32" s="10" t="s">
        <v>11</v>
      </c>
      <c r="G32" s="11" t="s">
        <v>43</v>
      </c>
      <c r="H32" s="9">
        <v>18.0</v>
      </c>
      <c r="I32" s="9" t="s">
        <v>13</v>
      </c>
      <c r="J32" s="12"/>
      <c r="K32" s="13"/>
    </row>
    <row r="33">
      <c r="A33" s="6"/>
      <c r="B33" s="6"/>
      <c r="C33" s="8">
        <v>244492.0</v>
      </c>
      <c r="D33" s="9"/>
      <c r="E33" s="9"/>
      <c r="F33" s="10" t="s">
        <v>11</v>
      </c>
      <c r="G33" s="11" t="s">
        <v>44</v>
      </c>
      <c r="H33" s="9">
        <v>4.0</v>
      </c>
      <c r="I33" s="9" t="s">
        <v>13</v>
      </c>
      <c r="J33" s="12"/>
      <c r="K33" s="13"/>
    </row>
    <row r="34">
      <c r="A34" s="6"/>
      <c r="B34" s="6"/>
      <c r="C34" s="8">
        <v>244492.0</v>
      </c>
      <c r="D34" s="9"/>
      <c r="E34" s="9"/>
      <c r="F34" s="10" t="s">
        <v>11</v>
      </c>
      <c r="G34" s="11" t="s">
        <v>45</v>
      </c>
      <c r="H34" s="9">
        <v>9.0</v>
      </c>
      <c r="I34" s="9" t="s">
        <v>13</v>
      </c>
      <c r="J34" s="12"/>
      <c r="K34" s="13"/>
    </row>
    <row r="35">
      <c r="A35" s="6"/>
      <c r="B35" s="6"/>
      <c r="C35" s="8">
        <v>244492.0</v>
      </c>
      <c r="D35" s="9"/>
      <c r="E35" s="9"/>
      <c r="F35" s="10" t="s">
        <v>11</v>
      </c>
      <c r="G35" s="11" t="s">
        <v>46</v>
      </c>
      <c r="H35" s="9">
        <v>12.0</v>
      </c>
      <c r="I35" s="9" t="s">
        <v>13</v>
      </c>
      <c r="J35" s="12"/>
      <c r="K35" s="13"/>
    </row>
    <row r="36">
      <c r="A36" s="6"/>
      <c r="B36" s="6"/>
      <c r="C36" s="8">
        <v>244492.0</v>
      </c>
      <c r="D36" s="9"/>
      <c r="E36" s="9"/>
      <c r="F36" s="10" t="s">
        <v>47</v>
      </c>
      <c r="G36" s="11" t="s">
        <v>48</v>
      </c>
      <c r="H36" s="9">
        <v>2.0</v>
      </c>
      <c r="I36" s="9" t="s">
        <v>13</v>
      </c>
      <c r="J36" s="12"/>
      <c r="K36" s="13"/>
    </row>
    <row r="37">
      <c r="A37" s="6"/>
      <c r="B37" s="6"/>
      <c r="C37" s="8">
        <v>244492.0</v>
      </c>
      <c r="D37" s="9"/>
      <c r="E37" s="9"/>
      <c r="F37" s="10" t="s">
        <v>47</v>
      </c>
      <c r="G37" s="11" t="s">
        <v>49</v>
      </c>
      <c r="H37" s="9">
        <v>16.0</v>
      </c>
      <c r="I37" s="9" t="s">
        <v>13</v>
      </c>
      <c r="J37" s="12"/>
      <c r="K37" s="13"/>
    </row>
    <row r="38">
      <c r="A38" s="6"/>
      <c r="B38" s="6"/>
      <c r="C38" s="8">
        <v>244492.0</v>
      </c>
      <c r="D38" s="9"/>
      <c r="E38" s="9"/>
      <c r="F38" s="10" t="s">
        <v>47</v>
      </c>
      <c r="G38" s="11" t="s">
        <v>50</v>
      </c>
      <c r="H38" s="9">
        <v>4.0</v>
      </c>
      <c r="I38" s="9" t="s">
        <v>13</v>
      </c>
      <c r="J38" s="12"/>
      <c r="K38" s="13"/>
    </row>
    <row r="39">
      <c r="A39" s="6"/>
      <c r="B39" s="6"/>
      <c r="C39" s="8">
        <v>244492.0</v>
      </c>
      <c r="D39" s="9"/>
      <c r="E39" s="9"/>
      <c r="F39" s="10" t="s">
        <v>47</v>
      </c>
      <c r="G39" s="11" t="s">
        <v>51</v>
      </c>
      <c r="H39" s="9">
        <v>2.0</v>
      </c>
      <c r="I39" s="9" t="s">
        <v>13</v>
      </c>
      <c r="J39" s="12"/>
      <c r="K39" s="13"/>
    </row>
    <row r="40">
      <c r="A40" s="6"/>
      <c r="B40" s="6"/>
      <c r="C40" s="8">
        <v>244492.0</v>
      </c>
      <c r="D40" s="9"/>
      <c r="E40" s="9"/>
      <c r="F40" s="10" t="s">
        <v>47</v>
      </c>
      <c r="G40" s="11" t="s">
        <v>52</v>
      </c>
      <c r="H40" s="9">
        <v>4.0</v>
      </c>
      <c r="I40" s="9" t="s">
        <v>13</v>
      </c>
      <c r="J40" s="12"/>
      <c r="K40" s="13"/>
    </row>
    <row r="41">
      <c r="A41" s="6"/>
      <c r="B41" s="6"/>
      <c r="C41" s="8">
        <v>244492.0</v>
      </c>
      <c r="D41" s="9"/>
      <c r="E41" s="9"/>
      <c r="F41" s="10" t="s">
        <v>47</v>
      </c>
      <c r="G41" s="11" t="s">
        <v>53</v>
      </c>
      <c r="H41" s="9">
        <v>0.0</v>
      </c>
      <c r="I41" s="9" t="s">
        <v>13</v>
      </c>
      <c r="J41" s="12"/>
      <c r="K41" s="13"/>
    </row>
    <row r="42">
      <c r="A42" s="6"/>
      <c r="B42" s="6"/>
      <c r="C42" s="8">
        <v>244492.0</v>
      </c>
      <c r="D42" s="9"/>
      <c r="E42" s="9"/>
      <c r="F42" s="10" t="s">
        <v>47</v>
      </c>
      <c r="G42" s="11" t="s">
        <v>54</v>
      </c>
      <c r="H42" s="9">
        <v>1.0</v>
      </c>
      <c r="I42" s="9" t="s">
        <v>13</v>
      </c>
      <c r="J42" s="12"/>
      <c r="K42" s="13"/>
    </row>
    <row r="43">
      <c r="A43" s="6"/>
      <c r="B43" s="6"/>
      <c r="C43" s="8">
        <v>244492.0</v>
      </c>
      <c r="D43" s="9"/>
      <c r="E43" s="9"/>
      <c r="F43" s="10" t="s">
        <v>47</v>
      </c>
      <c r="G43" s="11" t="s">
        <v>55</v>
      </c>
      <c r="H43" s="9">
        <v>4.0</v>
      </c>
      <c r="I43" s="9" t="s">
        <v>13</v>
      </c>
      <c r="J43" s="12"/>
      <c r="K43" s="13"/>
    </row>
    <row r="44">
      <c r="A44" s="6"/>
      <c r="B44" s="6"/>
      <c r="C44" s="8">
        <v>244492.0</v>
      </c>
      <c r="D44" s="9"/>
      <c r="E44" s="9"/>
      <c r="F44" s="10" t="s">
        <v>47</v>
      </c>
      <c r="G44" s="11" t="s">
        <v>56</v>
      </c>
      <c r="H44" s="9">
        <v>2.0</v>
      </c>
      <c r="I44" s="9" t="s">
        <v>13</v>
      </c>
      <c r="J44" s="12"/>
      <c r="K44" s="13"/>
    </row>
    <row r="45">
      <c r="A45" s="6"/>
      <c r="B45" s="6"/>
      <c r="C45" s="8">
        <v>244492.0</v>
      </c>
      <c r="D45" s="9"/>
      <c r="E45" s="9"/>
      <c r="F45" s="10" t="s">
        <v>47</v>
      </c>
      <c r="G45" s="11" t="s">
        <v>57</v>
      </c>
      <c r="H45" s="9">
        <v>1.0</v>
      </c>
      <c r="I45" s="9" t="s">
        <v>13</v>
      </c>
      <c r="J45" s="12"/>
      <c r="K45" s="13"/>
    </row>
    <row r="46">
      <c r="A46" s="6"/>
      <c r="B46" s="6"/>
      <c r="C46" s="8">
        <v>244492.0</v>
      </c>
      <c r="D46" s="9"/>
      <c r="E46" s="9"/>
      <c r="F46" s="10" t="s">
        <v>47</v>
      </c>
      <c r="G46" s="11" t="s">
        <v>58</v>
      </c>
      <c r="H46" s="9">
        <v>2.0</v>
      </c>
      <c r="I46" s="9" t="s">
        <v>13</v>
      </c>
      <c r="J46" s="12"/>
      <c r="K46" s="13"/>
    </row>
    <row r="47">
      <c r="A47" s="6"/>
      <c r="B47" s="6"/>
      <c r="C47" s="8">
        <v>244492.0</v>
      </c>
      <c r="D47" s="9"/>
      <c r="E47" s="9"/>
      <c r="F47" s="10" t="s">
        <v>47</v>
      </c>
      <c r="G47" s="11" t="s">
        <v>59</v>
      </c>
      <c r="H47" s="9">
        <v>1.0</v>
      </c>
      <c r="I47" s="9" t="s">
        <v>13</v>
      </c>
      <c r="J47" s="12"/>
      <c r="K47" s="13"/>
    </row>
    <row r="48">
      <c r="A48" s="6"/>
      <c r="B48" s="6"/>
      <c r="C48" s="8">
        <v>244492.0</v>
      </c>
      <c r="D48" s="9"/>
      <c r="E48" s="9"/>
      <c r="F48" s="10" t="s">
        <v>47</v>
      </c>
      <c r="G48" s="11" t="s">
        <v>60</v>
      </c>
      <c r="H48" s="9">
        <v>1.0</v>
      </c>
      <c r="I48" s="9" t="s">
        <v>13</v>
      </c>
      <c r="J48" s="12"/>
      <c r="K48" s="13"/>
    </row>
    <row r="49">
      <c r="A49" s="6"/>
      <c r="B49" s="6"/>
      <c r="C49" s="8">
        <v>244492.0</v>
      </c>
      <c r="D49" s="9"/>
      <c r="E49" s="9"/>
      <c r="F49" s="10" t="s">
        <v>47</v>
      </c>
      <c r="G49" s="11" t="s">
        <v>61</v>
      </c>
      <c r="H49" s="9">
        <v>2.0</v>
      </c>
      <c r="I49" s="9" t="s">
        <v>13</v>
      </c>
      <c r="J49" s="12"/>
      <c r="K49" s="13"/>
    </row>
    <row r="50">
      <c r="A50" s="6"/>
      <c r="B50" s="6"/>
      <c r="C50" s="8">
        <v>244492.0</v>
      </c>
      <c r="D50" s="9"/>
      <c r="E50" s="9"/>
      <c r="F50" s="10" t="s">
        <v>47</v>
      </c>
      <c r="G50" s="11" t="s">
        <v>62</v>
      </c>
      <c r="H50" s="9">
        <v>1.0</v>
      </c>
      <c r="I50" s="9" t="s">
        <v>13</v>
      </c>
      <c r="J50" s="12"/>
      <c r="K50" s="13"/>
    </row>
    <row r="51">
      <c r="A51" s="6"/>
      <c r="B51" s="6"/>
      <c r="C51" s="8">
        <v>244492.0</v>
      </c>
      <c r="D51" s="9"/>
      <c r="E51" s="9"/>
      <c r="F51" s="10" t="s">
        <v>47</v>
      </c>
      <c r="G51" s="11" t="s">
        <v>63</v>
      </c>
      <c r="H51" s="9">
        <v>4.0</v>
      </c>
      <c r="I51" s="9" t="s">
        <v>13</v>
      </c>
      <c r="J51" s="12"/>
      <c r="K51" s="13"/>
    </row>
    <row r="52">
      <c r="A52" s="6"/>
      <c r="B52" s="6"/>
      <c r="C52" s="8">
        <v>244492.0</v>
      </c>
      <c r="D52" s="9"/>
      <c r="E52" s="9"/>
      <c r="F52" s="10" t="s">
        <v>47</v>
      </c>
      <c r="G52" s="11" t="s">
        <v>64</v>
      </c>
      <c r="H52" s="9">
        <v>2.0</v>
      </c>
      <c r="I52" s="9" t="s">
        <v>13</v>
      </c>
      <c r="J52" s="12"/>
      <c r="K52" s="13"/>
    </row>
    <row r="53">
      <c r="A53" s="6"/>
      <c r="B53" s="6"/>
      <c r="C53" s="8">
        <v>244492.0</v>
      </c>
      <c r="D53" s="9"/>
      <c r="E53" s="9"/>
      <c r="F53" s="10" t="s">
        <v>47</v>
      </c>
      <c r="G53" s="11" t="s">
        <v>65</v>
      </c>
      <c r="H53" s="9">
        <v>4.0</v>
      </c>
      <c r="I53" s="9" t="s">
        <v>13</v>
      </c>
      <c r="J53" s="12"/>
      <c r="K53" s="13"/>
    </row>
    <row r="54">
      <c r="A54" s="6"/>
      <c r="B54" s="6"/>
      <c r="C54" s="8">
        <v>244492.0</v>
      </c>
      <c r="D54" s="9"/>
      <c r="E54" s="9"/>
      <c r="F54" s="10" t="s">
        <v>47</v>
      </c>
      <c r="G54" s="11" t="s">
        <v>66</v>
      </c>
      <c r="H54" s="9">
        <v>5.0</v>
      </c>
      <c r="I54" s="9" t="s">
        <v>13</v>
      </c>
      <c r="J54" s="12"/>
      <c r="K54" s="13"/>
    </row>
    <row r="55">
      <c r="A55" s="6"/>
      <c r="B55" s="6"/>
      <c r="C55" s="8">
        <v>244492.0</v>
      </c>
      <c r="D55" s="9"/>
      <c r="E55" s="9"/>
      <c r="F55" s="10" t="s">
        <v>47</v>
      </c>
      <c r="G55" s="11" t="s">
        <v>67</v>
      </c>
      <c r="H55" s="9">
        <v>2.0</v>
      </c>
      <c r="I55" s="9" t="s">
        <v>13</v>
      </c>
      <c r="J55" s="12"/>
      <c r="K55" s="13"/>
    </row>
    <row r="56">
      <c r="A56" s="6"/>
      <c r="B56" s="6"/>
      <c r="C56" s="8">
        <v>244492.0</v>
      </c>
      <c r="D56" s="9"/>
      <c r="E56" s="9"/>
      <c r="F56" s="10" t="s">
        <v>47</v>
      </c>
      <c r="G56" s="11" t="s">
        <v>68</v>
      </c>
      <c r="H56" s="9">
        <v>1.0</v>
      </c>
      <c r="I56" s="9" t="s">
        <v>13</v>
      </c>
      <c r="J56" s="12"/>
      <c r="K56" s="13"/>
    </row>
    <row r="57">
      <c r="A57" s="6"/>
      <c r="B57" s="6"/>
      <c r="C57" s="8">
        <v>244492.0</v>
      </c>
      <c r="D57" s="9"/>
      <c r="E57" s="9"/>
      <c r="F57" s="10" t="s">
        <v>11</v>
      </c>
      <c r="G57" s="11" t="s">
        <v>69</v>
      </c>
      <c r="H57" s="9">
        <v>123.0</v>
      </c>
      <c r="I57" s="9" t="s">
        <v>13</v>
      </c>
      <c r="J57" s="12"/>
      <c r="K57" s="13"/>
    </row>
    <row r="58">
      <c r="A58" s="6"/>
      <c r="B58" s="6"/>
      <c r="C58" s="8">
        <v>244492.0</v>
      </c>
      <c r="D58" s="9"/>
      <c r="E58" s="9"/>
      <c r="F58" s="10" t="s">
        <v>47</v>
      </c>
      <c r="G58" s="11" t="s">
        <v>70</v>
      </c>
      <c r="H58" s="9">
        <v>8.0</v>
      </c>
      <c r="I58" s="9" t="s">
        <v>13</v>
      </c>
      <c r="J58" s="12"/>
      <c r="K58" s="13"/>
    </row>
    <row r="59">
      <c r="A59" s="6"/>
      <c r="B59" s="6"/>
      <c r="C59" s="8">
        <v>244492.0</v>
      </c>
      <c r="D59" s="9"/>
      <c r="E59" s="9"/>
      <c r="F59" s="10" t="s">
        <v>47</v>
      </c>
      <c r="G59" s="11" t="s">
        <v>71</v>
      </c>
      <c r="H59" s="9">
        <v>23.0</v>
      </c>
      <c r="I59" s="9" t="s">
        <v>13</v>
      </c>
      <c r="J59" s="12"/>
      <c r="K59" s="13"/>
    </row>
    <row r="60">
      <c r="A60" s="6"/>
      <c r="B60" s="6"/>
      <c r="C60" s="8">
        <v>46165.0</v>
      </c>
      <c r="D60" s="9"/>
      <c r="E60" s="9"/>
      <c r="F60" s="10" t="s">
        <v>47</v>
      </c>
      <c r="G60" s="11" t="s">
        <v>72</v>
      </c>
      <c r="H60" s="9">
        <v>1.0</v>
      </c>
      <c r="I60" s="9" t="s">
        <v>13</v>
      </c>
      <c r="J60" s="12"/>
      <c r="K60" s="13"/>
    </row>
    <row r="61">
      <c r="A61" s="6"/>
      <c r="B61" s="6"/>
      <c r="C61" s="8">
        <v>46165.0</v>
      </c>
      <c r="D61" s="9"/>
      <c r="E61" s="9"/>
      <c r="F61" s="10" t="s">
        <v>11</v>
      </c>
      <c r="G61" s="11" t="s">
        <v>73</v>
      </c>
      <c r="H61" s="9">
        <v>3.0</v>
      </c>
      <c r="I61" s="9" t="s">
        <v>13</v>
      </c>
      <c r="J61" s="12"/>
      <c r="K61" s="13"/>
    </row>
    <row r="62">
      <c r="A62" s="6"/>
      <c r="B62" s="6"/>
      <c r="C62" s="8">
        <v>46165.0</v>
      </c>
      <c r="D62" s="9"/>
      <c r="E62" s="9"/>
      <c r="F62" s="10" t="s">
        <v>11</v>
      </c>
      <c r="G62" s="11" t="s">
        <v>74</v>
      </c>
      <c r="H62" s="9">
        <v>5.0</v>
      </c>
      <c r="I62" s="9" t="s">
        <v>13</v>
      </c>
      <c r="J62" s="12"/>
      <c r="K62" s="13"/>
    </row>
    <row r="63">
      <c r="A63" s="6"/>
      <c r="B63" s="6"/>
      <c r="C63" s="8">
        <v>46165.0</v>
      </c>
      <c r="D63" s="9"/>
      <c r="E63" s="9"/>
      <c r="F63" s="10" t="s">
        <v>11</v>
      </c>
      <c r="G63" s="11" t="s">
        <v>75</v>
      </c>
      <c r="H63" s="9">
        <v>8.0</v>
      </c>
      <c r="I63" s="9" t="s">
        <v>13</v>
      </c>
      <c r="J63" s="12"/>
      <c r="K63" s="13"/>
    </row>
    <row r="64">
      <c r="A64" s="6"/>
      <c r="B64" s="6"/>
      <c r="C64" s="8">
        <v>46165.0</v>
      </c>
      <c r="D64" s="9"/>
      <c r="E64" s="9"/>
      <c r="F64" s="10" t="s">
        <v>11</v>
      </c>
      <c r="G64" s="11" t="s">
        <v>76</v>
      </c>
      <c r="H64" s="9">
        <v>5.0</v>
      </c>
      <c r="I64" s="9" t="s">
        <v>13</v>
      </c>
      <c r="J64" s="12"/>
      <c r="K64" s="13"/>
    </row>
    <row r="65">
      <c r="A65" s="6"/>
      <c r="B65" s="6"/>
      <c r="C65" s="8">
        <v>46165.0</v>
      </c>
      <c r="D65" s="9"/>
      <c r="E65" s="9"/>
      <c r="F65" s="10" t="s">
        <v>11</v>
      </c>
      <c r="G65" s="11" t="s">
        <v>77</v>
      </c>
      <c r="H65" s="9">
        <v>18.0</v>
      </c>
      <c r="I65" s="9" t="s">
        <v>13</v>
      </c>
      <c r="J65" s="12"/>
      <c r="K65" s="13"/>
    </row>
    <row r="66">
      <c r="A66" s="6"/>
      <c r="B66" s="6"/>
      <c r="C66" s="8">
        <v>46165.0</v>
      </c>
      <c r="D66" s="9"/>
      <c r="E66" s="9"/>
      <c r="F66" s="10" t="s">
        <v>11</v>
      </c>
      <c r="G66" s="11" t="s">
        <v>78</v>
      </c>
      <c r="H66" s="9">
        <v>10.0</v>
      </c>
      <c r="I66" s="9" t="s">
        <v>13</v>
      </c>
      <c r="J66" s="12"/>
      <c r="K66" s="13"/>
    </row>
    <row r="67">
      <c r="A67" s="6"/>
      <c r="B67" s="6"/>
      <c r="C67" s="8">
        <v>46165.0</v>
      </c>
      <c r="D67" s="9"/>
      <c r="E67" s="9"/>
      <c r="F67" s="10" t="s">
        <v>11</v>
      </c>
      <c r="G67" s="11" t="s">
        <v>79</v>
      </c>
      <c r="H67" s="9">
        <v>16.0</v>
      </c>
      <c r="I67" s="9" t="s">
        <v>13</v>
      </c>
      <c r="J67" s="12"/>
      <c r="K67" s="13"/>
    </row>
    <row r="68">
      <c r="A68" s="6"/>
      <c r="B68" s="6"/>
      <c r="C68" s="8">
        <v>46165.0</v>
      </c>
      <c r="D68" s="9"/>
      <c r="E68" s="9"/>
      <c r="F68" s="10" t="s">
        <v>11</v>
      </c>
      <c r="G68" s="11" t="s">
        <v>80</v>
      </c>
      <c r="H68" s="9">
        <v>6.0</v>
      </c>
      <c r="I68" s="9" t="s">
        <v>13</v>
      </c>
      <c r="J68" s="12"/>
      <c r="K68" s="13"/>
    </row>
    <row r="69">
      <c r="A69" s="6"/>
      <c r="B69" s="6"/>
      <c r="C69" s="8">
        <v>46165.0</v>
      </c>
      <c r="D69" s="9"/>
      <c r="E69" s="9"/>
      <c r="F69" s="10" t="s">
        <v>11</v>
      </c>
      <c r="G69" s="11" t="s">
        <v>81</v>
      </c>
      <c r="H69" s="9">
        <v>6.0</v>
      </c>
      <c r="I69" s="9" t="s">
        <v>13</v>
      </c>
      <c r="J69" s="12"/>
      <c r="K69" s="13"/>
    </row>
    <row r="70">
      <c r="A70" s="6"/>
      <c r="B70" s="6"/>
      <c r="C70" s="8">
        <v>46165.0</v>
      </c>
      <c r="D70" s="9"/>
      <c r="E70" s="9"/>
      <c r="F70" s="10" t="s">
        <v>11</v>
      </c>
      <c r="G70" s="11" t="s">
        <v>82</v>
      </c>
      <c r="H70" s="9">
        <v>1600.0</v>
      </c>
      <c r="I70" s="9" t="s">
        <v>13</v>
      </c>
      <c r="J70" s="12"/>
      <c r="K70" s="13"/>
    </row>
    <row r="71">
      <c r="A71" s="6"/>
      <c r="B71" s="6"/>
      <c r="C71" s="8">
        <v>46165.0</v>
      </c>
      <c r="D71" s="9"/>
      <c r="E71" s="9"/>
      <c r="F71" s="10" t="s">
        <v>11</v>
      </c>
      <c r="G71" s="11" t="s">
        <v>83</v>
      </c>
      <c r="H71" s="9">
        <v>220.0</v>
      </c>
      <c r="I71" s="9" t="s">
        <v>13</v>
      </c>
      <c r="J71" s="12"/>
      <c r="K71" s="13"/>
    </row>
    <row r="72">
      <c r="A72" s="6"/>
      <c r="B72" s="6"/>
      <c r="C72" s="8">
        <v>46188.0</v>
      </c>
      <c r="D72" s="9"/>
      <c r="E72" s="9"/>
      <c r="F72" s="10" t="s">
        <v>84</v>
      </c>
      <c r="G72" s="11" t="s">
        <v>85</v>
      </c>
      <c r="H72" s="9">
        <v>240.0</v>
      </c>
      <c r="I72" s="9" t="s">
        <v>13</v>
      </c>
      <c r="J72" s="12"/>
      <c r="K72" s="13"/>
    </row>
    <row r="73">
      <c r="A73" s="6"/>
      <c r="B73" s="6"/>
      <c r="C73" s="8">
        <v>46165.0</v>
      </c>
      <c r="D73" s="9"/>
      <c r="E73" s="9"/>
      <c r="F73" s="10" t="s">
        <v>84</v>
      </c>
      <c r="G73" s="11" t="s">
        <v>86</v>
      </c>
      <c r="H73" s="9">
        <v>5854.0</v>
      </c>
      <c r="I73" s="9" t="s">
        <v>13</v>
      </c>
      <c r="J73" s="12"/>
      <c r="K73" s="13"/>
    </row>
    <row r="74">
      <c r="A74" s="6"/>
      <c r="B74" s="6"/>
      <c r="C74" s="8">
        <v>46165.0</v>
      </c>
      <c r="D74" s="9"/>
      <c r="E74" s="9"/>
      <c r="F74" s="10" t="s">
        <v>84</v>
      </c>
      <c r="G74" s="11" t="s">
        <v>87</v>
      </c>
      <c r="H74" s="9">
        <v>320.0</v>
      </c>
      <c r="I74" s="9" t="s">
        <v>13</v>
      </c>
      <c r="J74" s="12"/>
      <c r="K74" s="13"/>
    </row>
    <row r="75">
      <c r="A75" s="6"/>
      <c r="B75" s="6"/>
      <c r="C75" s="8">
        <v>46190.0</v>
      </c>
      <c r="D75" s="9"/>
      <c r="E75" s="9"/>
      <c r="F75" s="10" t="s">
        <v>84</v>
      </c>
      <c r="G75" s="11" t="s">
        <v>88</v>
      </c>
      <c r="H75" s="9">
        <v>75.0</v>
      </c>
      <c r="I75" s="9" t="s">
        <v>13</v>
      </c>
      <c r="J75" s="12"/>
      <c r="K75" s="13"/>
    </row>
    <row r="76">
      <c r="A76" s="6"/>
      <c r="B76" s="6"/>
      <c r="C76" s="8">
        <v>46190.0</v>
      </c>
      <c r="D76" s="9"/>
      <c r="E76" s="9"/>
      <c r="F76" s="10" t="s">
        <v>84</v>
      </c>
      <c r="G76" s="11" t="s">
        <v>89</v>
      </c>
      <c r="H76" s="9">
        <v>709.0</v>
      </c>
      <c r="I76" s="9" t="s">
        <v>13</v>
      </c>
      <c r="J76" s="12"/>
      <c r="K76" s="13"/>
    </row>
    <row r="77">
      <c r="A77" s="6"/>
      <c r="B77" s="6"/>
      <c r="C77" s="8">
        <v>46190.0</v>
      </c>
      <c r="D77" s="9"/>
      <c r="E77" s="9"/>
      <c r="F77" s="10" t="s">
        <v>84</v>
      </c>
      <c r="G77" s="15"/>
      <c r="H77" s="9"/>
      <c r="I77" s="9"/>
      <c r="J77" s="12"/>
      <c r="K77" s="13"/>
    </row>
    <row r="78">
      <c r="A78" s="6"/>
      <c r="B78" s="6"/>
      <c r="C78" s="8"/>
      <c r="D78" s="9"/>
      <c r="E78" s="9"/>
      <c r="F78" s="16"/>
      <c r="G78" s="15"/>
      <c r="H78" s="9"/>
      <c r="I78" s="9"/>
      <c r="J78" s="12"/>
      <c r="K78" s="13"/>
    </row>
    <row r="79">
      <c r="A79" s="6"/>
      <c r="B79" s="6"/>
      <c r="C79" s="8"/>
      <c r="D79" s="9"/>
      <c r="E79" s="9"/>
      <c r="F79" s="16"/>
      <c r="G79" s="15"/>
      <c r="H79" s="9"/>
      <c r="I79" s="9"/>
      <c r="J79" s="12"/>
      <c r="K79" s="13"/>
    </row>
    <row r="80">
      <c r="A80" s="6"/>
      <c r="B80" s="6"/>
      <c r="C80" s="8"/>
      <c r="D80" s="9"/>
      <c r="E80" s="9"/>
      <c r="F80" s="16"/>
      <c r="G80" s="15"/>
      <c r="H80" s="9"/>
      <c r="I80" s="9"/>
      <c r="J80" s="12"/>
      <c r="K80" s="13"/>
    </row>
    <row r="81">
      <c r="A81" s="6"/>
      <c r="B81" s="6"/>
      <c r="C81" s="8"/>
      <c r="D81" s="9"/>
      <c r="E81" s="9"/>
      <c r="F81" s="16"/>
      <c r="G81" s="15"/>
      <c r="H81" s="9"/>
      <c r="I81" s="9"/>
      <c r="J81" s="12"/>
      <c r="K81" s="13"/>
    </row>
    <row r="82">
      <c r="A82" s="6"/>
      <c r="B82" s="6"/>
      <c r="C82" s="8"/>
      <c r="D82" s="9"/>
      <c r="E82" s="9"/>
      <c r="F82" s="16"/>
      <c r="G82" s="15"/>
      <c r="H82" s="9"/>
      <c r="I82" s="9"/>
      <c r="J82" s="12"/>
      <c r="K82" s="13"/>
    </row>
    <row r="83">
      <c r="A83" s="6"/>
      <c r="B83" s="6"/>
      <c r="C83" s="8"/>
      <c r="D83" s="9"/>
      <c r="E83" s="9"/>
      <c r="F83" s="16"/>
      <c r="G83" s="15"/>
      <c r="H83" s="9"/>
      <c r="I83" s="9"/>
      <c r="J83" s="12"/>
      <c r="K83" s="13"/>
    </row>
    <row r="84">
      <c r="A84" s="6"/>
      <c r="B84" s="6"/>
      <c r="C84" s="8"/>
      <c r="D84" s="9"/>
      <c r="E84" s="9"/>
      <c r="F84" s="16"/>
      <c r="G84" s="15"/>
      <c r="H84" s="9"/>
      <c r="I84" s="9"/>
      <c r="J84" s="12"/>
      <c r="K84" s="13"/>
    </row>
    <row r="85">
      <c r="A85" s="6"/>
      <c r="B85" s="6"/>
      <c r="C85" s="8"/>
      <c r="D85" s="9"/>
      <c r="E85" s="9"/>
      <c r="F85" s="16"/>
      <c r="G85" s="15"/>
      <c r="H85" s="9"/>
      <c r="I85" s="9"/>
      <c r="J85" s="12"/>
      <c r="K85" s="13"/>
    </row>
    <row r="86">
      <c r="A86" s="6"/>
      <c r="B86" s="6"/>
      <c r="C86" s="8"/>
      <c r="D86" s="9"/>
      <c r="E86" s="9"/>
      <c r="F86" s="16"/>
      <c r="G86" s="15"/>
      <c r="H86" s="9"/>
      <c r="I86" s="9"/>
      <c r="J86" s="12"/>
      <c r="K86" s="13"/>
    </row>
    <row r="87">
      <c r="A87" s="6"/>
      <c r="B87" s="6"/>
      <c r="C87" s="8"/>
      <c r="D87" s="9"/>
      <c r="E87" s="9"/>
      <c r="F87" s="16"/>
      <c r="G87" s="15"/>
      <c r="H87" s="9"/>
      <c r="I87" s="9"/>
      <c r="J87" s="12"/>
      <c r="K87" s="13"/>
    </row>
    <row r="88">
      <c r="A88" s="6"/>
      <c r="B88" s="6"/>
      <c r="C88" s="8"/>
      <c r="D88" s="9"/>
      <c r="E88" s="9"/>
      <c r="F88" s="16"/>
      <c r="G88" s="15"/>
      <c r="H88" s="9"/>
      <c r="I88" s="9"/>
      <c r="J88" s="12"/>
      <c r="K88" s="13"/>
    </row>
    <row r="89">
      <c r="A89" s="6"/>
      <c r="B89" s="6"/>
      <c r="C89" s="8"/>
      <c r="D89" s="9"/>
      <c r="E89" s="9"/>
      <c r="F89" s="16"/>
      <c r="G89" s="15"/>
      <c r="H89" s="9"/>
      <c r="I89" s="9"/>
      <c r="J89" s="12"/>
      <c r="K89" s="13"/>
    </row>
    <row r="90">
      <c r="A90" s="6"/>
      <c r="B90" s="6"/>
      <c r="C90" s="8"/>
      <c r="D90" s="9"/>
      <c r="E90" s="9"/>
      <c r="F90" s="16"/>
      <c r="G90" s="15"/>
      <c r="H90" s="9"/>
      <c r="I90" s="9"/>
      <c r="J90" s="12"/>
      <c r="K90" s="13"/>
    </row>
    <row r="91">
      <c r="A91" s="6"/>
      <c r="B91" s="6"/>
      <c r="C91" s="8"/>
      <c r="D91" s="9"/>
      <c r="E91" s="9"/>
      <c r="F91" s="16"/>
      <c r="G91" s="15"/>
      <c r="H91" s="9"/>
      <c r="I91" s="9"/>
      <c r="J91" s="12"/>
      <c r="K91" s="13"/>
    </row>
    <row r="92">
      <c r="A92" s="6"/>
      <c r="B92" s="6"/>
      <c r="C92" s="8"/>
      <c r="D92" s="9"/>
      <c r="E92" s="9"/>
      <c r="F92" s="16"/>
      <c r="G92" s="15"/>
      <c r="H92" s="9"/>
      <c r="I92" s="9"/>
      <c r="J92" s="12"/>
      <c r="K92" s="13"/>
    </row>
    <row r="93">
      <c r="A93" s="6"/>
      <c r="B93" s="6"/>
      <c r="C93" s="8"/>
      <c r="D93" s="9"/>
      <c r="E93" s="9"/>
      <c r="F93" s="16"/>
      <c r="G93" s="15"/>
      <c r="H93" s="9"/>
      <c r="I93" s="9"/>
      <c r="J93" s="12"/>
      <c r="K93" s="13"/>
    </row>
    <row r="94">
      <c r="A94" s="6"/>
      <c r="B94" s="6"/>
      <c r="C94" s="8"/>
      <c r="D94" s="9"/>
      <c r="E94" s="9"/>
      <c r="F94" s="16"/>
      <c r="G94" s="15"/>
      <c r="H94" s="9"/>
      <c r="I94" s="9"/>
      <c r="J94" s="12"/>
      <c r="K94" s="13"/>
    </row>
    <row r="95">
      <c r="A95" s="6"/>
      <c r="B95" s="6"/>
      <c r="C95" s="8"/>
      <c r="D95" s="9"/>
      <c r="E95" s="9"/>
      <c r="F95" s="16"/>
      <c r="G95" s="15"/>
      <c r="H95" s="9"/>
      <c r="I95" s="9"/>
      <c r="J95" s="12"/>
      <c r="K95" s="13"/>
    </row>
    <row r="96">
      <c r="A96" s="6"/>
      <c r="B96" s="6"/>
      <c r="C96" s="8"/>
      <c r="D96" s="9"/>
      <c r="E96" s="9"/>
      <c r="F96" s="16"/>
      <c r="G96" s="15"/>
      <c r="H96" s="9"/>
      <c r="I96" s="9"/>
      <c r="J96" s="12"/>
      <c r="K96" s="13"/>
    </row>
    <row r="97">
      <c r="A97" s="6"/>
      <c r="B97" s="6"/>
      <c r="C97" s="8"/>
      <c r="D97" s="9"/>
      <c r="E97" s="9"/>
      <c r="F97" s="16"/>
      <c r="G97" s="15"/>
      <c r="H97" s="9"/>
      <c r="I97" s="9"/>
      <c r="J97" s="12"/>
      <c r="K97" s="13"/>
    </row>
    <row r="98">
      <c r="A98" s="6"/>
      <c r="B98" s="6"/>
      <c r="C98" s="8"/>
      <c r="D98" s="9"/>
      <c r="E98" s="9"/>
      <c r="F98" s="16"/>
      <c r="G98" s="15"/>
      <c r="H98" s="9"/>
      <c r="I98" s="9"/>
      <c r="J98" s="12"/>
      <c r="K98" s="13"/>
    </row>
    <row r="99">
      <c r="A99" s="6"/>
      <c r="B99" s="6"/>
      <c r="C99" s="8"/>
      <c r="D99" s="9"/>
      <c r="E99" s="9"/>
      <c r="F99" s="16"/>
      <c r="G99" s="15"/>
      <c r="H99" s="9"/>
      <c r="I99" s="9"/>
      <c r="J99" s="12"/>
      <c r="K99" s="13"/>
    </row>
    <row r="100">
      <c r="A100" s="6"/>
      <c r="B100" s="6"/>
      <c r="C100" s="8"/>
      <c r="D100" s="9"/>
      <c r="E100" s="9"/>
      <c r="F100" s="16"/>
      <c r="G100" s="15"/>
      <c r="H100" s="9"/>
      <c r="I100" s="9"/>
      <c r="J100" s="12"/>
      <c r="K100" s="13"/>
    </row>
    <row r="101">
      <c r="A101" s="6"/>
      <c r="B101" s="6"/>
      <c r="C101" s="8"/>
      <c r="D101" s="9"/>
      <c r="E101" s="9"/>
      <c r="F101" s="16"/>
      <c r="G101" s="15"/>
      <c r="H101" s="9"/>
      <c r="I101" s="9"/>
      <c r="J101" s="12"/>
      <c r="K101" s="13"/>
    </row>
    <row r="102">
      <c r="A102" s="6"/>
      <c r="B102" s="6"/>
      <c r="C102" s="8"/>
      <c r="D102" s="9"/>
      <c r="E102" s="9"/>
      <c r="F102" s="16"/>
      <c r="G102" s="15"/>
      <c r="H102" s="9"/>
      <c r="I102" s="9"/>
      <c r="J102" s="12"/>
      <c r="K102" s="13"/>
    </row>
    <row r="103">
      <c r="A103" s="6"/>
      <c r="B103" s="6"/>
      <c r="C103" s="8"/>
      <c r="D103" s="9"/>
      <c r="E103" s="9"/>
      <c r="F103" s="16"/>
      <c r="G103" s="15"/>
      <c r="H103" s="9"/>
      <c r="I103" s="9"/>
      <c r="J103" s="12"/>
      <c r="K103" s="13"/>
    </row>
    <row r="104">
      <c r="A104" s="6"/>
      <c r="B104" s="6"/>
      <c r="C104" s="8"/>
      <c r="D104" s="9"/>
      <c r="E104" s="9"/>
      <c r="F104" s="16"/>
      <c r="G104" s="15"/>
      <c r="H104" s="9"/>
      <c r="I104" s="9"/>
      <c r="J104" s="12"/>
      <c r="K104" s="13"/>
    </row>
    <row r="105">
      <c r="A105" s="6"/>
      <c r="B105" s="6"/>
      <c r="C105" s="8"/>
      <c r="D105" s="9"/>
      <c r="E105" s="9"/>
      <c r="F105" s="16"/>
      <c r="G105" s="15"/>
      <c r="H105" s="9"/>
      <c r="I105" s="9"/>
      <c r="J105" s="12"/>
      <c r="K105" s="13"/>
    </row>
    <row r="106">
      <c r="A106" s="6"/>
      <c r="B106" s="6"/>
      <c r="C106" s="8"/>
      <c r="D106" s="9"/>
      <c r="E106" s="9"/>
      <c r="F106" s="16"/>
      <c r="G106" s="15"/>
      <c r="H106" s="9"/>
      <c r="I106" s="9"/>
      <c r="J106" s="12"/>
      <c r="K106" s="13"/>
    </row>
    <row r="107">
      <c r="A107" s="6"/>
      <c r="B107" s="6"/>
      <c r="C107" s="8"/>
      <c r="D107" s="9"/>
      <c r="E107" s="9"/>
      <c r="F107" s="16"/>
      <c r="G107" s="15"/>
      <c r="H107" s="9"/>
      <c r="I107" s="9"/>
      <c r="J107" s="12"/>
      <c r="K107" s="13"/>
    </row>
    <row r="108">
      <c r="A108" s="6"/>
      <c r="B108" s="6"/>
      <c r="C108" s="8"/>
      <c r="D108" s="9"/>
      <c r="E108" s="9"/>
      <c r="F108" s="16"/>
      <c r="G108" s="15"/>
      <c r="H108" s="9"/>
      <c r="I108" s="9"/>
      <c r="J108" s="12"/>
      <c r="K108" s="13"/>
    </row>
    <row r="109">
      <c r="A109" s="6"/>
      <c r="B109" s="6"/>
      <c r="C109" s="8"/>
      <c r="D109" s="9"/>
      <c r="E109" s="9"/>
      <c r="F109" s="16"/>
      <c r="G109" s="15"/>
      <c r="H109" s="9"/>
      <c r="I109" s="9"/>
      <c r="J109" s="12"/>
      <c r="K109" s="13"/>
    </row>
    <row r="110">
      <c r="A110" s="6"/>
      <c r="B110" s="6"/>
      <c r="C110" s="8"/>
      <c r="D110" s="9"/>
      <c r="E110" s="9"/>
      <c r="F110" s="16"/>
      <c r="G110" s="15"/>
      <c r="H110" s="9"/>
      <c r="I110" s="9"/>
      <c r="J110" s="12"/>
      <c r="K110" s="13"/>
    </row>
    <row r="111">
      <c r="A111" s="6"/>
      <c r="B111" s="6"/>
      <c r="C111" s="8"/>
      <c r="D111" s="9"/>
      <c r="E111" s="9"/>
      <c r="F111" s="16"/>
      <c r="G111" s="15"/>
      <c r="H111" s="9"/>
      <c r="I111" s="9"/>
      <c r="J111" s="12"/>
      <c r="K111" s="13"/>
    </row>
    <row r="112">
      <c r="A112" s="6"/>
      <c r="B112" s="6"/>
      <c r="C112" s="8"/>
      <c r="D112" s="9"/>
      <c r="E112" s="9"/>
      <c r="F112" s="16"/>
      <c r="G112" s="15"/>
      <c r="H112" s="9"/>
      <c r="I112" s="9"/>
      <c r="J112" s="12"/>
      <c r="K112" s="13"/>
    </row>
    <row r="113">
      <c r="A113" s="6"/>
      <c r="B113" s="6"/>
      <c r="C113" s="8"/>
      <c r="D113" s="9"/>
      <c r="E113" s="9"/>
      <c r="F113" s="16"/>
      <c r="G113" s="15"/>
      <c r="H113" s="9"/>
      <c r="I113" s="9"/>
      <c r="J113" s="12"/>
      <c r="K113" s="13"/>
    </row>
    <row r="114">
      <c r="A114" s="6"/>
      <c r="B114" s="6"/>
      <c r="C114" s="8"/>
      <c r="D114" s="9"/>
      <c r="E114" s="9"/>
      <c r="F114" s="10"/>
      <c r="G114" s="11"/>
      <c r="H114" s="9"/>
      <c r="I114" s="9"/>
      <c r="J114" s="12"/>
      <c r="K114" s="13"/>
    </row>
    <row r="115">
      <c r="A115" s="6"/>
      <c r="B115" s="6"/>
      <c r="C115" s="8"/>
      <c r="D115" s="9"/>
      <c r="E115" s="9"/>
      <c r="F115" s="10"/>
      <c r="G115" s="11"/>
      <c r="H115" s="9"/>
      <c r="I115" s="9"/>
      <c r="J115" s="12"/>
      <c r="K115" s="13"/>
    </row>
    <row r="116">
      <c r="A116" s="6"/>
      <c r="B116" s="6"/>
      <c r="C116" s="8"/>
      <c r="D116" s="9"/>
      <c r="E116" s="9"/>
      <c r="F116" s="10"/>
      <c r="G116" s="11"/>
      <c r="H116" s="9"/>
      <c r="I116" s="9"/>
      <c r="J116" s="12"/>
      <c r="K116" s="13"/>
    </row>
    <row r="117">
      <c r="A117" s="6"/>
      <c r="B117" s="6"/>
      <c r="C117" s="8"/>
      <c r="D117" s="9"/>
      <c r="E117" s="9"/>
      <c r="F117" s="10"/>
      <c r="G117" s="11"/>
      <c r="H117" s="9"/>
      <c r="I117" s="9"/>
      <c r="J117" s="12"/>
      <c r="K117" s="13"/>
    </row>
    <row r="118">
      <c r="A118" s="6"/>
      <c r="B118" s="6"/>
      <c r="C118" s="8"/>
      <c r="D118" s="9"/>
      <c r="E118" s="9"/>
      <c r="F118" s="16"/>
      <c r="G118" s="15"/>
      <c r="H118" s="9"/>
      <c r="I118" s="9"/>
      <c r="J118" s="12"/>
      <c r="K118" s="13"/>
    </row>
    <row r="119">
      <c r="A119" s="6"/>
      <c r="B119" s="6"/>
      <c r="C119" s="8"/>
      <c r="D119" s="9"/>
      <c r="E119" s="9"/>
      <c r="F119" s="16"/>
      <c r="G119" s="15"/>
      <c r="H119" s="9"/>
      <c r="I119" s="9"/>
      <c r="J119" s="12"/>
      <c r="K119" s="13"/>
    </row>
    <row r="120">
      <c r="A120" s="6"/>
      <c r="B120" s="6"/>
      <c r="C120" s="8"/>
      <c r="D120" s="9"/>
      <c r="E120" s="9"/>
      <c r="F120" s="16"/>
      <c r="G120" s="15"/>
      <c r="H120" s="9"/>
      <c r="I120" s="9"/>
      <c r="J120" s="12"/>
      <c r="K120" s="13"/>
    </row>
    <row r="121">
      <c r="A121" s="6"/>
      <c r="B121" s="6"/>
      <c r="C121" s="8"/>
      <c r="D121" s="9"/>
      <c r="E121" s="9"/>
      <c r="F121" s="16"/>
      <c r="G121" s="15"/>
      <c r="H121" s="9"/>
      <c r="I121" s="9"/>
      <c r="J121" s="12"/>
      <c r="K121" s="13"/>
    </row>
    <row r="122">
      <c r="A122" s="6"/>
      <c r="B122" s="6"/>
      <c r="C122" s="8"/>
      <c r="D122" s="9"/>
      <c r="E122" s="9"/>
      <c r="F122" s="16"/>
      <c r="G122" s="15"/>
      <c r="H122" s="9"/>
      <c r="I122" s="9"/>
      <c r="J122" s="12"/>
      <c r="K122" s="13"/>
    </row>
    <row r="123">
      <c r="A123" s="6"/>
      <c r="B123" s="6"/>
      <c r="C123" s="8"/>
      <c r="D123" s="9"/>
      <c r="E123" s="9"/>
      <c r="F123" s="16"/>
      <c r="G123" s="15"/>
      <c r="H123" s="9"/>
      <c r="I123" s="9"/>
      <c r="J123" s="12"/>
      <c r="K123" s="13"/>
    </row>
    <row r="124">
      <c r="A124" s="6"/>
      <c r="B124" s="6"/>
      <c r="C124" s="8"/>
      <c r="D124" s="9"/>
      <c r="E124" s="9"/>
      <c r="F124" s="16"/>
      <c r="G124" s="15"/>
      <c r="H124" s="9"/>
      <c r="I124" s="9"/>
      <c r="J124" s="12"/>
      <c r="K124" s="13"/>
    </row>
    <row r="125">
      <c r="A125" s="6"/>
      <c r="B125" s="6"/>
      <c r="C125" s="8"/>
      <c r="D125" s="9"/>
      <c r="E125" s="9"/>
      <c r="F125" s="10"/>
      <c r="G125" s="11"/>
      <c r="H125" s="9"/>
      <c r="I125" s="9"/>
      <c r="J125" s="12"/>
      <c r="K125" s="13"/>
    </row>
    <row r="126">
      <c r="A126" s="6"/>
      <c r="B126" s="6"/>
      <c r="C126" s="8"/>
      <c r="D126" s="9"/>
      <c r="E126" s="9"/>
      <c r="F126" s="10"/>
      <c r="G126" s="11"/>
      <c r="H126" s="9"/>
      <c r="I126" s="9"/>
      <c r="J126" s="12"/>
      <c r="K126" s="13"/>
    </row>
    <row r="127">
      <c r="A127" s="6"/>
      <c r="B127" s="6"/>
      <c r="C127" s="17"/>
      <c r="D127" s="9"/>
      <c r="E127" s="9"/>
      <c r="F127" s="10"/>
      <c r="G127" s="11"/>
      <c r="H127" s="9"/>
      <c r="I127" s="9"/>
      <c r="J127" s="12"/>
      <c r="K127" s="13"/>
    </row>
    <row r="128">
      <c r="A128" s="6"/>
      <c r="B128" s="6"/>
      <c r="C128" s="17"/>
      <c r="D128" s="9"/>
      <c r="E128" s="9"/>
      <c r="F128" s="16"/>
      <c r="G128" s="11"/>
      <c r="H128" s="9"/>
      <c r="I128" s="9"/>
      <c r="J128" s="12"/>
      <c r="K128" s="13"/>
    </row>
    <row r="129">
      <c r="A129" s="6"/>
      <c r="B129" s="6"/>
      <c r="C129" s="17"/>
      <c r="D129" s="9"/>
      <c r="E129" s="9"/>
      <c r="F129" s="16"/>
      <c r="G129" s="11"/>
      <c r="H129" s="9"/>
      <c r="I129" s="9"/>
      <c r="J129" s="12"/>
      <c r="K129" s="13"/>
    </row>
    <row r="130">
      <c r="A130" s="6"/>
      <c r="B130" s="6"/>
      <c r="C130" s="17"/>
      <c r="D130" s="9"/>
      <c r="E130" s="9"/>
      <c r="F130" s="16"/>
      <c r="G130" s="11"/>
      <c r="H130" s="9"/>
      <c r="I130" s="9"/>
      <c r="J130" s="12"/>
      <c r="K130" s="13"/>
    </row>
    <row r="131">
      <c r="A131" s="6"/>
      <c r="B131" s="6"/>
      <c r="C131" s="17"/>
      <c r="D131" s="9"/>
      <c r="E131" s="9"/>
      <c r="F131" s="16"/>
      <c r="G131" s="11"/>
      <c r="H131" s="9"/>
      <c r="I131" s="9"/>
      <c r="J131" s="12"/>
      <c r="K131" s="13"/>
    </row>
    <row r="132">
      <c r="A132" s="6"/>
      <c r="B132" s="6"/>
      <c r="C132" s="17"/>
      <c r="D132" s="9"/>
      <c r="E132" s="9"/>
      <c r="F132" s="16"/>
      <c r="G132" s="11"/>
      <c r="H132" s="9"/>
      <c r="I132" s="9"/>
      <c r="J132" s="12"/>
      <c r="K132" s="13"/>
    </row>
    <row r="133">
      <c r="A133" s="6"/>
      <c r="B133" s="6"/>
      <c r="C133" s="17"/>
      <c r="D133" s="9"/>
      <c r="E133" s="9"/>
      <c r="F133" s="16"/>
      <c r="G133" s="11"/>
      <c r="H133" s="9"/>
      <c r="I133" s="9"/>
      <c r="J133" s="12"/>
      <c r="K133" s="13"/>
    </row>
    <row r="134">
      <c r="A134" s="6"/>
      <c r="B134" s="6"/>
      <c r="C134" s="17"/>
      <c r="D134" s="9"/>
      <c r="E134" s="9"/>
      <c r="F134" s="16"/>
      <c r="G134" s="11"/>
      <c r="H134" s="9"/>
      <c r="I134" s="9"/>
      <c r="J134" s="12"/>
      <c r="K134" s="13"/>
    </row>
    <row r="135">
      <c r="A135" s="6"/>
      <c r="B135" s="6"/>
      <c r="C135" s="17"/>
      <c r="D135" s="9"/>
      <c r="E135" s="9"/>
      <c r="F135" s="16"/>
      <c r="G135" s="11"/>
      <c r="H135" s="9"/>
      <c r="I135" s="9"/>
      <c r="J135" s="12"/>
      <c r="K135" s="13"/>
    </row>
    <row r="136">
      <c r="A136" s="6"/>
      <c r="B136" s="6"/>
      <c r="C136" s="17"/>
      <c r="D136" s="9"/>
      <c r="E136" s="9"/>
      <c r="F136" s="16"/>
      <c r="G136" s="11"/>
      <c r="H136" s="9"/>
      <c r="I136" s="9"/>
      <c r="J136" s="12"/>
      <c r="K136" s="13"/>
    </row>
    <row r="137">
      <c r="A137" s="6"/>
      <c r="B137" s="6"/>
      <c r="C137" s="17"/>
      <c r="D137" s="9"/>
      <c r="E137" s="9"/>
      <c r="F137" s="16"/>
      <c r="G137" s="11"/>
      <c r="H137" s="9"/>
      <c r="I137" s="9"/>
      <c r="J137" s="12"/>
      <c r="K137" s="13"/>
    </row>
    <row r="138">
      <c r="A138" s="6"/>
      <c r="B138" s="6"/>
      <c r="C138" s="17"/>
      <c r="D138" s="9"/>
      <c r="E138" s="9"/>
      <c r="F138" s="16"/>
      <c r="G138" s="11"/>
      <c r="H138" s="9"/>
      <c r="I138" s="9"/>
      <c r="J138" s="12"/>
      <c r="K138" s="13"/>
    </row>
    <row r="139">
      <c r="A139" s="6"/>
      <c r="B139" s="6"/>
      <c r="C139" s="17"/>
      <c r="D139" s="9"/>
      <c r="E139" s="9"/>
      <c r="F139" s="16"/>
      <c r="G139" s="11"/>
      <c r="H139" s="9"/>
      <c r="I139" s="9"/>
      <c r="J139" s="12"/>
      <c r="K139" s="13"/>
    </row>
    <row r="140">
      <c r="A140" s="6"/>
      <c r="B140" s="6"/>
      <c r="C140" s="17"/>
      <c r="D140" s="9"/>
      <c r="E140" s="9"/>
      <c r="F140" s="16"/>
      <c r="G140" s="11"/>
      <c r="H140" s="9"/>
      <c r="I140" s="9"/>
      <c r="J140" s="12"/>
      <c r="K140" s="13"/>
    </row>
    <row r="141">
      <c r="A141" s="6"/>
      <c r="B141" s="6"/>
      <c r="C141" s="17"/>
      <c r="D141" s="9"/>
      <c r="E141" s="9"/>
      <c r="F141" s="16"/>
      <c r="G141" s="11"/>
      <c r="H141" s="9"/>
      <c r="I141" s="9"/>
      <c r="J141" s="12"/>
      <c r="K141" s="13"/>
    </row>
    <row r="142">
      <c r="A142" s="6"/>
      <c r="B142" s="6"/>
      <c r="C142" s="17"/>
      <c r="D142" s="9"/>
      <c r="E142" s="9"/>
      <c r="F142" s="16"/>
      <c r="G142" s="11"/>
      <c r="H142" s="9"/>
      <c r="I142" s="9"/>
      <c r="J142" s="12"/>
      <c r="K142" s="13"/>
    </row>
    <row r="143">
      <c r="A143" s="6"/>
      <c r="B143" s="6"/>
      <c r="C143" s="17"/>
      <c r="D143" s="9"/>
      <c r="E143" s="9"/>
      <c r="F143" s="16"/>
      <c r="G143" s="11"/>
      <c r="H143" s="9"/>
      <c r="I143" s="9"/>
      <c r="J143" s="12"/>
      <c r="K143" s="13"/>
    </row>
    <row r="144">
      <c r="A144" s="6"/>
      <c r="B144" s="6"/>
      <c r="C144" s="17"/>
      <c r="D144" s="9"/>
      <c r="E144" s="9"/>
      <c r="F144" s="16"/>
      <c r="G144" s="11"/>
      <c r="H144" s="9"/>
      <c r="I144" s="9"/>
      <c r="J144" s="12"/>
      <c r="K144" s="13"/>
    </row>
    <row r="145">
      <c r="A145" s="6"/>
      <c r="B145" s="6"/>
      <c r="C145" s="17"/>
      <c r="D145" s="9"/>
      <c r="E145" s="9"/>
      <c r="F145" s="16"/>
      <c r="G145" s="11"/>
      <c r="H145" s="9"/>
      <c r="I145" s="9"/>
      <c r="J145" s="12"/>
      <c r="K145" s="13"/>
    </row>
    <row r="146">
      <c r="A146" s="6"/>
      <c r="B146" s="6"/>
      <c r="C146" s="17"/>
      <c r="D146" s="9"/>
      <c r="E146" s="9"/>
      <c r="F146" s="16"/>
      <c r="G146" s="11"/>
      <c r="H146" s="9"/>
      <c r="I146" s="9"/>
      <c r="J146" s="12"/>
      <c r="K146" s="13"/>
    </row>
    <row r="147">
      <c r="A147" s="6"/>
      <c r="B147" s="6"/>
      <c r="C147" s="17"/>
      <c r="D147" s="9"/>
      <c r="E147" s="9"/>
      <c r="F147" s="16"/>
      <c r="G147" s="11"/>
      <c r="H147" s="9"/>
      <c r="I147" s="9"/>
      <c r="J147" s="12"/>
      <c r="K147" s="13"/>
    </row>
    <row r="148">
      <c r="A148" s="6"/>
      <c r="B148" s="6"/>
      <c r="C148" s="17"/>
      <c r="D148" s="9"/>
      <c r="E148" s="9"/>
      <c r="F148" s="16"/>
      <c r="G148" s="11"/>
      <c r="H148" s="9"/>
      <c r="I148" s="9"/>
      <c r="J148" s="12"/>
      <c r="K148" s="13"/>
    </row>
    <row r="149">
      <c r="A149" s="6"/>
      <c r="B149" s="6"/>
      <c r="C149" s="17"/>
      <c r="D149" s="9"/>
      <c r="E149" s="9"/>
      <c r="F149" s="16"/>
      <c r="G149" s="11"/>
      <c r="H149" s="9"/>
      <c r="I149" s="9"/>
      <c r="J149" s="12"/>
      <c r="K149" s="13"/>
    </row>
    <row r="150">
      <c r="A150" s="6"/>
      <c r="B150" s="6"/>
      <c r="C150" s="17"/>
      <c r="D150" s="9"/>
      <c r="E150" s="9"/>
      <c r="F150" s="16"/>
      <c r="G150" s="11"/>
      <c r="H150" s="9"/>
      <c r="I150" s="9"/>
      <c r="J150" s="12"/>
      <c r="K150" s="13"/>
    </row>
    <row r="151">
      <c r="A151" s="6"/>
      <c r="B151" s="6"/>
      <c r="C151" s="17"/>
      <c r="D151" s="9"/>
      <c r="E151" s="9"/>
      <c r="F151" s="16"/>
      <c r="G151" s="11"/>
      <c r="H151" s="9"/>
      <c r="I151" s="9"/>
      <c r="J151" s="12"/>
      <c r="K151" s="13"/>
    </row>
    <row r="152">
      <c r="A152" s="6"/>
      <c r="B152" s="6"/>
      <c r="C152" s="17"/>
      <c r="D152" s="9"/>
      <c r="E152" s="9"/>
      <c r="F152" s="16"/>
      <c r="G152" s="11"/>
      <c r="H152" s="9"/>
      <c r="I152" s="9"/>
      <c r="J152" s="12"/>
      <c r="K152" s="13"/>
    </row>
    <row r="153">
      <c r="A153" s="6"/>
      <c r="B153" s="6"/>
      <c r="C153" s="17"/>
      <c r="D153" s="9"/>
      <c r="E153" s="9"/>
      <c r="F153" s="16"/>
      <c r="G153" s="11"/>
      <c r="H153" s="9"/>
      <c r="I153" s="9"/>
      <c r="J153" s="12"/>
      <c r="K153" s="13"/>
    </row>
    <row r="154">
      <c r="A154" s="6"/>
      <c r="B154" s="6"/>
      <c r="C154" s="17"/>
      <c r="D154" s="9"/>
      <c r="E154" s="9"/>
      <c r="F154" s="16"/>
      <c r="G154" s="11"/>
      <c r="H154" s="9"/>
      <c r="I154" s="9"/>
      <c r="J154" s="12"/>
      <c r="K154" s="13"/>
    </row>
    <row r="155">
      <c r="A155" s="6"/>
      <c r="B155" s="6"/>
      <c r="C155" s="17"/>
      <c r="D155" s="9"/>
      <c r="E155" s="9"/>
      <c r="F155" s="16"/>
      <c r="G155" s="11"/>
      <c r="H155" s="9"/>
      <c r="I155" s="9"/>
      <c r="J155" s="12"/>
      <c r="K155" s="13"/>
    </row>
    <row r="156">
      <c r="A156" s="6"/>
      <c r="B156" s="6"/>
      <c r="C156" s="17"/>
      <c r="D156" s="9"/>
      <c r="E156" s="9"/>
      <c r="F156" s="16"/>
      <c r="G156" s="11"/>
      <c r="H156" s="9"/>
      <c r="I156" s="9"/>
      <c r="J156" s="12"/>
      <c r="K156" s="13"/>
    </row>
    <row r="157">
      <c r="A157" s="6"/>
      <c r="B157" s="6"/>
      <c r="C157" s="17"/>
      <c r="D157" s="9"/>
      <c r="E157" s="9"/>
      <c r="F157" s="16"/>
      <c r="G157" s="11"/>
      <c r="H157" s="9"/>
      <c r="I157" s="9"/>
      <c r="J157" s="12"/>
      <c r="K157" s="13"/>
    </row>
    <row r="158">
      <c r="A158" s="6"/>
      <c r="B158" s="6"/>
      <c r="C158" s="17"/>
      <c r="D158" s="9"/>
      <c r="E158" s="9"/>
      <c r="F158" s="16"/>
      <c r="G158" s="11"/>
      <c r="H158" s="9"/>
      <c r="I158" s="9"/>
      <c r="J158" s="12"/>
      <c r="K158" s="13"/>
    </row>
    <row r="159">
      <c r="A159" s="6"/>
      <c r="B159" s="6"/>
      <c r="C159" s="17"/>
      <c r="D159" s="9"/>
      <c r="E159" s="9"/>
      <c r="F159" s="16"/>
      <c r="G159" s="11"/>
      <c r="H159" s="9"/>
      <c r="I159" s="9"/>
      <c r="J159" s="12"/>
      <c r="K159" s="13"/>
    </row>
    <row r="160">
      <c r="A160" s="6"/>
      <c r="B160" s="6"/>
      <c r="C160" s="17"/>
      <c r="D160" s="9"/>
      <c r="E160" s="9"/>
      <c r="F160" s="16"/>
      <c r="G160" s="11"/>
      <c r="H160" s="9"/>
      <c r="I160" s="9"/>
      <c r="J160" s="12"/>
      <c r="K160" s="13"/>
    </row>
    <row r="161">
      <c r="A161" s="6"/>
      <c r="B161" s="6"/>
      <c r="C161" s="17"/>
      <c r="D161" s="9"/>
      <c r="E161" s="9"/>
      <c r="F161" s="16"/>
      <c r="G161" s="11"/>
      <c r="H161" s="9"/>
      <c r="I161" s="9"/>
      <c r="J161" s="12"/>
      <c r="K161" s="13"/>
    </row>
    <row r="162">
      <c r="A162" s="6"/>
      <c r="B162" s="6"/>
      <c r="C162" s="17"/>
      <c r="D162" s="9"/>
      <c r="E162" s="9"/>
      <c r="F162" s="16"/>
      <c r="G162" s="11"/>
      <c r="H162" s="9"/>
      <c r="I162" s="9"/>
      <c r="J162" s="12"/>
      <c r="K162" s="13"/>
    </row>
    <row r="163">
      <c r="A163" s="6"/>
      <c r="B163" s="6"/>
      <c r="C163" s="17"/>
      <c r="D163" s="9"/>
      <c r="E163" s="9"/>
      <c r="F163" s="16"/>
      <c r="G163" s="11"/>
      <c r="H163" s="9"/>
      <c r="I163" s="9"/>
      <c r="J163" s="12"/>
      <c r="K163" s="13"/>
    </row>
    <row r="164">
      <c r="A164" s="6"/>
      <c r="B164" s="6"/>
      <c r="C164" s="17"/>
      <c r="D164" s="9"/>
      <c r="E164" s="9"/>
      <c r="F164" s="16"/>
      <c r="G164" s="11"/>
      <c r="H164" s="9"/>
      <c r="I164" s="9"/>
      <c r="J164" s="12"/>
      <c r="K164" s="13"/>
    </row>
    <row r="165">
      <c r="A165" s="6"/>
      <c r="B165" s="6"/>
      <c r="C165" s="17"/>
      <c r="D165" s="9"/>
      <c r="E165" s="9"/>
      <c r="F165" s="16"/>
      <c r="G165" s="11"/>
      <c r="H165" s="9"/>
      <c r="I165" s="9"/>
      <c r="J165" s="12"/>
      <c r="K165" s="13"/>
    </row>
    <row r="166">
      <c r="A166" s="6"/>
      <c r="B166" s="6"/>
      <c r="C166" s="17"/>
      <c r="D166" s="9"/>
      <c r="E166" s="9"/>
      <c r="F166" s="16"/>
      <c r="G166" s="11"/>
      <c r="H166" s="9"/>
      <c r="I166" s="9"/>
      <c r="J166" s="12"/>
      <c r="K166" s="13"/>
    </row>
    <row r="167">
      <c r="A167" s="6"/>
      <c r="B167" s="6"/>
      <c r="C167" s="17"/>
      <c r="D167" s="9"/>
      <c r="E167" s="9"/>
      <c r="F167" s="16"/>
      <c r="G167" s="11"/>
      <c r="H167" s="9"/>
      <c r="I167" s="9"/>
      <c r="J167" s="12"/>
      <c r="K167" s="13"/>
    </row>
    <row r="168">
      <c r="A168" s="6"/>
      <c r="B168" s="6"/>
      <c r="C168" s="17"/>
      <c r="D168" s="9"/>
      <c r="E168" s="9"/>
      <c r="F168" s="16"/>
      <c r="G168" s="11"/>
      <c r="H168" s="9"/>
      <c r="I168" s="9"/>
      <c r="J168" s="12"/>
      <c r="K168" s="13"/>
    </row>
    <row r="169">
      <c r="A169" s="6"/>
      <c r="B169" s="6"/>
      <c r="C169" s="17"/>
      <c r="D169" s="9"/>
      <c r="E169" s="9"/>
      <c r="F169" s="16"/>
      <c r="G169" s="11"/>
      <c r="H169" s="9"/>
      <c r="I169" s="9"/>
      <c r="J169" s="12"/>
      <c r="K169" s="13"/>
    </row>
    <row r="170">
      <c r="A170" s="6"/>
      <c r="B170" s="6"/>
      <c r="C170" s="17"/>
      <c r="D170" s="9"/>
      <c r="E170" s="9"/>
      <c r="F170" s="16"/>
      <c r="G170" s="11"/>
      <c r="H170" s="9"/>
      <c r="I170" s="9"/>
      <c r="J170" s="12"/>
      <c r="K170" s="13"/>
    </row>
    <row r="171">
      <c r="A171" s="6"/>
      <c r="B171" s="6"/>
      <c r="C171" s="17"/>
      <c r="D171" s="9"/>
      <c r="E171" s="9"/>
      <c r="F171" s="16"/>
      <c r="G171" s="11"/>
      <c r="H171" s="9"/>
      <c r="I171" s="9"/>
      <c r="J171" s="12"/>
      <c r="K171" s="13"/>
    </row>
    <row r="172">
      <c r="A172" s="6"/>
      <c r="B172" s="6"/>
      <c r="C172" s="17"/>
      <c r="D172" s="9"/>
      <c r="E172" s="9"/>
      <c r="F172" s="16"/>
      <c r="G172" s="11"/>
      <c r="H172" s="9"/>
      <c r="I172" s="9"/>
      <c r="J172" s="12"/>
      <c r="K172" s="13"/>
    </row>
    <row r="173">
      <c r="A173" s="6"/>
      <c r="B173" s="6"/>
      <c r="C173" s="17"/>
      <c r="D173" s="9"/>
      <c r="E173" s="9"/>
      <c r="F173" s="16"/>
      <c r="G173" s="11"/>
      <c r="H173" s="9"/>
      <c r="I173" s="9"/>
      <c r="J173" s="12"/>
      <c r="K173" s="13"/>
    </row>
    <row r="174">
      <c r="A174" s="6"/>
      <c r="B174" s="6"/>
      <c r="C174" s="17"/>
      <c r="D174" s="9"/>
      <c r="E174" s="9"/>
      <c r="F174" s="16"/>
      <c r="G174" s="11"/>
      <c r="H174" s="9"/>
      <c r="I174" s="9"/>
      <c r="J174" s="12"/>
      <c r="K174" s="13"/>
    </row>
    <row r="175">
      <c r="A175" s="6"/>
      <c r="B175" s="6"/>
      <c r="C175" s="17"/>
      <c r="D175" s="9"/>
      <c r="E175" s="9"/>
      <c r="F175" s="16"/>
      <c r="G175" s="11"/>
      <c r="H175" s="9"/>
      <c r="I175" s="9"/>
      <c r="J175" s="12"/>
      <c r="K175" s="13"/>
    </row>
    <row r="176">
      <c r="A176" s="6"/>
      <c r="B176" s="6"/>
      <c r="C176" s="17"/>
      <c r="D176" s="9"/>
      <c r="E176" s="9"/>
      <c r="F176" s="16"/>
      <c r="G176" s="11"/>
      <c r="H176" s="9"/>
      <c r="I176" s="9"/>
      <c r="J176" s="12"/>
      <c r="K176" s="13"/>
    </row>
    <row r="177">
      <c r="A177" s="6"/>
      <c r="B177" s="6"/>
      <c r="C177" s="17"/>
      <c r="D177" s="9"/>
      <c r="E177" s="9"/>
      <c r="F177" s="16"/>
      <c r="G177" s="11"/>
      <c r="H177" s="9"/>
      <c r="I177" s="9"/>
      <c r="J177" s="12"/>
      <c r="K177" s="13"/>
    </row>
    <row r="178">
      <c r="A178" s="6"/>
      <c r="B178" s="6"/>
      <c r="C178" s="17"/>
      <c r="D178" s="9"/>
      <c r="E178" s="9"/>
      <c r="F178" s="16"/>
      <c r="G178" s="11"/>
      <c r="H178" s="9"/>
      <c r="I178" s="9"/>
      <c r="J178" s="12"/>
      <c r="K178" s="13"/>
    </row>
    <row r="179">
      <c r="A179" s="6"/>
      <c r="B179" s="6"/>
      <c r="C179" s="17"/>
      <c r="D179" s="9"/>
      <c r="E179" s="9"/>
      <c r="F179" s="16"/>
      <c r="G179" s="11"/>
      <c r="H179" s="9"/>
      <c r="I179" s="9"/>
      <c r="J179" s="12"/>
      <c r="K179" s="13"/>
    </row>
    <row r="180">
      <c r="A180" s="6"/>
      <c r="B180" s="6"/>
      <c r="C180" s="17"/>
      <c r="D180" s="9"/>
      <c r="E180" s="9"/>
      <c r="F180" s="16"/>
      <c r="G180" s="11"/>
      <c r="H180" s="9"/>
      <c r="I180" s="9"/>
      <c r="J180" s="12"/>
      <c r="K180" s="13"/>
    </row>
    <row r="181">
      <c r="A181" s="6"/>
      <c r="B181" s="6"/>
      <c r="C181" s="17"/>
      <c r="D181" s="9"/>
      <c r="E181" s="9"/>
      <c r="F181" s="16"/>
      <c r="G181" s="11"/>
      <c r="H181" s="9"/>
      <c r="I181" s="9"/>
      <c r="J181" s="12"/>
      <c r="K181" s="13"/>
    </row>
    <row r="182">
      <c r="A182" s="6"/>
      <c r="B182" s="6"/>
      <c r="C182" s="17"/>
      <c r="D182" s="9"/>
      <c r="E182" s="9"/>
      <c r="F182" s="16"/>
      <c r="G182" s="11"/>
      <c r="H182" s="9"/>
      <c r="I182" s="9"/>
      <c r="J182" s="12"/>
      <c r="K182" s="13"/>
    </row>
    <row r="183">
      <c r="A183" s="6"/>
      <c r="B183" s="6"/>
      <c r="C183" s="17"/>
      <c r="D183" s="9"/>
      <c r="E183" s="9"/>
      <c r="F183" s="16"/>
      <c r="G183" s="11"/>
      <c r="H183" s="9"/>
      <c r="I183" s="9"/>
      <c r="J183" s="12"/>
      <c r="K183" s="13"/>
    </row>
    <row r="184">
      <c r="A184" s="6"/>
      <c r="B184" s="6"/>
      <c r="C184" s="17"/>
      <c r="D184" s="9"/>
      <c r="E184" s="9"/>
      <c r="F184" s="16"/>
      <c r="G184" s="11"/>
      <c r="H184" s="9"/>
      <c r="I184" s="9"/>
      <c r="J184" s="12"/>
      <c r="K184" s="13"/>
    </row>
    <row r="185">
      <c r="A185" s="6"/>
      <c r="B185" s="6"/>
      <c r="C185" s="17"/>
      <c r="D185" s="9"/>
      <c r="E185" s="9"/>
      <c r="F185" s="16"/>
      <c r="G185" s="11"/>
      <c r="H185" s="9"/>
      <c r="I185" s="9"/>
      <c r="J185" s="12"/>
      <c r="K185" s="13"/>
    </row>
    <row r="186">
      <c r="A186" s="6"/>
      <c r="B186" s="6"/>
      <c r="C186" s="17"/>
      <c r="D186" s="9"/>
      <c r="E186" s="9"/>
      <c r="F186" s="16"/>
      <c r="G186" s="11"/>
      <c r="H186" s="9"/>
      <c r="I186" s="9"/>
      <c r="J186" s="12"/>
      <c r="K186" s="13"/>
    </row>
    <row r="187">
      <c r="A187" s="6"/>
      <c r="B187" s="6"/>
      <c r="C187" s="17"/>
      <c r="D187" s="9"/>
      <c r="E187" s="9"/>
      <c r="F187" s="16"/>
      <c r="G187" s="11"/>
      <c r="H187" s="9"/>
      <c r="I187" s="9"/>
      <c r="J187" s="12"/>
      <c r="K187" s="13"/>
    </row>
    <row r="188">
      <c r="A188" s="6"/>
      <c r="B188" s="6"/>
      <c r="C188" s="17"/>
      <c r="D188" s="9"/>
      <c r="E188" s="9"/>
      <c r="F188" s="16"/>
      <c r="G188" s="11"/>
      <c r="H188" s="9"/>
      <c r="I188" s="9"/>
      <c r="J188" s="12"/>
      <c r="K188" s="13"/>
    </row>
    <row r="189">
      <c r="A189" s="6"/>
      <c r="B189" s="6"/>
      <c r="C189" s="17"/>
      <c r="D189" s="9"/>
      <c r="E189" s="9"/>
      <c r="F189" s="16"/>
      <c r="G189" s="11"/>
      <c r="H189" s="9"/>
      <c r="I189" s="9"/>
      <c r="J189" s="12"/>
      <c r="K189" s="13"/>
    </row>
    <row r="190">
      <c r="A190" s="6"/>
      <c r="B190" s="6"/>
      <c r="C190" s="17"/>
      <c r="D190" s="9"/>
      <c r="E190" s="9"/>
      <c r="F190" s="16"/>
      <c r="G190" s="11"/>
      <c r="H190" s="9"/>
      <c r="I190" s="9"/>
      <c r="J190" s="12"/>
      <c r="K190" s="13"/>
    </row>
    <row r="191">
      <c r="A191" s="6"/>
      <c r="B191" s="6"/>
      <c r="C191" s="17"/>
      <c r="D191" s="9"/>
      <c r="E191" s="9"/>
      <c r="F191" s="16"/>
      <c r="G191" s="11"/>
      <c r="H191" s="9"/>
      <c r="I191" s="9"/>
      <c r="J191" s="12"/>
      <c r="K191" s="13"/>
    </row>
    <row r="192">
      <c r="A192" s="6"/>
      <c r="B192" s="6"/>
      <c r="C192" s="17"/>
      <c r="D192" s="9"/>
      <c r="E192" s="9"/>
      <c r="F192" s="16"/>
      <c r="G192" s="11"/>
      <c r="H192" s="9"/>
      <c r="I192" s="9"/>
      <c r="J192" s="12"/>
      <c r="K192" s="13"/>
    </row>
    <row r="193">
      <c r="A193" s="6"/>
      <c r="B193" s="6"/>
      <c r="C193" s="17"/>
      <c r="D193" s="9"/>
      <c r="E193" s="9"/>
      <c r="F193" s="16"/>
      <c r="G193" s="11"/>
      <c r="H193" s="9"/>
      <c r="I193" s="9"/>
      <c r="J193" s="12"/>
      <c r="K193" s="13"/>
    </row>
    <row r="194">
      <c r="A194" s="6"/>
      <c r="B194" s="6"/>
      <c r="C194" s="17"/>
      <c r="D194" s="9"/>
      <c r="E194" s="9"/>
      <c r="F194" s="16"/>
      <c r="G194" s="11"/>
      <c r="H194" s="9"/>
      <c r="I194" s="9"/>
      <c r="J194" s="12"/>
      <c r="K194" s="13"/>
    </row>
    <row r="195">
      <c r="A195" s="6"/>
      <c r="B195" s="6"/>
      <c r="C195" s="17"/>
      <c r="D195" s="9"/>
      <c r="E195" s="9"/>
      <c r="F195" s="16"/>
      <c r="G195" s="11"/>
      <c r="H195" s="9"/>
      <c r="I195" s="9"/>
      <c r="J195" s="12"/>
      <c r="K195" s="13"/>
    </row>
    <row r="196">
      <c r="A196" s="6"/>
      <c r="B196" s="6"/>
      <c r="C196" s="17"/>
      <c r="D196" s="9"/>
      <c r="E196" s="9"/>
      <c r="F196" s="16"/>
      <c r="G196" s="11"/>
      <c r="H196" s="9"/>
      <c r="I196" s="9"/>
      <c r="J196" s="12"/>
      <c r="K196" s="13"/>
    </row>
    <row r="197">
      <c r="A197" s="6"/>
      <c r="B197" s="6"/>
      <c r="C197" s="17"/>
      <c r="D197" s="9"/>
      <c r="E197" s="9"/>
      <c r="F197" s="16"/>
      <c r="G197" s="11"/>
      <c r="H197" s="9"/>
      <c r="I197" s="9"/>
      <c r="J197" s="12"/>
      <c r="K197" s="13"/>
    </row>
    <row r="198">
      <c r="A198" s="6"/>
      <c r="B198" s="6"/>
      <c r="C198" s="17"/>
      <c r="D198" s="9"/>
      <c r="E198" s="9"/>
      <c r="F198" s="16"/>
      <c r="G198" s="11"/>
      <c r="H198" s="9"/>
      <c r="I198" s="9"/>
      <c r="J198" s="12"/>
      <c r="K198" s="13"/>
    </row>
    <row r="199">
      <c r="A199" s="6"/>
      <c r="B199" s="6"/>
      <c r="C199" s="17"/>
      <c r="D199" s="9"/>
      <c r="E199" s="9"/>
      <c r="F199" s="16"/>
      <c r="G199" s="11"/>
      <c r="H199" s="9"/>
      <c r="I199" s="9"/>
      <c r="J199" s="12"/>
      <c r="K199" s="13"/>
    </row>
    <row r="200">
      <c r="A200" s="6"/>
      <c r="B200" s="6"/>
      <c r="C200" s="17"/>
      <c r="D200" s="9"/>
      <c r="E200" s="9"/>
      <c r="F200" s="16"/>
      <c r="G200" s="11"/>
      <c r="H200" s="9"/>
      <c r="I200" s="9"/>
      <c r="J200" s="12"/>
      <c r="K200" s="13"/>
    </row>
    <row r="201">
      <c r="A201" s="6"/>
      <c r="B201" s="6"/>
      <c r="C201" s="17"/>
      <c r="D201" s="9"/>
      <c r="E201" s="9"/>
      <c r="F201" s="16"/>
      <c r="G201" s="11"/>
      <c r="H201" s="9"/>
      <c r="I201" s="9"/>
      <c r="J201" s="12"/>
      <c r="K201" s="13"/>
    </row>
    <row r="202">
      <c r="A202" s="6"/>
      <c r="B202" s="6"/>
      <c r="C202" s="17"/>
      <c r="D202" s="9"/>
      <c r="E202" s="9"/>
      <c r="F202" s="16"/>
      <c r="G202" s="11"/>
      <c r="H202" s="9"/>
      <c r="I202" s="9"/>
      <c r="J202" s="12"/>
      <c r="K202" s="13"/>
    </row>
    <row r="203">
      <c r="A203" s="6"/>
      <c r="B203" s="6"/>
      <c r="C203" s="17"/>
      <c r="D203" s="9"/>
      <c r="E203" s="9"/>
      <c r="F203" s="16"/>
      <c r="G203" s="11"/>
      <c r="H203" s="9"/>
      <c r="I203" s="9"/>
      <c r="J203" s="12"/>
      <c r="K203" s="13"/>
    </row>
    <row r="204">
      <c r="A204" s="6"/>
      <c r="B204" s="6"/>
      <c r="C204" s="17"/>
      <c r="D204" s="9"/>
      <c r="E204" s="9"/>
      <c r="F204" s="16"/>
      <c r="G204" s="11"/>
      <c r="H204" s="9"/>
      <c r="I204" s="9"/>
      <c r="J204" s="12"/>
      <c r="K204" s="13"/>
    </row>
    <row r="205">
      <c r="A205" s="6"/>
      <c r="B205" s="6"/>
      <c r="C205" s="17"/>
      <c r="D205" s="9"/>
      <c r="E205" s="9"/>
      <c r="F205" s="16"/>
      <c r="G205" s="11"/>
      <c r="H205" s="9"/>
      <c r="I205" s="9"/>
      <c r="J205" s="12"/>
      <c r="K205" s="13"/>
    </row>
    <row r="206">
      <c r="A206" s="6"/>
      <c r="B206" s="6"/>
      <c r="C206" s="17"/>
      <c r="D206" s="9"/>
      <c r="E206" s="9"/>
      <c r="F206" s="16"/>
      <c r="G206" s="11"/>
      <c r="H206" s="9"/>
      <c r="I206" s="9"/>
      <c r="J206" s="12"/>
      <c r="K206" s="13"/>
    </row>
    <row r="207">
      <c r="A207" s="6"/>
      <c r="B207" s="6"/>
      <c r="C207" s="17"/>
      <c r="D207" s="9"/>
      <c r="E207" s="9"/>
      <c r="F207" s="16"/>
      <c r="G207" s="11"/>
      <c r="H207" s="9"/>
      <c r="I207" s="9"/>
      <c r="J207" s="12"/>
      <c r="K207" s="13"/>
    </row>
    <row r="208">
      <c r="A208" s="6"/>
      <c r="B208" s="6"/>
      <c r="C208" s="17"/>
      <c r="D208" s="9"/>
      <c r="E208" s="9"/>
      <c r="F208" s="16"/>
      <c r="G208" s="11"/>
      <c r="H208" s="9"/>
      <c r="I208" s="9"/>
      <c r="J208" s="12"/>
      <c r="K208" s="13"/>
    </row>
    <row r="209">
      <c r="A209" s="6"/>
      <c r="B209" s="6"/>
      <c r="C209" s="17"/>
      <c r="D209" s="9"/>
      <c r="E209" s="9"/>
      <c r="F209" s="16"/>
      <c r="G209" s="11"/>
      <c r="H209" s="9"/>
      <c r="I209" s="9"/>
      <c r="J209" s="12"/>
      <c r="K209" s="13"/>
    </row>
    <row r="210">
      <c r="A210" s="6"/>
      <c r="B210" s="6"/>
      <c r="C210" s="17"/>
      <c r="D210" s="9"/>
      <c r="E210" s="9"/>
      <c r="F210" s="16"/>
      <c r="G210" s="11"/>
      <c r="H210" s="9"/>
      <c r="I210" s="9"/>
      <c r="J210" s="12"/>
      <c r="K210" s="13"/>
    </row>
    <row r="211">
      <c r="A211" s="6"/>
      <c r="B211" s="6"/>
      <c r="C211" s="17"/>
      <c r="D211" s="9"/>
      <c r="E211" s="9"/>
      <c r="F211" s="16"/>
      <c r="G211" s="11"/>
      <c r="H211" s="9"/>
      <c r="I211" s="9"/>
      <c r="J211" s="12"/>
      <c r="K211" s="13"/>
    </row>
    <row r="212">
      <c r="A212" s="6"/>
      <c r="B212" s="6"/>
      <c r="C212" s="17"/>
      <c r="D212" s="9"/>
      <c r="E212" s="9"/>
      <c r="F212" s="16"/>
      <c r="G212" s="11"/>
      <c r="H212" s="9"/>
      <c r="I212" s="9"/>
      <c r="J212" s="12"/>
      <c r="K212" s="13"/>
    </row>
    <row r="213">
      <c r="A213" s="6"/>
      <c r="B213" s="6"/>
      <c r="C213" s="17"/>
      <c r="D213" s="9"/>
      <c r="E213" s="9"/>
      <c r="F213" s="16"/>
      <c r="G213" s="11"/>
      <c r="H213" s="9"/>
      <c r="I213" s="9"/>
      <c r="J213" s="12"/>
      <c r="K213" s="13"/>
    </row>
    <row r="214">
      <c r="A214" s="6"/>
      <c r="B214" s="6"/>
      <c r="C214" s="17"/>
      <c r="D214" s="9"/>
      <c r="E214" s="9"/>
      <c r="F214" s="16"/>
      <c r="G214" s="11"/>
      <c r="H214" s="9"/>
      <c r="I214" s="9"/>
      <c r="J214" s="12"/>
      <c r="K214" s="13"/>
    </row>
    <row r="215">
      <c r="A215" s="6"/>
      <c r="B215" s="6"/>
      <c r="C215" s="17"/>
      <c r="D215" s="9"/>
      <c r="E215" s="9"/>
      <c r="F215" s="16"/>
      <c r="G215" s="11"/>
      <c r="H215" s="9"/>
      <c r="I215" s="9"/>
      <c r="J215" s="12"/>
      <c r="K215" s="13"/>
    </row>
    <row r="216">
      <c r="A216" s="6"/>
      <c r="B216" s="6"/>
      <c r="C216" s="17"/>
      <c r="D216" s="9"/>
      <c r="E216" s="9"/>
      <c r="F216" s="16"/>
      <c r="G216" s="11"/>
      <c r="H216" s="9"/>
      <c r="I216" s="9"/>
      <c r="J216" s="12"/>
      <c r="K216" s="13"/>
    </row>
    <row r="217">
      <c r="A217" s="6"/>
      <c r="B217" s="6"/>
      <c r="C217" s="17"/>
      <c r="D217" s="9"/>
      <c r="E217" s="9"/>
      <c r="F217" s="16"/>
      <c r="G217" s="11"/>
      <c r="H217" s="9"/>
      <c r="I217" s="9"/>
      <c r="J217" s="12"/>
      <c r="K217" s="13"/>
    </row>
    <row r="218">
      <c r="A218" s="6"/>
      <c r="B218" s="6"/>
      <c r="C218" s="17"/>
      <c r="D218" s="9"/>
      <c r="E218" s="9"/>
      <c r="F218" s="16"/>
      <c r="G218" s="11"/>
      <c r="H218" s="9"/>
      <c r="I218" s="9"/>
      <c r="J218" s="12"/>
      <c r="K218" s="13"/>
    </row>
    <row r="219">
      <c r="A219" s="6"/>
      <c r="B219" s="6"/>
      <c r="C219" s="17"/>
      <c r="D219" s="9"/>
      <c r="E219" s="9"/>
      <c r="F219" s="16"/>
      <c r="G219" s="11"/>
      <c r="H219" s="9"/>
      <c r="I219" s="9"/>
      <c r="J219" s="12"/>
      <c r="K219" s="13"/>
    </row>
    <row r="220">
      <c r="A220" s="6"/>
      <c r="B220" s="6"/>
      <c r="C220" s="17"/>
      <c r="D220" s="9"/>
      <c r="E220" s="9"/>
      <c r="F220" s="16"/>
      <c r="G220" s="11"/>
      <c r="H220" s="9"/>
      <c r="I220" s="9"/>
      <c r="J220" s="12"/>
      <c r="K220" s="13"/>
    </row>
    <row r="221">
      <c r="A221" s="6"/>
      <c r="B221" s="6"/>
      <c r="C221" s="17"/>
      <c r="D221" s="9"/>
      <c r="E221" s="9"/>
      <c r="F221" s="16"/>
      <c r="G221" s="11"/>
      <c r="H221" s="9"/>
      <c r="I221" s="9"/>
      <c r="J221" s="12"/>
      <c r="K221" s="13"/>
    </row>
    <row r="222">
      <c r="A222" s="6"/>
      <c r="B222" s="6"/>
      <c r="C222" s="17"/>
      <c r="D222" s="9"/>
      <c r="E222" s="9"/>
      <c r="F222" s="16"/>
      <c r="G222" s="11"/>
      <c r="H222" s="9"/>
      <c r="I222" s="9"/>
      <c r="J222" s="12"/>
      <c r="K222" s="13"/>
    </row>
    <row r="223">
      <c r="A223" s="6"/>
      <c r="B223" s="6"/>
      <c r="C223" s="17"/>
      <c r="D223" s="9"/>
      <c r="E223" s="9"/>
      <c r="F223" s="16"/>
      <c r="G223" s="11"/>
      <c r="H223" s="9"/>
      <c r="I223" s="9"/>
      <c r="J223" s="12"/>
      <c r="K223" s="13"/>
    </row>
    <row r="224">
      <c r="A224" s="6"/>
      <c r="B224" s="6"/>
      <c r="C224" s="17"/>
      <c r="D224" s="9"/>
      <c r="E224" s="9"/>
      <c r="F224" s="16"/>
      <c r="G224" s="11"/>
      <c r="H224" s="9"/>
      <c r="I224" s="9"/>
      <c r="J224" s="12"/>
      <c r="K224" s="13"/>
    </row>
    <row r="225">
      <c r="A225" s="6"/>
      <c r="B225" s="6"/>
      <c r="C225" s="17"/>
      <c r="D225" s="9"/>
      <c r="E225" s="9"/>
      <c r="F225" s="16"/>
      <c r="G225" s="11"/>
      <c r="H225" s="9"/>
      <c r="I225" s="9"/>
      <c r="J225" s="12"/>
      <c r="K225" s="13"/>
    </row>
    <row r="226">
      <c r="A226" s="6"/>
      <c r="B226" s="6"/>
      <c r="C226" s="17"/>
      <c r="D226" s="9"/>
      <c r="E226" s="9"/>
      <c r="F226" s="16"/>
      <c r="G226" s="11"/>
      <c r="H226" s="9"/>
      <c r="I226" s="9"/>
      <c r="J226" s="12"/>
      <c r="K226" s="13"/>
    </row>
    <row r="227">
      <c r="A227" s="6"/>
      <c r="B227" s="6"/>
      <c r="C227" s="17"/>
      <c r="D227" s="9"/>
      <c r="E227" s="9"/>
      <c r="F227" s="16"/>
      <c r="G227" s="11"/>
      <c r="H227" s="9"/>
      <c r="I227" s="9"/>
      <c r="J227" s="12"/>
      <c r="K227" s="13"/>
    </row>
    <row r="228">
      <c r="A228" s="6"/>
      <c r="B228" s="6"/>
      <c r="C228" s="17"/>
      <c r="D228" s="9"/>
      <c r="E228" s="9"/>
      <c r="F228" s="16"/>
      <c r="G228" s="11"/>
      <c r="H228" s="9"/>
      <c r="I228" s="9"/>
      <c r="J228" s="12"/>
      <c r="K228" s="13"/>
    </row>
    <row r="229">
      <c r="A229" s="6"/>
      <c r="B229" s="6"/>
      <c r="C229" s="17"/>
      <c r="D229" s="9"/>
      <c r="E229" s="9"/>
      <c r="F229" s="16"/>
      <c r="G229" s="11"/>
      <c r="H229" s="9"/>
      <c r="I229" s="9"/>
      <c r="J229" s="12"/>
      <c r="K229" s="13"/>
    </row>
    <row r="230">
      <c r="A230" s="6"/>
      <c r="B230" s="6"/>
      <c r="C230" s="17"/>
      <c r="D230" s="9"/>
      <c r="E230" s="9"/>
      <c r="F230" s="16"/>
      <c r="G230" s="11"/>
      <c r="H230" s="9"/>
      <c r="I230" s="9"/>
      <c r="J230" s="12"/>
      <c r="K230" s="13"/>
    </row>
    <row r="231">
      <c r="A231" s="6"/>
      <c r="B231" s="6"/>
      <c r="C231" s="17"/>
      <c r="D231" s="9"/>
      <c r="E231" s="9"/>
      <c r="F231" s="16"/>
      <c r="G231" s="11"/>
      <c r="H231" s="9"/>
      <c r="I231" s="9"/>
      <c r="J231" s="12"/>
      <c r="K231" s="13"/>
    </row>
    <row r="232">
      <c r="A232" s="6"/>
      <c r="B232" s="6"/>
      <c r="C232" s="17"/>
      <c r="D232" s="9"/>
      <c r="E232" s="9"/>
      <c r="F232" s="16"/>
      <c r="G232" s="11"/>
      <c r="H232" s="9"/>
      <c r="I232" s="9"/>
      <c r="J232" s="12"/>
      <c r="K232" s="13"/>
    </row>
    <row r="233">
      <c r="A233" s="6"/>
      <c r="B233" s="6"/>
      <c r="C233" s="17"/>
      <c r="D233" s="9"/>
      <c r="E233" s="9"/>
      <c r="F233" s="16"/>
      <c r="G233" s="11"/>
      <c r="H233" s="9"/>
      <c r="I233" s="9"/>
      <c r="J233" s="12"/>
      <c r="K233" s="13"/>
    </row>
    <row r="234">
      <c r="A234" s="6"/>
      <c r="B234" s="6"/>
      <c r="C234" s="17"/>
      <c r="D234" s="9"/>
      <c r="E234" s="9"/>
      <c r="F234" s="16"/>
      <c r="G234" s="11"/>
      <c r="H234" s="9"/>
      <c r="I234" s="9"/>
      <c r="J234" s="12"/>
      <c r="K234" s="13"/>
    </row>
    <row r="235">
      <c r="A235" s="6"/>
      <c r="B235" s="6"/>
      <c r="C235" s="17"/>
      <c r="D235" s="9"/>
      <c r="E235" s="9"/>
      <c r="F235" s="16"/>
      <c r="G235" s="11"/>
      <c r="H235" s="9"/>
      <c r="I235" s="9"/>
      <c r="J235" s="12"/>
      <c r="K235" s="13"/>
    </row>
    <row r="236">
      <c r="A236" s="6"/>
      <c r="B236" s="6"/>
      <c r="C236" s="17"/>
      <c r="D236" s="9"/>
      <c r="E236" s="9"/>
      <c r="F236" s="16"/>
      <c r="G236" s="11"/>
      <c r="H236" s="9"/>
      <c r="I236" s="9"/>
      <c r="J236" s="12"/>
      <c r="K236" s="13"/>
    </row>
    <row r="237">
      <c r="A237" s="6"/>
      <c r="B237" s="6"/>
      <c r="C237" s="17"/>
      <c r="D237" s="9"/>
      <c r="E237" s="9"/>
      <c r="F237" s="16"/>
      <c r="G237" s="11"/>
      <c r="H237" s="9"/>
      <c r="I237" s="9"/>
      <c r="J237" s="12"/>
      <c r="K237" s="13"/>
    </row>
    <row r="238">
      <c r="A238" s="6"/>
      <c r="B238" s="6"/>
      <c r="C238" s="17"/>
      <c r="D238" s="9"/>
      <c r="E238" s="9"/>
      <c r="F238" s="16"/>
      <c r="G238" s="11"/>
      <c r="H238" s="9"/>
      <c r="I238" s="9"/>
      <c r="J238" s="12"/>
      <c r="K238" s="13"/>
    </row>
    <row r="239">
      <c r="A239" s="6"/>
      <c r="B239" s="6"/>
      <c r="C239" s="17"/>
      <c r="D239" s="9"/>
      <c r="E239" s="9"/>
      <c r="F239" s="16"/>
      <c r="G239" s="11"/>
      <c r="H239" s="9"/>
      <c r="I239" s="9"/>
      <c r="J239" s="12"/>
      <c r="K239" s="13"/>
    </row>
    <row r="240">
      <c r="A240" s="6"/>
      <c r="B240" s="6"/>
      <c r="C240" s="17"/>
      <c r="D240" s="9"/>
      <c r="E240" s="9"/>
      <c r="F240" s="16"/>
      <c r="G240" s="11"/>
      <c r="H240" s="9"/>
      <c r="I240" s="9"/>
      <c r="J240" s="12"/>
      <c r="K240" s="13"/>
    </row>
    <row r="241">
      <c r="A241" s="6"/>
      <c r="B241" s="6"/>
      <c r="C241" s="17"/>
      <c r="D241" s="9"/>
      <c r="E241" s="9"/>
      <c r="F241" s="16"/>
      <c r="G241" s="11"/>
      <c r="H241" s="9"/>
      <c r="I241" s="9"/>
      <c r="J241" s="12"/>
      <c r="K241" s="13"/>
    </row>
    <row r="242">
      <c r="A242" s="6"/>
      <c r="B242" s="6"/>
      <c r="C242" s="17"/>
      <c r="D242" s="9"/>
      <c r="E242" s="9"/>
      <c r="F242" s="16"/>
      <c r="G242" s="11"/>
      <c r="H242" s="9"/>
      <c r="I242" s="9"/>
      <c r="J242" s="12"/>
      <c r="K242" s="13"/>
    </row>
    <row r="243">
      <c r="A243" s="6"/>
      <c r="B243" s="6"/>
      <c r="C243" s="17"/>
      <c r="D243" s="9"/>
      <c r="E243" s="9"/>
      <c r="F243" s="16"/>
      <c r="G243" s="11"/>
      <c r="H243" s="9"/>
      <c r="I243" s="9"/>
      <c r="J243" s="12"/>
      <c r="K243" s="13"/>
    </row>
    <row r="244">
      <c r="A244" s="6"/>
      <c r="B244" s="6"/>
      <c r="C244" s="17"/>
      <c r="D244" s="9"/>
      <c r="E244" s="9"/>
      <c r="F244" s="16"/>
      <c r="G244" s="11"/>
      <c r="H244" s="9"/>
      <c r="I244" s="9"/>
      <c r="J244" s="12"/>
      <c r="K244" s="13"/>
    </row>
    <row r="245">
      <c r="A245" s="6"/>
      <c r="B245" s="6"/>
      <c r="C245" s="17"/>
      <c r="D245" s="9"/>
      <c r="E245" s="9"/>
      <c r="F245" s="16"/>
      <c r="G245" s="11"/>
      <c r="H245" s="9"/>
      <c r="I245" s="9"/>
      <c r="J245" s="12"/>
      <c r="K245" s="13"/>
    </row>
    <row r="246">
      <c r="A246" s="6"/>
      <c r="B246" s="6"/>
      <c r="C246" s="17"/>
      <c r="D246" s="9"/>
      <c r="E246" s="9"/>
      <c r="F246" s="16"/>
      <c r="G246" s="11"/>
      <c r="H246" s="9"/>
      <c r="I246" s="9"/>
      <c r="J246" s="12"/>
      <c r="K246" s="13"/>
    </row>
    <row r="247">
      <c r="A247" s="6"/>
      <c r="B247" s="6"/>
      <c r="C247" s="17"/>
      <c r="D247" s="9"/>
      <c r="E247" s="9"/>
      <c r="F247" s="16"/>
      <c r="G247" s="11"/>
      <c r="H247" s="9"/>
      <c r="I247" s="9"/>
      <c r="J247" s="12"/>
      <c r="K247" s="13"/>
    </row>
    <row r="248">
      <c r="A248" s="6"/>
      <c r="B248" s="6"/>
      <c r="C248" s="17"/>
      <c r="D248" s="9"/>
      <c r="E248" s="9"/>
      <c r="F248" s="16"/>
      <c r="G248" s="11"/>
      <c r="H248" s="9"/>
      <c r="I248" s="9"/>
      <c r="J248" s="12"/>
      <c r="K248" s="13"/>
    </row>
    <row r="249">
      <c r="A249" s="6"/>
      <c r="B249" s="6"/>
      <c r="C249" s="17"/>
      <c r="D249" s="9"/>
      <c r="E249" s="9"/>
      <c r="F249" s="16"/>
      <c r="G249" s="11"/>
      <c r="H249" s="9"/>
      <c r="I249" s="9"/>
      <c r="J249" s="12"/>
      <c r="K249" s="13"/>
    </row>
    <row r="250">
      <c r="A250" s="6"/>
      <c r="B250" s="6"/>
      <c r="C250" s="17"/>
      <c r="D250" s="9"/>
      <c r="E250" s="9"/>
      <c r="F250" s="16"/>
      <c r="G250" s="11"/>
      <c r="H250" s="9"/>
      <c r="I250" s="9"/>
      <c r="J250" s="12"/>
      <c r="K250" s="13"/>
    </row>
    <row r="251">
      <c r="A251" s="6"/>
      <c r="B251" s="6"/>
      <c r="C251" s="17"/>
      <c r="D251" s="9"/>
      <c r="E251" s="9"/>
      <c r="F251" s="16"/>
      <c r="G251" s="11"/>
      <c r="H251" s="9"/>
      <c r="I251" s="9"/>
      <c r="J251" s="12"/>
      <c r="K251" s="13"/>
    </row>
    <row r="252">
      <c r="A252" s="6"/>
      <c r="B252" s="6"/>
      <c r="C252" s="17"/>
      <c r="D252" s="9"/>
      <c r="E252" s="9"/>
      <c r="F252" s="16"/>
      <c r="G252" s="11"/>
      <c r="H252" s="9"/>
      <c r="I252" s="9"/>
      <c r="J252" s="12"/>
      <c r="K252" s="13"/>
    </row>
    <row r="253">
      <c r="A253" s="6"/>
      <c r="B253" s="6"/>
      <c r="C253" s="17"/>
      <c r="D253" s="9"/>
      <c r="E253" s="9"/>
      <c r="F253" s="16"/>
      <c r="G253" s="11"/>
      <c r="H253" s="9"/>
      <c r="I253" s="9"/>
      <c r="J253" s="12"/>
      <c r="K253" s="13"/>
    </row>
    <row r="254">
      <c r="A254" s="6"/>
      <c r="B254" s="6"/>
      <c r="C254" s="17"/>
      <c r="D254" s="9"/>
      <c r="E254" s="9"/>
      <c r="F254" s="16"/>
      <c r="G254" s="11"/>
      <c r="H254" s="9"/>
      <c r="I254" s="9"/>
      <c r="J254" s="12"/>
      <c r="K254" s="13"/>
    </row>
    <row r="255">
      <c r="A255" s="6"/>
      <c r="B255" s="6"/>
      <c r="C255" s="17"/>
      <c r="D255" s="9"/>
      <c r="E255" s="9"/>
      <c r="F255" s="16"/>
      <c r="G255" s="11"/>
      <c r="H255" s="9"/>
      <c r="I255" s="9"/>
      <c r="J255" s="12"/>
      <c r="K255" s="13"/>
    </row>
    <row r="256">
      <c r="A256" s="6"/>
      <c r="B256" s="6"/>
      <c r="C256" s="17"/>
      <c r="D256" s="9"/>
      <c r="E256" s="9"/>
      <c r="F256" s="16"/>
      <c r="G256" s="11"/>
      <c r="H256" s="9"/>
      <c r="I256" s="9"/>
      <c r="J256" s="12"/>
      <c r="K256" s="13"/>
    </row>
    <row r="257">
      <c r="A257" s="6"/>
      <c r="B257" s="6"/>
      <c r="C257" s="17"/>
      <c r="D257" s="9"/>
      <c r="E257" s="9"/>
      <c r="F257" s="16"/>
      <c r="G257" s="11"/>
      <c r="H257" s="9"/>
      <c r="I257" s="9"/>
      <c r="J257" s="12"/>
      <c r="K257" s="13"/>
    </row>
    <row r="258">
      <c r="A258" s="6"/>
      <c r="B258" s="6"/>
      <c r="C258" s="17"/>
      <c r="D258" s="9"/>
      <c r="E258" s="9"/>
      <c r="F258" s="16"/>
      <c r="G258" s="11"/>
      <c r="H258" s="9"/>
      <c r="I258" s="9"/>
      <c r="J258" s="12"/>
      <c r="K258" s="13"/>
    </row>
    <row r="259">
      <c r="A259" s="6"/>
      <c r="B259" s="6"/>
      <c r="C259" s="17"/>
      <c r="D259" s="9"/>
      <c r="E259" s="9"/>
      <c r="F259" s="16"/>
      <c r="G259" s="11"/>
      <c r="H259" s="9"/>
      <c r="I259" s="9"/>
      <c r="J259" s="12"/>
      <c r="K259" s="13"/>
    </row>
    <row r="260">
      <c r="A260" s="6"/>
      <c r="B260" s="6"/>
      <c r="C260" s="17"/>
      <c r="D260" s="9"/>
      <c r="E260" s="9"/>
      <c r="F260" s="16"/>
      <c r="G260" s="11"/>
      <c r="H260" s="9"/>
      <c r="I260" s="9"/>
      <c r="J260" s="12"/>
      <c r="K260" s="13"/>
    </row>
    <row r="261">
      <c r="A261" s="6"/>
      <c r="B261" s="6"/>
      <c r="C261" s="17"/>
      <c r="D261" s="9"/>
      <c r="E261" s="9"/>
      <c r="F261" s="16"/>
      <c r="G261" s="11"/>
      <c r="H261" s="9"/>
      <c r="I261" s="9"/>
      <c r="J261" s="12"/>
      <c r="K261" s="13"/>
    </row>
    <row r="262">
      <c r="A262" s="6"/>
      <c r="B262" s="6"/>
      <c r="C262" s="17"/>
      <c r="D262" s="9"/>
      <c r="E262" s="9"/>
      <c r="F262" s="16"/>
      <c r="G262" s="11"/>
      <c r="H262" s="9"/>
      <c r="I262" s="9"/>
      <c r="J262" s="12"/>
      <c r="K262" s="13"/>
    </row>
    <row r="263">
      <c r="A263" s="6"/>
      <c r="B263" s="6"/>
      <c r="C263" s="17"/>
      <c r="D263" s="9"/>
      <c r="E263" s="9"/>
      <c r="F263" s="16"/>
      <c r="G263" s="11"/>
      <c r="H263" s="9"/>
      <c r="I263" s="9"/>
      <c r="J263" s="12"/>
      <c r="K263" s="13"/>
    </row>
    <row r="264">
      <c r="A264" s="6"/>
      <c r="B264" s="6"/>
      <c r="C264" s="17"/>
      <c r="D264" s="9"/>
      <c r="E264" s="9"/>
      <c r="F264" s="16"/>
      <c r="G264" s="11"/>
      <c r="H264" s="9"/>
      <c r="I264" s="9"/>
      <c r="J264" s="12"/>
      <c r="K264" s="13"/>
    </row>
    <row r="265">
      <c r="A265" s="6"/>
      <c r="B265" s="6"/>
      <c r="C265" s="17"/>
      <c r="D265" s="9"/>
      <c r="E265" s="9"/>
      <c r="F265" s="16"/>
      <c r="G265" s="11"/>
      <c r="H265" s="9"/>
      <c r="I265" s="9"/>
      <c r="J265" s="12"/>
      <c r="K265" s="13"/>
    </row>
    <row r="266">
      <c r="A266" s="6"/>
      <c r="B266" s="6"/>
      <c r="C266" s="17"/>
      <c r="D266" s="9"/>
      <c r="E266" s="9"/>
      <c r="F266" s="16"/>
      <c r="G266" s="11"/>
      <c r="H266" s="9"/>
      <c r="I266" s="9"/>
      <c r="J266" s="12"/>
      <c r="K266" s="13"/>
    </row>
    <row r="267">
      <c r="A267" s="6"/>
      <c r="B267" s="6"/>
      <c r="C267" s="17"/>
      <c r="D267" s="9"/>
      <c r="E267" s="9"/>
      <c r="F267" s="16"/>
      <c r="G267" s="11"/>
      <c r="H267" s="9"/>
      <c r="I267" s="9"/>
      <c r="J267" s="12"/>
      <c r="K267" s="13"/>
    </row>
    <row r="268">
      <c r="A268" s="6"/>
      <c r="B268" s="6"/>
      <c r="C268" s="17"/>
      <c r="D268" s="9"/>
      <c r="E268" s="9"/>
      <c r="F268" s="16"/>
      <c r="G268" s="11"/>
      <c r="H268" s="9"/>
      <c r="I268" s="9"/>
      <c r="J268" s="12"/>
      <c r="K268" s="13"/>
    </row>
    <row r="269">
      <c r="A269" s="6"/>
      <c r="B269" s="6"/>
      <c r="C269" s="17"/>
      <c r="D269" s="9"/>
      <c r="E269" s="9"/>
      <c r="F269" s="16"/>
      <c r="G269" s="11"/>
      <c r="H269" s="9"/>
      <c r="I269" s="9"/>
      <c r="J269" s="12"/>
      <c r="K269" s="13"/>
    </row>
    <row r="270">
      <c r="A270" s="6"/>
      <c r="B270" s="6"/>
      <c r="C270" s="17"/>
      <c r="D270" s="9"/>
      <c r="E270" s="9"/>
      <c r="F270" s="16"/>
      <c r="G270" s="11"/>
      <c r="H270" s="9"/>
      <c r="I270" s="9"/>
      <c r="J270" s="12"/>
      <c r="K270" s="13"/>
    </row>
    <row r="271">
      <c r="A271" s="6"/>
      <c r="B271" s="6"/>
      <c r="C271" s="17"/>
      <c r="D271" s="9"/>
      <c r="E271" s="9"/>
      <c r="F271" s="16"/>
      <c r="G271" s="11"/>
      <c r="H271" s="9"/>
      <c r="I271" s="9"/>
      <c r="J271" s="12"/>
      <c r="K271" s="13"/>
    </row>
    <row r="272">
      <c r="A272" s="6"/>
      <c r="B272" s="6"/>
      <c r="C272" s="17"/>
      <c r="D272" s="9"/>
      <c r="E272" s="9"/>
      <c r="F272" s="16"/>
      <c r="G272" s="11"/>
      <c r="H272" s="9"/>
      <c r="I272" s="9"/>
      <c r="J272" s="12"/>
      <c r="K272" s="13"/>
    </row>
    <row r="273">
      <c r="A273" s="6"/>
      <c r="B273" s="6"/>
      <c r="C273" s="17"/>
      <c r="D273" s="9"/>
      <c r="E273" s="9"/>
      <c r="F273" s="16"/>
      <c r="G273" s="11"/>
      <c r="H273" s="9"/>
      <c r="I273" s="9"/>
      <c r="J273" s="12"/>
      <c r="K273" s="13"/>
    </row>
    <row r="274">
      <c r="A274" s="6"/>
      <c r="B274" s="6"/>
      <c r="C274" s="17"/>
      <c r="D274" s="9"/>
      <c r="E274" s="9"/>
      <c r="F274" s="16"/>
      <c r="G274" s="11"/>
      <c r="H274" s="9"/>
      <c r="I274" s="9"/>
      <c r="J274" s="12"/>
      <c r="K274" s="13"/>
    </row>
    <row r="275">
      <c r="A275" s="6"/>
      <c r="B275" s="6"/>
      <c r="C275" s="17"/>
      <c r="D275" s="9"/>
      <c r="E275" s="9"/>
      <c r="F275" s="16"/>
      <c r="G275" s="11"/>
      <c r="H275" s="9"/>
      <c r="I275" s="9"/>
      <c r="J275" s="12"/>
      <c r="K275" s="13"/>
    </row>
    <row r="276">
      <c r="A276" s="6"/>
      <c r="B276" s="6"/>
      <c r="C276" s="17"/>
      <c r="D276" s="9"/>
      <c r="E276" s="9"/>
      <c r="F276" s="16"/>
      <c r="G276" s="11"/>
      <c r="H276" s="9"/>
      <c r="I276" s="9"/>
      <c r="J276" s="12"/>
      <c r="K276" s="13"/>
    </row>
    <row r="277">
      <c r="A277" s="6"/>
      <c r="B277" s="6"/>
      <c r="C277" s="17"/>
      <c r="D277" s="9"/>
      <c r="E277" s="9"/>
      <c r="F277" s="16"/>
      <c r="G277" s="11"/>
      <c r="H277" s="9"/>
      <c r="I277" s="9"/>
      <c r="J277" s="12"/>
      <c r="K277" s="13"/>
    </row>
    <row r="278">
      <c r="A278" s="6"/>
      <c r="B278" s="6"/>
      <c r="C278" s="17"/>
      <c r="D278" s="9"/>
      <c r="E278" s="9"/>
      <c r="F278" s="16"/>
      <c r="G278" s="11"/>
      <c r="H278" s="9"/>
      <c r="I278" s="9"/>
      <c r="J278" s="12"/>
      <c r="K278" s="13"/>
    </row>
    <row r="279">
      <c r="A279" s="6"/>
      <c r="B279" s="6"/>
      <c r="C279" s="17"/>
      <c r="D279" s="9"/>
      <c r="E279" s="9"/>
      <c r="F279" s="16"/>
      <c r="G279" s="11"/>
      <c r="H279" s="9"/>
      <c r="I279" s="9"/>
      <c r="J279" s="12"/>
      <c r="K279" s="13"/>
    </row>
    <row r="280">
      <c r="A280" s="6"/>
      <c r="B280" s="6"/>
      <c r="C280" s="17"/>
      <c r="D280" s="9"/>
      <c r="E280" s="9"/>
      <c r="F280" s="16"/>
      <c r="G280" s="11"/>
      <c r="H280" s="9"/>
      <c r="I280" s="9"/>
      <c r="J280" s="12"/>
      <c r="K280" s="13"/>
    </row>
    <row r="281">
      <c r="A281" s="6"/>
      <c r="B281" s="6"/>
      <c r="C281" s="17"/>
      <c r="D281" s="9"/>
      <c r="E281" s="9"/>
      <c r="F281" s="16"/>
      <c r="G281" s="11"/>
      <c r="H281" s="9"/>
      <c r="I281" s="9"/>
      <c r="J281" s="12"/>
      <c r="K281" s="13"/>
    </row>
    <row r="282">
      <c r="A282" s="6"/>
      <c r="B282" s="6"/>
      <c r="C282" s="17"/>
      <c r="D282" s="9"/>
      <c r="E282" s="9"/>
      <c r="F282" s="16"/>
      <c r="G282" s="11"/>
      <c r="H282" s="9"/>
      <c r="I282" s="9"/>
      <c r="J282" s="12"/>
      <c r="K282" s="13"/>
    </row>
    <row r="283">
      <c r="A283" s="6"/>
      <c r="B283" s="6"/>
      <c r="C283" s="17"/>
      <c r="D283" s="9"/>
      <c r="E283" s="9"/>
      <c r="F283" s="16"/>
      <c r="G283" s="11"/>
      <c r="H283" s="9"/>
      <c r="I283" s="9"/>
      <c r="J283" s="12"/>
      <c r="K283" s="13"/>
    </row>
    <row r="284">
      <c r="A284" s="6"/>
      <c r="B284" s="6"/>
      <c r="C284" s="17"/>
      <c r="D284" s="9"/>
      <c r="E284" s="9"/>
      <c r="F284" s="16"/>
      <c r="G284" s="11"/>
      <c r="H284" s="9"/>
      <c r="I284" s="9"/>
      <c r="J284" s="12"/>
      <c r="K284" s="13"/>
    </row>
    <row r="285">
      <c r="A285" s="6"/>
      <c r="B285" s="6"/>
      <c r="C285" s="17"/>
      <c r="D285" s="9"/>
      <c r="E285" s="9"/>
      <c r="F285" s="16"/>
      <c r="G285" s="11"/>
      <c r="H285" s="9"/>
      <c r="I285" s="9"/>
      <c r="J285" s="12"/>
      <c r="K285" s="13"/>
    </row>
    <row r="286">
      <c r="A286" s="6"/>
      <c r="B286" s="6"/>
      <c r="C286" s="17"/>
      <c r="D286" s="9"/>
      <c r="E286" s="9"/>
      <c r="F286" s="16"/>
      <c r="G286" s="11"/>
      <c r="H286" s="9"/>
      <c r="I286" s="9"/>
      <c r="J286" s="12"/>
      <c r="K286" s="13"/>
    </row>
    <row r="287">
      <c r="A287" s="6"/>
      <c r="B287" s="6"/>
      <c r="C287" s="17"/>
      <c r="D287" s="9"/>
      <c r="E287" s="9"/>
      <c r="F287" s="16"/>
      <c r="G287" s="11"/>
      <c r="H287" s="9"/>
      <c r="I287" s="9"/>
      <c r="J287" s="12"/>
      <c r="K287" s="13"/>
    </row>
    <row r="288">
      <c r="A288" s="6"/>
      <c r="B288" s="6"/>
      <c r="C288" s="17"/>
      <c r="D288" s="9"/>
      <c r="E288" s="9"/>
      <c r="F288" s="16"/>
      <c r="G288" s="11"/>
      <c r="H288" s="9"/>
      <c r="I288" s="9"/>
      <c r="J288" s="12"/>
      <c r="K288" s="13"/>
    </row>
    <row r="289">
      <c r="A289" s="6"/>
      <c r="B289" s="6"/>
      <c r="C289" s="17"/>
      <c r="D289" s="9"/>
      <c r="E289" s="9"/>
      <c r="F289" s="16"/>
      <c r="G289" s="11"/>
      <c r="H289" s="9"/>
      <c r="I289" s="9"/>
      <c r="J289" s="12"/>
      <c r="K289" s="13"/>
    </row>
    <row r="290">
      <c r="A290" s="6"/>
      <c r="B290" s="6"/>
      <c r="C290" s="17"/>
      <c r="D290" s="9"/>
      <c r="E290" s="9"/>
      <c r="F290" s="16"/>
      <c r="G290" s="11"/>
      <c r="H290" s="9"/>
      <c r="I290" s="9"/>
      <c r="J290" s="12"/>
      <c r="K290" s="13"/>
    </row>
    <row r="291">
      <c r="A291" s="6"/>
      <c r="B291" s="6"/>
      <c r="C291" s="17"/>
      <c r="D291" s="9"/>
      <c r="E291" s="9"/>
      <c r="F291" s="16"/>
      <c r="G291" s="11"/>
      <c r="H291" s="9"/>
      <c r="I291" s="9"/>
      <c r="J291" s="12"/>
      <c r="K291" s="13"/>
    </row>
    <row r="292">
      <c r="A292" s="6"/>
      <c r="B292" s="6"/>
      <c r="C292" s="17"/>
      <c r="D292" s="9"/>
      <c r="E292" s="9"/>
      <c r="F292" s="16"/>
      <c r="G292" s="11"/>
      <c r="H292" s="9"/>
      <c r="I292" s="9"/>
      <c r="J292" s="12"/>
      <c r="K292" s="13"/>
    </row>
    <row r="293">
      <c r="A293" s="6"/>
      <c r="B293" s="6"/>
      <c r="C293" s="17"/>
      <c r="D293" s="9"/>
      <c r="E293" s="9"/>
      <c r="F293" s="16"/>
      <c r="G293" s="11"/>
      <c r="H293" s="9"/>
      <c r="I293" s="9"/>
      <c r="J293" s="12"/>
      <c r="K293" s="13"/>
    </row>
    <row r="294">
      <c r="A294" s="6"/>
      <c r="B294" s="6"/>
      <c r="C294" s="17"/>
      <c r="D294" s="9"/>
      <c r="E294" s="9"/>
      <c r="F294" s="16"/>
      <c r="G294" s="11"/>
      <c r="H294" s="9"/>
      <c r="I294" s="9"/>
      <c r="J294" s="12"/>
      <c r="K294" s="13"/>
    </row>
    <row r="295">
      <c r="A295" s="6"/>
      <c r="B295" s="6"/>
      <c r="C295" s="17"/>
      <c r="D295" s="9"/>
      <c r="E295" s="9"/>
      <c r="F295" s="16"/>
      <c r="G295" s="11"/>
      <c r="H295" s="9"/>
      <c r="I295" s="9"/>
      <c r="J295" s="12"/>
      <c r="K295" s="13"/>
    </row>
    <row r="296">
      <c r="A296" s="6"/>
      <c r="B296" s="6"/>
      <c r="C296" s="17"/>
      <c r="D296" s="9"/>
      <c r="E296" s="9"/>
      <c r="F296" s="16"/>
      <c r="G296" s="11"/>
      <c r="H296" s="9"/>
      <c r="I296" s="9"/>
      <c r="J296" s="12"/>
      <c r="K296" s="13"/>
    </row>
    <row r="297">
      <c r="A297" s="6"/>
      <c r="B297" s="6"/>
      <c r="C297" s="17"/>
      <c r="D297" s="9"/>
      <c r="E297" s="9"/>
      <c r="F297" s="16"/>
      <c r="G297" s="11"/>
      <c r="H297" s="9"/>
      <c r="I297" s="9"/>
      <c r="J297" s="12"/>
      <c r="K297" s="13"/>
    </row>
    <row r="298">
      <c r="A298" s="6"/>
      <c r="B298" s="6"/>
      <c r="C298" s="17"/>
      <c r="D298" s="9"/>
      <c r="E298" s="9"/>
      <c r="F298" s="16"/>
      <c r="G298" s="11"/>
      <c r="H298" s="9"/>
      <c r="I298" s="9"/>
      <c r="J298" s="12"/>
      <c r="K298" s="13"/>
    </row>
    <row r="299">
      <c r="A299" s="6"/>
      <c r="B299" s="6"/>
      <c r="C299" s="17"/>
      <c r="D299" s="9"/>
      <c r="E299" s="9"/>
      <c r="F299" s="16"/>
      <c r="G299" s="11"/>
      <c r="H299" s="9"/>
      <c r="I299" s="9"/>
      <c r="J299" s="12"/>
      <c r="K299" s="13"/>
    </row>
    <row r="300">
      <c r="A300" s="6"/>
      <c r="B300" s="6"/>
      <c r="C300" s="17"/>
      <c r="D300" s="9"/>
      <c r="E300" s="9"/>
      <c r="F300" s="16"/>
      <c r="G300" s="11"/>
      <c r="H300" s="9"/>
      <c r="I300" s="9"/>
      <c r="J300" s="12"/>
      <c r="K300" s="13"/>
    </row>
    <row r="301">
      <c r="A301" s="6"/>
      <c r="B301" s="6"/>
      <c r="C301" s="17"/>
      <c r="D301" s="9"/>
      <c r="E301" s="9"/>
      <c r="F301" s="16"/>
      <c r="G301" s="11"/>
      <c r="H301" s="9"/>
      <c r="I301" s="9"/>
      <c r="J301" s="12"/>
      <c r="K301" s="13"/>
    </row>
    <row r="302">
      <c r="A302" s="6"/>
      <c r="B302" s="6"/>
      <c r="C302" s="17"/>
      <c r="D302" s="9"/>
      <c r="E302" s="9"/>
      <c r="F302" s="16"/>
      <c r="G302" s="11"/>
      <c r="H302" s="9"/>
      <c r="I302" s="9"/>
      <c r="J302" s="12"/>
      <c r="K302" s="13"/>
    </row>
    <row r="303">
      <c r="A303" s="6"/>
      <c r="B303" s="6"/>
      <c r="C303" s="17"/>
      <c r="D303" s="9"/>
      <c r="E303" s="9"/>
      <c r="F303" s="16"/>
      <c r="G303" s="11"/>
      <c r="H303" s="9"/>
      <c r="I303" s="9"/>
      <c r="J303" s="12"/>
      <c r="K303" s="13"/>
    </row>
    <row r="304">
      <c r="A304" s="6"/>
      <c r="B304" s="6"/>
      <c r="C304" s="17"/>
      <c r="D304" s="9"/>
      <c r="E304" s="9"/>
      <c r="F304" s="16"/>
      <c r="G304" s="11"/>
      <c r="H304" s="9"/>
      <c r="I304" s="9"/>
      <c r="J304" s="12"/>
      <c r="K304" s="13"/>
    </row>
    <row r="305">
      <c r="A305" s="6"/>
      <c r="B305" s="6"/>
      <c r="C305" s="17"/>
      <c r="D305" s="9"/>
      <c r="E305" s="9"/>
      <c r="F305" s="16"/>
      <c r="G305" s="11"/>
      <c r="H305" s="9"/>
      <c r="I305" s="9"/>
      <c r="J305" s="12"/>
      <c r="K305" s="13"/>
    </row>
    <row r="306">
      <c r="A306" s="6"/>
      <c r="B306" s="6"/>
      <c r="C306" s="17"/>
      <c r="D306" s="9"/>
      <c r="E306" s="9"/>
      <c r="F306" s="16"/>
      <c r="G306" s="11"/>
      <c r="H306" s="9"/>
      <c r="I306" s="9"/>
      <c r="J306" s="12"/>
      <c r="K306" s="13"/>
    </row>
    <row r="307">
      <c r="A307" s="6"/>
      <c r="B307" s="6"/>
      <c r="C307" s="17"/>
      <c r="D307" s="9"/>
      <c r="E307" s="9"/>
      <c r="F307" s="16"/>
      <c r="G307" s="11"/>
      <c r="H307" s="9"/>
      <c r="I307" s="9"/>
      <c r="J307" s="12"/>
      <c r="K307" s="13"/>
    </row>
    <row r="308">
      <c r="A308" s="6"/>
      <c r="B308" s="6"/>
      <c r="C308" s="17"/>
      <c r="D308" s="9"/>
      <c r="E308" s="9"/>
      <c r="F308" s="16"/>
      <c r="G308" s="11"/>
      <c r="H308" s="9"/>
      <c r="I308" s="9"/>
      <c r="J308" s="12"/>
      <c r="K308" s="13"/>
    </row>
    <row r="309">
      <c r="A309" s="6"/>
      <c r="B309" s="6"/>
      <c r="C309" s="17"/>
      <c r="D309" s="9"/>
      <c r="E309" s="9"/>
      <c r="F309" s="16"/>
      <c r="G309" s="11"/>
      <c r="H309" s="9"/>
      <c r="I309" s="9"/>
      <c r="J309" s="12"/>
      <c r="K309" s="13"/>
    </row>
    <row r="310">
      <c r="A310" s="6"/>
      <c r="B310" s="6"/>
      <c r="C310" s="17"/>
      <c r="D310" s="9"/>
      <c r="E310" s="9"/>
      <c r="F310" s="16"/>
      <c r="G310" s="11"/>
      <c r="H310" s="9"/>
      <c r="I310" s="9"/>
      <c r="J310" s="12"/>
      <c r="K310" s="13"/>
    </row>
    <row r="311">
      <c r="A311" s="6"/>
      <c r="B311" s="6"/>
      <c r="C311" s="17"/>
      <c r="D311" s="9"/>
      <c r="E311" s="9"/>
      <c r="F311" s="16"/>
      <c r="G311" s="11"/>
      <c r="H311" s="9"/>
      <c r="I311" s="9"/>
      <c r="J311" s="12"/>
      <c r="K311" s="13"/>
    </row>
    <row r="312">
      <c r="A312" s="6"/>
      <c r="B312" s="6"/>
      <c r="C312" s="17"/>
      <c r="D312" s="9"/>
      <c r="E312" s="9"/>
      <c r="F312" s="16"/>
      <c r="G312" s="11"/>
      <c r="H312" s="9"/>
      <c r="I312" s="9"/>
      <c r="J312" s="12"/>
      <c r="K312" s="13"/>
    </row>
    <row r="313">
      <c r="A313" s="6"/>
      <c r="B313" s="6"/>
      <c r="C313" s="17"/>
      <c r="D313" s="9"/>
      <c r="E313" s="9"/>
      <c r="F313" s="16"/>
      <c r="G313" s="11"/>
      <c r="H313" s="9"/>
      <c r="I313" s="9"/>
      <c r="J313" s="12"/>
      <c r="K313" s="13"/>
    </row>
    <row r="314">
      <c r="A314" s="6"/>
      <c r="B314" s="6"/>
      <c r="C314" s="17"/>
      <c r="D314" s="9"/>
      <c r="E314" s="9"/>
      <c r="F314" s="16"/>
      <c r="G314" s="11"/>
      <c r="H314" s="9"/>
      <c r="I314" s="9"/>
      <c r="J314" s="12"/>
      <c r="K314" s="13"/>
    </row>
    <row r="315">
      <c r="A315" s="6"/>
      <c r="B315" s="6"/>
      <c r="C315" s="17"/>
      <c r="D315" s="9"/>
      <c r="E315" s="9"/>
      <c r="F315" s="16"/>
      <c r="G315" s="11"/>
      <c r="H315" s="9"/>
      <c r="I315" s="9"/>
      <c r="J315" s="12"/>
      <c r="K315" s="13"/>
    </row>
    <row r="316">
      <c r="A316" s="6"/>
      <c r="B316" s="6"/>
      <c r="C316" s="17"/>
      <c r="D316" s="9"/>
      <c r="E316" s="9"/>
      <c r="F316" s="16"/>
      <c r="G316" s="11"/>
      <c r="H316" s="9"/>
      <c r="I316" s="9"/>
      <c r="J316" s="12"/>
      <c r="K316" s="13"/>
    </row>
    <row r="317">
      <c r="A317" s="6"/>
      <c r="B317" s="6"/>
      <c r="C317" s="17"/>
      <c r="D317" s="9"/>
      <c r="E317" s="9"/>
      <c r="F317" s="16"/>
      <c r="G317" s="11"/>
      <c r="H317" s="9"/>
      <c r="I317" s="9"/>
      <c r="J317" s="12"/>
      <c r="K317" s="13"/>
    </row>
    <row r="318">
      <c r="A318" s="6"/>
      <c r="B318" s="6"/>
      <c r="C318" s="17"/>
      <c r="D318" s="9"/>
      <c r="E318" s="9"/>
      <c r="F318" s="16"/>
      <c r="G318" s="11"/>
      <c r="H318" s="9"/>
      <c r="I318" s="9"/>
      <c r="J318" s="12"/>
      <c r="K318" s="13"/>
    </row>
    <row r="319">
      <c r="A319" s="6"/>
      <c r="B319" s="6"/>
      <c r="C319" s="17"/>
      <c r="D319" s="9"/>
      <c r="E319" s="9"/>
      <c r="F319" s="16"/>
      <c r="G319" s="11"/>
      <c r="H319" s="9"/>
      <c r="I319" s="9"/>
      <c r="J319" s="12"/>
      <c r="K319" s="13"/>
    </row>
    <row r="320">
      <c r="A320" s="6"/>
      <c r="B320" s="6"/>
      <c r="C320" s="17"/>
      <c r="D320" s="9"/>
      <c r="E320" s="9"/>
      <c r="F320" s="16"/>
      <c r="G320" s="11"/>
      <c r="H320" s="9"/>
      <c r="I320" s="9"/>
      <c r="J320" s="12"/>
      <c r="K320" s="13"/>
    </row>
    <row r="321">
      <c r="A321" s="6"/>
      <c r="B321" s="6"/>
      <c r="C321" s="17"/>
      <c r="D321" s="9"/>
      <c r="E321" s="9"/>
      <c r="F321" s="16"/>
      <c r="G321" s="11"/>
      <c r="H321" s="9"/>
      <c r="I321" s="9"/>
      <c r="J321" s="12"/>
      <c r="K321" s="13"/>
    </row>
    <row r="322">
      <c r="A322" s="6"/>
      <c r="B322" s="6"/>
      <c r="C322" s="17"/>
      <c r="D322" s="9"/>
      <c r="E322" s="9"/>
      <c r="F322" s="16"/>
      <c r="G322" s="11"/>
      <c r="H322" s="9"/>
      <c r="I322" s="9"/>
      <c r="J322" s="12"/>
      <c r="K322" s="13"/>
    </row>
    <row r="323">
      <c r="A323" s="6"/>
      <c r="B323" s="6"/>
      <c r="C323" s="17"/>
      <c r="D323" s="9"/>
      <c r="E323" s="9"/>
      <c r="F323" s="16"/>
      <c r="G323" s="11"/>
      <c r="H323" s="9"/>
      <c r="I323" s="9"/>
      <c r="J323" s="12"/>
      <c r="K323" s="13"/>
    </row>
    <row r="324">
      <c r="A324" s="6"/>
      <c r="B324" s="6"/>
      <c r="C324" s="17"/>
      <c r="D324" s="9"/>
      <c r="E324" s="9"/>
      <c r="F324" s="16"/>
      <c r="G324" s="11"/>
      <c r="H324" s="9"/>
      <c r="I324" s="9"/>
      <c r="J324" s="12"/>
      <c r="K324" s="13"/>
    </row>
    <row r="325">
      <c r="A325" s="6"/>
      <c r="B325" s="6"/>
      <c r="C325" s="17"/>
      <c r="D325" s="9"/>
      <c r="E325" s="9"/>
      <c r="F325" s="16"/>
      <c r="G325" s="11"/>
      <c r="H325" s="9"/>
      <c r="I325" s="9"/>
      <c r="J325" s="12"/>
      <c r="K325" s="13"/>
    </row>
    <row r="326">
      <c r="A326" s="6"/>
      <c r="B326" s="6"/>
      <c r="C326" s="17"/>
      <c r="D326" s="9"/>
      <c r="E326" s="9"/>
      <c r="F326" s="16"/>
      <c r="G326" s="11"/>
      <c r="H326" s="9"/>
      <c r="I326" s="9"/>
      <c r="J326" s="12"/>
      <c r="K326" s="13"/>
    </row>
    <row r="327">
      <c r="A327" s="6"/>
      <c r="B327" s="6"/>
      <c r="C327" s="17"/>
      <c r="D327" s="9"/>
      <c r="E327" s="9"/>
      <c r="F327" s="16"/>
      <c r="G327" s="11"/>
      <c r="H327" s="9"/>
      <c r="I327" s="9"/>
      <c r="J327" s="12"/>
      <c r="K327" s="13"/>
    </row>
    <row r="328">
      <c r="A328" s="6"/>
      <c r="B328" s="6"/>
      <c r="C328" s="17"/>
      <c r="D328" s="9"/>
      <c r="E328" s="9"/>
      <c r="F328" s="16"/>
      <c r="G328" s="11"/>
      <c r="H328" s="9"/>
      <c r="I328" s="9"/>
      <c r="J328" s="12"/>
      <c r="K328" s="13"/>
    </row>
    <row r="329">
      <c r="A329" s="6"/>
      <c r="B329" s="6"/>
      <c r="C329" s="17"/>
      <c r="D329" s="9"/>
      <c r="E329" s="9"/>
      <c r="F329" s="16"/>
      <c r="G329" s="11"/>
      <c r="H329" s="9"/>
      <c r="I329" s="9"/>
      <c r="J329" s="12"/>
      <c r="K329" s="13"/>
    </row>
    <row r="330">
      <c r="A330" s="6"/>
      <c r="B330" s="6"/>
      <c r="C330" s="17"/>
      <c r="D330" s="9"/>
      <c r="E330" s="9"/>
      <c r="F330" s="16"/>
      <c r="G330" s="11"/>
      <c r="H330" s="9"/>
      <c r="I330" s="9"/>
      <c r="J330" s="12"/>
      <c r="K330" s="13"/>
    </row>
    <row r="331">
      <c r="A331" s="6"/>
      <c r="B331" s="6"/>
      <c r="C331" s="17"/>
      <c r="D331" s="9"/>
      <c r="E331" s="9"/>
      <c r="F331" s="16"/>
      <c r="G331" s="11"/>
      <c r="H331" s="9"/>
      <c r="I331" s="9"/>
      <c r="J331" s="12"/>
      <c r="K331" s="13"/>
    </row>
    <row r="332">
      <c r="A332" s="6"/>
      <c r="B332" s="6"/>
      <c r="C332" s="17"/>
      <c r="D332" s="9"/>
      <c r="E332" s="9"/>
      <c r="F332" s="16"/>
      <c r="G332" s="11"/>
      <c r="H332" s="9"/>
      <c r="I332" s="9"/>
      <c r="J332" s="12"/>
      <c r="K332" s="13"/>
    </row>
    <row r="333">
      <c r="A333" s="6"/>
      <c r="B333" s="6"/>
      <c r="C333" s="17"/>
      <c r="D333" s="9"/>
      <c r="E333" s="9"/>
      <c r="F333" s="16"/>
      <c r="G333" s="11"/>
      <c r="H333" s="9"/>
      <c r="I333" s="9"/>
      <c r="J333" s="12"/>
      <c r="K333" s="13"/>
    </row>
    <row r="334">
      <c r="A334" s="6"/>
      <c r="B334" s="6"/>
      <c r="C334" s="17"/>
      <c r="D334" s="9"/>
      <c r="E334" s="9"/>
      <c r="F334" s="16"/>
      <c r="G334" s="11"/>
      <c r="H334" s="9"/>
      <c r="I334" s="9"/>
      <c r="J334" s="12"/>
      <c r="K334" s="13"/>
    </row>
    <row r="335">
      <c r="A335" s="6"/>
      <c r="B335" s="6"/>
      <c r="C335" s="17"/>
      <c r="D335" s="9"/>
      <c r="E335" s="9"/>
      <c r="F335" s="16"/>
      <c r="G335" s="11"/>
      <c r="H335" s="9"/>
      <c r="I335" s="9"/>
      <c r="J335" s="12"/>
      <c r="K335" s="13"/>
    </row>
    <row r="336">
      <c r="A336" s="6"/>
      <c r="B336" s="6"/>
      <c r="C336" s="17"/>
      <c r="D336" s="9"/>
      <c r="E336" s="9"/>
      <c r="F336" s="16"/>
      <c r="G336" s="11"/>
      <c r="H336" s="9"/>
      <c r="I336" s="9"/>
      <c r="J336" s="12"/>
      <c r="K336" s="13"/>
    </row>
    <row r="337">
      <c r="A337" s="6"/>
      <c r="B337" s="6"/>
      <c r="C337" s="17"/>
      <c r="D337" s="9"/>
      <c r="E337" s="9"/>
      <c r="F337" s="16"/>
      <c r="G337" s="11"/>
      <c r="H337" s="9"/>
      <c r="I337" s="9"/>
      <c r="J337" s="12"/>
      <c r="K337" s="13"/>
    </row>
    <row r="338">
      <c r="A338" s="6"/>
      <c r="B338" s="6"/>
      <c r="C338" s="17"/>
      <c r="D338" s="9"/>
      <c r="E338" s="9"/>
      <c r="F338" s="16"/>
      <c r="G338" s="11"/>
      <c r="H338" s="9"/>
      <c r="I338" s="9"/>
      <c r="J338" s="12"/>
      <c r="K338" s="13"/>
    </row>
    <row r="339">
      <c r="A339" s="6"/>
      <c r="B339" s="6"/>
      <c r="C339" s="17"/>
      <c r="D339" s="9"/>
      <c r="E339" s="9"/>
      <c r="F339" s="16"/>
      <c r="G339" s="11"/>
      <c r="H339" s="9"/>
      <c r="I339" s="9"/>
      <c r="J339" s="12"/>
      <c r="K339" s="13"/>
    </row>
    <row r="340">
      <c r="A340" s="6"/>
      <c r="B340" s="6"/>
      <c r="C340" s="17"/>
      <c r="D340" s="9"/>
      <c r="E340" s="9"/>
      <c r="F340" s="16"/>
      <c r="G340" s="11"/>
      <c r="H340" s="9"/>
      <c r="I340" s="9"/>
      <c r="J340" s="12"/>
      <c r="K340" s="13"/>
    </row>
    <row r="341">
      <c r="A341" s="6"/>
      <c r="B341" s="6"/>
      <c r="C341" s="17"/>
      <c r="D341" s="9"/>
      <c r="E341" s="9"/>
      <c r="F341" s="16"/>
      <c r="G341" s="11"/>
      <c r="H341" s="9"/>
      <c r="I341" s="9"/>
      <c r="J341" s="12"/>
      <c r="K341" s="13"/>
    </row>
    <row r="342">
      <c r="A342" s="6"/>
      <c r="B342" s="6"/>
      <c r="C342" s="17"/>
      <c r="D342" s="9"/>
      <c r="E342" s="9"/>
      <c r="F342" s="16"/>
      <c r="G342" s="11"/>
      <c r="H342" s="9"/>
      <c r="I342" s="9"/>
      <c r="J342" s="12"/>
      <c r="K342" s="13"/>
    </row>
    <row r="343">
      <c r="A343" s="6"/>
      <c r="B343" s="6"/>
      <c r="C343" s="17"/>
      <c r="D343" s="9"/>
      <c r="E343" s="9"/>
      <c r="F343" s="16"/>
      <c r="G343" s="11"/>
      <c r="H343" s="9"/>
      <c r="I343" s="9"/>
      <c r="J343" s="12"/>
      <c r="K343" s="13"/>
    </row>
    <row r="344">
      <c r="A344" s="6"/>
      <c r="B344" s="6"/>
      <c r="C344" s="17"/>
      <c r="D344" s="9"/>
      <c r="E344" s="9"/>
      <c r="F344" s="16"/>
      <c r="G344" s="11"/>
      <c r="H344" s="9"/>
      <c r="I344" s="9"/>
      <c r="J344" s="12"/>
      <c r="K344" s="13"/>
    </row>
    <row r="345">
      <c r="A345" s="6"/>
      <c r="B345" s="6"/>
      <c r="C345" s="17"/>
      <c r="D345" s="9"/>
      <c r="E345" s="9"/>
      <c r="F345" s="16"/>
      <c r="G345" s="11"/>
      <c r="H345" s="9"/>
      <c r="I345" s="9"/>
      <c r="J345" s="12"/>
      <c r="K345" s="13"/>
    </row>
    <row r="346">
      <c r="A346" s="6"/>
      <c r="B346" s="6"/>
      <c r="C346" s="17"/>
      <c r="D346" s="9"/>
      <c r="E346" s="9"/>
      <c r="F346" s="16"/>
      <c r="G346" s="11"/>
      <c r="H346" s="9"/>
      <c r="I346" s="9"/>
      <c r="J346" s="12"/>
      <c r="K346" s="13"/>
    </row>
    <row r="347">
      <c r="A347" s="6"/>
      <c r="B347" s="6"/>
      <c r="C347" s="17"/>
      <c r="D347" s="9"/>
      <c r="E347" s="9"/>
      <c r="F347" s="16"/>
      <c r="G347" s="11"/>
      <c r="H347" s="9"/>
      <c r="I347" s="9"/>
      <c r="J347" s="12"/>
      <c r="K347" s="13"/>
    </row>
    <row r="348">
      <c r="A348" s="6"/>
      <c r="B348" s="6"/>
      <c r="C348" s="17"/>
      <c r="D348" s="9"/>
      <c r="E348" s="9"/>
      <c r="F348" s="16"/>
      <c r="G348" s="11"/>
      <c r="H348" s="9"/>
      <c r="I348" s="9"/>
      <c r="J348" s="12"/>
      <c r="K348" s="13"/>
    </row>
    <row r="349">
      <c r="A349" s="6"/>
      <c r="B349" s="6"/>
      <c r="C349" s="17"/>
      <c r="D349" s="9"/>
      <c r="E349" s="9"/>
      <c r="F349" s="16"/>
      <c r="G349" s="11"/>
      <c r="H349" s="9"/>
      <c r="I349" s="9"/>
      <c r="J349" s="12"/>
      <c r="K349" s="13"/>
    </row>
    <row r="350">
      <c r="A350" s="6"/>
      <c r="B350" s="6"/>
      <c r="C350" s="17"/>
      <c r="D350" s="9"/>
      <c r="E350" s="9"/>
      <c r="F350" s="16"/>
      <c r="G350" s="11"/>
      <c r="H350" s="9"/>
      <c r="I350" s="9"/>
      <c r="J350" s="12"/>
      <c r="K350" s="13"/>
    </row>
    <row r="351">
      <c r="A351" s="6"/>
      <c r="B351" s="6"/>
      <c r="C351" s="17"/>
      <c r="D351" s="9"/>
      <c r="E351" s="9"/>
      <c r="F351" s="16"/>
      <c r="G351" s="11"/>
      <c r="H351" s="9"/>
      <c r="I351" s="9"/>
      <c r="J351" s="12"/>
      <c r="K351" s="13"/>
    </row>
    <row r="352">
      <c r="A352" s="6"/>
      <c r="B352" s="6"/>
      <c r="C352" s="17"/>
      <c r="D352" s="9"/>
      <c r="E352" s="9"/>
      <c r="F352" s="16"/>
      <c r="G352" s="11"/>
      <c r="H352" s="9"/>
      <c r="I352" s="9"/>
      <c r="J352" s="12"/>
      <c r="K352" s="13"/>
    </row>
    <row r="353">
      <c r="A353" s="6"/>
      <c r="B353" s="6"/>
      <c r="C353" s="17"/>
      <c r="D353" s="9"/>
      <c r="E353" s="9"/>
      <c r="F353" s="16"/>
      <c r="G353" s="11"/>
      <c r="H353" s="9"/>
      <c r="I353" s="9"/>
      <c r="J353" s="12"/>
      <c r="K353" s="13"/>
    </row>
    <row r="354">
      <c r="A354" s="6"/>
      <c r="B354" s="6"/>
      <c r="C354" s="17"/>
      <c r="D354" s="9"/>
      <c r="E354" s="9"/>
      <c r="F354" s="16"/>
      <c r="G354" s="11"/>
      <c r="H354" s="9"/>
      <c r="I354" s="9"/>
      <c r="J354" s="12"/>
      <c r="K354" s="13"/>
    </row>
    <row r="355">
      <c r="A355" s="6"/>
      <c r="B355" s="6"/>
      <c r="C355" s="17"/>
      <c r="D355" s="9"/>
      <c r="E355" s="9"/>
      <c r="F355" s="16"/>
      <c r="G355" s="11"/>
      <c r="H355" s="9"/>
      <c r="I355" s="9"/>
      <c r="J355" s="12"/>
      <c r="K355" s="13"/>
    </row>
    <row r="356">
      <c r="A356" s="6"/>
      <c r="B356" s="6"/>
      <c r="C356" s="17"/>
      <c r="D356" s="9"/>
      <c r="E356" s="9"/>
      <c r="F356" s="16"/>
      <c r="G356" s="11"/>
      <c r="H356" s="9"/>
      <c r="I356" s="9"/>
      <c r="J356" s="12"/>
      <c r="K356" s="13"/>
    </row>
    <row r="357">
      <c r="A357" s="6"/>
      <c r="B357" s="6"/>
      <c r="C357" s="17"/>
      <c r="D357" s="9"/>
      <c r="E357" s="9"/>
      <c r="F357" s="16"/>
      <c r="G357" s="11"/>
      <c r="H357" s="9"/>
      <c r="I357" s="9"/>
      <c r="J357" s="12"/>
      <c r="K357" s="13"/>
    </row>
    <row r="358">
      <c r="A358" s="6"/>
      <c r="B358" s="6"/>
      <c r="C358" s="17"/>
      <c r="D358" s="9"/>
      <c r="E358" s="9"/>
      <c r="F358" s="16"/>
      <c r="G358" s="11"/>
      <c r="H358" s="9"/>
      <c r="I358" s="9"/>
      <c r="J358" s="12"/>
      <c r="K358" s="13"/>
    </row>
    <row r="359">
      <c r="A359" s="6"/>
      <c r="B359" s="6"/>
      <c r="C359" s="17"/>
      <c r="D359" s="9"/>
      <c r="E359" s="9"/>
      <c r="F359" s="16"/>
      <c r="G359" s="11"/>
      <c r="H359" s="9"/>
      <c r="I359" s="9"/>
      <c r="J359" s="12"/>
      <c r="K359" s="13"/>
    </row>
    <row r="360">
      <c r="A360" s="6"/>
      <c r="B360" s="6"/>
      <c r="C360" s="17"/>
      <c r="D360" s="9"/>
      <c r="E360" s="9"/>
      <c r="F360" s="16"/>
      <c r="G360" s="11"/>
      <c r="H360" s="9"/>
      <c r="I360" s="9"/>
      <c r="J360" s="12"/>
      <c r="K360" s="13"/>
    </row>
    <row r="361">
      <c r="A361" s="6"/>
      <c r="B361" s="6"/>
      <c r="C361" s="17"/>
      <c r="D361" s="9"/>
      <c r="E361" s="9"/>
      <c r="F361" s="16"/>
      <c r="G361" s="11"/>
      <c r="H361" s="9"/>
      <c r="I361" s="9"/>
      <c r="J361" s="12"/>
      <c r="K361" s="13"/>
    </row>
    <row r="362">
      <c r="A362" s="6"/>
      <c r="B362" s="6"/>
      <c r="C362" s="17"/>
      <c r="D362" s="9"/>
      <c r="E362" s="9"/>
      <c r="F362" s="16"/>
      <c r="G362" s="11"/>
      <c r="H362" s="9"/>
      <c r="I362" s="9"/>
      <c r="J362" s="12"/>
      <c r="K362" s="13"/>
    </row>
    <row r="363">
      <c r="A363" s="6"/>
      <c r="B363" s="6"/>
      <c r="C363" s="17"/>
      <c r="D363" s="9"/>
      <c r="E363" s="9"/>
      <c r="F363" s="16"/>
      <c r="G363" s="11"/>
      <c r="H363" s="9"/>
      <c r="I363" s="9"/>
      <c r="J363" s="12"/>
      <c r="K363" s="13"/>
    </row>
    <row r="364">
      <c r="A364" s="6"/>
      <c r="B364" s="6"/>
      <c r="C364" s="17"/>
      <c r="D364" s="9"/>
      <c r="E364" s="9"/>
      <c r="F364" s="16"/>
      <c r="G364" s="11"/>
      <c r="H364" s="9"/>
      <c r="I364" s="9"/>
      <c r="J364" s="12"/>
      <c r="K364" s="13"/>
    </row>
    <row r="365">
      <c r="A365" s="6"/>
      <c r="B365" s="6"/>
      <c r="C365" s="17"/>
      <c r="D365" s="9"/>
      <c r="E365" s="9"/>
      <c r="F365" s="16"/>
      <c r="G365" s="11"/>
      <c r="H365" s="9"/>
      <c r="I365" s="9"/>
      <c r="J365" s="12"/>
      <c r="K365" s="13"/>
    </row>
    <row r="366">
      <c r="A366" s="6"/>
      <c r="B366" s="6"/>
      <c r="C366" s="17"/>
      <c r="D366" s="9"/>
      <c r="E366" s="9"/>
      <c r="F366" s="16"/>
      <c r="G366" s="11"/>
      <c r="H366" s="9"/>
      <c r="I366" s="9"/>
      <c r="J366" s="12"/>
      <c r="K366" s="13"/>
    </row>
    <row r="367">
      <c r="A367" s="6"/>
      <c r="B367" s="6"/>
      <c r="C367" s="17"/>
      <c r="D367" s="9"/>
      <c r="E367" s="9"/>
      <c r="F367" s="16"/>
      <c r="G367" s="11"/>
      <c r="H367" s="9"/>
      <c r="I367" s="9"/>
      <c r="J367" s="12"/>
      <c r="K367" s="13"/>
    </row>
    <row r="368">
      <c r="A368" s="6"/>
      <c r="B368" s="6"/>
      <c r="C368" s="17"/>
      <c r="D368" s="9"/>
      <c r="E368" s="9"/>
      <c r="F368" s="16"/>
      <c r="G368" s="11"/>
      <c r="H368" s="9"/>
      <c r="I368" s="9"/>
      <c r="J368" s="12"/>
      <c r="K368" s="13"/>
    </row>
    <row r="369">
      <c r="A369" s="6"/>
      <c r="B369" s="6"/>
      <c r="C369" s="17"/>
      <c r="D369" s="9"/>
      <c r="E369" s="9"/>
      <c r="F369" s="16"/>
      <c r="G369" s="11"/>
      <c r="H369" s="9"/>
      <c r="I369" s="9"/>
      <c r="J369" s="12"/>
      <c r="K369" s="13"/>
    </row>
    <row r="370">
      <c r="A370" s="6"/>
      <c r="B370" s="6"/>
      <c r="C370" s="17"/>
      <c r="D370" s="9"/>
      <c r="E370" s="9"/>
      <c r="F370" s="16"/>
      <c r="G370" s="11"/>
      <c r="H370" s="9"/>
      <c r="I370" s="9"/>
      <c r="J370" s="12"/>
      <c r="K370" s="13"/>
    </row>
    <row r="371">
      <c r="A371" s="6"/>
      <c r="B371" s="6"/>
      <c r="C371" s="17"/>
      <c r="D371" s="9"/>
      <c r="E371" s="9"/>
      <c r="F371" s="16"/>
      <c r="G371" s="11"/>
      <c r="H371" s="9"/>
      <c r="I371" s="9"/>
      <c r="J371" s="12"/>
      <c r="K371" s="13"/>
    </row>
    <row r="372">
      <c r="A372" s="6"/>
      <c r="B372" s="6"/>
      <c r="C372" s="17"/>
      <c r="D372" s="9"/>
      <c r="E372" s="9"/>
      <c r="F372" s="16"/>
      <c r="G372" s="11"/>
      <c r="H372" s="9"/>
      <c r="I372" s="9"/>
      <c r="J372" s="12"/>
      <c r="K372" s="13"/>
    </row>
    <row r="373">
      <c r="A373" s="6"/>
      <c r="B373" s="6"/>
      <c r="C373" s="17"/>
      <c r="D373" s="9"/>
      <c r="E373" s="9"/>
      <c r="F373" s="16"/>
      <c r="G373" s="11"/>
      <c r="H373" s="9"/>
      <c r="I373" s="9"/>
      <c r="J373" s="12"/>
      <c r="K373" s="13"/>
    </row>
    <row r="374">
      <c r="A374" s="6"/>
      <c r="B374" s="6"/>
      <c r="C374" s="17"/>
      <c r="D374" s="9"/>
      <c r="E374" s="9"/>
      <c r="F374" s="16"/>
      <c r="G374" s="11"/>
      <c r="H374" s="9"/>
      <c r="I374" s="9"/>
      <c r="J374" s="12"/>
      <c r="K374" s="13"/>
    </row>
    <row r="375">
      <c r="A375" s="6"/>
      <c r="B375" s="6"/>
      <c r="C375" s="17"/>
      <c r="D375" s="9"/>
      <c r="E375" s="9"/>
      <c r="F375" s="16"/>
      <c r="G375" s="11"/>
      <c r="H375" s="9"/>
      <c r="I375" s="9"/>
      <c r="J375" s="12"/>
      <c r="K375" s="13"/>
    </row>
    <row r="376">
      <c r="A376" s="6"/>
      <c r="B376" s="6"/>
      <c r="C376" s="17"/>
      <c r="D376" s="9"/>
      <c r="E376" s="9"/>
      <c r="F376" s="16"/>
      <c r="G376" s="11"/>
      <c r="H376" s="9"/>
      <c r="I376" s="9"/>
      <c r="J376" s="12"/>
      <c r="K376" s="13"/>
    </row>
    <row r="377">
      <c r="A377" s="6"/>
      <c r="B377" s="6"/>
      <c r="C377" s="17"/>
      <c r="D377" s="9"/>
      <c r="E377" s="9"/>
      <c r="F377" s="16"/>
      <c r="G377" s="11"/>
      <c r="H377" s="9"/>
      <c r="I377" s="9"/>
      <c r="J377" s="12"/>
      <c r="K377" s="13"/>
    </row>
    <row r="378">
      <c r="A378" s="6"/>
      <c r="B378" s="6"/>
      <c r="C378" s="17"/>
      <c r="D378" s="9"/>
      <c r="E378" s="9"/>
      <c r="F378" s="16"/>
      <c r="G378" s="11"/>
      <c r="H378" s="9"/>
      <c r="I378" s="9"/>
      <c r="J378" s="12"/>
      <c r="K378" s="13"/>
    </row>
    <row r="379">
      <c r="A379" s="6"/>
      <c r="B379" s="6"/>
      <c r="C379" s="17"/>
      <c r="D379" s="9"/>
      <c r="E379" s="9"/>
      <c r="F379" s="16"/>
      <c r="G379" s="11"/>
      <c r="H379" s="9"/>
      <c r="I379" s="9"/>
      <c r="J379" s="12"/>
      <c r="K379" s="13"/>
    </row>
    <row r="380">
      <c r="A380" s="6"/>
      <c r="B380" s="6"/>
      <c r="C380" s="17"/>
      <c r="D380" s="9"/>
      <c r="E380" s="9"/>
      <c r="F380" s="16"/>
      <c r="G380" s="11"/>
      <c r="H380" s="9"/>
      <c r="I380" s="9"/>
      <c r="J380" s="12"/>
      <c r="K380" s="13"/>
    </row>
    <row r="381">
      <c r="A381" s="6"/>
      <c r="B381" s="6"/>
      <c r="C381" s="17"/>
      <c r="D381" s="9"/>
      <c r="E381" s="9"/>
      <c r="F381" s="16"/>
      <c r="G381" s="11"/>
      <c r="H381" s="9"/>
      <c r="I381" s="9"/>
      <c r="J381" s="12"/>
      <c r="K381" s="13"/>
    </row>
    <row r="382">
      <c r="A382" s="6"/>
      <c r="B382" s="6"/>
      <c r="C382" s="17"/>
      <c r="D382" s="9"/>
      <c r="E382" s="9"/>
      <c r="F382" s="16"/>
      <c r="G382" s="11"/>
      <c r="H382" s="9"/>
      <c r="I382" s="9"/>
      <c r="J382" s="12"/>
      <c r="K382" s="13"/>
    </row>
    <row r="383">
      <c r="A383" s="6"/>
      <c r="B383" s="6"/>
      <c r="C383" s="17"/>
      <c r="D383" s="9"/>
      <c r="E383" s="9"/>
      <c r="F383" s="16"/>
      <c r="G383" s="11"/>
      <c r="H383" s="9"/>
      <c r="I383" s="9"/>
      <c r="J383" s="12"/>
      <c r="K383" s="13"/>
    </row>
    <row r="384">
      <c r="A384" s="6"/>
      <c r="B384" s="6"/>
      <c r="C384" s="17"/>
      <c r="D384" s="9"/>
      <c r="E384" s="9"/>
      <c r="F384" s="16"/>
      <c r="G384" s="11"/>
      <c r="H384" s="9"/>
      <c r="I384" s="9"/>
      <c r="J384" s="12"/>
      <c r="K384" s="13"/>
    </row>
    <row r="385">
      <c r="A385" s="6"/>
      <c r="B385" s="6"/>
      <c r="C385" s="17"/>
      <c r="D385" s="9"/>
      <c r="E385" s="9"/>
      <c r="F385" s="16"/>
      <c r="G385" s="11"/>
      <c r="H385" s="9"/>
      <c r="I385" s="9"/>
      <c r="J385" s="12"/>
      <c r="K385" s="13"/>
    </row>
    <row r="386">
      <c r="A386" s="6"/>
      <c r="B386" s="6"/>
      <c r="C386" s="17"/>
      <c r="D386" s="9"/>
      <c r="E386" s="9"/>
      <c r="F386" s="16"/>
      <c r="G386" s="11"/>
      <c r="H386" s="9"/>
      <c r="I386" s="9"/>
      <c r="J386" s="12"/>
      <c r="K386" s="13"/>
    </row>
    <row r="387">
      <c r="A387" s="6"/>
      <c r="B387" s="6"/>
      <c r="C387" s="17"/>
      <c r="D387" s="9"/>
      <c r="E387" s="9"/>
      <c r="F387" s="16"/>
      <c r="G387" s="11"/>
      <c r="H387" s="9"/>
      <c r="I387" s="9"/>
      <c r="J387" s="12"/>
      <c r="K387" s="13"/>
    </row>
    <row r="388">
      <c r="A388" s="6"/>
      <c r="B388" s="6"/>
      <c r="C388" s="17"/>
      <c r="D388" s="9"/>
      <c r="E388" s="9"/>
      <c r="F388" s="16"/>
      <c r="G388" s="11"/>
      <c r="H388" s="9"/>
      <c r="I388" s="9"/>
      <c r="J388" s="12"/>
      <c r="K388" s="13"/>
    </row>
    <row r="389">
      <c r="A389" s="6"/>
      <c r="B389" s="6"/>
      <c r="C389" s="17"/>
      <c r="D389" s="9"/>
      <c r="E389" s="9"/>
      <c r="F389" s="16"/>
      <c r="G389" s="11"/>
      <c r="H389" s="9"/>
      <c r="I389" s="9"/>
      <c r="J389" s="12"/>
      <c r="K389" s="13"/>
    </row>
    <row r="390">
      <c r="A390" s="6"/>
      <c r="B390" s="6"/>
      <c r="C390" s="17"/>
      <c r="D390" s="9"/>
      <c r="E390" s="9"/>
      <c r="F390" s="16"/>
      <c r="G390" s="11"/>
      <c r="H390" s="9"/>
      <c r="I390" s="9"/>
      <c r="J390" s="12"/>
      <c r="K390" s="13"/>
    </row>
    <row r="391">
      <c r="A391" s="6"/>
      <c r="B391" s="6"/>
      <c r="C391" s="17"/>
      <c r="D391" s="9"/>
      <c r="E391" s="9"/>
      <c r="F391" s="16"/>
      <c r="G391" s="11"/>
      <c r="H391" s="9"/>
      <c r="I391" s="9"/>
      <c r="J391" s="12"/>
      <c r="K391" s="13"/>
    </row>
    <row r="392">
      <c r="A392" s="6"/>
      <c r="B392" s="6"/>
      <c r="C392" s="17"/>
      <c r="D392" s="9"/>
      <c r="E392" s="9"/>
      <c r="F392" s="16"/>
      <c r="G392" s="11"/>
      <c r="H392" s="9"/>
      <c r="I392" s="9"/>
      <c r="J392" s="12"/>
      <c r="K392" s="13"/>
    </row>
    <row r="393">
      <c r="A393" s="6"/>
      <c r="B393" s="6"/>
      <c r="C393" s="17"/>
      <c r="D393" s="9"/>
      <c r="E393" s="9"/>
      <c r="F393" s="16"/>
      <c r="G393" s="11"/>
      <c r="H393" s="9"/>
      <c r="I393" s="9"/>
      <c r="J393" s="12"/>
      <c r="K393" s="13"/>
    </row>
    <row r="394">
      <c r="A394" s="6"/>
      <c r="B394" s="6"/>
      <c r="C394" s="17"/>
      <c r="D394" s="9"/>
      <c r="E394" s="9"/>
      <c r="F394" s="16"/>
      <c r="G394" s="11"/>
      <c r="H394" s="9"/>
      <c r="I394" s="9"/>
      <c r="J394" s="12"/>
      <c r="K394" s="13"/>
    </row>
    <row r="395">
      <c r="A395" s="6"/>
      <c r="B395" s="6"/>
      <c r="C395" s="17"/>
      <c r="D395" s="9"/>
      <c r="E395" s="9"/>
      <c r="F395" s="16"/>
      <c r="G395" s="11"/>
      <c r="H395" s="9"/>
      <c r="I395" s="9"/>
      <c r="J395" s="12"/>
      <c r="K395" s="13"/>
    </row>
    <row r="396">
      <c r="A396" s="6"/>
      <c r="B396" s="6"/>
      <c r="C396" s="17"/>
      <c r="D396" s="9"/>
      <c r="E396" s="9"/>
      <c r="F396" s="16"/>
      <c r="G396" s="11"/>
      <c r="H396" s="9"/>
      <c r="I396" s="9"/>
      <c r="J396" s="12"/>
      <c r="K396" s="13"/>
    </row>
    <row r="397">
      <c r="A397" s="6"/>
      <c r="B397" s="6"/>
      <c r="C397" s="17"/>
      <c r="D397" s="9"/>
      <c r="E397" s="9"/>
      <c r="F397" s="16"/>
      <c r="G397" s="11"/>
      <c r="H397" s="9"/>
      <c r="I397" s="9"/>
      <c r="J397" s="12"/>
      <c r="K397" s="13"/>
    </row>
    <row r="398">
      <c r="A398" s="6"/>
      <c r="B398" s="6"/>
      <c r="C398" s="17"/>
      <c r="D398" s="9"/>
      <c r="E398" s="9"/>
      <c r="F398" s="16"/>
      <c r="G398" s="11"/>
      <c r="H398" s="9"/>
      <c r="I398" s="9"/>
      <c r="J398" s="12"/>
      <c r="K398" s="13"/>
    </row>
    <row r="399">
      <c r="A399" s="6"/>
      <c r="B399" s="6"/>
      <c r="C399" s="17"/>
      <c r="D399" s="9"/>
      <c r="E399" s="9"/>
      <c r="F399" s="16"/>
      <c r="G399" s="11"/>
      <c r="H399" s="9"/>
      <c r="I399" s="9"/>
      <c r="J399" s="12"/>
      <c r="K399" s="13"/>
    </row>
    <row r="400">
      <c r="A400" s="6"/>
      <c r="B400" s="6"/>
      <c r="C400" s="17"/>
      <c r="D400" s="9"/>
      <c r="E400" s="9"/>
      <c r="F400" s="16"/>
      <c r="G400" s="11"/>
      <c r="H400" s="9"/>
      <c r="I400" s="9"/>
      <c r="J400" s="12"/>
      <c r="K400" s="13"/>
    </row>
    <row r="401">
      <c r="A401" s="6"/>
      <c r="B401" s="6"/>
      <c r="C401" s="17"/>
      <c r="D401" s="9"/>
      <c r="E401" s="9"/>
      <c r="F401" s="16"/>
      <c r="G401" s="11"/>
      <c r="H401" s="9"/>
      <c r="I401" s="9"/>
      <c r="J401" s="12"/>
      <c r="K401" s="13"/>
    </row>
    <row r="402">
      <c r="A402" s="6"/>
      <c r="B402" s="6"/>
      <c r="C402" s="17"/>
      <c r="D402" s="9"/>
      <c r="E402" s="9"/>
      <c r="F402" s="16"/>
      <c r="G402" s="11"/>
      <c r="H402" s="9"/>
      <c r="I402" s="9"/>
      <c r="J402" s="12"/>
      <c r="K402" s="13"/>
    </row>
    <row r="403">
      <c r="A403" s="6"/>
      <c r="B403" s="6"/>
      <c r="C403" s="17"/>
      <c r="D403" s="9"/>
      <c r="E403" s="9"/>
      <c r="F403" s="16"/>
      <c r="G403" s="11"/>
      <c r="H403" s="9"/>
      <c r="I403" s="9"/>
      <c r="J403" s="12"/>
      <c r="K403" s="13"/>
    </row>
    <row r="404">
      <c r="A404" s="6"/>
      <c r="B404" s="6"/>
      <c r="C404" s="17"/>
      <c r="D404" s="9"/>
      <c r="E404" s="9"/>
      <c r="F404" s="16"/>
      <c r="G404" s="11"/>
      <c r="H404" s="9"/>
      <c r="I404" s="9"/>
      <c r="J404" s="12"/>
      <c r="K404" s="13"/>
    </row>
    <row r="405">
      <c r="A405" s="6"/>
      <c r="B405" s="6"/>
      <c r="C405" s="17"/>
      <c r="D405" s="9"/>
      <c r="E405" s="9"/>
      <c r="F405" s="16"/>
      <c r="G405" s="11"/>
      <c r="H405" s="9"/>
      <c r="I405" s="9"/>
      <c r="J405" s="12"/>
      <c r="K405" s="13"/>
    </row>
    <row r="406">
      <c r="A406" s="6"/>
      <c r="B406" s="6"/>
      <c r="C406" s="17"/>
      <c r="D406" s="9"/>
      <c r="E406" s="9"/>
      <c r="F406" s="16"/>
      <c r="G406" s="11"/>
      <c r="H406" s="9"/>
      <c r="I406" s="9"/>
      <c r="J406" s="12"/>
      <c r="K406" s="13"/>
    </row>
    <row r="407">
      <c r="A407" s="6"/>
      <c r="B407" s="6"/>
      <c r="C407" s="17"/>
      <c r="D407" s="9"/>
      <c r="E407" s="9"/>
      <c r="F407" s="16"/>
      <c r="G407" s="11"/>
      <c r="H407" s="9"/>
      <c r="I407" s="9"/>
      <c r="J407" s="12"/>
      <c r="K407" s="13"/>
    </row>
    <row r="408">
      <c r="A408" s="6"/>
      <c r="B408" s="6"/>
      <c r="C408" s="17"/>
      <c r="D408" s="9"/>
      <c r="E408" s="9"/>
      <c r="F408" s="16"/>
      <c r="G408" s="11"/>
      <c r="H408" s="9"/>
      <c r="I408" s="9"/>
      <c r="J408" s="12"/>
      <c r="K408" s="13"/>
    </row>
    <row r="409">
      <c r="A409" s="6"/>
      <c r="B409" s="6"/>
      <c r="C409" s="17"/>
      <c r="D409" s="9"/>
      <c r="E409" s="9"/>
      <c r="F409" s="16"/>
      <c r="G409" s="11"/>
      <c r="H409" s="9"/>
      <c r="I409" s="9"/>
      <c r="J409" s="12"/>
      <c r="K409" s="13"/>
    </row>
    <row r="410">
      <c r="A410" s="6"/>
      <c r="B410" s="6"/>
      <c r="C410" s="17"/>
      <c r="D410" s="9"/>
      <c r="E410" s="9"/>
      <c r="F410" s="16"/>
      <c r="G410" s="11"/>
      <c r="H410" s="9"/>
      <c r="I410" s="9"/>
      <c r="J410" s="12"/>
      <c r="K410" s="13"/>
    </row>
    <row r="411">
      <c r="A411" s="6"/>
      <c r="B411" s="6"/>
      <c r="C411" s="17"/>
      <c r="D411" s="9"/>
      <c r="E411" s="9"/>
      <c r="F411" s="16"/>
      <c r="G411" s="11"/>
      <c r="H411" s="9"/>
      <c r="I411" s="9"/>
      <c r="J411" s="12"/>
      <c r="K411" s="13"/>
    </row>
    <row r="412">
      <c r="A412" s="6"/>
      <c r="B412" s="6"/>
      <c r="C412" s="17"/>
      <c r="D412" s="9"/>
      <c r="E412" s="9"/>
      <c r="F412" s="16"/>
      <c r="G412" s="11"/>
      <c r="H412" s="9"/>
      <c r="I412" s="9"/>
      <c r="J412" s="12"/>
      <c r="K412" s="13"/>
    </row>
    <row r="413">
      <c r="A413" s="6"/>
      <c r="B413" s="6"/>
      <c r="C413" s="17"/>
      <c r="D413" s="9"/>
      <c r="E413" s="9"/>
      <c r="F413" s="16"/>
      <c r="G413" s="11"/>
      <c r="H413" s="9"/>
      <c r="I413" s="9"/>
      <c r="J413" s="12"/>
      <c r="K413" s="13"/>
    </row>
    <row r="414">
      <c r="A414" s="6"/>
      <c r="B414" s="6"/>
      <c r="C414" s="17"/>
      <c r="D414" s="9"/>
      <c r="E414" s="9"/>
      <c r="F414" s="16"/>
      <c r="G414" s="11"/>
      <c r="H414" s="9"/>
      <c r="I414" s="9"/>
      <c r="J414" s="12"/>
      <c r="K414" s="13"/>
    </row>
    <row r="415">
      <c r="A415" s="6"/>
      <c r="B415" s="6"/>
      <c r="C415" s="17"/>
      <c r="D415" s="9"/>
      <c r="E415" s="9"/>
      <c r="F415" s="16"/>
      <c r="G415" s="11"/>
      <c r="H415" s="9"/>
      <c r="I415" s="9"/>
      <c r="J415" s="12"/>
      <c r="K415" s="13"/>
    </row>
    <row r="416">
      <c r="A416" s="6"/>
      <c r="B416" s="6"/>
      <c r="C416" s="17"/>
      <c r="D416" s="9"/>
      <c r="E416" s="9"/>
      <c r="F416" s="16"/>
      <c r="G416" s="11"/>
      <c r="H416" s="9"/>
      <c r="I416" s="9"/>
      <c r="J416" s="12"/>
      <c r="K416" s="13"/>
    </row>
    <row r="417">
      <c r="A417" s="6"/>
      <c r="B417" s="6"/>
      <c r="C417" s="17"/>
      <c r="D417" s="9"/>
      <c r="E417" s="9"/>
      <c r="F417" s="16"/>
      <c r="G417" s="11"/>
      <c r="H417" s="9"/>
      <c r="I417" s="9"/>
      <c r="J417" s="12"/>
      <c r="K417" s="13"/>
    </row>
    <row r="418">
      <c r="A418" s="6"/>
      <c r="B418" s="6"/>
      <c r="C418" s="17"/>
      <c r="D418" s="9"/>
      <c r="E418" s="9"/>
      <c r="F418" s="16"/>
      <c r="G418" s="11"/>
      <c r="H418" s="9"/>
      <c r="I418" s="9"/>
      <c r="J418" s="12"/>
      <c r="K418" s="13"/>
    </row>
    <row r="419">
      <c r="A419" s="6"/>
      <c r="B419" s="6"/>
      <c r="C419" s="17"/>
      <c r="D419" s="9"/>
      <c r="E419" s="9"/>
      <c r="F419" s="16"/>
      <c r="G419" s="11"/>
      <c r="H419" s="9"/>
      <c r="I419" s="9"/>
      <c r="J419" s="12"/>
      <c r="K419" s="13"/>
    </row>
    <row r="420">
      <c r="A420" s="6"/>
      <c r="B420" s="6"/>
      <c r="C420" s="17"/>
      <c r="D420" s="9"/>
      <c r="E420" s="9"/>
      <c r="F420" s="16"/>
      <c r="G420" s="11"/>
      <c r="H420" s="9"/>
      <c r="I420" s="9"/>
      <c r="J420" s="12"/>
      <c r="K420" s="13"/>
    </row>
    <row r="421">
      <c r="A421" s="6"/>
      <c r="B421" s="6"/>
      <c r="C421" s="17"/>
      <c r="D421" s="9"/>
      <c r="E421" s="9"/>
      <c r="F421" s="16"/>
      <c r="G421" s="11"/>
      <c r="H421" s="9"/>
      <c r="I421" s="9"/>
      <c r="J421" s="12"/>
      <c r="K421" s="13"/>
    </row>
    <row r="422">
      <c r="A422" s="6"/>
      <c r="B422" s="6"/>
      <c r="C422" s="17"/>
      <c r="D422" s="9"/>
      <c r="E422" s="9"/>
      <c r="F422" s="16"/>
      <c r="G422" s="11"/>
      <c r="H422" s="9"/>
      <c r="I422" s="9"/>
      <c r="J422" s="12"/>
      <c r="K422" s="13"/>
    </row>
    <row r="423">
      <c r="A423" s="6"/>
      <c r="B423" s="6"/>
      <c r="C423" s="17"/>
      <c r="D423" s="9"/>
      <c r="E423" s="9"/>
      <c r="F423" s="16"/>
      <c r="G423" s="11"/>
      <c r="H423" s="9"/>
      <c r="I423" s="9"/>
      <c r="J423" s="12"/>
      <c r="K423" s="13"/>
    </row>
    <row r="424">
      <c r="A424" s="6"/>
      <c r="B424" s="6"/>
      <c r="C424" s="17"/>
      <c r="D424" s="9"/>
      <c r="E424" s="9"/>
      <c r="F424" s="16"/>
      <c r="G424" s="11"/>
      <c r="H424" s="9"/>
      <c r="I424" s="9"/>
      <c r="J424" s="12"/>
      <c r="K424" s="13"/>
    </row>
    <row r="425">
      <c r="A425" s="6"/>
      <c r="B425" s="6"/>
      <c r="C425" s="17"/>
      <c r="D425" s="9"/>
      <c r="E425" s="9"/>
      <c r="F425" s="16"/>
      <c r="G425" s="11"/>
      <c r="H425" s="9"/>
      <c r="I425" s="9"/>
      <c r="J425" s="12"/>
      <c r="K425" s="13"/>
    </row>
    <row r="426">
      <c r="A426" s="6"/>
      <c r="B426" s="6"/>
      <c r="C426" s="17"/>
      <c r="D426" s="9"/>
      <c r="E426" s="9"/>
      <c r="F426" s="16"/>
      <c r="G426" s="11"/>
      <c r="H426" s="9"/>
      <c r="I426" s="9"/>
      <c r="J426" s="12"/>
      <c r="K426" s="13"/>
    </row>
    <row r="427">
      <c r="A427" s="6"/>
      <c r="B427" s="6"/>
      <c r="C427" s="17"/>
      <c r="D427" s="9"/>
      <c r="E427" s="9"/>
      <c r="F427" s="16"/>
      <c r="G427" s="11"/>
      <c r="H427" s="9"/>
      <c r="I427" s="9"/>
      <c r="J427" s="12"/>
      <c r="K427" s="13"/>
    </row>
    <row r="428">
      <c r="A428" s="6"/>
      <c r="B428" s="6"/>
      <c r="C428" s="17"/>
      <c r="D428" s="9"/>
      <c r="E428" s="9"/>
      <c r="F428" s="16"/>
      <c r="G428" s="11"/>
      <c r="H428" s="9"/>
      <c r="I428" s="9"/>
      <c r="J428" s="12"/>
      <c r="K428" s="13"/>
    </row>
    <row r="429">
      <c r="A429" s="6"/>
      <c r="B429" s="6"/>
      <c r="C429" s="17"/>
      <c r="D429" s="9"/>
      <c r="E429" s="9"/>
      <c r="F429" s="16"/>
      <c r="G429" s="11"/>
      <c r="H429" s="9"/>
      <c r="I429" s="9"/>
      <c r="J429" s="12"/>
      <c r="K429" s="13"/>
    </row>
    <row r="430">
      <c r="A430" s="6"/>
      <c r="B430" s="6"/>
      <c r="C430" s="17"/>
      <c r="D430" s="9"/>
      <c r="E430" s="9"/>
      <c r="F430" s="16"/>
      <c r="G430" s="11"/>
      <c r="H430" s="9"/>
      <c r="I430" s="9"/>
      <c r="J430" s="12"/>
      <c r="K430" s="13"/>
    </row>
    <row r="431">
      <c r="A431" s="6"/>
      <c r="B431" s="6"/>
      <c r="C431" s="17"/>
      <c r="D431" s="9"/>
      <c r="E431" s="9"/>
      <c r="F431" s="16"/>
      <c r="G431" s="11"/>
      <c r="H431" s="9"/>
      <c r="I431" s="9"/>
      <c r="J431" s="12"/>
      <c r="K431" s="13"/>
    </row>
    <row r="432">
      <c r="A432" s="6"/>
      <c r="B432" s="6"/>
      <c r="C432" s="17"/>
      <c r="D432" s="9"/>
      <c r="E432" s="9"/>
      <c r="F432" s="16"/>
      <c r="G432" s="11"/>
      <c r="H432" s="9"/>
      <c r="I432" s="9"/>
      <c r="J432" s="12"/>
      <c r="K432" s="13"/>
    </row>
    <row r="433">
      <c r="A433" s="6"/>
      <c r="B433" s="6"/>
      <c r="C433" s="17"/>
      <c r="D433" s="9"/>
      <c r="E433" s="9"/>
      <c r="F433" s="16"/>
      <c r="G433" s="11"/>
      <c r="H433" s="9"/>
      <c r="I433" s="9"/>
      <c r="J433" s="12"/>
      <c r="K433" s="13"/>
    </row>
    <row r="434">
      <c r="A434" s="6"/>
      <c r="B434" s="6"/>
      <c r="C434" s="17"/>
      <c r="D434" s="9"/>
      <c r="E434" s="9"/>
      <c r="F434" s="16"/>
      <c r="G434" s="11"/>
      <c r="H434" s="9"/>
      <c r="I434" s="9"/>
      <c r="J434" s="12"/>
      <c r="K434" s="13"/>
    </row>
    <row r="435">
      <c r="A435" s="6"/>
      <c r="B435" s="6"/>
      <c r="C435" s="17"/>
      <c r="D435" s="9"/>
      <c r="E435" s="9"/>
      <c r="F435" s="16"/>
      <c r="G435" s="11"/>
      <c r="H435" s="9"/>
      <c r="I435" s="9"/>
      <c r="J435" s="12"/>
      <c r="K435" s="13"/>
    </row>
    <row r="436">
      <c r="A436" s="6"/>
      <c r="B436" s="6"/>
      <c r="C436" s="17"/>
      <c r="D436" s="9"/>
      <c r="E436" s="9"/>
      <c r="F436" s="16"/>
      <c r="G436" s="11"/>
      <c r="H436" s="9"/>
      <c r="I436" s="9"/>
      <c r="J436" s="12"/>
      <c r="K436" s="13"/>
    </row>
    <row r="437">
      <c r="A437" s="6"/>
      <c r="B437" s="6"/>
      <c r="C437" s="17"/>
      <c r="D437" s="9"/>
      <c r="E437" s="9"/>
      <c r="F437" s="16"/>
      <c r="G437" s="11"/>
      <c r="H437" s="9"/>
      <c r="I437" s="9"/>
      <c r="J437" s="12"/>
      <c r="K437" s="13"/>
    </row>
    <row r="438">
      <c r="A438" s="6"/>
      <c r="B438" s="6"/>
      <c r="C438" s="17"/>
      <c r="D438" s="9"/>
      <c r="E438" s="9"/>
      <c r="F438" s="16"/>
      <c r="G438" s="11"/>
      <c r="H438" s="9"/>
      <c r="I438" s="9"/>
      <c r="J438" s="12"/>
      <c r="K438" s="13"/>
    </row>
    <row r="439">
      <c r="A439" s="6"/>
      <c r="B439" s="6"/>
      <c r="C439" s="17"/>
      <c r="D439" s="9"/>
      <c r="E439" s="9"/>
      <c r="F439" s="16"/>
      <c r="G439" s="11"/>
      <c r="H439" s="9"/>
      <c r="I439" s="9"/>
      <c r="J439" s="12"/>
      <c r="K439" s="13"/>
    </row>
    <row r="440">
      <c r="A440" s="6"/>
      <c r="B440" s="6"/>
      <c r="C440" s="17"/>
      <c r="D440" s="9"/>
      <c r="E440" s="9"/>
      <c r="F440" s="16"/>
      <c r="G440" s="11"/>
      <c r="H440" s="9"/>
      <c r="I440" s="9"/>
      <c r="J440" s="12"/>
      <c r="K440" s="13"/>
    </row>
    <row r="441">
      <c r="A441" s="6"/>
      <c r="B441" s="6"/>
      <c r="C441" s="17"/>
      <c r="D441" s="9"/>
      <c r="E441" s="9"/>
      <c r="F441" s="16"/>
      <c r="G441" s="11"/>
      <c r="H441" s="9"/>
      <c r="I441" s="9"/>
      <c r="J441" s="12"/>
      <c r="K441" s="13"/>
    </row>
    <row r="442">
      <c r="A442" s="6"/>
      <c r="B442" s="6"/>
      <c r="C442" s="17"/>
      <c r="D442" s="9"/>
      <c r="E442" s="9"/>
      <c r="F442" s="16"/>
      <c r="G442" s="11"/>
      <c r="H442" s="9"/>
      <c r="I442" s="9"/>
      <c r="J442" s="12"/>
      <c r="K442" s="13"/>
    </row>
    <row r="443">
      <c r="A443" s="6"/>
      <c r="B443" s="6"/>
      <c r="C443" s="17"/>
      <c r="D443" s="9"/>
      <c r="E443" s="9"/>
      <c r="F443" s="16"/>
      <c r="G443" s="11"/>
      <c r="H443" s="9"/>
      <c r="I443" s="9"/>
      <c r="J443" s="12"/>
      <c r="K443" s="13"/>
    </row>
    <row r="444">
      <c r="A444" s="6"/>
      <c r="B444" s="6"/>
      <c r="C444" s="17"/>
      <c r="D444" s="9"/>
      <c r="E444" s="9"/>
      <c r="F444" s="16"/>
      <c r="G444" s="11"/>
      <c r="H444" s="9"/>
      <c r="I444" s="9"/>
      <c r="J444" s="12"/>
      <c r="K444" s="13"/>
    </row>
    <row r="445">
      <c r="A445" s="6"/>
      <c r="B445" s="6"/>
      <c r="C445" s="17"/>
      <c r="D445" s="9"/>
      <c r="E445" s="9"/>
      <c r="F445" s="16"/>
      <c r="G445" s="11"/>
      <c r="H445" s="9"/>
      <c r="I445" s="9"/>
      <c r="J445" s="12"/>
      <c r="K445" s="13"/>
    </row>
    <row r="446">
      <c r="A446" s="6"/>
      <c r="B446" s="6"/>
      <c r="C446" s="17"/>
      <c r="D446" s="9"/>
      <c r="E446" s="9"/>
      <c r="F446" s="16"/>
      <c r="G446" s="11"/>
      <c r="H446" s="9"/>
      <c r="I446" s="9"/>
      <c r="J446" s="12"/>
      <c r="K446" s="13"/>
    </row>
    <row r="447">
      <c r="A447" s="6"/>
      <c r="B447" s="6"/>
      <c r="C447" s="17"/>
      <c r="D447" s="9"/>
      <c r="E447" s="9"/>
      <c r="F447" s="16"/>
      <c r="G447" s="11"/>
      <c r="H447" s="9"/>
      <c r="I447" s="9"/>
      <c r="J447" s="12"/>
      <c r="K447" s="13"/>
    </row>
    <row r="448">
      <c r="A448" s="6"/>
      <c r="B448" s="6"/>
      <c r="C448" s="17"/>
      <c r="D448" s="9"/>
      <c r="E448" s="9"/>
      <c r="F448" s="16"/>
      <c r="G448" s="11"/>
      <c r="H448" s="9"/>
      <c r="I448" s="9"/>
      <c r="J448" s="12"/>
      <c r="K448" s="13"/>
    </row>
    <row r="449">
      <c r="A449" s="6"/>
      <c r="B449" s="6"/>
      <c r="C449" s="17"/>
      <c r="D449" s="9"/>
      <c r="E449" s="9"/>
      <c r="F449" s="16"/>
      <c r="G449" s="11"/>
      <c r="H449" s="9"/>
      <c r="I449" s="9"/>
      <c r="J449" s="12"/>
      <c r="K449" s="13"/>
    </row>
    <row r="450">
      <c r="A450" s="6"/>
      <c r="B450" s="6"/>
      <c r="C450" s="17"/>
      <c r="D450" s="9"/>
      <c r="E450" s="9"/>
      <c r="F450" s="16"/>
      <c r="G450" s="11"/>
      <c r="H450" s="9"/>
      <c r="I450" s="9"/>
      <c r="J450" s="12"/>
      <c r="K450" s="13"/>
    </row>
    <row r="451">
      <c r="A451" s="6"/>
      <c r="B451" s="6"/>
      <c r="C451" s="17"/>
      <c r="D451" s="9"/>
      <c r="E451" s="9"/>
      <c r="F451" s="16"/>
      <c r="G451" s="11"/>
      <c r="H451" s="9"/>
      <c r="I451" s="9"/>
      <c r="J451" s="12"/>
      <c r="K451" s="13"/>
    </row>
    <row r="452">
      <c r="A452" s="6"/>
      <c r="B452" s="6"/>
      <c r="C452" s="17"/>
      <c r="D452" s="9"/>
      <c r="E452" s="9"/>
      <c r="F452" s="16"/>
      <c r="G452" s="11"/>
      <c r="H452" s="9"/>
      <c r="I452" s="9"/>
      <c r="J452" s="12"/>
      <c r="K452" s="13"/>
    </row>
    <row r="453">
      <c r="A453" s="6"/>
      <c r="B453" s="6"/>
      <c r="C453" s="17"/>
      <c r="D453" s="9"/>
      <c r="E453" s="9"/>
      <c r="F453" s="16"/>
      <c r="G453" s="11"/>
      <c r="H453" s="9"/>
      <c r="I453" s="9"/>
      <c r="J453" s="12"/>
      <c r="K453" s="13"/>
    </row>
    <row r="454">
      <c r="A454" s="6"/>
      <c r="B454" s="6"/>
      <c r="C454" s="17"/>
      <c r="D454" s="9"/>
      <c r="E454" s="9"/>
      <c r="F454" s="16"/>
      <c r="G454" s="11"/>
      <c r="H454" s="9"/>
      <c r="I454" s="9"/>
      <c r="J454" s="12"/>
      <c r="K454" s="13"/>
    </row>
    <row r="455">
      <c r="A455" s="6"/>
      <c r="B455" s="6"/>
      <c r="C455" s="17"/>
      <c r="D455" s="9"/>
      <c r="E455" s="9"/>
      <c r="F455" s="16"/>
      <c r="G455" s="11"/>
      <c r="H455" s="9"/>
      <c r="I455" s="9"/>
      <c r="J455" s="12"/>
      <c r="K455" s="13"/>
    </row>
    <row r="456">
      <c r="A456" s="6"/>
      <c r="B456" s="6"/>
      <c r="C456" s="17"/>
      <c r="D456" s="9"/>
      <c r="E456" s="9"/>
      <c r="F456" s="16"/>
      <c r="G456" s="11"/>
      <c r="H456" s="9"/>
      <c r="I456" s="9"/>
      <c r="J456" s="12"/>
      <c r="K456" s="13"/>
    </row>
    <row r="457">
      <c r="A457" s="6"/>
      <c r="B457" s="6"/>
      <c r="C457" s="17"/>
      <c r="D457" s="9"/>
      <c r="E457" s="9"/>
      <c r="F457" s="16"/>
      <c r="G457" s="11"/>
      <c r="H457" s="9"/>
      <c r="I457" s="9"/>
      <c r="J457" s="12"/>
      <c r="K457" s="13"/>
    </row>
    <row r="458">
      <c r="A458" s="6"/>
      <c r="B458" s="6"/>
      <c r="C458" s="17"/>
      <c r="D458" s="9"/>
      <c r="E458" s="9"/>
      <c r="F458" s="16"/>
      <c r="G458" s="11"/>
      <c r="H458" s="9"/>
      <c r="I458" s="9"/>
      <c r="J458" s="12"/>
      <c r="K458" s="13"/>
    </row>
    <row r="459">
      <c r="A459" s="6"/>
      <c r="B459" s="6"/>
      <c r="C459" s="17"/>
      <c r="D459" s="9"/>
      <c r="E459" s="9"/>
      <c r="F459" s="16"/>
      <c r="G459" s="11"/>
      <c r="H459" s="9"/>
      <c r="I459" s="9"/>
      <c r="J459" s="12"/>
      <c r="K459" s="13"/>
    </row>
    <row r="460">
      <c r="A460" s="6"/>
      <c r="B460" s="6"/>
      <c r="C460" s="17"/>
      <c r="D460" s="9"/>
      <c r="E460" s="9"/>
      <c r="F460" s="16"/>
      <c r="G460" s="11"/>
      <c r="H460" s="9"/>
      <c r="I460" s="9"/>
      <c r="J460" s="12"/>
      <c r="K460" s="13"/>
    </row>
    <row r="461">
      <c r="A461" s="6"/>
      <c r="B461" s="6"/>
      <c r="C461" s="17"/>
      <c r="D461" s="9"/>
      <c r="E461" s="9"/>
      <c r="F461" s="16"/>
      <c r="G461" s="11"/>
      <c r="H461" s="9"/>
      <c r="I461" s="9"/>
      <c r="J461" s="12"/>
      <c r="K461" s="13"/>
    </row>
    <row r="462">
      <c r="A462" s="6"/>
      <c r="B462" s="6"/>
      <c r="C462" s="17"/>
      <c r="D462" s="9"/>
      <c r="E462" s="9"/>
      <c r="F462" s="16"/>
      <c r="G462" s="11"/>
      <c r="H462" s="9"/>
      <c r="I462" s="9"/>
      <c r="J462" s="12"/>
      <c r="K462" s="13"/>
    </row>
    <row r="463">
      <c r="A463" s="6"/>
      <c r="B463" s="6"/>
      <c r="C463" s="17"/>
      <c r="D463" s="9"/>
      <c r="E463" s="9"/>
      <c r="F463" s="16"/>
      <c r="G463" s="11"/>
      <c r="H463" s="9"/>
      <c r="I463" s="9"/>
      <c r="J463" s="12"/>
      <c r="K463" s="13"/>
    </row>
    <row r="464">
      <c r="A464" s="6"/>
      <c r="B464" s="6"/>
      <c r="C464" s="17"/>
      <c r="D464" s="9"/>
      <c r="E464" s="9"/>
      <c r="F464" s="16"/>
      <c r="G464" s="11"/>
      <c r="H464" s="9"/>
      <c r="I464" s="9"/>
      <c r="J464" s="12"/>
      <c r="K464" s="13"/>
    </row>
    <row r="465">
      <c r="A465" s="6"/>
      <c r="B465" s="6"/>
      <c r="C465" s="17"/>
      <c r="D465" s="9"/>
      <c r="E465" s="9"/>
      <c r="F465" s="16"/>
      <c r="G465" s="11"/>
      <c r="H465" s="9"/>
      <c r="I465" s="9"/>
      <c r="J465" s="12"/>
      <c r="K465" s="13"/>
    </row>
    <row r="466">
      <c r="A466" s="6"/>
      <c r="B466" s="6"/>
      <c r="C466" s="17"/>
      <c r="D466" s="9"/>
      <c r="E466" s="9"/>
      <c r="F466" s="16"/>
      <c r="G466" s="11"/>
      <c r="H466" s="9"/>
      <c r="I466" s="9"/>
      <c r="J466" s="12"/>
      <c r="K466" s="13"/>
    </row>
    <row r="467">
      <c r="A467" s="6"/>
      <c r="B467" s="6"/>
      <c r="C467" s="17"/>
      <c r="D467" s="9"/>
      <c r="E467" s="9"/>
      <c r="F467" s="16"/>
      <c r="G467" s="11"/>
      <c r="H467" s="9"/>
      <c r="I467" s="9"/>
      <c r="J467" s="12"/>
      <c r="K467" s="13"/>
    </row>
    <row r="468">
      <c r="A468" s="6"/>
      <c r="B468" s="6"/>
      <c r="C468" s="17"/>
      <c r="D468" s="9"/>
      <c r="E468" s="9"/>
      <c r="F468" s="16"/>
      <c r="G468" s="11"/>
      <c r="H468" s="9"/>
      <c r="I468" s="9"/>
      <c r="J468" s="12"/>
      <c r="K468" s="13"/>
    </row>
    <row r="469">
      <c r="A469" s="6"/>
      <c r="B469" s="6"/>
      <c r="C469" s="17"/>
      <c r="D469" s="9"/>
      <c r="E469" s="9"/>
      <c r="F469" s="16"/>
      <c r="G469" s="11"/>
      <c r="H469" s="9"/>
      <c r="I469" s="9"/>
      <c r="J469" s="12"/>
      <c r="K469" s="13"/>
    </row>
    <row r="470">
      <c r="A470" s="6"/>
      <c r="B470" s="6"/>
      <c r="C470" s="17"/>
      <c r="D470" s="9"/>
      <c r="E470" s="9"/>
      <c r="F470" s="16"/>
      <c r="G470" s="11"/>
      <c r="H470" s="9"/>
      <c r="I470" s="9"/>
      <c r="J470" s="12"/>
      <c r="K470" s="13"/>
    </row>
    <row r="471">
      <c r="A471" s="6"/>
      <c r="B471" s="6"/>
      <c r="C471" s="17"/>
      <c r="D471" s="9"/>
      <c r="E471" s="9"/>
      <c r="F471" s="16"/>
      <c r="G471" s="11"/>
      <c r="H471" s="9"/>
      <c r="I471" s="9"/>
      <c r="J471" s="12"/>
      <c r="K471" s="13"/>
    </row>
    <row r="472">
      <c r="A472" s="6"/>
      <c r="B472" s="6"/>
      <c r="C472" s="17"/>
      <c r="D472" s="9"/>
      <c r="E472" s="9"/>
      <c r="F472" s="16"/>
      <c r="G472" s="11"/>
      <c r="H472" s="9"/>
      <c r="I472" s="9"/>
      <c r="J472" s="12"/>
      <c r="K472" s="13"/>
    </row>
    <row r="473">
      <c r="A473" s="6"/>
      <c r="B473" s="6"/>
      <c r="C473" s="17"/>
      <c r="D473" s="9"/>
      <c r="E473" s="9"/>
      <c r="F473" s="16"/>
      <c r="G473" s="11"/>
      <c r="H473" s="9"/>
      <c r="I473" s="9"/>
      <c r="J473" s="12"/>
      <c r="K473" s="13"/>
    </row>
    <row r="474">
      <c r="A474" s="6"/>
      <c r="B474" s="6"/>
      <c r="C474" s="17"/>
      <c r="D474" s="9"/>
      <c r="E474" s="9"/>
      <c r="F474" s="16"/>
      <c r="G474" s="11"/>
      <c r="H474" s="9"/>
      <c r="I474" s="9"/>
      <c r="J474" s="12"/>
      <c r="K474" s="13"/>
    </row>
    <row r="475">
      <c r="A475" s="6"/>
      <c r="B475" s="6"/>
      <c r="C475" s="17"/>
      <c r="D475" s="9"/>
      <c r="E475" s="9"/>
      <c r="F475" s="16"/>
      <c r="G475" s="11"/>
      <c r="H475" s="9"/>
      <c r="I475" s="9"/>
      <c r="J475" s="12"/>
      <c r="K475" s="13"/>
    </row>
    <row r="476">
      <c r="A476" s="6"/>
      <c r="B476" s="6"/>
      <c r="C476" s="17"/>
      <c r="D476" s="9"/>
      <c r="E476" s="9"/>
      <c r="F476" s="16"/>
      <c r="G476" s="11"/>
      <c r="H476" s="9"/>
      <c r="I476" s="9"/>
      <c r="J476" s="12"/>
      <c r="K476" s="13"/>
    </row>
    <row r="477">
      <c r="A477" s="6"/>
      <c r="B477" s="6"/>
      <c r="C477" s="17"/>
      <c r="D477" s="9"/>
      <c r="E477" s="9"/>
      <c r="F477" s="16"/>
      <c r="G477" s="11"/>
      <c r="H477" s="9"/>
      <c r="I477" s="9"/>
      <c r="J477" s="12"/>
      <c r="K477" s="13"/>
    </row>
    <row r="478">
      <c r="A478" s="6"/>
      <c r="B478" s="6"/>
      <c r="C478" s="17"/>
      <c r="D478" s="9"/>
      <c r="E478" s="9"/>
      <c r="F478" s="16"/>
      <c r="G478" s="11"/>
      <c r="H478" s="9"/>
      <c r="I478" s="9"/>
      <c r="J478" s="12"/>
      <c r="K478" s="13"/>
    </row>
    <row r="479">
      <c r="A479" s="6"/>
      <c r="B479" s="6"/>
      <c r="C479" s="17"/>
      <c r="D479" s="9"/>
      <c r="E479" s="9"/>
      <c r="F479" s="16"/>
      <c r="G479" s="11"/>
      <c r="H479" s="9"/>
      <c r="I479" s="9"/>
      <c r="J479" s="12"/>
      <c r="K479" s="13"/>
    </row>
    <row r="480">
      <c r="A480" s="6"/>
      <c r="B480" s="6"/>
      <c r="C480" s="17"/>
      <c r="D480" s="9"/>
      <c r="E480" s="9"/>
      <c r="F480" s="16"/>
      <c r="G480" s="11"/>
      <c r="H480" s="9"/>
      <c r="I480" s="9"/>
      <c r="J480" s="12"/>
      <c r="K480" s="13"/>
    </row>
    <row r="481">
      <c r="A481" s="6"/>
      <c r="B481" s="6"/>
      <c r="C481" s="17"/>
      <c r="D481" s="9"/>
      <c r="E481" s="9"/>
      <c r="F481" s="16"/>
      <c r="G481" s="11"/>
      <c r="H481" s="9"/>
      <c r="I481" s="9"/>
      <c r="J481" s="12"/>
      <c r="K481" s="13"/>
    </row>
    <row r="482">
      <c r="A482" s="6"/>
      <c r="B482" s="6"/>
      <c r="C482" s="17"/>
      <c r="D482" s="9"/>
      <c r="E482" s="9"/>
      <c r="F482" s="16"/>
      <c r="G482" s="11"/>
      <c r="H482" s="9"/>
      <c r="I482" s="9"/>
      <c r="J482" s="12"/>
      <c r="K482" s="13"/>
    </row>
    <row r="483">
      <c r="A483" s="6"/>
      <c r="B483" s="6"/>
      <c r="C483" s="17"/>
      <c r="D483" s="9"/>
      <c r="E483" s="9"/>
      <c r="F483" s="16"/>
      <c r="G483" s="11"/>
      <c r="H483" s="9"/>
      <c r="I483" s="9"/>
      <c r="J483" s="12"/>
      <c r="K483" s="13"/>
    </row>
    <row r="484">
      <c r="A484" s="6"/>
      <c r="B484" s="6"/>
      <c r="C484" s="17"/>
      <c r="D484" s="9"/>
      <c r="E484" s="9"/>
      <c r="F484" s="16"/>
      <c r="G484" s="11"/>
      <c r="H484" s="9"/>
      <c r="I484" s="9"/>
      <c r="J484" s="12"/>
      <c r="K484" s="13"/>
    </row>
    <row r="485">
      <c r="A485" s="6"/>
      <c r="B485" s="6"/>
      <c r="C485" s="17"/>
      <c r="D485" s="9"/>
      <c r="E485" s="9"/>
      <c r="F485" s="16"/>
      <c r="G485" s="11"/>
      <c r="H485" s="9"/>
      <c r="I485" s="9"/>
      <c r="J485" s="12"/>
      <c r="K485" s="13"/>
    </row>
    <row r="486">
      <c r="A486" s="6"/>
      <c r="B486" s="6"/>
      <c r="C486" s="17"/>
      <c r="D486" s="9"/>
      <c r="E486" s="9"/>
      <c r="F486" s="16"/>
      <c r="G486" s="11"/>
      <c r="H486" s="9"/>
      <c r="I486" s="9"/>
      <c r="J486" s="12"/>
      <c r="K486" s="13"/>
    </row>
    <row r="487">
      <c r="A487" s="6"/>
      <c r="B487" s="6"/>
      <c r="C487" s="17"/>
      <c r="D487" s="9"/>
      <c r="E487" s="9"/>
      <c r="F487" s="16"/>
      <c r="G487" s="11"/>
      <c r="H487" s="9"/>
      <c r="I487" s="9"/>
      <c r="J487" s="12"/>
      <c r="K487" s="13"/>
    </row>
    <row r="488">
      <c r="A488" s="6"/>
      <c r="B488" s="6"/>
      <c r="C488" s="17"/>
      <c r="D488" s="9"/>
      <c r="E488" s="9"/>
      <c r="F488" s="16"/>
      <c r="G488" s="11"/>
      <c r="H488" s="9"/>
      <c r="I488" s="9"/>
      <c r="J488" s="12"/>
      <c r="K488" s="13"/>
    </row>
    <row r="489">
      <c r="A489" s="6"/>
      <c r="B489" s="6"/>
      <c r="C489" s="17"/>
      <c r="D489" s="9"/>
      <c r="E489" s="9"/>
      <c r="F489" s="16"/>
      <c r="G489" s="11"/>
      <c r="H489" s="9"/>
      <c r="I489" s="9"/>
      <c r="J489" s="12"/>
      <c r="K489" s="13"/>
    </row>
    <row r="490">
      <c r="A490" s="6"/>
      <c r="B490" s="6"/>
      <c r="C490" s="17"/>
      <c r="D490" s="9"/>
      <c r="E490" s="9"/>
      <c r="F490" s="16"/>
      <c r="G490" s="11"/>
      <c r="H490" s="9"/>
      <c r="I490" s="9"/>
      <c r="J490" s="12"/>
      <c r="K490" s="13"/>
    </row>
    <row r="491">
      <c r="A491" s="6"/>
      <c r="B491" s="6"/>
      <c r="C491" s="17"/>
      <c r="D491" s="9"/>
      <c r="E491" s="9"/>
      <c r="F491" s="16"/>
      <c r="G491" s="11"/>
      <c r="H491" s="9"/>
      <c r="I491" s="9"/>
      <c r="J491" s="12"/>
      <c r="K491" s="13"/>
    </row>
    <row r="492">
      <c r="A492" s="6"/>
      <c r="B492" s="6"/>
      <c r="C492" s="17"/>
      <c r="D492" s="9"/>
      <c r="E492" s="9"/>
      <c r="F492" s="16"/>
      <c r="G492" s="11"/>
      <c r="H492" s="9"/>
      <c r="I492" s="9"/>
      <c r="J492" s="12"/>
      <c r="K492" s="13"/>
    </row>
    <row r="493">
      <c r="A493" s="6"/>
      <c r="B493" s="6"/>
      <c r="C493" s="17"/>
      <c r="D493" s="9"/>
      <c r="E493" s="9"/>
      <c r="F493" s="16"/>
      <c r="G493" s="11"/>
      <c r="H493" s="9"/>
      <c r="I493" s="9"/>
      <c r="J493" s="12"/>
      <c r="K493" s="13"/>
    </row>
    <row r="494">
      <c r="A494" s="6"/>
      <c r="B494" s="6"/>
      <c r="C494" s="17"/>
      <c r="D494" s="9"/>
      <c r="E494" s="9"/>
      <c r="F494" s="16"/>
      <c r="G494" s="11"/>
      <c r="H494" s="9"/>
      <c r="I494" s="9"/>
      <c r="J494" s="12"/>
      <c r="K494" s="13"/>
    </row>
    <row r="495">
      <c r="A495" s="6"/>
      <c r="B495" s="6"/>
      <c r="C495" s="17"/>
      <c r="D495" s="9"/>
      <c r="E495" s="9"/>
      <c r="F495" s="16"/>
      <c r="G495" s="11"/>
      <c r="H495" s="9"/>
      <c r="I495" s="9"/>
      <c r="J495" s="12"/>
      <c r="K495" s="13"/>
    </row>
    <row r="496">
      <c r="A496" s="6"/>
      <c r="B496" s="6"/>
      <c r="C496" s="17"/>
      <c r="D496" s="9"/>
      <c r="E496" s="9"/>
      <c r="F496" s="16"/>
      <c r="G496" s="11"/>
      <c r="H496" s="9"/>
      <c r="I496" s="9"/>
      <c r="J496" s="12"/>
      <c r="K496" s="13"/>
    </row>
    <row r="497">
      <c r="A497" s="6"/>
      <c r="B497" s="6"/>
      <c r="C497" s="17"/>
      <c r="D497" s="9"/>
      <c r="E497" s="9"/>
      <c r="F497" s="16"/>
      <c r="G497" s="11"/>
      <c r="H497" s="9"/>
      <c r="I497" s="9"/>
      <c r="J497" s="12"/>
      <c r="K497" s="13"/>
    </row>
    <row r="498">
      <c r="A498" s="6"/>
      <c r="B498" s="6"/>
      <c r="C498" s="17"/>
      <c r="D498" s="9"/>
      <c r="E498" s="9"/>
      <c r="F498" s="16"/>
      <c r="G498" s="11"/>
      <c r="H498" s="9"/>
      <c r="I498" s="9"/>
      <c r="J498" s="12"/>
      <c r="K498" s="13"/>
    </row>
    <row r="499">
      <c r="A499" s="6"/>
      <c r="B499" s="6"/>
      <c r="C499" s="17"/>
      <c r="D499" s="9"/>
      <c r="E499" s="9"/>
      <c r="F499" s="16"/>
      <c r="G499" s="11"/>
      <c r="H499" s="9"/>
      <c r="I499" s="9"/>
      <c r="J499" s="12"/>
      <c r="K499" s="13"/>
    </row>
    <row r="500">
      <c r="A500" s="6"/>
      <c r="B500" s="6"/>
      <c r="C500" s="17"/>
      <c r="D500" s="9"/>
      <c r="E500" s="9"/>
      <c r="F500" s="16"/>
      <c r="G500" s="11"/>
      <c r="H500" s="9"/>
      <c r="I500" s="9"/>
      <c r="J500" s="12"/>
      <c r="K500" s="13"/>
    </row>
    <row r="501">
      <c r="A501" s="6"/>
      <c r="B501" s="6"/>
      <c r="C501" s="17"/>
      <c r="D501" s="9"/>
      <c r="E501" s="9"/>
      <c r="F501" s="16"/>
      <c r="G501" s="11"/>
      <c r="H501" s="9"/>
      <c r="I501" s="9"/>
      <c r="J501" s="12"/>
      <c r="K501" s="13"/>
    </row>
    <row r="502">
      <c r="A502" s="6"/>
      <c r="B502" s="6"/>
      <c r="C502" s="17"/>
      <c r="D502" s="9"/>
      <c r="E502" s="9"/>
      <c r="F502" s="16"/>
      <c r="G502" s="11"/>
      <c r="H502" s="9"/>
      <c r="I502" s="9"/>
      <c r="J502" s="12"/>
      <c r="K502" s="13"/>
    </row>
    <row r="503">
      <c r="A503" s="6"/>
      <c r="B503" s="6"/>
      <c r="C503" s="17"/>
      <c r="D503" s="9"/>
      <c r="E503" s="9"/>
      <c r="F503" s="16"/>
      <c r="G503" s="11"/>
      <c r="H503" s="9"/>
      <c r="I503" s="9"/>
      <c r="J503" s="12"/>
      <c r="K503" s="13"/>
    </row>
    <row r="504">
      <c r="A504" s="6"/>
      <c r="B504" s="6"/>
      <c r="C504" s="17"/>
      <c r="D504" s="9"/>
      <c r="E504" s="9"/>
      <c r="F504" s="16"/>
      <c r="G504" s="11"/>
      <c r="H504" s="9"/>
      <c r="I504" s="9"/>
      <c r="J504" s="12"/>
      <c r="K504" s="13"/>
    </row>
    <row r="505">
      <c r="A505" s="6"/>
      <c r="B505" s="6"/>
      <c r="C505" s="17"/>
      <c r="D505" s="9"/>
      <c r="E505" s="9"/>
      <c r="F505" s="16"/>
      <c r="G505" s="11"/>
      <c r="H505" s="9"/>
      <c r="I505" s="9"/>
      <c r="J505" s="12"/>
      <c r="K505" s="13"/>
    </row>
    <row r="506">
      <c r="A506" s="6"/>
      <c r="B506" s="6"/>
      <c r="C506" s="17"/>
      <c r="D506" s="9"/>
      <c r="E506" s="9"/>
      <c r="F506" s="16"/>
      <c r="G506" s="11"/>
      <c r="H506" s="9"/>
      <c r="I506" s="9"/>
      <c r="J506" s="12"/>
      <c r="K506" s="13"/>
    </row>
    <row r="507">
      <c r="A507" s="6"/>
      <c r="B507" s="6"/>
      <c r="C507" s="17"/>
      <c r="D507" s="9"/>
      <c r="E507" s="9"/>
      <c r="F507" s="16"/>
      <c r="G507" s="11"/>
      <c r="H507" s="9"/>
      <c r="I507" s="9"/>
      <c r="J507" s="12"/>
      <c r="K507" s="13"/>
    </row>
    <row r="508">
      <c r="A508" s="6"/>
      <c r="B508" s="6"/>
      <c r="C508" s="17"/>
      <c r="D508" s="9"/>
      <c r="E508" s="9"/>
      <c r="F508" s="16"/>
      <c r="G508" s="11"/>
      <c r="H508" s="9"/>
      <c r="I508" s="9"/>
      <c r="J508" s="12"/>
      <c r="K508" s="13"/>
    </row>
    <row r="509">
      <c r="A509" s="6"/>
      <c r="B509" s="6"/>
      <c r="C509" s="17"/>
      <c r="D509" s="9"/>
      <c r="E509" s="9"/>
      <c r="F509" s="16"/>
      <c r="G509" s="11"/>
      <c r="H509" s="9"/>
      <c r="I509" s="9"/>
      <c r="J509" s="12"/>
      <c r="K509" s="13"/>
    </row>
    <row r="510">
      <c r="A510" s="6"/>
      <c r="B510" s="6"/>
      <c r="C510" s="17"/>
      <c r="D510" s="9"/>
      <c r="E510" s="9"/>
      <c r="F510" s="16"/>
      <c r="G510" s="11"/>
      <c r="H510" s="9"/>
      <c r="I510" s="9"/>
      <c r="J510" s="12"/>
      <c r="K510" s="13"/>
    </row>
    <row r="511">
      <c r="A511" s="6"/>
      <c r="B511" s="6"/>
      <c r="C511" s="17"/>
      <c r="D511" s="9"/>
      <c r="E511" s="9"/>
      <c r="F511" s="16"/>
      <c r="G511" s="11"/>
      <c r="H511" s="9"/>
      <c r="I511" s="9"/>
      <c r="J511" s="12"/>
      <c r="K511" s="13"/>
    </row>
    <row r="512">
      <c r="A512" s="6"/>
      <c r="B512" s="6"/>
      <c r="C512" s="17"/>
      <c r="D512" s="9"/>
      <c r="E512" s="9"/>
      <c r="F512" s="16"/>
      <c r="G512" s="11"/>
      <c r="H512" s="9"/>
      <c r="I512" s="9"/>
      <c r="J512" s="12"/>
      <c r="K512" s="13"/>
    </row>
    <row r="513">
      <c r="A513" s="6"/>
      <c r="B513" s="6"/>
      <c r="C513" s="17"/>
      <c r="D513" s="9"/>
      <c r="E513" s="9"/>
      <c r="F513" s="16"/>
      <c r="G513" s="11"/>
      <c r="H513" s="9"/>
      <c r="I513" s="9"/>
      <c r="J513" s="12"/>
      <c r="K513" s="13"/>
    </row>
    <row r="514">
      <c r="A514" s="6"/>
      <c r="B514" s="6"/>
      <c r="C514" s="17"/>
      <c r="D514" s="9"/>
      <c r="E514" s="9"/>
      <c r="F514" s="16"/>
      <c r="G514" s="11"/>
      <c r="H514" s="9"/>
      <c r="I514" s="9"/>
      <c r="J514" s="12"/>
      <c r="K514" s="13"/>
    </row>
    <row r="515">
      <c r="A515" s="6"/>
      <c r="B515" s="6"/>
      <c r="C515" s="17"/>
      <c r="D515" s="9"/>
      <c r="E515" s="9"/>
      <c r="F515" s="16"/>
      <c r="G515" s="11"/>
      <c r="H515" s="9"/>
      <c r="I515" s="9"/>
      <c r="J515" s="12"/>
      <c r="K515" s="13"/>
    </row>
    <row r="516">
      <c r="A516" s="6"/>
      <c r="B516" s="6"/>
      <c r="C516" s="17"/>
      <c r="D516" s="9"/>
      <c r="E516" s="9"/>
      <c r="F516" s="16"/>
      <c r="G516" s="11"/>
      <c r="H516" s="9"/>
      <c r="I516" s="9"/>
      <c r="J516" s="12"/>
      <c r="K516" s="13"/>
    </row>
    <row r="517">
      <c r="A517" s="6"/>
      <c r="B517" s="6"/>
      <c r="C517" s="17"/>
      <c r="D517" s="9"/>
      <c r="E517" s="9"/>
      <c r="F517" s="16"/>
      <c r="G517" s="11"/>
      <c r="H517" s="9"/>
      <c r="I517" s="9"/>
      <c r="J517" s="12"/>
      <c r="K517" s="13"/>
    </row>
    <row r="518">
      <c r="A518" s="6"/>
      <c r="B518" s="6"/>
      <c r="C518" s="17"/>
      <c r="D518" s="9"/>
      <c r="E518" s="9"/>
      <c r="F518" s="16"/>
      <c r="G518" s="11"/>
      <c r="H518" s="9"/>
      <c r="I518" s="9"/>
      <c r="J518" s="12"/>
      <c r="K518" s="13"/>
    </row>
    <row r="519">
      <c r="A519" s="6"/>
      <c r="B519" s="6"/>
      <c r="C519" s="17"/>
      <c r="D519" s="9"/>
      <c r="E519" s="9"/>
      <c r="F519" s="16"/>
      <c r="G519" s="11"/>
      <c r="H519" s="9"/>
      <c r="I519" s="9"/>
      <c r="J519" s="12"/>
      <c r="K519" s="13"/>
    </row>
    <row r="520">
      <c r="A520" s="6"/>
      <c r="B520" s="6"/>
      <c r="C520" s="17"/>
      <c r="D520" s="9"/>
      <c r="E520" s="9"/>
      <c r="F520" s="16"/>
      <c r="G520" s="11"/>
      <c r="H520" s="9"/>
      <c r="I520" s="9"/>
      <c r="J520" s="12"/>
      <c r="K520" s="13"/>
    </row>
    <row r="521">
      <c r="A521" s="6"/>
      <c r="B521" s="6"/>
      <c r="C521" s="17"/>
      <c r="D521" s="9"/>
      <c r="E521" s="9"/>
      <c r="F521" s="16"/>
      <c r="G521" s="11"/>
      <c r="H521" s="9"/>
      <c r="I521" s="9"/>
      <c r="J521" s="12"/>
      <c r="K521" s="13"/>
    </row>
    <row r="522">
      <c r="A522" s="6"/>
      <c r="B522" s="6"/>
      <c r="C522" s="17"/>
      <c r="D522" s="9"/>
      <c r="E522" s="9"/>
      <c r="F522" s="16"/>
      <c r="G522" s="11"/>
      <c r="H522" s="9"/>
      <c r="I522" s="9"/>
      <c r="J522" s="12"/>
      <c r="K522" s="13"/>
    </row>
    <row r="523">
      <c r="A523" s="6"/>
      <c r="B523" s="6"/>
      <c r="C523" s="17"/>
      <c r="D523" s="9"/>
      <c r="E523" s="9"/>
      <c r="F523" s="16"/>
      <c r="G523" s="11"/>
      <c r="H523" s="9"/>
      <c r="I523" s="9"/>
      <c r="J523" s="12"/>
      <c r="K523" s="13"/>
    </row>
    <row r="524">
      <c r="A524" s="6"/>
      <c r="B524" s="6"/>
      <c r="C524" s="17"/>
      <c r="D524" s="9"/>
      <c r="E524" s="9"/>
      <c r="F524" s="16"/>
      <c r="G524" s="11"/>
      <c r="H524" s="9"/>
      <c r="I524" s="9"/>
      <c r="J524" s="12"/>
      <c r="K524" s="13"/>
    </row>
    <row r="525">
      <c r="A525" s="6"/>
      <c r="B525" s="6"/>
      <c r="C525" s="17"/>
      <c r="D525" s="9"/>
      <c r="E525" s="9"/>
      <c r="F525" s="16"/>
      <c r="G525" s="11"/>
      <c r="H525" s="9"/>
      <c r="I525" s="9"/>
      <c r="J525" s="12"/>
      <c r="K525" s="13"/>
    </row>
    <row r="526">
      <c r="A526" s="6"/>
      <c r="B526" s="6"/>
      <c r="C526" s="17"/>
      <c r="D526" s="9"/>
      <c r="E526" s="9"/>
      <c r="F526" s="16"/>
      <c r="G526" s="11"/>
      <c r="H526" s="9"/>
      <c r="I526" s="9"/>
      <c r="J526" s="12"/>
      <c r="K526" s="13"/>
    </row>
    <row r="527">
      <c r="A527" s="6"/>
      <c r="B527" s="6"/>
      <c r="C527" s="17"/>
      <c r="D527" s="9"/>
      <c r="E527" s="9"/>
      <c r="F527" s="16"/>
      <c r="G527" s="11"/>
      <c r="H527" s="9"/>
      <c r="I527" s="9"/>
      <c r="J527" s="12"/>
      <c r="K527" s="13"/>
    </row>
    <row r="528">
      <c r="A528" s="6"/>
      <c r="B528" s="6"/>
      <c r="C528" s="17"/>
      <c r="D528" s="9"/>
      <c r="E528" s="9"/>
      <c r="F528" s="16"/>
      <c r="G528" s="11"/>
      <c r="H528" s="9"/>
      <c r="I528" s="9"/>
      <c r="J528" s="12"/>
      <c r="K528" s="13"/>
    </row>
    <row r="529">
      <c r="A529" s="6"/>
      <c r="B529" s="6"/>
      <c r="C529" s="17"/>
      <c r="D529" s="9"/>
      <c r="E529" s="9"/>
      <c r="F529" s="16"/>
      <c r="G529" s="11"/>
      <c r="H529" s="9"/>
      <c r="I529" s="9"/>
      <c r="J529" s="12"/>
      <c r="K529" s="13"/>
    </row>
    <row r="530">
      <c r="A530" s="6"/>
      <c r="B530" s="6"/>
      <c r="C530" s="17"/>
      <c r="D530" s="9"/>
      <c r="E530" s="9"/>
      <c r="F530" s="16"/>
      <c r="G530" s="11"/>
      <c r="H530" s="9"/>
      <c r="I530" s="9"/>
      <c r="J530" s="12"/>
      <c r="K530" s="13"/>
    </row>
    <row r="531">
      <c r="A531" s="6"/>
      <c r="B531" s="6"/>
      <c r="C531" s="17"/>
      <c r="D531" s="9"/>
      <c r="E531" s="9"/>
      <c r="F531" s="16"/>
      <c r="G531" s="11"/>
      <c r="H531" s="9"/>
      <c r="I531" s="9"/>
      <c r="J531" s="12"/>
      <c r="K531" s="13"/>
    </row>
    <row r="532">
      <c r="A532" s="6"/>
      <c r="B532" s="6"/>
      <c r="C532" s="17"/>
      <c r="D532" s="9"/>
      <c r="E532" s="9"/>
      <c r="F532" s="16"/>
      <c r="G532" s="11"/>
      <c r="H532" s="9"/>
      <c r="I532" s="9"/>
      <c r="J532" s="12"/>
      <c r="K532" s="13"/>
    </row>
    <row r="533">
      <c r="A533" s="6"/>
      <c r="B533" s="6"/>
      <c r="C533" s="17"/>
      <c r="D533" s="9"/>
      <c r="E533" s="9"/>
      <c r="F533" s="16"/>
      <c r="G533" s="11"/>
      <c r="H533" s="9"/>
      <c r="I533" s="9"/>
      <c r="J533" s="12"/>
      <c r="K533" s="13"/>
    </row>
    <row r="534">
      <c r="A534" s="6"/>
      <c r="B534" s="6"/>
      <c r="C534" s="17"/>
      <c r="D534" s="9"/>
      <c r="E534" s="9"/>
      <c r="F534" s="16"/>
      <c r="G534" s="11"/>
      <c r="H534" s="9"/>
      <c r="I534" s="9"/>
      <c r="J534" s="12"/>
      <c r="K534" s="13"/>
    </row>
    <row r="535">
      <c r="A535" s="6"/>
      <c r="B535" s="6"/>
      <c r="C535" s="17"/>
      <c r="D535" s="9"/>
      <c r="E535" s="9"/>
      <c r="F535" s="16"/>
      <c r="G535" s="11"/>
      <c r="H535" s="9"/>
      <c r="I535" s="9"/>
      <c r="J535" s="12"/>
      <c r="K535" s="13"/>
    </row>
    <row r="536">
      <c r="A536" s="6"/>
      <c r="B536" s="6"/>
      <c r="C536" s="17"/>
      <c r="D536" s="9"/>
      <c r="E536" s="9"/>
      <c r="F536" s="16"/>
      <c r="G536" s="11"/>
      <c r="H536" s="9"/>
      <c r="I536" s="9"/>
      <c r="J536" s="12"/>
      <c r="K536" s="13"/>
    </row>
    <row r="537">
      <c r="A537" s="6"/>
      <c r="B537" s="6"/>
      <c r="C537" s="17"/>
      <c r="D537" s="9"/>
      <c r="E537" s="9"/>
      <c r="F537" s="16"/>
      <c r="G537" s="11"/>
      <c r="H537" s="9"/>
      <c r="I537" s="9"/>
      <c r="J537" s="12"/>
      <c r="K537" s="13"/>
    </row>
    <row r="538">
      <c r="A538" s="6"/>
      <c r="B538" s="6"/>
      <c r="C538" s="17"/>
      <c r="D538" s="9"/>
      <c r="E538" s="9"/>
      <c r="F538" s="16"/>
      <c r="G538" s="11"/>
      <c r="H538" s="9"/>
      <c r="I538" s="9"/>
      <c r="J538" s="12"/>
      <c r="K538" s="13"/>
    </row>
    <row r="539">
      <c r="A539" s="6"/>
      <c r="B539" s="6"/>
      <c r="C539" s="17"/>
      <c r="D539" s="9"/>
      <c r="E539" s="9"/>
      <c r="F539" s="16"/>
      <c r="G539" s="11"/>
      <c r="H539" s="9"/>
      <c r="I539" s="9"/>
      <c r="J539" s="12"/>
      <c r="K539" s="13"/>
    </row>
    <row r="540">
      <c r="A540" s="6"/>
      <c r="B540" s="6"/>
      <c r="C540" s="17"/>
      <c r="D540" s="9"/>
      <c r="E540" s="9"/>
      <c r="F540" s="16"/>
      <c r="G540" s="11"/>
      <c r="H540" s="9"/>
      <c r="I540" s="9"/>
      <c r="J540" s="12"/>
      <c r="K540" s="13"/>
    </row>
    <row r="541">
      <c r="A541" s="6"/>
      <c r="B541" s="6"/>
      <c r="C541" s="17"/>
      <c r="D541" s="9"/>
      <c r="E541" s="9"/>
      <c r="F541" s="16"/>
      <c r="G541" s="11"/>
      <c r="H541" s="9"/>
      <c r="I541" s="9"/>
      <c r="J541" s="12"/>
      <c r="K541" s="13"/>
    </row>
    <row r="542">
      <c r="A542" s="6"/>
      <c r="B542" s="6"/>
      <c r="C542" s="17"/>
      <c r="D542" s="9"/>
      <c r="E542" s="9"/>
      <c r="F542" s="16"/>
      <c r="G542" s="11"/>
      <c r="H542" s="9"/>
      <c r="I542" s="9"/>
      <c r="J542" s="12"/>
      <c r="K542" s="13"/>
    </row>
    <row r="543">
      <c r="A543" s="6"/>
      <c r="B543" s="6"/>
      <c r="C543" s="17"/>
      <c r="D543" s="9"/>
      <c r="E543" s="9"/>
      <c r="F543" s="16"/>
      <c r="G543" s="11"/>
      <c r="H543" s="9"/>
      <c r="I543" s="9"/>
      <c r="J543" s="12"/>
      <c r="K543" s="13"/>
    </row>
    <row r="544">
      <c r="A544" s="6"/>
      <c r="B544" s="6"/>
      <c r="C544" s="17"/>
      <c r="D544" s="9"/>
      <c r="E544" s="9"/>
      <c r="F544" s="16"/>
      <c r="G544" s="11"/>
      <c r="H544" s="9"/>
      <c r="I544" s="9"/>
      <c r="J544" s="12"/>
      <c r="K544" s="13"/>
    </row>
    <row r="545">
      <c r="A545" s="6"/>
      <c r="B545" s="6"/>
      <c r="C545" s="17"/>
      <c r="D545" s="9"/>
      <c r="E545" s="9"/>
      <c r="F545" s="16"/>
      <c r="G545" s="11"/>
      <c r="H545" s="9"/>
      <c r="I545" s="9"/>
      <c r="J545" s="12"/>
      <c r="K545" s="13"/>
    </row>
    <row r="546">
      <c r="A546" s="6"/>
      <c r="B546" s="6"/>
      <c r="C546" s="17"/>
      <c r="D546" s="9"/>
      <c r="E546" s="9"/>
      <c r="F546" s="16"/>
      <c r="G546" s="11"/>
      <c r="H546" s="9"/>
      <c r="I546" s="9"/>
      <c r="J546" s="12"/>
      <c r="K546" s="13"/>
    </row>
    <row r="547">
      <c r="A547" s="6"/>
      <c r="B547" s="6"/>
      <c r="C547" s="17"/>
      <c r="D547" s="9"/>
      <c r="E547" s="9"/>
      <c r="F547" s="16"/>
      <c r="G547" s="11"/>
      <c r="H547" s="9"/>
      <c r="I547" s="9"/>
      <c r="J547" s="12"/>
      <c r="K547" s="13"/>
    </row>
    <row r="548">
      <c r="A548" s="6"/>
      <c r="B548" s="6"/>
      <c r="C548" s="17"/>
      <c r="D548" s="9"/>
      <c r="E548" s="9"/>
      <c r="F548" s="16"/>
      <c r="G548" s="11"/>
      <c r="H548" s="9"/>
      <c r="I548" s="9"/>
      <c r="J548" s="12"/>
      <c r="K548" s="13"/>
    </row>
    <row r="549">
      <c r="A549" s="6"/>
      <c r="B549" s="6"/>
      <c r="C549" s="17"/>
      <c r="D549" s="9"/>
      <c r="E549" s="9"/>
      <c r="F549" s="16"/>
      <c r="G549" s="11"/>
      <c r="H549" s="9"/>
      <c r="I549" s="9"/>
      <c r="J549" s="12"/>
      <c r="K549" s="13"/>
    </row>
    <row r="550">
      <c r="A550" s="6"/>
      <c r="B550" s="6"/>
      <c r="C550" s="17"/>
      <c r="D550" s="9"/>
      <c r="E550" s="9"/>
      <c r="F550" s="16"/>
      <c r="G550" s="11"/>
      <c r="H550" s="9"/>
      <c r="I550" s="9"/>
      <c r="J550" s="12"/>
      <c r="K550" s="13"/>
    </row>
    <row r="551">
      <c r="A551" s="6"/>
      <c r="B551" s="6"/>
      <c r="C551" s="17"/>
      <c r="D551" s="9"/>
      <c r="E551" s="9"/>
      <c r="F551" s="16"/>
      <c r="G551" s="11"/>
      <c r="H551" s="9"/>
      <c r="I551" s="9"/>
      <c r="J551" s="12"/>
      <c r="K551" s="13"/>
    </row>
    <row r="552">
      <c r="A552" s="6"/>
      <c r="B552" s="6"/>
      <c r="C552" s="17"/>
      <c r="D552" s="9"/>
      <c r="E552" s="9"/>
      <c r="F552" s="16"/>
      <c r="G552" s="11"/>
      <c r="H552" s="9"/>
      <c r="I552" s="9"/>
      <c r="J552" s="12"/>
      <c r="K552" s="13"/>
    </row>
    <row r="553">
      <c r="A553" s="6"/>
      <c r="B553" s="6"/>
      <c r="C553" s="17"/>
      <c r="D553" s="9"/>
      <c r="E553" s="9"/>
      <c r="F553" s="16"/>
      <c r="G553" s="11"/>
      <c r="H553" s="9"/>
      <c r="I553" s="9"/>
      <c r="J553" s="12"/>
      <c r="K553" s="13"/>
    </row>
    <row r="554">
      <c r="A554" s="6"/>
      <c r="B554" s="6"/>
      <c r="C554" s="17"/>
      <c r="D554" s="9"/>
      <c r="E554" s="9"/>
      <c r="F554" s="16"/>
      <c r="G554" s="11"/>
      <c r="H554" s="9"/>
      <c r="I554" s="9"/>
      <c r="J554" s="12"/>
      <c r="K554" s="13"/>
    </row>
    <row r="555">
      <c r="A555" s="6"/>
      <c r="B555" s="6"/>
      <c r="C555" s="17"/>
      <c r="D555" s="9"/>
      <c r="E555" s="9"/>
      <c r="F555" s="16"/>
      <c r="G555" s="11"/>
      <c r="H555" s="9"/>
      <c r="I555" s="9"/>
      <c r="J555" s="12"/>
      <c r="K555" s="13"/>
    </row>
    <row r="556">
      <c r="A556" s="6"/>
      <c r="B556" s="6"/>
      <c r="C556" s="17"/>
      <c r="D556" s="9"/>
      <c r="E556" s="9"/>
      <c r="F556" s="16"/>
      <c r="G556" s="11"/>
      <c r="H556" s="9"/>
      <c r="I556" s="9"/>
      <c r="J556" s="12"/>
      <c r="K556" s="13"/>
    </row>
    <row r="557">
      <c r="A557" s="6"/>
      <c r="B557" s="6"/>
      <c r="C557" s="17"/>
      <c r="D557" s="9"/>
      <c r="E557" s="9"/>
      <c r="F557" s="16"/>
      <c r="G557" s="11"/>
      <c r="H557" s="9"/>
      <c r="I557" s="9"/>
      <c r="J557" s="12"/>
      <c r="K557" s="13"/>
    </row>
    <row r="558">
      <c r="A558" s="6"/>
      <c r="B558" s="6"/>
      <c r="C558" s="17"/>
      <c r="D558" s="9"/>
      <c r="E558" s="9"/>
      <c r="F558" s="16"/>
      <c r="G558" s="11"/>
      <c r="H558" s="9"/>
      <c r="I558" s="9"/>
      <c r="J558" s="12"/>
      <c r="K558" s="13"/>
    </row>
    <row r="559">
      <c r="A559" s="6"/>
      <c r="B559" s="6"/>
      <c r="C559" s="17"/>
      <c r="D559" s="9"/>
      <c r="E559" s="9"/>
      <c r="F559" s="16"/>
      <c r="G559" s="11"/>
      <c r="H559" s="9"/>
      <c r="I559" s="9"/>
      <c r="J559" s="12"/>
      <c r="K559" s="13"/>
    </row>
    <row r="560">
      <c r="A560" s="6"/>
      <c r="B560" s="6"/>
      <c r="C560" s="17"/>
      <c r="D560" s="9"/>
      <c r="E560" s="9"/>
      <c r="F560" s="16"/>
      <c r="G560" s="11"/>
      <c r="H560" s="9"/>
      <c r="I560" s="9"/>
      <c r="J560" s="12"/>
      <c r="K560" s="13"/>
    </row>
    <row r="561">
      <c r="A561" s="6"/>
      <c r="B561" s="6"/>
      <c r="C561" s="17"/>
      <c r="D561" s="9"/>
      <c r="E561" s="9"/>
      <c r="F561" s="16"/>
      <c r="G561" s="11"/>
      <c r="H561" s="9"/>
      <c r="I561" s="9"/>
      <c r="J561" s="12"/>
      <c r="K561" s="13"/>
    </row>
    <row r="562">
      <c r="A562" s="6"/>
      <c r="B562" s="6"/>
      <c r="C562" s="17"/>
      <c r="D562" s="9"/>
      <c r="E562" s="9"/>
      <c r="F562" s="16"/>
      <c r="G562" s="11"/>
      <c r="H562" s="9"/>
      <c r="I562" s="9"/>
      <c r="J562" s="12"/>
      <c r="K562" s="13"/>
    </row>
    <row r="563">
      <c r="A563" s="6"/>
      <c r="B563" s="6"/>
      <c r="C563" s="17"/>
      <c r="D563" s="9"/>
      <c r="E563" s="9"/>
      <c r="F563" s="16"/>
      <c r="G563" s="11"/>
      <c r="H563" s="9"/>
      <c r="I563" s="9"/>
      <c r="J563" s="12"/>
      <c r="K563" s="13"/>
    </row>
    <row r="564">
      <c r="A564" s="6"/>
      <c r="B564" s="6"/>
      <c r="C564" s="17"/>
      <c r="D564" s="9"/>
      <c r="E564" s="9"/>
      <c r="F564" s="16"/>
      <c r="G564" s="11"/>
      <c r="H564" s="9"/>
      <c r="I564" s="9"/>
      <c r="J564" s="12"/>
      <c r="K564" s="13"/>
    </row>
    <row r="565">
      <c r="A565" s="6"/>
      <c r="B565" s="6"/>
      <c r="C565" s="17"/>
      <c r="D565" s="9"/>
      <c r="E565" s="9"/>
      <c r="F565" s="16"/>
      <c r="G565" s="11"/>
      <c r="H565" s="9"/>
      <c r="I565" s="9"/>
      <c r="J565" s="12"/>
      <c r="K565" s="13"/>
    </row>
    <row r="566">
      <c r="A566" s="6"/>
      <c r="B566" s="6"/>
      <c r="C566" s="17"/>
      <c r="D566" s="9"/>
      <c r="E566" s="9"/>
      <c r="F566" s="16"/>
      <c r="G566" s="11"/>
      <c r="H566" s="9"/>
      <c r="I566" s="9"/>
      <c r="J566" s="12"/>
      <c r="K566" s="13"/>
    </row>
    <row r="567">
      <c r="A567" s="6"/>
      <c r="B567" s="6"/>
      <c r="C567" s="17"/>
      <c r="D567" s="9"/>
      <c r="E567" s="9"/>
      <c r="F567" s="16"/>
      <c r="G567" s="11"/>
      <c r="H567" s="9"/>
      <c r="I567" s="9"/>
      <c r="J567" s="12"/>
      <c r="K567" s="13"/>
    </row>
    <row r="568">
      <c r="A568" s="6"/>
      <c r="B568" s="6"/>
      <c r="C568" s="17"/>
      <c r="D568" s="9"/>
      <c r="E568" s="9"/>
      <c r="F568" s="16"/>
      <c r="G568" s="11"/>
      <c r="H568" s="9"/>
      <c r="I568" s="9"/>
      <c r="J568" s="12"/>
      <c r="K568" s="13"/>
    </row>
    <row r="569">
      <c r="A569" s="6"/>
      <c r="B569" s="6"/>
      <c r="C569" s="17"/>
      <c r="D569" s="9"/>
      <c r="E569" s="9"/>
      <c r="F569" s="16"/>
      <c r="G569" s="11"/>
      <c r="H569" s="9"/>
      <c r="I569" s="9"/>
      <c r="J569" s="12"/>
      <c r="K569" s="13"/>
    </row>
    <row r="570">
      <c r="A570" s="6"/>
      <c r="B570" s="6"/>
      <c r="C570" s="17"/>
      <c r="D570" s="9"/>
      <c r="E570" s="9"/>
      <c r="F570" s="16"/>
      <c r="G570" s="11"/>
      <c r="H570" s="9"/>
      <c r="I570" s="9"/>
      <c r="J570" s="12"/>
      <c r="K570" s="13"/>
    </row>
    <row r="571">
      <c r="A571" s="6"/>
      <c r="B571" s="6"/>
      <c r="C571" s="17"/>
      <c r="D571" s="9"/>
      <c r="E571" s="9"/>
      <c r="F571" s="16"/>
      <c r="G571" s="11"/>
      <c r="H571" s="9"/>
      <c r="I571" s="9"/>
      <c r="J571" s="12"/>
      <c r="K571" s="13"/>
    </row>
    <row r="572">
      <c r="A572" s="6"/>
      <c r="B572" s="6"/>
      <c r="C572" s="17"/>
      <c r="D572" s="9"/>
      <c r="E572" s="9"/>
      <c r="F572" s="16"/>
      <c r="G572" s="11"/>
      <c r="H572" s="9"/>
      <c r="I572" s="9"/>
      <c r="J572" s="12"/>
      <c r="K572" s="13"/>
    </row>
    <row r="573">
      <c r="A573" s="6"/>
      <c r="B573" s="6"/>
      <c r="C573" s="17"/>
      <c r="D573" s="9"/>
      <c r="E573" s="9"/>
      <c r="F573" s="16"/>
      <c r="G573" s="11"/>
      <c r="H573" s="9"/>
      <c r="I573" s="9"/>
      <c r="J573" s="12"/>
      <c r="K573" s="13"/>
    </row>
    <row r="574">
      <c r="A574" s="6"/>
      <c r="B574" s="6"/>
      <c r="C574" s="17"/>
      <c r="D574" s="9"/>
      <c r="E574" s="9"/>
      <c r="F574" s="16"/>
      <c r="G574" s="11"/>
      <c r="H574" s="9"/>
      <c r="I574" s="9"/>
      <c r="J574" s="12"/>
      <c r="K574" s="13"/>
    </row>
    <row r="575">
      <c r="A575" s="6"/>
      <c r="B575" s="6"/>
      <c r="C575" s="17"/>
      <c r="D575" s="9"/>
      <c r="E575" s="9"/>
      <c r="F575" s="16"/>
      <c r="G575" s="11"/>
      <c r="H575" s="9"/>
      <c r="I575" s="9"/>
      <c r="J575" s="12"/>
      <c r="K575" s="13"/>
    </row>
    <row r="576">
      <c r="A576" s="6"/>
      <c r="B576" s="6"/>
      <c r="C576" s="17"/>
      <c r="D576" s="9"/>
      <c r="E576" s="9"/>
      <c r="F576" s="16"/>
      <c r="G576" s="11"/>
      <c r="H576" s="9"/>
      <c r="I576" s="9"/>
      <c r="J576" s="12"/>
      <c r="K576" s="13"/>
    </row>
    <row r="577">
      <c r="A577" s="6"/>
      <c r="B577" s="6"/>
      <c r="C577" s="17"/>
      <c r="D577" s="9"/>
      <c r="E577" s="9"/>
      <c r="F577" s="16"/>
      <c r="G577" s="11"/>
      <c r="H577" s="9"/>
      <c r="I577" s="9"/>
      <c r="J577" s="12"/>
      <c r="K577" s="13"/>
    </row>
    <row r="578">
      <c r="A578" s="6"/>
      <c r="B578" s="6"/>
      <c r="C578" s="17"/>
      <c r="D578" s="9"/>
      <c r="E578" s="9"/>
      <c r="F578" s="16"/>
      <c r="G578" s="11"/>
      <c r="H578" s="9"/>
      <c r="I578" s="9"/>
      <c r="J578" s="12"/>
      <c r="K578" s="13"/>
    </row>
    <row r="579">
      <c r="A579" s="6"/>
      <c r="B579" s="6"/>
      <c r="C579" s="17"/>
      <c r="D579" s="9"/>
      <c r="E579" s="9"/>
      <c r="F579" s="16"/>
      <c r="G579" s="11"/>
      <c r="H579" s="9"/>
      <c r="I579" s="9"/>
      <c r="J579" s="12"/>
      <c r="K579" s="13"/>
    </row>
    <row r="580">
      <c r="A580" s="6"/>
      <c r="B580" s="6"/>
      <c r="C580" s="17"/>
      <c r="D580" s="9"/>
      <c r="E580" s="9"/>
      <c r="F580" s="16"/>
      <c r="G580" s="11"/>
      <c r="H580" s="9"/>
      <c r="I580" s="9"/>
      <c r="J580" s="12"/>
      <c r="K580" s="13"/>
    </row>
    <row r="581">
      <c r="A581" s="6"/>
      <c r="B581" s="6"/>
      <c r="C581" s="17"/>
      <c r="D581" s="9"/>
      <c r="E581" s="9"/>
      <c r="F581" s="16"/>
      <c r="G581" s="11"/>
      <c r="H581" s="9"/>
      <c r="I581" s="9"/>
      <c r="J581" s="12"/>
      <c r="K581" s="13"/>
    </row>
    <row r="582">
      <c r="A582" s="6"/>
      <c r="B582" s="6"/>
      <c r="C582" s="17"/>
      <c r="D582" s="9"/>
      <c r="E582" s="9"/>
      <c r="F582" s="16"/>
      <c r="G582" s="11"/>
      <c r="H582" s="9"/>
      <c r="I582" s="9"/>
      <c r="J582" s="12"/>
      <c r="K582" s="13"/>
    </row>
    <row r="583">
      <c r="A583" s="6"/>
      <c r="B583" s="6"/>
      <c r="C583" s="17"/>
      <c r="D583" s="9"/>
      <c r="E583" s="9"/>
      <c r="F583" s="16"/>
      <c r="G583" s="11"/>
      <c r="H583" s="9"/>
      <c r="I583" s="9"/>
      <c r="J583" s="12"/>
      <c r="K583" s="13"/>
    </row>
    <row r="584">
      <c r="A584" s="6"/>
      <c r="B584" s="6"/>
      <c r="C584" s="17"/>
      <c r="D584" s="9"/>
      <c r="E584" s="9"/>
      <c r="F584" s="16"/>
      <c r="G584" s="11"/>
      <c r="H584" s="9"/>
      <c r="I584" s="9"/>
      <c r="J584" s="12"/>
      <c r="K584" s="13"/>
    </row>
    <row r="585">
      <c r="A585" s="6"/>
      <c r="B585" s="6"/>
      <c r="C585" s="17"/>
      <c r="D585" s="9"/>
      <c r="E585" s="9"/>
      <c r="F585" s="16"/>
      <c r="G585" s="11"/>
      <c r="H585" s="9"/>
      <c r="I585" s="9"/>
      <c r="J585" s="12"/>
      <c r="K585" s="13"/>
    </row>
    <row r="586">
      <c r="A586" s="6"/>
      <c r="B586" s="6"/>
      <c r="C586" s="17"/>
      <c r="D586" s="9"/>
      <c r="E586" s="9"/>
      <c r="F586" s="16"/>
      <c r="G586" s="11"/>
      <c r="H586" s="9"/>
      <c r="I586" s="9"/>
      <c r="J586" s="12"/>
      <c r="K586" s="13"/>
    </row>
    <row r="587">
      <c r="A587" s="6"/>
      <c r="B587" s="6"/>
      <c r="C587" s="17"/>
      <c r="D587" s="9"/>
      <c r="E587" s="9"/>
      <c r="F587" s="16"/>
      <c r="G587" s="11"/>
      <c r="H587" s="9"/>
      <c r="I587" s="9"/>
      <c r="J587" s="12"/>
      <c r="K587" s="13"/>
    </row>
    <row r="588">
      <c r="A588" s="6"/>
      <c r="B588" s="6"/>
      <c r="C588" s="17"/>
      <c r="D588" s="9"/>
      <c r="E588" s="9"/>
      <c r="F588" s="16"/>
      <c r="G588" s="11"/>
      <c r="H588" s="9"/>
      <c r="I588" s="9"/>
      <c r="J588" s="12"/>
      <c r="K588" s="13"/>
    </row>
    <row r="589">
      <c r="A589" s="6"/>
      <c r="B589" s="6"/>
      <c r="C589" s="17"/>
      <c r="D589" s="9"/>
      <c r="E589" s="9"/>
      <c r="F589" s="16"/>
      <c r="G589" s="11"/>
      <c r="H589" s="9"/>
      <c r="I589" s="9"/>
      <c r="J589" s="12"/>
      <c r="K589" s="13"/>
    </row>
    <row r="590">
      <c r="A590" s="6"/>
      <c r="B590" s="6"/>
      <c r="C590" s="17"/>
      <c r="D590" s="9"/>
      <c r="E590" s="9"/>
      <c r="F590" s="16"/>
      <c r="G590" s="11"/>
      <c r="H590" s="9"/>
      <c r="I590" s="9"/>
      <c r="J590" s="12"/>
      <c r="K590" s="13"/>
    </row>
    <row r="591">
      <c r="A591" s="6"/>
      <c r="B591" s="6"/>
      <c r="C591" s="17"/>
      <c r="D591" s="9"/>
      <c r="E591" s="9"/>
      <c r="F591" s="16"/>
      <c r="G591" s="11"/>
      <c r="H591" s="9"/>
      <c r="I591" s="9"/>
      <c r="J591" s="12"/>
      <c r="K591" s="13"/>
    </row>
    <row r="592">
      <c r="A592" s="6"/>
      <c r="B592" s="6"/>
      <c r="C592" s="17"/>
      <c r="D592" s="9"/>
      <c r="E592" s="9"/>
      <c r="F592" s="16"/>
      <c r="G592" s="11"/>
      <c r="H592" s="9"/>
      <c r="I592" s="9"/>
      <c r="J592" s="12"/>
      <c r="K592" s="13"/>
    </row>
    <row r="593">
      <c r="A593" s="6"/>
      <c r="B593" s="6"/>
      <c r="C593" s="17"/>
      <c r="D593" s="9"/>
      <c r="E593" s="9"/>
      <c r="F593" s="16"/>
      <c r="G593" s="11"/>
      <c r="H593" s="9"/>
      <c r="I593" s="9"/>
      <c r="J593" s="12"/>
      <c r="K593" s="13"/>
    </row>
    <row r="594">
      <c r="A594" s="6"/>
      <c r="B594" s="6"/>
      <c r="C594" s="17"/>
      <c r="D594" s="9"/>
      <c r="E594" s="9"/>
      <c r="F594" s="16"/>
      <c r="G594" s="11"/>
      <c r="H594" s="9"/>
      <c r="I594" s="9"/>
      <c r="J594" s="12"/>
      <c r="K594" s="13"/>
    </row>
    <row r="595">
      <c r="A595" s="6"/>
      <c r="B595" s="6"/>
      <c r="C595" s="17"/>
      <c r="D595" s="9"/>
      <c r="E595" s="9"/>
      <c r="F595" s="16"/>
      <c r="G595" s="11"/>
      <c r="H595" s="9"/>
      <c r="I595" s="9"/>
      <c r="J595" s="12"/>
      <c r="K595" s="13"/>
    </row>
    <row r="596">
      <c r="A596" s="6"/>
      <c r="B596" s="6"/>
      <c r="C596" s="17"/>
      <c r="D596" s="9"/>
      <c r="E596" s="9"/>
      <c r="F596" s="16"/>
      <c r="G596" s="11"/>
      <c r="H596" s="9"/>
      <c r="I596" s="9"/>
      <c r="J596" s="12"/>
      <c r="K596" s="13"/>
    </row>
    <row r="597">
      <c r="A597" s="6"/>
      <c r="B597" s="6"/>
      <c r="C597" s="17"/>
      <c r="D597" s="9"/>
      <c r="E597" s="9"/>
      <c r="F597" s="16"/>
      <c r="G597" s="11"/>
      <c r="H597" s="9"/>
      <c r="I597" s="9"/>
      <c r="J597" s="12"/>
      <c r="K597" s="13"/>
    </row>
    <row r="598">
      <c r="A598" s="6"/>
      <c r="B598" s="6"/>
      <c r="C598" s="17"/>
      <c r="D598" s="9"/>
      <c r="E598" s="9"/>
      <c r="F598" s="16"/>
      <c r="G598" s="11"/>
      <c r="H598" s="9"/>
      <c r="I598" s="9"/>
      <c r="J598" s="12"/>
      <c r="K598" s="13"/>
    </row>
    <row r="599">
      <c r="A599" s="6"/>
      <c r="B599" s="6"/>
      <c r="C599" s="17"/>
      <c r="D599" s="9"/>
      <c r="E599" s="9"/>
      <c r="F599" s="16"/>
      <c r="G599" s="11"/>
      <c r="H599" s="9"/>
      <c r="I599" s="9"/>
      <c r="J599" s="12"/>
      <c r="K599" s="13"/>
    </row>
    <row r="600">
      <c r="A600" s="6"/>
      <c r="B600" s="6"/>
      <c r="C600" s="17"/>
      <c r="D600" s="9"/>
      <c r="E600" s="9"/>
      <c r="F600" s="16"/>
      <c r="G600" s="11"/>
      <c r="H600" s="9"/>
      <c r="I600" s="9"/>
      <c r="J600" s="12"/>
      <c r="K600" s="13"/>
    </row>
    <row r="601">
      <c r="A601" s="6"/>
      <c r="B601" s="6"/>
      <c r="C601" s="17"/>
      <c r="D601" s="9"/>
      <c r="E601" s="9"/>
      <c r="F601" s="16"/>
      <c r="G601" s="11"/>
      <c r="H601" s="9"/>
      <c r="I601" s="9"/>
      <c r="J601" s="12"/>
      <c r="K601" s="13"/>
    </row>
    <row r="602">
      <c r="A602" s="6"/>
      <c r="B602" s="6"/>
      <c r="C602" s="17"/>
      <c r="D602" s="9"/>
      <c r="E602" s="9"/>
      <c r="F602" s="16"/>
      <c r="G602" s="11"/>
      <c r="H602" s="9"/>
      <c r="I602" s="9"/>
      <c r="J602" s="12"/>
      <c r="K602" s="13"/>
    </row>
    <row r="603">
      <c r="A603" s="6"/>
      <c r="B603" s="6"/>
      <c r="C603" s="17"/>
      <c r="D603" s="9"/>
      <c r="E603" s="9"/>
      <c r="F603" s="16"/>
      <c r="G603" s="11"/>
      <c r="H603" s="9"/>
      <c r="I603" s="9"/>
      <c r="J603" s="12"/>
      <c r="K603" s="13"/>
    </row>
    <row r="604">
      <c r="A604" s="6"/>
      <c r="B604" s="6"/>
      <c r="C604" s="17"/>
      <c r="D604" s="9"/>
      <c r="E604" s="9"/>
      <c r="F604" s="16"/>
      <c r="G604" s="11"/>
      <c r="H604" s="9"/>
      <c r="I604" s="9"/>
      <c r="J604" s="12"/>
      <c r="K604" s="13"/>
    </row>
    <row r="605">
      <c r="A605" s="6"/>
      <c r="B605" s="6"/>
      <c r="C605" s="17"/>
      <c r="D605" s="9"/>
      <c r="E605" s="9"/>
      <c r="F605" s="16"/>
      <c r="G605" s="11"/>
      <c r="H605" s="9"/>
      <c r="I605" s="9"/>
      <c r="J605" s="12"/>
      <c r="K605" s="13"/>
    </row>
    <row r="606">
      <c r="A606" s="6"/>
      <c r="B606" s="6"/>
      <c r="C606" s="17"/>
      <c r="D606" s="9"/>
      <c r="E606" s="9"/>
      <c r="F606" s="16"/>
      <c r="G606" s="11"/>
      <c r="H606" s="9"/>
      <c r="I606" s="9"/>
      <c r="J606" s="12"/>
      <c r="K606" s="13"/>
    </row>
    <row r="607">
      <c r="A607" s="6"/>
      <c r="B607" s="6"/>
      <c r="C607" s="17"/>
      <c r="D607" s="9"/>
      <c r="E607" s="9"/>
      <c r="F607" s="16"/>
      <c r="G607" s="11"/>
      <c r="H607" s="9"/>
      <c r="I607" s="9"/>
      <c r="J607" s="12"/>
      <c r="K607" s="13"/>
    </row>
    <row r="608">
      <c r="A608" s="6"/>
      <c r="B608" s="6"/>
      <c r="C608" s="17"/>
      <c r="D608" s="9"/>
      <c r="E608" s="9"/>
      <c r="F608" s="16"/>
      <c r="G608" s="11"/>
      <c r="H608" s="9"/>
      <c r="I608" s="9"/>
      <c r="J608" s="12"/>
      <c r="K608" s="13"/>
    </row>
    <row r="609">
      <c r="A609" s="6"/>
      <c r="B609" s="6"/>
      <c r="C609" s="17"/>
      <c r="D609" s="9"/>
      <c r="E609" s="9"/>
      <c r="F609" s="16"/>
      <c r="G609" s="11"/>
      <c r="H609" s="9"/>
      <c r="I609" s="9"/>
      <c r="J609" s="12"/>
      <c r="K609" s="13"/>
    </row>
    <row r="610">
      <c r="A610" s="6"/>
      <c r="B610" s="6"/>
      <c r="C610" s="17"/>
      <c r="D610" s="9"/>
      <c r="E610" s="9"/>
      <c r="F610" s="16"/>
      <c r="G610" s="11"/>
      <c r="H610" s="9"/>
      <c r="I610" s="9"/>
      <c r="J610" s="12"/>
      <c r="K610" s="13"/>
    </row>
    <row r="611">
      <c r="A611" s="6"/>
      <c r="B611" s="6"/>
      <c r="C611" s="17"/>
      <c r="D611" s="9"/>
      <c r="E611" s="9"/>
      <c r="F611" s="16"/>
      <c r="G611" s="11"/>
      <c r="H611" s="9"/>
      <c r="I611" s="9"/>
      <c r="J611" s="12"/>
      <c r="K611" s="13"/>
    </row>
    <row r="612">
      <c r="A612" s="6"/>
      <c r="B612" s="6"/>
      <c r="C612" s="17"/>
      <c r="D612" s="9"/>
      <c r="E612" s="9"/>
      <c r="F612" s="16"/>
      <c r="G612" s="11"/>
      <c r="H612" s="9"/>
      <c r="I612" s="9"/>
      <c r="J612" s="12"/>
      <c r="K612" s="13"/>
    </row>
    <row r="613">
      <c r="A613" s="6"/>
      <c r="B613" s="6"/>
      <c r="C613" s="17"/>
      <c r="D613" s="9"/>
      <c r="E613" s="9"/>
      <c r="F613" s="16"/>
      <c r="G613" s="11"/>
      <c r="H613" s="9"/>
      <c r="I613" s="9"/>
      <c r="J613" s="12"/>
      <c r="K613" s="13"/>
    </row>
    <row r="614">
      <c r="A614" s="6"/>
      <c r="B614" s="6"/>
      <c r="C614" s="17"/>
      <c r="D614" s="9"/>
      <c r="E614" s="9"/>
      <c r="F614" s="16"/>
      <c r="G614" s="11"/>
      <c r="H614" s="9"/>
      <c r="I614" s="9"/>
      <c r="J614" s="12"/>
      <c r="K614" s="13"/>
    </row>
    <row r="615">
      <c r="A615" s="6"/>
      <c r="B615" s="6"/>
      <c r="C615" s="17"/>
      <c r="D615" s="9"/>
      <c r="E615" s="9"/>
      <c r="F615" s="16"/>
      <c r="G615" s="11"/>
      <c r="H615" s="9"/>
      <c r="I615" s="9"/>
      <c r="J615" s="12"/>
      <c r="K615" s="13"/>
    </row>
    <row r="616">
      <c r="A616" s="6"/>
      <c r="B616" s="6"/>
      <c r="C616" s="17"/>
      <c r="D616" s="9"/>
      <c r="E616" s="9"/>
      <c r="F616" s="16"/>
      <c r="G616" s="11"/>
      <c r="H616" s="9"/>
      <c r="I616" s="9"/>
      <c r="J616" s="12"/>
      <c r="K616" s="13"/>
    </row>
    <row r="617">
      <c r="A617" s="6"/>
      <c r="B617" s="6"/>
      <c r="C617" s="17"/>
      <c r="D617" s="9"/>
      <c r="E617" s="9"/>
      <c r="F617" s="16"/>
      <c r="G617" s="11"/>
      <c r="H617" s="9"/>
      <c r="I617" s="9"/>
      <c r="J617" s="12"/>
      <c r="K617" s="13"/>
    </row>
    <row r="618">
      <c r="A618" s="6"/>
      <c r="B618" s="6"/>
      <c r="C618" s="17"/>
      <c r="D618" s="9"/>
      <c r="E618" s="9"/>
      <c r="F618" s="16"/>
      <c r="G618" s="11"/>
      <c r="H618" s="9"/>
      <c r="I618" s="9"/>
      <c r="J618" s="12"/>
      <c r="K618" s="13"/>
    </row>
    <row r="619">
      <c r="A619" s="6"/>
      <c r="B619" s="6"/>
      <c r="C619" s="17"/>
      <c r="D619" s="9"/>
      <c r="E619" s="9"/>
      <c r="F619" s="16"/>
      <c r="G619" s="11"/>
      <c r="H619" s="9"/>
      <c r="I619" s="9"/>
      <c r="J619" s="12"/>
      <c r="K619" s="13"/>
    </row>
    <row r="620">
      <c r="A620" s="6"/>
      <c r="B620" s="6"/>
      <c r="C620" s="17"/>
      <c r="D620" s="9"/>
      <c r="E620" s="9"/>
      <c r="F620" s="16"/>
      <c r="G620" s="11"/>
      <c r="H620" s="9"/>
      <c r="I620" s="9"/>
      <c r="J620" s="12"/>
      <c r="K620" s="13"/>
    </row>
    <row r="621">
      <c r="A621" s="6"/>
      <c r="B621" s="6"/>
      <c r="C621" s="17"/>
      <c r="D621" s="9"/>
      <c r="E621" s="9"/>
      <c r="F621" s="16"/>
      <c r="G621" s="11"/>
      <c r="H621" s="9"/>
      <c r="I621" s="9"/>
      <c r="J621" s="12"/>
      <c r="K621" s="13"/>
    </row>
    <row r="622">
      <c r="A622" s="6"/>
      <c r="B622" s="6"/>
      <c r="C622" s="17"/>
      <c r="D622" s="9"/>
      <c r="E622" s="9"/>
      <c r="F622" s="16"/>
      <c r="G622" s="11"/>
      <c r="H622" s="9"/>
      <c r="I622" s="9"/>
      <c r="J622" s="12"/>
      <c r="K622" s="13"/>
    </row>
    <row r="623">
      <c r="A623" s="6"/>
      <c r="B623" s="6"/>
      <c r="C623" s="17"/>
      <c r="D623" s="9"/>
      <c r="E623" s="9"/>
      <c r="F623" s="16"/>
      <c r="G623" s="11"/>
      <c r="H623" s="9"/>
      <c r="I623" s="9"/>
      <c r="J623" s="12"/>
      <c r="K623" s="13"/>
    </row>
    <row r="624">
      <c r="A624" s="6"/>
      <c r="B624" s="6"/>
      <c r="C624" s="17"/>
      <c r="D624" s="9"/>
      <c r="E624" s="9"/>
      <c r="F624" s="16"/>
      <c r="G624" s="11"/>
      <c r="H624" s="9"/>
      <c r="I624" s="9"/>
      <c r="J624" s="12"/>
      <c r="K624" s="13"/>
    </row>
    <row r="625">
      <c r="A625" s="6"/>
      <c r="B625" s="6"/>
      <c r="C625" s="17"/>
      <c r="D625" s="9"/>
      <c r="E625" s="9"/>
      <c r="F625" s="16"/>
      <c r="G625" s="11"/>
      <c r="H625" s="9"/>
      <c r="I625" s="9"/>
      <c r="J625" s="12"/>
      <c r="K625" s="13"/>
    </row>
    <row r="626">
      <c r="A626" s="6"/>
      <c r="B626" s="6"/>
      <c r="C626" s="17"/>
      <c r="D626" s="9"/>
      <c r="E626" s="9"/>
      <c r="F626" s="16"/>
      <c r="G626" s="11"/>
      <c r="H626" s="9"/>
      <c r="I626" s="9"/>
      <c r="J626" s="12"/>
      <c r="K626" s="13"/>
    </row>
    <row r="627">
      <c r="A627" s="6"/>
      <c r="B627" s="6"/>
      <c r="C627" s="17"/>
      <c r="D627" s="9"/>
      <c r="E627" s="9"/>
      <c r="F627" s="16"/>
      <c r="G627" s="11"/>
      <c r="H627" s="9"/>
      <c r="I627" s="9"/>
      <c r="J627" s="12"/>
      <c r="K627" s="13"/>
    </row>
    <row r="628">
      <c r="A628" s="6"/>
      <c r="B628" s="6"/>
      <c r="C628" s="17"/>
      <c r="D628" s="9"/>
      <c r="E628" s="9"/>
      <c r="F628" s="16"/>
      <c r="G628" s="11"/>
      <c r="H628" s="9"/>
      <c r="I628" s="9"/>
      <c r="J628" s="12"/>
      <c r="K628" s="13"/>
    </row>
    <row r="629">
      <c r="A629" s="6"/>
      <c r="B629" s="6"/>
      <c r="C629" s="17"/>
      <c r="D629" s="9"/>
      <c r="E629" s="9"/>
      <c r="F629" s="16"/>
      <c r="G629" s="11"/>
      <c r="H629" s="9"/>
      <c r="I629" s="9"/>
      <c r="J629" s="12"/>
      <c r="K629" s="13"/>
    </row>
    <row r="630">
      <c r="A630" s="6"/>
      <c r="B630" s="6"/>
      <c r="C630" s="17"/>
      <c r="D630" s="9"/>
      <c r="E630" s="9"/>
      <c r="F630" s="16"/>
      <c r="G630" s="11"/>
      <c r="H630" s="9"/>
      <c r="I630" s="9"/>
      <c r="J630" s="12"/>
      <c r="K630" s="13"/>
    </row>
    <row r="631">
      <c r="A631" s="6"/>
      <c r="B631" s="6"/>
      <c r="C631" s="17"/>
      <c r="D631" s="9"/>
      <c r="E631" s="9"/>
      <c r="F631" s="16"/>
      <c r="G631" s="11"/>
      <c r="H631" s="9"/>
      <c r="I631" s="9"/>
      <c r="J631" s="12"/>
      <c r="K631" s="13"/>
    </row>
    <row r="632">
      <c r="A632" s="6"/>
      <c r="B632" s="6"/>
      <c r="C632" s="17"/>
      <c r="D632" s="9"/>
      <c r="E632" s="9"/>
      <c r="F632" s="16"/>
      <c r="G632" s="11"/>
      <c r="H632" s="9"/>
      <c r="I632" s="9"/>
      <c r="J632" s="12"/>
      <c r="K632" s="13"/>
    </row>
    <row r="633">
      <c r="A633" s="6"/>
      <c r="B633" s="6"/>
      <c r="C633" s="17"/>
      <c r="D633" s="9"/>
      <c r="E633" s="9"/>
      <c r="F633" s="16"/>
      <c r="G633" s="11"/>
      <c r="H633" s="9"/>
      <c r="I633" s="9"/>
      <c r="J633" s="12"/>
      <c r="K633" s="13"/>
    </row>
    <row r="634">
      <c r="A634" s="6"/>
      <c r="B634" s="6"/>
      <c r="C634" s="17"/>
      <c r="D634" s="9"/>
      <c r="E634" s="9"/>
      <c r="F634" s="16"/>
      <c r="G634" s="11"/>
      <c r="H634" s="9"/>
      <c r="I634" s="9"/>
      <c r="J634" s="12"/>
      <c r="K634" s="13"/>
    </row>
    <row r="635">
      <c r="A635" s="6"/>
      <c r="B635" s="6"/>
      <c r="C635" s="17"/>
      <c r="D635" s="9"/>
      <c r="E635" s="9"/>
      <c r="F635" s="16"/>
      <c r="G635" s="11"/>
      <c r="H635" s="9"/>
      <c r="I635" s="9"/>
      <c r="J635" s="12"/>
      <c r="K635" s="13"/>
    </row>
    <row r="636">
      <c r="A636" s="6"/>
      <c r="B636" s="6"/>
      <c r="C636" s="17"/>
      <c r="D636" s="9"/>
      <c r="E636" s="9"/>
      <c r="F636" s="16"/>
      <c r="G636" s="11"/>
      <c r="H636" s="9"/>
      <c r="I636" s="9"/>
      <c r="J636" s="12"/>
      <c r="K636" s="13"/>
    </row>
    <row r="637">
      <c r="A637" s="6"/>
      <c r="B637" s="6"/>
      <c r="C637" s="17"/>
      <c r="D637" s="9"/>
      <c r="E637" s="9"/>
      <c r="F637" s="16"/>
      <c r="G637" s="11"/>
      <c r="H637" s="9"/>
      <c r="I637" s="9"/>
      <c r="J637" s="12"/>
      <c r="K637" s="13"/>
    </row>
    <row r="638">
      <c r="A638" s="6"/>
      <c r="B638" s="6"/>
      <c r="C638" s="17"/>
      <c r="D638" s="9"/>
      <c r="E638" s="9"/>
      <c r="F638" s="16"/>
      <c r="G638" s="11"/>
      <c r="H638" s="9"/>
      <c r="I638" s="9"/>
      <c r="J638" s="12"/>
      <c r="K638" s="13"/>
    </row>
    <row r="639">
      <c r="A639" s="6"/>
      <c r="B639" s="6"/>
      <c r="C639" s="17"/>
      <c r="D639" s="9"/>
      <c r="E639" s="9"/>
      <c r="F639" s="16"/>
      <c r="G639" s="11"/>
      <c r="H639" s="9"/>
      <c r="I639" s="9"/>
      <c r="J639" s="12"/>
      <c r="K639" s="13"/>
    </row>
    <row r="640">
      <c r="A640" s="6"/>
      <c r="B640" s="6"/>
      <c r="C640" s="17"/>
      <c r="D640" s="9"/>
      <c r="E640" s="9"/>
      <c r="F640" s="16"/>
      <c r="G640" s="11"/>
      <c r="H640" s="9"/>
      <c r="I640" s="9"/>
      <c r="J640" s="12"/>
      <c r="K640" s="13"/>
    </row>
    <row r="641">
      <c r="A641" s="6"/>
      <c r="B641" s="6"/>
      <c r="C641" s="17"/>
      <c r="D641" s="9"/>
      <c r="E641" s="9"/>
      <c r="F641" s="16"/>
      <c r="G641" s="11"/>
      <c r="H641" s="9"/>
      <c r="I641" s="9"/>
      <c r="J641" s="12"/>
      <c r="K641" s="13"/>
    </row>
    <row r="642">
      <c r="A642" s="6"/>
      <c r="B642" s="6"/>
      <c r="C642" s="17"/>
      <c r="D642" s="9"/>
      <c r="E642" s="9"/>
      <c r="F642" s="16"/>
      <c r="G642" s="11"/>
      <c r="H642" s="9"/>
      <c r="I642" s="9"/>
      <c r="J642" s="12"/>
      <c r="K642" s="13"/>
    </row>
    <row r="643">
      <c r="A643" s="6"/>
      <c r="B643" s="6"/>
      <c r="C643" s="17"/>
      <c r="D643" s="9"/>
      <c r="E643" s="9"/>
      <c r="F643" s="16"/>
      <c r="G643" s="11"/>
      <c r="H643" s="9"/>
      <c r="I643" s="9"/>
      <c r="J643" s="12"/>
      <c r="K643" s="13"/>
    </row>
    <row r="644">
      <c r="A644" s="6"/>
      <c r="B644" s="6"/>
      <c r="C644" s="17"/>
      <c r="D644" s="9"/>
      <c r="E644" s="9"/>
      <c r="F644" s="16"/>
      <c r="G644" s="11"/>
      <c r="H644" s="9"/>
      <c r="I644" s="9"/>
      <c r="J644" s="12"/>
      <c r="K644" s="13"/>
    </row>
    <row r="645">
      <c r="A645" s="6"/>
      <c r="B645" s="6"/>
      <c r="C645" s="17"/>
      <c r="D645" s="9"/>
      <c r="E645" s="9"/>
      <c r="F645" s="16"/>
      <c r="G645" s="11"/>
      <c r="H645" s="9"/>
      <c r="I645" s="9"/>
      <c r="J645" s="12"/>
      <c r="K645" s="13"/>
    </row>
    <row r="646">
      <c r="A646" s="6"/>
      <c r="B646" s="6"/>
      <c r="C646" s="17"/>
      <c r="D646" s="9"/>
      <c r="E646" s="9"/>
      <c r="F646" s="16"/>
      <c r="G646" s="11"/>
      <c r="H646" s="9"/>
      <c r="I646" s="9"/>
      <c r="J646" s="12"/>
      <c r="K646" s="13"/>
    </row>
    <row r="647">
      <c r="A647" s="6"/>
      <c r="B647" s="6"/>
      <c r="C647" s="17"/>
      <c r="D647" s="9"/>
      <c r="E647" s="9"/>
      <c r="F647" s="16"/>
      <c r="G647" s="11"/>
      <c r="H647" s="9"/>
      <c r="I647" s="9"/>
      <c r="J647" s="12"/>
      <c r="K647" s="13"/>
    </row>
    <row r="648">
      <c r="A648" s="6"/>
      <c r="B648" s="6"/>
      <c r="C648" s="17"/>
      <c r="D648" s="9"/>
      <c r="E648" s="9"/>
      <c r="F648" s="16"/>
      <c r="G648" s="11"/>
      <c r="H648" s="9"/>
      <c r="I648" s="9"/>
      <c r="J648" s="12"/>
      <c r="K648" s="13"/>
    </row>
    <row r="649">
      <c r="A649" s="6"/>
      <c r="B649" s="6"/>
      <c r="C649" s="17"/>
      <c r="D649" s="9"/>
      <c r="E649" s="9"/>
      <c r="F649" s="16"/>
      <c r="G649" s="11"/>
      <c r="H649" s="9"/>
      <c r="I649" s="9"/>
      <c r="J649" s="12"/>
      <c r="K649" s="13"/>
    </row>
    <row r="650">
      <c r="A650" s="6"/>
      <c r="B650" s="6"/>
      <c r="C650" s="17"/>
      <c r="D650" s="9"/>
      <c r="E650" s="9"/>
      <c r="F650" s="16"/>
      <c r="G650" s="11"/>
      <c r="H650" s="9"/>
      <c r="I650" s="9"/>
      <c r="J650" s="12"/>
      <c r="K650" s="13"/>
    </row>
    <row r="651">
      <c r="A651" s="6"/>
      <c r="B651" s="6"/>
      <c r="C651" s="17"/>
      <c r="D651" s="9"/>
      <c r="E651" s="9"/>
      <c r="F651" s="16"/>
      <c r="G651" s="11"/>
      <c r="H651" s="9"/>
      <c r="I651" s="9"/>
      <c r="J651" s="12"/>
      <c r="K651" s="13"/>
    </row>
    <row r="652">
      <c r="A652" s="6"/>
      <c r="B652" s="6"/>
      <c r="C652" s="17"/>
      <c r="D652" s="9"/>
      <c r="E652" s="9"/>
      <c r="F652" s="16"/>
      <c r="G652" s="11"/>
      <c r="H652" s="9"/>
      <c r="I652" s="9"/>
      <c r="J652" s="12"/>
      <c r="K652" s="13"/>
    </row>
    <row r="653">
      <c r="A653" s="6"/>
      <c r="B653" s="6"/>
      <c r="C653" s="17"/>
      <c r="D653" s="9"/>
      <c r="E653" s="9"/>
      <c r="F653" s="16"/>
      <c r="G653" s="11"/>
      <c r="H653" s="9"/>
      <c r="I653" s="9"/>
      <c r="J653" s="12"/>
      <c r="K653" s="13"/>
    </row>
    <row r="654">
      <c r="A654" s="6"/>
      <c r="B654" s="6"/>
      <c r="C654" s="17"/>
      <c r="D654" s="9"/>
      <c r="E654" s="9"/>
      <c r="F654" s="16"/>
      <c r="G654" s="11"/>
      <c r="H654" s="9"/>
      <c r="I654" s="9"/>
      <c r="J654" s="12"/>
      <c r="K654" s="13"/>
    </row>
    <row r="655">
      <c r="A655" s="6"/>
      <c r="B655" s="6"/>
      <c r="C655" s="17"/>
      <c r="D655" s="9"/>
      <c r="E655" s="9"/>
      <c r="F655" s="16"/>
      <c r="G655" s="11"/>
      <c r="H655" s="9"/>
      <c r="I655" s="9"/>
      <c r="J655" s="12"/>
      <c r="K655" s="13"/>
    </row>
    <row r="656">
      <c r="A656" s="6"/>
      <c r="B656" s="6"/>
      <c r="C656" s="17"/>
      <c r="D656" s="9"/>
      <c r="E656" s="9"/>
      <c r="F656" s="16"/>
      <c r="G656" s="11"/>
      <c r="H656" s="9"/>
      <c r="I656" s="9"/>
      <c r="J656" s="12"/>
      <c r="K656" s="13"/>
    </row>
    <row r="657">
      <c r="A657" s="6"/>
      <c r="B657" s="6"/>
      <c r="C657" s="17"/>
      <c r="D657" s="9"/>
      <c r="E657" s="9"/>
      <c r="F657" s="16"/>
      <c r="G657" s="11"/>
      <c r="H657" s="9"/>
      <c r="I657" s="9"/>
      <c r="J657" s="12"/>
      <c r="K657" s="13"/>
    </row>
    <row r="658">
      <c r="A658" s="6"/>
      <c r="B658" s="6"/>
      <c r="C658" s="17"/>
      <c r="D658" s="9"/>
      <c r="E658" s="9"/>
      <c r="F658" s="16"/>
      <c r="G658" s="11"/>
      <c r="H658" s="9"/>
      <c r="I658" s="9"/>
      <c r="J658" s="12"/>
      <c r="K658" s="13"/>
    </row>
    <row r="659">
      <c r="A659" s="6"/>
      <c r="B659" s="6"/>
      <c r="C659" s="17"/>
      <c r="D659" s="9"/>
      <c r="E659" s="9"/>
      <c r="F659" s="16"/>
      <c r="G659" s="11"/>
      <c r="H659" s="9"/>
      <c r="I659" s="9"/>
      <c r="J659" s="12"/>
      <c r="K659" s="13"/>
    </row>
    <row r="660">
      <c r="A660" s="6"/>
      <c r="B660" s="6"/>
      <c r="C660" s="17"/>
      <c r="D660" s="9"/>
      <c r="E660" s="9"/>
      <c r="F660" s="16"/>
      <c r="G660" s="11"/>
      <c r="H660" s="9"/>
      <c r="I660" s="9"/>
      <c r="J660" s="12"/>
      <c r="K660" s="13"/>
    </row>
    <row r="661">
      <c r="A661" s="6"/>
      <c r="B661" s="6"/>
      <c r="C661" s="17"/>
      <c r="D661" s="9"/>
      <c r="E661" s="9"/>
      <c r="F661" s="16"/>
      <c r="G661" s="11"/>
      <c r="H661" s="9"/>
      <c r="I661" s="9"/>
      <c r="J661" s="12"/>
      <c r="K661" s="13"/>
    </row>
    <row r="662">
      <c r="A662" s="6"/>
      <c r="B662" s="6"/>
      <c r="C662" s="17"/>
      <c r="D662" s="9"/>
      <c r="E662" s="9"/>
      <c r="F662" s="16"/>
      <c r="G662" s="11"/>
      <c r="H662" s="9"/>
      <c r="I662" s="9"/>
      <c r="J662" s="12"/>
      <c r="K662" s="13"/>
    </row>
    <row r="663">
      <c r="A663" s="6"/>
      <c r="B663" s="6"/>
      <c r="C663" s="17"/>
      <c r="D663" s="9"/>
      <c r="E663" s="9"/>
      <c r="F663" s="16"/>
      <c r="G663" s="11"/>
      <c r="H663" s="9"/>
      <c r="I663" s="9"/>
      <c r="J663" s="12"/>
      <c r="K663" s="13"/>
    </row>
    <row r="664">
      <c r="A664" s="6"/>
      <c r="B664" s="6"/>
      <c r="C664" s="17"/>
      <c r="D664" s="9"/>
      <c r="E664" s="9"/>
      <c r="F664" s="16"/>
      <c r="G664" s="11"/>
      <c r="H664" s="9"/>
      <c r="I664" s="9"/>
      <c r="J664" s="12"/>
      <c r="K664" s="13"/>
    </row>
    <row r="665">
      <c r="A665" s="6"/>
      <c r="B665" s="6"/>
      <c r="C665" s="17"/>
      <c r="D665" s="9"/>
      <c r="E665" s="9"/>
      <c r="F665" s="16"/>
      <c r="G665" s="11"/>
      <c r="H665" s="9"/>
      <c r="I665" s="9"/>
      <c r="J665" s="12"/>
      <c r="K665" s="13"/>
    </row>
    <row r="666">
      <c r="A666" s="6"/>
      <c r="B666" s="6"/>
      <c r="C666" s="17"/>
      <c r="D666" s="9"/>
      <c r="E666" s="9"/>
      <c r="F666" s="16"/>
      <c r="G666" s="11"/>
      <c r="H666" s="9"/>
      <c r="I666" s="9"/>
      <c r="J666" s="12"/>
      <c r="K666" s="13"/>
    </row>
    <row r="667">
      <c r="A667" s="6"/>
      <c r="B667" s="6"/>
      <c r="C667" s="17"/>
      <c r="D667" s="9"/>
      <c r="E667" s="9"/>
      <c r="F667" s="16"/>
      <c r="G667" s="11"/>
      <c r="H667" s="9"/>
      <c r="I667" s="9"/>
      <c r="J667" s="12"/>
      <c r="K667" s="13"/>
    </row>
    <row r="668">
      <c r="A668" s="6"/>
      <c r="B668" s="6"/>
      <c r="C668" s="17"/>
      <c r="D668" s="9"/>
      <c r="E668" s="9"/>
      <c r="F668" s="16"/>
      <c r="G668" s="11"/>
      <c r="H668" s="9"/>
      <c r="I668" s="9"/>
      <c r="J668" s="12"/>
      <c r="K668" s="13"/>
    </row>
    <row r="669">
      <c r="A669" s="6"/>
      <c r="B669" s="6"/>
      <c r="C669" s="17"/>
      <c r="D669" s="9"/>
      <c r="E669" s="9"/>
      <c r="F669" s="16"/>
      <c r="G669" s="11"/>
      <c r="H669" s="9"/>
      <c r="I669" s="9"/>
      <c r="J669" s="12"/>
      <c r="K669" s="13"/>
    </row>
    <row r="670">
      <c r="A670" s="6"/>
      <c r="B670" s="6"/>
      <c r="C670" s="17"/>
      <c r="D670" s="9"/>
      <c r="E670" s="9"/>
      <c r="F670" s="16"/>
      <c r="G670" s="11"/>
      <c r="H670" s="9"/>
      <c r="I670" s="9"/>
      <c r="J670" s="12"/>
      <c r="K670" s="13"/>
    </row>
    <row r="671">
      <c r="A671" s="6"/>
      <c r="B671" s="6"/>
      <c r="C671" s="17"/>
      <c r="D671" s="9"/>
      <c r="E671" s="9"/>
      <c r="F671" s="16"/>
      <c r="G671" s="11"/>
      <c r="H671" s="9"/>
      <c r="I671" s="9"/>
      <c r="J671" s="12"/>
      <c r="K671" s="13"/>
    </row>
    <row r="672">
      <c r="A672" s="6"/>
      <c r="B672" s="6"/>
      <c r="C672" s="17"/>
      <c r="D672" s="9"/>
      <c r="E672" s="9"/>
      <c r="F672" s="16"/>
      <c r="G672" s="11"/>
      <c r="H672" s="9"/>
      <c r="I672" s="9"/>
      <c r="J672" s="12"/>
      <c r="K672" s="13"/>
    </row>
    <row r="673">
      <c r="A673" s="6"/>
      <c r="B673" s="6"/>
      <c r="C673" s="17"/>
      <c r="D673" s="9"/>
      <c r="E673" s="9"/>
      <c r="F673" s="16"/>
      <c r="G673" s="11"/>
      <c r="H673" s="9"/>
      <c r="I673" s="9"/>
      <c r="J673" s="12"/>
      <c r="K673" s="13"/>
    </row>
    <row r="674">
      <c r="A674" s="6"/>
      <c r="B674" s="6"/>
      <c r="C674" s="17"/>
      <c r="D674" s="9"/>
      <c r="E674" s="9"/>
      <c r="F674" s="16"/>
      <c r="G674" s="11"/>
      <c r="H674" s="9"/>
      <c r="I674" s="9"/>
      <c r="J674" s="12"/>
      <c r="K674" s="13"/>
    </row>
    <row r="675">
      <c r="A675" s="6"/>
      <c r="B675" s="6"/>
      <c r="C675" s="17"/>
      <c r="D675" s="9"/>
      <c r="E675" s="9"/>
      <c r="F675" s="16"/>
      <c r="G675" s="11"/>
      <c r="H675" s="9"/>
      <c r="I675" s="9"/>
      <c r="J675" s="12"/>
      <c r="K675" s="13"/>
    </row>
    <row r="676">
      <c r="A676" s="6"/>
      <c r="B676" s="6"/>
      <c r="C676" s="17"/>
      <c r="D676" s="9"/>
      <c r="E676" s="9"/>
      <c r="F676" s="16"/>
      <c r="G676" s="11"/>
      <c r="H676" s="9"/>
      <c r="I676" s="9"/>
      <c r="J676" s="12"/>
      <c r="K676" s="13"/>
    </row>
    <row r="677">
      <c r="A677" s="6"/>
      <c r="B677" s="6"/>
      <c r="C677" s="17"/>
      <c r="D677" s="9"/>
      <c r="E677" s="9"/>
      <c r="F677" s="16"/>
      <c r="G677" s="11"/>
      <c r="H677" s="9"/>
      <c r="I677" s="9"/>
      <c r="J677" s="12"/>
      <c r="K677" s="13"/>
    </row>
    <row r="678">
      <c r="A678" s="6"/>
      <c r="B678" s="6"/>
      <c r="C678" s="17"/>
      <c r="D678" s="9"/>
      <c r="E678" s="9"/>
      <c r="F678" s="16"/>
      <c r="G678" s="11"/>
      <c r="H678" s="9"/>
      <c r="I678" s="9"/>
      <c r="J678" s="12"/>
      <c r="K678" s="13"/>
    </row>
    <row r="679">
      <c r="A679" s="6"/>
      <c r="B679" s="6"/>
      <c r="C679" s="17"/>
      <c r="D679" s="9"/>
      <c r="E679" s="9"/>
      <c r="F679" s="16"/>
      <c r="G679" s="11"/>
      <c r="H679" s="9"/>
      <c r="I679" s="9"/>
      <c r="J679" s="12"/>
      <c r="K679" s="13"/>
    </row>
    <row r="680">
      <c r="A680" s="6"/>
      <c r="B680" s="6"/>
      <c r="C680" s="17"/>
      <c r="D680" s="9"/>
      <c r="E680" s="9"/>
      <c r="F680" s="16"/>
      <c r="G680" s="11"/>
      <c r="H680" s="9"/>
      <c r="I680" s="9"/>
      <c r="J680" s="12"/>
      <c r="K680" s="13"/>
    </row>
    <row r="681">
      <c r="A681" s="6"/>
      <c r="B681" s="6"/>
      <c r="C681" s="17"/>
      <c r="D681" s="9"/>
      <c r="E681" s="9"/>
      <c r="F681" s="16"/>
      <c r="G681" s="11"/>
      <c r="H681" s="9"/>
      <c r="I681" s="9"/>
      <c r="J681" s="12"/>
      <c r="K681" s="13"/>
    </row>
    <row r="682">
      <c r="A682" s="6"/>
      <c r="B682" s="6"/>
      <c r="C682" s="17"/>
      <c r="D682" s="9"/>
      <c r="E682" s="9"/>
      <c r="F682" s="16"/>
      <c r="G682" s="11"/>
      <c r="H682" s="9"/>
      <c r="I682" s="9"/>
      <c r="J682" s="12"/>
      <c r="K682" s="13"/>
    </row>
    <row r="683">
      <c r="A683" s="6"/>
      <c r="B683" s="6"/>
      <c r="C683" s="17"/>
      <c r="D683" s="9"/>
      <c r="E683" s="9"/>
      <c r="F683" s="16"/>
      <c r="G683" s="11"/>
      <c r="H683" s="9"/>
      <c r="I683" s="9"/>
      <c r="J683" s="12"/>
      <c r="K683" s="13"/>
    </row>
    <row r="684">
      <c r="A684" s="6"/>
      <c r="B684" s="6"/>
      <c r="C684" s="17"/>
      <c r="D684" s="9"/>
      <c r="E684" s="9"/>
      <c r="F684" s="16"/>
      <c r="G684" s="11"/>
      <c r="H684" s="9"/>
      <c r="I684" s="9"/>
      <c r="J684" s="12"/>
      <c r="K684" s="13"/>
    </row>
    <row r="685">
      <c r="A685" s="6"/>
      <c r="B685" s="6"/>
      <c r="C685" s="17"/>
      <c r="D685" s="9"/>
      <c r="E685" s="9"/>
      <c r="F685" s="16"/>
      <c r="G685" s="11"/>
      <c r="H685" s="9"/>
      <c r="I685" s="9"/>
      <c r="J685" s="12"/>
      <c r="K685" s="13"/>
    </row>
    <row r="686">
      <c r="A686" s="6"/>
      <c r="B686" s="6"/>
      <c r="C686" s="17"/>
      <c r="D686" s="9"/>
      <c r="E686" s="9"/>
      <c r="F686" s="16"/>
      <c r="G686" s="11"/>
      <c r="H686" s="9"/>
      <c r="I686" s="9"/>
      <c r="J686" s="12"/>
      <c r="K686" s="13"/>
    </row>
    <row r="687">
      <c r="A687" s="6"/>
      <c r="B687" s="6"/>
      <c r="C687" s="17"/>
      <c r="D687" s="9"/>
      <c r="E687" s="9"/>
      <c r="F687" s="16"/>
      <c r="G687" s="11"/>
      <c r="H687" s="9"/>
      <c r="I687" s="9"/>
      <c r="J687" s="12"/>
      <c r="K687" s="13"/>
    </row>
    <row r="688">
      <c r="A688" s="6"/>
      <c r="B688" s="6"/>
      <c r="C688" s="17"/>
      <c r="D688" s="9"/>
      <c r="E688" s="9"/>
      <c r="F688" s="16"/>
      <c r="G688" s="11"/>
      <c r="H688" s="9"/>
      <c r="I688" s="9"/>
      <c r="J688" s="12"/>
      <c r="K688" s="13"/>
    </row>
    <row r="689">
      <c r="A689" s="6"/>
      <c r="B689" s="6"/>
      <c r="C689" s="17"/>
      <c r="D689" s="9"/>
      <c r="E689" s="9"/>
      <c r="F689" s="16"/>
      <c r="G689" s="11"/>
      <c r="H689" s="9"/>
      <c r="I689" s="9"/>
      <c r="J689" s="12"/>
      <c r="K689" s="13"/>
    </row>
    <row r="690">
      <c r="A690" s="6"/>
      <c r="B690" s="6"/>
      <c r="C690" s="17"/>
      <c r="D690" s="9"/>
      <c r="E690" s="9"/>
      <c r="F690" s="16"/>
      <c r="G690" s="11"/>
      <c r="H690" s="9"/>
      <c r="I690" s="9"/>
      <c r="J690" s="12"/>
      <c r="K690" s="13"/>
    </row>
    <row r="691">
      <c r="A691" s="6"/>
      <c r="B691" s="6"/>
      <c r="C691" s="17"/>
      <c r="D691" s="9"/>
      <c r="E691" s="9"/>
      <c r="F691" s="16"/>
      <c r="G691" s="11"/>
      <c r="H691" s="9"/>
      <c r="I691" s="9"/>
      <c r="J691" s="12"/>
      <c r="K691" s="13"/>
    </row>
    <row r="692">
      <c r="A692" s="6"/>
      <c r="B692" s="6"/>
      <c r="C692" s="17"/>
      <c r="D692" s="9"/>
      <c r="E692" s="9"/>
      <c r="F692" s="16"/>
      <c r="G692" s="11"/>
      <c r="H692" s="9"/>
      <c r="I692" s="9"/>
      <c r="J692" s="12"/>
      <c r="K692" s="13"/>
    </row>
    <row r="693">
      <c r="A693" s="6"/>
      <c r="B693" s="6"/>
      <c r="C693" s="17"/>
      <c r="D693" s="9"/>
      <c r="E693" s="9"/>
      <c r="F693" s="16"/>
      <c r="G693" s="11"/>
      <c r="H693" s="9"/>
      <c r="I693" s="9"/>
      <c r="J693" s="12"/>
      <c r="K693" s="13"/>
    </row>
    <row r="694">
      <c r="A694" s="6"/>
      <c r="B694" s="6"/>
      <c r="C694" s="17"/>
      <c r="D694" s="9"/>
      <c r="E694" s="9"/>
      <c r="F694" s="16"/>
      <c r="G694" s="11"/>
      <c r="H694" s="9"/>
      <c r="I694" s="9"/>
      <c r="J694" s="12"/>
      <c r="K694" s="13"/>
    </row>
    <row r="695">
      <c r="A695" s="6"/>
      <c r="B695" s="6"/>
      <c r="C695" s="17"/>
      <c r="D695" s="9"/>
      <c r="E695" s="9"/>
      <c r="F695" s="16"/>
      <c r="G695" s="11"/>
      <c r="H695" s="9"/>
      <c r="I695" s="9"/>
      <c r="J695" s="12"/>
      <c r="K695" s="13"/>
    </row>
    <row r="696">
      <c r="A696" s="6"/>
      <c r="B696" s="6"/>
      <c r="C696" s="17"/>
      <c r="D696" s="9"/>
      <c r="E696" s="9"/>
      <c r="F696" s="16"/>
      <c r="G696" s="11"/>
      <c r="H696" s="9"/>
      <c r="I696" s="9"/>
      <c r="J696" s="12"/>
      <c r="K696" s="13"/>
    </row>
    <row r="697">
      <c r="A697" s="6"/>
      <c r="B697" s="6"/>
      <c r="C697" s="17"/>
      <c r="D697" s="9"/>
      <c r="E697" s="9"/>
      <c r="F697" s="16"/>
      <c r="G697" s="11"/>
      <c r="H697" s="9"/>
      <c r="I697" s="9"/>
      <c r="J697" s="12"/>
      <c r="K697" s="13"/>
    </row>
    <row r="698">
      <c r="A698" s="6"/>
      <c r="B698" s="6"/>
      <c r="C698" s="17"/>
      <c r="D698" s="9"/>
      <c r="E698" s="9"/>
      <c r="F698" s="16"/>
      <c r="G698" s="11"/>
      <c r="H698" s="9"/>
      <c r="I698" s="9"/>
      <c r="J698" s="12"/>
      <c r="K698" s="13"/>
    </row>
    <row r="699">
      <c r="A699" s="6"/>
      <c r="B699" s="6"/>
      <c r="C699" s="17"/>
      <c r="D699" s="9"/>
      <c r="E699" s="9"/>
      <c r="F699" s="16"/>
      <c r="G699" s="11"/>
      <c r="H699" s="9"/>
      <c r="I699" s="9"/>
      <c r="J699" s="12"/>
      <c r="K699" s="13"/>
    </row>
    <row r="700">
      <c r="A700" s="6"/>
      <c r="B700" s="6"/>
      <c r="C700" s="17"/>
      <c r="D700" s="9"/>
      <c r="E700" s="9"/>
      <c r="F700" s="16"/>
      <c r="G700" s="11"/>
      <c r="H700" s="9"/>
      <c r="I700" s="9"/>
      <c r="J700" s="12"/>
      <c r="K700" s="13"/>
    </row>
    <row r="701">
      <c r="A701" s="6"/>
      <c r="B701" s="6"/>
      <c r="C701" s="17"/>
      <c r="D701" s="9"/>
      <c r="E701" s="9"/>
      <c r="F701" s="16"/>
      <c r="G701" s="11"/>
      <c r="H701" s="9"/>
      <c r="I701" s="9"/>
      <c r="J701" s="12"/>
      <c r="K701" s="13"/>
    </row>
    <row r="702">
      <c r="A702" s="6"/>
      <c r="B702" s="6"/>
      <c r="C702" s="17"/>
      <c r="D702" s="9"/>
      <c r="E702" s="9"/>
      <c r="F702" s="16"/>
      <c r="G702" s="11"/>
      <c r="H702" s="9"/>
      <c r="I702" s="9"/>
      <c r="J702" s="12"/>
      <c r="K702" s="13"/>
    </row>
    <row r="703">
      <c r="A703" s="6"/>
      <c r="B703" s="6"/>
      <c r="C703" s="17"/>
      <c r="D703" s="9"/>
      <c r="E703" s="9"/>
      <c r="F703" s="16"/>
      <c r="G703" s="11"/>
      <c r="H703" s="9"/>
      <c r="I703" s="9"/>
      <c r="J703" s="12"/>
      <c r="K703" s="13"/>
    </row>
    <row r="704">
      <c r="A704" s="6"/>
      <c r="B704" s="6"/>
      <c r="C704" s="17"/>
      <c r="D704" s="9"/>
      <c r="E704" s="9"/>
      <c r="F704" s="16"/>
      <c r="G704" s="11"/>
      <c r="H704" s="9"/>
      <c r="I704" s="9"/>
      <c r="J704" s="12"/>
      <c r="K704" s="13"/>
    </row>
    <row r="705">
      <c r="A705" s="6"/>
      <c r="B705" s="6"/>
      <c r="C705" s="17"/>
      <c r="D705" s="9"/>
      <c r="E705" s="9"/>
      <c r="F705" s="16"/>
      <c r="G705" s="11"/>
      <c r="H705" s="9"/>
      <c r="I705" s="9"/>
      <c r="J705" s="12"/>
      <c r="K705" s="13"/>
    </row>
    <row r="706">
      <c r="A706" s="6"/>
      <c r="B706" s="6"/>
      <c r="C706" s="17"/>
      <c r="D706" s="9"/>
      <c r="E706" s="9"/>
      <c r="F706" s="16"/>
      <c r="G706" s="11"/>
      <c r="H706" s="9"/>
      <c r="I706" s="9"/>
      <c r="J706" s="12"/>
      <c r="K706" s="13"/>
    </row>
    <row r="707">
      <c r="A707" s="6"/>
      <c r="B707" s="6"/>
      <c r="C707" s="17"/>
      <c r="D707" s="9"/>
      <c r="E707" s="9"/>
      <c r="F707" s="16"/>
      <c r="G707" s="11"/>
      <c r="H707" s="9"/>
      <c r="I707" s="9"/>
      <c r="J707" s="12"/>
      <c r="K707" s="13"/>
    </row>
    <row r="708">
      <c r="A708" s="6"/>
      <c r="B708" s="6"/>
      <c r="C708" s="17"/>
      <c r="D708" s="9"/>
      <c r="E708" s="9"/>
      <c r="F708" s="16"/>
      <c r="G708" s="11"/>
      <c r="H708" s="9"/>
      <c r="I708" s="9"/>
      <c r="J708" s="12"/>
      <c r="K708" s="13"/>
    </row>
    <row r="709">
      <c r="A709" s="6"/>
      <c r="B709" s="6"/>
      <c r="C709" s="17"/>
      <c r="D709" s="9"/>
      <c r="E709" s="9"/>
      <c r="F709" s="16"/>
      <c r="G709" s="11"/>
      <c r="H709" s="9"/>
      <c r="I709" s="9"/>
      <c r="J709" s="12"/>
      <c r="K709" s="13"/>
    </row>
    <row r="710">
      <c r="A710" s="6"/>
      <c r="B710" s="6"/>
      <c r="C710" s="17"/>
      <c r="D710" s="9"/>
      <c r="E710" s="9"/>
      <c r="F710" s="16"/>
      <c r="G710" s="11"/>
      <c r="H710" s="9"/>
      <c r="I710" s="9"/>
      <c r="J710" s="12"/>
      <c r="K710" s="13"/>
    </row>
    <row r="711">
      <c r="A711" s="6"/>
      <c r="B711" s="6"/>
      <c r="C711" s="17"/>
      <c r="D711" s="9"/>
      <c r="E711" s="9"/>
      <c r="F711" s="16"/>
      <c r="G711" s="11"/>
      <c r="H711" s="9"/>
      <c r="I711" s="9"/>
      <c r="J711" s="12"/>
      <c r="K711" s="13"/>
    </row>
    <row r="712">
      <c r="A712" s="6"/>
      <c r="B712" s="6"/>
      <c r="C712" s="17"/>
      <c r="D712" s="9"/>
      <c r="E712" s="9"/>
      <c r="F712" s="16"/>
      <c r="G712" s="11"/>
      <c r="H712" s="9"/>
      <c r="I712" s="9"/>
      <c r="J712" s="12"/>
      <c r="K712" s="13"/>
    </row>
    <row r="713">
      <c r="A713" s="6"/>
      <c r="B713" s="6"/>
      <c r="C713" s="17"/>
      <c r="D713" s="9"/>
      <c r="E713" s="9"/>
      <c r="F713" s="16"/>
      <c r="G713" s="11"/>
      <c r="H713" s="9"/>
      <c r="I713" s="9"/>
      <c r="J713" s="12"/>
      <c r="K713" s="13"/>
    </row>
    <row r="714">
      <c r="A714" s="6"/>
      <c r="B714" s="6"/>
      <c r="C714" s="17"/>
      <c r="D714" s="9"/>
      <c r="E714" s="9"/>
      <c r="F714" s="16"/>
      <c r="G714" s="11"/>
      <c r="H714" s="9"/>
      <c r="I714" s="9"/>
      <c r="J714" s="12"/>
      <c r="K714" s="13"/>
    </row>
    <row r="715">
      <c r="A715" s="6"/>
      <c r="B715" s="6"/>
      <c r="C715" s="17"/>
      <c r="D715" s="9"/>
      <c r="E715" s="9"/>
      <c r="F715" s="16"/>
      <c r="G715" s="11"/>
      <c r="H715" s="9"/>
      <c r="I715" s="9"/>
      <c r="J715" s="12"/>
      <c r="K715" s="13"/>
    </row>
    <row r="716">
      <c r="A716" s="6"/>
      <c r="B716" s="6"/>
      <c r="C716" s="17"/>
      <c r="D716" s="9"/>
      <c r="E716" s="9"/>
      <c r="F716" s="16"/>
      <c r="G716" s="11"/>
      <c r="H716" s="9"/>
      <c r="I716" s="9"/>
      <c r="J716" s="12"/>
      <c r="K716" s="13"/>
    </row>
    <row r="717">
      <c r="A717" s="6"/>
      <c r="B717" s="6"/>
      <c r="C717" s="17"/>
      <c r="D717" s="9"/>
      <c r="E717" s="9"/>
      <c r="F717" s="16"/>
      <c r="G717" s="11"/>
      <c r="H717" s="9"/>
      <c r="I717" s="9"/>
      <c r="J717" s="12"/>
      <c r="K717" s="13"/>
    </row>
    <row r="718">
      <c r="A718" s="6"/>
      <c r="B718" s="6"/>
      <c r="C718" s="17"/>
      <c r="D718" s="9"/>
      <c r="E718" s="9"/>
      <c r="F718" s="16"/>
      <c r="G718" s="11"/>
      <c r="H718" s="9"/>
      <c r="I718" s="9"/>
      <c r="J718" s="12"/>
      <c r="K718" s="13"/>
    </row>
    <row r="719">
      <c r="A719" s="6"/>
      <c r="B719" s="6"/>
      <c r="C719" s="17"/>
      <c r="D719" s="9"/>
      <c r="E719" s="9"/>
      <c r="F719" s="16"/>
      <c r="G719" s="11"/>
      <c r="H719" s="9"/>
      <c r="I719" s="9"/>
      <c r="J719" s="12"/>
      <c r="K719" s="13"/>
    </row>
    <row r="720">
      <c r="A720" s="6"/>
      <c r="B720" s="6"/>
      <c r="C720" s="17"/>
      <c r="D720" s="9"/>
      <c r="E720" s="9"/>
      <c r="F720" s="16"/>
      <c r="G720" s="11"/>
      <c r="H720" s="9"/>
      <c r="I720" s="9"/>
      <c r="J720" s="12"/>
      <c r="K720" s="13"/>
    </row>
    <row r="721">
      <c r="A721" s="6"/>
      <c r="B721" s="6"/>
      <c r="C721" s="17"/>
      <c r="D721" s="9"/>
      <c r="E721" s="9"/>
      <c r="F721" s="16"/>
      <c r="G721" s="11"/>
      <c r="H721" s="9"/>
      <c r="I721" s="9"/>
      <c r="J721" s="12"/>
      <c r="K721" s="13"/>
    </row>
    <row r="722">
      <c r="A722" s="6"/>
      <c r="B722" s="6"/>
      <c r="C722" s="17"/>
      <c r="D722" s="9"/>
      <c r="E722" s="9"/>
      <c r="F722" s="16"/>
      <c r="G722" s="11"/>
      <c r="H722" s="9"/>
      <c r="I722" s="9"/>
      <c r="J722" s="12"/>
      <c r="K722" s="13"/>
    </row>
    <row r="723">
      <c r="A723" s="6"/>
      <c r="B723" s="6"/>
      <c r="C723" s="17"/>
      <c r="D723" s="9"/>
      <c r="E723" s="9"/>
      <c r="F723" s="16"/>
      <c r="G723" s="11"/>
      <c r="H723" s="9"/>
      <c r="I723" s="9"/>
      <c r="J723" s="12"/>
      <c r="K723" s="13"/>
    </row>
    <row r="724">
      <c r="A724" s="6"/>
      <c r="B724" s="6"/>
      <c r="C724" s="17"/>
      <c r="D724" s="9"/>
      <c r="E724" s="9"/>
      <c r="F724" s="16"/>
      <c r="G724" s="11"/>
      <c r="H724" s="9"/>
      <c r="I724" s="9"/>
      <c r="J724" s="12"/>
      <c r="K724" s="13"/>
    </row>
    <row r="725">
      <c r="A725" s="6"/>
      <c r="B725" s="6"/>
      <c r="C725" s="17"/>
      <c r="D725" s="9"/>
      <c r="E725" s="9"/>
      <c r="F725" s="16"/>
      <c r="G725" s="11"/>
      <c r="H725" s="9"/>
      <c r="I725" s="9"/>
      <c r="J725" s="12"/>
      <c r="K725" s="13"/>
    </row>
    <row r="726">
      <c r="A726" s="6"/>
      <c r="B726" s="6"/>
      <c r="C726" s="17"/>
      <c r="D726" s="9"/>
      <c r="E726" s="9"/>
      <c r="F726" s="16"/>
      <c r="G726" s="11"/>
      <c r="H726" s="9"/>
      <c r="I726" s="9"/>
      <c r="J726" s="12"/>
      <c r="K726" s="13"/>
    </row>
    <row r="727">
      <c r="A727" s="6"/>
      <c r="B727" s="6"/>
      <c r="C727" s="17"/>
      <c r="D727" s="9"/>
      <c r="E727" s="9"/>
      <c r="F727" s="16"/>
      <c r="G727" s="11"/>
      <c r="H727" s="9"/>
      <c r="I727" s="9"/>
      <c r="J727" s="12"/>
      <c r="K727" s="13"/>
    </row>
    <row r="728">
      <c r="A728" s="6"/>
      <c r="B728" s="6"/>
      <c r="C728" s="17"/>
      <c r="D728" s="9"/>
      <c r="E728" s="9"/>
      <c r="F728" s="16"/>
      <c r="G728" s="11"/>
      <c r="H728" s="9"/>
      <c r="I728" s="9"/>
      <c r="J728" s="12"/>
      <c r="K728" s="13"/>
    </row>
    <row r="729">
      <c r="A729" s="6"/>
      <c r="B729" s="6"/>
      <c r="C729" s="17"/>
      <c r="D729" s="9"/>
      <c r="E729" s="9"/>
      <c r="F729" s="16"/>
      <c r="G729" s="11"/>
      <c r="H729" s="9"/>
      <c r="I729" s="9"/>
      <c r="J729" s="12"/>
      <c r="K729" s="13"/>
    </row>
    <row r="730">
      <c r="A730" s="6"/>
      <c r="B730" s="6"/>
      <c r="C730" s="17"/>
      <c r="D730" s="9"/>
      <c r="E730" s="9"/>
      <c r="F730" s="16"/>
      <c r="G730" s="11"/>
      <c r="H730" s="9"/>
      <c r="I730" s="9"/>
      <c r="J730" s="12"/>
      <c r="K730" s="13"/>
    </row>
    <row r="731">
      <c r="A731" s="6"/>
      <c r="B731" s="6"/>
      <c r="C731" s="17"/>
      <c r="D731" s="9"/>
      <c r="E731" s="9"/>
      <c r="F731" s="16"/>
      <c r="G731" s="11"/>
      <c r="H731" s="9"/>
      <c r="I731" s="9"/>
      <c r="J731" s="12"/>
      <c r="K731" s="13"/>
    </row>
    <row r="732">
      <c r="A732" s="6"/>
      <c r="B732" s="6"/>
      <c r="C732" s="17"/>
      <c r="D732" s="9"/>
      <c r="E732" s="9"/>
      <c r="F732" s="16"/>
      <c r="G732" s="11"/>
      <c r="H732" s="9"/>
      <c r="I732" s="9"/>
      <c r="J732" s="12"/>
      <c r="K732" s="13"/>
    </row>
    <row r="733">
      <c r="A733" s="6"/>
      <c r="B733" s="6"/>
      <c r="C733" s="17"/>
      <c r="D733" s="9"/>
      <c r="E733" s="9"/>
      <c r="F733" s="16"/>
      <c r="G733" s="11"/>
      <c r="H733" s="9"/>
      <c r="I733" s="9"/>
      <c r="J733" s="12"/>
      <c r="K733" s="13"/>
    </row>
    <row r="734">
      <c r="A734" s="6"/>
      <c r="B734" s="6"/>
      <c r="C734" s="17"/>
      <c r="D734" s="9"/>
      <c r="E734" s="9"/>
      <c r="F734" s="16"/>
      <c r="G734" s="11"/>
      <c r="H734" s="9"/>
      <c r="I734" s="9"/>
      <c r="J734" s="12"/>
      <c r="K734" s="13"/>
    </row>
    <row r="735">
      <c r="A735" s="6"/>
      <c r="B735" s="6"/>
      <c r="C735" s="17"/>
      <c r="D735" s="9"/>
      <c r="E735" s="9"/>
      <c r="F735" s="16"/>
      <c r="G735" s="11"/>
      <c r="H735" s="9"/>
      <c r="I735" s="9"/>
      <c r="J735" s="12"/>
      <c r="K735" s="13"/>
    </row>
    <row r="736">
      <c r="A736" s="6"/>
      <c r="B736" s="6"/>
      <c r="C736" s="17"/>
      <c r="D736" s="9"/>
      <c r="E736" s="9"/>
      <c r="F736" s="16"/>
      <c r="G736" s="11"/>
      <c r="H736" s="9"/>
      <c r="I736" s="9"/>
      <c r="J736" s="12"/>
      <c r="K736" s="13"/>
    </row>
    <row r="737">
      <c r="A737" s="6"/>
      <c r="B737" s="6"/>
      <c r="C737" s="17"/>
      <c r="D737" s="9"/>
      <c r="E737" s="9"/>
      <c r="F737" s="16"/>
      <c r="G737" s="11"/>
      <c r="H737" s="9"/>
      <c r="I737" s="9"/>
      <c r="J737" s="12"/>
      <c r="K737" s="13"/>
    </row>
    <row r="738">
      <c r="A738" s="6"/>
      <c r="B738" s="6"/>
      <c r="C738" s="17"/>
      <c r="D738" s="9"/>
      <c r="E738" s="9"/>
      <c r="F738" s="16"/>
      <c r="G738" s="11"/>
      <c r="H738" s="9"/>
      <c r="I738" s="9"/>
      <c r="J738" s="12"/>
      <c r="K738" s="13"/>
    </row>
    <row r="739">
      <c r="A739" s="6"/>
      <c r="B739" s="6"/>
      <c r="C739" s="17"/>
      <c r="D739" s="9"/>
      <c r="E739" s="9"/>
      <c r="F739" s="16"/>
      <c r="G739" s="11"/>
      <c r="H739" s="9"/>
      <c r="I739" s="9"/>
      <c r="J739" s="12"/>
      <c r="K739" s="13"/>
    </row>
    <row r="740">
      <c r="A740" s="6"/>
      <c r="B740" s="6"/>
      <c r="C740" s="17"/>
      <c r="D740" s="9"/>
      <c r="E740" s="9"/>
      <c r="F740" s="16"/>
      <c r="G740" s="11"/>
      <c r="H740" s="9"/>
      <c r="I740" s="9"/>
      <c r="J740" s="12"/>
      <c r="K740" s="13"/>
    </row>
    <row r="741">
      <c r="A741" s="6"/>
      <c r="B741" s="6"/>
      <c r="C741" s="17"/>
      <c r="D741" s="9"/>
      <c r="E741" s="9"/>
      <c r="F741" s="16"/>
      <c r="G741" s="11"/>
      <c r="H741" s="9"/>
      <c r="I741" s="9"/>
      <c r="J741" s="12"/>
      <c r="K741" s="13"/>
    </row>
    <row r="742">
      <c r="A742" s="6"/>
      <c r="B742" s="6"/>
      <c r="C742" s="17"/>
      <c r="D742" s="9"/>
      <c r="E742" s="9"/>
      <c r="F742" s="16"/>
      <c r="G742" s="11"/>
      <c r="H742" s="9"/>
      <c r="I742" s="9"/>
      <c r="J742" s="12"/>
      <c r="K742" s="13"/>
    </row>
    <row r="743">
      <c r="A743" s="6"/>
      <c r="B743" s="6"/>
      <c r="C743" s="17"/>
      <c r="D743" s="9"/>
      <c r="E743" s="9"/>
      <c r="F743" s="16"/>
      <c r="G743" s="11"/>
      <c r="H743" s="9"/>
      <c r="I743" s="9"/>
      <c r="J743" s="12"/>
      <c r="K743" s="13"/>
    </row>
    <row r="744">
      <c r="A744" s="6"/>
      <c r="B744" s="6"/>
      <c r="C744" s="17"/>
      <c r="D744" s="9"/>
      <c r="E744" s="9"/>
      <c r="F744" s="16"/>
      <c r="G744" s="11"/>
      <c r="H744" s="9"/>
      <c r="I744" s="9"/>
      <c r="J744" s="12"/>
      <c r="K744" s="13"/>
    </row>
    <row r="745">
      <c r="A745" s="6"/>
      <c r="B745" s="6"/>
      <c r="C745" s="17"/>
      <c r="D745" s="9"/>
      <c r="E745" s="9"/>
      <c r="F745" s="16"/>
      <c r="G745" s="11"/>
      <c r="H745" s="9"/>
      <c r="I745" s="9"/>
      <c r="J745" s="12"/>
      <c r="K745" s="13"/>
    </row>
    <row r="746">
      <c r="A746" s="6"/>
      <c r="B746" s="6"/>
      <c r="C746" s="17"/>
      <c r="D746" s="9"/>
      <c r="E746" s="9"/>
      <c r="F746" s="16"/>
      <c r="G746" s="11"/>
      <c r="H746" s="9"/>
      <c r="I746" s="9"/>
      <c r="J746" s="12"/>
      <c r="K746" s="13"/>
    </row>
    <row r="747">
      <c r="A747" s="6"/>
      <c r="B747" s="6"/>
      <c r="C747" s="17"/>
      <c r="D747" s="9"/>
      <c r="E747" s="9"/>
      <c r="F747" s="16"/>
      <c r="G747" s="11"/>
      <c r="H747" s="9"/>
      <c r="I747" s="9"/>
      <c r="J747" s="12"/>
      <c r="K747" s="13"/>
    </row>
    <row r="748">
      <c r="A748" s="6"/>
      <c r="B748" s="6"/>
      <c r="C748" s="17"/>
      <c r="D748" s="9"/>
      <c r="E748" s="9"/>
      <c r="F748" s="16"/>
      <c r="G748" s="11"/>
      <c r="H748" s="9"/>
      <c r="I748" s="9"/>
      <c r="J748" s="12"/>
      <c r="K748" s="13"/>
    </row>
    <row r="749">
      <c r="A749" s="6"/>
      <c r="B749" s="6"/>
      <c r="C749" s="17"/>
      <c r="D749" s="9"/>
      <c r="E749" s="9"/>
      <c r="F749" s="16"/>
      <c r="G749" s="11"/>
      <c r="H749" s="9"/>
      <c r="I749" s="9"/>
      <c r="J749" s="12"/>
      <c r="K749" s="13"/>
    </row>
    <row r="750">
      <c r="A750" s="6"/>
      <c r="B750" s="6"/>
      <c r="C750" s="17"/>
      <c r="D750" s="9"/>
      <c r="E750" s="9"/>
      <c r="F750" s="16"/>
      <c r="G750" s="11"/>
      <c r="H750" s="9"/>
      <c r="I750" s="9"/>
      <c r="J750" s="12"/>
      <c r="K750" s="13"/>
    </row>
    <row r="751">
      <c r="A751" s="6"/>
      <c r="B751" s="6"/>
      <c r="C751" s="17"/>
      <c r="D751" s="9"/>
      <c r="E751" s="9"/>
      <c r="F751" s="16"/>
      <c r="G751" s="11"/>
      <c r="H751" s="9"/>
      <c r="I751" s="9"/>
      <c r="J751" s="12"/>
      <c r="K751" s="13"/>
    </row>
    <row r="752">
      <c r="A752" s="6"/>
      <c r="B752" s="6"/>
      <c r="C752" s="17"/>
      <c r="D752" s="9"/>
      <c r="E752" s="9"/>
      <c r="F752" s="16"/>
      <c r="G752" s="11"/>
      <c r="H752" s="9"/>
      <c r="I752" s="9"/>
      <c r="J752" s="12"/>
      <c r="K752" s="13"/>
    </row>
    <row r="753">
      <c r="A753" s="6"/>
      <c r="B753" s="6"/>
      <c r="C753" s="17"/>
      <c r="D753" s="9"/>
      <c r="E753" s="9"/>
      <c r="F753" s="16"/>
      <c r="G753" s="11"/>
      <c r="H753" s="9"/>
      <c r="I753" s="9"/>
      <c r="J753" s="12"/>
      <c r="K753" s="13"/>
    </row>
    <row r="754">
      <c r="A754" s="6"/>
      <c r="B754" s="6"/>
      <c r="C754" s="17"/>
      <c r="D754" s="9"/>
      <c r="E754" s="9"/>
      <c r="F754" s="16"/>
      <c r="G754" s="11"/>
      <c r="H754" s="9"/>
      <c r="I754" s="9"/>
      <c r="J754" s="12"/>
      <c r="K754" s="13"/>
    </row>
    <row r="755">
      <c r="A755" s="6"/>
      <c r="B755" s="6"/>
      <c r="C755" s="17"/>
      <c r="D755" s="9"/>
      <c r="E755" s="9"/>
      <c r="F755" s="16"/>
      <c r="G755" s="11"/>
      <c r="H755" s="9"/>
      <c r="I755" s="9"/>
      <c r="J755" s="12"/>
      <c r="K755" s="13"/>
    </row>
    <row r="756">
      <c r="A756" s="6"/>
      <c r="B756" s="6"/>
      <c r="C756" s="17"/>
      <c r="D756" s="9"/>
      <c r="E756" s="9"/>
      <c r="F756" s="16"/>
      <c r="G756" s="11"/>
      <c r="H756" s="9"/>
      <c r="I756" s="9"/>
      <c r="J756" s="12"/>
      <c r="K756" s="13"/>
    </row>
    <row r="757">
      <c r="A757" s="6"/>
      <c r="B757" s="6"/>
      <c r="C757" s="17"/>
      <c r="D757" s="9"/>
      <c r="E757" s="9"/>
      <c r="F757" s="16"/>
      <c r="G757" s="11"/>
      <c r="H757" s="9"/>
      <c r="I757" s="9"/>
      <c r="J757" s="12"/>
      <c r="K757" s="13"/>
    </row>
    <row r="758">
      <c r="A758" s="6"/>
      <c r="B758" s="6"/>
      <c r="C758" s="17"/>
      <c r="D758" s="9"/>
      <c r="E758" s="9"/>
      <c r="F758" s="16"/>
      <c r="G758" s="11"/>
      <c r="H758" s="9"/>
      <c r="I758" s="9"/>
      <c r="J758" s="12"/>
      <c r="K758" s="13"/>
    </row>
    <row r="759">
      <c r="A759" s="6"/>
      <c r="B759" s="6"/>
      <c r="C759" s="17"/>
      <c r="D759" s="9"/>
      <c r="E759" s="9"/>
      <c r="F759" s="16"/>
      <c r="G759" s="11"/>
      <c r="H759" s="9"/>
      <c r="I759" s="9"/>
      <c r="J759" s="12"/>
      <c r="K759" s="13"/>
    </row>
    <row r="760">
      <c r="A760" s="6"/>
      <c r="B760" s="6"/>
      <c r="C760" s="17"/>
      <c r="D760" s="9"/>
      <c r="E760" s="9"/>
      <c r="F760" s="16"/>
      <c r="G760" s="11"/>
      <c r="H760" s="9"/>
      <c r="I760" s="9"/>
      <c r="J760" s="12"/>
      <c r="K760" s="13"/>
    </row>
    <row r="761">
      <c r="A761" s="6"/>
      <c r="B761" s="6"/>
      <c r="C761" s="17"/>
      <c r="D761" s="9"/>
      <c r="E761" s="9"/>
      <c r="F761" s="16"/>
      <c r="G761" s="11"/>
      <c r="H761" s="9"/>
      <c r="I761" s="9"/>
      <c r="J761" s="12"/>
      <c r="K761" s="13"/>
    </row>
    <row r="762">
      <c r="A762" s="6"/>
      <c r="B762" s="6"/>
      <c r="C762" s="17"/>
      <c r="D762" s="9"/>
      <c r="E762" s="9"/>
      <c r="F762" s="16"/>
      <c r="G762" s="11"/>
      <c r="H762" s="9"/>
      <c r="I762" s="9"/>
      <c r="J762" s="12"/>
      <c r="K762" s="13"/>
    </row>
    <row r="763">
      <c r="A763" s="6"/>
      <c r="B763" s="6"/>
      <c r="C763" s="17"/>
      <c r="D763" s="9"/>
      <c r="E763" s="9"/>
      <c r="F763" s="16"/>
      <c r="G763" s="11"/>
      <c r="H763" s="9"/>
      <c r="I763" s="9"/>
      <c r="J763" s="12"/>
      <c r="K763" s="13"/>
    </row>
    <row r="764">
      <c r="A764" s="6"/>
      <c r="B764" s="6"/>
      <c r="C764" s="17"/>
      <c r="D764" s="9"/>
      <c r="E764" s="9"/>
      <c r="F764" s="16"/>
      <c r="G764" s="11"/>
      <c r="H764" s="9"/>
      <c r="I764" s="9"/>
      <c r="J764" s="12"/>
      <c r="K764" s="13"/>
    </row>
    <row r="765">
      <c r="A765" s="6"/>
      <c r="B765" s="6"/>
      <c r="C765" s="17"/>
      <c r="D765" s="9"/>
      <c r="E765" s="9"/>
      <c r="F765" s="16"/>
      <c r="G765" s="11"/>
      <c r="H765" s="9"/>
      <c r="I765" s="9"/>
      <c r="J765" s="12"/>
      <c r="K765" s="13"/>
    </row>
    <row r="766">
      <c r="A766" s="6"/>
      <c r="B766" s="6"/>
      <c r="C766" s="17"/>
      <c r="D766" s="9"/>
      <c r="E766" s="9"/>
      <c r="F766" s="16"/>
      <c r="G766" s="11"/>
      <c r="H766" s="9"/>
      <c r="I766" s="9"/>
      <c r="J766" s="12"/>
      <c r="K766" s="13"/>
    </row>
    <row r="767">
      <c r="A767" s="6"/>
      <c r="B767" s="6"/>
      <c r="C767" s="17"/>
      <c r="D767" s="9"/>
      <c r="E767" s="9"/>
      <c r="F767" s="16"/>
      <c r="G767" s="11"/>
      <c r="H767" s="9"/>
      <c r="I767" s="9"/>
      <c r="J767" s="12"/>
      <c r="K767" s="13"/>
    </row>
    <row r="768">
      <c r="A768" s="6"/>
      <c r="B768" s="6"/>
      <c r="C768" s="17"/>
      <c r="D768" s="9"/>
      <c r="E768" s="9"/>
      <c r="F768" s="16"/>
      <c r="G768" s="11"/>
      <c r="H768" s="9"/>
      <c r="I768" s="9"/>
      <c r="J768" s="12"/>
      <c r="K768" s="13"/>
    </row>
    <row r="769">
      <c r="A769" s="6"/>
      <c r="B769" s="6"/>
      <c r="C769" s="17"/>
      <c r="D769" s="9"/>
      <c r="E769" s="9"/>
      <c r="F769" s="16"/>
      <c r="G769" s="11"/>
      <c r="H769" s="9"/>
      <c r="I769" s="9"/>
      <c r="J769" s="12"/>
      <c r="K769" s="13"/>
    </row>
    <row r="770">
      <c r="A770" s="6"/>
      <c r="B770" s="6"/>
      <c r="C770" s="17"/>
      <c r="D770" s="9"/>
      <c r="E770" s="9"/>
      <c r="F770" s="16"/>
      <c r="G770" s="11"/>
      <c r="H770" s="9"/>
      <c r="I770" s="9"/>
      <c r="J770" s="12"/>
      <c r="K770" s="13"/>
    </row>
    <row r="771">
      <c r="A771" s="6"/>
      <c r="B771" s="6"/>
      <c r="C771" s="17"/>
      <c r="D771" s="9"/>
      <c r="E771" s="9"/>
      <c r="F771" s="16"/>
      <c r="G771" s="11"/>
      <c r="H771" s="9"/>
      <c r="I771" s="9"/>
      <c r="J771" s="12"/>
      <c r="K771" s="13"/>
    </row>
    <row r="772">
      <c r="A772" s="6"/>
      <c r="B772" s="6"/>
      <c r="C772" s="17"/>
      <c r="D772" s="9"/>
      <c r="E772" s="9"/>
      <c r="F772" s="16"/>
      <c r="G772" s="11"/>
      <c r="H772" s="9"/>
      <c r="I772" s="9"/>
      <c r="J772" s="12"/>
      <c r="K772" s="13"/>
    </row>
    <row r="773">
      <c r="A773" s="6"/>
      <c r="B773" s="6"/>
      <c r="C773" s="17"/>
      <c r="D773" s="9"/>
      <c r="E773" s="9"/>
      <c r="F773" s="16"/>
      <c r="G773" s="11"/>
      <c r="H773" s="9"/>
      <c r="I773" s="9"/>
      <c r="J773" s="12"/>
      <c r="K773" s="13"/>
    </row>
    <row r="774">
      <c r="A774" s="6"/>
      <c r="B774" s="6"/>
      <c r="C774" s="17"/>
      <c r="D774" s="9"/>
      <c r="E774" s="9"/>
      <c r="F774" s="16"/>
      <c r="G774" s="11"/>
      <c r="H774" s="9"/>
      <c r="I774" s="9"/>
      <c r="J774" s="12"/>
      <c r="K774" s="13"/>
    </row>
    <row r="775">
      <c r="A775" s="6"/>
      <c r="B775" s="6"/>
      <c r="C775" s="17"/>
      <c r="D775" s="9"/>
      <c r="E775" s="9"/>
      <c r="F775" s="16"/>
      <c r="G775" s="11"/>
      <c r="H775" s="9"/>
      <c r="I775" s="9"/>
      <c r="J775" s="12"/>
      <c r="K775" s="13"/>
    </row>
    <row r="776">
      <c r="A776" s="6"/>
      <c r="B776" s="6"/>
      <c r="C776" s="17"/>
      <c r="D776" s="9"/>
      <c r="E776" s="9"/>
      <c r="F776" s="16"/>
      <c r="G776" s="11"/>
      <c r="H776" s="9"/>
      <c r="I776" s="9"/>
      <c r="J776" s="12"/>
      <c r="K776" s="13"/>
    </row>
    <row r="777">
      <c r="A777" s="6"/>
      <c r="B777" s="6"/>
      <c r="C777" s="17"/>
      <c r="D777" s="9"/>
      <c r="E777" s="9"/>
      <c r="F777" s="16"/>
      <c r="G777" s="11"/>
      <c r="H777" s="9"/>
      <c r="I777" s="9"/>
      <c r="J777" s="12"/>
      <c r="K777" s="13"/>
    </row>
    <row r="778">
      <c r="A778" s="6"/>
      <c r="B778" s="6"/>
      <c r="C778" s="17"/>
      <c r="D778" s="9"/>
      <c r="E778" s="9"/>
      <c r="F778" s="16"/>
      <c r="G778" s="11"/>
      <c r="H778" s="9"/>
      <c r="I778" s="9"/>
      <c r="J778" s="12"/>
      <c r="K778" s="13"/>
    </row>
    <row r="779">
      <c r="A779" s="6"/>
      <c r="B779" s="6"/>
      <c r="C779" s="17"/>
      <c r="D779" s="9"/>
      <c r="E779" s="9"/>
      <c r="F779" s="16"/>
      <c r="G779" s="11"/>
      <c r="H779" s="9"/>
      <c r="I779" s="9"/>
      <c r="J779" s="12"/>
      <c r="K779" s="13"/>
    </row>
    <row r="780">
      <c r="A780" s="6"/>
      <c r="B780" s="6"/>
      <c r="C780" s="17"/>
      <c r="D780" s="9"/>
      <c r="E780" s="9"/>
      <c r="F780" s="16"/>
      <c r="G780" s="11"/>
      <c r="H780" s="9"/>
      <c r="I780" s="9"/>
      <c r="J780" s="12"/>
      <c r="K780" s="13"/>
    </row>
    <row r="781">
      <c r="A781" s="6"/>
      <c r="B781" s="6"/>
      <c r="C781" s="17"/>
      <c r="D781" s="9"/>
      <c r="E781" s="9"/>
      <c r="F781" s="16"/>
      <c r="G781" s="11"/>
      <c r="H781" s="9"/>
      <c r="I781" s="9"/>
      <c r="J781" s="12"/>
      <c r="K781" s="13"/>
    </row>
    <row r="782">
      <c r="A782" s="6"/>
      <c r="B782" s="6"/>
      <c r="C782" s="17"/>
      <c r="D782" s="9"/>
      <c r="E782" s="9"/>
      <c r="F782" s="16"/>
      <c r="G782" s="11"/>
      <c r="H782" s="9"/>
      <c r="I782" s="9"/>
      <c r="J782" s="12"/>
      <c r="K782" s="13"/>
    </row>
    <row r="783">
      <c r="A783" s="6"/>
      <c r="B783" s="6"/>
      <c r="C783" s="17"/>
      <c r="D783" s="9"/>
      <c r="E783" s="9"/>
      <c r="F783" s="16"/>
      <c r="G783" s="11"/>
      <c r="H783" s="9"/>
      <c r="I783" s="9"/>
      <c r="J783" s="12"/>
      <c r="K783" s="13"/>
    </row>
    <row r="784">
      <c r="A784" s="6"/>
      <c r="B784" s="6"/>
      <c r="C784" s="17"/>
      <c r="D784" s="9"/>
      <c r="E784" s="9"/>
      <c r="F784" s="16"/>
      <c r="G784" s="11"/>
      <c r="H784" s="9"/>
      <c r="I784" s="9"/>
      <c r="J784" s="12"/>
      <c r="K784" s="13"/>
    </row>
    <row r="785">
      <c r="A785" s="6"/>
      <c r="B785" s="6"/>
      <c r="C785" s="17"/>
      <c r="D785" s="9"/>
      <c r="E785" s="9"/>
      <c r="F785" s="16"/>
      <c r="G785" s="11"/>
      <c r="H785" s="9"/>
      <c r="I785" s="9"/>
      <c r="J785" s="12"/>
      <c r="K785" s="13"/>
    </row>
    <row r="786">
      <c r="A786" s="6"/>
      <c r="B786" s="6"/>
      <c r="C786" s="17"/>
      <c r="D786" s="9"/>
      <c r="E786" s="9"/>
      <c r="F786" s="16"/>
      <c r="G786" s="11"/>
      <c r="H786" s="9"/>
      <c r="I786" s="9"/>
      <c r="J786" s="12"/>
      <c r="K786" s="13"/>
    </row>
    <row r="787">
      <c r="A787" s="6"/>
      <c r="B787" s="6"/>
      <c r="C787" s="17"/>
      <c r="D787" s="9"/>
      <c r="E787" s="9"/>
      <c r="F787" s="16"/>
      <c r="G787" s="11"/>
      <c r="H787" s="9"/>
      <c r="I787" s="9"/>
      <c r="J787" s="12"/>
      <c r="K787" s="13"/>
    </row>
    <row r="788">
      <c r="A788" s="6"/>
      <c r="B788" s="6"/>
      <c r="C788" s="17"/>
      <c r="D788" s="9"/>
      <c r="E788" s="9"/>
      <c r="F788" s="16"/>
      <c r="G788" s="11"/>
      <c r="H788" s="9"/>
      <c r="I788" s="9"/>
      <c r="J788" s="12"/>
      <c r="K788" s="13"/>
    </row>
    <row r="789">
      <c r="A789" s="6"/>
      <c r="B789" s="6"/>
      <c r="C789" s="17"/>
      <c r="D789" s="9"/>
      <c r="E789" s="9"/>
      <c r="F789" s="16"/>
      <c r="G789" s="11"/>
      <c r="H789" s="9"/>
      <c r="I789" s="9"/>
      <c r="J789" s="12"/>
      <c r="K789" s="13"/>
    </row>
    <row r="790">
      <c r="A790" s="6"/>
      <c r="B790" s="6"/>
      <c r="C790" s="17"/>
      <c r="D790" s="9"/>
      <c r="E790" s="9"/>
      <c r="F790" s="16"/>
      <c r="G790" s="11"/>
      <c r="H790" s="9"/>
      <c r="I790" s="9"/>
      <c r="J790" s="12"/>
      <c r="K790" s="13"/>
    </row>
    <row r="791">
      <c r="A791" s="6"/>
      <c r="B791" s="6"/>
      <c r="C791" s="17"/>
      <c r="D791" s="9"/>
      <c r="E791" s="9"/>
      <c r="F791" s="16"/>
      <c r="G791" s="11"/>
      <c r="H791" s="9"/>
      <c r="I791" s="9"/>
      <c r="J791" s="12"/>
      <c r="K791" s="13"/>
    </row>
    <row r="792">
      <c r="A792" s="6"/>
      <c r="B792" s="6"/>
      <c r="C792" s="17"/>
      <c r="D792" s="9"/>
      <c r="E792" s="9"/>
      <c r="F792" s="16"/>
      <c r="G792" s="11"/>
      <c r="H792" s="9"/>
      <c r="I792" s="9"/>
      <c r="J792" s="12"/>
      <c r="K792" s="13"/>
    </row>
    <row r="793">
      <c r="A793" s="6"/>
      <c r="B793" s="6"/>
      <c r="C793" s="17"/>
      <c r="D793" s="9"/>
      <c r="E793" s="9"/>
      <c r="F793" s="16"/>
      <c r="G793" s="11"/>
      <c r="H793" s="9"/>
      <c r="I793" s="9"/>
      <c r="J793" s="12"/>
      <c r="K793" s="13"/>
    </row>
    <row r="794">
      <c r="A794" s="6"/>
      <c r="B794" s="6"/>
      <c r="C794" s="17"/>
      <c r="D794" s="9"/>
      <c r="E794" s="9"/>
      <c r="F794" s="16"/>
      <c r="G794" s="11"/>
      <c r="H794" s="9"/>
      <c r="I794" s="9"/>
      <c r="J794" s="12"/>
      <c r="K794" s="13"/>
    </row>
    <row r="795">
      <c r="A795" s="6"/>
      <c r="B795" s="6"/>
      <c r="C795" s="17"/>
      <c r="D795" s="9"/>
      <c r="E795" s="9"/>
      <c r="F795" s="16"/>
      <c r="G795" s="11"/>
      <c r="H795" s="9"/>
      <c r="I795" s="9"/>
      <c r="J795" s="12"/>
      <c r="K795" s="13"/>
    </row>
    <row r="796">
      <c r="A796" s="6"/>
      <c r="B796" s="6"/>
      <c r="C796" s="17"/>
      <c r="D796" s="9"/>
      <c r="E796" s="9"/>
      <c r="F796" s="16"/>
      <c r="G796" s="11"/>
      <c r="H796" s="9"/>
      <c r="I796" s="9"/>
      <c r="J796" s="12"/>
      <c r="K796" s="13"/>
    </row>
    <row r="797">
      <c r="A797" s="6"/>
      <c r="B797" s="6"/>
      <c r="C797" s="17"/>
      <c r="D797" s="9"/>
      <c r="E797" s="9"/>
      <c r="F797" s="16"/>
      <c r="G797" s="11"/>
      <c r="H797" s="9"/>
      <c r="I797" s="9"/>
      <c r="J797" s="12"/>
      <c r="K797" s="13"/>
    </row>
    <row r="798">
      <c r="A798" s="6"/>
      <c r="B798" s="6"/>
      <c r="C798" s="17"/>
      <c r="D798" s="9"/>
      <c r="E798" s="9"/>
      <c r="F798" s="16"/>
      <c r="G798" s="11"/>
      <c r="H798" s="9"/>
      <c r="I798" s="9"/>
      <c r="J798" s="12"/>
      <c r="K798" s="13"/>
    </row>
    <row r="799">
      <c r="A799" s="6"/>
      <c r="B799" s="6"/>
      <c r="C799" s="17"/>
      <c r="D799" s="9"/>
      <c r="E799" s="9"/>
      <c r="F799" s="16"/>
      <c r="G799" s="11"/>
      <c r="H799" s="9"/>
      <c r="I799" s="9"/>
      <c r="J799" s="12"/>
      <c r="K799" s="13"/>
    </row>
    <row r="800">
      <c r="A800" s="6"/>
      <c r="B800" s="6"/>
      <c r="C800" s="17"/>
      <c r="D800" s="9"/>
      <c r="E800" s="9"/>
      <c r="F800" s="16"/>
      <c r="G800" s="11"/>
      <c r="H800" s="9"/>
      <c r="I800" s="9"/>
      <c r="J800" s="12"/>
      <c r="K800" s="13"/>
    </row>
    <row r="801">
      <c r="A801" s="6"/>
      <c r="B801" s="6"/>
      <c r="C801" s="17"/>
      <c r="D801" s="9"/>
      <c r="E801" s="9"/>
      <c r="F801" s="16"/>
      <c r="G801" s="11"/>
      <c r="H801" s="9"/>
      <c r="I801" s="9"/>
      <c r="J801" s="12"/>
      <c r="K801" s="13"/>
    </row>
    <row r="802">
      <c r="A802" s="6"/>
      <c r="B802" s="6"/>
      <c r="C802" s="17"/>
      <c r="D802" s="9"/>
      <c r="E802" s="9"/>
      <c r="F802" s="16"/>
      <c r="G802" s="11"/>
      <c r="H802" s="9"/>
      <c r="I802" s="9"/>
      <c r="J802" s="12"/>
      <c r="K802" s="13"/>
    </row>
    <row r="803">
      <c r="A803" s="6"/>
      <c r="B803" s="6"/>
      <c r="C803" s="17"/>
      <c r="D803" s="9"/>
      <c r="E803" s="9"/>
      <c r="F803" s="16"/>
      <c r="G803" s="11"/>
      <c r="H803" s="9"/>
      <c r="I803" s="9"/>
      <c r="J803" s="12"/>
      <c r="K803" s="13"/>
    </row>
    <row r="804">
      <c r="A804" s="6"/>
      <c r="B804" s="6"/>
      <c r="C804" s="17"/>
      <c r="D804" s="9"/>
      <c r="E804" s="9"/>
      <c r="F804" s="16"/>
      <c r="G804" s="11"/>
      <c r="H804" s="9"/>
      <c r="I804" s="9"/>
      <c r="J804" s="12"/>
      <c r="K804" s="13"/>
    </row>
    <row r="805">
      <c r="A805" s="6"/>
      <c r="B805" s="6"/>
      <c r="C805" s="17"/>
      <c r="D805" s="9"/>
      <c r="E805" s="9"/>
      <c r="F805" s="16"/>
      <c r="G805" s="11"/>
      <c r="H805" s="9"/>
      <c r="I805" s="9"/>
      <c r="J805" s="12"/>
      <c r="K805" s="13"/>
    </row>
    <row r="806">
      <c r="A806" s="6"/>
      <c r="B806" s="6"/>
      <c r="C806" s="17"/>
      <c r="D806" s="9"/>
      <c r="E806" s="9"/>
      <c r="F806" s="16"/>
      <c r="G806" s="11"/>
      <c r="H806" s="9"/>
      <c r="I806" s="9"/>
      <c r="J806" s="12"/>
      <c r="K806" s="13"/>
    </row>
    <row r="807">
      <c r="A807" s="6"/>
      <c r="B807" s="6"/>
      <c r="C807" s="17"/>
      <c r="D807" s="9"/>
      <c r="E807" s="9"/>
      <c r="F807" s="16"/>
      <c r="G807" s="11"/>
      <c r="H807" s="9"/>
      <c r="I807" s="9"/>
      <c r="J807" s="12"/>
      <c r="K807" s="13"/>
    </row>
    <row r="808">
      <c r="A808" s="6"/>
      <c r="B808" s="6"/>
      <c r="C808" s="17"/>
      <c r="D808" s="9"/>
      <c r="E808" s="9"/>
      <c r="F808" s="16"/>
      <c r="G808" s="11"/>
      <c r="H808" s="9"/>
      <c r="I808" s="9"/>
      <c r="J808" s="12"/>
      <c r="K808" s="13"/>
    </row>
    <row r="809">
      <c r="A809" s="6"/>
      <c r="B809" s="6"/>
      <c r="C809" s="17"/>
      <c r="D809" s="9"/>
      <c r="E809" s="9"/>
      <c r="F809" s="16"/>
      <c r="G809" s="11"/>
      <c r="H809" s="9"/>
      <c r="I809" s="9"/>
      <c r="J809" s="12"/>
      <c r="K809" s="13"/>
    </row>
    <row r="810">
      <c r="A810" s="6"/>
      <c r="B810" s="6"/>
      <c r="C810" s="17"/>
      <c r="D810" s="9"/>
      <c r="E810" s="9"/>
      <c r="F810" s="16"/>
      <c r="G810" s="11"/>
      <c r="H810" s="9"/>
      <c r="I810" s="9"/>
      <c r="J810" s="12"/>
      <c r="K810" s="13"/>
    </row>
    <row r="811">
      <c r="A811" s="6"/>
      <c r="B811" s="6"/>
      <c r="C811" s="17"/>
      <c r="D811" s="9"/>
      <c r="E811" s="9"/>
      <c r="F811" s="16"/>
      <c r="G811" s="11"/>
      <c r="H811" s="9"/>
      <c r="I811" s="9"/>
      <c r="J811" s="12"/>
      <c r="K811" s="13"/>
    </row>
    <row r="812">
      <c r="A812" s="6"/>
      <c r="B812" s="6"/>
      <c r="C812" s="17"/>
      <c r="D812" s="9"/>
      <c r="E812" s="9"/>
      <c r="F812" s="16"/>
      <c r="G812" s="11"/>
      <c r="H812" s="9"/>
      <c r="I812" s="9"/>
      <c r="J812" s="12"/>
      <c r="K812" s="13"/>
    </row>
    <row r="813">
      <c r="A813" s="6"/>
      <c r="B813" s="6"/>
      <c r="C813" s="17"/>
      <c r="D813" s="9"/>
      <c r="E813" s="9"/>
      <c r="F813" s="16"/>
      <c r="G813" s="11"/>
      <c r="H813" s="9"/>
      <c r="I813" s="9"/>
      <c r="J813" s="12"/>
      <c r="K813" s="13"/>
    </row>
    <row r="814">
      <c r="A814" s="6"/>
      <c r="B814" s="6"/>
      <c r="C814" s="17"/>
      <c r="D814" s="9"/>
      <c r="E814" s="9"/>
      <c r="F814" s="16"/>
      <c r="G814" s="11"/>
      <c r="H814" s="9"/>
      <c r="I814" s="9"/>
      <c r="J814" s="12"/>
      <c r="K814" s="13"/>
    </row>
    <row r="815">
      <c r="A815" s="6"/>
      <c r="B815" s="6"/>
      <c r="C815" s="17"/>
      <c r="D815" s="9"/>
      <c r="E815" s="9"/>
      <c r="F815" s="16"/>
      <c r="G815" s="11"/>
      <c r="H815" s="9"/>
      <c r="I815" s="9"/>
      <c r="J815" s="12"/>
      <c r="K815" s="13"/>
    </row>
    <row r="816">
      <c r="A816" s="6"/>
      <c r="B816" s="6"/>
      <c r="C816" s="17"/>
      <c r="D816" s="9"/>
      <c r="E816" s="9"/>
      <c r="F816" s="16"/>
      <c r="G816" s="11"/>
      <c r="H816" s="9"/>
      <c r="I816" s="9"/>
      <c r="J816" s="12"/>
      <c r="K816" s="13"/>
    </row>
    <row r="817">
      <c r="A817" s="6"/>
      <c r="B817" s="6"/>
      <c r="C817" s="17"/>
      <c r="D817" s="9"/>
      <c r="E817" s="9"/>
      <c r="F817" s="16"/>
      <c r="G817" s="11"/>
      <c r="H817" s="9"/>
      <c r="I817" s="9"/>
      <c r="J817" s="12"/>
      <c r="K817" s="13"/>
    </row>
    <row r="818">
      <c r="A818" s="6"/>
      <c r="B818" s="6"/>
      <c r="C818" s="17"/>
      <c r="D818" s="9"/>
      <c r="E818" s="9"/>
      <c r="F818" s="16"/>
      <c r="G818" s="11"/>
      <c r="H818" s="9"/>
      <c r="I818" s="9"/>
      <c r="J818" s="12"/>
      <c r="K818" s="13"/>
    </row>
    <row r="819">
      <c r="A819" s="6"/>
      <c r="B819" s="6"/>
      <c r="C819" s="17"/>
      <c r="D819" s="9"/>
      <c r="E819" s="9"/>
      <c r="F819" s="16"/>
      <c r="G819" s="11"/>
      <c r="H819" s="9"/>
      <c r="I819" s="9"/>
      <c r="J819" s="12"/>
      <c r="K819" s="13"/>
    </row>
    <row r="820">
      <c r="A820" s="6"/>
      <c r="B820" s="6"/>
      <c r="C820" s="17"/>
      <c r="D820" s="9"/>
      <c r="E820" s="9"/>
      <c r="F820" s="16"/>
      <c r="G820" s="11"/>
      <c r="H820" s="9"/>
      <c r="I820" s="9"/>
      <c r="J820" s="12"/>
      <c r="K820" s="13"/>
    </row>
    <row r="821">
      <c r="A821" s="6"/>
      <c r="B821" s="6"/>
      <c r="C821" s="17"/>
      <c r="D821" s="9"/>
      <c r="E821" s="9"/>
      <c r="F821" s="16"/>
      <c r="G821" s="11"/>
      <c r="H821" s="9"/>
      <c r="I821" s="9"/>
      <c r="J821" s="12"/>
      <c r="K821" s="13"/>
    </row>
    <row r="822">
      <c r="A822" s="6"/>
      <c r="B822" s="6"/>
      <c r="C822" s="17"/>
      <c r="D822" s="9"/>
      <c r="E822" s="9"/>
      <c r="F822" s="16"/>
      <c r="G822" s="11"/>
      <c r="H822" s="9"/>
      <c r="I822" s="9"/>
      <c r="J822" s="12"/>
      <c r="K822" s="13"/>
    </row>
    <row r="823">
      <c r="A823" s="6"/>
      <c r="B823" s="6"/>
      <c r="C823" s="17"/>
      <c r="D823" s="9"/>
      <c r="E823" s="9"/>
      <c r="F823" s="16"/>
      <c r="G823" s="11"/>
      <c r="H823" s="9"/>
      <c r="I823" s="9"/>
      <c r="J823" s="12"/>
      <c r="K823" s="13"/>
    </row>
    <row r="824">
      <c r="A824" s="6"/>
      <c r="B824" s="6"/>
      <c r="C824" s="17"/>
      <c r="D824" s="9"/>
      <c r="E824" s="9"/>
      <c r="F824" s="16"/>
      <c r="G824" s="11"/>
      <c r="H824" s="9"/>
      <c r="I824" s="9"/>
      <c r="J824" s="12"/>
      <c r="K824" s="13"/>
    </row>
    <row r="825">
      <c r="A825" s="6"/>
      <c r="B825" s="6"/>
      <c r="C825" s="17"/>
      <c r="D825" s="9"/>
      <c r="E825" s="9"/>
      <c r="F825" s="16"/>
      <c r="G825" s="11"/>
      <c r="H825" s="9"/>
      <c r="I825" s="9"/>
      <c r="J825" s="12"/>
      <c r="K825" s="13"/>
    </row>
    <row r="826">
      <c r="A826" s="6"/>
      <c r="B826" s="6"/>
      <c r="C826" s="17"/>
      <c r="D826" s="9"/>
      <c r="E826" s="9"/>
      <c r="F826" s="16"/>
      <c r="G826" s="11"/>
      <c r="H826" s="9"/>
      <c r="I826" s="9"/>
      <c r="J826" s="12"/>
      <c r="K826" s="13"/>
    </row>
    <row r="827">
      <c r="A827" s="6"/>
      <c r="B827" s="6"/>
      <c r="C827" s="17"/>
      <c r="D827" s="9"/>
      <c r="E827" s="9"/>
      <c r="F827" s="16"/>
      <c r="G827" s="11"/>
      <c r="H827" s="9"/>
      <c r="I827" s="9"/>
      <c r="J827" s="12"/>
      <c r="K827" s="13"/>
    </row>
    <row r="828">
      <c r="A828" s="6"/>
      <c r="B828" s="6"/>
      <c r="C828" s="17"/>
      <c r="D828" s="9"/>
      <c r="E828" s="9"/>
      <c r="F828" s="16"/>
      <c r="G828" s="11"/>
      <c r="H828" s="9"/>
      <c r="I828" s="9"/>
      <c r="J828" s="12"/>
      <c r="K828" s="13"/>
    </row>
    <row r="829">
      <c r="A829" s="6"/>
      <c r="B829" s="6"/>
      <c r="C829" s="17"/>
      <c r="D829" s="9"/>
      <c r="E829" s="9"/>
      <c r="F829" s="16"/>
      <c r="G829" s="11"/>
      <c r="H829" s="9"/>
      <c r="I829" s="9"/>
      <c r="J829" s="12"/>
      <c r="K829" s="13"/>
    </row>
    <row r="830">
      <c r="A830" s="6"/>
      <c r="B830" s="6"/>
      <c r="C830" s="17"/>
      <c r="D830" s="9"/>
      <c r="E830" s="9"/>
      <c r="F830" s="16"/>
      <c r="G830" s="11"/>
      <c r="H830" s="9"/>
      <c r="I830" s="9"/>
      <c r="J830" s="12"/>
      <c r="K830" s="13"/>
    </row>
    <row r="831">
      <c r="A831" s="6"/>
      <c r="B831" s="6"/>
      <c r="C831" s="17"/>
      <c r="D831" s="9"/>
      <c r="E831" s="9"/>
      <c r="F831" s="16"/>
      <c r="G831" s="11"/>
      <c r="H831" s="9"/>
      <c r="I831" s="9"/>
      <c r="J831" s="12"/>
      <c r="K831" s="13"/>
    </row>
    <row r="832">
      <c r="A832" s="6"/>
      <c r="B832" s="6"/>
      <c r="C832" s="17"/>
      <c r="D832" s="9"/>
      <c r="E832" s="9"/>
      <c r="F832" s="16"/>
      <c r="G832" s="11"/>
      <c r="H832" s="9"/>
      <c r="I832" s="9"/>
      <c r="J832" s="12"/>
      <c r="K832" s="13"/>
    </row>
    <row r="833">
      <c r="A833" s="6"/>
      <c r="B833" s="6"/>
      <c r="C833" s="17"/>
      <c r="D833" s="9"/>
      <c r="E833" s="9"/>
      <c r="F833" s="16"/>
      <c r="G833" s="11"/>
      <c r="H833" s="9"/>
      <c r="I833" s="9"/>
      <c r="J833" s="12"/>
      <c r="K833" s="13"/>
    </row>
    <row r="834">
      <c r="A834" s="6"/>
      <c r="B834" s="6"/>
      <c r="C834" s="17"/>
      <c r="D834" s="9"/>
      <c r="E834" s="9"/>
      <c r="F834" s="16"/>
      <c r="G834" s="11"/>
      <c r="H834" s="9"/>
      <c r="I834" s="9"/>
      <c r="J834" s="12"/>
      <c r="K834" s="13"/>
    </row>
    <row r="835">
      <c r="A835" s="6"/>
      <c r="B835" s="6"/>
      <c r="C835" s="17"/>
      <c r="D835" s="9"/>
      <c r="E835" s="9"/>
      <c r="F835" s="16"/>
      <c r="G835" s="11"/>
      <c r="H835" s="9"/>
      <c r="I835" s="9"/>
      <c r="J835" s="12"/>
      <c r="K835" s="13"/>
    </row>
    <row r="836">
      <c r="A836" s="6"/>
      <c r="B836" s="6"/>
      <c r="C836" s="17"/>
      <c r="D836" s="9"/>
      <c r="E836" s="9"/>
      <c r="F836" s="16"/>
      <c r="G836" s="11"/>
      <c r="H836" s="9"/>
      <c r="I836" s="9"/>
      <c r="J836" s="12"/>
      <c r="K836" s="13"/>
    </row>
    <row r="837">
      <c r="A837" s="6"/>
      <c r="B837" s="6"/>
      <c r="C837" s="17"/>
      <c r="D837" s="9"/>
      <c r="E837" s="9"/>
      <c r="F837" s="16"/>
      <c r="G837" s="11"/>
      <c r="H837" s="9"/>
      <c r="I837" s="9"/>
      <c r="J837" s="12"/>
      <c r="K837" s="13"/>
    </row>
    <row r="838">
      <c r="A838" s="6"/>
      <c r="B838" s="6"/>
      <c r="C838" s="17"/>
      <c r="D838" s="9"/>
      <c r="E838" s="9"/>
      <c r="F838" s="16"/>
      <c r="G838" s="11"/>
      <c r="H838" s="9"/>
      <c r="I838" s="9"/>
      <c r="J838" s="12"/>
      <c r="K838" s="13"/>
    </row>
    <row r="839">
      <c r="A839" s="6"/>
      <c r="B839" s="6"/>
      <c r="C839" s="17"/>
      <c r="D839" s="9"/>
      <c r="E839" s="9"/>
      <c r="F839" s="16"/>
      <c r="G839" s="11"/>
      <c r="H839" s="9"/>
      <c r="I839" s="9"/>
      <c r="J839" s="12"/>
      <c r="K839" s="13"/>
    </row>
    <row r="840">
      <c r="A840" s="6"/>
      <c r="B840" s="6"/>
      <c r="C840" s="17"/>
      <c r="D840" s="9"/>
      <c r="E840" s="9"/>
      <c r="F840" s="16"/>
      <c r="G840" s="11"/>
      <c r="H840" s="9"/>
      <c r="I840" s="9"/>
      <c r="J840" s="12"/>
      <c r="K840" s="13"/>
    </row>
    <row r="841">
      <c r="A841" s="6"/>
      <c r="B841" s="6"/>
      <c r="C841" s="17"/>
      <c r="D841" s="9"/>
      <c r="E841" s="9"/>
      <c r="F841" s="16"/>
      <c r="G841" s="11"/>
      <c r="H841" s="9"/>
      <c r="I841" s="9"/>
      <c r="J841" s="12"/>
      <c r="K841" s="13"/>
    </row>
    <row r="842">
      <c r="A842" s="6"/>
      <c r="B842" s="6"/>
      <c r="C842" s="17"/>
      <c r="D842" s="9"/>
      <c r="E842" s="9"/>
      <c r="F842" s="16"/>
      <c r="G842" s="11"/>
      <c r="H842" s="9"/>
      <c r="I842" s="9"/>
      <c r="J842" s="12"/>
      <c r="K842" s="13"/>
    </row>
    <row r="843">
      <c r="A843" s="6"/>
      <c r="B843" s="6"/>
      <c r="C843" s="17"/>
      <c r="D843" s="9"/>
      <c r="E843" s="9"/>
      <c r="F843" s="16"/>
      <c r="G843" s="11"/>
      <c r="H843" s="9"/>
      <c r="I843" s="9"/>
      <c r="J843" s="12"/>
      <c r="K843" s="13"/>
    </row>
    <row r="844">
      <c r="A844" s="6"/>
      <c r="B844" s="6"/>
      <c r="C844" s="17"/>
      <c r="D844" s="9"/>
      <c r="E844" s="9"/>
      <c r="F844" s="16"/>
      <c r="G844" s="11"/>
      <c r="H844" s="9"/>
      <c r="I844" s="9"/>
      <c r="J844" s="12"/>
      <c r="K844" s="13"/>
    </row>
    <row r="845">
      <c r="A845" s="6"/>
      <c r="B845" s="6"/>
      <c r="C845" s="17"/>
      <c r="D845" s="9"/>
      <c r="E845" s="9"/>
      <c r="F845" s="16"/>
      <c r="G845" s="11"/>
      <c r="H845" s="9"/>
      <c r="I845" s="9"/>
      <c r="J845" s="12"/>
      <c r="K845" s="13"/>
    </row>
    <row r="846">
      <c r="A846" s="6"/>
      <c r="B846" s="6"/>
      <c r="C846" s="17"/>
      <c r="D846" s="9"/>
      <c r="E846" s="9"/>
      <c r="F846" s="16"/>
      <c r="G846" s="11"/>
      <c r="H846" s="9"/>
      <c r="I846" s="9"/>
      <c r="J846" s="12"/>
      <c r="K846" s="13"/>
    </row>
    <row r="847">
      <c r="A847" s="6"/>
      <c r="B847" s="6"/>
      <c r="C847" s="17"/>
      <c r="D847" s="9"/>
      <c r="E847" s="9"/>
      <c r="F847" s="16"/>
      <c r="G847" s="11"/>
      <c r="H847" s="9"/>
      <c r="I847" s="9"/>
      <c r="J847" s="12"/>
      <c r="K847" s="13"/>
    </row>
    <row r="848">
      <c r="A848" s="6"/>
      <c r="B848" s="6"/>
      <c r="C848" s="17"/>
      <c r="D848" s="9"/>
      <c r="E848" s="9"/>
      <c r="F848" s="16"/>
      <c r="G848" s="11"/>
      <c r="H848" s="9"/>
      <c r="I848" s="9"/>
      <c r="J848" s="12"/>
      <c r="K848" s="13"/>
    </row>
    <row r="849">
      <c r="A849" s="6"/>
      <c r="B849" s="6"/>
      <c r="C849" s="17"/>
      <c r="D849" s="9"/>
      <c r="E849" s="9"/>
      <c r="F849" s="16"/>
      <c r="G849" s="11"/>
      <c r="H849" s="9"/>
      <c r="I849" s="9"/>
      <c r="J849" s="12"/>
      <c r="K849" s="13"/>
    </row>
    <row r="850">
      <c r="A850" s="6"/>
      <c r="B850" s="6"/>
      <c r="C850" s="17"/>
      <c r="D850" s="9"/>
      <c r="E850" s="9"/>
      <c r="F850" s="16"/>
      <c r="G850" s="11"/>
      <c r="H850" s="9"/>
      <c r="I850" s="9"/>
      <c r="J850" s="12"/>
      <c r="K850" s="13"/>
    </row>
    <row r="851">
      <c r="A851" s="6"/>
      <c r="B851" s="6"/>
      <c r="C851" s="17"/>
      <c r="D851" s="9"/>
      <c r="E851" s="9"/>
      <c r="F851" s="16"/>
      <c r="G851" s="11"/>
      <c r="H851" s="9"/>
      <c r="I851" s="9"/>
      <c r="J851" s="12"/>
      <c r="K851" s="13"/>
    </row>
    <row r="852">
      <c r="A852" s="6"/>
      <c r="B852" s="6"/>
      <c r="C852" s="17"/>
      <c r="D852" s="9"/>
      <c r="E852" s="9"/>
      <c r="F852" s="16"/>
      <c r="G852" s="11"/>
      <c r="H852" s="9"/>
      <c r="I852" s="9"/>
      <c r="J852" s="12"/>
      <c r="K852" s="13"/>
    </row>
    <row r="853">
      <c r="A853" s="6"/>
      <c r="B853" s="6"/>
      <c r="C853" s="17"/>
      <c r="D853" s="9"/>
      <c r="E853" s="9"/>
      <c r="F853" s="16"/>
      <c r="G853" s="11"/>
      <c r="H853" s="9"/>
      <c r="I853" s="9"/>
      <c r="J853" s="12"/>
      <c r="K853" s="13"/>
    </row>
    <row r="854">
      <c r="A854" s="6"/>
      <c r="B854" s="6"/>
      <c r="C854" s="17"/>
      <c r="D854" s="9"/>
      <c r="E854" s="9"/>
      <c r="F854" s="16"/>
      <c r="G854" s="11"/>
      <c r="H854" s="9"/>
      <c r="I854" s="9"/>
      <c r="J854" s="12"/>
      <c r="K854" s="13"/>
    </row>
    <row r="855">
      <c r="A855" s="6"/>
      <c r="B855" s="6"/>
      <c r="C855" s="17"/>
      <c r="D855" s="9"/>
      <c r="E855" s="9"/>
      <c r="F855" s="16"/>
      <c r="G855" s="11"/>
      <c r="H855" s="9"/>
      <c r="I855" s="9"/>
      <c r="J855" s="12"/>
      <c r="K855" s="13"/>
    </row>
    <row r="856">
      <c r="A856" s="6"/>
      <c r="B856" s="6"/>
      <c r="C856" s="17"/>
      <c r="D856" s="9"/>
      <c r="E856" s="9"/>
      <c r="F856" s="16"/>
      <c r="G856" s="11"/>
      <c r="H856" s="9"/>
      <c r="I856" s="9"/>
      <c r="J856" s="12"/>
      <c r="K856" s="13"/>
    </row>
    <row r="857">
      <c r="A857" s="6"/>
      <c r="B857" s="6"/>
      <c r="C857" s="17"/>
      <c r="D857" s="9"/>
      <c r="E857" s="9"/>
      <c r="F857" s="16"/>
      <c r="G857" s="11"/>
      <c r="H857" s="9"/>
      <c r="I857" s="9"/>
      <c r="J857" s="12"/>
      <c r="K857" s="13"/>
    </row>
    <row r="858">
      <c r="A858" s="6"/>
      <c r="B858" s="6"/>
      <c r="C858" s="17"/>
      <c r="D858" s="9"/>
      <c r="E858" s="9"/>
      <c r="F858" s="16"/>
      <c r="G858" s="11"/>
      <c r="H858" s="9"/>
      <c r="I858" s="9"/>
      <c r="J858" s="12"/>
      <c r="K858" s="13"/>
    </row>
    <row r="859">
      <c r="A859" s="6"/>
      <c r="B859" s="6"/>
      <c r="C859" s="17"/>
      <c r="D859" s="9"/>
      <c r="E859" s="9"/>
      <c r="F859" s="16"/>
      <c r="G859" s="11"/>
      <c r="H859" s="9"/>
      <c r="I859" s="9"/>
      <c r="J859" s="12"/>
      <c r="K859" s="13"/>
    </row>
    <row r="860">
      <c r="A860" s="6"/>
      <c r="B860" s="6"/>
      <c r="C860" s="17"/>
      <c r="D860" s="9"/>
      <c r="E860" s="9"/>
      <c r="F860" s="16"/>
      <c r="G860" s="11"/>
      <c r="H860" s="9"/>
      <c r="I860" s="9"/>
      <c r="J860" s="12"/>
      <c r="K860" s="13"/>
    </row>
    <row r="861">
      <c r="A861" s="6"/>
      <c r="B861" s="6"/>
      <c r="C861" s="17"/>
      <c r="D861" s="9"/>
      <c r="E861" s="9"/>
      <c r="F861" s="16"/>
      <c r="G861" s="11"/>
      <c r="H861" s="9"/>
      <c r="I861" s="9"/>
      <c r="J861" s="12"/>
      <c r="K861" s="13"/>
    </row>
    <row r="862">
      <c r="A862" s="6"/>
      <c r="B862" s="6"/>
      <c r="C862" s="17"/>
      <c r="D862" s="9"/>
      <c r="E862" s="9"/>
      <c r="F862" s="16"/>
      <c r="G862" s="11"/>
      <c r="H862" s="9"/>
      <c r="I862" s="9"/>
      <c r="J862" s="12"/>
      <c r="K862" s="13"/>
    </row>
    <row r="863">
      <c r="A863" s="6"/>
      <c r="B863" s="6"/>
      <c r="C863" s="17"/>
      <c r="D863" s="9"/>
      <c r="E863" s="9"/>
      <c r="F863" s="16"/>
      <c r="G863" s="11"/>
      <c r="H863" s="9"/>
      <c r="I863" s="9"/>
      <c r="J863" s="12"/>
      <c r="K863" s="13"/>
    </row>
    <row r="864">
      <c r="A864" s="6"/>
      <c r="B864" s="6"/>
      <c r="C864" s="17"/>
      <c r="D864" s="9"/>
      <c r="E864" s="9"/>
      <c r="F864" s="16"/>
      <c r="G864" s="11"/>
      <c r="H864" s="9"/>
      <c r="I864" s="9"/>
      <c r="J864" s="12"/>
      <c r="K864" s="13"/>
    </row>
    <row r="865">
      <c r="A865" s="6"/>
      <c r="B865" s="6"/>
      <c r="C865" s="17"/>
      <c r="D865" s="9"/>
      <c r="E865" s="9"/>
      <c r="F865" s="16"/>
      <c r="G865" s="11"/>
      <c r="H865" s="9"/>
      <c r="I865" s="9"/>
      <c r="J865" s="12"/>
      <c r="K865" s="13"/>
    </row>
    <row r="866">
      <c r="A866" s="6"/>
      <c r="B866" s="6"/>
      <c r="C866" s="17"/>
      <c r="D866" s="9"/>
      <c r="E866" s="9"/>
      <c r="F866" s="16"/>
      <c r="G866" s="11"/>
      <c r="H866" s="9"/>
      <c r="I866" s="9"/>
      <c r="J866" s="12"/>
      <c r="K866" s="13"/>
    </row>
    <row r="867">
      <c r="A867" s="6"/>
      <c r="B867" s="6"/>
      <c r="C867" s="17"/>
      <c r="D867" s="9"/>
      <c r="E867" s="9"/>
      <c r="F867" s="16"/>
      <c r="G867" s="11"/>
      <c r="H867" s="9"/>
      <c r="I867" s="9"/>
      <c r="J867" s="12"/>
      <c r="K867" s="13"/>
    </row>
    <row r="868">
      <c r="A868" s="6"/>
      <c r="B868" s="6"/>
      <c r="C868" s="17"/>
      <c r="D868" s="9"/>
      <c r="E868" s="9"/>
      <c r="F868" s="16"/>
      <c r="G868" s="11"/>
      <c r="H868" s="9"/>
      <c r="I868" s="9"/>
      <c r="J868" s="12"/>
      <c r="K868" s="13"/>
    </row>
    <row r="869">
      <c r="A869" s="6"/>
      <c r="B869" s="6"/>
      <c r="C869" s="17"/>
      <c r="D869" s="9"/>
      <c r="E869" s="9"/>
      <c r="F869" s="16"/>
      <c r="G869" s="11"/>
      <c r="H869" s="9"/>
      <c r="I869" s="9"/>
      <c r="J869" s="12"/>
      <c r="K869" s="13"/>
    </row>
    <row r="870">
      <c r="A870" s="6"/>
      <c r="B870" s="6"/>
      <c r="C870" s="17"/>
      <c r="D870" s="9"/>
      <c r="E870" s="9"/>
      <c r="F870" s="16"/>
      <c r="G870" s="11"/>
      <c r="H870" s="9"/>
      <c r="I870" s="9"/>
      <c r="J870" s="12"/>
      <c r="K870" s="13"/>
    </row>
    <row r="871">
      <c r="A871" s="6"/>
      <c r="B871" s="6"/>
      <c r="C871" s="17"/>
      <c r="D871" s="9"/>
      <c r="E871" s="9"/>
      <c r="F871" s="16"/>
      <c r="G871" s="11"/>
      <c r="H871" s="9"/>
      <c r="I871" s="9"/>
      <c r="J871" s="12"/>
      <c r="K871" s="13"/>
    </row>
    <row r="872">
      <c r="A872" s="6"/>
      <c r="B872" s="6"/>
      <c r="C872" s="17"/>
      <c r="D872" s="9"/>
      <c r="E872" s="9"/>
      <c r="F872" s="16"/>
      <c r="G872" s="11"/>
      <c r="H872" s="9"/>
      <c r="I872" s="9"/>
      <c r="J872" s="12"/>
      <c r="K872" s="13"/>
    </row>
    <row r="873">
      <c r="A873" s="6"/>
      <c r="B873" s="6"/>
      <c r="C873" s="17"/>
      <c r="D873" s="9"/>
      <c r="E873" s="9"/>
      <c r="F873" s="16"/>
      <c r="G873" s="11"/>
      <c r="H873" s="9"/>
      <c r="I873" s="9"/>
      <c r="J873" s="12"/>
      <c r="K873" s="13"/>
    </row>
    <row r="874">
      <c r="A874" s="6"/>
      <c r="B874" s="6"/>
      <c r="C874" s="17"/>
      <c r="D874" s="9"/>
      <c r="E874" s="9"/>
      <c r="F874" s="16"/>
      <c r="G874" s="11"/>
      <c r="H874" s="9"/>
      <c r="I874" s="9"/>
      <c r="J874" s="12"/>
      <c r="K874" s="13"/>
    </row>
    <row r="875">
      <c r="A875" s="6"/>
      <c r="B875" s="6"/>
      <c r="C875" s="17"/>
      <c r="D875" s="9"/>
      <c r="E875" s="9"/>
      <c r="F875" s="16"/>
      <c r="G875" s="11"/>
      <c r="H875" s="9"/>
      <c r="I875" s="9"/>
      <c r="J875" s="12"/>
      <c r="K875" s="13"/>
    </row>
    <row r="876">
      <c r="A876" s="6"/>
      <c r="B876" s="6"/>
      <c r="C876" s="17"/>
      <c r="D876" s="9"/>
      <c r="E876" s="9"/>
      <c r="F876" s="16"/>
      <c r="G876" s="11"/>
      <c r="H876" s="9"/>
      <c r="I876" s="9"/>
      <c r="J876" s="12"/>
      <c r="K876" s="13"/>
    </row>
    <row r="877">
      <c r="A877" s="6"/>
      <c r="B877" s="6"/>
      <c r="C877" s="17"/>
      <c r="D877" s="9"/>
      <c r="E877" s="9"/>
      <c r="F877" s="16"/>
      <c r="G877" s="11"/>
      <c r="H877" s="9"/>
      <c r="I877" s="9"/>
      <c r="J877" s="12"/>
      <c r="K877" s="13"/>
    </row>
    <row r="878">
      <c r="A878" s="6"/>
      <c r="B878" s="6"/>
      <c r="C878" s="17"/>
      <c r="D878" s="9"/>
      <c r="E878" s="9"/>
      <c r="F878" s="16"/>
      <c r="G878" s="11"/>
      <c r="H878" s="9"/>
      <c r="I878" s="9"/>
      <c r="J878" s="12"/>
      <c r="K878" s="13"/>
    </row>
    <row r="879">
      <c r="A879" s="6"/>
      <c r="B879" s="6"/>
      <c r="C879" s="17"/>
      <c r="D879" s="9"/>
      <c r="E879" s="9"/>
      <c r="F879" s="16"/>
      <c r="G879" s="11"/>
      <c r="H879" s="9"/>
      <c r="I879" s="9"/>
      <c r="J879" s="12"/>
      <c r="K879" s="13"/>
    </row>
    <row r="880">
      <c r="A880" s="6"/>
      <c r="B880" s="6"/>
      <c r="C880" s="17"/>
      <c r="D880" s="9"/>
      <c r="E880" s="9"/>
      <c r="F880" s="16"/>
      <c r="G880" s="11"/>
      <c r="H880" s="9"/>
      <c r="I880" s="9"/>
      <c r="J880" s="12"/>
      <c r="K880" s="13"/>
    </row>
    <row r="881">
      <c r="A881" s="6"/>
      <c r="B881" s="6"/>
      <c r="C881" s="17"/>
      <c r="D881" s="9"/>
      <c r="E881" s="9"/>
      <c r="F881" s="16"/>
      <c r="G881" s="11"/>
      <c r="H881" s="9"/>
      <c r="I881" s="9"/>
      <c r="J881" s="12"/>
      <c r="K881" s="13"/>
    </row>
    <row r="882">
      <c r="A882" s="6"/>
      <c r="B882" s="6"/>
      <c r="C882" s="17"/>
      <c r="D882" s="9"/>
      <c r="E882" s="9"/>
      <c r="F882" s="16"/>
      <c r="G882" s="11"/>
      <c r="H882" s="9"/>
      <c r="I882" s="9"/>
      <c r="J882" s="12"/>
      <c r="K882" s="13"/>
    </row>
    <row r="883">
      <c r="A883" s="6"/>
      <c r="B883" s="6"/>
      <c r="C883" s="17"/>
      <c r="D883" s="9"/>
      <c r="E883" s="9"/>
      <c r="F883" s="16"/>
      <c r="G883" s="11"/>
      <c r="H883" s="9"/>
      <c r="I883" s="9"/>
      <c r="J883" s="12"/>
      <c r="K883" s="13"/>
    </row>
    <row r="884">
      <c r="A884" s="6"/>
      <c r="B884" s="6"/>
      <c r="C884" s="17"/>
      <c r="D884" s="9"/>
      <c r="E884" s="9"/>
      <c r="F884" s="16"/>
      <c r="G884" s="11"/>
      <c r="H884" s="9"/>
      <c r="I884" s="9"/>
      <c r="J884" s="12"/>
      <c r="K884" s="13"/>
    </row>
    <row r="885">
      <c r="A885" s="6"/>
      <c r="B885" s="6"/>
      <c r="C885" s="17"/>
      <c r="D885" s="9"/>
      <c r="E885" s="9"/>
      <c r="F885" s="16"/>
      <c r="G885" s="11"/>
      <c r="H885" s="9"/>
      <c r="I885" s="9"/>
      <c r="J885" s="12"/>
      <c r="K885" s="13"/>
    </row>
    <row r="886">
      <c r="A886" s="6"/>
      <c r="B886" s="6"/>
      <c r="C886" s="17"/>
      <c r="D886" s="9"/>
      <c r="E886" s="9"/>
      <c r="F886" s="16"/>
      <c r="G886" s="11"/>
      <c r="H886" s="9"/>
      <c r="I886" s="9"/>
      <c r="J886" s="12"/>
      <c r="K886" s="13"/>
    </row>
    <row r="887">
      <c r="A887" s="6"/>
      <c r="B887" s="6"/>
      <c r="C887" s="17"/>
      <c r="D887" s="9"/>
      <c r="E887" s="9"/>
      <c r="F887" s="16"/>
      <c r="G887" s="11"/>
      <c r="H887" s="9"/>
      <c r="I887" s="9"/>
      <c r="J887" s="12"/>
      <c r="K887" s="13"/>
    </row>
    <row r="888">
      <c r="A888" s="6"/>
      <c r="B888" s="6"/>
      <c r="C888" s="17"/>
      <c r="D888" s="9"/>
      <c r="E888" s="9"/>
      <c r="F888" s="16"/>
      <c r="G888" s="11"/>
      <c r="H888" s="9"/>
      <c r="I888" s="9"/>
      <c r="J888" s="12"/>
      <c r="K888" s="13"/>
    </row>
    <row r="889">
      <c r="A889" s="6"/>
      <c r="B889" s="6"/>
      <c r="C889" s="17"/>
      <c r="D889" s="9"/>
      <c r="E889" s="9"/>
      <c r="F889" s="16"/>
      <c r="G889" s="11"/>
      <c r="H889" s="9"/>
      <c r="I889" s="9"/>
      <c r="J889" s="12"/>
      <c r="K889" s="13"/>
    </row>
    <row r="890">
      <c r="A890" s="6"/>
      <c r="B890" s="6"/>
      <c r="C890" s="17"/>
      <c r="D890" s="9"/>
      <c r="E890" s="9"/>
      <c r="F890" s="16"/>
      <c r="G890" s="11"/>
      <c r="H890" s="9"/>
      <c r="I890" s="9"/>
      <c r="J890" s="12"/>
      <c r="K890" s="13"/>
    </row>
    <row r="891">
      <c r="A891" s="6"/>
      <c r="B891" s="6"/>
      <c r="C891" s="17"/>
      <c r="D891" s="9"/>
      <c r="E891" s="9"/>
      <c r="F891" s="16"/>
      <c r="G891" s="11"/>
      <c r="H891" s="9"/>
      <c r="I891" s="9"/>
      <c r="J891" s="12"/>
      <c r="K891" s="13"/>
    </row>
    <row r="892">
      <c r="A892" s="6"/>
      <c r="B892" s="6"/>
      <c r="C892" s="17"/>
      <c r="D892" s="9"/>
      <c r="E892" s="9"/>
      <c r="F892" s="16"/>
      <c r="G892" s="11"/>
      <c r="H892" s="9"/>
      <c r="I892" s="9"/>
      <c r="J892" s="12"/>
      <c r="K892" s="13"/>
    </row>
    <row r="893">
      <c r="A893" s="6"/>
      <c r="B893" s="6"/>
      <c r="C893" s="17"/>
      <c r="D893" s="9"/>
      <c r="E893" s="9"/>
      <c r="F893" s="16"/>
      <c r="G893" s="11"/>
      <c r="H893" s="9"/>
      <c r="I893" s="9"/>
      <c r="J893" s="12"/>
      <c r="K893" s="13"/>
    </row>
    <row r="894">
      <c r="A894" s="6"/>
      <c r="B894" s="6"/>
      <c r="C894" s="17"/>
      <c r="D894" s="9"/>
      <c r="E894" s="9"/>
      <c r="F894" s="16"/>
      <c r="G894" s="11"/>
      <c r="H894" s="9"/>
      <c r="I894" s="9"/>
      <c r="J894" s="12"/>
      <c r="K894" s="13"/>
    </row>
    <row r="895">
      <c r="A895" s="6"/>
      <c r="B895" s="6"/>
      <c r="C895" s="17"/>
      <c r="D895" s="9"/>
      <c r="E895" s="9"/>
      <c r="F895" s="16"/>
      <c r="G895" s="11"/>
      <c r="H895" s="9"/>
      <c r="I895" s="9"/>
      <c r="J895" s="12"/>
      <c r="K895" s="13"/>
    </row>
    <row r="896">
      <c r="A896" s="6"/>
      <c r="B896" s="6"/>
      <c r="C896" s="17"/>
      <c r="D896" s="9"/>
      <c r="E896" s="9"/>
      <c r="F896" s="16"/>
      <c r="G896" s="11"/>
      <c r="H896" s="9"/>
      <c r="I896" s="9"/>
      <c r="J896" s="12"/>
      <c r="K896" s="13"/>
    </row>
    <row r="897">
      <c r="A897" s="6"/>
      <c r="B897" s="6"/>
      <c r="C897" s="17"/>
      <c r="D897" s="9"/>
      <c r="E897" s="9"/>
      <c r="F897" s="16"/>
      <c r="G897" s="11"/>
      <c r="H897" s="9"/>
      <c r="I897" s="9"/>
      <c r="J897" s="12"/>
      <c r="K897" s="13"/>
    </row>
    <row r="898">
      <c r="A898" s="6"/>
      <c r="B898" s="6"/>
      <c r="C898" s="17"/>
      <c r="D898" s="9"/>
      <c r="E898" s="9"/>
      <c r="F898" s="16"/>
      <c r="G898" s="11"/>
      <c r="H898" s="9"/>
      <c r="I898" s="9"/>
      <c r="J898" s="12"/>
      <c r="K898" s="13"/>
    </row>
    <row r="899">
      <c r="A899" s="6"/>
      <c r="B899" s="6"/>
      <c r="C899" s="17"/>
      <c r="D899" s="9"/>
      <c r="E899" s="9"/>
      <c r="F899" s="16"/>
      <c r="G899" s="11"/>
      <c r="H899" s="9"/>
      <c r="I899" s="9"/>
      <c r="J899" s="12"/>
      <c r="K899" s="13"/>
    </row>
    <row r="900">
      <c r="A900" s="6"/>
      <c r="B900" s="6"/>
      <c r="C900" s="17"/>
      <c r="D900" s="9"/>
      <c r="E900" s="9"/>
      <c r="F900" s="16"/>
      <c r="G900" s="11"/>
      <c r="H900" s="9"/>
      <c r="I900" s="9"/>
      <c r="J900" s="12"/>
      <c r="K900" s="13"/>
    </row>
    <row r="901">
      <c r="A901" s="6"/>
      <c r="B901" s="6"/>
      <c r="C901" s="17"/>
      <c r="D901" s="9"/>
      <c r="E901" s="9"/>
      <c r="F901" s="16"/>
      <c r="G901" s="11"/>
      <c r="H901" s="9"/>
      <c r="I901" s="9"/>
      <c r="J901" s="12"/>
      <c r="K901" s="13"/>
    </row>
    <row r="902">
      <c r="A902" s="6"/>
      <c r="B902" s="6"/>
      <c r="C902" s="17"/>
      <c r="D902" s="9"/>
      <c r="E902" s="9"/>
      <c r="F902" s="16"/>
      <c r="G902" s="11"/>
      <c r="H902" s="9"/>
      <c r="I902" s="9"/>
      <c r="J902" s="12"/>
      <c r="K902" s="13"/>
    </row>
    <row r="903">
      <c r="A903" s="6"/>
      <c r="B903" s="6"/>
      <c r="C903" s="17"/>
      <c r="D903" s="9"/>
      <c r="E903" s="9"/>
      <c r="F903" s="16"/>
      <c r="G903" s="11"/>
      <c r="H903" s="9"/>
      <c r="I903" s="9"/>
      <c r="J903" s="12"/>
      <c r="K903" s="13"/>
    </row>
    <row r="904">
      <c r="A904" s="6"/>
      <c r="B904" s="6"/>
      <c r="C904" s="17"/>
      <c r="D904" s="9"/>
      <c r="E904" s="9"/>
      <c r="F904" s="16"/>
      <c r="G904" s="11"/>
      <c r="H904" s="9"/>
      <c r="I904" s="9"/>
      <c r="J904" s="12"/>
      <c r="K904" s="13"/>
    </row>
    <row r="905">
      <c r="A905" s="6"/>
      <c r="B905" s="6"/>
      <c r="C905" s="17"/>
      <c r="D905" s="9"/>
      <c r="E905" s="9"/>
      <c r="F905" s="16"/>
      <c r="G905" s="11"/>
      <c r="H905" s="9"/>
      <c r="I905" s="9"/>
      <c r="J905" s="12"/>
      <c r="K905" s="13"/>
    </row>
    <row r="906">
      <c r="A906" s="6"/>
      <c r="B906" s="6"/>
      <c r="C906" s="17"/>
      <c r="D906" s="9"/>
      <c r="E906" s="9"/>
      <c r="F906" s="16"/>
      <c r="G906" s="11"/>
      <c r="H906" s="9"/>
      <c r="I906" s="9"/>
      <c r="J906" s="12"/>
      <c r="K906" s="13"/>
    </row>
    <row r="907">
      <c r="A907" s="6"/>
      <c r="B907" s="6"/>
      <c r="C907" s="17"/>
      <c r="D907" s="9"/>
      <c r="E907" s="9"/>
      <c r="F907" s="16"/>
      <c r="G907" s="11"/>
      <c r="H907" s="9"/>
      <c r="I907" s="9"/>
      <c r="J907" s="12"/>
      <c r="K907" s="13"/>
    </row>
    <row r="908">
      <c r="A908" s="6"/>
      <c r="B908" s="6"/>
      <c r="C908" s="17"/>
      <c r="D908" s="9"/>
      <c r="E908" s="9"/>
      <c r="F908" s="16"/>
      <c r="G908" s="11"/>
      <c r="H908" s="9"/>
      <c r="I908" s="9"/>
      <c r="J908" s="12"/>
      <c r="K908" s="13"/>
    </row>
    <row r="909">
      <c r="A909" s="6"/>
      <c r="B909" s="6"/>
      <c r="C909" s="17"/>
      <c r="D909" s="9"/>
      <c r="E909" s="9"/>
      <c r="F909" s="16"/>
      <c r="G909" s="11"/>
      <c r="H909" s="9"/>
      <c r="I909" s="9"/>
      <c r="J909" s="12"/>
      <c r="K909" s="13"/>
    </row>
    <row r="910">
      <c r="A910" s="6"/>
      <c r="B910" s="6"/>
      <c r="C910" s="17"/>
      <c r="D910" s="9"/>
      <c r="E910" s="9"/>
      <c r="F910" s="16"/>
      <c r="G910" s="11"/>
      <c r="H910" s="9"/>
      <c r="I910" s="9"/>
      <c r="J910" s="12"/>
      <c r="K910" s="13"/>
    </row>
    <row r="911">
      <c r="A911" s="6"/>
      <c r="B911" s="6"/>
      <c r="C911" s="17"/>
      <c r="D911" s="9"/>
      <c r="E911" s="9"/>
      <c r="F911" s="16"/>
      <c r="G911" s="11"/>
      <c r="H911" s="9"/>
      <c r="I911" s="9"/>
      <c r="J911" s="12"/>
      <c r="K911" s="13"/>
    </row>
    <row r="912">
      <c r="A912" s="6"/>
      <c r="B912" s="6"/>
      <c r="C912" s="17"/>
      <c r="D912" s="9"/>
      <c r="E912" s="9"/>
      <c r="F912" s="16"/>
      <c r="G912" s="11"/>
      <c r="H912" s="9"/>
      <c r="I912" s="9"/>
      <c r="J912" s="12"/>
      <c r="K912" s="13"/>
    </row>
    <row r="913">
      <c r="A913" s="6"/>
      <c r="B913" s="6"/>
      <c r="C913" s="17"/>
      <c r="D913" s="9"/>
      <c r="E913" s="9"/>
      <c r="F913" s="16"/>
      <c r="G913" s="11"/>
      <c r="H913" s="9"/>
      <c r="I913" s="9"/>
      <c r="J913" s="12"/>
      <c r="K913" s="13"/>
    </row>
    <row r="914">
      <c r="A914" s="6"/>
      <c r="B914" s="6"/>
      <c r="C914" s="17"/>
      <c r="D914" s="9"/>
      <c r="E914" s="9"/>
      <c r="F914" s="16"/>
      <c r="G914" s="11"/>
      <c r="H914" s="9"/>
      <c r="I914" s="9"/>
      <c r="J914" s="12"/>
      <c r="K914" s="13"/>
    </row>
    <row r="915">
      <c r="A915" s="6"/>
      <c r="B915" s="6"/>
      <c r="C915" s="17"/>
      <c r="D915" s="9"/>
      <c r="E915" s="9"/>
      <c r="F915" s="16"/>
      <c r="G915" s="11"/>
      <c r="H915" s="9"/>
      <c r="I915" s="9"/>
      <c r="J915" s="12"/>
      <c r="K915" s="13"/>
    </row>
    <row r="916">
      <c r="A916" s="6"/>
      <c r="B916" s="6"/>
      <c r="C916" s="17"/>
      <c r="D916" s="9"/>
      <c r="E916" s="9"/>
      <c r="F916" s="16"/>
      <c r="G916" s="11"/>
      <c r="H916" s="9"/>
      <c r="I916" s="9"/>
      <c r="J916" s="12"/>
      <c r="K916" s="13"/>
    </row>
    <row r="917">
      <c r="A917" s="6"/>
      <c r="B917" s="6"/>
      <c r="C917" s="17"/>
      <c r="D917" s="9"/>
      <c r="E917" s="9"/>
      <c r="F917" s="16"/>
      <c r="G917" s="11"/>
      <c r="H917" s="9"/>
      <c r="I917" s="9"/>
      <c r="J917" s="12"/>
      <c r="K917" s="13"/>
    </row>
    <row r="918">
      <c r="A918" s="6"/>
      <c r="B918" s="6"/>
      <c r="C918" s="17"/>
      <c r="D918" s="9"/>
      <c r="E918" s="9"/>
      <c r="F918" s="16"/>
      <c r="G918" s="11"/>
      <c r="H918" s="9"/>
      <c r="I918" s="9"/>
      <c r="J918" s="12"/>
      <c r="K918" s="13"/>
    </row>
    <row r="919">
      <c r="A919" s="6"/>
      <c r="B919" s="6"/>
      <c r="C919" s="17"/>
      <c r="D919" s="9"/>
      <c r="E919" s="9"/>
      <c r="F919" s="16"/>
      <c r="G919" s="11"/>
      <c r="H919" s="9"/>
      <c r="I919" s="9"/>
      <c r="J919" s="12"/>
      <c r="K919" s="13"/>
    </row>
    <row r="920">
      <c r="A920" s="6"/>
      <c r="B920" s="6"/>
      <c r="C920" s="17"/>
      <c r="D920" s="9"/>
      <c r="E920" s="9"/>
      <c r="F920" s="16"/>
      <c r="G920" s="11"/>
      <c r="H920" s="9"/>
      <c r="I920" s="9"/>
      <c r="J920" s="12"/>
      <c r="K920" s="13"/>
    </row>
    <row r="921">
      <c r="A921" s="6"/>
      <c r="B921" s="6"/>
      <c r="C921" s="17"/>
      <c r="D921" s="9"/>
      <c r="E921" s="9"/>
      <c r="F921" s="16"/>
      <c r="G921" s="11"/>
      <c r="H921" s="9"/>
      <c r="I921" s="9"/>
      <c r="J921" s="12"/>
      <c r="K921" s="13"/>
    </row>
    <row r="922">
      <c r="A922" s="6"/>
      <c r="B922" s="6"/>
      <c r="C922" s="17"/>
      <c r="D922" s="9"/>
      <c r="E922" s="9"/>
      <c r="F922" s="16"/>
      <c r="G922" s="11"/>
      <c r="H922" s="9"/>
      <c r="I922" s="9"/>
      <c r="J922" s="12"/>
      <c r="K922" s="13"/>
    </row>
    <row r="923">
      <c r="A923" s="6"/>
      <c r="B923" s="6"/>
      <c r="C923" s="17"/>
      <c r="D923" s="9"/>
      <c r="E923" s="9"/>
      <c r="F923" s="16"/>
      <c r="G923" s="11"/>
      <c r="H923" s="9"/>
      <c r="I923" s="9"/>
      <c r="J923" s="12"/>
      <c r="K923" s="13"/>
    </row>
    <row r="924">
      <c r="A924" s="6"/>
      <c r="B924" s="6"/>
      <c r="C924" s="17"/>
      <c r="D924" s="9"/>
      <c r="E924" s="9"/>
      <c r="F924" s="16"/>
      <c r="G924" s="11"/>
      <c r="H924" s="9"/>
      <c r="I924" s="9"/>
      <c r="J924" s="12"/>
      <c r="K924" s="13"/>
    </row>
    <row r="925">
      <c r="A925" s="6"/>
      <c r="B925" s="6"/>
      <c r="C925" s="17"/>
      <c r="D925" s="9"/>
      <c r="E925" s="9"/>
      <c r="F925" s="16"/>
      <c r="G925" s="11"/>
      <c r="H925" s="9"/>
      <c r="I925" s="9"/>
      <c r="J925" s="12"/>
      <c r="K925" s="13"/>
    </row>
    <row r="926">
      <c r="A926" s="6"/>
      <c r="B926" s="6"/>
      <c r="C926" s="17"/>
      <c r="D926" s="9"/>
      <c r="E926" s="9"/>
      <c r="F926" s="16"/>
      <c r="G926" s="11"/>
      <c r="H926" s="9"/>
      <c r="I926" s="9"/>
      <c r="J926" s="12"/>
      <c r="K926" s="13"/>
    </row>
    <row r="927">
      <c r="A927" s="6"/>
      <c r="B927" s="6"/>
      <c r="C927" s="17"/>
      <c r="D927" s="9"/>
      <c r="E927" s="9"/>
      <c r="F927" s="16"/>
      <c r="G927" s="11"/>
      <c r="H927" s="9"/>
      <c r="I927" s="9"/>
      <c r="J927" s="12"/>
      <c r="K927" s="13"/>
    </row>
    <row r="928">
      <c r="A928" s="6"/>
      <c r="B928" s="6"/>
      <c r="C928" s="17"/>
      <c r="D928" s="9"/>
      <c r="E928" s="9"/>
      <c r="F928" s="16"/>
      <c r="G928" s="11"/>
      <c r="H928" s="9"/>
      <c r="I928" s="9"/>
      <c r="J928" s="12"/>
      <c r="K928" s="13"/>
    </row>
    <row r="929">
      <c r="A929" s="6"/>
      <c r="B929" s="6"/>
      <c r="C929" s="17"/>
      <c r="D929" s="9"/>
      <c r="E929" s="9"/>
      <c r="F929" s="16"/>
      <c r="G929" s="11"/>
      <c r="H929" s="9"/>
      <c r="I929" s="9"/>
      <c r="J929" s="12"/>
      <c r="K929" s="13"/>
    </row>
    <row r="930">
      <c r="A930" s="6"/>
      <c r="B930" s="6"/>
      <c r="C930" s="17"/>
      <c r="D930" s="9"/>
      <c r="E930" s="9"/>
      <c r="F930" s="16"/>
      <c r="G930" s="11"/>
      <c r="H930" s="9"/>
      <c r="I930" s="9"/>
      <c r="J930" s="12"/>
      <c r="K930" s="13"/>
    </row>
    <row r="931">
      <c r="A931" s="6"/>
      <c r="B931" s="6"/>
      <c r="C931" s="17"/>
      <c r="D931" s="9"/>
      <c r="E931" s="9"/>
      <c r="F931" s="16"/>
      <c r="G931" s="11"/>
      <c r="H931" s="9"/>
      <c r="I931" s="9"/>
      <c r="J931" s="12"/>
      <c r="K931" s="13"/>
    </row>
    <row r="932">
      <c r="A932" s="6"/>
      <c r="B932" s="6"/>
      <c r="C932" s="17"/>
      <c r="D932" s="9"/>
      <c r="E932" s="9"/>
      <c r="F932" s="16"/>
      <c r="G932" s="11"/>
      <c r="H932" s="9"/>
      <c r="I932" s="9"/>
      <c r="J932" s="12"/>
      <c r="K932" s="13"/>
    </row>
    <row r="933">
      <c r="A933" s="6"/>
      <c r="B933" s="6"/>
      <c r="C933" s="17"/>
      <c r="D933" s="9"/>
      <c r="E933" s="9"/>
      <c r="F933" s="16"/>
      <c r="G933" s="11"/>
      <c r="H933" s="9"/>
      <c r="I933" s="9"/>
      <c r="J933" s="12"/>
      <c r="K933" s="13"/>
    </row>
    <row r="934">
      <c r="A934" s="6"/>
      <c r="B934" s="6"/>
      <c r="C934" s="17"/>
      <c r="D934" s="9"/>
      <c r="E934" s="9"/>
      <c r="F934" s="16"/>
      <c r="G934" s="11"/>
      <c r="H934" s="9"/>
      <c r="I934" s="9"/>
      <c r="J934" s="12"/>
      <c r="K934" s="13"/>
    </row>
    <row r="935">
      <c r="A935" s="6"/>
      <c r="B935" s="6"/>
      <c r="C935" s="17"/>
      <c r="D935" s="9"/>
      <c r="E935" s="9"/>
      <c r="F935" s="16"/>
      <c r="G935" s="11"/>
      <c r="H935" s="9"/>
      <c r="I935" s="9"/>
      <c r="J935" s="12"/>
      <c r="K935" s="13"/>
    </row>
    <row r="936">
      <c r="A936" s="6"/>
      <c r="B936" s="6"/>
      <c r="C936" s="17"/>
      <c r="D936" s="9"/>
      <c r="E936" s="9"/>
      <c r="F936" s="16"/>
      <c r="G936" s="11"/>
      <c r="H936" s="9"/>
      <c r="I936" s="9"/>
      <c r="J936" s="12"/>
      <c r="K936" s="13"/>
    </row>
    <row r="937">
      <c r="A937" s="6"/>
      <c r="B937" s="6"/>
      <c r="C937" s="17"/>
      <c r="D937" s="9"/>
      <c r="E937" s="9"/>
      <c r="F937" s="16"/>
      <c r="G937" s="11"/>
      <c r="H937" s="9"/>
      <c r="I937" s="9"/>
      <c r="J937" s="12"/>
      <c r="K937" s="13"/>
    </row>
    <row r="938">
      <c r="A938" s="6"/>
      <c r="B938" s="6"/>
      <c r="C938" s="17"/>
      <c r="D938" s="9"/>
      <c r="E938" s="9"/>
      <c r="F938" s="16"/>
      <c r="G938" s="11"/>
      <c r="H938" s="9"/>
      <c r="I938" s="9"/>
      <c r="J938" s="12"/>
      <c r="K938" s="13"/>
    </row>
    <row r="939">
      <c r="A939" s="6"/>
      <c r="B939" s="6"/>
      <c r="C939" s="17"/>
      <c r="D939" s="9"/>
      <c r="E939" s="9"/>
      <c r="F939" s="16"/>
      <c r="G939" s="11"/>
      <c r="H939" s="9"/>
      <c r="I939" s="9"/>
      <c r="J939" s="12"/>
      <c r="K939" s="13"/>
    </row>
    <row r="940">
      <c r="A940" s="6"/>
      <c r="B940" s="6"/>
      <c r="C940" s="17"/>
      <c r="D940" s="9"/>
      <c r="E940" s="9"/>
      <c r="F940" s="16"/>
      <c r="G940" s="11"/>
      <c r="H940" s="9"/>
      <c r="I940" s="9"/>
      <c r="J940" s="12"/>
      <c r="K940" s="13"/>
    </row>
    <row r="941">
      <c r="A941" s="6"/>
      <c r="B941" s="6"/>
      <c r="C941" s="17"/>
      <c r="D941" s="9"/>
      <c r="E941" s="9"/>
      <c r="F941" s="16"/>
      <c r="G941" s="11"/>
      <c r="H941" s="9"/>
      <c r="I941" s="9"/>
      <c r="J941" s="12"/>
      <c r="K941" s="13"/>
    </row>
    <row r="942">
      <c r="A942" s="6"/>
      <c r="B942" s="6"/>
      <c r="C942" s="17"/>
      <c r="D942" s="9"/>
      <c r="E942" s="9"/>
      <c r="F942" s="16"/>
      <c r="G942" s="11"/>
      <c r="H942" s="9"/>
      <c r="I942" s="9"/>
      <c r="J942" s="12"/>
      <c r="K942" s="13"/>
    </row>
    <row r="943">
      <c r="A943" s="6"/>
      <c r="B943" s="6"/>
      <c r="C943" s="17"/>
      <c r="D943" s="9"/>
      <c r="E943" s="9"/>
      <c r="F943" s="16"/>
      <c r="G943" s="11"/>
      <c r="H943" s="9"/>
      <c r="I943" s="9"/>
      <c r="J943" s="12"/>
      <c r="K943" s="13"/>
    </row>
    <row r="944">
      <c r="A944" s="6"/>
      <c r="B944" s="6"/>
      <c r="C944" s="17"/>
      <c r="D944" s="9"/>
      <c r="E944" s="9"/>
      <c r="F944" s="16"/>
      <c r="G944" s="11"/>
      <c r="H944" s="9"/>
      <c r="I944" s="9"/>
      <c r="J944" s="12"/>
      <c r="K944" s="13"/>
    </row>
    <row r="945">
      <c r="A945" s="6"/>
      <c r="B945" s="6"/>
      <c r="C945" s="17"/>
      <c r="D945" s="9"/>
      <c r="E945" s="9"/>
      <c r="F945" s="16"/>
      <c r="G945" s="11"/>
      <c r="H945" s="9"/>
      <c r="I945" s="9"/>
      <c r="J945" s="12"/>
      <c r="K945" s="13"/>
    </row>
    <row r="946">
      <c r="A946" s="6"/>
      <c r="B946" s="6"/>
      <c r="C946" s="17"/>
      <c r="D946" s="9"/>
      <c r="E946" s="9"/>
      <c r="F946" s="16"/>
      <c r="G946" s="11"/>
      <c r="H946" s="9"/>
      <c r="I946" s="9"/>
      <c r="J946" s="12"/>
      <c r="K946" s="13"/>
    </row>
    <row r="947">
      <c r="A947" s="6"/>
      <c r="B947" s="6"/>
      <c r="C947" s="17"/>
      <c r="D947" s="9"/>
      <c r="E947" s="9"/>
      <c r="F947" s="16"/>
      <c r="G947" s="11"/>
      <c r="H947" s="9"/>
      <c r="I947" s="9"/>
      <c r="J947" s="12"/>
      <c r="K947" s="13"/>
    </row>
    <row r="948">
      <c r="A948" s="6"/>
      <c r="B948" s="6"/>
      <c r="C948" s="17"/>
      <c r="D948" s="9"/>
      <c r="E948" s="9"/>
      <c r="F948" s="16"/>
      <c r="G948" s="11"/>
      <c r="H948" s="9"/>
      <c r="I948" s="9"/>
      <c r="J948" s="12"/>
      <c r="K948" s="13"/>
    </row>
    <row r="949">
      <c r="A949" s="6"/>
      <c r="B949" s="6"/>
      <c r="C949" s="17"/>
      <c r="D949" s="9"/>
      <c r="E949" s="9"/>
      <c r="F949" s="16"/>
      <c r="G949" s="11"/>
      <c r="H949" s="9"/>
      <c r="I949" s="9"/>
      <c r="J949" s="12"/>
      <c r="K949" s="13"/>
    </row>
    <row r="950">
      <c r="A950" s="6"/>
      <c r="B950" s="6"/>
      <c r="C950" s="17"/>
      <c r="D950" s="9"/>
      <c r="E950" s="9"/>
      <c r="F950" s="16"/>
      <c r="G950" s="11"/>
      <c r="H950" s="9"/>
      <c r="I950" s="9"/>
      <c r="J950" s="12"/>
      <c r="K950" s="13"/>
    </row>
    <row r="951">
      <c r="A951" s="6"/>
      <c r="B951" s="6"/>
      <c r="C951" s="17"/>
      <c r="D951" s="9"/>
      <c r="E951" s="9"/>
      <c r="F951" s="16"/>
      <c r="G951" s="11"/>
      <c r="H951" s="9"/>
      <c r="I951" s="9"/>
      <c r="J951" s="12"/>
      <c r="K951" s="13"/>
    </row>
    <row r="952">
      <c r="A952" s="6"/>
      <c r="B952" s="6"/>
      <c r="C952" s="17"/>
      <c r="D952" s="9"/>
      <c r="E952" s="9"/>
      <c r="F952" s="16"/>
      <c r="G952" s="11"/>
      <c r="H952" s="9"/>
      <c r="I952" s="9"/>
      <c r="J952" s="12"/>
      <c r="K952" s="13"/>
    </row>
    <row r="953">
      <c r="A953" s="6"/>
      <c r="B953" s="6"/>
      <c r="C953" s="17"/>
      <c r="D953" s="9"/>
      <c r="E953" s="9"/>
      <c r="F953" s="16"/>
      <c r="G953" s="11"/>
      <c r="H953" s="9"/>
      <c r="I953" s="9"/>
      <c r="J953" s="12"/>
      <c r="K953" s="13"/>
    </row>
    <row r="954">
      <c r="A954" s="6"/>
      <c r="B954" s="6"/>
      <c r="C954" s="17"/>
      <c r="D954" s="9"/>
      <c r="E954" s="9"/>
      <c r="F954" s="16"/>
      <c r="G954" s="11"/>
      <c r="H954" s="9"/>
      <c r="I954" s="9"/>
      <c r="J954" s="12"/>
      <c r="K954" s="13"/>
    </row>
    <row r="955">
      <c r="A955" s="6"/>
      <c r="B955" s="6"/>
      <c r="C955" s="17"/>
      <c r="D955" s="9"/>
      <c r="E955" s="9"/>
      <c r="F955" s="16"/>
      <c r="G955" s="11"/>
      <c r="H955" s="9"/>
      <c r="I955" s="9"/>
      <c r="J955" s="12"/>
      <c r="K955" s="13"/>
    </row>
    <row r="956">
      <c r="A956" s="6"/>
      <c r="B956" s="6"/>
      <c r="C956" s="17"/>
      <c r="D956" s="9"/>
      <c r="E956" s="9"/>
      <c r="F956" s="16"/>
      <c r="G956" s="11"/>
      <c r="H956" s="9"/>
      <c r="I956" s="9"/>
      <c r="J956" s="12"/>
      <c r="K956" s="13"/>
    </row>
    <row r="957">
      <c r="A957" s="6"/>
      <c r="B957" s="6"/>
      <c r="C957" s="17"/>
      <c r="D957" s="9"/>
      <c r="E957" s="9"/>
      <c r="F957" s="16"/>
      <c r="G957" s="11"/>
      <c r="H957" s="9"/>
      <c r="I957" s="9"/>
      <c r="J957" s="12"/>
      <c r="K957" s="13"/>
    </row>
    <row r="958">
      <c r="A958" s="6"/>
      <c r="B958" s="6"/>
      <c r="C958" s="17"/>
      <c r="D958" s="9"/>
      <c r="E958" s="9"/>
      <c r="F958" s="16"/>
      <c r="G958" s="11"/>
      <c r="H958" s="9"/>
      <c r="I958" s="9"/>
      <c r="J958" s="12"/>
      <c r="K958" s="13"/>
    </row>
    <row r="959">
      <c r="A959" s="6"/>
      <c r="B959" s="6"/>
      <c r="C959" s="17"/>
      <c r="D959" s="9"/>
      <c r="E959" s="9"/>
      <c r="F959" s="16"/>
      <c r="G959" s="11"/>
      <c r="H959" s="9"/>
      <c r="I959" s="9"/>
      <c r="J959" s="12"/>
      <c r="K959" s="13"/>
    </row>
    <row r="960">
      <c r="A960" s="6"/>
      <c r="B960" s="6"/>
      <c r="C960" s="17"/>
      <c r="D960" s="9"/>
      <c r="E960" s="9"/>
      <c r="F960" s="16"/>
      <c r="G960" s="11"/>
      <c r="H960" s="9"/>
      <c r="I960" s="9"/>
      <c r="J960" s="12"/>
      <c r="K960" s="13"/>
    </row>
    <row r="961">
      <c r="A961" s="6"/>
      <c r="B961" s="6"/>
      <c r="C961" s="17"/>
      <c r="D961" s="9"/>
      <c r="E961" s="9"/>
      <c r="F961" s="16"/>
      <c r="G961" s="11"/>
      <c r="H961" s="9"/>
      <c r="I961" s="9"/>
      <c r="J961" s="12"/>
      <c r="K961" s="13"/>
    </row>
    <row r="962">
      <c r="A962" s="6"/>
      <c r="B962" s="6"/>
      <c r="C962" s="17"/>
      <c r="D962" s="9"/>
      <c r="E962" s="9"/>
      <c r="F962" s="16"/>
      <c r="G962" s="11"/>
      <c r="H962" s="9"/>
      <c r="I962" s="9"/>
      <c r="J962" s="12"/>
      <c r="K962" s="13"/>
    </row>
    <row r="963">
      <c r="A963" s="6"/>
      <c r="B963" s="6"/>
      <c r="C963" s="17"/>
      <c r="D963" s="9"/>
      <c r="E963" s="9"/>
      <c r="F963" s="16"/>
      <c r="G963" s="11"/>
      <c r="H963" s="9"/>
      <c r="I963" s="9"/>
      <c r="J963" s="12"/>
      <c r="K963" s="13"/>
    </row>
    <row r="964">
      <c r="A964" s="6"/>
      <c r="B964" s="6"/>
      <c r="C964" s="17"/>
      <c r="D964" s="9"/>
      <c r="E964" s="9"/>
      <c r="F964" s="16"/>
      <c r="G964" s="11"/>
      <c r="H964" s="9"/>
      <c r="I964" s="9"/>
      <c r="J964" s="12"/>
      <c r="K964" s="13"/>
    </row>
    <row r="965">
      <c r="A965" s="6"/>
      <c r="B965" s="6"/>
      <c r="C965" s="17"/>
      <c r="D965" s="9"/>
      <c r="E965" s="9"/>
      <c r="F965" s="16"/>
      <c r="G965" s="11"/>
      <c r="H965" s="9"/>
      <c r="I965" s="9"/>
      <c r="J965" s="12"/>
      <c r="K965" s="13"/>
    </row>
    <row r="966">
      <c r="A966" s="6"/>
      <c r="B966" s="6"/>
      <c r="C966" s="17"/>
      <c r="D966" s="9"/>
      <c r="E966" s="9"/>
      <c r="F966" s="16"/>
      <c r="G966" s="11"/>
      <c r="H966" s="9"/>
      <c r="I966" s="9"/>
      <c r="J966" s="12"/>
      <c r="K966" s="13"/>
    </row>
    <row r="967">
      <c r="A967" s="6"/>
      <c r="B967" s="6"/>
      <c r="C967" s="17"/>
      <c r="D967" s="9"/>
      <c r="E967" s="9"/>
      <c r="F967" s="16"/>
      <c r="G967" s="11"/>
      <c r="H967" s="9"/>
      <c r="I967" s="9"/>
      <c r="J967" s="12"/>
      <c r="K967" s="13"/>
    </row>
    <row r="968">
      <c r="A968" s="6"/>
      <c r="B968" s="6"/>
      <c r="C968" s="17"/>
      <c r="D968" s="9"/>
      <c r="E968" s="9"/>
      <c r="F968" s="16"/>
      <c r="G968" s="11"/>
      <c r="H968" s="9"/>
      <c r="I968" s="9"/>
      <c r="J968" s="12"/>
      <c r="K968" s="13"/>
    </row>
    <row r="969">
      <c r="A969" s="6"/>
      <c r="B969" s="6"/>
      <c r="C969" s="17"/>
      <c r="D969" s="9"/>
      <c r="E969" s="9"/>
      <c r="F969" s="16"/>
      <c r="G969" s="11"/>
      <c r="H969" s="9"/>
      <c r="I969" s="9"/>
      <c r="J969" s="12"/>
      <c r="K969" s="13"/>
    </row>
    <row r="970">
      <c r="A970" s="6"/>
      <c r="B970" s="6"/>
      <c r="C970" s="17"/>
      <c r="D970" s="9"/>
      <c r="E970" s="9"/>
      <c r="F970" s="16"/>
      <c r="G970" s="11"/>
      <c r="H970" s="9"/>
      <c r="I970" s="9"/>
      <c r="J970" s="12"/>
      <c r="K970" s="13"/>
    </row>
    <row r="971">
      <c r="A971" s="6"/>
      <c r="B971" s="6"/>
      <c r="C971" s="17"/>
      <c r="D971" s="9"/>
      <c r="E971" s="9"/>
      <c r="F971" s="16"/>
      <c r="G971" s="11"/>
      <c r="H971" s="9"/>
      <c r="I971" s="9"/>
      <c r="J971" s="12"/>
      <c r="K971" s="13"/>
    </row>
    <row r="972">
      <c r="A972" s="6"/>
      <c r="B972" s="6"/>
      <c r="C972" s="17"/>
      <c r="D972" s="9"/>
      <c r="E972" s="9"/>
      <c r="F972" s="16"/>
      <c r="G972" s="11"/>
      <c r="H972" s="9"/>
      <c r="I972" s="9"/>
      <c r="J972" s="12"/>
      <c r="K972" s="13"/>
    </row>
    <row r="973">
      <c r="A973" s="6"/>
      <c r="B973" s="6"/>
      <c r="C973" s="17"/>
      <c r="D973" s="9"/>
      <c r="E973" s="9"/>
      <c r="F973" s="16"/>
      <c r="G973" s="11"/>
      <c r="H973" s="9"/>
      <c r="I973" s="9"/>
      <c r="J973" s="12"/>
      <c r="K973" s="13"/>
    </row>
    <row r="974">
      <c r="A974" s="6"/>
      <c r="B974" s="6"/>
      <c r="C974" s="17"/>
      <c r="D974" s="9"/>
      <c r="E974" s="9"/>
      <c r="F974" s="16"/>
      <c r="G974" s="11"/>
      <c r="H974" s="9"/>
      <c r="I974" s="9"/>
      <c r="J974" s="12"/>
      <c r="K974" s="13"/>
    </row>
    <row r="975">
      <c r="A975" s="6"/>
      <c r="B975" s="6"/>
      <c r="C975" s="17"/>
      <c r="D975" s="9"/>
      <c r="E975" s="9"/>
      <c r="F975" s="16"/>
      <c r="G975" s="11"/>
      <c r="H975" s="9"/>
      <c r="I975" s="9"/>
      <c r="J975" s="12"/>
      <c r="K975" s="13"/>
    </row>
    <row r="976">
      <c r="A976" s="6"/>
      <c r="B976" s="6"/>
      <c r="C976" s="17"/>
      <c r="D976" s="9"/>
      <c r="E976" s="9"/>
      <c r="F976" s="16"/>
      <c r="G976" s="11"/>
      <c r="H976" s="9"/>
      <c r="I976" s="9"/>
      <c r="J976" s="12"/>
      <c r="K976" s="13"/>
    </row>
    <row r="977">
      <c r="A977" s="6"/>
      <c r="B977" s="6"/>
      <c r="C977" s="17"/>
      <c r="D977" s="9"/>
      <c r="E977" s="9"/>
      <c r="F977" s="16"/>
      <c r="G977" s="11"/>
      <c r="H977" s="9"/>
      <c r="I977" s="9"/>
      <c r="J977" s="12"/>
      <c r="K977" s="13"/>
    </row>
    <row r="978">
      <c r="A978" s="6"/>
      <c r="B978" s="6"/>
      <c r="C978" s="17"/>
      <c r="D978" s="9"/>
      <c r="E978" s="9"/>
      <c r="F978" s="16"/>
      <c r="G978" s="11"/>
      <c r="H978" s="9"/>
      <c r="I978" s="9"/>
      <c r="J978" s="12"/>
      <c r="K978" s="13"/>
    </row>
    <row r="979">
      <c r="A979" s="6"/>
      <c r="B979" s="6"/>
      <c r="C979" s="17"/>
      <c r="D979" s="9"/>
      <c r="E979" s="9"/>
      <c r="F979" s="16"/>
      <c r="G979" s="11"/>
      <c r="H979" s="9"/>
      <c r="I979" s="9"/>
      <c r="J979" s="12"/>
      <c r="K979" s="13"/>
    </row>
    <row r="980">
      <c r="A980" s="6"/>
      <c r="B980" s="6"/>
      <c r="C980" s="17"/>
      <c r="D980" s="9"/>
      <c r="E980" s="9"/>
      <c r="F980" s="16"/>
      <c r="G980" s="11"/>
      <c r="H980" s="9"/>
      <c r="I980" s="9"/>
      <c r="J980" s="12"/>
      <c r="K980" s="13"/>
    </row>
    <row r="981">
      <c r="A981" s="6"/>
      <c r="B981" s="6"/>
      <c r="C981" s="17"/>
      <c r="D981" s="9"/>
      <c r="E981" s="9"/>
      <c r="F981" s="16"/>
      <c r="G981" s="11"/>
      <c r="H981" s="9"/>
      <c r="I981" s="9"/>
      <c r="J981" s="12"/>
      <c r="K981" s="13"/>
    </row>
    <row r="982">
      <c r="A982" s="6"/>
      <c r="B982" s="6"/>
      <c r="C982" s="17"/>
      <c r="D982" s="9"/>
      <c r="E982" s="9"/>
      <c r="F982" s="16"/>
      <c r="G982" s="11"/>
      <c r="H982" s="9"/>
      <c r="I982" s="9"/>
      <c r="J982" s="12"/>
      <c r="K982" s="13"/>
    </row>
    <row r="983">
      <c r="A983" s="6"/>
      <c r="B983" s="6"/>
      <c r="C983" s="17"/>
      <c r="D983" s="9"/>
      <c r="E983" s="9"/>
      <c r="F983" s="16"/>
      <c r="G983" s="11"/>
      <c r="H983" s="9"/>
      <c r="I983" s="9"/>
      <c r="J983" s="12"/>
      <c r="K983" s="13"/>
    </row>
    <row r="984">
      <c r="A984" s="6"/>
      <c r="B984" s="6"/>
      <c r="C984" s="17"/>
      <c r="D984" s="9"/>
      <c r="E984" s="9"/>
      <c r="F984" s="16"/>
      <c r="G984" s="11"/>
      <c r="H984" s="9"/>
      <c r="I984" s="9"/>
      <c r="J984" s="12"/>
      <c r="K984" s="13"/>
    </row>
    <row r="985">
      <c r="A985" s="6"/>
      <c r="B985" s="6"/>
      <c r="C985" s="17"/>
      <c r="D985" s="9"/>
      <c r="E985" s="9"/>
      <c r="F985" s="16"/>
      <c r="G985" s="11"/>
      <c r="H985" s="9"/>
      <c r="I985" s="9"/>
      <c r="J985" s="12"/>
      <c r="K985" s="13"/>
    </row>
    <row r="986">
      <c r="A986" s="6"/>
      <c r="B986" s="6"/>
      <c r="C986" s="17"/>
      <c r="D986" s="9"/>
      <c r="E986" s="9"/>
      <c r="F986" s="16"/>
      <c r="G986" s="11"/>
      <c r="H986" s="9"/>
      <c r="I986" s="9"/>
      <c r="J986" s="12"/>
      <c r="K986" s="13"/>
    </row>
    <row r="987">
      <c r="A987" s="6"/>
      <c r="B987" s="6"/>
      <c r="C987" s="17"/>
      <c r="D987" s="9"/>
      <c r="E987" s="9"/>
      <c r="F987" s="16"/>
      <c r="G987" s="11"/>
      <c r="H987" s="9"/>
      <c r="I987" s="9"/>
      <c r="J987" s="12"/>
      <c r="K987" s="13"/>
    </row>
    <row r="988">
      <c r="A988" s="6"/>
      <c r="B988" s="6"/>
      <c r="C988" s="17"/>
      <c r="D988" s="9"/>
      <c r="E988" s="9"/>
      <c r="F988" s="16"/>
      <c r="G988" s="11"/>
      <c r="H988" s="9"/>
      <c r="I988" s="9"/>
      <c r="J988" s="12"/>
      <c r="K988" s="13"/>
    </row>
    <row r="989">
      <c r="A989" s="6"/>
      <c r="B989" s="6"/>
      <c r="C989" s="17"/>
      <c r="D989" s="9"/>
      <c r="E989" s="9"/>
      <c r="F989" s="16"/>
      <c r="G989" s="11"/>
      <c r="H989" s="9"/>
      <c r="I989" s="9"/>
      <c r="J989" s="12"/>
      <c r="K989" s="13"/>
    </row>
    <row r="990">
      <c r="A990" s="6"/>
      <c r="B990" s="6"/>
      <c r="C990" s="17"/>
      <c r="D990" s="9"/>
      <c r="E990" s="9"/>
      <c r="F990" s="16"/>
      <c r="G990" s="11"/>
      <c r="H990" s="9"/>
      <c r="I990" s="9"/>
      <c r="J990" s="12"/>
      <c r="K990" s="13"/>
    </row>
    <row r="991">
      <c r="A991" s="6"/>
      <c r="B991" s="6"/>
      <c r="C991" s="17"/>
      <c r="D991" s="9"/>
      <c r="E991" s="9"/>
      <c r="F991" s="16"/>
      <c r="G991" s="11"/>
      <c r="H991" s="9"/>
      <c r="I991" s="9"/>
      <c r="J991" s="12"/>
      <c r="K991" s="13"/>
    </row>
    <row r="992">
      <c r="A992" s="6"/>
      <c r="B992" s="6"/>
      <c r="C992" s="17"/>
      <c r="D992" s="9"/>
      <c r="E992" s="9"/>
      <c r="F992" s="16"/>
      <c r="G992" s="11"/>
      <c r="H992" s="9"/>
      <c r="I992" s="9"/>
      <c r="J992" s="12"/>
      <c r="K992" s="13"/>
    </row>
    <row r="993">
      <c r="A993" s="6"/>
      <c r="B993" s="6"/>
      <c r="C993" s="17"/>
      <c r="D993" s="9"/>
      <c r="E993" s="9"/>
      <c r="F993" s="16"/>
      <c r="G993" s="11"/>
      <c r="H993" s="9"/>
      <c r="I993" s="9"/>
      <c r="J993" s="12"/>
      <c r="K993" s="13"/>
    </row>
    <row r="994">
      <c r="A994" s="6"/>
      <c r="B994" s="6"/>
      <c r="C994" s="17"/>
      <c r="D994" s="9"/>
      <c r="E994" s="9"/>
      <c r="F994" s="16"/>
      <c r="G994" s="11"/>
      <c r="H994" s="9"/>
      <c r="I994" s="9"/>
      <c r="J994" s="12"/>
      <c r="K994" s="13"/>
    </row>
    <row r="995">
      <c r="A995" s="6"/>
      <c r="B995" s="6"/>
      <c r="C995" s="17"/>
      <c r="D995" s="9"/>
      <c r="E995" s="9"/>
      <c r="F995" s="16"/>
      <c r="G995" s="11"/>
      <c r="H995" s="9"/>
      <c r="I995" s="9"/>
      <c r="J995" s="12"/>
      <c r="K995" s="13"/>
    </row>
    <row r="996">
      <c r="A996" s="6"/>
      <c r="B996" s="6"/>
      <c r="C996" s="17"/>
      <c r="D996" s="9"/>
      <c r="E996" s="9"/>
      <c r="F996" s="16"/>
      <c r="G996" s="11"/>
      <c r="H996" s="9"/>
      <c r="I996" s="9"/>
      <c r="J996" s="12"/>
      <c r="K996" s="13"/>
    </row>
    <row r="997">
      <c r="A997" s="6"/>
      <c r="B997" s="6"/>
      <c r="C997" s="17"/>
      <c r="D997" s="9"/>
      <c r="E997" s="9"/>
      <c r="F997" s="16"/>
      <c r="G997" s="11"/>
      <c r="H997" s="9"/>
      <c r="I997" s="9"/>
      <c r="J997" s="12"/>
      <c r="K997" s="13"/>
    </row>
    <row r="998">
      <c r="A998" s="6"/>
      <c r="B998" s="6"/>
      <c r="C998" s="17"/>
      <c r="D998" s="9"/>
      <c r="E998" s="9"/>
      <c r="F998" s="16"/>
      <c r="G998" s="11"/>
      <c r="H998" s="9"/>
      <c r="I998" s="9"/>
      <c r="J998" s="12"/>
      <c r="K998" s="13"/>
    </row>
    <row r="999">
      <c r="A999" s="6"/>
      <c r="B999" s="6"/>
      <c r="C999" s="17"/>
      <c r="D999" s="9"/>
      <c r="E999" s="9"/>
      <c r="F999" s="16"/>
      <c r="G999" s="11"/>
      <c r="H999" s="9"/>
      <c r="I999" s="9"/>
      <c r="J999" s="12"/>
      <c r="K999" s="13"/>
    </row>
    <row r="1000">
      <c r="A1000" s="6"/>
      <c r="B1000" s="6"/>
      <c r="C1000" s="17"/>
      <c r="D1000" s="9"/>
      <c r="E1000" s="9"/>
      <c r="F1000" s="16"/>
      <c r="G1000" s="11"/>
      <c r="H1000" s="9"/>
      <c r="I1000" s="9"/>
      <c r="J1000" s="12"/>
      <c r="K1000" s="13"/>
    </row>
    <row r="1001">
      <c r="A1001" s="6"/>
      <c r="B1001" s="6"/>
      <c r="C1001" s="17"/>
      <c r="D1001" s="9"/>
      <c r="E1001" s="9"/>
      <c r="F1001" s="16"/>
      <c r="G1001" s="11"/>
      <c r="H1001" s="9"/>
      <c r="I1001" s="9"/>
      <c r="J1001" s="12"/>
      <c r="K1001" s="13"/>
    </row>
    <row r="1002">
      <c r="A1002" s="6"/>
      <c r="B1002" s="6"/>
      <c r="C1002" s="17"/>
      <c r="D1002" s="9"/>
      <c r="E1002" s="9"/>
      <c r="F1002" s="16"/>
      <c r="G1002" s="11"/>
      <c r="H1002" s="9"/>
      <c r="I1002" s="9"/>
      <c r="J1002" s="12"/>
      <c r="K1002" s="13"/>
    </row>
    <row r="1003">
      <c r="A1003" s="6"/>
      <c r="B1003" s="6"/>
      <c r="C1003" s="17"/>
      <c r="D1003" s="9"/>
      <c r="E1003" s="9"/>
      <c r="F1003" s="16"/>
      <c r="G1003" s="11"/>
      <c r="H1003" s="9"/>
      <c r="I1003" s="9"/>
      <c r="J1003" s="12"/>
      <c r="K1003" s="13"/>
    </row>
    <row r="1004">
      <c r="A1004" s="6"/>
      <c r="B1004" s="6"/>
      <c r="C1004" s="17"/>
      <c r="D1004" s="9"/>
      <c r="E1004" s="9"/>
      <c r="F1004" s="16"/>
      <c r="G1004" s="11"/>
      <c r="H1004" s="9"/>
      <c r="I1004" s="9"/>
      <c r="J1004" s="12"/>
      <c r="K1004" s="13"/>
    </row>
    <row r="1005">
      <c r="A1005" s="6"/>
      <c r="B1005" s="6"/>
      <c r="C1005" s="17"/>
      <c r="D1005" s="9"/>
      <c r="E1005" s="9"/>
      <c r="F1005" s="16"/>
      <c r="G1005" s="11"/>
      <c r="H1005" s="9"/>
      <c r="I1005" s="9"/>
      <c r="J1005" s="12"/>
      <c r="K1005" s="13"/>
    </row>
    <row r="1006">
      <c r="A1006" s="6"/>
      <c r="B1006" s="6"/>
      <c r="C1006" s="17"/>
      <c r="D1006" s="9"/>
      <c r="E1006" s="9"/>
      <c r="F1006" s="16"/>
      <c r="G1006" s="11"/>
      <c r="H1006" s="9"/>
      <c r="I1006" s="9"/>
      <c r="J1006" s="12"/>
      <c r="K1006" s="13"/>
    </row>
    <row r="1007">
      <c r="A1007" s="6"/>
      <c r="B1007" s="6"/>
      <c r="C1007" s="17"/>
      <c r="D1007" s="9"/>
      <c r="E1007" s="9"/>
      <c r="F1007" s="16"/>
      <c r="G1007" s="11"/>
      <c r="H1007" s="9"/>
      <c r="I1007" s="9"/>
      <c r="J1007" s="12"/>
      <c r="K1007" s="13"/>
    </row>
    <row r="1008">
      <c r="A1008" s="6"/>
      <c r="B1008" s="6"/>
      <c r="C1008" s="17"/>
      <c r="D1008" s="9"/>
      <c r="E1008" s="9"/>
      <c r="F1008" s="16"/>
      <c r="G1008" s="11"/>
      <c r="H1008" s="9"/>
      <c r="I1008" s="9"/>
      <c r="J1008" s="12"/>
      <c r="K1008" s="13"/>
    </row>
    <row r="1009">
      <c r="A1009" s="6"/>
      <c r="B1009" s="6"/>
      <c r="C1009" s="17"/>
      <c r="D1009" s="9"/>
      <c r="E1009" s="9"/>
      <c r="F1009" s="16"/>
      <c r="G1009" s="11"/>
      <c r="H1009" s="9"/>
      <c r="I1009" s="9"/>
      <c r="J1009" s="12"/>
      <c r="K1009" s="13"/>
    </row>
    <row r="1010">
      <c r="A1010" s="6"/>
      <c r="B1010" s="6"/>
      <c r="C1010" s="17"/>
      <c r="D1010" s="9"/>
      <c r="E1010" s="9"/>
      <c r="F1010" s="16"/>
      <c r="G1010" s="11"/>
      <c r="H1010" s="9"/>
      <c r="I1010" s="9"/>
      <c r="J1010" s="12"/>
      <c r="K1010" s="13"/>
    </row>
    <row r="1011">
      <c r="A1011" s="6"/>
      <c r="B1011" s="6"/>
      <c r="C1011" s="17"/>
      <c r="D1011" s="9"/>
      <c r="E1011" s="9"/>
      <c r="F1011" s="16"/>
      <c r="G1011" s="11"/>
      <c r="H1011" s="9"/>
      <c r="I1011" s="9"/>
      <c r="J1011" s="12"/>
      <c r="K1011" s="13"/>
    </row>
    <row r="1012">
      <c r="A1012" s="6"/>
      <c r="B1012" s="6"/>
      <c r="C1012" s="17"/>
      <c r="D1012" s="9"/>
      <c r="E1012" s="9"/>
      <c r="F1012" s="16"/>
      <c r="G1012" s="11"/>
      <c r="H1012" s="9"/>
      <c r="I1012" s="9"/>
      <c r="J1012" s="12"/>
      <c r="K1012" s="13"/>
    </row>
    <row r="1013">
      <c r="A1013" s="6"/>
      <c r="B1013" s="6"/>
      <c r="C1013" s="17"/>
      <c r="D1013" s="9"/>
      <c r="E1013" s="9"/>
      <c r="F1013" s="16"/>
      <c r="G1013" s="11"/>
      <c r="H1013" s="9"/>
      <c r="I1013" s="9"/>
      <c r="J1013" s="12"/>
      <c r="K1013" s="13"/>
    </row>
    <row r="1014">
      <c r="A1014" s="6"/>
      <c r="B1014" s="6"/>
      <c r="C1014" s="17"/>
      <c r="D1014" s="9"/>
      <c r="E1014" s="9"/>
      <c r="F1014" s="16"/>
      <c r="G1014" s="11"/>
      <c r="H1014" s="9"/>
      <c r="I1014" s="9"/>
      <c r="J1014" s="12"/>
      <c r="K1014" s="13"/>
    </row>
    <row r="1015">
      <c r="A1015" s="6"/>
      <c r="B1015" s="6"/>
      <c r="C1015" s="17"/>
      <c r="D1015" s="9"/>
      <c r="E1015" s="9"/>
      <c r="F1015" s="16"/>
      <c r="G1015" s="11"/>
      <c r="H1015" s="9"/>
      <c r="I1015" s="9"/>
      <c r="J1015" s="12"/>
      <c r="K1015" s="13"/>
    </row>
    <row r="1016">
      <c r="A1016" s="6"/>
      <c r="B1016" s="6"/>
      <c r="C1016" s="17"/>
      <c r="D1016" s="9"/>
      <c r="E1016" s="9"/>
      <c r="F1016" s="16"/>
      <c r="G1016" s="11"/>
      <c r="H1016" s="9"/>
      <c r="I1016" s="9"/>
      <c r="J1016" s="12"/>
      <c r="K1016" s="13"/>
    </row>
    <row r="1017">
      <c r="A1017" s="6"/>
      <c r="B1017" s="6"/>
      <c r="C1017" s="17"/>
      <c r="D1017" s="9"/>
      <c r="E1017" s="9"/>
      <c r="F1017" s="16"/>
      <c r="G1017" s="11"/>
      <c r="H1017" s="9"/>
      <c r="I1017" s="9"/>
      <c r="J1017" s="12"/>
      <c r="K1017" s="13"/>
    </row>
    <row r="1018">
      <c r="A1018" s="6"/>
      <c r="B1018" s="6"/>
      <c r="C1018" s="17"/>
      <c r="D1018" s="9"/>
      <c r="E1018" s="9"/>
      <c r="F1018" s="16"/>
      <c r="G1018" s="11"/>
      <c r="H1018" s="9"/>
      <c r="I1018" s="9"/>
      <c r="J1018" s="12"/>
      <c r="K1018" s="13"/>
    </row>
    <row r="1019">
      <c r="A1019" s="6"/>
      <c r="B1019" s="6"/>
      <c r="C1019" s="17"/>
      <c r="D1019" s="9"/>
      <c r="E1019" s="9"/>
      <c r="F1019" s="16"/>
      <c r="G1019" s="11"/>
      <c r="H1019" s="9"/>
      <c r="I1019" s="9"/>
      <c r="J1019" s="12"/>
      <c r="K1019" s="13"/>
    </row>
    <row r="1020">
      <c r="A1020" s="6"/>
      <c r="B1020" s="6"/>
      <c r="C1020" s="17"/>
      <c r="D1020" s="9"/>
      <c r="E1020" s="9"/>
      <c r="F1020" s="16"/>
      <c r="G1020" s="11"/>
      <c r="H1020" s="9"/>
      <c r="I1020" s="9"/>
      <c r="J1020" s="12"/>
      <c r="K1020" s="13"/>
    </row>
    <row r="1021">
      <c r="A1021" s="6"/>
      <c r="B1021" s="6"/>
      <c r="C1021" s="17"/>
      <c r="D1021" s="9"/>
      <c r="E1021" s="9"/>
      <c r="F1021" s="16"/>
      <c r="G1021" s="11"/>
      <c r="H1021" s="9"/>
      <c r="I1021" s="9"/>
      <c r="J1021" s="12"/>
      <c r="K1021" s="13"/>
    </row>
    <row r="1022">
      <c r="A1022" s="6"/>
      <c r="B1022" s="6"/>
      <c r="C1022" s="17"/>
      <c r="D1022" s="9"/>
      <c r="E1022" s="9"/>
      <c r="F1022" s="16"/>
      <c r="G1022" s="11"/>
      <c r="H1022" s="9"/>
      <c r="I1022" s="9"/>
      <c r="J1022" s="12"/>
      <c r="K1022" s="13"/>
    </row>
    <row r="1023">
      <c r="A1023" s="6"/>
      <c r="B1023" s="6"/>
      <c r="C1023" s="17"/>
      <c r="D1023" s="9"/>
      <c r="E1023" s="9"/>
      <c r="F1023" s="16"/>
      <c r="G1023" s="11"/>
      <c r="H1023" s="9"/>
      <c r="I1023" s="9"/>
      <c r="J1023" s="12"/>
      <c r="K1023" s="13"/>
    </row>
    <row r="1024">
      <c r="A1024" s="6"/>
      <c r="B1024" s="6"/>
      <c r="C1024" s="17"/>
      <c r="D1024" s="9"/>
      <c r="E1024" s="9"/>
      <c r="F1024" s="16"/>
      <c r="G1024" s="11"/>
      <c r="H1024" s="9"/>
      <c r="I1024" s="9"/>
      <c r="J1024" s="12"/>
      <c r="K1024" s="13"/>
    </row>
    <row r="1025">
      <c r="A1025" s="6"/>
      <c r="B1025" s="6"/>
      <c r="C1025" s="17"/>
      <c r="D1025" s="9"/>
      <c r="E1025" s="9"/>
      <c r="F1025" s="16"/>
      <c r="G1025" s="11"/>
      <c r="H1025" s="9"/>
      <c r="I1025" s="9"/>
      <c r="J1025" s="12"/>
      <c r="K1025" s="13"/>
    </row>
    <row r="1026">
      <c r="A1026" s="6"/>
      <c r="B1026" s="6"/>
      <c r="C1026" s="17"/>
      <c r="D1026" s="9"/>
      <c r="E1026" s="9"/>
      <c r="F1026" s="16"/>
      <c r="G1026" s="11"/>
      <c r="H1026" s="9"/>
      <c r="I1026" s="9"/>
      <c r="J1026" s="12"/>
      <c r="K1026" s="13"/>
    </row>
    <row r="1027">
      <c r="A1027" s="6"/>
      <c r="B1027" s="6"/>
      <c r="C1027" s="17"/>
      <c r="D1027" s="9"/>
      <c r="E1027" s="9"/>
      <c r="F1027" s="16"/>
      <c r="G1027" s="11"/>
      <c r="H1027" s="9"/>
      <c r="I1027" s="9"/>
      <c r="J1027" s="12"/>
      <c r="K1027" s="13"/>
    </row>
    <row r="1028">
      <c r="A1028" s="6"/>
      <c r="B1028" s="6"/>
      <c r="C1028" s="17"/>
      <c r="D1028" s="9"/>
      <c r="E1028" s="9"/>
      <c r="F1028" s="16"/>
      <c r="G1028" s="11"/>
      <c r="H1028" s="9"/>
      <c r="I1028" s="9"/>
      <c r="J1028" s="12"/>
      <c r="K1028" s="13"/>
    </row>
    <row r="1029">
      <c r="A1029" s="6"/>
      <c r="B1029" s="6"/>
      <c r="C1029" s="17"/>
      <c r="D1029" s="9"/>
      <c r="E1029" s="9"/>
      <c r="F1029" s="16"/>
      <c r="G1029" s="11"/>
      <c r="H1029" s="9"/>
      <c r="I1029" s="9"/>
      <c r="J1029" s="12"/>
      <c r="K1029" s="13"/>
    </row>
    <row r="1030">
      <c r="A1030" s="6"/>
      <c r="B1030" s="6"/>
      <c r="C1030" s="17"/>
      <c r="D1030" s="9"/>
      <c r="E1030" s="9"/>
      <c r="F1030" s="16"/>
      <c r="G1030" s="11"/>
      <c r="H1030" s="9"/>
      <c r="I1030" s="9"/>
      <c r="J1030" s="12"/>
      <c r="K1030" s="13"/>
    </row>
    <row r="1031">
      <c r="A1031" s="6"/>
      <c r="B1031" s="6"/>
      <c r="C1031" s="17"/>
      <c r="D1031" s="9"/>
      <c r="E1031" s="9"/>
      <c r="F1031" s="16"/>
      <c r="G1031" s="11"/>
      <c r="H1031" s="9"/>
      <c r="I1031" s="9"/>
      <c r="J1031" s="12"/>
      <c r="K1031" s="13"/>
    </row>
    <row r="1032">
      <c r="A1032" s="6"/>
      <c r="B1032" s="6"/>
      <c r="C1032" s="17"/>
      <c r="D1032" s="9"/>
      <c r="E1032" s="9"/>
      <c r="F1032" s="16"/>
      <c r="G1032" s="11"/>
      <c r="H1032" s="9"/>
      <c r="I1032" s="9"/>
      <c r="J1032" s="12"/>
      <c r="K1032" s="13"/>
    </row>
    <row r="1033">
      <c r="A1033" s="6"/>
      <c r="B1033" s="6"/>
      <c r="C1033" s="17"/>
      <c r="D1033" s="9"/>
      <c r="E1033" s="9"/>
      <c r="F1033" s="16"/>
      <c r="G1033" s="11"/>
      <c r="H1033" s="9"/>
      <c r="I1033" s="9"/>
      <c r="J1033" s="12"/>
      <c r="K1033" s="13"/>
    </row>
    <row r="1034">
      <c r="A1034" s="6"/>
      <c r="B1034" s="6"/>
      <c r="C1034" s="17"/>
      <c r="D1034" s="9"/>
      <c r="E1034" s="9"/>
      <c r="F1034" s="16"/>
      <c r="G1034" s="11"/>
      <c r="H1034" s="9"/>
      <c r="I1034" s="9"/>
      <c r="J1034" s="12"/>
      <c r="K1034" s="13"/>
    </row>
    <row r="1035">
      <c r="A1035" s="6"/>
      <c r="B1035" s="6"/>
      <c r="C1035" s="17"/>
      <c r="D1035" s="9"/>
      <c r="E1035" s="9"/>
      <c r="F1035" s="16"/>
      <c r="G1035" s="11"/>
      <c r="H1035" s="9"/>
      <c r="I1035" s="9"/>
      <c r="J1035" s="12"/>
      <c r="K1035" s="13"/>
    </row>
    <row r="1036">
      <c r="A1036" s="6"/>
      <c r="B1036" s="6"/>
      <c r="C1036" s="17"/>
      <c r="D1036" s="9"/>
      <c r="E1036" s="9"/>
      <c r="F1036" s="16"/>
      <c r="G1036" s="11"/>
      <c r="H1036" s="9"/>
      <c r="I1036" s="9"/>
      <c r="J1036" s="12"/>
      <c r="K1036" s="13"/>
    </row>
    <row r="1037">
      <c r="A1037" s="6"/>
      <c r="B1037" s="6"/>
      <c r="C1037" s="17"/>
      <c r="D1037" s="9"/>
      <c r="E1037" s="9"/>
      <c r="F1037" s="16"/>
      <c r="G1037" s="11"/>
      <c r="H1037" s="9"/>
      <c r="I1037" s="9"/>
      <c r="J1037" s="12"/>
      <c r="K1037" s="13"/>
    </row>
    <row r="1038">
      <c r="A1038" s="6"/>
      <c r="B1038" s="6"/>
      <c r="C1038" s="17"/>
      <c r="D1038" s="9"/>
      <c r="E1038" s="9"/>
      <c r="F1038" s="16"/>
      <c r="G1038" s="11"/>
      <c r="H1038" s="9"/>
      <c r="I1038" s="9"/>
      <c r="J1038" s="12"/>
      <c r="K1038" s="13"/>
    </row>
    <row r="1039">
      <c r="A1039" s="6"/>
      <c r="B1039" s="6"/>
      <c r="C1039" s="17"/>
      <c r="D1039" s="9"/>
      <c r="E1039" s="9"/>
      <c r="F1039" s="16"/>
      <c r="G1039" s="11"/>
      <c r="H1039" s="9"/>
      <c r="I1039" s="9"/>
      <c r="J1039" s="12"/>
      <c r="K1039" s="13"/>
    </row>
    <row r="1040">
      <c r="A1040" s="6"/>
      <c r="B1040" s="6"/>
      <c r="C1040" s="17"/>
      <c r="D1040" s="9"/>
      <c r="E1040" s="9"/>
      <c r="F1040" s="16"/>
      <c r="G1040" s="11"/>
      <c r="H1040" s="9"/>
      <c r="I1040" s="9"/>
      <c r="J1040" s="12"/>
      <c r="K1040" s="13"/>
    </row>
    <row r="1041">
      <c r="A1041" s="6"/>
      <c r="B1041" s="6"/>
      <c r="C1041" s="17"/>
      <c r="D1041" s="9"/>
      <c r="E1041" s="9"/>
      <c r="F1041" s="16"/>
      <c r="G1041" s="11"/>
      <c r="H1041" s="9"/>
      <c r="I1041" s="9"/>
      <c r="J1041" s="12"/>
      <c r="K1041" s="13"/>
    </row>
    <row r="1042">
      <c r="A1042" s="6"/>
      <c r="B1042" s="6"/>
      <c r="C1042" s="17"/>
      <c r="D1042" s="9"/>
      <c r="E1042" s="9"/>
      <c r="F1042" s="16"/>
      <c r="G1042" s="11"/>
      <c r="H1042" s="9"/>
      <c r="I1042" s="9"/>
      <c r="J1042" s="12"/>
      <c r="K1042" s="13"/>
    </row>
    <row r="1043">
      <c r="A1043" s="6"/>
      <c r="B1043" s="6"/>
      <c r="C1043" s="17"/>
      <c r="D1043" s="9"/>
      <c r="E1043" s="9"/>
      <c r="F1043" s="16"/>
      <c r="G1043" s="11"/>
      <c r="H1043" s="9"/>
      <c r="I1043" s="9"/>
      <c r="J1043" s="12"/>
      <c r="K1043" s="13"/>
    </row>
    <row r="1044">
      <c r="A1044" s="6"/>
      <c r="B1044" s="6"/>
      <c r="C1044" s="17"/>
      <c r="D1044" s="9"/>
      <c r="E1044" s="9"/>
      <c r="F1044" s="16"/>
      <c r="G1044" s="11"/>
      <c r="H1044" s="9"/>
      <c r="I1044" s="9"/>
      <c r="J1044" s="12"/>
      <c r="K1044" s="13"/>
    </row>
    <row r="1045">
      <c r="A1045" s="6"/>
      <c r="B1045" s="6"/>
      <c r="C1045" s="17"/>
      <c r="D1045" s="9"/>
      <c r="E1045" s="9"/>
      <c r="F1045" s="16"/>
      <c r="G1045" s="11"/>
      <c r="H1045" s="9"/>
      <c r="I1045" s="9"/>
      <c r="J1045" s="12"/>
      <c r="K1045" s="13"/>
    </row>
    <row r="1046">
      <c r="A1046" s="6"/>
      <c r="B1046" s="6"/>
      <c r="C1046" s="17"/>
      <c r="D1046" s="9"/>
      <c r="E1046" s="9"/>
      <c r="F1046" s="16"/>
      <c r="G1046" s="11"/>
      <c r="H1046" s="9"/>
      <c r="I1046" s="9"/>
      <c r="J1046" s="12"/>
      <c r="K1046" s="13"/>
    </row>
    <row r="1047">
      <c r="A1047" s="6"/>
      <c r="B1047" s="6"/>
      <c r="C1047" s="17"/>
      <c r="D1047" s="9"/>
      <c r="E1047" s="9"/>
      <c r="F1047" s="16"/>
      <c r="G1047" s="11"/>
      <c r="H1047" s="9"/>
      <c r="I1047" s="9"/>
      <c r="J1047" s="12"/>
      <c r="K1047" s="13"/>
    </row>
    <row r="1048">
      <c r="A1048" s="6"/>
      <c r="B1048" s="6"/>
      <c r="C1048" s="17"/>
      <c r="D1048" s="9"/>
      <c r="E1048" s="9"/>
      <c r="F1048" s="16"/>
      <c r="G1048" s="11"/>
      <c r="H1048" s="9"/>
      <c r="I1048" s="9"/>
      <c r="J1048" s="12"/>
      <c r="K1048" s="13"/>
    </row>
    <row r="1049">
      <c r="A1049" s="6"/>
      <c r="B1049" s="6"/>
      <c r="C1049" s="17"/>
      <c r="D1049" s="9"/>
      <c r="E1049" s="9"/>
      <c r="F1049" s="16"/>
      <c r="G1049" s="11"/>
      <c r="H1049" s="9"/>
      <c r="I1049" s="9"/>
      <c r="J1049" s="12"/>
      <c r="K1049" s="13"/>
    </row>
    <row r="1050">
      <c r="A1050" s="6"/>
      <c r="B1050" s="6"/>
      <c r="C1050" s="17"/>
      <c r="D1050" s="9"/>
      <c r="E1050" s="9"/>
      <c r="F1050" s="16"/>
      <c r="G1050" s="11"/>
      <c r="H1050" s="9"/>
      <c r="I1050" s="9"/>
      <c r="J1050" s="12"/>
      <c r="K1050" s="13"/>
    </row>
    <row r="1051">
      <c r="A1051" s="6"/>
      <c r="B1051" s="6"/>
      <c r="C1051" s="17"/>
      <c r="D1051" s="9"/>
      <c r="E1051" s="9"/>
      <c r="F1051" s="16"/>
      <c r="G1051" s="11"/>
      <c r="H1051" s="9"/>
      <c r="I1051" s="9"/>
      <c r="J1051" s="12"/>
      <c r="K1051" s="13"/>
    </row>
    <row r="1052">
      <c r="A1052" s="6"/>
      <c r="B1052" s="6"/>
      <c r="C1052" s="17"/>
      <c r="D1052" s="9"/>
      <c r="E1052" s="9"/>
      <c r="F1052" s="16"/>
      <c r="G1052" s="11"/>
      <c r="H1052" s="9"/>
      <c r="I1052" s="9"/>
      <c r="J1052" s="12"/>
      <c r="K1052" s="13"/>
    </row>
    <row r="1053">
      <c r="A1053" s="6"/>
      <c r="B1053" s="6"/>
      <c r="C1053" s="17"/>
      <c r="D1053" s="9"/>
      <c r="E1053" s="9"/>
      <c r="F1053" s="16"/>
      <c r="G1053" s="11"/>
      <c r="H1053" s="9"/>
      <c r="I1053" s="9"/>
      <c r="J1053" s="12"/>
      <c r="K1053" s="13"/>
    </row>
    <row r="1054">
      <c r="A1054" s="6"/>
      <c r="B1054" s="6"/>
      <c r="C1054" s="17"/>
      <c r="D1054" s="9"/>
      <c r="E1054" s="9"/>
      <c r="F1054" s="16"/>
      <c r="G1054" s="11"/>
      <c r="H1054" s="9"/>
      <c r="I1054" s="9"/>
      <c r="J1054" s="12"/>
      <c r="K1054" s="13"/>
    </row>
    <row r="1055">
      <c r="A1055" s="6"/>
      <c r="B1055" s="6"/>
      <c r="C1055" s="17"/>
      <c r="D1055" s="9"/>
      <c r="E1055" s="9"/>
      <c r="F1055" s="16"/>
      <c r="G1055" s="11"/>
      <c r="H1055" s="9"/>
      <c r="I1055" s="9"/>
      <c r="J1055" s="12"/>
      <c r="K1055" s="13"/>
    </row>
    <row r="1056">
      <c r="A1056" s="6"/>
      <c r="B1056" s="6"/>
      <c r="C1056" s="17"/>
      <c r="D1056" s="9"/>
      <c r="E1056" s="9"/>
      <c r="F1056" s="16"/>
      <c r="G1056" s="11"/>
      <c r="H1056" s="9"/>
      <c r="I1056" s="9"/>
      <c r="J1056" s="12"/>
      <c r="K1056" s="13"/>
    </row>
    <row r="1057">
      <c r="A1057" s="6"/>
      <c r="B1057" s="6"/>
      <c r="C1057" s="17"/>
      <c r="D1057" s="9"/>
      <c r="E1057" s="9"/>
      <c r="F1057" s="16"/>
      <c r="G1057" s="11"/>
      <c r="H1057" s="9"/>
      <c r="I1057" s="9"/>
      <c r="J1057" s="12"/>
      <c r="K1057" s="13"/>
    </row>
    <row r="1058">
      <c r="A1058" s="6"/>
      <c r="B1058" s="6"/>
      <c r="C1058" s="17"/>
      <c r="D1058" s="9"/>
      <c r="E1058" s="9"/>
      <c r="F1058" s="16"/>
      <c r="G1058" s="11"/>
      <c r="H1058" s="9"/>
      <c r="I1058" s="9"/>
      <c r="J1058" s="12"/>
      <c r="K1058" s="13"/>
    </row>
    <row r="1059">
      <c r="A1059" s="6"/>
      <c r="B1059" s="6"/>
      <c r="C1059" s="17"/>
      <c r="D1059" s="9"/>
      <c r="E1059" s="9"/>
      <c r="F1059" s="16"/>
      <c r="G1059" s="11"/>
      <c r="H1059" s="9"/>
      <c r="I1059" s="9"/>
      <c r="J1059" s="12"/>
      <c r="K1059" s="13"/>
    </row>
    <row r="1060">
      <c r="A1060" s="6"/>
      <c r="B1060" s="6"/>
      <c r="C1060" s="17"/>
      <c r="D1060" s="9"/>
      <c r="E1060" s="9"/>
      <c r="F1060" s="16"/>
      <c r="G1060" s="11"/>
      <c r="H1060" s="9"/>
      <c r="I1060" s="9"/>
      <c r="J1060" s="12"/>
      <c r="K1060" s="13"/>
    </row>
    <row r="1061">
      <c r="A1061" s="6"/>
      <c r="B1061" s="6"/>
      <c r="C1061" s="17"/>
      <c r="D1061" s="9"/>
      <c r="E1061" s="9"/>
      <c r="F1061" s="16"/>
      <c r="G1061" s="11"/>
      <c r="H1061" s="9"/>
      <c r="I1061" s="9"/>
      <c r="J1061" s="12"/>
      <c r="K1061" s="13"/>
    </row>
    <row r="1062">
      <c r="A1062" s="6"/>
      <c r="B1062" s="6"/>
      <c r="C1062" s="17"/>
      <c r="D1062" s="9"/>
      <c r="E1062" s="9"/>
      <c r="F1062" s="16"/>
      <c r="G1062" s="11"/>
      <c r="H1062" s="9"/>
      <c r="I1062" s="9"/>
      <c r="J1062" s="12"/>
      <c r="K1062" s="13"/>
    </row>
    <row r="1063">
      <c r="A1063" s="6"/>
      <c r="B1063" s="6"/>
      <c r="C1063" s="17"/>
      <c r="D1063" s="9"/>
      <c r="E1063" s="9"/>
      <c r="F1063" s="16"/>
      <c r="G1063" s="11"/>
      <c r="H1063" s="9"/>
      <c r="I1063" s="9"/>
      <c r="J1063" s="12"/>
      <c r="K1063" s="13"/>
    </row>
    <row r="1064">
      <c r="A1064" s="6"/>
      <c r="B1064" s="6"/>
      <c r="C1064" s="17"/>
      <c r="D1064" s="9"/>
      <c r="E1064" s="9"/>
      <c r="F1064" s="16"/>
      <c r="G1064" s="11"/>
      <c r="H1064" s="9"/>
      <c r="I1064" s="9"/>
      <c r="J1064" s="12"/>
      <c r="K1064" s="13"/>
    </row>
    <row r="1065">
      <c r="A1065" s="6"/>
      <c r="B1065" s="6"/>
      <c r="C1065" s="17"/>
      <c r="D1065" s="9"/>
      <c r="E1065" s="9"/>
      <c r="F1065" s="16"/>
      <c r="G1065" s="11"/>
      <c r="H1065" s="9"/>
      <c r="I1065" s="9"/>
      <c r="J1065" s="12"/>
      <c r="K1065" s="13"/>
    </row>
    <row r="1066">
      <c r="A1066" s="6"/>
      <c r="B1066" s="6"/>
      <c r="C1066" s="17"/>
      <c r="D1066" s="9"/>
      <c r="E1066" s="9"/>
      <c r="F1066" s="16"/>
      <c r="G1066" s="11"/>
      <c r="H1066" s="9"/>
      <c r="I1066" s="9"/>
      <c r="J1066" s="12"/>
      <c r="K1066" s="13"/>
    </row>
    <row r="1067">
      <c r="A1067" s="6"/>
      <c r="B1067" s="6"/>
      <c r="C1067" s="17"/>
      <c r="D1067" s="9"/>
      <c r="E1067" s="9"/>
      <c r="F1067" s="16"/>
      <c r="G1067" s="11"/>
      <c r="H1067" s="9"/>
      <c r="I1067" s="9"/>
      <c r="J1067" s="12"/>
      <c r="K1067" s="13"/>
    </row>
    <row r="1068">
      <c r="A1068" s="6"/>
      <c r="B1068" s="6"/>
      <c r="C1068" s="17"/>
      <c r="D1068" s="9"/>
      <c r="E1068" s="9"/>
      <c r="F1068" s="16"/>
      <c r="G1068" s="11"/>
      <c r="H1068" s="9"/>
      <c r="I1068" s="9"/>
      <c r="J1068" s="12"/>
      <c r="K1068" s="13"/>
    </row>
    <row r="1069">
      <c r="A1069" s="6"/>
      <c r="B1069" s="6"/>
      <c r="C1069" s="17"/>
      <c r="D1069" s="9"/>
      <c r="E1069" s="9"/>
      <c r="F1069" s="16"/>
      <c r="G1069" s="11"/>
      <c r="H1069" s="9"/>
      <c r="I1069" s="9"/>
      <c r="J1069" s="12"/>
      <c r="K1069" s="13"/>
    </row>
    <row r="1070">
      <c r="A1070" s="6"/>
      <c r="B1070" s="6"/>
      <c r="C1070" s="17"/>
      <c r="D1070" s="9"/>
      <c r="E1070" s="9"/>
      <c r="F1070" s="16"/>
      <c r="G1070" s="11"/>
      <c r="H1070" s="9"/>
      <c r="I1070" s="9"/>
      <c r="J1070" s="12"/>
      <c r="K1070" s="13"/>
    </row>
    <row r="1071">
      <c r="A1071" s="6"/>
      <c r="B1071" s="6"/>
      <c r="C1071" s="17"/>
      <c r="D1071" s="9"/>
      <c r="E1071" s="9"/>
      <c r="F1071" s="16"/>
      <c r="G1071" s="11"/>
      <c r="H1071" s="9"/>
      <c r="I1071" s="9"/>
      <c r="J1071" s="12"/>
      <c r="K1071" s="13"/>
    </row>
    <row r="1072">
      <c r="A1072" s="6"/>
      <c r="B1072" s="6"/>
      <c r="C1072" s="17"/>
      <c r="D1072" s="9"/>
      <c r="E1072" s="9"/>
      <c r="F1072" s="16"/>
      <c r="G1072" s="11"/>
      <c r="H1072" s="9"/>
      <c r="I1072" s="9"/>
      <c r="J1072" s="12"/>
      <c r="K1072" s="13"/>
    </row>
    <row r="1073">
      <c r="A1073" s="6"/>
      <c r="B1073" s="6"/>
      <c r="C1073" s="17"/>
      <c r="D1073" s="9"/>
      <c r="E1073" s="9"/>
      <c r="F1073" s="16"/>
      <c r="G1073" s="11"/>
      <c r="H1073" s="9"/>
      <c r="I1073" s="9"/>
      <c r="J1073" s="12"/>
      <c r="K1073" s="13"/>
    </row>
    <row r="1074">
      <c r="A1074" s="6"/>
      <c r="B1074" s="6"/>
      <c r="C1074" s="17"/>
      <c r="D1074" s="9"/>
      <c r="E1074" s="9"/>
      <c r="F1074" s="16"/>
      <c r="G1074" s="11"/>
      <c r="H1074" s="9"/>
      <c r="I1074" s="9"/>
      <c r="J1074" s="12"/>
      <c r="K1074" s="13"/>
    </row>
    <row r="1075">
      <c r="A1075" s="6"/>
      <c r="B1075" s="6"/>
      <c r="C1075" s="17"/>
      <c r="D1075" s="9"/>
      <c r="E1075" s="9"/>
      <c r="F1075" s="16"/>
      <c r="G1075" s="11"/>
      <c r="H1075" s="9"/>
      <c r="I1075" s="9"/>
      <c r="J1075" s="12"/>
      <c r="K1075" s="13"/>
    </row>
    <row r="1076">
      <c r="A1076" s="6"/>
      <c r="B1076" s="6"/>
      <c r="C1076" s="17"/>
      <c r="D1076" s="9"/>
      <c r="E1076" s="9"/>
      <c r="F1076" s="16"/>
      <c r="G1076" s="11"/>
      <c r="H1076" s="9"/>
      <c r="I1076" s="9"/>
      <c r="J1076" s="12"/>
      <c r="K1076" s="13"/>
    </row>
    <row r="1077">
      <c r="A1077" s="6"/>
      <c r="B1077" s="6"/>
      <c r="C1077" s="17"/>
      <c r="D1077" s="9"/>
      <c r="E1077" s="9"/>
      <c r="F1077" s="16"/>
      <c r="G1077" s="11"/>
      <c r="H1077" s="9"/>
      <c r="I1077" s="9"/>
      <c r="J1077" s="12"/>
      <c r="K1077" s="13"/>
    </row>
    <row r="1078">
      <c r="A1078" s="6"/>
      <c r="B1078" s="6"/>
      <c r="C1078" s="17"/>
      <c r="D1078" s="9"/>
      <c r="E1078" s="9"/>
      <c r="F1078" s="16"/>
      <c r="G1078" s="11"/>
      <c r="H1078" s="9"/>
      <c r="I1078" s="9"/>
      <c r="J1078" s="12"/>
      <c r="K1078" s="13"/>
    </row>
    <row r="1079">
      <c r="A1079" s="6"/>
      <c r="B1079" s="6"/>
      <c r="C1079" s="17"/>
      <c r="D1079" s="9"/>
      <c r="E1079" s="9"/>
      <c r="F1079" s="16"/>
      <c r="G1079" s="11"/>
      <c r="H1079" s="9"/>
      <c r="I1079" s="9"/>
      <c r="J1079" s="12"/>
      <c r="K1079" s="13"/>
    </row>
    <row r="1080">
      <c r="A1080" s="6"/>
      <c r="B1080" s="6"/>
      <c r="C1080" s="17"/>
      <c r="D1080" s="9"/>
      <c r="E1080" s="9"/>
      <c r="F1080" s="16"/>
      <c r="G1080" s="11"/>
      <c r="H1080" s="9"/>
      <c r="I1080" s="9"/>
      <c r="J1080" s="12"/>
      <c r="K1080" s="13"/>
    </row>
    <row r="1081">
      <c r="A1081" s="6"/>
      <c r="B1081" s="6"/>
      <c r="C1081" s="17"/>
      <c r="D1081" s="9"/>
      <c r="E1081" s="9"/>
      <c r="F1081" s="16"/>
      <c r="G1081" s="11"/>
      <c r="H1081" s="9"/>
      <c r="I1081" s="9"/>
      <c r="J1081" s="12"/>
      <c r="K1081" s="13"/>
    </row>
    <row r="1082">
      <c r="A1082" s="6"/>
      <c r="B1082" s="6"/>
      <c r="C1082" s="17"/>
      <c r="D1082" s="9"/>
      <c r="E1082" s="9"/>
      <c r="F1082" s="16"/>
      <c r="G1082" s="11"/>
      <c r="H1082" s="9"/>
      <c r="I1082" s="9"/>
      <c r="J1082" s="12"/>
      <c r="K1082" s="13"/>
    </row>
    <row r="1083">
      <c r="A1083" s="6"/>
      <c r="B1083" s="6"/>
      <c r="C1083" s="17"/>
      <c r="D1083" s="9"/>
      <c r="E1083" s="9"/>
      <c r="F1083" s="16"/>
      <c r="G1083" s="11"/>
      <c r="H1083" s="9"/>
      <c r="I1083" s="9"/>
      <c r="J1083" s="12"/>
      <c r="K1083" s="13"/>
    </row>
    <row r="1084">
      <c r="A1084" s="6"/>
      <c r="B1084" s="6"/>
      <c r="C1084" s="17"/>
      <c r="D1084" s="9"/>
      <c r="E1084" s="9"/>
      <c r="F1084" s="16"/>
      <c r="G1084" s="11"/>
      <c r="H1084" s="9"/>
      <c r="I1084" s="9"/>
      <c r="J1084" s="12"/>
      <c r="K1084" s="13"/>
    </row>
    <row r="1085">
      <c r="A1085" s="6"/>
      <c r="B1085" s="6"/>
      <c r="C1085" s="17"/>
      <c r="D1085" s="9"/>
      <c r="E1085" s="9"/>
      <c r="F1085" s="16"/>
      <c r="G1085" s="11"/>
      <c r="H1085" s="9"/>
      <c r="I1085" s="9"/>
      <c r="J1085" s="12"/>
      <c r="K1085" s="13"/>
    </row>
    <row r="1086">
      <c r="A1086" s="6"/>
      <c r="B1086" s="6"/>
      <c r="C1086" s="17"/>
      <c r="D1086" s="9"/>
      <c r="E1086" s="9"/>
      <c r="F1086" s="16"/>
      <c r="G1086" s="11"/>
      <c r="H1086" s="9"/>
      <c r="I1086" s="9"/>
      <c r="J1086" s="12"/>
      <c r="K1086" s="13"/>
    </row>
    <row r="1087">
      <c r="A1087" s="6"/>
      <c r="B1087" s="6"/>
      <c r="C1087" s="17"/>
      <c r="D1087" s="9"/>
      <c r="E1087" s="9"/>
      <c r="F1087" s="16"/>
      <c r="G1087" s="11"/>
      <c r="H1087" s="9"/>
      <c r="I1087" s="9"/>
      <c r="J1087" s="12"/>
      <c r="K1087" s="13"/>
    </row>
    <row r="1088">
      <c r="A1088" s="6"/>
      <c r="B1088" s="6"/>
      <c r="C1088" s="17"/>
      <c r="D1088" s="9"/>
      <c r="E1088" s="9"/>
      <c r="F1088" s="16"/>
      <c r="G1088" s="11"/>
      <c r="H1088" s="9"/>
      <c r="I1088" s="9"/>
      <c r="J1088" s="12"/>
      <c r="K1088" s="13"/>
    </row>
    <row r="1089">
      <c r="A1089" s="6"/>
      <c r="B1089" s="6"/>
      <c r="C1089" s="17"/>
      <c r="D1089" s="9"/>
      <c r="E1089" s="9"/>
      <c r="F1089" s="16"/>
      <c r="G1089" s="11"/>
      <c r="H1089" s="9"/>
      <c r="I1089" s="9"/>
      <c r="J1089" s="12"/>
      <c r="K1089" s="13"/>
    </row>
    <row r="1090">
      <c r="A1090" s="6"/>
      <c r="B1090" s="6"/>
      <c r="C1090" s="17"/>
      <c r="D1090" s="9"/>
      <c r="E1090" s="9"/>
      <c r="F1090" s="16"/>
      <c r="G1090" s="11"/>
      <c r="H1090" s="9"/>
      <c r="I1090" s="9"/>
      <c r="J1090" s="12"/>
      <c r="K1090" s="13"/>
    </row>
    <row r="1091">
      <c r="A1091" s="6"/>
      <c r="B1091" s="6"/>
      <c r="C1091" s="17"/>
      <c r="D1091" s="9"/>
      <c r="E1091" s="9"/>
      <c r="F1091" s="16"/>
      <c r="G1091" s="11"/>
      <c r="H1091" s="9"/>
      <c r="I1091" s="9"/>
      <c r="J1091" s="12"/>
      <c r="K1091" s="13"/>
    </row>
    <row r="1092">
      <c r="A1092" s="6"/>
      <c r="B1092" s="6"/>
      <c r="C1092" s="17"/>
      <c r="D1092" s="9"/>
      <c r="E1092" s="9"/>
      <c r="F1092" s="16"/>
      <c r="G1092" s="11"/>
      <c r="H1092" s="9"/>
      <c r="I1092" s="9"/>
      <c r="J1092" s="12"/>
      <c r="K1092" s="13"/>
    </row>
    <row r="1093">
      <c r="A1093" s="6"/>
      <c r="B1093" s="6"/>
      <c r="C1093" s="17"/>
      <c r="D1093" s="9"/>
      <c r="E1093" s="9"/>
      <c r="F1093" s="16"/>
      <c r="G1093" s="11"/>
      <c r="H1093" s="9"/>
      <c r="I1093" s="9"/>
      <c r="J1093" s="12"/>
      <c r="K1093" s="13"/>
    </row>
    <row r="1094">
      <c r="A1094" s="6"/>
      <c r="B1094" s="6"/>
      <c r="C1094" s="17"/>
      <c r="D1094" s="9"/>
      <c r="E1094" s="9"/>
      <c r="F1094" s="16"/>
      <c r="G1094" s="11"/>
      <c r="H1094" s="9"/>
      <c r="I1094" s="9"/>
      <c r="J1094" s="12"/>
      <c r="K1094" s="13"/>
    </row>
    <row r="1095">
      <c r="A1095" s="6"/>
      <c r="B1095" s="6"/>
      <c r="C1095" s="17"/>
      <c r="D1095" s="9"/>
      <c r="E1095" s="9"/>
      <c r="F1095" s="16"/>
      <c r="G1095" s="11"/>
      <c r="H1095" s="9"/>
      <c r="I1095" s="9"/>
      <c r="J1095" s="12"/>
      <c r="K1095" s="13"/>
    </row>
    <row r="1096">
      <c r="A1096" s="6"/>
      <c r="B1096" s="6"/>
      <c r="C1096" s="17"/>
      <c r="D1096" s="9"/>
      <c r="E1096" s="9"/>
      <c r="F1096" s="16"/>
      <c r="G1096" s="11"/>
      <c r="H1096" s="9"/>
      <c r="I1096" s="9"/>
      <c r="J1096" s="12"/>
      <c r="K1096" s="13"/>
    </row>
    <row r="1097">
      <c r="A1097" s="6"/>
      <c r="B1097" s="6"/>
      <c r="C1097" s="17"/>
      <c r="D1097" s="9"/>
      <c r="E1097" s="9"/>
      <c r="F1097" s="16"/>
      <c r="G1097" s="11"/>
      <c r="H1097" s="9"/>
      <c r="I1097" s="9"/>
      <c r="J1097" s="12"/>
      <c r="K1097" s="13"/>
    </row>
    <row r="1098">
      <c r="A1098" s="6"/>
      <c r="B1098" s="6"/>
      <c r="C1098" s="17"/>
      <c r="D1098" s="9"/>
      <c r="E1098" s="9"/>
      <c r="F1098" s="16"/>
      <c r="G1098" s="11"/>
      <c r="H1098" s="9"/>
      <c r="I1098" s="9"/>
      <c r="J1098" s="12"/>
      <c r="K1098" s="13"/>
    </row>
    <row r="1099">
      <c r="A1099" s="6"/>
      <c r="B1099" s="6"/>
      <c r="C1099" s="17"/>
      <c r="D1099" s="9"/>
      <c r="E1099" s="9"/>
      <c r="F1099" s="16"/>
      <c r="G1099" s="11"/>
      <c r="H1099" s="9"/>
      <c r="I1099" s="9"/>
      <c r="J1099" s="12"/>
      <c r="K1099" s="13"/>
    </row>
    <row r="1100">
      <c r="A1100" s="6"/>
      <c r="B1100" s="6"/>
      <c r="C1100" s="17"/>
      <c r="D1100" s="9"/>
      <c r="E1100" s="9"/>
      <c r="F1100" s="16"/>
      <c r="G1100" s="11"/>
      <c r="H1100" s="9"/>
      <c r="I1100" s="9"/>
      <c r="J1100" s="12"/>
      <c r="K1100" s="13"/>
    </row>
    <row r="1101">
      <c r="A1101" s="6"/>
      <c r="B1101" s="6"/>
      <c r="C1101" s="17"/>
      <c r="D1101" s="9"/>
      <c r="E1101" s="9"/>
      <c r="F1101" s="16"/>
      <c r="G1101" s="11"/>
      <c r="H1101" s="9"/>
      <c r="I1101" s="9"/>
      <c r="J1101" s="12"/>
      <c r="K1101" s="13"/>
    </row>
    <row r="1102">
      <c r="A1102" s="6"/>
      <c r="B1102" s="6"/>
      <c r="C1102" s="17"/>
      <c r="D1102" s="9"/>
      <c r="E1102" s="9"/>
      <c r="F1102" s="16"/>
      <c r="G1102" s="11"/>
      <c r="H1102" s="9"/>
      <c r="I1102" s="9"/>
      <c r="J1102" s="12"/>
      <c r="K1102" s="13"/>
    </row>
    <row r="1103">
      <c r="A1103" s="6"/>
      <c r="B1103" s="6"/>
      <c r="C1103" s="17"/>
      <c r="D1103" s="9"/>
      <c r="E1103" s="9"/>
      <c r="F1103" s="16"/>
      <c r="G1103" s="11"/>
      <c r="H1103" s="9"/>
      <c r="I1103" s="9"/>
      <c r="J1103" s="12"/>
      <c r="K1103" s="13"/>
    </row>
    <row r="1104">
      <c r="A1104" s="6"/>
      <c r="B1104" s="6"/>
      <c r="C1104" s="17"/>
      <c r="D1104" s="9"/>
      <c r="E1104" s="9"/>
      <c r="F1104" s="16"/>
      <c r="G1104" s="11"/>
      <c r="H1104" s="9"/>
      <c r="I1104" s="9"/>
      <c r="J1104" s="12"/>
      <c r="K1104" s="13"/>
    </row>
    <row r="1105">
      <c r="A1105" s="6"/>
      <c r="B1105" s="6"/>
      <c r="C1105" s="17"/>
      <c r="D1105" s="9"/>
      <c r="E1105" s="9"/>
      <c r="F1105" s="16"/>
      <c r="G1105" s="11"/>
      <c r="H1105" s="9"/>
      <c r="I1105" s="9"/>
      <c r="J1105" s="12"/>
      <c r="K1105" s="13"/>
    </row>
    <row r="1106">
      <c r="A1106" s="6"/>
      <c r="B1106" s="6"/>
      <c r="C1106" s="17"/>
      <c r="D1106" s="9"/>
      <c r="E1106" s="9"/>
      <c r="F1106" s="16"/>
      <c r="G1106" s="11"/>
      <c r="H1106" s="9"/>
      <c r="I1106" s="9"/>
      <c r="J1106" s="12"/>
      <c r="K1106" s="13"/>
    </row>
    <row r="1107">
      <c r="A1107" s="6"/>
      <c r="B1107" s="6"/>
      <c r="C1107" s="17"/>
      <c r="D1107" s="9"/>
      <c r="E1107" s="9"/>
      <c r="F1107" s="16"/>
      <c r="G1107" s="11"/>
      <c r="H1107" s="9"/>
      <c r="I1107" s="9"/>
      <c r="J1107" s="12"/>
      <c r="K1107" s="13"/>
    </row>
    <row r="1108">
      <c r="A1108" s="6"/>
      <c r="B1108" s="6"/>
      <c r="C1108" s="17"/>
      <c r="D1108" s="9"/>
      <c r="E1108" s="9"/>
      <c r="F1108" s="16"/>
      <c r="G1108" s="11"/>
      <c r="H1108" s="9"/>
      <c r="I1108" s="9"/>
      <c r="J1108" s="12"/>
      <c r="K1108" s="13"/>
    </row>
    <row r="1109">
      <c r="A1109" s="6"/>
      <c r="B1109" s="6"/>
      <c r="C1109" s="17"/>
      <c r="D1109" s="9"/>
      <c r="E1109" s="9"/>
      <c r="F1109" s="16"/>
      <c r="G1109" s="11"/>
      <c r="H1109" s="9"/>
      <c r="I1109" s="9"/>
      <c r="J1109" s="12"/>
      <c r="K1109" s="13"/>
    </row>
    <row r="1110">
      <c r="A1110" s="6"/>
      <c r="B1110" s="6"/>
      <c r="C1110" s="17"/>
      <c r="D1110" s="9"/>
      <c r="E1110" s="9"/>
      <c r="F1110" s="16"/>
      <c r="G1110" s="11"/>
      <c r="H1110" s="9"/>
      <c r="I1110" s="9"/>
      <c r="J1110" s="12"/>
      <c r="K1110" s="13"/>
    </row>
    <row r="1111">
      <c r="A1111" s="6"/>
      <c r="B1111" s="6"/>
      <c r="C1111" s="17"/>
      <c r="D1111" s="9"/>
      <c r="E1111" s="9"/>
      <c r="F1111" s="16"/>
      <c r="G1111" s="11"/>
      <c r="H1111" s="9"/>
      <c r="I1111" s="9"/>
      <c r="J1111" s="12"/>
      <c r="K1111" s="13"/>
    </row>
    <row r="1112">
      <c r="A1112" s="6"/>
      <c r="B1112" s="6"/>
      <c r="C1112" s="17"/>
      <c r="D1112" s="9"/>
      <c r="E1112" s="9"/>
      <c r="F1112" s="16"/>
      <c r="G1112" s="11"/>
      <c r="H1112" s="9"/>
      <c r="I1112" s="9"/>
      <c r="J1112" s="12"/>
      <c r="K1112" s="13"/>
    </row>
    <row r="1113">
      <c r="A1113" s="6"/>
      <c r="B1113" s="6"/>
      <c r="C1113" s="17"/>
      <c r="D1113" s="9"/>
      <c r="E1113" s="9"/>
      <c r="F1113" s="16"/>
      <c r="G1113" s="11"/>
      <c r="H1113" s="9"/>
      <c r="I1113" s="9"/>
      <c r="J1113" s="12"/>
      <c r="K1113" s="13"/>
    </row>
    <row r="1114">
      <c r="A1114" s="6"/>
      <c r="B1114" s="6"/>
      <c r="C1114" s="17"/>
      <c r="D1114" s="9"/>
      <c r="E1114" s="9"/>
      <c r="F1114" s="16"/>
      <c r="G1114" s="11"/>
      <c r="H1114" s="9"/>
      <c r="I1114" s="9"/>
      <c r="J1114" s="12"/>
      <c r="K1114" s="13"/>
    </row>
    <row r="1115">
      <c r="A1115" s="6"/>
      <c r="B1115" s="6"/>
      <c r="C1115" s="17"/>
      <c r="D1115" s="9"/>
      <c r="E1115" s="9"/>
      <c r="F1115" s="16"/>
      <c r="G1115" s="11"/>
      <c r="H1115" s="9"/>
      <c r="I1115" s="9"/>
      <c r="J1115" s="12"/>
      <c r="K1115" s="13"/>
    </row>
    <row r="1116">
      <c r="A1116" s="6"/>
      <c r="B1116" s="6"/>
      <c r="C1116" s="17"/>
      <c r="D1116" s="9"/>
      <c r="E1116" s="9"/>
      <c r="F1116" s="16"/>
      <c r="G1116" s="11"/>
      <c r="H1116" s="9"/>
      <c r="I1116" s="9"/>
      <c r="J1116" s="12"/>
      <c r="K1116" s="13"/>
    </row>
    <row r="1117">
      <c r="A1117" s="6"/>
      <c r="B1117" s="6"/>
      <c r="C1117" s="17"/>
      <c r="D1117" s="9"/>
      <c r="E1117" s="9"/>
      <c r="F1117" s="16"/>
      <c r="G1117" s="11"/>
      <c r="H1117" s="9"/>
      <c r="I1117" s="9"/>
      <c r="J1117" s="12"/>
      <c r="K1117" s="13"/>
    </row>
    <row r="1118">
      <c r="A1118" s="6"/>
      <c r="B1118" s="6"/>
      <c r="C1118" s="17"/>
      <c r="D1118" s="9"/>
      <c r="E1118" s="9"/>
      <c r="F1118" s="16"/>
      <c r="G1118" s="11"/>
      <c r="H1118" s="9"/>
      <c r="I1118" s="9"/>
      <c r="J1118" s="12"/>
      <c r="K1118" s="13"/>
    </row>
    <row r="1119">
      <c r="A1119" s="6"/>
      <c r="B1119" s="6"/>
      <c r="C1119" s="17"/>
      <c r="D1119" s="9"/>
      <c r="E1119" s="9"/>
      <c r="F1119" s="16"/>
      <c r="G1119" s="11"/>
      <c r="H1119" s="9"/>
      <c r="I1119" s="9"/>
      <c r="J1119" s="12"/>
      <c r="K1119" s="13"/>
    </row>
    <row r="1120">
      <c r="A1120" s="6"/>
      <c r="B1120" s="6"/>
      <c r="C1120" s="17"/>
      <c r="D1120" s="9"/>
      <c r="E1120" s="9"/>
      <c r="F1120" s="16"/>
      <c r="G1120" s="11"/>
      <c r="H1120" s="9"/>
      <c r="I1120" s="9"/>
      <c r="J1120" s="12"/>
      <c r="K1120" s="13"/>
    </row>
    <row r="1121">
      <c r="A1121" s="6"/>
      <c r="B1121" s="6"/>
      <c r="C1121" s="17"/>
      <c r="D1121" s="9"/>
      <c r="E1121" s="9"/>
      <c r="F1121" s="16"/>
      <c r="G1121" s="11"/>
      <c r="H1121" s="9"/>
      <c r="I1121" s="9"/>
      <c r="J1121" s="12"/>
      <c r="K1121" s="13"/>
    </row>
    <row r="1122">
      <c r="A1122" s="6"/>
      <c r="B1122" s="6"/>
      <c r="C1122" s="17"/>
      <c r="D1122" s="9"/>
      <c r="E1122" s="9"/>
      <c r="F1122" s="16"/>
      <c r="G1122" s="11"/>
      <c r="H1122" s="9"/>
      <c r="I1122" s="9"/>
      <c r="J1122" s="12"/>
      <c r="K1122" s="13"/>
    </row>
    <row r="1123">
      <c r="A1123" s="6"/>
      <c r="B1123" s="6"/>
      <c r="C1123" s="17"/>
      <c r="D1123" s="9"/>
      <c r="E1123" s="9"/>
      <c r="F1123" s="16"/>
      <c r="G1123" s="11"/>
      <c r="H1123" s="9"/>
      <c r="I1123" s="9"/>
      <c r="J1123" s="12"/>
      <c r="K1123" s="13"/>
    </row>
    <row r="1124">
      <c r="A1124" s="6"/>
      <c r="B1124" s="6"/>
      <c r="C1124" s="17"/>
      <c r="D1124" s="9"/>
      <c r="E1124" s="9"/>
      <c r="F1124" s="16"/>
      <c r="G1124" s="11"/>
      <c r="H1124" s="9"/>
      <c r="I1124" s="9"/>
      <c r="J1124" s="12"/>
      <c r="K1124" s="13"/>
    </row>
    <row r="1125">
      <c r="A1125" s="6"/>
      <c r="B1125" s="6"/>
      <c r="C1125" s="17"/>
      <c r="D1125" s="9"/>
      <c r="E1125" s="9"/>
      <c r="F1125" s="16"/>
      <c r="G1125" s="11"/>
      <c r="H1125" s="9"/>
      <c r="I1125" s="9"/>
      <c r="J1125" s="12"/>
      <c r="K1125" s="13"/>
    </row>
  </sheetData>
  <dataValidations>
    <dataValidation type="list" allowBlank="1" showErrorMessage="1" sqref="G87:G96 G117">
      <formula1>"ยาง 044-40,ยาง 045,ยางรองกระจก  EPK-737,ยาง epdm sponge EFK77-4.7,ยาง epdm sponge แบน EFK9-4,ยางรองหลังคา EPJ-230,ยางชินโคไลท์ EPT-409-5.8,สักหลาดจีน 5*3,สักหลาดจีน 5*4,สักหลาดจีน 3.5*4.8"</formula1>
    </dataValidation>
    <dataValidation type="list" allowBlank="1" showErrorMessage="1" sqref="G107:G113">
      <formula1>"สกรูปลายสว่านยึดกระเบื้องหลังคา,พุกตะปู MR เบอร์ M10x100 mm,พุกประตู M6x60 mm,น๊อตสแตนเลสปลายแหลม-8x3"",น๊อตสแตนเลสปลายแหลม-8x2"",น๊อตสแตนเลสปลายแหลม-8x1.1/2"",น๊อตสแตนเลสปลายแหลม-8x5/8"",น๊อตสแตนเลสปลายแหลม-7x5/8"",น๊อตสแตนเลสปลายแหลม-8x4"""</formula1>
    </dataValidation>
    <dataValidation type="list" allowBlank="1" showErrorMessage="1" sqref="G118:G123">
      <formula1>"เฟรมบนบานเลื่อน-อบขาว-6.4,เฟรมบนบานเลื่อน-ดำ-6.4,เฟรมบนบานเลื่อน-เทาซาฮาร่า-6.4,เฟรมบนบานเลื่อน-ลายไม้สักทอง-6.4,เฟรมบนบานเลื่อน-อื่น ๆ-6.4,เฟรมล่างบานเลื่อน-อบขาว-6.4,เฟรมล่างบานเลื่อน-ดำ-6.4,เฟรมล่างบานเลื่อน-เทาซาฮาร่า-6.4,เฟรมล่างบานเลื่อน-ลายไม้สักทอ"&amp;"ง-6.4,เฟรมล่างบานเลื่อน-อื่น ๆ-6.4"</formula1>
    </dataValidation>
    <dataValidation type="list" allowBlank="1" showErrorMessage="1" sqref="G11:G24">
      <formula1>"มือจับประตูบานเลื่อนแขวน ทรงโค้ง HOYA-PS-102-สแตนเลส,มือจับฝังบานเลื่อน  Hyda  416-Dummy-ดำ,มือจับฝังบานเลื่อน  Hyda  416-Dummy-อบขาว,มือจับฝังบานเลื่อน  Hyda  416-Lock-ดำ,มือจับฝังบานเลื่อน  Hyda  416-Lock-อบขาว,มือจับฝังบานเลื่อน  CMECH-Fixed Recessed H"&amp;"andle-ดำ,มือจับฝังบานเลื่อน  CMECH-Fixed Recessed Handle-อบขาว,มือจับฝังบานเลื่อน  CMECH-Multi-Point Lock Recessed Handle-ดำ,มือจับฝังบานเลื่อน  CMECH-Multi-Point Lock Recessed Handle-อบขาว,มือจับฝังบานเลื่อน  CMECH-Multi-Point Lock Recessed  Interior wit"&amp;"h Key-ดำ,มือจับฝังบานเลื่อน  CMECH-Multi-Point Lock Recessed  Interior with Key-อบขาว,มือจับบานเลื่อน  CMECH-Metro Handle_ Dummy-ดำ,มือจับบานเลื่อน  CMECH-Metro Handle_ Dummy-อบขาว,มือจับบานเลื่อน  CMECH-Metro Handle_ Lock-ดำ,มือจับบานเลื่อน  CMECH-Metro "&amp;"Handle_ Lock-อบขาว,มือจับบานเลื่อน  CMECH-Metro Handle_  Key-ดำ,มือจับบานเลื่อน  CMECH-Metro Handle_  Key-อบขาว,มือจับฝังบานเลื่อน Align-Dummy-ดำ,มือจับฝังบานเลื่อน Align-Dummy-อบขาว,มือจับฝังบานเลื่อน Align-Lock-ดำ,มือจับฝังบานเลื่อน Align-Lock-อบขาว,มือ"&amp;"จับฝังบานเลื่อน Align-Key-ดำ,มือจับฝังบานเลื่อน Align-Key-อบขาว,มือจับเจาะกระจกประตูบานเลื่อน-แบบกลม-สแตนเลส,มือจับสแตนเลส VVP_HD110-แบบกลม-สแตนเลส,มือจับสแตนเลส VVP_HD189-แบบเหลี่ยม-สแตนเลส,มือจับสแตนเลส VVP_HD190-แบบเหลี่ยม-สแตนเลส,มือจับบานกระทุ้ง CZ-H"&amp;"D-004-CENZA_ ( L )-อบขาว,มือจับบานกระทุ้ง CZ-HD-004-CENZA_ ( R )-อบขาว,มือจับบานกระทุ้ง CZ-HD-004-CENZA_ ( L )-ดำ,มือจับบานกระทุ้ง CZ-HD-004-CENZA_ ( R )-ดำ,มือจับบานกระทุ้งหลบมุ้ง-CMECH_ ( L )-อบขาว,มือจับบานกระทุ้งหลบมุ้ง-CMECH_ ( R )-อบขาว,มือจับบานกระ"&amp;"ทุ้งหลบมุ้ง-CMECH_ ( L )-ดำ,มือจับบานกระทุ้งหลบมุ้ง-CMECH_ ( R )-ดำ,มือจับบานเปิด KINGBO-Dummy-ดำ,มือจับบานเปิด KINGBO-Dummy-อบขาว,มือจับบานเปิด KINGBO-Key-ดำ,มือจับบานเปิด KINGBO-Key-อบขาว,มือจับหลบมุ้ง KINGBO-FH3016 _( L )-ดำ,มือจับหลบมุ้ง KINGBO-FH3016"&amp;" _ ( R )-ดำ,มือจับหลบมุ้ง KINGBO-FH3016 _( L )-อบขาว,มือจับหลบมุ้ง KINGBO-FH3016 _ ( R )-อบขาว,มือจับฝัง Align-กุญแจ-ดำ,มือจับฝัง Align-ล็อค-ดำ,มือจับฝัง Align-ดัมมี่-ดำ,มือจับฝัง Align-กุญแจ-อบขาว,มือจับฝัง Align-ล็อค-อบขาว,มือจับฝัง Align-ดัมมี่-อบขาว,ม"&amp;"ือจับ Husza-กุญแจ-ดำ,มือจับ Husza-ล็อค-ดำ,มือจับ Husza-เรียบมีรู-ดำ,มือจับ Husza-เรียบไม่มีรู-ดำ,มือจับ Husza-กุญแจ-อบขาว,มือจับ Husza-ล็อค-อบขาว,มือจับ Husza-เรียบมีรู-อบขาว,มือจับ Husza-เรียบไม่มีรู-อบขาว,มือจับ เซ่นซ่า  -ชุดกุญแจ-อบขาว,มือจับ เซ่นซ่า  "&amp;"-ล็อค-อบขาว,มือจับ เซ่นซ่า  -เรียบมีรู-อบขาว,มือจับ เซ่นซ่า  -เรียบไม่มีรู-อบขาว,มือจับ เซ่นซ่า  -ชุดกุญแจ-ดำ,มือจับ เซ่นซ่า  -ล็อค-ดำ,มือจับ เซ่นซ่า  -เรียบมีรู-ดำ,มือจับ เซ่นซ่า  -เรียบไม่มีรู-ดำ,มือจับหลบมุ้ง -ข้างซ้าย-ขาว + ดำ,มือจับหลบมุ้ง -ข้างขวา-ข"&amp;"าว + ดำ,มือจับหลบมุ้ง -มือจับซีเมดข้างซ้ายสีดำ-ขาว + ดำ,มือจับบานกระทุ้งของจีน-ข้างซ้าย-ขาว + ดำ,มือจับบานกระทุ้งของจีน-ข้างขวา-ขาว + ดำ,มือจับบานเลื่อน-สลิม-ขาว + ดำ,มือจับปากเป็ด CMECH--ขาว + ดำ,มือจับปากเป็ด --ขาว + ดำ,มือจับบานเปิดจีน-ล็อค-ดำ,มือจับบา"&amp;"นเปิดจีน-ดัมมี่-ดำ,มือจับบานเปิดจีน-ล็อค  -อบขาว,มือจับบานเปิดจีน-ดัมมี่-อบขาว,มือจับบานเปิด-สลิม-อบขาว,มือจับบานเปิด-สลิม-ดำ,มือจับบานเปิด ไฮด้า-ล็อค-อบขาว,มือจับบานเปิด ไฮด้า-ดัมมี่-อบขาว,มือจับบานเปิด ไฮด้า-ดัมมี่-ดำ,มือจับ เขาควาย-ล็อค-อบขาว,มือจับ เข"&amp;"าควาย-ดัมมี่-ดำ,มือจับบานเปิดจีน-ล็อค + ดัมมี่-ดำ,มือจับบานเปิดจีน-ล็อค + ดัมมี่-อบขาว,มือจับบานเปิด ไฮด้า-ล็อค + ดัมมี่-อบขาว,มือจับบานเปิด ไฮด้า-ล็อค -ดำ,มือบานเปิด-สลิม-อบขาว,มือจับบานเปิด-สลิม-ดำ,มือจับบานกระทุ้งจีน-ซ้าย + ขวา-ขาว + ดำ,มือจับบานกระทุ้"&amp;"งแม่นํ้า-ซ้าย + ขวา-ขาว + ดำ,มือจับบานเลื่อน-สลิม-ขาว + ดำ,มือบานเลื่อน เมโทร-ชุดกุญแจ-ขาว + ดำ,มือบานเลื่อน เมโทร-ล็อค-ขาว + ดำ,มือบานเลื่อน เมโทร-ดัมมี่-ขาว + ดำ,มือจับบานเลื่อนฝัง Align-กุญแจ-ดำ,มือจับบานเลื่อนฝัง Align-ล็อค-ดำ,มือจับบานเลื่อนฝัง Align"&amp;"-ดัมมี่-ดำ,มือจับบานเลื่อนฝัง Align-กุญแจ-อบขาว,มือจับบานเลื่อนฝัง Align-ล็อค-อบขาว,มือจับบานเลื่อนฝัง Align-ดัมมี่-อบขาว,มือบานเลื่อนผ้า เซ่นซ่า-ชุดกุญแจ-ขาว + ดำ,มือบานเลื่อนผ้า เซ่นซ่า-ล็อค-ขาว + ดำ,มือบานเลื่อนผ้า เซ่นซ่า-ดัมมี่-ขาว + ดำ,มือบานเลื่อนผ"&amp;"้า เซ่นซ่า-เรียบมีรู-ขาว + ดำ,มือบานเลื่อนผ้า เซ่นซ่า-เรียบไม่มีรู-ขาว + ดำ,มือจับ Husza บานเลื่อนฝัง-ชุดกุญแจ-ขาว + ดำ,มือจับ Husza บานเลื่อนฝัง-ล็อค-ขาว + ดำ,มือจับ Husza บานเลื่อนฝัง-ดัมมี่-ขาว + ดำ,มือจับ Husza บานเลื่อนฝัง-เรียบมีรู-ขาว + ดำ,มือจับ H"&amp;"usza บานเลื่อนฝัง-เรียบไม่มีรู-ขาว + ดำ,มือจับบานเลื่อนฝังไฮด้า -กุญแจสีดำ = 52-ขาว + ดำ,มือจับบานเลื่อนฝังไฮด้า -กุญแจสีขาว = 70-ขาว + ดำ,มือจับบานเลื่อนฝังไฮด้า -ล็อคสีดำ = 6 -ขาว + ดำ,มือจับบานเลื่อนฝังไฮด้า -ล็อคสีขาว = 6 -ขาว + ดำ,มือจับบานเลื่อนฝังไ"&amp;"ฮด้า -เรียบมีรูสีขาว = 40 ไม่มีรู = 40-ขาว + ดำ,มือจับบานเลื่อนฝังไฮด้า -เรียบมีรูสีดำ = 30 ไม่มีรู = 21-ขาว + ดำ,มือจับบานเลื่อน Hoya แขวน ฝัง--อบขาว,มือจับบานเลื่อน Hoya แขวน ฝัง--ดำ,มือจับบานเลื่อน Hoya แขวน ฝัง--เงิน,มือจับบานเลื่อน Hoya แขวน ฝัง--ชา,"&amp;"มือจับบานกระทุ้ง ไฮด้า -ขวา-ดำ + ขาว,มือจับบานกระทุ้ง ไฮด้า -ซ้าย-ดำ + ขาว,มือจับเขาควาย-มีรู + ไม่มีรู-อบขาว,มือจับเขาควาย-มีรู + ไม่มีรู-ดำ,มือจับก้านโยกหลบมุ้ง-ขวา-ดำ + ขาว,มือจับก้านโยกหลบมุ้ง-ซ้าย-ดำ + ขาว,มือจับบานเปิด เซ่นซ่า แม่นํ้า-ล็อค = 1 -ดำ +"&amp;" ขาว,มือจับบานเปิด เซ่นซ่า แม่นํ้า-ดัมมี่ = 5-ดำ + ขาว,มือจับปากเป็ด CMECH--เงิน,มือจับปากเป็ด CMECH--ดำ,STAINLESS STEEL PIPE -สแตนเลส-แป๊ปสแตนเลสเหลี่ยม ,STAINLESS STEEL BAR-สแตนเลส-แป๊ปสแตนเลสกลม,บานพับ Shower VVP_SW303-สแตนเลส,บานพับ Shower VVP_SW3049 "&amp;"(90 ํ)-สแตนเลส,บานพับ Shower VVP_SW3041 (135 ํ)-สแตนเลส,บานพับ Shower VVP_SW304 (180 ํ)-สแตนเลส,ชุดอุปกรณ์บานเลื่อนห้องน้ำ Shower Room-สแตนเลส,ตัวหนีบกระจก shower VVP_GC506-สแตนเลส,ตัวยึดร้อยผ่านแป๊ปสแตนเลสกลม VVP_SB900-สแตนเลส,ตัวยึดกระจกห้องน้ำกันแกว่งก"&amp;"ลม VVP_SB902-สแตนเลส,ตัวยึดร้อยผ่านแป๊ปสแตนเลสกลม VVP_SBF906-สแตนเลส-ข้องอปรับได้ ,ตัวยึดร้อยผ่านแป๊ปสแตนเลสเหลี่ยม VVP_SBQ800-สแตนเลส,ตัวยึดกระจกห้องน้ำกันแกว่งเหลี่ยม VVP_SBQ802-สแตนเลส,ตัวยึดร้อยผ่านแป๊ปสแตนเลสเหลี่ยม VVP_SBQ806-สแตนเลส-ข้องอปรับได้ ,ต"&amp;"ัวหนีบกระจกล่าง VVP_ FT10 -สแตนเลส-5.5X17X3.5 cm.,ตัวหนีบกระจกบน VVP_ FT20-สแตนเลส-5.5X17X3.5 cm.,ตัวหนีบกระจกบน VVP_ FT30-สแตนเลส-5.5X17X3.5 cm.,กุญแจล็อคประตูกับพื้น VVP_ FT50-สแตนเลส-7.2X17.3X8.2 cm.,กุญแจล็อคประตูกับพื้น VVP_ FL50-สแตนเลส-7.2X17.3X8.2"&amp;" cm.,กุญแจล็อคล็อคกลางบาน VVP_ FL52-สแตนเลส-7.5X17X6 cm.,โช้คประตูบานสวิง Diamond-800mm,โช้คประตูบานสวิง Diamond-1000mm,โช้คประตูบานสวิง Diamond-1200mm,โช้คประตูตั้งค้าง VVP_DC98  -สแตนเลส-27X8.5X8.5 cm.,โช้คประตูไม่ตั้งค้าง VVP_DC98-สแตนเลส-27X8.5X8.5 cm"&amp;".,โช้คประตูตั้งค้าง VVP_DC98  -ดำ-27X8.5X8.5 cm.,โช้คประตูไม่ตั้งค้าง VVP_DC98-ดำ-27X8.5X8.5 cm.,โช้คประตูตั้งค้าง VVP_DC100-สแตนเลส-31X10X9.5 cm.,โช้คประตูไม่ตั้งค้าง VVP_DC100-สแตนเลส-31X10X9.5 cm.,โช้คประตูตั้งค้าง VVP_DC100-ดำ-31X10X9.5 cm.,โช้คประตูไ"&amp;"ม่ตั้งค้าง VVP_DC100-ดำ-31X10X9.5 cm.,กันชนประตูแม่เหล็กแท่ง SOLO-สแตนเลส,กันชนประตูโดมติดพื้น solex-สแตนเลส,กันชนประตูแม่เหล็กติดพื้น-สแตนเลส,กันชนประตูแม่เหล็กติดพื้น-ดำ,ยางกันชนเหลี่ยม-อบขาว,ยางกันชนเหลี่ยม-ดำ,ยางกันชนกลมเล็ก-ดำ,ล็อคกลางบานเลื่อน ( ล็อ"&amp;"คก้นหอย )_ L-อบขาว,ล็อคกลางบานเลื่อน ( ล็อคก้นหอย )_ R-อบขาว,ล็อคกลางบานเลื่อน ( ล็อคก้นหอย )_ L-ดำ,ล็อคกลางบานเลื่อน ( ล็อคก้นหอย )_ R-ดำ,พลาสติกปิดหัวน็อต-อบขาว,พลาสติกปิดหัวน็อต-ดำ,ยางอุดรูเสาเกี่ยว -อบขาว,ยางอุดรูเสาเกี่ยว -ดำ,พลาสติกฝาครอบน็อต หกเหลี"&amp;"่ยม-ดำ,ตลับกุญแจ CDQ20-สแตนเลส,ตลับกุญแจ CDQ20-ดำ,ตลับกุญแจ Colt-สแตนเลส-35x85,ตลับกุญแจ Hyda HD851 -สแตนเลส,ไส้กุญแจ Colt-สแตนเลส-35x35,ไส้กุญแจ Colt-สแตนเลส-40x40,บานพับบานเปิด PBM-อบขาว,บานพับบานเปิด PBM-ดำ,บานพับบานเปิด แบบหลบติ่ง PBM-อบขาว,บานพับบานเ"&amp;"ปิด แบบหลบติ่ง PBM-ดำ,แป้นรับล็อคบานเลื่อน HD1104-เงิน,แป้นรับล็อคบานเลื่อน HD1105-ดำ,แป้นรับล็อคบานเลื่อน  HD1125-เงิน,ก้าน Connection Rod HD-1176A-ดำ,ก้าน Connection Rod HD-1176B-ดำ,มุมสแตนเลส,ตัวรับล็อค,มุมอลูมิเนียมสปิก๊อต Hyda 214-Hyda 214,แป้นรับล็อ"&amp;"ค,แป้นรับล็อค,ฝาปิดรูน้ำเข้า ฝาปิดรูน้ำออก-ดำ,ฝาปิดรูน้ำเข้า ฝาปิดรูน้ำออก-ดำ,ปุ่มเสริมก้านมิเนียมบานเปิด 6.5 มม.,ตัวรับบาน KIN LONG,บานพับบานเปิดยูโร HD-631-ดำ,บานพับบานเปิดยูโร HD-631-อบขาว,ไส้กุญแจ Colt-สแตนเลส-50x50,ล้อสปริงกันแกว่ง มีน็อต,โช้คฝังพื้น"&amp;"  FC34- 20NM ,โช้คฝังพื้น  FC34- 25NM ,กันลมสแตนเลส-12KC,ไส้กุญแจ CH-ดำ-35x45,ไส้กุญแจ CH-สแตนเลส-35x45,ไส้กุญแจ CH-สแตนเลส-45x35,ยางกันชนกลมเล็ก-ใส,PU-791,PU-ขาว,ซิลิโคน-ใส,ซิลิโคน ไร้กรด-ขาว,ซิลิโคน 1601-ลายไม้มะฮอกนี,ซิลิโคน 1602-ลายไม้สักทอง,ซิลิโคน 1"&amp;"301,ซิลิโคน-ลายไม้หลอดฟ้า,สเปรย์โฟม,แด้บหลอดแดง,PU-สีพิเศษ,PU-สีทอง,นํ้ายาเช็ดคราบซิลิโคน,นํ้ํ้าเช็ดกระจก,นํ้ายาถูพื้น,นํ้ายาล้างห้องนํ้า,นํ้ายาล้้างจาน,นํ้ามันสน,เทปกาว2หน้า บาง,เทปกาว2หน้า หนา-สีดำ,เทปกาว2หน้า หนา-สีขาว,เทปกระดาษ,เทปใส่ม้วนใหญ่,เทปขุ่น,"&amp;"เทปพันอลูมิเนียม,แร็ปผิวเรียบ-สีทอง,แร็ปผิวซาฮาร่า,เทปใส่ม้วนเล็ก,เทปพันสายไฟ,เทปน้อตั้น-สีฟ้า,เทปน้อตั้น-สีขาว,เทปกาว 3M กันจิ้งจก,โพเทคส์พลาสติก,แร็ป-สีฟ้า,สเปรย์ 212-ดำด้าน,สเปรย์ 210-ดำเงา,สเปรย์ 1002825-สีขาวซาฮาร่า,สเปรย์ 1002823-สีดำซาฮาร่า,สเปรย์ "&amp;"1002831-สีเทาซาฮาร่า,สเปรย์ 132-สีชา,สเปรย์-สีชาว,ล้อฮาพาเล่ 100/A,ISONAX,สว่านแบต ,สว่านสายไฟฟ้า,สว่านเจาะปูน,เครื่องเจียรแบต,ฐานชาร์จแบต + แบตก้อน,เร้าเตอร์มือ,เครื่องเจียรสายไฟฟ้า 7 นิ้ว,เครื่องเป่าลม,เครื่องเป่าลมร้อน,เครื่องเจาะผนัง 5 นิ้ว,เครืองตัดไ"&amp;"ม้แบบแบต,โซ่ไฟฟ้า,เครื่องจิกซอไฟฟ้า,เลื่อยวงเดือน,เครื่องเจาะปูนตัวใหญ่,กล่องเครื่องมือช่าง 2 ชั้น(ขนาดใหญ่),เครื่องอ๊อกเหล็ก,มือจับกระจก,ไม้กรีดนํ้ากระจก,ไม้กรีดนํ้ากระจกแบบฟองนํ้า,ก้านเหล็กปั่นเหล็ก,ลูกกลิ้ง 7 นิ้ว,ปืนยิงตะปูเม็ดลมแม็กลมขาเดียว,ปืนยิงซิ"&amp;"ลิโคน,ปืนยืง PU,ตู้เชื่อม,เหล็กจับอลูมิเนียม,เครื่องดูดฝุ่นตัวใหญ่,ปืนยิงลูกรีเวท,ตลับกุญแจ HD 840 L30,ตลับกุญแจ Colt,ตลับกุญแจ มัลติพ้อย HD 851 L30,ไส้กุญแจ-35x35,ไส้กุญแจ-40x40,ไส้กุญแจ-สีดำ จีน-35x45,ไส้กุญแจ-สีีเงิน จีน-45x35,ไส้กุญแจ-จีน,สปริงก๊อต,เข"&amp;"้ามุมเล็ก,ลูกเบี้ยว,รับลูกเบี้ยว,เข้ามุมจีน,เข้ามุมตัว (ญ),แผ่นแบนบานกระทุ้ง + มุดทอง,วีโก้ AI,บานพับไม่บาก-สีขาว,บานพับไม่บาก-ดำ,บานพับบาก-สีขาว ,บานพับบาก-ดำ,บานพับไฮด้า H-D631-สีขาว ,บานพับไฮด้า H-D631-ดำ,บานพับจีน -สีดำ,บานพับจีน -สีขาว,แผ่นรับล็อคมือ"&amp;"จับของไฮด้า,CDQบานเฟือม CMECH,CDQบานกระทุ้ง-สีดำ,CDQบานกระทุ้ง-สีเงิน,CDQ ของจีน,สต๊อปเปอร์หัวบานของบานเปิด,ล้ออะไหล่จีน CA-991782-003,อะไหล่บานเลือนสลิม CA-42000-002 (ยาว),อะไหล่บานเลือนสลิม CA-420009-039 (ขวา),อะไหล่บานเลือนสลิม CA-420009-040 (ซ้าย),ล้อ"&amp;"บานเลื่อน-16x27x190,ล้อ-15x20x230,แกนจิ๊กซอว์ A,แกนจิ๊กซอว์ B,ดำ,เงิน,ล้อ (27 ตัวใหญ่)-16x27x255,ล้อเดียว-สีเขียว,ล้อเดียว-สีแดง,ล้อแฝด,ล้อบานเลื่อนแขวน 240 กก.,ล้อเดี่ยว-15x18 - 83,กลอนซ่อน,อุปกรณ์บานเฟือม -สีดำ-05-004-BL,อุปกรณ์บานเฟือม -สีดำ-05-005-BL,"&amp;"อุปกรณ์บานเฟือม -สีดำ-05-006-BL,อุปกรณ์บานเฟือม -สีดำ-05-007-BL,อุปกรณ์บานเฟือม -สีดำ-05-008-BL,อุปกรณ์บานเฟือม -สีดำ-05-009-BL,อุปกรณ์บานเฟือม -สีดำ-05-010-BL,อุปกรณ์บานเฟือม -สีดำ-05-011-BL,อุปกรณ์บานเฟือม -สีเงิน-05-004-SL,อุปกรณ์บานเฟือม -สีเงิน-05-00"&amp;"5-SL,อุปกรณ์บานเฟือม -สีเงิน-05-006-SL,อุปกรณ์บานเฟือม -สีเงิน-05-007-SL,อุปกรณ์บานเฟือม -สีเงิน-05-008-SL,อุปกรณ์บานเฟือม -สีเงิน-05-009-SL,อุปกรณ์บานเฟือม -สีเงิน-05-010-SL,อุปกรณ์บานเฟือม -สีเงิน-05-011-SL,ลูกปืนทอง,ปิดร่องเฟรมบน บานเฟียม,ฝาปิดรูกลอนปร"&amp;"ะตู,รูระบายนํ้าตัวกลม,รูระบายนํ้าตัวยาว,ก้ามปู,ล้อกันกระดก,ล้อ-15x18 - 140,ล้อ-15x20 - 150,ล้อ-15x24 - 155,ล้อบานเลื่อนแขวน ,คอม้าเหล็กสแตนเลส,คอม้าบานสวิง-สีอบขาว,คอม้าบานสวิง-ดำ,คอม้าบานสวิง-ชา,คอม้าบานสวิง-บอรซ์,คอม้าบานเลื่อน-สีอบขาว,คอม้าบานเลื่อน-ดำ"&amp;",คอม้าบานเลื่อน-ชา,คอม้าบานเลื่อน-บอรซ์,กลอนบานสวิงกล่องสีส้ม-ดำ,กลอนบานสวิงกล่องสีส้ม-ขาว,กลอนบานสวิงกล่องสีส้ม-สีชา,กลอนบานสวิงกล่องสีส้ม-อบขาว,โช้ค -600,โช้ค -800,โช้ค -1000,โช้ค -1200,โช้คVVP98-ดำ,โช้คVVP100-ดำ,ท่อนํ้าทิ้ง-2½"",ข้อต่อตรง-2½"",ข้องอ90-"&amp;"2½"",ข้องอ45-2½"",ต่อ 3 ทาง-2½"",ต่อ 3 ทาง y-2½"",กรวยรางนํ้าสแตนเลส-2½"",ท่อนํ้าทิ้ง-2"",ข้องอ 90-2"",ข้องอ 45-2"",กรวยรางนํ้าสแตนเลส-2"",กาวทาท่อนํ้า,เทปพันท่อนํ้า -สีขาว,โชรางนํ้าโลตัล-สีขาว,โชรางนํ้าโลตัล-สีนํ้าตาล,โชรางนํ้า ทิวลิป-สีขาว,โชรางนํ้า ทิว"&amp;"ลิป-สีนํ้าตาล,สายไฟ 1.5,สายไฟ 2.5,ท่อไฟ T3,รางไฟ T3,ปลั๊กกราวด์คู่,ปลั๊กกราวด์เดี่ยว,สวิทช์ไฟ,ปลั๊กตัวผู้,หน้ากาก 1 ช่อง-2x4,หน้ากาก 3 ช่อง-4x4,หน้ากาก 2 ช่อง-2x4,หน้ากาก 4 ช่อง-4x4,กล่องลอย-2x4,กล่องลอย-4x4,กล่องกันนํ้า-2x4,กล่องกันนํ้า-4x4,เทปพันสายไฟสี"&amp;"ดำ,พัดลมดูดอากาศ-สีขาว-8"",พัดลมดูดอากาศ-สีีนํ้าตาล-8"",หลอดไฟกลม,คอนเน็กเตอร์,ต่อตรง,ข้องอ-16mm,ข้องอ 9 โค้ง,ข้อต่อ 3 ทาง,ข้อต่อ 3 ตัวใหญ่แบบฝาปิด,แฟล็ก"</formula1>
    </dataValidation>
    <dataValidation type="list" allowBlank="1" showErrorMessage="1" sqref="G25:G35">
      <formula1>"มือจับประตูบานเลื่อนแขวน ทรงโค้ง HOYA-PS-102-สแตนเลส,มือจับฝังบานเลื่อน  Hyda  416-Dummy-ดำ,มือจับฝังบานเลื่อน  Hyda  416-Dummy-อบขาว,มือจับฝังบานเลื่อน  Hyda  416-Lock-ดำ,มือจับฝังบานเลื่อน  Hyda  416-Lock-อบขาว,มือจับฝังบานเลื่อน  CMECH-Fixed Recessed H"&amp;"andle-ดำ,มือจับฝังบานเลื่อน  CMECH-Fixed Recessed Handle-อบขาว,มือจับฝังบานเลื่อน  CMECH-Multi-Point Lock Recessed Handle-ดำ,มือจับฝังบานเลื่อน  CMECH-Multi-Point Lock Recessed Handle-อบขาว,มือจับฝังบานเลื่อน  CMECH-Multi-Point Lock Recessed  Interior wit"&amp;"h Key-ดำ,มือจับฝังบานเลื่อน  CMECH-Multi-Point Lock Recessed  Interior with Key-อบขาว,มือจับบานเลื่อน  CMECH-Metro Handle_ Dummy-ดำ,มือจับบานเลื่อน  CMECH-Metro Handle_ Dummy-อบขาว,มือจับบานเลื่อน  CMECH-Metro Handle_ Lock-ดำ,มือจับบานเลื่อน  CMECH-Metro "&amp;"Handle_ Lock-อบขาว,มือจับบานเลื่อน  CMECH-Metro Handle_  Key-ดำ,มือจับบานเลื่อน  CMECH-Metro Handle_  Key-อบขาว,มือจับฝังบานเลื่อน Align-Dummy-ดำ,มือจับฝังบานเลื่อน Align-Dummy-อบขาว,มือจับฝังบานเลื่อน Align-Lock-ดำ,มือจับฝังบานเลื่อน Align-Lock-อบขาว,มือ"&amp;"จับฝังบานเลื่อน Align-Key-ดำ,มือจับฝังบานเลื่อน Align-Key-อบขาว,มือจับเจาะกระจกประตูบานเลื่อน-แบบกลม-สแตนเลส,มือจับสแตนเลส VVP_HD110-แบบกลม-สแตนเลส,มือจับสแตนเลส VVP_HD189-แบบเหลี่ยม-สแตนเลส,มือจับสแตนเลส VVP_HD190-แบบเหลี่ยม-สแตนเลส,มือจับบานกระทุ้ง CZ-H"&amp;"D-004-CENZA_ ( L )-อบขาว,มือจับบานกระทุ้ง CZ-HD-004-CENZA_ ( R )-อบขาว,มือจับบานกระทุ้ง CZ-HD-004-CENZA_ ( L )-ดำ,มือจับบานกระทุ้ง CZ-HD-004-CENZA_ ( R )-ดำ,มือจับบานกระทุ้งหลบมุ้ง-CMECH_ ( L )-อบขาว,มือจับบานกระทุ้งหลบมุ้ง-CMECH_ ( R )-อบขาว,มือจับบานกระ"&amp;"ทุ้งหลบมุ้ง-CMECH_ ( L )-ดำ,มือจับบานกระทุ้งหลบมุ้ง-CMECH_ ( R )-ดำ,มือจับบานเปิด KINGBO-Dummy-ดำ,มือจับบานเปิด KINGBO-Dummy-อบขาว,มือจับบานเปิด KINGBO-Key-ดำ,มือจับบานเปิด KINGBO-Key-อบขาว,มือจับหลบมุ้ง KINGBO-FH3016 _( L )-ดำ,มือจับหลบมุ้ง KINGBO-FH3016"&amp;" _ ( R )-ดำ,มือจับหลบมุ้ง KINGBO-FH3016 _( L )-อบขาว,มือจับหลบมุ้ง KINGBO-FH3016 _ ( R )-อบขาว,มือจับฝัง Align-กุญแจ-ดำ,มือจับฝัง Align-ล็อค-ดำ,มือจับฝัง Align-ดัมมี่-ดำ,มือจับฝัง Align-กุญแจ-อบขาว,มือจับฝัง Align-ล็อค-อบขาว,มือจับฝัง Align-ดัมมี่-อบขาว,ม"&amp;"ือจับ Husza-กุญแจ-ดำ,มือจับ Husza-ล็อค-ดำ,มือจับ Husza-เรียบมีรู-ดำ,มือจับ Husza-เรียบไม่มีรู-ดำ,มือจับ Husza-กุญแจ-อบขาว,มือจับ Husza-ล็อค-อบขาว,มือจับ Husza-เรียบมีรู-อบขาว,มือจับ Husza-เรียบไม่มีรู-อบขาว,มือจับ เซ่นซ่า  -ชุดกุญแจ-อบขาว,มือจับ เซ่นซ่า  "&amp;"-ล็อค-อบขาว,มือจับ เซ่นซ่า  -เรียบมีรู-อบขาว,มือจับ เซ่นซ่า  -เรียบไม่มีรู-อบขาว,มือจับ เซ่นซ่า  -ชุดกุญแจ-ดำ,มือจับ เซ่นซ่า  -ล็อค-ดำ,มือจับ เซ่นซ่า  -เรียบมีรู-ดำ,มือจับ เซ่นซ่า  -เรียบไม่มีรู-ดำ,มือจับหลบมุ้ง -ข้างซ้าย-ขาว + ดำ,มือจับหลบมุ้ง -ข้างขวา-ข"&amp;"าว + ดำ,มือจับหลบมุ้ง -มือจับซีเมดข้างซ้ายสีดำ-ขาว + ดำ,มือจับบานกระทุ้งของจีน-ข้างซ้าย-ขาว + ดำ,มือจับบานกระทุ้งของจีน-ข้างขวา-ขาว + ดำ,มือจับบานเลื่อน-สลิม-ขาว + ดำ,มือจับปากเป็ด CMECH--ขาว + ดำ,มือจับปากเป็ด --ขาว + ดำ,มือจับบานเปิดจีน-ล็อค-ดำ,มือจับบา"&amp;"นเปิดจีน-ดัมมี่-ดำ,มือจับบานเปิดจีน-ล็อค  -อบขาว,มือจับบานเปิดจีน-ดัมมี่-อบขาว,มือจับบานเปิด-สลิม-อบขาว,มือจับบานเปิด-สลิม-ดำ,มือจับบานเปิด ไฮด้า-ล็อค-อบขาว,มือจับบานเปิด ไฮด้า-ดัมมี่-อบขาว,มือจับบานเปิด ไฮด้า-ดัมมี่-ดำ,มือจับ เขาควาย-ล็อค-อบขาว,มือจับ เข"&amp;"าควาย-ดัมมี่-ดำ,มือจับบานเปิดจีน-ล็อค + ดัมมี่-ดำ,มือจับบานเปิดจีน-ล็อค + ดัมมี่-อบขาว,มือจับบานเปิด ไฮด้า-ล็อค + ดัมมี่-อบขาว,มือจับบานเปิด ไฮด้า-ล็อค -ดำ,มือบานเปิด-สลิม-อบขาว,มือจับบานเปิด-สลิม-ดำ,มือจับบานกระทุ้งจีน-ซ้าย + ขวา-ขาว + ดำ,มือจับบานกระทุ้"&amp;"งแม่นํ้า-ซ้าย + ขวา-ขาว + ดำ,มือจับบานเลื่อน-สลิม-ขาว + ดำ,มือบานเลื่อน เมโทร-ชุดกุญแจ-ขาว + ดำ,มือบานเลื่อน เมโทร-ล็อค-ขาว + ดำ,มือบานเลื่อน เมโทร-ดัมมี่-ขาว + ดำ,มือจับบานเลื่อนฝัง Align-กุญแจ-ดำ,มือจับบานเลื่อนฝัง Align-ล็อค-ดำ,มือจับบานเลื่อนฝัง Align"&amp;"-ดัมมี่-ดำ,มือจับบานเลื่อนฝัง Align-กุญแจ-อบขาว,มือจับบานเลื่อนฝัง Align-ล็อค-อบขาว,มือจับบานเลื่อนฝัง Align-ดัมมี่-อบขาว,มือบานเลื่อนผ้า เซ่นซ่า-ชุดกุญแจ-ขาว + ดำ,มือบานเลื่อนผ้า เซ่นซ่า-ล็อค-ขาว + ดำ,มือบานเลื่อนผ้า เซ่นซ่า-ดัมมี่-ขาว + ดำ,มือบานเลื่อนผ"&amp;"้า เซ่นซ่า-เรียบมีรู-ขาว + ดำ,มือบานเลื่อนผ้า เซ่นซ่า-เรียบไม่มีรู-ขาว + ดำ,มือจับ Husza บานเลื่อนฝัง-ชุดกุญแจ-ขาว + ดำ,มือจับ Husza บานเลื่อนฝัง-ล็อค-ขาว + ดำ,มือจับ Husza บานเลื่อนฝัง-ดัมมี่-ขาว + ดำ,มือจับ Husza บานเลื่อนฝัง-เรียบมีรู-ขาว + ดำ,มือจับ H"&amp;"usza บานเลื่อนฝัง-เรียบไม่มีรู-ขาว + ดำ,มือจับบานเลื่อนฝังไฮด้า -กุญแจสีดำ = 52-ขาว + ดำ,มือจับบานเลื่อนฝังไฮด้า -กุญแจสีขาว = 70-ขาว + ดำ,มือจับบานเลื่อนฝังไฮด้า -ล็อคสีดำ = 6 -ขาว + ดำ,มือจับบานเลื่อนฝังไฮด้า -ล็อคสีขาว = 6 -ขาว + ดำ,มือจับบานเลื่อนฝังไ"&amp;"ฮด้า -เรียบมีรูสีขาว = 40 ไม่มีรู = 40-ขาว + ดำ,มือจับบานเลื่อนฝังไฮด้า -เรียบมีรูสีดำ = 30 ไม่มีรู = 21-ขาว + ดำ,มือจับบานเลื่อน Hoya แขวน ฝัง--อบขาว,มือจับบานเลื่อน Hoya แขวน ฝัง--ดำ,มือจับบานเลื่อน Hoya แขวน ฝัง--เงิน,มือจับบานเลื่อน Hoya แขวน ฝัง--ชา,"&amp;"มือจับบานกระทุ้ง ไฮด้า -ขวา-ดำ + ขาว,มือจับบานกระทุ้ง ไฮด้า -ซ้าย-ดำ + ขาว,มือจับเขาควาย-มีรู + ไม่มีรู-อบขาว,มือจับเขาควาย-มีรู + ไม่มีรู-ดำ,มือจับก้านโยกหลบมุ้ง-ขวา-ดำ + ขาว,มือจับก้านโยกหลบมุ้ง-ซ้าย-ดำ + ขาว,มือจับบานเปิด เซ่นซ่า แม่นํ้า-ล็อค = 1 -ดำ +"&amp;" ขาว,มือจับบานเปิด เซ่นซ่า แม่นํ้า-ดัมมี่ = 5-ดำ + ขาว,มือจับปากเป็ด CMECH--เงิน,มือจับปากเป็ด CMECH--ดำ,STAINLESS STEEL PIPE -สแตนเลส-แป๊ปสแตนเลสเหลี่ยม ,STAINLESS STEEL BAR-สแตนเลส-แป๊ปสแตนเลสกลม,บานพับ Shower VVP_SW303-สแตนเลส,บานพับ Shower VVP_SW3049 "&amp;"(90 ํ)-สแตนเลส,บานพับ Shower VVP_SW3041 (135 ํ)-สแตนเลส,บานพับ Shower VVP_SW304 (180 ํ)-สแตนเลส,ชุดอุปกรณ์บานเลื่อนห้องน้ำ Shower Room-สแตนเลส,ตัวหนีบกระจก shower VVP_GC506-สแตนเลส,ตัวยึดร้อยผ่านแป๊ปสแตนเลสกลม VVP_SB900-สแตนเลส,ตัวยึดกระจกห้องน้ำกันแกว่งก"&amp;"ลม VVP_SB902-สแตนเลส,ตัวยึดร้อยผ่านแป๊ปสแตนเลสกลม VVP_SBF906-สแตนเลส-ข้องอปรับได้ ,ตัวยึดร้อยผ่านแป๊ปสแตนเลสเหลี่ยม VVP_SBQ800-สแตนเลส,ตัวยึดกระจกห้องน้ำกันแกว่งเหลี่ยม VVP_SBQ802-สแตนเลส,ตัวยึดร้อยผ่านแป๊ปสแตนเลสเหลี่ยม VVP_SBQ806-สแตนเลส-ข้องอปรับได้ ,ต"&amp;"ัวหนีบกระจกล่าง VVP_ FT10 -สแตนเลส-5.5X17X3.5 cm.,ตัวหนีบกระจกบน VVP_ FT20-สแตนเลส-5.5X17X3.5 cm.,ตัวหนีบกระจกบน VVP_ FT30-สแตนเลส-5.5X17X3.5 cm.,กุญแจล็อคประตูกับพื้น VVP_ FT50-สแตนเลส-7.2X17.3X8.2 cm.,กุญแจล็อคประตูกับพื้น VVP_ FL50-สแตนเลส-7.2X17.3X8.2"&amp;" cm.,กุญแจล็อคล็อคกลางบาน VVP_ FL52-สแตนเลส-7.5X17X6 cm.,โช้คประตูบานสวิง Diamond-800mm,โช้คประตูบานสวิง Diamond-1000mm,โช้คประตูบานสวิง Diamond-1200mm,โช้คประตูตั้งค้าง VVP_DC98  -สแตนเลส-27X8.5X8.5 cm.,โช้คประตูไม่ตั้งค้าง VVP_DC98-สแตนเลส-27X8.5X8.5 cm"&amp;".,โช้คประตูตั้งค้าง VVP_DC98  -ดำ-27X8.5X8.5 cm.,โช้คประตูไม่ตั้งค้าง VVP_DC98-ดำ-27X8.5X8.5 cm.,โช้คประตูตั้งค้าง VVP_DC100-สแตนเลส-31X10X9.5 cm.,โช้คประตูไม่ตั้งค้าง VVP_DC100-สแตนเลส-31X10X9.5 cm.,โช้คประตูตั้งค้าง VVP_DC100-ดำ-31X10X9.5 cm.,โช้คประตูไ"&amp;"ม่ตั้งค้าง VVP_DC100-ดำ-31X10X9.5 cm.,กันชนประตูแม่เหล็กแท่ง SOLO-สแตนเลส,กันชนประตูโดมติดพื้น solex-สแตนเลส,กันชนประตูแม่เหล็กติดพื้น-สแตนเลส,กันชนประตูแม่เหล็กติดพื้น-ดำ,ยางกันชนเหลี่ยม-อบขาว,ยางกันชนเหลี่ยม-ดำ,ยางกันชนกลมเล็ก-ดำ,ล็อคกลางบานเลื่อน ( ล็อ"&amp;"คก้นหอย )_ L-อบขาว,ล็อคกลางบานเลื่อน ( ล็อคก้นหอย )_ R-อบขาว,ล็อคกลางบานเลื่อน ( ล็อคก้นหอย )_ L-ดำ,ล็อคกลางบานเลื่อน ( ล็อคก้นหอย )_ R-ดำ,พลาสติกปิดหัวน็อต-อบขาว,พลาสติกปิดหัวน็อต-ดำ,ยางอุดรูเสาเกี่ยว -อบขาว,ยางอุดรูเสาเกี่ยว -ดำ,พลาสติกฝาครอบน็อต หกเหลี"&amp;"่ยม-ดำ,ตลับกุญแจ CDQ20-สแตนเลส,ตลับกุญแจ CDQ20-ดำ,ตลับกุญแจ Colt-สแตนเลส-35x85,ตลับกุญแจ Hyda HD851 -สแตนเลส,ไส้กุญแจ Colt-สแตนเลส-35x35,ไส้กุญแจ Colt-สแตนเลส-40x40,บานพับบานเปิด PBM-อบขาว,บานพับบานเปิด PBM-ดำ,บานพับบานเปิด แบบหลบติ่ง PBM-อบขาว,บานพับบานเ"&amp;"ปิด แบบหลบติ่ง PBM-ดำ,แป้นรับล็อคบานเลื่อน HD1104-เงิน,แป้นรับล็อคบานเลื่อน HD1105-ดำ,แป้นรับล็อคบานเลื่อน  HD1125-เงิน,ก้าน Connection Rod HD-1176A-ดำ,ก้าน Connection Rod HD-1176B-ดำ,มุมสแตนเลส,ตัวรับล็อค,มุมอลูมิเนียมสปิก๊อต Hyda 214-Hyda 214,แป้นรับล็อ"&amp;"ค,แป้นรับล็อค,ฝาปิดรูน้ำเข้า ฝาปิดรูน้ำออก-ดำ,ฝาปิดรูน้ำเข้า ฝาปิดรูน้ำออก-ดำ,ปุ่มเสริมก้านมิเนียมบานเปิด 6.5 มม.,ตัวรับบาน KIN LONG,บานพับบานเปิดยูโร HD-631-ดำ,บานพับบานเปิดยูโร HD-631-อบขาว,ไส้กุญแจ Colt-สแตนเลส-50x50,ล้อสปริงกันแกว่ง มีน็อต,โช้คฝังพื้น"&amp;"  FC34- 20NM ,โช้คฝังพื้น  FC34- 25NM ,กันลมสแตนเลส-12KC,ไส้กุญแจ CH-ดำ-35x45,ไส้กุญแจ CH-สแตนเลส-35x45,ไส้กุญแจ CH-สแตนเลส-45x35,ยางกันชนกลมเล็ก-ใส,PU-791,PU-ขาว,ซิลิโคน-ใส,ซิลิโคน ไร้กรด-ขาว,ซิลิโคน 1601-ลายไม้มะฮอกนี,ซิลิโคน 1602-ลายไม้สักทอง,ซิลิโคน 1"&amp;"301,ซิลิโคน-ลายไม้หลอดฟ้า,สเปรย์โฟม,แด้บหลอดแดง,PU-สีพิเศษ,PU-สีทอง,นํ้ายาเช็ดคราบซิลิโคน,นํ้ํ้าเช็ดกระจก,นํ้ายาถูพื้น,นํ้ายาล้างห้องนํ้า,นํ้ายาล้้างจาน,นํ้ามันสน,เทปกาว2หน้า บาง,เทปกาว2หน้า หนา-สีดำ,เทปกาว2หน้า หนา-สีขาว,เทปกระดาษ,เทปใส่ม้วนใหญ่,เทปขุ่น,"&amp;"เทปพันอลูมิเนียม,แร็ปผิวเรียบ-สีทอง,แร็ปผิวซาฮาร่า,เทปใส่ม้วนเล็ก,เทปพันสายไฟ-สีดำ,เทปน้อตั้น-สีฟ้า,เทปน้อตั้น-สีขาว,เทปกาว 3M กันจิ้งจก,โพเทคส์พลาสติก,แร็ป-สีฟ้า,สเปรย์ 212-ดำด้าน,สเปรย์ 210-ดำเงา,สเปรย์ 1002825-สีขาวซาฮาร่า,สเปรย์ 1002823-สีดำซาฮาร่า,สเ"&amp;"ปรย์ 1002831-สีเทาซาฮาร่า,สเปรย์ 132-สีชา,สเปรย์-สีชาว,ล้อฮาพาเล่ 100/A,ISONAX,สว่านแบต ,สว่านสายไฟฟ้า,สว่านเจาะปูน,เครื่องเจียรแบต,ฐานชาร์จแบต + แบตก้อน,เร้าเตอร์มือ,เครื่องเจียรสายไฟฟ้า 7 นิ้ว,เครื่องเป่าลม,เครื่องเป่าลมร้อน,เครื่องเจาะผนัง 5 นิ้ว,เครือ"&amp;"งตัดไม้แบบแบต,โซ่ไฟฟ้า,เครื่องจิกซอไฟฟ้า,เลื่อยวงเดือน,เครื่องเจาะปูนตัวใหญ่,กล่องเครื่องมือช่าง 2 ชั้น(ขนาดใหญ่),เครื่องอ๊อกเหล็ก,มือจับกระจก,ไม้กรีดนํ้ากระจก,ไม้กรีดนํ้ากระจกแบบฟองนํ้า,ก้านเหล็กปั่นเหล็ก,ลูกกลิ้ง 7 นิ้ว,ปืนยิงตะปูเม็ดลมแม็กลมขาเดียว,ปืน"&amp;"ยิงซิลิโคน,ปืนยืง PU,ตู้เชื่อม,เหล็กจับอลูมิเนียม,เครื่องดูดฝุ่นตัวใหญ่,ปืนยิงลูกรีเวท,ตลับกุญแจ HD 840 L30,ตลับกุญแจ Colt,ตลับกุญแจ มัลติพ้อย HD 851 L30,ไส้กุญแจ-35x35,ไส้กุญแจ-40x40,ไส้กุญแจ-สีดำ จีน-35x45,ไส้กุญแจ-สีีเงิน จีน-45x35,ไส้กุญแจ-จีน,สปริงก๊"&amp;"อต,เข้ามุมเล็ก,ลูกเบี้ยว,รับลูกเบี้ยว,เข้ามุมจีน,เข้ามุมตัว (ญ),แผ่นแบนบานกระทุ้ง + มุดทอง,วีโก้ AI,บานพับไม่บาก-สีขาว,บานพับไม่บาก-ดำ,บานพับบาก-สีขาว ,บานพับบาก-ดำ,บานพับไฮด้า H-D631-สีขาว ,บานพับไฮด้า H-D631-ดำ,บานพับจีน -สีดำ,บานพับจีน -สีขาว,แผ่นรับล็"&amp;"อคมือจับของไฮด้า,CDQบานเฟือม CMECH,CDQบานกระทุ้ง-สีดำ,CDQบานกระทุ้ง-สีเงิน,CDQ ของจีน,สต๊อปเปอร์หัวบานของบานเปิด,ล้ออะไหล่จีน CA-991782-003,อะไหล่บานเลือนสลิม CA-42000-002 (ยาว),อะไหล่บานเลือนสลิม CA-420009-039 (ขวา),อะไหล่บานเลือนสลิม CA-420009-040 (ซ้าย"&amp;"),ล้อบานเลื่อน-16x27x190,ล้อ-15x20x230,แกนจิ๊กซอว์ A,แกนจิ๊กซอว์ B,ดำ,เงิน,ล้อ (27 ตัวใหญ่)-16x27x255,ล้อเดียว-สีเขียว,ล้อเดียว-สีแดง,ล้อแฝด,ล้อบานเลื่อนแขวน 240 กก.,ล้อเดี่ยว-15x18 - 83,กลอนซ่อน,อุปกรณ์บานเฟือม -สีดำ-05-004-BL,อุปกรณ์บานเฟือม -สีดำ-05-00"&amp;"5-BL,อุปกรณ์บานเฟือม -สีดำ-05-006-BL,อุปกรณ์บานเฟือม -สีดำ-05-007-BL,อุปกรณ์บานเฟือม -สีดำ-05-008-BL,อุปกรณ์บานเฟือม -สีดำ-05-009-BL,อุปกรณ์บานเฟือม -สีดำ-05-010-BL,อุปกรณ์บานเฟือม -สีดำ-05-011-BL,อุปกรณ์บานเฟือม -สีเงิน-05-004-SL,อุปกรณ์บานเฟือม -สีเงิน-"&amp;"05-005-SL,อุปกรณ์บานเฟือม -สีเงิน-05-006-SL,อุปกรณ์บานเฟือม -สีเงิน-05-007-SL,อุปกรณ์บานเฟือม -สีเงิน-05-008-SL,อุปกรณ์บานเฟือม -สีเงิน-05-009-SL,อุปกรณ์บานเฟือม -สีเงิน-05-010-SL,อุปกรณ์บานเฟือม -สีเงิน-05-011-SL,ลูกปืนทอง,ปิดร่องเฟรมบน บานเฟียม,ฝาปิดรูก"&amp;"ลอนประตู,รูระบายนํ้าตัวกลม,รูระบายนํ้าตัวยาว,ก้ามปู,ล้อกันกระดก,ล้อ-15x18 - 140,ล้อ-15x20 - 150,ล้อ-15x24 - 155,ล้อบานเลื่อนแขวน ,คอม้าเหล็กสแตนเลส,คอม้าบานสวิง-สีอบขาว,คอม้าบานสวิง-ดำ,คอม้าบานสวิง-ชา,คอม้าบานสวิง-บอรซ์,คอม้าบานเลื่อน-สีอบขาว,คอม้าบานเลื่"&amp;"อน-ดำ,คอม้าบานเลื่อน-ชา,คอม้าบานเลื่อน-บอรซ์,กลอนบานสวิงกล่องสีส้ม-ดำ,กลอนบานสวิงกล่องสีส้ม-ขาว,กลอนบานสวิงกล่องสีส้ม-สีชา,กลอนบานสวิงกล่องสีส้ม-อบขาว,โช้ค -600,โช้ค -800,โช้ค -1000,โช้ค -1200,โช้คVVP98-ดำ,โช้คVVP100-ดำ,ท่อนํ้าทิ้ง-2½"",ข้อต่อตรง-2½"",ข้อ"&amp;"งอ90-2½"",ข้องอ45-2½"",ต่อ 3 ทาง-2½"",ต่อ 3 ทาง y-2½"",กรวยรางนํ้าสแตนเลส-2½"",ท่อนํ้าทิ้ง-2"",ข้องอ 90-2"",ข้องอ 45-2"",กรวยรางนํ้าสแตนเลส-2"",กาวทาท่อนํ้า,เทปพันท่อนํ้า -สีขาว,โชรางนํ้าโลตัล-สีขาว,โชรางนํ้าโลตัล-สีนํ้าตาล,โชรางนํ้า ทิวลิป-สีขาว,โชรางนํ้"&amp;"า ทิวลิป-สีนํ้าตาล,สายไฟ 1.5,สายไฟ 2.5,ท่อไฟ T3,รางไฟ T3,ปลั๊กกราวด์คู่,ปลั๊กกราวด์เดี่ยว,สวิทช์ไฟ,ปลั๊กตัวผู้,หน้ากาก 1 ช่อง-2x4,หน้ากาก 3 ช่อง-4x4,หน้ากาก 2 ช่อง-2x4,หน้ากาก 4 ช่อง-4x4,กล่องลอย-2x4,กล่องลอย-4x4,กล่องกันนํ้า-2x4,กล่องกันนํ้า-4x4,พัดลมดูด"&amp;"อากาศ-สีขาว-8"",พัดลมดูดอากาศ-สีีนํ้าตาล-8"",หลอดไฟกลม,คอนเน็กเตอร์,ต่อตรง,ข้องอ-16mm,ข้องอ 9 โค้ง,ข้อต่อ 3 ทาง,ข้อต่อ 3 ตัวใหญ่แบบฝาปิด,แฟล็ก"</formula1>
    </dataValidation>
    <dataValidation type="list" allowBlank="1" showErrorMessage="1" sqref="G116">
      <formula1>"B20001-เฟรมบนบานเลื่อน-อบขาว,B20001-เฟรมบนบานเลื่อน-ดำ,B20001-เฟรมบนบานเลื่อน-เทาซาฮาร่า,B20001-เฟรมบนบานเลื่อน-ลายไม้สักทอง,B20001-เฟรมบนบานเลื่อน-อื่น ๆ,B20002-เฟรมล่างบานเลื่อน-อบขาว,B20002-เฟรมล่างบานเลื่อน-ดำ,B20002-เฟรมล่างบานเลื่อน-เทาซาฮาร่า,B2000"&amp;"2-เฟรมล่างบานเลื่อน-ลายไม้สักทอง,B20002-เฟรมล่างบานเลื่อน-อื่น ๆ,B20003-เฟรมข้างบานเลื่อน-อบขาว"</formula1>
    </dataValidation>
    <dataValidation type="list" allowBlank="1" showErrorMessage="1" sqref="F2:F1125">
      <formula1>'รวมรายการสินค้า'!$A$2:$A1125</formula1>
    </dataValidation>
    <dataValidation type="list" allowBlank="1" showErrorMessage="1" sqref="G97:G106">
      <formula1>"เครื่องวัดระดับ เลเซอร์ 5 เส้น,สว่านโรตารี่ สว่านเจาะปูน 3 ระบบ,เครื่องเจียร 4""  MAKITA,เครื่องเจียร 7""  MAKITA,ชุดเครื่องเจียรไฟฟ้า 4 นิ้ว 750W INGCO,ชุดเครื่องเจียรไฟฟ้า 4 นิ้ว 960W INGCO,เครื่องเจียร ไร้สาย แบตเตอรี่,MAKITA รุ่น DGA402RFE,ชุดเครื่องเ"&amp;"จียรไร้สาย INGCO,สว่านแบต MAKITA #DHP481Z"</formula1>
    </dataValidation>
    <dataValidation type="list" allowBlank="1" showErrorMessage="1" sqref="G2:G10">
      <formula1>"มือจับประตูบานเลื่อนแขวน ทรงโค้ง HOYA-สแตนเลส,มือจับฝังบานเลื่อน  Hyda  416-Dummy-ดำ,มือจับฝังบานเลื่อน  Hyda  416-Dummy-อบขาว,มือจับฝังบานเลื่อน  Hyda  416-Lock-ดำ,มือจับฝังบานเลื่อน  Hyda  416-Lock-อบขาว,มือจับฝังบานเลื่อน  CMECH-Fixed Recessed Handle-ด"&amp;"ำ,มือจับฝังบานเลื่อน  CMECH-Fixed Recessed Handle-อบขาว,มือจับฝังบานเลื่อน  CMECH-Multi-Point Lock Recessed Handle-ดำ,มือจับฝังบานเลื่อน  CMECH-Multi-Point Lock Recessed Handle-อบขาว,มือจับฝังบานเลื่อน  CMECH-Multi-Point Lock Recessed  Interior with Key-ด"&amp;"ำ,มือจับฝังบานเลื่อน  CMECH-Multi-Point Lock Recessed  Interior with Key-อบขาว,มือจับบานเลื่อน  CMECH-Metro Handle_ Dummy-ดำ,มือจับบานเลื่อน  CMECH-Metro Handle_ Dummy-อบขาว,มือจับบานเลื่อน  CMECH-Metro Handle_ Lock-ดำ,มือจับบานเลื่อน  CMECH-Metro Handle_"&amp;" Lock-อบขาว,มือจับบานเลื่อน  CMECH-Metro Handle_  Key-ดำ,มือจับบานเลื่อน  CMECH-Metro Handle_  Key-อบขาว,มือจับฝังบานเลื่อน Align-Dummy-ดำ,มือจับฝังบานเลื่อน Align-Dummy-อบขาว,มือจับฝังบานเลื่อน Align-Lock-ดำ,มือจับฝังบานเลื่อน Align-Lock-อบขาว,มือจับฝังบ"&amp;"านเลื่อน Align-Key-ดำ,มือจับฝังบานเลื่อน Align-Key-อบขาว,มือจับเจาะกระจกประตูบานเลื่อน-แบบกลม-สแตนเลส,มือจับสแตนเลส VVP_HD110-แบบกลม-สแตนเลส,มือจับสแตนเลส VVP_HD189-แบบเหลี่ยม-สแตนเลส,มือจับสแตนเลส VVP_HD190-แบบเหลี่ยม-สแตนเลส,มือจับบานกระทุ้ง CZ-HD-004-C"&amp;"ENZA_ ( L )-อบขาว,มือจับบานกระทุ้ง CZ-HD-004-CENZA_ ( R )-อบขาว,มือจับบานกระทุ้ง CZ-HD-004-CENZA_ ( L )-ดำ,มือจับบานกระทุ้ง CZ-HD-004-CENZA_ ( R )-ดำ,มือจับบานกระทุ้งหลบมุ้ง-CMECH_ ( L )-อบขาว,มือจับบานกระทุ้งหลบมุ้ง-CMECH_ ( R )-อบขาว,มือจับบานกระทุ้งหลบ"&amp;"มุ้ง-CMECH_ ( L )-ดำ,มือจับบานกระทุ้งหลบมุ้ง-CMECH_ ( R )-ดำ,มือจับบานเปิด KINGBO-Dummy-ดำ,มือจับบานเปิด KINGBO-Dummy-อบขาว,มือจับบานเปิด KINGBO-Key-ดำ,มือจับบานเปิด KINGBO-Key-อบขาว,มือจับหลบมุ้ง KINGBO-FH3016 _( L )-ดำ,มือจับหลบมุ้ง KINGBO-FH3016 _ ( R "&amp;")-ดำ,มือจับหลบมุ้ง KINGBO-FH3016 _( L )-อบขาว,มือจับหลบมุ้ง KINGBO-FH3016 _ ( R )-อบขาว,STAINLESS STEEL PIPE -สแตนเลส-แป๊ปสแตนเลสเหลี่ยม ,STAINLESS STEEL BAR-สแตนเลส-แป๊ปสแตนเลสกลม,บานพับ Shower VVP_SW303-สแตนเลส,บานพับ Shower VVP_SW3049 (90 ํ)-สแตนเลส,บา"&amp;"นพับ Shower VVP_SW3041 (135 ํ)-สแตนเลส,บานพับ Shower VVP_SW304 (180 ํ)-สแตนเลส,ชุดอุปกรณ์บานเลื่อนห้องน้ำ Shower Room-สแตนเลส,ตัวหนีบกระจก shower VVP_GC506-สแตนเลส,ตัวยึดร้อยผ่านแป๊ปสแตนเลสกลม VVP_SB900-สแตนเลส,ตัวยึดกระจกห้องน้ำกันแกว่งกลม VVP_SB902-สแตน"&amp;"เลส,ตัวยึดร้อยผ่านแป๊ปสแตนเลสกลม VVP_SBF906-สแตนเลส-ข้องอปรับได้ ,ตัวยึดร้อยผ่านแป๊ปสแตนเลสเหลี่ยม VVP_SBQ800-สแตนเลส,ตัวยึดกระจกห้องน้ำกันแกว่งเหลี่ยม VVP_SBQ802-สแตนเลส,ตัวยึดร้อยผ่านแป๊ปสแตนเลสเหลี่ยม VVP_SBQ806-สแตนเลส-ข้องอปรับได้ ,ตัวหนีบกระจกล่าง V"&amp;"VP_ FT10 -สแตนเลส-5.5X17X3.5 cm.,ตัวหนีบกระจกบน VVP_ FT20-สแตนเลส-5.5X17X3.5 cm.,ตัวหนีบกระจกบน VVP_ FT30-สแตนเลส-5.5X17X3.5 cm.,กุญแจล็อคประตูกับพื้น VVP_ FT50-สแตนเลส-7.2X17.3X8.2 cm.,กุญแจล็อคประตูกับพื้น VVP_ FL50-สแตนเลส-7.2X17.3X8.2 cm.,กุญแจล็อคล็อ"&amp;"คกลางบาน VVP_ FL52,53-สแตนเลส-7.5X17X6 cm.,โช้คประตูบานสวิง Diamond-800mm,โช้คประตูบานสวิง Diamond-1000mm,โช้คประตูบานสวิง Diamond-1200mm,โช้คประตูตั้งค้าง VVP_DC98  -สแตนเลส-27X8.5X8.5 cm.,โช้คประตูไม่ตั้งค้าง VVP_DC98-สแตนเลส-27X8.5X8.5 cm.,โช้คประตูตั้"&amp;"งค้าง VVP_DC98  -ดำ-27X8.5X8.5 cm.,โช้คประตูไม่ตั้งค้าง VVP_DC98-ดำ-27X8.5X8.5 cm.,โช้คประตูตั้งค้าง VVP_DC100-สแตนเลส-31X10X9.5 cm.,โช้คประตูไม่ตั้งค้าง VVP_DC100-สแตนเลส-31X10X9.5 cm.,โช้คประตูตั้งค้าง VVP_DC100-ดำ-31X10X9.5 cm.,โช้คประตูไม่ตั้งค้าง VVP"&amp;"_DC100-ดำ-31X10X9.5 cm.,กันชนประตูแม่เหล็กแท่ง SOLO-สแตนเลส,กันชนประตูโดมติดพื้น solex-สแตนเลส,กันชนประตูแม่เหล็กติดพื้น-สแตนเลส,กันชนประตูแม่เหล็กติดพื้น-ดำ,ยางกันชนเหลี่ยม-อบขาว,ยางกันชนเหลี่ยม-ดำ,ยางกันชนกลมเล็ก-ดำ,ล็อคกลางบานเลื่อน ( ล็อคก้นหอย )_ L-อ"&amp;"บขาว,ล็อคกลางบานเลื่อน ( ล็อคก้นหอย )_ R-อบขาว,ล็อคกลางบานเลื่อน ( ล็อคก้นหอย )_ L-ดำ,ล็อคกลางบานเลื่อน ( ล็อคก้นหอย )_ R-ดำ,พลาสติกปิดหัวน็อต-อบขาว,พลาสติกปิดหัวน็อต-ดำ,ยางอุดรูเสาเกี่ยว -อบขาว,ยางอุดรูเสาเกี่ยว -ดำ,พลาสติกฝาครอบน็อต หกเหลี่ยม-ดำ,ตลับกุญ"&amp;"แจ CDQ20-สแตนเลส,ตลับกุญแจ CDQ20-ดำ,ตลับกุญแจ Colt-สแตนเลส-35x85,ตลับกุญแจ Hyda HD851 -สแตนเลส,ไส้กุญแจ Colt-สแตนเลส-35x35,ไส้กุญแจ Colt-สแตนเลส-40x40,บานพับบานเปิด-อบขาว,บานพับบานเปิด-ดำ,บานพับบานเปิด แบบหลบติ่ง-อบขาว,บานพับบานเปิด แบบหลบติ่ง-ดำ,แป้นรับล"&amp;"็อคบานเลื่อน HD1104-เงิน,แป้นรับล็อคบานเลื่อน HD1105-ดำ,แป้นรับล็อคบานเลื่อน  HD1125-เงิน,ก้าน Connection Rod HD-1176A-ดำ,ก้าน Connection Rod HD-1176B-ดำ,มุมสแตนเลส,ตัวรับล็อค,มุมอลูมิเนียมสปิก๊อต Hyda 214-Hyda 214,แป้นรับล็อค,แป้นรับล็อค,ฝาปิดรูน้ำเข้า ฝ"&amp;"าปิดรูน้ำออก-ดำ,ฝาปิดรูน้ำเข้า ฝาปิดรูน้ำออก-ดำ,ปุ่มเสริมก้านมิเนียมบานเปิด 6.5 มม.,ตัวรับบาน KIN LONG,บานพับบานเปิดยูโร HD-631-ดำ,บานพับบานเปิดยูโร HD-631-อบขาว,ไส้กุญแจ Colt-สแตนเลส-50x50,ล้อสปริงกันแกว่ง มีน็อต,โช้คฝังพื้น  FC34- 20NM ,โช้คฝังพื้น  FC3"&amp;"4- 25NM ,กันลมสแตนเลส-12KC,ไส้กุญแจ CH-ดำ-35x45,ไส้กุญแจ CH-สแตนเลส-35x45,ไส้กุญแจ CH-สแตนเลส-45x35"</formula1>
    </dataValidation>
    <dataValidation type="list" allowBlank="1" showErrorMessage="1" sqref="G78:G86">
      <formula1>"มือจับบานเลื่อนแขวน,มือจับฝัง บานเลื่อน,มือจับฝัง บานเลื่อน ORM,มือจับ  Hyda  416-แบบ Lock-ดำ,มือจับ  Hyda  416-Dummy-ดำ,มือจับ  Hyda  416-แบบ Lock-อบขาว,มือจับ  Hyda  416-Dummy-อบขาว,มือจับฝังบานเลื่อน  CMECH-Fixed Recessed Handle-ดำ,มือจับฝังบานเลื่อน  "&amp;"CMECH-Multi-Point Lock Recessed Handle-ดำ,มือจับฝังบานเลื่อน  CMECH-Multi-Point Lock Recessed Handle Interior with Key-ดำ,มือจับสแตนเลส HD189,มือจับสแตนเลส HD110,บานพับ Shower,บานพับ Shower 135,บานพับ Shower 180,บานพับ Shower-ดำ,ตัวหนีบกระจก shower,ตัวหนี"&amp;"บประตูกระจกบน-สแตนเลส-5.2 ซม. X 16.3 ซม.,ตัวหนีบประตูกระจกล่าง-สแตนเลส-5.2 ซม. X 16.3 ซม.,กุญแจล็อคประตูกระจกกับพื้นสำหรับประตูกระจกบานเปลือย,โช๊คประตู-600mm,โช๊คประตู-1000mm,โช๊คประตู-1200mm"</formula1>
    </dataValidation>
    <dataValidation type="list" allowBlank="1" showErrorMessage="1" sqref="G36:G56 G58:G60">
      <formula1>"เครื่องวัดระดับ เลเซอร์ 5 เส้น,สว่านโรตารี่ สว่านเจาะปูน 3 ระบบ,เครื่องเจียร 4""  MAKITA,เครื่องเจียร 7""  MAKITA,ชุดเครื่องเจียรไฟฟ้า 4 นิ้ว 750W INGCO,ชุดเครื่องเจียรไฟฟ้า 4 นิ้ว 960W INGCO,เครื่องเจียร ไร้สาย แบตเตอรี่ MAKITA,ชุดเครื่องเจียรไร้สาย INGC"&amp;"O,สว่านแบต INGCO,สว่านสายไฟฟ้า MAKITA,ฐานชาร์จแบต + แบตก้อน,เร้าเตอร์ INGCO,เครื่องเป่าลม,เครื่องเป่าลมร้อน,เครื่องเจาะผนัง 5 นิ้ว,เครืองตัดไม้ MAKITA รุ่น DTM51Z,เลื่อยโซ่ไฟฟ้า ,เครื่องจิ๊กซอว์ไฟฟ้า,เลื่อยวงเดือน MAKITA  7 นิ้ว,เครื่องสกัดคอนกรีต MAKITA,"&amp;"ปืนยิงตะปูแม็กลมแม็กลมขาเดียว,ปืนยิงซิลิโคน,ปืนยิงกาว PU,ตู้เชื่อมอาร์กอน,เครื่องดูดฝุ่น เล็ก,คีมย้ำรีเวท"</formula1>
    </dataValidation>
    <dataValidation type="list" allowBlank="1" showErrorMessage="1" sqref="G72:G77">
      <formula1>"LB หัวเอฟ สีรุ้ง ปลายสว่าน-#8*3/4""(19mm),YJ ผนังเบา สีทอง ปลายแหลมไม่ผ่า-#6*3/4""(19mm),FSD SUS410 ปลายสว่านF สแตนเลส-#8x25(1""),สกรูเกลียวปล่อย เตเปอร์-#8X1"",สกรูเกลียวปล่อย เตเปอร์-#8X1-1/2"",สกรูเกลียวปล่อย เตเปอร์-#8X2"",สกรูเกลียวปล่อย เตเปอร์-#8X3"&amp;""",Phillip Pan Self Tapping Screws - AB-#7X5/8"",DW07 สกรูไดร์วอลว์ ดำ-#6*1""(25mm),LB หัวเอฟ สีรุ้ง ปลายสว่าน-#8*3/4""(19mm),Phillip Flat CSK Self Drilling Screws -#8x3.1/2"",Phillip Flat CSK Self Drilling Screws -#8x4"",Phillip Pan Self Tapping Screws -"&amp;" AB-#8x5/8"",LB หัวเอฟ สีรุ้ง ปลายสว่าน-#8*1-1/2""(38mm),Hex Head Self Drilling Screws-#10-16x1""(25mm.),Phillip Flat CSK Self Drilling Screws -#8x2"",LB หัวเอฟ สีรุ้ง ปลายสว่าน-#8*3""(75mm),LB หัวเอฟ สีรุ้ง ปลายสว่าน-#8*1""(25mm),YT หัวเวเฟอร์ ปลายสว่าน "&amp;"สีขาว-#8*3/4""(19mm),SK สกรูไดวอล์ล-#6x1 ½ ,สกรููยิงฝ้า HPP-#6x3/4"",Phillilp Pan Self Drilling Screws-#8x1.1/2"",Phillip Pan Self Drilling Screws-#6x3/8"",SK D.W. Screws-6x1"",สกรูปลายสว่าน SUS410-4.2X19,ZW ลอนคูู่ ปลายสว่าน สีรุ้ง ยางดำ-#10X2(50mm),ZW ล"&amp;"อนคู่ ปลายสว่าน สีรุ้ง ยางดำ-#10X3(75mm),ZW ลอนคูู่ ปลายสว่าน สีรุ้ง ยางดำ-#10X4(100mm),น๊อตเกลียวปล่อย เตเปอร์-1 ½ ,น๊อตเกลียวปล่อย เตเปอร์-2"",น๊อตเกลียวปล่อย เตเปอร์-3"",น๊อตหัวกลม เกลียวปล่อย-7X5/8"",น๊อตหัวกลม เกลียวปล่อย-8X5/8"",น๊อตหัวกลม ปลายสว่าน"&amp;"-6X3/8"",น๊อตหัวกลม ปลายสว่าน-8X1½"",น๊อตสแตนเลส หัวกลม-M4-1.4X19(8X3/4),น๊อตสแตนเลสเลส เตเปอร์ ปลายสว่าน-4.2x19,น๊อตสแตนเลสยางก้ามปู-8X25(1""),พุกเหล็ก-46237,พุกเหล็ก-46113,พุกตะปู M10-,พุกตะปู M8-,พุกตะกั่ว-46113,พุกตะกั่ว-46237,พุกเคมี M8-,พุกเคมี M10-"&amp;",พุกผีเสื้อ ยิบซั่ม พุกร่ม-,พุกพลาสติก-,น๊อตยิงฝ้า สีดำ-6X1"",น๊อตยิงฝ้า สีดำ-6X1½"",น๊อตยิงฝ้า สีดำ-6X2"",น๊อตหัวบล็อค เหลี่ยมยางดำปลายสว่าน-1"",น๊อตหัวบล็อค เหลี่ยมยางดำปลายสว่าน-1½"",น๊อตหัวบล็อค เหลี่ยมยางดำปลายสว่าน-2"",น๊อตหัวบล็อค เหลี่ยมยางดำปลายส"&amp;"ว่าน-3"",น๊อตหัวบล็อค เหลี่ยมยางดำปลายสว่าน-4"",น๊อตปลายสว่าน-3/4"",น๊อตปลายสว่าน-1"",น๊อตปลายสว่าน-1½"",น๊อตปลายสว่าน-2"",น๊อตปลายสว่าน-3"",น๊อตปลายสว่าน-3½"",น๊อตปลายสว่าน-4"",ลูกรีเวท สีดำ + สีขาว + สีชา + สีเงิน-46057,ลูกรีเวท สีดำ + สีขาว + สีชา + สี"&amp;"เงิน-46116,ลูกรีเวท สีดำ + สีขาว + สีชา + สีเงิน-46177,ลูกรีเวท สีดำ + สีขาว + สีชา + สีเงิน-46117,ลูกรีเวท สีดำ + สีขาว + สีชา + สีเงิน-46118,-,-,-,-,-,-,-,-,-,-,-,-,-,-,-,-,-,-,-,-,-,-,-,-,-,-,-,-,-,-,-,-,-,-,-,-,-,-,-,-,-,-,-,-,-,-,-,-,-,-,-,-,-,-,-,-,"&amp;"-,-,-,-,-,-"</formula1>
    </dataValidation>
    <dataValidation type="list" allowBlank="1" showErrorMessage="1" sqref="I2:I1125">
      <formula1>"รับเข้า,เบิกออก"</formula1>
    </dataValidation>
    <dataValidation type="list" allowBlank="1" showErrorMessage="1" sqref="G114:G115">
      <formula1>"B20001-เฟรมบนบานเลื่อน-อบขาว,B20001-เฟรมบนบานเลื่อน-ดำ,B20001-เฟรมบนบานเลื่อน-เทาซาฮาร่า,B20001-เฟรมบนบานเลื่อน-ลายไม้สักทอง,B20001-เฟรมบนบานเลื่อน-อื่น ๆ,B20002-เฟรมล่างบานเลื่อน-อบขาว,B20002-เฟรมล่างบานเลื่อน-ดำ,B20002-เฟรมล่างบานเลื่อน-เทาซาฮาร่า,B2000"&amp;"2-เฟรมล่างบานเลื่อน-ลายไม้สักทอง,B20002-เฟรมล่างบานเลื่อน-อื่น ๆ,B20003"</formula1>
    </dataValidation>
    <dataValidation type="custom" allowBlank="1" showDropDown="1" sqref="C2:C1125">
      <formula1>OR(NOT(ISERROR(DATEVALUE(C2))), AND(ISNUMBER(C2), LEFT(CELL("format", C2))="D"))</formula1>
    </dataValidation>
    <dataValidation type="list" allowBlank="1" showErrorMessage="1" sqref="G57 G61:G71">
      <formula1>"มือจับประตูบานเลื่อนแขวน ทรงโค้ง HOYA-PS-102-สแตนเลส,มือจับฝังบานเลื่อน  Hyda  416-Dummy-ดำ,มือจับฝังบานเลื่อน  Hyda  416-Dummy-อบขาว,มือจับฝังบานเลื่อน  Hyda  416-Lock-ดำ,มือจับฝังบานเลื่อน  Hyda  416-Lock-อบขาว,มือจับฝังบานเลื่อน  CMECH-Fixed Recessed H"&amp;"andle-ดำ,มือจับฝังบานเลื่อน  CMECH-Fixed Recessed Handle-อบขาว,มือจับฝังบานเลื่อน  CMECH-Multi-Point Lock Recessed Handle-ดำ,มือจับฝังบานเลื่อน  CMECH-Multi-Point Lock Recessed Handle-อบขาว,มือจับฝังบานเลื่อน  CMECH-Multi-Point Lock Recessed  Interior wit"&amp;"h Key-ดำ,มือจับฝังบานเลื่อน  CMECH-Multi-Point Lock Recessed  Interior with Key-อบขาว,มือจับบานเลื่อน  CMECH-Metro Handle_ Dummy-ดำ,มือจับบานเลื่อน  CMECH-Metro Handle_ Dummy-อบขาว,มือจับบานเลื่อน  CMECH-Metro Handle_ Lock-ดำ,มือจับบานเลื่อน  CMECH-Metro "&amp;"Handle_ Lock-อบขาว,มือจับบานเลื่อน  CMECH-Metro Handle_  Key-ดำ,มือจับบานเลื่อน  CMECH-Metro Handle_  Key-อบขาว,มือจับฝังบานเลื่อน Align-Dummy-ดำ,มือจับฝังบานเลื่อน Align-Dummy-อบขาว,มือจับฝังบานเลื่อน Align-Lock-ดำ,มือจับฝังบานเลื่อน Align-Lock-อบขาว,มือ"&amp;"จับฝังบานเลื่อน Align-Key-ดำ,มือจับฝังบานเลื่อน Align-Key-อบขาว,มือจับเจาะกระจกประตูบานเลื่อน-แบบกลม-สแตนเลส,มือจับสแตนเลส VVP_HD110-แบบกลม-สแตนเลส,มือจับสแตนเลส VVP_HD189-แบบเหลี่ยม-สแตนเลส,มือจับสแตนเลส VVP_HD190-แบบเหลี่ยม-สแตนเลส,มือจับบานกระทุ้ง CZ-H"&amp;"D-004-CENZA_ ( L )-อบขาว,มือจับบานกระทุ้ง CZ-HD-004-CENZA_ ( R )-อบขาว,มือจับบานกระทุ้ง CZ-HD-004-CENZA_ ( L )-ดำ,มือจับบานกระทุ้ง CZ-HD-004-CENZA_ ( R )-ดำ,มือจับบานกระทุ้งหลบมุ้ง-CMECH_ ( L )-อบขาว,มือจับบานกระทุ้งหลบมุ้ง-CMECH_ ( R )-อบขาว,มือจับบานกระ"&amp;"ทุ้งหลบมุ้ง-CMECH_ ( L )-ดำ,มือจับบานกระทุ้งหลบมุ้ง-CMECH_ ( R )-ดำ,มือจับบานเปิด KINGBO-Dummy-ดำ,มือจับบานเปิด KINGBO-Dummy-อบขาว,มือจับบานเปิด KINGBO-Key-ดำ,มือจับบานเปิด KINGBO-Key-อบขาว,มือจับหลบมุ้ง KINGBO-FH3016 _( L )-ดำ,มือจับหลบมุ้ง KINGBO-FH3016"&amp;" _ ( R )-ดำ,มือจับหลบมุ้ง KINGBO-FH3016 _( L )-อบขาว,มือจับหลบมุ้ง KINGBO-FH3016 _ ( R )-อบขาว,มือจับฝัง Align-กุญแจ-ดำ,มือจับฝัง Align-ล็อค-ดำ,มือจับฝัง Align-ดัมมี่-ดำ,มือจับฝัง Align-กุญแจ-อบขาว,มือจับฝัง Align-ล็อค-อบขาว,มือจับฝัง Align-ดัมมี่-อบขาว,ม"&amp;"ือจับ Husza-กุญแจ-ดำ,มือจับ Husza-ล็อค-ดำ,มือจับ Husza-เรียบมีรู-ดำ,มือจับ Husza-เรียบไม่มีรู-ดำ,มือจับ Husza-กุญแจ-อบขาว,มือจับ Husza-ล็อค-อบขาว,มือจับ Husza-เรียบมีรู-อบขาว,มือจับ Husza-เรียบไม่มีรู-อบขาว,มือจับ เซ่นซ่า  -ชุดกุญแจ-อบขาว,มือจับ เซ่นซ่า  "&amp;"-ล็อค-อบขาว,มือจับ เซ่นซ่า  -เรียบมีรู-อบขาว,มือจับ เซ่นซ่า  -เรียบไม่มีรู-อบขาว,มือจับ เซ่นซ่า  -ชุดกุญแจ-ดำ,มือจับ เซ่นซ่า  -ล็อค-ดำ,มือจับ เซ่นซ่า  -เรียบมีรู-ดำ,มือจับ เซ่นซ่า  -เรียบไม่มีรู-ดำ,มือจับหลบมุ้ง -ข้างซ้าย-ขาว + ดำ,มือจับหลบมุ้ง -ข้างขวา-ข"&amp;"าว + ดำ,มือจับหลบมุ้ง -มือจับซีเมดข้างซ้ายสีดำ-ขาว + ดำ,มือจับบานกระทุ้งของจีน-ข้างซ้าย-ขาว + ดำ,มือจับบานกระทุ้งของจีน-ข้างขวา-ขาว + ดำ,มือจับบานเลื่อน-สลิม-ขาว + ดำ,มือจับปากเป็ด CMECH--ขาว + ดำ,มือจับปากเป็ด --ขาว + ดำ,มือจับบานเปิดจีน-ล็อค-ดำ,มือจับบา"&amp;"นเปิดจีน-ดัมมี่-ดำ,มือจับบานเปิดจีน-ล็อค  -อบขาว,มือจับบานเปิดจีน-ดัมมี่-อบขาว,มือจับบานเปิด-สลิม-อบขาว,มือจับบานเปิด-สลิม-ดำ,มือจับบานเปิด ไฮด้า-ล็อค-อบขาว,มือจับบานเปิด ไฮด้า-ดัมมี่-อบขาว,มือจับบานเปิด ไฮด้า-ดัมมี่-ดำ,มือจับ เขาควาย-ล็อค-อบขาว,มือจับ เข"&amp;"าควาย-ดัมมี่-ดำ,มือจับบานเปิดจีน-ล็อค + ดัมมี่-ดำ,มือจับบานเปิดจีน-ล็อค + ดัมมี่-อบขาว,มือจับบานเปิด ไฮด้า-ล็อค + ดัมมี่-อบขาว,มือจับบานเปิด ไฮด้า-ล็อค -ดำ,มือบานเปิด-สลิม-อบขาว,มือจับบานเปิด-สลิม-ดำ,มือจับบานกระทุ้งจีน-ซ้าย + ขวา-ขาว + ดำ,มือจับบานกระทุ้"&amp;"งแม่นํ้า-ซ้าย + ขวา-ขาว + ดำ,มือจับบานเลื่อน-สลิม-ขาว + ดำ,มือบานเลื่อน เมโทร-ชุดกุญแจ-ขาว + ดำ,มือบานเลื่อน เมโทร-ล็อค-ขาว + ดำ,มือบานเลื่อน เมโทร-ดัมมี่-ขาว + ดำ,มือจับบานเลื่อนฝัง Align-กุญแจ-ดำ,มือจับบานเลื่อนฝัง Align-ล็อค-ดำ,มือจับบานเลื่อนฝัง Align"&amp;"-ดัมมี่-ดำ,มือจับบานเลื่อนฝัง Align-กุญแจ-อบขาว,มือจับบานเลื่อนฝัง Align-ล็อค-อบขาว,มือจับบานเลื่อนฝัง Align-ดัมมี่-อบขาว,มือบานเลื่อนผ้า เซ่นซ่า-ชุดกุญแจ-ขาว + ดำ,มือบานเลื่อนผ้า เซ่นซ่า-ล็อค-ขาว + ดำ,มือบานเลื่อนผ้า เซ่นซ่า-ดัมมี่-ขาว + ดำ,มือบานเลื่อนผ"&amp;"้า เซ่นซ่า-เรียบมีรู-ขาว + ดำ,มือบานเลื่อนผ้า เซ่นซ่า-เรียบไม่มีรู-ขาว + ดำ,มือจับ Husza บานเลื่อนฝัง-ชุดกุญแจ-ขาว + ดำ,มือจับ Husza บานเลื่อนฝัง-ล็อค-ขาว + ดำ,มือจับ Husza บานเลื่อนฝัง-ดัมมี่-ขาว + ดำ,มือจับ Husza บานเลื่อนฝัง-เรียบมีรู-ขาว + ดำ,มือจับ H"&amp;"usza บานเลื่อนฝัง-เรียบไม่มีรู-ขาว + ดำ,มือจับบานเลื่อนฝังไฮด้า -กุญแจสีดำ = 52-ขาว + ดำ,มือจับบานเลื่อนฝังไฮด้า -กุญแจสีขาว = 70-ขาว + ดำ,มือจับบานเลื่อนฝังไฮด้า -ล็อคสีดำ = 6 -ขาว + ดำ,มือจับบานเลื่อนฝังไฮด้า -ล็อคสีขาว = 6 -ขาว + ดำ,มือจับบานเลื่อนฝังไ"&amp;"ฮด้า -เรียบมีรูสีขาว = 40 ไม่มีรู = 40-ขาว + ดำ,มือจับบานเลื่อนฝังไฮด้า -เรียบมีรูสีดำ = 30 ไม่มีรู = 21-ขาว + ดำ,มือจับบานเลื่อน Hoya แขวน ฝัง--อบขาว,มือจับบานเลื่อน Hoya แขวน ฝัง--ดำ,มือจับบานเลื่อน Hoya แขวน ฝัง--เงิน,มือจับบานเลื่อน Hoya แขวน ฝัง--ชา,"&amp;"มือจับบานกระทุ้ง ไฮด้า -ขวา-ดำ + ขาว,มือจับบานกระทุ้ง ไฮด้า -ซ้าย-ดำ + ขาว,มือจับเขาควาย-มีรู + ไม่มีรู-อบขาว,มือจับเขาควาย-มีรู + ไม่มีรู-ดำ,มือจับก้านโยกหลบมุ้ง-ขวา-ดำ + ขาว,มือจับก้านโยกหลบมุ้ง-ซ้าย-ดำ + ขาว,มือจับบานเปิด เซ่นซ่า แม่นํ้า-ล็อค = 1 -ดำ +"&amp;" ขาว,มือจับบานเปิด เซ่นซ่า แม่นํ้า-ดัมมี่ = 5-ดำ + ขาว,มือจับปากเป็ด CMECH--เงิน,มือจับปากเป็ด CMECH--ดำ,STAINLESS STEEL PIPE -สแตนเลส-แป๊ปสแตนเลสเหลี่ยม ,STAINLESS STEEL BAR-สแตนเลส-แป๊ปสแตนเลสกลม,บานพับ Shower VVP_SW303-สแตนเลส,บานพับ Shower VVP_SW3049 "&amp;"(90 ํ)-สแตนเลส,บานพับ Shower VVP_SW3041 (135 ํ)-สแตนเลส,บานพับ Shower VVP_SW304 (180 ํ)-สแตนเลส,ชุดอุปกรณ์บานเลื่อนห้องน้ำ Shower Room-สแตนเลส,ตัวหนีบกระจก shower VVP_GC506-สแตนเลส,ตัวยึดร้อยผ่านแป๊ปสแตนเลสกลม VVP_SB900-สแตนเลส,ตัวยึดกระจกห้องน้ำกันแกว่งก"&amp;"ลม VVP_SB902-สแตนเลส,ตัวยึดร้อยผ่านแป๊ปสแตนเลสกลม VVP_SBF906-สแตนเลส-ข้องอปรับได้ ,ตัวยึดร้อยผ่านแป๊ปสแตนเลสเหลี่ยม VVP_SBQ800-สแตนเลส,ตัวยึดกระจกห้องน้ำกันแกว่งเหลี่ยม VVP_SBQ802-สแตนเลส,ตัวยึดร้อยผ่านแป๊ปสแตนเลสเหลี่ยม VVP_SBQ806-สแตนเลส-ข้องอปรับได้ ,ต"&amp;"ัวหนีบกระจกล่าง VVP_ FT10 -สแตนเลส-5.5X17X3.5 cm.,ตัวหนีบกระจกบน VVP_ FT20-สแตนเลส-5.5X17X3.5 cm.,ตัวหนีบกระจกบน VVP_ FT30-สแตนเลส-5.5X17X3.5 cm.,กุญแจล็อคประตูกับพื้น VVP_ FT50-สแตนเลส-7.2X17.3X8.2 cm.,กุญแจล็อคประตูกับพื้น VVP_ FL50-สแตนเลส-7.2X17.3X8.2"&amp;" cm.,กุญแจล็อคล็อคกลางบาน VVP_ FL52-สแตนเลส-7.5X17X6 cm.,โช้คประตูบานสวิง Diamond-800mm,โช้คประตูบานสวิง Diamond-1000mm,โช้คประตูบานสวิง Diamond-1200mm,โช้คประตูตั้งค้าง VVP_DC98  -สแตนเลส-27X8.5X8.5 cm.,โช้คประตูไม่ตั้งค้าง VVP_DC98-สแตนเลส-27X8.5X8.5 cm"&amp;".,โช้คประตูตั้งค้าง VVP_DC98  -ดำ-27X8.5X8.5 cm.,โช้คประตูไม่ตั้งค้าง VVP_DC98-ดำ-27X8.5X8.5 cm.,โช้คประตูตั้งค้าง VVP_DC100-สแตนเลส-31X10X9.5 cm.,โช้คประตูไม่ตั้งค้าง VVP_DC100-สแตนเลส-31X10X9.5 cm.,โช้คประตูตั้งค้าง VVP_DC100-ดำ-31X10X9.5 cm.,โช้คประตูไ"&amp;"ม่ตั้งค้าง VVP_DC100-ดำ-31X10X9.5 cm.,กันชนประตูแม่เหล็กแท่ง SOLO-สแตนเลส,กันชนประตูโดมติดพื้น solex-สแตนเลส,กันชนประตูแม่เหล็กติดพื้น-สแตนเลส,กันชนประตูแม่เหล็กติดพื้น-ดำ,ยางกันชนเหลี่ยม-อบขาว,ยางกันชนเหลี่ยม-ดำ,ยางกันชนกลมเล็ก-ดำ,ล็อคกลางบานเลื่อน ( ล็อ"&amp;"คก้นหอย )_ L-อบขาว,ล็อคกลางบานเลื่อน ( ล็อคก้นหอย )_ R-อบขาว,ล็อคกลางบานเลื่อน ( ล็อคก้นหอย )_ L-ดำ,ล็อคกลางบานเลื่อน ( ล็อคก้นหอย )_ R-ดำ,พลาสติกปิดหัวน็อต-อบขาว,พลาสติกปิดหัวน็อต-ดำ,ยางอุด 3 หุน-อบขาว,ยางอุด 3 หุน-ดำ,พลาสติกฝาครอบน็อต หกเหลี่ยม-ดำ,ตลับก"&amp;"ุญแจ CDQ20-สแตนเลส,ตลับกุญแจ CDQ20-ดำ,ตลับกุญแจ Colt-สแตนเลส-35x85,ตลับกุญแจ Hyda HD851 -สแตนเลส,ไส้กุญแจ Colt-สแตนเลส-35x35,ไส้กุญแจ Colt-สแตนเลส-40x40,บานพับบานเปิด PBM-อบขาว,บานพับบานเปิด PBM-ดำ,บานพับบานเปิด แบบหลบติ่ง PBM-อบขาว,บานพับบานเปิด แบบหลบติ"&amp;"่ง PBM-ดำ,แป้นรับล็อคบานเลื่อน HD1104-เงิน,แป้นรับล็อคบานเลื่อน HD1105-ดำ,แป้นรับล็อคบานเลื่อน  HD1125-เงิน,ก้าน Connection Rod HD-1176A-ดำ,ก้าน Connection Rod HD-1176B-ดำ,มุมสแตนเลส,ตัวรับล็อค,มุมอลูมิเนียมสปิก๊อต Hyda 214-Hyda 214,แป้นรับล็อค,แป้นรับล็อ"&amp;"ค T,ฝาปิดรูน้ำเข้า ฝาปิดรูน้ำออก-ดำ,ฝาปิดรูน้ำเข้า ฝาปิดรูน้ำออก-ดำ,ปุ่มเสริมก้านมิเนียมบานเปิด 6.5 มม.,ตัวรับบาน KIN LONG,บานพับบานเปิดยูโร HD-631-ดำ,บานพับบานเปิดยูโร HD-631-อบขาว,ไส้กุญแจ Colt-สแตนเลส-50x50,ล้อสปริงกันแกว่ง มีน็อต,โช้คฝังพื้น  FC34- 20"&amp;"NM ,โช้คฝังพื้น  FC34- 25NM ,กันลมสแตนเลส-12KC,ไส้กุญแจ CH-ดำ-35x45,ไส้กุญแจ CH-สแตนเลส-35x45,ไส้กุญแจ CH-สแตนเลส-45x35,ยางกันชนกลมเล็ก-ใส,PU-791,PU-ขาว,ซิลิโคน-ใส,ซิลิโคน ไร้กรด-ขาว,ซิลิโคน 1601-ลายไม้มะฮอกนี,ซิลิโคน 1602-ลายไม้สักทอง,ซิลิโคน 1301,ซิลิโค"&amp;"น-ลายไม้หลอดฟ้า,สเปรย์โฟม,แด้บหลอดแดง,PU-สีพิเศษ,PU-สีทอง,นํ้ายาเช็ดคราบซิลิโคน,นํ้ํ้าเช็ดกระจก,นํ้ายาถูพื้น,นํ้ายาล้างห้องนํ้า,นํ้ายาล้้างจาน,นํ้ามันสน,เทปกาว2หน้า บาง,เทปกาว2หน้า หนา-สีดำ,เทปกาว2หน้า หนา-สีขาว,เทปกระดาษ,เทปใส่ม้วนใหญ่,เทปขุ่น,เทปพันอลูม"&amp;"ิเนียม,แร็ปผิวเรียบ-สีทอง,แร็ปผิวซาฮาร่า,เทปใส่ม้วนเล็ก,เทปพันสายไฟ-สีดำ,เทปน้อตั้น-สีฟ้า,เทปน้อตั้น-สีขาว,เทปกาว 3M กันจิ้งจก,โพเทคส์พลาสติก,แร็ป-สีฟ้า,สเปรย์ 212-ดำด้าน,สเปรย์ 210-ดำเงา,สเปรย์ 1002825-สีขาวซาฮาร่า,สเปรย์ 1002823-สีดำซาฮาร่า,สเปรย์ 10028"&amp;"31-สีเทาซาฮาร่า,สเปรย์ 132-สีชา,สเปรย์-สีชาว,ล้อฮาพาเล่ 100/A,ISONAX,ตัวดูดจับกระจก 3ขา, ไม้รีดน้ํากระจก ,Tool Room ตัวปรับความสูงของกระเบื้อง,ก้านเหล็กปั่นเหล็ก,ลูกกลิ้งทาสี  7 นิ้ว,ตลับกุญแจ HD 840 L30,ตลับกุญแจ Colt,ตลับกุญแจ มัลติพ้อย HD 851 L30,เข้าม"&amp;"ุมจีน,เข้ามุมตัว (ญ),SC-304P/บานพับ - ใหญ่ IA,บานพับจีน -สีดำ,บานพับจีน -สีขาว,แผ่นรับล็อคมือจับของไฮด้า,CDQ ชุดบานเฟี้ยม CMECH,CDQ ของจีน,สต๊อปเปอร์หัวบานของบานเปิด,ล้ออะไหล่จีน CA-991782-003,อะไหล่บานเลือนสลิม CA-42000-002 (ยาว),อะไหล่บานเลือนสลิม CA-42"&amp;"0009-039 (ขวา),อะไหล่บานเลือนสลิม CA-420009-040 (ซ้าย),ล้อบานเลื่อน-16x27x190,ล้อ-15x20x230,ล้อ (27 ตัวใหญ่)-16x27x255,ล้อเดียว-สีเขียว,ล้อเดียว-สีแดง,ล้อแฝด,ล้อบานเลื่อนแขวน 240 กก.,ล้อเดี่ยว-15x18 - 83,กลอนซ่อน,ปิดร่องเฟรมบน บานเฟียม,ลูกปืนทอง,ฝาปิดรูกล"&amp;"อนประตู,อุปกรณ์ชุดบานเฟี้ยม-สีดำ-05-004-BL,อุปกรณ์ชุดบานเฟี้ยม-สีดำ-05-005-BL,อุปกรณ์ชุดบานเฟี้ยม-สีดำ-05-006-BL,อุปกรณ์ชุดบานเฟี้ยม-สีดำ-05-007-BL,อุปกรณ์ชุดบานเฟี้ยม-สีดำ-05-008-BL,อุปกรณ์ชุดบานเฟี้ยม-สีดำ-05-009-BL,อุปกรณ์ชุดบานเฟี้ยม-สีดำ-05-010-BL,อุ"&amp;"ปกรณ์ชุดบานเฟี้ยม-สีดำ-05-011-BL,อุปกรณ์ชุดบานเฟี้ยม-สีเงิน-05-004-SL,อุปกรณ์ชุดบานเฟี้ยม-สีเงิน-05-005-SL,อุปกรณ์ชุดบานเฟี้ยม-สีเงิน-05-006-SL,อุปกรณ์ชุดบานเฟี้ยม-สีเงิน-05-007-SL,อุปกรณ์ชุดบานเฟี้ยม-สีเงิน-05-008-SL,อุปกรณ์ชุดบานเฟี้ยม-สีเงิน-05-009-SL,"&amp;"อุปกรณ์ชุดบานเฟี้ยม-สีเงิน-05-010-SL,อุปกรณ์ชุดบานเฟี้ยม-สีเงิน-05-011-SL,ล้อ-15x18 - 140,ล้อ-15x20 - 150,ล้อ-15x24 - 155,คอม้าเหล็กสแตนเลส,คอม้าบานสวิง-สีอบขาว,คอม้าบานสวิง-ดำ,คอม้าบานสวิง-ชา,คอม้าบานสวิง-บอรซ์,คอม้าบานเลื่อน-สีอบขาว,คอม้าบานเลื่อน-ดำ,คอ"&amp;"ม้าบานเลื่อน-ชา,คอม้าบานเลื่อน-บอรซ์,กลอนบานสวิงกล่องสีส้ม-ดำ,กลอนบานสวิงกล่องสีส้ม-ขาว,กลอนบานสวิงกล่องสีส้ม-สีชา,กลอนบานสวิงกล่องสีส้ม-อบขาว,ท่อนํ้าทิ้ง-2½"",ข้อต่อตรง-2½"",ข้องอ90-2½"",ข้องอ45-2½"",ต่อ 3 ทาง-2½"",ต่อ 3 ทาง y-2½"",กรวยรางนํ้าสแตนเลส-2½""&amp;"",ท่อนํ้าทิ้ง-2"",ข้องอ 90-2"",ข้องอ 45-2"",กรวยรางนํ้าสแตนเลส-2"",กาวทาท่อนํ้า,เทปพันท่อนํ้า -สีขาว,โชรางนํ้าโลตัล-สีขาว,โชรางนํ้าโลตัล-สีนํ้าตาล,โชรางนํ้า ทิวลิป-สีขาว,โชรางนํ้า ทิวลิป-สีนํ้าตาล,สายไฟ 1.5,สายไฟ 2.5,ท่อไฟ T3,รางไฟ T3,ปลั๊กกราวด์คู่,ปลั๊ก"&amp;"กราวด์เดี่ยว,สวิทช์ไฟ,ปลั๊กตัวผู้,หน้ากาก 1 ช่อง-2x4,หน้ากาก 3 ช่อง-4x4,หน้ากาก 2 ช่อง-2x4,หน้ากาก 4 ช่อง-4x4,กล่องลอย-2x4,กล่องลอย-4x4,กล่องกันนํ้า-2x4,กล่องกันนํ้า-4x4,พัดลมดูดอากาศ-สีขาว-8"",พัดลมดูดอากาศ-สีีนํ้าตาล-8"",หลอดไฟกลม,คอนเน็กเตอร์,ต่อตรง,ข้"&amp;"องอ-16mm,ข้องอ 9 โค้ง,ข้อต่อ 3 ทาง,ข้อต่อ 3 ตัวใหญ่แบบฝาปิด,เฟล็ก งานไฟ"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38"/>
    <col customWidth="1" min="2" max="2" width="38.88"/>
    <col customWidth="1" min="3" max="3" width="37.63"/>
    <col customWidth="1" min="5" max="5" width="15.38"/>
    <col customWidth="1" min="6" max="6" width="18.13"/>
    <col customWidth="1" min="7" max="7" width="14.0"/>
    <col customWidth="1" min="8" max="8" width="13.63"/>
  </cols>
  <sheetData>
    <row r="1" ht="22.5" customHeight="1">
      <c r="A1" s="18" t="s">
        <v>90</v>
      </c>
      <c r="B1" s="19" t="s">
        <v>6</v>
      </c>
      <c r="C1" s="18" t="s">
        <v>91</v>
      </c>
      <c r="D1" s="19" t="s">
        <v>92</v>
      </c>
      <c r="E1" s="19" t="s">
        <v>93</v>
      </c>
      <c r="F1" s="19" t="s">
        <v>94</v>
      </c>
      <c r="G1" s="19" t="s">
        <v>95</v>
      </c>
      <c r="H1" s="19" t="s">
        <v>96</v>
      </c>
    </row>
    <row r="2" ht="22.5" customHeight="1">
      <c r="A2" s="20" t="str">
        <f t="shared" ref="A2:A165" si="1">CONCATENATE(B2,"-",C2,"-",D2)</f>
        <v>มือจับประตูบานเลื่อนแขวน ทรงโค้ง HOYA-PS-102-สแตนเลส</v>
      </c>
      <c r="B2" s="19" t="s">
        <v>97</v>
      </c>
      <c r="C2" s="18" t="s">
        <v>98</v>
      </c>
      <c r="D2" s="21" t="s">
        <v>99</v>
      </c>
      <c r="E2" s="19">
        <v>165.0</v>
      </c>
      <c r="F2" s="22" t="s">
        <v>100</v>
      </c>
      <c r="G2" s="19">
        <v>7.0</v>
      </c>
      <c r="H2" s="21">
        <f t="array" ref="H2:H165">MAP(ตาราง1[2],LAMBDA(sku,SUMIFS('รับเข้า-เบิก'!H:H,'รับเข้า-เบิก'!G:G,sku,'รับเข้า-เบิก'!I:I,"รับเข้า")))</f>
        <v>0</v>
      </c>
    </row>
    <row r="3" ht="22.5" customHeight="1">
      <c r="A3" s="18" t="str">
        <f t="shared" si="1"/>
        <v>มือจับฝังบานเลื่อน  Hyda  416-Dummy-ดำ</v>
      </c>
      <c r="B3" s="19" t="s">
        <v>101</v>
      </c>
      <c r="C3" s="20" t="s">
        <v>102</v>
      </c>
      <c r="D3" s="19" t="s">
        <v>103</v>
      </c>
      <c r="E3" s="19">
        <v>52.0</v>
      </c>
      <c r="F3" s="23" t="s">
        <v>104</v>
      </c>
      <c r="G3" s="21"/>
      <c r="H3" s="21">
        <v>0.0</v>
      </c>
    </row>
    <row r="4" ht="22.5" customHeight="1">
      <c r="A4" s="18" t="str">
        <f t="shared" si="1"/>
        <v>มือจับฝังบานเลื่อน  Hyda  416-Dummy-อบขาว</v>
      </c>
      <c r="B4" s="19" t="s">
        <v>101</v>
      </c>
      <c r="C4" s="20" t="s">
        <v>102</v>
      </c>
      <c r="D4" s="19" t="s">
        <v>105</v>
      </c>
      <c r="E4" s="19">
        <v>52.0</v>
      </c>
      <c r="F4" s="23" t="s">
        <v>104</v>
      </c>
      <c r="G4" s="21"/>
      <c r="H4" s="21">
        <v>0.0</v>
      </c>
    </row>
    <row r="5" ht="22.5" customHeight="1">
      <c r="A5" s="18" t="str">
        <f t="shared" si="1"/>
        <v>มือจับฝังบานเลื่อน  Hyda  416-Lock-ดำ</v>
      </c>
      <c r="B5" s="19" t="s">
        <v>101</v>
      </c>
      <c r="C5" s="18" t="s">
        <v>106</v>
      </c>
      <c r="D5" s="19" t="s">
        <v>103</v>
      </c>
      <c r="E5" s="19">
        <v>65.0</v>
      </c>
      <c r="F5" s="23" t="s">
        <v>104</v>
      </c>
      <c r="G5" s="21"/>
      <c r="H5" s="21">
        <v>0.0</v>
      </c>
    </row>
    <row r="6" ht="22.5" customHeight="1">
      <c r="A6" s="18" t="str">
        <f t="shared" si="1"/>
        <v>มือจับฝังบานเลื่อน  Hyda  416-Lock-อบขาว</v>
      </c>
      <c r="B6" s="19" t="s">
        <v>101</v>
      </c>
      <c r="C6" s="18" t="s">
        <v>106</v>
      </c>
      <c r="D6" s="19" t="s">
        <v>105</v>
      </c>
      <c r="E6" s="19">
        <v>65.0</v>
      </c>
      <c r="F6" s="23" t="s">
        <v>104</v>
      </c>
      <c r="G6" s="21"/>
      <c r="H6" s="21">
        <v>0.0</v>
      </c>
    </row>
    <row r="7" ht="22.5" customHeight="1">
      <c r="A7" s="20" t="str">
        <f t="shared" si="1"/>
        <v>มือจับฝังบานเลื่อน  CMECH-Fixed Recessed Handle-ดำ</v>
      </c>
      <c r="B7" s="21" t="s">
        <v>107</v>
      </c>
      <c r="C7" s="18" t="s">
        <v>108</v>
      </c>
      <c r="D7" s="19" t="s">
        <v>103</v>
      </c>
      <c r="E7" s="19">
        <v>177.0</v>
      </c>
      <c r="F7" s="24" t="s">
        <v>109</v>
      </c>
      <c r="G7" s="21"/>
      <c r="H7" s="21">
        <v>0.0</v>
      </c>
    </row>
    <row r="8" ht="22.5" customHeight="1">
      <c r="A8" s="18" t="str">
        <f t="shared" si="1"/>
        <v>มือจับฝังบานเลื่อน  CMECH-Fixed Recessed Handle-อบขาว</v>
      </c>
      <c r="B8" s="19" t="s">
        <v>107</v>
      </c>
      <c r="C8" s="18" t="s">
        <v>108</v>
      </c>
      <c r="D8" s="19" t="s">
        <v>105</v>
      </c>
      <c r="E8" s="19">
        <v>177.0</v>
      </c>
      <c r="F8" s="24" t="s">
        <v>110</v>
      </c>
      <c r="G8" s="21"/>
      <c r="H8" s="21">
        <v>0.0</v>
      </c>
    </row>
    <row r="9" ht="22.5" customHeight="1">
      <c r="A9" s="18" t="str">
        <f t="shared" si="1"/>
        <v>มือจับฝังบานเลื่อน  CMECH-Multi-Point Lock Recessed Handle-ดำ</v>
      </c>
      <c r="B9" s="19" t="s">
        <v>107</v>
      </c>
      <c r="C9" s="20" t="s">
        <v>111</v>
      </c>
      <c r="D9" s="19" t="s">
        <v>103</v>
      </c>
      <c r="E9" s="19">
        <v>205.0</v>
      </c>
      <c r="F9" s="24" t="s">
        <v>109</v>
      </c>
      <c r="G9" s="21"/>
      <c r="H9" s="21">
        <v>0.0</v>
      </c>
    </row>
    <row r="10" ht="22.5" customHeight="1">
      <c r="A10" s="25" t="str">
        <f t="shared" si="1"/>
        <v>มือจับฝังบานเลื่อน  CMECH-Multi-Point Lock Recessed Handle-อบขาว</v>
      </c>
      <c r="B10" s="26" t="s">
        <v>107</v>
      </c>
      <c r="C10" s="25" t="s">
        <v>111</v>
      </c>
      <c r="D10" s="26" t="s">
        <v>105</v>
      </c>
      <c r="E10" s="26">
        <v>205.0</v>
      </c>
      <c r="F10" s="27" t="s">
        <v>112</v>
      </c>
      <c r="G10" s="28"/>
      <c r="H10" s="28">
        <v>0.0</v>
      </c>
    </row>
    <row r="11" ht="22.5" customHeight="1">
      <c r="A11" s="18" t="str">
        <f t="shared" si="1"/>
        <v>มือจับฝังบานเลื่อน  CMECH-Multi-Point Lock Recessed  Interior with Key-ดำ</v>
      </c>
      <c r="B11" s="19" t="s">
        <v>107</v>
      </c>
      <c r="C11" s="25" t="s">
        <v>113</v>
      </c>
      <c r="D11" s="19" t="s">
        <v>103</v>
      </c>
      <c r="E11" s="19">
        <v>409.0</v>
      </c>
      <c r="F11" s="24" t="s">
        <v>109</v>
      </c>
      <c r="G11" s="21"/>
      <c r="H11" s="21">
        <v>0.0</v>
      </c>
    </row>
    <row r="12" ht="22.5" customHeight="1">
      <c r="A12" s="25" t="str">
        <f t="shared" si="1"/>
        <v>มือจับฝังบานเลื่อน  CMECH-Multi-Point Lock Recessed  Interior with Key-อบขาว</v>
      </c>
      <c r="B12" s="26" t="s">
        <v>107</v>
      </c>
      <c r="C12" s="25" t="s">
        <v>113</v>
      </c>
      <c r="D12" s="26" t="s">
        <v>105</v>
      </c>
      <c r="E12" s="26">
        <v>409.0</v>
      </c>
      <c r="F12" s="27" t="s">
        <v>114</v>
      </c>
      <c r="G12" s="28"/>
      <c r="H12" s="28">
        <v>0.0</v>
      </c>
    </row>
    <row r="13" ht="22.5" customHeight="1">
      <c r="A13" s="25" t="str">
        <f t="shared" si="1"/>
        <v>มือจับบานเลื่อน  CMECH-Metro Handle_ Dummy-ดำ</v>
      </c>
      <c r="B13" s="26" t="s">
        <v>115</v>
      </c>
      <c r="C13" s="25" t="s">
        <v>116</v>
      </c>
      <c r="D13" s="19" t="s">
        <v>103</v>
      </c>
      <c r="E13" s="26">
        <v>310.0</v>
      </c>
      <c r="F13" s="27" t="s">
        <v>117</v>
      </c>
      <c r="G13" s="28"/>
      <c r="H13" s="28">
        <v>0.0</v>
      </c>
    </row>
    <row r="14" ht="22.5" customHeight="1">
      <c r="A14" s="25" t="str">
        <f t="shared" si="1"/>
        <v>มือจับบานเลื่อน  CMECH-Metro Handle_ Dummy-อบขาว</v>
      </c>
      <c r="B14" s="26" t="s">
        <v>115</v>
      </c>
      <c r="C14" s="25" t="s">
        <v>116</v>
      </c>
      <c r="D14" s="26" t="s">
        <v>105</v>
      </c>
      <c r="E14" s="26">
        <v>310.0</v>
      </c>
      <c r="F14" s="27" t="s">
        <v>118</v>
      </c>
      <c r="G14" s="28"/>
      <c r="H14" s="28">
        <v>0.0</v>
      </c>
    </row>
    <row r="15" ht="22.5" customHeight="1">
      <c r="A15" s="25" t="str">
        <f t="shared" si="1"/>
        <v>มือจับบานเลื่อน  CMECH-Metro Handle_ Lock-ดำ</v>
      </c>
      <c r="B15" s="26" t="s">
        <v>115</v>
      </c>
      <c r="C15" s="25" t="s">
        <v>119</v>
      </c>
      <c r="D15" s="19" t="s">
        <v>103</v>
      </c>
      <c r="E15" s="26">
        <v>410.0</v>
      </c>
      <c r="F15" s="27" t="s">
        <v>120</v>
      </c>
      <c r="G15" s="28"/>
      <c r="H15" s="28">
        <v>0.0</v>
      </c>
    </row>
    <row r="16" ht="22.5" customHeight="1">
      <c r="A16" s="25" t="str">
        <f t="shared" si="1"/>
        <v>มือจับบานเลื่อน  CMECH-Metro Handle_ Lock-อบขาว</v>
      </c>
      <c r="B16" s="26" t="s">
        <v>115</v>
      </c>
      <c r="C16" s="25" t="s">
        <v>119</v>
      </c>
      <c r="D16" s="26" t="s">
        <v>105</v>
      </c>
      <c r="E16" s="26">
        <v>410.0</v>
      </c>
      <c r="F16" s="27" t="s">
        <v>121</v>
      </c>
      <c r="G16" s="28"/>
      <c r="H16" s="28">
        <v>0.0</v>
      </c>
    </row>
    <row r="17" ht="22.5" customHeight="1">
      <c r="A17" s="25" t="str">
        <f t="shared" si="1"/>
        <v>มือจับบานเลื่อน  CMECH-Metro Handle_  Key-ดำ</v>
      </c>
      <c r="B17" s="26" t="s">
        <v>115</v>
      </c>
      <c r="C17" s="25" t="s">
        <v>122</v>
      </c>
      <c r="D17" s="19" t="s">
        <v>103</v>
      </c>
      <c r="E17" s="26">
        <v>745.0</v>
      </c>
      <c r="F17" s="27" t="s">
        <v>123</v>
      </c>
      <c r="G17" s="28"/>
      <c r="H17" s="28">
        <v>0.0</v>
      </c>
    </row>
    <row r="18" ht="22.5" customHeight="1">
      <c r="A18" s="25" t="str">
        <f t="shared" si="1"/>
        <v>มือจับบานเลื่อน  CMECH-Metro Handle_  Key-อบขาว</v>
      </c>
      <c r="B18" s="26" t="s">
        <v>115</v>
      </c>
      <c r="C18" s="25" t="s">
        <v>122</v>
      </c>
      <c r="D18" s="26" t="s">
        <v>105</v>
      </c>
      <c r="E18" s="26">
        <v>745.0</v>
      </c>
      <c r="F18" s="27" t="s">
        <v>124</v>
      </c>
      <c r="G18" s="28"/>
      <c r="H18" s="28">
        <v>0.0</v>
      </c>
    </row>
    <row r="19" ht="22.5" customHeight="1">
      <c r="A19" s="25" t="str">
        <f t="shared" si="1"/>
        <v>มือจับฝังบานเลื่อน Align-Dummy-ดำ</v>
      </c>
      <c r="B19" s="26" t="s">
        <v>125</v>
      </c>
      <c r="C19" s="20" t="s">
        <v>102</v>
      </c>
      <c r="D19" s="19" t="s">
        <v>103</v>
      </c>
      <c r="E19" s="26">
        <v>62.0</v>
      </c>
      <c r="F19" s="27" t="s">
        <v>126</v>
      </c>
      <c r="G19" s="26"/>
      <c r="H19" s="28">
        <v>0.0</v>
      </c>
    </row>
    <row r="20" ht="22.5" customHeight="1">
      <c r="A20" s="25" t="str">
        <f t="shared" si="1"/>
        <v>มือจับฝังบานเลื่อน Align-Dummy-อบขาว</v>
      </c>
      <c r="B20" s="26" t="s">
        <v>125</v>
      </c>
      <c r="C20" s="20" t="s">
        <v>102</v>
      </c>
      <c r="D20" s="19" t="s">
        <v>105</v>
      </c>
      <c r="E20" s="26">
        <v>62.0</v>
      </c>
      <c r="F20" s="27" t="s">
        <v>126</v>
      </c>
      <c r="G20" s="26"/>
      <c r="H20" s="28">
        <v>0.0</v>
      </c>
    </row>
    <row r="21" ht="22.5" customHeight="1">
      <c r="A21" s="25" t="str">
        <f t="shared" si="1"/>
        <v>มือจับฝังบานเลื่อน Align-Lock-ดำ</v>
      </c>
      <c r="B21" s="26" t="s">
        <v>125</v>
      </c>
      <c r="C21" s="18" t="s">
        <v>106</v>
      </c>
      <c r="D21" s="19" t="s">
        <v>103</v>
      </c>
      <c r="E21" s="26">
        <v>69.0</v>
      </c>
      <c r="F21" s="27" t="s">
        <v>126</v>
      </c>
      <c r="G21" s="26"/>
      <c r="H21" s="28">
        <v>0.0</v>
      </c>
    </row>
    <row r="22" ht="22.5" customHeight="1">
      <c r="A22" s="25" t="str">
        <f t="shared" si="1"/>
        <v>มือจับฝังบานเลื่อน Align-Lock-อบขาว</v>
      </c>
      <c r="B22" s="26" t="s">
        <v>125</v>
      </c>
      <c r="C22" s="18" t="s">
        <v>106</v>
      </c>
      <c r="D22" s="19" t="s">
        <v>105</v>
      </c>
      <c r="E22" s="26">
        <v>69.0</v>
      </c>
      <c r="F22" s="27" t="s">
        <v>126</v>
      </c>
      <c r="G22" s="26"/>
      <c r="H22" s="28">
        <v>0.0</v>
      </c>
    </row>
    <row r="23" ht="22.5" customHeight="1">
      <c r="A23" s="25" t="str">
        <f t="shared" si="1"/>
        <v>มือจับฝังบานเลื่อน Align-Key-ดำ</v>
      </c>
      <c r="B23" s="26" t="s">
        <v>125</v>
      </c>
      <c r="C23" s="25" t="s">
        <v>127</v>
      </c>
      <c r="D23" s="19" t="s">
        <v>103</v>
      </c>
      <c r="E23" s="26">
        <v>99.0</v>
      </c>
      <c r="F23" s="27" t="s">
        <v>126</v>
      </c>
      <c r="G23" s="26"/>
      <c r="H23" s="28">
        <v>0.0</v>
      </c>
    </row>
    <row r="24" ht="22.5" customHeight="1">
      <c r="A24" s="25" t="str">
        <f t="shared" si="1"/>
        <v>มือจับฝังบานเลื่อน Align-Key-อบขาว</v>
      </c>
      <c r="B24" s="26" t="s">
        <v>125</v>
      </c>
      <c r="C24" s="25" t="s">
        <v>127</v>
      </c>
      <c r="D24" s="19" t="s">
        <v>105</v>
      </c>
      <c r="E24" s="26">
        <v>99.0</v>
      </c>
      <c r="F24" s="27" t="s">
        <v>126</v>
      </c>
      <c r="G24" s="26"/>
      <c r="H24" s="28">
        <v>0.0</v>
      </c>
    </row>
    <row r="25" ht="22.5" customHeight="1">
      <c r="A25" s="25" t="str">
        <f t="shared" si="1"/>
        <v>มือจับเจาะกระจกประตูบานเลื่อน-แบบกลม-สแตนเลส</v>
      </c>
      <c r="B25" s="26" t="s">
        <v>128</v>
      </c>
      <c r="C25" s="25" t="s">
        <v>129</v>
      </c>
      <c r="D25" s="21" t="s">
        <v>99</v>
      </c>
      <c r="E25" s="26">
        <v>437.0</v>
      </c>
      <c r="F25" s="27" t="s">
        <v>130</v>
      </c>
      <c r="G25" s="28"/>
      <c r="H25" s="28">
        <v>0.0</v>
      </c>
    </row>
    <row r="26" ht="22.5" customHeight="1">
      <c r="A26" s="25" t="str">
        <f t="shared" si="1"/>
        <v>มือจับสแตนเลส VVP_HD110-แบบกลม-สแตนเลส</v>
      </c>
      <c r="B26" s="19" t="s">
        <v>131</v>
      </c>
      <c r="C26" s="18" t="s">
        <v>129</v>
      </c>
      <c r="D26" s="21" t="s">
        <v>99</v>
      </c>
      <c r="E26" s="19">
        <v>1080.0</v>
      </c>
      <c r="F26" s="29" t="s">
        <v>132</v>
      </c>
      <c r="G26" s="28"/>
      <c r="H26" s="28">
        <v>0.0</v>
      </c>
    </row>
    <row r="27" ht="22.5" customHeight="1">
      <c r="A27" s="25" t="str">
        <f t="shared" si="1"/>
        <v>มือจับสแตนเลส VVP_HD189-แบบเหลี่ยม-สแตนเลส</v>
      </c>
      <c r="B27" s="19" t="s">
        <v>133</v>
      </c>
      <c r="C27" s="18" t="s">
        <v>134</v>
      </c>
      <c r="D27" s="21" t="s">
        <v>99</v>
      </c>
      <c r="E27" s="19">
        <v>1573.0</v>
      </c>
      <c r="F27" s="29" t="s">
        <v>135</v>
      </c>
      <c r="G27" s="28"/>
      <c r="H27" s="28">
        <v>0.0</v>
      </c>
    </row>
    <row r="28" ht="22.5" customHeight="1">
      <c r="A28" s="25" t="str">
        <f t="shared" si="1"/>
        <v>มือจับสแตนเลส VVP_HD190-แบบเหลี่ยม-สแตนเลส</v>
      </c>
      <c r="B28" s="19" t="s">
        <v>136</v>
      </c>
      <c r="C28" s="18" t="s">
        <v>134</v>
      </c>
      <c r="D28" s="21" t="s">
        <v>99</v>
      </c>
      <c r="E28" s="26">
        <v>1445.0</v>
      </c>
      <c r="F28" s="27" t="s">
        <v>137</v>
      </c>
      <c r="G28" s="28"/>
      <c r="H28" s="28">
        <v>0.0</v>
      </c>
    </row>
    <row r="29" ht="22.5" customHeight="1">
      <c r="A29" s="25" t="str">
        <f t="shared" si="1"/>
        <v>มือจับบานกระทุ้ง CZ-HD-004-CENZA_ ( L )-อบขาว</v>
      </c>
      <c r="B29" s="26" t="s">
        <v>138</v>
      </c>
      <c r="C29" s="25" t="s">
        <v>139</v>
      </c>
      <c r="D29" s="19" t="s">
        <v>105</v>
      </c>
      <c r="E29" s="26">
        <v>150.0</v>
      </c>
      <c r="F29" s="27" t="s">
        <v>140</v>
      </c>
      <c r="G29" s="26"/>
      <c r="H29" s="28">
        <v>0.0</v>
      </c>
    </row>
    <row r="30" ht="22.5" customHeight="1">
      <c r="A30" s="25" t="str">
        <f t="shared" si="1"/>
        <v>มือจับบานกระทุ้ง CZ-HD-004-CENZA_ ( R )-อบขาว</v>
      </c>
      <c r="B30" s="26" t="s">
        <v>138</v>
      </c>
      <c r="C30" s="25" t="s">
        <v>141</v>
      </c>
      <c r="D30" s="19" t="s">
        <v>105</v>
      </c>
      <c r="E30" s="26">
        <v>150.0</v>
      </c>
      <c r="F30" s="27" t="s">
        <v>140</v>
      </c>
      <c r="G30" s="26">
        <v>56.0</v>
      </c>
      <c r="H30" s="28">
        <v>0.0</v>
      </c>
    </row>
    <row r="31" ht="22.5" customHeight="1">
      <c r="A31" s="25" t="str">
        <f t="shared" si="1"/>
        <v>มือจับบานกระทุ้ง CZ-HD-004-CENZA_ ( L )-ดำ</v>
      </c>
      <c r="B31" s="26" t="s">
        <v>138</v>
      </c>
      <c r="C31" s="25" t="s">
        <v>139</v>
      </c>
      <c r="D31" s="19" t="s">
        <v>103</v>
      </c>
      <c r="E31" s="26">
        <v>150.0</v>
      </c>
      <c r="F31" s="27" t="s">
        <v>140</v>
      </c>
      <c r="G31" s="26">
        <v>6.0</v>
      </c>
      <c r="H31" s="28">
        <v>0.0</v>
      </c>
    </row>
    <row r="32" ht="22.5" customHeight="1">
      <c r="A32" s="25" t="str">
        <f t="shared" si="1"/>
        <v>มือจับบานกระทุ้ง CZ-HD-004-CENZA_ ( R )-ดำ</v>
      </c>
      <c r="B32" s="26" t="s">
        <v>138</v>
      </c>
      <c r="C32" s="25" t="s">
        <v>141</v>
      </c>
      <c r="D32" s="19" t="s">
        <v>103</v>
      </c>
      <c r="E32" s="26">
        <v>150.0</v>
      </c>
      <c r="F32" s="27" t="s">
        <v>140</v>
      </c>
      <c r="G32" s="26">
        <v>43.0</v>
      </c>
      <c r="H32" s="28">
        <v>0.0</v>
      </c>
    </row>
    <row r="33" ht="22.5" customHeight="1">
      <c r="A33" s="25" t="str">
        <f t="shared" si="1"/>
        <v>มือจับบานกระทุ้งหลบมุ้ง-CMECH_ ( L )-อบขาว</v>
      </c>
      <c r="B33" s="26" t="s">
        <v>142</v>
      </c>
      <c r="C33" s="25" t="s">
        <v>143</v>
      </c>
      <c r="D33" s="19" t="s">
        <v>105</v>
      </c>
      <c r="E33" s="26">
        <v>360.0</v>
      </c>
      <c r="F33" s="27" t="s">
        <v>144</v>
      </c>
      <c r="G33" s="28"/>
      <c r="H33" s="28">
        <v>0.0</v>
      </c>
    </row>
    <row r="34" ht="22.5" customHeight="1">
      <c r="A34" s="25" t="str">
        <f t="shared" si="1"/>
        <v>มือจับบานกระทุ้งหลบมุ้ง-CMECH_ ( R )-อบขาว</v>
      </c>
      <c r="B34" s="26" t="s">
        <v>142</v>
      </c>
      <c r="C34" s="25" t="s">
        <v>145</v>
      </c>
      <c r="D34" s="19" t="s">
        <v>105</v>
      </c>
      <c r="E34" s="26">
        <v>360.0</v>
      </c>
      <c r="F34" s="27" t="s">
        <v>146</v>
      </c>
      <c r="G34" s="28"/>
      <c r="H34" s="28">
        <v>0.0</v>
      </c>
    </row>
    <row r="35" ht="22.5" customHeight="1">
      <c r="A35" s="25" t="str">
        <f t="shared" si="1"/>
        <v>มือจับบานกระทุ้งหลบมุ้ง-CMECH_ ( L )-ดำ</v>
      </c>
      <c r="B35" s="26" t="s">
        <v>142</v>
      </c>
      <c r="C35" s="25" t="s">
        <v>143</v>
      </c>
      <c r="D35" s="19" t="s">
        <v>103</v>
      </c>
      <c r="E35" s="26">
        <v>360.0</v>
      </c>
      <c r="F35" s="27" t="s">
        <v>144</v>
      </c>
      <c r="G35" s="28"/>
      <c r="H35" s="28">
        <v>0.0</v>
      </c>
    </row>
    <row r="36" ht="22.5" customHeight="1">
      <c r="A36" s="25" t="str">
        <f t="shared" si="1"/>
        <v>มือจับบานกระทุ้งหลบมุ้ง-CMECH_ ( R )-ดำ</v>
      </c>
      <c r="B36" s="26" t="s">
        <v>142</v>
      </c>
      <c r="C36" s="25" t="s">
        <v>145</v>
      </c>
      <c r="D36" s="19" t="s">
        <v>103</v>
      </c>
      <c r="E36" s="26">
        <v>360.0</v>
      </c>
      <c r="F36" s="27" t="s">
        <v>146</v>
      </c>
      <c r="G36" s="28"/>
      <c r="H36" s="28">
        <v>0.0</v>
      </c>
    </row>
    <row r="37" ht="22.5" customHeight="1">
      <c r="A37" s="25" t="str">
        <f t="shared" si="1"/>
        <v>มือจับบานเปิด KINGBO-Dummy-ดำ</v>
      </c>
      <c r="B37" s="26" t="s">
        <v>147</v>
      </c>
      <c r="C37" s="25" t="s">
        <v>102</v>
      </c>
      <c r="D37" s="19" t="s">
        <v>103</v>
      </c>
      <c r="E37" s="26">
        <v>330.0</v>
      </c>
      <c r="F37" s="27" t="s">
        <v>148</v>
      </c>
      <c r="G37" s="28"/>
      <c r="H37" s="28">
        <v>0.0</v>
      </c>
    </row>
    <row r="38" ht="22.5" customHeight="1">
      <c r="A38" s="25" t="str">
        <f t="shared" si="1"/>
        <v>มือจับบานเปิด KINGBO-Dummy-อบขาว</v>
      </c>
      <c r="B38" s="26" t="s">
        <v>147</v>
      </c>
      <c r="C38" s="25" t="s">
        <v>102</v>
      </c>
      <c r="D38" s="19" t="s">
        <v>105</v>
      </c>
      <c r="E38" s="26">
        <v>330.0</v>
      </c>
      <c r="F38" s="30" t="s">
        <v>148</v>
      </c>
      <c r="G38" s="28"/>
      <c r="H38" s="28">
        <v>0.0</v>
      </c>
    </row>
    <row r="39" ht="22.5" customHeight="1">
      <c r="A39" s="25" t="str">
        <f t="shared" si="1"/>
        <v>มือจับบานเปิด KINGBO-Key-ดำ</v>
      </c>
      <c r="B39" s="26" t="s">
        <v>147</v>
      </c>
      <c r="C39" s="25" t="s">
        <v>127</v>
      </c>
      <c r="D39" s="19" t="s">
        <v>103</v>
      </c>
      <c r="E39" s="26">
        <v>330.0</v>
      </c>
      <c r="F39" s="27" t="s">
        <v>148</v>
      </c>
      <c r="G39" s="28"/>
      <c r="H39" s="28">
        <v>0.0</v>
      </c>
    </row>
    <row r="40" ht="22.5" customHeight="1">
      <c r="A40" s="25" t="str">
        <f t="shared" si="1"/>
        <v>มือจับบานเปิด KINGBO-Key-อบขาว</v>
      </c>
      <c r="B40" s="26" t="s">
        <v>147</v>
      </c>
      <c r="C40" s="25" t="s">
        <v>127</v>
      </c>
      <c r="D40" s="19" t="s">
        <v>105</v>
      </c>
      <c r="E40" s="26">
        <v>330.0</v>
      </c>
      <c r="F40" s="27" t="s">
        <v>148</v>
      </c>
      <c r="G40" s="28"/>
      <c r="H40" s="28">
        <v>0.0</v>
      </c>
    </row>
    <row r="41" ht="22.5" customHeight="1">
      <c r="A41" s="25" t="str">
        <f t="shared" si="1"/>
        <v>มือจับหลบมุ้ง KINGBO-FH3016 _( L )-ดำ</v>
      </c>
      <c r="B41" s="26" t="s">
        <v>149</v>
      </c>
      <c r="C41" s="25" t="s">
        <v>150</v>
      </c>
      <c r="D41" s="19" t="s">
        <v>103</v>
      </c>
      <c r="E41" s="26">
        <v>111.0</v>
      </c>
      <c r="F41" s="27" t="s">
        <v>151</v>
      </c>
      <c r="G41" s="28"/>
      <c r="H41" s="28">
        <v>0.0</v>
      </c>
    </row>
    <row r="42" ht="22.5" customHeight="1">
      <c r="A42" s="25" t="str">
        <f t="shared" si="1"/>
        <v>มือจับหลบมุ้ง KINGBO-FH3016 _ ( R )-ดำ</v>
      </c>
      <c r="B42" s="26" t="s">
        <v>149</v>
      </c>
      <c r="C42" s="25" t="s">
        <v>152</v>
      </c>
      <c r="D42" s="26" t="s">
        <v>103</v>
      </c>
      <c r="E42" s="26">
        <v>111.0</v>
      </c>
      <c r="F42" s="27" t="s">
        <v>151</v>
      </c>
      <c r="G42" s="28"/>
      <c r="H42" s="28">
        <v>0.0</v>
      </c>
    </row>
    <row r="43" ht="22.5" customHeight="1">
      <c r="A43" s="25" t="str">
        <f t="shared" si="1"/>
        <v>มือจับหลบมุ้ง KINGBO-FH3016 _( L )-อบขาว</v>
      </c>
      <c r="B43" s="26" t="s">
        <v>149</v>
      </c>
      <c r="C43" s="25" t="s">
        <v>150</v>
      </c>
      <c r="D43" s="19" t="s">
        <v>105</v>
      </c>
      <c r="E43" s="26">
        <v>111.0</v>
      </c>
      <c r="F43" s="27" t="s">
        <v>151</v>
      </c>
      <c r="G43" s="28"/>
      <c r="H43" s="28">
        <v>0.0</v>
      </c>
    </row>
    <row r="44" ht="22.5" customHeight="1">
      <c r="A44" s="25" t="str">
        <f t="shared" si="1"/>
        <v>มือจับหลบมุ้ง KINGBO-FH3016 _ ( R )-อบขาว</v>
      </c>
      <c r="B44" s="26" t="s">
        <v>149</v>
      </c>
      <c r="C44" s="25" t="s">
        <v>152</v>
      </c>
      <c r="D44" s="19" t="s">
        <v>105</v>
      </c>
      <c r="E44" s="26">
        <v>111.0</v>
      </c>
      <c r="F44" s="27" t="s">
        <v>151</v>
      </c>
      <c r="G44" s="28"/>
      <c r="H44" s="28">
        <v>0.0</v>
      </c>
    </row>
    <row r="45" ht="22.5" customHeight="1">
      <c r="A45" s="25" t="str">
        <f t="shared" si="1"/>
        <v>มือจับฝัง Align-กุญแจ-ดำ</v>
      </c>
      <c r="B45" s="26" t="s">
        <v>153</v>
      </c>
      <c r="C45" s="25" t="s">
        <v>154</v>
      </c>
      <c r="D45" s="26" t="s">
        <v>103</v>
      </c>
      <c r="E45" s="26"/>
      <c r="F45" s="27" t="s">
        <v>155</v>
      </c>
      <c r="G45" s="28"/>
      <c r="H45" s="28">
        <v>0.0</v>
      </c>
    </row>
    <row r="46" ht="22.5" customHeight="1">
      <c r="A46" s="25" t="str">
        <f t="shared" si="1"/>
        <v>มือจับฝัง Align-ล็อค-ดำ</v>
      </c>
      <c r="B46" s="26" t="s">
        <v>153</v>
      </c>
      <c r="C46" s="25" t="s">
        <v>156</v>
      </c>
      <c r="D46" s="26" t="s">
        <v>103</v>
      </c>
      <c r="E46" s="26">
        <v>99.0</v>
      </c>
      <c r="F46" s="27" t="s">
        <v>157</v>
      </c>
      <c r="G46" s="28"/>
      <c r="H46" s="28">
        <v>0.0</v>
      </c>
    </row>
    <row r="47" ht="22.5" customHeight="1">
      <c r="A47" s="25" t="str">
        <f t="shared" si="1"/>
        <v>มือจับฝัง Align-ดัมมี่-ดำ</v>
      </c>
      <c r="B47" s="26" t="s">
        <v>153</v>
      </c>
      <c r="C47" s="25" t="s">
        <v>158</v>
      </c>
      <c r="D47" s="26" t="s">
        <v>103</v>
      </c>
      <c r="E47" s="26"/>
      <c r="F47" s="27" t="s">
        <v>159</v>
      </c>
      <c r="G47" s="28"/>
      <c r="H47" s="28">
        <v>0.0</v>
      </c>
    </row>
    <row r="48" ht="22.5" customHeight="1">
      <c r="A48" s="25" t="str">
        <f t="shared" si="1"/>
        <v>มือจับฝัง Align-กุญแจ-อบขาว</v>
      </c>
      <c r="B48" s="26" t="s">
        <v>153</v>
      </c>
      <c r="C48" s="25" t="s">
        <v>154</v>
      </c>
      <c r="D48" s="26" t="s">
        <v>105</v>
      </c>
      <c r="E48" s="26"/>
      <c r="F48" s="27" t="s">
        <v>160</v>
      </c>
      <c r="G48" s="28"/>
      <c r="H48" s="28">
        <v>0.0</v>
      </c>
    </row>
    <row r="49" ht="22.5" customHeight="1">
      <c r="A49" s="25" t="str">
        <f t="shared" si="1"/>
        <v>มือจับฝัง Align-ล็อค-อบขาว</v>
      </c>
      <c r="B49" s="26" t="s">
        <v>153</v>
      </c>
      <c r="C49" s="25" t="s">
        <v>156</v>
      </c>
      <c r="D49" s="26" t="s">
        <v>105</v>
      </c>
      <c r="E49" s="26">
        <v>99.0</v>
      </c>
      <c r="F49" s="27" t="s">
        <v>161</v>
      </c>
      <c r="G49" s="28"/>
      <c r="H49" s="28">
        <v>0.0</v>
      </c>
    </row>
    <row r="50" ht="22.5" customHeight="1">
      <c r="A50" s="25" t="str">
        <f t="shared" si="1"/>
        <v>มือจับฝัง Align-ดัมมี่-อบขาว</v>
      </c>
      <c r="B50" s="26" t="s">
        <v>153</v>
      </c>
      <c r="C50" s="25" t="s">
        <v>158</v>
      </c>
      <c r="D50" s="26" t="s">
        <v>105</v>
      </c>
      <c r="E50" s="26"/>
      <c r="F50" s="27" t="s">
        <v>162</v>
      </c>
      <c r="G50" s="28"/>
      <c r="H50" s="28">
        <v>0.0</v>
      </c>
    </row>
    <row r="51" ht="22.5" customHeight="1">
      <c r="A51" s="25" t="str">
        <f t="shared" si="1"/>
        <v>มือจับ Husza-กุญแจ-ดำ</v>
      </c>
      <c r="B51" s="26" t="s">
        <v>163</v>
      </c>
      <c r="C51" s="25" t="s">
        <v>154</v>
      </c>
      <c r="D51" s="26" t="s">
        <v>103</v>
      </c>
      <c r="E51" s="26"/>
      <c r="F51" s="27" t="s">
        <v>164</v>
      </c>
      <c r="G51" s="26">
        <v>26.0</v>
      </c>
      <c r="H51" s="28">
        <v>0.0</v>
      </c>
    </row>
    <row r="52" ht="22.5" customHeight="1">
      <c r="A52" s="25" t="str">
        <f t="shared" si="1"/>
        <v>มือจับ Husza-ล็อค-ดำ</v>
      </c>
      <c r="B52" s="26" t="s">
        <v>163</v>
      </c>
      <c r="C52" s="25" t="s">
        <v>156</v>
      </c>
      <c r="D52" s="26" t="s">
        <v>103</v>
      </c>
      <c r="E52" s="26"/>
      <c r="F52" s="27" t="s">
        <v>165</v>
      </c>
      <c r="G52" s="26">
        <v>20.0</v>
      </c>
      <c r="H52" s="28">
        <v>0.0</v>
      </c>
    </row>
    <row r="53" ht="22.5" customHeight="1">
      <c r="A53" s="31" t="str">
        <f t="shared" si="1"/>
        <v>มือจับ Husza-เรียบมีรู-ดำ</v>
      </c>
      <c r="B53" s="26" t="s">
        <v>163</v>
      </c>
      <c r="C53" s="25" t="s">
        <v>166</v>
      </c>
      <c r="D53" s="26" t="s">
        <v>103</v>
      </c>
      <c r="E53" s="26"/>
      <c r="F53" s="27" t="s">
        <v>167</v>
      </c>
      <c r="G53" s="28"/>
      <c r="H53" s="28">
        <v>0.0</v>
      </c>
    </row>
    <row r="54" ht="22.5" customHeight="1">
      <c r="A54" s="25" t="str">
        <f t="shared" si="1"/>
        <v>มือจับ Husza-เรียบไม่มีรู-ดำ</v>
      </c>
      <c r="B54" s="26" t="s">
        <v>163</v>
      </c>
      <c r="C54" s="25" t="s">
        <v>168</v>
      </c>
      <c r="D54" s="26" t="s">
        <v>103</v>
      </c>
      <c r="E54" s="26"/>
      <c r="F54" s="30" t="s">
        <v>169</v>
      </c>
      <c r="G54" s="26">
        <v>48.0</v>
      </c>
      <c r="H54" s="28">
        <v>0.0</v>
      </c>
    </row>
    <row r="55" ht="22.5" customHeight="1">
      <c r="A55" s="25" t="str">
        <f t="shared" si="1"/>
        <v>มือจับ Husza-กุญแจ-อบขาว</v>
      </c>
      <c r="B55" s="26" t="s">
        <v>163</v>
      </c>
      <c r="C55" s="25" t="s">
        <v>154</v>
      </c>
      <c r="D55" s="26" t="s">
        <v>105</v>
      </c>
      <c r="E55" s="26"/>
      <c r="F55" s="27" t="s">
        <v>170</v>
      </c>
      <c r="G55" s="26">
        <v>49.0</v>
      </c>
      <c r="H55" s="28">
        <v>0.0</v>
      </c>
    </row>
    <row r="56" ht="22.5" customHeight="1">
      <c r="A56" s="25" t="str">
        <f t="shared" si="1"/>
        <v>มือจับ Husza-ล็อค-อบขาว</v>
      </c>
      <c r="B56" s="26" t="s">
        <v>163</v>
      </c>
      <c r="C56" s="25" t="s">
        <v>156</v>
      </c>
      <c r="D56" s="26" t="s">
        <v>105</v>
      </c>
      <c r="E56" s="26"/>
      <c r="F56" s="27" t="s">
        <v>171</v>
      </c>
      <c r="G56" s="26">
        <v>6.0</v>
      </c>
      <c r="H56" s="28">
        <v>0.0</v>
      </c>
    </row>
    <row r="57" ht="22.5" customHeight="1">
      <c r="A57" s="31" t="str">
        <f t="shared" si="1"/>
        <v>มือจับ Husza-เรียบมีรู-อบขาว</v>
      </c>
      <c r="B57" s="26" t="s">
        <v>163</v>
      </c>
      <c r="C57" s="25" t="s">
        <v>166</v>
      </c>
      <c r="D57" s="26" t="s">
        <v>105</v>
      </c>
      <c r="E57" s="26"/>
      <c r="F57" s="27" t="s">
        <v>172</v>
      </c>
      <c r="G57" s="26">
        <v>29.0</v>
      </c>
      <c r="H57" s="28">
        <v>0.0</v>
      </c>
    </row>
    <row r="58" ht="22.5" customHeight="1">
      <c r="A58" s="25" t="str">
        <f t="shared" si="1"/>
        <v>มือจับ Husza-เรียบไม่มีรู-อบขาว</v>
      </c>
      <c r="B58" s="26" t="s">
        <v>163</v>
      </c>
      <c r="C58" s="25" t="s">
        <v>168</v>
      </c>
      <c r="D58" s="26" t="s">
        <v>105</v>
      </c>
      <c r="E58" s="26"/>
      <c r="F58" s="30" t="s">
        <v>173</v>
      </c>
      <c r="G58" s="26">
        <v>2.0</v>
      </c>
      <c r="H58" s="28">
        <v>0.0</v>
      </c>
    </row>
    <row r="59" ht="22.5" customHeight="1">
      <c r="A59" s="25" t="str">
        <f t="shared" si="1"/>
        <v>มือจับ เซ่นซ่า  -ชุดกุญแจ-อบขาว</v>
      </c>
      <c r="B59" s="26" t="s">
        <v>174</v>
      </c>
      <c r="C59" s="25" t="s">
        <v>175</v>
      </c>
      <c r="D59" s="26" t="s">
        <v>105</v>
      </c>
      <c r="E59" s="26"/>
      <c r="F59" s="27" t="s">
        <v>176</v>
      </c>
      <c r="G59" s="26">
        <v>130.0</v>
      </c>
      <c r="H59" s="28">
        <v>0.0</v>
      </c>
    </row>
    <row r="60" ht="22.5" customHeight="1">
      <c r="A60" s="25" t="str">
        <f t="shared" si="1"/>
        <v>มือจับ เซ่นซ่า  -ล็อค-อบขาว</v>
      </c>
      <c r="B60" s="26" t="s">
        <v>174</v>
      </c>
      <c r="C60" s="25" t="s">
        <v>156</v>
      </c>
      <c r="D60" s="26" t="s">
        <v>105</v>
      </c>
      <c r="E60" s="26"/>
      <c r="F60" s="27" t="s">
        <v>177</v>
      </c>
      <c r="G60" s="26">
        <v>3.0</v>
      </c>
      <c r="H60" s="28">
        <v>0.0</v>
      </c>
    </row>
    <row r="61" ht="22.5" customHeight="1">
      <c r="A61" s="25" t="str">
        <f t="shared" si="1"/>
        <v>มือจับ เซ่นซ่า  -เรียบมีรู-อบขาว</v>
      </c>
      <c r="B61" s="26" t="s">
        <v>174</v>
      </c>
      <c r="C61" s="25" t="s">
        <v>166</v>
      </c>
      <c r="D61" s="26" t="s">
        <v>105</v>
      </c>
      <c r="E61" s="26"/>
      <c r="F61" s="27" t="s">
        <v>178</v>
      </c>
      <c r="G61" s="26">
        <v>15.0</v>
      </c>
      <c r="H61" s="28">
        <v>0.0</v>
      </c>
    </row>
    <row r="62" ht="22.5" customHeight="1">
      <c r="A62" s="31" t="str">
        <f t="shared" si="1"/>
        <v>มือจับ เซ่นซ่า  -เรียบไม่มีรู-อบขาว</v>
      </c>
      <c r="B62" s="26" t="s">
        <v>174</v>
      </c>
      <c r="C62" s="25" t="s">
        <v>168</v>
      </c>
      <c r="D62" s="26" t="s">
        <v>105</v>
      </c>
      <c r="E62" s="26"/>
      <c r="F62" s="27" t="s">
        <v>178</v>
      </c>
      <c r="G62" s="26">
        <v>29.0</v>
      </c>
      <c r="H62" s="28">
        <v>0.0</v>
      </c>
    </row>
    <row r="63" ht="22.5" customHeight="1">
      <c r="A63" s="25" t="str">
        <f t="shared" si="1"/>
        <v>มือจับ เซ่นซ่า  -ชุดกุญแจ-ดำ</v>
      </c>
      <c r="B63" s="26" t="s">
        <v>174</v>
      </c>
      <c r="C63" s="25" t="s">
        <v>175</v>
      </c>
      <c r="D63" s="26" t="s">
        <v>103</v>
      </c>
      <c r="E63" s="26"/>
      <c r="F63" s="27" t="s">
        <v>179</v>
      </c>
      <c r="G63" s="26">
        <v>70.0</v>
      </c>
      <c r="H63" s="28">
        <v>0.0</v>
      </c>
    </row>
    <row r="64" ht="22.5" customHeight="1">
      <c r="A64" s="25" t="str">
        <f t="shared" si="1"/>
        <v>มือจับ เซ่นซ่า  -ล็อค-ดำ</v>
      </c>
      <c r="B64" s="26" t="s">
        <v>174</v>
      </c>
      <c r="C64" s="25" t="s">
        <v>156</v>
      </c>
      <c r="D64" s="26" t="s">
        <v>103</v>
      </c>
      <c r="E64" s="26"/>
      <c r="F64" s="27" t="s">
        <v>180</v>
      </c>
      <c r="G64" s="26">
        <v>30.0</v>
      </c>
      <c r="H64" s="28">
        <v>0.0</v>
      </c>
    </row>
    <row r="65" ht="22.5" customHeight="1">
      <c r="A65" s="25" t="str">
        <f t="shared" si="1"/>
        <v>มือจับ เซ่นซ่า  -เรียบมีรู-ดำ</v>
      </c>
      <c r="B65" s="26" t="s">
        <v>174</v>
      </c>
      <c r="C65" s="25" t="s">
        <v>166</v>
      </c>
      <c r="D65" s="26" t="s">
        <v>103</v>
      </c>
      <c r="E65" s="26"/>
      <c r="F65" s="27" t="s">
        <v>181</v>
      </c>
      <c r="G65" s="26">
        <v>38.0</v>
      </c>
      <c r="H65" s="28">
        <v>0.0</v>
      </c>
    </row>
    <row r="66" ht="22.5" customHeight="1">
      <c r="A66" s="31" t="str">
        <f t="shared" si="1"/>
        <v>มือจับ เซ่นซ่า  -เรียบไม่มีรู-ดำ</v>
      </c>
      <c r="B66" s="26" t="s">
        <v>174</v>
      </c>
      <c r="C66" s="25" t="s">
        <v>168</v>
      </c>
      <c r="D66" s="26" t="s">
        <v>103</v>
      </c>
      <c r="E66" s="26"/>
      <c r="F66" s="27" t="s">
        <v>181</v>
      </c>
      <c r="G66" s="26">
        <v>34.0</v>
      </c>
      <c r="H66" s="28">
        <v>0.0</v>
      </c>
    </row>
    <row r="67" ht="22.5" customHeight="1">
      <c r="A67" s="25" t="str">
        <f t="shared" si="1"/>
        <v>มือจับหลบมุ้ง -ข้างซ้าย-ขาว + ดำ</v>
      </c>
      <c r="B67" s="26" t="s">
        <v>182</v>
      </c>
      <c r="C67" s="25" t="s">
        <v>183</v>
      </c>
      <c r="D67" s="26" t="s">
        <v>184</v>
      </c>
      <c r="E67" s="26"/>
      <c r="F67" s="27" t="s">
        <v>185</v>
      </c>
      <c r="G67" s="26" t="s">
        <v>186</v>
      </c>
      <c r="H67" s="28">
        <v>0.0</v>
      </c>
    </row>
    <row r="68" ht="22.5" customHeight="1">
      <c r="A68" s="25" t="str">
        <f t="shared" si="1"/>
        <v>มือจับหลบมุ้ง -ข้างขวา-ขาว + ดำ</v>
      </c>
      <c r="B68" s="26" t="s">
        <v>182</v>
      </c>
      <c r="C68" s="25" t="s">
        <v>187</v>
      </c>
      <c r="D68" s="26" t="s">
        <v>184</v>
      </c>
      <c r="E68" s="26"/>
      <c r="F68" s="27" t="s">
        <v>188</v>
      </c>
      <c r="G68" s="26" t="s">
        <v>189</v>
      </c>
      <c r="H68" s="28">
        <v>0.0</v>
      </c>
    </row>
    <row r="69" ht="22.5" customHeight="1">
      <c r="A69" s="25" t="str">
        <f t="shared" si="1"/>
        <v>มือจับหลบมุ้ง -มือจับซีเมดข้างซ้ายสีดำ-ขาว + ดำ</v>
      </c>
      <c r="B69" s="26" t="s">
        <v>182</v>
      </c>
      <c r="C69" s="25" t="s">
        <v>190</v>
      </c>
      <c r="D69" s="26" t="s">
        <v>184</v>
      </c>
      <c r="E69" s="26"/>
      <c r="F69" s="27" t="s">
        <v>191</v>
      </c>
      <c r="G69" s="26">
        <v>5.0</v>
      </c>
      <c r="H69" s="28">
        <v>0.0</v>
      </c>
    </row>
    <row r="70" ht="22.5" customHeight="1">
      <c r="A70" s="31" t="str">
        <f t="shared" si="1"/>
        <v>มือจับบานกระทุ้งของจีน-ข้างซ้าย-ขาว + ดำ</v>
      </c>
      <c r="B70" s="26" t="s">
        <v>192</v>
      </c>
      <c r="C70" s="25" t="s">
        <v>183</v>
      </c>
      <c r="D70" s="26" t="s">
        <v>184</v>
      </c>
      <c r="E70" s="26"/>
      <c r="F70" s="27" t="s">
        <v>151</v>
      </c>
      <c r="G70" s="26" t="s">
        <v>193</v>
      </c>
      <c r="H70" s="28">
        <v>0.0</v>
      </c>
    </row>
    <row r="71" ht="22.5" customHeight="1">
      <c r="A71" s="31" t="str">
        <f t="shared" si="1"/>
        <v>มือจับบานกระทุ้งของจีน-ข้างขวา-ขาว + ดำ</v>
      </c>
      <c r="B71" s="26" t="s">
        <v>192</v>
      </c>
      <c r="C71" s="25" t="s">
        <v>187</v>
      </c>
      <c r="D71" s="26" t="s">
        <v>184</v>
      </c>
      <c r="E71" s="26"/>
      <c r="F71" s="27" t="s">
        <v>151</v>
      </c>
      <c r="G71" s="26" t="s">
        <v>194</v>
      </c>
      <c r="H71" s="28">
        <v>0.0</v>
      </c>
    </row>
    <row r="72" ht="22.5" customHeight="1">
      <c r="A72" s="25" t="str">
        <f t="shared" si="1"/>
        <v>มือจับบานเลื่อน-สลิม-ขาว + ดำ</v>
      </c>
      <c r="B72" s="26" t="s">
        <v>195</v>
      </c>
      <c r="C72" s="25" t="s">
        <v>196</v>
      </c>
      <c r="D72" s="26" t="s">
        <v>184</v>
      </c>
      <c r="E72" s="26"/>
      <c r="F72" s="30" t="s">
        <v>197</v>
      </c>
      <c r="G72" s="26" t="s">
        <v>198</v>
      </c>
      <c r="H72" s="28">
        <v>0.0</v>
      </c>
    </row>
    <row r="73" ht="22.5" customHeight="1">
      <c r="A73" s="25" t="str">
        <f t="shared" si="1"/>
        <v>มือจับปากเป็ด CMECH--ขาว + ดำ</v>
      </c>
      <c r="B73" s="26" t="s">
        <v>199</v>
      </c>
      <c r="C73" s="25"/>
      <c r="D73" s="26" t="s">
        <v>184</v>
      </c>
      <c r="E73" s="26"/>
      <c r="F73" s="27" t="s">
        <v>200</v>
      </c>
      <c r="G73" s="26"/>
      <c r="H73" s="28">
        <v>0.0</v>
      </c>
    </row>
    <row r="74" ht="22.5" customHeight="1">
      <c r="A74" s="25" t="str">
        <f t="shared" si="1"/>
        <v>มือจับปากเป็ด CMECH--เงิน</v>
      </c>
      <c r="B74" s="26" t="s">
        <v>199</v>
      </c>
      <c r="C74" s="25"/>
      <c r="D74" s="26" t="s">
        <v>201</v>
      </c>
      <c r="E74" s="26"/>
      <c r="F74" s="27" t="s">
        <v>202</v>
      </c>
      <c r="G74" s="26"/>
      <c r="H74" s="28">
        <v>0.0</v>
      </c>
    </row>
    <row r="75" ht="22.5" customHeight="1">
      <c r="A75" s="25" t="str">
        <f t="shared" si="1"/>
        <v>มือจับปากเป็ด --ขาว + ดำ</v>
      </c>
      <c r="B75" s="26" t="s">
        <v>203</v>
      </c>
      <c r="C75" s="25"/>
      <c r="D75" s="26" t="s">
        <v>184</v>
      </c>
      <c r="E75" s="26"/>
      <c r="F75" s="27" t="s">
        <v>204</v>
      </c>
      <c r="G75" s="26" t="s">
        <v>205</v>
      </c>
      <c r="H75" s="28">
        <v>0.0</v>
      </c>
    </row>
    <row r="76" ht="22.5" customHeight="1">
      <c r="A76" s="25" t="str">
        <f t="shared" si="1"/>
        <v>มือจับบานเปิดจีน-ล็อค-ดำ</v>
      </c>
      <c r="B76" s="26" t="s">
        <v>206</v>
      </c>
      <c r="C76" s="25" t="s">
        <v>156</v>
      </c>
      <c r="D76" s="26" t="s">
        <v>103</v>
      </c>
      <c r="E76" s="26"/>
      <c r="F76" s="27" t="s">
        <v>207</v>
      </c>
      <c r="G76" s="26">
        <v>150.0</v>
      </c>
      <c r="H76" s="28">
        <v>0.0</v>
      </c>
    </row>
    <row r="77" ht="22.5" customHeight="1">
      <c r="A77" s="25" t="str">
        <f t="shared" si="1"/>
        <v>มือจับบานเปิดจีน-ดัมมี่-ดำ</v>
      </c>
      <c r="B77" s="26" t="s">
        <v>206</v>
      </c>
      <c r="C77" s="25" t="s">
        <v>158</v>
      </c>
      <c r="D77" s="26" t="s">
        <v>103</v>
      </c>
      <c r="E77" s="26"/>
      <c r="F77" s="27" t="s">
        <v>159</v>
      </c>
      <c r="G77" s="26">
        <v>15.0</v>
      </c>
      <c r="H77" s="28">
        <v>0.0</v>
      </c>
    </row>
    <row r="78" ht="22.5" customHeight="1">
      <c r="A78" s="25" t="str">
        <f t="shared" si="1"/>
        <v>มือจับบานเปิดจีน-ล็อค  -อบขาว</v>
      </c>
      <c r="B78" s="32" t="s">
        <v>206</v>
      </c>
      <c r="C78" s="33" t="s">
        <v>208</v>
      </c>
      <c r="D78" s="26" t="s">
        <v>105</v>
      </c>
      <c r="E78" s="26"/>
      <c r="F78" s="27" t="s">
        <v>209</v>
      </c>
      <c r="G78" s="26">
        <v>193.0</v>
      </c>
      <c r="H78" s="28">
        <v>0.0</v>
      </c>
    </row>
    <row r="79" ht="22.5" customHeight="1">
      <c r="A79" s="25" t="str">
        <f t="shared" si="1"/>
        <v>มือจับบานเปิดจีน-ดัมมี่-อบขาว</v>
      </c>
      <c r="B79" s="34" t="s">
        <v>206</v>
      </c>
      <c r="C79" s="35" t="s">
        <v>158</v>
      </c>
      <c r="D79" s="26" t="s">
        <v>105</v>
      </c>
      <c r="E79" s="26"/>
      <c r="F79" s="27" t="s">
        <v>162</v>
      </c>
      <c r="G79" s="26">
        <v>18.0</v>
      </c>
      <c r="H79" s="28">
        <v>0.0</v>
      </c>
    </row>
    <row r="80" ht="22.5" customHeight="1">
      <c r="A80" s="25" t="str">
        <f t="shared" si="1"/>
        <v>มือจับบานเปิด-สลิม-อบขาว</v>
      </c>
      <c r="B80" s="26" t="s">
        <v>210</v>
      </c>
      <c r="C80" s="25" t="s">
        <v>196</v>
      </c>
      <c r="D80" s="26" t="s">
        <v>105</v>
      </c>
      <c r="E80" s="26"/>
      <c r="F80" s="27" t="s">
        <v>211</v>
      </c>
      <c r="G80" s="26">
        <v>16.0</v>
      </c>
      <c r="H80" s="28">
        <v>0.0</v>
      </c>
    </row>
    <row r="81" ht="22.5" customHeight="1">
      <c r="A81" s="25" t="str">
        <f t="shared" si="1"/>
        <v>มือจับบานเปิด-สลิม-ดำ</v>
      </c>
      <c r="B81" s="26" t="s">
        <v>210</v>
      </c>
      <c r="C81" s="25" t="s">
        <v>196</v>
      </c>
      <c r="D81" s="26" t="s">
        <v>103</v>
      </c>
      <c r="E81" s="26"/>
      <c r="F81" s="27" t="s">
        <v>212</v>
      </c>
      <c r="G81" s="26">
        <v>14.0</v>
      </c>
      <c r="H81" s="28">
        <v>0.0</v>
      </c>
    </row>
    <row r="82" ht="22.5" customHeight="1">
      <c r="A82" s="36" t="str">
        <f t="shared" si="1"/>
        <v>มือจับบานเปิด ไฮด้า-ล็อค-อบขาว</v>
      </c>
      <c r="B82" s="26" t="s">
        <v>213</v>
      </c>
      <c r="C82" s="25" t="s">
        <v>156</v>
      </c>
      <c r="D82" s="26" t="s">
        <v>105</v>
      </c>
      <c r="E82" s="26"/>
      <c r="F82" s="27" t="s">
        <v>214</v>
      </c>
      <c r="G82" s="28"/>
      <c r="H82" s="28">
        <v>0.0</v>
      </c>
    </row>
    <row r="83" ht="22.5" customHeight="1">
      <c r="A83" s="25" t="str">
        <f t="shared" si="1"/>
        <v>มือจับบานเปิด ไฮด้า-ดัมมี่-อบขาว</v>
      </c>
      <c r="B83" s="26" t="s">
        <v>213</v>
      </c>
      <c r="C83" s="25" t="s">
        <v>158</v>
      </c>
      <c r="D83" s="26" t="s">
        <v>105</v>
      </c>
      <c r="E83" s="26"/>
      <c r="F83" s="27" t="s">
        <v>215</v>
      </c>
      <c r="G83" s="28"/>
      <c r="H83" s="28">
        <v>0.0</v>
      </c>
    </row>
    <row r="84" ht="22.5" customHeight="1">
      <c r="A84" s="25" t="str">
        <f t="shared" si="1"/>
        <v>มือจับบานเปิด ไฮด้า-ดัมมี่-ดำ</v>
      </c>
      <c r="B84" s="26" t="s">
        <v>213</v>
      </c>
      <c r="C84" s="25" t="s">
        <v>158</v>
      </c>
      <c r="D84" s="26" t="s">
        <v>103</v>
      </c>
      <c r="E84" s="26"/>
      <c r="F84" s="27" t="s">
        <v>216</v>
      </c>
      <c r="G84" s="28"/>
      <c r="H84" s="28">
        <v>0.0</v>
      </c>
    </row>
    <row r="85" ht="22.5" customHeight="1">
      <c r="A85" s="25" t="str">
        <f t="shared" si="1"/>
        <v>มือจับ เขาควาย-ล็อค-อบขาว</v>
      </c>
      <c r="B85" s="26" t="s">
        <v>217</v>
      </c>
      <c r="C85" s="25" t="s">
        <v>156</v>
      </c>
      <c r="D85" s="26" t="s">
        <v>105</v>
      </c>
      <c r="E85" s="26"/>
      <c r="F85" s="27" t="s">
        <v>218</v>
      </c>
      <c r="G85" s="26">
        <v>29.0</v>
      </c>
      <c r="H85" s="28">
        <v>0.0</v>
      </c>
    </row>
    <row r="86" ht="22.5" customHeight="1">
      <c r="A86" s="25" t="str">
        <f t="shared" si="1"/>
        <v>มือจับ เขาควาย-ดัมมี่-ดำ</v>
      </c>
      <c r="B86" s="26" t="s">
        <v>217</v>
      </c>
      <c r="C86" s="25" t="s">
        <v>158</v>
      </c>
      <c r="D86" s="26" t="s">
        <v>103</v>
      </c>
      <c r="E86" s="26"/>
      <c r="F86" s="27" t="s">
        <v>219</v>
      </c>
      <c r="G86" s="26">
        <v>31.0</v>
      </c>
      <c r="H86" s="28">
        <v>0.0</v>
      </c>
    </row>
    <row r="87" ht="22.5" customHeight="1">
      <c r="A87" s="31" t="str">
        <f t="shared" si="1"/>
        <v>มือจับบานเปิดจีน-ล็อค + ดัมมี่-ดำ</v>
      </c>
      <c r="B87" s="26" t="s">
        <v>206</v>
      </c>
      <c r="C87" s="25" t="s">
        <v>220</v>
      </c>
      <c r="D87" s="26" t="s">
        <v>103</v>
      </c>
      <c r="E87" s="26"/>
      <c r="F87" s="27" t="s">
        <v>212</v>
      </c>
      <c r="G87" s="26" t="s">
        <v>221</v>
      </c>
      <c r="H87" s="28">
        <v>0.0</v>
      </c>
    </row>
    <row r="88" ht="22.5" customHeight="1">
      <c r="A88" s="31" t="str">
        <f t="shared" si="1"/>
        <v>มือจับบานเปิดจีน-ล็อค + ดัมมี่-อบขาว</v>
      </c>
      <c r="B88" s="26" t="s">
        <v>206</v>
      </c>
      <c r="C88" s="25" t="s">
        <v>220</v>
      </c>
      <c r="D88" s="26" t="s">
        <v>105</v>
      </c>
      <c r="E88" s="26"/>
      <c r="F88" s="27" t="s">
        <v>211</v>
      </c>
      <c r="G88" s="26" t="s">
        <v>222</v>
      </c>
      <c r="H88" s="28">
        <v>0.0</v>
      </c>
    </row>
    <row r="89" ht="22.5" customHeight="1">
      <c r="A89" s="31" t="str">
        <f t="shared" si="1"/>
        <v>มือจับบานเปิด ไฮด้า-ล็อค-อบขาว</v>
      </c>
      <c r="B89" s="26" t="s">
        <v>213</v>
      </c>
      <c r="C89" s="25" t="s">
        <v>156</v>
      </c>
      <c r="D89" s="26" t="s">
        <v>105</v>
      </c>
      <c r="E89" s="26"/>
      <c r="F89" s="27" t="s">
        <v>214</v>
      </c>
      <c r="G89" s="26">
        <v>18.0</v>
      </c>
      <c r="H89" s="28">
        <v>0.0</v>
      </c>
    </row>
    <row r="90" ht="22.5" customHeight="1">
      <c r="A90" s="31" t="str">
        <f t="shared" si="1"/>
        <v>มือจับบานเปิด ไฮด้า-ดัมมี่-อบขาว</v>
      </c>
      <c r="B90" s="26" t="s">
        <v>213</v>
      </c>
      <c r="C90" s="25" t="s">
        <v>158</v>
      </c>
      <c r="D90" s="26" t="s">
        <v>105</v>
      </c>
      <c r="E90" s="26"/>
      <c r="F90" s="27" t="s">
        <v>215</v>
      </c>
      <c r="G90" s="26">
        <v>18.0</v>
      </c>
      <c r="H90" s="28">
        <v>0.0</v>
      </c>
    </row>
    <row r="91" ht="22.5" customHeight="1">
      <c r="A91" s="31" t="str">
        <f t="shared" si="1"/>
        <v>มือจับบานเปิด ไฮด้า-ดัมมี่-ดำ</v>
      </c>
      <c r="B91" s="26" t="s">
        <v>213</v>
      </c>
      <c r="C91" s="25" t="s">
        <v>158</v>
      </c>
      <c r="D91" s="26" t="s">
        <v>103</v>
      </c>
      <c r="E91" s="26"/>
      <c r="F91" s="27" t="s">
        <v>216</v>
      </c>
      <c r="G91" s="26">
        <v>10.0</v>
      </c>
      <c r="H91" s="28">
        <v>0.0</v>
      </c>
    </row>
    <row r="92" ht="22.5" customHeight="1">
      <c r="A92" s="31" t="str">
        <f t="shared" si="1"/>
        <v>มือจับบานเปิด-สลิม-อบขาว</v>
      </c>
      <c r="B92" s="26" t="s">
        <v>210</v>
      </c>
      <c r="C92" s="25" t="s">
        <v>196</v>
      </c>
      <c r="D92" s="26" t="s">
        <v>105</v>
      </c>
      <c r="E92" s="26"/>
      <c r="F92" s="27" t="s">
        <v>211</v>
      </c>
      <c r="G92" s="26">
        <v>16.0</v>
      </c>
      <c r="H92" s="28">
        <v>0.0</v>
      </c>
    </row>
    <row r="93" ht="22.5" customHeight="1">
      <c r="A93" s="31" t="str">
        <f t="shared" si="1"/>
        <v>มือจับบานเปิด-สลิม-ดำ</v>
      </c>
      <c r="B93" s="26" t="s">
        <v>210</v>
      </c>
      <c r="C93" s="25" t="s">
        <v>196</v>
      </c>
      <c r="D93" s="26" t="s">
        <v>103</v>
      </c>
      <c r="E93" s="26"/>
      <c r="F93" s="27" t="s">
        <v>223</v>
      </c>
      <c r="G93" s="26">
        <v>14.0</v>
      </c>
      <c r="H93" s="28">
        <v>0.0</v>
      </c>
    </row>
    <row r="94" ht="22.5" customHeight="1">
      <c r="A94" s="31" t="str">
        <f t="shared" si="1"/>
        <v>มือจับบานกระทุ้งจีน-ซ้าย + ขวา-ขาว + ดำ</v>
      </c>
      <c r="B94" s="26" t="s">
        <v>224</v>
      </c>
      <c r="C94" s="25" t="s">
        <v>225</v>
      </c>
      <c r="D94" s="26" t="s">
        <v>184</v>
      </c>
      <c r="E94" s="26"/>
      <c r="F94" s="27" t="s">
        <v>151</v>
      </c>
      <c r="G94" s="28"/>
      <c r="H94" s="28">
        <v>0.0</v>
      </c>
    </row>
    <row r="95" ht="22.5" customHeight="1">
      <c r="A95" s="25" t="str">
        <f t="shared" si="1"/>
        <v>มือจับบานกระทุ้งแม่นํ้า-ซ้าย + ขวา-ขาว + ดำ</v>
      </c>
      <c r="B95" s="26" t="s">
        <v>226</v>
      </c>
      <c r="C95" s="25" t="s">
        <v>225</v>
      </c>
      <c r="D95" s="26" t="s">
        <v>184</v>
      </c>
      <c r="E95" s="26"/>
      <c r="F95" s="30" t="s">
        <v>227</v>
      </c>
      <c r="G95" s="26"/>
      <c r="H95" s="28">
        <v>0.0</v>
      </c>
    </row>
    <row r="96" ht="22.5" customHeight="1">
      <c r="A96" s="31" t="str">
        <f t="shared" si="1"/>
        <v>มือจับบานเลื่อน-สลิม-ขาว</v>
      </c>
      <c r="B96" s="26" t="s">
        <v>195</v>
      </c>
      <c r="C96" s="25" t="s">
        <v>196</v>
      </c>
      <c r="D96" s="26" t="s">
        <v>228</v>
      </c>
      <c r="E96" s="26"/>
      <c r="F96" s="27" t="s">
        <v>229</v>
      </c>
      <c r="G96" s="26">
        <v>70.0</v>
      </c>
      <c r="H96" s="28">
        <v>0.0</v>
      </c>
    </row>
    <row r="97" ht="22.5" customHeight="1">
      <c r="A97" s="25" t="str">
        <f t="shared" si="1"/>
        <v>มือจับบานเลื่อน-สลิม-ดำ</v>
      </c>
      <c r="B97" s="26" t="s">
        <v>195</v>
      </c>
      <c r="C97" s="25" t="s">
        <v>196</v>
      </c>
      <c r="D97" s="26" t="s">
        <v>103</v>
      </c>
      <c r="E97" s="26"/>
      <c r="F97" s="27" t="s">
        <v>197</v>
      </c>
      <c r="G97" s="26">
        <v>198.0</v>
      </c>
      <c r="H97" s="28">
        <v>0.0</v>
      </c>
    </row>
    <row r="98" ht="22.5" customHeight="1">
      <c r="A98" s="25" t="str">
        <f t="shared" si="1"/>
        <v>มือบานเลื่อน เมโทร-ชุดกุญแจ-ขาว </v>
      </c>
      <c r="B98" s="26" t="s">
        <v>230</v>
      </c>
      <c r="C98" s="25" t="s">
        <v>175</v>
      </c>
      <c r="D98" s="26" t="s">
        <v>231</v>
      </c>
      <c r="E98" s="26"/>
      <c r="F98" s="27" t="s">
        <v>232</v>
      </c>
      <c r="G98" s="26">
        <v>24.0</v>
      </c>
      <c r="H98" s="28">
        <v>0.0</v>
      </c>
    </row>
    <row r="99" ht="22.5" customHeight="1">
      <c r="A99" s="25" t="str">
        <f t="shared" si="1"/>
        <v>มือบานเลื่อน เมโทร-ล็อค-ขาว </v>
      </c>
      <c r="B99" s="26" t="s">
        <v>230</v>
      </c>
      <c r="C99" s="25" t="s">
        <v>156</v>
      </c>
      <c r="D99" s="26" t="s">
        <v>231</v>
      </c>
      <c r="E99" s="26"/>
      <c r="F99" s="27" t="s">
        <v>233</v>
      </c>
      <c r="G99" s="26">
        <v>45.0</v>
      </c>
      <c r="H99" s="28">
        <v>0.0</v>
      </c>
    </row>
    <row r="100" ht="22.5" customHeight="1">
      <c r="A100" s="25" t="str">
        <f t="shared" si="1"/>
        <v>มือบานเลื่อน เมโทร-ดัมมี่-ขาว </v>
      </c>
      <c r="B100" s="26" t="s">
        <v>230</v>
      </c>
      <c r="C100" s="25" t="s">
        <v>158</v>
      </c>
      <c r="D100" s="26" t="s">
        <v>231</v>
      </c>
      <c r="E100" s="26"/>
      <c r="F100" s="30" t="s">
        <v>234</v>
      </c>
      <c r="G100" s="26">
        <v>50.0</v>
      </c>
      <c r="H100" s="28">
        <v>0.0</v>
      </c>
    </row>
    <row r="101" ht="22.5" customHeight="1">
      <c r="A101" s="31" t="str">
        <f t="shared" si="1"/>
        <v>มือบานเลื่อน เมโทร-ชุดกุญแจ-ดำ</v>
      </c>
      <c r="B101" s="26" t="s">
        <v>230</v>
      </c>
      <c r="C101" s="25" t="s">
        <v>175</v>
      </c>
      <c r="D101" s="26" t="s">
        <v>103</v>
      </c>
      <c r="E101" s="26"/>
      <c r="F101" s="30" t="s">
        <v>232</v>
      </c>
      <c r="G101" s="26">
        <v>30.0</v>
      </c>
      <c r="H101" s="28">
        <v>0.0</v>
      </c>
    </row>
    <row r="102" ht="22.5" customHeight="1">
      <c r="A102" s="31" t="str">
        <f t="shared" si="1"/>
        <v>มือบานเลื่อน เมโทร-ล็อค-ดำ</v>
      </c>
      <c r="B102" s="26" t="s">
        <v>230</v>
      </c>
      <c r="C102" s="25" t="s">
        <v>156</v>
      </c>
      <c r="D102" s="26" t="s">
        <v>103</v>
      </c>
      <c r="E102" s="26"/>
      <c r="F102" s="30" t="s">
        <v>233</v>
      </c>
      <c r="G102" s="26">
        <v>38.0</v>
      </c>
      <c r="H102" s="28">
        <v>0.0</v>
      </c>
    </row>
    <row r="103" ht="22.5" customHeight="1">
      <c r="A103" s="31" t="str">
        <f t="shared" si="1"/>
        <v>มือบานเลื่อน เมโทร-ดัมมี่-ดำ</v>
      </c>
      <c r="B103" s="26" t="s">
        <v>230</v>
      </c>
      <c r="C103" s="25" t="s">
        <v>158</v>
      </c>
      <c r="D103" s="26" t="s">
        <v>103</v>
      </c>
      <c r="E103" s="26"/>
      <c r="F103" s="30" t="s">
        <v>234</v>
      </c>
      <c r="G103" s="26">
        <v>28.0</v>
      </c>
      <c r="H103" s="28">
        <v>0.0</v>
      </c>
    </row>
    <row r="104" ht="22.5" customHeight="1">
      <c r="A104" s="31" t="str">
        <f t="shared" si="1"/>
        <v>มือจับบานเลื่อนฝัง Align-กุญแจ-ดำ</v>
      </c>
      <c r="B104" s="26" t="s">
        <v>235</v>
      </c>
      <c r="C104" s="25" t="s">
        <v>154</v>
      </c>
      <c r="D104" s="26" t="s">
        <v>103</v>
      </c>
      <c r="E104" s="26"/>
      <c r="F104" s="30" t="s">
        <v>155</v>
      </c>
      <c r="G104" s="28"/>
      <c r="H104" s="28">
        <v>0.0</v>
      </c>
    </row>
    <row r="105" ht="22.5" customHeight="1">
      <c r="A105" s="31" t="str">
        <f t="shared" si="1"/>
        <v>มือจับบานเลื่อนฝัง Align-ล็อค-ดำ</v>
      </c>
      <c r="B105" s="26" t="s">
        <v>235</v>
      </c>
      <c r="C105" s="25" t="s">
        <v>156</v>
      </c>
      <c r="D105" s="26" t="s">
        <v>103</v>
      </c>
      <c r="E105" s="26"/>
      <c r="F105" s="27" t="s">
        <v>157</v>
      </c>
      <c r="G105" s="28"/>
      <c r="H105" s="28">
        <v>0.0</v>
      </c>
    </row>
    <row r="106" ht="22.5" customHeight="1">
      <c r="A106" s="31" t="str">
        <f t="shared" si="1"/>
        <v>มือจับบานเลื่อนฝัง Align-ดัมมี่-ดำ</v>
      </c>
      <c r="B106" s="26" t="s">
        <v>235</v>
      </c>
      <c r="C106" s="25" t="s">
        <v>158</v>
      </c>
      <c r="D106" s="26" t="s">
        <v>103</v>
      </c>
      <c r="E106" s="26"/>
      <c r="F106" s="27" t="s">
        <v>236</v>
      </c>
      <c r="G106" s="28"/>
      <c r="H106" s="28">
        <v>0.0</v>
      </c>
    </row>
    <row r="107" ht="22.5" customHeight="1">
      <c r="A107" s="31" t="str">
        <f t="shared" si="1"/>
        <v>มือจับบานเลื่อนฝัง Align-กุญแจ-อบขาว</v>
      </c>
      <c r="B107" s="26" t="s">
        <v>235</v>
      </c>
      <c r="C107" s="25" t="s">
        <v>154</v>
      </c>
      <c r="D107" s="26" t="s">
        <v>105</v>
      </c>
      <c r="E107" s="26"/>
      <c r="F107" s="27" t="s">
        <v>160</v>
      </c>
      <c r="G107" s="28"/>
      <c r="H107" s="28">
        <v>0.0</v>
      </c>
    </row>
    <row r="108" ht="22.5" customHeight="1">
      <c r="A108" s="31" t="str">
        <f t="shared" si="1"/>
        <v>มือจับบานเลื่อนฝัง Align-ล็อค-อบขาว</v>
      </c>
      <c r="B108" s="26" t="s">
        <v>235</v>
      </c>
      <c r="C108" s="25" t="s">
        <v>156</v>
      </c>
      <c r="D108" s="26" t="s">
        <v>105</v>
      </c>
      <c r="E108" s="26"/>
      <c r="F108" s="27" t="s">
        <v>161</v>
      </c>
      <c r="G108" s="28"/>
      <c r="H108" s="28">
        <v>0.0</v>
      </c>
    </row>
    <row r="109" ht="22.5" customHeight="1">
      <c r="A109" s="31" t="str">
        <f t="shared" si="1"/>
        <v>มือจับบานเลื่อนฝัง Align-ดัมมี่-อบขาว</v>
      </c>
      <c r="B109" s="26" t="s">
        <v>235</v>
      </c>
      <c r="C109" s="25" t="s">
        <v>158</v>
      </c>
      <c r="D109" s="26" t="s">
        <v>105</v>
      </c>
      <c r="E109" s="26"/>
      <c r="F109" s="27" t="s">
        <v>237</v>
      </c>
      <c r="G109" s="28"/>
      <c r="H109" s="28">
        <v>0.0</v>
      </c>
    </row>
    <row r="110" ht="22.5" customHeight="1">
      <c r="A110" s="31" t="str">
        <f t="shared" si="1"/>
        <v>มือบานเลื่อนฝัง เซ่นซ่า-ชุดกุญแจ-ขาว</v>
      </c>
      <c r="B110" s="26" t="s">
        <v>238</v>
      </c>
      <c r="C110" s="25" t="s">
        <v>175</v>
      </c>
      <c r="D110" s="26" t="s">
        <v>228</v>
      </c>
      <c r="E110" s="26"/>
      <c r="F110" s="27" t="s">
        <v>176</v>
      </c>
      <c r="G110" s="28"/>
      <c r="H110" s="28">
        <v>0.0</v>
      </c>
    </row>
    <row r="111" ht="22.5" customHeight="1">
      <c r="A111" s="31" t="str">
        <f t="shared" si="1"/>
        <v>มือบานเลื่อนฝัง เซ่นซ่า-ล็อค-ขาว</v>
      </c>
      <c r="B111" s="26" t="s">
        <v>238</v>
      </c>
      <c r="C111" s="25" t="s">
        <v>156</v>
      </c>
      <c r="D111" s="26" t="s">
        <v>228</v>
      </c>
      <c r="E111" s="26"/>
      <c r="F111" s="27" t="s">
        <v>177</v>
      </c>
      <c r="G111" s="28"/>
      <c r="H111" s="28">
        <v>0.0</v>
      </c>
    </row>
    <row r="112" ht="22.5" customHeight="1">
      <c r="A112" s="31" t="str">
        <f t="shared" si="1"/>
        <v>มือบานเลื่อนฝัง เซ่นซ่า-เรียบมีรู-ขาว</v>
      </c>
      <c r="B112" s="26" t="s">
        <v>238</v>
      </c>
      <c r="C112" s="25" t="s">
        <v>166</v>
      </c>
      <c r="D112" s="26" t="s">
        <v>228</v>
      </c>
      <c r="E112" s="26"/>
      <c r="F112" s="27" t="s">
        <v>178</v>
      </c>
      <c r="G112" s="28"/>
      <c r="H112" s="28">
        <v>0.0</v>
      </c>
    </row>
    <row r="113" ht="22.5" customHeight="1">
      <c r="A113" s="31" t="str">
        <f t="shared" si="1"/>
        <v>มือบานเลื่อนฝัง เซ่นซ่า-เรียบไม่มีรู-ขาว</v>
      </c>
      <c r="B113" s="26" t="s">
        <v>238</v>
      </c>
      <c r="C113" s="25" t="s">
        <v>168</v>
      </c>
      <c r="D113" s="26" t="s">
        <v>228</v>
      </c>
      <c r="E113" s="26"/>
      <c r="F113" s="27" t="s">
        <v>178</v>
      </c>
      <c r="G113" s="28"/>
      <c r="H113" s="28">
        <v>0.0</v>
      </c>
    </row>
    <row r="114" ht="22.5" customHeight="1">
      <c r="A114" s="31" t="str">
        <f t="shared" si="1"/>
        <v>มือบานเลื่อนฝัง เซ่นซ่า-ชุดกุญแจ-ดำ</v>
      </c>
      <c r="B114" s="26" t="s">
        <v>238</v>
      </c>
      <c r="C114" s="25" t="s">
        <v>175</v>
      </c>
      <c r="D114" s="26" t="s">
        <v>103</v>
      </c>
      <c r="E114" s="26"/>
      <c r="F114" s="27" t="s">
        <v>179</v>
      </c>
      <c r="G114" s="28"/>
      <c r="H114" s="28">
        <v>0.0</v>
      </c>
    </row>
    <row r="115" ht="22.5" customHeight="1">
      <c r="A115" s="31" t="str">
        <f t="shared" si="1"/>
        <v>มือบานเลื่อนฝัง เซ่นซ่า-ล็อค-ดำ</v>
      </c>
      <c r="B115" s="26" t="s">
        <v>238</v>
      </c>
      <c r="C115" s="25" t="s">
        <v>156</v>
      </c>
      <c r="D115" s="26" t="s">
        <v>103</v>
      </c>
      <c r="E115" s="26"/>
      <c r="F115" s="27" t="s">
        <v>180</v>
      </c>
      <c r="G115" s="28"/>
      <c r="H115" s="28">
        <v>0.0</v>
      </c>
    </row>
    <row r="116" ht="22.5" customHeight="1">
      <c r="A116" s="31" t="str">
        <f t="shared" si="1"/>
        <v>มือบานเลื่อนฝัง เซ่นซ่า-เรียบมีรู-ดำ</v>
      </c>
      <c r="B116" s="26" t="s">
        <v>238</v>
      </c>
      <c r="C116" s="25" t="s">
        <v>166</v>
      </c>
      <c r="D116" s="26" t="s">
        <v>103</v>
      </c>
      <c r="E116" s="26"/>
      <c r="F116" s="27" t="s">
        <v>181</v>
      </c>
      <c r="G116" s="28"/>
      <c r="H116" s="28">
        <v>0.0</v>
      </c>
    </row>
    <row r="117" ht="22.5" customHeight="1">
      <c r="A117" s="31" t="str">
        <f t="shared" si="1"/>
        <v>มือบานเลื่อนฝัง เซ่นซ่า-เรียบไม่มีรู-ดำ</v>
      </c>
      <c r="B117" s="26" t="s">
        <v>238</v>
      </c>
      <c r="C117" s="25" t="s">
        <v>168</v>
      </c>
      <c r="D117" s="26" t="s">
        <v>103</v>
      </c>
      <c r="E117" s="26"/>
      <c r="F117" s="27" t="s">
        <v>181</v>
      </c>
      <c r="G117" s="28"/>
      <c r="H117" s="28">
        <v>0.0</v>
      </c>
    </row>
    <row r="118" ht="22.5" customHeight="1">
      <c r="A118" s="25" t="str">
        <f t="shared" si="1"/>
        <v>มือจับ Husza บานเลื่อนฝัง-กุญแจ-ขาว</v>
      </c>
      <c r="B118" s="26" t="s">
        <v>239</v>
      </c>
      <c r="C118" s="25" t="s">
        <v>154</v>
      </c>
      <c r="D118" s="26" t="s">
        <v>228</v>
      </c>
      <c r="E118" s="26"/>
      <c r="F118" s="27" t="s">
        <v>170</v>
      </c>
      <c r="G118" s="28"/>
      <c r="H118" s="28">
        <v>0.0</v>
      </c>
    </row>
    <row r="119" ht="22.5" customHeight="1">
      <c r="A119" s="25" t="str">
        <f t="shared" si="1"/>
        <v>มือจับ Husza บานเลื่อนฝัง-ล็อค-ขาว</v>
      </c>
      <c r="B119" s="26" t="s">
        <v>239</v>
      </c>
      <c r="C119" s="25" t="s">
        <v>156</v>
      </c>
      <c r="D119" s="26" t="s">
        <v>228</v>
      </c>
      <c r="E119" s="26"/>
      <c r="F119" s="27" t="s">
        <v>171</v>
      </c>
      <c r="G119" s="28"/>
      <c r="H119" s="28">
        <v>0.0</v>
      </c>
    </row>
    <row r="120" ht="22.5" customHeight="1">
      <c r="A120" s="25" t="str">
        <f t="shared" si="1"/>
        <v>มือจับ Husza บานเลื่อนฝัง-เรียบมีรู-ขาว</v>
      </c>
      <c r="B120" s="26" t="s">
        <v>239</v>
      </c>
      <c r="C120" s="25" t="s">
        <v>166</v>
      </c>
      <c r="D120" s="26" t="s">
        <v>228</v>
      </c>
      <c r="E120" s="26"/>
      <c r="F120" s="27" t="s">
        <v>178</v>
      </c>
      <c r="G120" s="28"/>
      <c r="H120" s="28">
        <v>0.0</v>
      </c>
    </row>
    <row r="121" ht="22.5" customHeight="1">
      <c r="A121" s="25" t="str">
        <f t="shared" si="1"/>
        <v>มือจับ Husza บานเลื่อนฝัง-เรียบไม่มีรู-ขาว</v>
      </c>
      <c r="B121" s="26" t="s">
        <v>239</v>
      </c>
      <c r="C121" s="25" t="s">
        <v>168</v>
      </c>
      <c r="D121" s="26" t="s">
        <v>228</v>
      </c>
      <c r="E121" s="26"/>
      <c r="F121" s="27" t="s">
        <v>173</v>
      </c>
      <c r="G121" s="28"/>
      <c r="H121" s="28">
        <v>0.0</v>
      </c>
    </row>
    <row r="122" ht="22.5" customHeight="1">
      <c r="A122" s="25" t="str">
        <f t="shared" si="1"/>
        <v>มือจับ Husza บานเลื่อนฝัง-กุญแจ-ดำ</v>
      </c>
      <c r="B122" s="26" t="s">
        <v>239</v>
      </c>
      <c r="C122" s="25" t="s">
        <v>154</v>
      </c>
      <c r="D122" s="26" t="s">
        <v>103</v>
      </c>
      <c r="E122" s="26"/>
      <c r="F122" s="27" t="s">
        <v>164</v>
      </c>
      <c r="G122" s="28"/>
      <c r="H122" s="28">
        <v>0.0</v>
      </c>
    </row>
    <row r="123" ht="22.5" customHeight="1">
      <c r="A123" s="25" t="str">
        <f t="shared" si="1"/>
        <v>มือจับ Husza บานเลื่อนฝัง-ล็อค-ดำ</v>
      </c>
      <c r="B123" s="26" t="s">
        <v>239</v>
      </c>
      <c r="C123" s="25" t="s">
        <v>156</v>
      </c>
      <c r="D123" s="26" t="s">
        <v>103</v>
      </c>
      <c r="E123" s="26"/>
      <c r="F123" s="27" t="s">
        <v>165</v>
      </c>
      <c r="G123" s="28"/>
      <c r="H123" s="28">
        <v>0.0</v>
      </c>
    </row>
    <row r="124" ht="22.5" customHeight="1">
      <c r="A124" s="25" t="str">
        <f t="shared" si="1"/>
        <v>มือจับ Husza บานเลื่อนฝัง-เรียบมีรู-ดำ</v>
      </c>
      <c r="B124" s="26" t="s">
        <v>239</v>
      </c>
      <c r="C124" s="25" t="s">
        <v>166</v>
      </c>
      <c r="D124" s="26" t="s">
        <v>103</v>
      </c>
      <c r="E124" s="26"/>
      <c r="F124" s="27" t="s">
        <v>169</v>
      </c>
      <c r="G124" s="28"/>
      <c r="H124" s="28">
        <v>0.0</v>
      </c>
    </row>
    <row r="125" ht="22.5" customHeight="1">
      <c r="A125" s="25" t="str">
        <f t="shared" si="1"/>
        <v>มือจับ Husza บานเลื่อนฝัง-เรียบไม่มีรู-ดำ</v>
      </c>
      <c r="B125" s="26" t="s">
        <v>239</v>
      </c>
      <c r="C125" s="25" t="s">
        <v>168</v>
      </c>
      <c r="D125" s="26" t="s">
        <v>103</v>
      </c>
      <c r="E125" s="26"/>
      <c r="F125" s="27" t="s">
        <v>169</v>
      </c>
      <c r="G125" s="28"/>
      <c r="H125" s="28">
        <v>0.0</v>
      </c>
    </row>
    <row r="126" ht="22.5" customHeight="1">
      <c r="A126" s="37" t="str">
        <f t="shared" si="1"/>
        <v>มือจับบานเลื่อนฝังไฮด้า -กุญแจสีดำ = 52-ขาว + ดำ</v>
      </c>
      <c r="B126" s="26" t="s">
        <v>240</v>
      </c>
      <c r="C126" s="25" t="s">
        <v>241</v>
      </c>
      <c r="D126" s="26" t="s">
        <v>184</v>
      </c>
      <c r="E126" s="26"/>
      <c r="F126" s="27" t="s">
        <v>242</v>
      </c>
      <c r="G126" s="26">
        <v>50.0</v>
      </c>
      <c r="H126" s="28">
        <v>0.0</v>
      </c>
    </row>
    <row r="127" ht="22.5" customHeight="1">
      <c r="A127" s="37" t="str">
        <f t="shared" si="1"/>
        <v>มือจับบานเลื่อนฝังไฮด้า -กุญแจสีขาว = 70-ขาว + ดำ</v>
      </c>
      <c r="B127" s="26" t="s">
        <v>240</v>
      </c>
      <c r="C127" s="25" t="s">
        <v>243</v>
      </c>
      <c r="D127" s="26" t="s">
        <v>184</v>
      </c>
      <c r="E127" s="26"/>
      <c r="F127" s="27" t="s">
        <v>242</v>
      </c>
      <c r="G127" s="26">
        <v>70.0</v>
      </c>
      <c r="H127" s="28">
        <v>0.0</v>
      </c>
    </row>
    <row r="128" ht="22.5" customHeight="1">
      <c r="A128" s="37" t="str">
        <f t="shared" si="1"/>
        <v>มือจับบานเลื่อนฝังไฮด้า -ล็อคสีดำ = 6 -ขาว + ดำ</v>
      </c>
      <c r="B128" s="26" t="s">
        <v>240</v>
      </c>
      <c r="C128" s="25" t="s">
        <v>244</v>
      </c>
      <c r="D128" s="26" t="s">
        <v>184</v>
      </c>
      <c r="E128" s="26"/>
      <c r="F128" s="27" t="s">
        <v>242</v>
      </c>
      <c r="H128" s="28">
        <v>0.0</v>
      </c>
    </row>
    <row r="129" ht="22.5" customHeight="1">
      <c r="A129" s="37" t="str">
        <f t="shared" si="1"/>
        <v>มือจับบานเลื่อนฝังไฮด้า -ล็อคสีขาว = 6 -ขาว + ดำ</v>
      </c>
      <c r="B129" s="26" t="s">
        <v>240</v>
      </c>
      <c r="C129" s="25" t="s">
        <v>245</v>
      </c>
      <c r="D129" s="26" t="s">
        <v>184</v>
      </c>
      <c r="E129" s="26"/>
      <c r="F129" s="38" t="s">
        <v>242</v>
      </c>
      <c r="G129" s="26">
        <v>6.0</v>
      </c>
      <c r="H129" s="28">
        <v>0.0</v>
      </c>
    </row>
    <row r="130" ht="22.5" customHeight="1">
      <c r="A130" s="37" t="str">
        <f t="shared" si="1"/>
        <v>มือจับบานเลื่อนฝังไฮด้า -เรียบมีรูสีขาว = 40 ไม่มีรู = 40-ขาว + ดำ</v>
      </c>
      <c r="B130" s="26" t="s">
        <v>240</v>
      </c>
      <c r="C130" s="25" t="s">
        <v>246</v>
      </c>
      <c r="D130" s="26" t="s">
        <v>184</v>
      </c>
      <c r="E130" s="26"/>
      <c r="F130" s="27" t="s">
        <v>242</v>
      </c>
      <c r="G130" s="26" t="s">
        <v>247</v>
      </c>
      <c r="H130" s="28">
        <v>0.0</v>
      </c>
    </row>
    <row r="131" ht="22.5" customHeight="1">
      <c r="A131" s="37" t="str">
        <f t="shared" si="1"/>
        <v>มือจับบานเลื่อนฝังไฮด้า -เรียบมีรูสีดำ = 30 ไม่มีรู = 21-ขาว + ดำ</v>
      </c>
      <c r="B131" s="26" t="s">
        <v>240</v>
      </c>
      <c r="C131" s="25" t="s">
        <v>248</v>
      </c>
      <c r="D131" s="26" t="s">
        <v>184</v>
      </c>
      <c r="E131" s="26"/>
      <c r="F131" s="27" t="s">
        <v>242</v>
      </c>
      <c r="G131" s="26" t="s">
        <v>249</v>
      </c>
      <c r="H131" s="28">
        <v>0.0</v>
      </c>
    </row>
    <row r="132" ht="22.5" customHeight="1">
      <c r="A132" s="25" t="str">
        <f t="shared" si="1"/>
        <v>มือจับบานเลื่อน Hoya แขวน ฝัง--อบขาว</v>
      </c>
      <c r="B132" s="26" t="s">
        <v>250</v>
      </c>
      <c r="C132" s="25"/>
      <c r="D132" s="26" t="s">
        <v>105</v>
      </c>
      <c r="E132" s="26"/>
      <c r="F132" s="27" t="s">
        <v>251</v>
      </c>
      <c r="G132" s="26">
        <v>30.0</v>
      </c>
      <c r="H132" s="28">
        <v>0.0</v>
      </c>
    </row>
    <row r="133" ht="22.5" customHeight="1">
      <c r="A133" s="25" t="str">
        <f t="shared" si="1"/>
        <v>มือจับบานเลื่อน Hoya แขวน ฝัง--ดำ</v>
      </c>
      <c r="B133" s="26" t="s">
        <v>250</v>
      </c>
      <c r="C133" s="25"/>
      <c r="D133" s="26" t="s">
        <v>103</v>
      </c>
      <c r="E133" s="26"/>
      <c r="F133" s="27" t="s">
        <v>252</v>
      </c>
      <c r="G133" s="26">
        <v>12.0</v>
      </c>
      <c r="H133" s="28">
        <v>0.0</v>
      </c>
    </row>
    <row r="134" ht="22.5" customHeight="1">
      <c r="A134" s="25" t="str">
        <f t="shared" si="1"/>
        <v>มือจับบานเลื่อน Hoya แขวน ฝัง--เงิน</v>
      </c>
      <c r="B134" s="26" t="s">
        <v>250</v>
      </c>
      <c r="C134" s="25"/>
      <c r="D134" s="26" t="s">
        <v>201</v>
      </c>
      <c r="E134" s="26"/>
      <c r="F134" s="27" t="s">
        <v>253</v>
      </c>
      <c r="G134" s="26">
        <v>6.0</v>
      </c>
      <c r="H134" s="28">
        <v>0.0</v>
      </c>
    </row>
    <row r="135" ht="22.5" customHeight="1">
      <c r="A135" s="25" t="str">
        <f t="shared" si="1"/>
        <v>มือจับบานเลื่อน Hoya แขวน ฝัง--ชา</v>
      </c>
      <c r="B135" s="26" t="s">
        <v>250</v>
      </c>
      <c r="C135" s="25"/>
      <c r="D135" s="26" t="s">
        <v>254</v>
      </c>
      <c r="E135" s="26"/>
      <c r="F135" s="27" t="s">
        <v>255</v>
      </c>
      <c r="G135" s="26">
        <v>87.0</v>
      </c>
      <c r="H135" s="28">
        <v>0.0</v>
      </c>
    </row>
    <row r="136" ht="22.5" customHeight="1">
      <c r="A136" s="25" t="str">
        <f t="shared" si="1"/>
        <v>มือจับบานกระทุ้ง ไฮด้า -ขวา-ดำ + ขาว</v>
      </c>
      <c r="B136" s="26" t="s">
        <v>256</v>
      </c>
      <c r="C136" s="25" t="s">
        <v>257</v>
      </c>
      <c r="D136" s="26" t="s">
        <v>258</v>
      </c>
      <c r="E136" s="26"/>
      <c r="F136" s="30" t="s">
        <v>259</v>
      </c>
      <c r="G136" s="26" t="s">
        <v>260</v>
      </c>
      <c r="H136" s="28">
        <v>0.0</v>
      </c>
    </row>
    <row r="137" ht="22.5" customHeight="1">
      <c r="A137" s="25" t="str">
        <f t="shared" si="1"/>
        <v>มือจับบานกระทุ้ง ไฮด้า -ซ้าย-ดำ + ขาว</v>
      </c>
      <c r="B137" s="26" t="s">
        <v>256</v>
      </c>
      <c r="C137" s="25" t="s">
        <v>261</v>
      </c>
      <c r="D137" s="26" t="s">
        <v>258</v>
      </c>
      <c r="E137" s="26"/>
      <c r="F137" s="27" t="s">
        <v>262</v>
      </c>
      <c r="G137" s="26" t="s">
        <v>263</v>
      </c>
      <c r="H137" s="28">
        <v>0.0</v>
      </c>
    </row>
    <row r="138" ht="22.5" customHeight="1">
      <c r="A138" s="31" t="str">
        <f t="shared" si="1"/>
        <v>มือจับเขาควาย-มีรู + ไม่มีรู-อบขาว</v>
      </c>
      <c r="B138" s="26" t="s">
        <v>264</v>
      </c>
      <c r="C138" s="25" t="s">
        <v>265</v>
      </c>
      <c r="D138" s="26" t="s">
        <v>105</v>
      </c>
      <c r="E138" s="26"/>
      <c r="F138" s="27" t="s">
        <v>266</v>
      </c>
      <c r="G138" s="28"/>
      <c r="H138" s="28">
        <v>0.0</v>
      </c>
    </row>
    <row r="139" ht="22.5" customHeight="1">
      <c r="A139" s="31" t="str">
        <f t="shared" si="1"/>
        <v>มือจับเขาควาย-มีรู + ไม่มีรู-ดำ</v>
      </c>
      <c r="B139" s="26" t="s">
        <v>264</v>
      </c>
      <c r="C139" s="25" t="s">
        <v>265</v>
      </c>
      <c r="D139" s="26" t="s">
        <v>103</v>
      </c>
      <c r="E139" s="26"/>
      <c r="F139" s="27" t="s">
        <v>266</v>
      </c>
      <c r="G139" s="28"/>
      <c r="H139" s="28">
        <v>0.0</v>
      </c>
    </row>
    <row r="140" ht="22.5" customHeight="1">
      <c r="A140" s="31" t="str">
        <f t="shared" si="1"/>
        <v>มือจับก้านโยกหลบมุ้ง-ขวา-ดำ + ขาว</v>
      </c>
      <c r="B140" s="26" t="s">
        <v>267</v>
      </c>
      <c r="C140" s="25" t="s">
        <v>257</v>
      </c>
      <c r="D140" s="26" t="s">
        <v>258</v>
      </c>
      <c r="E140" s="26"/>
      <c r="F140" s="27" t="s">
        <v>188</v>
      </c>
      <c r="G140" s="28"/>
      <c r="H140" s="28">
        <v>0.0</v>
      </c>
    </row>
    <row r="141" ht="22.5" customHeight="1">
      <c r="A141" s="31" t="str">
        <f t="shared" si="1"/>
        <v>มือจับก้านโยกหลบมุ้ง-ซ้าย-ดำ + ขาว</v>
      </c>
      <c r="B141" s="26" t="s">
        <v>267</v>
      </c>
      <c r="C141" s="25" t="s">
        <v>261</v>
      </c>
      <c r="D141" s="26" t="s">
        <v>258</v>
      </c>
      <c r="E141" s="26"/>
      <c r="F141" s="27" t="s">
        <v>185</v>
      </c>
      <c r="G141" s="28"/>
      <c r="H141" s="28">
        <v>0.0</v>
      </c>
    </row>
    <row r="142" ht="22.5" customHeight="1">
      <c r="A142" s="25" t="str">
        <f t="shared" si="1"/>
        <v>มือจับบานเปิด เซ่นซ่า แม่นํ้า-ล็อค = 1 -ดำ + ขาว</v>
      </c>
      <c r="B142" s="26" t="s">
        <v>268</v>
      </c>
      <c r="C142" s="25" t="s">
        <v>269</v>
      </c>
      <c r="D142" s="26" t="s">
        <v>258</v>
      </c>
      <c r="E142" s="26"/>
      <c r="F142" s="27" t="s">
        <v>270</v>
      </c>
      <c r="G142" s="28"/>
      <c r="H142" s="28">
        <v>0.0</v>
      </c>
    </row>
    <row r="143" ht="22.5" customHeight="1">
      <c r="A143" s="25" t="str">
        <f t="shared" si="1"/>
        <v>มือจับบานเปิด เซ่นซ่า แม่นํ้า-ดัมมี่ = 5-ดำ + ขาว</v>
      </c>
      <c r="B143" s="26" t="s">
        <v>268</v>
      </c>
      <c r="C143" s="25" t="s">
        <v>271</v>
      </c>
      <c r="D143" s="26" t="s">
        <v>258</v>
      </c>
      <c r="E143" s="26"/>
      <c r="F143" s="27" t="s">
        <v>272</v>
      </c>
      <c r="G143" s="28"/>
      <c r="H143" s="28">
        <v>0.0</v>
      </c>
    </row>
    <row r="144" ht="22.5" customHeight="1">
      <c r="A144" s="25" t="str">
        <f t="shared" si="1"/>
        <v>มือจับปากเป็ด CMECH--เงิน</v>
      </c>
      <c r="B144" s="26" t="s">
        <v>199</v>
      </c>
      <c r="C144" s="25"/>
      <c r="D144" s="26" t="s">
        <v>201</v>
      </c>
      <c r="E144" s="26"/>
      <c r="F144" s="27" t="s">
        <v>202</v>
      </c>
      <c r="G144" s="28"/>
      <c r="H144" s="28">
        <v>0.0</v>
      </c>
    </row>
    <row r="145" ht="22.5" customHeight="1">
      <c r="A145" s="25" t="str">
        <f t="shared" si="1"/>
        <v>มือจับปากเป็ด CMECH--ดำ</v>
      </c>
      <c r="B145" s="26" t="s">
        <v>199</v>
      </c>
      <c r="C145" s="25"/>
      <c r="D145" s="26" t="s">
        <v>103</v>
      </c>
      <c r="E145" s="26"/>
      <c r="F145" s="27" t="s">
        <v>200</v>
      </c>
      <c r="G145" s="28"/>
      <c r="H145" s="28">
        <v>0.0</v>
      </c>
    </row>
    <row r="146" ht="22.5" customHeight="1">
      <c r="A146" s="25" t="str">
        <f t="shared" si="1"/>
        <v>บานพับคอเสือ -ขวา-ดำ</v>
      </c>
      <c r="B146" s="26" t="s">
        <v>273</v>
      </c>
      <c r="C146" s="25" t="s">
        <v>257</v>
      </c>
      <c r="D146" s="26" t="s">
        <v>103</v>
      </c>
      <c r="E146" s="26"/>
      <c r="F146" s="27" t="s">
        <v>274</v>
      </c>
      <c r="G146" s="26">
        <v>12.0</v>
      </c>
      <c r="H146" s="28">
        <v>0.0</v>
      </c>
    </row>
    <row r="147" ht="22.5" customHeight="1">
      <c r="A147" s="25" t="str">
        <f t="shared" si="1"/>
        <v>บานพับคอเสือ -ซ้าย-ดำ</v>
      </c>
      <c r="B147" s="26" t="s">
        <v>273</v>
      </c>
      <c r="C147" s="25" t="s">
        <v>261</v>
      </c>
      <c r="D147" s="26" t="s">
        <v>103</v>
      </c>
      <c r="E147" s="26"/>
      <c r="F147" s="27" t="s">
        <v>274</v>
      </c>
      <c r="G147" s="26">
        <v>16.0</v>
      </c>
      <c r="H147" s="28">
        <v>0.0</v>
      </c>
    </row>
    <row r="148" ht="22.5" customHeight="1">
      <c r="A148" s="25" t="str">
        <f t="shared" si="1"/>
        <v>--</v>
      </c>
      <c r="B148" s="26"/>
      <c r="C148" s="25"/>
      <c r="D148" s="26"/>
      <c r="E148" s="26"/>
      <c r="F148" s="39"/>
      <c r="G148" s="28"/>
      <c r="H148" s="28">
        <v>0.0</v>
      </c>
    </row>
    <row r="149" ht="22.5" customHeight="1">
      <c r="A149" s="25" t="str">
        <f t="shared" si="1"/>
        <v>--</v>
      </c>
      <c r="B149" s="26"/>
      <c r="C149" s="25"/>
      <c r="D149" s="26"/>
      <c r="E149" s="26"/>
      <c r="F149" s="39"/>
      <c r="G149" s="28"/>
      <c r="H149" s="28">
        <v>0.0</v>
      </c>
    </row>
    <row r="150" ht="22.5" customHeight="1">
      <c r="A150" s="25" t="str">
        <f t="shared" si="1"/>
        <v>--</v>
      </c>
      <c r="B150" s="26"/>
      <c r="C150" s="25"/>
      <c r="D150" s="26"/>
      <c r="E150" s="26"/>
      <c r="F150" s="39"/>
      <c r="G150" s="28"/>
      <c r="H150" s="28">
        <v>0.0</v>
      </c>
    </row>
    <row r="151" ht="22.5" customHeight="1">
      <c r="A151" s="25" t="str">
        <f t="shared" si="1"/>
        <v>--</v>
      </c>
      <c r="B151" s="26"/>
      <c r="C151" s="25"/>
      <c r="D151" s="26"/>
      <c r="E151" s="26"/>
      <c r="F151" s="39"/>
      <c r="G151" s="28"/>
      <c r="H151" s="28">
        <v>0.0</v>
      </c>
    </row>
    <row r="152" ht="22.5" customHeight="1">
      <c r="A152" s="25" t="str">
        <f t="shared" si="1"/>
        <v>--</v>
      </c>
      <c r="B152" s="26"/>
      <c r="C152" s="25"/>
      <c r="D152" s="26"/>
      <c r="E152" s="26"/>
      <c r="F152" s="39"/>
      <c r="G152" s="28"/>
      <c r="H152" s="28">
        <v>0.0</v>
      </c>
    </row>
    <row r="153" ht="22.5" customHeight="1">
      <c r="A153" s="25" t="str">
        <f t="shared" si="1"/>
        <v>--</v>
      </c>
      <c r="B153" s="26"/>
      <c r="C153" s="25"/>
      <c r="D153" s="26"/>
      <c r="E153" s="26"/>
      <c r="F153" s="39"/>
      <c r="G153" s="28"/>
      <c r="H153" s="28">
        <v>0.0</v>
      </c>
    </row>
    <row r="154" ht="22.5" customHeight="1">
      <c r="A154" s="25" t="str">
        <f t="shared" si="1"/>
        <v>--</v>
      </c>
      <c r="B154" s="26"/>
      <c r="C154" s="25"/>
      <c r="D154" s="26"/>
      <c r="E154" s="26"/>
      <c r="F154" s="39"/>
      <c r="G154" s="28"/>
      <c r="H154" s="28">
        <v>0.0</v>
      </c>
    </row>
    <row r="155" ht="22.5" customHeight="1">
      <c r="A155" s="25" t="str">
        <f t="shared" si="1"/>
        <v>--</v>
      </c>
      <c r="B155" s="26"/>
      <c r="C155" s="25"/>
      <c r="D155" s="26"/>
      <c r="E155" s="26"/>
      <c r="F155" s="39"/>
      <c r="G155" s="28"/>
      <c r="H155" s="28">
        <v>0.0</v>
      </c>
    </row>
    <row r="156" ht="22.5" customHeight="1">
      <c r="A156" s="25" t="str">
        <f t="shared" si="1"/>
        <v>--</v>
      </c>
      <c r="B156" s="26"/>
      <c r="C156" s="25"/>
      <c r="D156" s="26"/>
      <c r="E156" s="26"/>
      <c r="F156" s="39"/>
      <c r="G156" s="28"/>
      <c r="H156" s="28">
        <v>0.0</v>
      </c>
    </row>
    <row r="157" ht="22.5" customHeight="1">
      <c r="A157" s="25" t="str">
        <f t="shared" si="1"/>
        <v>--</v>
      </c>
      <c r="B157" s="26"/>
      <c r="C157" s="25"/>
      <c r="D157" s="26"/>
      <c r="E157" s="26"/>
      <c r="F157" s="39"/>
      <c r="G157" s="28"/>
      <c r="H157" s="28">
        <v>0.0</v>
      </c>
    </row>
    <row r="158" ht="22.5" customHeight="1">
      <c r="A158" s="25" t="str">
        <f t="shared" si="1"/>
        <v>--</v>
      </c>
      <c r="B158" s="26"/>
      <c r="C158" s="25"/>
      <c r="D158" s="26"/>
      <c r="E158" s="26"/>
      <c r="F158" s="39"/>
      <c r="G158" s="28"/>
      <c r="H158" s="28">
        <v>0.0</v>
      </c>
    </row>
    <row r="159" ht="22.5" customHeight="1">
      <c r="A159" s="25" t="str">
        <f t="shared" si="1"/>
        <v>--</v>
      </c>
      <c r="B159" s="26"/>
      <c r="C159" s="25"/>
      <c r="D159" s="26"/>
      <c r="E159" s="26"/>
      <c r="F159" s="39"/>
      <c r="G159" s="28"/>
      <c r="H159" s="28">
        <v>0.0</v>
      </c>
    </row>
    <row r="160" ht="22.5" customHeight="1">
      <c r="A160" s="25" t="str">
        <f t="shared" si="1"/>
        <v>--</v>
      </c>
      <c r="B160" s="26"/>
      <c r="C160" s="25"/>
      <c r="D160" s="26"/>
      <c r="E160" s="26"/>
      <c r="F160" s="39"/>
      <c r="G160" s="28"/>
      <c r="H160" s="28">
        <v>0.0</v>
      </c>
    </row>
    <row r="161" ht="22.5" customHeight="1">
      <c r="A161" s="25" t="str">
        <f t="shared" si="1"/>
        <v>--</v>
      </c>
      <c r="B161" s="26"/>
      <c r="C161" s="25"/>
      <c r="D161" s="26"/>
      <c r="E161" s="26"/>
      <c r="F161" s="39"/>
      <c r="G161" s="28"/>
      <c r="H161" s="28">
        <v>0.0</v>
      </c>
    </row>
    <row r="162" ht="22.5" customHeight="1">
      <c r="A162" s="25" t="str">
        <f t="shared" si="1"/>
        <v>--</v>
      </c>
      <c r="B162" s="26"/>
      <c r="C162" s="25"/>
      <c r="D162" s="26"/>
      <c r="E162" s="26"/>
      <c r="F162" s="39"/>
      <c r="G162" s="28"/>
      <c r="H162" s="28">
        <v>0.0</v>
      </c>
    </row>
    <row r="163" ht="22.5" customHeight="1">
      <c r="A163" s="25" t="str">
        <f t="shared" si="1"/>
        <v>--</v>
      </c>
      <c r="B163" s="26"/>
      <c r="C163" s="25"/>
      <c r="D163" s="26"/>
      <c r="E163" s="26"/>
      <c r="F163" s="39"/>
      <c r="G163" s="28"/>
      <c r="H163" s="28">
        <v>0.0</v>
      </c>
    </row>
    <row r="164" ht="22.5" customHeight="1">
      <c r="A164" s="25" t="str">
        <f t="shared" si="1"/>
        <v>--</v>
      </c>
      <c r="B164" s="26"/>
      <c r="C164" s="25"/>
      <c r="D164" s="26"/>
      <c r="E164" s="26"/>
      <c r="F164" s="39"/>
      <c r="G164" s="28"/>
      <c r="H164" s="28">
        <v>0.0</v>
      </c>
    </row>
    <row r="165" ht="22.5" customHeight="1">
      <c r="A165" s="25" t="str">
        <f t="shared" si="1"/>
        <v>--</v>
      </c>
      <c r="B165" s="26"/>
      <c r="C165" s="25"/>
      <c r="D165" s="26"/>
      <c r="E165" s="26"/>
      <c r="F165" s="39"/>
      <c r="G165" s="28"/>
      <c r="H165" s="28">
        <v>0.0</v>
      </c>
    </row>
    <row r="166">
      <c r="A166" s="40"/>
      <c r="B166" s="41"/>
      <c r="C166" s="40"/>
      <c r="D166" s="41"/>
      <c r="E166" s="41"/>
      <c r="F166" s="41"/>
      <c r="G166" s="41"/>
      <c r="H166" s="41"/>
    </row>
    <row r="167">
      <c r="A167" s="40"/>
      <c r="B167" s="41"/>
      <c r="C167" s="40"/>
      <c r="D167" s="41"/>
      <c r="E167" s="41"/>
      <c r="F167" s="41"/>
      <c r="G167" s="41"/>
      <c r="H167" s="41"/>
    </row>
    <row r="168">
      <c r="A168" s="40"/>
      <c r="B168" s="41"/>
      <c r="C168" s="40"/>
      <c r="D168" s="41"/>
      <c r="E168" s="41"/>
      <c r="F168" s="41"/>
      <c r="G168" s="41"/>
      <c r="H168" s="41"/>
    </row>
    <row r="169">
      <c r="A169" s="40"/>
      <c r="B169" s="41"/>
      <c r="C169" s="40"/>
      <c r="D169" s="41"/>
      <c r="E169" s="41"/>
      <c r="F169" s="41"/>
      <c r="G169" s="41"/>
      <c r="H169" s="41"/>
    </row>
    <row r="170">
      <c r="A170" s="40"/>
      <c r="B170" s="41"/>
      <c r="C170" s="40"/>
      <c r="D170" s="41"/>
      <c r="E170" s="41"/>
      <c r="F170" s="41"/>
      <c r="G170" s="41"/>
      <c r="H170" s="41"/>
    </row>
    <row r="171">
      <c r="A171" s="40"/>
      <c r="B171" s="41"/>
      <c r="C171" s="40"/>
      <c r="D171" s="41"/>
      <c r="E171" s="41"/>
      <c r="F171" s="41"/>
      <c r="G171" s="41"/>
      <c r="H171" s="41"/>
    </row>
    <row r="172">
      <c r="A172" s="40"/>
      <c r="B172" s="41"/>
      <c r="C172" s="40"/>
      <c r="D172" s="41"/>
      <c r="E172" s="41"/>
      <c r="F172" s="41"/>
      <c r="G172" s="41"/>
      <c r="H172" s="41"/>
    </row>
    <row r="173">
      <c r="A173" s="40"/>
      <c r="B173" s="41"/>
      <c r="C173" s="40"/>
      <c r="D173" s="41"/>
      <c r="E173" s="41"/>
      <c r="F173" s="41"/>
      <c r="G173" s="41"/>
      <c r="H173" s="41"/>
    </row>
    <row r="174">
      <c r="A174" s="40"/>
      <c r="B174" s="41"/>
      <c r="C174" s="40"/>
      <c r="D174" s="41"/>
      <c r="E174" s="41"/>
      <c r="F174" s="41"/>
      <c r="G174" s="41"/>
      <c r="H174" s="41"/>
    </row>
    <row r="175">
      <c r="A175" s="40"/>
      <c r="B175" s="41"/>
      <c r="C175" s="40"/>
      <c r="D175" s="41"/>
      <c r="E175" s="41"/>
      <c r="F175" s="41"/>
      <c r="G175" s="41"/>
      <c r="H175" s="41"/>
    </row>
    <row r="176">
      <c r="A176" s="40"/>
      <c r="B176" s="41"/>
      <c r="C176" s="40"/>
      <c r="D176" s="41"/>
      <c r="E176" s="41"/>
      <c r="F176" s="41"/>
      <c r="G176" s="41"/>
      <c r="H176" s="41"/>
    </row>
    <row r="177">
      <c r="A177" s="40"/>
      <c r="B177" s="41"/>
      <c r="C177" s="40"/>
      <c r="D177" s="41"/>
      <c r="E177" s="41"/>
      <c r="F177" s="41"/>
      <c r="G177" s="41"/>
      <c r="H177" s="41"/>
    </row>
    <row r="178">
      <c r="A178" s="40"/>
      <c r="B178" s="41"/>
      <c r="C178" s="40"/>
      <c r="D178" s="41"/>
      <c r="E178" s="41"/>
      <c r="F178" s="41"/>
      <c r="G178" s="41"/>
      <c r="H178" s="41"/>
    </row>
    <row r="179">
      <c r="A179" s="40"/>
      <c r="B179" s="41"/>
      <c r="C179" s="40"/>
      <c r="D179" s="41"/>
      <c r="E179" s="41"/>
      <c r="F179" s="41"/>
      <c r="G179" s="41"/>
      <c r="H179" s="41"/>
    </row>
    <row r="180">
      <c r="A180" s="40"/>
      <c r="B180" s="41"/>
      <c r="C180" s="40"/>
      <c r="D180" s="41"/>
      <c r="E180" s="41"/>
      <c r="F180" s="41"/>
      <c r="G180" s="41"/>
      <c r="H180" s="41"/>
    </row>
    <row r="181">
      <c r="A181" s="40"/>
      <c r="B181" s="41"/>
      <c r="C181" s="40"/>
      <c r="D181" s="41"/>
      <c r="E181" s="41"/>
      <c r="F181" s="41"/>
      <c r="G181" s="41"/>
      <c r="H181" s="41"/>
    </row>
    <row r="182">
      <c r="A182" s="40"/>
      <c r="B182" s="41"/>
      <c r="C182" s="40"/>
      <c r="D182" s="41"/>
      <c r="E182" s="41"/>
      <c r="F182" s="41"/>
      <c r="G182" s="41"/>
      <c r="H182" s="41"/>
    </row>
    <row r="183">
      <c r="A183" s="40"/>
      <c r="B183" s="41"/>
      <c r="C183" s="40"/>
      <c r="D183" s="41"/>
      <c r="E183" s="41"/>
      <c r="F183" s="41"/>
      <c r="G183" s="41"/>
      <c r="H183" s="41"/>
    </row>
    <row r="184">
      <c r="A184" s="40"/>
      <c r="B184" s="41"/>
      <c r="C184" s="40"/>
      <c r="D184" s="41"/>
      <c r="E184" s="41"/>
      <c r="F184" s="41"/>
      <c r="G184" s="41"/>
      <c r="H184" s="41"/>
    </row>
    <row r="185">
      <c r="A185" s="40"/>
      <c r="B185" s="41"/>
      <c r="C185" s="40"/>
      <c r="D185" s="41"/>
      <c r="E185" s="41"/>
      <c r="F185" s="41"/>
      <c r="G185" s="41"/>
      <c r="H185" s="41"/>
    </row>
    <row r="186">
      <c r="A186" s="40"/>
      <c r="B186" s="41"/>
      <c r="C186" s="40"/>
      <c r="D186" s="41"/>
      <c r="E186" s="41"/>
      <c r="F186" s="41"/>
      <c r="G186" s="41"/>
      <c r="H186" s="41"/>
    </row>
    <row r="187">
      <c r="A187" s="40"/>
      <c r="B187" s="41"/>
      <c r="C187" s="40"/>
      <c r="D187" s="41"/>
      <c r="E187" s="41"/>
      <c r="F187" s="41"/>
      <c r="G187" s="41"/>
      <c r="H187" s="41"/>
    </row>
    <row r="188">
      <c r="A188" s="40"/>
      <c r="B188" s="41"/>
      <c r="C188" s="40"/>
      <c r="D188" s="41"/>
      <c r="E188" s="41"/>
      <c r="F188" s="41"/>
      <c r="G188" s="41"/>
      <c r="H188" s="41"/>
    </row>
    <row r="189">
      <c r="A189" s="40"/>
      <c r="B189" s="41"/>
      <c r="C189" s="40"/>
      <c r="D189" s="41"/>
      <c r="E189" s="41"/>
      <c r="F189" s="41"/>
      <c r="G189" s="41"/>
      <c r="H189" s="41"/>
    </row>
    <row r="190">
      <c r="A190" s="40"/>
      <c r="B190" s="41"/>
      <c r="C190" s="40"/>
      <c r="D190" s="41"/>
      <c r="E190" s="41"/>
      <c r="F190" s="41"/>
      <c r="G190" s="41"/>
      <c r="H190" s="41"/>
    </row>
    <row r="191">
      <c r="A191" s="40"/>
      <c r="B191" s="41"/>
      <c r="C191" s="40"/>
      <c r="D191" s="41"/>
      <c r="E191" s="41"/>
      <c r="F191" s="41"/>
      <c r="G191" s="41"/>
      <c r="H191" s="41"/>
    </row>
    <row r="192">
      <c r="A192" s="40"/>
      <c r="B192" s="41"/>
      <c r="C192" s="40"/>
      <c r="D192" s="41"/>
      <c r="E192" s="41"/>
      <c r="F192" s="41"/>
      <c r="G192" s="41"/>
      <c r="H192" s="41"/>
    </row>
    <row r="193">
      <c r="A193" s="40"/>
      <c r="B193" s="41"/>
      <c r="C193" s="40"/>
      <c r="D193" s="41"/>
      <c r="E193" s="41"/>
      <c r="F193" s="41"/>
      <c r="G193" s="41"/>
      <c r="H193" s="41"/>
    </row>
    <row r="194">
      <c r="A194" s="40"/>
      <c r="B194" s="41"/>
      <c r="C194" s="40"/>
      <c r="D194" s="41"/>
      <c r="E194" s="41"/>
      <c r="F194" s="41"/>
      <c r="G194" s="41"/>
      <c r="H194" s="41"/>
    </row>
    <row r="195">
      <c r="A195" s="40"/>
      <c r="B195" s="41"/>
      <c r="C195" s="40"/>
      <c r="D195" s="41"/>
      <c r="E195" s="41"/>
      <c r="F195" s="41"/>
      <c r="G195" s="41"/>
      <c r="H195" s="41"/>
    </row>
    <row r="196">
      <c r="A196" s="40"/>
      <c r="B196" s="41"/>
      <c r="C196" s="40"/>
      <c r="D196" s="41"/>
      <c r="E196" s="41"/>
      <c r="F196" s="41"/>
      <c r="G196" s="41"/>
      <c r="H196" s="41"/>
    </row>
    <row r="197">
      <c r="A197" s="40"/>
      <c r="B197" s="41"/>
      <c r="C197" s="40"/>
      <c r="D197" s="41"/>
      <c r="E197" s="41"/>
      <c r="F197" s="41"/>
      <c r="G197" s="41"/>
      <c r="H197" s="41"/>
    </row>
    <row r="198">
      <c r="A198" s="40"/>
      <c r="B198" s="41"/>
      <c r="C198" s="40"/>
      <c r="D198" s="41"/>
      <c r="E198" s="41"/>
      <c r="F198" s="41"/>
      <c r="G198" s="41"/>
      <c r="H198" s="41"/>
    </row>
    <row r="199">
      <c r="A199" s="40"/>
      <c r="B199" s="41"/>
      <c r="C199" s="40"/>
      <c r="D199" s="41"/>
      <c r="E199" s="41"/>
      <c r="F199" s="41"/>
      <c r="G199" s="41"/>
      <c r="H199" s="41"/>
    </row>
    <row r="200">
      <c r="A200" s="40"/>
      <c r="B200" s="41"/>
      <c r="C200" s="40"/>
      <c r="D200" s="41"/>
      <c r="E200" s="41"/>
      <c r="F200" s="41"/>
      <c r="G200" s="41"/>
      <c r="H200" s="41"/>
    </row>
    <row r="201">
      <c r="A201" s="40"/>
      <c r="B201" s="41"/>
      <c r="C201" s="40"/>
      <c r="D201" s="41"/>
      <c r="E201" s="41"/>
      <c r="F201" s="41"/>
      <c r="G201" s="41"/>
      <c r="H201" s="41"/>
    </row>
    <row r="202">
      <c r="A202" s="40"/>
      <c r="B202" s="41"/>
      <c r="C202" s="40"/>
      <c r="D202" s="41"/>
      <c r="E202" s="41"/>
      <c r="F202" s="41"/>
      <c r="G202" s="41"/>
      <c r="H202" s="41"/>
    </row>
    <row r="203">
      <c r="A203" s="40"/>
      <c r="B203" s="41"/>
      <c r="C203" s="40"/>
      <c r="D203" s="41"/>
      <c r="E203" s="41"/>
      <c r="F203" s="41"/>
      <c r="G203" s="41"/>
      <c r="H203" s="41"/>
    </row>
    <row r="204">
      <c r="A204" s="40"/>
      <c r="B204" s="41"/>
      <c r="C204" s="40"/>
      <c r="D204" s="41"/>
      <c r="E204" s="41"/>
      <c r="F204" s="41"/>
      <c r="G204" s="41"/>
      <c r="H204" s="41"/>
    </row>
    <row r="205">
      <c r="A205" s="40"/>
      <c r="B205" s="41"/>
      <c r="C205" s="40"/>
      <c r="D205" s="41"/>
      <c r="E205" s="41"/>
      <c r="F205" s="41"/>
      <c r="G205" s="41"/>
      <c r="H205" s="41"/>
    </row>
    <row r="206">
      <c r="A206" s="40"/>
      <c r="B206" s="41"/>
      <c r="C206" s="40"/>
      <c r="D206" s="41"/>
      <c r="E206" s="41"/>
      <c r="F206" s="41"/>
      <c r="G206" s="41"/>
      <c r="H206" s="41"/>
    </row>
    <row r="207">
      <c r="A207" s="40"/>
      <c r="B207" s="41"/>
      <c r="C207" s="40"/>
      <c r="D207" s="41"/>
      <c r="E207" s="41"/>
      <c r="F207" s="41"/>
      <c r="G207" s="41"/>
      <c r="H207" s="41"/>
    </row>
    <row r="208">
      <c r="A208" s="40"/>
      <c r="B208" s="41"/>
      <c r="C208" s="40"/>
      <c r="D208" s="41"/>
      <c r="E208" s="41"/>
      <c r="F208" s="41"/>
      <c r="G208" s="41"/>
      <c r="H208" s="41"/>
    </row>
    <row r="209">
      <c r="A209" s="40"/>
      <c r="B209" s="41"/>
      <c r="C209" s="40"/>
      <c r="D209" s="41"/>
      <c r="E209" s="41"/>
      <c r="F209" s="41"/>
      <c r="G209" s="41"/>
      <c r="H209" s="41"/>
    </row>
    <row r="210">
      <c r="A210" s="40"/>
      <c r="B210" s="41"/>
      <c r="C210" s="40"/>
      <c r="D210" s="41"/>
      <c r="E210" s="41"/>
      <c r="F210" s="41"/>
      <c r="G210" s="41"/>
      <c r="H210" s="41"/>
    </row>
    <row r="211">
      <c r="A211" s="40"/>
      <c r="B211" s="41"/>
      <c r="C211" s="40"/>
      <c r="D211" s="41"/>
      <c r="E211" s="41"/>
      <c r="F211" s="41"/>
      <c r="G211" s="41"/>
      <c r="H211" s="41"/>
    </row>
    <row r="212">
      <c r="A212" s="40"/>
      <c r="B212" s="41"/>
      <c r="C212" s="40"/>
      <c r="D212" s="41"/>
      <c r="E212" s="41"/>
      <c r="F212" s="41"/>
      <c r="G212" s="41"/>
      <c r="H212" s="41"/>
    </row>
    <row r="213">
      <c r="A213" s="40"/>
      <c r="B213" s="41"/>
      <c r="C213" s="40"/>
      <c r="D213" s="41"/>
      <c r="E213" s="41"/>
      <c r="F213" s="41"/>
      <c r="G213" s="41"/>
      <c r="H213" s="41"/>
    </row>
    <row r="214">
      <c r="A214" s="40"/>
      <c r="B214" s="41"/>
      <c r="C214" s="40"/>
      <c r="D214" s="41"/>
      <c r="E214" s="41"/>
      <c r="F214" s="41"/>
      <c r="G214" s="41"/>
      <c r="H214" s="41"/>
    </row>
    <row r="215">
      <c r="A215" s="40"/>
      <c r="B215" s="41"/>
      <c r="C215" s="40"/>
      <c r="D215" s="41"/>
      <c r="E215" s="41"/>
      <c r="F215" s="41"/>
      <c r="G215" s="41"/>
      <c r="H215" s="41"/>
    </row>
    <row r="216">
      <c r="A216" s="40"/>
      <c r="B216" s="41"/>
      <c r="C216" s="40"/>
      <c r="D216" s="41"/>
      <c r="E216" s="41"/>
      <c r="F216" s="41"/>
      <c r="G216" s="41"/>
      <c r="H216" s="41"/>
    </row>
    <row r="217">
      <c r="A217" s="40"/>
      <c r="B217" s="41"/>
      <c r="C217" s="40"/>
      <c r="D217" s="41"/>
      <c r="E217" s="41"/>
      <c r="F217" s="41"/>
      <c r="G217" s="41"/>
      <c r="H217" s="41"/>
    </row>
    <row r="218">
      <c r="A218" s="40"/>
      <c r="B218" s="41"/>
      <c r="C218" s="40"/>
      <c r="D218" s="41"/>
      <c r="E218" s="41"/>
      <c r="F218" s="41"/>
      <c r="G218" s="41"/>
      <c r="H218" s="41"/>
    </row>
    <row r="219">
      <c r="A219" s="40"/>
      <c r="B219" s="41"/>
      <c r="C219" s="40"/>
      <c r="D219" s="41"/>
      <c r="E219" s="41"/>
      <c r="F219" s="41"/>
      <c r="G219" s="41"/>
      <c r="H219" s="41"/>
    </row>
    <row r="220">
      <c r="A220" s="40"/>
      <c r="B220" s="41"/>
      <c r="C220" s="40"/>
      <c r="D220" s="41"/>
      <c r="E220" s="41"/>
      <c r="F220" s="41"/>
      <c r="G220" s="41"/>
      <c r="H220" s="41"/>
    </row>
    <row r="221">
      <c r="A221" s="40"/>
      <c r="B221" s="41"/>
      <c r="C221" s="40"/>
      <c r="D221" s="41"/>
      <c r="E221" s="41"/>
      <c r="F221" s="41"/>
      <c r="G221" s="41"/>
      <c r="H221" s="41"/>
    </row>
    <row r="222">
      <c r="A222" s="40"/>
      <c r="B222" s="41"/>
      <c r="C222" s="40"/>
      <c r="D222" s="41"/>
      <c r="E222" s="41"/>
      <c r="F222" s="41"/>
      <c r="G222" s="41"/>
      <c r="H222" s="41"/>
    </row>
    <row r="223">
      <c r="A223" s="40"/>
      <c r="B223" s="41"/>
      <c r="C223" s="40"/>
      <c r="D223" s="41"/>
      <c r="E223" s="41"/>
      <c r="F223" s="41"/>
      <c r="G223" s="41"/>
      <c r="H223" s="41"/>
    </row>
    <row r="224">
      <c r="A224" s="40"/>
      <c r="B224" s="41"/>
      <c r="C224" s="40"/>
      <c r="D224" s="41"/>
      <c r="E224" s="41"/>
      <c r="F224" s="41"/>
      <c r="G224" s="41"/>
      <c r="H224" s="41"/>
    </row>
    <row r="225">
      <c r="A225" s="40"/>
      <c r="B225" s="41"/>
      <c r="C225" s="40"/>
      <c r="D225" s="41"/>
      <c r="E225" s="41"/>
      <c r="F225" s="41"/>
      <c r="G225" s="41"/>
      <c r="H225" s="41"/>
    </row>
    <row r="226">
      <c r="A226" s="40"/>
      <c r="B226" s="41"/>
      <c r="C226" s="40"/>
      <c r="D226" s="41"/>
      <c r="E226" s="41"/>
      <c r="F226" s="41"/>
      <c r="G226" s="41"/>
      <c r="H226" s="41"/>
    </row>
    <row r="227">
      <c r="A227" s="40"/>
      <c r="B227" s="41"/>
      <c r="C227" s="40"/>
      <c r="D227" s="41"/>
      <c r="E227" s="41"/>
      <c r="F227" s="41"/>
      <c r="G227" s="41"/>
      <c r="H227" s="41"/>
    </row>
    <row r="228">
      <c r="A228" s="40"/>
      <c r="B228" s="41"/>
      <c r="C228" s="40"/>
      <c r="D228" s="41"/>
      <c r="E228" s="41"/>
      <c r="F228" s="41"/>
      <c r="G228" s="41"/>
      <c r="H228" s="41"/>
    </row>
    <row r="229">
      <c r="A229" s="40"/>
      <c r="B229" s="41"/>
      <c r="C229" s="40"/>
      <c r="D229" s="41"/>
      <c r="E229" s="41"/>
      <c r="F229" s="41"/>
      <c r="G229" s="41"/>
      <c r="H229" s="41"/>
    </row>
    <row r="230">
      <c r="A230" s="40"/>
      <c r="B230" s="41"/>
      <c r="C230" s="40"/>
      <c r="D230" s="41"/>
      <c r="E230" s="41"/>
      <c r="F230" s="41"/>
      <c r="G230" s="41"/>
      <c r="H230" s="41"/>
    </row>
    <row r="231">
      <c r="A231" s="40"/>
      <c r="B231" s="41"/>
      <c r="C231" s="40"/>
      <c r="D231" s="41"/>
      <c r="E231" s="41"/>
      <c r="F231" s="41"/>
      <c r="G231" s="41"/>
      <c r="H231" s="41"/>
    </row>
    <row r="232">
      <c r="A232" s="40"/>
      <c r="B232" s="41"/>
      <c r="C232" s="40"/>
      <c r="D232" s="41"/>
      <c r="E232" s="41"/>
      <c r="F232" s="41"/>
      <c r="G232" s="41"/>
      <c r="H232" s="41"/>
    </row>
    <row r="233">
      <c r="A233" s="40"/>
      <c r="B233" s="41"/>
      <c r="C233" s="40"/>
      <c r="D233" s="41"/>
      <c r="E233" s="41"/>
      <c r="F233" s="41"/>
      <c r="G233" s="41"/>
      <c r="H233" s="41"/>
    </row>
    <row r="234">
      <c r="A234" s="40"/>
      <c r="B234" s="41"/>
      <c r="C234" s="40"/>
      <c r="D234" s="41"/>
      <c r="E234" s="41"/>
      <c r="F234" s="41"/>
      <c r="G234" s="41"/>
      <c r="H234" s="41"/>
    </row>
    <row r="235">
      <c r="A235" s="40"/>
      <c r="B235" s="41"/>
      <c r="C235" s="40"/>
      <c r="D235" s="41"/>
      <c r="E235" s="41"/>
      <c r="F235" s="41"/>
      <c r="G235" s="41"/>
      <c r="H235" s="41"/>
    </row>
    <row r="236">
      <c r="A236" s="40"/>
      <c r="B236" s="41"/>
      <c r="C236" s="40"/>
      <c r="D236" s="41"/>
      <c r="E236" s="41"/>
      <c r="F236" s="41"/>
      <c r="G236" s="41"/>
      <c r="H236" s="41"/>
    </row>
    <row r="237">
      <c r="A237" s="40"/>
      <c r="B237" s="41"/>
      <c r="C237" s="40"/>
      <c r="D237" s="41"/>
      <c r="E237" s="41"/>
      <c r="F237" s="41"/>
      <c r="G237" s="41"/>
      <c r="H237" s="41"/>
    </row>
    <row r="238">
      <c r="A238" s="40"/>
      <c r="B238" s="41"/>
      <c r="C238" s="40"/>
      <c r="D238" s="41"/>
      <c r="E238" s="41"/>
      <c r="F238" s="41"/>
      <c r="G238" s="41"/>
      <c r="H238" s="41"/>
    </row>
    <row r="239">
      <c r="A239" s="40"/>
      <c r="B239" s="41"/>
      <c r="C239" s="40"/>
      <c r="D239" s="41"/>
      <c r="E239" s="41"/>
      <c r="F239" s="41"/>
      <c r="G239" s="41"/>
      <c r="H239" s="41"/>
    </row>
    <row r="240">
      <c r="A240" s="40"/>
      <c r="B240" s="41"/>
      <c r="C240" s="40"/>
      <c r="D240" s="41"/>
      <c r="E240" s="41"/>
      <c r="F240" s="41"/>
      <c r="G240" s="41"/>
      <c r="H240" s="41"/>
    </row>
    <row r="241">
      <c r="A241" s="40"/>
      <c r="B241" s="41"/>
      <c r="C241" s="40"/>
      <c r="D241" s="41"/>
      <c r="E241" s="41"/>
      <c r="F241" s="41"/>
      <c r="G241" s="41"/>
      <c r="H241" s="41"/>
    </row>
    <row r="242">
      <c r="A242" s="40"/>
      <c r="B242" s="41"/>
      <c r="C242" s="40"/>
      <c r="D242" s="41"/>
      <c r="E242" s="41"/>
      <c r="F242" s="41"/>
      <c r="G242" s="41"/>
      <c r="H242" s="41"/>
    </row>
    <row r="243">
      <c r="A243" s="40"/>
      <c r="B243" s="41"/>
      <c r="C243" s="40"/>
      <c r="D243" s="41"/>
      <c r="E243" s="41"/>
      <c r="F243" s="41"/>
      <c r="G243" s="41"/>
      <c r="H243" s="41"/>
    </row>
    <row r="244">
      <c r="A244" s="40"/>
      <c r="B244" s="41"/>
      <c r="C244" s="40"/>
      <c r="D244" s="41"/>
      <c r="E244" s="41"/>
      <c r="F244" s="41"/>
      <c r="G244" s="41"/>
      <c r="H244" s="41"/>
    </row>
    <row r="245">
      <c r="A245" s="40"/>
      <c r="B245" s="41"/>
      <c r="C245" s="40"/>
      <c r="D245" s="41"/>
      <c r="E245" s="41"/>
      <c r="F245" s="41"/>
      <c r="G245" s="41"/>
      <c r="H245" s="41"/>
    </row>
    <row r="246">
      <c r="A246" s="40"/>
      <c r="B246" s="41"/>
      <c r="C246" s="40"/>
      <c r="D246" s="41"/>
      <c r="E246" s="41"/>
      <c r="F246" s="41"/>
      <c r="G246" s="41"/>
      <c r="H246" s="41"/>
    </row>
    <row r="247">
      <c r="A247" s="40"/>
      <c r="B247" s="41"/>
      <c r="C247" s="40"/>
      <c r="D247" s="41"/>
      <c r="E247" s="41"/>
      <c r="F247" s="41"/>
      <c r="G247" s="41"/>
      <c r="H247" s="41"/>
    </row>
    <row r="248">
      <c r="A248" s="40"/>
      <c r="B248" s="41"/>
      <c r="C248" s="40"/>
      <c r="D248" s="41"/>
      <c r="E248" s="41"/>
      <c r="F248" s="41"/>
      <c r="G248" s="41"/>
      <c r="H248" s="41"/>
    </row>
    <row r="249">
      <c r="A249" s="40"/>
      <c r="B249" s="41"/>
      <c r="C249" s="40"/>
      <c r="D249" s="41"/>
      <c r="E249" s="41"/>
      <c r="F249" s="41"/>
      <c r="G249" s="41"/>
      <c r="H249" s="41"/>
    </row>
    <row r="250">
      <c r="A250" s="40"/>
      <c r="B250" s="41"/>
      <c r="C250" s="40"/>
      <c r="D250" s="41"/>
      <c r="E250" s="41"/>
      <c r="F250" s="41"/>
      <c r="G250" s="41"/>
      <c r="H250" s="41"/>
    </row>
    <row r="251">
      <c r="A251" s="40"/>
      <c r="B251" s="41"/>
      <c r="C251" s="40"/>
      <c r="D251" s="41"/>
      <c r="E251" s="41"/>
      <c r="F251" s="41"/>
      <c r="G251" s="41"/>
      <c r="H251" s="41"/>
    </row>
    <row r="252">
      <c r="A252" s="40"/>
      <c r="B252" s="41"/>
      <c r="C252" s="40"/>
      <c r="D252" s="41"/>
      <c r="E252" s="41"/>
      <c r="F252" s="41"/>
      <c r="G252" s="41"/>
      <c r="H252" s="41"/>
    </row>
    <row r="253">
      <c r="A253" s="40"/>
      <c r="B253" s="41"/>
      <c r="C253" s="40"/>
      <c r="D253" s="41"/>
      <c r="E253" s="41"/>
      <c r="F253" s="41"/>
      <c r="G253" s="41"/>
      <c r="H253" s="41"/>
    </row>
    <row r="254">
      <c r="A254" s="40"/>
      <c r="B254" s="41"/>
      <c r="C254" s="40"/>
      <c r="D254" s="41"/>
      <c r="E254" s="41"/>
      <c r="F254" s="41"/>
      <c r="G254" s="41"/>
      <c r="H254" s="41"/>
    </row>
    <row r="255">
      <c r="A255" s="40"/>
      <c r="B255" s="41"/>
      <c r="C255" s="40"/>
      <c r="D255" s="41"/>
      <c r="E255" s="41"/>
      <c r="F255" s="41"/>
      <c r="G255" s="41"/>
      <c r="H255" s="41"/>
    </row>
    <row r="256">
      <c r="A256" s="40"/>
      <c r="B256" s="41"/>
      <c r="C256" s="40"/>
      <c r="D256" s="41"/>
      <c r="E256" s="41"/>
      <c r="F256" s="41"/>
      <c r="G256" s="41"/>
      <c r="H256" s="41"/>
    </row>
    <row r="257">
      <c r="A257" s="40"/>
      <c r="B257" s="41"/>
      <c r="C257" s="40"/>
      <c r="D257" s="41"/>
      <c r="E257" s="41"/>
      <c r="F257" s="41"/>
      <c r="G257" s="41"/>
      <c r="H257" s="41"/>
    </row>
    <row r="258">
      <c r="A258" s="40"/>
      <c r="B258" s="41"/>
      <c r="C258" s="40"/>
      <c r="D258" s="41"/>
      <c r="E258" s="41"/>
      <c r="F258" s="41"/>
      <c r="G258" s="41"/>
      <c r="H258" s="41"/>
    </row>
    <row r="259">
      <c r="A259" s="40"/>
      <c r="B259" s="41"/>
      <c r="C259" s="40"/>
      <c r="D259" s="41"/>
      <c r="E259" s="41"/>
      <c r="F259" s="41"/>
      <c r="G259" s="41"/>
      <c r="H259" s="41"/>
    </row>
    <row r="260">
      <c r="A260" s="40"/>
      <c r="B260" s="41"/>
      <c r="C260" s="40"/>
      <c r="D260" s="41"/>
      <c r="E260" s="41"/>
      <c r="F260" s="41"/>
      <c r="G260" s="41"/>
      <c r="H260" s="41"/>
    </row>
    <row r="261">
      <c r="A261" s="40"/>
      <c r="B261" s="41"/>
      <c r="C261" s="40"/>
      <c r="D261" s="41"/>
      <c r="E261" s="41"/>
      <c r="F261" s="41"/>
      <c r="G261" s="41"/>
      <c r="H261" s="41"/>
    </row>
    <row r="262">
      <c r="A262" s="40"/>
      <c r="B262" s="41"/>
      <c r="C262" s="40"/>
      <c r="D262" s="41"/>
      <c r="E262" s="41"/>
      <c r="F262" s="41"/>
      <c r="G262" s="41"/>
      <c r="H262" s="41"/>
    </row>
    <row r="263">
      <c r="A263" s="40"/>
      <c r="B263" s="41"/>
      <c r="C263" s="40"/>
      <c r="D263" s="41"/>
      <c r="E263" s="41"/>
      <c r="F263" s="41"/>
      <c r="G263" s="41"/>
      <c r="H263" s="41"/>
    </row>
    <row r="264">
      <c r="A264" s="40"/>
      <c r="B264" s="41"/>
      <c r="C264" s="40"/>
      <c r="D264" s="41"/>
      <c r="E264" s="41"/>
      <c r="F264" s="41"/>
      <c r="G264" s="41"/>
      <c r="H264" s="41"/>
    </row>
    <row r="265">
      <c r="A265" s="40"/>
      <c r="B265" s="41"/>
      <c r="C265" s="40"/>
      <c r="D265" s="41"/>
      <c r="E265" s="41"/>
      <c r="F265" s="41"/>
      <c r="G265" s="41"/>
      <c r="H265" s="41"/>
    </row>
    <row r="266">
      <c r="A266" s="40"/>
      <c r="B266" s="41"/>
      <c r="C266" s="40"/>
      <c r="D266" s="41"/>
      <c r="E266" s="41"/>
      <c r="F266" s="41"/>
      <c r="G266" s="41"/>
      <c r="H266" s="41"/>
    </row>
    <row r="267">
      <c r="A267" s="40"/>
      <c r="B267" s="41"/>
      <c r="C267" s="40"/>
      <c r="D267" s="41"/>
      <c r="E267" s="41"/>
      <c r="F267" s="41"/>
      <c r="G267" s="41"/>
      <c r="H267" s="41"/>
    </row>
    <row r="268">
      <c r="A268" s="40"/>
      <c r="B268" s="41"/>
      <c r="C268" s="40"/>
      <c r="D268" s="41"/>
      <c r="E268" s="41"/>
      <c r="F268" s="41"/>
      <c r="G268" s="41"/>
      <c r="H268" s="41"/>
    </row>
    <row r="269">
      <c r="A269" s="40"/>
      <c r="B269" s="41"/>
      <c r="C269" s="40"/>
      <c r="D269" s="41"/>
      <c r="E269" s="41"/>
      <c r="F269" s="41"/>
      <c r="G269" s="41"/>
      <c r="H269" s="41"/>
    </row>
    <row r="270">
      <c r="A270" s="40"/>
      <c r="B270" s="41"/>
      <c r="C270" s="40"/>
      <c r="D270" s="41"/>
      <c r="E270" s="41"/>
      <c r="F270" s="41"/>
      <c r="G270" s="41"/>
      <c r="H270" s="41"/>
    </row>
    <row r="271">
      <c r="A271" s="40"/>
      <c r="B271" s="41"/>
      <c r="C271" s="40"/>
      <c r="D271" s="41"/>
      <c r="E271" s="41"/>
      <c r="F271" s="41"/>
      <c r="G271" s="41"/>
      <c r="H271" s="41"/>
    </row>
    <row r="272">
      <c r="A272" s="40"/>
      <c r="B272" s="41"/>
      <c r="C272" s="40"/>
      <c r="D272" s="41"/>
      <c r="E272" s="41"/>
      <c r="F272" s="41"/>
      <c r="G272" s="41"/>
      <c r="H272" s="41"/>
    </row>
    <row r="273">
      <c r="A273" s="40"/>
      <c r="B273" s="41"/>
      <c r="C273" s="40"/>
      <c r="D273" s="41"/>
      <c r="E273" s="41"/>
      <c r="F273" s="41"/>
      <c r="G273" s="41"/>
      <c r="H273" s="41"/>
    </row>
    <row r="274">
      <c r="A274" s="40"/>
      <c r="B274" s="41"/>
      <c r="C274" s="40"/>
      <c r="D274" s="41"/>
      <c r="E274" s="41"/>
      <c r="F274" s="41"/>
      <c r="G274" s="41"/>
      <c r="H274" s="41"/>
    </row>
    <row r="275">
      <c r="A275" s="40"/>
      <c r="B275" s="41"/>
      <c r="C275" s="40"/>
      <c r="D275" s="41"/>
      <c r="E275" s="41"/>
      <c r="F275" s="41"/>
      <c r="G275" s="41"/>
      <c r="H275" s="41"/>
    </row>
    <row r="276">
      <c r="A276" s="40"/>
      <c r="B276" s="41"/>
      <c r="C276" s="40"/>
      <c r="D276" s="41"/>
      <c r="E276" s="41"/>
      <c r="F276" s="41"/>
      <c r="G276" s="41"/>
      <c r="H276" s="41"/>
    </row>
    <row r="277">
      <c r="A277" s="40"/>
      <c r="B277" s="41"/>
      <c r="C277" s="40"/>
      <c r="D277" s="41"/>
      <c r="E277" s="41"/>
      <c r="F277" s="41"/>
      <c r="G277" s="41"/>
      <c r="H277" s="41"/>
    </row>
    <row r="278">
      <c r="A278" s="40"/>
      <c r="B278" s="41"/>
      <c r="C278" s="40"/>
      <c r="D278" s="41"/>
      <c r="E278" s="41"/>
      <c r="F278" s="41"/>
      <c r="G278" s="41"/>
      <c r="H278" s="41"/>
    </row>
    <row r="279">
      <c r="A279" s="40"/>
      <c r="B279" s="41"/>
      <c r="C279" s="40"/>
      <c r="D279" s="41"/>
      <c r="E279" s="41"/>
      <c r="F279" s="41"/>
      <c r="G279" s="41"/>
      <c r="H279" s="41"/>
    </row>
    <row r="280">
      <c r="A280" s="40"/>
      <c r="B280" s="41"/>
      <c r="C280" s="40"/>
      <c r="D280" s="41"/>
      <c r="E280" s="41"/>
      <c r="F280" s="41"/>
      <c r="G280" s="41"/>
      <c r="H280" s="41"/>
    </row>
    <row r="281">
      <c r="A281" s="40"/>
      <c r="B281" s="41"/>
      <c r="C281" s="40"/>
      <c r="D281" s="41"/>
      <c r="E281" s="41"/>
      <c r="F281" s="41"/>
      <c r="G281" s="41"/>
      <c r="H281" s="41"/>
    </row>
    <row r="282">
      <c r="A282" s="40"/>
      <c r="B282" s="41"/>
      <c r="C282" s="40"/>
      <c r="D282" s="41"/>
      <c r="E282" s="41"/>
      <c r="F282" s="41"/>
      <c r="G282" s="41"/>
      <c r="H282" s="41"/>
    </row>
    <row r="283">
      <c r="A283" s="40"/>
      <c r="B283" s="41"/>
      <c r="C283" s="40"/>
      <c r="D283" s="41"/>
      <c r="E283" s="41"/>
      <c r="F283" s="41"/>
      <c r="G283" s="41"/>
      <c r="H283" s="41"/>
    </row>
    <row r="284">
      <c r="A284" s="40"/>
      <c r="B284" s="41"/>
      <c r="C284" s="40"/>
      <c r="D284" s="41"/>
      <c r="E284" s="41"/>
      <c r="F284" s="41"/>
      <c r="G284" s="41"/>
      <c r="H284" s="41"/>
    </row>
    <row r="285">
      <c r="A285" s="40"/>
      <c r="B285" s="41"/>
      <c r="C285" s="40"/>
      <c r="D285" s="41"/>
      <c r="E285" s="41"/>
      <c r="F285" s="41"/>
      <c r="G285" s="41"/>
      <c r="H285" s="41"/>
    </row>
    <row r="286">
      <c r="A286" s="40"/>
      <c r="B286" s="41"/>
      <c r="C286" s="40"/>
      <c r="D286" s="41"/>
      <c r="E286" s="41"/>
      <c r="F286" s="41"/>
      <c r="G286" s="41"/>
      <c r="H286" s="41"/>
    </row>
    <row r="287">
      <c r="A287" s="40"/>
      <c r="B287" s="41"/>
      <c r="C287" s="40"/>
      <c r="D287" s="41"/>
      <c r="E287" s="41"/>
      <c r="F287" s="41"/>
      <c r="G287" s="41"/>
      <c r="H287" s="41"/>
    </row>
    <row r="288">
      <c r="A288" s="40"/>
      <c r="B288" s="41"/>
      <c r="C288" s="40"/>
      <c r="D288" s="41"/>
      <c r="E288" s="41"/>
      <c r="F288" s="41"/>
      <c r="G288" s="41"/>
      <c r="H288" s="41"/>
    </row>
    <row r="289">
      <c r="A289" s="40"/>
      <c r="B289" s="41"/>
      <c r="C289" s="40"/>
      <c r="D289" s="41"/>
      <c r="E289" s="41"/>
      <c r="F289" s="41"/>
      <c r="G289" s="41"/>
      <c r="H289" s="41"/>
    </row>
    <row r="290">
      <c r="A290" s="40"/>
      <c r="B290" s="41"/>
      <c r="C290" s="40"/>
      <c r="D290" s="41"/>
      <c r="E290" s="41"/>
      <c r="F290" s="41"/>
      <c r="G290" s="41"/>
      <c r="H290" s="41"/>
    </row>
    <row r="291">
      <c r="A291" s="40"/>
      <c r="B291" s="41"/>
      <c r="C291" s="40"/>
      <c r="D291" s="41"/>
      <c r="E291" s="41"/>
      <c r="F291" s="41"/>
      <c r="G291" s="41"/>
      <c r="H291" s="41"/>
    </row>
    <row r="292">
      <c r="A292" s="40"/>
      <c r="B292" s="41"/>
      <c r="C292" s="40"/>
      <c r="D292" s="41"/>
      <c r="E292" s="41"/>
      <c r="F292" s="41"/>
      <c r="G292" s="41"/>
      <c r="H292" s="41"/>
    </row>
    <row r="293">
      <c r="A293" s="40"/>
      <c r="B293" s="41"/>
      <c r="C293" s="40"/>
      <c r="D293" s="41"/>
      <c r="E293" s="41"/>
      <c r="F293" s="41"/>
      <c r="G293" s="41"/>
      <c r="H293" s="41"/>
    </row>
    <row r="294">
      <c r="A294" s="40"/>
      <c r="B294" s="41"/>
      <c r="C294" s="40"/>
      <c r="D294" s="41"/>
      <c r="E294" s="41"/>
      <c r="F294" s="41"/>
      <c r="G294" s="41"/>
      <c r="H294" s="41"/>
    </row>
    <row r="295">
      <c r="A295" s="40"/>
      <c r="B295" s="41"/>
      <c r="C295" s="40"/>
      <c r="D295" s="41"/>
      <c r="E295" s="41"/>
      <c r="F295" s="41"/>
      <c r="G295" s="41"/>
      <c r="H295" s="41"/>
    </row>
    <row r="296">
      <c r="A296" s="40"/>
      <c r="B296" s="41"/>
      <c r="C296" s="40"/>
      <c r="D296" s="41"/>
      <c r="E296" s="41"/>
      <c r="F296" s="41"/>
      <c r="G296" s="41"/>
      <c r="H296" s="41"/>
    </row>
    <row r="297">
      <c r="A297" s="40"/>
      <c r="B297" s="41"/>
      <c r="C297" s="40"/>
      <c r="D297" s="41"/>
      <c r="E297" s="41"/>
      <c r="F297" s="41"/>
      <c r="G297" s="41"/>
      <c r="H297" s="41"/>
    </row>
    <row r="298">
      <c r="A298" s="40"/>
      <c r="B298" s="41"/>
      <c r="C298" s="40"/>
      <c r="D298" s="41"/>
      <c r="E298" s="41"/>
      <c r="F298" s="41"/>
      <c r="G298" s="41"/>
      <c r="H298" s="41"/>
    </row>
    <row r="299">
      <c r="A299" s="40"/>
      <c r="B299" s="41"/>
      <c r="C299" s="40"/>
      <c r="D299" s="41"/>
      <c r="E299" s="41"/>
      <c r="F299" s="41"/>
      <c r="G299" s="41"/>
      <c r="H299" s="41"/>
    </row>
    <row r="300">
      <c r="A300" s="40"/>
      <c r="B300" s="41"/>
      <c r="C300" s="40"/>
      <c r="D300" s="41"/>
      <c r="E300" s="41"/>
      <c r="F300" s="41"/>
      <c r="G300" s="41"/>
      <c r="H300" s="41"/>
    </row>
    <row r="301">
      <c r="A301" s="40"/>
      <c r="B301" s="41"/>
      <c r="C301" s="40"/>
      <c r="D301" s="41"/>
      <c r="E301" s="41"/>
      <c r="F301" s="41"/>
      <c r="G301" s="41"/>
      <c r="H301" s="41"/>
    </row>
    <row r="302">
      <c r="A302" s="40"/>
      <c r="B302" s="41"/>
      <c r="C302" s="40"/>
      <c r="D302" s="41"/>
      <c r="E302" s="41"/>
      <c r="F302" s="41"/>
      <c r="G302" s="41"/>
      <c r="H302" s="41"/>
    </row>
    <row r="303">
      <c r="A303" s="40"/>
      <c r="B303" s="41"/>
      <c r="C303" s="40"/>
      <c r="D303" s="41"/>
      <c r="E303" s="41"/>
      <c r="F303" s="41"/>
      <c r="G303" s="41"/>
      <c r="H303" s="41"/>
    </row>
    <row r="304">
      <c r="A304" s="40"/>
      <c r="B304" s="41"/>
      <c r="C304" s="40"/>
      <c r="D304" s="41"/>
      <c r="E304" s="41"/>
      <c r="F304" s="41"/>
      <c r="G304" s="41"/>
      <c r="H304" s="41"/>
    </row>
    <row r="305">
      <c r="A305" s="40"/>
      <c r="B305" s="41"/>
      <c r="C305" s="40"/>
      <c r="D305" s="41"/>
      <c r="E305" s="41"/>
      <c r="F305" s="41"/>
      <c r="G305" s="41"/>
      <c r="H305" s="41"/>
    </row>
    <row r="306">
      <c r="A306" s="40"/>
      <c r="B306" s="41"/>
      <c r="C306" s="40"/>
      <c r="D306" s="41"/>
      <c r="E306" s="41"/>
      <c r="F306" s="41"/>
      <c r="G306" s="41"/>
      <c r="H306" s="41"/>
    </row>
    <row r="307">
      <c r="A307" s="40"/>
      <c r="B307" s="41"/>
      <c r="C307" s="40"/>
      <c r="D307" s="41"/>
      <c r="E307" s="41"/>
      <c r="F307" s="41"/>
      <c r="G307" s="41"/>
      <c r="H307" s="41"/>
    </row>
    <row r="308">
      <c r="A308" s="40"/>
      <c r="B308" s="41"/>
      <c r="C308" s="40"/>
      <c r="D308" s="41"/>
      <c r="E308" s="41"/>
      <c r="F308" s="41"/>
      <c r="G308" s="41"/>
      <c r="H308" s="41"/>
    </row>
    <row r="309">
      <c r="A309" s="40"/>
      <c r="B309" s="41"/>
      <c r="C309" s="40"/>
      <c r="D309" s="41"/>
      <c r="E309" s="41"/>
      <c r="F309" s="41"/>
      <c r="G309" s="41"/>
      <c r="H309" s="41"/>
    </row>
    <row r="310">
      <c r="A310" s="40"/>
      <c r="B310" s="41"/>
      <c r="C310" s="40"/>
      <c r="D310" s="41"/>
      <c r="E310" s="41"/>
      <c r="F310" s="41"/>
      <c r="G310" s="41"/>
      <c r="H310" s="41"/>
    </row>
    <row r="311">
      <c r="A311" s="40"/>
      <c r="B311" s="41"/>
      <c r="C311" s="40"/>
      <c r="D311" s="41"/>
      <c r="E311" s="41"/>
      <c r="F311" s="41"/>
      <c r="G311" s="41"/>
      <c r="H311" s="41"/>
    </row>
    <row r="312">
      <c r="A312" s="40"/>
      <c r="B312" s="41"/>
      <c r="C312" s="40"/>
      <c r="D312" s="41"/>
      <c r="E312" s="41"/>
      <c r="F312" s="41"/>
      <c r="G312" s="41"/>
      <c r="H312" s="41"/>
    </row>
    <row r="313">
      <c r="A313" s="40"/>
      <c r="B313" s="41"/>
      <c r="C313" s="40"/>
      <c r="D313" s="41"/>
      <c r="E313" s="41"/>
      <c r="F313" s="41"/>
      <c r="G313" s="41"/>
      <c r="H313" s="41"/>
    </row>
    <row r="314">
      <c r="A314" s="40"/>
      <c r="B314" s="41"/>
      <c r="C314" s="40"/>
      <c r="D314" s="41"/>
      <c r="E314" s="41"/>
      <c r="F314" s="41"/>
      <c r="G314" s="41"/>
      <c r="H314" s="41"/>
    </row>
    <row r="315">
      <c r="A315" s="40"/>
      <c r="B315" s="41"/>
      <c r="C315" s="40"/>
      <c r="D315" s="41"/>
      <c r="E315" s="41"/>
      <c r="F315" s="41"/>
      <c r="G315" s="41"/>
      <c r="H315" s="41"/>
    </row>
    <row r="316">
      <c r="A316" s="40"/>
      <c r="B316" s="41"/>
      <c r="C316" s="40"/>
      <c r="D316" s="41"/>
      <c r="E316" s="41"/>
      <c r="F316" s="41"/>
      <c r="G316" s="41"/>
      <c r="H316" s="41"/>
    </row>
    <row r="317">
      <c r="A317" s="40"/>
      <c r="B317" s="41"/>
      <c r="C317" s="40"/>
      <c r="D317" s="41"/>
      <c r="E317" s="41"/>
      <c r="F317" s="41"/>
      <c r="G317" s="41"/>
      <c r="H317" s="41"/>
    </row>
    <row r="318">
      <c r="A318" s="40"/>
      <c r="B318" s="41"/>
      <c r="C318" s="40"/>
      <c r="D318" s="41"/>
      <c r="E318" s="41"/>
      <c r="F318" s="41"/>
      <c r="G318" s="41"/>
      <c r="H318" s="41"/>
    </row>
    <row r="319">
      <c r="A319" s="40"/>
      <c r="B319" s="41"/>
      <c r="C319" s="40"/>
      <c r="D319" s="41"/>
      <c r="E319" s="41"/>
      <c r="F319" s="41"/>
      <c r="G319" s="41"/>
      <c r="H319" s="41"/>
    </row>
    <row r="320">
      <c r="A320" s="40"/>
      <c r="B320" s="41"/>
      <c r="C320" s="40"/>
      <c r="D320" s="41"/>
      <c r="E320" s="41"/>
      <c r="F320" s="41"/>
      <c r="G320" s="41"/>
      <c r="H320" s="41"/>
    </row>
    <row r="321">
      <c r="A321" s="40"/>
      <c r="B321" s="41"/>
      <c r="C321" s="40"/>
      <c r="D321" s="41"/>
      <c r="E321" s="41"/>
      <c r="F321" s="41"/>
      <c r="G321" s="41"/>
      <c r="H321" s="41"/>
    </row>
    <row r="322">
      <c r="A322" s="40"/>
      <c r="B322" s="41"/>
      <c r="C322" s="40"/>
      <c r="D322" s="41"/>
      <c r="E322" s="41"/>
      <c r="F322" s="41"/>
      <c r="G322" s="41"/>
      <c r="H322" s="41"/>
    </row>
    <row r="323">
      <c r="A323" s="40"/>
      <c r="B323" s="41"/>
      <c r="C323" s="40"/>
      <c r="D323" s="41"/>
      <c r="E323" s="41"/>
      <c r="F323" s="41"/>
      <c r="G323" s="41"/>
      <c r="H323" s="41"/>
    </row>
    <row r="324">
      <c r="A324" s="40"/>
      <c r="B324" s="41"/>
      <c r="C324" s="40"/>
      <c r="D324" s="41"/>
      <c r="E324" s="41"/>
      <c r="F324" s="41"/>
      <c r="G324" s="41"/>
      <c r="H324" s="41"/>
    </row>
    <row r="325">
      <c r="A325" s="40"/>
      <c r="B325" s="41"/>
      <c r="C325" s="40"/>
      <c r="D325" s="41"/>
      <c r="E325" s="41"/>
      <c r="F325" s="41"/>
      <c r="G325" s="41"/>
      <c r="H325" s="41"/>
    </row>
    <row r="326">
      <c r="A326" s="40"/>
      <c r="B326" s="41"/>
      <c r="C326" s="40"/>
      <c r="D326" s="41"/>
      <c r="E326" s="41"/>
      <c r="F326" s="41"/>
      <c r="G326" s="41"/>
      <c r="H326" s="41"/>
    </row>
    <row r="327">
      <c r="A327" s="40"/>
      <c r="B327" s="41"/>
      <c r="C327" s="40"/>
      <c r="D327" s="41"/>
      <c r="E327" s="41"/>
      <c r="F327" s="41"/>
      <c r="G327" s="41"/>
      <c r="H327" s="41"/>
    </row>
    <row r="328">
      <c r="A328" s="40"/>
      <c r="B328" s="41"/>
      <c r="C328" s="40"/>
      <c r="D328" s="41"/>
      <c r="E328" s="41"/>
      <c r="F328" s="41"/>
      <c r="G328" s="41"/>
      <c r="H328" s="41"/>
    </row>
    <row r="329">
      <c r="A329" s="40"/>
      <c r="B329" s="41"/>
      <c r="C329" s="40"/>
      <c r="D329" s="41"/>
      <c r="E329" s="41"/>
      <c r="F329" s="41"/>
      <c r="G329" s="41"/>
      <c r="H329" s="41"/>
    </row>
    <row r="330">
      <c r="A330" s="40"/>
      <c r="B330" s="41"/>
      <c r="C330" s="40"/>
      <c r="D330" s="41"/>
      <c r="E330" s="41"/>
      <c r="F330" s="41"/>
      <c r="G330" s="41"/>
      <c r="H330" s="41"/>
    </row>
    <row r="331">
      <c r="A331" s="40"/>
      <c r="B331" s="41"/>
      <c r="C331" s="40"/>
      <c r="D331" s="41"/>
      <c r="E331" s="41"/>
      <c r="F331" s="41"/>
      <c r="G331" s="41"/>
      <c r="H331" s="41"/>
    </row>
    <row r="332">
      <c r="A332" s="40"/>
      <c r="B332" s="41"/>
      <c r="C332" s="40"/>
      <c r="D332" s="41"/>
      <c r="E332" s="41"/>
      <c r="F332" s="41"/>
      <c r="G332" s="41"/>
      <c r="H332" s="41"/>
    </row>
    <row r="333">
      <c r="A333" s="40"/>
      <c r="B333" s="41"/>
      <c r="C333" s="40"/>
      <c r="D333" s="41"/>
      <c r="E333" s="41"/>
      <c r="F333" s="41"/>
      <c r="G333" s="41"/>
      <c r="H333" s="41"/>
    </row>
    <row r="334">
      <c r="A334" s="40"/>
      <c r="B334" s="41"/>
      <c r="C334" s="40"/>
      <c r="D334" s="41"/>
      <c r="E334" s="41"/>
      <c r="F334" s="41"/>
      <c r="G334" s="41"/>
      <c r="H334" s="41"/>
    </row>
    <row r="335">
      <c r="A335" s="40"/>
      <c r="B335" s="41"/>
      <c r="C335" s="40"/>
      <c r="D335" s="41"/>
      <c r="E335" s="41"/>
      <c r="F335" s="41"/>
      <c r="G335" s="41"/>
      <c r="H335" s="41"/>
    </row>
    <row r="336">
      <c r="A336" s="40"/>
      <c r="B336" s="41"/>
      <c r="C336" s="40"/>
      <c r="D336" s="41"/>
      <c r="E336" s="41"/>
      <c r="F336" s="41"/>
      <c r="G336" s="41"/>
      <c r="H336" s="41"/>
    </row>
    <row r="337">
      <c r="A337" s="40"/>
      <c r="B337" s="41"/>
      <c r="C337" s="40"/>
      <c r="D337" s="41"/>
      <c r="E337" s="41"/>
      <c r="F337" s="41"/>
      <c r="G337" s="41"/>
      <c r="H337" s="41"/>
    </row>
    <row r="338">
      <c r="A338" s="40"/>
      <c r="B338" s="41"/>
      <c r="C338" s="40"/>
      <c r="D338" s="41"/>
      <c r="E338" s="41"/>
      <c r="F338" s="41"/>
      <c r="G338" s="41"/>
      <c r="H338" s="41"/>
    </row>
    <row r="339">
      <c r="A339" s="40"/>
      <c r="B339" s="41"/>
      <c r="C339" s="40"/>
      <c r="D339" s="41"/>
      <c r="E339" s="41"/>
      <c r="F339" s="41"/>
      <c r="G339" s="41"/>
      <c r="H339" s="41"/>
    </row>
    <row r="340">
      <c r="A340" s="40"/>
      <c r="B340" s="41"/>
      <c r="C340" s="40"/>
      <c r="D340" s="41"/>
      <c r="E340" s="41"/>
      <c r="F340" s="41"/>
      <c r="G340" s="41"/>
      <c r="H340" s="41"/>
    </row>
    <row r="341">
      <c r="A341" s="40"/>
      <c r="B341" s="41"/>
      <c r="C341" s="40"/>
      <c r="D341" s="41"/>
      <c r="E341" s="41"/>
      <c r="F341" s="41"/>
      <c r="G341" s="41"/>
      <c r="H341" s="41"/>
    </row>
    <row r="342">
      <c r="A342" s="40"/>
      <c r="B342" s="41"/>
      <c r="C342" s="40"/>
      <c r="D342" s="41"/>
      <c r="E342" s="41"/>
      <c r="F342" s="41"/>
      <c r="G342" s="41"/>
      <c r="H342" s="41"/>
    </row>
    <row r="343">
      <c r="A343" s="40"/>
      <c r="B343" s="41"/>
      <c r="C343" s="40"/>
      <c r="D343" s="41"/>
      <c r="E343" s="41"/>
      <c r="F343" s="41"/>
      <c r="G343" s="41"/>
      <c r="H343" s="41"/>
    </row>
    <row r="344">
      <c r="A344" s="40"/>
      <c r="B344" s="41"/>
      <c r="C344" s="40"/>
      <c r="D344" s="41"/>
      <c r="E344" s="41"/>
      <c r="F344" s="41"/>
      <c r="G344" s="41"/>
      <c r="H344" s="41"/>
    </row>
    <row r="345">
      <c r="A345" s="40"/>
      <c r="B345" s="41"/>
      <c r="C345" s="40"/>
      <c r="D345" s="41"/>
      <c r="E345" s="41"/>
      <c r="F345" s="41"/>
      <c r="G345" s="41"/>
      <c r="H345" s="41"/>
    </row>
    <row r="346">
      <c r="A346" s="40"/>
      <c r="B346" s="41"/>
      <c r="C346" s="40"/>
      <c r="D346" s="41"/>
      <c r="E346" s="41"/>
      <c r="F346" s="41"/>
      <c r="G346" s="41"/>
      <c r="H346" s="41"/>
    </row>
    <row r="347">
      <c r="A347" s="40"/>
      <c r="B347" s="41"/>
      <c r="C347" s="40"/>
      <c r="D347" s="41"/>
      <c r="E347" s="41"/>
      <c r="F347" s="41"/>
      <c r="G347" s="41"/>
      <c r="H347" s="41"/>
    </row>
    <row r="348">
      <c r="A348" s="40"/>
      <c r="B348" s="41"/>
      <c r="C348" s="40"/>
      <c r="D348" s="41"/>
      <c r="E348" s="41"/>
      <c r="F348" s="41"/>
      <c r="G348" s="41"/>
      <c r="H348" s="41"/>
    </row>
    <row r="349">
      <c r="A349" s="40"/>
      <c r="B349" s="41"/>
      <c r="C349" s="40"/>
      <c r="D349" s="41"/>
      <c r="E349" s="41"/>
      <c r="F349" s="41"/>
      <c r="G349" s="41"/>
      <c r="H349" s="41"/>
    </row>
    <row r="350">
      <c r="A350" s="40"/>
      <c r="B350" s="41"/>
      <c r="C350" s="40"/>
      <c r="D350" s="41"/>
      <c r="E350" s="41"/>
      <c r="F350" s="41"/>
      <c r="G350" s="41"/>
      <c r="H350" s="41"/>
    </row>
    <row r="351">
      <c r="A351" s="40"/>
      <c r="B351" s="41"/>
      <c r="C351" s="40"/>
      <c r="D351" s="41"/>
      <c r="E351" s="41"/>
      <c r="F351" s="41"/>
      <c r="G351" s="41"/>
      <c r="H351" s="41"/>
    </row>
    <row r="352">
      <c r="A352" s="40"/>
      <c r="B352" s="41"/>
      <c r="C352" s="40"/>
      <c r="D352" s="41"/>
      <c r="E352" s="41"/>
      <c r="F352" s="41"/>
      <c r="G352" s="41"/>
      <c r="H352" s="41"/>
    </row>
    <row r="353">
      <c r="A353" s="40"/>
      <c r="B353" s="41"/>
      <c r="C353" s="40"/>
      <c r="D353" s="41"/>
      <c r="E353" s="41"/>
      <c r="F353" s="41"/>
      <c r="G353" s="41"/>
      <c r="H353" s="41"/>
    </row>
    <row r="354">
      <c r="A354" s="40"/>
      <c r="B354" s="41"/>
      <c r="C354" s="40"/>
      <c r="D354" s="41"/>
      <c r="E354" s="41"/>
      <c r="F354" s="41"/>
      <c r="G354" s="41"/>
      <c r="H354" s="41"/>
    </row>
    <row r="355">
      <c r="A355" s="40"/>
      <c r="B355" s="41"/>
      <c r="C355" s="40"/>
      <c r="D355" s="41"/>
      <c r="E355" s="41"/>
      <c r="F355" s="41"/>
      <c r="G355" s="41"/>
      <c r="H355" s="41"/>
    </row>
    <row r="356">
      <c r="A356" s="40"/>
      <c r="B356" s="41"/>
      <c r="C356" s="40"/>
      <c r="D356" s="41"/>
      <c r="E356" s="41"/>
      <c r="F356" s="41"/>
      <c r="G356" s="41"/>
      <c r="H356" s="41"/>
    </row>
    <row r="357">
      <c r="A357" s="40"/>
      <c r="B357" s="41"/>
      <c r="C357" s="40"/>
      <c r="D357" s="41"/>
      <c r="E357" s="41"/>
      <c r="F357" s="41"/>
      <c r="G357" s="41"/>
      <c r="H357" s="41"/>
    </row>
    <row r="358">
      <c r="A358" s="40"/>
      <c r="B358" s="41"/>
      <c r="C358" s="40"/>
      <c r="D358" s="41"/>
      <c r="E358" s="41"/>
      <c r="F358" s="41"/>
      <c r="G358" s="41"/>
      <c r="H358" s="41"/>
    </row>
    <row r="359">
      <c r="A359" s="40"/>
      <c r="B359" s="41"/>
      <c r="C359" s="40"/>
      <c r="D359" s="41"/>
      <c r="E359" s="41"/>
      <c r="F359" s="41"/>
      <c r="G359" s="41"/>
      <c r="H359" s="41"/>
    </row>
    <row r="360">
      <c r="A360" s="40"/>
      <c r="B360" s="41"/>
      <c r="C360" s="40"/>
      <c r="D360" s="41"/>
      <c r="E360" s="41"/>
      <c r="F360" s="41"/>
      <c r="G360" s="41"/>
      <c r="H360" s="41"/>
    </row>
    <row r="361">
      <c r="A361" s="40"/>
      <c r="B361" s="41"/>
      <c r="C361" s="40"/>
      <c r="D361" s="41"/>
      <c r="E361" s="41"/>
      <c r="F361" s="41"/>
      <c r="G361" s="41"/>
      <c r="H361" s="41"/>
    </row>
    <row r="362">
      <c r="A362" s="40"/>
      <c r="B362" s="41"/>
      <c r="C362" s="40"/>
      <c r="D362" s="41"/>
      <c r="E362" s="41"/>
      <c r="F362" s="41"/>
      <c r="G362" s="41"/>
      <c r="H362" s="41"/>
    </row>
    <row r="363">
      <c r="A363" s="40"/>
      <c r="B363" s="41"/>
      <c r="C363" s="40"/>
      <c r="D363" s="41"/>
      <c r="E363" s="41"/>
      <c r="F363" s="41"/>
      <c r="G363" s="41"/>
      <c r="H363" s="41"/>
    </row>
    <row r="364">
      <c r="A364" s="40"/>
      <c r="B364" s="41"/>
      <c r="C364" s="40"/>
      <c r="D364" s="41"/>
      <c r="E364" s="41"/>
      <c r="F364" s="41"/>
      <c r="G364" s="41"/>
      <c r="H364" s="41"/>
    </row>
    <row r="365">
      <c r="A365" s="40"/>
      <c r="B365" s="41"/>
      <c r="C365" s="40"/>
      <c r="D365" s="41"/>
      <c r="E365" s="41"/>
      <c r="F365" s="41"/>
      <c r="G365" s="41"/>
      <c r="H365" s="41"/>
    </row>
    <row r="366">
      <c r="A366" s="40"/>
      <c r="B366" s="41"/>
      <c r="C366" s="40"/>
      <c r="D366" s="41"/>
      <c r="E366" s="41"/>
      <c r="F366" s="41"/>
      <c r="G366" s="41"/>
      <c r="H366" s="41"/>
    </row>
    <row r="367">
      <c r="A367" s="40"/>
      <c r="B367" s="41"/>
      <c r="C367" s="40"/>
      <c r="D367" s="41"/>
      <c r="E367" s="41"/>
      <c r="F367" s="41"/>
      <c r="G367" s="41"/>
      <c r="H367" s="41"/>
    </row>
    <row r="368">
      <c r="A368" s="40"/>
      <c r="B368" s="41"/>
      <c r="C368" s="40"/>
      <c r="D368" s="41"/>
      <c r="E368" s="41"/>
      <c r="F368" s="41"/>
      <c r="G368" s="41"/>
      <c r="H368" s="41"/>
    </row>
    <row r="369">
      <c r="A369" s="40"/>
      <c r="B369" s="41"/>
      <c r="C369" s="40"/>
      <c r="D369" s="41"/>
      <c r="E369" s="41"/>
      <c r="F369" s="41"/>
      <c r="G369" s="41"/>
      <c r="H369" s="41"/>
    </row>
    <row r="370">
      <c r="A370" s="40"/>
      <c r="B370" s="41"/>
      <c r="C370" s="40"/>
      <c r="D370" s="41"/>
      <c r="E370" s="41"/>
      <c r="F370" s="41"/>
      <c r="G370" s="41"/>
      <c r="H370" s="41"/>
    </row>
    <row r="371">
      <c r="A371" s="40"/>
      <c r="B371" s="41"/>
      <c r="C371" s="40"/>
      <c r="D371" s="41"/>
      <c r="E371" s="41"/>
      <c r="F371" s="41"/>
      <c r="G371" s="41"/>
      <c r="H371" s="41"/>
    </row>
    <row r="372">
      <c r="A372" s="40"/>
      <c r="B372" s="41"/>
      <c r="C372" s="40"/>
      <c r="D372" s="41"/>
      <c r="E372" s="41"/>
      <c r="F372" s="41"/>
      <c r="G372" s="41"/>
      <c r="H372" s="41"/>
    </row>
    <row r="373">
      <c r="A373" s="40"/>
      <c r="B373" s="41"/>
      <c r="C373" s="40"/>
      <c r="D373" s="41"/>
      <c r="E373" s="41"/>
      <c r="F373" s="41"/>
      <c r="G373" s="41"/>
      <c r="H373" s="41"/>
    </row>
    <row r="374">
      <c r="A374" s="40"/>
      <c r="B374" s="41"/>
      <c r="C374" s="40"/>
      <c r="D374" s="41"/>
      <c r="E374" s="41"/>
      <c r="F374" s="41"/>
      <c r="G374" s="41"/>
      <c r="H374" s="41"/>
    </row>
    <row r="375">
      <c r="A375" s="40"/>
      <c r="B375" s="41"/>
      <c r="C375" s="40"/>
      <c r="D375" s="41"/>
      <c r="E375" s="41"/>
      <c r="F375" s="41"/>
      <c r="G375" s="41"/>
      <c r="H375" s="41"/>
    </row>
    <row r="376">
      <c r="A376" s="40"/>
      <c r="B376" s="41"/>
      <c r="C376" s="40"/>
      <c r="D376" s="41"/>
      <c r="E376" s="41"/>
      <c r="F376" s="41"/>
      <c r="G376" s="41"/>
      <c r="H376" s="41"/>
    </row>
    <row r="377">
      <c r="A377" s="40"/>
      <c r="B377" s="41"/>
      <c r="C377" s="40"/>
      <c r="D377" s="41"/>
      <c r="E377" s="41"/>
      <c r="F377" s="41"/>
      <c r="G377" s="41"/>
      <c r="H377" s="41"/>
    </row>
    <row r="378">
      <c r="A378" s="40"/>
      <c r="B378" s="41"/>
      <c r="C378" s="40"/>
      <c r="D378" s="41"/>
      <c r="E378" s="41"/>
      <c r="F378" s="41"/>
      <c r="G378" s="41"/>
      <c r="H378" s="41"/>
    </row>
    <row r="379">
      <c r="A379" s="40"/>
      <c r="B379" s="41"/>
      <c r="C379" s="40"/>
      <c r="D379" s="41"/>
      <c r="E379" s="41"/>
      <c r="F379" s="41"/>
      <c r="G379" s="41"/>
      <c r="H379" s="41"/>
    </row>
    <row r="380">
      <c r="A380" s="40"/>
      <c r="B380" s="41"/>
      <c r="C380" s="40"/>
      <c r="D380" s="41"/>
      <c r="E380" s="41"/>
      <c r="F380" s="41"/>
      <c r="G380" s="41"/>
      <c r="H380" s="41"/>
    </row>
    <row r="381">
      <c r="A381" s="40"/>
      <c r="B381" s="41"/>
      <c r="C381" s="40"/>
      <c r="D381" s="41"/>
      <c r="E381" s="41"/>
      <c r="F381" s="41"/>
      <c r="G381" s="41"/>
      <c r="H381" s="41"/>
    </row>
    <row r="382">
      <c r="A382" s="40"/>
      <c r="B382" s="41"/>
      <c r="C382" s="40"/>
      <c r="D382" s="41"/>
      <c r="E382" s="41"/>
      <c r="F382" s="41"/>
      <c r="G382" s="41"/>
      <c r="H382" s="41"/>
    </row>
    <row r="383">
      <c r="A383" s="40"/>
      <c r="B383" s="41"/>
      <c r="C383" s="40"/>
      <c r="D383" s="41"/>
      <c r="E383" s="41"/>
      <c r="F383" s="41"/>
      <c r="G383" s="41"/>
      <c r="H383" s="41"/>
    </row>
    <row r="384">
      <c r="A384" s="40"/>
      <c r="B384" s="41"/>
      <c r="C384" s="40"/>
      <c r="D384" s="41"/>
      <c r="E384" s="41"/>
      <c r="F384" s="41"/>
      <c r="G384" s="41"/>
      <c r="H384" s="41"/>
    </row>
    <row r="385">
      <c r="A385" s="40"/>
      <c r="B385" s="41"/>
      <c r="C385" s="40"/>
      <c r="D385" s="41"/>
      <c r="E385" s="41"/>
      <c r="F385" s="41"/>
      <c r="G385" s="41"/>
      <c r="H385" s="41"/>
    </row>
    <row r="386">
      <c r="A386" s="40"/>
      <c r="B386" s="41"/>
      <c r="C386" s="40"/>
      <c r="D386" s="41"/>
      <c r="E386" s="41"/>
      <c r="F386" s="41"/>
      <c r="G386" s="41"/>
      <c r="H386" s="41"/>
    </row>
    <row r="387">
      <c r="A387" s="40"/>
      <c r="B387" s="41"/>
      <c r="C387" s="40"/>
      <c r="D387" s="41"/>
      <c r="E387" s="41"/>
      <c r="F387" s="41"/>
      <c r="G387" s="41"/>
      <c r="H387" s="41"/>
    </row>
    <row r="388">
      <c r="A388" s="40"/>
      <c r="B388" s="41"/>
      <c r="C388" s="40"/>
      <c r="D388" s="41"/>
      <c r="E388" s="41"/>
      <c r="F388" s="41"/>
      <c r="G388" s="41"/>
      <c r="H388" s="41"/>
    </row>
    <row r="389">
      <c r="A389" s="40"/>
      <c r="B389" s="41"/>
      <c r="C389" s="40"/>
      <c r="D389" s="41"/>
      <c r="E389" s="41"/>
      <c r="F389" s="41"/>
      <c r="G389" s="41"/>
      <c r="H389" s="41"/>
    </row>
    <row r="390">
      <c r="A390" s="40"/>
      <c r="B390" s="41"/>
      <c r="C390" s="40"/>
      <c r="D390" s="41"/>
      <c r="E390" s="41"/>
      <c r="F390" s="41"/>
      <c r="G390" s="41"/>
      <c r="H390" s="41"/>
    </row>
    <row r="391">
      <c r="A391" s="40"/>
      <c r="B391" s="41"/>
      <c r="C391" s="40"/>
      <c r="D391" s="41"/>
      <c r="E391" s="41"/>
      <c r="F391" s="41"/>
      <c r="G391" s="41"/>
      <c r="H391" s="41"/>
    </row>
    <row r="392">
      <c r="A392" s="40"/>
      <c r="B392" s="41"/>
      <c r="C392" s="40"/>
      <c r="D392" s="41"/>
      <c r="E392" s="41"/>
      <c r="F392" s="41"/>
      <c r="G392" s="41"/>
      <c r="H392" s="41"/>
    </row>
    <row r="393">
      <c r="A393" s="40"/>
      <c r="B393" s="41"/>
      <c r="C393" s="40"/>
      <c r="D393" s="41"/>
      <c r="E393" s="41"/>
      <c r="F393" s="41"/>
      <c r="G393" s="41"/>
      <c r="H393" s="41"/>
    </row>
    <row r="394">
      <c r="A394" s="40"/>
      <c r="B394" s="41"/>
      <c r="C394" s="40"/>
      <c r="D394" s="41"/>
      <c r="E394" s="41"/>
      <c r="F394" s="41"/>
      <c r="G394" s="41"/>
      <c r="H394" s="41"/>
    </row>
    <row r="395">
      <c r="A395" s="40"/>
      <c r="B395" s="41"/>
      <c r="C395" s="40"/>
      <c r="D395" s="41"/>
      <c r="E395" s="41"/>
      <c r="F395" s="41"/>
      <c r="G395" s="41"/>
      <c r="H395" s="41"/>
    </row>
    <row r="396">
      <c r="A396" s="40"/>
      <c r="B396" s="41"/>
      <c r="C396" s="40"/>
      <c r="D396" s="41"/>
      <c r="E396" s="41"/>
      <c r="F396" s="41"/>
      <c r="G396" s="41"/>
      <c r="H396" s="41"/>
    </row>
    <row r="397">
      <c r="A397" s="40"/>
      <c r="B397" s="41"/>
      <c r="C397" s="40"/>
      <c r="D397" s="41"/>
      <c r="E397" s="41"/>
      <c r="F397" s="41"/>
      <c r="G397" s="41"/>
      <c r="H397" s="41"/>
    </row>
    <row r="398">
      <c r="A398" s="40"/>
      <c r="B398" s="41"/>
      <c r="C398" s="40"/>
      <c r="D398" s="41"/>
      <c r="E398" s="41"/>
      <c r="F398" s="41"/>
      <c r="G398" s="41"/>
      <c r="H398" s="41"/>
    </row>
    <row r="399">
      <c r="A399" s="40"/>
      <c r="B399" s="41"/>
      <c r="C399" s="40"/>
      <c r="D399" s="41"/>
      <c r="E399" s="41"/>
      <c r="F399" s="41"/>
      <c r="G399" s="41"/>
      <c r="H399" s="41"/>
    </row>
    <row r="400">
      <c r="A400" s="40"/>
      <c r="B400" s="41"/>
      <c r="C400" s="40"/>
      <c r="D400" s="41"/>
      <c r="E400" s="41"/>
      <c r="F400" s="41"/>
      <c r="G400" s="41"/>
      <c r="H400" s="41"/>
    </row>
    <row r="401">
      <c r="A401" s="40"/>
      <c r="B401" s="41"/>
      <c r="C401" s="40"/>
      <c r="D401" s="41"/>
      <c r="E401" s="41"/>
      <c r="F401" s="41"/>
      <c r="G401" s="41"/>
      <c r="H401" s="41"/>
    </row>
    <row r="402">
      <c r="A402" s="40"/>
      <c r="B402" s="41"/>
      <c r="C402" s="40"/>
      <c r="D402" s="41"/>
      <c r="E402" s="41"/>
      <c r="F402" s="41"/>
      <c r="G402" s="41"/>
      <c r="H402" s="41"/>
    </row>
    <row r="403">
      <c r="A403" s="40"/>
      <c r="B403" s="41"/>
      <c r="C403" s="40"/>
      <c r="D403" s="41"/>
      <c r="E403" s="41"/>
      <c r="F403" s="41"/>
      <c r="G403" s="41"/>
      <c r="H403" s="41"/>
    </row>
    <row r="404">
      <c r="A404" s="40"/>
      <c r="B404" s="41"/>
      <c r="C404" s="40"/>
      <c r="D404" s="41"/>
      <c r="E404" s="41"/>
      <c r="F404" s="41"/>
      <c r="G404" s="41"/>
      <c r="H404" s="41"/>
    </row>
    <row r="405">
      <c r="A405" s="40"/>
      <c r="B405" s="41"/>
      <c r="C405" s="40"/>
      <c r="D405" s="41"/>
      <c r="E405" s="41"/>
      <c r="F405" s="41"/>
      <c r="G405" s="41"/>
      <c r="H405" s="41"/>
    </row>
    <row r="406">
      <c r="A406" s="40"/>
      <c r="B406" s="41"/>
      <c r="C406" s="40"/>
      <c r="D406" s="41"/>
      <c r="E406" s="41"/>
      <c r="F406" s="41"/>
      <c r="G406" s="41"/>
      <c r="H406" s="41"/>
    </row>
    <row r="407">
      <c r="A407" s="40"/>
      <c r="B407" s="41"/>
      <c r="C407" s="40"/>
      <c r="D407" s="41"/>
      <c r="E407" s="41"/>
      <c r="F407" s="41"/>
      <c r="G407" s="41"/>
      <c r="H407" s="41"/>
    </row>
    <row r="408">
      <c r="A408" s="40"/>
      <c r="B408" s="41"/>
      <c r="C408" s="40"/>
      <c r="D408" s="41"/>
      <c r="E408" s="41"/>
      <c r="F408" s="41"/>
      <c r="G408" s="41"/>
      <c r="H408" s="41"/>
    </row>
    <row r="409">
      <c r="A409" s="40"/>
      <c r="B409" s="41"/>
      <c r="C409" s="40"/>
      <c r="D409" s="41"/>
      <c r="E409" s="41"/>
      <c r="F409" s="41"/>
      <c r="G409" s="41"/>
      <c r="H409" s="41"/>
    </row>
    <row r="410">
      <c r="A410" s="40"/>
      <c r="B410" s="41"/>
      <c r="C410" s="40"/>
      <c r="D410" s="41"/>
      <c r="E410" s="41"/>
      <c r="F410" s="41"/>
      <c r="G410" s="41"/>
      <c r="H410" s="41"/>
    </row>
    <row r="411">
      <c r="A411" s="40"/>
      <c r="B411" s="41"/>
      <c r="C411" s="40"/>
      <c r="D411" s="41"/>
      <c r="E411" s="41"/>
      <c r="F411" s="41"/>
      <c r="G411" s="41"/>
      <c r="H411" s="41"/>
    </row>
    <row r="412">
      <c r="A412" s="40"/>
      <c r="B412" s="41"/>
      <c r="C412" s="40"/>
      <c r="D412" s="41"/>
      <c r="E412" s="41"/>
      <c r="F412" s="41"/>
      <c r="G412" s="41"/>
      <c r="H412" s="41"/>
    </row>
    <row r="413">
      <c r="A413" s="40"/>
      <c r="B413" s="41"/>
      <c r="C413" s="40"/>
      <c r="D413" s="41"/>
      <c r="E413" s="41"/>
      <c r="F413" s="41"/>
      <c r="G413" s="41"/>
      <c r="H413" s="41"/>
    </row>
    <row r="414">
      <c r="A414" s="40"/>
      <c r="B414" s="41"/>
      <c r="C414" s="40"/>
      <c r="D414" s="41"/>
      <c r="E414" s="41"/>
      <c r="F414" s="41"/>
      <c r="G414" s="41"/>
      <c r="H414" s="41"/>
    </row>
    <row r="415">
      <c r="A415" s="40"/>
      <c r="B415" s="41"/>
      <c r="C415" s="40"/>
      <c r="D415" s="41"/>
      <c r="E415" s="41"/>
      <c r="F415" s="41"/>
      <c r="G415" s="41"/>
      <c r="H415" s="41"/>
    </row>
    <row r="416">
      <c r="A416" s="40"/>
      <c r="B416" s="41"/>
      <c r="C416" s="40"/>
      <c r="D416" s="41"/>
      <c r="E416" s="41"/>
      <c r="F416" s="41"/>
      <c r="G416" s="41"/>
      <c r="H416" s="41"/>
    </row>
    <row r="417">
      <c r="A417" s="40"/>
      <c r="B417" s="41"/>
      <c r="C417" s="40"/>
      <c r="D417" s="41"/>
      <c r="E417" s="41"/>
      <c r="F417" s="41"/>
      <c r="G417" s="41"/>
      <c r="H417" s="41"/>
    </row>
    <row r="418">
      <c r="A418" s="40"/>
      <c r="B418" s="41"/>
      <c r="C418" s="40"/>
      <c r="D418" s="41"/>
      <c r="E418" s="41"/>
      <c r="F418" s="41"/>
      <c r="G418" s="41"/>
      <c r="H418" s="41"/>
    </row>
    <row r="419">
      <c r="A419" s="40"/>
      <c r="B419" s="41"/>
      <c r="C419" s="40"/>
      <c r="D419" s="41"/>
      <c r="E419" s="41"/>
      <c r="F419" s="41"/>
      <c r="G419" s="41"/>
      <c r="H419" s="41"/>
    </row>
    <row r="420">
      <c r="A420" s="40"/>
      <c r="B420" s="41"/>
      <c r="C420" s="40"/>
      <c r="D420" s="41"/>
      <c r="E420" s="41"/>
      <c r="F420" s="41"/>
      <c r="G420" s="41"/>
      <c r="H420" s="41"/>
    </row>
    <row r="421">
      <c r="A421" s="40"/>
      <c r="B421" s="41"/>
      <c r="C421" s="40"/>
      <c r="D421" s="41"/>
      <c r="E421" s="41"/>
      <c r="F421" s="41"/>
      <c r="G421" s="41"/>
      <c r="H421" s="41"/>
    </row>
    <row r="422">
      <c r="A422" s="40"/>
      <c r="B422" s="41"/>
      <c r="C422" s="40"/>
      <c r="D422" s="41"/>
      <c r="E422" s="41"/>
      <c r="F422" s="41"/>
      <c r="G422" s="41"/>
      <c r="H422" s="41"/>
    </row>
    <row r="423">
      <c r="A423" s="40"/>
      <c r="B423" s="41"/>
      <c r="C423" s="40"/>
      <c r="D423" s="41"/>
      <c r="E423" s="41"/>
      <c r="F423" s="41"/>
      <c r="G423" s="41"/>
      <c r="H423" s="41"/>
    </row>
    <row r="424">
      <c r="A424" s="40"/>
      <c r="B424" s="41"/>
      <c r="C424" s="40"/>
      <c r="D424" s="41"/>
      <c r="E424" s="41"/>
      <c r="F424" s="41"/>
      <c r="G424" s="41"/>
      <c r="H424" s="41"/>
    </row>
    <row r="425">
      <c r="A425" s="40"/>
      <c r="B425" s="41"/>
      <c r="C425" s="40"/>
      <c r="D425" s="41"/>
      <c r="E425" s="41"/>
      <c r="F425" s="41"/>
      <c r="G425" s="41"/>
      <c r="H425" s="41"/>
    </row>
    <row r="426">
      <c r="A426" s="40"/>
      <c r="B426" s="41"/>
      <c r="C426" s="40"/>
      <c r="D426" s="41"/>
      <c r="E426" s="41"/>
      <c r="F426" s="41"/>
      <c r="G426" s="41"/>
      <c r="H426" s="41"/>
    </row>
    <row r="427">
      <c r="A427" s="40"/>
      <c r="B427" s="41"/>
      <c r="C427" s="40"/>
      <c r="D427" s="41"/>
      <c r="E427" s="41"/>
      <c r="F427" s="41"/>
      <c r="G427" s="41"/>
      <c r="H427" s="41"/>
    </row>
    <row r="428">
      <c r="A428" s="40"/>
      <c r="B428" s="41"/>
      <c r="C428" s="40"/>
      <c r="D428" s="41"/>
      <c r="E428" s="41"/>
      <c r="F428" s="41"/>
      <c r="G428" s="41"/>
      <c r="H428" s="41"/>
    </row>
    <row r="429">
      <c r="A429" s="40"/>
      <c r="B429" s="41"/>
      <c r="C429" s="40"/>
      <c r="D429" s="41"/>
      <c r="E429" s="41"/>
      <c r="F429" s="41"/>
      <c r="G429" s="41"/>
      <c r="H429" s="41"/>
    </row>
    <row r="430">
      <c r="A430" s="40"/>
      <c r="B430" s="41"/>
      <c r="C430" s="40"/>
      <c r="D430" s="41"/>
      <c r="E430" s="41"/>
      <c r="F430" s="41"/>
      <c r="G430" s="41"/>
      <c r="H430" s="41"/>
    </row>
    <row r="431">
      <c r="A431" s="40"/>
      <c r="B431" s="41"/>
      <c r="C431" s="40"/>
      <c r="D431" s="41"/>
      <c r="E431" s="41"/>
      <c r="F431" s="41"/>
      <c r="G431" s="41"/>
      <c r="H431" s="41"/>
    </row>
    <row r="432">
      <c r="A432" s="40"/>
      <c r="B432" s="41"/>
      <c r="C432" s="40"/>
      <c r="D432" s="41"/>
      <c r="E432" s="41"/>
      <c r="F432" s="41"/>
      <c r="G432" s="41"/>
      <c r="H432" s="41"/>
    </row>
    <row r="433">
      <c r="A433" s="40"/>
      <c r="B433" s="41"/>
      <c r="C433" s="40"/>
      <c r="D433" s="41"/>
      <c r="E433" s="41"/>
      <c r="F433" s="41"/>
      <c r="G433" s="41"/>
      <c r="H433" s="41"/>
    </row>
    <row r="434">
      <c r="A434" s="40"/>
      <c r="B434" s="41"/>
      <c r="C434" s="40"/>
      <c r="D434" s="41"/>
      <c r="E434" s="41"/>
      <c r="F434" s="41"/>
      <c r="G434" s="41"/>
      <c r="H434" s="41"/>
    </row>
    <row r="435">
      <c r="A435" s="40"/>
      <c r="B435" s="41"/>
      <c r="C435" s="40"/>
      <c r="D435" s="41"/>
      <c r="E435" s="41"/>
      <c r="F435" s="41"/>
      <c r="G435" s="41"/>
      <c r="H435" s="41"/>
    </row>
    <row r="436">
      <c r="A436" s="40"/>
      <c r="B436" s="41"/>
      <c r="C436" s="40"/>
      <c r="D436" s="41"/>
      <c r="E436" s="41"/>
      <c r="F436" s="41"/>
      <c r="G436" s="41"/>
      <c r="H436" s="41"/>
    </row>
    <row r="437">
      <c r="A437" s="40"/>
      <c r="B437" s="41"/>
      <c r="C437" s="40"/>
      <c r="D437" s="41"/>
      <c r="E437" s="41"/>
      <c r="F437" s="41"/>
      <c r="G437" s="41"/>
      <c r="H437" s="41"/>
    </row>
    <row r="438">
      <c r="A438" s="40"/>
      <c r="B438" s="41"/>
      <c r="C438" s="40"/>
      <c r="D438" s="41"/>
      <c r="E438" s="41"/>
      <c r="F438" s="41"/>
      <c r="G438" s="41"/>
      <c r="H438" s="41"/>
    </row>
    <row r="439">
      <c r="A439" s="40"/>
      <c r="B439" s="41"/>
      <c r="C439" s="40"/>
      <c r="D439" s="41"/>
      <c r="E439" s="41"/>
      <c r="F439" s="41"/>
      <c r="G439" s="41"/>
      <c r="H439" s="41"/>
    </row>
    <row r="440">
      <c r="A440" s="40"/>
      <c r="B440" s="41"/>
      <c r="C440" s="40"/>
      <c r="D440" s="41"/>
      <c r="E440" s="41"/>
      <c r="F440" s="41"/>
      <c r="G440" s="41"/>
      <c r="H440" s="41"/>
    </row>
    <row r="441">
      <c r="A441" s="40"/>
      <c r="B441" s="41"/>
      <c r="C441" s="40"/>
      <c r="D441" s="41"/>
      <c r="E441" s="41"/>
      <c r="F441" s="41"/>
      <c r="G441" s="41"/>
      <c r="H441" s="41"/>
    </row>
    <row r="442">
      <c r="A442" s="40"/>
      <c r="B442" s="41"/>
      <c r="C442" s="40"/>
      <c r="D442" s="41"/>
      <c r="E442" s="41"/>
      <c r="F442" s="41"/>
      <c r="G442" s="41"/>
      <c r="H442" s="41"/>
    </row>
    <row r="443">
      <c r="A443" s="40"/>
      <c r="B443" s="41"/>
      <c r="C443" s="40"/>
      <c r="D443" s="41"/>
      <c r="E443" s="41"/>
      <c r="F443" s="41"/>
      <c r="G443" s="41"/>
      <c r="H443" s="41"/>
    </row>
    <row r="444">
      <c r="A444" s="40"/>
      <c r="B444" s="41"/>
      <c r="C444" s="40"/>
      <c r="D444" s="41"/>
      <c r="E444" s="41"/>
      <c r="F444" s="41"/>
      <c r="G444" s="41"/>
      <c r="H444" s="41"/>
    </row>
    <row r="445">
      <c r="A445" s="40"/>
      <c r="B445" s="41"/>
      <c r="C445" s="40"/>
      <c r="D445" s="41"/>
      <c r="E445" s="41"/>
      <c r="F445" s="41"/>
      <c r="G445" s="41"/>
      <c r="H445" s="41"/>
    </row>
    <row r="446">
      <c r="A446" s="40"/>
      <c r="B446" s="41"/>
      <c r="C446" s="40"/>
      <c r="D446" s="41"/>
      <c r="E446" s="41"/>
      <c r="F446" s="41"/>
      <c r="G446" s="41"/>
      <c r="H446" s="41"/>
    </row>
    <row r="447">
      <c r="A447" s="40"/>
      <c r="B447" s="41"/>
      <c r="C447" s="40"/>
      <c r="D447" s="41"/>
      <c r="E447" s="41"/>
      <c r="F447" s="41"/>
      <c r="G447" s="41"/>
      <c r="H447" s="41"/>
    </row>
    <row r="448">
      <c r="A448" s="40"/>
      <c r="B448" s="41"/>
      <c r="C448" s="40"/>
      <c r="D448" s="41"/>
      <c r="E448" s="41"/>
      <c r="F448" s="41"/>
      <c r="G448" s="41"/>
      <c r="H448" s="41"/>
    </row>
    <row r="449">
      <c r="A449" s="40"/>
      <c r="B449" s="41"/>
      <c r="C449" s="40"/>
      <c r="D449" s="41"/>
      <c r="E449" s="41"/>
      <c r="F449" s="41"/>
      <c r="G449" s="41"/>
      <c r="H449" s="41"/>
    </row>
    <row r="450">
      <c r="A450" s="40"/>
      <c r="B450" s="41"/>
      <c r="C450" s="40"/>
      <c r="D450" s="41"/>
      <c r="E450" s="41"/>
      <c r="F450" s="41"/>
      <c r="G450" s="41"/>
      <c r="H450" s="41"/>
    </row>
    <row r="451">
      <c r="A451" s="40"/>
      <c r="B451" s="41"/>
      <c r="C451" s="40"/>
      <c r="D451" s="41"/>
      <c r="E451" s="41"/>
      <c r="F451" s="41"/>
      <c r="G451" s="41"/>
      <c r="H451" s="41"/>
    </row>
    <row r="452">
      <c r="A452" s="40"/>
      <c r="B452" s="41"/>
      <c r="C452" s="40"/>
      <c r="D452" s="41"/>
      <c r="E452" s="41"/>
      <c r="F452" s="41"/>
      <c r="G452" s="41"/>
      <c r="H452" s="41"/>
    </row>
    <row r="453">
      <c r="A453" s="40"/>
      <c r="B453" s="41"/>
      <c r="C453" s="40"/>
      <c r="D453" s="41"/>
      <c r="E453" s="41"/>
      <c r="F453" s="41"/>
      <c r="G453" s="41"/>
      <c r="H453" s="41"/>
    </row>
    <row r="454">
      <c r="A454" s="40"/>
      <c r="B454" s="41"/>
      <c r="C454" s="40"/>
      <c r="D454" s="41"/>
      <c r="E454" s="41"/>
      <c r="F454" s="41"/>
      <c r="G454" s="41"/>
      <c r="H454" s="41"/>
    </row>
    <row r="455">
      <c r="A455" s="40"/>
      <c r="B455" s="41"/>
      <c r="C455" s="40"/>
      <c r="D455" s="41"/>
      <c r="E455" s="41"/>
      <c r="F455" s="41"/>
      <c r="G455" s="41"/>
      <c r="H455" s="41"/>
    </row>
    <row r="456">
      <c r="A456" s="40"/>
      <c r="B456" s="41"/>
      <c r="C456" s="40"/>
      <c r="D456" s="41"/>
      <c r="E456" s="41"/>
      <c r="F456" s="41"/>
      <c r="G456" s="41"/>
      <c r="H456" s="41"/>
    </row>
    <row r="457">
      <c r="A457" s="40"/>
      <c r="B457" s="41"/>
      <c r="C457" s="40"/>
      <c r="D457" s="41"/>
      <c r="E457" s="41"/>
      <c r="F457" s="41"/>
      <c r="G457" s="41"/>
      <c r="H457" s="41"/>
    </row>
    <row r="458">
      <c r="A458" s="40"/>
      <c r="B458" s="41"/>
      <c r="C458" s="40"/>
      <c r="D458" s="41"/>
      <c r="E458" s="41"/>
      <c r="F458" s="41"/>
      <c r="G458" s="41"/>
      <c r="H458" s="41"/>
    </row>
    <row r="459">
      <c r="A459" s="40"/>
      <c r="B459" s="41"/>
      <c r="C459" s="40"/>
      <c r="D459" s="41"/>
      <c r="E459" s="41"/>
      <c r="F459" s="41"/>
      <c r="G459" s="41"/>
      <c r="H459" s="41"/>
    </row>
    <row r="460">
      <c r="A460" s="40"/>
      <c r="B460" s="41"/>
      <c r="C460" s="40"/>
      <c r="D460" s="41"/>
      <c r="E460" s="41"/>
      <c r="F460" s="41"/>
      <c r="G460" s="41"/>
      <c r="H460" s="41"/>
    </row>
    <row r="461">
      <c r="A461" s="40"/>
      <c r="B461" s="41"/>
      <c r="C461" s="40"/>
      <c r="D461" s="41"/>
      <c r="E461" s="41"/>
      <c r="F461" s="41"/>
      <c r="G461" s="41"/>
      <c r="H461" s="41"/>
    </row>
    <row r="462">
      <c r="A462" s="40"/>
      <c r="B462" s="41"/>
      <c r="C462" s="40"/>
      <c r="D462" s="41"/>
      <c r="E462" s="41"/>
      <c r="F462" s="41"/>
      <c r="G462" s="41"/>
      <c r="H462" s="41"/>
    </row>
    <row r="463">
      <c r="A463" s="40"/>
      <c r="B463" s="41"/>
      <c r="C463" s="40"/>
      <c r="D463" s="41"/>
      <c r="E463" s="41"/>
      <c r="F463" s="41"/>
      <c r="G463" s="41"/>
      <c r="H463" s="41"/>
    </row>
    <row r="464">
      <c r="A464" s="40"/>
      <c r="B464" s="41"/>
      <c r="C464" s="40"/>
      <c r="D464" s="41"/>
      <c r="E464" s="41"/>
      <c r="F464" s="41"/>
      <c r="G464" s="41"/>
      <c r="H464" s="41"/>
    </row>
    <row r="465">
      <c r="A465" s="40"/>
      <c r="B465" s="41"/>
      <c r="C465" s="40"/>
      <c r="D465" s="41"/>
      <c r="E465" s="41"/>
      <c r="F465" s="41"/>
      <c r="G465" s="41"/>
      <c r="H465" s="41"/>
    </row>
    <row r="466">
      <c r="A466" s="40"/>
      <c r="B466" s="41"/>
      <c r="C466" s="40"/>
      <c r="D466" s="41"/>
      <c r="E466" s="41"/>
      <c r="F466" s="41"/>
      <c r="G466" s="41"/>
      <c r="H466" s="41"/>
    </row>
    <row r="467">
      <c r="A467" s="40"/>
      <c r="B467" s="41"/>
      <c r="C467" s="40"/>
      <c r="D467" s="41"/>
      <c r="E467" s="41"/>
      <c r="F467" s="41"/>
      <c r="G467" s="41"/>
      <c r="H467" s="41"/>
    </row>
    <row r="468">
      <c r="A468" s="40"/>
      <c r="B468" s="41"/>
      <c r="C468" s="40"/>
      <c r="D468" s="41"/>
      <c r="E468" s="41"/>
      <c r="F468" s="41"/>
      <c r="G468" s="41"/>
      <c r="H468" s="41"/>
    </row>
    <row r="469">
      <c r="A469" s="40"/>
      <c r="B469" s="41"/>
      <c r="C469" s="40"/>
      <c r="D469" s="41"/>
      <c r="E469" s="41"/>
      <c r="F469" s="41"/>
      <c r="G469" s="41"/>
      <c r="H469" s="41"/>
    </row>
    <row r="470">
      <c r="A470" s="40"/>
      <c r="B470" s="41"/>
      <c r="C470" s="40"/>
      <c r="D470" s="41"/>
      <c r="E470" s="41"/>
      <c r="F470" s="41"/>
      <c r="G470" s="41"/>
      <c r="H470" s="41"/>
    </row>
    <row r="471">
      <c r="A471" s="40"/>
      <c r="B471" s="41"/>
      <c r="C471" s="40"/>
      <c r="D471" s="41"/>
      <c r="E471" s="41"/>
      <c r="F471" s="41"/>
      <c r="G471" s="41"/>
      <c r="H471" s="41"/>
    </row>
    <row r="472">
      <c r="A472" s="40"/>
      <c r="B472" s="41"/>
      <c r="C472" s="40"/>
      <c r="D472" s="41"/>
      <c r="E472" s="41"/>
      <c r="F472" s="41"/>
      <c r="G472" s="41"/>
      <c r="H472" s="41"/>
    </row>
    <row r="473">
      <c r="A473" s="40"/>
      <c r="B473" s="41"/>
      <c r="C473" s="40"/>
      <c r="D473" s="41"/>
      <c r="E473" s="41"/>
      <c r="F473" s="41"/>
      <c r="G473" s="41"/>
      <c r="H473" s="41"/>
    </row>
    <row r="474">
      <c r="A474" s="40"/>
      <c r="B474" s="41"/>
      <c r="C474" s="40"/>
      <c r="D474" s="41"/>
      <c r="E474" s="41"/>
      <c r="F474" s="41"/>
      <c r="G474" s="41"/>
      <c r="H474" s="41"/>
    </row>
    <row r="475">
      <c r="A475" s="40"/>
      <c r="B475" s="41"/>
      <c r="C475" s="40"/>
      <c r="D475" s="41"/>
      <c r="E475" s="41"/>
      <c r="F475" s="41"/>
      <c r="G475" s="41"/>
      <c r="H475" s="41"/>
    </row>
    <row r="476">
      <c r="A476" s="40"/>
      <c r="B476" s="41"/>
      <c r="C476" s="40"/>
      <c r="D476" s="41"/>
      <c r="E476" s="41"/>
      <c r="F476" s="41"/>
      <c r="G476" s="41"/>
      <c r="H476" s="41"/>
    </row>
    <row r="477">
      <c r="A477" s="40"/>
      <c r="B477" s="41"/>
      <c r="C477" s="40"/>
      <c r="D477" s="41"/>
      <c r="E477" s="41"/>
      <c r="F477" s="41"/>
      <c r="G477" s="41"/>
      <c r="H477" s="41"/>
    </row>
    <row r="478">
      <c r="A478" s="40"/>
      <c r="B478" s="41"/>
      <c r="C478" s="40"/>
      <c r="D478" s="41"/>
      <c r="E478" s="41"/>
      <c r="F478" s="41"/>
      <c r="G478" s="41"/>
      <c r="H478" s="41"/>
    </row>
    <row r="479">
      <c r="A479" s="40"/>
      <c r="B479" s="41"/>
      <c r="C479" s="40"/>
      <c r="D479" s="41"/>
      <c r="E479" s="41"/>
      <c r="F479" s="41"/>
      <c r="G479" s="41"/>
      <c r="H479" s="41"/>
    </row>
    <row r="480">
      <c r="A480" s="40"/>
      <c r="B480" s="41"/>
      <c r="C480" s="40"/>
      <c r="D480" s="41"/>
      <c r="E480" s="41"/>
      <c r="F480" s="41"/>
      <c r="G480" s="41"/>
      <c r="H480" s="41"/>
    </row>
    <row r="481">
      <c r="A481" s="40"/>
      <c r="B481" s="41"/>
      <c r="C481" s="40"/>
      <c r="D481" s="41"/>
      <c r="E481" s="41"/>
      <c r="F481" s="41"/>
      <c r="G481" s="41"/>
      <c r="H481" s="41"/>
    </row>
    <row r="482">
      <c r="A482" s="40"/>
      <c r="B482" s="41"/>
      <c r="C482" s="40"/>
      <c r="D482" s="41"/>
      <c r="E482" s="41"/>
      <c r="F482" s="41"/>
      <c r="G482" s="41"/>
      <c r="H482" s="41"/>
    </row>
    <row r="483">
      <c r="A483" s="40"/>
      <c r="B483" s="41"/>
      <c r="C483" s="40"/>
      <c r="D483" s="41"/>
      <c r="E483" s="41"/>
      <c r="F483" s="41"/>
      <c r="G483" s="41"/>
      <c r="H483" s="41"/>
    </row>
    <row r="484">
      <c r="A484" s="40"/>
      <c r="B484" s="41"/>
      <c r="C484" s="40"/>
      <c r="D484" s="41"/>
      <c r="E484" s="41"/>
      <c r="F484" s="41"/>
      <c r="G484" s="41"/>
      <c r="H484" s="41"/>
    </row>
    <row r="485">
      <c r="A485" s="40"/>
      <c r="B485" s="41"/>
      <c r="C485" s="40"/>
      <c r="D485" s="41"/>
      <c r="E485" s="41"/>
      <c r="F485" s="41"/>
      <c r="G485" s="41"/>
      <c r="H485" s="41"/>
    </row>
    <row r="486">
      <c r="A486" s="40"/>
      <c r="B486" s="41"/>
      <c r="C486" s="40"/>
      <c r="D486" s="41"/>
      <c r="E486" s="41"/>
      <c r="F486" s="41"/>
      <c r="G486" s="41"/>
      <c r="H486" s="41"/>
    </row>
    <row r="487">
      <c r="A487" s="40"/>
      <c r="B487" s="41"/>
      <c r="C487" s="40"/>
      <c r="D487" s="41"/>
      <c r="E487" s="41"/>
      <c r="F487" s="41"/>
      <c r="G487" s="41"/>
      <c r="H487" s="41"/>
    </row>
    <row r="488">
      <c r="A488" s="40"/>
      <c r="B488" s="41"/>
      <c r="C488" s="40"/>
      <c r="D488" s="41"/>
      <c r="E488" s="41"/>
      <c r="F488" s="41"/>
      <c r="G488" s="41"/>
      <c r="H488" s="41"/>
    </row>
    <row r="489">
      <c r="A489" s="40"/>
      <c r="B489" s="41"/>
      <c r="C489" s="40"/>
      <c r="D489" s="41"/>
      <c r="E489" s="41"/>
      <c r="F489" s="41"/>
      <c r="G489" s="41"/>
      <c r="H489" s="41"/>
    </row>
    <row r="490">
      <c r="A490" s="40"/>
      <c r="B490" s="41"/>
      <c r="C490" s="40"/>
      <c r="D490" s="41"/>
      <c r="E490" s="41"/>
      <c r="F490" s="41"/>
      <c r="G490" s="41"/>
      <c r="H490" s="41"/>
    </row>
    <row r="491">
      <c r="A491" s="40"/>
      <c r="B491" s="41"/>
      <c r="C491" s="40"/>
      <c r="D491" s="41"/>
      <c r="E491" s="41"/>
      <c r="F491" s="41"/>
      <c r="G491" s="41"/>
      <c r="H491" s="41"/>
    </row>
    <row r="492">
      <c r="A492" s="40"/>
      <c r="B492" s="41"/>
      <c r="C492" s="40"/>
      <c r="D492" s="41"/>
      <c r="E492" s="41"/>
      <c r="F492" s="41"/>
      <c r="G492" s="41"/>
      <c r="H492" s="41"/>
    </row>
    <row r="493">
      <c r="A493" s="40"/>
      <c r="B493" s="41"/>
      <c r="C493" s="40"/>
      <c r="D493" s="41"/>
      <c r="E493" s="41"/>
      <c r="F493" s="41"/>
      <c r="G493" s="41"/>
      <c r="H493" s="41"/>
    </row>
    <row r="494">
      <c r="A494" s="40"/>
      <c r="B494" s="41"/>
      <c r="C494" s="40"/>
      <c r="D494" s="41"/>
      <c r="E494" s="41"/>
      <c r="F494" s="41"/>
      <c r="G494" s="41"/>
      <c r="H494" s="41"/>
    </row>
    <row r="495">
      <c r="A495" s="40"/>
      <c r="B495" s="41"/>
      <c r="C495" s="40"/>
      <c r="D495" s="41"/>
      <c r="E495" s="41"/>
      <c r="F495" s="41"/>
      <c r="G495" s="41"/>
      <c r="H495" s="41"/>
    </row>
    <row r="496">
      <c r="A496" s="40"/>
      <c r="B496" s="41"/>
      <c r="C496" s="40"/>
      <c r="D496" s="41"/>
      <c r="E496" s="41"/>
      <c r="F496" s="41"/>
      <c r="G496" s="41"/>
      <c r="H496" s="41"/>
    </row>
    <row r="497">
      <c r="A497" s="40"/>
      <c r="B497" s="41"/>
      <c r="C497" s="40"/>
      <c r="D497" s="41"/>
      <c r="E497" s="41"/>
      <c r="F497" s="41"/>
      <c r="G497" s="41"/>
      <c r="H497" s="41"/>
    </row>
    <row r="498">
      <c r="A498" s="40"/>
      <c r="B498" s="41"/>
      <c r="C498" s="40"/>
      <c r="D498" s="41"/>
      <c r="E498" s="41"/>
      <c r="F498" s="41"/>
      <c r="G498" s="41"/>
      <c r="H498" s="41"/>
    </row>
    <row r="499">
      <c r="A499" s="40"/>
      <c r="B499" s="41"/>
      <c r="C499" s="40"/>
      <c r="D499" s="41"/>
      <c r="E499" s="41"/>
      <c r="F499" s="41"/>
      <c r="G499" s="41"/>
      <c r="H499" s="41"/>
    </row>
    <row r="500">
      <c r="A500" s="40"/>
      <c r="B500" s="41"/>
      <c r="C500" s="40"/>
      <c r="D500" s="41"/>
      <c r="E500" s="41"/>
      <c r="F500" s="41"/>
      <c r="G500" s="41"/>
      <c r="H500" s="41"/>
    </row>
    <row r="501">
      <c r="A501" s="40"/>
      <c r="B501" s="41"/>
      <c r="C501" s="40"/>
      <c r="D501" s="41"/>
      <c r="E501" s="41"/>
      <c r="F501" s="41"/>
      <c r="G501" s="41"/>
      <c r="H501" s="41"/>
    </row>
    <row r="502">
      <c r="A502" s="40"/>
      <c r="B502" s="41"/>
      <c r="C502" s="40"/>
      <c r="D502" s="41"/>
      <c r="E502" s="41"/>
      <c r="F502" s="41"/>
      <c r="G502" s="41"/>
      <c r="H502" s="41"/>
    </row>
    <row r="503">
      <c r="A503" s="40"/>
      <c r="B503" s="41"/>
      <c r="C503" s="40"/>
      <c r="D503" s="41"/>
      <c r="E503" s="41"/>
      <c r="F503" s="41"/>
      <c r="G503" s="41"/>
      <c r="H503" s="41"/>
    </row>
    <row r="504">
      <c r="A504" s="40"/>
      <c r="B504" s="41"/>
      <c r="C504" s="40"/>
      <c r="D504" s="41"/>
      <c r="E504" s="41"/>
      <c r="F504" s="41"/>
      <c r="G504" s="41"/>
      <c r="H504" s="41"/>
    </row>
    <row r="505">
      <c r="A505" s="40"/>
      <c r="B505" s="41"/>
      <c r="C505" s="40"/>
      <c r="D505" s="41"/>
      <c r="E505" s="41"/>
      <c r="F505" s="41"/>
      <c r="G505" s="41"/>
      <c r="H505" s="41"/>
    </row>
    <row r="506">
      <c r="A506" s="40"/>
      <c r="B506" s="41"/>
      <c r="C506" s="40"/>
      <c r="D506" s="41"/>
      <c r="E506" s="41"/>
      <c r="F506" s="41"/>
      <c r="G506" s="41"/>
      <c r="H506" s="41"/>
    </row>
    <row r="507">
      <c r="A507" s="40"/>
      <c r="B507" s="41"/>
      <c r="C507" s="40"/>
      <c r="D507" s="41"/>
      <c r="E507" s="41"/>
      <c r="F507" s="41"/>
      <c r="G507" s="41"/>
      <c r="H507" s="41"/>
    </row>
    <row r="508">
      <c r="A508" s="40"/>
      <c r="B508" s="41"/>
      <c r="C508" s="40"/>
      <c r="D508" s="41"/>
      <c r="E508" s="41"/>
      <c r="F508" s="41"/>
      <c r="G508" s="41"/>
      <c r="H508" s="41"/>
    </row>
    <row r="509">
      <c r="A509" s="40"/>
      <c r="B509" s="41"/>
      <c r="C509" s="40"/>
      <c r="D509" s="41"/>
      <c r="E509" s="41"/>
      <c r="F509" s="41"/>
      <c r="G509" s="41"/>
      <c r="H509" s="41"/>
    </row>
    <row r="510">
      <c r="A510" s="40"/>
      <c r="B510" s="41"/>
      <c r="C510" s="40"/>
      <c r="D510" s="41"/>
      <c r="E510" s="41"/>
      <c r="F510" s="41"/>
      <c r="G510" s="41"/>
      <c r="H510" s="41"/>
    </row>
    <row r="511">
      <c r="A511" s="40"/>
      <c r="B511" s="41"/>
      <c r="C511" s="40"/>
      <c r="D511" s="41"/>
      <c r="E511" s="41"/>
      <c r="F511" s="41"/>
      <c r="G511" s="41"/>
      <c r="H511" s="41"/>
    </row>
    <row r="512">
      <c r="A512" s="40"/>
      <c r="B512" s="41"/>
      <c r="C512" s="40"/>
      <c r="D512" s="41"/>
      <c r="E512" s="41"/>
      <c r="F512" s="41"/>
      <c r="G512" s="41"/>
      <c r="H512" s="41"/>
    </row>
    <row r="513">
      <c r="A513" s="40"/>
      <c r="B513" s="41"/>
      <c r="C513" s="40"/>
      <c r="D513" s="41"/>
      <c r="E513" s="41"/>
      <c r="F513" s="41"/>
      <c r="G513" s="41"/>
      <c r="H513" s="41"/>
    </row>
    <row r="514">
      <c r="A514" s="40"/>
      <c r="B514" s="41"/>
      <c r="C514" s="40"/>
      <c r="D514" s="41"/>
      <c r="E514" s="41"/>
      <c r="F514" s="41"/>
      <c r="G514" s="41"/>
      <c r="H514" s="41"/>
    </row>
    <row r="515">
      <c r="A515" s="40"/>
      <c r="B515" s="41"/>
      <c r="C515" s="40"/>
      <c r="D515" s="41"/>
      <c r="E515" s="41"/>
      <c r="F515" s="41"/>
      <c r="G515" s="41"/>
      <c r="H515" s="41"/>
    </row>
    <row r="516">
      <c r="A516" s="40"/>
      <c r="B516" s="41"/>
      <c r="C516" s="40"/>
      <c r="D516" s="41"/>
      <c r="E516" s="41"/>
      <c r="F516" s="41"/>
      <c r="G516" s="41"/>
      <c r="H516" s="41"/>
    </row>
    <row r="517">
      <c r="A517" s="40"/>
      <c r="B517" s="41"/>
      <c r="C517" s="40"/>
      <c r="D517" s="41"/>
      <c r="E517" s="41"/>
      <c r="F517" s="41"/>
      <c r="G517" s="41"/>
      <c r="H517" s="41"/>
    </row>
    <row r="518">
      <c r="A518" s="40"/>
      <c r="B518" s="41"/>
      <c r="C518" s="40"/>
      <c r="D518" s="41"/>
      <c r="E518" s="41"/>
      <c r="F518" s="41"/>
      <c r="G518" s="41"/>
      <c r="H518" s="41"/>
    </row>
    <row r="519">
      <c r="A519" s="40"/>
      <c r="B519" s="41"/>
      <c r="C519" s="40"/>
      <c r="D519" s="41"/>
      <c r="E519" s="41"/>
      <c r="F519" s="41"/>
      <c r="G519" s="41"/>
      <c r="H519" s="41"/>
    </row>
    <row r="520">
      <c r="A520" s="40"/>
      <c r="B520" s="41"/>
      <c r="C520" s="40"/>
      <c r="D520" s="41"/>
      <c r="E520" s="41"/>
      <c r="F520" s="41"/>
      <c r="G520" s="41"/>
      <c r="H520" s="41"/>
    </row>
    <row r="521">
      <c r="A521" s="40"/>
      <c r="B521" s="41"/>
      <c r="C521" s="40"/>
      <c r="D521" s="41"/>
      <c r="E521" s="41"/>
      <c r="F521" s="41"/>
      <c r="G521" s="41"/>
      <c r="H521" s="41"/>
    </row>
    <row r="522">
      <c r="A522" s="40"/>
      <c r="B522" s="41"/>
      <c r="C522" s="40"/>
      <c r="D522" s="41"/>
      <c r="E522" s="41"/>
      <c r="F522" s="41"/>
      <c r="G522" s="41"/>
      <c r="H522" s="41"/>
    </row>
    <row r="523">
      <c r="A523" s="40"/>
      <c r="B523" s="41"/>
      <c r="C523" s="40"/>
      <c r="D523" s="41"/>
      <c r="E523" s="41"/>
      <c r="F523" s="41"/>
      <c r="G523" s="41"/>
      <c r="H523" s="41"/>
    </row>
    <row r="524">
      <c r="A524" s="40"/>
      <c r="B524" s="41"/>
      <c r="C524" s="40"/>
      <c r="D524" s="41"/>
      <c r="E524" s="41"/>
      <c r="F524" s="41"/>
      <c r="G524" s="41"/>
      <c r="H524" s="41"/>
    </row>
    <row r="525">
      <c r="A525" s="40"/>
      <c r="B525" s="41"/>
      <c r="C525" s="40"/>
      <c r="D525" s="41"/>
      <c r="E525" s="41"/>
      <c r="F525" s="41"/>
      <c r="G525" s="41"/>
      <c r="H525" s="41"/>
    </row>
    <row r="526">
      <c r="A526" s="40"/>
      <c r="B526" s="41"/>
      <c r="C526" s="40"/>
      <c r="D526" s="41"/>
      <c r="E526" s="41"/>
      <c r="F526" s="41"/>
      <c r="G526" s="41"/>
      <c r="H526" s="41"/>
    </row>
    <row r="527">
      <c r="A527" s="40"/>
      <c r="B527" s="41"/>
      <c r="C527" s="40"/>
      <c r="D527" s="41"/>
      <c r="E527" s="41"/>
      <c r="F527" s="41"/>
      <c r="G527" s="41"/>
      <c r="H527" s="41"/>
    </row>
    <row r="528">
      <c r="A528" s="40"/>
      <c r="B528" s="41"/>
      <c r="C528" s="40"/>
      <c r="D528" s="41"/>
      <c r="E528" s="41"/>
      <c r="F528" s="41"/>
      <c r="G528" s="41"/>
      <c r="H528" s="41"/>
    </row>
    <row r="529">
      <c r="A529" s="40"/>
      <c r="B529" s="41"/>
      <c r="C529" s="40"/>
      <c r="D529" s="41"/>
      <c r="E529" s="41"/>
      <c r="F529" s="41"/>
      <c r="G529" s="41"/>
      <c r="H529" s="41"/>
    </row>
    <row r="530">
      <c r="A530" s="40"/>
      <c r="B530" s="41"/>
      <c r="C530" s="40"/>
      <c r="D530" s="41"/>
      <c r="E530" s="41"/>
      <c r="F530" s="41"/>
      <c r="G530" s="41"/>
      <c r="H530" s="41"/>
    </row>
    <row r="531">
      <c r="A531" s="40"/>
      <c r="B531" s="41"/>
      <c r="C531" s="40"/>
      <c r="D531" s="41"/>
      <c r="E531" s="41"/>
      <c r="F531" s="41"/>
      <c r="G531" s="41"/>
      <c r="H531" s="41"/>
    </row>
    <row r="532">
      <c r="A532" s="40"/>
      <c r="B532" s="41"/>
      <c r="C532" s="40"/>
      <c r="D532" s="41"/>
      <c r="E532" s="41"/>
      <c r="F532" s="41"/>
      <c r="G532" s="41"/>
      <c r="H532" s="41"/>
    </row>
    <row r="533">
      <c r="A533" s="40"/>
      <c r="B533" s="41"/>
      <c r="C533" s="40"/>
      <c r="D533" s="41"/>
      <c r="E533" s="41"/>
      <c r="F533" s="41"/>
      <c r="G533" s="41"/>
      <c r="H533" s="41"/>
    </row>
    <row r="534">
      <c r="A534" s="40"/>
      <c r="B534" s="41"/>
      <c r="C534" s="40"/>
      <c r="D534" s="41"/>
      <c r="E534" s="41"/>
      <c r="F534" s="41"/>
      <c r="G534" s="41"/>
      <c r="H534" s="41"/>
    </row>
    <row r="535">
      <c r="A535" s="40"/>
      <c r="B535" s="41"/>
      <c r="C535" s="40"/>
      <c r="D535" s="41"/>
      <c r="E535" s="41"/>
      <c r="F535" s="41"/>
      <c r="G535" s="41"/>
      <c r="H535" s="41"/>
    </row>
    <row r="536">
      <c r="A536" s="40"/>
      <c r="B536" s="41"/>
      <c r="C536" s="40"/>
      <c r="D536" s="41"/>
      <c r="E536" s="41"/>
      <c r="F536" s="41"/>
      <c r="G536" s="41"/>
      <c r="H536" s="41"/>
    </row>
    <row r="537">
      <c r="A537" s="40"/>
      <c r="B537" s="41"/>
      <c r="C537" s="40"/>
      <c r="D537" s="41"/>
      <c r="E537" s="41"/>
      <c r="F537" s="41"/>
      <c r="G537" s="41"/>
      <c r="H537" s="41"/>
    </row>
    <row r="538">
      <c r="A538" s="40"/>
      <c r="B538" s="41"/>
      <c r="C538" s="40"/>
      <c r="D538" s="41"/>
      <c r="E538" s="41"/>
      <c r="F538" s="41"/>
      <c r="G538" s="41"/>
      <c r="H538" s="41"/>
    </row>
    <row r="539">
      <c r="A539" s="40"/>
      <c r="B539" s="41"/>
      <c r="C539" s="40"/>
      <c r="D539" s="41"/>
      <c r="E539" s="41"/>
      <c r="F539" s="41"/>
      <c r="G539" s="41"/>
      <c r="H539" s="41"/>
    </row>
    <row r="540">
      <c r="A540" s="40"/>
      <c r="B540" s="41"/>
      <c r="C540" s="40"/>
      <c r="D540" s="41"/>
      <c r="E540" s="41"/>
      <c r="F540" s="41"/>
      <c r="G540" s="41"/>
      <c r="H540" s="41"/>
    </row>
    <row r="541">
      <c r="A541" s="40"/>
      <c r="B541" s="41"/>
      <c r="C541" s="40"/>
      <c r="D541" s="41"/>
      <c r="E541" s="41"/>
      <c r="F541" s="41"/>
      <c r="G541" s="41"/>
      <c r="H541" s="41"/>
    </row>
    <row r="542">
      <c r="A542" s="40"/>
      <c r="B542" s="41"/>
      <c r="C542" s="40"/>
      <c r="D542" s="41"/>
      <c r="E542" s="41"/>
      <c r="F542" s="41"/>
      <c r="G542" s="41"/>
      <c r="H542" s="41"/>
    </row>
    <row r="543">
      <c r="A543" s="40"/>
      <c r="B543" s="41"/>
      <c r="C543" s="40"/>
      <c r="D543" s="41"/>
      <c r="E543" s="41"/>
      <c r="F543" s="41"/>
      <c r="G543" s="41"/>
      <c r="H543" s="41"/>
    </row>
    <row r="544">
      <c r="A544" s="40"/>
      <c r="B544" s="41"/>
      <c r="C544" s="40"/>
      <c r="D544" s="41"/>
      <c r="E544" s="41"/>
      <c r="F544" s="41"/>
      <c r="G544" s="41"/>
      <c r="H544" s="41"/>
    </row>
    <row r="545">
      <c r="A545" s="40"/>
      <c r="B545" s="41"/>
      <c r="C545" s="40"/>
      <c r="D545" s="41"/>
      <c r="E545" s="41"/>
      <c r="F545" s="41"/>
      <c r="G545" s="41"/>
      <c r="H545" s="41"/>
    </row>
    <row r="546">
      <c r="A546" s="40"/>
      <c r="B546" s="41"/>
      <c r="C546" s="40"/>
      <c r="D546" s="41"/>
      <c r="E546" s="41"/>
      <c r="F546" s="41"/>
      <c r="G546" s="41"/>
      <c r="H546" s="41"/>
    </row>
    <row r="547">
      <c r="A547" s="40"/>
      <c r="B547" s="41"/>
      <c r="C547" s="40"/>
      <c r="D547" s="41"/>
      <c r="E547" s="41"/>
      <c r="F547" s="41"/>
      <c r="G547" s="41"/>
      <c r="H547" s="41"/>
    </row>
    <row r="548">
      <c r="A548" s="40"/>
      <c r="B548" s="41"/>
      <c r="C548" s="40"/>
      <c r="D548" s="41"/>
      <c r="E548" s="41"/>
      <c r="F548" s="41"/>
      <c r="G548" s="41"/>
      <c r="H548" s="41"/>
    </row>
    <row r="549">
      <c r="A549" s="40"/>
      <c r="B549" s="41"/>
      <c r="C549" s="40"/>
      <c r="D549" s="41"/>
      <c r="E549" s="41"/>
      <c r="F549" s="41"/>
      <c r="G549" s="41"/>
      <c r="H549" s="41"/>
    </row>
    <row r="550">
      <c r="A550" s="40"/>
      <c r="B550" s="41"/>
      <c r="C550" s="40"/>
      <c r="D550" s="41"/>
      <c r="E550" s="41"/>
      <c r="F550" s="41"/>
      <c r="G550" s="41"/>
      <c r="H550" s="41"/>
    </row>
    <row r="551">
      <c r="A551" s="40"/>
      <c r="B551" s="41"/>
      <c r="C551" s="40"/>
      <c r="D551" s="41"/>
      <c r="E551" s="41"/>
      <c r="F551" s="41"/>
      <c r="G551" s="41"/>
      <c r="H551" s="41"/>
    </row>
    <row r="552">
      <c r="A552" s="40"/>
      <c r="B552" s="41"/>
      <c r="C552" s="40"/>
      <c r="D552" s="41"/>
      <c r="E552" s="41"/>
      <c r="F552" s="41"/>
      <c r="G552" s="41"/>
      <c r="H552" s="41"/>
    </row>
    <row r="553">
      <c r="A553" s="40"/>
      <c r="B553" s="41"/>
      <c r="C553" s="40"/>
      <c r="D553" s="41"/>
      <c r="E553" s="41"/>
      <c r="F553" s="41"/>
      <c r="G553" s="41"/>
      <c r="H553" s="41"/>
    </row>
    <row r="554">
      <c r="A554" s="40"/>
      <c r="B554" s="41"/>
      <c r="C554" s="40"/>
      <c r="D554" s="41"/>
      <c r="E554" s="41"/>
      <c r="F554" s="41"/>
      <c r="G554" s="41"/>
      <c r="H554" s="41"/>
    </row>
    <row r="555">
      <c r="A555" s="40"/>
      <c r="B555" s="41"/>
      <c r="C555" s="40"/>
      <c r="D555" s="41"/>
      <c r="E555" s="41"/>
      <c r="F555" s="41"/>
      <c r="G555" s="41"/>
      <c r="H555" s="41"/>
    </row>
    <row r="556">
      <c r="A556" s="40"/>
      <c r="B556" s="41"/>
      <c r="C556" s="40"/>
      <c r="D556" s="41"/>
      <c r="E556" s="41"/>
      <c r="F556" s="41"/>
      <c r="G556" s="41"/>
      <c r="H556" s="41"/>
    </row>
    <row r="557">
      <c r="A557" s="40"/>
      <c r="B557" s="41"/>
      <c r="C557" s="40"/>
      <c r="D557" s="41"/>
      <c r="E557" s="41"/>
      <c r="F557" s="41"/>
      <c r="G557" s="41"/>
      <c r="H557" s="41"/>
    </row>
    <row r="558">
      <c r="A558" s="40"/>
      <c r="B558" s="41"/>
      <c r="C558" s="40"/>
      <c r="D558" s="41"/>
      <c r="E558" s="41"/>
      <c r="F558" s="41"/>
      <c r="G558" s="41"/>
      <c r="H558" s="41"/>
    </row>
    <row r="559">
      <c r="A559" s="40"/>
      <c r="B559" s="41"/>
      <c r="C559" s="40"/>
      <c r="D559" s="41"/>
      <c r="E559" s="41"/>
      <c r="F559" s="41"/>
      <c r="G559" s="41"/>
      <c r="H559" s="41"/>
    </row>
    <row r="560">
      <c r="A560" s="40"/>
      <c r="B560" s="41"/>
      <c r="C560" s="40"/>
      <c r="D560" s="41"/>
      <c r="E560" s="41"/>
      <c r="F560" s="41"/>
      <c r="G560" s="41"/>
      <c r="H560" s="41"/>
    </row>
    <row r="561">
      <c r="A561" s="40"/>
      <c r="B561" s="41"/>
      <c r="C561" s="40"/>
      <c r="D561" s="41"/>
      <c r="E561" s="41"/>
      <c r="F561" s="41"/>
      <c r="G561" s="41"/>
      <c r="H561" s="41"/>
    </row>
    <row r="562">
      <c r="A562" s="40"/>
      <c r="B562" s="41"/>
      <c r="C562" s="40"/>
      <c r="D562" s="41"/>
      <c r="E562" s="41"/>
      <c r="F562" s="41"/>
      <c r="G562" s="41"/>
      <c r="H562" s="41"/>
    </row>
    <row r="563">
      <c r="A563" s="40"/>
      <c r="B563" s="41"/>
      <c r="C563" s="40"/>
      <c r="D563" s="41"/>
      <c r="E563" s="41"/>
      <c r="F563" s="41"/>
      <c r="G563" s="41"/>
      <c r="H563" s="41"/>
    </row>
    <row r="564">
      <c r="A564" s="40"/>
      <c r="B564" s="41"/>
      <c r="C564" s="40"/>
      <c r="D564" s="41"/>
      <c r="E564" s="41"/>
      <c r="F564" s="41"/>
      <c r="G564" s="41"/>
      <c r="H564" s="41"/>
    </row>
    <row r="565">
      <c r="A565" s="40"/>
      <c r="B565" s="41"/>
      <c r="C565" s="40"/>
      <c r="D565" s="41"/>
      <c r="E565" s="41"/>
      <c r="F565" s="41"/>
      <c r="G565" s="41"/>
      <c r="H565" s="41"/>
    </row>
    <row r="566">
      <c r="A566" s="40"/>
      <c r="B566" s="41"/>
      <c r="C566" s="40"/>
      <c r="D566" s="41"/>
      <c r="E566" s="41"/>
      <c r="F566" s="41"/>
      <c r="G566" s="41"/>
      <c r="H566" s="41"/>
    </row>
    <row r="567">
      <c r="A567" s="40"/>
      <c r="B567" s="41"/>
      <c r="C567" s="40"/>
      <c r="D567" s="41"/>
      <c r="E567" s="41"/>
      <c r="F567" s="41"/>
      <c r="G567" s="41"/>
      <c r="H567" s="41"/>
    </row>
    <row r="568">
      <c r="A568" s="40"/>
      <c r="B568" s="41"/>
      <c r="C568" s="40"/>
      <c r="D568" s="41"/>
      <c r="E568" s="41"/>
      <c r="F568" s="41"/>
      <c r="G568" s="41"/>
      <c r="H568" s="41"/>
    </row>
    <row r="569">
      <c r="A569" s="40"/>
      <c r="B569" s="41"/>
      <c r="C569" s="40"/>
      <c r="D569" s="41"/>
      <c r="E569" s="41"/>
      <c r="F569" s="41"/>
      <c r="G569" s="41"/>
      <c r="H569" s="41"/>
    </row>
    <row r="570">
      <c r="A570" s="40"/>
      <c r="B570" s="41"/>
      <c r="C570" s="40"/>
      <c r="D570" s="41"/>
      <c r="E570" s="41"/>
      <c r="F570" s="41"/>
      <c r="G570" s="41"/>
      <c r="H570" s="41"/>
    </row>
    <row r="571">
      <c r="A571" s="40"/>
      <c r="B571" s="41"/>
      <c r="C571" s="40"/>
      <c r="D571" s="41"/>
      <c r="E571" s="41"/>
      <c r="F571" s="41"/>
      <c r="G571" s="41"/>
      <c r="H571" s="41"/>
    </row>
    <row r="572">
      <c r="A572" s="40"/>
      <c r="B572" s="41"/>
      <c r="C572" s="40"/>
      <c r="D572" s="41"/>
      <c r="E572" s="41"/>
      <c r="F572" s="41"/>
      <c r="G572" s="41"/>
      <c r="H572" s="41"/>
    </row>
    <row r="573">
      <c r="A573" s="40"/>
      <c r="B573" s="41"/>
      <c r="C573" s="40"/>
      <c r="D573" s="41"/>
      <c r="E573" s="41"/>
      <c r="F573" s="41"/>
      <c r="G573" s="41"/>
      <c r="H573" s="41"/>
    </row>
    <row r="574">
      <c r="A574" s="40"/>
      <c r="B574" s="41"/>
      <c r="C574" s="40"/>
      <c r="D574" s="41"/>
      <c r="E574" s="41"/>
      <c r="F574" s="41"/>
      <c r="G574" s="41"/>
      <c r="H574" s="41"/>
    </row>
    <row r="575">
      <c r="A575" s="40"/>
      <c r="B575" s="41"/>
      <c r="C575" s="40"/>
      <c r="D575" s="41"/>
      <c r="E575" s="41"/>
      <c r="F575" s="41"/>
      <c r="G575" s="41"/>
      <c r="H575" s="41"/>
    </row>
    <row r="576">
      <c r="A576" s="40"/>
      <c r="B576" s="41"/>
      <c r="C576" s="40"/>
      <c r="D576" s="41"/>
      <c r="E576" s="41"/>
      <c r="F576" s="41"/>
      <c r="G576" s="41"/>
      <c r="H576" s="41"/>
    </row>
    <row r="577">
      <c r="A577" s="40"/>
      <c r="B577" s="41"/>
      <c r="C577" s="40"/>
      <c r="D577" s="41"/>
      <c r="E577" s="41"/>
      <c r="F577" s="41"/>
      <c r="G577" s="41"/>
      <c r="H577" s="41"/>
    </row>
    <row r="578">
      <c r="A578" s="40"/>
      <c r="B578" s="41"/>
      <c r="C578" s="40"/>
      <c r="D578" s="41"/>
      <c r="E578" s="41"/>
      <c r="F578" s="41"/>
      <c r="G578" s="41"/>
      <c r="H578" s="41"/>
    </row>
    <row r="579">
      <c r="A579" s="40"/>
      <c r="B579" s="41"/>
      <c r="C579" s="40"/>
      <c r="D579" s="41"/>
      <c r="E579" s="41"/>
      <c r="F579" s="41"/>
      <c r="G579" s="41"/>
      <c r="H579" s="41"/>
    </row>
    <row r="580">
      <c r="A580" s="40"/>
      <c r="B580" s="41"/>
      <c r="C580" s="40"/>
      <c r="D580" s="41"/>
      <c r="E580" s="41"/>
      <c r="F580" s="41"/>
      <c r="G580" s="41"/>
      <c r="H580" s="41"/>
    </row>
    <row r="581">
      <c r="A581" s="40"/>
      <c r="B581" s="41"/>
      <c r="C581" s="40"/>
      <c r="D581" s="41"/>
      <c r="E581" s="41"/>
      <c r="F581" s="41"/>
      <c r="G581" s="41"/>
      <c r="H581" s="41"/>
    </row>
    <row r="582">
      <c r="A582" s="40"/>
      <c r="B582" s="41"/>
      <c r="C582" s="40"/>
      <c r="D582" s="41"/>
      <c r="E582" s="41"/>
      <c r="F582" s="41"/>
      <c r="G582" s="41"/>
      <c r="H582" s="41"/>
    </row>
    <row r="583">
      <c r="A583" s="40"/>
      <c r="B583" s="41"/>
      <c r="C583" s="40"/>
      <c r="D583" s="41"/>
      <c r="E583" s="41"/>
      <c r="F583" s="41"/>
      <c r="G583" s="41"/>
      <c r="H583" s="41"/>
    </row>
    <row r="584">
      <c r="A584" s="40"/>
      <c r="B584" s="41"/>
      <c r="C584" s="40"/>
      <c r="D584" s="41"/>
      <c r="E584" s="41"/>
      <c r="F584" s="41"/>
      <c r="G584" s="41"/>
      <c r="H584" s="41"/>
    </row>
    <row r="585">
      <c r="A585" s="40"/>
      <c r="B585" s="41"/>
      <c r="C585" s="40"/>
      <c r="D585" s="41"/>
      <c r="E585" s="41"/>
      <c r="F585" s="41"/>
      <c r="G585" s="41"/>
      <c r="H585" s="41"/>
    </row>
    <row r="586">
      <c r="A586" s="40"/>
      <c r="B586" s="41"/>
      <c r="C586" s="40"/>
      <c r="D586" s="41"/>
      <c r="E586" s="41"/>
      <c r="F586" s="41"/>
      <c r="G586" s="41"/>
      <c r="H586" s="41"/>
    </row>
    <row r="587">
      <c r="A587" s="40"/>
      <c r="B587" s="41"/>
      <c r="C587" s="40"/>
      <c r="D587" s="41"/>
      <c r="E587" s="41"/>
      <c r="F587" s="41"/>
      <c r="G587" s="41"/>
      <c r="H587" s="41"/>
    </row>
    <row r="588">
      <c r="A588" s="40"/>
      <c r="B588" s="41"/>
      <c r="C588" s="40"/>
      <c r="D588" s="41"/>
      <c r="E588" s="41"/>
      <c r="F588" s="41"/>
      <c r="G588" s="41"/>
      <c r="H588" s="41"/>
    </row>
    <row r="589">
      <c r="A589" s="40"/>
      <c r="B589" s="41"/>
      <c r="C589" s="40"/>
      <c r="D589" s="41"/>
      <c r="E589" s="41"/>
      <c r="F589" s="41"/>
      <c r="G589" s="41"/>
      <c r="H589" s="41"/>
    </row>
    <row r="590">
      <c r="A590" s="40"/>
      <c r="B590" s="41"/>
      <c r="C590" s="40"/>
      <c r="D590" s="41"/>
      <c r="E590" s="41"/>
      <c r="F590" s="41"/>
      <c r="G590" s="41"/>
      <c r="H590" s="41"/>
    </row>
    <row r="591">
      <c r="A591" s="40"/>
      <c r="B591" s="41"/>
      <c r="C591" s="40"/>
      <c r="D591" s="41"/>
      <c r="E591" s="41"/>
      <c r="F591" s="41"/>
      <c r="G591" s="41"/>
      <c r="H591" s="41"/>
    </row>
    <row r="592">
      <c r="A592" s="40"/>
      <c r="B592" s="41"/>
      <c r="C592" s="40"/>
      <c r="D592" s="41"/>
      <c r="E592" s="41"/>
      <c r="F592" s="41"/>
      <c r="G592" s="41"/>
      <c r="H592" s="41"/>
    </row>
    <row r="593">
      <c r="A593" s="40"/>
      <c r="B593" s="41"/>
      <c r="C593" s="40"/>
      <c r="D593" s="41"/>
      <c r="E593" s="41"/>
      <c r="F593" s="41"/>
      <c r="G593" s="41"/>
      <c r="H593" s="41"/>
    </row>
    <row r="594">
      <c r="A594" s="40"/>
      <c r="B594" s="41"/>
      <c r="C594" s="40"/>
      <c r="D594" s="41"/>
      <c r="E594" s="41"/>
      <c r="F594" s="41"/>
      <c r="G594" s="41"/>
      <c r="H594" s="41"/>
    </row>
    <row r="595">
      <c r="A595" s="40"/>
      <c r="B595" s="41"/>
      <c r="C595" s="40"/>
      <c r="D595" s="41"/>
      <c r="E595" s="41"/>
      <c r="F595" s="41"/>
      <c r="G595" s="41"/>
      <c r="H595" s="41"/>
    </row>
    <row r="596">
      <c r="A596" s="40"/>
      <c r="B596" s="41"/>
      <c r="C596" s="40"/>
      <c r="D596" s="41"/>
      <c r="E596" s="41"/>
      <c r="F596" s="41"/>
      <c r="G596" s="41"/>
      <c r="H596" s="41"/>
    </row>
    <row r="597">
      <c r="A597" s="40"/>
      <c r="B597" s="41"/>
      <c r="C597" s="40"/>
      <c r="D597" s="41"/>
      <c r="E597" s="41"/>
      <c r="F597" s="41"/>
      <c r="G597" s="41"/>
      <c r="H597" s="41"/>
    </row>
    <row r="598">
      <c r="A598" s="40"/>
      <c r="B598" s="41"/>
      <c r="C598" s="40"/>
      <c r="D598" s="41"/>
      <c r="E598" s="41"/>
      <c r="F598" s="41"/>
      <c r="G598" s="41"/>
      <c r="H598" s="41"/>
    </row>
    <row r="599">
      <c r="A599" s="40"/>
      <c r="B599" s="41"/>
      <c r="C599" s="40"/>
      <c r="D599" s="41"/>
      <c r="E599" s="41"/>
      <c r="F599" s="41"/>
      <c r="G599" s="41"/>
      <c r="H599" s="41"/>
    </row>
    <row r="600">
      <c r="A600" s="40"/>
      <c r="B600" s="41"/>
      <c r="C600" s="40"/>
      <c r="D600" s="41"/>
      <c r="E600" s="41"/>
      <c r="F600" s="41"/>
      <c r="G600" s="41"/>
      <c r="H600" s="41"/>
    </row>
    <row r="601">
      <c r="A601" s="40"/>
      <c r="B601" s="41"/>
      <c r="C601" s="40"/>
      <c r="D601" s="41"/>
      <c r="E601" s="41"/>
      <c r="F601" s="41"/>
      <c r="G601" s="41"/>
      <c r="H601" s="41"/>
    </row>
    <row r="602">
      <c r="A602" s="40"/>
      <c r="B602" s="41"/>
      <c r="C602" s="40"/>
      <c r="D602" s="41"/>
      <c r="E602" s="41"/>
      <c r="F602" s="41"/>
      <c r="G602" s="41"/>
      <c r="H602" s="41"/>
    </row>
    <row r="603">
      <c r="A603" s="40"/>
      <c r="B603" s="41"/>
      <c r="C603" s="40"/>
      <c r="D603" s="41"/>
      <c r="E603" s="41"/>
      <c r="F603" s="41"/>
      <c r="G603" s="41"/>
      <c r="H603" s="41"/>
    </row>
    <row r="604">
      <c r="A604" s="40"/>
      <c r="B604" s="41"/>
      <c r="C604" s="40"/>
      <c r="D604" s="41"/>
      <c r="E604" s="41"/>
      <c r="F604" s="41"/>
      <c r="G604" s="41"/>
      <c r="H604" s="41"/>
    </row>
    <row r="605">
      <c r="A605" s="40"/>
      <c r="B605" s="41"/>
      <c r="C605" s="40"/>
      <c r="D605" s="41"/>
      <c r="E605" s="41"/>
      <c r="F605" s="41"/>
      <c r="G605" s="41"/>
      <c r="H605" s="41"/>
    </row>
    <row r="606">
      <c r="A606" s="40"/>
      <c r="B606" s="41"/>
      <c r="C606" s="40"/>
      <c r="D606" s="41"/>
      <c r="E606" s="41"/>
      <c r="F606" s="41"/>
      <c r="G606" s="41"/>
      <c r="H606" s="41"/>
    </row>
    <row r="607">
      <c r="A607" s="40"/>
      <c r="B607" s="41"/>
      <c r="C607" s="40"/>
      <c r="D607" s="41"/>
      <c r="E607" s="41"/>
      <c r="F607" s="41"/>
      <c r="G607" s="41"/>
      <c r="H607" s="41"/>
    </row>
    <row r="608">
      <c r="A608" s="40"/>
      <c r="B608" s="41"/>
      <c r="C608" s="40"/>
      <c r="D608" s="41"/>
      <c r="E608" s="41"/>
      <c r="F608" s="41"/>
      <c r="G608" s="41"/>
      <c r="H608" s="41"/>
    </row>
    <row r="609">
      <c r="A609" s="40"/>
      <c r="B609" s="41"/>
      <c r="C609" s="40"/>
      <c r="D609" s="41"/>
      <c r="E609" s="41"/>
      <c r="F609" s="41"/>
      <c r="G609" s="41"/>
      <c r="H609" s="41"/>
    </row>
    <row r="610">
      <c r="A610" s="40"/>
      <c r="B610" s="41"/>
      <c r="C610" s="40"/>
      <c r="D610" s="41"/>
      <c r="E610" s="41"/>
      <c r="F610" s="41"/>
      <c r="G610" s="41"/>
      <c r="H610" s="41"/>
    </row>
    <row r="611">
      <c r="A611" s="40"/>
      <c r="B611" s="41"/>
      <c r="C611" s="40"/>
      <c r="D611" s="41"/>
      <c r="E611" s="41"/>
      <c r="F611" s="41"/>
      <c r="G611" s="41"/>
      <c r="H611" s="41"/>
    </row>
    <row r="612">
      <c r="A612" s="40"/>
      <c r="B612" s="41"/>
      <c r="C612" s="40"/>
      <c r="D612" s="41"/>
      <c r="E612" s="41"/>
      <c r="F612" s="41"/>
      <c r="G612" s="41"/>
      <c r="H612" s="41"/>
    </row>
    <row r="613">
      <c r="A613" s="40"/>
      <c r="B613" s="41"/>
      <c r="C613" s="40"/>
      <c r="D613" s="41"/>
      <c r="E613" s="41"/>
      <c r="F613" s="41"/>
      <c r="G613" s="41"/>
      <c r="H613" s="41"/>
    </row>
    <row r="614">
      <c r="A614" s="40"/>
      <c r="B614" s="41"/>
      <c r="C614" s="40"/>
      <c r="D614" s="41"/>
      <c r="E614" s="41"/>
      <c r="F614" s="41"/>
      <c r="G614" s="41"/>
      <c r="H614" s="41"/>
    </row>
    <row r="615">
      <c r="A615" s="40"/>
      <c r="B615" s="41"/>
      <c r="C615" s="40"/>
      <c r="D615" s="41"/>
      <c r="E615" s="41"/>
      <c r="F615" s="41"/>
      <c r="G615" s="41"/>
      <c r="H615" s="41"/>
    </row>
    <row r="616">
      <c r="A616" s="40"/>
      <c r="B616" s="41"/>
      <c r="C616" s="40"/>
      <c r="D616" s="41"/>
      <c r="E616" s="41"/>
      <c r="F616" s="41"/>
      <c r="G616" s="41"/>
      <c r="H616" s="41"/>
    </row>
    <row r="617">
      <c r="A617" s="40"/>
      <c r="B617" s="41"/>
      <c r="C617" s="40"/>
      <c r="D617" s="41"/>
      <c r="E617" s="41"/>
      <c r="F617" s="41"/>
      <c r="G617" s="41"/>
      <c r="H617" s="41"/>
    </row>
    <row r="618">
      <c r="A618" s="40"/>
      <c r="B618" s="41"/>
      <c r="C618" s="40"/>
      <c r="D618" s="41"/>
      <c r="E618" s="41"/>
      <c r="F618" s="41"/>
      <c r="G618" s="41"/>
      <c r="H618" s="41"/>
    </row>
    <row r="619">
      <c r="A619" s="40"/>
      <c r="B619" s="41"/>
      <c r="C619" s="40"/>
      <c r="D619" s="41"/>
      <c r="E619" s="41"/>
      <c r="F619" s="41"/>
      <c r="G619" s="41"/>
      <c r="H619" s="41"/>
    </row>
    <row r="620">
      <c r="A620" s="40"/>
      <c r="B620" s="41"/>
      <c r="C620" s="40"/>
      <c r="D620" s="41"/>
      <c r="E620" s="41"/>
      <c r="F620" s="41"/>
      <c r="G620" s="41"/>
      <c r="H620" s="41"/>
    </row>
    <row r="621">
      <c r="A621" s="40"/>
      <c r="B621" s="41"/>
      <c r="C621" s="40"/>
      <c r="D621" s="41"/>
      <c r="E621" s="41"/>
      <c r="F621" s="41"/>
      <c r="G621" s="41"/>
      <c r="H621" s="41"/>
    </row>
    <row r="622">
      <c r="A622" s="40"/>
      <c r="B622" s="41"/>
      <c r="C622" s="40"/>
      <c r="D622" s="41"/>
      <c r="E622" s="41"/>
      <c r="F622" s="41"/>
      <c r="G622" s="41"/>
      <c r="H622" s="41"/>
    </row>
    <row r="623">
      <c r="A623" s="40"/>
      <c r="B623" s="41"/>
      <c r="C623" s="40"/>
      <c r="D623" s="41"/>
      <c r="E623" s="41"/>
      <c r="F623" s="41"/>
      <c r="G623" s="41"/>
      <c r="H623" s="41"/>
    </row>
    <row r="624">
      <c r="A624" s="40"/>
      <c r="B624" s="41"/>
      <c r="C624" s="40"/>
      <c r="D624" s="41"/>
      <c r="E624" s="41"/>
      <c r="F624" s="41"/>
      <c r="G624" s="41"/>
      <c r="H624" s="41"/>
    </row>
    <row r="625">
      <c r="A625" s="40"/>
      <c r="B625" s="41"/>
      <c r="C625" s="40"/>
      <c r="D625" s="41"/>
      <c r="E625" s="41"/>
      <c r="F625" s="41"/>
      <c r="G625" s="41"/>
      <c r="H625" s="41"/>
    </row>
    <row r="626">
      <c r="A626" s="40"/>
      <c r="B626" s="41"/>
      <c r="C626" s="40"/>
      <c r="D626" s="41"/>
      <c r="E626" s="41"/>
      <c r="F626" s="41"/>
      <c r="G626" s="41"/>
      <c r="H626" s="41"/>
    </row>
    <row r="627">
      <c r="A627" s="40"/>
      <c r="B627" s="41"/>
      <c r="C627" s="40"/>
      <c r="D627" s="41"/>
      <c r="E627" s="41"/>
      <c r="F627" s="41"/>
      <c r="G627" s="41"/>
      <c r="H627" s="41"/>
    </row>
    <row r="628">
      <c r="A628" s="40"/>
      <c r="B628" s="41"/>
      <c r="C628" s="40"/>
      <c r="D628" s="41"/>
      <c r="E628" s="41"/>
      <c r="F628" s="41"/>
      <c r="G628" s="41"/>
      <c r="H628" s="41"/>
    </row>
    <row r="629">
      <c r="A629" s="40"/>
      <c r="B629" s="41"/>
      <c r="C629" s="40"/>
      <c r="D629" s="41"/>
      <c r="E629" s="41"/>
      <c r="F629" s="41"/>
      <c r="G629" s="41"/>
      <c r="H629" s="41"/>
    </row>
    <row r="630">
      <c r="A630" s="40"/>
      <c r="B630" s="41"/>
      <c r="C630" s="40"/>
      <c r="D630" s="41"/>
      <c r="E630" s="41"/>
      <c r="F630" s="41"/>
      <c r="G630" s="41"/>
      <c r="H630" s="41"/>
    </row>
    <row r="631">
      <c r="A631" s="40"/>
      <c r="B631" s="41"/>
      <c r="C631" s="40"/>
      <c r="D631" s="41"/>
      <c r="E631" s="41"/>
      <c r="F631" s="41"/>
      <c r="G631" s="41"/>
      <c r="H631" s="41"/>
    </row>
    <row r="632">
      <c r="A632" s="40"/>
      <c r="B632" s="41"/>
      <c r="C632" s="40"/>
      <c r="D632" s="41"/>
      <c r="E632" s="41"/>
      <c r="F632" s="41"/>
      <c r="G632" s="41"/>
      <c r="H632" s="41"/>
    </row>
    <row r="633">
      <c r="A633" s="40"/>
      <c r="B633" s="41"/>
      <c r="C633" s="40"/>
      <c r="D633" s="41"/>
      <c r="E633" s="41"/>
      <c r="F633" s="41"/>
      <c r="G633" s="41"/>
      <c r="H633" s="41"/>
    </row>
    <row r="634">
      <c r="A634" s="40"/>
      <c r="B634" s="41"/>
      <c r="C634" s="40"/>
      <c r="D634" s="41"/>
      <c r="E634" s="41"/>
      <c r="F634" s="41"/>
      <c r="G634" s="41"/>
      <c r="H634" s="41"/>
    </row>
    <row r="635">
      <c r="A635" s="40"/>
      <c r="B635" s="41"/>
      <c r="C635" s="40"/>
      <c r="D635" s="41"/>
      <c r="E635" s="41"/>
      <c r="F635" s="41"/>
      <c r="G635" s="41"/>
      <c r="H635" s="41"/>
    </row>
    <row r="636">
      <c r="A636" s="40"/>
      <c r="B636" s="41"/>
      <c r="C636" s="40"/>
      <c r="D636" s="41"/>
      <c r="E636" s="41"/>
      <c r="F636" s="41"/>
      <c r="G636" s="41"/>
      <c r="H636" s="41"/>
    </row>
    <row r="637">
      <c r="A637" s="40"/>
      <c r="B637" s="41"/>
      <c r="C637" s="40"/>
      <c r="D637" s="41"/>
      <c r="E637" s="41"/>
      <c r="F637" s="41"/>
      <c r="G637" s="41"/>
      <c r="H637" s="41"/>
    </row>
    <row r="638">
      <c r="A638" s="40"/>
      <c r="B638" s="41"/>
      <c r="C638" s="40"/>
      <c r="D638" s="41"/>
      <c r="E638" s="41"/>
      <c r="F638" s="41"/>
      <c r="G638" s="41"/>
      <c r="H638" s="41"/>
    </row>
    <row r="639">
      <c r="A639" s="40"/>
      <c r="B639" s="41"/>
      <c r="C639" s="40"/>
      <c r="D639" s="41"/>
      <c r="E639" s="41"/>
      <c r="F639" s="41"/>
      <c r="G639" s="41"/>
      <c r="H639" s="41"/>
    </row>
    <row r="640">
      <c r="A640" s="40"/>
      <c r="B640" s="41"/>
      <c r="C640" s="40"/>
      <c r="D640" s="41"/>
      <c r="E640" s="41"/>
      <c r="F640" s="41"/>
      <c r="G640" s="41"/>
      <c r="H640" s="41"/>
    </row>
    <row r="641">
      <c r="A641" s="40"/>
      <c r="B641" s="41"/>
      <c r="C641" s="40"/>
      <c r="D641" s="41"/>
      <c r="E641" s="41"/>
      <c r="F641" s="41"/>
      <c r="G641" s="41"/>
      <c r="H641" s="41"/>
    </row>
    <row r="642">
      <c r="A642" s="40"/>
      <c r="B642" s="41"/>
      <c r="C642" s="40"/>
      <c r="D642" s="41"/>
      <c r="E642" s="41"/>
      <c r="F642" s="41"/>
      <c r="G642" s="41"/>
      <c r="H642" s="41"/>
    </row>
    <row r="643">
      <c r="A643" s="40"/>
      <c r="B643" s="41"/>
      <c r="C643" s="40"/>
      <c r="D643" s="41"/>
      <c r="E643" s="41"/>
      <c r="F643" s="41"/>
      <c r="G643" s="41"/>
      <c r="H643" s="41"/>
    </row>
    <row r="644">
      <c r="A644" s="40"/>
      <c r="B644" s="41"/>
      <c r="C644" s="40"/>
      <c r="D644" s="41"/>
      <c r="E644" s="41"/>
      <c r="F644" s="41"/>
      <c r="G644" s="41"/>
      <c r="H644" s="41"/>
    </row>
    <row r="645">
      <c r="A645" s="40"/>
      <c r="B645" s="41"/>
      <c r="C645" s="40"/>
      <c r="D645" s="41"/>
      <c r="E645" s="41"/>
      <c r="F645" s="41"/>
      <c r="G645" s="41"/>
      <c r="H645" s="41"/>
    </row>
    <row r="646">
      <c r="A646" s="40"/>
      <c r="B646" s="41"/>
      <c r="C646" s="40"/>
      <c r="D646" s="41"/>
      <c r="E646" s="41"/>
      <c r="F646" s="41"/>
      <c r="G646" s="41"/>
      <c r="H646" s="41"/>
    </row>
    <row r="647">
      <c r="A647" s="40"/>
      <c r="B647" s="41"/>
      <c r="C647" s="40"/>
      <c r="D647" s="41"/>
      <c r="E647" s="41"/>
      <c r="F647" s="41"/>
      <c r="G647" s="41"/>
      <c r="H647" s="41"/>
    </row>
    <row r="648">
      <c r="A648" s="40"/>
      <c r="B648" s="41"/>
      <c r="C648" s="40"/>
      <c r="D648" s="41"/>
      <c r="E648" s="41"/>
      <c r="F648" s="41"/>
      <c r="G648" s="41"/>
      <c r="H648" s="41"/>
    </row>
    <row r="649">
      <c r="A649" s="40"/>
      <c r="B649" s="41"/>
      <c r="C649" s="40"/>
      <c r="D649" s="41"/>
      <c r="E649" s="41"/>
      <c r="F649" s="41"/>
      <c r="G649" s="41"/>
      <c r="H649" s="41"/>
    </row>
    <row r="650">
      <c r="A650" s="40"/>
      <c r="B650" s="41"/>
      <c r="C650" s="40"/>
      <c r="D650" s="41"/>
      <c r="E650" s="41"/>
      <c r="F650" s="41"/>
      <c r="G650" s="41"/>
      <c r="H650" s="41"/>
    </row>
    <row r="651">
      <c r="A651" s="40"/>
      <c r="B651" s="41"/>
      <c r="C651" s="40"/>
      <c r="D651" s="41"/>
      <c r="E651" s="41"/>
      <c r="F651" s="41"/>
      <c r="G651" s="41"/>
      <c r="H651" s="41"/>
    </row>
    <row r="652">
      <c r="A652" s="40"/>
      <c r="B652" s="41"/>
      <c r="C652" s="40"/>
      <c r="D652" s="41"/>
      <c r="E652" s="41"/>
      <c r="F652" s="41"/>
      <c r="G652" s="41"/>
      <c r="H652" s="41"/>
    </row>
    <row r="653">
      <c r="A653" s="40"/>
      <c r="B653" s="41"/>
      <c r="C653" s="40"/>
      <c r="D653" s="41"/>
      <c r="E653" s="41"/>
      <c r="F653" s="41"/>
      <c r="G653" s="41"/>
      <c r="H653" s="41"/>
    </row>
    <row r="654">
      <c r="A654" s="40"/>
      <c r="B654" s="41"/>
      <c r="C654" s="40"/>
      <c r="D654" s="41"/>
      <c r="E654" s="41"/>
      <c r="F654" s="41"/>
      <c r="G654" s="41"/>
      <c r="H654" s="41"/>
    </row>
    <row r="655">
      <c r="A655" s="40"/>
      <c r="B655" s="41"/>
      <c r="C655" s="40"/>
      <c r="D655" s="41"/>
      <c r="E655" s="41"/>
      <c r="F655" s="41"/>
      <c r="G655" s="41"/>
      <c r="H655" s="41"/>
    </row>
    <row r="656">
      <c r="A656" s="40"/>
      <c r="B656" s="41"/>
      <c r="C656" s="40"/>
      <c r="D656" s="41"/>
      <c r="E656" s="41"/>
      <c r="F656" s="41"/>
      <c r="G656" s="41"/>
      <c r="H656" s="41"/>
    </row>
    <row r="657">
      <c r="A657" s="40"/>
      <c r="B657" s="41"/>
      <c r="C657" s="40"/>
      <c r="D657" s="41"/>
      <c r="E657" s="41"/>
      <c r="F657" s="41"/>
      <c r="G657" s="41"/>
      <c r="H657" s="41"/>
    </row>
    <row r="658">
      <c r="A658" s="40"/>
      <c r="B658" s="41"/>
      <c r="C658" s="40"/>
      <c r="D658" s="41"/>
      <c r="E658" s="41"/>
      <c r="F658" s="41"/>
      <c r="G658" s="41"/>
      <c r="H658" s="41"/>
    </row>
    <row r="659">
      <c r="A659" s="40"/>
      <c r="B659" s="41"/>
      <c r="C659" s="40"/>
      <c r="D659" s="41"/>
      <c r="E659" s="41"/>
      <c r="F659" s="41"/>
      <c r="G659" s="41"/>
      <c r="H659" s="41"/>
    </row>
    <row r="660">
      <c r="A660" s="40"/>
      <c r="B660" s="41"/>
      <c r="C660" s="40"/>
      <c r="D660" s="41"/>
      <c r="E660" s="41"/>
      <c r="F660" s="41"/>
      <c r="G660" s="41"/>
      <c r="H660" s="41"/>
    </row>
    <row r="661">
      <c r="A661" s="40"/>
      <c r="B661" s="41"/>
      <c r="C661" s="40"/>
      <c r="D661" s="41"/>
      <c r="E661" s="41"/>
      <c r="F661" s="41"/>
      <c r="G661" s="41"/>
      <c r="H661" s="41"/>
    </row>
    <row r="662">
      <c r="A662" s="40"/>
      <c r="B662" s="41"/>
      <c r="C662" s="40"/>
      <c r="D662" s="41"/>
      <c r="E662" s="41"/>
      <c r="F662" s="41"/>
      <c r="G662" s="41"/>
      <c r="H662" s="41"/>
    </row>
    <row r="663">
      <c r="A663" s="40"/>
      <c r="B663" s="41"/>
      <c r="C663" s="40"/>
      <c r="D663" s="41"/>
      <c r="E663" s="41"/>
      <c r="F663" s="41"/>
      <c r="G663" s="41"/>
      <c r="H663" s="41"/>
    </row>
    <row r="664">
      <c r="A664" s="40"/>
      <c r="B664" s="41"/>
      <c r="C664" s="40"/>
      <c r="D664" s="41"/>
      <c r="E664" s="41"/>
      <c r="F664" s="41"/>
      <c r="G664" s="41"/>
      <c r="H664" s="41"/>
    </row>
    <row r="665">
      <c r="A665" s="40"/>
      <c r="B665" s="41"/>
      <c r="C665" s="40"/>
      <c r="D665" s="41"/>
      <c r="E665" s="41"/>
      <c r="F665" s="41"/>
      <c r="G665" s="41"/>
      <c r="H665" s="41"/>
    </row>
    <row r="666">
      <c r="A666" s="40"/>
      <c r="B666" s="41"/>
      <c r="C666" s="40"/>
      <c r="D666" s="41"/>
      <c r="E666" s="41"/>
      <c r="F666" s="41"/>
      <c r="G666" s="41"/>
      <c r="H666" s="41"/>
    </row>
    <row r="667">
      <c r="A667" s="40"/>
      <c r="B667" s="41"/>
      <c r="C667" s="40"/>
      <c r="D667" s="41"/>
      <c r="E667" s="41"/>
      <c r="F667" s="41"/>
      <c r="G667" s="41"/>
      <c r="H667" s="41"/>
    </row>
    <row r="668">
      <c r="A668" s="40"/>
      <c r="B668" s="41"/>
      <c r="C668" s="40"/>
      <c r="D668" s="41"/>
      <c r="E668" s="41"/>
      <c r="F668" s="41"/>
      <c r="G668" s="41"/>
      <c r="H668" s="41"/>
    </row>
    <row r="669">
      <c r="A669" s="40"/>
      <c r="B669" s="41"/>
      <c r="C669" s="40"/>
      <c r="D669" s="41"/>
      <c r="E669" s="41"/>
      <c r="F669" s="41"/>
      <c r="G669" s="41"/>
      <c r="H669" s="41"/>
    </row>
    <row r="670">
      <c r="A670" s="40"/>
      <c r="B670" s="41"/>
      <c r="C670" s="40"/>
      <c r="D670" s="41"/>
      <c r="E670" s="41"/>
      <c r="F670" s="41"/>
      <c r="G670" s="41"/>
      <c r="H670" s="41"/>
    </row>
    <row r="671">
      <c r="A671" s="40"/>
      <c r="B671" s="41"/>
      <c r="C671" s="40"/>
      <c r="D671" s="41"/>
      <c r="E671" s="41"/>
      <c r="F671" s="41"/>
      <c r="G671" s="41"/>
      <c r="H671" s="41"/>
    </row>
    <row r="672">
      <c r="A672" s="40"/>
      <c r="B672" s="41"/>
      <c r="C672" s="40"/>
      <c r="D672" s="41"/>
      <c r="E672" s="41"/>
      <c r="F672" s="41"/>
      <c r="G672" s="41"/>
      <c r="H672" s="41"/>
    </row>
    <row r="673">
      <c r="A673" s="40"/>
      <c r="B673" s="41"/>
      <c r="C673" s="40"/>
      <c r="D673" s="41"/>
      <c r="E673" s="41"/>
      <c r="F673" s="41"/>
      <c r="G673" s="41"/>
      <c r="H673" s="41"/>
    </row>
    <row r="674">
      <c r="A674" s="40"/>
      <c r="B674" s="41"/>
      <c r="C674" s="40"/>
      <c r="D674" s="41"/>
      <c r="E674" s="41"/>
      <c r="F674" s="41"/>
      <c r="G674" s="41"/>
      <c r="H674" s="41"/>
    </row>
    <row r="675">
      <c r="A675" s="40"/>
      <c r="B675" s="41"/>
      <c r="C675" s="40"/>
      <c r="D675" s="41"/>
      <c r="E675" s="41"/>
      <c r="F675" s="41"/>
      <c r="G675" s="41"/>
      <c r="H675" s="41"/>
    </row>
    <row r="676">
      <c r="A676" s="40"/>
      <c r="B676" s="41"/>
      <c r="C676" s="40"/>
      <c r="D676" s="41"/>
      <c r="E676" s="41"/>
      <c r="F676" s="41"/>
      <c r="G676" s="41"/>
      <c r="H676" s="41"/>
    </row>
    <row r="677">
      <c r="A677" s="40"/>
      <c r="B677" s="41"/>
      <c r="C677" s="40"/>
      <c r="D677" s="41"/>
      <c r="E677" s="41"/>
      <c r="F677" s="41"/>
      <c r="G677" s="41"/>
      <c r="H677" s="41"/>
    </row>
    <row r="678">
      <c r="A678" s="40"/>
      <c r="B678" s="41"/>
      <c r="C678" s="40"/>
      <c r="D678" s="41"/>
      <c r="E678" s="41"/>
      <c r="F678" s="41"/>
      <c r="G678" s="41"/>
      <c r="H678" s="41"/>
    </row>
    <row r="679">
      <c r="A679" s="40"/>
      <c r="B679" s="41"/>
      <c r="C679" s="40"/>
      <c r="D679" s="41"/>
      <c r="E679" s="41"/>
      <c r="F679" s="41"/>
      <c r="G679" s="41"/>
      <c r="H679" s="41"/>
    </row>
    <row r="680">
      <c r="A680" s="40"/>
      <c r="B680" s="41"/>
      <c r="C680" s="40"/>
      <c r="D680" s="41"/>
      <c r="E680" s="41"/>
      <c r="F680" s="41"/>
      <c r="G680" s="41"/>
      <c r="H680" s="41"/>
    </row>
    <row r="681">
      <c r="A681" s="40"/>
      <c r="B681" s="41"/>
      <c r="C681" s="40"/>
      <c r="D681" s="41"/>
      <c r="E681" s="41"/>
      <c r="F681" s="41"/>
      <c r="G681" s="41"/>
      <c r="H681" s="41"/>
    </row>
    <row r="682">
      <c r="A682" s="40"/>
      <c r="B682" s="41"/>
      <c r="C682" s="40"/>
      <c r="D682" s="41"/>
      <c r="E682" s="41"/>
      <c r="F682" s="41"/>
      <c r="G682" s="41"/>
      <c r="H682" s="41"/>
    </row>
    <row r="683">
      <c r="A683" s="40"/>
      <c r="B683" s="41"/>
      <c r="C683" s="40"/>
      <c r="D683" s="41"/>
      <c r="E683" s="41"/>
      <c r="F683" s="41"/>
      <c r="G683" s="41"/>
      <c r="H683" s="41"/>
    </row>
    <row r="684">
      <c r="A684" s="40"/>
      <c r="B684" s="41"/>
      <c r="C684" s="40"/>
      <c r="D684" s="41"/>
      <c r="E684" s="41"/>
      <c r="F684" s="41"/>
      <c r="G684" s="41"/>
      <c r="H684" s="41"/>
    </row>
    <row r="685">
      <c r="A685" s="40"/>
      <c r="B685" s="41"/>
      <c r="C685" s="40"/>
      <c r="D685" s="41"/>
      <c r="E685" s="41"/>
      <c r="F685" s="41"/>
      <c r="G685" s="41"/>
      <c r="H685" s="41"/>
    </row>
    <row r="686">
      <c r="A686" s="40"/>
      <c r="B686" s="41"/>
      <c r="C686" s="40"/>
      <c r="D686" s="41"/>
      <c r="E686" s="41"/>
      <c r="F686" s="41"/>
      <c r="G686" s="41"/>
      <c r="H686" s="41"/>
    </row>
    <row r="687">
      <c r="A687" s="40"/>
      <c r="B687" s="41"/>
      <c r="C687" s="40"/>
      <c r="D687" s="41"/>
      <c r="E687" s="41"/>
      <c r="F687" s="41"/>
      <c r="G687" s="41"/>
      <c r="H687" s="41"/>
    </row>
    <row r="688">
      <c r="A688" s="40"/>
      <c r="B688" s="41"/>
      <c r="C688" s="40"/>
      <c r="D688" s="41"/>
      <c r="E688" s="41"/>
      <c r="F688" s="41"/>
      <c r="G688" s="41"/>
      <c r="H688" s="41"/>
    </row>
    <row r="689">
      <c r="A689" s="40"/>
      <c r="B689" s="41"/>
      <c r="C689" s="40"/>
      <c r="D689" s="41"/>
      <c r="E689" s="41"/>
      <c r="F689" s="41"/>
      <c r="G689" s="41"/>
      <c r="H689" s="41"/>
    </row>
    <row r="690">
      <c r="A690" s="40"/>
      <c r="B690" s="41"/>
      <c r="C690" s="40"/>
      <c r="D690" s="41"/>
      <c r="E690" s="41"/>
      <c r="F690" s="41"/>
      <c r="G690" s="41"/>
      <c r="H690" s="41"/>
    </row>
    <row r="691">
      <c r="A691" s="40"/>
      <c r="B691" s="41"/>
      <c r="C691" s="40"/>
      <c r="D691" s="41"/>
      <c r="E691" s="41"/>
      <c r="F691" s="41"/>
      <c r="G691" s="41"/>
      <c r="H691" s="41"/>
    </row>
    <row r="692">
      <c r="A692" s="40"/>
      <c r="B692" s="41"/>
      <c r="C692" s="40"/>
      <c r="D692" s="41"/>
      <c r="E692" s="41"/>
      <c r="F692" s="41"/>
      <c r="G692" s="41"/>
      <c r="H692" s="41"/>
    </row>
    <row r="693">
      <c r="A693" s="40"/>
      <c r="B693" s="41"/>
      <c r="C693" s="40"/>
      <c r="D693" s="41"/>
      <c r="E693" s="41"/>
      <c r="F693" s="41"/>
      <c r="G693" s="41"/>
      <c r="H693" s="41"/>
    </row>
    <row r="694">
      <c r="A694" s="40"/>
      <c r="B694" s="41"/>
      <c r="C694" s="40"/>
      <c r="D694" s="41"/>
      <c r="E694" s="41"/>
      <c r="F694" s="41"/>
      <c r="G694" s="41"/>
      <c r="H694" s="41"/>
    </row>
    <row r="695">
      <c r="A695" s="40"/>
      <c r="B695" s="41"/>
      <c r="C695" s="40"/>
      <c r="D695" s="41"/>
      <c r="E695" s="41"/>
      <c r="F695" s="41"/>
      <c r="G695" s="41"/>
      <c r="H695" s="41"/>
    </row>
    <row r="696">
      <c r="A696" s="40"/>
      <c r="B696" s="41"/>
      <c r="C696" s="40"/>
      <c r="D696" s="41"/>
      <c r="E696" s="41"/>
      <c r="F696" s="41"/>
      <c r="G696" s="41"/>
      <c r="H696" s="41"/>
    </row>
    <row r="697">
      <c r="A697" s="40"/>
      <c r="B697" s="41"/>
      <c r="C697" s="40"/>
      <c r="D697" s="41"/>
      <c r="E697" s="41"/>
      <c r="F697" s="41"/>
      <c r="G697" s="41"/>
      <c r="H697" s="41"/>
    </row>
    <row r="698">
      <c r="A698" s="40"/>
      <c r="B698" s="41"/>
      <c r="C698" s="40"/>
      <c r="D698" s="41"/>
      <c r="E698" s="41"/>
      <c r="F698" s="41"/>
      <c r="G698" s="41"/>
      <c r="H698" s="41"/>
    </row>
    <row r="699">
      <c r="A699" s="40"/>
      <c r="B699" s="41"/>
      <c r="C699" s="40"/>
      <c r="D699" s="41"/>
      <c r="E699" s="41"/>
      <c r="F699" s="41"/>
      <c r="G699" s="41"/>
      <c r="H699" s="41"/>
    </row>
    <row r="700">
      <c r="A700" s="40"/>
      <c r="B700" s="41"/>
      <c r="C700" s="40"/>
      <c r="D700" s="41"/>
      <c r="E700" s="41"/>
      <c r="F700" s="41"/>
      <c r="G700" s="41"/>
      <c r="H700" s="41"/>
    </row>
    <row r="701">
      <c r="A701" s="40"/>
      <c r="B701" s="41"/>
      <c r="C701" s="40"/>
      <c r="D701" s="41"/>
      <c r="E701" s="41"/>
      <c r="F701" s="41"/>
      <c r="G701" s="41"/>
      <c r="H701" s="41"/>
    </row>
    <row r="702">
      <c r="A702" s="40"/>
      <c r="B702" s="41"/>
      <c r="C702" s="40"/>
      <c r="D702" s="41"/>
      <c r="E702" s="41"/>
      <c r="F702" s="41"/>
      <c r="G702" s="41"/>
      <c r="H702" s="41"/>
    </row>
    <row r="703">
      <c r="A703" s="40"/>
      <c r="B703" s="41"/>
      <c r="C703" s="40"/>
      <c r="D703" s="41"/>
      <c r="E703" s="41"/>
      <c r="F703" s="41"/>
      <c r="G703" s="41"/>
      <c r="H703" s="41"/>
    </row>
    <row r="704">
      <c r="A704" s="40"/>
      <c r="B704" s="41"/>
      <c r="C704" s="40"/>
      <c r="D704" s="41"/>
      <c r="E704" s="41"/>
      <c r="F704" s="41"/>
      <c r="G704" s="41"/>
      <c r="H704" s="41"/>
    </row>
    <row r="705">
      <c r="A705" s="40"/>
      <c r="B705" s="41"/>
      <c r="C705" s="40"/>
      <c r="D705" s="41"/>
      <c r="E705" s="41"/>
      <c r="F705" s="41"/>
      <c r="G705" s="41"/>
      <c r="H705" s="41"/>
    </row>
    <row r="706">
      <c r="A706" s="40"/>
      <c r="B706" s="41"/>
      <c r="C706" s="40"/>
      <c r="D706" s="41"/>
      <c r="E706" s="41"/>
      <c r="F706" s="41"/>
      <c r="G706" s="41"/>
      <c r="H706" s="41"/>
    </row>
    <row r="707">
      <c r="A707" s="40"/>
      <c r="B707" s="41"/>
      <c r="C707" s="40"/>
      <c r="D707" s="41"/>
      <c r="E707" s="41"/>
      <c r="F707" s="41"/>
      <c r="G707" s="41"/>
      <c r="H707" s="41"/>
    </row>
    <row r="708">
      <c r="A708" s="40"/>
      <c r="B708" s="41"/>
      <c r="C708" s="40"/>
      <c r="D708" s="41"/>
      <c r="E708" s="41"/>
      <c r="F708" s="41"/>
      <c r="G708" s="41"/>
      <c r="H708" s="41"/>
    </row>
    <row r="709">
      <c r="A709" s="40"/>
      <c r="B709" s="41"/>
      <c r="C709" s="40"/>
      <c r="D709" s="41"/>
      <c r="E709" s="41"/>
      <c r="F709" s="41"/>
      <c r="G709" s="41"/>
      <c r="H709" s="41"/>
    </row>
    <row r="710">
      <c r="A710" s="40"/>
      <c r="B710" s="41"/>
      <c r="C710" s="40"/>
      <c r="D710" s="41"/>
      <c r="E710" s="41"/>
      <c r="F710" s="41"/>
      <c r="G710" s="41"/>
      <c r="H710" s="41"/>
    </row>
    <row r="711">
      <c r="A711" s="40"/>
      <c r="B711" s="41"/>
      <c r="C711" s="40"/>
      <c r="D711" s="41"/>
      <c r="E711" s="41"/>
      <c r="F711" s="41"/>
      <c r="G711" s="41"/>
      <c r="H711" s="41"/>
    </row>
    <row r="712">
      <c r="A712" s="40"/>
      <c r="B712" s="41"/>
      <c r="C712" s="40"/>
      <c r="D712" s="41"/>
      <c r="E712" s="41"/>
      <c r="F712" s="41"/>
      <c r="G712" s="41"/>
      <c r="H712" s="41"/>
    </row>
    <row r="713">
      <c r="A713" s="40"/>
      <c r="B713" s="41"/>
      <c r="C713" s="40"/>
      <c r="D713" s="41"/>
      <c r="E713" s="41"/>
      <c r="F713" s="41"/>
      <c r="G713" s="41"/>
      <c r="H713" s="41"/>
    </row>
    <row r="714">
      <c r="A714" s="40"/>
      <c r="B714" s="41"/>
      <c r="C714" s="40"/>
      <c r="D714" s="41"/>
      <c r="E714" s="41"/>
      <c r="F714" s="41"/>
      <c r="G714" s="41"/>
      <c r="H714" s="41"/>
    </row>
    <row r="715">
      <c r="A715" s="40"/>
      <c r="B715" s="41"/>
      <c r="C715" s="40"/>
      <c r="D715" s="41"/>
      <c r="E715" s="41"/>
      <c r="F715" s="41"/>
      <c r="G715" s="41"/>
      <c r="H715" s="41"/>
    </row>
    <row r="716">
      <c r="A716" s="40"/>
      <c r="B716" s="41"/>
      <c r="C716" s="40"/>
      <c r="D716" s="41"/>
      <c r="E716" s="41"/>
      <c r="F716" s="41"/>
      <c r="G716" s="41"/>
      <c r="H716" s="41"/>
    </row>
    <row r="717">
      <c r="A717" s="40"/>
      <c r="B717" s="41"/>
      <c r="C717" s="40"/>
      <c r="D717" s="41"/>
      <c r="E717" s="41"/>
      <c r="F717" s="41"/>
      <c r="G717" s="41"/>
      <c r="H717" s="41"/>
    </row>
    <row r="718">
      <c r="A718" s="40"/>
      <c r="B718" s="41"/>
      <c r="C718" s="40"/>
      <c r="D718" s="41"/>
      <c r="E718" s="41"/>
      <c r="F718" s="41"/>
      <c r="G718" s="41"/>
      <c r="H718" s="41"/>
    </row>
    <row r="719">
      <c r="A719" s="40"/>
      <c r="B719" s="41"/>
      <c r="C719" s="40"/>
      <c r="D719" s="41"/>
      <c r="E719" s="41"/>
      <c r="F719" s="41"/>
      <c r="G719" s="41"/>
      <c r="H719" s="41"/>
    </row>
    <row r="720">
      <c r="A720" s="40"/>
      <c r="B720" s="41"/>
      <c r="C720" s="40"/>
      <c r="D720" s="41"/>
      <c r="E720" s="41"/>
      <c r="F720" s="41"/>
      <c r="G720" s="41"/>
      <c r="H720" s="41"/>
    </row>
    <row r="721">
      <c r="A721" s="40"/>
      <c r="B721" s="41"/>
      <c r="C721" s="40"/>
      <c r="D721" s="41"/>
      <c r="E721" s="41"/>
      <c r="F721" s="41"/>
      <c r="G721" s="41"/>
      <c r="H721" s="41"/>
    </row>
    <row r="722">
      <c r="A722" s="40"/>
      <c r="B722" s="41"/>
      <c r="C722" s="40"/>
      <c r="D722" s="41"/>
      <c r="E722" s="41"/>
      <c r="F722" s="41"/>
      <c r="G722" s="41"/>
      <c r="H722" s="41"/>
    </row>
    <row r="723">
      <c r="A723" s="40"/>
      <c r="B723" s="41"/>
      <c r="C723" s="40"/>
      <c r="D723" s="41"/>
      <c r="E723" s="41"/>
      <c r="F723" s="41"/>
      <c r="G723" s="41"/>
      <c r="H723" s="41"/>
    </row>
    <row r="724">
      <c r="A724" s="40"/>
      <c r="B724" s="41"/>
      <c r="C724" s="40"/>
      <c r="D724" s="41"/>
      <c r="E724" s="41"/>
      <c r="F724" s="41"/>
      <c r="G724" s="41"/>
      <c r="H724" s="41"/>
    </row>
    <row r="725">
      <c r="A725" s="40"/>
      <c r="B725" s="41"/>
      <c r="C725" s="40"/>
      <c r="D725" s="41"/>
      <c r="E725" s="41"/>
      <c r="F725" s="41"/>
      <c r="G725" s="41"/>
      <c r="H725" s="41"/>
    </row>
    <row r="726">
      <c r="A726" s="40"/>
      <c r="B726" s="41"/>
      <c r="C726" s="40"/>
      <c r="D726" s="41"/>
      <c r="E726" s="41"/>
      <c r="F726" s="41"/>
      <c r="G726" s="41"/>
      <c r="H726" s="41"/>
    </row>
    <row r="727">
      <c r="A727" s="40"/>
      <c r="B727" s="41"/>
      <c r="C727" s="40"/>
      <c r="D727" s="41"/>
      <c r="E727" s="41"/>
      <c r="F727" s="41"/>
      <c r="G727" s="41"/>
      <c r="H727" s="41"/>
    </row>
    <row r="728">
      <c r="A728" s="40"/>
      <c r="B728" s="41"/>
      <c r="C728" s="40"/>
      <c r="D728" s="41"/>
      <c r="E728" s="41"/>
      <c r="F728" s="41"/>
      <c r="G728" s="41"/>
      <c r="H728" s="41"/>
    </row>
    <row r="729">
      <c r="A729" s="40"/>
      <c r="B729" s="41"/>
      <c r="C729" s="40"/>
      <c r="D729" s="41"/>
      <c r="E729" s="41"/>
      <c r="F729" s="41"/>
      <c r="G729" s="41"/>
      <c r="H729" s="41"/>
    </row>
    <row r="730">
      <c r="A730" s="40"/>
      <c r="B730" s="41"/>
      <c r="C730" s="40"/>
      <c r="D730" s="41"/>
      <c r="E730" s="41"/>
      <c r="F730" s="41"/>
      <c r="G730" s="41"/>
      <c r="H730" s="41"/>
    </row>
    <row r="731">
      <c r="A731" s="40"/>
      <c r="B731" s="41"/>
      <c r="C731" s="40"/>
      <c r="D731" s="41"/>
      <c r="E731" s="41"/>
      <c r="F731" s="41"/>
      <c r="G731" s="41"/>
      <c r="H731" s="41"/>
    </row>
    <row r="732">
      <c r="A732" s="40"/>
      <c r="B732" s="41"/>
      <c r="C732" s="40"/>
      <c r="D732" s="41"/>
      <c r="E732" s="41"/>
      <c r="F732" s="41"/>
      <c r="G732" s="41"/>
      <c r="H732" s="41"/>
    </row>
    <row r="733">
      <c r="A733" s="40"/>
      <c r="B733" s="41"/>
      <c r="C733" s="40"/>
      <c r="D733" s="41"/>
      <c r="E733" s="41"/>
      <c r="F733" s="41"/>
      <c r="G733" s="41"/>
      <c r="H733" s="41"/>
    </row>
    <row r="734">
      <c r="A734" s="40"/>
      <c r="B734" s="41"/>
      <c r="C734" s="40"/>
      <c r="D734" s="41"/>
      <c r="E734" s="41"/>
      <c r="F734" s="41"/>
      <c r="G734" s="41"/>
      <c r="H734" s="41"/>
    </row>
    <row r="735">
      <c r="A735" s="40"/>
      <c r="B735" s="41"/>
      <c r="C735" s="40"/>
      <c r="D735" s="41"/>
      <c r="E735" s="41"/>
      <c r="F735" s="41"/>
      <c r="G735" s="41"/>
      <c r="H735" s="41"/>
    </row>
    <row r="736">
      <c r="A736" s="40"/>
      <c r="B736" s="41"/>
      <c r="C736" s="40"/>
      <c r="D736" s="41"/>
      <c r="E736" s="41"/>
      <c r="F736" s="41"/>
      <c r="G736" s="41"/>
      <c r="H736" s="41"/>
    </row>
    <row r="737">
      <c r="A737" s="40"/>
      <c r="B737" s="41"/>
      <c r="C737" s="40"/>
      <c r="D737" s="41"/>
      <c r="E737" s="41"/>
      <c r="F737" s="41"/>
      <c r="G737" s="41"/>
      <c r="H737" s="41"/>
    </row>
    <row r="738">
      <c r="A738" s="40"/>
      <c r="B738" s="41"/>
      <c r="C738" s="40"/>
      <c r="D738" s="41"/>
      <c r="E738" s="41"/>
      <c r="F738" s="41"/>
      <c r="G738" s="41"/>
      <c r="H738" s="41"/>
    </row>
    <row r="739">
      <c r="A739" s="40"/>
      <c r="B739" s="41"/>
      <c r="C739" s="40"/>
      <c r="D739" s="41"/>
      <c r="E739" s="41"/>
      <c r="F739" s="41"/>
      <c r="G739" s="41"/>
      <c r="H739" s="41"/>
    </row>
    <row r="740">
      <c r="A740" s="40"/>
      <c r="B740" s="41"/>
      <c r="C740" s="40"/>
      <c r="D740" s="41"/>
      <c r="E740" s="41"/>
      <c r="F740" s="41"/>
      <c r="G740" s="41"/>
      <c r="H740" s="41"/>
    </row>
    <row r="741">
      <c r="A741" s="40"/>
      <c r="B741" s="41"/>
      <c r="C741" s="40"/>
      <c r="D741" s="41"/>
      <c r="E741" s="41"/>
      <c r="F741" s="41"/>
      <c r="G741" s="41"/>
      <c r="H741" s="41"/>
    </row>
    <row r="742">
      <c r="A742" s="40"/>
      <c r="B742" s="41"/>
      <c r="C742" s="40"/>
      <c r="D742" s="41"/>
      <c r="E742" s="41"/>
      <c r="F742" s="41"/>
      <c r="G742" s="41"/>
      <c r="H742" s="41"/>
    </row>
    <row r="743">
      <c r="A743" s="40"/>
      <c r="B743" s="41"/>
      <c r="C743" s="40"/>
      <c r="D743" s="41"/>
      <c r="E743" s="41"/>
      <c r="F743" s="41"/>
      <c r="G743" s="41"/>
      <c r="H743" s="41"/>
    </row>
    <row r="744">
      <c r="A744" s="40"/>
      <c r="B744" s="41"/>
      <c r="C744" s="40"/>
      <c r="D744" s="41"/>
      <c r="E744" s="41"/>
      <c r="F744" s="41"/>
      <c r="G744" s="41"/>
      <c r="H744" s="41"/>
    </row>
    <row r="745">
      <c r="A745" s="40"/>
      <c r="B745" s="41"/>
      <c r="C745" s="40"/>
      <c r="D745" s="41"/>
      <c r="E745" s="41"/>
      <c r="F745" s="41"/>
      <c r="G745" s="41"/>
      <c r="H745" s="41"/>
    </row>
    <row r="746">
      <c r="A746" s="40"/>
      <c r="B746" s="41"/>
      <c r="C746" s="40"/>
      <c r="D746" s="41"/>
      <c r="E746" s="41"/>
      <c r="F746" s="41"/>
      <c r="G746" s="41"/>
      <c r="H746" s="41"/>
    </row>
    <row r="747">
      <c r="A747" s="40"/>
      <c r="B747" s="41"/>
      <c r="C747" s="40"/>
      <c r="D747" s="41"/>
      <c r="E747" s="41"/>
      <c r="F747" s="41"/>
      <c r="G747" s="41"/>
      <c r="H747" s="41"/>
    </row>
    <row r="748">
      <c r="A748" s="40"/>
      <c r="B748" s="41"/>
      <c r="C748" s="40"/>
      <c r="D748" s="41"/>
      <c r="E748" s="41"/>
      <c r="F748" s="41"/>
      <c r="G748" s="41"/>
      <c r="H748" s="41"/>
    </row>
    <row r="749">
      <c r="A749" s="40"/>
      <c r="B749" s="41"/>
      <c r="C749" s="40"/>
      <c r="D749" s="41"/>
      <c r="E749" s="41"/>
      <c r="F749" s="41"/>
      <c r="G749" s="41"/>
      <c r="H749" s="41"/>
    </row>
    <row r="750">
      <c r="A750" s="40"/>
      <c r="B750" s="41"/>
      <c r="C750" s="40"/>
      <c r="D750" s="41"/>
      <c r="E750" s="41"/>
      <c r="F750" s="41"/>
      <c r="G750" s="41"/>
      <c r="H750" s="41"/>
    </row>
    <row r="751">
      <c r="A751" s="40"/>
      <c r="B751" s="41"/>
      <c r="C751" s="40"/>
      <c r="D751" s="41"/>
      <c r="E751" s="41"/>
      <c r="F751" s="41"/>
      <c r="G751" s="41"/>
      <c r="H751" s="41"/>
    </row>
    <row r="752">
      <c r="A752" s="40"/>
      <c r="B752" s="41"/>
      <c r="C752" s="40"/>
      <c r="D752" s="41"/>
      <c r="E752" s="41"/>
      <c r="F752" s="41"/>
      <c r="G752" s="41"/>
      <c r="H752" s="41"/>
    </row>
    <row r="753">
      <c r="A753" s="40"/>
      <c r="B753" s="41"/>
      <c r="C753" s="40"/>
      <c r="D753" s="41"/>
      <c r="E753" s="41"/>
      <c r="F753" s="41"/>
      <c r="G753" s="41"/>
      <c r="H753" s="41"/>
    </row>
    <row r="754">
      <c r="A754" s="40"/>
      <c r="B754" s="41"/>
      <c r="C754" s="40"/>
      <c r="D754" s="41"/>
      <c r="E754" s="41"/>
      <c r="F754" s="41"/>
      <c r="G754" s="41"/>
      <c r="H754" s="41"/>
    </row>
    <row r="755">
      <c r="A755" s="40"/>
      <c r="B755" s="41"/>
      <c r="C755" s="40"/>
      <c r="D755" s="41"/>
      <c r="E755" s="41"/>
      <c r="F755" s="41"/>
      <c r="G755" s="41"/>
      <c r="H755" s="41"/>
    </row>
    <row r="756">
      <c r="A756" s="40"/>
      <c r="B756" s="41"/>
      <c r="C756" s="40"/>
      <c r="D756" s="41"/>
      <c r="E756" s="41"/>
      <c r="F756" s="41"/>
      <c r="G756" s="41"/>
      <c r="H756" s="41"/>
    </row>
    <row r="757">
      <c r="A757" s="40"/>
      <c r="B757" s="41"/>
      <c r="C757" s="40"/>
      <c r="D757" s="41"/>
      <c r="E757" s="41"/>
      <c r="F757" s="41"/>
      <c r="G757" s="41"/>
      <c r="H757" s="41"/>
    </row>
    <row r="758">
      <c r="A758" s="40"/>
      <c r="B758" s="41"/>
      <c r="C758" s="40"/>
      <c r="D758" s="41"/>
      <c r="E758" s="41"/>
      <c r="F758" s="41"/>
      <c r="G758" s="41"/>
      <c r="H758" s="41"/>
    </row>
    <row r="759">
      <c r="A759" s="40"/>
      <c r="B759" s="41"/>
      <c r="C759" s="40"/>
      <c r="D759" s="41"/>
      <c r="E759" s="41"/>
      <c r="F759" s="41"/>
      <c r="G759" s="41"/>
      <c r="H759" s="41"/>
    </row>
    <row r="760">
      <c r="A760" s="40"/>
      <c r="B760" s="41"/>
      <c r="C760" s="40"/>
      <c r="D760" s="41"/>
      <c r="E760" s="41"/>
      <c r="F760" s="41"/>
      <c r="G760" s="41"/>
      <c r="H760" s="41"/>
    </row>
    <row r="761">
      <c r="A761" s="40"/>
      <c r="B761" s="41"/>
      <c r="C761" s="40"/>
      <c r="D761" s="41"/>
      <c r="E761" s="41"/>
      <c r="F761" s="41"/>
      <c r="G761" s="41"/>
      <c r="H761" s="41"/>
    </row>
    <row r="762">
      <c r="A762" s="40"/>
      <c r="B762" s="41"/>
      <c r="C762" s="40"/>
      <c r="D762" s="41"/>
      <c r="E762" s="41"/>
      <c r="F762" s="41"/>
      <c r="G762" s="41"/>
      <c r="H762" s="41"/>
    </row>
    <row r="763">
      <c r="A763" s="40"/>
      <c r="B763" s="41"/>
      <c r="C763" s="40"/>
      <c r="D763" s="41"/>
      <c r="E763" s="41"/>
      <c r="F763" s="41"/>
      <c r="G763" s="41"/>
      <c r="H763" s="41"/>
    </row>
    <row r="764">
      <c r="A764" s="40"/>
      <c r="B764" s="41"/>
      <c r="C764" s="40"/>
      <c r="D764" s="41"/>
      <c r="E764" s="41"/>
      <c r="F764" s="41"/>
      <c r="G764" s="41"/>
      <c r="H764" s="41"/>
    </row>
    <row r="765">
      <c r="A765" s="40"/>
      <c r="B765" s="41"/>
      <c r="C765" s="40"/>
      <c r="D765" s="41"/>
      <c r="E765" s="41"/>
      <c r="F765" s="41"/>
      <c r="G765" s="41"/>
      <c r="H765" s="41"/>
    </row>
    <row r="766">
      <c r="A766" s="40"/>
      <c r="B766" s="41"/>
      <c r="C766" s="40"/>
      <c r="D766" s="41"/>
      <c r="E766" s="41"/>
      <c r="F766" s="41"/>
      <c r="G766" s="41"/>
      <c r="H766" s="41"/>
    </row>
    <row r="767">
      <c r="A767" s="40"/>
      <c r="B767" s="41"/>
      <c r="C767" s="40"/>
      <c r="D767" s="41"/>
      <c r="E767" s="41"/>
      <c r="F767" s="41"/>
      <c r="G767" s="41"/>
      <c r="H767" s="41"/>
    </row>
    <row r="768">
      <c r="A768" s="40"/>
      <c r="B768" s="41"/>
      <c r="C768" s="40"/>
      <c r="D768" s="41"/>
      <c r="E768" s="41"/>
      <c r="F768" s="41"/>
      <c r="G768" s="41"/>
      <c r="H768" s="41"/>
    </row>
    <row r="769">
      <c r="A769" s="40"/>
      <c r="B769" s="41"/>
      <c r="C769" s="40"/>
      <c r="D769" s="41"/>
      <c r="E769" s="41"/>
      <c r="F769" s="41"/>
      <c r="G769" s="41"/>
      <c r="H769" s="41"/>
    </row>
    <row r="770">
      <c r="A770" s="40"/>
      <c r="B770" s="41"/>
      <c r="C770" s="40"/>
      <c r="D770" s="41"/>
      <c r="E770" s="41"/>
      <c r="F770" s="41"/>
      <c r="G770" s="41"/>
      <c r="H770" s="41"/>
    </row>
    <row r="771">
      <c r="A771" s="40"/>
      <c r="B771" s="41"/>
      <c r="C771" s="40"/>
      <c r="D771" s="41"/>
      <c r="E771" s="41"/>
      <c r="F771" s="41"/>
      <c r="G771" s="41"/>
      <c r="H771" s="41"/>
    </row>
    <row r="772">
      <c r="A772" s="40"/>
      <c r="B772" s="41"/>
      <c r="C772" s="40"/>
      <c r="D772" s="41"/>
      <c r="E772" s="41"/>
      <c r="F772" s="41"/>
      <c r="G772" s="41"/>
      <c r="H772" s="41"/>
    </row>
    <row r="773">
      <c r="A773" s="40"/>
      <c r="B773" s="41"/>
      <c r="C773" s="40"/>
      <c r="D773" s="41"/>
      <c r="E773" s="41"/>
      <c r="F773" s="41"/>
      <c r="G773" s="41"/>
      <c r="H773" s="41"/>
    </row>
    <row r="774">
      <c r="A774" s="40"/>
      <c r="B774" s="41"/>
      <c r="C774" s="40"/>
      <c r="D774" s="41"/>
      <c r="E774" s="41"/>
      <c r="F774" s="41"/>
      <c r="G774" s="41"/>
      <c r="H774" s="41"/>
    </row>
    <row r="775">
      <c r="A775" s="40"/>
      <c r="B775" s="41"/>
      <c r="C775" s="40"/>
      <c r="D775" s="41"/>
      <c r="E775" s="41"/>
      <c r="F775" s="41"/>
      <c r="G775" s="41"/>
      <c r="H775" s="41"/>
    </row>
    <row r="776">
      <c r="A776" s="40"/>
      <c r="B776" s="41"/>
      <c r="C776" s="40"/>
      <c r="D776" s="41"/>
      <c r="E776" s="41"/>
      <c r="F776" s="41"/>
      <c r="G776" s="41"/>
      <c r="H776" s="41"/>
    </row>
    <row r="777">
      <c r="A777" s="40"/>
      <c r="B777" s="41"/>
      <c r="C777" s="40"/>
      <c r="D777" s="41"/>
      <c r="E777" s="41"/>
      <c r="F777" s="41"/>
      <c r="G777" s="41"/>
      <c r="H777" s="41"/>
    </row>
    <row r="778">
      <c r="A778" s="40"/>
      <c r="B778" s="41"/>
      <c r="C778" s="40"/>
      <c r="D778" s="41"/>
      <c r="E778" s="41"/>
      <c r="F778" s="41"/>
      <c r="G778" s="41"/>
      <c r="H778" s="41"/>
    </row>
    <row r="779">
      <c r="A779" s="40"/>
      <c r="B779" s="41"/>
      <c r="C779" s="40"/>
      <c r="D779" s="41"/>
      <c r="E779" s="41"/>
      <c r="F779" s="41"/>
      <c r="G779" s="41"/>
      <c r="H779" s="41"/>
    </row>
    <row r="780">
      <c r="A780" s="40"/>
      <c r="B780" s="41"/>
      <c r="C780" s="40"/>
      <c r="D780" s="41"/>
      <c r="E780" s="41"/>
      <c r="F780" s="41"/>
      <c r="G780" s="41"/>
      <c r="H780" s="41"/>
    </row>
    <row r="781">
      <c r="A781" s="40"/>
      <c r="B781" s="41"/>
      <c r="C781" s="40"/>
      <c r="D781" s="41"/>
      <c r="E781" s="41"/>
      <c r="F781" s="41"/>
      <c r="G781" s="41"/>
      <c r="H781" s="41"/>
    </row>
    <row r="782">
      <c r="A782" s="40"/>
      <c r="B782" s="41"/>
      <c r="C782" s="40"/>
      <c r="D782" s="41"/>
      <c r="E782" s="41"/>
      <c r="F782" s="41"/>
      <c r="G782" s="41"/>
      <c r="H782" s="41"/>
    </row>
    <row r="783">
      <c r="A783" s="40"/>
      <c r="B783" s="41"/>
      <c r="C783" s="40"/>
      <c r="D783" s="41"/>
      <c r="E783" s="41"/>
      <c r="F783" s="41"/>
      <c r="G783" s="41"/>
      <c r="H783" s="41"/>
    </row>
    <row r="784">
      <c r="A784" s="40"/>
      <c r="B784" s="41"/>
      <c r="C784" s="40"/>
      <c r="D784" s="41"/>
      <c r="E784" s="41"/>
      <c r="F784" s="41"/>
      <c r="G784" s="41"/>
      <c r="H784" s="41"/>
    </row>
    <row r="785">
      <c r="A785" s="40"/>
      <c r="B785" s="41"/>
      <c r="C785" s="40"/>
      <c r="D785" s="41"/>
      <c r="E785" s="41"/>
      <c r="F785" s="41"/>
      <c r="G785" s="41"/>
      <c r="H785" s="41"/>
    </row>
    <row r="786">
      <c r="A786" s="40"/>
      <c r="B786" s="41"/>
      <c r="C786" s="40"/>
      <c r="D786" s="41"/>
      <c r="E786" s="41"/>
      <c r="F786" s="41"/>
      <c r="G786" s="41"/>
      <c r="H786" s="41"/>
    </row>
    <row r="787">
      <c r="A787" s="40"/>
      <c r="B787" s="41"/>
      <c r="C787" s="40"/>
      <c r="D787" s="41"/>
      <c r="E787" s="41"/>
      <c r="F787" s="41"/>
      <c r="G787" s="41"/>
      <c r="H787" s="41"/>
    </row>
    <row r="788">
      <c r="A788" s="40"/>
      <c r="B788" s="41"/>
      <c r="C788" s="40"/>
      <c r="D788" s="41"/>
      <c r="E788" s="41"/>
      <c r="F788" s="41"/>
      <c r="G788" s="41"/>
      <c r="H788" s="41"/>
    </row>
    <row r="789">
      <c r="A789" s="40"/>
      <c r="B789" s="41"/>
      <c r="C789" s="40"/>
      <c r="D789" s="41"/>
      <c r="E789" s="41"/>
      <c r="F789" s="41"/>
      <c r="G789" s="41"/>
      <c r="H789" s="41"/>
    </row>
    <row r="790">
      <c r="A790" s="40"/>
      <c r="B790" s="41"/>
      <c r="C790" s="40"/>
      <c r="D790" s="41"/>
      <c r="E790" s="41"/>
      <c r="F790" s="41"/>
      <c r="G790" s="41"/>
      <c r="H790" s="41"/>
    </row>
    <row r="791">
      <c r="A791" s="40"/>
      <c r="B791" s="41"/>
      <c r="C791" s="40"/>
      <c r="D791" s="41"/>
      <c r="E791" s="41"/>
      <c r="F791" s="41"/>
      <c r="G791" s="41"/>
      <c r="H791" s="41"/>
    </row>
    <row r="792">
      <c r="A792" s="40"/>
      <c r="B792" s="41"/>
      <c r="C792" s="40"/>
      <c r="D792" s="41"/>
      <c r="E792" s="41"/>
      <c r="F792" s="41"/>
      <c r="G792" s="41"/>
      <c r="H792" s="41"/>
    </row>
    <row r="793">
      <c r="A793" s="40"/>
      <c r="B793" s="41"/>
      <c r="C793" s="40"/>
      <c r="D793" s="41"/>
      <c r="E793" s="41"/>
      <c r="F793" s="41"/>
      <c r="G793" s="41"/>
      <c r="H793" s="41"/>
    </row>
    <row r="794">
      <c r="A794" s="40"/>
      <c r="B794" s="41"/>
      <c r="C794" s="40"/>
      <c r="D794" s="41"/>
      <c r="E794" s="41"/>
      <c r="F794" s="41"/>
      <c r="G794" s="41"/>
      <c r="H794" s="41"/>
    </row>
    <row r="795">
      <c r="A795" s="40"/>
      <c r="B795" s="41"/>
      <c r="C795" s="40"/>
      <c r="D795" s="41"/>
      <c r="E795" s="41"/>
      <c r="F795" s="41"/>
      <c r="G795" s="41"/>
      <c r="H795" s="41"/>
    </row>
    <row r="796">
      <c r="A796" s="40"/>
      <c r="B796" s="41"/>
      <c r="C796" s="40"/>
      <c r="D796" s="41"/>
      <c r="E796" s="41"/>
      <c r="F796" s="41"/>
      <c r="G796" s="41"/>
      <c r="H796" s="41"/>
    </row>
    <row r="797">
      <c r="A797" s="40"/>
      <c r="B797" s="41"/>
      <c r="C797" s="40"/>
      <c r="D797" s="41"/>
      <c r="E797" s="41"/>
      <c r="F797" s="41"/>
      <c r="G797" s="41"/>
      <c r="H797" s="41"/>
    </row>
    <row r="798">
      <c r="A798" s="40"/>
      <c r="B798" s="41"/>
      <c r="C798" s="40"/>
      <c r="D798" s="41"/>
      <c r="E798" s="41"/>
      <c r="F798" s="41"/>
      <c r="G798" s="41"/>
      <c r="H798" s="41"/>
    </row>
    <row r="799">
      <c r="A799" s="40"/>
      <c r="B799" s="41"/>
      <c r="C799" s="40"/>
      <c r="D799" s="41"/>
      <c r="E799" s="41"/>
      <c r="F799" s="41"/>
      <c r="G799" s="41"/>
      <c r="H799" s="41"/>
    </row>
    <row r="800">
      <c r="A800" s="40"/>
      <c r="B800" s="41"/>
      <c r="C800" s="40"/>
      <c r="D800" s="41"/>
      <c r="E800" s="41"/>
      <c r="F800" s="41"/>
      <c r="G800" s="41"/>
      <c r="H800" s="41"/>
    </row>
    <row r="801">
      <c r="A801" s="40"/>
      <c r="B801" s="41"/>
      <c r="C801" s="40"/>
      <c r="D801" s="41"/>
      <c r="E801" s="41"/>
      <c r="F801" s="41"/>
      <c r="G801" s="41"/>
      <c r="H801" s="41"/>
    </row>
    <row r="802">
      <c r="A802" s="40"/>
      <c r="B802" s="41"/>
      <c r="C802" s="40"/>
      <c r="D802" s="41"/>
      <c r="E802" s="41"/>
      <c r="F802" s="41"/>
      <c r="G802" s="41"/>
      <c r="H802" s="41"/>
    </row>
    <row r="803">
      <c r="A803" s="40"/>
      <c r="B803" s="41"/>
      <c r="C803" s="40"/>
      <c r="D803" s="41"/>
      <c r="E803" s="41"/>
      <c r="F803" s="41"/>
      <c r="G803" s="41"/>
      <c r="H803" s="41"/>
    </row>
    <row r="804">
      <c r="A804" s="40"/>
      <c r="B804" s="41"/>
      <c r="C804" s="40"/>
      <c r="D804" s="41"/>
      <c r="E804" s="41"/>
      <c r="F804" s="41"/>
      <c r="G804" s="41"/>
      <c r="H804" s="41"/>
    </row>
    <row r="805">
      <c r="A805" s="40"/>
      <c r="B805" s="41"/>
      <c r="C805" s="40"/>
      <c r="D805" s="41"/>
      <c r="E805" s="41"/>
      <c r="F805" s="41"/>
      <c r="G805" s="41"/>
      <c r="H805" s="41"/>
    </row>
    <row r="806">
      <c r="A806" s="40"/>
      <c r="B806" s="41"/>
      <c r="C806" s="40"/>
      <c r="D806" s="41"/>
      <c r="E806" s="41"/>
      <c r="F806" s="41"/>
      <c r="G806" s="41"/>
      <c r="H806" s="41"/>
    </row>
    <row r="807">
      <c r="A807" s="40"/>
      <c r="B807" s="41"/>
      <c r="C807" s="40"/>
      <c r="D807" s="41"/>
      <c r="E807" s="41"/>
      <c r="F807" s="41"/>
      <c r="G807" s="41"/>
      <c r="H807" s="41"/>
    </row>
    <row r="808">
      <c r="A808" s="40"/>
      <c r="B808" s="41"/>
      <c r="C808" s="40"/>
      <c r="D808" s="41"/>
      <c r="E808" s="41"/>
      <c r="F808" s="41"/>
      <c r="G808" s="41"/>
      <c r="H808" s="41"/>
    </row>
    <row r="809">
      <c r="A809" s="40"/>
      <c r="B809" s="41"/>
      <c r="C809" s="40"/>
      <c r="D809" s="41"/>
      <c r="E809" s="41"/>
      <c r="F809" s="41"/>
      <c r="G809" s="41"/>
      <c r="H809" s="41"/>
    </row>
    <row r="810">
      <c r="A810" s="40"/>
      <c r="B810" s="41"/>
      <c r="C810" s="40"/>
      <c r="D810" s="41"/>
      <c r="E810" s="41"/>
      <c r="F810" s="41"/>
      <c r="G810" s="41"/>
      <c r="H810" s="41"/>
    </row>
    <row r="811">
      <c r="A811" s="40"/>
      <c r="B811" s="41"/>
      <c r="C811" s="40"/>
      <c r="D811" s="41"/>
      <c r="E811" s="41"/>
      <c r="F811" s="41"/>
      <c r="G811" s="41"/>
      <c r="H811" s="41"/>
    </row>
    <row r="812">
      <c r="A812" s="40"/>
      <c r="B812" s="41"/>
      <c r="C812" s="40"/>
      <c r="D812" s="41"/>
      <c r="E812" s="41"/>
      <c r="F812" s="41"/>
      <c r="G812" s="41"/>
      <c r="H812" s="41"/>
    </row>
    <row r="813">
      <c r="A813" s="40"/>
      <c r="B813" s="41"/>
      <c r="C813" s="40"/>
      <c r="D813" s="41"/>
      <c r="E813" s="41"/>
      <c r="F813" s="41"/>
      <c r="G813" s="41"/>
      <c r="H813" s="41"/>
    </row>
    <row r="814">
      <c r="A814" s="40"/>
      <c r="B814" s="41"/>
      <c r="C814" s="40"/>
      <c r="D814" s="41"/>
      <c r="E814" s="41"/>
      <c r="F814" s="41"/>
      <c r="G814" s="41"/>
      <c r="H814" s="41"/>
    </row>
    <row r="815">
      <c r="A815" s="40"/>
      <c r="B815" s="41"/>
      <c r="C815" s="40"/>
      <c r="D815" s="41"/>
      <c r="E815" s="41"/>
      <c r="F815" s="41"/>
      <c r="G815" s="41"/>
      <c r="H815" s="41"/>
    </row>
    <row r="816">
      <c r="A816" s="40"/>
      <c r="B816" s="41"/>
      <c r="C816" s="40"/>
      <c r="D816" s="41"/>
      <c r="E816" s="41"/>
      <c r="F816" s="41"/>
      <c r="G816" s="41"/>
      <c r="H816" s="41"/>
    </row>
    <row r="817">
      <c r="A817" s="40"/>
      <c r="B817" s="41"/>
      <c r="C817" s="40"/>
      <c r="D817" s="41"/>
      <c r="E817" s="41"/>
      <c r="F817" s="41"/>
      <c r="G817" s="41"/>
      <c r="H817" s="41"/>
    </row>
    <row r="818">
      <c r="A818" s="40"/>
      <c r="B818" s="41"/>
      <c r="C818" s="40"/>
      <c r="D818" s="41"/>
      <c r="E818" s="41"/>
      <c r="F818" s="41"/>
      <c r="G818" s="41"/>
      <c r="H818" s="41"/>
    </row>
    <row r="819">
      <c r="A819" s="40"/>
      <c r="B819" s="41"/>
      <c r="C819" s="40"/>
      <c r="D819" s="41"/>
      <c r="E819" s="41"/>
      <c r="F819" s="41"/>
      <c r="G819" s="41"/>
      <c r="H819" s="41"/>
    </row>
    <row r="820">
      <c r="A820" s="40"/>
      <c r="B820" s="41"/>
      <c r="C820" s="40"/>
      <c r="D820" s="41"/>
      <c r="E820" s="41"/>
      <c r="F820" s="41"/>
      <c r="G820" s="41"/>
      <c r="H820" s="41"/>
    </row>
    <row r="821">
      <c r="A821" s="40"/>
      <c r="B821" s="41"/>
      <c r="C821" s="40"/>
      <c r="D821" s="41"/>
      <c r="E821" s="41"/>
      <c r="F821" s="41"/>
      <c r="G821" s="41"/>
      <c r="H821" s="41"/>
    </row>
    <row r="822">
      <c r="A822" s="40"/>
      <c r="B822" s="41"/>
      <c r="C822" s="40"/>
      <c r="D822" s="41"/>
      <c r="E822" s="41"/>
      <c r="F822" s="41"/>
      <c r="G822" s="41"/>
      <c r="H822" s="41"/>
    </row>
    <row r="823">
      <c r="A823" s="40"/>
      <c r="B823" s="41"/>
      <c r="C823" s="40"/>
      <c r="D823" s="41"/>
      <c r="E823" s="41"/>
      <c r="F823" s="41"/>
      <c r="G823" s="41"/>
      <c r="H823" s="41"/>
    </row>
    <row r="824">
      <c r="A824" s="40"/>
      <c r="B824" s="41"/>
      <c r="C824" s="40"/>
      <c r="D824" s="41"/>
      <c r="E824" s="41"/>
      <c r="F824" s="41"/>
      <c r="G824" s="41"/>
      <c r="H824" s="41"/>
    </row>
    <row r="825">
      <c r="A825" s="40"/>
      <c r="B825" s="41"/>
      <c r="C825" s="40"/>
      <c r="D825" s="41"/>
      <c r="E825" s="41"/>
      <c r="F825" s="41"/>
      <c r="G825" s="41"/>
      <c r="H825" s="41"/>
    </row>
    <row r="826">
      <c r="A826" s="40"/>
      <c r="B826" s="41"/>
      <c r="C826" s="40"/>
      <c r="D826" s="41"/>
      <c r="E826" s="41"/>
      <c r="F826" s="41"/>
      <c r="G826" s="41"/>
      <c r="H826" s="41"/>
    </row>
    <row r="827">
      <c r="A827" s="40"/>
      <c r="B827" s="41"/>
      <c r="C827" s="40"/>
      <c r="D827" s="41"/>
      <c r="E827" s="41"/>
      <c r="F827" s="41"/>
      <c r="G827" s="41"/>
      <c r="H827" s="41"/>
    </row>
    <row r="828">
      <c r="A828" s="40"/>
      <c r="B828" s="41"/>
      <c r="C828" s="40"/>
      <c r="D828" s="41"/>
      <c r="E828" s="41"/>
      <c r="F828" s="41"/>
      <c r="G828" s="41"/>
      <c r="H828" s="41"/>
    </row>
    <row r="829">
      <c r="A829" s="40"/>
      <c r="B829" s="41"/>
      <c r="C829" s="40"/>
      <c r="D829" s="41"/>
      <c r="E829" s="41"/>
      <c r="F829" s="41"/>
      <c r="G829" s="41"/>
      <c r="H829" s="41"/>
    </row>
    <row r="830">
      <c r="A830" s="40"/>
      <c r="B830" s="41"/>
      <c r="C830" s="40"/>
      <c r="D830" s="41"/>
      <c r="E830" s="41"/>
      <c r="F830" s="41"/>
      <c r="G830" s="41"/>
      <c r="H830" s="41"/>
    </row>
    <row r="831">
      <c r="A831" s="40"/>
      <c r="B831" s="41"/>
      <c r="C831" s="40"/>
      <c r="D831" s="41"/>
      <c r="E831" s="41"/>
      <c r="F831" s="41"/>
      <c r="G831" s="41"/>
      <c r="H831" s="41"/>
    </row>
    <row r="832">
      <c r="A832" s="40"/>
      <c r="B832" s="41"/>
      <c r="C832" s="40"/>
      <c r="D832" s="41"/>
      <c r="E832" s="41"/>
      <c r="F832" s="41"/>
      <c r="G832" s="41"/>
      <c r="H832" s="41"/>
    </row>
    <row r="833">
      <c r="A833" s="40"/>
      <c r="B833" s="41"/>
      <c r="C833" s="40"/>
      <c r="D833" s="41"/>
      <c r="E833" s="41"/>
      <c r="F833" s="41"/>
      <c r="G833" s="41"/>
      <c r="H833" s="41"/>
    </row>
    <row r="834">
      <c r="A834" s="40"/>
      <c r="B834" s="41"/>
      <c r="C834" s="40"/>
      <c r="D834" s="41"/>
      <c r="E834" s="41"/>
      <c r="F834" s="41"/>
      <c r="G834" s="41"/>
      <c r="H834" s="41"/>
    </row>
    <row r="835">
      <c r="A835" s="40"/>
      <c r="B835" s="41"/>
      <c r="C835" s="40"/>
      <c r="D835" s="41"/>
      <c r="E835" s="41"/>
      <c r="F835" s="41"/>
      <c r="G835" s="41"/>
      <c r="H835" s="41"/>
    </row>
    <row r="836">
      <c r="A836" s="40"/>
      <c r="B836" s="41"/>
      <c r="C836" s="40"/>
      <c r="D836" s="41"/>
      <c r="E836" s="41"/>
      <c r="F836" s="41"/>
      <c r="G836" s="41"/>
      <c r="H836" s="41"/>
    </row>
    <row r="837">
      <c r="A837" s="40"/>
      <c r="B837" s="41"/>
      <c r="C837" s="40"/>
      <c r="D837" s="41"/>
      <c r="E837" s="41"/>
      <c r="F837" s="41"/>
      <c r="G837" s="41"/>
      <c r="H837" s="41"/>
    </row>
    <row r="838">
      <c r="A838" s="40"/>
      <c r="B838" s="41"/>
      <c r="C838" s="40"/>
      <c r="D838" s="41"/>
      <c r="E838" s="41"/>
      <c r="F838" s="41"/>
      <c r="G838" s="41"/>
      <c r="H838" s="41"/>
    </row>
    <row r="839">
      <c r="A839" s="40"/>
      <c r="B839" s="41"/>
      <c r="C839" s="40"/>
      <c r="D839" s="41"/>
      <c r="E839" s="41"/>
      <c r="F839" s="41"/>
      <c r="G839" s="41"/>
      <c r="H839" s="41"/>
    </row>
    <row r="840">
      <c r="A840" s="40"/>
      <c r="B840" s="41"/>
      <c r="C840" s="40"/>
      <c r="D840" s="41"/>
      <c r="E840" s="41"/>
      <c r="F840" s="41"/>
      <c r="G840" s="41"/>
      <c r="H840" s="41"/>
    </row>
    <row r="841">
      <c r="A841" s="40"/>
      <c r="B841" s="41"/>
      <c r="C841" s="40"/>
      <c r="D841" s="41"/>
      <c r="E841" s="41"/>
      <c r="F841" s="41"/>
      <c r="G841" s="41"/>
      <c r="H841" s="41"/>
    </row>
    <row r="842">
      <c r="A842" s="40"/>
      <c r="B842" s="41"/>
      <c r="C842" s="40"/>
      <c r="D842" s="41"/>
      <c r="E842" s="41"/>
      <c r="F842" s="41"/>
      <c r="G842" s="41"/>
      <c r="H842" s="41"/>
    </row>
    <row r="843">
      <c r="A843" s="40"/>
      <c r="B843" s="41"/>
      <c r="C843" s="40"/>
      <c r="D843" s="41"/>
      <c r="E843" s="41"/>
      <c r="F843" s="41"/>
      <c r="G843" s="41"/>
      <c r="H843" s="41"/>
    </row>
    <row r="844">
      <c r="A844" s="40"/>
      <c r="B844" s="41"/>
      <c r="C844" s="40"/>
      <c r="D844" s="41"/>
      <c r="E844" s="41"/>
      <c r="F844" s="41"/>
      <c r="G844" s="41"/>
      <c r="H844" s="41"/>
    </row>
    <row r="845">
      <c r="A845" s="40"/>
      <c r="B845" s="41"/>
      <c r="C845" s="40"/>
      <c r="D845" s="41"/>
      <c r="E845" s="41"/>
      <c r="F845" s="41"/>
      <c r="G845" s="41"/>
      <c r="H845" s="41"/>
    </row>
    <row r="846">
      <c r="A846" s="40"/>
      <c r="B846" s="41"/>
      <c r="C846" s="40"/>
      <c r="D846" s="41"/>
      <c r="E846" s="41"/>
      <c r="F846" s="41"/>
      <c r="G846" s="41"/>
      <c r="H846" s="41"/>
    </row>
    <row r="847">
      <c r="A847" s="40"/>
      <c r="B847" s="41"/>
      <c r="C847" s="40"/>
      <c r="D847" s="41"/>
      <c r="E847" s="41"/>
      <c r="F847" s="41"/>
      <c r="G847" s="41"/>
      <c r="H847" s="41"/>
    </row>
    <row r="848">
      <c r="A848" s="40"/>
      <c r="B848" s="41"/>
      <c r="C848" s="40"/>
      <c r="D848" s="41"/>
      <c r="E848" s="41"/>
      <c r="F848" s="41"/>
      <c r="G848" s="41"/>
      <c r="H848" s="41"/>
    </row>
    <row r="849">
      <c r="A849" s="40"/>
      <c r="B849" s="41"/>
      <c r="C849" s="40"/>
      <c r="D849" s="41"/>
      <c r="E849" s="41"/>
      <c r="F849" s="41"/>
      <c r="G849" s="41"/>
      <c r="H849" s="41"/>
    </row>
    <row r="850">
      <c r="A850" s="40"/>
      <c r="B850" s="41"/>
      <c r="C850" s="40"/>
      <c r="D850" s="41"/>
      <c r="E850" s="41"/>
      <c r="F850" s="41"/>
      <c r="G850" s="41"/>
      <c r="H850" s="41"/>
    </row>
    <row r="851">
      <c r="A851" s="40"/>
      <c r="B851" s="41"/>
      <c r="C851" s="40"/>
      <c r="D851" s="41"/>
      <c r="E851" s="41"/>
      <c r="F851" s="41"/>
      <c r="G851" s="41"/>
      <c r="H851" s="41"/>
    </row>
    <row r="852">
      <c r="A852" s="40"/>
      <c r="B852" s="41"/>
      <c r="C852" s="40"/>
      <c r="D852" s="41"/>
      <c r="E852" s="41"/>
      <c r="F852" s="41"/>
      <c r="G852" s="41"/>
      <c r="H852" s="41"/>
    </row>
    <row r="853">
      <c r="A853" s="40"/>
      <c r="B853" s="41"/>
      <c r="C853" s="40"/>
      <c r="D853" s="41"/>
      <c r="E853" s="41"/>
      <c r="F853" s="41"/>
      <c r="G853" s="41"/>
      <c r="H853" s="41"/>
    </row>
    <row r="854">
      <c r="A854" s="40"/>
      <c r="B854" s="41"/>
      <c r="C854" s="40"/>
      <c r="D854" s="41"/>
      <c r="E854" s="41"/>
      <c r="F854" s="41"/>
      <c r="G854" s="41"/>
      <c r="H854" s="41"/>
    </row>
    <row r="855">
      <c r="A855" s="40"/>
      <c r="B855" s="41"/>
      <c r="C855" s="40"/>
      <c r="D855" s="41"/>
      <c r="E855" s="41"/>
      <c r="F855" s="41"/>
      <c r="G855" s="41"/>
      <c r="H855" s="41"/>
    </row>
    <row r="856">
      <c r="A856" s="40"/>
      <c r="B856" s="41"/>
      <c r="C856" s="40"/>
      <c r="D856" s="41"/>
      <c r="E856" s="41"/>
      <c r="F856" s="41"/>
      <c r="G856" s="41"/>
      <c r="H856" s="41"/>
    </row>
    <row r="857">
      <c r="A857" s="40"/>
      <c r="B857" s="41"/>
      <c r="C857" s="40"/>
      <c r="D857" s="41"/>
      <c r="E857" s="41"/>
      <c r="F857" s="41"/>
      <c r="G857" s="41"/>
      <c r="H857" s="41"/>
    </row>
    <row r="858">
      <c r="A858" s="40"/>
      <c r="B858" s="41"/>
      <c r="C858" s="40"/>
      <c r="D858" s="41"/>
      <c r="E858" s="41"/>
      <c r="F858" s="41"/>
      <c r="G858" s="41"/>
      <c r="H858" s="41"/>
    </row>
    <row r="859">
      <c r="A859" s="40"/>
      <c r="B859" s="41"/>
      <c r="C859" s="40"/>
      <c r="D859" s="41"/>
      <c r="E859" s="41"/>
      <c r="F859" s="41"/>
      <c r="G859" s="41"/>
      <c r="H859" s="41"/>
    </row>
    <row r="860">
      <c r="A860" s="40"/>
      <c r="B860" s="41"/>
      <c r="C860" s="40"/>
      <c r="D860" s="41"/>
      <c r="E860" s="41"/>
      <c r="F860" s="41"/>
      <c r="G860" s="41"/>
      <c r="H860" s="41"/>
    </row>
    <row r="861">
      <c r="A861" s="40"/>
      <c r="B861" s="41"/>
      <c r="C861" s="40"/>
      <c r="D861" s="41"/>
      <c r="E861" s="41"/>
      <c r="F861" s="41"/>
      <c r="G861" s="41"/>
      <c r="H861" s="41"/>
    </row>
    <row r="862">
      <c r="A862" s="40"/>
      <c r="B862" s="41"/>
      <c r="C862" s="40"/>
      <c r="D862" s="41"/>
      <c r="E862" s="41"/>
      <c r="F862" s="41"/>
      <c r="G862" s="41"/>
      <c r="H862" s="41"/>
    </row>
    <row r="863">
      <c r="A863" s="40"/>
      <c r="B863" s="41"/>
      <c r="C863" s="40"/>
      <c r="D863" s="41"/>
      <c r="E863" s="41"/>
      <c r="F863" s="41"/>
      <c r="G863" s="41"/>
      <c r="H863" s="41"/>
    </row>
    <row r="864">
      <c r="A864" s="40"/>
      <c r="B864" s="41"/>
      <c r="C864" s="40"/>
      <c r="D864" s="41"/>
      <c r="E864" s="41"/>
      <c r="F864" s="41"/>
      <c r="G864" s="41"/>
      <c r="H864" s="41"/>
    </row>
    <row r="865">
      <c r="A865" s="40"/>
      <c r="B865" s="41"/>
      <c r="C865" s="40"/>
      <c r="D865" s="41"/>
      <c r="E865" s="41"/>
      <c r="F865" s="41"/>
      <c r="G865" s="41"/>
      <c r="H865" s="41"/>
    </row>
    <row r="866">
      <c r="A866" s="40"/>
      <c r="B866" s="41"/>
      <c r="C866" s="40"/>
      <c r="D866" s="41"/>
      <c r="E866" s="41"/>
      <c r="F866" s="41"/>
      <c r="G866" s="41"/>
      <c r="H866" s="41"/>
    </row>
    <row r="867">
      <c r="A867" s="40"/>
      <c r="B867" s="41"/>
      <c r="C867" s="40"/>
      <c r="D867" s="41"/>
      <c r="E867" s="41"/>
      <c r="F867" s="41"/>
      <c r="G867" s="41"/>
      <c r="H867" s="41"/>
    </row>
    <row r="868">
      <c r="A868" s="40"/>
      <c r="B868" s="41"/>
      <c r="C868" s="40"/>
      <c r="D868" s="41"/>
      <c r="E868" s="41"/>
      <c r="F868" s="41"/>
      <c r="G868" s="41"/>
      <c r="H868" s="41"/>
    </row>
    <row r="869">
      <c r="A869" s="40"/>
      <c r="B869" s="41"/>
      <c r="C869" s="40"/>
      <c r="D869" s="41"/>
      <c r="E869" s="41"/>
      <c r="F869" s="41"/>
      <c r="G869" s="41"/>
      <c r="H869" s="41"/>
    </row>
    <row r="870">
      <c r="A870" s="40"/>
      <c r="B870" s="41"/>
      <c r="C870" s="40"/>
      <c r="D870" s="41"/>
      <c r="E870" s="41"/>
      <c r="F870" s="41"/>
      <c r="G870" s="41"/>
      <c r="H870" s="41"/>
    </row>
    <row r="871">
      <c r="A871" s="40"/>
      <c r="B871" s="41"/>
      <c r="C871" s="40"/>
      <c r="D871" s="41"/>
      <c r="E871" s="41"/>
      <c r="F871" s="41"/>
      <c r="G871" s="41"/>
      <c r="H871" s="41"/>
    </row>
    <row r="872">
      <c r="A872" s="40"/>
      <c r="B872" s="41"/>
      <c r="C872" s="40"/>
      <c r="D872" s="41"/>
      <c r="E872" s="41"/>
      <c r="F872" s="41"/>
      <c r="G872" s="41"/>
      <c r="H872" s="41"/>
    </row>
    <row r="873">
      <c r="A873" s="40"/>
      <c r="B873" s="41"/>
      <c r="C873" s="40"/>
      <c r="D873" s="41"/>
      <c r="E873" s="41"/>
      <c r="F873" s="41"/>
      <c r="G873" s="41"/>
      <c r="H873" s="41"/>
    </row>
    <row r="874">
      <c r="A874" s="40"/>
      <c r="B874" s="41"/>
      <c r="C874" s="40"/>
      <c r="D874" s="41"/>
      <c r="E874" s="41"/>
      <c r="F874" s="41"/>
      <c r="G874" s="41"/>
      <c r="H874" s="41"/>
    </row>
    <row r="875">
      <c r="A875" s="40"/>
      <c r="B875" s="41"/>
      <c r="C875" s="40"/>
      <c r="D875" s="41"/>
      <c r="E875" s="41"/>
      <c r="F875" s="41"/>
      <c r="G875" s="41"/>
      <c r="H875" s="41"/>
    </row>
    <row r="876">
      <c r="A876" s="40"/>
      <c r="B876" s="41"/>
      <c r="C876" s="40"/>
      <c r="D876" s="41"/>
      <c r="E876" s="41"/>
      <c r="F876" s="41"/>
      <c r="G876" s="41"/>
      <c r="H876" s="41"/>
    </row>
    <row r="877">
      <c r="A877" s="40"/>
      <c r="B877" s="41"/>
      <c r="C877" s="40"/>
      <c r="D877" s="41"/>
      <c r="E877" s="41"/>
      <c r="F877" s="41"/>
      <c r="G877" s="41"/>
      <c r="H877" s="41"/>
    </row>
    <row r="878">
      <c r="A878" s="40"/>
      <c r="B878" s="41"/>
      <c r="C878" s="40"/>
      <c r="D878" s="41"/>
      <c r="E878" s="41"/>
      <c r="F878" s="41"/>
      <c r="G878" s="41"/>
      <c r="H878" s="41"/>
    </row>
    <row r="879">
      <c r="A879" s="40"/>
      <c r="B879" s="41"/>
      <c r="C879" s="40"/>
      <c r="D879" s="41"/>
      <c r="E879" s="41"/>
      <c r="F879" s="41"/>
      <c r="G879" s="41"/>
      <c r="H879" s="41"/>
    </row>
    <row r="880">
      <c r="A880" s="40"/>
      <c r="B880" s="41"/>
      <c r="C880" s="40"/>
      <c r="D880" s="41"/>
      <c r="E880" s="41"/>
      <c r="F880" s="41"/>
      <c r="G880" s="41"/>
      <c r="H880" s="41"/>
    </row>
    <row r="881">
      <c r="A881" s="40"/>
      <c r="B881" s="41"/>
      <c r="C881" s="40"/>
      <c r="D881" s="41"/>
      <c r="E881" s="41"/>
      <c r="F881" s="41"/>
      <c r="G881" s="41"/>
      <c r="H881" s="41"/>
    </row>
    <row r="882">
      <c r="A882" s="40"/>
      <c r="B882" s="41"/>
      <c r="C882" s="40"/>
      <c r="D882" s="41"/>
      <c r="E882" s="41"/>
      <c r="F882" s="41"/>
      <c r="G882" s="41"/>
      <c r="H882" s="41"/>
    </row>
    <row r="883">
      <c r="A883" s="40"/>
      <c r="B883" s="41"/>
      <c r="C883" s="40"/>
      <c r="D883" s="41"/>
      <c r="E883" s="41"/>
      <c r="F883" s="41"/>
      <c r="G883" s="41"/>
      <c r="H883" s="41"/>
    </row>
    <row r="884">
      <c r="A884" s="40"/>
      <c r="B884" s="41"/>
      <c r="C884" s="40"/>
      <c r="D884" s="41"/>
      <c r="E884" s="41"/>
      <c r="F884" s="41"/>
      <c r="G884" s="41"/>
      <c r="H884" s="41"/>
    </row>
    <row r="885">
      <c r="A885" s="40"/>
      <c r="B885" s="41"/>
      <c r="C885" s="40"/>
      <c r="D885" s="41"/>
      <c r="E885" s="41"/>
      <c r="F885" s="41"/>
      <c r="G885" s="41"/>
      <c r="H885" s="41"/>
    </row>
    <row r="886">
      <c r="A886" s="40"/>
      <c r="B886" s="41"/>
      <c r="C886" s="40"/>
      <c r="D886" s="41"/>
      <c r="E886" s="41"/>
      <c r="F886" s="41"/>
      <c r="G886" s="41"/>
      <c r="H886" s="41"/>
    </row>
    <row r="887">
      <c r="A887" s="40"/>
      <c r="B887" s="41"/>
      <c r="C887" s="40"/>
      <c r="D887" s="41"/>
      <c r="E887" s="41"/>
      <c r="F887" s="41"/>
      <c r="G887" s="41"/>
      <c r="H887" s="41"/>
    </row>
    <row r="888">
      <c r="A888" s="40"/>
      <c r="B888" s="41"/>
      <c r="C888" s="40"/>
      <c r="D888" s="41"/>
      <c r="E888" s="41"/>
      <c r="F888" s="41"/>
      <c r="G888" s="41"/>
      <c r="H888" s="41"/>
    </row>
    <row r="889">
      <c r="A889" s="40"/>
      <c r="B889" s="41"/>
      <c r="C889" s="40"/>
      <c r="D889" s="41"/>
      <c r="E889" s="41"/>
      <c r="F889" s="41"/>
      <c r="G889" s="41"/>
      <c r="H889" s="41"/>
    </row>
    <row r="890">
      <c r="A890" s="40"/>
      <c r="B890" s="41"/>
      <c r="C890" s="40"/>
      <c r="D890" s="41"/>
      <c r="E890" s="41"/>
      <c r="F890" s="41"/>
      <c r="G890" s="41"/>
      <c r="H890" s="41"/>
    </row>
    <row r="891">
      <c r="A891" s="40"/>
      <c r="B891" s="41"/>
      <c r="C891" s="40"/>
      <c r="D891" s="41"/>
      <c r="E891" s="41"/>
      <c r="F891" s="41"/>
      <c r="G891" s="41"/>
      <c r="H891" s="41"/>
    </row>
    <row r="892">
      <c r="A892" s="40"/>
      <c r="B892" s="41"/>
      <c r="C892" s="40"/>
      <c r="D892" s="41"/>
      <c r="E892" s="41"/>
      <c r="F892" s="41"/>
      <c r="G892" s="41"/>
      <c r="H892" s="41"/>
    </row>
    <row r="893">
      <c r="A893" s="40"/>
      <c r="B893" s="41"/>
      <c r="C893" s="40"/>
      <c r="D893" s="41"/>
      <c r="E893" s="41"/>
      <c r="F893" s="41"/>
      <c r="G893" s="41"/>
      <c r="H893" s="41"/>
    </row>
    <row r="894">
      <c r="A894" s="40"/>
      <c r="B894" s="41"/>
      <c r="C894" s="40"/>
      <c r="D894" s="41"/>
      <c r="E894" s="41"/>
      <c r="F894" s="41"/>
      <c r="G894" s="41"/>
      <c r="H894" s="41"/>
    </row>
    <row r="895">
      <c r="A895" s="40"/>
      <c r="B895" s="41"/>
      <c r="C895" s="40"/>
      <c r="D895" s="41"/>
      <c r="E895" s="41"/>
      <c r="F895" s="41"/>
      <c r="G895" s="41"/>
      <c r="H895" s="41"/>
    </row>
    <row r="896">
      <c r="A896" s="40"/>
      <c r="B896" s="41"/>
      <c r="C896" s="40"/>
      <c r="D896" s="41"/>
      <c r="E896" s="41"/>
      <c r="F896" s="41"/>
      <c r="G896" s="41"/>
      <c r="H896" s="41"/>
    </row>
    <row r="897">
      <c r="A897" s="40"/>
      <c r="B897" s="41"/>
      <c r="C897" s="40"/>
      <c r="D897" s="41"/>
      <c r="E897" s="41"/>
      <c r="F897" s="41"/>
      <c r="G897" s="41"/>
      <c r="H897" s="41"/>
    </row>
    <row r="898">
      <c r="A898" s="40"/>
      <c r="B898" s="41"/>
      <c r="C898" s="40"/>
      <c r="D898" s="41"/>
      <c r="E898" s="41"/>
      <c r="F898" s="41"/>
      <c r="G898" s="41"/>
      <c r="H898" s="41"/>
    </row>
    <row r="899">
      <c r="A899" s="40"/>
      <c r="B899" s="41"/>
      <c r="C899" s="40"/>
      <c r="D899" s="41"/>
      <c r="E899" s="41"/>
      <c r="F899" s="41"/>
      <c r="G899" s="41"/>
      <c r="H899" s="41"/>
    </row>
    <row r="900">
      <c r="A900" s="40"/>
      <c r="B900" s="41"/>
      <c r="C900" s="40"/>
      <c r="D900" s="41"/>
      <c r="E900" s="41"/>
      <c r="F900" s="41"/>
      <c r="G900" s="41"/>
      <c r="H900" s="41"/>
    </row>
    <row r="901">
      <c r="A901" s="40"/>
      <c r="B901" s="41"/>
      <c r="C901" s="40"/>
      <c r="D901" s="41"/>
      <c r="E901" s="41"/>
      <c r="F901" s="41"/>
      <c r="G901" s="41"/>
      <c r="H901" s="41"/>
    </row>
    <row r="902">
      <c r="A902" s="40"/>
      <c r="B902" s="41"/>
      <c r="C902" s="40"/>
      <c r="D902" s="41"/>
      <c r="E902" s="41"/>
      <c r="F902" s="41"/>
      <c r="G902" s="41"/>
      <c r="H902" s="41"/>
    </row>
    <row r="903">
      <c r="A903" s="40"/>
      <c r="B903" s="41"/>
      <c r="C903" s="40"/>
      <c r="D903" s="41"/>
      <c r="E903" s="41"/>
      <c r="F903" s="41"/>
      <c r="G903" s="41"/>
      <c r="H903" s="41"/>
    </row>
    <row r="904">
      <c r="A904" s="40"/>
      <c r="B904" s="41"/>
      <c r="C904" s="40"/>
      <c r="D904" s="41"/>
      <c r="E904" s="41"/>
      <c r="F904" s="41"/>
      <c r="G904" s="41"/>
      <c r="H904" s="41"/>
    </row>
    <row r="905">
      <c r="A905" s="40"/>
      <c r="B905" s="41"/>
      <c r="C905" s="40"/>
      <c r="D905" s="41"/>
      <c r="E905" s="41"/>
      <c r="F905" s="41"/>
      <c r="G905" s="41"/>
      <c r="H905" s="41"/>
    </row>
    <row r="906">
      <c r="A906" s="40"/>
      <c r="B906" s="41"/>
      <c r="C906" s="40"/>
      <c r="D906" s="41"/>
      <c r="E906" s="41"/>
      <c r="F906" s="41"/>
      <c r="G906" s="41"/>
      <c r="H906" s="41"/>
    </row>
    <row r="907">
      <c r="A907" s="40"/>
      <c r="B907" s="41"/>
      <c r="C907" s="40"/>
      <c r="D907" s="41"/>
      <c r="E907" s="41"/>
      <c r="F907" s="41"/>
      <c r="G907" s="41"/>
      <c r="H907" s="41"/>
    </row>
    <row r="908">
      <c r="A908" s="40"/>
      <c r="B908" s="41"/>
      <c r="C908" s="40"/>
      <c r="D908" s="41"/>
      <c r="E908" s="41"/>
      <c r="F908" s="41"/>
      <c r="G908" s="41"/>
      <c r="H908" s="41"/>
    </row>
    <row r="909">
      <c r="A909" s="40"/>
      <c r="B909" s="41"/>
      <c r="C909" s="40"/>
      <c r="D909" s="41"/>
      <c r="E909" s="41"/>
      <c r="F909" s="41"/>
      <c r="G909" s="41"/>
      <c r="H909" s="41"/>
    </row>
    <row r="910">
      <c r="A910" s="40"/>
      <c r="B910" s="41"/>
      <c r="C910" s="40"/>
      <c r="D910" s="41"/>
      <c r="E910" s="41"/>
      <c r="F910" s="41"/>
      <c r="G910" s="41"/>
      <c r="H910" s="41"/>
    </row>
    <row r="911">
      <c r="A911" s="40"/>
      <c r="B911" s="41"/>
      <c r="C911" s="40"/>
      <c r="D911" s="41"/>
      <c r="E911" s="41"/>
      <c r="F911" s="41"/>
      <c r="G911" s="41"/>
      <c r="H911" s="41"/>
    </row>
    <row r="912">
      <c r="A912" s="40"/>
      <c r="B912" s="41"/>
      <c r="C912" s="40"/>
      <c r="D912" s="41"/>
      <c r="E912" s="41"/>
      <c r="F912" s="41"/>
      <c r="G912" s="41"/>
      <c r="H912" s="41"/>
    </row>
    <row r="913">
      <c r="A913" s="40"/>
      <c r="B913" s="41"/>
      <c r="C913" s="40"/>
      <c r="D913" s="41"/>
      <c r="E913" s="41"/>
      <c r="F913" s="41"/>
      <c r="G913" s="41"/>
      <c r="H913" s="41"/>
    </row>
    <row r="914">
      <c r="A914" s="40"/>
      <c r="B914" s="41"/>
      <c r="C914" s="40"/>
      <c r="D914" s="41"/>
      <c r="E914" s="41"/>
      <c r="F914" s="41"/>
      <c r="G914" s="41"/>
      <c r="H914" s="41"/>
    </row>
    <row r="915">
      <c r="A915" s="40"/>
      <c r="B915" s="41"/>
      <c r="C915" s="40"/>
      <c r="D915" s="41"/>
      <c r="E915" s="41"/>
      <c r="F915" s="41"/>
      <c r="G915" s="41"/>
      <c r="H915" s="41"/>
    </row>
    <row r="916">
      <c r="A916" s="40"/>
      <c r="B916" s="41"/>
      <c r="C916" s="40"/>
      <c r="D916" s="41"/>
      <c r="E916" s="41"/>
      <c r="F916" s="41"/>
      <c r="G916" s="41"/>
      <c r="H916" s="41"/>
    </row>
    <row r="917">
      <c r="A917" s="40"/>
      <c r="B917" s="41"/>
      <c r="C917" s="40"/>
      <c r="D917" s="41"/>
      <c r="E917" s="41"/>
      <c r="F917" s="41"/>
      <c r="G917" s="41"/>
      <c r="H917" s="41"/>
    </row>
    <row r="918">
      <c r="A918" s="40"/>
      <c r="B918" s="41"/>
      <c r="C918" s="40"/>
      <c r="D918" s="41"/>
      <c r="E918" s="41"/>
      <c r="F918" s="41"/>
      <c r="G918" s="41"/>
      <c r="H918" s="41"/>
    </row>
    <row r="919">
      <c r="A919" s="40"/>
      <c r="B919" s="41"/>
      <c r="C919" s="40"/>
      <c r="D919" s="41"/>
      <c r="E919" s="41"/>
      <c r="F919" s="41"/>
      <c r="G919" s="41"/>
      <c r="H919" s="41"/>
    </row>
    <row r="920">
      <c r="A920" s="40"/>
      <c r="B920" s="41"/>
      <c r="C920" s="40"/>
      <c r="D920" s="41"/>
      <c r="E920" s="41"/>
      <c r="F920" s="41"/>
      <c r="G920" s="41"/>
      <c r="H920" s="41"/>
    </row>
    <row r="921">
      <c r="A921" s="40"/>
      <c r="B921" s="41"/>
      <c r="C921" s="40"/>
      <c r="D921" s="41"/>
      <c r="E921" s="41"/>
      <c r="F921" s="41"/>
      <c r="G921" s="41"/>
      <c r="H921" s="41"/>
    </row>
    <row r="922">
      <c r="A922" s="40"/>
      <c r="B922" s="41"/>
      <c r="C922" s="40"/>
      <c r="D922" s="41"/>
      <c r="E922" s="41"/>
      <c r="F922" s="41"/>
      <c r="G922" s="41"/>
      <c r="H922" s="41"/>
    </row>
    <row r="923">
      <c r="A923" s="40"/>
      <c r="B923" s="41"/>
      <c r="C923" s="40"/>
      <c r="D923" s="41"/>
      <c r="E923" s="41"/>
      <c r="F923" s="41"/>
      <c r="G923" s="41"/>
      <c r="H923" s="41"/>
    </row>
    <row r="924">
      <c r="A924" s="40"/>
      <c r="B924" s="41"/>
      <c r="C924" s="40"/>
      <c r="D924" s="41"/>
      <c r="E924" s="41"/>
      <c r="F924" s="41"/>
      <c r="G924" s="41"/>
      <c r="H924" s="41"/>
    </row>
    <row r="925">
      <c r="A925" s="40"/>
      <c r="B925" s="41"/>
      <c r="C925" s="40"/>
      <c r="D925" s="41"/>
      <c r="E925" s="41"/>
      <c r="F925" s="41"/>
      <c r="G925" s="41"/>
      <c r="H925" s="41"/>
    </row>
    <row r="926">
      <c r="A926" s="40"/>
      <c r="B926" s="41"/>
      <c r="C926" s="40"/>
      <c r="D926" s="41"/>
      <c r="E926" s="41"/>
      <c r="F926" s="41"/>
      <c r="G926" s="41"/>
      <c r="H926" s="41"/>
    </row>
    <row r="927">
      <c r="A927" s="40"/>
      <c r="B927" s="41"/>
      <c r="C927" s="40"/>
      <c r="D927" s="41"/>
      <c r="E927" s="41"/>
      <c r="F927" s="41"/>
      <c r="G927" s="41"/>
      <c r="H927" s="41"/>
    </row>
    <row r="928">
      <c r="A928" s="40"/>
      <c r="B928" s="41"/>
      <c r="C928" s="40"/>
      <c r="D928" s="41"/>
      <c r="E928" s="41"/>
      <c r="F928" s="41"/>
      <c r="G928" s="41"/>
      <c r="H928" s="41"/>
    </row>
    <row r="929">
      <c r="A929" s="40"/>
      <c r="B929" s="41"/>
      <c r="C929" s="40"/>
      <c r="D929" s="41"/>
      <c r="E929" s="41"/>
      <c r="F929" s="41"/>
      <c r="G929" s="41"/>
      <c r="H929" s="41"/>
    </row>
    <row r="930">
      <c r="A930" s="40"/>
      <c r="B930" s="41"/>
      <c r="C930" s="40"/>
      <c r="D930" s="41"/>
      <c r="E930" s="41"/>
      <c r="F930" s="41"/>
      <c r="G930" s="41"/>
      <c r="H930" s="41"/>
    </row>
    <row r="931">
      <c r="A931" s="40"/>
      <c r="B931" s="41"/>
      <c r="C931" s="40"/>
      <c r="D931" s="41"/>
      <c r="E931" s="41"/>
      <c r="F931" s="41"/>
      <c r="G931" s="41"/>
      <c r="H931" s="41"/>
    </row>
    <row r="932">
      <c r="A932" s="40"/>
      <c r="B932" s="41"/>
      <c r="C932" s="40"/>
      <c r="D932" s="41"/>
      <c r="E932" s="41"/>
      <c r="F932" s="41"/>
      <c r="G932" s="41"/>
      <c r="H932" s="41"/>
    </row>
    <row r="933">
      <c r="A933" s="40"/>
      <c r="B933" s="41"/>
      <c r="C933" s="40"/>
      <c r="D933" s="41"/>
      <c r="E933" s="41"/>
      <c r="F933" s="41"/>
      <c r="G933" s="41"/>
      <c r="H933" s="41"/>
    </row>
    <row r="934">
      <c r="A934" s="40"/>
      <c r="B934" s="41"/>
      <c r="C934" s="40"/>
      <c r="D934" s="41"/>
      <c r="E934" s="41"/>
      <c r="F934" s="41"/>
      <c r="G934" s="41"/>
      <c r="H934" s="41"/>
    </row>
    <row r="935">
      <c r="A935" s="40"/>
      <c r="B935" s="41"/>
      <c r="C935" s="40"/>
      <c r="D935" s="41"/>
      <c r="E935" s="41"/>
      <c r="F935" s="41"/>
      <c r="G935" s="41"/>
      <c r="H935" s="41"/>
    </row>
    <row r="936">
      <c r="A936" s="40"/>
      <c r="B936" s="41"/>
      <c r="C936" s="40"/>
      <c r="D936" s="41"/>
      <c r="E936" s="41"/>
      <c r="F936" s="41"/>
      <c r="G936" s="41"/>
      <c r="H936" s="41"/>
    </row>
    <row r="937">
      <c r="A937" s="40"/>
      <c r="B937" s="41"/>
      <c r="C937" s="40"/>
      <c r="D937" s="41"/>
      <c r="E937" s="41"/>
      <c r="F937" s="41"/>
      <c r="G937" s="41"/>
      <c r="H937" s="41"/>
    </row>
    <row r="938">
      <c r="A938" s="40"/>
      <c r="B938" s="41"/>
      <c r="C938" s="40"/>
      <c r="D938" s="41"/>
      <c r="E938" s="41"/>
      <c r="F938" s="41"/>
      <c r="G938" s="41"/>
      <c r="H938" s="41"/>
    </row>
    <row r="939">
      <c r="A939" s="40"/>
      <c r="B939" s="41"/>
      <c r="C939" s="40"/>
      <c r="D939" s="41"/>
      <c r="E939" s="41"/>
      <c r="F939" s="41"/>
      <c r="G939" s="41"/>
      <c r="H939" s="41"/>
    </row>
    <row r="940">
      <c r="A940" s="40"/>
      <c r="B940" s="41"/>
      <c r="C940" s="40"/>
      <c r="D940" s="41"/>
      <c r="E940" s="41"/>
      <c r="F940" s="41"/>
      <c r="G940" s="41"/>
      <c r="H940" s="41"/>
    </row>
    <row r="941">
      <c r="A941" s="40"/>
      <c r="B941" s="41"/>
      <c r="C941" s="40"/>
      <c r="D941" s="41"/>
      <c r="E941" s="41"/>
      <c r="F941" s="41"/>
      <c r="G941" s="41"/>
      <c r="H941" s="41"/>
    </row>
    <row r="942">
      <c r="A942" s="40"/>
      <c r="B942" s="41"/>
      <c r="C942" s="40"/>
      <c r="D942" s="41"/>
      <c r="E942" s="41"/>
      <c r="F942" s="41"/>
      <c r="G942" s="41"/>
      <c r="H942" s="41"/>
    </row>
    <row r="943">
      <c r="A943" s="40"/>
      <c r="B943" s="41"/>
      <c r="C943" s="40"/>
      <c r="D943" s="41"/>
      <c r="E943" s="41"/>
      <c r="F943" s="41"/>
      <c r="G943" s="41"/>
      <c r="H943" s="41"/>
    </row>
    <row r="944">
      <c r="A944" s="40"/>
      <c r="B944" s="41"/>
      <c r="C944" s="40"/>
      <c r="D944" s="41"/>
      <c r="E944" s="41"/>
      <c r="F944" s="41"/>
      <c r="G944" s="41"/>
      <c r="H944" s="41"/>
    </row>
    <row r="945">
      <c r="A945" s="40"/>
      <c r="B945" s="41"/>
      <c r="C945" s="40"/>
      <c r="D945" s="41"/>
      <c r="E945" s="41"/>
      <c r="F945" s="41"/>
      <c r="G945" s="41"/>
      <c r="H945" s="41"/>
    </row>
    <row r="946">
      <c r="A946" s="40"/>
      <c r="B946" s="41"/>
      <c r="C946" s="40"/>
      <c r="D946" s="41"/>
      <c r="E946" s="41"/>
      <c r="F946" s="41"/>
      <c r="G946" s="41"/>
      <c r="H946" s="41"/>
    </row>
    <row r="947">
      <c r="A947" s="40"/>
      <c r="B947" s="41"/>
      <c r="C947" s="40"/>
      <c r="D947" s="41"/>
      <c r="E947" s="41"/>
      <c r="F947" s="41"/>
      <c r="G947" s="41"/>
      <c r="H947" s="41"/>
    </row>
    <row r="948">
      <c r="A948" s="40"/>
      <c r="B948" s="41"/>
      <c r="C948" s="40"/>
      <c r="D948" s="41"/>
      <c r="E948" s="41"/>
      <c r="F948" s="41"/>
      <c r="G948" s="41"/>
      <c r="H948" s="41"/>
    </row>
    <row r="949">
      <c r="A949" s="40"/>
      <c r="B949" s="41"/>
      <c r="C949" s="40"/>
      <c r="D949" s="41"/>
      <c r="E949" s="41"/>
      <c r="F949" s="41"/>
      <c r="G949" s="41"/>
      <c r="H949" s="41"/>
    </row>
    <row r="950">
      <c r="A950" s="40"/>
      <c r="B950" s="41"/>
      <c r="C950" s="40"/>
      <c r="D950" s="41"/>
      <c r="E950" s="41"/>
      <c r="F950" s="41"/>
      <c r="G950" s="41"/>
      <c r="H950" s="41"/>
    </row>
    <row r="951">
      <c r="A951" s="40"/>
      <c r="B951" s="41"/>
      <c r="C951" s="40"/>
      <c r="D951" s="41"/>
      <c r="E951" s="41"/>
      <c r="F951" s="41"/>
      <c r="G951" s="41"/>
      <c r="H951" s="41"/>
    </row>
    <row r="952">
      <c r="A952" s="40"/>
      <c r="B952" s="41"/>
      <c r="C952" s="40"/>
      <c r="D952" s="41"/>
      <c r="E952" s="41"/>
      <c r="F952" s="41"/>
      <c r="G952" s="41"/>
      <c r="H952" s="41"/>
    </row>
    <row r="953">
      <c r="A953" s="40"/>
      <c r="B953" s="41"/>
      <c r="C953" s="40"/>
      <c r="D953" s="41"/>
      <c r="E953" s="41"/>
      <c r="F953" s="41"/>
      <c r="G953" s="41"/>
      <c r="H953" s="41"/>
    </row>
    <row r="954">
      <c r="A954" s="40"/>
      <c r="B954" s="41"/>
      <c r="C954" s="40"/>
      <c r="D954" s="41"/>
      <c r="E954" s="41"/>
      <c r="F954" s="41"/>
      <c r="G954" s="41"/>
      <c r="H954" s="41"/>
    </row>
    <row r="955">
      <c r="A955" s="40"/>
      <c r="B955" s="41"/>
      <c r="C955" s="40"/>
      <c r="D955" s="41"/>
      <c r="E955" s="41"/>
      <c r="F955" s="41"/>
      <c r="G955" s="41"/>
      <c r="H955" s="41"/>
    </row>
    <row r="956">
      <c r="A956" s="40"/>
      <c r="B956" s="41"/>
      <c r="C956" s="40"/>
      <c r="D956" s="41"/>
      <c r="E956" s="41"/>
      <c r="F956" s="41"/>
      <c r="G956" s="41"/>
      <c r="H956" s="41"/>
    </row>
    <row r="957">
      <c r="A957" s="40"/>
      <c r="B957" s="41"/>
      <c r="C957" s="40"/>
      <c r="D957" s="41"/>
      <c r="E957" s="41"/>
      <c r="F957" s="41"/>
      <c r="G957" s="41"/>
      <c r="H957" s="41"/>
    </row>
    <row r="958">
      <c r="A958" s="40"/>
      <c r="B958" s="41"/>
      <c r="C958" s="40"/>
      <c r="D958" s="41"/>
      <c r="E958" s="41"/>
      <c r="F958" s="41"/>
      <c r="G958" s="41"/>
      <c r="H958" s="41"/>
    </row>
    <row r="959">
      <c r="A959" s="40"/>
      <c r="B959" s="41"/>
      <c r="C959" s="40"/>
      <c r="D959" s="41"/>
      <c r="E959" s="41"/>
      <c r="F959" s="41"/>
      <c r="G959" s="41"/>
      <c r="H959" s="41"/>
    </row>
    <row r="960">
      <c r="A960" s="40"/>
      <c r="B960" s="41"/>
      <c r="C960" s="40"/>
      <c r="D960" s="41"/>
      <c r="E960" s="41"/>
      <c r="F960" s="41"/>
      <c r="G960" s="41"/>
      <c r="H960" s="41"/>
    </row>
    <row r="961">
      <c r="A961" s="40"/>
      <c r="B961" s="41"/>
      <c r="C961" s="40"/>
      <c r="D961" s="41"/>
      <c r="E961" s="41"/>
      <c r="F961" s="41"/>
      <c r="G961" s="41"/>
      <c r="H961" s="41"/>
    </row>
    <row r="962">
      <c r="A962" s="40"/>
      <c r="B962" s="41"/>
      <c r="C962" s="40"/>
      <c r="D962" s="41"/>
      <c r="E962" s="41"/>
      <c r="F962" s="41"/>
      <c r="G962" s="41"/>
      <c r="H962" s="41"/>
    </row>
    <row r="963">
      <c r="A963" s="40"/>
      <c r="B963" s="41"/>
      <c r="C963" s="40"/>
      <c r="D963" s="41"/>
      <c r="E963" s="41"/>
      <c r="F963" s="41"/>
      <c r="G963" s="41"/>
      <c r="H963" s="41"/>
    </row>
    <row r="964">
      <c r="A964" s="40"/>
      <c r="B964" s="41"/>
      <c r="C964" s="40"/>
      <c r="D964" s="41"/>
      <c r="E964" s="41"/>
      <c r="F964" s="41"/>
      <c r="G964" s="41"/>
      <c r="H964" s="41"/>
    </row>
    <row r="965">
      <c r="A965" s="40"/>
      <c r="B965" s="41"/>
      <c r="C965" s="40"/>
      <c r="D965" s="41"/>
      <c r="E965" s="41"/>
      <c r="F965" s="41"/>
      <c r="G965" s="41"/>
      <c r="H965" s="41"/>
    </row>
    <row r="966">
      <c r="A966" s="40"/>
      <c r="B966" s="41"/>
      <c r="C966" s="40"/>
      <c r="D966" s="41"/>
      <c r="E966" s="41"/>
      <c r="F966" s="41"/>
      <c r="G966" s="41"/>
      <c r="H966" s="41"/>
    </row>
    <row r="967">
      <c r="A967" s="40"/>
      <c r="B967" s="41"/>
      <c r="C967" s="40"/>
      <c r="D967" s="41"/>
      <c r="E967" s="41"/>
      <c r="F967" s="41"/>
      <c r="G967" s="41"/>
      <c r="H967" s="41"/>
    </row>
    <row r="968">
      <c r="A968" s="40"/>
      <c r="B968" s="41"/>
      <c r="C968" s="40"/>
      <c r="D968" s="41"/>
      <c r="E968" s="41"/>
      <c r="F968" s="41"/>
      <c r="G968" s="41"/>
      <c r="H968" s="41"/>
    </row>
    <row r="969">
      <c r="A969" s="40"/>
      <c r="B969" s="41"/>
      <c r="C969" s="40"/>
      <c r="D969" s="41"/>
      <c r="E969" s="41"/>
      <c r="F969" s="41"/>
      <c r="G969" s="41"/>
      <c r="H969" s="41"/>
    </row>
    <row r="970">
      <c r="A970" s="40"/>
      <c r="B970" s="41"/>
      <c r="C970" s="40"/>
      <c r="D970" s="41"/>
      <c r="E970" s="41"/>
      <c r="F970" s="41"/>
      <c r="G970" s="41"/>
      <c r="H970" s="41"/>
    </row>
    <row r="971">
      <c r="A971" s="40"/>
      <c r="B971" s="41"/>
      <c r="C971" s="40"/>
      <c r="D971" s="41"/>
      <c r="E971" s="41"/>
      <c r="F971" s="41"/>
      <c r="G971" s="41"/>
      <c r="H971" s="41"/>
    </row>
    <row r="972">
      <c r="A972" s="40"/>
      <c r="B972" s="41"/>
      <c r="C972" s="40"/>
      <c r="D972" s="41"/>
      <c r="E972" s="41"/>
      <c r="F972" s="41"/>
      <c r="G972" s="41"/>
      <c r="H972" s="41"/>
    </row>
    <row r="973">
      <c r="A973" s="40"/>
      <c r="B973" s="41"/>
      <c r="C973" s="40"/>
      <c r="D973" s="41"/>
      <c r="E973" s="41"/>
      <c r="F973" s="41"/>
      <c r="G973" s="41"/>
      <c r="H973" s="41"/>
    </row>
    <row r="974">
      <c r="A974" s="40"/>
      <c r="B974" s="41"/>
      <c r="C974" s="40"/>
      <c r="D974" s="41"/>
      <c r="E974" s="41"/>
      <c r="F974" s="41"/>
      <c r="G974" s="41"/>
      <c r="H974" s="41"/>
    </row>
    <row r="975">
      <c r="A975" s="40"/>
      <c r="B975" s="41"/>
      <c r="C975" s="40"/>
      <c r="D975" s="41"/>
      <c r="E975" s="41"/>
      <c r="F975" s="41"/>
      <c r="G975" s="41"/>
      <c r="H975" s="41"/>
    </row>
    <row r="976">
      <c r="A976" s="40"/>
      <c r="B976" s="41"/>
      <c r="C976" s="40"/>
      <c r="D976" s="41"/>
      <c r="E976" s="41"/>
      <c r="F976" s="41"/>
      <c r="G976" s="41"/>
      <c r="H976" s="41"/>
    </row>
    <row r="977">
      <c r="A977" s="40"/>
      <c r="B977" s="41"/>
      <c r="C977" s="40"/>
      <c r="D977" s="41"/>
      <c r="E977" s="41"/>
      <c r="F977" s="41"/>
      <c r="G977" s="41"/>
      <c r="H977" s="41"/>
    </row>
    <row r="978">
      <c r="A978" s="40"/>
      <c r="B978" s="41"/>
      <c r="C978" s="40"/>
      <c r="D978" s="41"/>
      <c r="E978" s="41"/>
      <c r="F978" s="41"/>
      <c r="G978" s="41"/>
      <c r="H978" s="41"/>
    </row>
    <row r="979">
      <c r="A979" s="40"/>
      <c r="B979" s="41"/>
      <c r="C979" s="40"/>
      <c r="D979" s="41"/>
      <c r="E979" s="41"/>
      <c r="F979" s="41"/>
      <c r="G979" s="41"/>
      <c r="H979" s="41"/>
    </row>
    <row r="980">
      <c r="A980" s="40"/>
      <c r="B980" s="41"/>
      <c r="C980" s="40"/>
      <c r="D980" s="41"/>
      <c r="E980" s="41"/>
      <c r="F980" s="41"/>
      <c r="G980" s="41"/>
      <c r="H980" s="41"/>
    </row>
    <row r="981">
      <c r="A981" s="40"/>
      <c r="B981" s="41"/>
      <c r="C981" s="40"/>
      <c r="D981" s="41"/>
      <c r="E981" s="41"/>
      <c r="F981" s="41"/>
      <c r="G981" s="41"/>
      <c r="H981" s="41"/>
    </row>
    <row r="982">
      <c r="A982" s="40"/>
      <c r="B982" s="41"/>
      <c r="C982" s="40"/>
      <c r="D982" s="41"/>
      <c r="E982" s="41"/>
      <c r="F982" s="41"/>
      <c r="G982" s="41"/>
      <c r="H982" s="41"/>
    </row>
    <row r="983">
      <c r="A983" s="40"/>
      <c r="B983" s="41"/>
      <c r="C983" s="40"/>
      <c r="D983" s="41"/>
      <c r="E983" s="41"/>
      <c r="F983" s="41"/>
      <c r="G983" s="41"/>
      <c r="H983" s="41"/>
    </row>
    <row r="984">
      <c r="A984" s="40"/>
      <c r="B984" s="41"/>
      <c r="C984" s="40"/>
      <c r="D984" s="41"/>
      <c r="E984" s="41"/>
      <c r="F984" s="41"/>
      <c r="G984" s="41"/>
      <c r="H984" s="41"/>
    </row>
    <row r="985">
      <c r="A985" s="40"/>
      <c r="B985" s="41"/>
      <c r="C985" s="40"/>
      <c r="D985" s="41"/>
      <c r="E985" s="41"/>
      <c r="F985" s="41"/>
      <c r="G985" s="41"/>
      <c r="H985" s="41"/>
    </row>
    <row r="986">
      <c r="A986" s="40"/>
      <c r="B986" s="41"/>
      <c r="C986" s="40"/>
      <c r="D986" s="41"/>
      <c r="E986" s="41"/>
      <c r="F986" s="41"/>
      <c r="G986" s="41"/>
      <c r="H986" s="41"/>
    </row>
    <row r="987">
      <c r="A987" s="40"/>
      <c r="B987" s="41"/>
      <c r="C987" s="40"/>
      <c r="D987" s="41"/>
      <c r="E987" s="41"/>
      <c r="F987" s="41"/>
      <c r="G987" s="41"/>
      <c r="H987" s="41"/>
    </row>
    <row r="988">
      <c r="A988" s="40"/>
      <c r="B988" s="41"/>
      <c r="C988" s="40"/>
      <c r="D988" s="41"/>
      <c r="E988" s="41"/>
      <c r="F988" s="41"/>
      <c r="G988" s="41"/>
      <c r="H988" s="41"/>
    </row>
    <row r="989">
      <c r="A989" s="40"/>
      <c r="B989" s="41"/>
      <c r="C989" s="40"/>
      <c r="D989" s="41"/>
      <c r="E989" s="41"/>
      <c r="F989" s="41"/>
      <c r="G989" s="41"/>
      <c r="H989" s="41"/>
    </row>
    <row r="990">
      <c r="A990" s="40"/>
      <c r="B990" s="41"/>
      <c r="C990" s="40"/>
      <c r="D990" s="41"/>
      <c r="E990" s="41"/>
      <c r="F990" s="41"/>
      <c r="G990" s="41"/>
      <c r="H990" s="41"/>
    </row>
    <row r="991">
      <c r="A991" s="40"/>
      <c r="B991" s="41"/>
      <c r="C991" s="40"/>
      <c r="D991" s="41"/>
      <c r="E991" s="41"/>
      <c r="F991" s="41"/>
      <c r="G991" s="41"/>
      <c r="H991" s="41"/>
    </row>
    <row r="992">
      <c r="A992" s="40"/>
      <c r="B992" s="41"/>
      <c r="C992" s="40"/>
      <c r="D992" s="41"/>
      <c r="E992" s="41"/>
      <c r="F992" s="41"/>
      <c r="G992" s="41"/>
      <c r="H992" s="41"/>
    </row>
    <row r="993">
      <c r="A993" s="40"/>
      <c r="B993" s="41"/>
      <c r="C993" s="40"/>
      <c r="D993" s="41"/>
      <c r="E993" s="41"/>
      <c r="F993" s="41"/>
      <c r="G993" s="41"/>
      <c r="H993" s="41"/>
    </row>
    <row r="994">
      <c r="A994" s="40"/>
      <c r="B994" s="41"/>
      <c r="C994" s="40"/>
      <c r="D994" s="41"/>
      <c r="E994" s="41"/>
      <c r="F994" s="41"/>
      <c r="G994" s="41"/>
      <c r="H994" s="41"/>
    </row>
    <row r="995">
      <c r="A995" s="40"/>
      <c r="B995" s="41"/>
      <c r="C995" s="40"/>
      <c r="D995" s="41"/>
      <c r="E995" s="41"/>
      <c r="F995" s="41"/>
      <c r="G995" s="41"/>
      <c r="H995" s="41"/>
    </row>
    <row r="996">
      <c r="A996" s="40"/>
      <c r="B996" s="41"/>
      <c r="C996" s="40"/>
      <c r="D996" s="41"/>
      <c r="E996" s="41"/>
      <c r="F996" s="41"/>
      <c r="G996" s="41"/>
      <c r="H996" s="41"/>
    </row>
    <row r="997">
      <c r="A997" s="40"/>
      <c r="B997" s="41"/>
      <c r="C997" s="40"/>
      <c r="D997" s="41"/>
      <c r="E997" s="41"/>
      <c r="F997" s="41"/>
      <c r="G997" s="41"/>
      <c r="H997" s="41"/>
    </row>
    <row r="998">
      <c r="A998" s="40"/>
      <c r="B998" s="41"/>
      <c r="C998" s="40"/>
      <c r="D998" s="41"/>
      <c r="E998" s="41"/>
      <c r="F998" s="41"/>
      <c r="G998" s="41"/>
      <c r="H998" s="41"/>
    </row>
    <row r="999">
      <c r="A999" s="40"/>
      <c r="B999" s="41"/>
      <c r="C999" s="40"/>
      <c r="D999" s="41"/>
      <c r="E999" s="41"/>
      <c r="F999" s="41"/>
      <c r="G999" s="41"/>
      <c r="H999" s="41"/>
    </row>
    <row r="1000">
      <c r="A1000" s="40"/>
      <c r="B1000" s="41"/>
      <c r="C1000" s="40"/>
      <c r="D1000" s="41"/>
      <c r="E1000" s="41"/>
      <c r="F1000" s="41"/>
      <c r="G1000" s="41"/>
      <c r="H1000" s="41"/>
    </row>
    <row r="1001">
      <c r="A1001" s="40"/>
      <c r="B1001" s="41"/>
      <c r="C1001" s="40"/>
      <c r="D1001" s="41"/>
      <c r="E1001" s="41"/>
      <c r="F1001" s="41"/>
      <c r="G1001" s="41"/>
      <c r="H1001" s="41"/>
    </row>
    <row r="1002">
      <c r="A1002" s="40"/>
      <c r="B1002" s="41"/>
      <c r="C1002" s="40"/>
      <c r="D1002" s="41"/>
      <c r="E1002" s="41"/>
      <c r="F1002" s="41"/>
      <c r="G1002" s="41"/>
      <c r="H1002" s="41"/>
    </row>
    <row r="1003">
      <c r="A1003" s="40"/>
      <c r="B1003" s="41"/>
      <c r="C1003" s="40"/>
      <c r="D1003" s="41"/>
      <c r="E1003" s="41"/>
      <c r="F1003" s="41"/>
      <c r="G1003" s="41"/>
      <c r="H1003" s="41"/>
    </row>
    <row r="1004">
      <c r="A1004" s="40"/>
      <c r="B1004" s="41"/>
      <c r="C1004" s="40"/>
      <c r="D1004" s="41"/>
      <c r="E1004" s="41"/>
      <c r="F1004" s="41"/>
      <c r="G1004" s="41"/>
      <c r="H1004" s="41"/>
    </row>
    <row r="1005">
      <c r="A1005" s="40"/>
      <c r="B1005" s="41"/>
      <c r="C1005" s="40"/>
      <c r="D1005" s="41"/>
      <c r="E1005" s="41"/>
      <c r="F1005" s="41"/>
      <c r="G1005" s="41"/>
      <c r="H1005" s="41"/>
    </row>
    <row r="1006">
      <c r="A1006" s="40"/>
      <c r="B1006" s="41"/>
      <c r="C1006" s="40"/>
      <c r="D1006" s="41"/>
      <c r="E1006" s="41"/>
      <c r="F1006" s="41"/>
      <c r="G1006" s="41"/>
      <c r="H1006" s="41"/>
    </row>
    <row r="1007">
      <c r="A1007" s="40"/>
      <c r="B1007" s="41"/>
      <c r="C1007" s="40"/>
      <c r="D1007" s="41"/>
      <c r="E1007" s="41"/>
      <c r="F1007" s="41"/>
      <c r="G1007" s="41"/>
      <c r="H1007" s="41"/>
    </row>
    <row r="1008">
      <c r="A1008" s="40"/>
      <c r="B1008" s="41"/>
      <c r="C1008" s="40"/>
      <c r="D1008" s="41"/>
      <c r="E1008" s="41"/>
      <c r="F1008" s="41"/>
      <c r="G1008" s="41"/>
      <c r="H1008" s="41"/>
    </row>
    <row r="1009">
      <c r="A1009" s="40"/>
      <c r="B1009" s="41"/>
      <c r="C1009" s="40"/>
      <c r="D1009" s="41"/>
      <c r="E1009" s="41"/>
      <c r="F1009" s="41"/>
      <c r="G1009" s="41"/>
      <c r="H1009" s="41"/>
    </row>
    <row r="1010">
      <c r="A1010" s="40"/>
      <c r="B1010" s="41"/>
      <c r="C1010" s="40"/>
      <c r="D1010" s="41"/>
      <c r="E1010" s="41"/>
      <c r="F1010" s="41"/>
      <c r="G1010" s="41"/>
      <c r="H1010" s="41"/>
    </row>
    <row r="1011">
      <c r="A1011" s="40"/>
      <c r="B1011" s="41"/>
      <c r="C1011" s="40"/>
      <c r="D1011" s="41"/>
      <c r="E1011" s="41"/>
      <c r="F1011" s="41"/>
      <c r="G1011" s="41"/>
      <c r="H1011" s="41"/>
    </row>
    <row r="1012">
      <c r="A1012" s="40"/>
      <c r="B1012" s="41"/>
      <c r="C1012" s="40"/>
      <c r="D1012" s="41"/>
      <c r="E1012" s="41"/>
      <c r="F1012" s="41"/>
      <c r="G1012" s="41"/>
      <c r="H1012" s="41"/>
    </row>
    <row r="1013">
      <c r="A1013" s="40"/>
      <c r="B1013" s="41"/>
      <c r="C1013" s="40"/>
      <c r="D1013" s="41"/>
      <c r="E1013" s="41"/>
      <c r="F1013" s="41"/>
      <c r="G1013" s="41"/>
      <c r="H1013" s="41"/>
    </row>
    <row r="1014">
      <c r="A1014" s="40"/>
      <c r="B1014" s="41"/>
      <c r="C1014" s="40"/>
      <c r="D1014" s="41"/>
      <c r="E1014" s="41"/>
      <c r="F1014" s="41"/>
      <c r="G1014" s="41"/>
      <c r="H1014" s="41"/>
    </row>
    <row r="1015">
      <c r="A1015" s="40"/>
      <c r="B1015" s="41"/>
      <c r="C1015" s="40"/>
      <c r="D1015" s="41"/>
      <c r="E1015" s="41"/>
      <c r="F1015" s="41"/>
      <c r="G1015" s="41"/>
      <c r="H1015" s="41"/>
    </row>
    <row r="1016">
      <c r="A1016" s="40"/>
      <c r="B1016" s="41"/>
      <c r="C1016" s="40"/>
      <c r="D1016" s="41"/>
      <c r="E1016" s="41"/>
      <c r="F1016" s="41"/>
      <c r="G1016" s="41"/>
      <c r="H1016" s="41"/>
    </row>
    <row r="1017">
      <c r="A1017" s="40"/>
      <c r="B1017" s="41"/>
      <c r="C1017" s="40"/>
      <c r="D1017" s="41"/>
      <c r="E1017" s="41"/>
      <c r="F1017" s="41"/>
      <c r="G1017" s="41"/>
      <c r="H1017" s="41"/>
    </row>
    <row r="1018">
      <c r="A1018" s="40"/>
      <c r="B1018" s="41"/>
      <c r="C1018" s="40"/>
      <c r="D1018" s="41"/>
      <c r="E1018" s="41"/>
      <c r="F1018" s="41"/>
      <c r="G1018" s="41"/>
      <c r="H1018" s="41"/>
    </row>
    <row r="1019">
      <c r="A1019" s="40"/>
      <c r="B1019" s="41"/>
      <c r="C1019" s="40"/>
      <c r="D1019" s="41"/>
      <c r="E1019" s="41"/>
      <c r="F1019" s="41"/>
      <c r="G1019" s="41"/>
      <c r="H1019" s="41"/>
    </row>
    <row r="1020">
      <c r="A1020" s="40"/>
      <c r="B1020" s="41"/>
      <c r="C1020" s="40"/>
      <c r="D1020" s="41"/>
      <c r="E1020" s="41"/>
      <c r="F1020" s="41"/>
      <c r="G1020" s="41"/>
      <c r="H1020" s="41"/>
    </row>
    <row r="1021">
      <c r="A1021" s="40"/>
      <c r="B1021" s="41"/>
      <c r="C1021" s="40"/>
      <c r="D1021" s="41"/>
      <c r="E1021" s="41"/>
      <c r="F1021" s="41"/>
      <c r="G1021" s="41"/>
      <c r="H1021" s="41"/>
    </row>
    <row r="1022">
      <c r="A1022" s="40"/>
      <c r="B1022" s="41"/>
      <c r="C1022" s="40"/>
      <c r="D1022" s="41"/>
      <c r="E1022" s="41"/>
      <c r="F1022" s="41"/>
      <c r="G1022" s="41"/>
      <c r="H1022" s="41"/>
    </row>
    <row r="1023">
      <c r="A1023" s="40"/>
      <c r="B1023" s="41"/>
      <c r="C1023" s="40"/>
      <c r="D1023" s="41"/>
      <c r="E1023" s="41"/>
      <c r="F1023" s="41"/>
      <c r="G1023" s="41"/>
      <c r="H1023" s="41"/>
    </row>
    <row r="1024">
      <c r="A1024" s="40"/>
      <c r="B1024" s="41"/>
      <c r="C1024" s="40"/>
      <c r="D1024" s="41"/>
      <c r="E1024" s="41"/>
      <c r="F1024" s="41"/>
      <c r="G1024" s="41"/>
      <c r="H1024" s="41"/>
    </row>
    <row r="1025">
      <c r="A1025" s="40"/>
      <c r="B1025" s="41"/>
      <c r="C1025" s="40"/>
      <c r="D1025" s="41"/>
      <c r="E1025" s="41"/>
      <c r="F1025" s="41"/>
      <c r="G1025" s="41"/>
      <c r="H1025" s="41"/>
    </row>
    <row r="1026">
      <c r="A1026" s="40"/>
      <c r="B1026" s="41"/>
      <c r="C1026" s="40"/>
      <c r="D1026" s="41"/>
      <c r="E1026" s="41"/>
      <c r="F1026" s="41"/>
      <c r="G1026" s="41"/>
      <c r="H1026" s="41"/>
    </row>
    <row r="1027">
      <c r="A1027" s="40"/>
      <c r="B1027" s="41"/>
      <c r="C1027" s="40"/>
      <c r="D1027" s="41"/>
      <c r="E1027" s="41"/>
      <c r="F1027" s="41"/>
      <c r="G1027" s="41"/>
      <c r="H1027" s="41"/>
    </row>
    <row r="1028">
      <c r="A1028" s="40"/>
      <c r="B1028" s="41"/>
      <c r="C1028" s="40"/>
      <c r="D1028" s="41"/>
      <c r="E1028" s="41"/>
      <c r="F1028" s="41"/>
      <c r="G1028" s="41"/>
      <c r="H1028" s="41"/>
    </row>
    <row r="1029">
      <c r="A1029" s="40"/>
      <c r="B1029" s="41"/>
      <c r="C1029" s="40"/>
      <c r="D1029" s="41"/>
      <c r="E1029" s="41"/>
      <c r="F1029" s="41"/>
      <c r="G1029" s="41"/>
      <c r="H1029" s="41"/>
    </row>
    <row r="1030">
      <c r="A1030" s="40"/>
      <c r="B1030" s="41"/>
      <c r="C1030" s="40"/>
      <c r="D1030" s="41"/>
      <c r="E1030" s="41"/>
      <c r="F1030" s="41"/>
      <c r="G1030" s="41"/>
      <c r="H1030" s="41"/>
    </row>
    <row r="1031">
      <c r="A1031" s="40"/>
      <c r="B1031" s="41"/>
      <c r="C1031" s="40"/>
      <c r="D1031" s="41"/>
      <c r="E1031" s="41"/>
      <c r="F1031" s="41"/>
      <c r="G1031" s="41"/>
      <c r="H1031" s="41"/>
    </row>
    <row r="1032">
      <c r="A1032" s="40"/>
      <c r="B1032" s="41"/>
      <c r="C1032" s="40"/>
      <c r="D1032" s="41"/>
      <c r="E1032" s="41"/>
      <c r="F1032" s="41"/>
      <c r="G1032" s="41"/>
      <c r="H1032" s="41"/>
    </row>
    <row r="1033">
      <c r="A1033" s="40"/>
      <c r="B1033" s="41"/>
      <c r="C1033" s="40"/>
      <c r="D1033" s="41"/>
      <c r="E1033" s="41"/>
      <c r="F1033" s="41"/>
      <c r="G1033" s="41"/>
      <c r="H1033" s="41"/>
    </row>
    <row r="1034">
      <c r="A1034" s="40"/>
      <c r="B1034" s="41"/>
      <c r="C1034" s="40"/>
      <c r="D1034" s="41"/>
      <c r="E1034" s="41"/>
      <c r="F1034" s="41"/>
      <c r="G1034" s="41"/>
      <c r="H1034" s="41"/>
    </row>
    <row r="1035">
      <c r="A1035" s="40"/>
      <c r="B1035" s="41"/>
      <c r="C1035" s="40"/>
      <c r="D1035" s="41"/>
      <c r="E1035" s="41"/>
      <c r="F1035" s="41"/>
      <c r="G1035" s="41"/>
      <c r="H1035" s="41"/>
    </row>
    <row r="1036">
      <c r="A1036" s="40"/>
      <c r="B1036" s="41"/>
      <c r="C1036" s="40"/>
      <c r="D1036" s="41"/>
      <c r="E1036" s="41"/>
      <c r="F1036" s="41"/>
      <c r="G1036" s="41"/>
      <c r="H1036" s="41"/>
    </row>
    <row r="1037">
      <c r="A1037" s="40"/>
      <c r="B1037" s="41"/>
      <c r="C1037" s="40"/>
      <c r="D1037" s="41"/>
      <c r="E1037" s="41"/>
      <c r="F1037" s="41"/>
      <c r="G1037" s="41"/>
      <c r="H1037" s="41"/>
    </row>
    <row r="1038">
      <c r="A1038" s="40"/>
      <c r="B1038" s="41"/>
      <c r="C1038" s="40"/>
      <c r="D1038" s="41"/>
      <c r="E1038" s="41"/>
      <c r="F1038" s="41"/>
      <c r="G1038" s="41"/>
      <c r="H1038" s="41"/>
    </row>
    <row r="1039">
      <c r="A1039" s="40"/>
      <c r="B1039" s="41"/>
      <c r="C1039" s="40"/>
      <c r="D1039" s="41"/>
      <c r="E1039" s="41"/>
      <c r="F1039" s="41"/>
      <c r="G1039" s="41"/>
      <c r="H1039" s="41"/>
    </row>
    <row r="1040">
      <c r="A1040" s="40"/>
      <c r="B1040" s="41"/>
      <c r="C1040" s="40"/>
      <c r="D1040" s="41"/>
      <c r="E1040" s="41"/>
      <c r="F1040" s="41"/>
      <c r="G1040" s="41"/>
      <c r="H1040" s="41"/>
    </row>
    <row r="1041">
      <c r="A1041" s="40"/>
      <c r="B1041" s="41"/>
      <c r="C1041" s="40"/>
      <c r="D1041" s="41"/>
      <c r="E1041" s="41"/>
      <c r="F1041" s="41"/>
      <c r="G1041" s="41"/>
      <c r="H1041" s="41"/>
    </row>
    <row r="1042">
      <c r="A1042" s="40"/>
      <c r="B1042" s="41"/>
      <c r="C1042" s="40"/>
      <c r="D1042" s="41"/>
      <c r="E1042" s="41"/>
      <c r="F1042" s="41"/>
      <c r="G1042" s="41"/>
      <c r="H1042" s="41"/>
    </row>
    <row r="1043">
      <c r="A1043" s="40"/>
      <c r="B1043" s="41"/>
      <c r="C1043" s="40"/>
      <c r="D1043" s="41"/>
      <c r="E1043" s="41"/>
      <c r="F1043" s="41"/>
      <c r="G1043" s="41"/>
      <c r="H1043" s="41"/>
    </row>
    <row r="1044">
      <c r="A1044" s="40"/>
      <c r="B1044" s="41"/>
      <c r="C1044" s="40"/>
      <c r="D1044" s="41"/>
      <c r="E1044" s="41"/>
      <c r="F1044" s="41"/>
      <c r="G1044" s="41"/>
      <c r="H1044" s="41"/>
    </row>
    <row r="1045">
      <c r="A1045" s="40"/>
      <c r="B1045" s="41"/>
      <c r="C1045" s="40"/>
      <c r="D1045" s="41"/>
      <c r="E1045" s="41"/>
      <c r="F1045" s="41"/>
      <c r="G1045" s="41"/>
      <c r="H1045" s="41"/>
    </row>
    <row r="1046">
      <c r="A1046" s="40"/>
      <c r="B1046" s="41"/>
      <c r="C1046" s="40"/>
      <c r="D1046" s="41"/>
      <c r="E1046" s="41"/>
      <c r="F1046" s="41"/>
      <c r="G1046" s="41"/>
      <c r="H1046" s="41"/>
    </row>
    <row r="1047">
      <c r="A1047" s="40"/>
      <c r="B1047" s="41"/>
      <c r="C1047" s="40"/>
      <c r="D1047" s="41"/>
      <c r="E1047" s="41"/>
      <c r="F1047" s="41"/>
      <c r="G1047" s="41"/>
      <c r="H1047" s="41"/>
    </row>
    <row r="1048">
      <c r="A1048" s="40"/>
      <c r="B1048" s="41"/>
      <c r="C1048" s="40"/>
      <c r="D1048" s="41"/>
      <c r="E1048" s="41"/>
      <c r="F1048" s="41"/>
      <c r="G1048" s="41"/>
      <c r="H1048" s="41"/>
    </row>
    <row r="1049">
      <c r="A1049" s="40"/>
      <c r="B1049" s="41"/>
      <c r="C1049" s="40"/>
      <c r="D1049" s="41"/>
      <c r="E1049" s="41"/>
      <c r="F1049" s="41"/>
      <c r="G1049" s="41"/>
      <c r="H1049" s="41"/>
    </row>
    <row r="1050">
      <c r="A1050" s="40"/>
      <c r="B1050" s="41"/>
      <c r="C1050" s="40"/>
      <c r="D1050" s="41"/>
      <c r="E1050" s="41"/>
      <c r="F1050" s="41"/>
      <c r="G1050" s="41"/>
      <c r="H1050" s="41"/>
    </row>
    <row r="1051">
      <c r="A1051" s="40"/>
      <c r="B1051" s="41"/>
      <c r="C1051" s="40"/>
      <c r="D1051" s="41"/>
      <c r="E1051" s="41"/>
      <c r="F1051" s="41"/>
      <c r="G1051" s="41"/>
      <c r="H1051" s="41"/>
    </row>
    <row r="1052">
      <c r="A1052" s="40"/>
      <c r="B1052" s="41"/>
      <c r="C1052" s="40"/>
      <c r="D1052" s="41"/>
      <c r="E1052" s="41"/>
      <c r="F1052" s="41"/>
      <c r="G1052" s="41"/>
      <c r="H1052" s="41"/>
    </row>
    <row r="1053">
      <c r="A1053" s="40"/>
      <c r="B1053" s="41"/>
      <c r="C1053" s="40"/>
      <c r="D1053" s="41"/>
      <c r="E1053" s="41"/>
      <c r="F1053" s="41"/>
      <c r="G1053" s="41"/>
      <c r="H1053" s="41"/>
    </row>
    <row r="1054">
      <c r="A1054" s="40"/>
      <c r="B1054" s="41"/>
      <c r="C1054" s="40"/>
      <c r="D1054" s="41"/>
      <c r="E1054" s="41"/>
      <c r="F1054" s="41"/>
      <c r="G1054" s="41"/>
      <c r="H1054" s="41"/>
    </row>
    <row r="1055">
      <c r="A1055" s="40"/>
      <c r="B1055" s="41"/>
      <c r="C1055" s="40"/>
      <c r="D1055" s="41"/>
      <c r="E1055" s="41"/>
      <c r="F1055" s="41"/>
      <c r="G1055" s="41"/>
      <c r="H1055" s="41"/>
    </row>
    <row r="1056">
      <c r="A1056" s="40"/>
      <c r="B1056" s="41"/>
      <c r="C1056" s="40"/>
      <c r="D1056" s="41"/>
      <c r="E1056" s="41"/>
      <c r="F1056" s="41"/>
      <c r="G1056" s="41"/>
      <c r="H1056" s="41"/>
    </row>
    <row r="1057">
      <c r="A1057" s="40"/>
      <c r="B1057" s="41"/>
      <c r="C1057" s="40"/>
      <c r="D1057" s="41"/>
      <c r="E1057" s="41"/>
      <c r="F1057" s="41"/>
      <c r="G1057" s="41"/>
      <c r="H1057" s="41"/>
    </row>
    <row r="1058">
      <c r="A1058" s="40"/>
      <c r="B1058" s="41"/>
      <c r="C1058" s="40"/>
      <c r="D1058" s="41"/>
      <c r="E1058" s="41"/>
      <c r="F1058" s="41"/>
      <c r="G1058" s="41"/>
      <c r="H1058" s="41"/>
    </row>
    <row r="1059">
      <c r="A1059" s="40"/>
      <c r="B1059" s="41"/>
      <c r="C1059" s="40"/>
      <c r="D1059" s="41"/>
      <c r="E1059" s="41"/>
      <c r="F1059" s="41"/>
      <c r="G1059" s="41"/>
      <c r="H1059" s="41"/>
    </row>
    <row r="1060">
      <c r="A1060" s="40"/>
      <c r="B1060" s="41"/>
      <c r="C1060" s="40"/>
      <c r="D1060" s="41"/>
      <c r="E1060" s="41"/>
      <c r="F1060" s="41"/>
      <c r="G1060" s="41"/>
      <c r="H1060" s="41"/>
    </row>
    <row r="1061">
      <c r="A1061" s="40"/>
      <c r="B1061" s="41"/>
      <c r="C1061" s="40"/>
      <c r="D1061" s="41"/>
      <c r="E1061" s="41"/>
      <c r="F1061" s="41"/>
      <c r="G1061" s="41"/>
      <c r="H1061" s="41"/>
    </row>
    <row r="1062">
      <c r="A1062" s="40"/>
      <c r="B1062" s="41"/>
      <c r="C1062" s="40"/>
      <c r="D1062" s="41"/>
      <c r="E1062" s="41"/>
      <c r="F1062" s="41"/>
      <c r="G1062" s="41"/>
      <c r="H1062" s="41"/>
    </row>
    <row r="1063">
      <c r="A1063" s="40"/>
      <c r="B1063" s="41"/>
      <c r="C1063" s="40"/>
      <c r="D1063" s="41"/>
      <c r="E1063" s="41"/>
      <c r="F1063" s="41"/>
      <c r="G1063" s="41"/>
      <c r="H1063" s="41"/>
    </row>
    <row r="1064">
      <c r="A1064" s="40"/>
      <c r="B1064" s="41"/>
      <c r="C1064" s="40"/>
      <c r="D1064" s="41"/>
      <c r="E1064" s="41"/>
      <c r="F1064" s="41"/>
      <c r="G1064" s="41"/>
      <c r="H1064" s="41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47"/>
  <tableParts count="1">
    <tablePart r:id="rId14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38"/>
    <col customWidth="1" min="2" max="2" width="42.63"/>
    <col customWidth="1" min="3" max="3" width="14.13"/>
    <col customWidth="1" min="4" max="4" width="15.5"/>
    <col customWidth="1" min="5" max="6" width="18.13"/>
    <col customWidth="1" min="7" max="7" width="14.0"/>
    <col customWidth="1" min="8" max="8" width="13.63"/>
  </cols>
  <sheetData>
    <row r="1" ht="22.5" customHeight="1">
      <c r="A1" s="18" t="s">
        <v>275</v>
      </c>
      <c r="B1" s="19" t="s">
        <v>6</v>
      </c>
      <c r="C1" s="19" t="s">
        <v>92</v>
      </c>
      <c r="D1" s="19" t="s">
        <v>276</v>
      </c>
      <c r="E1" s="42" t="s">
        <v>93</v>
      </c>
      <c r="F1" s="19" t="s">
        <v>94</v>
      </c>
      <c r="G1" s="19" t="s">
        <v>95</v>
      </c>
      <c r="H1" s="19" t="s">
        <v>96</v>
      </c>
    </row>
    <row r="2" ht="22.5" customHeight="1">
      <c r="A2" s="20" t="str">
        <f t="array" ref="A2:A378">BYROW(ตาราง1_2[[รายการสินค้า]:[ขนาด]], LAMBDA(row, TEXTJOIN("-", TRUE, row)))</f>
        <v>STAINLESS STEEL PIPE -สแตนเลส-แป๊ปสแตนเลสเหลี่ยม </v>
      </c>
      <c r="B2" s="19" t="s">
        <v>277</v>
      </c>
      <c r="C2" s="21" t="s">
        <v>99</v>
      </c>
      <c r="D2" s="19" t="s">
        <v>278</v>
      </c>
      <c r="E2" s="19">
        <v>360.0</v>
      </c>
      <c r="F2" s="29" t="s">
        <v>279</v>
      </c>
      <c r="G2" s="19" t="str">
        <f t="array" ref="G2:G4">MAP(ตาราง1_2[SKU],LAMBDA(sku,LET(in,SUMIFS('รับเข้า-เบิก'!H:H,'รับเข้า-เบิก'!G:G,sku,'รับเข้า-เบิก'!I:I,"รับเข้า"),out,SUMIFS('รับเข้า-เบิก'!H:H,'รับเข้า-เบิก'!G:G,sku,'รับเข้า-เบิก'!I:I,"เบิกออก"),IF(in-out=0,"",in-out))))</f>
        <v>#REF!</v>
      </c>
      <c r="H2" s="21">
        <f t="array" ref="H2:H378">MAP(ตาราง1_2[SKU],LAMBDA(sku,SUMIFS('รับเข้า-เบิก'!H:H,'รับเข้า-เบิก'!G:G,sku,'รับเข้า-เบิก'!I:I,"รับเข้า")))</f>
        <v>0</v>
      </c>
    </row>
    <row r="3" ht="22.5" customHeight="1">
      <c r="A3" s="18" t="s">
        <v>12</v>
      </c>
      <c r="B3" s="19" t="s">
        <v>280</v>
      </c>
      <c r="C3" s="21" t="s">
        <v>99</v>
      </c>
      <c r="D3" s="19" t="s">
        <v>281</v>
      </c>
      <c r="E3" s="19">
        <v>430.0</v>
      </c>
      <c r="F3" s="29" t="s">
        <v>282</v>
      </c>
      <c r="G3" s="21"/>
      <c r="H3" s="21">
        <v>0.0</v>
      </c>
    </row>
    <row r="4" ht="22.5" customHeight="1">
      <c r="A4" s="20" t="s">
        <v>15</v>
      </c>
      <c r="B4" s="19" t="s">
        <v>283</v>
      </c>
      <c r="C4" s="21" t="s">
        <v>99</v>
      </c>
      <c r="D4" s="21"/>
      <c r="E4" s="19">
        <v>750.0</v>
      </c>
      <c r="F4" s="29" t="s">
        <v>284</v>
      </c>
      <c r="G4" s="19">
        <v>6.0</v>
      </c>
      <c r="H4" s="21">
        <v>6.0</v>
      </c>
    </row>
    <row r="5" ht="22.5" customHeight="1">
      <c r="A5" s="18" t="s">
        <v>16</v>
      </c>
      <c r="B5" s="19" t="s">
        <v>285</v>
      </c>
      <c r="C5" s="21" t="s">
        <v>99</v>
      </c>
      <c r="D5" s="19"/>
      <c r="E5" s="19">
        <v>1450.0</v>
      </c>
      <c r="F5" s="43" t="s">
        <v>286</v>
      </c>
      <c r="G5" s="19">
        <v>6.0</v>
      </c>
      <c r="H5" s="21">
        <v>6.0</v>
      </c>
    </row>
    <row r="6" ht="22.5" customHeight="1">
      <c r="A6" s="18" t="s">
        <v>17</v>
      </c>
      <c r="B6" s="19" t="s">
        <v>287</v>
      </c>
      <c r="C6" s="21" t="s">
        <v>99</v>
      </c>
      <c r="D6" s="19"/>
      <c r="E6" s="19">
        <v>1450.0</v>
      </c>
      <c r="F6" s="43" t="s">
        <v>288</v>
      </c>
      <c r="G6" s="19">
        <v>2.0</v>
      </c>
      <c r="H6" s="21">
        <v>2.0</v>
      </c>
    </row>
    <row r="7" ht="22.5" customHeight="1">
      <c r="A7" s="18" t="s">
        <v>18</v>
      </c>
      <c r="B7" s="19" t="s">
        <v>289</v>
      </c>
      <c r="C7" s="21" t="s">
        <v>99</v>
      </c>
      <c r="D7" s="19"/>
      <c r="E7" s="19">
        <v>1450.0</v>
      </c>
      <c r="F7" s="43" t="s">
        <v>290</v>
      </c>
      <c r="G7" s="19">
        <v>6.0</v>
      </c>
      <c r="H7" s="21">
        <v>6.0</v>
      </c>
    </row>
    <row r="8" ht="22.5" customHeight="1">
      <c r="A8" s="25" t="s">
        <v>291</v>
      </c>
      <c r="B8" s="26" t="s">
        <v>292</v>
      </c>
      <c r="C8" s="21" t="s">
        <v>99</v>
      </c>
      <c r="D8" s="28"/>
      <c r="E8" s="19">
        <v>3500.0</v>
      </c>
      <c r="F8" s="30" t="s">
        <v>293</v>
      </c>
      <c r="G8" s="44"/>
      <c r="H8" s="28">
        <v>0.0</v>
      </c>
    </row>
    <row r="9" ht="22.5" customHeight="1">
      <c r="A9" s="18" t="s">
        <v>19</v>
      </c>
      <c r="B9" s="19" t="s">
        <v>294</v>
      </c>
      <c r="C9" s="21" t="s">
        <v>99</v>
      </c>
      <c r="D9" s="19"/>
      <c r="E9" s="19">
        <v>175.0</v>
      </c>
      <c r="F9" s="43" t="s">
        <v>295</v>
      </c>
      <c r="G9" s="19">
        <v>6.0</v>
      </c>
      <c r="H9" s="21">
        <v>6.0</v>
      </c>
    </row>
    <row r="10" ht="22.5" customHeight="1">
      <c r="A10" s="18" t="s">
        <v>20</v>
      </c>
      <c r="B10" s="19" t="s">
        <v>296</v>
      </c>
      <c r="C10" s="21" t="s">
        <v>99</v>
      </c>
      <c r="D10" s="19"/>
      <c r="E10" s="19">
        <v>288.0</v>
      </c>
      <c r="F10" s="43" t="s">
        <v>297</v>
      </c>
      <c r="G10" s="19">
        <v>21.0</v>
      </c>
      <c r="H10" s="21">
        <v>21.0</v>
      </c>
    </row>
    <row r="11" ht="22.5" customHeight="1">
      <c r="A11" s="18" t="s">
        <v>21</v>
      </c>
      <c r="B11" s="19" t="s">
        <v>298</v>
      </c>
      <c r="C11" s="21" t="s">
        <v>99</v>
      </c>
      <c r="D11" s="19"/>
      <c r="E11" s="19">
        <v>288.0</v>
      </c>
      <c r="F11" s="43" t="s">
        <v>299</v>
      </c>
      <c r="G11" s="19">
        <v>25.0</v>
      </c>
      <c r="H11" s="21">
        <v>25.0</v>
      </c>
    </row>
    <row r="12" ht="22.5" customHeight="1">
      <c r="A12" s="18" t="s">
        <v>22</v>
      </c>
      <c r="B12" s="19" t="s">
        <v>300</v>
      </c>
      <c r="C12" s="21" t="s">
        <v>99</v>
      </c>
      <c r="D12" s="19" t="s">
        <v>301</v>
      </c>
      <c r="E12" s="19">
        <v>378.0</v>
      </c>
      <c r="F12" s="29" t="s">
        <v>302</v>
      </c>
      <c r="G12" s="21"/>
      <c r="H12" s="21">
        <v>5.0</v>
      </c>
    </row>
    <row r="13" ht="22.5" customHeight="1">
      <c r="A13" s="18" t="s">
        <v>23</v>
      </c>
      <c r="B13" s="19" t="s">
        <v>303</v>
      </c>
      <c r="C13" s="21" t="s">
        <v>99</v>
      </c>
      <c r="D13" s="19"/>
      <c r="E13" s="19">
        <v>450.0</v>
      </c>
      <c r="F13" s="43" t="s">
        <v>304</v>
      </c>
      <c r="G13" s="21"/>
      <c r="H13" s="21">
        <v>9.0</v>
      </c>
    </row>
    <row r="14" ht="22.5" customHeight="1">
      <c r="A14" s="18" t="s">
        <v>24</v>
      </c>
      <c r="B14" s="19" t="s">
        <v>305</v>
      </c>
      <c r="C14" s="21" t="s">
        <v>99</v>
      </c>
      <c r="D14" s="19"/>
      <c r="E14" s="19">
        <v>468.0</v>
      </c>
      <c r="F14" s="43" t="s">
        <v>306</v>
      </c>
      <c r="G14" s="19">
        <v>3.0</v>
      </c>
      <c r="H14" s="21">
        <v>3.0</v>
      </c>
    </row>
    <row r="15" ht="22.5" customHeight="1">
      <c r="A15" s="18" t="s">
        <v>307</v>
      </c>
      <c r="B15" s="19" t="s">
        <v>308</v>
      </c>
      <c r="C15" s="21" t="s">
        <v>99</v>
      </c>
      <c r="D15" s="19" t="s">
        <v>301</v>
      </c>
      <c r="E15" s="19">
        <v>585.0</v>
      </c>
      <c r="F15" s="43" t="s">
        <v>309</v>
      </c>
      <c r="G15" s="21"/>
      <c r="H15" s="21">
        <v>0.0</v>
      </c>
    </row>
    <row r="16" ht="22.5" customHeight="1">
      <c r="A16" s="18" t="s">
        <v>310</v>
      </c>
      <c r="B16" s="19" t="s">
        <v>311</v>
      </c>
      <c r="C16" s="21" t="s">
        <v>99</v>
      </c>
      <c r="D16" s="19" t="s">
        <v>312</v>
      </c>
      <c r="E16" s="19">
        <v>505.0</v>
      </c>
      <c r="F16" s="29" t="s">
        <v>313</v>
      </c>
      <c r="G16" s="21"/>
      <c r="H16" s="21">
        <v>0.0</v>
      </c>
    </row>
    <row r="17" ht="22.5" customHeight="1">
      <c r="A17" s="20" t="s">
        <v>314</v>
      </c>
      <c r="B17" s="19" t="s">
        <v>315</v>
      </c>
      <c r="C17" s="21" t="s">
        <v>99</v>
      </c>
      <c r="D17" s="19" t="s">
        <v>312</v>
      </c>
      <c r="E17" s="19">
        <v>505.0</v>
      </c>
      <c r="F17" s="29" t="s">
        <v>316</v>
      </c>
      <c r="G17" s="21"/>
      <c r="H17" s="21">
        <v>0.0</v>
      </c>
    </row>
    <row r="18" ht="22.5" customHeight="1">
      <c r="A18" s="25" t="s">
        <v>317</v>
      </c>
      <c r="B18" s="19" t="s">
        <v>318</v>
      </c>
      <c r="C18" s="21" t="s">
        <v>99</v>
      </c>
      <c r="D18" s="26" t="s">
        <v>312</v>
      </c>
      <c r="E18" s="19">
        <v>550.0</v>
      </c>
      <c r="F18" s="45" t="s">
        <v>319</v>
      </c>
      <c r="G18" s="28"/>
      <c r="H18" s="28">
        <v>0.0</v>
      </c>
    </row>
    <row r="19" ht="22.5" customHeight="1">
      <c r="A19" s="25" t="s">
        <v>320</v>
      </c>
      <c r="B19" s="19" t="s">
        <v>321</v>
      </c>
      <c r="C19" s="21" t="s">
        <v>99</v>
      </c>
      <c r="D19" s="26" t="s">
        <v>322</v>
      </c>
      <c r="E19" s="19">
        <v>1255.0</v>
      </c>
      <c r="F19" s="45" t="s">
        <v>323</v>
      </c>
      <c r="G19" s="28"/>
      <c r="H19" s="28">
        <v>0.0</v>
      </c>
    </row>
    <row r="20" ht="22.5" customHeight="1">
      <c r="A20" s="25" t="s">
        <v>324</v>
      </c>
      <c r="B20" s="19" t="s">
        <v>325</v>
      </c>
      <c r="C20" s="21" t="s">
        <v>99</v>
      </c>
      <c r="D20" s="26" t="s">
        <v>322</v>
      </c>
      <c r="E20" s="19">
        <v>1255.0</v>
      </c>
      <c r="F20" s="45" t="s">
        <v>326</v>
      </c>
      <c r="G20" s="28"/>
      <c r="H20" s="28">
        <v>0.0</v>
      </c>
    </row>
    <row r="21" ht="22.5" customHeight="1">
      <c r="A21" s="25" t="s">
        <v>327</v>
      </c>
      <c r="B21" s="19" t="s">
        <v>328</v>
      </c>
      <c r="C21" s="21" t="s">
        <v>99</v>
      </c>
      <c r="D21" s="26" t="s">
        <v>329</v>
      </c>
      <c r="E21" s="19">
        <v>1255.0</v>
      </c>
      <c r="F21" s="45" t="s">
        <v>330</v>
      </c>
      <c r="G21" s="28"/>
      <c r="H21" s="28">
        <v>0.0</v>
      </c>
    </row>
    <row r="22" ht="22.5" customHeight="1">
      <c r="A22" s="25" t="s">
        <v>331</v>
      </c>
      <c r="B22" s="26" t="s">
        <v>332</v>
      </c>
      <c r="C22" s="28"/>
      <c r="D22" s="26" t="s">
        <v>333</v>
      </c>
      <c r="E22" s="19">
        <v>1120.0</v>
      </c>
      <c r="F22" s="45" t="s">
        <v>334</v>
      </c>
      <c r="G22" s="28"/>
      <c r="H22" s="28">
        <v>0.0</v>
      </c>
    </row>
    <row r="23" ht="22.5" customHeight="1">
      <c r="A23" s="25" t="s">
        <v>335</v>
      </c>
      <c r="B23" s="26" t="s">
        <v>332</v>
      </c>
      <c r="C23" s="28"/>
      <c r="D23" s="28" t="s">
        <v>336</v>
      </c>
      <c r="E23" s="19">
        <v>1120.0</v>
      </c>
      <c r="F23" s="45" t="s">
        <v>334</v>
      </c>
      <c r="G23" s="28"/>
      <c r="H23" s="28">
        <v>0.0</v>
      </c>
    </row>
    <row r="24" ht="22.5" customHeight="1">
      <c r="A24" s="25" t="s">
        <v>337</v>
      </c>
      <c r="B24" s="26" t="s">
        <v>332</v>
      </c>
      <c r="C24" s="28"/>
      <c r="D24" s="28" t="s">
        <v>338</v>
      </c>
      <c r="E24" s="19">
        <v>1120.0</v>
      </c>
      <c r="F24" s="45" t="s">
        <v>334</v>
      </c>
      <c r="G24" s="28"/>
      <c r="H24" s="28">
        <v>0.0</v>
      </c>
    </row>
    <row r="25" ht="22.5" customHeight="1">
      <c r="A25" s="25" t="s">
        <v>339</v>
      </c>
      <c r="B25" s="26" t="s">
        <v>340</v>
      </c>
      <c r="C25" s="21" t="s">
        <v>99</v>
      </c>
      <c r="D25" s="26" t="s">
        <v>341</v>
      </c>
      <c r="E25" s="19">
        <v>775.0</v>
      </c>
      <c r="F25" s="45" t="s">
        <v>342</v>
      </c>
      <c r="G25" s="28"/>
      <c r="H25" s="28">
        <v>0.0</v>
      </c>
    </row>
    <row r="26" ht="22.5" customHeight="1">
      <c r="A26" s="25" t="s">
        <v>343</v>
      </c>
      <c r="B26" s="26" t="s">
        <v>344</v>
      </c>
      <c r="C26" s="21" t="s">
        <v>99</v>
      </c>
      <c r="D26" s="26" t="s">
        <v>341</v>
      </c>
      <c r="E26" s="19">
        <v>645.0</v>
      </c>
      <c r="F26" s="45" t="s">
        <v>342</v>
      </c>
      <c r="G26" s="28"/>
      <c r="H26" s="28">
        <v>0.0</v>
      </c>
    </row>
    <row r="27" ht="22.5" customHeight="1">
      <c r="A27" s="25" t="s">
        <v>345</v>
      </c>
      <c r="B27" s="26" t="s">
        <v>340</v>
      </c>
      <c r="C27" s="19" t="s">
        <v>103</v>
      </c>
      <c r="D27" s="26" t="s">
        <v>341</v>
      </c>
      <c r="E27" s="19">
        <v>775.0</v>
      </c>
      <c r="F27" s="45" t="s">
        <v>346</v>
      </c>
      <c r="G27" s="28"/>
      <c r="H27" s="28">
        <v>0.0</v>
      </c>
    </row>
    <row r="28" ht="22.5" customHeight="1">
      <c r="A28" s="25" t="s">
        <v>347</v>
      </c>
      <c r="B28" s="26" t="s">
        <v>344</v>
      </c>
      <c r="C28" s="19" t="s">
        <v>103</v>
      </c>
      <c r="D28" s="26" t="s">
        <v>341</v>
      </c>
      <c r="E28" s="19">
        <v>645.0</v>
      </c>
      <c r="F28" s="45" t="s">
        <v>346</v>
      </c>
      <c r="G28" s="28"/>
      <c r="H28" s="28">
        <v>0.0</v>
      </c>
    </row>
    <row r="29" ht="22.5" customHeight="1">
      <c r="A29" s="25" t="s">
        <v>348</v>
      </c>
      <c r="B29" s="26" t="s">
        <v>349</v>
      </c>
      <c r="C29" s="21" t="s">
        <v>99</v>
      </c>
      <c r="D29" s="26" t="s">
        <v>350</v>
      </c>
      <c r="E29" s="19">
        <v>1115.0</v>
      </c>
      <c r="F29" s="45" t="s">
        <v>342</v>
      </c>
      <c r="G29" s="28"/>
      <c r="H29" s="28">
        <v>0.0</v>
      </c>
    </row>
    <row r="30" ht="22.5" customHeight="1">
      <c r="A30" s="25" t="s">
        <v>351</v>
      </c>
      <c r="B30" s="26" t="s">
        <v>352</v>
      </c>
      <c r="C30" s="21" t="s">
        <v>99</v>
      </c>
      <c r="D30" s="26" t="s">
        <v>350</v>
      </c>
      <c r="E30" s="19">
        <v>1030.0</v>
      </c>
      <c r="F30" s="45" t="s">
        <v>342</v>
      </c>
      <c r="G30" s="28"/>
      <c r="H30" s="28">
        <v>0.0</v>
      </c>
    </row>
    <row r="31" ht="22.5" customHeight="1">
      <c r="A31" s="25" t="s">
        <v>353</v>
      </c>
      <c r="B31" s="26" t="s">
        <v>349</v>
      </c>
      <c r="C31" s="19" t="s">
        <v>103</v>
      </c>
      <c r="D31" s="26" t="s">
        <v>350</v>
      </c>
      <c r="E31" s="19">
        <v>1115.0</v>
      </c>
      <c r="F31" s="45" t="s">
        <v>346</v>
      </c>
      <c r="G31" s="28"/>
      <c r="H31" s="28">
        <v>0.0</v>
      </c>
    </row>
    <row r="32" ht="22.5" customHeight="1">
      <c r="A32" s="25" t="s">
        <v>354</v>
      </c>
      <c r="B32" s="26" t="s">
        <v>352</v>
      </c>
      <c r="C32" s="19" t="s">
        <v>103</v>
      </c>
      <c r="D32" s="26" t="s">
        <v>350</v>
      </c>
      <c r="E32" s="19">
        <v>1030.0</v>
      </c>
      <c r="F32" s="45" t="s">
        <v>346</v>
      </c>
      <c r="G32" s="28"/>
      <c r="H32" s="28">
        <v>0.0</v>
      </c>
    </row>
    <row r="33" ht="22.5" customHeight="1">
      <c r="A33" s="25" t="s">
        <v>355</v>
      </c>
      <c r="B33" s="26" t="s">
        <v>356</v>
      </c>
      <c r="C33" s="21" t="s">
        <v>99</v>
      </c>
      <c r="D33" s="28"/>
      <c r="E33" s="19">
        <v>169.0</v>
      </c>
      <c r="F33" s="45" t="s">
        <v>357</v>
      </c>
      <c r="G33" s="28"/>
      <c r="H33" s="28">
        <v>0.0</v>
      </c>
    </row>
    <row r="34" ht="22.5" customHeight="1">
      <c r="A34" s="25" t="s">
        <v>358</v>
      </c>
      <c r="B34" s="26" t="s">
        <v>359</v>
      </c>
      <c r="C34" s="21" t="s">
        <v>99</v>
      </c>
      <c r="D34" s="28"/>
      <c r="E34" s="19">
        <v>115.0</v>
      </c>
      <c r="F34" s="45" t="s">
        <v>360</v>
      </c>
      <c r="G34" s="28"/>
      <c r="H34" s="28">
        <v>0.0</v>
      </c>
    </row>
    <row r="35" ht="22.5" customHeight="1">
      <c r="A35" s="25" t="s">
        <v>361</v>
      </c>
      <c r="B35" s="26" t="s">
        <v>362</v>
      </c>
      <c r="C35" s="21" t="s">
        <v>99</v>
      </c>
      <c r="D35" s="28"/>
      <c r="E35" s="19">
        <v>90.0</v>
      </c>
      <c r="F35" s="45" t="s">
        <v>363</v>
      </c>
      <c r="G35" s="28"/>
      <c r="H35" s="28">
        <v>0.0</v>
      </c>
    </row>
    <row r="36" ht="22.5" customHeight="1">
      <c r="A36" s="25" t="s">
        <v>364</v>
      </c>
      <c r="B36" s="26" t="s">
        <v>362</v>
      </c>
      <c r="C36" s="19" t="s">
        <v>103</v>
      </c>
      <c r="D36" s="28"/>
      <c r="E36" s="19">
        <v>90.0</v>
      </c>
      <c r="F36" s="45" t="s">
        <v>365</v>
      </c>
      <c r="G36" s="28"/>
      <c r="H36" s="28">
        <v>0.0</v>
      </c>
    </row>
    <row r="37" ht="22.5" customHeight="1">
      <c r="A37" s="25" t="s">
        <v>366</v>
      </c>
      <c r="B37" s="26" t="s">
        <v>367</v>
      </c>
      <c r="C37" s="26" t="s">
        <v>105</v>
      </c>
      <c r="D37" s="28"/>
      <c r="E37" s="19">
        <v>3.0</v>
      </c>
      <c r="F37" s="45" t="s">
        <v>368</v>
      </c>
      <c r="G37" s="28"/>
      <c r="H37" s="28">
        <v>0.0</v>
      </c>
    </row>
    <row r="38" ht="22.5" customHeight="1">
      <c r="A38" s="25" t="s">
        <v>369</v>
      </c>
      <c r="B38" s="26" t="s">
        <v>367</v>
      </c>
      <c r="C38" s="26" t="s">
        <v>103</v>
      </c>
      <c r="D38" s="28"/>
      <c r="E38" s="19">
        <v>3.0</v>
      </c>
      <c r="F38" s="45" t="s">
        <v>370</v>
      </c>
      <c r="G38" s="28"/>
      <c r="H38" s="28">
        <v>0.0</v>
      </c>
    </row>
    <row r="39" ht="22.5" customHeight="1">
      <c r="A39" s="25" t="s">
        <v>371</v>
      </c>
      <c r="B39" s="26" t="s">
        <v>372</v>
      </c>
      <c r="C39" s="26" t="s">
        <v>103</v>
      </c>
      <c r="D39" s="28"/>
      <c r="E39" s="19">
        <v>1.5</v>
      </c>
      <c r="F39" s="45" t="s">
        <v>373</v>
      </c>
      <c r="G39" s="28"/>
      <c r="H39" s="28">
        <v>0.0</v>
      </c>
    </row>
    <row r="40" ht="22.5" customHeight="1">
      <c r="A40" s="25" t="s">
        <v>374</v>
      </c>
      <c r="B40" s="26" t="s">
        <v>375</v>
      </c>
      <c r="C40" s="26" t="s">
        <v>105</v>
      </c>
      <c r="D40" s="28"/>
      <c r="E40" s="19">
        <v>140.0</v>
      </c>
      <c r="F40" s="45" t="s">
        <v>376</v>
      </c>
      <c r="G40" s="28"/>
      <c r="H40" s="28">
        <v>0.0</v>
      </c>
    </row>
    <row r="41" ht="22.5" customHeight="1">
      <c r="A41" s="25" t="s">
        <v>377</v>
      </c>
      <c r="B41" s="26" t="s">
        <v>378</v>
      </c>
      <c r="C41" s="26" t="s">
        <v>105</v>
      </c>
      <c r="D41" s="28"/>
      <c r="E41" s="19">
        <v>140.0</v>
      </c>
      <c r="F41" s="45" t="s">
        <v>376</v>
      </c>
      <c r="G41" s="28"/>
      <c r="H41" s="28">
        <v>0.0</v>
      </c>
    </row>
    <row r="42" ht="22.5" customHeight="1">
      <c r="A42" s="25" t="s">
        <v>379</v>
      </c>
      <c r="B42" s="26" t="s">
        <v>375</v>
      </c>
      <c r="C42" s="26" t="s">
        <v>103</v>
      </c>
      <c r="D42" s="28"/>
      <c r="E42" s="19">
        <v>140.0</v>
      </c>
      <c r="F42" s="45" t="s">
        <v>380</v>
      </c>
      <c r="G42" s="28"/>
      <c r="H42" s="28">
        <v>0.0</v>
      </c>
    </row>
    <row r="43" ht="22.5" customHeight="1">
      <c r="A43" s="25" t="s">
        <v>381</v>
      </c>
      <c r="B43" s="26" t="s">
        <v>378</v>
      </c>
      <c r="C43" s="26" t="s">
        <v>103</v>
      </c>
      <c r="D43" s="28"/>
      <c r="E43" s="19">
        <v>140.0</v>
      </c>
      <c r="F43" s="45" t="s">
        <v>380</v>
      </c>
      <c r="G43" s="28"/>
      <c r="H43" s="28">
        <v>0.0</v>
      </c>
    </row>
    <row r="44" ht="22.5" customHeight="1">
      <c r="A44" s="25" t="s">
        <v>382</v>
      </c>
      <c r="B44" s="26" t="s">
        <v>383</v>
      </c>
      <c r="C44" s="26" t="s">
        <v>105</v>
      </c>
      <c r="D44" s="28"/>
      <c r="E44" s="19">
        <v>0.4</v>
      </c>
      <c r="F44" s="45" t="s">
        <v>384</v>
      </c>
      <c r="G44" s="28"/>
      <c r="H44" s="28">
        <v>0.0</v>
      </c>
    </row>
    <row r="45" ht="22.5" customHeight="1">
      <c r="A45" s="25" t="s">
        <v>385</v>
      </c>
      <c r="B45" s="26" t="s">
        <v>383</v>
      </c>
      <c r="C45" s="26" t="s">
        <v>103</v>
      </c>
      <c r="D45" s="28"/>
      <c r="E45" s="19">
        <v>0.4</v>
      </c>
      <c r="F45" s="45" t="s">
        <v>386</v>
      </c>
      <c r="G45" s="28"/>
      <c r="H45" s="28">
        <v>0.0</v>
      </c>
    </row>
    <row r="46" ht="22.5" customHeight="1">
      <c r="A46" s="25" t="s">
        <v>387</v>
      </c>
      <c r="B46" s="39" t="s">
        <v>388</v>
      </c>
      <c r="C46" s="26" t="s">
        <v>105</v>
      </c>
      <c r="D46" s="28"/>
      <c r="E46" s="19">
        <v>0.4</v>
      </c>
      <c r="F46" s="45" t="s">
        <v>389</v>
      </c>
      <c r="G46" s="26">
        <v>1200.0</v>
      </c>
      <c r="H46" s="28">
        <v>0.0</v>
      </c>
    </row>
    <row r="47" ht="22.5" customHeight="1">
      <c r="A47" s="25" t="s">
        <v>390</v>
      </c>
      <c r="B47" s="39" t="s">
        <v>388</v>
      </c>
      <c r="C47" s="26" t="s">
        <v>103</v>
      </c>
      <c r="D47" s="28"/>
      <c r="E47" s="19">
        <v>0.4</v>
      </c>
      <c r="F47" s="45" t="s">
        <v>391</v>
      </c>
      <c r="G47" s="26">
        <v>2970.0</v>
      </c>
      <c r="H47" s="28">
        <v>0.0</v>
      </c>
    </row>
    <row r="48" ht="22.5" customHeight="1">
      <c r="A48" s="25" t="s">
        <v>392</v>
      </c>
      <c r="B48" s="26" t="s">
        <v>393</v>
      </c>
      <c r="C48" s="26" t="s">
        <v>103</v>
      </c>
      <c r="D48" s="28"/>
      <c r="E48" s="19">
        <v>6.6</v>
      </c>
      <c r="F48" s="45" t="s">
        <v>394</v>
      </c>
      <c r="G48" s="28"/>
      <c r="H48" s="28">
        <v>0.0</v>
      </c>
    </row>
    <row r="49" ht="22.5" customHeight="1">
      <c r="A49" s="25" t="s">
        <v>395</v>
      </c>
      <c r="B49" s="26" t="s">
        <v>396</v>
      </c>
      <c r="C49" s="21" t="s">
        <v>99</v>
      </c>
      <c r="D49" s="28"/>
      <c r="E49" s="19">
        <v>110.0</v>
      </c>
      <c r="F49" s="45" t="s">
        <v>397</v>
      </c>
      <c r="G49" s="28"/>
      <c r="H49" s="28">
        <v>0.0</v>
      </c>
    </row>
    <row r="50" ht="22.5" customHeight="1">
      <c r="A50" s="25" t="s">
        <v>398</v>
      </c>
      <c r="B50" s="26" t="s">
        <v>396</v>
      </c>
      <c r="C50" s="26" t="s">
        <v>103</v>
      </c>
      <c r="D50" s="28"/>
      <c r="E50" s="19">
        <v>110.0</v>
      </c>
      <c r="F50" s="45" t="s">
        <v>399</v>
      </c>
      <c r="G50" s="28"/>
      <c r="H50" s="28">
        <v>0.0</v>
      </c>
    </row>
    <row r="51" ht="22.5" customHeight="1">
      <c r="A51" s="25" t="s">
        <v>400</v>
      </c>
      <c r="B51" s="26" t="s">
        <v>78</v>
      </c>
      <c r="C51" s="21" t="s">
        <v>99</v>
      </c>
      <c r="D51" s="26" t="s">
        <v>401</v>
      </c>
      <c r="E51" s="19">
        <v>418.0</v>
      </c>
      <c r="F51" s="30" t="s">
        <v>402</v>
      </c>
      <c r="G51" s="28"/>
      <c r="H51" s="28">
        <v>0.0</v>
      </c>
    </row>
    <row r="52" ht="22.5" customHeight="1">
      <c r="A52" s="25" t="s">
        <v>403</v>
      </c>
      <c r="B52" s="26" t="s">
        <v>404</v>
      </c>
      <c r="C52" s="21" t="s">
        <v>99</v>
      </c>
      <c r="D52" s="28"/>
      <c r="E52" s="19">
        <v>285.0</v>
      </c>
      <c r="F52" s="45" t="s">
        <v>402</v>
      </c>
      <c r="G52" s="28"/>
      <c r="H52" s="28">
        <v>0.0</v>
      </c>
    </row>
    <row r="53" ht="22.5" customHeight="1">
      <c r="A53" s="25" t="s">
        <v>80</v>
      </c>
      <c r="B53" s="26" t="s">
        <v>405</v>
      </c>
      <c r="C53" s="21" t="s">
        <v>99</v>
      </c>
      <c r="D53" s="26" t="s">
        <v>406</v>
      </c>
      <c r="E53" s="19">
        <v>429.0</v>
      </c>
      <c r="F53" s="45" t="s">
        <v>407</v>
      </c>
      <c r="G53" s="26">
        <v>2.0</v>
      </c>
      <c r="H53" s="28">
        <v>6.0</v>
      </c>
    </row>
    <row r="54" ht="22.5" customHeight="1">
      <c r="A54" s="25" t="s">
        <v>81</v>
      </c>
      <c r="B54" s="26" t="s">
        <v>405</v>
      </c>
      <c r="C54" s="21" t="s">
        <v>99</v>
      </c>
      <c r="D54" s="26" t="s">
        <v>408</v>
      </c>
      <c r="E54" s="19">
        <v>480.0</v>
      </c>
      <c r="F54" s="45" t="s">
        <v>407</v>
      </c>
      <c r="G54" s="26">
        <v>3.0</v>
      </c>
      <c r="H54" s="28">
        <v>6.0</v>
      </c>
    </row>
    <row r="55" ht="22.5" customHeight="1">
      <c r="A55" s="25" t="s">
        <v>409</v>
      </c>
      <c r="B55" s="26" t="s">
        <v>410</v>
      </c>
      <c r="C55" s="26" t="s">
        <v>105</v>
      </c>
      <c r="D55" s="28"/>
      <c r="E55" s="19">
        <v>65.0</v>
      </c>
      <c r="F55" s="45" t="s">
        <v>411</v>
      </c>
      <c r="G55" s="26">
        <v>45.0</v>
      </c>
      <c r="H55" s="28">
        <v>0.0</v>
      </c>
    </row>
    <row r="56" ht="22.5" customHeight="1">
      <c r="A56" s="25" t="s">
        <v>412</v>
      </c>
      <c r="B56" s="26" t="s">
        <v>410</v>
      </c>
      <c r="C56" s="26" t="s">
        <v>103</v>
      </c>
      <c r="D56" s="28"/>
      <c r="E56" s="19">
        <v>65.0</v>
      </c>
      <c r="F56" s="45" t="s">
        <v>411</v>
      </c>
      <c r="G56" s="26">
        <v>33.0</v>
      </c>
      <c r="H56" s="28">
        <v>0.0</v>
      </c>
    </row>
    <row r="57" ht="22.5" customHeight="1">
      <c r="A57" s="25" t="s">
        <v>413</v>
      </c>
      <c r="B57" s="26" t="s">
        <v>414</v>
      </c>
      <c r="C57" s="26" t="s">
        <v>105</v>
      </c>
      <c r="D57" s="28"/>
      <c r="E57" s="19"/>
      <c r="F57" s="45" t="s">
        <v>415</v>
      </c>
      <c r="G57" s="26">
        <v>32.0</v>
      </c>
      <c r="H57" s="28">
        <v>0.0</v>
      </c>
    </row>
    <row r="58" ht="22.5" customHeight="1">
      <c r="A58" s="25" t="s">
        <v>416</v>
      </c>
      <c r="B58" s="26" t="s">
        <v>414</v>
      </c>
      <c r="C58" s="26" t="s">
        <v>103</v>
      </c>
      <c r="D58" s="28"/>
      <c r="E58" s="19"/>
      <c r="F58" s="45" t="s">
        <v>415</v>
      </c>
      <c r="G58" s="26">
        <v>8.0</v>
      </c>
      <c r="H58" s="28">
        <v>0.0</v>
      </c>
    </row>
    <row r="59" ht="22.5" customHeight="1">
      <c r="A59" s="25" t="s">
        <v>417</v>
      </c>
      <c r="B59" s="26" t="s">
        <v>418</v>
      </c>
      <c r="C59" s="26" t="s">
        <v>201</v>
      </c>
      <c r="D59" s="28"/>
      <c r="E59" s="19">
        <v>30.0</v>
      </c>
      <c r="F59" s="45" t="s">
        <v>419</v>
      </c>
      <c r="G59" s="26">
        <v>652.0</v>
      </c>
      <c r="H59" s="28">
        <v>0.0</v>
      </c>
    </row>
    <row r="60" ht="22.5" customHeight="1">
      <c r="A60" s="25" t="s">
        <v>420</v>
      </c>
      <c r="B60" s="26" t="s">
        <v>421</v>
      </c>
      <c r="C60" s="26" t="s">
        <v>103</v>
      </c>
      <c r="D60" s="28"/>
      <c r="E60" s="19">
        <v>30.0</v>
      </c>
      <c r="F60" s="45" t="s">
        <v>422</v>
      </c>
      <c r="G60" s="26">
        <v>420.0</v>
      </c>
      <c r="H60" s="28">
        <v>0.0</v>
      </c>
    </row>
    <row r="61" ht="22.5" customHeight="1">
      <c r="A61" s="25" t="s">
        <v>423</v>
      </c>
      <c r="B61" s="26" t="s">
        <v>424</v>
      </c>
      <c r="C61" s="26" t="s">
        <v>201</v>
      </c>
      <c r="D61" s="28"/>
      <c r="E61" s="19">
        <v>9.0</v>
      </c>
      <c r="F61" s="45" t="s">
        <v>425</v>
      </c>
      <c r="G61" s="26">
        <v>850.0</v>
      </c>
      <c r="H61" s="28">
        <v>0.0</v>
      </c>
    </row>
    <row r="62" ht="22.5" customHeight="1">
      <c r="A62" s="25" t="s">
        <v>426</v>
      </c>
      <c r="B62" s="26" t="s">
        <v>427</v>
      </c>
      <c r="C62" s="26" t="s">
        <v>103</v>
      </c>
      <c r="D62" s="28"/>
      <c r="E62" s="19">
        <v>18.0</v>
      </c>
      <c r="F62" s="45" t="s">
        <v>428</v>
      </c>
      <c r="G62" s="26">
        <v>545.0</v>
      </c>
      <c r="H62" s="28">
        <v>0.0</v>
      </c>
    </row>
    <row r="63" ht="22.5" customHeight="1">
      <c r="A63" s="25" t="s">
        <v>429</v>
      </c>
      <c r="B63" s="26" t="s">
        <v>430</v>
      </c>
      <c r="C63" s="26" t="s">
        <v>103</v>
      </c>
      <c r="D63" s="28"/>
      <c r="E63" s="19">
        <v>18.0</v>
      </c>
      <c r="F63" s="45" t="s">
        <v>428</v>
      </c>
      <c r="G63" s="26">
        <v>140.0</v>
      </c>
      <c r="H63" s="28">
        <v>0.0</v>
      </c>
    </row>
    <row r="64" ht="22.5" customHeight="1">
      <c r="A64" s="25" t="s">
        <v>82</v>
      </c>
      <c r="B64" s="26" t="s">
        <v>82</v>
      </c>
      <c r="C64" s="21"/>
      <c r="D64" s="28"/>
      <c r="E64" s="19">
        <v>2.0</v>
      </c>
      <c r="F64" s="45" t="s">
        <v>431</v>
      </c>
      <c r="G64" s="26">
        <v>1272.0</v>
      </c>
      <c r="H64" s="28">
        <v>1600.0</v>
      </c>
    </row>
    <row r="65" ht="22.5" customHeight="1">
      <c r="A65" s="25" t="s">
        <v>432</v>
      </c>
      <c r="B65" s="26" t="s">
        <v>432</v>
      </c>
      <c r="C65" s="26"/>
      <c r="D65" s="28"/>
      <c r="E65" s="19"/>
      <c r="F65" s="45" t="s">
        <v>433</v>
      </c>
      <c r="G65" s="28"/>
      <c r="H65" s="28">
        <v>0.0</v>
      </c>
    </row>
    <row r="66" ht="22.5" customHeight="1">
      <c r="A66" s="25" t="s">
        <v>434</v>
      </c>
      <c r="B66" s="26" t="s">
        <v>435</v>
      </c>
      <c r="C66" s="28"/>
      <c r="D66" s="26" t="s">
        <v>436</v>
      </c>
      <c r="E66" s="19">
        <v>18.0</v>
      </c>
      <c r="F66" s="45" t="s">
        <v>437</v>
      </c>
      <c r="G66" s="26">
        <v>842.0</v>
      </c>
      <c r="H66" s="28">
        <v>0.0</v>
      </c>
    </row>
    <row r="67" ht="22.5" customHeight="1">
      <c r="A67" s="25" t="s">
        <v>438</v>
      </c>
      <c r="B67" s="26" t="s">
        <v>438</v>
      </c>
      <c r="C67" s="28"/>
      <c r="D67" s="28"/>
      <c r="E67" s="19">
        <v>15.0</v>
      </c>
      <c r="F67" s="45" t="s">
        <v>439</v>
      </c>
      <c r="G67" s="28"/>
      <c r="H67" s="28">
        <v>0.0</v>
      </c>
    </row>
    <row r="68" ht="22.5" customHeight="1">
      <c r="A68" s="25" t="s">
        <v>440</v>
      </c>
      <c r="B68" s="26" t="s">
        <v>440</v>
      </c>
      <c r="C68" s="28"/>
      <c r="D68" s="28"/>
      <c r="E68" s="19"/>
      <c r="F68" s="45" t="s">
        <v>441</v>
      </c>
      <c r="G68" s="28"/>
      <c r="H68" s="28">
        <v>0.0</v>
      </c>
    </row>
    <row r="69" ht="22.5" customHeight="1">
      <c r="A69" s="25" t="s">
        <v>442</v>
      </c>
      <c r="B69" s="26" t="s">
        <v>443</v>
      </c>
      <c r="C69" s="26" t="s">
        <v>103</v>
      </c>
      <c r="D69" s="28"/>
      <c r="E69" s="19">
        <v>8.0</v>
      </c>
      <c r="F69" s="45" t="s">
        <v>444</v>
      </c>
      <c r="G69" s="28"/>
      <c r="H69" s="28">
        <v>0.0</v>
      </c>
    </row>
    <row r="70" ht="22.5" customHeight="1">
      <c r="A70" s="25" t="s">
        <v>442</v>
      </c>
      <c r="B70" s="26" t="s">
        <v>443</v>
      </c>
      <c r="C70" s="26" t="s">
        <v>103</v>
      </c>
      <c r="D70" s="28"/>
      <c r="E70" s="19">
        <v>4.0</v>
      </c>
      <c r="F70" s="45" t="s">
        <v>445</v>
      </c>
      <c r="G70" s="28"/>
      <c r="H70" s="28">
        <v>0.0</v>
      </c>
    </row>
    <row r="71" ht="22.5" customHeight="1">
      <c r="A71" s="25" t="s">
        <v>69</v>
      </c>
      <c r="B71" s="26" t="s">
        <v>69</v>
      </c>
      <c r="C71" s="28"/>
      <c r="D71" s="28"/>
      <c r="E71" s="19">
        <v>17.0</v>
      </c>
      <c r="F71" s="45" t="s">
        <v>446</v>
      </c>
      <c r="G71" s="28"/>
      <c r="H71" s="28">
        <v>123.0</v>
      </c>
    </row>
    <row r="72" ht="22.5" customHeight="1">
      <c r="A72" s="25" t="s">
        <v>447</v>
      </c>
      <c r="B72" s="26" t="s">
        <v>447</v>
      </c>
      <c r="C72" s="28"/>
      <c r="D72" s="28"/>
      <c r="E72" s="19">
        <v>23.0</v>
      </c>
      <c r="F72" s="45" t="s">
        <v>448</v>
      </c>
      <c r="G72" s="28"/>
      <c r="H72" s="28">
        <v>0.0</v>
      </c>
    </row>
    <row r="73" ht="22.5" customHeight="1">
      <c r="A73" s="25" t="s">
        <v>449</v>
      </c>
      <c r="B73" s="26" t="s">
        <v>450</v>
      </c>
      <c r="C73" s="26" t="s">
        <v>103</v>
      </c>
      <c r="D73" s="26"/>
      <c r="E73" s="19"/>
      <c r="F73" s="45" t="s">
        <v>451</v>
      </c>
      <c r="G73" s="26">
        <v>15.0</v>
      </c>
      <c r="H73" s="28">
        <v>0.0</v>
      </c>
    </row>
    <row r="74" ht="22.5" customHeight="1">
      <c r="A74" s="25" t="s">
        <v>452</v>
      </c>
      <c r="B74" s="26" t="s">
        <v>450</v>
      </c>
      <c r="C74" s="26" t="s">
        <v>105</v>
      </c>
      <c r="D74" s="26"/>
      <c r="E74" s="19"/>
      <c r="F74" s="27" t="s">
        <v>453</v>
      </c>
      <c r="G74" s="26">
        <v>13.0</v>
      </c>
      <c r="H74" s="28">
        <v>0.0</v>
      </c>
    </row>
    <row r="75" ht="22.5" customHeight="1">
      <c r="A75" s="25" t="s">
        <v>454</v>
      </c>
      <c r="B75" s="26" t="s">
        <v>455</v>
      </c>
      <c r="C75" s="26" t="s">
        <v>103</v>
      </c>
      <c r="D75" s="28"/>
      <c r="E75" s="19">
        <v>85.0</v>
      </c>
      <c r="F75" s="45" t="s">
        <v>456</v>
      </c>
      <c r="G75" s="28"/>
      <c r="H75" s="28">
        <v>0.0</v>
      </c>
    </row>
    <row r="76" ht="22.5" customHeight="1">
      <c r="A76" s="25" t="s">
        <v>457</v>
      </c>
      <c r="B76" s="26" t="s">
        <v>455</v>
      </c>
      <c r="C76" s="26" t="s">
        <v>105</v>
      </c>
      <c r="D76" s="28"/>
      <c r="E76" s="19">
        <v>85.0</v>
      </c>
      <c r="F76" s="45" t="s">
        <v>456</v>
      </c>
      <c r="G76" s="28"/>
      <c r="H76" s="28">
        <v>0.0</v>
      </c>
    </row>
    <row r="77" ht="22.5" customHeight="1">
      <c r="A77" s="25" t="s">
        <v>458</v>
      </c>
      <c r="B77" s="26" t="s">
        <v>405</v>
      </c>
      <c r="C77" s="21" t="s">
        <v>99</v>
      </c>
      <c r="D77" s="26" t="s">
        <v>459</v>
      </c>
      <c r="E77" s="19">
        <v>493.0</v>
      </c>
      <c r="F77" s="45" t="s">
        <v>407</v>
      </c>
      <c r="G77" s="28"/>
      <c r="H77" s="28">
        <v>0.0</v>
      </c>
    </row>
    <row r="78" ht="22.5" customHeight="1">
      <c r="A78" s="25" t="s">
        <v>460</v>
      </c>
      <c r="B78" s="26" t="s">
        <v>460</v>
      </c>
      <c r="C78" s="28"/>
      <c r="D78" s="28"/>
      <c r="E78" s="19">
        <v>30.0</v>
      </c>
      <c r="F78" s="45" t="s">
        <v>461</v>
      </c>
      <c r="G78" s="28"/>
      <c r="H78" s="28">
        <v>0.0</v>
      </c>
    </row>
    <row r="79" ht="22.5" customHeight="1">
      <c r="A79" s="25" t="s">
        <v>462</v>
      </c>
      <c r="B79" s="26" t="s">
        <v>463</v>
      </c>
      <c r="C79" s="28"/>
      <c r="D79" s="26" t="s">
        <v>464</v>
      </c>
      <c r="E79" s="19">
        <v>2000.0</v>
      </c>
      <c r="F79" s="45" t="s">
        <v>465</v>
      </c>
      <c r="G79" s="28"/>
      <c r="H79" s="28">
        <v>0.0</v>
      </c>
    </row>
    <row r="80" ht="22.5" customHeight="1">
      <c r="A80" s="25" t="s">
        <v>466</v>
      </c>
      <c r="B80" s="26" t="s">
        <v>463</v>
      </c>
      <c r="C80" s="28"/>
      <c r="D80" s="26" t="s">
        <v>467</v>
      </c>
      <c r="E80" s="19">
        <v>1500.0</v>
      </c>
      <c r="F80" s="45" t="s">
        <v>465</v>
      </c>
      <c r="G80" s="28"/>
      <c r="H80" s="28">
        <v>0.0</v>
      </c>
    </row>
    <row r="81" ht="22.5" customHeight="1">
      <c r="A81" s="25" t="s">
        <v>468</v>
      </c>
      <c r="B81" s="26" t="s">
        <v>469</v>
      </c>
      <c r="C81" s="28"/>
      <c r="D81" s="26" t="s">
        <v>470</v>
      </c>
      <c r="E81" s="19">
        <v>125.0</v>
      </c>
      <c r="F81" s="45" t="s">
        <v>471</v>
      </c>
      <c r="G81" s="28"/>
      <c r="H81" s="28">
        <v>0.0</v>
      </c>
    </row>
    <row r="82" ht="22.5" customHeight="1">
      <c r="A82" s="25" t="s">
        <v>472</v>
      </c>
      <c r="B82" s="26" t="s">
        <v>473</v>
      </c>
      <c r="C82" s="26" t="s">
        <v>103</v>
      </c>
      <c r="D82" s="26" t="s">
        <v>474</v>
      </c>
      <c r="E82" s="19">
        <v>185.0</v>
      </c>
      <c r="F82" s="45" t="s">
        <v>475</v>
      </c>
      <c r="G82" s="26">
        <v>43.0</v>
      </c>
      <c r="H82" s="28">
        <v>0.0</v>
      </c>
    </row>
    <row r="83" ht="22.5" customHeight="1">
      <c r="A83" s="25" t="s">
        <v>476</v>
      </c>
      <c r="B83" s="26" t="s">
        <v>473</v>
      </c>
      <c r="C83" s="21" t="s">
        <v>99</v>
      </c>
      <c r="D83" s="26" t="s">
        <v>474</v>
      </c>
      <c r="E83" s="19">
        <v>175.0</v>
      </c>
      <c r="F83" s="45" t="s">
        <v>477</v>
      </c>
      <c r="G83" s="26">
        <v>58.0</v>
      </c>
      <c r="H83" s="28">
        <v>0.0</v>
      </c>
    </row>
    <row r="84" ht="22.5" customHeight="1">
      <c r="A84" s="25" t="s">
        <v>478</v>
      </c>
      <c r="B84" s="26" t="s">
        <v>473</v>
      </c>
      <c r="C84" s="21" t="s">
        <v>99</v>
      </c>
      <c r="D84" s="26" t="s">
        <v>479</v>
      </c>
      <c r="E84" s="19">
        <v>175.0</v>
      </c>
      <c r="F84" s="45" t="s">
        <v>477</v>
      </c>
      <c r="G84" s="26">
        <v>2.0</v>
      </c>
      <c r="H84" s="28">
        <v>0.0</v>
      </c>
    </row>
    <row r="85" ht="22.5" customHeight="1">
      <c r="A85" s="25" t="s">
        <v>25</v>
      </c>
      <c r="B85" s="26" t="s">
        <v>372</v>
      </c>
      <c r="C85" s="26" t="s">
        <v>480</v>
      </c>
      <c r="D85" s="28"/>
      <c r="E85" s="19">
        <v>1.8</v>
      </c>
      <c r="F85" s="45" t="s">
        <v>481</v>
      </c>
      <c r="G85" s="26">
        <v>6200.0</v>
      </c>
      <c r="H85" s="28">
        <v>6200.0</v>
      </c>
    </row>
    <row r="86" ht="22.5" customHeight="1">
      <c r="A86" s="25" t="s">
        <v>482</v>
      </c>
      <c r="B86" s="26" t="s">
        <v>483</v>
      </c>
      <c r="C86" s="28"/>
      <c r="D86" s="26">
        <v>791.0</v>
      </c>
      <c r="E86" s="19"/>
      <c r="F86" s="45" t="s">
        <v>484</v>
      </c>
      <c r="G86" s="26">
        <v>355.0</v>
      </c>
      <c r="H86" s="28">
        <v>0.0</v>
      </c>
    </row>
    <row r="87" ht="22.5" customHeight="1">
      <c r="A87" s="25" t="s">
        <v>485</v>
      </c>
      <c r="B87" s="26" t="s">
        <v>483</v>
      </c>
      <c r="C87" s="26" t="s">
        <v>228</v>
      </c>
      <c r="D87" s="26"/>
      <c r="E87" s="19"/>
      <c r="F87" s="30" t="s">
        <v>486</v>
      </c>
      <c r="G87" s="26">
        <v>225.0</v>
      </c>
      <c r="H87" s="28">
        <v>0.0</v>
      </c>
    </row>
    <row r="88" ht="22.5" customHeight="1">
      <c r="A88" s="25" t="s">
        <v>487</v>
      </c>
      <c r="B88" s="26" t="s">
        <v>488</v>
      </c>
      <c r="C88" s="26" t="s">
        <v>480</v>
      </c>
      <c r="D88" s="26"/>
      <c r="E88" s="26"/>
      <c r="F88" s="30" t="s">
        <v>489</v>
      </c>
      <c r="G88" s="26">
        <v>66.0</v>
      </c>
      <c r="H88" s="28">
        <v>0.0</v>
      </c>
    </row>
    <row r="89" ht="22.5" customHeight="1">
      <c r="A89" s="25" t="s">
        <v>490</v>
      </c>
      <c r="B89" s="26" t="s">
        <v>491</v>
      </c>
      <c r="C89" s="26" t="s">
        <v>228</v>
      </c>
      <c r="D89" s="26"/>
      <c r="E89" s="26"/>
      <c r="F89" s="45" t="s">
        <v>492</v>
      </c>
      <c r="G89" s="26">
        <v>59.0</v>
      </c>
      <c r="H89" s="28">
        <v>0.0</v>
      </c>
    </row>
    <row r="90" ht="22.5" customHeight="1">
      <c r="A90" s="25" t="s">
        <v>26</v>
      </c>
      <c r="B90" s="26" t="s">
        <v>493</v>
      </c>
      <c r="C90" s="26" t="s">
        <v>494</v>
      </c>
      <c r="D90" s="26"/>
      <c r="E90" s="26"/>
      <c r="F90" s="45" t="s">
        <v>495</v>
      </c>
      <c r="G90" s="26">
        <v>125.0</v>
      </c>
      <c r="H90" s="28">
        <v>20.0</v>
      </c>
    </row>
    <row r="91" ht="22.5" customHeight="1">
      <c r="A91" s="25" t="s">
        <v>27</v>
      </c>
      <c r="B91" s="26" t="s">
        <v>496</v>
      </c>
      <c r="C91" s="26" t="s">
        <v>497</v>
      </c>
      <c r="D91" s="26"/>
      <c r="E91" s="26"/>
      <c r="F91" s="45" t="s">
        <v>498</v>
      </c>
      <c r="G91" s="26">
        <v>120.0</v>
      </c>
      <c r="H91" s="28">
        <v>15.0</v>
      </c>
    </row>
    <row r="92" ht="22.5" customHeight="1">
      <c r="A92" s="25" t="s">
        <v>28</v>
      </c>
      <c r="B92" s="26" t="s">
        <v>28</v>
      </c>
      <c r="C92" s="26"/>
      <c r="D92" s="26"/>
      <c r="E92" s="26"/>
      <c r="F92" s="45" t="s">
        <v>499</v>
      </c>
      <c r="G92" s="26">
        <v>59.0</v>
      </c>
      <c r="H92" s="28">
        <v>12.0</v>
      </c>
    </row>
    <row r="93" ht="22.5" customHeight="1">
      <c r="A93" s="25" t="s">
        <v>500</v>
      </c>
      <c r="B93" s="26" t="s">
        <v>488</v>
      </c>
      <c r="C93" s="26" t="s">
        <v>501</v>
      </c>
      <c r="D93" s="26"/>
      <c r="E93" s="26"/>
      <c r="F93" s="45" t="s">
        <v>502</v>
      </c>
      <c r="G93" s="26">
        <v>15.0</v>
      </c>
      <c r="H93" s="28">
        <v>0.0</v>
      </c>
    </row>
    <row r="94" ht="22.5" customHeight="1">
      <c r="A94" s="25" t="s">
        <v>503</v>
      </c>
      <c r="B94" s="26" t="s">
        <v>503</v>
      </c>
      <c r="C94" s="26"/>
      <c r="D94" s="26"/>
      <c r="E94" s="26"/>
      <c r="F94" s="45" t="s">
        <v>504</v>
      </c>
      <c r="G94" s="26">
        <v>36.0</v>
      </c>
      <c r="H94" s="28">
        <v>0.0</v>
      </c>
    </row>
    <row r="95" ht="22.5" customHeight="1">
      <c r="A95" s="25" t="s">
        <v>505</v>
      </c>
      <c r="B95" s="26" t="s">
        <v>505</v>
      </c>
      <c r="C95" s="26"/>
      <c r="D95" s="26"/>
      <c r="E95" s="26"/>
      <c r="F95" s="45" t="s">
        <v>506</v>
      </c>
      <c r="G95" s="26">
        <v>34.0</v>
      </c>
      <c r="H95" s="28">
        <v>0.0</v>
      </c>
    </row>
    <row r="96" ht="22.5" customHeight="1">
      <c r="A96" s="25" t="s">
        <v>507</v>
      </c>
      <c r="B96" s="26" t="s">
        <v>483</v>
      </c>
      <c r="C96" s="26" t="s">
        <v>508</v>
      </c>
      <c r="D96" s="26"/>
      <c r="E96" s="26"/>
      <c r="F96" s="45" t="s">
        <v>509</v>
      </c>
      <c r="G96" s="26">
        <v>9.0</v>
      </c>
      <c r="H96" s="28">
        <v>0.0</v>
      </c>
    </row>
    <row r="97" ht="22.5" customHeight="1">
      <c r="A97" s="25" t="s">
        <v>510</v>
      </c>
      <c r="B97" s="26" t="s">
        <v>483</v>
      </c>
      <c r="C97" s="26" t="s">
        <v>511</v>
      </c>
      <c r="D97" s="26"/>
      <c r="E97" s="26"/>
      <c r="F97" s="45" t="s">
        <v>512</v>
      </c>
      <c r="G97" s="26">
        <v>20.0</v>
      </c>
      <c r="H97" s="28">
        <v>0.0</v>
      </c>
    </row>
    <row r="98" ht="22.5" customHeight="1">
      <c r="A98" s="25" t="s">
        <v>513</v>
      </c>
      <c r="B98" s="26" t="s">
        <v>513</v>
      </c>
      <c r="C98" s="26"/>
      <c r="D98" s="26"/>
      <c r="E98" s="26"/>
      <c r="F98" s="45" t="s">
        <v>514</v>
      </c>
      <c r="G98" s="26">
        <v>49.0</v>
      </c>
      <c r="H98" s="28">
        <v>0.0</v>
      </c>
    </row>
    <row r="99" ht="22.5" customHeight="1">
      <c r="A99" s="25" t="s">
        <v>515</v>
      </c>
      <c r="B99" s="26" t="s">
        <v>515</v>
      </c>
      <c r="C99" s="26"/>
      <c r="D99" s="26"/>
      <c r="E99" s="26"/>
      <c r="F99" s="30" t="s">
        <v>516</v>
      </c>
      <c r="G99" s="26">
        <v>40.0</v>
      </c>
      <c r="H99" s="28">
        <v>0.0</v>
      </c>
    </row>
    <row r="100" ht="22.5" customHeight="1">
      <c r="A100" s="25" t="s">
        <v>517</v>
      </c>
      <c r="B100" s="26" t="s">
        <v>517</v>
      </c>
      <c r="C100" s="26"/>
      <c r="D100" s="26"/>
      <c r="E100" s="26"/>
      <c r="F100" s="30" t="s">
        <v>518</v>
      </c>
      <c r="G100" s="26">
        <v>42.0</v>
      </c>
      <c r="H100" s="28">
        <v>0.0</v>
      </c>
    </row>
    <row r="101" ht="22.5" customHeight="1">
      <c r="A101" s="25" t="s">
        <v>519</v>
      </c>
      <c r="B101" s="26" t="s">
        <v>519</v>
      </c>
      <c r="C101" s="26"/>
      <c r="D101" s="26"/>
      <c r="E101" s="26"/>
      <c r="F101" s="45" t="s">
        <v>520</v>
      </c>
      <c r="G101" s="26">
        <v>8.0</v>
      </c>
      <c r="H101" s="28">
        <v>0.0</v>
      </c>
    </row>
    <row r="102" ht="22.5" customHeight="1">
      <c r="A102" s="25" t="s">
        <v>521</v>
      </c>
      <c r="B102" s="26" t="s">
        <v>521</v>
      </c>
      <c r="C102" s="26"/>
      <c r="D102" s="26"/>
      <c r="E102" s="26"/>
      <c r="F102" s="45" t="s">
        <v>522</v>
      </c>
      <c r="G102" s="26">
        <v>9.0</v>
      </c>
      <c r="H102" s="28">
        <v>0.0</v>
      </c>
    </row>
    <row r="103" ht="22.5" customHeight="1">
      <c r="A103" s="25" t="s">
        <v>523</v>
      </c>
      <c r="B103" s="26" t="s">
        <v>523</v>
      </c>
      <c r="C103" s="26"/>
      <c r="D103" s="26"/>
      <c r="E103" s="26"/>
      <c r="F103" s="45" t="s">
        <v>524</v>
      </c>
      <c r="G103" s="26">
        <v>16.0</v>
      </c>
      <c r="H103" s="28">
        <v>0.0</v>
      </c>
    </row>
    <row r="104" ht="22.5" customHeight="1">
      <c r="A104" s="25" t="s">
        <v>525</v>
      </c>
      <c r="B104" s="26" t="s">
        <v>525</v>
      </c>
      <c r="C104" s="26"/>
      <c r="D104" s="26"/>
      <c r="E104" s="26"/>
      <c r="F104" s="45" t="s">
        <v>526</v>
      </c>
      <c r="G104" s="26">
        <v>10.0</v>
      </c>
      <c r="H104" s="28">
        <v>0.0</v>
      </c>
    </row>
    <row r="105" ht="22.5" customHeight="1">
      <c r="A105" s="25" t="s">
        <v>527</v>
      </c>
      <c r="B105" s="26" t="s">
        <v>527</v>
      </c>
      <c r="C105" s="26"/>
      <c r="D105" s="26"/>
      <c r="E105" s="26"/>
      <c r="F105" s="45" t="s">
        <v>528</v>
      </c>
      <c r="G105" s="26">
        <v>289.0</v>
      </c>
      <c r="H105" s="28">
        <v>0.0</v>
      </c>
    </row>
    <row r="106" ht="22.5" customHeight="1">
      <c r="A106" s="25" t="s">
        <v>529</v>
      </c>
      <c r="B106" s="26" t="s">
        <v>530</v>
      </c>
      <c r="C106" s="26" t="s">
        <v>531</v>
      </c>
      <c r="D106" s="26"/>
      <c r="E106" s="26"/>
      <c r="F106" s="30" t="s">
        <v>532</v>
      </c>
      <c r="G106" s="26">
        <v>115.0</v>
      </c>
      <c r="H106" s="28">
        <v>0.0</v>
      </c>
    </row>
    <row r="107" ht="22.5" customHeight="1">
      <c r="A107" s="25" t="s">
        <v>533</v>
      </c>
      <c r="B107" s="26" t="s">
        <v>530</v>
      </c>
      <c r="C107" s="26" t="s">
        <v>534</v>
      </c>
      <c r="D107" s="26"/>
      <c r="E107" s="26"/>
      <c r="F107" s="30" t="s">
        <v>535</v>
      </c>
      <c r="G107" s="26">
        <v>180.0</v>
      </c>
      <c r="H107" s="28">
        <v>0.0</v>
      </c>
    </row>
    <row r="108" ht="22.5" customHeight="1">
      <c r="A108" s="25" t="s">
        <v>536</v>
      </c>
      <c r="B108" s="26" t="s">
        <v>536</v>
      </c>
      <c r="C108" s="26"/>
      <c r="D108" s="26"/>
      <c r="E108" s="26"/>
      <c r="F108" s="45" t="s">
        <v>537</v>
      </c>
      <c r="G108" s="26">
        <v>125.0</v>
      </c>
      <c r="H108" s="28">
        <v>0.0</v>
      </c>
    </row>
    <row r="109" ht="22.5" customHeight="1">
      <c r="A109" s="25" t="s">
        <v>29</v>
      </c>
      <c r="B109" s="26" t="s">
        <v>29</v>
      </c>
      <c r="C109" s="26"/>
      <c r="D109" s="26"/>
      <c r="E109" s="26"/>
      <c r="F109" s="45" t="s">
        <v>538</v>
      </c>
      <c r="G109" s="26">
        <v>10.0</v>
      </c>
      <c r="H109" s="28">
        <v>12.0</v>
      </c>
    </row>
    <row r="110" ht="22.5" customHeight="1">
      <c r="A110" s="25" t="s">
        <v>30</v>
      </c>
      <c r="B110" s="26" t="s">
        <v>30</v>
      </c>
      <c r="C110" s="26"/>
      <c r="D110" s="26"/>
      <c r="E110" s="26"/>
      <c r="F110" s="45" t="s">
        <v>539</v>
      </c>
      <c r="G110" s="26">
        <v>15.0</v>
      </c>
      <c r="H110" s="28">
        <v>23.0</v>
      </c>
    </row>
    <row r="111" ht="22.5" customHeight="1">
      <c r="A111" s="25" t="s">
        <v>31</v>
      </c>
      <c r="B111" s="26" t="s">
        <v>31</v>
      </c>
      <c r="C111" s="26"/>
      <c r="D111" s="26"/>
      <c r="E111" s="26"/>
      <c r="F111" s="45" t="s">
        <v>540</v>
      </c>
      <c r="G111" s="26">
        <v>3.0</v>
      </c>
      <c r="H111" s="28">
        <v>10.0</v>
      </c>
    </row>
    <row r="112" ht="22.5" customHeight="1">
      <c r="A112" s="25" t="s">
        <v>32</v>
      </c>
      <c r="B112" s="26" t="s">
        <v>541</v>
      </c>
      <c r="C112" s="26" t="s">
        <v>511</v>
      </c>
      <c r="D112" s="26"/>
      <c r="E112" s="26"/>
      <c r="F112" s="45" t="s">
        <v>542</v>
      </c>
      <c r="G112" s="26">
        <v>19.0</v>
      </c>
      <c r="H112" s="28">
        <v>17.0</v>
      </c>
    </row>
    <row r="113" ht="22.5" customHeight="1">
      <c r="A113" s="25" t="s">
        <v>33</v>
      </c>
      <c r="B113" s="26" t="s">
        <v>33</v>
      </c>
      <c r="C113" s="26"/>
      <c r="D113" s="26"/>
      <c r="E113" s="26"/>
      <c r="F113" s="45" t="s">
        <v>543</v>
      </c>
      <c r="G113" s="26">
        <v>12.0</v>
      </c>
      <c r="H113" s="28">
        <v>18.0</v>
      </c>
    </row>
    <row r="114" ht="22.5" customHeight="1">
      <c r="A114" s="25" t="s">
        <v>34</v>
      </c>
      <c r="B114" s="26" t="s">
        <v>34</v>
      </c>
      <c r="C114" s="26"/>
      <c r="D114" s="26"/>
      <c r="E114" s="26"/>
      <c r="F114" s="45" t="s">
        <v>544</v>
      </c>
      <c r="G114" s="26">
        <v>60.0</v>
      </c>
      <c r="H114" s="28">
        <v>72.0</v>
      </c>
    </row>
    <row r="115" ht="22.5" customHeight="1">
      <c r="A115" s="25" t="s">
        <v>545</v>
      </c>
      <c r="B115" s="26" t="s">
        <v>546</v>
      </c>
      <c r="C115" s="26" t="s">
        <v>531</v>
      </c>
      <c r="D115" s="26"/>
      <c r="E115" s="26"/>
      <c r="F115" s="45" t="s">
        <v>547</v>
      </c>
      <c r="G115" s="26">
        <v>12.0</v>
      </c>
      <c r="H115" s="28">
        <v>38.0</v>
      </c>
    </row>
    <row r="116" ht="22.5" customHeight="1">
      <c r="A116" s="25" t="s">
        <v>548</v>
      </c>
      <c r="B116" s="26" t="s">
        <v>549</v>
      </c>
      <c r="C116" s="26" t="s">
        <v>550</v>
      </c>
      <c r="D116" s="26"/>
      <c r="E116" s="26"/>
      <c r="F116" s="45" t="s">
        <v>551</v>
      </c>
      <c r="G116" s="26">
        <v>211.0</v>
      </c>
      <c r="H116" s="28">
        <v>0.0</v>
      </c>
    </row>
    <row r="117" ht="22.5" customHeight="1">
      <c r="A117" s="25" t="s">
        <v>552</v>
      </c>
      <c r="B117" s="26" t="s">
        <v>553</v>
      </c>
      <c r="C117" s="26" t="s">
        <v>550</v>
      </c>
      <c r="D117" s="26"/>
      <c r="E117" s="26"/>
      <c r="F117" s="45" t="s">
        <v>551</v>
      </c>
      <c r="G117" s="26">
        <v>275.0</v>
      </c>
      <c r="H117" s="28">
        <v>0.0</v>
      </c>
    </row>
    <row r="118" ht="22.5" customHeight="1">
      <c r="A118" s="25" t="s">
        <v>554</v>
      </c>
      <c r="B118" s="26" t="s">
        <v>555</v>
      </c>
      <c r="C118" s="26" t="s">
        <v>534</v>
      </c>
      <c r="D118" s="26"/>
      <c r="E118" s="26"/>
      <c r="F118" s="45" t="s">
        <v>556</v>
      </c>
      <c r="G118" s="26">
        <v>75.0</v>
      </c>
      <c r="H118" s="28">
        <v>0.0</v>
      </c>
    </row>
    <row r="119" ht="22.5" customHeight="1">
      <c r="A119" s="25" t="s">
        <v>36</v>
      </c>
      <c r="B119" s="46" t="s">
        <v>36</v>
      </c>
      <c r="C119" s="46"/>
      <c r="D119" s="26"/>
      <c r="E119" s="26"/>
      <c r="F119" s="30" t="s">
        <v>557</v>
      </c>
      <c r="G119" s="26">
        <v>30.0</v>
      </c>
      <c r="H119" s="28">
        <v>30.0</v>
      </c>
    </row>
    <row r="120" ht="22.5" customHeight="1">
      <c r="A120" s="25" t="s">
        <v>37</v>
      </c>
      <c r="B120" s="46" t="s">
        <v>37</v>
      </c>
      <c r="C120" s="46"/>
      <c r="D120" s="26"/>
      <c r="E120" s="26"/>
      <c r="F120" s="30" t="s">
        <v>558</v>
      </c>
      <c r="G120" s="26">
        <v>84.0</v>
      </c>
      <c r="H120" s="28">
        <v>15.0</v>
      </c>
    </row>
    <row r="121" ht="22.5" customHeight="1">
      <c r="A121" s="25" t="s">
        <v>38</v>
      </c>
      <c r="B121" s="46" t="s">
        <v>559</v>
      </c>
      <c r="C121" s="46" t="s">
        <v>550</v>
      </c>
      <c r="D121" s="26"/>
      <c r="E121" s="26"/>
      <c r="F121" s="30" t="s">
        <v>560</v>
      </c>
      <c r="G121" s="26">
        <v>5.0</v>
      </c>
      <c r="H121" s="28">
        <v>9.0</v>
      </c>
    </row>
    <row r="122" ht="22.5" customHeight="1">
      <c r="A122" s="25" t="s">
        <v>39</v>
      </c>
      <c r="B122" s="46" t="s">
        <v>561</v>
      </c>
      <c r="C122" s="46" t="s">
        <v>562</v>
      </c>
      <c r="D122" s="26"/>
      <c r="E122" s="26"/>
      <c r="F122" s="45" t="s">
        <v>563</v>
      </c>
      <c r="G122" s="26">
        <v>17.0</v>
      </c>
      <c r="H122" s="28">
        <v>22.0</v>
      </c>
    </row>
    <row r="123" ht="22.5" customHeight="1">
      <c r="A123" s="25" t="s">
        <v>40</v>
      </c>
      <c r="B123" s="46" t="s">
        <v>564</v>
      </c>
      <c r="C123" s="46" t="s">
        <v>565</v>
      </c>
      <c r="D123" s="26"/>
      <c r="E123" s="26"/>
      <c r="F123" s="45" t="s">
        <v>566</v>
      </c>
      <c r="G123" s="26">
        <v>34.0</v>
      </c>
      <c r="H123" s="28">
        <v>18.0</v>
      </c>
    </row>
    <row r="124" ht="22.5" customHeight="1">
      <c r="A124" s="25" t="s">
        <v>41</v>
      </c>
      <c r="B124" s="46" t="s">
        <v>567</v>
      </c>
      <c r="C124" s="46" t="s">
        <v>568</v>
      </c>
      <c r="D124" s="26"/>
      <c r="E124" s="26"/>
      <c r="F124" s="45" t="s">
        <v>569</v>
      </c>
      <c r="G124" s="26">
        <v>9.0</v>
      </c>
      <c r="H124" s="28">
        <v>6.0</v>
      </c>
    </row>
    <row r="125" ht="22.5" customHeight="1">
      <c r="A125" s="25" t="s">
        <v>570</v>
      </c>
      <c r="B125" s="46" t="s">
        <v>571</v>
      </c>
      <c r="C125" s="46" t="s">
        <v>572</v>
      </c>
      <c r="D125" s="26"/>
      <c r="E125" s="26"/>
      <c r="F125" s="45" t="s">
        <v>573</v>
      </c>
      <c r="G125" s="26">
        <v>33.0</v>
      </c>
      <c r="H125" s="28">
        <v>0.0</v>
      </c>
    </row>
    <row r="126" ht="22.5" customHeight="1">
      <c r="A126" s="25" t="s">
        <v>42</v>
      </c>
      <c r="B126" s="46" t="s">
        <v>574</v>
      </c>
      <c r="C126" s="46" t="s">
        <v>575</v>
      </c>
      <c r="D126" s="26"/>
      <c r="E126" s="26"/>
      <c r="F126" s="45" t="s">
        <v>576</v>
      </c>
      <c r="G126" s="26">
        <v>3.0</v>
      </c>
      <c r="H126" s="28">
        <v>16.0</v>
      </c>
    </row>
    <row r="127" ht="22.5" customHeight="1">
      <c r="A127" s="25" t="s">
        <v>43</v>
      </c>
      <c r="B127" s="46" t="s">
        <v>577</v>
      </c>
      <c r="C127" s="46" t="s">
        <v>578</v>
      </c>
      <c r="D127" s="26"/>
      <c r="E127" s="26"/>
      <c r="F127" s="45" t="s">
        <v>579</v>
      </c>
      <c r="G127" s="26">
        <v>13.0</v>
      </c>
      <c r="H127" s="28">
        <v>18.0</v>
      </c>
    </row>
    <row r="128" ht="22.5" customHeight="1">
      <c r="A128" s="25" t="s">
        <v>580</v>
      </c>
      <c r="B128" s="46" t="s">
        <v>581</v>
      </c>
      <c r="C128" s="46" t="s">
        <v>582</v>
      </c>
      <c r="D128" s="26"/>
      <c r="E128" s="26"/>
      <c r="F128" s="45" t="s">
        <v>583</v>
      </c>
      <c r="G128" s="26">
        <v>2.0</v>
      </c>
      <c r="H128" s="28">
        <v>0.0</v>
      </c>
    </row>
    <row r="129" ht="22.5" customHeight="1">
      <c r="A129" s="25" t="s">
        <v>584</v>
      </c>
      <c r="B129" s="46" t="s">
        <v>584</v>
      </c>
      <c r="C129" s="46"/>
      <c r="D129" s="26"/>
      <c r="E129" s="26">
        <v>690.0</v>
      </c>
      <c r="F129" s="30" t="s">
        <v>585</v>
      </c>
      <c r="G129" s="26">
        <v>10.0</v>
      </c>
      <c r="H129" s="28">
        <v>0.0</v>
      </c>
    </row>
    <row r="130" ht="22.5" customHeight="1">
      <c r="A130" s="25" t="s">
        <v>46</v>
      </c>
      <c r="B130" s="46" t="s">
        <v>46</v>
      </c>
      <c r="C130" s="46"/>
      <c r="D130" s="26"/>
      <c r="E130" s="26"/>
      <c r="F130" s="45" t="s">
        <v>586</v>
      </c>
      <c r="G130" s="26">
        <v>7.0</v>
      </c>
      <c r="H130" s="28">
        <v>12.0</v>
      </c>
    </row>
    <row r="131" ht="22.5" customHeight="1">
      <c r="A131" s="25" t="s">
        <v>587</v>
      </c>
      <c r="B131" s="46" t="s">
        <v>587</v>
      </c>
      <c r="C131" s="46"/>
      <c r="D131" s="26"/>
      <c r="E131" s="26"/>
      <c r="F131" s="45" t="s">
        <v>588</v>
      </c>
      <c r="G131" s="26">
        <v>3.0</v>
      </c>
      <c r="H131" s="28">
        <v>0.0</v>
      </c>
    </row>
    <row r="132" ht="22.5" customHeight="1">
      <c r="A132" s="25" t="s">
        <v>73</v>
      </c>
      <c r="B132" s="46" t="s">
        <v>73</v>
      </c>
      <c r="C132" s="46"/>
      <c r="D132" s="26"/>
      <c r="E132" s="26"/>
      <c r="F132" s="45" t="s">
        <v>589</v>
      </c>
      <c r="G132" s="26"/>
      <c r="H132" s="28">
        <v>3.0</v>
      </c>
    </row>
    <row r="133" ht="22.5" customHeight="1">
      <c r="A133" s="25" t="s">
        <v>76</v>
      </c>
      <c r="B133" s="46" t="s">
        <v>76</v>
      </c>
      <c r="C133" s="46"/>
      <c r="D133" s="26"/>
      <c r="E133" s="26"/>
      <c r="F133" s="45" t="s">
        <v>590</v>
      </c>
      <c r="G133" s="26"/>
      <c r="H133" s="28">
        <v>5.0</v>
      </c>
    </row>
    <row r="134" ht="22.5" customHeight="1">
      <c r="A134" s="25" t="s">
        <v>74</v>
      </c>
      <c r="B134" s="46" t="s">
        <v>74</v>
      </c>
      <c r="C134" s="46"/>
      <c r="D134" s="26"/>
      <c r="E134" s="26"/>
      <c r="F134" s="45" t="s">
        <v>591</v>
      </c>
      <c r="G134" s="26"/>
      <c r="H134" s="28">
        <v>5.0</v>
      </c>
    </row>
    <row r="135" ht="22.5" customHeight="1">
      <c r="A135" s="36" t="s">
        <v>75</v>
      </c>
      <c r="B135" s="46" t="s">
        <v>75</v>
      </c>
      <c r="C135" s="46"/>
      <c r="D135" s="26"/>
      <c r="E135" s="26"/>
      <c r="F135" s="45" t="s">
        <v>592</v>
      </c>
      <c r="G135" s="26"/>
      <c r="H135" s="28">
        <v>8.0</v>
      </c>
    </row>
    <row r="136" ht="22.5" customHeight="1">
      <c r="A136" s="25" t="s">
        <v>79</v>
      </c>
      <c r="B136" s="46" t="s">
        <v>79</v>
      </c>
      <c r="C136" s="46"/>
      <c r="D136" s="26"/>
      <c r="E136" s="26">
        <v>180.0</v>
      </c>
      <c r="F136" s="45" t="s">
        <v>593</v>
      </c>
      <c r="G136" s="26">
        <v>23.0</v>
      </c>
      <c r="H136" s="28">
        <v>16.0</v>
      </c>
    </row>
    <row r="137" ht="22.5" customHeight="1">
      <c r="A137" s="25" t="s">
        <v>78</v>
      </c>
      <c r="B137" s="46" t="s">
        <v>78</v>
      </c>
      <c r="C137" s="46"/>
      <c r="D137" s="26"/>
      <c r="E137" s="26"/>
      <c r="F137" s="45" t="s">
        <v>594</v>
      </c>
      <c r="G137" s="26">
        <v>10.0</v>
      </c>
      <c r="H137" s="28">
        <v>10.0</v>
      </c>
    </row>
    <row r="138" ht="22.5" customHeight="1">
      <c r="A138" s="25" t="s">
        <v>77</v>
      </c>
      <c r="B138" s="46" t="s">
        <v>77</v>
      </c>
      <c r="C138" s="46"/>
      <c r="D138" s="26"/>
      <c r="E138" s="26">
        <v>235.0</v>
      </c>
      <c r="F138" s="45" t="s">
        <v>595</v>
      </c>
      <c r="G138" s="26">
        <v>16.0</v>
      </c>
      <c r="H138" s="28">
        <v>18.0</v>
      </c>
    </row>
    <row r="139" ht="22.5" customHeight="1">
      <c r="A139" s="25" t="s">
        <v>596</v>
      </c>
      <c r="B139" s="46" t="s">
        <v>597</v>
      </c>
      <c r="C139" s="46"/>
      <c r="D139" s="26" t="s">
        <v>598</v>
      </c>
      <c r="E139" s="26"/>
      <c r="F139" s="27" t="s">
        <v>594</v>
      </c>
      <c r="G139" s="26">
        <v>7.0</v>
      </c>
      <c r="H139" s="28">
        <v>0.0</v>
      </c>
    </row>
    <row r="140" ht="22.5" customHeight="1">
      <c r="A140" s="25" t="s">
        <v>83</v>
      </c>
      <c r="B140" s="46" t="s">
        <v>83</v>
      </c>
      <c r="C140" s="46"/>
      <c r="D140" s="26"/>
      <c r="E140" s="26"/>
      <c r="F140" s="45" t="s">
        <v>599</v>
      </c>
      <c r="G140" s="26">
        <v>182.0</v>
      </c>
      <c r="H140" s="28">
        <v>220.0</v>
      </c>
    </row>
    <row r="141" ht="22.5" customHeight="1">
      <c r="A141" s="25" t="s">
        <v>600</v>
      </c>
      <c r="B141" s="46" t="s">
        <v>600</v>
      </c>
      <c r="C141" s="46"/>
      <c r="D141" s="26"/>
      <c r="E141" s="26"/>
      <c r="F141" s="45" t="s">
        <v>601</v>
      </c>
      <c r="G141" s="26">
        <v>20.0</v>
      </c>
      <c r="H141" s="28">
        <v>0.0</v>
      </c>
    </row>
    <row r="142" ht="22.5" customHeight="1">
      <c r="A142" s="25" t="s">
        <v>602</v>
      </c>
      <c r="B142" s="46" t="s">
        <v>602</v>
      </c>
      <c r="C142" s="46"/>
      <c r="D142" s="26"/>
      <c r="E142" s="26"/>
      <c r="F142" s="27" t="s">
        <v>603</v>
      </c>
      <c r="G142" s="26">
        <v>1482.0</v>
      </c>
      <c r="H142" s="28">
        <v>0.0</v>
      </c>
    </row>
    <row r="143" ht="22.5" customHeight="1">
      <c r="A143" s="25" t="s">
        <v>604</v>
      </c>
      <c r="B143" s="46" t="s">
        <v>605</v>
      </c>
      <c r="C143" s="46" t="s">
        <v>103</v>
      </c>
      <c r="D143" s="26"/>
      <c r="E143" s="26"/>
      <c r="F143" s="27" t="s">
        <v>606</v>
      </c>
      <c r="G143" s="26">
        <v>58.0</v>
      </c>
      <c r="H143" s="28">
        <v>0.0</v>
      </c>
    </row>
    <row r="144" ht="22.5" customHeight="1">
      <c r="A144" s="25" t="s">
        <v>607</v>
      </c>
      <c r="B144" s="46" t="s">
        <v>607</v>
      </c>
      <c r="C144" s="46"/>
      <c r="D144" s="26"/>
      <c r="E144" s="26"/>
      <c r="F144" s="45" t="s">
        <v>608</v>
      </c>
      <c r="G144" s="26" t="s">
        <v>609</v>
      </c>
      <c r="H144" s="28">
        <v>0.0</v>
      </c>
    </row>
    <row r="145" ht="22.5" customHeight="1">
      <c r="A145" s="25" t="s">
        <v>610</v>
      </c>
      <c r="B145" s="46" t="s">
        <v>611</v>
      </c>
      <c r="C145" s="46" t="s">
        <v>531</v>
      </c>
      <c r="D145" s="26"/>
      <c r="E145" s="26"/>
      <c r="F145" s="45" t="s">
        <v>612</v>
      </c>
      <c r="G145" s="26">
        <v>32.0</v>
      </c>
      <c r="H145" s="28">
        <v>0.0</v>
      </c>
    </row>
    <row r="146" ht="22.5" customHeight="1">
      <c r="A146" s="25" t="s">
        <v>613</v>
      </c>
      <c r="B146" s="46" t="s">
        <v>611</v>
      </c>
      <c r="C146" s="46" t="s">
        <v>534</v>
      </c>
      <c r="D146" s="26"/>
      <c r="E146" s="26"/>
      <c r="F146" s="45" t="s">
        <v>614</v>
      </c>
      <c r="G146" s="26">
        <v>45.0</v>
      </c>
      <c r="H146" s="28">
        <v>0.0</v>
      </c>
    </row>
    <row r="147" ht="22.5" customHeight="1">
      <c r="A147" s="25" t="s">
        <v>615</v>
      </c>
      <c r="B147" s="46" t="s">
        <v>615</v>
      </c>
      <c r="C147" s="46"/>
      <c r="D147" s="26"/>
      <c r="E147" s="26"/>
      <c r="F147" s="45" t="s">
        <v>616</v>
      </c>
      <c r="G147" s="26">
        <v>15.0</v>
      </c>
      <c r="H147" s="28">
        <v>0.0</v>
      </c>
    </row>
    <row r="148" ht="22.5" customHeight="1">
      <c r="A148" s="25" t="s">
        <v>617</v>
      </c>
      <c r="B148" s="46" t="s">
        <v>617</v>
      </c>
      <c r="C148" s="46"/>
      <c r="D148" s="26"/>
      <c r="E148" s="26"/>
      <c r="F148" s="45" t="s">
        <v>618</v>
      </c>
      <c r="G148" s="26">
        <v>21.0</v>
      </c>
      <c r="H148" s="28">
        <v>0.0</v>
      </c>
    </row>
    <row r="149" ht="22.5" customHeight="1">
      <c r="A149" s="25" t="s">
        <v>619</v>
      </c>
      <c r="B149" s="46" t="s">
        <v>619</v>
      </c>
      <c r="C149" s="46"/>
      <c r="D149" s="26"/>
      <c r="E149" s="26"/>
      <c r="F149" s="45" t="s">
        <v>620</v>
      </c>
      <c r="G149" s="26">
        <v>84.0</v>
      </c>
      <c r="H149" s="28">
        <v>0.0</v>
      </c>
    </row>
    <row r="150" ht="22.5" customHeight="1">
      <c r="A150" s="25" t="s">
        <v>621</v>
      </c>
      <c r="B150" s="46" t="s">
        <v>622</v>
      </c>
      <c r="C150" s="46" t="s">
        <v>103</v>
      </c>
      <c r="D150" s="26"/>
      <c r="E150" s="26"/>
      <c r="F150" s="27" t="s">
        <v>623</v>
      </c>
      <c r="G150" s="26">
        <v>6.0</v>
      </c>
      <c r="H150" s="28">
        <v>0.0</v>
      </c>
    </row>
    <row r="151" ht="22.5" customHeight="1">
      <c r="A151" s="25" t="s">
        <v>624</v>
      </c>
      <c r="B151" s="46" t="s">
        <v>622</v>
      </c>
      <c r="C151" s="46" t="s">
        <v>201</v>
      </c>
      <c r="D151" s="26"/>
      <c r="E151" s="26"/>
      <c r="F151" s="45" t="s">
        <v>625</v>
      </c>
      <c r="G151" s="26">
        <v>18.0</v>
      </c>
      <c r="H151" s="28">
        <v>0.0</v>
      </c>
    </row>
    <row r="152" ht="22.5" customHeight="1">
      <c r="A152" s="25" t="s">
        <v>626</v>
      </c>
      <c r="B152" s="46" t="s">
        <v>626</v>
      </c>
      <c r="C152" s="46"/>
      <c r="D152" s="26"/>
      <c r="E152" s="26"/>
      <c r="F152" s="45" t="s">
        <v>627</v>
      </c>
      <c r="G152" s="26">
        <v>12.0</v>
      </c>
      <c r="H152" s="28">
        <v>0.0</v>
      </c>
    </row>
    <row r="153" ht="22.5" customHeight="1">
      <c r="A153" s="25" t="s">
        <v>628</v>
      </c>
      <c r="B153" s="19" t="s">
        <v>628</v>
      </c>
      <c r="C153" s="46"/>
      <c r="D153" s="26"/>
      <c r="E153" s="26"/>
      <c r="F153" s="30" t="s">
        <v>629</v>
      </c>
      <c r="G153" s="26">
        <v>25.0</v>
      </c>
      <c r="H153" s="28">
        <v>0.0</v>
      </c>
    </row>
    <row r="154" ht="22.5" customHeight="1">
      <c r="A154" s="25" t="s">
        <v>630</v>
      </c>
      <c r="B154" s="19" t="s">
        <v>630</v>
      </c>
      <c r="C154" s="46"/>
      <c r="D154" s="26"/>
      <c r="E154" s="26"/>
      <c r="F154" s="30" t="s">
        <v>365</v>
      </c>
      <c r="G154" s="26">
        <v>29.0</v>
      </c>
      <c r="H154" s="28">
        <v>0.0</v>
      </c>
    </row>
    <row r="155" ht="22.5" customHeight="1">
      <c r="A155" s="25" t="s">
        <v>631</v>
      </c>
      <c r="B155" s="19" t="s">
        <v>631</v>
      </c>
      <c r="C155" s="46"/>
      <c r="D155" s="26"/>
      <c r="E155" s="26"/>
      <c r="F155" s="27" t="s">
        <v>629</v>
      </c>
      <c r="G155" s="26">
        <v>16.0</v>
      </c>
      <c r="H155" s="28">
        <v>0.0</v>
      </c>
    </row>
    <row r="156" ht="22.5" customHeight="1">
      <c r="A156" s="25" t="s">
        <v>632</v>
      </c>
      <c r="B156" s="19" t="s">
        <v>632</v>
      </c>
      <c r="C156" s="46"/>
      <c r="D156" s="26"/>
      <c r="E156" s="26"/>
      <c r="F156" s="45" t="s">
        <v>360</v>
      </c>
      <c r="G156" s="26">
        <v>2.0</v>
      </c>
      <c r="H156" s="28">
        <v>0.0</v>
      </c>
    </row>
    <row r="157" ht="22.5" customHeight="1">
      <c r="A157" s="25" t="s">
        <v>633</v>
      </c>
      <c r="B157" s="46" t="s">
        <v>633</v>
      </c>
      <c r="C157" s="46"/>
      <c r="D157" s="26"/>
      <c r="E157" s="26"/>
      <c r="F157" s="45" t="s">
        <v>634</v>
      </c>
      <c r="G157" s="26">
        <v>152.0</v>
      </c>
      <c r="H157" s="28">
        <v>0.0</v>
      </c>
    </row>
    <row r="158" ht="22.5" customHeight="1">
      <c r="A158" s="25" t="s">
        <v>635</v>
      </c>
      <c r="B158" s="46" t="s">
        <v>635</v>
      </c>
      <c r="C158" s="46"/>
      <c r="D158" s="26"/>
      <c r="E158" s="26"/>
      <c r="F158" s="45" t="s">
        <v>636</v>
      </c>
      <c r="G158" s="26">
        <v>42.0</v>
      </c>
      <c r="H158" s="28">
        <v>0.0</v>
      </c>
    </row>
    <row r="159" ht="22.5" customHeight="1">
      <c r="A159" s="47" t="s">
        <v>637</v>
      </c>
      <c r="B159" s="46" t="s">
        <v>637</v>
      </c>
      <c r="C159" s="46"/>
      <c r="D159" s="26"/>
      <c r="E159" s="26"/>
      <c r="F159" s="45" t="s">
        <v>638</v>
      </c>
      <c r="G159" s="26">
        <v>48.0</v>
      </c>
      <c r="H159" s="28">
        <v>0.0</v>
      </c>
    </row>
    <row r="160" ht="22.5" customHeight="1">
      <c r="A160" s="25" t="s">
        <v>639</v>
      </c>
      <c r="B160" s="46" t="s">
        <v>639</v>
      </c>
      <c r="C160" s="46"/>
      <c r="D160" s="26"/>
      <c r="E160" s="26"/>
      <c r="F160" s="45" t="s">
        <v>640</v>
      </c>
      <c r="G160" s="26">
        <v>75.0</v>
      </c>
      <c r="H160" s="28">
        <v>0.0</v>
      </c>
    </row>
    <row r="161" ht="22.5" customHeight="1">
      <c r="A161" s="25" t="s">
        <v>641</v>
      </c>
      <c r="B161" s="46" t="s">
        <v>642</v>
      </c>
      <c r="C161" s="46"/>
      <c r="D161" s="26" t="s">
        <v>643</v>
      </c>
      <c r="E161" s="26"/>
      <c r="F161" s="30" t="s">
        <v>644</v>
      </c>
      <c r="G161" s="26">
        <v>146.0</v>
      </c>
      <c r="H161" s="28">
        <v>0.0</v>
      </c>
    </row>
    <row r="162" ht="22.5" customHeight="1">
      <c r="A162" s="25" t="s">
        <v>645</v>
      </c>
      <c r="B162" s="46" t="s">
        <v>646</v>
      </c>
      <c r="C162" s="46"/>
      <c r="D162" s="26" t="s">
        <v>647</v>
      </c>
      <c r="E162" s="26"/>
      <c r="F162" s="45" t="s">
        <v>648</v>
      </c>
      <c r="G162" s="26">
        <v>40.0</v>
      </c>
      <c r="H162" s="28">
        <v>0.0</v>
      </c>
    </row>
    <row r="163" ht="22.5" customHeight="1">
      <c r="A163" s="25" t="s">
        <v>649</v>
      </c>
      <c r="B163" s="46" t="s">
        <v>650</v>
      </c>
      <c r="C163" s="46"/>
      <c r="D163" s="26" t="s">
        <v>651</v>
      </c>
      <c r="E163" s="26"/>
      <c r="F163" s="30" t="s">
        <v>652</v>
      </c>
      <c r="G163" s="26">
        <v>50.0</v>
      </c>
      <c r="H163" s="28">
        <v>0.0</v>
      </c>
    </row>
    <row r="164" ht="22.5" customHeight="1">
      <c r="A164" s="25" t="s">
        <v>653</v>
      </c>
      <c r="B164" s="46" t="s">
        <v>654</v>
      </c>
      <c r="C164" s="46" t="s">
        <v>655</v>
      </c>
      <c r="D164" s="26"/>
      <c r="E164" s="26"/>
      <c r="F164" s="30" t="s">
        <v>656</v>
      </c>
      <c r="G164" s="26">
        <v>135.0</v>
      </c>
      <c r="H164" s="28">
        <v>0.0</v>
      </c>
    </row>
    <row r="165" ht="22.5" customHeight="1">
      <c r="A165" s="25" t="s">
        <v>657</v>
      </c>
      <c r="B165" s="46" t="s">
        <v>654</v>
      </c>
      <c r="C165" s="46" t="s">
        <v>658</v>
      </c>
      <c r="D165" s="26"/>
      <c r="E165" s="26"/>
      <c r="F165" s="45" t="s">
        <v>659</v>
      </c>
      <c r="G165" s="26">
        <v>66.0</v>
      </c>
      <c r="H165" s="28">
        <v>0.0</v>
      </c>
    </row>
    <row r="166" ht="22.5" customHeight="1">
      <c r="A166" s="25" t="s">
        <v>660</v>
      </c>
      <c r="B166" s="46" t="s">
        <v>660</v>
      </c>
      <c r="C166" s="46"/>
      <c r="D166" s="26"/>
      <c r="E166" s="26"/>
      <c r="F166" s="45" t="s">
        <v>661</v>
      </c>
      <c r="G166" s="26">
        <v>62.0</v>
      </c>
      <c r="H166" s="28">
        <v>0.0</v>
      </c>
    </row>
    <row r="167" ht="22.5" customHeight="1">
      <c r="A167" s="25" t="s">
        <v>662</v>
      </c>
      <c r="B167" s="46" t="s">
        <v>662</v>
      </c>
      <c r="C167" s="46"/>
      <c r="D167" s="26"/>
      <c r="E167" s="26"/>
      <c r="F167" s="45" t="s">
        <v>663</v>
      </c>
      <c r="G167" s="26">
        <v>38.0</v>
      </c>
      <c r="H167" s="28">
        <v>0.0</v>
      </c>
    </row>
    <row r="168" ht="22.5" customHeight="1">
      <c r="A168" s="25" t="s">
        <v>664</v>
      </c>
      <c r="B168" s="46" t="s">
        <v>665</v>
      </c>
      <c r="C168" s="46"/>
      <c r="D168" s="26" t="s">
        <v>666</v>
      </c>
      <c r="E168" s="26"/>
      <c r="F168" s="45" t="s">
        <v>667</v>
      </c>
      <c r="G168" s="26" t="s">
        <v>668</v>
      </c>
      <c r="H168" s="28">
        <v>0.0</v>
      </c>
    </row>
    <row r="169" ht="22.5" customHeight="1">
      <c r="A169" s="25" t="s">
        <v>669</v>
      </c>
      <c r="B169" s="46" t="s">
        <v>646</v>
      </c>
      <c r="C169" s="46"/>
      <c r="D169" s="26" t="s">
        <v>670</v>
      </c>
      <c r="E169" s="26"/>
      <c r="F169" s="45" t="s">
        <v>671</v>
      </c>
      <c r="G169" s="26">
        <v>20.0</v>
      </c>
      <c r="H169" s="28">
        <v>0.0</v>
      </c>
    </row>
    <row r="170" ht="22.5" customHeight="1">
      <c r="A170" s="25" t="s">
        <v>672</v>
      </c>
      <c r="B170" s="46" t="s">
        <v>646</v>
      </c>
      <c r="C170" s="46"/>
      <c r="D170" s="26" t="s">
        <v>673</v>
      </c>
      <c r="E170" s="26"/>
      <c r="F170" s="45" t="s">
        <v>674</v>
      </c>
      <c r="G170" s="26">
        <v>40.0</v>
      </c>
      <c r="H170" s="28">
        <v>0.0</v>
      </c>
    </row>
    <row r="171" ht="22.5" customHeight="1">
      <c r="A171" s="25" t="s">
        <v>675</v>
      </c>
      <c r="B171" s="46" t="s">
        <v>646</v>
      </c>
      <c r="C171" s="46"/>
      <c r="D171" s="26" t="s">
        <v>676</v>
      </c>
      <c r="E171" s="26"/>
      <c r="F171" s="27" t="s">
        <v>677</v>
      </c>
      <c r="G171" s="26">
        <v>68.0</v>
      </c>
      <c r="H171" s="28">
        <v>0.0</v>
      </c>
    </row>
    <row r="172" ht="22.5" customHeight="1">
      <c r="A172" s="25" t="s">
        <v>678</v>
      </c>
      <c r="B172" s="46" t="s">
        <v>678</v>
      </c>
      <c r="C172" s="46"/>
      <c r="D172" s="26"/>
      <c r="E172" s="26"/>
      <c r="F172" s="45" t="s">
        <v>679</v>
      </c>
      <c r="G172" s="26">
        <v>75.0</v>
      </c>
      <c r="H172" s="28">
        <v>0.0</v>
      </c>
    </row>
    <row r="173" ht="22.5" customHeight="1">
      <c r="A173" s="25" t="s">
        <v>680</v>
      </c>
      <c r="B173" s="46" t="s">
        <v>681</v>
      </c>
      <c r="C173" s="46"/>
      <c r="D173" s="26" t="s">
        <v>682</v>
      </c>
      <c r="E173" s="26"/>
      <c r="F173" s="27" t="s">
        <v>683</v>
      </c>
      <c r="G173" s="26">
        <v>10.0</v>
      </c>
      <c r="H173" s="28">
        <v>0.0</v>
      </c>
    </row>
    <row r="174" ht="22.5" customHeight="1">
      <c r="A174" s="25" t="s">
        <v>684</v>
      </c>
      <c r="B174" s="46" t="s">
        <v>684</v>
      </c>
      <c r="C174" s="46"/>
      <c r="D174" s="26"/>
      <c r="E174" s="26"/>
      <c r="F174" s="27" t="s">
        <v>685</v>
      </c>
      <c r="G174" s="26">
        <v>659.0</v>
      </c>
      <c r="H174" s="28">
        <v>0.0</v>
      </c>
    </row>
    <row r="175" ht="22.5" customHeight="1">
      <c r="A175" s="25" t="s">
        <v>686</v>
      </c>
      <c r="B175" s="46" t="s">
        <v>686</v>
      </c>
      <c r="C175" s="46"/>
      <c r="D175" s="26"/>
      <c r="E175" s="26"/>
      <c r="F175" s="45" t="s">
        <v>687</v>
      </c>
      <c r="G175" s="26">
        <v>235.0</v>
      </c>
      <c r="H175" s="28">
        <v>0.0</v>
      </c>
    </row>
    <row r="176" ht="22.5" customHeight="1">
      <c r="A176" s="25" t="s">
        <v>688</v>
      </c>
      <c r="B176" s="46" t="s">
        <v>688</v>
      </c>
      <c r="C176" s="46"/>
      <c r="D176" s="26"/>
      <c r="E176" s="26"/>
      <c r="F176" s="27" t="s">
        <v>689</v>
      </c>
      <c r="G176" s="26">
        <v>736.0</v>
      </c>
      <c r="H176" s="28">
        <v>0.0</v>
      </c>
    </row>
    <row r="177" ht="22.5" customHeight="1">
      <c r="A177" s="25" t="s">
        <v>690</v>
      </c>
      <c r="B177" s="46" t="s">
        <v>690</v>
      </c>
      <c r="C177" s="46"/>
      <c r="D177" s="26"/>
      <c r="E177" s="26"/>
      <c r="F177" s="45" t="s">
        <v>691</v>
      </c>
      <c r="G177" s="26">
        <v>452.0</v>
      </c>
      <c r="H177" s="28">
        <v>0.0</v>
      </c>
    </row>
    <row r="178" ht="22.5" customHeight="1">
      <c r="A178" s="25" t="s">
        <v>692</v>
      </c>
      <c r="B178" s="46" t="s">
        <v>693</v>
      </c>
      <c r="C178" s="46" t="s">
        <v>103</v>
      </c>
      <c r="D178" s="26"/>
      <c r="E178" s="26"/>
      <c r="F178" s="45" t="s">
        <v>694</v>
      </c>
      <c r="G178" s="26">
        <v>40.0</v>
      </c>
      <c r="H178" s="28">
        <v>0.0</v>
      </c>
    </row>
    <row r="179" ht="22.5" customHeight="1">
      <c r="A179" s="25" t="s">
        <v>695</v>
      </c>
      <c r="B179" s="46" t="s">
        <v>693</v>
      </c>
      <c r="C179" s="46" t="s">
        <v>696</v>
      </c>
      <c r="D179" s="26"/>
      <c r="E179" s="26"/>
      <c r="F179" s="45" t="s">
        <v>697</v>
      </c>
      <c r="G179" s="26">
        <v>30.0</v>
      </c>
      <c r="H179" s="28">
        <v>0.0</v>
      </c>
    </row>
    <row r="180" ht="22.5" customHeight="1">
      <c r="A180" s="25" t="s">
        <v>698</v>
      </c>
      <c r="B180" s="46" t="s">
        <v>693</v>
      </c>
      <c r="C180" s="46" t="s">
        <v>480</v>
      </c>
      <c r="D180" s="26"/>
      <c r="E180" s="26"/>
      <c r="F180" s="27" t="s">
        <v>697</v>
      </c>
      <c r="G180" s="26">
        <v>1000.0</v>
      </c>
      <c r="H180" s="28">
        <v>0.0</v>
      </c>
    </row>
    <row r="181" ht="22.5" customHeight="1">
      <c r="A181" s="25" t="s">
        <v>699</v>
      </c>
      <c r="B181" s="46" t="s">
        <v>699</v>
      </c>
      <c r="C181" s="46"/>
      <c r="D181" s="26"/>
      <c r="E181" s="26"/>
      <c r="F181" s="45" t="s">
        <v>700</v>
      </c>
      <c r="G181" s="26">
        <v>20.0</v>
      </c>
      <c r="H181" s="28">
        <v>0.0</v>
      </c>
    </row>
    <row r="182" ht="22.5" customHeight="1">
      <c r="A182" s="25" t="s">
        <v>701</v>
      </c>
      <c r="B182" s="46" t="s">
        <v>701</v>
      </c>
      <c r="C182" s="46"/>
      <c r="D182" s="26"/>
      <c r="E182" s="26"/>
      <c r="F182" s="45" t="s">
        <v>702</v>
      </c>
      <c r="G182" s="26">
        <v>21.0</v>
      </c>
      <c r="H182" s="28">
        <v>0.0</v>
      </c>
    </row>
    <row r="183" ht="22.5" customHeight="1">
      <c r="A183" s="25" t="s">
        <v>703</v>
      </c>
      <c r="B183" s="46" t="s">
        <v>703</v>
      </c>
      <c r="C183" s="46"/>
      <c r="D183" s="26"/>
      <c r="E183" s="26"/>
      <c r="F183" s="45" t="s">
        <v>704</v>
      </c>
      <c r="G183" s="26">
        <v>26.0</v>
      </c>
      <c r="H183" s="28">
        <v>0.0</v>
      </c>
    </row>
    <row r="184" ht="22.5" customHeight="1">
      <c r="A184" s="25" t="s">
        <v>705</v>
      </c>
      <c r="B184" s="46" t="s">
        <v>705</v>
      </c>
      <c r="C184" s="46"/>
      <c r="D184" s="26"/>
      <c r="E184" s="26"/>
      <c r="F184" s="27" t="s">
        <v>706</v>
      </c>
      <c r="G184" s="26">
        <v>100.0</v>
      </c>
      <c r="H184" s="28">
        <v>0.0</v>
      </c>
    </row>
    <row r="185" ht="22.5" customHeight="1">
      <c r="A185" s="25" t="s">
        <v>707</v>
      </c>
      <c r="B185" s="46" t="s">
        <v>707</v>
      </c>
      <c r="C185" s="46"/>
      <c r="D185" s="26"/>
      <c r="E185" s="26"/>
      <c r="F185" s="27" t="s">
        <v>708</v>
      </c>
      <c r="G185" s="26">
        <v>120.0</v>
      </c>
      <c r="H185" s="28">
        <v>0.0</v>
      </c>
    </row>
    <row r="186" ht="22.5" customHeight="1">
      <c r="A186" s="25" t="s">
        <v>709</v>
      </c>
      <c r="B186" s="46" t="s">
        <v>709</v>
      </c>
      <c r="C186" s="46"/>
      <c r="D186" s="26"/>
      <c r="E186" s="26"/>
      <c r="F186" s="45" t="s">
        <v>710</v>
      </c>
      <c r="G186" s="26">
        <v>40.0</v>
      </c>
      <c r="H186" s="28">
        <v>0.0</v>
      </c>
    </row>
    <row r="187" ht="22.5" customHeight="1">
      <c r="A187" s="25" t="s">
        <v>711</v>
      </c>
      <c r="B187" s="46" t="s">
        <v>712</v>
      </c>
      <c r="C187" s="46" t="s">
        <v>531</v>
      </c>
      <c r="D187" s="26" t="s">
        <v>713</v>
      </c>
      <c r="E187" s="26"/>
      <c r="F187" s="45" t="s">
        <v>714</v>
      </c>
      <c r="G187" s="26">
        <v>10.0</v>
      </c>
      <c r="H187" s="28">
        <v>0.0</v>
      </c>
    </row>
    <row r="188" ht="22.5" customHeight="1">
      <c r="A188" s="25" t="s">
        <v>715</v>
      </c>
      <c r="B188" s="46" t="s">
        <v>712</v>
      </c>
      <c r="C188" s="46" t="s">
        <v>531</v>
      </c>
      <c r="D188" s="26" t="s">
        <v>716</v>
      </c>
      <c r="E188" s="26"/>
      <c r="F188" s="45" t="s">
        <v>717</v>
      </c>
      <c r="G188" s="26">
        <v>15.0</v>
      </c>
      <c r="H188" s="28">
        <v>0.0</v>
      </c>
    </row>
    <row r="189" ht="22.5" customHeight="1">
      <c r="A189" s="25" t="s">
        <v>718</v>
      </c>
      <c r="B189" s="46" t="s">
        <v>712</v>
      </c>
      <c r="C189" s="46" t="s">
        <v>531</v>
      </c>
      <c r="D189" s="26" t="s">
        <v>719</v>
      </c>
      <c r="E189" s="26"/>
      <c r="F189" s="45" t="s">
        <v>720</v>
      </c>
      <c r="G189" s="26">
        <v>8.0</v>
      </c>
      <c r="H189" s="28">
        <v>0.0</v>
      </c>
    </row>
    <row r="190" ht="22.5" customHeight="1">
      <c r="A190" s="36" t="s">
        <v>721</v>
      </c>
      <c r="B190" s="46" t="s">
        <v>712</v>
      </c>
      <c r="C190" s="46" t="s">
        <v>531</v>
      </c>
      <c r="D190" s="26" t="s">
        <v>722</v>
      </c>
      <c r="E190" s="26"/>
      <c r="F190" s="45" t="s">
        <v>723</v>
      </c>
      <c r="G190" s="26">
        <v>17.0</v>
      </c>
      <c r="H190" s="28">
        <v>0.0</v>
      </c>
    </row>
    <row r="191" ht="22.5" customHeight="1">
      <c r="A191" s="25" t="s">
        <v>724</v>
      </c>
      <c r="B191" s="46" t="s">
        <v>712</v>
      </c>
      <c r="C191" s="46" t="s">
        <v>531</v>
      </c>
      <c r="D191" s="26" t="s">
        <v>725</v>
      </c>
      <c r="E191" s="26"/>
      <c r="F191" s="45" t="s">
        <v>726</v>
      </c>
      <c r="G191" s="26">
        <v>17.0</v>
      </c>
      <c r="H191" s="28">
        <v>0.0</v>
      </c>
    </row>
    <row r="192" ht="22.5" customHeight="1">
      <c r="A192" s="25" t="s">
        <v>727</v>
      </c>
      <c r="B192" s="46" t="s">
        <v>712</v>
      </c>
      <c r="C192" s="46" t="s">
        <v>531</v>
      </c>
      <c r="D192" s="26" t="s">
        <v>728</v>
      </c>
      <c r="E192" s="26"/>
      <c r="F192" s="45" t="s">
        <v>729</v>
      </c>
      <c r="G192" s="26">
        <v>16.0</v>
      </c>
      <c r="H192" s="28">
        <v>0.0</v>
      </c>
    </row>
    <row r="193" ht="22.5" customHeight="1">
      <c r="A193" s="25" t="s">
        <v>730</v>
      </c>
      <c r="B193" s="46" t="s">
        <v>712</v>
      </c>
      <c r="C193" s="46" t="s">
        <v>531</v>
      </c>
      <c r="D193" s="26" t="s">
        <v>731</v>
      </c>
      <c r="E193" s="26"/>
      <c r="F193" s="45" t="s">
        <v>732</v>
      </c>
      <c r="G193" s="26">
        <v>16.0</v>
      </c>
      <c r="H193" s="28">
        <v>0.0</v>
      </c>
    </row>
    <row r="194" ht="22.5" customHeight="1">
      <c r="A194" s="25" t="s">
        <v>733</v>
      </c>
      <c r="B194" s="46" t="s">
        <v>712</v>
      </c>
      <c r="C194" s="46" t="s">
        <v>531</v>
      </c>
      <c r="D194" s="26" t="s">
        <v>734</v>
      </c>
      <c r="E194" s="26"/>
      <c r="F194" s="45" t="s">
        <v>735</v>
      </c>
      <c r="G194" s="26">
        <v>6.0</v>
      </c>
      <c r="H194" s="28">
        <v>0.0</v>
      </c>
    </row>
    <row r="195" ht="22.5" customHeight="1">
      <c r="A195" s="25" t="s">
        <v>736</v>
      </c>
      <c r="B195" s="46" t="s">
        <v>712</v>
      </c>
      <c r="C195" s="46" t="s">
        <v>737</v>
      </c>
      <c r="D195" s="26" t="s">
        <v>738</v>
      </c>
      <c r="E195" s="26"/>
      <c r="F195" s="45" t="s">
        <v>739</v>
      </c>
      <c r="G195" s="26">
        <v>11.0</v>
      </c>
      <c r="H195" s="28">
        <v>0.0</v>
      </c>
    </row>
    <row r="196" ht="22.5" customHeight="1">
      <c r="A196" s="25" t="s">
        <v>740</v>
      </c>
      <c r="B196" s="46" t="s">
        <v>712</v>
      </c>
      <c r="C196" s="46" t="s">
        <v>737</v>
      </c>
      <c r="D196" s="26" t="s">
        <v>741</v>
      </c>
      <c r="E196" s="26"/>
      <c r="F196" s="45" t="s">
        <v>742</v>
      </c>
      <c r="G196" s="26">
        <v>11.0</v>
      </c>
      <c r="H196" s="28">
        <v>0.0</v>
      </c>
    </row>
    <row r="197" ht="22.5" customHeight="1">
      <c r="A197" s="25" t="s">
        <v>743</v>
      </c>
      <c r="B197" s="46" t="s">
        <v>712</v>
      </c>
      <c r="C197" s="46" t="s">
        <v>737</v>
      </c>
      <c r="D197" s="26" t="s">
        <v>744</v>
      </c>
      <c r="E197" s="26"/>
      <c r="F197" s="45" t="s">
        <v>745</v>
      </c>
      <c r="G197" s="26">
        <v>6.0</v>
      </c>
      <c r="H197" s="28">
        <v>0.0</v>
      </c>
    </row>
    <row r="198" ht="22.5" customHeight="1">
      <c r="A198" s="25" t="s">
        <v>746</v>
      </c>
      <c r="B198" s="46" t="s">
        <v>712</v>
      </c>
      <c r="C198" s="46" t="s">
        <v>737</v>
      </c>
      <c r="D198" s="26" t="s">
        <v>747</v>
      </c>
      <c r="E198" s="26"/>
      <c r="F198" s="45" t="s">
        <v>748</v>
      </c>
      <c r="G198" s="26">
        <v>6.0</v>
      </c>
      <c r="H198" s="28">
        <v>0.0</v>
      </c>
    </row>
    <row r="199" ht="22.5" customHeight="1">
      <c r="A199" s="25" t="s">
        <v>749</v>
      </c>
      <c r="B199" s="46" t="s">
        <v>712</v>
      </c>
      <c r="C199" s="46" t="s">
        <v>737</v>
      </c>
      <c r="D199" s="26" t="s">
        <v>750</v>
      </c>
      <c r="E199" s="26"/>
      <c r="F199" s="45" t="s">
        <v>751</v>
      </c>
      <c r="G199" s="26">
        <v>10.0</v>
      </c>
      <c r="H199" s="28">
        <v>0.0</v>
      </c>
    </row>
    <row r="200" ht="22.5" customHeight="1">
      <c r="A200" s="25" t="s">
        <v>752</v>
      </c>
      <c r="B200" s="46" t="s">
        <v>712</v>
      </c>
      <c r="C200" s="46" t="s">
        <v>737</v>
      </c>
      <c r="D200" s="26" t="s">
        <v>753</v>
      </c>
      <c r="E200" s="26"/>
      <c r="F200" s="45" t="s">
        <v>754</v>
      </c>
      <c r="G200" s="26">
        <v>9.0</v>
      </c>
      <c r="H200" s="28">
        <v>0.0</v>
      </c>
    </row>
    <row r="201" ht="22.5" customHeight="1">
      <c r="A201" s="25" t="s">
        <v>755</v>
      </c>
      <c r="B201" s="46" t="s">
        <v>712</v>
      </c>
      <c r="C201" s="46" t="s">
        <v>737</v>
      </c>
      <c r="D201" s="26" t="s">
        <v>756</v>
      </c>
      <c r="E201" s="26"/>
      <c r="F201" s="45" t="s">
        <v>757</v>
      </c>
      <c r="G201" s="26">
        <v>20.0</v>
      </c>
      <c r="H201" s="28">
        <v>0.0</v>
      </c>
    </row>
    <row r="202" ht="22.5" customHeight="1">
      <c r="A202" s="25" t="s">
        <v>758</v>
      </c>
      <c r="B202" s="46" t="s">
        <v>712</v>
      </c>
      <c r="C202" s="46" t="s">
        <v>737</v>
      </c>
      <c r="D202" s="26" t="s">
        <v>759</v>
      </c>
      <c r="E202" s="26"/>
      <c r="F202" s="45" t="s">
        <v>760</v>
      </c>
      <c r="G202" s="26">
        <v>10.0</v>
      </c>
      <c r="H202" s="28">
        <v>0.0</v>
      </c>
    </row>
    <row r="203" ht="22.5" customHeight="1">
      <c r="A203" s="25" t="s">
        <v>669</v>
      </c>
      <c r="B203" s="46" t="s">
        <v>646</v>
      </c>
      <c r="C203" s="46"/>
      <c r="D203" s="26" t="s">
        <v>670</v>
      </c>
      <c r="E203" s="26"/>
      <c r="F203" s="45" t="s">
        <v>671</v>
      </c>
      <c r="G203" s="26"/>
      <c r="H203" s="28">
        <v>0.0</v>
      </c>
    </row>
    <row r="204" ht="22.5" customHeight="1">
      <c r="A204" s="25" t="s">
        <v>672</v>
      </c>
      <c r="B204" s="46" t="s">
        <v>646</v>
      </c>
      <c r="C204" s="46"/>
      <c r="D204" s="26" t="s">
        <v>673</v>
      </c>
      <c r="E204" s="26"/>
      <c r="F204" s="45" t="s">
        <v>674</v>
      </c>
      <c r="G204" s="26"/>
      <c r="H204" s="28">
        <v>0.0</v>
      </c>
    </row>
    <row r="205" ht="22.5" customHeight="1">
      <c r="A205" s="25" t="s">
        <v>675</v>
      </c>
      <c r="B205" s="46" t="s">
        <v>646</v>
      </c>
      <c r="C205" s="46"/>
      <c r="D205" s="26" t="s">
        <v>676</v>
      </c>
      <c r="E205" s="26"/>
      <c r="F205" s="45" t="s">
        <v>677</v>
      </c>
      <c r="G205" s="26"/>
      <c r="H205" s="28">
        <v>0.0</v>
      </c>
    </row>
    <row r="206" ht="22.5" customHeight="1">
      <c r="A206" s="25" t="s">
        <v>761</v>
      </c>
      <c r="B206" s="46" t="s">
        <v>761</v>
      </c>
      <c r="C206" s="46"/>
      <c r="D206" s="26"/>
      <c r="E206" s="26"/>
      <c r="F206" s="45" t="s">
        <v>762</v>
      </c>
      <c r="G206" s="26">
        <v>3.0</v>
      </c>
      <c r="H206" s="28">
        <v>0.0</v>
      </c>
    </row>
    <row r="207" ht="22.5" customHeight="1">
      <c r="A207" s="25" t="s">
        <v>763</v>
      </c>
      <c r="B207" s="46" t="s">
        <v>764</v>
      </c>
      <c r="C207" s="46" t="s">
        <v>765</v>
      </c>
      <c r="D207" s="26"/>
      <c r="E207" s="26"/>
      <c r="F207" s="45" t="s">
        <v>766</v>
      </c>
      <c r="G207" s="26">
        <v>5.0</v>
      </c>
      <c r="H207" s="28">
        <v>0.0</v>
      </c>
    </row>
    <row r="208" ht="22.5" customHeight="1">
      <c r="A208" s="25" t="s">
        <v>767</v>
      </c>
      <c r="B208" s="46" t="s">
        <v>764</v>
      </c>
      <c r="C208" s="46" t="s">
        <v>103</v>
      </c>
      <c r="D208" s="26"/>
      <c r="E208" s="26"/>
      <c r="F208" s="45" t="s">
        <v>768</v>
      </c>
      <c r="G208" s="26">
        <v>2.0</v>
      </c>
      <c r="H208" s="28">
        <v>0.0</v>
      </c>
    </row>
    <row r="209" ht="22.5" customHeight="1">
      <c r="A209" s="25" t="s">
        <v>769</v>
      </c>
      <c r="B209" s="46" t="s">
        <v>764</v>
      </c>
      <c r="C209" s="46" t="s">
        <v>254</v>
      </c>
      <c r="D209" s="26"/>
      <c r="E209" s="26"/>
      <c r="F209" s="45" t="s">
        <v>770</v>
      </c>
      <c r="G209" s="26">
        <v>4.0</v>
      </c>
      <c r="H209" s="28">
        <v>0.0</v>
      </c>
    </row>
    <row r="210" ht="22.5" customHeight="1">
      <c r="A210" s="25" t="s">
        <v>771</v>
      </c>
      <c r="B210" s="46" t="s">
        <v>764</v>
      </c>
      <c r="C210" s="46" t="s">
        <v>772</v>
      </c>
      <c r="D210" s="26"/>
      <c r="E210" s="26"/>
      <c r="F210" s="45" t="s">
        <v>773</v>
      </c>
      <c r="G210" s="26">
        <v>3.0</v>
      </c>
      <c r="H210" s="28">
        <v>0.0</v>
      </c>
    </row>
    <row r="211" ht="22.5" customHeight="1">
      <c r="A211" s="25" t="s">
        <v>774</v>
      </c>
      <c r="B211" s="46" t="s">
        <v>775</v>
      </c>
      <c r="C211" s="46" t="s">
        <v>765</v>
      </c>
      <c r="D211" s="26"/>
      <c r="E211" s="26"/>
      <c r="F211" s="45" t="s">
        <v>776</v>
      </c>
      <c r="G211" s="26">
        <v>6.0</v>
      </c>
      <c r="H211" s="28">
        <v>0.0</v>
      </c>
    </row>
    <row r="212" ht="22.5" customHeight="1">
      <c r="A212" s="25" t="s">
        <v>777</v>
      </c>
      <c r="B212" s="46" t="s">
        <v>775</v>
      </c>
      <c r="C212" s="46" t="s">
        <v>103</v>
      </c>
      <c r="D212" s="26"/>
      <c r="E212" s="26"/>
      <c r="F212" s="45" t="s">
        <v>778</v>
      </c>
      <c r="G212" s="26">
        <v>7.0</v>
      </c>
      <c r="H212" s="28">
        <v>0.0</v>
      </c>
    </row>
    <row r="213" ht="22.5" customHeight="1">
      <c r="A213" s="25" t="s">
        <v>779</v>
      </c>
      <c r="B213" s="46" t="s">
        <v>775</v>
      </c>
      <c r="C213" s="46" t="s">
        <v>254</v>
      </c>
      <c r="D213" s="26"/>
      <c r="E213" s="26"/>
      <c r="F213" s="45" t="s">
        <v>780</v>
      </c>
      <c r="G213" s="26">
        <v>4.0</v>
      </c>
      <c r="H213" s="28">
        <v>0.0</v>
      </c>
    </row>
    <row r="214" ht="22.5" customHeight="1">
      <c r="A214" s="25" t="s">
        <v>781</v>
      </c>
      <c r="B214" s="46" t="s">
        <v>775</v>
      </c>
      <c r="C214" s="46" t="s">
        <v>772</v>
      </c>
      <c r="D214" s="26"/>
      <c r="E214" s="26"/>
      <c r="F214" s="45" t="s">
        <v>782</v>
      </c>
      <c r="G214" s="26">
        <v>6.0</v>
      </c>
      <c r="H214" s="28">
        <v>0.0</v>
      </c>
    </row>
    <row r="215" ht="22.5" customHeight="1">
      <c r="A215" s="25" t="s">
        <v>783</v>
      </c>
      <c r="B215" s="46" t="s">
        <v>784</v>
      </c>
      <c r="C215" s="46" t="s">
        <v>103</v>
      </c>
      <c r="D215" s="26"/>
      <c r="E215" s="26"/>
      <c r="F215" s="45" t="s">
        <v>785</v>
      </c>
      <c r="G215" s="26">
        <v>150.0</v>
      </c>
      <c r="H215" s="28">
        <v>0.0</v>
      </c>
    </row>
    <row r="216" ht="22.5" customHeight="1">
      <c r="A216" s="25" t="s">
        <v>786</v>
      </c>
      <c r="B216" s="46" t="s">
        <v>784</v>
      </c>
      <c r="C216" s="46" t="s">
        <v>228</v>
      </c>
      <c r="D216" s="26"/>
      <c r="E216" s="26"/>
      <c r="F216" s="45" t="s">
        <v>787</v>
      </c>
      <c r="G216" s="26">
        <v>15.0</v>
      </c>
      <c r="H216" s="28">
        <v>0.0</v>
      </c>
    </row>
    <row r="217" ht="22.5" customHeight="1">
      <c r="A217" s="25" t="s">
        <v>788</v>
      </c>
      <c r="B217" s="46" t="s">
        <v>784</v>
      </c>
      <c r="C217" s="46" t="s">
        <v>578</v>
      </c>
      <c r="D217" s="26"/>
      <c r="E217" s="26"/>
      <c r="F217" s="45" t="s">
        <v>789</v>
      </c>
      <c r="G217" s="26">
        <v>6.0</v>
      </c>
      <c r="H217" s="28">
        <v>0.0</v>
      </c>
    </row>
    <row r="218" ht="22.5" customHeight="1">
      <c r="A218" s="25" t="s">
        <v>790</v>
      </c>
      <c r="B218" s="46" t="s">
        <v>784</v>
      </c>
      <c r="C218" s="46" t="s">
        <v>105</v>
      </c>
      <c r="D218" s="26"/>
      <c r="E218" s="26"/>
      <c r="F218" s="45" t="s">
        <v>791</v>
      </c>
      <c r="G218" s="26">
        <v>112.0</v>
      </c>
      <c r="H218" s="28">
        <v>0.0</v>
      </c>
    </row>
    <row r="219" ht="22.5" customHeight="1">
      <c r="A219" s="25" t="s">
        <v>792</v>
      </c>
      <c r="B219" s="46" t="s">
        <v>793</v>
      </c>
      <c r="C219" s="46"/>
      <c r="D219" s="26" t="s">
        <v>794</v>
      </c>
      <c r="E219" s="26"/>
      <c r="F219" s="45" t="s">
        <v>795</v>
      </c>
      <c r="G219" s="26">
        <v>52.0</v>
      </c>
      <c r="H219" s="28">
        <v>0.0</v>
      </c>
    </row>
    <row r="220" ht="22.5" customHeight="1">
      <c r="A220" s="25" t="s">
        <v>796</v>
      </c>
      <c r="B220" s="46" t="s">
        <v>797</v>
      </c>
      <c r="C220" s="46"/>
      <c r="D220" s="26" t="s">
        <v>794</v>
      </c>
      <c r="E220" s="26"/>
      <c r="F220" s="45" t="s">
        <v>798</v>
      </c>
      <c r="G220" s="26">
        <v>53.0</v>
      </c>
      <c r="H220" s="28">
        <v>0.0</v>
      </c>
    </row>
    <row r="221" ht="22.5" customHeight="1">
      <c r="A221" s="25" t="s">
        <v>799</v>
      </c>
      <c r="B221" s="46" t="s">
        <v>800</v>
      </c>
      <c r="C221" s="46"/>
      <c r="D221" s="26" t="s">
        <v>794</v>
      </c>
      <c r="E221" s="26"/>
      <c r="F221" s="45" t="s">
        <v>801</v>
      </c>
      <c r="G221" s="26">
        <v>162.0</v>
      </c>
      <c r="H221" s="28">
        <v>0.0</v>
      </c>
    </row>
    <row r="222" ht="22.5" customHeight="1">
      <c r="A222" s="25" t="s">
        <v>802</v>
      </c>
      <c r="B222" s="46" t="s">
        <v>803</v>
      </c>
      <c r="C222" s="46"/>
      <c r="D222" s="26" t="s">
        <v>794</v>
      </c>
      <c r="E222" s="26"/>
      <c r="F222" s="45" t="s">
        <v>804</v>
      </c>
      <c r="G222" s="26">
        <v>320.0</v>
      </c>
      <c r="H222" s="28">
        <v>0.0</v>
      </c>
    </row>
    <row r="223" ht="22.5" customHeight="1">
      <c r="A223" s="25" t="s">
        <v>805</v>
      </c>
      <c r="B223" s="46" t="s">
        <v>806</v>
      </c>
      <c r="C223" s="46"/>
      <c r="D223" s="26" t="s">
        <v>794</v>
      </c>
      <c r="E223" s="26"/>
      <c r="F223" s="45" t="s">
        <v>807</v>
      </c>
      <c r="G223" s="26">
        <v>45.0</v>
      </c>
      <c r="H223" s="28">
        <v>0.0</v>
      </c>
    </row>
    <row r="224" ht="22.5" customHeight="1">
      <c r="A224" s="25" t="s">
        <v>808</v>
      </c>
      <c r="B224" s="46" t="s">
        <v>809</v>
      </c>
      <c r="C224" s="46"/>
      <c r="D224" s="26" t="s">
        <v>794</v>
      </c>
      <c r="E224" s="26"/>
      <c r="F224" s="45" t="s">
        <v>810</v>
      </c>
      <c r="G224" s="26">
        <v>17.0</v>
      </c>
      <c r="H224" s="28">
        <v>0.0</v>
      </c>
    </row>
    <row r="225" ht="22.5" customHeight="1">
      <c r="A225" s="47" t="s">
        <v>811</v>
      </c>
      <c r="B225" s="46" t="s">
        <v>812</v>
      </c>
      <c r="C225" s="46"/>
      <c r="D225" s="26" t="s">
        <v>794</v>
      </c>
      <c r="E225" s="26"/>
      <c r="F225" s="45" t="s">
        <v>813</v>
      </c>
      <c r="G225" s="26">
        <v>120.0</v>
      </c>
      <c r="H225" s="28">
        <v>0.0</v>
      </c>
    </row>
    <row r="226" ht="22.5" customHeight="1">
      <c r="A226" s="25" t="s">
        <v>814</v>
      </c>
      <c r="B226" s="46" t="s">
        <v>793</v>
      </c>
      <c r="C226" s="46"/>
      <c r="D226" s="26" t="s">
        <v>815</v>
      </c>
      <c r="E226" s="26"/>
      <c r="F226" s="45" t="s">
        <v>816</v>
      </c>
      <c r="G226" s="26">
        <v>60.0</v>
      </c>
      <c r="H226" s="28">
        <v>0.0</v>
      </c>
    </row>
    <row r="227" ht="22.5" customHeight="1">
      <c r="A227" s="25" t="s">
        <v>817</v>
      </c>
      <c r="B227" s="46" t="s">
        <v>818</v>
      </c>
      <c r="C227" s="46"/>
      <c r="D227" s="26" t="s">
        <v>815</v>
      </c>
      <c r="E227" s="26"/>
      <c r="F227" s="45" t="s">
        <v>819</v>
      </c>
      <c r="G227" s="26">
        <v>140.0</v>
      </c>
      <c r="H227" s="28">
        <v>0.0</v>
      </c>
    </row>
    <row r="228" ht="22.5" customHeight="1">
      <c r="A228" s="36" t="s">
        <v>820</v>
      </c>
      <c r="B228" s="46" t="s">
        <v>821</v>
      </c>
      <c r="C228" s="46"/>
      <c r="D228" s="26" t="s">
        <v>815</v>
      </c>
      <c r="E228" s="26"/>
      <c r="F228" s="45" t="s">
        <v>822</v>
      </c>
      <c r="G228" s="26">
        <v>153.0</v>
      </c>
      <c r="H228" s="28">
        <v>0.0</v>
      </c>
    </row>
    <row r="229" ht="22.5" customHeight="1">
      <c r="A229" s="25" t="s">
        <v>823</v>
      </c>
      <c r="B229" s="46" t="s">
        <v>812</v>
      </c>
      <c r="C229" s="46"/>
      <c r="D229" s="26" t="s">
        <v>815</v>
      </c>
      <c r="E229" s="26"/>
      <c r="F229" s="45" t="s">
        <v>824</v>
      </c>
      <c r="G229" s="26">
        <v>47.0</v>
      </c>
      <c r="H229" s="28">
        <v>0.0</v>
      </c>
    </row>
    <row r="230" ht="22.5" customHeight="1">
      <c r="A230" s="25" t="s">
        <v>825</v>
      </c>
      <c r="B230" s="46" t="s">
        <v>825</v>
      </c>
      <c r="C230" s="46"/>
      <c r="D230" s="26"/>
      <c r="E230" s="26"/>
      <c r="F230" s="45" t="s">
        <v>826</v>
      </c>
      <c r="G230" s="26">
        <v>2.0</v>
      </c>
      <c r="H230" s="28">
        <v>0.0</v>
      </c>
    </row>
    <row r="231" ht="22.5" customHeight="1">
      <c r="A231" s="25" t="s">
        <v>827</v>
      </c>
      <c r="B231" s="46" t="s">
        <v>828</v>
      </c>
      <c r="C231" s="46" t="s">
        <v>534</v>
      </c>
      <c r="D231" s="26"/>
      <c r="E231" s="26"/>
      <c r="F231" s="45" t="s">
        <v>829</v>
      </c>
      <c r="G231" s="26">
        <v>183.0</v>
      </c>
      <c r="H231" s="28">
        <v>0.0</v>
      </c>
    </row>
    <row r="232" ht="22.5" customHeight="1">
      <c r="A232" s="25" t="s">
        <v>830</v>
      </c>
      <c r="B232" s="46" t="s">
        <v>831</v>
      </c>
      <c r="C232" s="46" t="s">
        <v>534</v>
      </c>
      <c r="D232" s="26"/>
      <c r="E232" s="26"/>
      <c r="F232" s="45" t="s">
        <v>832</v>
      </c>
      <c r="G232" s="26">
        <v>5.0</v>
      </c>
      <c r="H232" s="28">
        <v>0.0</v>
      </c>
    </row>
    <row r="233" ht="22.5" customHeight="1">
      <c r="A233" s="25" t="s">
        <v>833</v>
      </c>
      <c r="B233" s="46" t="s">
        <v>831</v>
      </c>
      <c r="C233" s="46" t="s">
        <v>834</v>
      </c>
      <c r="D233" s="26"/>
      <c r="E233" s="26"/>
      <c r="F233" s="45" t="s">
        <v>835</v>
      </c>
      <c r="G233" s="26">
        <v>4.0</v>
      </c>
      <c r="H233" s="28">
        <v>0.0</v>
      </c>
    </row>
    <row r="234" ht="22.5" customHeight="1">
      <c r="A234" s="25" t="s">
        <v>836</v>
      </c>
      <c r="B234" s="46" t="s">
        <v>837</v>
      </c>
      <c r="C234" s="46" t="s">
        <v>534</v>
      </c>
      <c r="D234" s="26"/>
      <c r="E234" s="26"/>
      <c r="F234" s="45" t="s">
        <v>838</v>
      </c>
      <c r="G234" s="26">
        <v>5.0</v>
      </c>
      <c r="H234" s="28">
        <v>0.0</v>
      </c>
    </row>
    <row r="235" ht="22.5" customHeight="1">
      <c r="A235" s="25" t="s">
        <v>839</v>
      </c>
      <c r="B235" s="46" t="s">
        <v>837</v>
      </c>
      <c r="C235" s="46" t="s">
        <v>834</v>
      </c>
      <c r="D235" s="26"/>
      <c r="E235" s="26"/>
      <c r="F235" s="45" t="s">
        <v>840</v>
      </c>
      <c r="G235" s="26">
        <v>5.0</v>
      </c>
      <c r="H235" s="28">
        <v>0.0</v>
      </c>
    </row>
    <row r="236" ht="22.5" customHeight="1">
      <c r="A236" s="25" t="s">
        <v>841</v>
      </c>
      <c r="B236" s="46" t="s">
        <v>842</v>
      </c>
      <c r="C236" s="46" t="s">
        <v>534</v>
      </c>
      <c r="D236" s="26" t="s">
        <v>843</v>
      </c>
      <c r="E236" s="26"/>
      <c r="F236" s="27" t="s">
        <v>844</v>
      </c>
      <c r="G236" s="26">
        <v>11.0</v>
      </c>
      <c r="H236" s="28">
        <v>0.0</v>
      </c>
    </row>
    <row r="237" ht="22.5" customHeight="1">
      <c r="A237" s="25" t="s">
        <v>845</v>
      </c>
      <c r="B237" s="46" t="s">
        <v>842</v>
      </c>
      <c r="C237" s="46" t="s">
        <v>834</v>
      </c>
      <c r="D237" s="26" t="s">
        <v>843</v>
      </c>
      <c r="E237" s="26"/>
      <c r="F237" s="27" t="s">
        <v>846</v>
      </c>
      <c r="G237" s="26">
        <v>6.0</v>
      </c>
      <c r="H237" s="28">
        <v>0.0</v>
      </c>
    </row>
    <row r="238" ht="22.5" customHeight="1">
      <c r="A238" s="25" t="s">
        <v>847</v>
      </c>
      <c r="B238" s="46" t="s">
        <v>848</v>
      </c>
      <c r="C238" s="46" t="s">
        <v>534</v>
      </c>
      <c r="D238" s="26" t="s">
        <v>843</v>
      </c>
      <c r="E238" s="26"/>
      <c r="F238" s="27" t="s">
        <v>849</v>
      </c>
      <c r="G238" s="26">
        <v>8.0</v>
      </c>
      <c r="H238" s="28">
        <v>0.0</v>
      </c>
    </row>
    <row r="239" ht="22.5" customHeight="1">
      <c r="A239" s="25" t="s">
        <v>850</v>
      </c>
      <c r="B239" s="46" t="s">
        <v>842</v>
      </c>
      <c r="C239" s="46" t="s">
        <v>534</v>
      </c>
      <c r="D239" s="26" t="s">
        <v>851</v>
      </c>
      <c r="E239" s="26"/>
      <c r="F239" s="27" t="s">
        <v>844</v>
      </c>
      <c r="G239" s="26">
        <v>4.0</v>
      </c>
      <c r="H239" s="28">
        <v>0.0</v>
      </c>
    </row>
    <row r="240" ht="22.5" customHeight="1">
      <c r="A240" s="25" t="s">
        <v>852</v>
      </c>
      <c r="B240" s="46" t="s">
        <v>848</v>
      </c>
      <c r="C240" s="46" t="s">
        <v>534</v>
      </c>
      <c r="D240" s="26" t="s">
        <v>851</v>
      </c>
      <c r="E240" s="26"/>
      <c r="F240" s="27" t="s">
        <v>849</v>
      </c>
      <c r="G240" s="26">
        <v>4.0</v>
      </c>
      <c r="H240" s="28">
        <v>0.0</v>
      </c>
    </row>
    <row r="241" ht="22.5" customHeight="1">
      <c r="A241" s="25" t="s">
        <v>853</v>
      </c>
      <c r="B241" s="46" t="s">
        <v>854</v>
      </c>
      <c r="C241" s="46" t="s">
        <v>855</v>
      </c>
      <c r="D241" s="26"/>
      <c r="E241" s="26"/>
      <c r="F241" s="27" t="s">
        <v>856</v>
      </c>
      <c r="G241" s="26">
        <v>5.0</v>
      </c>
      <c r="H241" s="28">
        <v>0.0</v>
      </c>
    </row>
    <row r="242" ht="22.5" customHeight="1">
      <c r="A242" s="25" t="s">
        <v>857</v>
      </c>
      <c r="B242" s="46" t="s">
        <v>854</v>
      </c>
      <c r="C242" s="46" t="s">
        <v>858</v>
      </c>
      <c r="D242" s="26"/>
      <c r="E242" s="26"/>
      <c r="F242" s="27" t="s">
        <v>859</v>
      </c>
      <c r="G242" s="26">
        <v>2.0</v>
      </c>
      <c r="H242" s="28">
        <v>0.0</v>
      </c>
    </row>
    <row r="243" ht="22.5" customHeight="1">
      <c r="A243" s="25" t="s">
        <v>860</v>
      </c>
      <c r="B243" s="46" t="s">
        <v>854</v>
      </c>
      <c r="C243" s="46" t="s">
        <v>861</v>
      </c>
      <c r="D243" s="26"/>
      <c r="E243" s="26"/>
      <c r="F243" s="27" t="s">
        <v>862</v>
      </c>
      <c r="G243" s="26">
        <v>6.0</v>
      </c>
      <c r="H243" s="28">
        <v>0.0</v>
      </c>
    </row>
    <row r="244" ht="22.5" customHeight="1">
      <c r="A244" s="25" t="s">
        <v>863</v>
      </c>
      <c r="B244" s="46" t="s">
        <v>854</v>
      </c>
      <c r="C244" s="46" t="s">
        <v>864</v>
      </c>
      <c r="D244" s="26"/>
      <c r="E244" s="26"/>
      <c r="F244" s="27" t="s">
        <v>865</v>
      </c>
      <c r="G244" s="26">
        <v>1.0</v>
      </c>
      <c r="H244" s="28">
        <v>0.0</v>
      </c>
    </row>
    <row r="245" ht="22.5" customHeight="1">
      <c r="A245" s="25" t="s">
        <v>866</v>
      </c>
      <c r="B245" s="46" t="s">
        <v>867</v>
      </c>
      <c r="C245" s="46" t="s">
        <v>855</v>
      </c>
      <c r="D245" s="26"/>
      <c r="E245" s="26"/>
      <c r="F245" s="45" t="s">
        <v>868</v>
      </c>
      <c r="G245" s="26">
        <v>5.0</v>
      </c>
      <c r="H245" s="28">
        <v>0.0</v>
      </c>
    </row>
    <row r="246" ht="22.5" customHeight="1">
      <c r="A246" s="25" t="s">
        <v>869</v>
      </c>
      <c r="B246" s="46" t="s">
        <v>867</v>
      </c>
      <c r="C246" s="46" t="s">
        <v>861</v>
      </c>
      <c r="D246" s="26"/>
      <c r="E246" s="26"/>
      <c r="F246" s="45" t="s">
        <v>870</v>
      </c>
      <c r="G246" s="26">
        <v>5.0</v>
      </c>
      <c r="H246" s="28">
        <v>0.0</v>
      </c>
    </row>
    <row r="247" ht="22.5" customHeight="1">
      <c r="A247" s="25" t="s">
        <v>871</v>
      </c>
      <c r="B247" s="46" t="s">
        <v>867</v>
      </c>
      <c r="C247" s="46" t="s">
        <v>864</v>
      </c>
      <c r="D247" s="26"/>
      <c r="E247" s="26"/>
      <c r="F247" s="27" t="s">
        <v>872</v>
      </c>
      <c r="G247" s="26">
        <v>3.0</v>
      </c>
      <c r="H247" s="28">
        <v>0.0</v>
      </c>
    </row>
    <row r="248" ht="22.5" customHeight="1">
      <c r="A248" s="25" t="s">
        <v>873</v>
      </c>
      <c r="B248" s="46" t="s">
        <v>873</v>
      </c>
      <c r="C248" s="46"/>
      <c r="D248" s="26"/>
      <c r="E248" s="26"/>
      <c r="F248" s="45" t="s">
        <v>874</v>
      </c>
      <c r="G248" s="26">
        <v>130.0</v>
      </c>
      <c r="H248" s="28">
        <v>0.0</v>
      </c>
    </row>
    <row r="249" ht="22.5" customHeight="1">
      <c r="A249" s="25" t="s">
        <v>875</v>
      </c>
      <c r="B249" s="46" t="s">
        <v>875</v>
      </c>
      <c r="C249" s="46"/>
      <c r="D249" s="26"/>
      <c r="E249" s="26"/>
      <c r="F249" s="45" t="s">
        <v>876</v>
      </c>
      <c r="G249" s="26">
        <v>40.0</v>
      </c>
      <c r="H249" s="28">
        <v>0.0</v>
      </c>
    </row>
    <row r="250" ht="22.5" customHeight="1">
      <c r="A250" s="25" t="s">
        <v>877</v>
      </c>
      <c r="B250" s="46" t="s">
        <v>877</v>
      </c>
      <c r="C250" s="46"/>
      <c r="D250" s="26"/>
      <c r="E250" s="26"/>
      <c r="F250" s="27" t="s">
        <v>878</v>
      </c>
      <c r="G250" s="26">
        <v>15.0</v>
      </c>
      <c r="H250" s="28">
        <v>0.0</v>
      </c>
    </row>
    <row r="251" ht="22.5" customHeight="1">
      <c r="A251" s="25" t="s">
        <v>879</v>
      </c>
      <c r="B251" s="46" t="s">
        <v>879</v>
      </c>
      <c r="C251" s="46"/>
      <c r="D251" s="26"/>
      <c r="E251" s="26"/>
      <c r="F251" s="45" t="s">
        <v>880</v>
      </c>
      <c r="G251" s="26">
        <v>79.0</v>
      </c>
      <c r="H251" s="28">
        <v>0.0</v>
      </c>
    </row>
    <row r="252" ht="22.5" customHeight="1">
      <c r="A252" s="25" t="s">
        <v>881</v>
      </c>
      <c r="B252" s="46" t="s">
        <v>881</v>
      </c>
      <c r="C252" s="46"/>
      <c r="D252" s="26"/>
      <c r="E252" s="26"/>
      <c r="F252" s="45" t="s">
        <v>882</v>
      </c>
      <c r="G252" s="26">
        <v>35.0</v>
      </c>
      <c r="H252" s="28">
        <v>0.0</v>
      </c>
    </row>
    <row r="253" ht="22.5" customHeight="1">
      <c r="A253" s="25" t="s">
        <v>883</v>
      </c>
      <c r="B253" s="46" t="s">
        <v>883</v>
      </c>
      <c r="C253" s="46"/>
      <c r="D253" s="26"/>
      <c r="E253" s="26"/>
      <c r="F253" s="45" t="s">
        <v>884</v>
      </c>
      <c r="G253" s="26">
        <v>30.0</v>
      </c>
      <c r="H253" s="28">
        <v>0.0</v>
      </c>
    </row>
    <row r="254" ht="22.5" customHeight="1">
      <c r="A254" s="25" t="s">
        <v>885</v>
      </c>
      <c r="B254" s="46" t="s">
        <v>885</v>
      </c>
      <c r="C254" s="46"/>
      <c r="D254" s="26"/>
      <c r="E254" s="26"/>
      <c r="F254" s="45" t="s">
        <v>886</v>
      </c>
      <c r="G254" s="26">
        <v>10.0</v>
      </c>
      <c r="H254" s="28">
        <v>0.0</v>
      </c>
    </row>
    <row r="255" ht="22.5" customHeight="1">
      <c r="A255" s="25" t="s">
        <v>887</v>
      </c>
      <c r="B255" s="46" t="s">
        <v>888</v>
      </c>
      <c r="C255" s="46"/>
      <c r="D255" s="26" t="s">
        <v>889</v>
      </c>
      <c r="E255" s="26"/>
      <c r="F255" s="45" t="s">
        <v>890</v>
      </c>
      <c r="G255" s="26">
        <v>33.0</v>
      </c>
      <c r="H255" s="28">
        <v>0.0</v>
      </c>
    </row>
    <row r="256" ht="22.5" customHeight="1">
      <c r="A256" s="25" t="s">
        <v>891</v>
      </c>
      <c r="B256" s="46" t="s">
        <v>892</v>
      </c>
      <c r="C256" s="46"/>
      <c r="D256" s="26" t="s">
        <v>893</v>
      </c>
      <c r="E256" s="26"/>
      <c r="F256" s="45" t="s">
        <v>894</v>
      </c>
      <c r="G256" s="26">
        <v>43.0</v>
      </c>
      <c r="H256" s="28">
        <v>0.0</v>
      </c>
    </row>
    <row r="257" ht="22.5" customHeight="1">
      <c r="A257" s="25" t="s">
        <v>895</v>
      </c>
      <c r="B257" s="46" t="s">
        <v>896</v>
      </c>
      <c r="C257" s="46"/>
      <c r="D257" s="26" t="s">
        <v>889</v>
      </c>
      <c r="E257" s="26"/>
      <c r="F257" s="45" t="s">
        <v>897</v>
      </c>
      <c r="G257" s="26">
        <v>62.0</v>
      </c>
      <c r="H257" s="28">
        <v>0.0</v>
      </c>
    </row>
    <row r="258" ht="22.5" customHeight="1">
      <c r="A258" s="25" t="s">
        <v>898</v>
      </c>
      <c r="B258" s="46" t="s">
        <v>899</v>
      </c>
      <c r="C258" s="46"/>
      <c r="D258" s="26" t="s">
        <v>893</v>
      </c>
      <c r="E258" s="26"/>
      <c r="F258" s="45" t="s">
        <v>900</v>
      </c>
      <c r="G258" s="26">
        <v>32.0</v>
      </c>
      <c r="H258" s="28">
        <v>0.0</v>
      </c>
    </row>
    <row r="259" ht="22.5" customHeight="1">
      <c r="A259" s="25" t="s">
        <v>901</v>
      </c>
      <c r="B259" s="46" t="s">
        <v>902</v>
      </c>
      <c r="C259" s="46"/>
      <c r="D259" s="26" t="s">
        <v>889</v>
      </c>
      <c r="E259" s="26"/>
      <c r="F259" s="45" t="s">
        <v>903</v>
      </c>
      <c r="G259" s="26">
        <v>85.0</v>
      </c>
      <c r="H259" s="28">
        <v>0.0</v>
      </c>
    </row>
    <row r="260" ht="22.5" customHeight="1">
      <c r="A260" s="25" t="s">
        <v>904</v>
      </c>
      <c r="B260" s="46" t="s">
        <v>902</v>
      </c>
      <c r="C260" s="46"/>
      <c r="D260" s="26" t="s">
        <v>893</v>
      </c>
      <c r="E260" s="26"/>
      <c r="F260" s="45" t="s">
        <v>905</v>
      </c>
      <c r="G260" s="26">
        <v>47.0</v>
      </c>
      <c r="H260" s="28">
        <v>0.0</v>
      </c>
    </row>
    <row r="261" ht="22.5" customHeight="1">
      <c r="A261" s="25" t="s">
        <v>906</v>
      </c>
      <c r="B261" s="46" t="s">
        <v>907</v>
      </c>
      <c r="C261" s="46"/>
      <c r="D261" s="26" t="s">
        <v>889</v>
      </c>
      <c r="E261" s="26"/>
      <c r="F261" s="45" t="s">
        <v>908</v>
      </c>
      <c r="G261" s="26">
        <v>63.0</v>
      </c>
      <c r="H261" s="28">
        <v>0.0</v>
      </c>
    </row>
    <row r="262" ht="22.5" customHeight="1">
      <c r="A262" s="25" t="s">
        <v>909</v>
      </c>
      <c r="B262" s="46" t="s">
        <v>907</v>
      </c>
      <c r="C262" s="46"/>
      <c r="D262" s="26" t="s">
        <v>893</v>
      </c>
      <c r="E262" s="26"/>
      <c r="F262" s="45" t="s">
        <v>910</v>
      </c>
      <c r="G262" s="26">
        <v>102.0</v>
      </c>
      <c r="H262" s="28">
        <v>0.0</v>
      </c>
    </row>
    <row r="263" ht="22.5" customHeight="1">
      <c r="A263" s="25" t="s">
        <v>911</v>
      </c>
      <c r="B263" s="46" t="s">
        <v>911</v>
      </c>
      <c r="C263" s="46"/>
      <c r="D263" s="26"/>
      <c r="E263" s="26"/>
      <c r="F263" s="45" t="s">
        <v>912</v>
      </c>
      <c r="G263" s="26">
        <v>24.0</v>
      </c>
      <c r="H263" s="28">
        <v>0.0</v>
      </c>
    </row>
    <row r="264" ht="22.5" customHeight="1">
      <c r="A264" s="25" t="s">
        <v>913</v>
      </c>
      <c r="B264" s="46" t="s">
        <v>914</v>
      </c>
      <c r="C264" s="46" t="s">
        <v>228</v>
      </c>
      <c r="D264" s="26"/>
      <c r="E264" s="26"/>
      <c r="F264" s="45" t="s">
        <v>915</v>
      </c>
      <c r="G264" s="26">
        <v>15.0</v>
      </c>
      <c r="H264" s="28">
        <v>0.0</v>
      </c>
    </row>
    <row r="265" ht="22.5" customHeight="1">
      <c r="A265" s="25" t="s">
        <v>916</v>
      </c>
      <c r="B265" s="46" t="s">
        <v>914</v>
      </c>
      <c r="C265" s="46" t="s">
        <v>103</v>
      </c>
      <c r="D265" s="26"/>
      <c r="E265" s="26"/>
      <c r="F265" s="45" t="s">
        <v>917</v>
      </c>
      <c r="G265" s="26">
        <v>15.0</v>
      </c>
      <c r="H265" s="28">
        <v>0.0</v>
      </c>
    </row>
    <row r="266" ht="22.5" customHeight="1">
      <c r="A266" s="25" t="s">
        <v>918</v>
      </c>
      <c r="B266" s="46" t="s">
        <v>918</v>
      </c>
      <c r="C266" s="46"/>
      <c r="D266" s="26"/>
      <c r="E266" s="26"/>
      <c r="F266" s="45" t="s">
        <v>919</v>
      </c>
      <c r="G266" s="26">
        <v>8.0</v>
      </c>
      <c r="H266" s="28">
        <v>0.0</v>
      </c>
    </row>
    <row r="267" ht="22.5" customHeight="1">
      <c r="A267" s="25" t="s">
        <v>920</v>
      </c>
      <c r="B267" s="46" t="s">
        <v>921</v>
      </c>
      <c r="C267" s="46" t="s">
        <v>103</v>
      </c>
      <c r="D267" s="26"/>
      <c r="E267" s="26"/>
      <c r="F267" s="45" t="s">
        <v>922</v>
      </c>
      <c r="G267" s="26">
        <v>3.0</v>
      </c>
      <c r="H267" s="28">
        <v>0.0</v>
      </c>
    </row>
    <row r="268" ht="22.5" customHeight="1">
      <c r="A268" s="25" t="s">
        <v>923</v>
      </c>
      <c r="B268" s="46" t="s">
        <v>921</v>
      </c>
      <c r="C268" s="46" t="s">
        <v>228</v>
      </c>
      <c r="D268" s="26"/>
      <c r="E268" s="26"/>
      <c r="F268" s="27" t="s">
        <v>922</v>
      </c>
      <c r="G268" s="26">
        <v>3.0</v>
      </c>
      <c r="H268" s="28">
        <v>0.0</v>
      </c>
    </row>
    <row r="269" ht="22.5" customHeight="1">
      <c r="A269" s="25" t="s">
        <v>924</v>
      </c>
      <c r="B269" s="46" t="s">
        <v>924</v>
      </c>
      <c r="C269" s="46"/>
      <c r="D269" s="26"/>
      <c r="E269" s="26"/>
      <c r="F269" s="45" t="s">
        <v>925</v>
      </c>
      <c r="G269" s="26"/>
      <c r="H269" s="28">
        <v>0.0</v>
      </c>
    </row>
    <row r="270" ht="22.5" customHeight="1">
      <c r="A270" s="36" t="s">
        <v>926</v>
      </c>
      <c r="B270" s="46" t="s">
        <v>926</v>
      </c>
      <c r="C270" s="46"/>
      <c r="D270" s="26"/>
      <c r="E270" s="26"/>
      <c r="F270" s="45" t="s">
        <v>927</v>
      </c>
      <c r="G270" s="26"/>
      <c r="H270" s="28">
        <v>0.0</v>
      </c>
    </row>
    <row r="271" ht="22.5" customHeight="1">
      <c r="A271" s="25" t="s">
        <v>928</v>
      </c>
      <c r="B271" s="46" t="s">
        <v>929</v>
      </c>
      <c r="C271" s="46"/>
      <c r="D271" s="26" t="s">
        <v>930</v>
      </c>
      <c r="E271" s="26"/>
      <c r="F271" s="45" t="s">
        <v>931</v>
      </c>
      <c r="G271" s="26"/>
      <c r="H271" s="28">
        <v>0.0</v>
      </c>
    </row>
    <row r="272" ht="22.5" customHeight="1">
      <c r="A272" s="25" t="s">
        <v>932</v>
      </c>
      <c r="B272" s="46" t="s">
        <v>932</v>
      </c>
      <c r="C272" s="46"/>
      <c r="D272" s="26"/>
      <c r="E272" s="26"/>
      <c r="F272" s="45" t="s">
        <v>933</v>
      </c>
      <c r="G272" s="26"/>
      <c r="H272" s="28">
        <v>0.0</v>
      </c>
    </row>
    <row r="273" ht="22.5" customHeight="1">
      <c r="A273" s="25" t="s">
        <v>934</v>
      </c>
      <c r="B273" s="46" t="s">
        <v>934</v>
      </c>
      <c r="C273" s="46"/>
      <c r="D273" s="26"/>
      <c r="E273" s="26"/>
      <c r="F273" s="45" t="s">
        <v>935</v>
      </c>
      <c r="G273" s="26"/>
      <c r="H273" s="28">
        <v>0.0</v>
      </c>
    </row>
    <row r="274" ht="22.5" customHeight="1">
      <c r="A274" s="25" t="s">
        <v>936</v>
      </c>
      <c r="B274" s="46" t="s">
        <v>936</v>
      </c>
      <c r="C274" s="46"/>
      <c r="D274" s="26"/>
      <c r="E274" s="26"/>
      <c r="F274" s="45" t="s">
        <v>937</v>
      </c>
      <c r="G274" s="26"/>
      <c r="H274" s="28">
        <v>0.0</v>
      </c>
    </row>
    <row r="275" ht="22.5" customHeight="1">
      <c r="A275" s="25" t="s">
        <v>938</v>
      </c>
      <c r="B275" s="46" t="s">
        <v>938</v>
      </c>
      <c r="C275" s="46"/>
      <c r="D275" s="26"/>
      <c r="E275" s="26"/>
      <c r="F275" s="45" t="s">
        <v>939</v>
      </c>
      <c r="G275" s="26" t="s">
        <v>940</v>
      </c>
      <c r="H275" s="28">
        <v>0.0</v>
      </c>
    </row>
    <row r="276" ht="22.5" customHeight="1">
      <c r="A276" s="25" t="s">
        <v>941</v>
      </c>
      <c r="B276" s="26" t="s">
        <v>942</v>
      </c>
      <c r="C276" s="26"/>
      <c r="D276" s="48" t="s">
        <v>943</v>
      </c>
      <c r="E276" s="49"/>
      <c r="F276" s="50" t="s">
        <v>944</v>
      </c>
      <c r="G276" s="26">
        <v>69.0</v>
      </c>
      <c r="H276" s="28">
        <v>0.0</v>
      </c>
    </row>
    <row r="277" ht="22.5" customHeight="1">
      <c r="A277" s="25" t="s">
        <v>945</v>
      </c>
      <c r="B277" s="26" t="s">
        <v>942</v>
      </c>
      <c r="C277" s="26"/>
      <c r="D277" s="51" t="s">
        <v>946</v>
      </c>
      <c r="E277" s="52"/>
      <c r="F277" s="53" t="s">
        <v>947</v>
      </c>
      <c r="G277" s="26">
        <v>490.0</v>
      </c>
      <c r="H277" s="28">
        <v>0.0</v>
      </c>
    </row>
    <row r="278" ht="22.5" customHeight="1">
      <c r="A278" s="25" t="s">
        <v>948</v>
      </c>
      <c r="B278" s="26" t="s">
        <v>942</v>
      </c>
      <c r="C278" s="26"/>
      <c r="D278" s="48">
        <v>10.0</v>
      </c>
      <c r="E278" s="49"/>
      <c r="F278" s="50" t="s">
        <v>949</v>
      </c>
      <c r="G278" s="26">
        <v>121.0</v>
      </c>
      <c r="H278" s="28">
        <v>0.0</v>
      </c>
    </row>
    <row r="279" ht="22.5" customHeight="1">
      <c r="A279" s="25" t="s">
        <v>950</v>
      </c>
      <c r="B279" s="26" t="s">
        <v>942</v>
      </c>
      <c r="C279" s="26"/>
      <c r="D279" s="51">
        <v>12.0</v>
      </c>
      <c r="E279" s="52"/>
      <c r="F279" s="53" t="s">
        <v>951</v>
      </c>
      <c r="G279" s="26">
        <v>46.0</v>
      </c>
      <c r="H279" s="28">
        <v>0.0</v>
      </c>
    </row>
    <row r="280" ht="22.5" customHeight="1">
      <c r="A280" s="25" t="s">
        <v>952</v>
      </c>
      <c r="B280" s="26" t="s">
        <v>942</v>
      </c>
      <c r="C280" s="26"/>
      <c r="D280" s="48">
        <v>13.0</v>
      </c>
      <c r="E280" s="49"/>
      <c r="F280" s="50" t="s">
        <v>953</v>
      </c>
      <c r="G280" s="26">
        <v>20.0</v>
      </c>
      <c r="H280" s="28">
        <v>0.0</v>
      </c>
    </row>
    <row r="281" ht="22.5" customHeight="1">
      <c r="A281" s="25" t="s">
        <v>954</v>
      </c>
      <c r="B281" s="26" t="s">
        <v>942</v>
      </c>
      <c r="C281" s="26"/>
      <c r="D281" s="51">
        <v>19.0</v>
      </c>
      <c r="E281" s="52"/>
      <c r="F281" s="53" t="s">
        <v>955</v>
      </c>
      <c r="G281" s="26">
        <v>23.0</v>
      </c>
      <c r="H281" s="28">
        <v>0.0</v>
      </c>
    </row>
    <row r="282" ht="22.5" customHeight="1">
      <c r="A282" s="25" t="s">
        <v>956</v>
      </c>
      <c r="B282" s="26" t="s">
        <v>957</v>
      </c>
      <c r="C282" s="26"/>
      <c r="D282" s="48" t="s">
        <v>958</v>
      </c>
      <c r="E282" s="49"/>
      <c r="F282" s="50" t="s">
        <v>959</v>
      </c>
      <c r="G282" s="26">
        <v>1.0</v>
      </c>
      <c r="H282" s="28">
        <v>0.0</v>
      </c>
    </row>
    <row r="283" ht="22.5" customHeight="1">
      <c r="A283" s="25" t="s">
        <v>960</v>
      </c>
      <c r="B283" s="26" t="s">
        <v>961</v>
      </c>
      <c r="C283" s="26"/>
      <c r="D283" s="51" t="s">
        <v>962</v>
      </c>
      <c r="E283" s="52"/>
      <c r="F283" s="53" t="s">
        <v>963</v>
      </c>
      <c r="G283" s="26">
        <v>9.0</v>
      </c>
      <c r="H283" s="28">
        <v>0.0</v>
      </c>
    </row>
    <row r="284" ht="22.5" customHeight="1">
      <c r="A284" s="25" t="s">
        <v>964</v>
      </c>
      <c r="B284" s="26" t="s">
        <v>964</v>
      </c>
      <c r="C284" s="26"/>
      <c r="D284" s="54"/>
      <c r="E284" s="49"/>
      <c r="F284" s="50" t="s">
        <v>965</v>
      </c>
      <c r="G284" s="26">
        <v>35.0</v>
      </c>
      <c r="H284" s="28">
        <v>0.0</v>
      </c>
    </row>
    <row r="285" ht="22.5" customHeight="1">
      <c r="A285" s="25" t="s">
        <v>966</v>
      </c>
      <c r="B285" s="26" t="s">
        <v>966</v>
      </c>
      <c r="C285" s="26"/>
      <c r="D285" s="55"/>
      <c r="E285" s="52"/>
      <c r="F285" s="53" t="s">
        <v>967</v>
      </c>
      <c r="G285" s="26" t="s">
        <v>968</v>
      </c>
      <c r="H285" s="28">
        <v>0.0</v>
      </c>
    </row>
    <row r="286" ht="22.5" customHeight="1">
      <c r="A286" s="25" t="s">
        <v>969</v>
      </c>
      <c r="B286" s="26" t="s">
        <v>970</v>
      </c>
      <c r="C286" s="26"/>
      <c r="D286" s="48" t="s">
        <v>971</v>
      </c>
      <c r="E286" s="49"/>
      <c r="F286" s="50" t="s">
        <v>972</v>
      </c>
      <c r="G286" s="26">
        <v>1756.0</v>
      </c>
      <c r="H286" s="28">
        <v>0.0</v>
      </c>
    </row>
    <row r="287" ht="22.5" customHeight="1">
      <c r="A287" s="25" t="s">
        <v>973</v>
      </c>
      <c r="B287" s="26" t="s">
        <v>970</v>
      </c>
      <c r="C287" s="26"/>
      <c r="D287" s="51" t="s">
        <v>974</v>
      </c>
      <c r="E287" s="52"/>
      <c r="F287" s="53" t="s">
        <v>975</v>
      </c>
      <c r="G287" s="26">
        <v>1911.0</v>
      </c>
      <c r="H287" s="28">
        <v>0.0</v>
      </c>
    </row>
    <row r="288" ht="22.5" customHeight="1">
      <c r="A288" s="36" t="s">
        <v>976</v>
      </c>
      <c r="B288" s="26" t="s">
        <v>970</v>
      </c>
      <c r="C288" s="26"/>
      <c r="D288" s="48" t="s">
        <v>977</v>
      </c>
      <c r="E288" s="49"/>
      <c r="F288" s="56" t="s">
        <v>978</v>
      </c>
      <c r="G288" s="26">
        <v>97.0</v>
      </c>
      <c r="H288" s="28">
        <v>0.0</v>
      </c>
    </row>
    <row r="289" ht="22.5" customHeight="1">
      <c r="A289" s="25" t="s">
        <v>979</v>
      </c>
      <c r="B289" s="26" t="s">
        <v>970</v>
      </c>
      <c r="C289" s="26"/>
      <c r="D289" s="51" t="s">
        <v>980</v>
      </c>
      <c r="E289" s="52"/>
      <c r="F289" s="53" t="s">
        <v>981</v>
      </c>
      <c r="G289" s="26">
        <v>115.0</v>
      </c>
      <c r="H289" s="28">
        <v>0.0</v>
      </c>
    </row>
    <row r="290" ht="22.5" customHeight="1">
      <c r="A290" s="25" t="s">
        <v>982</v>
      </c>
      <c r="B290" s="26" t="s">
        <v>970</v>
      </c>
      <c r="C290" s="26"/>
      <c r="D290" s="48" t="s">
        <v>983</v>
      </c>
      <c r="E290" s="49"/>
      <c r="F290" s="50" t="s">
        <v>984</v>
      </c>
      <c r="G290" s="26">
        <v>65.0</v>
      </c>
      <c r="H290" s="28">
        <v>0.0</v>
      </c>
    </row>
    <row r="291" ht="22.5" customHeight="1">
      <c r="A291" s="25" t="s">
        <v>985</v>
      </c>
      <c r="B291" s="26" t="s">
        <v>970</v>
      </c>
      <c r="C291" s="26"/>
      <c r="D291" s="51" t="s">
        <v>986</v>
      </c>
      <c r="E291" s="52"/>
      <c r="F291" s="53" t="s">
        <v>987</v>
      </c>
      <c r="G291" s="26">
        <v>33.0</v>
      </c>
      <c r="H291" s="28">
        <v>0.0</v>
      </c>
    </row>
    <row r="292" ht="22.5" customHeight="1">
      <c r="A292" s="25" t="s">
        <v>988</v>
      </c>
      <c r="B292" s="26" t="s">
        <v>970</v>
      </c>
      <c r="C292" s="26"/>
      <c r="D292" s="48" t="s">
        <v>989</v>
      </c>
      <c r="E292" s="49"/>
      <c r="F292" s="50" t="s">
        <v>990</v>
      </c>
      <c r="G292" s="26">
        <v>9.0</v>
      </c>
      <c r="H292" s="28">
        <v>0.0</v>
      </c>
    </row>
    <row r="293" ht="22.5" customHeight="1">
      <c r="A293" s="25" t="s">
        <v>991</v>
      </c>
      <c r="B293" s="26" t="s">
        <v>992</v>
      </c>
      <c r="C293" s="26"/>
      <c r="D293" s="51" t="s">
        <v>993</v>
      </c>
      <c r="E293" s="52"/>
      <c r="F293" s="53" t="s">
        <v>994</v>
      </c>
      <c r="G293" s="26">
        <v>1036.0</v>
      </c>
      <c r="H293" s="28">
        <v>0.0</v>
      </c>
    </row>
    <row r="294" ht="22.5" customHeight="1">
      <c r="A294" s="25" t="s">
        <v>995</v>
      </c>
      <c r="B294" s="26" t="s">
        <v>996</v>
      </c>
      <c r="C294" s="26"/>
      <c r="D294" s="57">
        <v>65.0</v>
      </c>
      <c r="E294" s="49"/>
      <c r="F294" s="50" t="s">
        <v>997</v>
      </c>
      <c r="G294" s="26">
        <v>1425.0</v>
      </c>
      <c r="H294" s="28">
        <v>0.0</v>
      </c>
    </row>
    <row r="295" ht="22.5" customHeight="1">
      <c r="A295" s="25" t="s">
        <v>998</v>
      </c>
      <c r="B295" s="26" t="s">
        <v>992</v>
      </c>
      <c r="C295" s="26"/>
      <c r="D295" s="58" t="s">
        <v>999</v>
      </c>
      <c r="E295" s="52"/>
      <c r="F295" s="53" t="s">
        <v>1000</v>
      </c>
      <c r="G295" s="26">
        <v>1470.0</v>
      </c>
      <c r="H295" s="28">
        <v>0.0</v>
      </c>
    </row>
    <row r="296" ht="22.5" customHeight="1">
      <c r="A296" s="25" t="s">
        <v>1001</v>
      </c>
      <c r="B296" s="26" t="s">
        <v>1002</v>
      </c>
      <c r="C296" s="26"/>
      <c r="D296" s="48" t="s">
        <v>1003</v>
      </c>
      <c r="E296" s="49"/>
      <c r="F296" s="50" t="s">
        <v>1004</v>
      </c>
      <c r="G296" s="26">
        <v>20.0</v>
      </c>
      <c r="H296" s="28">
        <v>0.0</v>
      </c>
    </row>
    <row r="297" ht="22.5" customHeight="1">
      <c r="A297" s="25" t="s">
        <v>1005</v>
      </c>
      <c r="B297" s="26" t="s">
        <v>1006</v>
      </c>
      <c r="C297" s="26"/>
      <c r="D297" s="51" t="s">
        <v>1007</v>
      </c>
      <c r="E297" s="52"/>
      <c r="F297" s="53" t="s">
        <v>1008</v>
      </c>
      <c r="G297" s="26">
        <v>59.0</v>
      </c>
      <c r="H297" s="28">
        <v>0.0</v>
      </c>
    </row>
    <row r="298" ht="22.5" customHeight="1">
      <c r="A298" s="25" t="s">
        <v>1009</v>
      </c>
      <c r="B298" s="26" t="s">
        <v>1010</v>
      </c>
      <c r="C298" s="26"/>
      <c r="D298" s="48" t="s">
        <v>1011</v>
      </c>
      <c r="E298" s="49"/>
      <c r="F298" s="50" t="s">
        <v>1012</v>
      </c>
      <c r="G298" s="26">
        <v>300.0</v>
      </c>
      <c r="H298" s="28">
        <v>0.0</v>
      </c>
    </row>
    <row r="299" ht="22.5" customHeight="1">
      <c r="A299" s="25" t="s">
        <v>1013</v>
      </c>
      <c r="B299" s="26" t="s">
        <v>1010</v>
      </c>
      <c r="C299" s="26"/>
      <c r="D299" s="51" t="s">
        <v>1014</v>
      </c>
      <c r="E299" s="52"/>
      <c r="F299" s="59" t="s">
        <v>1015</v>
      </c>
      <c r="G299" s="26"/>
      <c r="H299" s="28">
        <v>0.0</v>
      </c>
    </row>
    <row r="300" ht="22.5" customHeight="1">
      <c r="A300" s="25" t="s">
        <v>1016</v>
      </c>
      <c r="B300" s="26" t="s">
        <v>1010</v>
      </c>
      <c r="C300" s="26"/>
      <c r="D300" s="48" t="s">
        <v>1017</v>
      </c>
      <c r="E300" s="49"/>
      <c r="F300" s="60" t="s">
        <v>1018</v>
      </c>
      <c r="G300" s="26"/>
      <c r="H300" s="28">
        <v>0.0</v>
      </c>
    </row>
    <row r="301" ht="22.5" customHeight="1">
      <c r="A301" s="25" t="s">
        <v>1019</v>
      </c>
      <c r="B301" s="26" t="s">
        <v>1010</v>
      </c>
      <c r="C301" s="26"/>
      <c r="D301" s="51" t="s">
        <v>1020</v>
      </c>
      <c r="E301" s="52"/>
      <c r="F301" s="59" t="s">
        <v>1021</v>
      </c>
      <c r="G301" s="26"/>
      <c r="H301" s="28">
        <v>0.0</v>
      </c>
    </row>
    <row r="302" ht="22.5" customHeight="1">
      <c r="A302" s="25" t="s">
        <v>1022</v>
      </c>
      <c r="B302" s="26" t="s">
        <v>1010</v>
      </c>
      <c r="C302" s="26"/>
      <c r="D302" s="48" t="s">
        <v>1023</v>
      </c>
      <c r="E302" s="49"/>
      <c r="F302" s="60" t="s">
        <v>1024</v>
      </c>
      <c r="G302" s="26"/>
      <c r="H302" s="28">
        <v>0.0</v>
      </c>
    </row>
    <row r="303" ht="22.5" customHeight="1">
      <c r="A303" s="25" t="s">
        <v>1025</v>
      </c>
      <c r="B303" s="26" t="s">
        <v>1026</v>
      </c>
      <c r="C303" s="26"/>
      <c r="D303" s="51">
        <v>6.0</v>
      </c>
      <c r="E303" s="52"/>
      <c r="F303" s="59" t="s">
        <v>1027</v>
      </c>
      <c r="G303" s="26"/>
      <c r="H303" s="28">
        <v>0.0</v>
      </c>
    </row>
    <row r="304" ht="22.5" customHeight="1">
      <c r="A304" s="25" t="s">
        <v>1028</v>
      </c>
      <c r="B304" s="26" t="s">
        <v>1026</v>
      </c>
      <c r="C304" s="26"/>
      <c r="D304" s="48">
        <v>8.0</v>
      </c>
      <c r="E304" s="49"/>
      <c r="F304" s="50" t="s">
        <v>1029</v>
      </c>
      <c r="G304" s="26">
        <v>17.0</v>
      </c>
      <c r="H304" s="28">
        <v>0.0</v>
      </c>
    </row>
    <row r="305" ht="22.5" customHeight="1">
      <c r="A305" s="25" t="s">
        <v>1030</v>
      </c>
      <c r="B305" s="26" t="s">
        <v>1026</v>
      </c>
      <c r="C305" s="26"/>
      <c r="D305" s="51">
        <v>10.0</v>
      </c>
      <c r="E305" s="52"/>
      <c r="F305" s="61" t="s">
        <v>1031</v>
      </c>
      <c r="G305" s="26"/>
      <c r="H305" s="28">
        <v>0.0</v>
      </c>
    </row>
    <row r="306" ht="22.5" customHeight="1">
      <c r="A306" s="25" t="s">
        <v>1032</v>
      </c>
      <c r="B306" s="26" t="s">
        <v>1026</v>
      </c>
      <c r="C306" s="26"/>
      <c r="D306" s="48">
        <v>12.0</v>
      </c>
      <c r="E306" s="49"/>
      <c r="F306" s="50" t="s">
        <v>1033</v>
      </c>
      <c r="G306" s="26"/>
      <c r="H306" s="28">
        <v>0.0</v>
      </c>
    </row>
    <row r="307" ht="22.5" customHeight="1">
      <c r="A307" s="25" t="s">
        <v>1034</v>
      </c>
      <c r="B307" s="26" t="s">
        <v>1026</v>
      </c>
      <c r="C307" s="26"/>
      <c r="D307" s="51">
        <v>14.0</v>
      </c>
      <c r="E307" s="52"/>
      <c r="F307" s="59" t="s">
        <v>1035</v>
      </c>
      <c r="G307" s="26"/>
      <c r="H307" s="28">
        <v>0.0</v>
      </c>
    </row>
    <row r="308" ht="22.5" customHeight="1">
      <c r="A308" s="25" t="s">
        <v>1036</v>
      </c>
      <c r="B308" s="26" t="s">
        <v>1026</v>
      </c>
      <c r="C308" s="26"/>
      <c r="D308" s="48">
        <v>16.0</v>
      </c>
      <c r="E308" s="49"/>
      <c r="F308" s="60" t="s">
        <v>1037</v>
      </c>
      <c r="G308" s="26"/>
      <c r="H308" s="28">
        <v>0.0</v>
      </c>
    </row>
    <row r="309" ht="22.5" customHeight="1">
      <c r="A309" s="25" t="s">
        <v>1038</v>
      </c>
      <c r="B309" s="26" t="s">
        <v>1026</v>
      </c>
      <c r="C309" s="26"/>
      <c r="D309" s="51">
        <v>18.0</v>
      </c>
      <c r="E309" s="52"/>
      <c r="F309" s="59" t="s">
        <v>1039</v>
      </c>
      <c r="G309" s="26"/>
      <c r="H309" s="28">
        <v>0.0</v>
      </c>
    </row>
    <row r="310" ht="22.5" customHeight="1">
      <c r="A310" s="25" t="s">
        <v>1040</v>
      </c>
      <c r="B310" s="26" t="s">
        <v>1026</v>
      </c>
      <c r="C310" s="26"/>
      <c r="D310" s="48">
        <v>22.0</v>
      </c>
      <c r="E310" s="49"/>
      <c r="F310" s="60" t="s">
        <v>1041</v>
      </c>
      <c r="G310" s="26">
        <v>7.0</v>
      </c>
      <c r="H310" s="28">
        <v>0.0</v>
      </c>
    </row>
    <row r="311" ht="22.5" customHeight="1">
      <c r="A311" s="25" t="s">
        <v>1042</v>
      </c>
      <c r="B311" s="26" t="s">
        <v>1042</v>
      </c>
      <c r="C311" s="26"/>
      <c r="D311" s="55"/>
      <c r="E311" s="52"/>
      <c r="F311" s="53" t="s">
        <v>1043</v>
      </c>
      <c r="G311" s="26">
        <v>11.0</v>
      </c>
      <c r="H311" s="28">
        <v>0.0</v>
      </c>
    </row>
    <row r="312" ht="22.5" customHeight="1">
      <c r="A312" s="25" t="s">
        <v>1044</v>
      </c>
      <c r="B312" s="26" t="s">
        <v>1044</v>
      </c>
      <c r="C312" s="26"/>
      <c r="D312" s="62"/>
      <c r="E312" s="63"/>
      <c r="F312" s="64" t="s">
        <v>1045</v>
      </c>
      <c r="G312" s="26">
        <v>455.0</v>
      </c>
      <c r="H312" s="28">
        <v>0.0</v>
      </c>
    </row>
    <row r="313" ht="22.5" customHeight="1">
      <c r="A313" s="25" t="s">
        <v>1046</v>
      </c>
      <c r="B313" s="26" t="s">
        <v>1046</v>
      </c>
      <c r="C313" s="26"/>
      <c r="D313" s="54"/>
      <c r="E313" s="49"/>
      <c r="F313" s="50" t="s">
        <v>1047</v>
      </c>
      <c r="G313" s="26" t="s">
        <v>1048</v>
      </c>
      <c r="H313" s="28">
        <v>0.0</v>
      </c>
    </row>
    <row r="314" ht="22.5" customHeight="1">
      <c r="A314" s="25" t="s">
        <v>1049</v>
      </c>
      <c r="B314" s="26" t="s">
        <v>1049</v>
      </c>
      <c r="C314" s="26"/>
      <c r="D314" s="55"/>
      <c r="E314" s="52"/>
      <c r="F314" s="53" t="s">
        <v>1050</v>
      </c>
      <c r="G314" s="26" t="s">
        <v>1051</v>
      </c>
      <c r="H314" s="28">
        <v>0.0</v>
      </c>
    </row>
    <row r="315" ht="22.5" customHeight="1">
      <c r="A315" s="25" t="s">
        <v>1052</v>
      </c>
      <c r="B315" s="26" t="s">
        <v>1052</v>
      </c>
      <c r="C315" s="26"/>
      <c r="D315" s="54"/>
      <c r="E315" s="49"/>
      <c r="F315" s="65" t="s">
        <v>1053</v>
      </c>
      <c r="G315" s="26">
        <v>459.0</v>
      </c>
      <c r="H315" s="28">
        <v>0.0</v>
      </c>
    </row>
    <row r="316" ht="22.5" customHeight="1">
      <c r="A316" s="25" t="s">
        <v>1054</v>
      </c>
      <c r="B316" s="26" t="s">
        <v>1054</v>
      </c>
      <c r="C316" s="26"/>
      <c r="D316" s="55"/>
      <c r="E316" s="52"/>
      <c r="F316" s="53" t="s">
        <v>1055</v>
      </c>
      <c r="G316" s="26">
        <v>60.0</v>
      </c>
      <c r="H316" s="28">
        <v>0.0</v>
      </c>
    </row>
    <row r="317" ht="22.5" customHeight="1">
      <c r="A317" s="25" t="s">
        <v>1056</v>
      </c>
      <c r="B317" s="26" t="s">
        <v>1056</v>
      </c>
      <c r="C317" s="26"/>
      <c r="D317" s="54"/>
      <c r="E317" s="49"/>
      <c r="F317" s="50" t="s">
        <v>1057</v>
      </c>
      <c r="G317" s="26"/>
      <c r="H317" s="28">
        <v>0.0</v>
      </c>
    </row>
    <row r="318" ht="22.5" customHeight="1">
      <c r="A318" s="25" t="s">
        <v>1058</v>
      </c>
      <c r="B318" s="26" t="s">
        <v>1058</v>
      </c>
      <c r="C318" s="26"/>
      <c r="D318" s="55"/>
      <c r="E318" s="52"/>
      <c r="F318" s="53" t="s">
        <v>1059</v>
      </c>
      <c r="G318" s="26">
        <v>1150.0</v>
      </c>
      <c r="H318" s="28">
        <v>0.0</v>
      </c>
    </row>
    <row r="319" ht="22.5" customHeight="1">
      <c r="A319" s="25" t="s">
        <v>1060</v>
      </c>
      <c r="B319" s="26" t="s">
        <v>1060</v>
      </c>
      <c r="C319" s="26"/>
      <c r="D319" s="54"/>
      <c r="E319" s="49"/>
      <c r="F319" s="50" t="s">
        <v>1061</v>
      </c>
      <c r="G319" s="26">
        <v>43.0</v>
      </c>
      <c r="H319" s="28">
        <v>0.0</v>
      </c>
    </row>
    <row r="320" ht="22.5" customHeight="1">
      <c r="A320" s="25" t="s">
        <v>1062</v>
      </c>
      <c r="B320" s="26" t="s">
        <v>1063</v>
      </c>
      <c r="C320" s="26"/>
      <c r="D320" s="66" t="s">
        <v>1064</v>
      </c>
      <c r="E320" s="67"/>
      <c r="F320" s="68" t="s">
        <v>1065</v>
      </c>
      <c r="G320" s="26">
        <v>20.0</v>
      </c>
      <c r="H320" s="28">
        <v>0.0</v>
      </c>
    </row>
    <row r="321" ht="22.5" customHeight="1">
      <c r="A321" s="25" t="s">
        <v>1066</v>
      </c>
      <c r="B321" s="26" t="s">
        <v>1066</v>
      </c>
      <c r="C321" s="26"/>
      <c r="D321" s="55"/>
      <c r="E321" s="52"/>
      <c r="F321" s="53" t="s">
        <v>1067</v>
      </c>
      <c r="G321" s="26">
        <v>7.0</v>
      </c>
      <c r="H321" s="28">
        <v>0.0</v>
      </c>
    </row>
    <row r="322" ht="22.5" customHeight="1">
      <c r="A322" s="25" t="s">
        <v>1068</v>
      </c>
      <c r="B322" s="26" t="s">
        <v>1069</v>
      </c>
      <c r="C322" s="46"/>
      <c r="D322" s="26" t="s">
        <v>1070</v>
      </c>
      <c r="E322" s="28"/>
      <c r="F322" s="45" t="s">
        <v>1071</v>
      </c>
      <c r="G322" s="26">
        <v>1980.0</v>
      </c>
      <c r="H322" s="28">
        <v>0.0</v>
      </c>
    </row>
    <row r="323" ht="22.5" customHeight="1">
      <c r="A323" s="25" t="s">
        <v>1072</v>
      </c>
      <c r="B323" s="26" t="s">
        <v>1069</v>
      </c>
      <c r="C323" s="46"/>
      <c r="D323" s="26" t="s">
        <v>1073</v>
      </c>
      <c r="E323" s="28"/>
      <c r="F323" s="30" t="s">
        <v>1074</v>
      </c>
      <c r="G323" s="26">
        <v>30.0</v>
      </c>
      <c r="H323" s="28">
        <v>0.0</v>
      </c>
    </row>
    <row r="324" ht="22.5" customHeight="1">
      <c r="A324" s="25" t="s">
        <v>1075</v>
      </c>
      <c r="B324" s="26" t="s">
        <v>1076</v>
      </c>
      <c r="C324" s="46"/>
      <c r="D324" s="26" t="s">
        <v>1070</v>
      </c>
      <c r="E324" s="28"/>
      <c r="F324" s="30" t="s">
        <v>1077</v>
      </c>
      <c r="G324" s="26">
        <v>834.0</v>
      </c>
      <c r="H324" s="28">
        <v>0.0</v>
      </c>
    </row>
    <row r="325" ht="22.5" customHeight="1">
      <c r="A325" s="25" t="s">
        <v>1078</v>
      </c>
      <c r="B325" s="26" t="s">
        <v>1079</v>
      </c>
      <c r="C325" s="46"/>
      <c r="D325" s="26" t="s">
        <v>1080</v>
      </c>
      <c r="E325" s="28"/>
      <c r="F325" s="45" t="s">
        <v>1081</v>
      </c>
      <c r="G325" s="26">
        <v>37.0</v>
      </c>
      <c r="H325" s="28">
        <v>0.0</v>
      </c>
    </row>
    <row r="326" ht="22.5" customHeight="1">
      <c r="A326" s="25" t="s">
        <v>1082</v>
      </c>
      <c r="B326" s="26" t="s">
        <v>1083</v>
      </c>
      <c r="C326" s="46"/>
      <c r="D326" s="26" t="s">
        <v>1080</v>
      </c>
      <c r="E326" s="28"/>
      <c r="F326" s="45" t="s">
        <v>1084</v>
      </c>
      <c r="G326" s="26">
        <v>40.0</v>
      </c>
      <c r="H326" s="28">
        <v>0.0</v>
      </c>
    </row>
    <row r="327" ht="22.5" customHeight="1">
      <c r="A327" s="25" t="s">
        <v>1085</v>
      </c>
      <c r="B327" s="26" t="s">
        <v>1086</v>
      </c>
      <c r="C327" s="46"/>
      <c r="D327" s="26" t="s">
        <v>851</v>
      </c>
      <c r="E327" s="28"/>
      <c r="F327" s="45" t="s">
        <v>1087</v>
      </c>
      <c r="G327" s="26">
        <v>50.0</v>
      </c>
      <c r="H327" s="28">
        <v>0.0</v>
      </c>
    </row>
    <row r="328" ht="22.5" customHeight="1">
      <c r="A328" s="25" t="s">
        <v>1088</v>
      </c>
      <c r="B328" s="26" t="s">
        <v>1088</v>
      </c>
      <c r="C328" s="46"/>
      <c r="D328" s="67"/>
      <c r="E328" s="67"/>
      <c r="F328" s="69" t="s">
        <v>1089</v>
      </c>
      <c r="G328" s="26">
        <v>10.0</v>
      </c>
      <c r="H328" s="28">
        <v>0.0</v>
      </c>
    </row>
    <row r="329" ht="22.5" customHeight="1">
      <c r="A329" s="25" t="s">
        <v>1090</v>
      </c>
      <c r="B329" s="26" t="s">
        <v>1090</v>
      </c>
      <c r="C329" s="46"/>
      <c r="D329" s="52"/>
      <c r="E329" s="52"/>
      <c r="F329" s="59" t="s">
        <v>1091</v>
      </c>
      <c r="G329" s="26">
        <v>25.0</v>
      </c>
      <c r="H329" s="28">
        <v>0.0</v>
      </c>
    </row>
    <row r="330" ht="22.5" customHeight="1">
      <c r="A330" s="25" t="s">
        <v>1092</v>
      </c>
      <c r="B330" s="26" t="s">
        <v>1092</v>
      </c>
      <c r="C330" s="46"/>
      <c r="D330" s="49"/>
      <c r="E330" s="49"/>
      <c r="F330" s="70" t="s">
        <v>1093</v>
      </c>
      <c r="G330" s="26">
        <v>825.0</v>
      </c>
      <c r="H330" s="28">
        <v>0.0</v>
      </c>
    </row>
    <row r="331" ht="22.5" customHeight="1">
      <c r="A331" s="25" t="s">
        <v>1094</v>
      </c>
      <c r="B331" s="26" t="s">
        <v>1094</v>
      </c>
      <c r="C331" s="46"/>
      <c r="D331" s="26"/>
      <c r="E331" s="26"/>
      <c r="F331" s="30" t="s">
        <v>1095</v>
      </c>
      <c r="G331" s="26">
        <v>7.0</v>
      </c>
      <c r="H331" s="28">
        <v>0.0</v>
      </c>
    </row>
    <row r="332" ht="22.5" customHeight="1">
      <c r="A332" s="25" t="s">
        <v>1096</v>
      </c>
      <c r="B332" s="46" t="s">
        <v>1097</v>
      </c>
      <c r="C332" s="46"/>
      <c r="D332" s="26" t="s">
        <v>1070</v>
      </c>
      <c r="E332" s="26"/>
      <c r="F332" s="27" t="s">
        <v>1098</v>
      </c>
      <c r="G332" s="26">
        <v>42.0</v>
      </c>
      <c r="H332" s="28">
        <v>0.0</v>
      </c>
    </row>
    <row r="333" ht="22.5" customHeight="1">
      <c r="A333" s="25" t="s">
        <v>1099</v>
      </c>
      <c r="B333" s="46" t="s">
        <v>1099</v>
      </c>
      <c r="C333" s="46"/>
      <c r="D333" s="26"/>
      <c r="E333" s="26"/>
      <c r="F333" s="27" t="s">
        <v>1100</v>
      </c>
      <c r="G333" s="26">
        <v>20.0</v>
      </c>
      <c r="H333" s="28">
        <v>0.0</v>
      </c>
    </row>
    <row r="334" ht="22.5" customHeight="1">
      <c r="A334" s="25" t="s">
        <v>1101</v>
      </c>
      <c r="B334" s="46" t="s">
        <v>1101</v>
      </c>
      <c r="C334" s="46"/>
      <c r="D334" s="26"/>
      <c r="E334" s="26"/>
      <c r="F334" s="27" t="s">
        <v>1102</v>
      </c>
      <c r="G334" s="26">
        <v>1.0</v>
      </c>
      <c r="H334" s="28">
        <v>0.0</v>
      </c>
    </row>
    <row r="335" ht="22.5" customHeight="1">
      <c r="A335" s="25" t="s">
        <v>1103</v>
      </c>
      <c r="B335" s="46" t="s">
        <v>1103</v>
      </c>
      <c r="C335" s="46"/>
      <c r="D335" s="26"/>
      <c r="E335" s="26"/>
      <c r="F335" s="27" t="s">
        <v>1104</v>
      </c>
      <c r="G335" s="26">
        <v>7.0</v>
      </c>
      <c r="H335" s="28">
        <v>0.0</v>
      </c>
    </row>
    <row r="336" ht="22.5" customHeight="1">
      <c r="A336" s="25" t="s">
        <v>1105</v>
      </c>
      <c r="B336" s="46" t="s">
        <v>1105</v>
      </c>
      <c r="C336" s="46"/>
      <c r="D336" s="26"/>
      <c r="E336" s="26"/>
      <c r="F336" s="45" t="s">
        <v>1106</v>
      </c>
      <c r="G336" s="26" t="s">
        <v>1107</v>
      </c>
      <c r="H336" s="28">
        <v>0.0</v>
      </c>
    </row>
    <row r="337" ht="22.5" customHeight="1">
      <c r="A337" s="25" t="s">
        <v>1108</v>
      </c>
      <c r="B337" s="46" t="s">
        <v>1108</v>
      </c>
      <c r="C337" s="46"/>
      <c r="D337" s="26"/>
      <c r="E337" s="26"/>
      <c r="F337" s="27" t="s">
        <v>1109</v>
      </c>
      <c r="G337" s="26">
        <v>5.0</v>
      </c>
      <c r="H337" s="28">
        <v>0.0</v>
      </c>
    </row>
    <row r="338" ht="22.5" customHeight="1">
      <c r="A338" s="25" t="s">
        <v>1110</v>
      </c>
      <c r="B338" s="46" t="s">
        <v>1110</v>
      </c>
      <c r="C338" s="46"/>
      <c r="D338" s="26"/>
      <c r="E338" s="26"/>
      <c r="F338" s="45" t="s">
        <v>1111</v>
      </c>
      <c r="G338" s="26">
        <v>16.0</v>
      </c>
      <c r="H338" s="28">
        <v>0.0</v>
      </c>
    </row>
    <row r="339" ht="22.5" customHeight="1">
      <c r="A339" s="25" t="s">
        <v>1112</v>
      </c>
      <c r="B339" s="46" t="s">
        <v>1113</v>
      </c>
      <c r="C339" s="46"/>
      <c r="D339" s="26">
        <v>180.0</v>
      </c>
      <c r="E339" s="26"/>
      <c r="F339" s="45" t="s">
        <v>1114</v>
      </c>
      <c r="G339" s="26">
        <v>102.0</v>
      </c>
      <c r="H339" s="28">
        <v>0.0</v>
      </c>
    </row>
    <row r="340" ht="22.5" customHeight="1">
      <c r="A340" s="25" t="s">
        <v>1115</v>
      </c>
      <c r="B340" s="46" t="s">
        <v>1115</v>
      </c>
      <c r="C340" s="46"/>
      <c r="D340" s="26"/>
      <c r="E340" s="26"/>
      <c r="F340" s="27" t="s">
        <v>1116</v>
      </c>
      <c r="G340" s="26">
        <v>10.0</v>
      </c>
      <c r="H340" s="28">
        <v>0.0</v>
      </c>
    </row>
    <row r="341" ht="22.5" customHeight="1">
      <c r="A341" s="25" t="s">
        <v>1117</v>
      </c>
      <c r="B341" s="46" t="s">
        <v>1117</v>
      </c>
      <c r="C341" s="46"/>
      <c r="D341" s="26"/>
      <c r="E341" s="26"/>
      <c r="F341" s="27" t="s">
        <v>1118</v>
      </c>
      <c r="G341" s="26" t="s">
        <v>1119</v>
      </c>
      <c r="H341" s="28">
        <v>0.0</v>
      </c>
    </row>
    <row r="342" ht="22.5" customHeight="1">
      <c r="A342" s="25" t="s">
        <v>1120</v>
      </c>
      <c r="B342" s="46" t="s">
        <v>1121</v>
      </c>
      <c r="C342" s="46"/>
      <c r="D342" s="26" t="s">
        <v>1122</v>
      </c>
      <c r="E342" s="26"/>
      <c r="F342" s="45" t="s">
        <v>1123</v>
      </c>
      <c r="G342" s="26">
        <v>106.0</v>
      </c>
      <c r="H342" s="28">
        <v>0.0</v>
      </c>
    </row>
    <row r="343" ht="22.5" customHeight="1">
      <c r="A343" s="25" t="s">
        <v>1124</v>
      </c>
      <c r="B343" s="46" t="s">
        <v>1121</v>
      </c>
      <c r="C343" s="46"/>
      <c r="D343" s="26" t="s">
        <v>1125</v>
      </c>
      <c r="E343" s="26"/>
      <c r="F343" s="45" t="s">
        <v>1126</v>
      </c>
      <c r="G343" s="26">
        <v>480.0</v>
      </c>
      <c r="H343" s="28">
        <v>0.0</v>
      </c>
    </row>
    <row r="344" ht="22.5" customHeight="1">
      <c r="A344" s="25" t="s">
        <v>1127</v>
      </c>
      <c r="B344" s="46" t="s">
        <v>1127</v>
      </c>
      <c r="C344" s="46"/>
      <c r="D344" s="26"/>
      <c r="E344" s="26"/>
      <c r="F344" s="71" t="s">
        <v>1128</v>
      </c>
      <c r="G344" s="26">
        <v>7.0</v>
      </c>
      <c r="H344" s="28">
        <v>0.0</v>
      </c>
    </row>
    <row r="345" ht="22.5" customHeight="1">
      <c r="A345" s="25" t="s">
        <v>1129</v>
      </c>
      <c r="B345" s="46" t="s">
        <v>1129</v>
      </c>
      <c r="C345" s="46"/>
      <c r="D345" s="26"/>
      <c r="E345" s="26"/>
      <c r="F345" s="27" t="s">
        <v>1130</v>
      </c>
      <c r="G345" s="26">
        <v>5.0</v>
      </c>
      <c r="H345" s="28">
        <v>0.0</v>
      </c>
    </row>
    <row r="346" ht="22.5" customHeight="1">
      <c r="A346" s="25" t="s">
        <v>1131</v>
      </c>
      <c r="B346" s="46" t="s">
        <v>1131</v>
      </c>
      <c r="C346" s="46"/>
      <c r="D346" s="26"/>
      <c r="E346" s="26"/>
      <c r="F346" s="27" t="s">
        <v>1132</v>
      </c>
      <c r="G346" s="26">
        <v>4.0</v>
      </c>
      <c r="H346" s="28">
        <v>0.0</v>
      </c>
    </row>
    <row r="347" ht="22.5" customHeight="1">
      <c r="A347" s="25" t="s">
        <v>1133</v>
      </c>
      <c r="B347" s="46" t="s">
        <v>1133</v>
      </c>
      <c r="C347" s="46"/>
      <c r="D347" s="26"/>
      <c r="E347" s="26"/>
      <c r="F347" s="27" t="s">
        <v>1134</v>
      </c>
      <c r="G347" s="26"/>
      <c r="H347" s="28">
        <v>0.0</v>
      </c>
    </row>
    <row r="348" ht="22.5" customHeight="1">
      <c r="A348" s="25" t="s">
        <v>1135</v>
      </c>
      <c r="B348" s="46" t="s">
        <v>1135</v>
      </c>
      <c r="C348" s="46"/>
      <c r="D348" s="26"/>
      <c r="E348" s="26"/>
      <c r="F348" s="30" t="s">
        <v>1136</v>
      </c>
      <c r="G348" s="26">
        <v>75.0</v>
      </c>
      <c r="H348" s="28">
        <v>0.0</v>
      </c>
    </row>
    <row r="349" ht="22.5" customHeight="1">
      <c r="A349" s="25" t="s">
        <v>1137</v>
      </c>
      <c r="B349" s="46" t="s">
        <v>1138</v>
      </c>
      <c r="C349" s="46"/>
      <c r="D349" s="26">
        <v>600.0</v>
      </c>
      <c r="E349" s="26"/>
      <c r="F349" s="45" t="s">
        <v>1139</v>
      </c>
      <c r="G349" s="26">
        <v>2.0</v>
      </c>
      <c r="H349" s="28">
        <v>0.0</v>
      </c>
    </row>
    <row r="350" ht="22.5" customHeight="1">
      <c r="A350" s="25" t="s">
        <v>1140</v>
      </c>
      <c r="B350" s="46" t="s">
        <v>1138</v>
      </c>
      <c r="C350" s="46"/>
      <c r="D350" s="26">
        <v>800.0</v>
      </c>
      <c r="E350" s="26"/>
      <c r="F350" s="27" t="s">
        <v>1141</v>
      </c>
      <c r="G350" s="26">
        <v>14.0</v>
      </c>
      <c r="H350" s="28">
        <v>0.0</v>
      </c>
    </row>
    <row r="351" ht="22.5" customHeight="1">
      <c r="A351" s="25" t="s">
        <v>1142</v>
      </c>
      <c r="B351" s="46" t="s">
        <v>1138</v>
      </c>
      <c r="C351" s="46"/>
      <c r="D351" s="26">
        <v>1000.0</v>
      </c>
      <c r="E351" s="26"/>
      <c r="F351" s="45" t="s">
        <v>1143</v>
      </c>
      <c r="G351" s="26">
        <v>15.0</v>
      </c>
      <c r="H351" s="28">
        <v>0.0</v>
      </c>
    </row>
    <row r="352" ht="22.5" customHeight="1">
      <c r="A352" s="25" t="s">
        <v>1144</v>
      </c>
      <c r="B352" s="46" t="s">
        <v>1138</v>
      </c>
      <c r="C352" s="46"/>
      <c r="D352" s="26">
        <v>1200.0</v>
      </c>
      <c r="E352" s="26"/>
      <c r="F352" s="45" t="s">
        <v>1145</v>
      </c>
      <c r="G352" s="26">
        <v>10.0</v>
      </c>
      <c r="H352" s="28">
        <v>0.0</v>
      </c>
    </row>
    <row r="353" ht="22.5" customHeight="1">
      <c r="A353" s="25" t="s">
        <v>1146</v>
      </c>
      <c r="B353" s="46" t="s">
        <v>1147</v>
      </c>
      <c r="C353" s="46" t="s">
        <v>103</v>
      </c>
      <c r="D353" s="26"/>
      <c r="E353" s="26"/>
      <c r="F353" s="45" t="s">
        <v>1148</v>
      </c>
      <c r="G353" s="26">
        <v>1.0</v>
      </c>
      <c r="H353" s="28">
        <v>0.0</v>
      </c>
    </row>
    <row r="354" ht="22.5" customHeight="1">
      <c r="A354" s="25" t="s">
        <v>1149</v>
      </c>
      <c r="B354" s="46" t="s">
        <v>1150</v>
      </c>
      <c r="C354" s="46" t="s">
        <v>103</v>
      </c>
      <c r="D354" s="26"/>
      <c r="E354" s="26"/>
      <c r="F354" s="45" t="s">
        <v>1148</v>
      </c>
      <c r="G354" s="26">
        <v>1.0</v>
      </c>
      <c r="H354" s="28">
        <v>0.0</v>
      </c>
    </row>
    <row r="355" ht="22.5" customHeight="1">
      <c r="A355" s="25" t="s">
        <v>1151</v>
      </c>
      <c r="B355" s="46"/>
      <c r="C355" s="46"/>
      <c r="D355" s="26"/>
      <c r="E355" s="26"/>
      <c r="F355" s="26"/>
      <c r="G355" s="26"/>
      <c r="H355" s="28">
        <v>0.0</v>
      </c>
    </row>
    <row r="356" ht="22.5" customHeight="1">
      <c r="A356" s="25" t="s">
        <v>1151</v>
      </c>
      <c r="B356" s="46"/>
      <c r="C356" s="46"/>
      <c r="D356" s="26"/>
      <c r="E356" s="26"/>
      <c r="F356" s="26"/>
      <c r="G356" s="26"/>
      <c r="H356" s="28">
        <v>0.0</v>
      </c>
    </row>
    <row r="357" ht="22.5" customHeight="1">
      <c r="A357" s="25" t="s">
        <v>1151</v>
      </c>
      <c r="B357" s="46"/>
      <c r="C357" s="46"/>
      <c r="D357" s="26"/>
      <c r="E357" s="26"/>
      <c r="F357" s="26"/>
      <c r="G357" s="26"/>
      <c r="H357" s="28">
        <v>0.0</v>
      </c>
    </row>
    <row r="358" ht="22.5" customHeight="1">
      <c r="A358" s="25" t="s">
        <v>1151</v>
      </c>
      <c r="B358" s="46"/>
      <c r="C358" s="46"/>
      <c r="D358" s="26"/>
      <c r="E358" s="26"/>
      <c r="F358" s="26"/>
      <c r="G358" s="26"/>
      <c r="H358" s="28">
        <v>0.0</v>
      </c>
    </row>
    <row r="359" ht="22.5" customHeight="1">
      <c r="A359" s="25" t="s">
        <v>1151</v>
      </c>
      <c r="B359" s="46"/>
      <c r="C359" s="46"/>
      <c r="D359" s="26"/>
      <c r="E359" s="26"/>
      <c r="F359" s="26"/>
      <c r="G359" s="26"/>
      <c r="H359" s="28">
        <v>0.0</v>
      </c>
    </row>
    <row r="360" ht="22.5" customHeight="1">
      <c r="A360" s="25" t="s">
        <v>1151</v>
      </c>
      <c r="B360" s="46"/>
      <c r="C360" s="46"/>
      <c r="D360" s="26"/>
      <c r="E360" s="26"/>
      <c r="F360" s="26"/>
      <c r="G360" s="26"/>
      <c r="H360" s="28">
        <v>0.0</v>
      </c>
    </row>
    <row r="361" ht="22.5" customHeight="1">
      <c r="A361" s="25" t="s">
        <v>1151</v>
      </c>
      <c r="B361" s="46"/>
      <c r="C361" s="46"/>
      <c r="D361" s="26"/>
      <c r="E361" s="26"/>
      <c r="F361" s="26"/>
      <c r="G361" s="26"/>
      <c r="H361" s="28">
        <v>0.0</v>
      </c>
    </row>
    <row r="362" ht="22.5" customHeight="1">
      <c r="A362" s="25" t="s">
        <v>1151</v>
      </c>
      <c r="B362" s="46"/>
      <c r="C362" s="46"/>
      <c r="D362" s="26"/>
      <c r="E362" s="26"/>
      <c r="F362" s="26"/>
      <c r="G362" s="26"/>
      <c r="H362" s="28">
        <v>0.0</v>
      </c>
    </row>
    <row r="363" ht="22.5" customHeight="1">
      <c r="A363" s="25" t="s">
        <v>1151</v>
      </c>
      <c r="B363" s="46"/>
      <c r="C363" s="46"/>
      <c r="D363" s="26"/>
      <c r="E363" s="26"/>
      <c r="F363" s="26"/>
      <c r="G363" s="26"/>
      <c r="H363" s="28">
        <v>0.0</v>
      </c>
    </row>
    <row r="364" ht="22.5" customHeight="1">
      <c r="A364" s="25" t="s">
        <v>1151</v>
      </c>
      <c r="B364" s="46"/>
      <c r="C364" s="46"/>
      <c r="D364" s="26"/>
      <c r="E364" s="26"/>
      <c r="F364" s="26"/>
      <c r="G364" s="26"/>
      <c r="H364" s="28">
        <v>0.0</v>
      </c>
    </row>
    <row r="365" ht="22.5" customHeight="1">
      <c r="A365" s="25" t="s">
        <v>1151</v>
      </c>
      <c r="B365" s="46"/>
      <c r="C365" s="46"/>
      <c r="D365" s="26"/>
      <c r="E365" s="26"/>
      <c r="F365" s="26"/>
      <c r="G365" s="26"/>
      <c r="H365" s="28">
        <v>0.0</v>
      </c>
    </row>
    <row r="366" ht="22.5" customHeight="1">
      <c r="A366" s="25" t="s">
        <v>1151</v>
      </c>
      <c r="B366" s="46"/>
      <c r="C366" s="46"/>
      <c r="D366" s="26"/>
      <c r="E366" s="26"/>
      <c r="F366" s="26"/>
      <c r="G366" s="26"/>
      <c r="H366" s="28">
        <v>0.0</v>
      </c>
    </row>
    <row r="367" ht="22.5" customHeight="1">
      <c r="A367" s="25" t="s">
        <v>1151</v>
      </c>
      <c r="B367" s="46"/>
      <c r="C367" s="46"/>
      <c r="D367" s="26"/>
      <c r="E367" s="26"/>
      <c r="F367" s="26"/>
      <c r="G367" s="26"/>
      <c r="H367" s="28">
        <v>0.0</v>
      </c>
    </row>
    <row r="368" ht="22.5" customHeight="1">
      <c r="A368" s="25" t="s">
        <v>1151</v>
      </c>
      <c r="B368" s="46"/>
      <c r="C368" s="46"/>
      <c r="D368" s="26"/>
      <c r="E368" s="26"/>
      <c r="F368" s="26"/>
      <c r="G368" s="26"/>
      <c r="H368" s="28">
        <v>0.0</v>
      </c>
    </row>
    <row r="369" ht="22.5" customHeight="1">
      <c r="A369" s="25" t="s">
        <v>1151</v>
      </c>
      <c r="B369" s="46"/>
      <c r="C369" s="46"/>
      <c r="D369" s="26"/>
      <c r="E369" s="26"/>
      <c r="F369" s="26"/>
      <c r="G369" s="26"/>
      <c r="H369" s="28">
        <v>0.0</v>
      </c>
    </row>
    <row r="370" ht="22.5" customHeight="1">
      <c r="A370" s="25" t="s">
        <v>1151</v>
      </c>
      <c r="B370" s="46"/>
      <c r="C370" s="46"/>
      <c r="D370" s="26"/>
      <c r="E370" s="26"/>
      <c r="F370" s="26"/>
      <c r="G370" s="26"/>
      <c r="H370" s="28">
        <v>0.0</v>
      </c>
    </row>
    <row r="371" ht="22.5" customHeight="1">
      <c r="A371" s="25" t="s">
        <v>1151</v>
      </c>
      <c r="B371" s="46"/>
      <c r="C371" s="46"/>
      <c r="D371" s="26"/>
      <c r="E371" s="26"/>
      <c r="F371" s="26"/>
      <c r="G371" s="26"/>
      <c r="H371" s="28">
        <v>0.0</v>
      </c>
    </row>
    <row r="372" ht="22.5" customHeight="1">
      <c r="A372" s="25" t="s">
        <v>1151</v>
      </c>
      <c r="B372" s="46"/>
      <c r="C372" s="46"/>
      <c r="D372" s="26"/>
      <c r="E372" s="26"/>
      <c r="F372" s="26"/>
      <c r="G372" s="26"/>
      <c r="H372" s="28">
        <v>0.0</v>
      </c>
    </row>
    <row r="373" ht="22.5" customHeight="1">
      <c r="A373" s="25" t="s">
        <v>1151</v>
      </c>
      <c r="B373" s="46"/>
      <c r="C373" s="46"/>
      <c r="D373" s="26"/>
      <c r="E373" s="26"/>
      <c r="F373" s="26"/>
      <c r="G373" s="26"/>
      <c r="H373" s="28">
        <v>0.0</v>
      </c>
    </row>
    <row r="374" ht="22.5" customHeight="1">
      <c r="A374" s="25" t="s">
        <v>1151</v>
      </c>
      <c r="B374" s="46"/>
      <c r="C374" s="46"/>
      <c r="D374" s="26"/>
      <c r="E374" s="26"/>
      <c r="F374" s="26"/>
      <c r="G374" s="26"/>
      <c r="H374" s="28">
        <v>0.0</v>
      </c>
    </row>
    <row r="375" ht="22.5" customHeight="1">
      <c r="A375" s="25" t="s">
        <v>1151</v>
      </c>
      <c r="B375" s="46"/>
      <c r="C375" s="46"/>
      <c r="D375" s="26"/>
      <c r="E375" s="26"/>
      <c r="F375" s="26"/>
      <c r="G375" s="26"/>
      <c r="H375" s="28">
        <v>0.0</v>
      </c>
    </row>
    <row r="376" ht="22.5" customHeight="1">
      <c r="A376" s="25" t="s">
        <v>1151</v>
      </c>
      <c r="B376" s="46"/>
      <c r="C376" s="46"/>
      <c r="D376" s="26"/>
      <c r="E376" s="26"/>
      <c r="F376" s="26"/>
      <c r="G376" s="26"/>
      <c r="H376" s="28">
        <v>0.0</v>
      </c>
    </row>
    <row r="377" ht="22.5" customHeight="1">
      <c r="A377" s="25" t="s">
        <v>1151</v>
      </c>
      <c r="B377" s="46"/>
      <c r="C377" s="46"/>
      <c r="D377" s="26"/>
      <c r="E377" s="26"/>
      <c r="F377" s="26"/>
      <c r="G377" s="26"/>
      <c r="H377" s="28">
        <v>0.0</v>
      </c>
    </row>
    <row r="378" ht="22.5" customHeight="1">
      <c r="A378" s="25" t="s">
        <v>1151</v>
      </c>
      <c r="B378" s="46"/>
      <c r="C378" s="46"/>
      <c r="D378" s="26"/>
      <c r="E378" s="26"/>
      <c r="F378" s="26"/>
      <c r="G378" s="26"/>
      <c r="H378" s="28">
        <v>0.0</v>
      </c>
    </row>
    <row r="379">
      <c r="A379" s="40"/>
      <c r="B379" s="41"/>
      <c r="C379" s="41"/>
      <c r="D379" s="41"/>
      <c r="E379" s="41"/>
      <c r="F379" s="41"/>
      <c r="G379" s="41"/>
      <c r="H379" s="41"/>
    </row>
    <row r="380">
      <c r="A380" s="40"/>
      <c r="B380" s="41"/>
      <c r="C380" s="41"/>
      <c r="D380" s="41"/>
      <c r="E380" s="41"/>
      <c r="F380" s="41"/>
      <c r="G380" s="41"/>
      <c r="H380" s="41"/>
    </row>
    <row r="381">
      <c r="A381" s="40"/>
      <c r="B381" s="41"/>
      <c r="C381" s="41"/>
      <c r="D381" s="41"/>
      <c r="E381" s="41"/>
      <c r="F381" s="41"/>
      <c r="G381" s="41"/>
      <c r="H381" s="41"/>
    </row>
    <row r="382">
      <c r="A382" s="40"/>
      <c r="B382" s="41"/>
      <c r="C382" s="41"/>
      <c r="D382" s="41"/>
      <c r="E382" s="41"/>
      <c r="F382" s="41"/>
      <c r="G382" s="41"/>
      <c r="H382" s="41"/>
    </row>
    <row r="383">
      <c r="A383" s="40"/>
      <c r="B383" s="41"/>
      <c r="C383" s="41"/>
      <c r="D383" s="41"/>
      <c r="E383" s="41"/>
      <c r="F383" s="41"/>
      <c r="G383" s="41"/>
      <c r="H383" s="41"/>
    </row>
    <row r="384">
      <c r="A384" s="40"/>
      <c r="B384" s="41"/>
      <c r="C384" s="41"/>
      <c r="D384" s="41"/>
      <c r="E384" s="41"/>
      <c r="F384" s="41"/>
      <c r="G384" s="41"/>
      <c r="H384" s="41"/>
    </row>
    <row r="385">
      <c r="A385" s="40"/>
      <c r="B385" s="41"/>
      <c r="C385" s="41"/>
      <c r="D385" s="41"/>
      <c r="E385" s="41"/>
      <c r="F385" s="41"/>
      <c r="G385" s="41"/>
      <c r="H385" s="41"/>
    </row>
    <row r="386">
      <c r="A386" s="40"/>
      <c r="B386" s="41"/>
      <c r="C386" s="41"/>
      <c r="D386" s="41"/>
      <c r="E386" s="41"/>
      <c r="F386" s="41"/>
      <c r="G386" s="41"/>
      <c r="H386" s="41"/>
    </row>
    <row r="387">
      <c r="A387" s="40"/>
      <c r="B387" s="41"/>
      <c r="C387" s="41"/>
      <c r="D387" s="41"/>
      <c r="E387" s="41"/>
      <c r="F387" s="41"/>
      <c r="G387" s="41"/>
      <c r="H387" s="41"/>
    </row>
    <row r="388">
      <c r="A388" s="40"/>
      <c r="B388" s="41"/>
      <c r="C388" s="41"/>
      <c r="D388" s="41"/>
      <c r="E388" s="41"/>
      <c r="F388" s="41"/>
      <c r="G388" s="41"/>
      <c r="H388" s="41"/>
    </row>
    <row r="389">
      <c r="A389" s="40"/>
      <c r="B389" s="41"/>
      <c r="C389" s="41"/>
      <c r="D389" s="41"/>
      <c r="E389" s="41"/>
      <c r="F389" s="41"/>
      <c r="G389" s="41"/>
      <c r="H389" s="41"/>
    </row>
    <row r="390">
      <c r="A390" s="40"/>
      <c r="B390" s="41"/>
      <c r="C390" s="41"/>
      <c r="D390" s="41"/>
      <c r="E390" s="41"/>
      <c r="F390" s="41"/>
      <c r="G390" s="41"/>
      <c r="H390" s="41"/>
    </row>
    <row r="391">
      <c r="A391" s="40"/>
      <c r="B391" s="41"/>
      <c r="C391" s="41"/>
      <c r="D391" s="41"/>
      <c r="E391" s="41"/>
      <c r="F391" s="41"/>
      <c r="G391" s="41"/>
      <c r="H391" s="41"/>
    </row>
    <row r="392">
      <c r="A392" s="40"/>
      <c r="B392" s="41"/>
      <c r="C392" s="41"/>
      <c r="D392" s="41"/>
      <c r="E392" s="41"/>
      <c r="F392" s="41"/>
      <c r="G392" s="41"/>
      <c r="H392" s="41"/>
    </row>
    <row r="393">
      <c r="A393" s="40"/>
      <c r="B393" s="41"/>
      <c r="C393" s="41"/>
      <c r="D393" s="41"/>
      <c r="E393" s="41"/>
      <c r="F393" s="41"/>
      <c r="G393" s="41"/>
      <c r="H393" s="41"/>
    </row>
    <row r="394">
      <c r="A394" s="40"/>
      <c r="B394" s="41"/>
      <c r="C394" s="41"/>
      <c r="D394" s="41"/>
      <c r="E394" s="41"/>
      <c r="F394" s="41"/>
      <c r="G394" s="41"/>
      <c r="H394" s="41"/>
    </row>
    <row r="395">
      <c r="A395" s="40"/>
      <c r="B395" s="41"/>
      <c r="C395" s="41"/>
      <c r="D395" s="41"/>
      <c r="E395" s="41"/>
      <c r="F395" s="41"/>
      <c r="G395" s="41"/>
      <c r="H395" s="41"/>
    </row>
    <row r="396">
      <c r="A396" s="40"/>
      <c r="B396" s="41"/>
      <c r="C396" s="41"/>
      <c r="D396" s="41"/>
      <c r="E396" s="41"/>
      <c r="F396" s="41"/>
      <c r="G396" s="41"/>
      <c r="H396" s="41"/>
    </row>
    <row r="397">
      <c r="A397" s="40"/>
      <c r="B397" s="41"/>
      <c r="C397" s="41"/>
      <c r="D397" s="41"/>
      <c r="E397" s="41"/>
      <c r="F397" s="41"/>
      <c r="G397" s="41"/>
      <c r="H397" s="41"/>
    </row>
    <row r="398">
      <c r="A398" s="40"/>
      <c r="B398" s="41"/>
      <c r="C398" s="41"/>
      <c r="D398" s="41"/>
      <c r="E398" s="41"/>
      <c r="F398" s="41"/>
      <c r="G398" s="41"/>
      <c r="H398" s="41"/>
    </row>
    <row r="399">
      <c r="A399" s="40"/>
      <c r="B399" s="41"/>
      <c r="C399" s="41"/>
      <c r="D399" s="41"/>
      <c r="E399" s="41"/>
      <c r="F399" s="41"/>
      <c r="G399" s="41"/>
      <c r="H399" s="41"/>
    </row>
    <row r="400">
      <c r="A400" s="40"/>
      <c r="B400" s="41"/>
      <c r="C400" s="41"/>
      <c r="D400" s="41"/>
      <c r="E400" s="41"/>
      <c r="F400" s="41"/>
      <c r="G400" s="41"/>
      <c r="H400" s="41"/>
    </row>
    <row r="401">
      <c r="A401" s="40"/>
      <c r="B401" s="41"/>
      <c r="C401" s="41"/>
      <c r="D401" s="41"/>
      <c r="E401" s="41"/>
      <c r="F401" s="41"/>
      <c r="G401" s="41"/>
      <c r="H401" s="41"/>
    </row>
    <row r="402">
      <c r="A402" s="40"/>
      <c r="B402" s="41"/>
      <c r="C402" s="41"/>
      <c r="D402" s="41"/>
      <c r="E402" s="41"/>
      <c r="F402" s="41"/>
      <c r="G402" s="41"/>
      <c r="H402" s="41"/>
    </row>
    <row r="403">
      <c r="A403" s="40"/>
      <c r="B403" s="41"/>
      <c r="C403" s="41"/>
      <c r="D403" s="41"/>
      <c r="E403" s="41"/>
      <c r="F403" s="41"/>
      <c r="G403" s="41"/>
      <c r="H403" s="41"/>
    </row>
    <row r="404">
      <c r="A404" s="40"/>
      <c r="B404" s="41"/>
      <c r="C404" s="41"/>
      <c r="D404" s="41"/>
      <c r="E404" s="41"/>
      <c r="F404" s="41"/>
      <c r="G404" s="41"/>
      <c r="H404" s="41"/>
    </row>
    <row r="405">
      <c r="A405" s="40"/>
      <c r="B405" s="41"/>
      <c r="C405" s="41"/>
      <c r="D405" s="41"/>
      <c r="E405" s="41"/>
      <c r="F405" s="41"/>
      <c r="G405" s="41"/>
      <c r="H405" s="41"/>
    </row>
    <row r="406">
      <c r="A406" s="40"/>
      <c r="B406" s="41"/>
      <c r="C406" s="41"/>
      <c r="D406" s="41"/>
      <c r="E406" s="41"/>
      <c r="F406" s="41"/>
      <c r="G406" s="41"/>
      <c r="H406" s="41"/>
    </row>
    <row r="407">
      <c r="A407" s="40"/>
      <c r="B407" s="41"/>
      <c r="C407" s="41"/>
      <c r="D407" s="41"/>
      <c r="E407" s="41"/>
      <c r="F407" s="41"/>
      <c r="G407" s="41"/>
      <c r="H407" s="41"/>
    </row>
    <row r="408">
      <c r="A408" s="40"/>
      <c r="B408" s="41"/>
      <c r="C408" s="41"/>
      <c r="D408" s="41"/>
      <c r="E408" s="41"/>
      <c r="F408" s="41"/>
      <c r="G408" s="41"/>
      <c r="H408" s="41"/>
    </row>
    <row r="409">
      <c r="A409" s="40"/>
      <c r="B409" s="41"/>
      <c r="C409" s="41"/>
      <c r="D409" s="41"/>
      <c r="E409" s="41"/>
      <c r="F409" s="41"/>
      <c r="G409" s="41"/>
      <c r="H409" s="41"/>
    </row>
    <row r="410">
      <c r="A410" s="40"/>
      <c r="B410" s="41"/>
      <c r="C410" s="41"/>
      <c r="D410" s="41"/>
      <c r="E410" s="41"/>
      <c r="F410" s="41"/>
      <c r="G410" s="41"/>
      <c r="H410" s="41"/>
    </row>
    <row r="411">
      <c r="A411" s="40"/>
      <c r="B411" s="41"/>
      <c r="C411" s="41"/>
      <c r="D411" s="41"/>
      <c r="E411" s="41"/>
      <c r="F411" s="41"/>
      <c r="G411" s="41"/>
      <c r="H411" s="41"/>
    </row>
    <row r="412">
      <c r="A412" s="40"/>
      <c r="B412" s="41"/>
      <c r="C412" s="41"/>
      <c r="D412" s="41"/>
      <c r="E412" s="41"/>
      <c r="F412" s="41"/>
      <c r="G412" s="41"/>
      <c r="H412" s="41"/>
    </row>
    <row r="413">
      <c r="A413" s="40"/>
      <c r="B413" s="41"/>
      <c r="C413" s="41"/>
      <c r="D413" s="41"/>
      <c r="E413" s="41"/>
      <c r="F413" s="41"/>
      <c r="G413" s="41"/>
      <c r="H413" s="41"/>
    </row>
    <row r="414">
      <c r="A414" s="40"/>
      <c r="B414" s="41"/>
      <c r="C414" s="41"/>
      <c r="D414" s="41"/>
      <c r="E414" s="41"/>
      <c r="F414" s="41"/>
      <c r="G414" s="41"/>
      <c r="H414" s="41"/>
    </row>
    <row r="415">
      <c r="A415" s="40"/>
      <c r="B415" s="41"/>
      <c r="C415" s="41"/>
      <c r="D415" s="41"/>
      <c r="E415" s="41"/>
      <c r="F415" s="41"/>
      <c r="G415" s="41"/>
      <c r="H415" s="41"/>
    </row>
    <row r="416">
      <c r="A416" s="40"/>
      <c r="B416" s="41"/>
      <c r="C416" s="41"/>
      <c r="D416" s="41"/>
      <c r="E416" s="41"/>
      <c r="F416" s="41"/>
      <c r="G416" s="41"/>
      <c r="H416" s="41"/>
    </row>
    <row r="417">
      <c r="A417" s="40"/>
      <c r="B417" s="41"/>
      <c r="C417" s="41"/>
      <c r="D417" s="41"/>
      <c r="E417" s="41"/>
      <c r="F417" s="41"/>
      <c r="G417" s="41"/>
      <c r="H417" s="41"/>
    </row>
    <row r="418">
      <c r="A418" s="40"/>
      <c r="B418" s="41"/>
      <c r="C418" s="41"/>
      <c r="D418" s="41"/>
      <c r="E418" s="41"/>
      <c r="F418" s="41"/>
      <c r="G418" s="41"/>
      <c r="H418" s="41"/>
    </row>
    <row r="419">
      <c r="A419" s="40"/>
      <c r="B419" s="41"/>
      <c r="C419" s="41"/>
      <c r="D419" s="41"/>
      <c r="E419" s="41"/>
      <c r="F419" s="41"/>
      <c r="G419" s="41"/>
      <c r="H419" s="41"/>
    </row>
    <row r="420">
      <c r="A420" s="40"/>
      <c r="B420" s="41"/>
      <c r="C420" s="41"/>
      <c r="D420" s="41"/>
      <c r="E420" s="41"/>
      <c r="F420" s="41"/>
      <c r="G420" s="41"/>
      <c r="H420" s="41"/>
    </row>
    <row r="421">
      <c r="A421" s="40"/>
      <c r="B421" s="41"/>
      <c r="C421" s="41"/>
      <c r="D421" s="41"/>
      <c r="E421" s="41"/>
      <c r="F421" s="41"/>
      <c r="G421" s="41"/>
      <c r="H421" s="41"/>
    </row>
    <row r="422">
      <c r="A422" s="40"/>
      <c r="B422" s="41"/>
      <c r="C422" s="41"/>
      <c r="D422" s="41"/>
      <c r="E422" s="41"/>
      <c r="F422" s="41"/>
      <c r="G422" s="41"/>
      <c r="H422" s="41"/>
    </row>
    <row r="423">
      <c r="A423" s="40"/>
      <c r="B423" s="41"/>
      <c r="C423" s="41"/>
      <c r="D423" s="41"/>
      <c r="E423" s="41"/>
      <c r="F423" s="41"/>
      <c r="G423" s="41"/>
      <c r="H423" s="41"/>
    </row>
    <row r="424">
      <c r="A424" s="40"/>
      <c r="B424" s="41"/>
      <c r="C424" s="41"/>
      <c r="D424" s="41"/>
      <c r="E424" s="41"/>
      <c r="F424" s="41"/>
      <c r="G424" s="41"/>
      <c r="H424" s="41"/>
    </row>
    <row r="425">
      <c r="A425" s="40"/>
      <c r="B425" s="41"/>
      <c r="C425" s="41"/>
      <c r="D425" s="41"/>
      <c r="E425" s="41"/>
      <c r="F425" s="41"/>
      <c r="G425" s="41"/>
      <c r="H425" s="41"/>
    </row>
    <row r="426">
      <c r="A426" s="40"/>
      <c r="B426" s="41"/>
      <c r="C426" s="41"/>
      <c r="D426" s="41"/>
      <c r="E426" s="41"/>
      <c r="F426" s="41"/>
      <c r="G426" s="41"/>
      <c r="H426" s="41"/>
    </row>
    <row r="427">
      <c r="A427" s="40"/>
      <c r="B427" s="41"/>
      <c r="C427" s="41"/>
      <c r="D427" s="41"/>
      <c r="E427" s="41"/>
      <c r="F427" s="41"/>
      <c r="G427" s="41"/>
      <c r="H427" s="41"/>
    </row>
    <row r="428">
      <c r="A428" s="40"/>
      <c r="B428" s="41"/>
      <c r="C428" s="41"/>
      <c r="D428" s="41"/>
      <c r="E428" s="41"/>
      <c r="F428" s="41"/>
      <c r="G428" s="41"/>
      <c r="H428" s="41"/>
    </row>
    <row r="429">
      <c r="A429" s="40"/>
      <c r="B429" s="41"/>
      <c r="C429" s="41"/>
      <c r="D429" s="41"/>
      <c r="E429" s="41"/>
      <c r="F429" s="41"/>
      <c r="G429" s="41"/>
      <c r="H429" s="41"/>
    </row>
    <row r="430">
      <c r="A430" s="40"/>
      <c r="B430" s="41"/>
      <c r="C430" s="41"/>
      <c r="D430" s="41"/>
      <c r="E430" s="41"/>
      <c r="F430" s="41"/>
      <c r="G430" s="41"/>
      <c r="H430" s="41"/>
    </row>
    <row r="431">
      <c r="A431" s="40"/>
      <c r="B431" s="41"/>
      <c r="C431" s="41"/>
      <c r="D431" s="41"/>
      <c r="E431" s="41"/>
      <c r="F431" s="41"/>
      <c r="G431" s="41"/>
      <c r="H431" s="41"/>
    </row>
    <row r="432">
      <c r="A432" s="40"/>
      <c r="B432" s="41"/>
      <c r="C432" s="41"/>
      <c r="D432" s="41"/>
      <c r="E432" s="41"/>
      <c r="F432" s="41"/>
      <c r="G432" s="41"/>
      <c r="H432" s="41"/>
    </row>
    <row r="433">
      <c r="A433" s="40"/>
      <c r="B433" s="41"/>
      <c r="C433" s="41"/>
      <c r="D433" s="41"/>
      <c r="E433" s="41"/>
      <c r="F433" s="41"/>
      <c r="G433" s="41"/>
      <c r="H433" s="41"/>
    </row>
    <row r="434">
      <c r="A434" s="40"/>
      <c r="B434" s="41"/>
      <c r="C434" s="41"/>
      <c r="D434" s="41"/>
      <c r="E434" s="41"/>
      <c r="F434" s="41"/>
      <c r="G434" s="41"/>
      <c r="H434" s="41"/>
    </row>
    <row r="435">
      <c r="A435" s="40"/>
      <c r="B435" s="41"/>
      <c r="C435" s="41"/>
      <c r="D435" s="41"/>
      <c r="E435" s="41"/>
      <c r="F435" s="41"/>
      <c r="G435" s="41"/>
      <c r="H435" s="41"/>
    </row>
    <row r="436">
      <c r="A436" s="40"/>
      <c r="B436" s="41"/>
      <c r="C436" s="41"/>
      <c r="D436" s="41"/>
      <c r="E436" s="41"/>
      <c r="F436" s="41"/>
      <c r="G436" s="41"/>
      <c r="H436" s="41"/>
    </row>
    <row r="437">
      <c r="A437" s="40"/>
      <c r="B437" s="41"/>
      <c r="C437" s="41"/>
      <c r="D437" s="41"/>
      <c r="E437" s="41"/>
      <c r="F437" s="41"/>
      <c r="G437" s="41"/>
      <c r="H437" s="41"/>
    </row>
    <row r="438">
      <c r="A438" s="40"/>
      <c r="B438" s="41"/>
      <c r="C438" s="41"/>
      <c r="D438" s="41"/>
      <c r="E438" s="41"/>
      <c r="F438" s="41"/>
      <c r="G438" s="41"/>
      <c r="H438" s="41"/>
    </row>
    <row r="439">
      <c r="A439" s="40"/>
      <c r="B439" s="41"/>
      <c r="C439" s="41"/>
      <c r="D439" s="41"/>
      <c r="E439" s="41"/>
      <c r="F439" s="41"/>
      <c r="G439" s="41"/>
      <c r="H439" s="41"/>
    </row>
    <row r="440">
      <c r="A440" s="40"/>
      <c r="B440" s="41"/>
      <c r="C440" s="41"/>
      <c r="D440" s="41"/>
      <c r="E440" s="41"/>
      <c r="F440" s="41"/>
      <c r="G440" s="41"/>
      <c r="H440" s="41"/>
    </row>
    <row r="441">
      <c r="A441" s="40"/>
      <c r="B441" s="41"/>
      <c r="C441" s="41"/>
      <c r="D441" s="41"/>
      <c r="E441" s="41"/>
      <c r="F441" s="41"/>
      <c r="G441" s="41"/>
      <c r="H441" s="41"/>
    </row>
    <row r="442">
      <c r="A442" s="40"/>
      <c r="B442" s="41"/>
      <c r="C442" s="41"/>
      <c r="D442" s="41"/>
      <c r="E442" s="41"/>
      <c r="F442" s="41"/>
      <c r="G442" s="41"/>
      <c r="H442" s="41"/>
    </row>
    <row r="443">
      <c r="A443" s="40"/>
      <c r="B443" s="41"/>
      <c r="C443" s="41"/>
      <c r="D443" s="41"/>
      <c r="E443" s="41"/>
      <c r="F443" s="41"/>
      <c r="G443" s="41"/>
      <c r="H443" s="41"/>
    </row>
    <row r="444">
      <c r="A444" s="40"/>
      <c r="B444" s="41"/>
      <c r="C444" s="41"/>
      <c r="D444" s="41"/>
      <c r="E444" s="41"/>
      <c r="F444" s="41"/>
      <c r="G444" s="41"/>
      <c r="H444" s="41"/>
    </row>
    <row r="445">
      <c r="A445" s="40"/>
      <c r="B445" s="41"/>
      <c r="C445" s="41"/>
      <c r="D445" s="41"/>
      <c r="E445" s="41"/>
      <c r="F445" s="41"/>
      <c r="G445" s="41"/>
      <c r="H445" s="41"/>
    </row>
    <row r="446">
      <c r="A446" s="40"/>
      <c r="B446" s="41"/>
      <c r="C446" s="41"/>
      <c r="D446" s="41"/>
      <c r="E446" s="41"/>
      <c r="F446" s="41"/>
      <c r="G446" s="41"/>
      <c r="H446" s="41"/>
    </row>
    <row r="447">
      <c r="A447" s="40"/>
      <c r="B447" s="41"/>
      <c r="C447" s="41"/>
      <c r="D447" s="41"/>
      <c r="E447" s="41"/>
      <c r="F447" s="41"/>
      <c r="G447" s="41"/>
      <c r="H447" s="41"/>
    </row>
    <row r="448">
      <c r="A448" s="40"/>
      <c r="B448" s="41"/>
      <c r="C448" s="41"/>
      <c r="D448" s="41"/>
      <c r="E448" s="41"/>
      <c r="F448" s="41"/>
      <c r="G448" s="41"/>
      <c r="H448" s="41"/>
    </row>
    <row r="449">
      <c r="A449" s="40"/>
      <c r="B449" s="41"/>
      <c r="C449" s="41"/>
      <c r="D449" s="41"/>
      <c r="E449" s="41"/>
      <c r="F449" s="41"/>
      <c r="G449" s="41"/>
      <c r="H449" s="41"/>
    </row>
    <row r="450">
      <c r="A450" s="40"/>
      <c r="B450" s="41"/>
      <c r="C450" s="41"/>
      <c r="D450" s="41"/>
      <c r="E450" s="41"/>
      <c r="F450" s="41"/>
      <c r="G450" s="41"/>
      <c r="H450" s="41"/>
    </row>
    <row r="451">
      <c r="A451" s="40"/>
      <c r="B451" s="41"/>
      <c r="C451" s="41"/>
      <c r="D451" s="41"/>
      <c r="E451" s="41"/>
      <c r="F451" s="41"/>
      <c r="G451" s="41"/>
      <c r="H451" s="41"/>
    </row>
    <row r="452">
      <c r="A452" s="40"/>
      <c r="B452" s="41"/>
      <c r="C452" s="41"/>
      <c r="D452" s="41"/>
      <c r="E452" s="41"/>
      <c r="F452" s="41"/>
      <c r="G452" s="41"/>
      <c r="H452" s="41"/>
    </row>
    <row r="453">
      <c r="A453" s="40"/>
      <c r="B453" s="41"/>
      <c r="C453" s="41"/>
      <c r="D453" s="41"/>
      <c r="E453" s="41"/>
      <c r="F453" s="41"/>
      <c r="G453" s="41"/>
      <c r="H453" s="41"/>
    </row>
    <row r="454">
      <c r="A454" s="40"/>
      <c r="B454" s="41"/>
      <c r="C454" s="41"/>
      <c r="D454" s="41"/>
      <c r="E454" s="41"/>
      <c r="F454" s="41"/>
      <c r="G454" s="41"/>
      <c r="H454" s="41"/>
    </row>
    <row r="455">
      <c r="A455" s="40"/>
      <c r="B455" s="41"/>
      <c r="C455" s="41"/>
      <c r="D455" s="41"/>
      <c r="E455" s="41"/>
      <c r="F455" s="41"/>
      <c r="G455" s="41"/>
      <c r="H455" s="41"/>
    </row>
    <row r="456">
      <c r="A456" s="40"/>
      <c r="B456" s="41"/>
      <c r="C456" s="41"/>
      <c r="D456" s="41"/>
      <c r="E456" s="41"/>
      <c r="F456" s="41"/>
      <c r="G456" s="41"/>
      <c r="H456" s="41"/>
    </row>
    <row r="457">
      <c r="A457" s="40"/>
      <c r="B457" s="41"/>
      <c r="C457" s="41"/>
      <c r="D457" s="41"/>
      <c r="E457" s="41"/>
      <c r="F457" s="41"/>
      <c r="G457" s="41"/>
      <c r="H457" s="41"/>
    </row>
    <row r="458">
      <c r="A458" s="40"/>
      <c r="B458" s="41"/>
      <c r="C458" s="41"/>
      <c r="D458" s="41"/>
      <c r="E458" s="41"/>
      <c r="F458" s="41"/>
      <c r="G458" s="41"/>
      <c r="H458" s="41"/>
    </row>
    <row r="459">
      <c r="A459" s="40"/>
      <c r="B459" s="41"/>
      <c r="C459" s="41"/>
      <c r="D459" s="41"/>
      <c r="E459" s="41"/>
      <c r="F459" s="41"/>
      <c r="G459" s="41"/>
      <c r="H459" s="41"/>
    </row>
    <row r="460">
      <c r="A460" s="40"/>
      <c r="B460" s="41"/>
      <c r="C460" s="41"/>
      <c r="D460" s="41"/>
      <c r="E460" s="41"/>
      <c r="F460" s="41"/>
      <c r="G460" s="41"/>
      <c r="H460" s="41"/>
    </row>
    <row r="461">
      <c r="A461" s="40"/>
      <c r="B461" s="41"/>
      <c r="C461" s="41"/>
      <c r="D461" s="41"/>
      <c r="E461" s="41"/>
      <c r="F461" s="41"/>
      <c r="G461" s="41"/>
      <c r="H461" s="41"/>
    </row>
    <row r="462">
      <c r="A462" s="40"/>
      <c r="B462" s="41"/>
      <c r="C462" s="41"/>
      <c r="D462" s="41"/>
      <c r="E462" s="41"/>
      <c r="F462" s="41"/>
      <c r="G462" s="41"/>
      <c r="H462" s="41"/>
    </row>
    <row r="463">
      <c r="A463" s="40"/>
      <c r="B463" s="41"/>
      <c r="C463" s="41"/>
      <c r="D463" s="41"/>
      <c r="E463" s="41"/>
      <c r="F463" s="41"/>
      <c r="G463" s="41"/>
      <c r="H463" s="41"/>
    </row>
    <row r="464">
      <c r="A464" s="40"/>
      <c r="B464" s="41"/>
      <c r="C464" s="41"/>
      <c r="D464" s="41"/>
      <c r="E464" s="41"/>
      <c r="F464" s="41"/>
      <c r="G464" s="41"/>
      <c r="H464" s="41"/>
    </row>
    <row r="465">
      <c r="A465" s="40"/>
      <c r="B465" s="41"/>
      <c r="C465" s="41"/>
      <c r="D465" s="41"/>
      <c r="E465" s="41"/>
      <c r="F465" s="41"/>
      <c r="G465" s="41"/>
      <c r="H465" s="41"/>
    </row>
    <row r="466">
      <c r="A466" s="40"/>
      <c r="B466" s="41"/>
      <c r="C466" s="41"/>
      <c r="D466" s="41"/>
      <c r="E466" s="41"/>
      <c r="F466" s="41"/>
      <c r="G466" s="41"/>
      <c r="H466" s="41"/>
    </row>
    <row r="467">
      <c r="A467" s="40"/>
      <c r="B467" s="41"/>
      <c r="C467" s="41"/>
      <c r="D467" s="41"/>
      <c r="E467" s="41"/>
      <c r="F467" s="41"/>
      <c r="G467" s="41"/>
      <c r="H467" s="41"/>
    </row>
    <row r="468">
      <c r="A468" s="40"/>
      <c r="B468" s="41"/>
      <c r="C468" s="41"/>
      <c r="D468" s="41"/>
      <c r="E468" s="41"/>
      <c r="F468" s="41"/>
      <c r="G468" s="41"/>
      <c r="H468" s="41"/>
    </row>
    <row r="469">
      <c r="A469" s="40"/>
      <c r="B469" s="41"/>
      <c r="C469" s="41"/>
      <c r="D469" s="41"/>
      <c r="E469" s="41"/>
      <c r="F469" s="41"/>
      <c r="G469" s="41"/>
      <c r="H469" s="41"/>
    </row>
    <row r="470">
      <c r="A470" s="40"/>
      <c r="B470" s="41"/>
      <c r="C470" s="41"/>
      <c r="D470" s="41"/>
      <c r="E470" s="41"/>
      <c r="F470" s="41"/>
      <c r="G470" s="41"/>
      <c r="H470" s="41"/>
    </row>
    <row r="471">
      <c r="A471" s="40"/>
      <c r="B471" s="41"/>
      <c r="C471" s="41"/>
      <c r="D471" s="41"/>
      <c r="E471" s="41"/>
      <c r="F471" s="41"/>
      <c r="G471" s="41"/>
      <c r="H471" s="41"/>
    </row>
    <row r="472">
      <c r="A472" s="40"/>
      <c r="B472" s="41"/>
      <c r="C472" s="41"/>
      <c r="D472" s="41"/>
      <c r="E472" s="41"/>
      <c r="F472" s="41"/>
      <c r="G472" s="41"/>
      <c r="H472" s="41"/>
    </row>
    <row r="473">
      <c r="A473" s="40"/>
      <c r="B473" s="41"/>
      <c r="C473" s="41"/>
      <c r="D473" s="41"/>
      <c r="E473" s="41"/>
      <c r="F473" s="41"/>
      <c r="G473" s="41"/>
      <c r="H473" s="41"/>
    </row>
    <row r="474">
      <c r="A474" s="40"/>
      <c r="B474" s="41"/>
      <c r="C474" s="41"/>
      <c r="D474" s="41"/>
      <c r="E474" s="41"/>
      <c r="F474" s="41"/>
      <c r="G474" s="41"/>
      <c r="H474" s="41"/>
    </row>
    <row r="475">
      <c r="A475" s="40"/>
      <c r="B475" s="41"/>
      <c r="C475" s="41"/>
      <c r="D475" s="41"/>
      <c r="E475" s="41"/>
      <c r="F475" s="41"/>
      <c r="G475" s="41"/>
      <c r="H475" s="41"/>
    </row>
    <row r="476">
      <c r="A476" s="40"/>
      <c r="B476" s="41"/>
      <c r="C476" s="41"/>
      <c r="D476" s="41"/>
      <c r="E476" s="41"/>
      <c r="F476" s="41"/>
      <c r="G476" s="41"/>
      <c r="H476" s="41"/>
    </row>
    <row r="477">
      <c r="A477" s="40"/>
      <c r="B477" s="41"/>
      <c r="C477" s="41"/>
      <c r="D477" s="41"/>
      <c r="E477" s="41"/>
      <c r="F477" s="41"/>
      <c r="G477" s="41"/>
      <c r="H477" s="41"/>
    </row>
    <row r="478">
      <c r="A478" s="40"/>
      <c r="B478" s="41"/>
      <c r="C478" s="41"/>
      <c r="D478" s="41"/>
      <c r="E478" s="41"/>
      <c r="F478" s="41"/>
      <c r="G478" s="41"/>
      <c r="H478" s="41"/>
    </row>
    <row r="479">
      <c r="A479" s="40"/>
      <c r="B479" s="41"/>
      <c r="C479" s="41"/>
      <c r="D479" s="41"/>
      <c r="E479" s="41"/>
      <c r="F479" s="41"/>
      <c r="G479" s="41"/>
      <c r="H479" s="41"/>
    </row>
    <row r="480">
      <c r="A480" s="40"/>
      <c r="B480" s="41"/>
      <c r="C480" s="41"/>
      <c r="D480" s="41"/>
      <c r="E480" s="41"/>
      <c r="F480" s="41"/>
      <c r="G480" s="41"/>
      <c r="H480" s="41"/>
    </row>
    <row r="481">
      <c r="A481" s="40"/>
      <c r="B481" s="41"/>
      <c r="C481" s="41"/>
      <c r="D481" s="41"/>
      <c r="E481" s="41"/>
      <c r="F481" s="41"/>
      <c r="G481" s="41"/>
      <c r="H481" s="41"/>
    </row>
    <row r="482">
      <c r="A482" s="40"/>
      <c r="B482" s="41"/>
      <c r="C482" s="41"/>
      <c r="D482" s="41"/>
      <c r="E482" s="41"/>
      <c r="F482" s="41"/>
      <c r="G482" s="41"/>
      <c r="H482" s="41"/>
    </row>
    <row r="483">
      <c r="A483" s="40"/>
      <c r="B483" s="41"/>
      <c r="C483" s="41"/>
      <c r="D483" s="41"/>
      <c r="E483" s="41"/>
      <c r="F483" s="41"/>
      <c r="G483" s="41"/>
      <c r="H483" s="41"/>
    </row>
    <row r="484">
      <c r="A484" s="40"/>
      <c r="B484" s="41"/>
      <c r="C484" s="41"/>
      <c r="D484" s="41"/>
      <c r="E484" s="41"/>
      <c r="F484" s="41"/>
      <c r="G484" s="41"/>
      <c r="H484" s="41"/>
    </row>
    <row r="485">
      <c r="A485" s="40"/>
      <c r="B485" s="41"/>
      <c r="C485" s="41"/>
      <c r="D485" s="41"/>
      <c r="E485" s="41"/>
      <c r="F485" s="41"/>
      <c r="G485" s="41"/>
      <c r="H485" s="41"/>
    </row>
    <row r="486">
      <c r="A486" s="40"/>
      <c r="B486" s="41"/>
      <c r="C486" s="41"/>
      <c r="D486" s="41"/>
      <c r="E486" s="41"/>
      <c r="F486" s="41"/>
      <c r="G486" s="41"/>
      <c r="H486" s="41"/>
    </row>
    <row r="487">
      <c r="A487" s="40"/>
      <c r="B487" s="41"/>
      <c r="C487" s="41"/>
      <c r="D487" s="41"/>
      <c r="E487" s="41"/>
      <c r="F487" s="41"/>
      <c r="G487" s="41"/>
      <c r="H487" s="41"/>
    </row>
    <row r="488">
      <c r="A488" s="40"/>
      <c r="B488" s="41"/>
      <c r="C488" s="41"/>
      <c r="D488" s="41"/>
      <c r="E488" s="41"/>
      <c r="F488" s="41"/>
      <c r="G488" s="41"/>
      <c r="H488" s="41"/>
    </row>
    <row r="489">
      <c r="A489" s="40"/>
      <c r="B489" s="41"/>
      <c r="C489" s="41"/>
      <c r="D489" s="41"/>
      <c r="E489" s="41"/>
      <c r="F489" s="41"/>
      <c r="G489" s="41"/>
      <c r="H489" s="41"/>
    </row>
    <row r="490">
      <c r="A490" s="40"/>
      <c r="B490" s="41"/>
      <c r="C490" s="41"/>
      <c r="D490" s="41"/>
      <c r="E490" s="41"/>
      <c r="F490" s="41"/>
      <c r="G490" s="41"/>
      <c r="H490" s="41"/>
    </row>
    <row r="491">
      <c r="A491" s="40"/>
      <c r="B491" s="41"/>
      <c r="C491" s="41"/>
      <c r="D491" s="41"/>
      <c r="E491" s="41"/>
      <c r="F491" s="41"/>
      <c r="G491" s="41"/>
      <c r="H491" s="41"/>
    </row>
    <row r="492">
      <c r="A492" s="40"/>
      <c r="B492" s="41"/>
      <c r="C492" s="41"/>
      <c r="D492" s="41"/>
      <c r="E492" s="41"/>
      <c r="F492" s="41"/>
      <c r="G492" s="41"/>
      <c r="H492" s="41"/>
    </row>
    <row r="493">
      <c r="A493" s="40"/>
      <c r="B493" s="41"/>
      <c r="C493" s="41"/>
      <c r="D493" s="41"/>
      <c r="E493" s="41"/>
      <c r="F493" s="41"/>
      <c r="G493" s="41"/>
      <c r="H493" s="41"/>
    </row>
    <row r="494">
      <c r="A494" s="40"/>
      <c r="B494" s="41"/>
      <c r="C494" s="41"/>
      <c r="D494" s="41"/>
      <c r="E494" s="41"/>
      <c r="F494" s="41"/>
      <c r="G494" s="41"/>
      <c r="H494" s="41"/>
    </row>
    <row r="495">
      <c r="A495" s="40"/>
      <c r="B495" s="41"/>
      <c r="C495" s="41"/>
      <c r="D495" s="41"/>
      <c r="E495" s="41"/>
      <c r="F495" s="41"/>
      <c r="G495" s="41"/>
      <c r="H495" s="41"/>
    </row>
    <row r="496">
      <c r="A496" s="40"/>
      <c r="B496" s="41"/>
      <c r="C496" s="41"/>
      <c r="D496" s="41"/>
      <c r="E496" s="41"/>
      <c r="F496" s="41"/>
      <c r="G496" s="41"/>
      <c r="H496" s="41"/>
    </row>
    <row r="497">
      <c r="A497" s="40"/>
      <c r="B497" s="41"/>
      <c r="C497" s="41"/>
      <c r="D497" s="41"/>
      <c r="E497" s="41"/>
      <c r="F497" s="41"/>
      <c r="G497" s="41"/>
      <c r="H497" s="41"/>
    </row>
    <row r="498">
      <c r="A498" s="40"/>
      <c r="B498" s="41"/>
      <c r="C498" s="41"/>
      <c r="D498" s="41"/>
      <c r="E498" s="41"/>
      <c r="F498" s="41"/>
      <c r="G498" s="41"/>
      <c r="H498" s="41"/>
    </row>
    <row r="499">
      <c r="A499" s="40"/>
      <c r="B499" s="41"/>
      <c r="C499" s="41"/>
      <c r="D499" s="41"/>
      <c r="E499" s="41"/>
      <c r="F499" s="41"/>
      <c r="G499" s="41"/>
      <c r="H499" s="41"/>
    </row>
    <row r="500">
      <c r="A500" s="40"/>
      <c r="B500" s="41"/>
      <c r="C500" s="41"/>
      <c r="D500" s="41"/>
      <c r="E500" s="41"/>
      <c r="F500" s="41"/>
      <c r="G500" s="41"/>
      <c r="H500" s="41"/>
    </row>
    <row r="501">
      <c r="A501" s="40"/>
      <c r="B501" s="41"/>
      <c r="C501" s="41"/>
      <c r="D501" s="41"/>
      <c r="E501" s="41"/>
      <c r="F501" s="41"/>
      <c r="G501" s="41"/>
      <c r="H501" s="41"/>
    </row>
    <row r="502">
      <c r="A502" s="40"/>
      <c r="B502" s="41"/>
      <c r="C502" s="41"/>
      <c r="D502" s="41"/>
      <c r="E502" s="41"/>
      <c r="F502" s="41"/>
      <c r="G502" s="41"/>
      <c r="H502" s="41"/>
    </row>
    <row r="503">
      <c r="A503" s="40"/>
      <c r="B503" s="41"/>
      <c r="C503" s="41"/>
      <c r="D503" s="41"/>
      <c r="E503" s="41"/>
      <c r="F503" s="41"/>
      <c r="G503" s="41"/>
      <c r="H503" s="41"/>
    </row>
    <row r="504">
      <c r="A504" s="40"/>
      <c r="B504" s="41"/>
      <c r="C504" s="41"/>
      <c r="D504" s="41"/>
      <c r="E504" s="41"/>
      <c r="F504" s="41"/>
      <c r="G504" s="41"/>
      <c r="H504" s="41"/>
    </row>
    <row r="505">
      <c r="A505" s="40"/>
      <c r="B505" s="41"/>
      <c r="C505" s="41"/>
      <c r="D505" s="41"/>
      <c r="E505" s="41"/>
      <c r="F505" s="41"/>
      <c r="G505" s="41"/>
      <c r="H505" s="41"/>
    </row>
    <row r="506">
      <c r="A506" s="40"/>
      <c r="B506" s="41"/>
      <c r="C506" s="41"/>
      <c r="D506" s="41"/>
      <c r="E506" s="41"/>
      <c r="F506" s="41"/>
      <c r="G506" s="41"/>
      <c r="H506" s="41"/>
    </row>
    <row r="507">
      <c r="A507" s="40"/>
      <c r="B507" s="41"/>
      <c r="C507" s="41"/>
      <c r="D507" s="41"/>
      <c r="E507" s="41"/>
      <c r="F507" s="41"/>
      <c r="G507" s="41"/>
      <c r="H507" s="41"/>
    </row>
    <row r="508">
      <c r="A508" s="40"/>
      <c r="B508" s="41"/>
      <c r="C508" s="41"/>
      <c r="D508" s="41"/>
      <c r="E508" s="41"/>
      <c r="F508" s="41"/>
      <c r="G508" s="41"/>
      <c r="H508" s="41"/>
    </row>
    <row r="509">
      <c r="A509" s="40"/>
      <c r="B509" s="41"/>
      <c r="C509" s="41"/>
      <c r="D509" s="41"/>
      <c r="E509" s="41"/>
      <c r="F509" s="41"/>
      <c r="G509" s="41"/>
      <c r="H509" s="41"/>
    </row>
    <row r="510">
      <c r="A510" s="40"/>
      <c r="B510" s="41"/>
      <c r="C510" s="41"/>
      <c r="D510" s="41"/>
      <c r="E510" s="41"/>
      <c r="F510" s="41"/>
      <c r="G510" s="41"/>
      <c r="H510" s="41"/>
    </row>
    <row r="511">
      <c r="A511" s="40"/>
      <c r="B511" s="41"/>
      <c r="C511" s="41"/>
      <c r="D511" s="41"/>
      <c r="E511" s="41"/>
      <c r="F511" s="41"/>
      <c r="G511" s="41"/>
      <c r="H511" s="41"/>
    </row>
    <row r="512">
      <c r="A512" s="40"/>
      <c r="B512" s="41"/>
      <c r="C512" s="41"/>
      <c r="D512" s="41"/>
      <c r="E512" s="41"/>
      <c r="F512" s="41"/>
      <c r="G512" s="41"/>
      <c r="H512" s="41"/>
    </row>
    <row r="513">
      <c r="A513" s="40"/>
      <c r="B513" s="41"/>
      <c r="C513" s="41"/>
      <c r="D513" s="41"/>
      <c r="E513" s="41"/>
      <c r="F513" s="41"/>
      <c r="G513" s="41"/>
      <c r="H513" s="41"/>
    </row>
    <row r="514">
      <c r="A514" s="40"/>
      <c r="B514" s="41"/>
      <c r="C514" s="41"/>
      <c r="D514" s="41"/>
      <c r="E514" s="41"/>
      <c r="F514" s="41"/>
      <c r="G514" s="41"/>
      <c r="H514" s="41"/>
    </row>
    <row r="515">
      <c r="A515" s="40"/>
      <c r="B515" s="41"/>
      <c r="C515" s="41"/>
      <c r="D515" s="41"/>
      <c r="E515" s="41"/>
      <c r="F515" s="41"/>
      <c r="G515" s="41"/>
      <c r="H515" s="41"/>
    </row>
    <row r="516">
      <c r="A516" s="40"/>
      <c r="B516" s="41"/>
      <c r="C516" s="41"/>
      <c r="D516" s="41"/>
      <c r="E516" s="41"/>
      <c r="F516" s="41"/>
      <c r="G516" s="41"/>
      <c r="H516" s="41"/>
    </row>
    <row r="517">
      <c r="A517" s="40"/>
      <c r="B517" s="41"/>
      <c r="C517" s="41"/>
      <c r="D517" s="41"/>
      <c r="E517" s="41"/>
      <c r="F517" s="41"/>
      <c r="G517" s="41"/>
      <c r="H517" s="41"/>
    </row>
    <row r="518">
      <c r="A518" s="40"/>
      <c r="B518" s="41"/>
      <c r="C518" s="41"/>
      <c r="D518" s="41"/>
      <c r="E518" s="41"/>
      <c r="F518" s="41"/>
      <c r="G518" s="41"/>
      <c r="H518" s="41"/>
    </row>
    <row r="519">
      <c r="A519" s="40"/>
      <c r="B519" s="41"/>
      <c r="C519" s="41"/>
      <c r="D519" s="41"/>
      <c r="E519" s="41"/>
      <c r="F519" s="41"/>
      <c r="G519" s="41"/>
      <c r="H519" s="41"/>
    </row>
    <row r="520">
      <c r="A520" s="40"/>
      <c r="B520" s="41"/>
      <c r="C520" s="41"/>
      <c r="D520" s="41"/>
      <c r="E520" s="41"/>
      <c r="F520" s="41"/>
      <c r="G520" s="41"/>
      <c r="H520" s="41"/>
    </row>
    <row r="521">
      <c r="A521" s="40"/>
      <c r="B521" s="41"/>
      <c r="C521" s="41"/>
      <c r="D521" s="41"/>
      <c r="E521" s="41"/>
      <c r="F521" s="41"/>
      <c r="G521" s="41"/>
      <c r="H521" s="41"/>
    </row>
    <row r="522">
      <c r="A522" s="40"/>
      <c r="B522" s="41"/>
      <c r="C522" s="41"/>
      <c r="D522" s="41"/>
      <c r="E522" s="41"/>
      <c r="F522" s="41"/>
      <c r="G522" s="41"/>
      <c r="H522" s="41"/>
    </row>
    <row r="523">
      <c r="A523" s="40"/>
      <c r="B523" s="41"/>
      <c r="C523" s="41"/>
      <c r="D523" s="41"/>
      <c r="E523" s="41"/>
      <c r="F523" s="41"/>
      <c r="G523" s="41"/>
      <c r="H523" s="41"/>
    </row>
    <row r="524">
      <c r="A524" s="40"/>
      <c r="B524" s="41"/>
      <c r="C524" s="41"/>
      <c r="D524" s="41"/>
      <c r="E524" s="41"/>
      <c r="F524" s="41"/>
      <c r="G524" s="41"/>
      <c r="H524" s="41"/>
    </row>
    <row r="525">
      <c r="A525" s="40"/>
      <c r="B525" s="41"/>
      <c r="C525" s="41"/>
      <c r="D525" s="41"/>
      <c r="E525" s="41"/>
      <c r="F525" s="41"/>
      <c r="G525" s="41"/>
      <c r="H525" s="41"/>
    </row>
    <row r="526">
      <c r="A526" s="40"/>
      <c r="B526" s="41"/>
      <c r="C526" s="41"/>
      <c r="D526" s="41"/>
      <c r="E526" s="41"/>
      <c r="F526" s="41"/>
      <c r="G526" s="41"/>
      <c r="H526" s="41"/>
    </row>
    <row r="527">
      <c r="A527" s="40"/>
      <c r="B527" s="41"/>
      <c r="C527" s="41"/>
      <c r="D527" s="41"/>
      <c r="E527" s="41"/>
      <c r="F527" s="41"/>
      <c r="G527" s="41"/>
      <c r="H527" s="41"/>
    </row>
    <row r="528">
      <c r="A528" s="40"/>
      <c r="B528" s="41"/>
      <c r="C528" s="41"/>
      <c r="D528" s="41"/>
      <c r="E528" s="41"/>
      <c r="F528" s="41"/>
      <c r="G528" s="41"/>
      <c r="H528" s="41"/>
    </row>
    <row r="529">
      <c r="A529" s="40"/>
      <c r="B529" s="41"/>
      <c r="C529" s="41"/>
      <c r="D529" s="41"/>
      <c r="E529" s="41"/>
      <c r="F529" s="41"/>
      <c r="G529" s="41"/>
      <c r="H529" s="41"/>
    </row>
    <row r="530">
      <c r="A530" s="40"/>
      <c r="B530" s="41"/>
      <c r="C530" s="41"/>
      <c r="D530" s="41"/>
      <c r="E530" s="41"/>
      <c r="F530" s="41"/>
      <c r="G530" s="41"/>
      <c r="H530" s="41"/>
    </row>
    <row r="531">
      <c r="A531" s="40"/>
      <c r="B531" s="41"/>
      <c r="C531" s="41"/>
      <c r="D531" s="41"/>
      <c r="E531" s="41"/>
      <c r="F531" s="41"/>
      <c r="G531" s="41"/>
      <c r="H531" s="41"/>
    </row>
    <row r="532">
      <c r="A532" s="40"/>
      <c r="B532" s="41"/>
      <c r="C532" s="41"/>
      <c r="D532" s="41"/>
      <c r="E532" s="41"/>
      <c r="F532" s="41"/>
      <c r="G532" s="41"/>
      <c r="H532" s="41"/>
    </row>
    <row r="533">
      <c r="A533" s="40"/>
      <c r="B533" s="41"/>
      <c r="C533" s="41"/>
      <c r="D533" s="41"/>
      <c r="E533" s="41"/>
      <c r="F533" s="41"/>
      <c r="G533" s="41"/>
      <c r="H533" s="41"/>
    </row>
    <row r="534">
      <c r="A534" s="40"/>
      <c r="B534" s="41"/>
      <c r="C534" s="41"/>
      <c r="D534" s="41"/>
      <c r="E534" s="41"/>
      <c r="F534" s="41"/>
      <c r="G534" s="41"/>
      <c r="H534" s="41"/>
    </row>
    <row r="535">
      <c r="A535" s="40"/>
      <c r="B535" s="41"/>
      <c r="C535" s="41"/>
      <c r="D535" s="41"/>
      <c r="E535" s="41"/>
      <c r="F535" s="41"/>
      <c r="G535" s="41"/>
      <c r="H535" s="41"/>
    </row>
    <row r="536">
      <c r="A536" s="40"/>
      <c r="B536" s="41"/>
      <c r="C536" s="41"/>
      <c r="D536" s="41"/>
      <c r="E536" s="41"/>
      <c r="F536" s="41"/>
      <c r="G536" s="41"/>
      <c r="H536" s="41"/>
    </row>
    <row r="537">
      <c r="A537" s="40"/>
      <c r="B537" s="41"/>
      <c r="C537" s="41"/>
      <c r="D537" s="41"/>
      <c r="E537" s="41"/>
      <c r="F537" s="41"/>
      <c r="G537" s="41"/>
      <c r="H537" s="41"/>
    </row>
    <row r="538">
      <c r="A538" s="40"/>
      <c r="B538" s="41"/>
      <c r="C538" s="41"/>
      <c r="D538" s="41"/>
      <c r="E538" s="41"/>
      <c r="F538" s="41"/>
      <c r="G538" s="41"/>
      <c r="H538" s="41"/>
    </row>
    <row r="539">
      <c r="A539" s="40"/>
      <c r="B539" s="41"/>
      <c r="C539" s="41"/>
      <c r="D539" s="41"/>
      <c r="E539" s="41"/>
      <c r="F539" s="41"/>
      <c r="G539" s="41"/>
      <c r="H539" s="41"/>
    </row>
    <row r="540">
      <c r="A540" s="40"/>
      <c r="B540" s="41"/>
      <c r="C540" s="41"/>
      <c r="D540" s="41"/>
      <c r="E540" s="41"/>
      <c r="F540" s="41"/>
      <c r="G540" s="41"/>
      <c r="H540" s="41"/>
    </row>
    <row r="541">
      <c r="A541" s="40"/>
      <c r="B541" s="41"/>
      <c r="C541" s="41"/>
      <c r="D541" s="41"/>
      <c r="E541" s="41"/>
      <c r="F541" s="41"/>
      <c r="G541" s="41"/>
      <c r="H541" s="41"/>
    </row>
    <row r="542">
      <c r="A542" s="40"/>
      <c r="B542" s="41"/>
      <c r="C542" s="41"/>
      <c r="D542" s="41"/>
      <c r="E542" s="41"/>
      <c r="F542" s="41"/>
      <c r="G542" s="41"/>
      <c r="H542" s="41"/>
    </row>
    <row r="543">
      <c r="A543" s="40"/>
      <c r="B543" s="41"/>
      <c r="C543" s="41"/>
      <c r="D543" s="41"/>
      <c r="E543" s="41"/>
      <c r="F543" s="41"/>
      <c r="G543" s="41"/>
      <c r="H543" s="41"/>
    </row>
    <row r="544">
      <c r="A544" s="40"/>
      <c r="B544" s="41"/>
      <c r="C544" s="41"/>
      <c r="D544" s="41"/>
      <c r="E544" s="41"/>
      <c r="F544" s="41"/>
      <c r="G544" s="41"/>
      <c r="H544" s="41"/>
    </row>
    <row r="545">
      <c r="A545" s="40"/>
      <c r="B545" s="41"/>
      <c r="C545" s="41"/>
      <c r="D545" s="41"/>
      <c r="E545" s="41"/>
      <c r="F545" s="41"/>
      <c r="G545" s="41"/>
      <c r="H545" s="41"/>
    </row>
    <row r="546">
      <c r="A546" s="40"/>
      <c r="B546" s="41"/>
      <c r="C546" s="41"/>
      <c r="D546" s="41"/>
      <c r="E546" s="41"/>
      <c r="F546" s="41"/>
      <c r="G546" s="41"/>
      <c r="H546" s="41"/>
    </row>
    <row r="547">
      <c r="A547" s="40"/>
      <c r="B547" s="41"/>
      <c r="C547" s="41"/>
      <c r="D547" s="41"/>
      <c r="E547" s="41"/>
      <c r="F547" s="41"/>
      <c r="G547" s="41"/>
      <c r="H547" s="41"/>
    </row>
    <row r="548">
      <c r="A548" s="40"/>
      <c r="B548" s="41"/>
      <c r="C548" s="41"/>
      <c r="D548" s="41"/>
      <c r="E548" s="41"/>
      <c r="F548" s="41"/>
      <c r="G548" s="41"/>
      <c r="H548" s="41"/>
    </row>
    <row r="549">
      <c r="A549" s="40"/>
      <c r="B549" s="41"/>
      <c r="C549" s="41"/>
      <c r="D549" s="41"/>
      <c r="E549" s="41"/>
      <c r="F549" s="41"/>
      <c r="G549" s="41"/>
      <c r="H549" s="41"/>
    </row>
    <row r="550">
      <c r="A550" s="40"/>
      <c r="B550" s="41"/>
      <c r="C550" s="41"/>
      <c r="D550" s="41"/>
      <c r="E550" s="41"/>
      <c r="F550" s="41"/>
      <c r="G550" s="41"/>
      <c r="H550" s="41"/>
    </row>
    <row r="551">
      <c r="A551" s="40"/>
      <c r="B551" s="41"/>
      <c r="C551" s="41"/>
      <c r="D551" s="41"/>
      <c r="E551" s="41"/>
      <c r="F551" s="41"/>
      <c r="G551" s="41"/>
      <c r="H551" s="41"/>
    </row>
    <row r="552">
      <c r="A552" s="40"/>
      <c r="B552" s="41"/>
      <c r="C552" s="41"/>
      <c r="D552" s="41"/>
      <c r="E552" s="41"/>
      <c r="F552" s="41"/>
      <c r="G552" s="41"/>
      <c r="H552" s="41"/>
    </row>
    <row r="553">
      <c r="A553" s="40"/>
      <c r="B553" s="41"/>
      <c r="C553" s="41"/>
      <c r="D553" s="41"/>
      <c r="E553" s="41"/>
      <c r="F553" s="41"/>
      <c r="G553" s="41"/>
      <c r="H553" s="41"/>
    </row>
    <row r="554">
      <c r="A554" s="40"/>
      <c r="B554" s="41"/>
      <c r="C554" s="41"/>
      <c r="D554" s="41"/>
      <c r="E554" s="41"/>
      <c r="F554" s="41"/>
      <c r="G554" s="41"/>
      <c r="H554" s="41"/>
    </row>
    <row r="555">
      <c r="A555" s="40"/>
      <c r="B555" s="41"/>
      <c r="C555" s="41"/>
      <c r="D555" s="41"/>
      <c r="E555" s="41"/>
      <c r="F555" s="41"/>
      <c r="G555" s="41"/>
      <c r="H555" s="41"/>
    </row>
    <row r="556">
      <c r="A556" s="40"/>
      <c r="B556" s="41"/>
      <c r="C556" s="41"/>
      <c r="D556" s="41"/>
      <c r="E556" s="41"/>
      <c r="F556" s="41"/>
      <c r="G556" s="41"/>
      <c r="H556" s="41"/>
    </row>
    <row r="557">
      <c r="A557" s="40"/>
      <c r="B557" s="41"/>
      <c r="C557" s="41"/>
      <c r="D557" s="41"/>
      <c r="E557" s="41"/>
      <c r="F557" s="41"/>
      <c r="G557" s="41"/>
      <c r="H557" s="41"/>
    </row>
    <row r="558">
      <c r="A558" s="40"/>
      <c r="B558" s="41"/>
      <c r="C558" s="41"/>
      <c r="D558" s="41"/>
      <c r="E558" s="41"/>
      <c r="F558" s="41"/>
      <c r="G558" s="41"/>
      <c r="H558" s="41"/>
    </row>
    <row r="559">
      <c r="A559" s="40"/>
      <c r="B559" s="41"/>
      <c r="C559" s="41"/>
      <c r="D559" s="41"/>
      <c r="E559" s="41"/>
      <c r="F559" s="41"/>
      <c r="G559" s="41"/>
      <c r="H559" s="41"/>
    </row>
    <row r="560">
      <c r="A560" s="40"/>
      <c r="B560" s="41"/>
      <c r="C560" s="41"/>
      <c r="D560" s="41"/>
      <c r="E560" s="41"/>
      <c r="F560" s="41"/>
      <c r="G560" s="41"/>
      <c r="H560" s="41"/>
    </row>
    <row r="561">
      <c r="A561" s="40"/>
      <c r="B561" s="41"/>
      <c r="C561" s="41"/>
      <c r="D561" s="41"/>
      <c r="E561" s="41"/>
      <c r="F561" s="41"/>
      <c r="G561" s="41"/>
      <c r="H561" s="41"/>
    </row>
    <row r="562">
      <c r="A562" s="40"/>
      <c r="B562" s="41"/>
      <c r="C562" s="41"/>
      <c r="D562" s="41"/>
      <c r="E562" s="41"/>
      <c r="F562" s="41"/>
      <c r="G562" s="41"/>
      <c r="H562" s="41"/>
    </row>
    <row r="563">
      <c r="A563" s="40"/>
      <c r="B563" s="41"/>
      <c r="C563" s="41"/>
      <c r="D563" s="41"/>
      <c r="E563" s="41"/>
      <c r="F563" s="41"/>
      <c r="G563" s="41"/>
      <c r="H563" s="41"/>
    </row>
    <row r="564">
      <c r="A564" s="40"/>
      <c r="B564" s="41"/>
      <c r="C564" s="41"/>
      <c r="D564" s="41"/>
      <c r="E564" s="41"/>
      <c r="F564" s="41"/>
      <c r="G564" s="41"/>
      <c r="H564" s="41"/>
    </row>
    <row r="565">
      <c r="A565" s="40"/>
      <c r="B565" s="41"/>
      <c r="C565" s="41"/>
      <c r="D565" s="41"/>
      <c r="E565" s="41"/>
      <c r="F565" s="41"/>
      <c r="G565" s="41"/>
      <c r="H565" s="41"/>
    </row>
    <row r="566">
      <c r="A566" s="40"/>
      <c r="B566" s="41"/>
      <c r="C566" s="41"/>
      <c r="D566" s="41"/>
      <c r="E566" s="41"/>
      <c r="F566" s="41"/>
      <c r="G566" s="41"/>
      <c r="H566" s="41"/>
    </row>
    <row r="567">
      <c r="A567" s="40"/>
      <c r="B567" s="41"/>
      <c r="C567" s="41"/>
      <c r="D567" s="41"/>
      <c r="E567" s="41"/>
      <c r="F567" s="41"/>
      <c r="G567" s="41"/>
      <c r="H567" s="41"/>
    </row>
    <row r="568">
      <c r="A568" s="40"/>
      <c r="B568" s="41"/>
      <c r="C568" s="41"/>
      <c r="D568" s="41"/>
      <c r="E568" s="41"/>
      <c r="F568" s="41"/>
      <c r="G568" s="41"/>
      <c r="H568" s="41"/>
    </row>
    <row r="569">
      <c r="A569" s="40"/>
      <c r="B569" s="41"/>
      <c r="C569" s="41"/>
      <c r="D569" s="41"/>
      <c r="E569" s="41"/>
      <c r="F569" s="41"/>
      <c r="G569" s="41"/>
      <c r="H569" s="41"/>
    </row>
    <row r="570">
      <c r="A570" s="40"/>
      <c r="B570" s="41"/>
      <c r="C570" s="41"/>
      <c r="D570" s="41"/>
      <c r="E570" s="41"/>
      <c r="F570" s="41"/>
      <c r="G570" s="41"/>
      <c r="H570" s="41"/>
    </row>
    <row r="571">
      <c r="A571" s="40"/>
      <c r="B571" s="41"/>
      <c r="C571" s="41"/>
      <c r="D571" s="41"/>
      <c r="E571" s="41"/>
      <c r="F571" s="41"/>
      <c r="G571" s="41"/>
      <c r="H571" s="41"/>
    </row>
    <row r="572">
      <c r="A572" s="40"/>
      <c r="B572" s="41"/>
      <c r="C572" s="41"/>
      <c r="D572" s="41"/>
      <c r="E572" s="41"/>
      <c r="F572" s="41"/>
      <c r="G572" s="41"/>
      <c r="H572" s="41"/>
    </row>
    <row r="573">
      <c r="A573" s="40"/>
      <c r="B573" s="41"/>
      <c r="C573" s="41"/>
      <c r="D573" s="41"/>
      <c r="E573" s="41"/>
      <c r="F573" s="41"/>
      <c r="G573" s="41"/>
      <c r="H573" s="41"/>
    </row>
    <row r="574">
      <c r="A574" s="40"/>
      <c r="B574" s="41"/>
      <c r="C574" s="41"/>
      <c r="D574" s="41"/>
      <c r="E574" s="41"/>
      <c r="F574" s="41"/>
      <c r="G574" s="41"/>
      <c r="H574" s="41"/>
    </row>
    <row r="575">
      <c r="A575" s="40"/>
      <c r="B575" s="41"/>
      <c r="C575" s="41"/>
      <c r="D575" s="41"/>
      <c r="E575" s="41"/>
      <c r="F575" s="41"/>
      <c r="G575" s="41"/>
      <c r="H575" s="41"/>
    </row>
    <row r="576">
      <c r="A576" s="40"/>
      <c r="B576" s="41"/>
      <c r="C576" s="41"/>
      <c r="D576" s="41"/>
      <c r="E576" s="41"/>
      <c r="F576" s="41"/>
      <c r="G576" s="41"/>
      <c r="H576" s="41"/>
    </row>
    <row r="577">
      <c r="A577" s="40"/>
      <c r="B577" s="41"/>
      <c r="C577" s="41"/>
      <c r="D577" s="41"/>
      <c r="E577" s="41"/>
      <c r="F577" s="41"/>
      <c r="G577" s="41"/>
      <c r="H577" s="41"/>
    </row>
    <row r="578">
      <c r="A578" s="40"/>
      <c r="B578" s="41"/>
      <c r="C578" s="41"/>
      <c r="D578" s="41"/>
      <c r="E578" s="41"/>
      <c r="F578" s="41"/>
      <c r="G578" s="41"/>
      <c r="H578" s="41"/>
    </row>
    <row r="579">
      <c r="A579" s="40"/>
      <c r="B579" s="41"/>
      <c r="C579" s="41"/>
      <c r="D579" s="41"/>
      <c r="E579" s="41"/>
      <c r="F579" s="41"/>
      <c r="G579" s="41"/>
      <c r="H579" s="41"/>
    </row>
    <row r="580">
      <c r="A580" s="40"/>
      <c r="B580" s="41"/>
      <c r="C580" s="41"/>
      <c r="D580" s="41"/>
      <c r="E580" s="41"/>
      <c r="F580" s="41"/>
      <c r="G580" s="41"/>
      <c r="H580" s="41"/>
    </row>
    <row r="581">
      <c r="A581" s="40"/>
      <c r="B581" s="41"/>
      <c r="C581" s="41"/>
      <c r="D581" s="41"/>
      <c r="E581" s="41"/>
      <c r="F581" s="41"/>
      <c r="G581" s="41"/>
      <c r="H581" s="41"/>
    </row>
    <row r="582">
      <c r="A582" s="40"/>
      <c r="B582" s="41"/>
      <c r="C582" s="41"/>
      <c r="D582" s="41"/>
      <c r="E582" s="41"/>
      <c r="F582" s="41"/>
      <c r="G582" s="41"/>
      <c r="H582" s="41"/>
    </row>
    <row r="583">
      <c r="A583" s="40"/>
      <c r="B583" s="41"/>
      <c r="C583" s="41"/>
      <c r="D583" s="41"/>
      <c r="E583" s="41"/>
      <c r="F583" s="41"/>
      <c r="G583" s="41"/>
      <c r="H583" s="41"/>
    </row>
    <row r="584">
      <c r="A584" s="40"/>
      <c r="B584" s="41"/>
      <c r="C584" s="41"/>
      <c r="D584" s="41"/>
      <c r="E584" s="41"/>
      <c r="F584" s="41"/>
      <c r="G584" s="41"/>
      <c r="H584" s="41"/>
    </row>
    <row r="585">
      <c r="A585" s="40"/>
      <c r="B585" s="41"/>
      <c r="C585" s="41"/>
      <c r="D585" s="41"/>
      <c r="E585" s="41"/>
      <c r="F585" s="41"/>
      <c r="G585" s="41"/>
      <c r="H585" s="41"/>
    </row>
    <row r="586">
      <c r="A586" s="40"/>
      <c r="B586" s="41"/>
      <c r="C586" s="41"/>
      <c r="D586" s="41"/>
      <c r="E586" s="41"/>
      <c r="F586" s="41"/>
      <c r="G586" s="41"/>
      <c r="H586" s="41"/>
    </row>
    <row r="587">
      <c r="A587" s="40"/>
      <c r="B587" s="41"/>
      <c r="C587" s="41"/>
      <c r="D587" s="41"/>
      <c r="E587" s="41"/>
      <c r="F587" s="41"/>
      <c r="G587" s="41"/>
      <c r="H587" s="41"/>
    </row>
    <row r="588">
      <c r="A588" s="40"/>
      <c r="B588" s="41"/>
      <c r="C588" s="41"/>
      <c r="D588" s="41"/>
      <c r="E588" s="41"/>
      <c r="F588" s="41"/>
      <c r="G588" s="41"/>
      <c r="H588" s="41"/>
    </row>
    <row r="589">
      <c r="A589" s="40"/>
      <c r="B589" s="41"/>
      <c r="C589" s="41"/>
      <c r="D589" s="41"/>
      <c r="E589" s="41"/>
      <c r="F589" s="41"/>
      <c r="G589" s="41"/>
      <c r="H589" s="41"/>
    </row>
    <row r="590">
      <c r="A590" s="40"/>
      <c r="B590" s="41"/>
      <c r="C590" s="41"/>
      <c r="D590" s="41"/>
      <c r="E590" s="41"/>
      <c r="F590" s="41"/>
      <c r="G590" s="41"/>
      <c r="H590" s="41"/>
    </row>
    <row r="591">
      <c r="A591" s="40"/>
      <c r="B591" s="41"/>
      <c r="C591" s="41"/>
      <c r="D591" s="41"/>
      <c r="E591" s="41"/>
      <c r="F591" s="41"/>
      <c r="G591" s="41"/>
      <c r="H591" s="41"/>
    </row>
    <row r="592">
      <c r="A592" s="40"/>
      <c r="B592" s="41"/>
      <c r="C592" s="41"/>
      <c r="D592" s="41"/>
      <c r="E592" s="41"/>
      <c r="F592" s="41"/>
      <c r="G592" s="41"/>
      <c r="H592" s="41"/>
    </row>
    <row r="593">
      <c r="A593" s="40"/>
      <c r="B593" s="41"/>
      <c r="C593" s="41"/>
      <c r="D593" s="41"/>
      <c r="E593" s="41"/>
      <c r="F593" s="41"/>
      <c r="G593" s="41"/>
      <c r="H593" s="41"/>
    </row>
    <row r="594">
      <c r="A594" s="40"/>
      <c r="B594" s="41"/>
      <c r="C594" s="41"/>
      <c r="D594" s="41"/>
      <c r="E594" s="41"/>
      <c r="F594" s="41"/>
      <c r="G594" s="41"/>
      <c r="H594" s="41"/>
    </row>
    <row r="595">
      <c r="A595" s="40"/>
      <c r="B595" s="41"/>
      <c r="C595" s="41"/>
      <c r="D595" s="41"/>
      <c r="E595" s="41"/>
      <c r="F595" s="41"/>
      <c r="G595" s="41"/>
      <c r="H595" s="41"/>
    </row>
    <row r="596">
      <c r="A596" s="40"/>
      <c r="B596" s="41"/>
      <c r="C596" s="41"/>
      <c r="D596" s="41"/>
      <c r="E596" s="41"/>
      <c r="F596" s="41"/>
      <c r="G596" s="41"/>
      <c r="H596" s="41"/>
    </row>
    <row r="597">
      <c r="A597" s="40"/>
      <c r="B597" s="41"/>
      <c r="C597" s="41"/>
      <c r="D597" s="41"/>
      <c r="E597" s="41"/>
      <c r="F597" s="41"/>
      <c r="G597" s="41"/>
      <c r="H597" s="41"/>
    </row>
    <row r="598">
      <c r="A598" s="40"/>
      <c r="B598" s="41"/>
      <c r="C598" s="41"/>
      <c r="D598" s="41"/>
      <c r="E598" s="41"/>
      <c r="F598" s="41"/>
      <c r="G598" s="41"/>
      <c r="H598" s="41"/>
    </row>
    <row r="599">
      <c r="A599" s="40"/>
      <c r="B599" s="41"/>
      <c r="C599" s="41"/>
      <c r="D599" s="41"/>
      <c r="E599" s="41"/>
      <c r="F599" s="41"/>
      <c r="G599" s="41"/>
      <c r="H599" s="41"/>
    </row>
    <row r="600">
      <c r="A600" s="40"/>
      <c r="B600" s="41"/>
      <c r="C600" s="41"/>
      <c r="D600" s="41"/>
      <c r="E600" s="41"/>
      <c r="F600" s="41"/>
      <c r="G600" s="41"/>
      <c r="H600" s="41"/>
    </row>
    <row r="601">
      <c r="A601" s="40"/>
      <c r="B601" s="41"/>
      <c r="C601" s="41"/>
      <c r="D601" s="41"/>
      <c r="E601" s="41"/>
      <c r="F601" s="41"/>
      <c r="G601" s="41"/>
      <c r="H601" s="41"/>
    </row>
    <row r="602">
      <c r="A602" s="40"/>
      <c r="B602" s="41"/>
      <c r="C602" s="41"/>
      <c r="D602" s="41"/>
      <c r="E602" s="41"/>
      <c r="F602" s="41"/>
      <c r="G602" s="41"/>
      <c r="H602" s="41"/>
    </row>
    <row r="603">
      <c r="A603" s="40"/>
      <c r="B603" s="41"/>
      <c r="C603" s="41"/>
      <c r="D603" s="41"/>
      <c r="E603" s="41"/>
      <c r="F603" s="41"/>
      <c r="G603" s="41"/>
      <c r="H603" s="41"/>
    </row>
    <row r="604">
      <c r="A604" s="40"/>
      <c r="B604" s="41"/>
      <c r="C604" s="41"/>
      <c r="D604" s="41"/>
      <c r="E604" s="41"/>
      <c r="F604" s="41"/>
      <c r="G604" s="41"/>
      <c r="H604" s="41"/>
    </row>
    <row r="605">
      <c r="A605" s="40"/>
      <c r="B605" s="41"/>
      <c r="C605" s="41"/>
      <c r="D605" s="41"/>
      <c r="E605" s="41"/>
      <c r="F605" s="41"/>
      <c r="G605" s="41"/>
      <c r="H605" s="41"/>
    </row>
    <row r="606">
      <c r="A606" s="40"/>
      <c r="B606" s="41"/>
      <c r="C606" s="41"/>
      <c r="D606" s="41"/>
      <c r="E606" s="41"/>
      <c r="F606" s="41"/>
      <c r="G606" s="41"/>
      <c r="H606" s="41"/>
    </row>
    <row r="607">
      <c r="A607" s="40"/>
      <c r="B607" s="41"/>
      <c r="C607" s="41"/>
      <c r="D607" s="41"/>
      <c r="E607" s="41"/>
      <c r="F607" s="41"/>
      <c r="G607" s="41"/>
      <c r="H607" s="41"/>
    </row>
    <row r="608">
      <c r="A608" s="40"/>
      <c r="B608" s="41"/>
      <c r="C608" s="41"/>
      <c r="D608" s="41"/>
      <c r="E608" s="41"/>
      <c r="F608" s="41"/>
      <c r="G608" s="41"/>
      <c r="H608" s="41"/>
    </row>
    <row r="609">
      <c r="A609" s="40"/>
      <c r="B609" s="41"/>
      <c r="C609" s="41"/>
      <c r="D609" s="41"/>
      <c r="E609" s="41"/>
      <c r="F609" s="41"/>
      <c r="G609" s="41"/>
      <c r="H609" s="41"/>
    </row>
    <row r="610">
      <c r="A610" s="40"/>
      <c r="B610" s="41"/>
      <c r="C610" s="41"/>
      <c r="D610" s="41"/>
      <c r="E610" s="41"/>
      <c r="F610" s="41"/>
      <c r="G610" s="41"/>
      <c r="H610" s="41"/>
    </row>
    <row r="611">
      <c r="A611" s="40"/>
      <c r="B611" s="41"/>
      <c r="C611" s="41"/>
      <c r="D611" s="41"/>
      <c r="E611" s="41"/>
      <c r="F611" s="41"/>
      <c r="G611" s="41"/>
      <c r="H611" s="41"/>
    </row>
    <row r="612">
      <c r="A612" s="40"/>
      <c r="B612" s="41"/>
      <c r="C612" s="41"/>
      <c r="D612" s="41"/>
      <c r="E612" s="41"/>
      <c r="F612" s="41"/>
      <c r="G612" s="41"/>
      <c r="H612" s="41"/>
    </row>
    <row r="613">
      <c r="A613" s="40"/>
      <c r="B613" s="41"/>
      <c r="C613" s="41"/>
      <c r="D613" s="41"/>
      <c r="E613" s="41"/>
      <c r="F613" s="41"/>
      <c r="G613" s="41"/>
      <c r="H613" s="41"/>
    </row>
    <row r="614">
      <c r="A614" s="40"/>
      <c r="B614" s="41"/>
      <c r="C614" s="41"/>
      <c r="D614" s="41"/>
      <c r="E614" s="41"/>
      <c r="F614" s="41"/>
      <c r="G614" s="41"/>
      <c r="H614" s="41"/>
    </row>
    <row r="615">
      <c r="A615" s="40"/>
      <c r="B615" s="41"/>
      <c r="C615" s="41"/>
      <c r="D615" s="41"/>
      <c r="E615" s="41"/>
      <c r="F615" s="41"/>
      <c r="G615" s="41"/>
      <c r="H615" s="41"/>
    </row>
    <row r="616">
      <c r="A616" s="40"/>
      <c r="B616" s="41"/>
      <c r="C616" s="41"/>
      <c r="D616" s="41"/>
      <c r="E616" s="41"/>
      <c r="F616" s="41"/>
      <c r="G616" s="41"/>
      <c r="H616" s="41"/>
    </row>
    <row r="617">
      <c r="A617" s="40"/>
      <c r="B617" s="41"/>
      <c r="C617" s="41"/>
      <c r="D617" s="41"/>
      <c r="E617" s="41"/>
      <c r="F617" s="41"/>
      <c r="G617" s="41"/>
      <c r="H617" s="41"/>
    </row>
    <row r="618">
      <c r="A618" s="40"/>
      <c r="B618" s="41"/>
      <c r="C618" s="41"/>
      <c r="D618" s="41"/>
      <c r="E618" s="41"/>
      <c r="F618" s="41"/>
      <c r="G618" s="41"/>
      <c r="H618" s="41"/>
    </row>
    <row r="619">
      <c r="A619" s="40"/>
      <c r="B619" s="41"/>
      <c r="C619" s="41"/>
      <c r="D619" s="41"/>
      <c r="E619" s="41"/>
      <c r="F619" s="41"/>
      <c r="G619" s="41"/>
      <c r="H619" s="41"/>
    </row>
    <row r="620">
      <c r="A620" s="40"/>
      <c r="B620" s="41"/>
      <c r="C620" s="41"/>
      <c r="D620" s="41"/>
      <c r="E620" s="41"/>
      <c r="F620" s="41"/>
      <c r="G620" s="41"/>
      <c r="H620" s="41"/>
    </row>
    <row r="621">
      <c r="A621" s="40"/>
      <c r="B621" s="41"/>
      <c r="C621" s="41"/>
      <c r="D621" s="41"/>
      <c r="E621" s="41"/>
      <c r="F621" s="41"/>
      <c r="G621" s="41"/>
      <c r="H621" s="41"/>
    </row>
    <row r="622">
      <c r="A622" s="40"/>
      <c r="B622" s="41"/>
      <c r="C622" s="41"/>
      <c r="D622" s="41"/>
      <c r="E622" s="41"/>
      <c r="F622" s="41"/>
      <c r="G622" s="41"/>
      <c r="H622" s="41"/>
    </row>
    <row r="623">
      <c r="A623" s="40"/>
      <c r="B623" s="41"/>
      <c r="C623" s="41"/>
      <c r="D623" s="41"/>
      <c r="E623" s="41"/>
      <c r="F623" s="41"/>
      <c r="G623" s="41"/>
      <c r="H623" s="41"/>
    </row>
    <row r="624">
      <c r="A624" s="40"/>
      <c r="B624" s="41"/>
      <c r="C624" s="41"/>
      <c r="D624" s="41"/>
      <c r="E624" s="41"/>
      <c r="F624" s="41"/>
      <c r="G624" s="41"/>
      <c r="H624" s="41"/>
    </row>
    <row r="625">
      <c r="A625" s="40"/>
      <c r="B625" s="41"/>
      <c r="C625" s="41"/>
      <c r="D625" s="41"/>
      <c r="E625" s="41"/>
      <c r="F625" s="41"/>
      <c r="G625" s="41"/>
      <c r="H625" s="41"/>
    </row>
    <row r="626">
      <c r="A626" s="40"/>
      <c r="B626" s="41"/>
      <c r="C626" s="41"/>
      <c r="D626" s="41"/>
      <c r="E626" s="41"/>
      <c r="F626" s="41"/>
      <c r="G626" s="41"/>
      <c r="H626" s="41"/>
    </row>
    <row r="627">
      <c r="A627" s="40"/>
      <c r="B627" s="41"/>
      <c r="C627" s="41"/>
      <c r="D627" s="41"/>
      <c r="E627" s="41"/>
      <c r="F627" s="41"/>
      <c r="G627" s="41"/>
      <c r="H627" s="41"/>
    </row>
    <row r="628">
      <c r="A628" s="40"/>
      <c r="B628" s="41"/>
      <c r="C628" s="41"/>
      <c r="D628" s="41"/>
      <c r="E628" s="41"/>
      <c r="F628" s="41"/>
      <c r="G628" s="41"/>
      <c r="H628" s="41"/>
    </row>
    <row r="629">
      <c r="A629" s="40"/>
      <c r="B629" s="41"/>
      <c r="C629" s="41"/>
      <c r="D629" s="41"/>
      <c r="E629" s="41"/>
      <c r="F629" s="41"/>
      <c r="G629" s="41"/>
      <c r="H629" s="41"/>
    </row>
    <row r="630">
      <c r="A630" s="40"/>
      <c r="B630" s="41"/>
      <c r="C630" s="41"/>
      <c r="D630" s="41"/>
      <c r="E630" s="41"/>
      <c r="F630" s="41"/>
      <c r="G630" s="41"/>
      <c r="H630" s="41"/>
    </row>
    <row r="631">
      <c r="A631" s="40"/>
      <c r="B631" s="41"/>
      <c r="C631" s="41"/>
      <c r="D631" s="41"/>
      <c r="E631" s="41"/>
      <c r="F631" s="41"/>
      <c r="G631" s="41"/>
      <c r="H631" s="41"/>
    </row>
    <row r="632">
      <c r="A632" s="40"/>
      <c r="B632" s="41"/>
      <c r="C632" s="41"/>
      <c r="D632" s="41"/>
      <c r="E632" s="41"/>
      <c r="F632" s="41"/>
      <c r="G632" s="41"/>
      <c r="H632" s="41"/>
    </row>
    <row r="633">
      <c r="A633" s="40"/>
      <c r="B633" s="41"/>
      <c r="C633" s="41"/>
      <c r="D633" s="41"/>
      <c r="E633" s="41"/>
      <c r="F633" s="41"/>
      <c r="G633" s="41"/>
      <c r="H633" s="41"/>
    </row>
    <row r="634">
      <c r="A634" s="40"/>
      <c r="B634" s="41"/>
      <c r="C634" s="41"/>
      <c r="D634" s="41"/>
      <c r="E634" s="41"/>
      <c r="F634" s="41"/>
      <c r="G634" s="41"/>
      <c r="H634" s="41"/>
    </row>
    <row r="635">
      <c r="A635" s="40"/>
      <c r="B635" s="41"/>
      <c r="C635" s="41"/>
      <c r="D635" s="41"/>
      <c r="E635" s="41"/>
      <c r="F635" s="41"/>
      <c r="G635" s="41"/>
      <c r="H635" s="41"/>
    </row>
    <row r="636">
      <c r="A636" s="40"/>
      <c r="B636" s="41"/>
      <c r="C636" s="41"/>
      <c r="D636" s="41"/>
      <c r="E636" s="41"/>
      <c r="F636" s="41"/>
      <c r="G636" s="41"/>
      <c r="H636" s="41"/>
    </row>
    <row r="637">
      <c r="A637" s="40"/>
      <c r="B637" s="41"/>
      <c r="C637" s="41"/>
      <c r="D637" s="41"/>
      <c r="E637" s="41"/>
      <c r="F637" s="41"/>
      <c r="G637" s="41"/>
      <c r="H637" s="41"/>
    </row>
    <row r="638">
      <c r="A638" s="40"/>
      <c r="B638" s="41"/>
      <c r="C638" s="41"/>
      <c r="D638" s="41"/>
      <c r="E638" s="41"/>
      <c r="F638" s="41"/>
      <c r="G638" s="41"/>
      <c r="H638" s="41"/>
    </row>
    <row r="639">
      <c r="A639" s="40"/>
      <c r="B639" s="41"/>
      <c r="C639" s="41"/>
      <c r="D639" s="41"/>
      <c r="E639" s="41"/>
      <c r="F639" s="41"/>
      <c r="G639" s="41"/>
      <c r="H639" s="41"/>
    </row>
    <row r="640">
      <c r="A640" s="40"/>
      <c r="B640" s="41"/>
      <c r="C640" s="41"/>
      <c r="D640" s="41"/>
      <c r="E640" s="41"/>
      <c r="F640" s="41"/>
      <c r="G640" s="41"/>
      <c r="H640" s="41"/>
    </row>
    <row r="641">
      <c r="A641" s="40"/>
      <c r="B641" s="41"/>
      <c r="C641" s="41"/>
      <c r="D641" s="41"/>
      <c r="E641" s="41"/>
      <c r="F641" s="41"/>
      <c r="G641" s="41"/>
      <c r="H641" s="41"/>
    </row>
    <row r="642">
      <c r="A642" s="40"/>
      <c r="B642" s="41"/>
      <c r="C642" s="41"/>
      <c r="D642" s="41"/>
      <c r="E642" s="41"/>
      <c r="F642" s="41"/>
      <c r="G642" s="41"/>
      <c r="H642" s="41"/>
    </row>
    <row r="643">
      <c r="A643" s="40"/>
      <c r="B643" s="41"/>
      <c r="C643" s="41"/>
      <c r="D643" s="41"/>
      <c r="E643" s="41"/>
      <c r="F643" s="41"/>
      <c r="G643" s="41"/>
      <c r="H643" s="41"/>
    </row>
    <row r="644">
      <c r="A644" s="40"/>
      <c r="B644" s="41"/>
      <c r="C644" s="41"/>
      <c r="D644" s="41"/>
      <c r="E644" s="41"/>
      <c r="F644" s="41"/>
      <c r="G644" s="41"/>
      <c r="H644" s="41"/>
    </row>
    <row r="645">
      <c r="A645" s="40"/>
      <c r="B645" s="41"/>
      <c r="C645" s="41"/>
      <c r="D645" s="41"/>
      <c r="E645" s="41"/>
      <c r="F645" s="41"/>
      <c r="G645" s="41"/>
      <c r="H645" s="41"/>
    </row>
    <row r="646">
      <c r="A646" s="40"/>
      <c r="B646" s="41"/>
      <c r="C646" s="41"/>
      <c r="D646" s="41"/>
      <c r="E646" s="41"/>
      <c r="F646" s="41"/>
      <c r="G646" s="41"/>
      <c r="H646" s="41"/>
    </row>
    <row r="647">
      <c r="A647" s="40"/>
      <c r="B647" s="41"/>
      <c r="C647" s="41"/>
      <c r="D647" s="41"/>
      <c r="E647" s="41"/>
      <c r="F647" s="41"/>
      <c r="G647" s="41"/>
      <c r="H647" s="41"/>
    </row>
    <row r="648">
      <c r="A648" s="40"/>
      <c r="B648" s="41"/>
      <c r="C648" s="41"/>
      <c r="D648" s="41"/>
      <c r="E648" s="41"/>
      <c r="F648" s="41"/>
      <c r="G648" s="41"/>
      <c r="H648" s="41"/>
    </row>
    <row r="649">
      <c r="A649" s="40"/>
      <c r="B649" s="41"/>
      <c r="C649" s="41"/>
      <c r="D649" s="41"/>
      <c r="E649" s="41"/>
      <c r="F649" s="41"/>
      <c r="G649" s="41"/>
      <c r="H649" s="41"/>
    </row>
    <row r="650">
      <c r="A650" s="40"/>
      <c r="B650" s="41"/>
      <c r="C650" s="41"/>
      <c r="D650" s="41"/>
      <c r="E650" s="41"/>
      <c r="F650" s="41"/>
      <c r="G650" s="41"/>
      <c r="H650" s="41"/>
    </row>
    <row r="651">
      <c r="A651" s="40"/>
      <c r="B651" s="41"/>
      <c r="C651" s="41"/>
      <c r="D651" s="41"/>
      <c r="E651" s="41"/>
      <c r="F651" s="41"/>
      <c r="G651" s="41"/>
      <c r="H651" s="41"/>
    </row>
    <row r="652">
      <c r="A652" s="40"/>
      <c r="B652" s="41"/>
      <c r="C652" s="41"/>
      <c r="D652" s="41"/>
      <c r="E652" s="41"/>
      <c r="F652" s="41"/>
      <c r="G652" s="41"/>
      <c r="H652" s="41"/>
    </row>
    <row r="653">
      <c r="A653" s="40"/>
      <c r="B653" s="41"/>
      <c r="C653" s="41"/>
      <c r="D653" s="41"/>
      <c r="E653" s="41"/>
      <c r="F653" s="41"/>
      <c r="G653" s="41"/>
      <c r="H653" s="41"/>
    </row>
    <row r="654">
      <c r="A654" s="40"/>
      <c r="B654" s="41"/>
      <c r="C654" s="41"/>
      <c r="D654" s="41"/>
      <c r="E654" s="41"/>
      <c r="F654" s="41"/>
      <c r="G654" s="41"/>
      <c r="H654" s="41"/>
    </row>
    <row r="655">
      <c r="A655" s="40"/>
      <c r="B655" s="41"/>
      <c r="C655" s="41"/>
      <c r="D655" s="41"/>
      <c r="E655" s="41"/>
      <c r="F655" s="41"/>
      <c r="G655" s="41"/>
      <c r="H655" s="41"/>
    </row>
    <row r="656">
      <c r="A656" s="40"/>
      <c r="B656" s="41"/>
      <c r="C656" s="41"/>
      <c r="D656" s="41"/>
      <c r="E656" s="41"/>
      <c r="F656" s="41"/>
      <c r="G656" s="41"/>
      <c r="H656" s="41"/>
    </row>
    <row r="657">
      <c r="A657" s="40"/>
      <c r="B657" s="41"/>
      <c r="C657" s="41"/>
      <c r="D657" s="41"/>
      <c r="E657" s="41"/>
      <c r="F657" s="41"/>
      <c r="G657" s="41"/>
      <c r="H657" s="41"/>
    </row>
    <row r="658">
      <c r="A658" s="40"/>
      <c r="B658" s="41"/>
      <c r="C658" s="41"/>
      <c r="D658" s="41"/>
      <c r="E658" s="41"/>
      <c r="F658" s="41"/>
      <c r="G658" s="41"/>
      <c r="H658" s="41"/>
    </row>
    <row r="659">
      <c r="A659" s="40"/>
      <c r="B659" s="41"/>
      <c r="C659" s="41"/>
      <c r="D659" s="41"/>
      <c r="E659" s="41"/>
      <c r="F659" s="41"/>
      <c r="G659" s="41"/>
      <c r="H659" s="41"/>
    </row>
    <row r="660">
      <c r="A660" s="40"/>
      <c r="B660" s="41"/>
      <c r="C660" s="41"/>
      <c r="D660" s="41"/>
      <c r="E660" s="41"/>
      <c r="F660" s="41"/>
      <c r="G660" s="41"/>
      <c r="H660" s="41"/>
    </row>
    <row r="661">
      <c r="A661" s="40"/>
      <c r="B661" s="41"/>
      <c r="C661" s="41"/>
      <c r="D661" s="41"/>
      <c r="E661" s="41"/>
      <c r="F661" s="41"/>
      <c r="G661" s="41"/>
      <c r="H661" s="41"/>
    </row>
    <row r="662">
      <c r="A662" s="40"/>
      <c r="B662" s="41"/>
      <c r="C662" s="41"/>
      <c r="D662" s="41"/>
      <c r="E662" s="41"/>
      <c r="F662" s="41"/>
      <c r="G662" s="41"/>
      <c r="H662" s="41"/>
    </row>
    <row r="663">
      <c r="A663" s="40"/>
      <c r="B663" s="41"/>
      <c r="C663" s="41"/>
      <c r="D663" s="41"/>
      <c r="E663" s="41"/>
      <c r="F663" s="41"/>
      <c r="G663" s="41"/>
      <c r="H663" s="41"/>
    </row>
    <row r="664">
      <c r="A664" s="40"/>
      <c r="B664" s="41"/>
      <c r="C664" s="41"/>
      <c r="D664" s="41"/>
      <c r="E664" s="41"/>
      <c r="F664" s="41"/>
      <c r="G664" s="41"/>
      <c r="H664" s="41"/>
    </row>
    <row r="665">
      <c r="A665" s="40"/>
      <c r="B665" s="41"/>
      <c r="C665" s="41"/>
      <c r="D665" s="41"/>
      <c r="E665" s="41"/>
      <c r="F665" s="41"/>
      <c r="G665" s="41"/>
      <c r="H665" s="41"/>
    </row>
    <row r="666">
      <c r="A666" s="40"/>
      <c r="B666" s="41"/>
      <c r="C666" s="41"/>
      <c r="D666" s="41"/>
      <c r="E666" s="41"/>
      <c r="F666" s="41"/>
      <c r="G666" s="41"/>
      <c r="H666" s="41"/>
    </row>
    <row r="667">
      <c r="A667" s="40"/>
      <c r="B667" s="41"/>
      <c r="C667" s="41"/>
      <c r="D667" s="41"/>
      <c r="E667" s="41"/>
      <c r="F667" s="41"/>
      <c r="G667" s="41"/>
      <c r="H667" s="41"/>
    </row>
    <row r="668">
      <c r="A668" s="40"/>
      <c r="B668" s="41"/>
      <c r="C668" s="41"/>
      <c r="D668" s="41"/>
      <c r="E668" s="41"/>
      <c r="F668" s="41"/>
      <c r="G668" s="41"/>
      <c r="H668" s="41"/>
    </row>
    <row r="669">
      <c r="A669" s="40"/>
      <c r="B669" s="41"/>
      <c r="C669" s="41"/>
      <c r="D669" s="41"/>
      <c r="E669" s="41"/>
      <c r="F669" s="41"/>
      <c r="G669" s="41"/>
      <c r="H669" s="41"/>
    </row>
    <row r="670">
      <c r="A670" s="40"/>
      <c r="B670" s="41"/>
      <c r="C670" s="41"/>
      <c r="D670" s="41"/>
      <c r="E670" s="41"/>
      <c r="F670" s="41"/>
      <c r="G670" s="41"/>
      <c r="H670" s="41"/>
    </row>
    <row r="671">
      <c r="A671" s="40"/>
      <c r="B671" s="41"/>
      <c r="C671" s="41"/>
      <c r="D671" s="41"/>
      <c r="E671" s="41"/>
      <c r="F671" s="41"/>
      <c r="G671" s="41"/>
      <c r="H671" s="41"/>
    </row>
    <row r="672">
      <c r="A672" s="40"/>
      <c r="B672" s="41"/>
      <c r="C672" s="41"/>
      <c r="D672" s="41"/>
      <c r="E672" s="41"/>
      <c r="F672" s="41"/>
      <c r="G672" s="41"/>
      <c r="H672" s="41"/>
    </row>
    <row r="673">
      <c r="A673" s="40"/>
      <c r="B673" s="41"/>
      <c r="C673" s="41"/>
      <c r="D673" s="41"/>
      <c r="E673" s="41"/>
      <c r="F673" s="41"/>
      <c r="G673" s="41"/>
      <c r="H673" s="41"/>
    </row>
    <row r="674">
      <c r="A674" s="40"/>
      <c r="B674" s="41"/>
      <c r="C674" s="41"/>
      <c r="D674" s="41"/>
      <c r="E674" s="41"/>
      <c r="F674" s="41"/>
      <c r="G674" s="41"/>
      <c r="H674" s="41"/>
    </row>
    <row r="675">
      <c r="A675" s="40"/>
      <c r="B675" s="41"/>
      <c r="C675" s="41"/>
      <c r="D675" s="41"/>
      <c r="E675" s="41"/>
      <c r="F675" s="41"/>
      <c r="G675" s="41"/>
      <c r="H675" s="41"/>
    </row>
    <row r="676">
      <c r="A676" s="40"/>
      <c r="B676" s="41"/>
      <c r="C676" s="41"/>
      <c r="D676" s="41"/>
      <c r="E676" s="41"/>
      <c r="F676" s="41"/>
      <c r="G676" s="41"/>
      <c r="H676" s="41"/>
    </row>
    <row r="677">
      <c r="A677" s="40"/>
      <c r="B677" s="41"/>
      <c r="C677" s="41"/>
      <c r="D677" s="41"/>
      <c r="E677" s="41"/>
      <c r="F677" s="41"/>
      <c r="G677" s="41"/>
      <c r="H677" s="41"/>
    </row>
    <row r="678">
      <c r="A678" s="40"/>
      <c r="B678" s="41"/>
      <c r="C678" s="41"/>
      <c r="D678" s="41"/>
      <c r="E678" s="41"/>
      <c r="F678" s="41"/>
      <c r="G678" s="41"/>
      <c r="H678" s="41"/>
    </row>
    <row r="679">
      <c r="A679" s="40"/>
      <c r="B679" s="41"/>
      <c r="C679" s="41"/>
      <c r="D679" s="41"/>
      <c r="E679" s="41"/>
      <c r="F679" s="41"/>
      <c r="G679" s="41"/>
      <c r="H679" s="41"/>
    </row>
    <row r="680">
      <c r="A680" s="40"/>
      <c r="B680" s="41"/>
      <c r="C680" s="41"/>
      <c r="D680" s="41"/>
      <c r="E680" s="41"/>
      <c r="F680" s="41"/>
      <c r="G680" s="41"/>
      <c r="H680" s="41"/>
    </row>
    <row r="681">
      <c r="A681" s="40"/>
      <c r="B681" s="41"/>
      <c r="C681" s="41"/>
      <c r="D681" s="41"/>
      <c r="E681" s="41"/>
      <c r="F681" s="41"/>
      <c r="G681" s="41"/>
      <c r="H681" s="41"/>
    </row>
    <row r="682">
      <c r="A682" s="40"/>
      <c r="B682" s="41"/>
      <c r="C682" s="41"/>
      <c r="D682" s="41"/>
      <c r="E682" s="41"/>
      <c r="F682" s="41"/>
      <c r="G682" s="41"/>
      <c r="H682" s="41"/>
    </row>
    <row r="683">
      <c r="A683" s="40"/>
      <c r="B683" s="41"/>
      <c r="C683" s="41"/>
      <c r="D683" s="41"/>
      <c r="E683" s="41"/>
      <c r="F683" s="41"/>
      <c r="G683" s="41"/>
      <c r="H683" s="41"/>
    </row>
    <row r="684">
      <c r="A684" s="40"/>
      <c r="B684" s="41"/>
      <c r="C684" s="41"/>
      <c r="D684" s="41"/>
      <c r="E684" s="41"/>
      <c r="F684" s="41"/>
      <c r="G684" s="41"/>
      <c r="H684" s="41"/>
    </row>
    <row r="685">
      <c r="A685" s="40"/>
      <c r="B685" s="41"/>
      <c r="C685" s="41"/>
      <c r="D685" s="41"/>
      <c r="E685" s="41"/>
      <c r="F685" s="41"/>
      <c r="G685" s="41"/>
      <c r="H685" s="41"/>
    </row>
    <row r="686">
      <c r="A686" s="40"/>
      <c r="B686" s="41"/>
      <c r="C686" s="41"/>
      <c r="D686" s="41"/>
      <c r="E686" s="41"/>
      <c r="F686" s="41"/>
      <c r="G686" s="41"/>
      <c r="H686" s="41"/>
    </row>
    <row r="687">
      <c r="A687" s="40"/>
      <c r="B687" s="41"/>
      <c r="C687" s="41"/>
      <c r="D687" s="41"/>
      <c r="E687" s="41"/>
      <c r="F687" s="41"/>
      <c r="G687" s="41"/>
      <c r="H687" s="41"/>
    </row>
    <row r="688">
      <c r="A688" s="40"/>
      <c r="B688" s="41"/>
      <c r="C688" s="41"/>
      <c r="D688" s="41"/>
      <c r="E688" s="41"/>
      <c r="F688" s="41"/>
      <c r="G688" s="41"/>
      <c r="H688" s="41"/>
    </row>
    <row r="689">
      <c r="A689" s="40"/>
      <c r="B689" s="41"/>
      <c r="C689" s="41"/>
      <c r="D689" s="41"/>
      <c r="E689" s="41"/>
      <c r="F689" s="41"/>
      <c r="G689" s="41"/>
      <c r="H689" s="41"/>
    </row>
    <row r="690">
      <c r="A690" s="40"/>
      <c r="B690" s="41"/>
      <c r="C690" s="41"/>
      <c r="D690" s="41"/>
      <c r="E690" s="41"/>
      <c r="F690" s="41"/>
      <c r="G690" s="41"/>
      <c r="H690" s="41"/>
    </row>
    <row r="691">
      <c r="A691" s="40"/>
      <c r="B691" s="41"/>
      <c r="C691" s="41"/>
      <c r="D691" s="41"/>
      <c r="E691" s="41"/>
      <c r="F691" s="41"/>
      <c r="G691" s="41"/>
      <c r="H691" s="41"/>
    </row>
    <row r="692">
      <c r="A692" s="40"/>
      <c r="B692" s="41"/>
      <c r="C692" s="41"/>
      <c r="D692" s="41"/>
      <c r="E692" s="41"/>
      <c r="F692" s="41"/>
      <c r="G692" s="41"/>
      <c r="H692" s="41"/>
    </row>
    <row r="693">
      <c r="A693" s="40"/>
      <c r="B693" s="41"/>
      <c r="C693" s="41"/>
      <c r="D693" s="41"/>
      <c r="E693" s="41"/>
      <c r="F693" s="41"/>
      <c r="G693" s="41"/>
      <c r="H693" s="41"/>
    </row>
    <row r="694">
      <c r="A694" s="40"/>
      <c r="B694" s="41"/>
      <c r="C694" s="41"/>
      <c r="D694" s="41"/>
      <c r="E694" s="41"/>
      <c r="F694" s="41"/>
      <c r="G694" s="41"/>
      <c r="H694" s="41"/>
    </row>
    <row r="695">
      <c r="A695" s="40"/>
      <c r="B695" s="41"/>
      <c r="C695" s="41"/>
      <c r="D695" s="41"/>
      <c r="E695" s="41"/>
      <c r="F695" s="41"/>
      <c r="G695" s="41"/>
      <c r="H695" s="41"/>
    </row>
    <row r="696">
      <c r="A696" s="40"/>
      <c r="B696" s="41"/>
      <c r="C696" s="41"/>
      <c r="D696" s="41"/>
      <c r="E696" s="41"/>
      <c r="F696" s="41"/>
      <c r="G696" s="41"/>
      <c r="H696" s="41"/>
    </row>
    <row r="697">
      <c r="A697" s="40"/>
      <c r="B697" s="41"/>
      <c r="C697" s="41"/>
      <c r="D697" s="41"/>
      <c r="E697" s="41"/>
      <c r="F697" s="41"/>
      <c r="G697" s="41"/>
      <c r="H697" s="41"/>
    </row>
    <row r="698">
      <c r="A698" s="40"/>
      <c r="B698" s="41"/>
      <c r="C698" s="41"/>
      <c r="D698" s="41"/>
      <c r="E698" s="41"/>
      <c r="F698" s="41"/>
      <c r="G698" s="41"/>
      <c r="H698" s="41"/>
    </row>
    <row r="699">
      <c r="A699" s="40"/>
      <c r="B699" s="41"/>
      <c r="C699" s="41"/>
      <c r="D699" s="41"/>
      <c r="E699" s="41"/>
      <c r="F699" s="41"/>
      <c r="G699" s="41"/>
      <c r="H699" s="41"/>
    </row>
    <row r="700">
      <c r="A700" s="40"/>
      <c r="B700" s="41"/>
      <c r="C700" s="41"/>
      <c r="D700" s="41"/>
      <c r="E700" s="41"/>
      <c r="F700" s="41"/>
      <c r="G700" s="41"/>
      <c r="H700" s="41"/>
    </row>
    <row r="701">
      <c r="A701" s="40"/>
      <c r="B701" s="41"/>
      <c r="C701" s="41"/>
      <c r="D701" s="41"/>
      <c r="E701" s="41"/>
      <c r="F701" s="41"/>
      <c r="G701" s="41"/>
      <c r="H701" s="41"/>
    </row>
    <row r="702">
      <c r="A702" s="40"/>
      <c r="B702" s="41"/>
      <c r="C702" s="41"/>
      <c r="D702" s="41"/>
      <c r="E702" s="41"/>
      <c r="F702" s="41"/>
      <c r="G702" s="41"/>
      <c r="H702" s="41"/>
    </row>
    <row r="703">
      <c r="A703" s="40"/>
      <c r="B703" s="41"/>
      <c r="C703" s="41"/>
      <c r="D703" s="41"/>
      <c r="E703" s="41"/>
      <c r="F703" s="41"/>
      <c r="G703" s="41"/>
      <c r="H703" s="41"/>
    </row>
    <row r="704">
      <c r="A704" s="40"/>
      <c r="B704" s="41"/>
      <c r="C704" s="41"/>
      <c r="D704" s="41"/>
      <c r="E704" s="41"/>
      <c r="F704" s="41"/>
      <c r="G704" s="41"/>
      <c r="H704" s="41"/>
    </row>
    <row r="705">
      <c r="A705" s="40"/>
      <c r="B705" s="41"/>
      <c r="C705" s="41"/>
      <c r="D705" s="41"/>
      <c r="E705" s="41"/>
      <c r="F705" s="41"/>
      <c r="G705" s="41"/>
      <c r="H705" s="41"/>
    </row>
    <row r="706">
      <c r="A706" s="40"/>
      <c r="B706" s="41"/>
      <c r="C706" s="41"/>
      <c r="D706" s="41"/>
      <c r="E706" s="41"/>
      <c r="F706" s="41"/>
      <c r="G706" s="41"/>
      <c r="H706" s="41"/>
    </row>
    <row r="707">
      <c r="A707" s="40"/>
      <c r="B707" s="41"/>
      <c r="C707" s="41"/>
      <c r="D707" s="41"/>
      <c r="E707" s="41"/>
      <c r="F707" s="41"/>
      <c r="G707" s="41"/>
      <c r="H707" s="41"/>
    </row>
    <row r="708">
      <c r="A708" s="40"/>
      <c r="B708" s="41"/>
      <c r="C708" s="41"/>
      <c r="D708" s="41"/>
      <c r="E708" s="41"/>
      <c r="F708" s="41"/>
      <c r="G708" s="41"/>
      <c r="H708" s="41"/>
    </row>
    <row r="709">
      <c r="A709" s="40"/>
      <c r="B709" s="41"/>
      <c r="C709" s="41"/>
      <c r="D709" s="41"/>
      <c r="E709" s="41"/>
      <c r="F709" s="41"/>
      <c r="G709" s="41"/>
      <c r="H709" s="41"/>
    </row>
    <row r="710">
      <c r="A710" s="40"/>
      <c r="B710" s="41"/>
      <c r="C710" s="41"/>
      <c r="D710" s="41"/>
      <c r="E710" s="41"/>
      <c r="F710" s="41"/>
      <c r="G710" s="41"/>
      <c r="H710" s="41"/>
    </row>
    <row r="711">
      <c r="A711" s="40"/>
      <c r="B711" s="41"/>
      <c r="C711" s="41"/>
      <c r="D711" s="41"/>
      <c r="E711" s="41"/>
      <c r="F711" s="41"/>
      <c r="G711" s="41"/>
      <c r="H711" s="41"/>
    </row>
    <row r="712">
      <c r="A712" s="40"/>
      <c r="B712" s="41"/>
      <c r="C712" s="41"/>
      <c r="D712" s="41"/>
      <c r="E712" s="41"/>
      <c r="F712" s="41"/>
      <c r="G712" s="41"/>
      <c r="H712" s="41"/>
    </row>
    <row r="713">
      <c r="A713" s="40"/>
      <c r="B713" s="41"/>
      <c r="C713" s="41"/>
      <c r="D713" s="41"/>
      <c r="E713" s="41"/>
      <c r="F713" s="41"/>
      <c r="G713" s="41"/>
      <c r="H713" s="41"/>
    </row>
    <row r="714">
      <c r="A714" s="40"/>
      <c r="B714" s="41"/>
      <c r="C714" s="41"/>
      <c r="D714" s="41"/>
      <c r="E714" s="41"/>
      <c r="F714" s="41"/>
      <c r="G714" s="41"/>
      <c r="H714" s="41"/>
    </row>
    <row r="715">
      <c r="A715" s="40"/>
      <c r="B715" s="41"/>
      <c r="C715" s="41"/>
      <c r="D715" s="41"/>
      <c r="E715" s="41"/>
      <c r="F715" s="41"/>
      <c r="G715" s="41"/>
      <c r="H715" s="41"/>
    </row>
    <row r="716">
      <c r="A716" s="40"/>
      <c r="B716" s="41"/>
      <c r="C716" s="41"/>
      <c r="D716" s="41"/>
      <c r="E716" s="41"/>
      <c r="F716" s="41"/>
      <c r="G716" s="41"/>
      <c r="H716" s="41"/>
    </row>
    <row r="717">
      <c r="A717" s="40"/>
      <c r="B717" s="41"/>
      <c r="C717" s="41"/>
      <c r="D717" s="41"/>
      <c r="E717" s="41"/>
      <c r="F717" s="41"/>
      <c r="G717" s="41"/>
      <c r="H717" s="41"/>
    </row>
    <row r="718">
      <c r="A718" s="40"/>
      <c r="B718" s="41"/>
      <c r="C718" s="41"/>
      <c r="D718" s="41"/>
      <c r="E718" s="41"/>
      <c r="F718" s="41"/>
      <c r="G718" s="41"/>
      <c r="H718" s="41"/>
    </row>
    <row r="719">
      <c r="A719" s="40"/>
      <c r="B719" s="41"/>
      <c r="C719" s="41"/>
      <c r="D719" s="41"/>
      <c r="E719" s="41"/>
      <c r="F719" s="41"/>
      <c r="G719" s="41"/>
      <c r="H719" s="41"/>
    </row>
    <row r="720">
      <c r="A720" s="40"/>
      <c r="B720" s="41"/>
      <c r="C720" s="41"/>
      <c r="D720" s="41"/>
      <c r="E720" s="41"/>
      <c r="F720" s="41"/>
      <c r="G720" s="41"/>
      <c r="H720" s="41"/>
    </row>
    <row r="721">
      <c r="A721" s="40"/>
      <c r="B721" s="41"/>
      <c r="C721" s="41"/>
      <c r="D721" s="41"/>
      <c r="E721" s="41"/>
      <c r="F721" s="41"/>
      <c r="G721" s="41"/>
      <c r="H721" s="41"/>
    </row>
    <row r="722">
      <c r="A722" s="40"/>
      <c r="B722" s="41"/>
      <c r="C722" s="41"/>
      <c r="D722" s="41"/>
      <c r="E722" s="41"/>
      <c r="F722" s="41"/>
      <c r="G722" s="41"/>
      <c r="H722" s="41"/>
    </row>
    <row r="723">
      <c r="A723" s="40"/>
      <c r="B723" s="41"/>
      <c r="C723" s="41"/>
      <c r="D723" s="41"/>
      <c r="E723" s="41"/>
      <c r="F723" s="41"/>
      <c r="G723" s="41"/>
      <c r="H723" s="41"/>
    </row>
    <row r="724">
      <c r="A724" s="40"/>
      <c r="B724" s="41"/>
      <c r="C724" s="41"/>
      <c r="D724" s="41"/>
      <c r="E724" s="41"/>
      <c r="F724" s="41"/>
      <c r="G724" s="41"/>
      <c r="H724" s="41"/>
    </row>
    <row r="725">
      <c r="A725" s="40"/>
      <c r="B725" s="41"/>
      <c r="C725" s="41"/>
      <c r="D725" s="41"/>
      <c r="E725" s="41"/>
      <c r="F725" s="41"/>
      <c r="G725" s="41"/>
      <c r="H725" s="41"/>
    </row>
    <row r="726">
      <c r="A726" s="40"/>
      <c r="B726" s="41"/>
      <c r="C726" s="41"/>
      <c r="D726" s="41"/>
      <c r="E726" s="41"/>
      <c r="F726" s="41"/>
      <c r="G726" s="41"/>
      <c r="H726" s="41"/>
    </row>
    <row r="727">
      <c r="A727" s="40"/>
      <c r="B727" s="41"/>
      <c r="C727" s="41"/>
      <c r="D727" s="41"/>
      <c r="E727" s="41"/>
      <c r="F727" s="41"/>
      <c r="G727" s="41"/>
      <c r="H727" s="41"/>
    </row>
    <row r="728">
      <c r="A728" s="40"/>
      <c r="B728" s="41"/>
      <c r="C728" s="41"/>
      <c r="D728" s="41"/>
      <c r="E728" s="41"/>
      <c r="F728" s="41"/>
      <c r="G728" s="41"/>
      <c r="H728" s="41"/>
    </row>
    <row r="729">
      <c r="A729" s="40"/>
      <c r="B729" s="41"/>
      <c r="C729" s="41"/>
      <c r="D729" s="41"/>
      <c r="E729" s="41"/>
      <c r="F729" s="41"/>
      <c r="G729" s="41"/>
      <c r="H729" s="41"/>
    </row>
    <row r="730">
      <c r="A730" s="40"/>
      <c r="B730" s="41"/>
      <c r="C730" s="41"/>
      <c r="D730" s="41"/>
      <c r="E730" s="41"/>
      <c r="F730" s="41"/>
      <c r="G730" s="41"/>
      <c r="H730" s="41"/>
    </row>
    <row r="731">
      <c r="A731" s="40"/>
      <c r="B731" s="41"/>
      <c r="C731" s="41"/>
      <c r="D731" s="41"/>
      <c r="E731" s="41"/>
      <c r="F731" s="41"/>
      <c r="G731" s="41"/>
      <c r="H731" s="41"/>
    </row>
    <row r="732">
      <c r="A732" s="40"/>
      <c r="B732" s="41"/>
      <c r="C732" s="41"/>
      <c r="D732" s="41"/>
      <c r="E732" s="41"/>
      <c r="F732" s="41"/>
      <c r="G732" s="41"/>
      <c r="H732" s="41"/>
    </row>
    <row r="733">
      <c r="A733" s="40"/>
      <c r="B733" s="41"/>
      <c r="C733" s="41"/>
      <c r="D733" s="41"/>
      <c r="E733" s="41"/>
      <c r="F733" s="41"/>
      <c r="G733" s="41"/>
      <c r="H733" s="41"/>
    </row>
    <row r="734">
      <c r="A734" s="40"/>
      <c r="B734" s="41"/>
      <c r="C734" s="41"/>
      <c r="D734" s="41"/>
      <c r="E734" s="41"/>
      <c r="F734" s="41"/>
      <c r="G734" s="41"/>
      <c r="H734" s="41"/>
    </row>
    <row r="735">
      <c r="A735" s="40"/>
      <c r="B735" s="41"/>
      <c r="C735" s="41"/>
      <c r="D735" s="41"/>
      <c r="E735" s="41"/>
      <c r="F735" s="41"/>
      <c r="G735" s="41"/>
      <c r="H735" s="41"/>
    </row>
    <row r="736">
      <c r="A736" s="40"/>
      <c r="B736" s="41"/>
      <c r="C736" s="41"/>
      <c r="D736" s="41"/>
      <c r="E736" s="41"/>
      <c r="F736" s="41"/>
      <c r="G736" s="41"/>
      <c r="H736" s="41"/>
    </row>
    <row r="737">
      <c r="A737" s="40"/>
      <c r="B737" s="41"/>
      <c r="C737" s="41"/>
      <c r="D737" s="41"/>
      <c r="E737" s="41"/>
      <c r="F737" s="41"/>
      <c r="G737" s="41"/>
      <c r="H737" s="41"/>
    </row>
    <row r="738">
      <c r="A738" s="40"/>
      <c r="B738" s="41"/>
      <c r="C738" s="41"/>
      <c r="D738" s="41"/>
      <c r="E738" s="41"/>
      <c r="F738" s="41"/>
      <c r="G738" s="41"/>
      <c r="H738" s="41"/>
    </row>
    <row r="739">
      <c r="A739" s="40"/>
      <c r="B739" s="41"/>
      <c r="C739" s="41"/>
      <c r="D739" s="41"/>
      <c r="E739" s="41"/>
      <c r="F739" s="41"/>
      <c r="G739" s="41"/>
      <c r="H739" s="41"/>
    </row>
    <row r="740">
      <c r="A740" s="40"/>
      <c r="B740" s="41"/>
      <c r="C740" s="41"/>
      <c r="D740" s="41"/>
      <c r="E740" s="41"/>
      <c r="F740" s="41"/>
      <c r="G740" s="41"/>
      <c r="H740" s="41"/>
    </row>
    <row r="741">
      <c r="A741" s="40"/>
      <c r="B741" s="41"/>
      <c r="C741" s="41"/>
      <c r="D741" s="41"/>
      <c r="E741" s="41"/>
      <c r="F741" s="41"/>
      <c r="G741" s="41"/>
      <c r="H741" s="41"/>
    </row>
    <row r="742">
      <c r="A742" s="40"/>
      <c r="B742" s="41"/>
      <c r="C742" s="41"/>
      <c r="D742" s="41"/>
      <c r="E742" s="41"/>
      <c r="F742" s="41"/>
      <c r="G742" s="41"/>
      <c r="H742" s="41"/>
    </row>
    <row r="743">
      <c r="A743" s="40"/>
      <c r="B743" s="41"/>
      <c r="C743" s="41"/>
      <c r="D743" s="41"/>
      <c r="E743" s="41"/>
      <c r="F743" s="41"/>
      <c r="G743" s="41"/>
      <c r="H743" s="41"/>
    </row>
    <row r="744">
      <c r="A744" s="40"/>
      <c r="B744" s="41"/>
      <c r="C744" s="41"/>
      <c r="D744" s="41"/>
      <c r="E744" s="41"/>
      <c r="F744" s="41"/>
      <c r="G744" s="41"/>
      <c r="H744" s="41"/>
    </row>
    <row r="745">
      <c r="A745" s="40"/>
      <c r="B745" s="41"/>
      <c r="C745" s="41"/>
      <c r="D745" s="41"/>
      <c r="E745" s="41"/>
      <c r="F745" s="41"/>
      <c r="G745" s="41"/>
      <c r="H745" s="41"/>
    </row>
    <row r="746">
      <c r="A746" s="40"/>
      <c r="B746" s="41"/>
      <c r="C746" s="41"/>
      <c r="D746" s="41"/>
      <c r="E746" s="41"/>
      <c r="F746" s="41"/>
      <c r="G746" s="41"/>
      <c r="H746" s="41"/>
    </row>
    <row r="747">
      <c r="A747" s="40"/>
      <c r="B747" s="41"/>
      <c r="C747" s="41"/>
      <c r="D747" s="41"/>
      <c r="E747" s="41"/>
      <c r="F747" s="41"/>
      <c r="G747" s="41"/>
      <c r="H747" s="41"/>
    </row>
    <row r="748">
      <c r="A748" s="40"/>
      <c r="B748" s="41"/>
      <c r="C748" s="41"/>
      <c r="D748" s="41"/>
      <c r="E748" s="41"/>
      <c r="F748" s="41"/>
      <c r="G748" s="41"/>
      <c r="H748" s="41"/>
    </row>
    <row r="749">
      <c r="A749" s="40"/>
      <c r="B749" s="41"/>
      <c r="C749" s="41"/>
      <c r="D749" s="41"/>
      <c r="E749" s="41"/>
      <c r="F749" s="41"/>
      <c r="G749" s="41"/>
      <c r="H749" s="41"/>
    </row>
    <row r="750">
      <c r="A750" s="40"/>
      <c r="B750" s="41"/>
      <c r="C750" s="41"/>
      <c r="D750" s="41"/>
      <c r="E750" s="41"/>
      <c r="F750" s="41"/>
      <c r="G750" s="41"/>
      <c r="H750" s="41"/>
    </row>
    <row r="751">
      <c r="A751" s="40"/>
      <c r="B751" s="41"/>
      <c r="C751" s="41"/>
      <c r="D751" s="41"/>
      <c r="E751" s="41"/>
      <c r="F751" s="41"/>
      <c r="G751" s="41"/>
      <c r="H751" s="41"/>
    </row>
    <row r="752">
      <c r="A752" s="40"/>
      <c r="B752" s="41"/>
      <c r="C752" s="41"/>
      <c r="D752" s="41"/>
      <c r="E752" s="41"/>
      <c r="F752" s="41"/>
      <c r="G752" s="41"/>
      <c r="H752" s="41"/>
    </row>
    <row r="753">
      <c r="A753" s="40"/>
      <c r="B753" s="41"/>
      <c r="C753" s="41"/>
      <c r="D753" s="41"/>
      <c r="E753" s="41"/>
      <c r="F753" s="41"/>
      <c r="G753" s="41"/>
      <c r="H753" s="41"/>
    </row>
    <row r="754">
      <c r="A754" s="40"/>
      <c r="B754" s="41"/>
      <c r="C754" s="41"/>
      <c r="D754" s="41"/>
      <c r="E754" s="41"/>
      <c r="F754" s="41"/>
      <c r="G754" s="41"/>
      <c r="H754" s="41"/>
    </row>
    <row r="755">
      <c r="A755" s="40"/>
      <c r="B755" s="41"/>
      <c r="C755" s="41"/>
      <c r="D755" s="41"/>
      <c r="E755" s="41"/>
      <c r="F755" s="41"/>
      <c r="G755" s="41"/>
      <c r="H755" s="41"/>
    </row>
    <row r="756">
      <c r="A756" s="40"/>
      <c r="B756" s="41"/>
      <c r="C756" s="41"/>
      <c r="D756" s="41"/>
      <c r="E756" s="41"/>
      <c r="F756" s="41"/>
      <c r="G756" s="41"/>
      <c r="H756" s="41"/>
    </row>
    <row r="757">
      <c r="A757" s="40"/>
      <c r="B757" s="41"/>
      <c r="C757" s="41"/>
      <c r="D757" s="41"/>
      <c r="E757" s="41"/>
      <c r="F757" s="41"/>
      <c r="G757" s="41"/>
      <c r="H757" s="41"/>
    </row>
    <row r="758">
      <c r="A758" s="40"/>
      <c r="B758" s="41"/>
      <c r="C758" s="41"/>
      <c r="D758" s="41"/>
      <c r="E758" s="41"/>
      <c r="F758" s="41"/>
      <c r="G758" s="41"/>
      <c r="H758" s="41"/>
    </row>
    <row r="759">
      <c r="A759" s="40"/>
      <c r="B759" s="41"/>
      <c r="C759" s="41"/>
      <c r="D759" s="41"/>
      <c r="E759" s="41"/>
      <c r="F759" s="41"/>
      <c r="G759" s="41"/>
      <c r="H759" s="41"/>
    </row>
    <row r="760">
      <c r="A760" s="40"/>
      <c r="B760" s="41"/>
      <c r="C760" s="41"/>
      <c r="D760" s="41"/>
      <c r="E760" s="41"/>
      <c r="F760" s="41"/>
      <c r="G760" s="41"/>
      <c r="H760" s="41"/>
    </row>
    <row r="761">
      <c r="A761" s="40"/>
      <c r="B761" s="41"/>
      <c r="C761" s="41"/>
      <c r="D761" s="41"/>
      <c r="E761" s="41"/>
      <c r="F761" s="41"/>
      <c r="G761" s="41"/>
      <c r="H761" s="41"/>
    </row>
    <row r="762">
      <c r="A762" s="40"/>
      <c r="B762" s="41"/>
      <c r="C762" s="41"/>
      <c r="D762" s="41"/>
      <c r="E762" s="41"/>
      <c r="F762" s="41"/>
      <c r="G762" s="41"/>
      <c r="H762" s="41"/>
    </row>
    <row r="763">
      <c r="A763" s="40"/>
      <c r="B763" s="41"/>
      <c r="C763" s="41"/>
      <c r="D763" s="41"/>
      <c r="E763" s="41"/>
      <c r="F763" s="41"/>
      <c r="G763" s="41"/>
      <c r="H763" s="41"/>
    </row>
    <row r="764">
      <c r="A764" s="40"/>
      <c r="B764" s="41"/>
      <c r="C764" s="41"/>
      <c r="D764" s="41"/>
      <c r="E764" s="41"/>
      <c r="F764" s="41"/>
      <c r="G764" s="41"/>
      <c r="H764" s="41"/>
    </row>
    <row r="765">
      <c r="A765" s="40"/>
      <c r="B765" s="41"/>
      <c r="C765" s="41"/>
      <c r="D765" s="41"/>
      <c r="E765" s="41"/>
      <c r="F765" s="41"/>
      <c r="G765" s="41"/>
      <c r="H765" s="41"/>
    </row>
    <row r="766">
      <c r="A766" s="40"/>
      <c r="B766" s="41"/>
      <c r="C766" s="41"/>
      <c r="D766" s="41"/>
      <c r="E766" s="41"/>
      <c r="F766" s="41"/>
      <c r="G766" s="41"/>
      <c r="H766" s="41"/>
    </row>
    <row r="767">
      <c r="A767" s="40"/>
      <c r="B767" s="41"/>
      <c r="C767" s="41"/>
      <c r="D767" s="41"/>
      <c r="E767" s="41"/>
      <c r="F767" s="41"/>
      <c r="G767" s="41"/>
      <c r="H767" s="41"/>
    </row>
    <row r="768">
      <c r="A768" s="40"/>
      <c r="B768" s="41"/>
      <c r="C768" s="41"/>
      <c r="D768" s="41"/>
      <c r="E768" s="41"/>
      <c r="F768" s="41"/>
      <c r="G768" s="41"/>
      <c r="H768" s="41"/>
    </row>
    <row r="769">
      <c r="A769" s="40"/>
      <c r="B769" s="41"/>
      <c r="C769" s="41"/>
      <c r="D769" s="41"/>
      <c r="E769" s="41"/>
      <c r="F769" s="41"/>
      <c r="G769" s="41"/>
      <c r="H769" s="41"/>
    </row>
    <row r="770">
      <c r="A770" s="40"/>
      <c r="B770" s="41"/>
      <c r="C770" s="41"/>
      <c r="D770" s="41"/>
      <c r="E770" s="41"/>
      <c r="F770" s="41"/>
      <c r="G770" s="41"/>
      <c r="H770" s="41"/>
    </row>
    <row r="771">
      <c r="A771" s="40"/>
      <c r="B771" s="41"/>
      <c r="C771" s="41"/>
      <c r="D771" s="41"/>
      <c r="E771" s="41"/>
      <c r="F771" s="41"/>
      <c r="G771" s="41"/>
      <c r="H771" s="41"/>
    </row>
    <row r="772">
      <c r="A772" s="40"/>
      <c r="B772" s="41"/>
      <c r="C772" s="41"/>
      <c r="D772" s="41"/>
      <c r="E772" s="41"/>
      <c r="F772" s="41"/>
      <c r="G772" s="41"/>
      <c r="H772" s="41"/>
    </row>
    <row r="773">
      <c r="A773" s="40"/>
      <c r="B773" s="41"/>
      <c r="C773" s="41"/>
      <c r="D773" s="41"/>
      <c r="E773" s="41"/>
      <c r="F773" s="41"/>
      <c r="G773" s="41"/>
      <c r="H773" s="41"/>
    </row>
    <row r="774">
      <c r="A774" s="40"/>
      <c r="B774" s="41"/>
      <c r="C774" s="41"/>
      <c r="D774" s="41"/>
      <c r="E774" s="41"/>
      <c r="F774" s="41"/>
      <c r="G774" s="41"/>
      <c r="H774" s="41"/>
    </row>
    <row r="775">
      <c r="A775" s="40"/>
      <c r="B775" s="41"/>
      <c r="C775" s="41"/>
      <c r="D775" s="41"/>
      <c r="E775" s="41"/>
      <c r="F775" s="41"/>
      <c r="G775" s="41"/>
      <c r="H775" s="41"/>
    </row>
    <row r="776">
      <c r="A776" s="40"/>
      <c r="B776" s="41"/>
      <c r="C776" s="41"/>
      <c r="D776" s="41"/>
      <c r="E776" s="41"/>
      <c r="F776" s="41"/>
      <c r="G776" s="41"/>
      <c r="H776" s="41"/>
    </row>
    <row r="777">
      <c r="A777" s="40"/>
      <c r="B777" s="41"/>
      <c r="C777" s="41"/>
      <c r="D777" s="41"/>
      <c r="E777" s="41"/>
      <c r="F777" s="41"/>
      <c r="G777" s="41"/>
      <c r="H777" s="41"/>
    </row>
    <row r="778">
      <c r="A778" s="40"/>
      <c r="B778" s="41"/>
      <c r="C778" s="41"/>
      <c r="D778" s="41"/>
      <c r="E778" s="41"/>
      <c r="F778" s="41"/>
      <c r="G778" s="41"/>
      <c r="H778" s="41"/>
    </row>
    <row r="779">
      <c r="A779" s="40"/>
      <c r="B779" s="41"/>
      <c r="C779" s="41"/>
      <c r="D779" s="41"/>
      <c r="E779" s="41"/>
      <c r="F779" s="41"/>
      <c r="G779" s="41"/>
      <c r="H779" s="41"/>
    </row>
    <row r="780">
      <c r="A780" s="40"/>
      <c r="B780" s="41"/>
      <c r="C780" s="41"/>
      <c r="D780" s="41"/>
      <c r="E780" s="41"/>
      <c r="F780" s="41"/>
      <c r="G780" s="41"/>
      <c r="H780" s="41"/>
    </row>
    <row r="781">
      <c r="A781" s="40"/>
      <c r="B781" s="41"/>
      <c r="C781" s="41"/>
      <c r="D781" s="41"/>
      <c r="E781" s="41"/>
      <c r="F781" s="41"/>
      <c r="G781" s="41"/>
      <c r="H781" s="41"/>
    </row>
    <row r="782">
      <c r="A782" s="40"/>
      <c r="B782" s="41"/>
      <c r="C782" s="41"/>
      <c r="D782" s="41"/>
      <c r="E782" s="41"/>
      <c r="F782" s="41"/>
      <c r="G782" s="41"/>
      <c r="H782" s="41"/>
    </row>
    <row r="783">
      <c r="A783" s="40"/>
      <c r="B783" s="41"/>
      <c r="C783" s="41"/>
      <c r="D783" s="41"/>
      <c r="E783" s="41"/>
      <c r="F783" s="41"/>
      <c r="G783" s="41"/>
      <c r="H783" s="41"/>
    </row>
    <row r="784">
      <c r="A784" s="40"/>
      <c r="B784" s="41"/>
      <c r="C784" s="41"/>
      <c r="D784" s="41"/>
      <c r="E784" s="41"/>
      <c r="F784" s="41"/>
      <c r="G784" s="41"/>
      <c r="H784" s="41"/>
    </row>
    <row r="785">
      <c r="A785" s="40"/>
      <c r="B785" s="41"/>
      <c r="C785" s="41"/>
      <c r="D785" s="41"/>
      <c r="E785" s="41"/>
      <c r="F785" s="41"/>
      <c r="G785" s="41"/>
      <c r="H785" s="41"/>
    </row>
    <row r="786">
      <c r="A786" s="40"/>
      <c r="B786" s="41"/>
      <c r="C786" s="41"/>
      <c r="D786" s="41"/>
      <c r="E786" s="41"/>
      <c r="F786" s="41"/>
      <c r="G786" s="41"/>
      <c r="H786" s="41"/>
    </row>
    <row r="787">
      <c r="A787" s="40"/>
      <c r="B787" s="41"/>
      <c r="C787" s="41"/>
      <c r="D787" s="41"/>
      <c r="E787" s="41"/>
      <c r="F787" s="41"/>
      <c r="G787" s="41"/>
      <c r="H787" s="41"/>
    </row>
    <row r="788">
      <c r="A788" s="40"/>
      <c r="B788" s="41"/>
      <c r="C788" s="41"/>
      <c r="D788" s="41"/>
      <c r="E788" s="41"/>
      <c r="F788" s="41"/>
      <c r="G788" s="41"/>
      <c r="H788" s="41"/>
    </row>
    <row r="789">
      <c r="A789" s="40"/>
      <c r="B789" s="41"/>
      <c r="C789" s="41"/>
      <c r="D789" s="41"/>
      <c r="E789" s="41"/>
      <c r="F789" s="41"/>
      <c r="G789" s="41"/>
      <c r="H789" s="41"/>
    </row>
    <row r="790">
      <c r="A790" s="40"/>
      <c r="B790" s="41"/>
      <c r="C790" s="41"/>
      <c r="D790" s="41"/>
      <c r="E790" s="41"/>
      <c r="F790" s="41"/>
      <c r="G790" s="41"/>
      <c r="H790" s="41"/>
    </row>
    <row r="791">
      <c r="A791" s="40"/>
      <c r="B791" s="41"/>
      <c r="C791" s="41"/>
      <c r="D791" s="41"/>
      <c r="E791" s="41"/>
      <c r="F791" s="41"/>
      <c r="G791" s="41"/>
      <c r="H791" s="41"/>
    </row>
    <row r="792">
      <c r="A792" s="40"/>
      <c r="B792" s="41"/>
      <c r="C792" s="41"/>
      <c r="D792" s="41"/>
      <c r="E792" s="41"/>
      <c r="F792" s="41"/>
      <c r="G792" s="41"/>
      <c r="H792" s="41"/>
    </row>
    <row r="793">
      <c r="A793" s="40"/>
      <c r="B793" s="41"/>
      <c r="C793" s="41"/>
      <c r="D793" s="41"/>
      <c r="E793" s="41"/>
      <c r="F793" s="41"/>
      <c r="G793" s="41"/>
      <c r="H793" s="41"/>
    </row>
    <row r="794">
      <c r="A794" s="40"/>
      <c r="B794" s="41"/>
      <c r="C794" s="41"/>
      <c r="D794" s="41"/>
      <c r="E794" s="41"/>
      <c r="F794" s="41"/>
      <c r="G794" s="41"/>
      <c r="H794" s="41"/>
    </row>
    <row r="795">
      <c r="A795" s="40"/>
      <c r="B795" s="41"/>
      <c r="C795" s="41"/>
      <c r="D795" s="41"/>
      <c r="E795" s="41"/>
      <c r="F795" s="41"/>
      <c r="G795" s="41"/>
      <c r="H795" s="41"/>
    </row>
    <row r="796">
      <c r="A796" s="40"/>
      <c r="B796" s="41"/>
      <c r="C796" s="41"/>
      <c r="D796" s="41"/>
      <c r="E796" s="41"/>
      <c r="F796" s="41"/>
      <c r="G796" s="41"/>
      <c r="H796" s="41"/>
    </row>
    <row r="797">
      <c r="A797" s="40"/>
      <c r="B797" s="41"/>
      <c r="C797" s="41"/>
      <c r="D797" s="41"/>
      <c r="E797" s="41"/>
      <c r="F797" s="41"/>
      <c r="G797" s="41"/>
      <c r="H797" s="41"/>
    </row>
    <row r="798">
      <c r="A798" s="40"/>
      <c r="B798" s="41"/>
      <c r="C798" s="41"/>
      <c r="D798" s="41"/>
      <c r="E798" s="41"/>
      <c r="F798" s="41"/>
      <c r="G798" s="41"/>
      <c r="H798" s="41"/>
    </row>
    <row r="799">
      <c r="A799" s="40"/>
      <c r="B799" s="41"/>
      <c r="C799" s="41"/>
      <c r="D799" s="41"/>
      <c r="E799" s="41"/>
      <c r="F799" s="41"/>
      <c r="G799" s="41"/>
      <c r="H799" s="41"/>
    </row>
    <row r="800">
      <c r="A800" s="40"/>
      <c r="B800" s="41"/>
      <c r="C800" s="41"/>
      <c r="D800" s="41"/>
      <c r="E800" s="41"/>
      <c r="F800" s="41"/>
      <c r="G800" s="41"/>
      <c r="H800" s="41"/>
    </row>
    <row r="801">
      <c r="A801" s="40"/>
      <c r="B801" s="41"/>
      <c r="C801" s="41"/>
      <c r="D801" s="41"/>
      <c r="E801" s="41"/>
      <c r="F801" s="41"/>
      <c r="G801" s="41"/>
      <c r="H801" s="41"/>
    </row>
    <row r="802">
      <c r="A802" s="40"/>
      <c r="B802" s="41"/>
      <c r="C802" s="41"/>
      <c r="D802" s="41"/>
      <c r="E802" s="41"/>
      <c r="F802" s="41"/>
      <c r="G802" s="41"/>
      <c r="H802" s="41"/>
    </row>
    <row r="803">
      <c r="A803" s="40"/>
      <c r="B803" s="41"/>
      <c r="C803" s="41"/>
      <c r="D803" s="41"/>
      <c r="E803" s="41"/>
      <c r="F803" s="41"/>
      <c r="G803" s="41"/>
      <c r="H803" s="41"/>
    </row>
    <row r="804">
      <c r="A804" s="40"/>
      <c r="B804" s="41"/>
      <c r="C804" s="41"/>
      <c r="D804" s="41"/>
      <c r="E804" s="41"/>
      <c r="F804" s="41"/>
      <c r="G804" s="41"/>
      <c r="H804" s="41"/>
    </row>
    <row r="805">
      <c r="A805" s="40"/>
      <c r="B805" s="41"/>
      <c r="C805" s="41"/>
      <c r="D805" s="41"/>
      <c r="E805" s="41"/>
      <c r="F805" s="41"/>
      <c r="G805" s="41"/>
      <c r="H805" s="41"/>
    </row>
    <row r="806">
      <c r="A806" s="40"/>
      <c r="B806" s="41"/>
      <c r="C806" s="41"/>
      <c r="D806" s="41"/>
      <c r="E806" s="41"/>
      <c r="F806" s="41"/>
      <c r="G806" s="41"/>
      <c r="H806" s="41"/>
    </row>
    <row r="807">
      <c r="A807" s="40"/>
      <c r="B807" s="41"/>
      <c r="C807" s="41"/>
      <c r="D807" s="41"/>
      <c r="E807" s="41"/>
      <c r="F807" s="41"/>
      <c r="G807" s="41"/>
      <c r="H807" s="41"/>
    </row>
    <row r="808">
      <c r="A808" s="40"/>
      <c r="B808" s="41"/>
      <c r="C808" s="41"/>
      <c r="D808" s="41"/>
      <c r="E808" s="41"/>
      <c r="F808" s="41"/>
      <c r="G808" s="41"/>
      <c r="H808" s="41"/>
    </row>
    <row r="809">
      <c r="A809" s="40"/>
      <c r="B809" s="41"/>
      <c r="C809" s="41"/>
      <c r="D809" s="41"/>
      <c r="E809" s="41"/>
      <c r="F809" s="41"/>
      <c r="G809" s="41"/>
      <c r="H809" s="41"/>
    </row>
    <row r="810">
      <c r="A810" s="40"/>
      <c r="B810" s="41"/>
      <c r="C810" s="41"/>
      <c r="D810" s="41"/>
      <c r="E810" s="41"/>
      <c r="F810" s="41"/>
      <c r="G810" s="41"/>
      <c r="H810" s="41"/>
    </row>
    <row r="811">
      <c r="A811" s="40"/>
      <c r="B811" s="41"/>
      <c r="C811" s="41"/>
      <c r="D811" s="41"/>
      <c r="E811" s="41"/>
      <c r="F811" s="41"/>
      <c r="G811" s="41"/>
      <c r="H811" s="41"/>
    </row>
    <row r="812">
      <c r="A812" s="40"/>
      <c r="B812" s="41"/>
      <c r="C812" s="41"/>
      <c r="D812" s="41"/>
      <c r="E812" s="41"/>
      <c r="F812" s="41"/>
      <c r="G812" s="41"/>
      <c r="H812" s="41"/>
    </row>
    <row r="813">
      <c r="A813" s="40"/>
      <c r="B813" s="41"/>
      <c r="C813" s="41"/>
      <c r="D813" s="41"/>
      <c r="E813" s="41"/>
      <c r="F813" s="41"/>
      <c r="G813" s="41"/>
      <c r="H813" s="41"/>
    </row>
    <row r="814">
      <c r="A814" s="40"/>
      <c r="B814" s="41"/>
      <c r="C814" s="41"/>
      <c r="D814" s="41"/>
      <c r="E814" s="41"/>
      <c r="F814" s="41"/>
      <c r="G814" s="41"/>
      <c r="H814" s="41"/>
    </row>
    <row r="815">
      <c r="A815" s="40"/>
      <c r="B815" s="41"/>
      <c r="C815" s="41"/>
      <c r="D815" s="41"/>
      <c r="E815" s="41"/>
      <c r="F815" s="41"/>
      <c r="G815" s="41"/>
      <c r="H815" s="41"/>
    </row>
    <row r="816">
      <c r="A816" s="40"/>
      <c r="B816" s="41"/>
      <c r="C816" s="41"/>
      <c r="D816" s="41"/>
      <c r="E816" s="41"/>
      <c r="F816" s="41"/>
      <c r="G816" s="41"/>
      <c r="H816" s="41"/>
    </row>
    <row r="817">
      <c r="A817" s="40"/>
      <c r="B817" s="41"/>
      <c r="C817" s="41"/>
      <c r="D817" s="41"/>
      <c r="E817" s="41"/>
      <c r="F817" s="41"/>
      <c r="G817" s="41"/>
      <c r="H817" s="41"/>
    </row>
    <row r="818">
      <c r="A818" s="40"/>
      <c r="B818" s="41"/>
      <c r="C818" s="41"/>
      <c r="D818" s="41"/>
      <c r="E818" s="41"/>
      <c r="F818" s="41"/>
      <c r="G818" s="41"/>
      <c r="H818" s="41"/>
    </row>
    <row r="819">
      <c r="A819" s="40"/>
      <c r="B819" s="41"/>
      <c r="C819" s="41"/>
      <c r="D819" s="41"/>
      <c r="E819" s="41"/>
      <c r="F819" s="41"/>
      <c r="G819" s="41"/>
      <c r="H819" s="41"/>
    </row>
    <row r="820">
      <c r="A820" s="40"/>
      <c r="B820" s="41"/>
      <c r="C820" s="41"/>
      <c r="D820" s="41"/>
      <c r="E820" s="41"/>
      <c r="F820" s="41"/>
      <c r="G820" s="41"/>
      <c r="H820" s="41"/>
    </row>
    <row r="821">
      <c r="A821" s="40"/>
      <c r="B821" s="41"/>
      <c r="C821" s="41"/>
      <c r="D821" s="41"/>
      <c r="E821" s="41"/>
      <c r="F821" s="41"/>
      <c r="G821" s="41"/>
      <c r="H821" s="41"/>
    </row>
    <row r="822">
      <c r="A822" s="40"/>
      <c r="B822" s="41"/>
      <c r="C822" s="41"/>
      <c r="D822" s="41"/>
      <c r="E822" s="41"/>
      <c r="F822" s="41"/>
      <c r="G822" s="41"/>
      <c r="H822" s="41"/>
    </row>
    <row r="823">
      <c r="A823" s="40"/>
      <c r="B823" s="41"/>
      <c r="C823" s="41"/>
      <c r="D823" s="41"/>
      <c r="E823" s="41"/>
      <c r="F823" s="41"/>
      <c r="G823" s="41"/>
      <c r="H823" s="41"/>
    </row>
    <row r="824">
      <c r="A824" s="40"/>
      <c r="B824" s="41"/>
      <c r="C824" s="41"/>
      <c r="D824" s="41"/>
      <c r="E824" s="41"/>
      <c r="F824" s="41"/>
      <c r="G824" s="41"/>
      <c r="H824" s="41"/>
    </row>
    <row r="825">
      <c r="A825" s="40"/>
      <c r="B825" s="41"/>
      <c r="C825" s="41"/>
      <c r="D825" s="41"/>
      <c r="E825" s="41"/>
      <c r="F825" s="41"/>
      <c r="G825" s="41"/>
      <c r="H825" s="41"/>
    </row>
    <row r="826">
      <c r="A826" s="40"/>
      <c r="B826" s="41"/>
      <c r="C826" s="41"/>
      <c r="D826" s="41"/>
      <c r="E826" s="41"/>
      <c r="F826" s="41"/>
      <c r="G826" s="41"/>
      <c r="H826" s="41"/>
    </row>
    <row r="827">
      <c r="A827" s="40"/>
      <c r="B827" s="41"/>
      <c r="C827" s="41"/>
      <c r="D827" s="41"/>
      <c r="E827" s="41"/>
      <c r="F827" s="41"/>
      <c r="G827" s="41"/>
      <c r="H827" s="41"/>
    </row>
    <row r="828">
      <c r="A828" s="40"/>
      <c r="B828" s="41"/>
      <c r="C828" s="41"/>
      <c r="D828" s="41"/>
      <c r="E828" s="41"/>
      <c r="F828" s="41"/>
      <c r="G828" s="41"/>
      <c r="H828" s="41"/>
    </row>
    <row r="829">
      <c r="A829" s="40"/>
      <c r="B829" s="41"/>
      <c r="C829" s="41"/>
      <c r="D829" s="41"/>
      <c r="E829" s="41"/>
      <c r="F829" s="41"/>
      <c r="G829" s="41"/>
      <c r="H829" s="41"/>
    </row>
    <row r="830">
      <c r="A830" s="40"/>
      <c r="B830" s="41"/>
      <c r="C830" s="41"/>
      <c r="D830" s="41"/>
      <c r="E830" s="41"/>
      <c r="F830" s="41"/>
      <c r="G830" s="41"/>
      <c r="H830" s="41"/>
    </row>
    <row r="831">
      <c r="A831" s="40"/>
      <c r="B831" s="41"/>
      <c r="C831" s="41"/>
      <c r="D831" s="41"/>
      <c r="E831" s="41"/>
      <c r="F831" s="41"/>
      <c r="G831" s="41"/>
      <c r="H831" s="41"/>
    </row>
    <row r="832">
      <c r="A832" s="40"/>
      <c r="B832" s="41"/>
      <c r="C832" s="41"/>
      <c r="D832" s="41"/>
      <c r="E832" s="41"/>
      <c r="F832" s="41"/>
      <c r="G832" s="41"/>
      <c r="H832" s="41"/>
    </row>
    <row r="833">
      <c r="A833" s="40"/>
      <c r="B833" s="41"/>
      <c r="C833" s="41"/>
      <c r="D833" s="41"/>
      <c r="E833" s="41"/>
      <c r="F833" s="41"/>
      <c r="G833" s="41"/>
      <c r="H833" s="41"/>
    </row>
    <row r="834">
      <c r="A834" s="40"/>
      <c r="B834" s="41"/>
      <c r="C834" s="41"/>
      <c r="D834" s="41"/>
      <c r="E834" s="41"/>
      <c r="F834" s="41"/>
      <c r="G834" s="41"/>
      <c r="H834" s="41"/>
    </row>
    <row r="835">
      <c r="A835" s="40"/>
      <c r="B835" s="41"/>
      <c r="C835" s="41"/>
      <c r="D835" s="41"/>
      <c r="E835" s="41"/>
      <c r="F835" s="41"/>
      <c r="G835" s="41"/>
      <c r="H835" s="41"/>
    </row>
    <row r="836">
      <c r="A836" s="40"/>
      <c r="B836" s="41"/>
      <c r="C836" s="41"/>
      <c r="D836" s="41"/>
      <c r="E836" s="41"/>
      <c r="F836" s="41"/>
      <c r="G836" s="41"/>
      <c r="H836" s="41"/>
    </row>
    <row r="837">
      <c r="A837" s="40"/>
      <c r="B837" s="41"/>
      <c r="C837" s="41"/>
      <c r="D837" s="41"/>
      <c r="E837" s="41"/>
      <c r="F837" s="41"/>
      <c r="G837" s="41"/>
      <c r="H837" s="41"/>
    </row>
    <row r="838">
      <c r="A838" s="40"/>
      <c r="B838" s="41"/>
      <c r="C838" s="41"/>
      <c r="D838" s="41"/>
      <c r="E838" s="41"/>
      <c r="F838" s="41"/>
      <c r="G838" s="41"/>
      <c r="H838" s="41"/>
    </row>
    <row r="839">
      <c r="A839" s="40"/>
      <c r="B839" s="41"/>
      <c r="C839" s="41"/>
      <c r="D839" s="41"/>
      <c r="E839" s="41"/>
      <c r="F839" s="41"/>
      <c r="G839" s="41"/>
      <c r="H839" s="41"/>
    </row>
    <row r="840">
      <c r="A840" s="40"/>
      <c r="B840" s="41"/>
      <c r="C840" s="41"/>
      <c r="D840" s="41"/>
      <c r="E840" s="41"/>
      <c r="F840" s="41"/>
      <c r="G840" s="41"/>
      <c r="H840" s="41"/>
    </row>
    <row r="841">
      <c r="A841" s="40"/>
      <c r="B841" s="41"/>
      <c r="C841" s="41"/>
      <c r="D841" s="41"/>
      <c r="E841" s="41"/>
      <c r="F841" s="41"/>
      <c r="G841" s="41"/>
      <c r="H841" s="41"/>
    </row>
    <row r="842">
      <c r="A842" s="40"/>
      <c r="B842" s="41"/>
      <c r="C842" s="41"/>
      <c r="D842" s="41"/>
      <c r="E842" s="41"/>
      <c r="F842" s="41"/>
      <c r="G842" s="41"/>
      <c r="H842" s="41"/>
    </row>
    <row r="843">
      <c r="A843" s="40"/>
      <c r="B843" s="41"/>
      <c r="C843" s="41"/>
      <c r="D843" s="41"/>
      <c r="E843" s="41"/>
      <c r="F843" s="41"/>
      <c r="G843" s="41"/>
      <c r="H843" s="41"/>
    </row>
    <row r="844">
      <c r="A844" s="40"/>
      <c r="B844" s="41"/>
      <c r="C844" s="41"/>
      <c r="D844" s="41"/>
      <c r="E844" s="41"/>
      <c r="F844" s="41"/>
      <c r="G844" s="41"/>
      <c r="H844" s="41"/>
    </row>
    <row r="845">
      <c r="A845" s="40"/>
      <c r="B845" s="41"/>
      <c r="C845" s="41"/>
      <c r="D845" s="41"/>
      <c r="E845" s="41"/>
      <c r="F845" s="41"/>
      <c r="G845" s="41"/>
      <c r="H845" s="41"/>
    </row>
    <row r="846">
      <c r="A846" s="40"/>
      <c r="B846" s="41"/>
      <c r="C846" s="41"/>
      <c r="D846" s="41"/>
      <c r="E846" s="41"/>
      <c r="F846" s="41"/>
      <c r="G846" s="41"/>
      <c r="H846" s="41"/>
    </row>
    <row r="847">
      <c r="A847" s="40"/>
      <c r="B847" s="41"/>
      <c r="C847" s="41"/>
      <c r="D847" s="41"/>
      <c r="E847" s="41"/>
      <c r="F847" s="41"/>
      <c r="G847" s="41"/>
      <c r="H847" s="41"/>
    </row>
    <row r="848">
      <c r="A848" s="40"/>
      <c r="B848" s="41"/>
      <c r="C848" s="41"/>
      <c r="D848" s="41"/>
      <c r="E848" s="41"/>
      <c r="F848" s="41"/>
      <c r="G848" s="41"/>
      <c r="H848" s="41"/>
    </row>
    <row r="849">
      <c r="A849" s="40"/>
      <c r="B849" s="41"/>
      <c r="C849" s="41"/>
      <c r="D849" s="41"/>
      <c r="E849" s="41"/>
      <c r="F849" s="41"/>
      <c r="G849" s="41"/>
      <c r="H849" s="41"/>
    </row>
    <row r="850">
      <c r="A850" s="40"/>
      <c r="B850" s="41"/>
      <c r="C850" s="41"/>
      <c r="D850" s="41"/>
      <c r="E850" s="41"/>
      <c r="F850" s="41"/>
      <c r="G850" s="41"/>
      <c r="H850" s="41"/>
    </row>
    <row r="851">
      <c r="A851" s="40"/>
      <c r="B851" s="41"/>
      <c r="C851" s="41"/>
      <c r="D851" s="41"/>
      <c r="E851" s="41"/>
      <c r="F851" s="41"/>
      <c r="G851" s="41"/>
      <c r="H851" s="41"/>
    </row>
    <row r="852">
      <c r="A852" s="40"/>
      <c r="B852" s="41"/>
      <c r="C852" s="41"/>
      <c r="D852" s="41"/>
      <c r="E852" s="41"/>
      <c r="F852" s="41"/>
      <c r="G852" s="41"/>
      <c r="H852" s="41"/>
    </row>
    <row r="853">
      <c r="A853" s="40"/>
      <c r="B853" s="41"/>
      <c r="C853" s="41"/>
      <c r="D853" s="41"/>
      <c r="E853" s="41"/>
      <c r="F853" s="41"/>
      <c r="G853" s="41"/>
      <c r="H853" s="41"/>
    </row>
    <row r="854">
      <c r="A854" s="40"/>
      <c r="B854" s="41"/>
      <c r="C854" s="41"/>
      <c r="D854" s="41"/>
      <c r="E854" s="41"/>
      <c r="F854" s="41"/>
      <c r="G854" s="41"/>
      <c r="H854" s="41"/>
    </row>
    <row r="855">
      <c r="A855" s="40"/>
      <c r="B855" s="41"/>
      <c r="C855" s="41"/>
      <c r="D855" s="41"/>
      <c r="E855" s="41"/>
      <c r="F855" s="41"/>
      <c r="G855" s="41"/>
      <c r="H855" s="41"/>
    </row>
    <row r="856">
      <c r="A856" s="40"/>
      <c r="B856" s="41"/>
      <c r="C856" s="41"/>
      <c r="D856" s="41"/>
      <c r="E856" s="41"/>
      <c r="F856" s="41"/>
      <c r="G856" s="41"/>
      <c r="H856" s="41"/>
    </row>
    <row r="857">
      <c r="A857" s="40"/>
      <c r="B857" s="41"/>
      <c r="C857" s="41"/>
      <c r="D857" s="41"/>
      <c r="E857" s="41"/>
      <c r="F857" s="41"/>
      <c r="G857" s="41"/>
      <c r="H857" s="41"/>
    </row>
    <row r="858">
      <c r="A858" s="40"/>
      <c r="B858" s="41"/>
      <c r="C858" s="41"/>
      <c r="D858" s="41"/>
      <c r="E858" s="41"/>
      <c r="F858" s="41"/>
      <c r="G858" s="41"/>
      <c r="H858" s="41"/>
    </row>
    <row r="859">
      <c r="A859" s="40"/>
      <c r="B859" s="41"/>
      <c r="C859" s="41"/>
      <c r="D859" s="41"/>
      <c r="E859" s="41"/>
      <c r="F859" s="41"/>
      <c r="G859" s="41"/>
      <c r="H859" s="41"/>
    </row>
    <row r="860">
      <c r="A860" s="40"/>
      <c r="B860" s="41"/>
      <c r="C860" s="41"/>
      <c r="D860" s="41"/>
      <c r="E860" s="41"/>
      <c r="F860" s="41"/>
      <c r="G860" s="41"/>
      <c r="H860" s="41"/>
    </row>
    <row r="861">
      <c r="A861" s="40"/>
      <c r="B861" s="41"/>
      <c r="C861" s="41"/>
      <c r="D861" s="41"/>
      <c r="E861" s="41"/>
      <c r="F861" s="41"/>
      <c r="G861" s="41"/>
      <c r="H861" s="41"/>
    </row>
    <row r="862">
      <c r="A862" s="40"/>
      <c r="B862" s="41"/>
      <c r="C862" s="41"/>
      <c r="D862" s="41"/>
      <c r="E862" s="41"/>
      <c r="F862" s="41"/>
      <c r="G862" s="41"/>
      <c r="H862" s="41"/>
    </row>
    <row r="863">
      <c r="A863" s="40"/>
      <c r="B863" s="41"/>
      <c r="C863" s="41"/>
      <c r="D863" s="41"/>
      <c r="E863" s="41"/>
      <c r="F863" s="41"/>
      <c r="G863" s="41"/>
      <c r="H863" s="41"/>
    </row>
    <row r="864">
      <c r="A864" s="40"/>
      <c r="B864" s="41"/>
      <c r="C864" s="41"/>
      <c r="D864" s="41"/>
      <c r="E864" s="41"/>
      <c r="F864" s="41"/>
      <c r="G864" s="41"/>
      <c r="H864" s="41"/>
    </row>
    <row r="865">
      <c r="A865" s="40"/>
      <c r="B865" s="41"/>
      <c r="C865" s="41"/>
      <c r="D865" s="41"/>
      <c r="E865" s="41"/>
      <c r="F865" s="41"/>
      <c r="G865" s="41"/>
      <c r="H865" s="41"/>
    </row>
    <row r="866">
      <c r="A866" s="40"/>
      <c r="B866" s="41"/>
      <c r="C866" s="41"/>
      <c r="D866" s="41"/>
      <c r="E866" s="41"/>
      <c r="F866" s="41"/>
      <c r="G866" s="41"/>
      <c r="H866" s="41"/>
    </row>
    <row r="867">
      <c r="A867" s="40"/>
      <c r="B867" s="41"/>
      <c r="C867" s="41"/>
      <c r="D867" s="41"/>
      <c r="E867" s="41"/>
      <c r="F867" s="41"/>
      <c r="G867" s="41"/>
      <c r="H867" s="41"/>
    </row>
    <row r="868">
      <c r="A868" s="40"/>
      <c r="B868" s="41"/>
      <c r="C868" s="41"/>
      <c r="D868" s="41"/>
      <c r="E868" s="41"/>
      <c r="F868" s="41"/>
      <c r="G868" s="41"/>
      <c r="H868" s="41"/>
    </row>
    <row r="869">
      <c r="A869" s="40"/>
      <c r="B869" s="41"/>
      <c r="C869" s="41"/>
      <c r="D869" s="41"/>
      <c r="E869" s="41"/>
      <c r="F869" s="41"/>
      <c r="G869" s="41"/>
      <c r="H869" s="41"/>
    </row>
    <row r="870">
      <c r="A870" s="40"/>
      <c r="B870" s="41"/>
      <c r="C870" s="41"/>
      <c r="D870" s="41"/>
      <c r="E870" s="41"/>
      <c r="F870" s="41"/>
      <c r="G870" s="41"/>
      <c r="H870" s="41"/>
    </row>
    <row r="871">
      <c r="A871" s="40"/>
      <c r="B871" s="41"/>
      <c r="C871" s="41"/>
      <c r="D871" s="41"/>
      <c r="E871" s="41"/>
      <c r="F871" s="41"/>
      <c r="G871" s="41"/>
      <c r="H871" s="41"/>
    </row>
    <row r="872">
      <c r="A872" s="40"/>
      <c r="B872" s="41"/>
      <c r="C872" s="41"/>
      <c r="D872" s="41"/>
      <c r="E872" s="41"/>
      <c r="F872" s="41"/>
      <c r="G872" s="41"/>
      <c r="H872" s="41"/>
    </row>
    <row r="873">
      <c r="A873" s="40"/>
      <c r="B873" s="41"/>
      <c r="C873" s="41"/>
      <c r="D873" s="41"/>
      <c r="E873" s="41"/>
      <c r="F873" s="41"/>
      <c r="G873" s="41"/>
      <c r="H873" s="41"/>
    </row>
    <row r="874">
      <c r="A874" s="40"/>
      <c r="B874" s="41"/>
      <c r="C874" s="41"/>
      <c r="D874" s="41"/>
      <c r="E874" s="41"/>
      <c r="F874" s="41"/>
      <c r="G874" s="41"/>
      <c r="H874" s="41"/>
    </row>
    <row r="875">
      <c r="A875" s="40"/>
      <c r="B875" s="41"/>
      <c r="C875" s="41"/>
      <c r="D875" s="41"/>
      <c r="E875" s="41"/>
      <c r="F875" s="41"/>
      <c r="G875" s="41"/>
      <c r="H875" s="41"/>
    </row>
    <row r="876">
      <c r="A876" s="40"/>
      <c r="B876" s="41"/>
      <c r="C876" s="41"/>
      <c r="D876" s="41"/>
      <c r="E876" s="41"/>
      <c r="F876" s="41"/>
      <c r="G876" s="41"/>
      <c r="H876" s="41"/>
    </row>
    <row r="877">
      <c r="A877" s="40"/>
      <c r="B877" s="41"/>
      <c r="C877" s="41"/>
      <c r="D877" s="41"/>
      <c r="E877" s="41"/>
      <c r="F877" s="41"/>
      <c r="G877" s="41"/>
      <c r="H877" s="41"/>
    </row>
    <row r="878">
      <c r="A878" s="40"/>
      <c r="B878" s="41"/>
      <c r="C878" s="41"/>
      <c r="D878" s="41"/>
      <c r="E878" s="41"/>
      <c r="F878" s="41"/>
      <c r="G878" s="41"/>
      <c r="H878" s="41"/>
    </row>
    <row r="879">
      <c r="A879" s="40"/>
      <c r="B879" s="41"/>
      <c r="C879" s="41"/>
      <c r="D879" s="41"/>
      <c r="E879" s="41"/>
      <c r="F879" s="41"/>
      <c r="G879" s="41"/>
      <c r="H879" s="41"/>
    </row>
    <row r="880">
      <c r="A880" s="40"/>
      <c r="B880" s="41"/>
      <c r="C880" s="41"/>
      <c r="D880" s="41"/>
      <c r="E880" s="41"/>
      <c r="F880" s="41"/>
      <c r="G880" s="41"/>
      <c r="H880" s="41"/>
    </row>
    <row r="881">
      <c r="A881" s="40"/>
      <c r="B881" s="41"/>
      <c r="C881" s="41"/>
      <c r="D881" s="41"/>
      <c r="E881" s="41"/>
      <c r="F881" s="41"/>
      <c r="G881" s="41"/>
      <c r="H881" s="41"/>
    </row>
    <row r="882">
      <c r="A882" s="40"/>
      <c r="B882" s="41"/>
      <c r="C882" s="41"/>
      <c r="D882" s="41"/>
      <c r="E882" s="41"/>
      <c r="F882" s="41"/>
      <c r="G882" s="41"/>
      <c r="H882" s="41"/>
    </row>
    <row r="883">
      <c r="A883" s="40"/>
      <c r="B883" s="41"/>
      <c r="C883" s="41"/>
      <c r="D883" s="41"/>
      <c r="E883" s="41"/>
      <c r="F883" s="41"/>
      <c r="G883" s="41"/>
      <c r="H883" s="41"/>
    </row>
    <row r="884">
      <c r="A884" s="40"/>
      <c r="B884" s="41"/>
      <c r="C884" s="41"/>
      <c r="D884" s="41"/>
      <c r="E884" s="41"/>
      <c r="F884" s="41"/>
      <c r="G884" s="41"/>
      <c r="H884" s="41"/>
    </row>
    <row r="885">
      <c r="A885" s="40"/>
      <c r="B885" s="41"/>
      <c r="C885" s="41"/>
      <c r="D885" s="41"/>
      <c r="E885" s="41"/>
      <c r="F885" s="41"/>
      <c r="G885" s="41"/>
      <c r="H885" s="41"/>
    </row>
    <row r="886">
      <c r="A886" s="40"/>
      <c r="B886" s="41"/>
      <c r="C886" s="41"/>
      <c r="D886" s="41"/>
      <c r="E886" s="41"/>
      <c r="F886" s="41"/>
      <c r="G886" s="41"/>
      <c r="H886" s="41"/>
    </row>
    <row r="887">
      <c r="A887" s="40"/>
      <c r="B887" s="41"/>
      <c r="C887" s="41"/>
      <c r="D887" s="41"/>
      <c r="E887" s="41"/>
      <c r="F887" s="41"/>
      <c r="G887" s="41"/>
      <c r="H887" s="41"/>
    </row>
    <row r="888">
      <c r="A888" s="40"/>
      <c r="B888" s="41"/>
      <c r="C888" s="41"/>
      <c r="D888" s="41"/>
      <c r="E888" s="41"/>
      <c r="F888" s="41"/>
      <c r="G888" s="41"/>
      <c r="H888" s="41"/>
    </row>
    <row r="889">
      <c r="A889" s="40"/>
      <c r="B889" s="41"/>
      <c r="C889" s="41"/>
      <c r="D889" s="41"/>
      <c r="E889" s="41"/>
      <c r="F889" s="41"/>
      <c r="G889" s="41"/>
      <c r="H889" s="41"/>
    </row>
    <row r="890">
      <c r="A890" s="40"/>
      <c r="B890" s="41"/>
      <c r="C890" s="41"/>
      <c r="D890" s="41"/>
      <c r="E890" s="41"/>
      <c r="F890" s="41"/>
      <c r="G890" s="41"/>
      <c r="H890" s="41"/>
    </row>
    <row r="891">
      <c r="A891" s="40"/>
      <c r="B891" s="41"/>
      <c r="C891" s="41"/>
      <c r="D891" s="41"/>
      <c r="E891" s="41"/>
      <c r="F891" s="41"/>
      <c r="G891" s="41"/>
      <c r="H891" s="41"/>
    </row>
    <row r="892">
      <c r="A892" s="40"/>
      <c r="B892" s="41"/>
      <c r="C892" s="41"/>
      <c r="D892" s="41"/>
      <c r="E892" s="41"/>
      <c r="F892" s="41"/>
      <c r="G892" s="41"/>
      <c r="H892" s="41"/>
    </row>
    <row r="893">
      <c r="A893" s="40"/>
      <c r="B893" s="41"/>
      <c r="C893" s="41"/>
      <c r="D893" s="41"/>
      <c r="E893" s="41"/>
      <c r="F893" s="41"/>
      <c r="G893" s="41"/>
      <c r="H893" s="41"/>
    </row>
    <row r="894">
      <c r="A894" s="40"/>
      <c r="B894" s="41"/>
      <c r="C894" s="41"/>
      <c r="D894" s="41"/>
      <c r="E894" s="41"/>
      <c r="F894" s="41"/>
      <c r="G894" s="41"/>
      <c r="H894" s="41"/>
    </row>
    <row r="895">
      <c r="A895" s="40"/>
      <c r="B895" s="41"/>
      <c r="C895" s="41"/>
      <c r="D895" s="41"/>
      <c r="E895" s="41"/>
      <c r="F895" s="41"/>
      <c r="G895" s="41"/>
      <c r="H895" s="41"/>
    </row>
    <row r="896">
      <c r="A896" s="40"/>
      <c r="B896" s="41"/>
      <c r="C896" s="41"/>
      <c r="D896" s="41"/>
      <c r="E896" s="41"/>
      <c r="F896" s="41"/>
      <c r="G896" s="41"/>
      <c r="H896" s="41"/>
    </row>
    <row r="897">
      <c r="A897" s="40"/>
      <c r="B897" s="41"/>
      <c r="C897" s="41"/>
      <c r="D897" s="41"/>
      <c r="E897" s="41"/>
      <c r="F897" s="41"/>
      <c r="G897" s="41"/>
      <c r="H897" s="41"/>
    </row>
    <row r="898">
      <c r="A898" s="40"/>
      <c r="B898" s="41"/>
      <c r="C898" s="41"/>
      <c r="D898" s="41"/>
      <c r="E898" s="41"/>
      <c r="F898" s="41"/>
      <c r="G898" s="41"/>
      <c r="H898" s="41"/>
    </row>
    <row r="899">
      <c r="A899" s="40"/>
      <c r="B899" s="41"/>
      <c r="C899" s="41"/>
      <c r="D899" s="41"/>
      <c r="E899" s="41"/>
      <c r="F899" s="41"/>
      <c r="G899" s="41"/>
      <c r="H899" s="41"/>
    </row>
    <row r="900">
      <c r="A900" s="40"/>
      <c r="B900" s="41"/>
      <c r="C900" s="41"/>
      <c r="D900" s="41"/>
      <c r="E900" s="41"/>
      <c r="F900" s="41"/>
      <c r="G900" s="41"/>
      <c r="H900" s="41"/>
    </row>
    <row r="901">
      <c r="A901" s="40"/>
      <c r="B901" s="41"/>
      <c r="C901" s="41"/>
      <c r="D901" s="41"/>
      <c r="E901" s="41"/>
      <c r="F901" s="41"/>
      <c r="G901" s="41"/>
      <c r="H901" s="41"/>
    </row>
    <row r="902">
      <c r="A902" s="40"/>
      <c r="B902" s="41"/>
      <c r="C902" s="41"/>
      <c r="D902" s="41"/>
      <c r="E902" s="41"/>
      <c r="F902" s="41"/>
      <c r="G902" s="41"/>
      <c r="H902" s="41"/>
    </row>
    <row r="903">
      <c r="A903" s="40"/>
      <c r="B903" s="41"/>
      <c r="C903" s="41"/>
      <c r="D903" s="41"/>
      <c r="E903" s="41"/>
      <c r="F903" s="41"/>
      <c r="G903" s="41"/>
      <c r="H903" s="41"/>
    </row>
    <row r="904">
      <c r="A904" s="40"/>
      <c r="B904" s="41"/>
      <c r="C904" s="41"/>
      <c r="D904" s="41"/>
      <c r="E904" s="41"/>
      <c r="F904" s="41"/>
      <c r="G904" s="41"/>
      <c r="H904" s="41"/>
    </row>
    <row r="905">
      <c r="A905" s="40"/>
      <c r="B905" s="41"/>
      <c r="C905" s="41"/>
      <c r="D905" s="41"/>
      <c r="E905" s="41"/>
      <c r="F905" s="41"/>
      <c r="G905" s="41"/>
      <c r="H905" s="41"/>
    </row>
    <row r="906">
      <c r="A906" s="40"/>
      <c r="B906" s="41"/>
      <c r="C906" s="41"/>
      <c r="D906" s="41"/>
      <c r="E906" s="41"/>
      <c r="F906" s="41"/>
      <c r="G906" s="41"/>
      <c r="H906" s="41"/>
    </row>
    <row r="907">
      <c r="A907" s="40"/>
      <c r="B907" s="41"/>
      <c r="C907" s="41"/>
      <c r="D907" s="41"/>
      <c r="E907" s="41"/>
      <c r="F907" s="41"/>
      <c r="G907" s="41"/>
      <c r="H907" s="41"/>
    </row>
    <row r="908">
      <c r="A908" s="40"/>
      <c r="B908" s="41"/>
      <c r="C908" s="41"/>
      <c r="D908" s="41"/>
      <c r="E908" s="41"/>
      <c r="F908" s="41"/>
      <c r="G908" s="41"/>
      <c r="H908" s="41"/>
    </row>
    <row r="909">
      <c r="A909" s="40"/>
      <c r="B909" s="41"/>
      <c r="C909" s="41"/>
      <c r="D909" s="41"/>
      <c r="E909" s="41"/>
      <c r="F909" s="41"/>
      <c r="G909" s="41"/>
      <c r="H909" s="41"/>
    </row>
    <row r="910">
      <c r="A910" s="40"/>
      <c r="B910" s="41"/>
      <c r="C910" s="41"/>
      <c r="D910" s="41"/>
      <c r="E910" s="41"/>
      <c r="F910" s="41"/>
      <c r="G910" s="41"/>
      <c r="H910" s="41"/>
    </row>
    <row r="911">
      <c r="A911" s="40"/>
      <c r="B911" s="41"/>
      <c r="C911" s="41"/>
      <c r="D911" s="41"/>
      <c r="E911" s="41"/>
      <c r="F911" s="41"/>
      <c r="G911" s="41"/>
      <c r="H911" s="41"/>
    </row>
    <row r="912">
      <c r="A912" s="40"/>
      <c r="B912" s="41"/>
      <c r="C912" s="41"/>
      <c r="D912" s="41"/>
      <c r="E912" s="41"/>
      <c r="F912" s="41"/>
      <c r="G912" s="41"/>
      <c r="H912" s="41"/>
    </row>
    <row r="913">
      <c r="A913" s="40"/>
      <c r="B913" s="41"/>
      <c r="C913" s="41"/>
      <c r="D913" s="41"/>
      <c r="E913" s="41"/>
      <c r="F913" s="41"/>
      <c r="G913" s="41"/>
      <c r="H913" s="41"/>
    </row>
    <row r="914">
      <c r="A914" s="40"/>
      <c r="B914" s="41"/>
      <c r="C914" s="41"/>
      <c r="D914" s="41"/>
      <c r="E914" s="41"/>
      <c r="F914" s="41"/>
      <c r="G914" s="41"/>
      <c r="H914" s="41"/>
    </row>
    <row r="915">
      <c r="A915" s="40"/>
      <c r="B915" s="41"/>
      <c r="C915" s="41"/>
      <c r="D915" s="41"/>
      <c r="E915" s="41"/>
      <c r="F915" s="41"/>
      <c r="G915" s="41"/>
      <c r="H915" s="41"/>
    </row>
    <row r="916">
      <c r="A916" s="40"/>
      <c r="B916" s="41"/>
      <c r="C916" s="41"/>
      <c r="D916" s="41"/>
      <c r="E916" s="41"/>
      <c r="F916" s="41"/>
      <c r="G916" s="41"/>
      <c r="H916" s="41"/>
    </row>
    <row r="917">
      <c r="A917" s="40"/>
      <c r="B917" s="41"/>
      <c r="C917" s="41"/>
      <c r="D917" s="41"/>
      <c r="E917" s="41"/>
      <c r="F917" s="41"/>
      <c r="G917" s="41"/>
      <c r="H917" s="41"/>
    </row>
    <row r="918">
      <c r="A918" s="40"/>
      <c r="B918" s="41"/>
      <c r="C918" s="41"/>
      <c r="D918" s="41"/>
      <c r="E918" s="41"/>
      <c r="F918" s="41"/>
      <c r="G918" s="41"/>
      <c r="H918" s="41"/>
    </row>
    <row r="919">
      <c r="A919" s="40"/>
      <c r="B919" s="41"/>
      <c r="C919" s="41"/>
      <c r="D919" s="41"/>
      <c r="E919" s="41"/>
      <c r="F919" s="41"/>
      <c r="G919" s="41"/>
      <c r="H919" s="41"/>
    </row>
    <row r="920">
      <c r="A920" s="40"/>
      <c r="B920" s="41"/>
      <c r="C920" s="41"/>
      <c r="D920" s="41"/>
      <c r="E920" s="41"/>
      <c r="F920" s="41"/>
      <c r="G920" s="41"/>
      <c r="H920" s="41"/>
    </row>
    <row r="921">
      <c r="A921" s="40"/>
      <c r="B921" s="41"/>
      <c r="C921" s="41"/>
      <c r="D921" s="41"/>
      <c r="E921" s="41"/>
      <c r="F921" s="41"/>
      <c r="G921" s="41"/>
      <c r="H921" s="41"/>
    </row>
    <row r="922">
      <c r="A922" s="40"/>
      <c r="B922" s="41"/>
      <c r="C922" s="41"/>
      <c r="D922" s="41"/>
      <c r="E922" s="41"/>
      <c r="F922" s="41"/>
      <c r="G922" s="41"/>
      <c r="H922" s="41"/>
    </row>
    <row r="923">
      <c r="A923" s="40"/>
      <c r="B923" s="41"/>
      <c r="C923" s="41"/>
      <c r="D923" s="41"/>
      <c r="E923" s="41"/>
      <c r="F923" s="41"/>
      <c r="G923" s="41"/>
      <c r="H923" s="41"/>
    </row>
    <row r="924">
      <c r="A924" s="40"/>
      <c r="B924" s="41"/>
      <c r="C924" s="41"/>
      <c r="D924" s="41"/>
      <c r="E924" s="41"/>
      <c r="F924" s="41"/>
      <c r="G924" s="41"/>
      <c r="H924" s="41"/>
    </row>
    <row r="925">
      <c r="A925" s="40"/>
      <c r="B925" s="41"/>
      <c r="C925" s="41"/>
      <c r="D925" s="41"/>
      <c r="E925" s="41"/>
      <c r="F925" s="41"/>
      <c r="G925" s="41"/>
      <c r="H925" s="41"/>
    </row>
    <row r="926">
      <c r="A926" s="40"/>
      <c r="B926" s="41"/>
      <c r="C926" s="41"/>
      <c r="D926" s="41"/>
      <c r="E926" s="41"/>
      <c r="F926" s="41"/>
      <c r="G926" s="41"/>
      <c r="H926" s="41"/>
    </row>
    <row r="927">
      <c r="A927" s="40"/>
      <c r="B927" s="41"/>
      <c r="C927" s="41"/>
      <c r="D927" s="41"/>
      <c r="E927" s="41"/>
      <c r="F927" s="41"/>
      <c r="G927" s="41"/>
      <c r="H927" s="41"/>
    </row>
    <row r="928">
      <c r="A928" s="40"/>
      <c r="B928" s="41"/>
      <c r="C928" s="41"/>
      <c r="D928" s="41"/>
      <c r="E928" s="41"/>
      <c r="F928" s="41"/>
      <c r="G928" s="41"/>
      <c r="H928" s="41"/>
    </row>
    <row r="929">
      <c r="A929" s="40"/>
      <c r="B929" s="41"/>
      <c r="C929" s="41"/>
      <c r="D929" s="41"/>
      <c r="E929" s="41"/>
      <c r="F929" s="41"/>
      <c r="G929" s="41"/>
      <c r="H929" s="41"/>
    </row>
    <row r="930">
      <c r="A930" s="40"/>
      <c r="B930" s="41"/>
      <c r="C930" s="41"/>
      <c r="D930" s="41"/>
      <c r="E930" s="41"/>
      <c r="F930" s="41"/>
      <c r="G930" s="41"/>
      <c r="H930" s="41"/>
    </row>
    <row r="931">
      <c r="A931" s="40"/>
      <c r="B931" s="41"/>
      <c r="C931" s="41"/>
      <c r="D931" s="41"/>
      <c r="E931" s="41"/>
      <c r="F931" s="41"/>
      <c r="G931" s="41"/>
      <c r="H931" s="41"/>
    </row>
    <row r="932">
      <c r="A932" s="40"/>
      <c r="B932" s="41"/>
      <c r="C932" s="41"/>
      <c r="D932" s="41"/>
      <c r="E932" s="41"/>
      <c r="F932" s="41"/>
      <c r="G932" s="41"/>
      <c r="H932" s="41"/>
    </row>
    <row r="933">
      <c r="A933" s="40"/>
      <c r="B933" s="41"/>
      <c r="C933" s="41"/>
      <c r="D933" s="41"/>
      <c r="E933" s="41"/>
      <c r="F933" s="41"/>
      <c r="G933" s="41"/>
      <c r="H933" s="41"/>
    </row>
    <row r="934">
      <c r="A934" s="40"/>
      <c r="B934" s="41"/>
      <c r="C934" s="41"/>
      <c r="D934" s="41"/>
      <c r="E934" s="41"/>
      <c r="F934" s="41"/>
      <c r="G934" s="41"/>
      <c r="H934" s="41"/>
    </row>
    <row r="935">
      <c r="A935" s="40"/>
      <c r="B935" s="41"/>
      <c r="C935" s="41"/>
      <c r="D935" s="41"/>
      <c r="E935" s="41"/>
      <c r="F935" s="41"/>
      <c r="G935" s="41"/>
      <c r="H935" s="41"/>
    </row>
    <row r="936">
      <c r="A936" s="40"/>
      <c r="B936" s="41"/>
      <c r="C936" s="41"/>
      <c r="D936" s="41"/>
      <c r="E936" s="41"/>
      <c r="F936" s="41"/>
      <c r="G936" s="41"/>
      <c r="H936" s="41"/>
    </row>
    <row r="937">
      <c r="A937" s="40"/>
      <c r="B937" s="41"/>
      <c r="C937" s="41"/>
      <c r="D937" s="41"/>
      <c r="E937" s="41"/>
      <c r="F937" s="41"/>
      <c r="G937" s="41"/>
      <c r="H937" s="41"/>
    </row>
    <row r="938">
      <c r="A938" s="40"/>
      <c r="B938" s="41"/>
      <c r="C938" s="41"/>
      <c r="D938" s="41"/>
      <c r="E938" s="41"/>
      <c r="F938" s="41"/>
      <c r="G938" s="41"/>
      <c r="H938" s="41"/>
    </row>
    <row r="939">
      <c r="A939" s="40"/>
      <c r="B939" s="41"/>
      <c r="C939" s="41"/>
      <c r="D939" s="41"/>
      <c r="E939" s="41"/>
      <c r="F939" s="41"/>
      <c r="G939" s="41"/>
      <c r="H939" s="41"/>
    </row>
    <row r="940">
      <c r="A940" s="40"/>
      <c r="B940" s="41"/>
      <c r="C940" s="41"/>
      <c r="D940" s="41"/>
      <c r="E940" s="41"/>
      <c r="F940" s="41"/>
      <c r="G940" s="41"/>
      <c r="H940" s="41"/>
    </row>
    <row r="941">
      <c r="A941" s="40"/>
      <c r="B941" s="41"/>
      <c r="C941" s="41"/>
      <c r="D941" s="41"/>
      <c r="E941" s="41"/>
      <c r="F941" s="41"/>
      <c r="G941" s="41"/>
      <c r="H941" s="41"/>
    </row>
    <row r="942">
      <c r="A942" s="40"/>
      <c r="B942" s="41"/>
      <c r="C942" s="41"/>
      <c r="D942" s="41"/>
      <c r="E942" s="41"/>
      <c r="F942" s="41"/>
      <c r="G942" s="41"/>
      <c r="H942" s="41"/>
    </row>
    <row r="943">
      <c r="A943" s="40"/>
      <c r="B943" s="41"/>
      <c r="C943" s="41"/>
      <c r="D943" s="41"/>
      <c r="E943" s="41"/>
      <c r="F943" s="41"/>
      <c r="G943" s="41"/>
      <c r="H943" s="41"/>
    </row>
    <row r="944">
      <c r="A944" s="40"/>
      <c r="B944" s="41"/>
      <c r="C944" s="41"/>
      <c r="D944" s="41"/>
      <c r="E944" s="41"/>
      <c r="F944" s="41"/>
      <c r="G944" s="41"/>
      <c r="H944" s="41"/>
    </row>
    <row r="945">
      <c r="A945" s="40"/>
      <c r="B945" s="41"/>
      <c r="C945" s="41"/>
      <c r="D945" s="41"/>
      <c r="E945" s="41"/>
      <c r="F945" s="41"/>
      <c r="G945" s="41"/>
      <c r="H945" s="41"/>
    </row>
    <row r="946">
      <c r="A946" s="40"/>
      <c r="B946" s="41"/>
      <c r="C946" s="41"/>
      <c r="D946" s="41"/>
      <c r="E946" s="41"/>
      <c r="F946" s="41"/>
      <c r="G946" s="41"/>
      <c r="H946" s="41"/>
    </row>
    <row r="947">
      <c r="A947" s="40"/>
      <c r="B947" s="41"/>
      <c r="C947" s="41"/>
      <c r="D947" s="41"/>
      <c r="E947" s="41"/>
      <c r="F947" s="41"/>
      <c r="G947" s="41"/>
      <c r="H947" s="41"/>
    </row>
    <row r="948">
      <c r="A948" s="40"/>
      <c r="B948" s="41"/>
      <c r="C948" s="41"/>
      <c r="D948" s="41"/>
      <c r="E948" s="41"/>
      <c r="F948" s="41"/>
      <c r="G948" s="41"/>
      <c r="H948" s="41"/>
    </row>
    <row r="949">
      <c r="A949" s="40"/>
      <c r="B949" s="41"/>
      <c r="C949" s="41"/>
      <c r="D949" s="41"/>
      <c r="E949" s="41"/>
      <c r="F949" s="41"/>
      <c r="G949" s="41"/>
      <c r="H949" s="41"/>
    </row>
    <row r="950">
      <c r="A950" s="40"/>
      <c r="B950" s="41"/>
      <c r="C950" s="41"/>
      <c r="D950" s="41"/>
      <c r="E950" s="41"/>
      <c r="F950" s="41"/>
      <c r="G950" s="41"/>
      <c r="H950" s="41"/>
    </row>
    <row r="951">
      <c r="A951" s="40"/>
      <c r="B951" s="41"/>
      <c r="C951" s="41"/>
      <c r="D951" s="41"/>
      <c r="E951" s="41"/>
      <c r="F951" s="41"/>
      <c r="G951" s="41"/>
      <c r="H951" s="41"/>
    </row>
    <row r="952">
      <c r="A952" s="40"/>
      <c r="B952" s="41"/>
      <c r="C952" s="41"/>
      <c r="D952" s="41"/>
      <c r="E952" s="41"/>
      <c r="F952" s="41"/>
      <c r="G952" s="41"/>
      <c r="H952" s="41"/>
    </row>
    <row r="953">
      <c r="A953" s="40"/>
      <c r="B953" s="41"/>
      <c r="C953" s="41"/>
      <c r="D953" s="41"/>
      <c r="E953" s="41"/>
      <c r="F953" s="41"/>
      <c r="G953" s="41"/>
      <c r="H953" s="41"/>
    </row>
    <row r="954">
      <c r="A954" s="40"/>
      <c r="B954" s="41"/>
      <c r="C954" s="41"/>
      <c r="D954" s="41"/>
      <c r="E954" s="41"/>
      <c r="F954" s="41"/>
      <c r="G954" s="41"/>
      <c r="H954" s="41"/>
    </row>
    <row r="955">
      <c r="A955" s="40"/>
      <c r="B955" s="41"/>
      <c r="C955" s="41"/>
      <c r="D955" s="41"/>
      <c r="E955" s="41"/>
      <c r="F955" s="41"/>
      <c r="G955" s="41"/>
      <c r="H955" s="41"/>
    </row>
    <row r="956">
      <c r="A956" s="40"/>
      <c r="B956" s="41"/>
      <c r="C956" s="41"/>
      <c r="D956" s="41"/>
      <c r="E956" s="41"/>
      <c r="F956" s="41"/>
      <c r="G956" s="41"/>
      <c r="H956" s="41"/>
    </row>
    <row r="957">
      <c r="A957" s="40"/>
      <c r="B957" s="41"/>
      <c r="C957" s="41"/>
      <c r="D957" s="41"/>
      <c r="E957" s="41"/>
      <c r="F957" s="41"/>
      <c r="G957" s="41"/>
      <c r="H957" s="41"/>
    </row>
    <row r="958">
      <c r="A958" s="40"/>
      <c r="B958" s="41"/>
      <c r="C958" s="41"/>
      <c r="D958" s="41"/>
      <c r="E958" s="41"/>
      <c r="F958" s="41"/>
      <c r="G958" s="41"/>
      <c r="H958" s="41"/>
    </row>
    <row r="959">
      <c r="A959" s="40"/>
      <c r="B959" s="41"/>
      <c r="C959" s="41"/>
      <c r="D959" s="41"/>
      <c r="E959" s="41"/>
      <c r="F959" s="41"/>
      <c r="G959" s="41"/>
      <c r="H959" s="41"/>
    </row>
    <row r="960">
      <c r="A960" s="40"/>
      <c r="B960" s="41"/>
      <c r="C960" s="41"/>
      <c r="D960" s="41"/>
      <c r="E960" s="41"/>
      <c r="F960" s="41"/>
      <c r="G960" s="41"/>
      <c r="H960" s="41"/>
    </row>
    <row r="961">
      <c r="A961" s="40"/>
      <c r="B961" s="41"/>
      <c r="C961" s="41"/>
      <c r="D961" s="41"/>
      <c r="E961" s="41"/>
      <c r="F961" s="41"/>
      <c r="G961" s="41"/>
      <c r="H961" s="41"/>
    </row>
    <row r="962">
      <c r="A962" s="40"/>
      <c r="B962" s="41"/>
      <c r="C962" s="41"/>
      <c r="D962" s="41"/>
      <c r="E962" s="41"/>
      <c r="F962" s="41"/>
      <c r="G962" s="41"/>
      <c r="H962" s="41"/>
    </row>
    <row r="963">
      <c r="A963" s="40"/>
      <c r="B963" s="41"/>
      <c r="C963" s="41"/>
      <c r="D963" s="41"/>
      <c r="E963" s="41"/>
      <c r="F963" s="41"/>
      <c r="G963" s="41"/>
      <c r="H963" s="41"/>
    </row>
    <row r="964">
      <c r="A964" s="40"/>
      <c r="B964" s="41"/>
      <c r="C964" s="41"/>
      <c r="D964" s="41"/>
      <c r="E964" s="41"/>
      <c r="F964" s="41"/>
      <c r="G964" s="41"/>
      <c r="H964" s="41"/>
    </row>
    <row r="965">
      <c r="A965" s="40"/>
      <c r="B965" s="41"/>
      <c r="C965" s="41"/>
      <c r="D965" s="41"/>
      <c r="E965" s="41"/>
      <c r="F965" s="41"/>
      <c r="G965" s="41"/>
      <c r="H965" s="41"/>
    </row>
    <row r="966">
      <c r="A966" s="40"/>
      <c r="B966" s="41"/>
      <c r="C966" s="41"/>
      <c r="D966" s="41"/>
      <c r="E966" s="41"/>
      <c r="F966" s="41"/>
      <c r="G966" s="41"/>
      <c r="H966" s="41"/>
    </row>
    <row r="967">
      <c r="A967" s="40"/>
      <c r="B967" s="41"/>
      <c r="C967" s="41"/>
      <c r="D967" s="41"/>
      <c r="E967" s="41"/>
      <c r="F967" s="41"/>
      <c r="G967" s="41"/>
      <c r="H967" s="41"/>
    </row>
    <row r="968">
      <c r="A968" s="40"/>
      <c r="B968" s="41"/>
      <c r="C968" s="41"/>
      <c r="D968" s="41"/>
      <c r="E968" s="41"/>
      <c r="F968" s="41"/>
      <c r="G968" s="41"/>
      <c r="H968" s="41"/>
    </row>
    <row r="969">
      <c r="A969" s="40"/>
      <c r="B969" s="41"/>
      <c r="C969" s="41"/>
      <c r="D969" s="41"/>
      <c r="E969" s="41"/>
      <c r="F969" s="41"/>
      <c r="G969" s="41"/>
      <c r="H969" s="41"/>
    </row>
    <row r="970">
      <c r="A970" s="40"/>
      <c r="B970" s="41"/>
      <c r="C970" s="41"/>
      <c r="D970" s="41"/>
      <c r="E970" s="41"/>
      <c r="F970" s="41"/>
      <c r="G970" s="41"/>
      <c r="H970" s="41"/>
    </row>
    <row r="971">
      <c r="A971" s="40"/>
      <c r="B971" s="41"/>
      <c r="C971" s="41"/>
      <c r="D971" s="41"/>
      <c r="E971" s="41"/>
      <c r="F971" s="41"/>
      <c r="G971" s="41"/>
      <c r="H971" s="41"/>
    </row>
    <row r="972">
      <c r="A972" s="40"/>
      <c r="B972" s="41"/>
      <c r="C972" s="41"/>
      <c r="D972" s="41"/>
      <c r="E972" s="41"/>
      <c r="F972" s="41"/>
      <c r="G972" s="41"/>
      <c r="H972" s="41"/>
    </row>
    <row r="973">
      <c r="A973" s="40"/>
      <c r="B973" s="41"/>
      <c r="C973" s="41"/>
      <c r="D973" s="41"/>
      <c r="E973" s="41"/>
      <c r="F973" s="41"/>
      <c r="G973" s="41"/>
      <c r="H973" s="41"/>
    </row>
    <row r="974">
      <c r="A974" s="40"/>
      <c r="B974" s="41"/>
      <c r="C974" s="41"/>
      <c r="D974" s="41"/>
      <c r="E974" s="41"/>
      <c r="F974" s="41"/>
      <c r="G974" s="41"/>
      <c r="H974" s="41"/>
    </row>
    <row r="975">
      <c r="A975" s="40"/>
      <c r="B975" s="41"/>
      <c r="C975" s="41"/>
      <c r="D975" s="41"/>
      <c r="E975" s="41"/>
      <c r="F975" s="41"/>
      <c r="G975" s="41"/>
      <c r="H975" s="41"/>
    </row>
    <row r="976">
      <c r="A976" s="40"/>
      <c r="B976" s="41"/>
      <c r="C976" s="41"/>
      <c r="D976" s="41"/>
      <c r="E976" s="41"/>
      <c r="F976" s="41"/>
      <c r="G976" s="41"/>
      <c r="H976" s="41"/>
    </row>
    <row r="977">
      <c r="A977" s="40"/>
      <c r="B977" s="41"/>
      <c r="C977" s="41"/>
      <c r="D977" s="41"/>
      <c r="E977" s="41"/>
      <c r="F977" s="41"/>
      <c r="G977" s="41"/>
      <c r="H977" s="41"/>
    </row>
    <row r="978">
      <c r="A978" s="40"/>
      <c r="B978" s="41"/>
      <c r="C978" s="41"/>
      <c r="D978" s="41"/>
      <c r="E978" s="41"/>
      <c r="F978" s="41"/>
      <c r="G978" s="41"/>
      <c r="H978" s="41"/>
    </row>
    <row r="979">
      <c r="A979" s="40"/>
      <c r="B979" s="41"/>
      <c r="C979" s="41"/>
      <c r="D979" s="41"/>
      <c r="E979" s="41"/>
      <c r="F979" s="41"/>
      <c r="G979" s="41"/>
      <c r="H979" s="41"/>
    </row>
    <row r="980">
      <c r="A980" s="40"/>
      <c r="B980" s="41"/>
      <c r="C980" s="41"/>
      <c r="D980" s="41"/>
      <c r="E980" s="41"/>
      <c r="F980" s="41"/>
      <c r="G980" s="41"/>
      <c r="H980" s="41"/>
    </row>
    <row r="981">
      <c r="A981" s="40"/>
      <c r="B981" s="41"/>
      <c r="C981" s="41"/>
      <c r="D981" s="41"/>
      <c r="E981" s="41"/>
      <c r="F981" s="41"/>
      <c r="G981" s="41"/>
      <c r="H981" s="41"/>
    </row>
    <row r="982">
      <c r="A982" s="40"/>
      <c r="B982" s="41"/>
      <c r="C982" s="41"/>
      <c r="D982" s="41"/>
      <c r="E982" s="41"/>
      <c r="F982" s="41"/>
      <c r="G982" s="41"/>
      <c r="H982" s="41"/>
    </row>
    <row r="983">
      <c r="A983" s="40"/>
      <c r="B983" s="41"/>
      <c r="C983" s="41"/>
      <c r="D983" s="41"/>
      <c r="E983" s="41"/>
      <c r="F983" s="41"/>
      <c r="G983" s="41"/>
      <c r="H983" s="41"/>
    </row>
    <row r="984">
      <c r="A984" s="40"/>
      <c r="B984" s="41"/>
      <c r="C984" s="41"/>
      <c r="D984" s="41"/>
      <c r="E984" s="41"/>
      <c r="F984" s="41"/>
      <c r="G984" s="41"/>
      <c r="H984" s="41"/>
    </row>
    <row r="985">
      <c r="A985" s="40"/>
      <c r="B985" s="41"/>
      <c r="C985" s="41"/>
      <c r="D985" s="41"/>
      <c r="E985" s="41"/>
      <c r="F985" s="41"/>
      <c r="G985" s="41"/>
      <c r="H985" s="41"/>
    </row>
    <row r="986">
      <c r="A986" s="40"/>
      <c r="B986" s="41"/>
      <c r="C986" s="41"/>
      <c r="D986" s="41"/>
      <c r="E986" s="41"/>
      <c r="F986" s="41"/>
      <c r="G986" s="41"/>
      <c r="H986" s="41"/>
    </row>
    <row r="987">
      <c r="A987" s="40"/>
      <c r="B987" s="41"/>
      <c r="C987" s="41"/>
      <c r="D987" s="41"/>
      <c r="E987" s="41"/>
      <c r="F987" s="41"/>
      <c r="G987" s="41"/>
      <c r="H987" s="41"/>
    </row>
    <row r="988">
      <c r="A988" s="40"/>
      <c r="B988" s="41"/>
      <c r="C988" s="41"/>
      <c r="D988" s="41"/>
      <c r="E988" s="41"/>
      <c r="F988" s="41"/>
      <c r="G988" s="41"/>
      <c r="H988" s="41"/>
    </row>
    <row r="989">
      <c r="A989" s="40"/>
      <c r="B989" s="41"/>
      <c r="C989" s="41"/>
      <c r="D989" s="41"/>
      <c r="E989" s="41"/>
      <c r="F989" s="41"/>
      <c r="G989" s="41"/>
      <c r="H989" s="41"/>
    </row>
    <row r="990">
      <c r="A990" s="40"/>
      <c r="B990" s="41"/>
      <c r="C990" s="41"/>
      <c r="D990" s="41"/>
      <c r="E990" s="41"/>
      <c r="F990" s="41"/>
      <c r="G990" s="41"/>
      <c r="H990" s="41"/>
    </row>
    <row r="991">
      <c r="A991" s="40"/>
      <c r="B991" s="41"/>
      <c r="C991" s="41"/>
      <c r="D991" s="41"/>
      <c r="E991" s="41"/>
      <c r="F991" s="41"/>
      <c r="G991" s="41"/>
      <c r="H991" s="41"/>
    </row>
    <row r="992">
      <c r="A992" s="40"/>
      <c r="B992" s="41"/>
      <c r="C992" s="41"/>
      <c r="D992" s="41"/>
      <c r="E992" s="41"/>
      <c r="F992" s="41"/>
      <c r="G992" s="41"/>
      <c r="H992" s="41"/>
    </row>
    <row r="993">
      <c r="A993" s="40"/>
      <c r="B993" s="41"/>
      <c r="C993" s="41"/>
      <c r="D993" s="41"/>
      <c r="E993" s="41"/>
      <c r="F993" s="41"/>
      <c r="G993" s="41"/>
      <c r="H993" s="41"/>
    </row>
    <row r="994">
      <c r="A994" s="40"/>
      <c r="B994" s="41"/>
      <c r="C994" s="41"/>
      <c r="D994" s="41"/>
      <c r="E994" s="41"/>
      <c r="F994" s="41"/>
      <c r="G994" s="41"/>
      <c r="H994" s="41"/>
    </row>
    <row r="995">
      <c r="A995" s="40"/>
      <c r="B995" s="41"/>
      <c r="C995" s="41"/>
      <c r="D995" s="41"/>
      <c r="E995" s="41"/>
      <c r="F995" s="41"/>
      <c r="G995" s="41"/>
      <c r="H995" s="41"/>
    </row>
    <row r="996">
      <c r="A996" s="40"/>
      <c r="B996" s="41"/>
      <c r="C996" s="41"/>
      <c r="D996" s="41"/>
      <c r="E996" s="41"/>
      <c r="F996" s="41"/>
      <c r="G996" s="41"/>
      <c r="H996" s="41"/>
    </row>
    <row r="997">
      <c r="A997" s="40"/>
      <c r="B997" s="41"/>
      <c r="C997" s="41"/>
      <c r="D997" s="41"/>
      <c r="E997" s="41"/>
      <c r="F997" s="41"/>
      <c r="G997" s="41"/>
      <c r="H997" s="41"/>
    </row>
    <row r="998">
      <c r="A998" s="40"/>
      <c r="B998" s="41"/>
      <c r="C998" s="41"/>
      <c r="D998" s="41"/>
      <c r="E998" s="41"/>
      <c r="F998" s="41"/>
      <c r="G998" s="41"/>
      <c r="H998" s="41"/>
    </row>
    <row r="999">
      <c r="A999" s="40"/>
      <c r="B999" s="41"/>
      <c r="C999" s="41"/>
      <c r="D999" s="41"/>
      <c r="E999" s="41"/>
      <c r="F999" s="41"/>
      <c r="G999" s="41"/>
      <c r="H999" s="41"/>
    </row>
    <row r="1000">
      <c r="A1000" s="40"/>
      <c r="B1000" s="41"/>
      <c r="C1000" s="41"/>
      <c r="D1000" s="41"/>
      <c r="E1000" s="41"/>
      <c r="F1000" s="41"/>
      <c r="G1000" s="41"/>
      <c r="H1000" s="41"/>
    </row>
    <row r="1001">
      <c r="A1001" s="40"/>
      <c r="B1001" s="41"/>
      <c r="C1001" s="41"/>
      <c r="D1001" s="41"/>
      <c r="E1001" s="41"/>
      <c r="F1001" s="41"/>
      <c r="G1001" s="41"/>
      <c r="H1001" s="41"/>
    </row>
    <row r="1002">
      <c r="A1002" s="40"/>
      <c r="B1002" s="41"/>
      <c r="C1002" s="41"/>
      <c r="D1002" s="41"/>
      <c r="E1002" s="41"/>
      <c r="F1002" s="41"/>
      <c r="G1002" s="41"/>
      <c r="H1002" s="41"/>
    </row>
    <row r="1003">
      <c r="A1003" s="40"/>
      <c r="B1003" s="41"/>
      <c r="C1003" s="41"/>
      <c r="D1003" s="41"/>
      <c r="E1003" s="41"/>
      <c r="F1003" s="41"/>
      <c r="G1003" s="41"/>
      <c r="H1003" s="41"/>
    </row>
    <row r="1004">
      <c r="A1004" s="40"/>
      <c r="B1004" s="41"/>
      <c r="C1004" s="41"/>
      <c r="D1004" s="41"/>
      <c r="E1004" s="41"/>
      <c r="F1004" s="41"/>
      <c r="G1004" s="41"/>
      <c r="H1004" s="41"/>
    </row>
    <row r="1005">
      <c r="A1005" s="40"/>
      <c r="B1005" s="41"/>
      <c r="C1005" s="41"/>
      <c r="D1005" s="41"/>
      <c r="E1005" s="41"/>
      <c r="F1005" s="41"/>
      <c r="G1005" s="41"/>
      <c r="H1005" s="41"/>
    </row>
    <row r="1006">
      <c r="A1006" s="40"/>
      <c r="B1006" s="41"/>
      <c r="C1006" s="41"/>
      <c r="D1006" s="41"/>
      <c r="E1006" s="41"/>
      <c r="F1006" s="41"/>
      <c r="G1006" s="41"/>
      <c r="H1006" s="41"/>
    </row>
    <row r="1007">
      <c r="A1007" s="40"/>
      <c r="B1007" s="41"/>
      <c r="C1007" s="41"/>
      <c r="D1007" s="41"/>
      <c r="E1007" s="41"/>
      <c r="F1007" s="41"/>
      <c r="G1007" s="41"/>
      <c r="H1007" s="41"/>
    </row>
    <row r="1008">
      <c r="A1008" s="40"/>
      <c r="B1008" s="41"/>
      <c r="C1008" s="41"/>
      <c r="D1008" s="41"/>
      <c r="E1008" s="41"/>
      <c r="F1008" s="41"/>
      <c r="G1008" s="41"/>
      <c r="H1008" s="41"/>
    </row>
    <row r="1009">
      <c r="A1009" s="40"/>
      <c r="B1009" s="41"/>
      <c r="C1009" s="41"/>
      <c r="D1009" s="41"/>
      <c r="E1009" s="41"/>
      <c r="F1009" s="41"/>
      <c r="G1009" s="41"/>
      <c r="H1009" s="41"/>
    </row>
    <row r="1010">
      <c r="A1010" s="40"/>
      <c r="B1010" s="41"/>
      <c r="C1010" s="41"/>
      <c r="D1010" s="41"/>
      <c r="E1010" s="41"/>
      <c r="F1010" s="41"/>
      <c r="G1010" s="41"/>
      <c r="H1010" s="41"/>
    </row>
    <row r="1011">
      <c r="A1011" s="40"/>
      <c r="B1011" s="41"/>
      <c r="C1011" s="41"/>
      <c r="D1011" s="41"/>
      <c r="E1011" s="41"/>
      <c r="F1011" s="41"/>
      <c r="G1011" s="41"/>
      <c r="H1011" s="41"/>
    </row>
    <row r="1012">
      <c r="A1012" s="40"/>
      <c r="B1012" s="41"/>
      <c r="C1012" s="41"/>
      <c r="D1012" s="41"/>
      <c r="E1012" s="41"/>
      <c r="F1012" s="41"/>
      <c r="G1012" s="41"/>
      <c r="H1012" s="41"/>
    </row>
    <row r="1013">
      <c r="A1013" s="40"/>
      <c r="B1013" s="41"/>
      <c r="C1013" s="41"/>
      <c r="D1013" s="41"/>
      <c r="E1013" s="41"/>
      <c r="F1013" s="41"/>
      <c r="G1013" s="41"/>
      <c r="H1013" s="41"/>
    </row>
    <row r="1014">
      <c r="A1014" s="40"/>
      <c r="B1014" s="41"/>
      <c r="C1014" s="41"/>
      <c r="D1014" s="41"/>
      <c r="E1014" s="41"/>
      <c r="F1014" s="41"/>
      <c r="G1014" s="41"/>
      <c r="H1014" s="41"/>
    </row>
    <row r="1015">
      <c r="A1015" s="40"/>
      <c r="B1015" s="41"/>
      <c r="C1015" s="41"/>
      <c r="D1015" s="41"/>
      <c r="E1015" s="41"/>
      <c r="F1015" s="41"/>
      <c r="G1015" s="41"/>
      <c r="H1015" s="41"/>
    </row>
    <row r="1016">
      <c r="A1016" s="40"/>
      <c r="B1016" s="41"/>
      <c r="C1016" s="41"/>
      <c r="D1016" s="41"/>
      <c r="E1016" s="41"/>
      <c r="F1016" s="41"/>
      <c r="G1016" s="41"/>
      <c r="H1016" s="41"/>
    </row>
    <row r="1017">
      <c r="A1017" s="40"/>
      <c r="B1017" s="41"/>
      <c r="C1017" s="41"/>
      <c r="D1017" s="41"/>
      <c r="E1017" s="41"/>
      <c r="F1017" s="41"/>
      <c r="G1017" s="41"/>
      <c r="H1017" s="41"/>
    </row>
    <row r="1018">
      <c r="A1018" s="40"/>
      <c r="B1018" s="41"/>
      <c r="C1018" s="41"/>
      <c r="D1018" s="41"/>
      <c r="E1018" s="41"/>
      <c r="F1018" s="41"/>
      <c r="G1018" s="41"/>
      <c r="H1018" s="41"/>
    </row>
    <row r="1019">
      <c r="A1019" s="40"/>
      <c r="B1019" s="41"/>
      <c r="C1019" s="41"/>
      <c r="D1019" s="41"/>
      <c r="E1019" s="41"/>
      <c r="F1019" s="41"/>
      <c r="G1019" s="41"/>
      <c r="H1019" s="41"/>
    </row>
    <row r="1020">
      <c r="A1020" s="40"/>
      <c r="B1020" s="41"/>
      <c r="C1020" s="41"/>
      <c r="D1020" s="41"/>
      <c r="E1020" s="41"/>
      <c r="F1020" s="41"/>
      <c r="G1020" s="41"/>
      <c r="H1020" s="41"/>
    </row>
    <row r="1021">
      <c r="A1021" s="40"/>
      <c r="B1021" s="41"/>
      <c r="C1021" s="41"/>
      <c r="D1021" s="41"/>
      <c r="E1021" s="41"/>
      <c r="F1021" s="41"/>
      <c r="G1021" s="41"/>
      <c r="H1021" s="41"/>
    </row>
    <row r="1022">
      <c r="A1022" s="40"/>
      <c r="B1022" s="41"/>
      <c r="C1022" s="41"/>
      <c r="D1022" s="41"/>
      <c r="E1022" s="41"/>
      <c r="F1022" s="41"/>
      <c r="G1022" s="41"/>
      <c r="H1022" s="41"/>
    </row>
    <row r="1023">
      <c r="A1023" s="40"/>
      <c r="B1023" s="41"/>
      <c r="C1023" s="41"/>
      <c r="D1023" s="41"/>
      <c r="E1023" s="41"/>
      <c r="F1023" s="41"/>
      <c r="G1023" s="41"/>
      <c r="H1023" s="41"/>
    </row>
    <row r="1024">
      <c r="A1024" s="40"/>
      <c r="B1024" s="41"/>
      <c r="C1024" s="41"/>
      <c r="D1024" s="41"/>
      <c r="E1024" s="41"/>
      <c r="F1024" s="41"/>
      <c r="G1024" s="41"/>
      <c r="H1024" s="41"/>
    </row>
    <row r="1025">
      <c r="A1025" s="40"/>
      <c r="B1025" s="41"/>
      <c r="C1025" s="41"/>
      <c r="D1025" s="41"/>
      <c r="E1025" s="41"/>
      <c r="F1025" s="41"/>
      <c r="G1025" s="41"/>
      <c r="H1025" s="41"/>
    </row>
    <row r="1026">
      <c r="A1026" s="40"/>
      <c r="B1026" s="41"/>
      <c r="C1026" s="41"/>
      <c r="D1026" s="41"/>
      <c r="E1026" s="41"/>
      <c r="F1026" s="41"/>
      <c r="G1026" s="41"/>
      <c r="H1026" s="41"/>
    </row>
    <row r="1027">
      <c r="A1027" s="40"/>
      <c r="B1027" s="41"/>
      <c r="C1027" s="41"/>
      <c r="D1027" s="41"/>
      <c r="E1027" s="41"/>
      <c r="F1027" s="41"/>
      <c r="G1027" s="41"/>
      <c r="H1027" s="41"/>
    </row>
    <row r="1028">
      <c r="A1028" s="40"/>
      <c r="B1028" s="41"/>
      <c r="C1028" s="41"/>
      <c r="D1028" s="41"/>
      <c r="E1028" s="41"/>
      <c r="F1028" s="41"/>
      <c r="G1028" s="41"/>
      <c r="H1028" s="41"/>
    </row>
    <row r="1029">
      <c r="A1029" s="40"/>
      <c r="B1029" s="41"/>
      <c r="C1029" s="41"/>
      <c r="D1029" s="41"/>
      <c r="E1029" s="41"/>
      <c r="F1029" s="41"/>
      <c r="G1029" s="41"/>
      <c r="H1029" s="41"/>
    </row>
    <row r="1030">
      <c r="A1030" s="40"/>
      <c r="B1030" s="41"/>
      <c r="C1030" s="41"/>
      <c r="D1030" s="41"/>
      <c r="E1030" s="41"/>
      <c r="F1030" s="41"/>
      <c r="G1030" s="41"/>
      <c r="H1030" s="41"/>
    </row>
    <row r="1031">
      <c r="A1031" s="40"/>
      <c r="B1031" s="41"/>
      <c r="C1031" s="41"/>
      <c r="D1031" s="41"/>
      <c r="E1031" s="41"/>
      <c r="F1031" s="41"/>
      <c r="G1031" s="41"/>
      <c r="H1031" s="41"/>
    </row>
    <row r="1032">
      <c r="A1032" s="40"/>
      <c r="B1032" s="41"/>
      <c r="C1032" s="41"/>
      <c r="D1032" s="41"/>
      <c r="E1032" s="41"/>
      <c r="F1032" s="41"/>
      <c r="G1032" s="41"/>
      <c r="H1032" s="41"/>
    </row>
    <row r="1033">
      <c r="A1033" s="40"/>
      <c r="B1033" s="41"/>
      <c r="C1033" s="41"/>
      <c r="D1033" s="41"/>
      <c r="E1033" s="41"/>
      <c r="F1033" s="41"/>
      <c r="G1033" s="41"/>
      <c r="H1033" s="41"/>
    </row>
    <row r="1034">
      <c r="A1034" s="40"/>
      <c r="B1034" s="41"/>
      <c r="C1034" s="41"/>
      <c r="D1034" s="41"/>
      <c r="E1034" s="41"/>
      <c r="F1034" s="41"/>
      <c r="G1034" s="41"/>
      <c r="H1034" s="41"/>
    </row>
    <row r="1035">
      <c r="A1035" s="40"/>
      <c r="B1035" s="41"/>
      <c r="C1035" s="41"/>
      <c r="D1035" s="41"/>
      <c r="E1035" s="41"/>
      <c r="F1035" s="41"/>
      <c r="G1035" s="41"/>
      <c r="H1035" s="41"/>
    </row>
    <row r="1036">
      <c r="A1036" s="40"/>
      <c r="B1036" s="41"/>
      <c r="C1036" s="41"/>
      <c r="D1036" s="41"/>
      <c r="E1036" s="41"/>
      <c r="F1036" s="41"/>
      <c r="G1036" s="41"/>
      <c r="H1036" s="41"/>
    </row>
    <row r="1037">
      <c r="A1037" s="40"/>
      <c r="B1037" s="41"/>
      <c r="C1037" s="41"/>
      <c r="D1037" s="41"/>
      <c r="E1037" s="41"/>
      <c r="F1037" s="41"/>
      <c r="G1037" s="41"/>
      <c r="H1037" s="41"/>
    </row>
    <row r="1038">
      <c r="A1038" s="40"/>
      <c r="B1038" s="41"/>
      <c r="C1038" s="41"/>
      <c r="D1038" s="41"/>
      <c r="E1038" s="41"/>
      <c r="F1038" s="41"/>
      <c r="G1038" s="41"/>
      <c r="H1038" s="41"/>
    </row>
    <row r="1039">
      <c r="A1039" s="40"/>
      <c r="B1039" s="41"/>
      <c r="C1039" s="41"/>
      <c r="D1039" s="41"/>
      <c r="E1039" s="41"/>
      <c r="F1039" s="41"/>
      <c r="G1039" s="41"/>
      <c r="H1039" s="41"/>
    </row>
    <row r="1040">
      <c r="A1040" s="40"/>
      <c r="B1040" s="41"/>
      <c r="C1040" s="41"/>
      <c r="D1040" s="41"/>
      <c r="E1040" s="41"/>
      <c r="F1040" s="41"/>
      <c r="G1040" s="41"/>
      <c r="H1040" s="41"/>
    </row>
    <row r="1041">
      <c r="A1041" s="40"/>
      <c r="B1041" s="41"/>
      <c r="C1041" s="41"/>
      <c r="D1041" s="41"/>
      <c r="E1041" s="41"/>
      <c r="F1041" s="41"/>
      <c r="G1041" s="41"/>
      <c r="H1041" s="41"/>
    </row>
    <row r="1042">
      <c r="A1042" s="40"/>
      <c r="B1042" s="41"/>
      <c r="C1042" s="41"/>
      <c r="D1042" s="41"/>
      <c r="E1042" s="41"/>
      <c r="F1042" s="41"/>
      <c r="G1042" s="41"/>
      <c r="H1042" s="41"/>
    </row>
    <row r="1043">
      <c r="A1043" s="40"/>
      <c r="B1043" s="41"/>
      <c r="C1043" s="41"/>
      <c r="D1043" s="41"/>
      <c r="E1043" s="41"/>
      <c r="F1043" s="41"/>
      <c r="G1043" s="41"/>
      <c r="H1043" s="41"/>
    </row>
    <row r="1044">
      <c r="A1044" s="40"/>
      <c r="B1044" s="41"/>
      <c r="C1044" s="41"/>
      <c r="D1044" s="41"/>
      <c r="E1044" s="41"/>
      <c r="F1044" s="41"/>
      <c r="G1044" s="41"/>
      <c r="H1044" s="41"/>
    </row>
    <row r="1045">
      <c r="A1045" s="40"/>
      <c r="B1045" s="41"/>
      <c r="C1045" s="41"/>
      <c r="D1045" s="41"/>
      <c r="E1045" s="41"/>
      <c r="F1045" s="41"/>
      <c r="G1045" s="41"/>
      <c r="H1045" s="41"/>
    </row>
    <row r="1046">
      <c r="A1046" s="40"/>
      <c r="B1046" s="41"/>
      <c r="C1046" s="41"/>
      <c r="D1046" s="41"/>
      <c r="E1046" s="41"/>
      <c r="F1046" s="41"/>
      <c r="G1046" s="41"/>
      <c r="H1046" s="41"/>
    </row>
    <row r="1047">
      <c r="A1047" s="40"/>
      <c r="B1047" s="41"/>
      <c r="C1047" s="41"/>
      <c r="D1047" s="41"/>
      <c r="E1047" s="41"/>
      <c r="F1047" s="41"/>
      <c r="G1047" s="41"/>
      <c r="H1047" s="41"/>
    </row>
    <row r="1048">
      <c r="A1048" s="40"/>
      <c r="B1048" s="41"/>
      <c r="C1048" s="41"/>
      <c r="D1048" s="41"/>
      <c r="E1048" s="41"/>
      <c r="F1048" s="41"/>
      <c r="G1048" s="41"/>
      <c r="H1048" s="41"/>
    </row>
    <row r="1049">
      <c r="A1049" s="40"/>
      <c r="B1049" s="41"/>
      <c r="C1049" s="41"/>
      <c r="D1049" s="41"/>
      <c r="E1049" s="41"/>
      <c r="F1049" s="41"/>
      <c r="G1049" s="41"/>
      <c r="H1049" s="41"/>
    </row>
    <row r="1050">
      <c r="A1050" s="40"/>
      <c r="B1050" s="41"/>
      <c r="C1050" s="41"/>
      <c r="D1050" s="41"/>
      <c r="E1050" s="41"/>
      <c r="F1050" s="41"/>
      <c r="G1050" s="41"/>
      <c r="H1050" s="41"/>
    </row>
    <row r="1051">
      <c r="A1051" s="40"/>
      <c r="B1051" s="41"/>
      <c r="C1051" s="41"/>
      <c r="D1051" s="41"/>
      <c r="E1051" s="41"/>
      <c r="F1051" s="41"/>
      <c r="G1051" s="41"/>
      <c r="H1051" s="41"/>
    </row>
    <row r="1052">
      <c r="A1052" s="40"/>
      <c r="B1052" s="41"/>
      <c r="C1052" s="41"/>
      <c r="D1052" s="41"/>
      <c r="E1052" s="41"/>
      <c r="F1052" s="41"/>
      <c r="G1052" s="41"/>
      <c r="H1052" s="41"/>
    </row>
    <row r="1053">
      <c r="A1053" s="40"/>
      <c r="B1053" s="41"/>
      <c r="C1053" s="41"/>
      <c r="D1053" s="41"/>
      <c r="E1053" s="41"/>
      <c r="F1053" s="41"/>
      <c r="G1053" s="41"/>
      <c r="H1053" s="41"/>
    </row>
    <row r="1054">
      <c r="A1054" s="40"/>
      <c r="B1054" s="41"/>
      <c r="C1054" s="41"/>
      <c r="D1054" s="41"/>
      <c r="E1054" s="41"/>
      <c r="F1054" s="41"/>
      <c r="G1054" s="41"/>
      <c r="H1054" s="41"/>
    </row>
    <row r="1055">
      <c r="A1055" s="40"/>
      <c r="B1055" s="41"/>
      <c r="C1055" s="41"/>
      <c r="D1055" s="41"/>
      <c r="E1055" s="41"/>
      <c r="F1055" s="41"/>
      <c r="G1055" s="41"/>
      <c r="H1055" s="41"/>
    </row>
    <row r="1056">
      <c r="A1056" s="40"/>
      <c r="B1056" s="41"/>
      <c r="C1056" s="41"/>
      <c r="D1056" s="41"/>
      <c r="E1056" s="41"/>
      <c r="F1056" s="41"/>
      <c r="G1056" s="41"/>
      <c r="H1056" s="41"/>
    </row>
    <row r="1057">
      <c r="A1057" s="40"/>
      <c r="B1057" s="41"/>
      <c r="C1057" s="41"/>
      <c r="D1057" s="41"/>
      <c r="E1057" s="41"/>
      <c r="F1057" s="41"/>
      <c r="G1057" s="41"/>
      <c r="H1057" s="41"/>
    </row>
    <row r="1058">
      <c r="A1058" s="40"/>
      <c r="B1058" s="41"/>
      <c r="C1058" s="41"/>
      <c r="D1058" s="41"/>
      <c r="E1058" s="41"/>
      <c r="F1058" s="41"/>
      <c r="G1058" s="41"/>
      <c r="H1058" s="41"/>
    </row>
    <row r="1059">
      <c r="A1059" s="40"/>
      <c r="B1059" s="41"/>
      <c r="C1059" s="41"/>
      <c r="D1059" s="41"/>
      <c r="E1059" s="41"/>
      <c r="F1059" s="41"/>
      <c r="G1059" s="41"/>
      <c r="H1059" s="41"/>
    </row>
    <row r="1060">
      <c r="A1060" s="40"/>
      <c r="B1060" s="41"/>
      <c r="C1060" s="41"/>
      <c r="D1060" s="41"/>
      <c r="E1060" s="41"/>
      <c r="F1060" s="41"/>
      <c r="G1060" s="41"/>
      <c r="H1060" s="41"/>
    </row>
    <row r="1061">
      <c r="A1061" s="40"/>
      <c r="B1061" s="41"/>
      <c r="C1061" s="41"/>
      <c r="D1061" s="41"/>
      <c r="E1061" s="41"/>
      <c r="F1061" s="41"/>
      <c r="G1061" s="41"/>
      <c r="H1061" s="41"/>
    </row>
    <row r="1062">
      <c r="A1062" s="40"/>
      <c r="B1062" s="41"/>
      <c r="C1062" s="41"/>
      <c r="D1062" s="41"/>
      <c r="E1062" s="41"/>
      <c r="F1062" s="41"/>
      <c r="G1062" s="41"/>
      <c r="H1062" s="41"/>
    </row>
    <row r="1063">
      <c r="A1063" s="40"/>
      <c r="B1063" s="41"/>
      <c r="C1063" s="41"/>
      <c r="D1063" s="41"/>
      <c r="E1063" s="41"/>
      <c r="F1063" s="41"/>
      <c r="G1063" s="41"/>
      <c r="H1063" s="41"/>
    </row>
    <row r="1064">
      <c r="A1064" s="40"/>
      <c r="B1064" s="41"/>
      <c r="C1064" s="41"/>
      <c r="D1064" s="41"/>
      <c r="E1064" s="41"/>
      <c r="F1064" s="41"/>
      <c r="G1064" s="41"/>
      <c r="H1064" s="41"/>
    </row>
    <row r="1065">
      <c r="A1065" s="40"/>
      <c r="B1065" s="41"/>
      <c r="C1065" s="41"/>
      <c r="D1065" s="41"/>
      <c r="E1065" s="41"/>
      <c r="F1065" s="41"/>
      <c r="G1065" s="41"/>
      <c r="H1065" s="41"/>
    </row>
    <row r="1066">
      <c r="A1066" s="40"/>
      <c r="B1066" s="41"/>
      <c r="C1066" s="41"/>
      <c r="D1066" s="41"/>
      <c r="E1066" s="41"/>
      <c r="F1066" s="41"/>
      <c r="G1066" s="41"/>
      <c r="H1066" s="41"/>
    </row>
    <row r="1067">
      <c r="A1067" s="40"/>
      <c r="B1067" s="41"/>
      <c r="C1067" s="41"/>
      <c r="D1067" s="41"/>
      <c r="E1067" s="41"/>
      <c r="F1067" s="41"/>
      <c r="G1067" s="41"/>
      <c r="H1067" s="41"/>
    </row>
    <row r="1068">
      <c r="A1068" s="40"/>
      <c r="B1068" s="41"/>
      <c r="C1068" s="41"/>
      <c r="D1068" s="41"/>
      <c r="E1068" s="41"/>
      <c r="F1068" s="41"/>
      <c r="G1068" s="41"/>
      <c r="H1068" s="41"/>
    </row>
    <row r="1069">
      <c r="A1069" s="40"/>
      <c r="B1069" s="41"/>
      <c r="C1069" s="41"/>
      <c r="D1069" s="41"/>
      <c r="E1069" s="41"/>
      <c r="F1069" s="41"/>
      <c r="G1069" s="41"/>
      <c r="H1069" s="41"/>
    </row>
    <row r="1070">
      <c r="A1070" s="40"/>
      <c r="B1070" s="41"/>
      <c r="C1070" s="41"/>
      <c r="D1070" s="41"/>
      <c r="E1070" s="41"/>
      <c r="F1070" s="41"/>
      <c r="G1070" s="41"/>
      <c r="H1070" s="41"/>
    </row>
    <row r="1071">
      <c r="A1071" s="40"/>
      <c r="B1071" s="41"/>
      <c r="C1071" s="41"/>
      <c r="D1071" s="41"/>
      <c r="E1071" s="41"/>
      <c r="F1071" s="41"/>
      <c r="G1071" s="41"/>
      <c r="H1071" s="41"/>
    </row>
    <row r="1072">
      <c r="A1072" s="40"/>
      <c r="B1072" s="41"/>
      <c r="C1072" s="41"/>
      <c r="D1072" s="41"/>
      <c r="E1072" s="41"/>
      <c r="F1072" s="41"/>
      <c r="G1072" s="41"/>
      <c r="H1072" s="41"/>
    </row>
    <row r="1073">
      <c r="A1073" s="40"/>
      <c r="B1073" s="41"/>
      <c r="C1073" s="41"/>
      <c r="D1073" s="41"/>
      <c r="E1073" s="41"/>
      <c r="F1073" s="41"/>
      <c r="G1073" s="41"/>
      <c r="H1073" s="41"/>
    </row>
    <row r="1074">
      <c r="A1074" s="40"/>
      <c r="B1074" s="41"/>
      <c r="C1074" s="41"/>
      <c r="D1074" s="41"/>
      <c r="E1074" s="41"/>
      <c r="F1074" s="41"/>
      <c r="G1074" s="41"/>
      <c r="H1074" s="41"/>
    </row>
    <row r="1075">
      <c r="A1075" s="40"/>
      <c r="B1075" s="41"/>
      <c r="C1075" s="41"/>
      <c r="D1075" s="41"/>
      <c r="E1075" s="41"/>
      <c r="F1075" s="41"/>
      <c r="G1075" s="41"/>
      <c r="H1075" s="41"/>
    </row>
    <row r="1076">
      <c r="A1076" s="40"/>
      <c r="B1076" s="41"/>
      <c r="C1076" s="41"/>
      <c r="D1076" s="41"/>
      <c r="E1076" s="41"/>
      <c r="F1076" s="41"/>
      <c r="G1076" s="41"/>
      <c r="H1076" s="41"/>
    </row>
    <row r="1077">
      <c r="A1077" s="40"/>
      <c r="B1077" s="41"/>
      <c r="C1077" s="41"/>
      <c r="D1077" s="41"/>
      <c r="E1077" s="41"/>
      <c r="F1077" s="41"/>
      <c r="G1077" s="41"/>
      <c r="H1077" s="41"/>
    </row>
    <row r="1078">
      <c r="A1078" s="40"/>
      <c r="B1078" s="41"/>
      <c r="C1078" s="41"/>
      <c r="D1078" s="41"/>
      <c r="E1078" s="41"/>
      <c r="F1078" s="41"/>
      <c r="G1078" s="41"/>
      <c r="H1078" s="41"/>
    </row>
    <row r="1079">
      <c r="A1079" s="40"/>
      <c r="B1079" s="41"/>
      <c r="C1079" s="41"/>
      <c r="D1079" s="41"/>
      <c r="E1079" s="41"/>
      <c r="F1079" s="41"/>
      <c r="G1079" s="41"/>
      <c r="H1079" s="41"/>
    </row>
    <row r="1080">
      <c r="A1080" s="40"/>
      <c r="B1080" s="41"/>
      <c r="C1080" s="41"/>
      <c r="D1080" s="41"/>
      <c r="E1080" s="41"/>
      <c r="F1080" s="41"/>
      <c r="G1080" s="41"/>
      <c r="H1080" s="41"/>
    </row>
    <row r="1081">
      <c r="A1081" s="40"/>
      <c r="B1081" s="41"/>
      <c r="C1081" s="41"/>
      <c r="D1081" s="41"/>
      <c r="E1081" s="41"/>
      <c r="F1081" s="41"/>
      <c r="G1081" s="41"/>
      <c r="H1081" s="41"/>
    </row>
    <row r="1082">
      <c r="A1082" s="40"/>
      <c r="B1082" s="41"/>
      <c r="C1082" s="41"/>
      <c r="D1082" s="41"/>
      <c r="E1082" s="41"/>
      <c r="F1082" s="41"/>
      <c r="G1082" s="41"/>
      <c r="H1082" s="41"/>
    </row>
    <row r="1083">
      <c r="A1083" s="40"/>
      <c r="B1083" s="41"/>
      <c r="C1083" s="41"/>
      <c r="D1083" s="41"/>
      <c r="E1083" s="41"/>
      <c r="F1083" s="41"/>
      <c r="G1083" s="41"/>
      <c r="H1083" s="41"/>
    </row>
    <row r="1084">
      <c r="A1084" s="40"/>
      <c r="B1084" s="41"/>
      <c r="C1084" s="41"/>
      <c r="D1084" s="41"/>
      <c r="E1084" s="41"/>
      <c r="F1084" s="41"/>
      <c r="G1084" s="41"/>
      <c r="H1084" s="41"/>
    </row>
    <row r="1085">
      <c r="A1085" s="40"/>
      <c r="B1085" s="41"/>
      <c r="C1085" s="41"/>
      <c r="D1085" s="41"/>
      <c r="E1085" s="41"/>
      <c r="F1085" s="41"/>
      <c r="G1085" s="41"/>
      <c r="H1085" s="41"/>
    </row>
    <row r="1086">
      <c r="A1086" s="40"/>
      <c r="B1086" s="41"/>
      <c r="C1086" s="41"/>
      <c r="D1086" s="41"/>
      <c r="E1086" s="41"/>
      <c r="F1086" s="41"/>
      <c r="G1086" s="41"/>
      <c r="H1086" s="41"/>
    </row>
    <row r="1087">
      <c r="A1087" s="40"/>
      <c r="B1087" s="41"/>
      <c r="C1087" s="41"/>
      <c r="D1087" s="41"/>
      <c r="E1087" s="41"/>
      <c r="F1087" s="41"/>
      <c r="G1087" s="41"/>
      <c r="H1087" s="41"/>
    </row>
    <row r="1088">
      <c r="A1088" s="40"/>
      <c r="B1088" s="41"/>
      <c r="C1088" s="41"/>
      <c r="D1088" s="41"/>
      <c r="E1088" s="41"/>
      <c r="F1088" s="41"/>
      <c r="G1088" s="41"/>
      <c r="H1088" s="41"/>
    </row>
    <row r="1089">
      <c r="A1089" s="40"/>
      <c r="B1089" s="41"/>
      <c r="C1089" s="41"/>
      <c r="D1089" s="41"/>
      <c r="E1089" s="41"/>
      <c r="F1089" s="41"/>
      <c r="G1089" s="41"/>
      <c r="H1089" s="41"/>
    </row>
    <row r="1090">
      <c r="A1090" s="40"/>
      <c r="B1090" s="41"/>
      <c r="C1090" s="41"/>
      <c r="D1090" s="41"/>
      <c r="E1090" s="41"/>
      <c r="F1090" s="41"/>
      <c r="G1090" s="41"/>
      <c r="H1090" s="41"/>
    </row>
    <row r="1091">
      <c r="A1091" s="40"/>
      <c r="B1091" s="41"/>
      <c r="C1091" s="41"/>
      <c r="D1091" s="41"/>
      <c r="E1091" s="41"/>
      <c r="F1091" s="41"/>
      <c r="G1091" s="41"/>
      <c r="H1091" s="41"/>
    </row>
    <row r="1092">
      <c r="A1092" s="40"/>
      <c r="B1092" s="41"/>
      <c r="C1092" s="41"/>
      <c r="D1092" s="41"/>
      <c r="E1092" s="41"/>
      <c r="F1092" s="41"/>
      <c r="G1092" s="41"/>
      <c r="H1092" s="41"/>
    </row>
    <row r="1093">
      <c r="A1093" s="40"/>
      <c r="B1093" s="41"/>
      <c r="C1093" s="41"/>
      <c r="D1093" s="41"/>
      <c r="E1093" s="41"/>
      <c r="F1093" s="41"/>
      <c r="G1093" s="41"/>
      <c r="H1093" s="41"/>
    </row>
    <row r="1094">
      <c r="A1094" s="40"/>
      <c r="B1094" s="41"/>
      <c r="C1094" s="41"/>
      <c r="D1094" s="41"/>
      <c r="E1094" s="41"/>
      <c r="F1094" s="41"/>
      <c r="G1094" s="41"/>
      <c r="H1094" s="41"/>
    </row>
    <row r="1095">
      <c r="A1095" s="40"/>
      <c r="B1095" s="41"/>
      <c r="C1095" s="41"/>
      <c r="D1095" s="41"/>
      <c r="E1095" s="41"/>
      <c r="F1095" s="41"/>
      <c r="G1095" s="41"/>
      <c r="H1095" s="41"/>
    </row>
    <row r="1096">
      <c r="A1096" s="40"/>
      <c r="B1096" s="41"/>
      <c r="C1096" s="41"/>
      <c r="D1096" s="41"/>
      <c r="E1096" s="41"/>
      <c r="F1096" s="41"/>
      <c r="G1096" s="41"/>
      <c r="H1096" s="41"/>
    </row>
    <row r="1097">
      <c r="A1097" s="40"/>
      <c r="B1097" s="41"/>
      <c r="C1097" s="41"/>
      <c r="D1097" s="41"/>
      <c r="E1097" s="41"/>
      <c r="F1097" s="41"/>
      <c r="G1097" s="41"/>
      <c r="H1097" s="41"/>
    </row>
    <row r="1098">
      <c r="A1098" s="40"/>
      <c r="B1098" s="41"/>
      <c r="C1098" s="41"/>
      <c r="D1098" s="41"/>
      <c r="E1098" s="41"/>
      <c r="F1098" s="41"/>
      <c r="G1098" s="41"/>
      <c r="H1098" s="41"/>
    </row>
    <row r="1099">
      <c r="A1099" s="40"/>
      <c r="B1099" s="41"/>
      <c r="C1099" s="41"/>
      <c r="D1099" s="41"/>
      <c r="E1099" s="41"/>
      <c r="F1099" s="41"/>
      <c r="G1099" s="41"/>
      <c r="H1099" s="41"/>
    </row>
    <row r="1100">
      <c r="A1100" s="40"/>
      <c r="B1100" s="41"/>
      <c r="C1100" s="41"/>
      <c r="D1100" s="41"/>
      <c r="E1100" s="41"/>
      <c r="F1100" s="41"/>
      <c r="G1100" s="41"/>
      <c r="H1100" s="41"/>
    </row>
    <row r="1101">
      <c r="A1101" s="40"/>
      <c r="B1101" s="41"/>
      <c r="C1101" s="41"/>
      <c r="D1101" s="41"/>
      <c r="E1101" s="41"/>
      <c r="F1101" s="41"/>
      <c r="G1101" s="41"/>
      <c r="H1101" s="41"/>
    </row>
    <row r="1102">
      <c r="A1102" s="40"/>
      <c r="B1102" s="41"/>
      <c r="C1102" s="41"/>
      <c r="D1102" s="41"/>
      <c r="E1102" s="41"/>
      <c r="F1102" s="41"/>
      <c r="G1102" s="41"/>
      <c r="H1102" s="41"/>
    </row>
    <row r="1103">
      <c r="A1103" s="40"/>
      <c r="B1103" s="41"/>
      <c r="C1103" s="41"/>
      <c r="D1103" s="41"/>
      <c r="E1103" s="41"/>
      <c r="F1103" s="41"/>
      <c r="G1103" s="41"/>
      <c r="H1103" s="41"/>
    </row>
    <row r="1104">
      <c r="A1104" s="40"/>
      <c r="B1104" s="41"/>
      <c r="C1104" s="41"/>
      <c r="D1104" s="41"/>
      <c r="E1104" s="41"/>
      <c r="F1104" s="41"/>
      <c r="G1104" s="41"/>
      <c r="H1104" s="41"/>
    </row>
    <row r="1105">
      <c r="A1105" s="40"/>
      <c r="B1105" s="41"/>
      <c r="C1105" s="41"/>
      <c r="D1105" s="41"/>
      <c r="E1105" s="41"/>
      <c r="F1105" s="41"/>
      <c r="G1105" s="41"/>
      <c r="H1105" s="41"/>
    </row>
    <row r="1106">
      <c r="A1106" s="40"/>
      <c r="B1106" s="41"/>
      <c r="C1106" s="41"/>
      <c r="D1106" s="41"/>
      <c r="E1106" s="41"/>
      <c r="F1106" s="41"/>
      <c r="G1106" s="41"/>
      <c r="H1106" s="41"/>
    </row>
    <row r="1107">
      <c r="A1107" s="40"/>
      <c r="B1107" s="41"/>
      <c r="C1107" s="41"/>
      <c r="D1107" s="41"/>
      <c r="E1107" s="41"/>
      <c r="F1107" s="41"/>
      <c r="G1107" s="41"/>
      <c r="H1107" s="41"/>
    </row>
    <row r="1108">
      <c r="A1108" s="40"/>
      <c r="B1108" s="41"/>
      <c r="C1108" s="41"/>
      <c r="D1108" s="41"/>
      <c r="E1108" s="41"/>
      <c r="F1108" s="41"/>
      <c r="G1108" s="41"/>
      <c r="H1108" s="41"/>
    </row>
    <row r="1109">
      <c r="A1109" s="40"/>
      <c r="B1109" s="41"/>
      <c r="C1109" s="41"/>
      <c r="D1109" s="41"/>
      <c r="E1109" s="41"/>
      <c r="F1109" s="41"/>
      <c r="G1109" s="41"/>
      <c r="H1109" s="41"/>
    </row>
    <row r="1110">
      <c r="A1110" s="40"/>
      <c r="B1110" s="41"/>
      <c r="C1110" s="41"/>
      <c r="D1110" s="41"/>
      <c r="E1110" s="41"/>
      <c r="F1110" s="41"/>
      <c r="G1110" s="41"/>
      <c r="H1110" s="41"/>
    </row>
    <row r="1111">
      <c r="A1111" s="40"/>
      <c r="B1111" s="41"/>
      <c r="C1111" s="41"/>
      <c r="D1111" s="41"/>
      <c r="E1111" s="41"/>
      <c r="F1111" s="41"/>
      <c r="G1111" s="41"/>
      <c r="H1111" s="41"/>
    </row>
    <row r="1112">
      <c r="A1112" s="40"/>
      <c r="B1112" s="41"/>
      <c r="C1112" s="41"/>
      <c r="D1112" s="41"/>
      <c r="E1112" s="41"/>
      <c r="F1112" s="41"/>
      <c r="G1112" s="41"/>
      <c r="H1112" s="41"/>
    </row>
    <row r="1113">
      <c r="A1113" s="40"/>
      <c r="B1113" s="41"/>
      <c r="C1113" s="41"/>
      <c r="D1113" s="41"/>
      <c r="E1113" s="41"/>
      <c r="F1113" s="41"/>
      <c r="G1113" s="41"/>
      <c r="H1113" s="41"/>
    </row>
    <row r="1114">
      <c r="A1114" s="40"/>
      <c r="B1114" s="41"/>
      <c r="C1114" s="41"/>
      <c r="D1114" s="41"/>
      <c r="E1114" s="41"/>
      <c r="F1114" s="41"/>
      <c r="G1114" s="41"/>
      <c r="H1114" s="41"/>
    </row>
    <row r="1115">
      <c r="A1115" s="40"/>
      <c r="B1115" s="41"/>
      <c r="C1115" s="41"/>
      <c r="D1115" s="41"/>
      <c r="E1115" s="41"/>
      <c r="F1115" s="41"/>
      <c r="G1115" s="41"/>
      <c r="H1115" s="41"/>
    </row>
    <row r="1116">
      <c r="A1116" s="40"/>
      <c r="B1116" s="41"/>
      <c r="C1116" s="41"/>
      <c r="D1116" s="41"/>
      <c r="E1116" s="41"/>
      <c r="F1116" s="41"/>
      <c r="G1116" s="41"/>
      <c r="H1116" s="41"/>
    </row>
    <row r="1117">
      <c r="A1117" s="40"/>
      <c r="B1117" s="41"/>
      <c r="C1117" s="41"/>
      <c r="D1117" s="41"/>
      <c r="E1117" s="41"/>
      <c r="F1117" s="41"/>
      <c r="G1117" s="41"/>
      <c r="H1117" s="41"/>
    </row>
    <row r="1118">
      <c r="A1118" s="40"/>
      <c r="B1118" s="41"/>
      <c r="C1118" s="41"/>
      <c r="D1118" s="41"/>
      <c r="E1118" s="41"/>
      <c r="F1118" s="41"/>
      <c r="G1118" s="41"/>
      <c r="H1118" s="41"/>
    </row>
    <row r="1119">
      <c r="A1119" s="40"/>
      <c r="B1119" s="41"/>
      <c r="C1119" s="41"/>
      <c r="D1119" s="41"/>
      <c r="E1119" s="41"/>
      <c r="F1119" s="41"/>
      <c r="G1119" s="41"/>
      <c r="H1119" s="41"/>
    </row>
    <row r="1120">
      <c r="A1120" s="40"/>
      <c r="B1120" s="41"/>
      <c r="C1120" s="41"/>
      <c r="D1120" s="41"/>
      <c r="E1120" s="41"/>
      <c r="F1120" s="41"/>
      <c r="G1120" s="41"/>
      <c r="H1120" s="41"/>
    </row>
    <row r="1121">
      <c r="A1121" s="40"/>
      <c r="B1121" s="41"/>
      <c r="C1121" s="41"/>
      <c r="D1121" s="41"/>
      <c r="E1121" s="41"/>
      <c r="F1121" s="41"/>
      <c r="G1121" s="41"/>
      <c r="H1121" s="41"/>
    </row>
    <row r="1122">
      <c r="A1122" s="40"/>
      <c r="B1122" s="41"/>
      <c r="C1122" s="41"/>
      <c r="D1122" s="41"/>
      <c r="E1122" s="41"/>
      <c r="F1122" s="41"/>
      <c r="G1122" s="41"/>
      <c r="H1122" s="41"/>
    </row>
    <row r="1123">
      <c r="A1123" s="40"/>
      <c r="B1123" s="41"/>
      <c r="C1123" s="41"/>
      <c r="D1123" s="41"/>
      <c r="E1123" s="41"/>
      <c r="F1123" s="41"/>
      <c r="G1123" s="41"/>
      <c r="H1123" s="41"/>
    </row>
    <row r="1124">
      <c r="A1124" s="40"/>
      <c r="B1124" s="41"/>
      <c r="C1124" s="41"/>
      <c r="D1124" s="41"/>
      <c r="E1124" s="41"/>
      <c r="F1124" s="41"/>
      <c r="G1124" s="41"/>
      <c r="H1124" s="41"/>
    </row>
    <row r="1125">
      <c r="A1125" s="40"/>
      <c r="B1125" s="41"/>
      <c r="C1125" s="41"/>
      <c r="D1125" s="41"/>
      <c r="E1125" s="41"/>
      <c r="F1125" s="41"/>
      <c r="G1125" s="41"/>
      <c r="H1125" s="41"/>
    </row>
    <row r="1126">
      <c r="A1126" s="40"/>
      <c r="B1126" s="41"/>
      <c r="C1126" s="41"/>
      <c r="D1126" s="41"/>
      <c r="E1126" s="41"/>
      <c r="F1126" s="41"/>
      <c r="G1126" s="41"/>
      <c r="H1126" s="41"/>
    </row>
    <row r="1127">
      <c r="A1127" s="40"/>
      <c r="B1127" s="41"/>
      <c r="C1127" s="41"/>
      <c r="D1127" s="41"/>
      <c r="E1127" s="41"/>
      <c r="F1127" s="41"/>
      <c r="G1127" s="41"/>
      <c r="H1127" s="41"/>
    </row>
    <row r="1128">
      <c r="A1128" s="40"/>
      <c r="B1128" s="41"/>
      <c r="C1128" s="41"/>
      <c r="D1128" s="41"/>
      <c r="E1128" s="41"/>
      <c r="F1128" s="41"/>
      <c r="G1128" s="41"/>
      <c r="H1128" s="41"/>
    </row>
    <row r="1129">
      <c r="A1129" s="40"/>
      <c r="B1129" s="41"/>
      <c r="C1129" s="41"/>
      <c r="D1129" s="41"/>
      <c r="E1129" s="41"/>
      <c r="F1129" s="41"/>
      <c r="G1129" s="41"/>
      <c r="H1129" s="41"/>
    </row>
    <row r="1130">
      <c r="A1130" s="40"/>
      <c r="B1130" s="41"/>
      <c r="C1130" s="41"/>
      <c r="D1130" s="41"/>
      <c r="E1130" s="41"/>
      <c r="F1130" s="41"/>
      <c r="G1130" s="41"/>
      <c r="H1130" s="41"/>
    </row>
    <row r="1131">
      <c r="A1131" s="40"/>
      <c r="B1131" s="41"/>
      <c r="C1131" s="41"/>
      <c r="D1131" s="41"/>
      <c r="E1131" s="41"/>
      <c r="F1131" s="41"/>
      <c r="G1131" s="41"/>
      <c r="H1131" s="41"/>
    </row>
    <row r="1132">
      <c r="A1132" s="40"/>
      <c r="B1132" s="41"/>
      <c r="C1132" s="41"/>
      <c r="D1132" s="41"/>
      <c r="E1132" s="41"/>
      <c r="F1132" s="41"/>
      <c r="G1132" s="41"/>
      <c r="H1132" s="41"/>
    </row>
    <row r="1133">
      <c r="A1133" s="40"/>
      <c r="B1133" s="41"/>
      <c r="C1133" s="41"/>
      <c r="D1133" s="41"/>
      <c r="E1133" s="41"/>
      <c r="F1133" s="41"/>
      <c r="G1133" s="41"/>
      <c r="H1133" s="41"/>
    </row>
    <row r="1134">
      <c r="A1134" s="40"/>
      <c r="B1134" s="41"/>
      <c r="C1134" s="41"/>
      <c r="D1134" s="41"/>
      <c r="E1134" s="41"/>
      <c r="F1134" s="41"/>
      <c r="G1134" s="41"/>
      <c r="H1134" s="41"/>
    </row>
    <row r="1135">
      <c r="A1135" s="40"/>
      <c r="B1135" s="41"/>
      <c r="C1135" s="41"/>
      <c r="D1135" s="41"/>
      <c r="E1135" s="41"/>
      <c r="F1135" s="41"/>
      <c r="G1135" s="41"/>
      <c r="H1135" s="41"/>
    </row>
    <row r="1136">
      <c r="A1136" s="40"/>
      <c r="B1136" s="41"/>
      <c r="C1136" s="41"/>
      <c r="D1136" s="41"/>
      <c r="E1136" s="41"/>
      <c r="F1136" s="41"/>
      <c r="G1136" s="41"/>
      <c r="H1136" s="41"/>
    </row>
    <row r="1137">
      <c r="A1137" s="40"/>
      <c r="B1137" s="41"/>
      <c r="C1137" s="41"/>
      <c r="D1137" s="41"/>
      <c r="E1137" s="41"/>
      <c r="F1137" s="41"/>
      <c r="G1137" s="41"/>
      <c r="H1137" s="41"/>
    </row>
    <row r="1138">
      <c r="A1138" s="40"/>
      <c r="B1138" s="41"/>
      <c r="C1138" s="41"/>
      <c r="D1138" s="41"/>
      <c r="E1138" s="41"/>
      <c r="F1138" s="41"/>
      <c r="G1138" s="41"/>
      <c r="H1138" s="41"/>
    </row>
    <row r="1139">
      <c r="A1139" s="40"/>
      <c r="B1139" s="41"/>
      <c r="C1139" s="41"/>
      <c r="D1139" s="41"/>
      <c r="E1139" s="41"/>
      <c r="F1139" s="41"/>
      <c r="G1139" s="41"/>
      <c r="H1139" s="41"/>
    </row>
    <row r="1140">
      <c r="A1140" s="40"/>
      <c r="B1140" s="41"/>
      <c r="C1140" s="41"/>
      <c r="D1140" s="41"/>
      <c r="E1140" s="41"/>
      <c r="F1140" s="41"/>
      <c r="G1140" s="41"/>
      <c r="H1140" s="41"/>
    </row>
    <row r="1141">
      <c r="A1141" s="40"/>
      <c r="B1141" s="41"/>
      <c r="C1141" s="41"/>
      <c r="D1141" s="41"/>
      <c r="E1141" s="41"/>
      <c r="F1141" s="41"/>
      <c r="G1141" s="41"/>
      <c r="H1141" s="41"/>
    </row>
    <row r="1142">
      <c r="A1142" s="40"/>
      <c r="B1142" s="41"/>
      <c r="C1142" s="41"/>
      <c r="D1142" s="41"/>
      <c r="E1142" s="41"/>
      <c r="F1142" s="41"/>
      <c r="G1142" s="41"/>
      <c r="H1142" s="41"/>
    </row>
    <row r="1143">
      <c r="A1143" s="40"/>
      <c r="B1143" s="41"/>
      <c r="C1143" s="41"/>
      <c r="D1143" s="41"/>
      <c r="E1143" s="41"/>
      <c r="F1143" s="41"/>
      <c r="G1143" s="41"/>
      <c r="H1143" s="41"/>
    </row>
    <row r="1144">
      <c r="A1144" s="40"/>
      <c r="B1144" s="41"/>
      <c r="C1144" s="41"/>
      <c r="D1144" s="41"/>
      <c r="E1144" s="41"/>
      <c r="F1144" s="41"/>
      <c r="G1144" s="41"/>
      <c r="H1144" s="41"/>
    </row>
    <row r="1145">
      <c r="A1145" s="40"/>
      <c r="B1145" s="41"/>
      <c r="C1145" s="41"/>
      <c r="D1145" s="41"/>
      <c r="E1145" s="41"/>
      <c r="F1145" s="41"/>
      <c r="G1145" s="41"/>
      <c r="H1145" s="41"/>
    </row>
    <row r="1146">
      <c r="A1146" s="40"/>
      <c r="B1146" s="41"/>
      <c r="C1146" s="41"/>
      <c r="D1146" s="41"/>
      <c r="E1146" s="41"/>
      <c r="F1146" s="41"/>
      <c r="G1146" s="41"/>
      <c r="H1146" s="41"/>
    </row>
    <row r="1147">
      <c r="A1147" s="40"/>
      <c r="B1147" s="41"/>
      <c r="C1147" s="41"/>
      <c r="D1147" s="41"/>
      <c r="E1147" s="41"/>
      <c r="F1147" s="41"/>
      <c r="G1147" s="41"/>
      <c r="H1147" s="41"/>
    </row>
    <row r="1148">
      <c r="A1148" s="40"/>
      <c r="B1148" s="41"/>
      <c r="C1148" s="41"/>
      <c r="D1148" s="41"/>
      <c r="E1148" s="41"/>
      <c r="F1148" s="41"/>
      <c r="G1148" s="41"/>
      <c r="H1148" s="41"/>
    </row>
    <row r="1149">
      <c r="A1149" s="40"/>
      <c r="B1149" s="41"/>
      <c r="C1149" s="41"/>
      <c r="D1149" s="41"/>
      <c r="E1149" s="41"/>
      <c r="F1149" s="41"/>
      <c r="G1149" s="41"/>
      <c r="H1149" s="41"/>
    </row>
    <row r="1150">
      <c r="A1150" s="40"/>
      <c r="B1150" s="41"/>
      <c r="C1150" s="41"/>
      <c r="D1150" s="41"/>
      <c r="E1150" s="41"/>
      <c r="F1150" s="41"/>
      <c r="G1150" s="41"/>
      <c r="H1150" s="41"/>
    </row>
    <row r="1151">
      <c r="A1151" s="40"/>
      <c r="B1151" s="41"/>
      <c r="C1151" s="41"/>
      <c r="D1151" s="41"/>
      <c r="E1151" s="41"/>
      <c r="F1151" s="41"/>
      <c r="G1151" s="41"/>
      <c r="H1151" s="41"/>
    </row>
    <row r="1152">
      <c r="A1152" s="40"/>
      <c r="B1152" s="41"/>
      <c r="C1152" s="41"/>
      <c r="D1152" s="41"/>
      <c r="E1152" s="41"/>
      <c r="F1152" s="41"/>
      <c r="G1152" s="41"/>
      <c r="H1152" s="41"/>
    </row>
    <row r="1153">
      <c r="A1153" s="40"/>
      <c r="B1153" s="41"/>
      <c r="C1153" s="41"/>
      <c r="D1153" s="41"/>
      <c r="E1153" s="41"/>
      <c r="F1153" s="41"/>
      <c r="G1153" s="41"/>
      <c r="H1153" s="41"/>
    </row>
    <row r="1154">
      <c r="A1154" s="40"/>
      <c r="B1154" s="41"/>
      <c r="C1154" s="41"/>
      <c r="D1154" s="41"/>
      <c r="E1154" s="41"/>
      <c r="F1154" s="41"/>
      <c r="G1154" s="41"/>
      <c r="H1154" s="41"/>
    </row>
    <row r="1155">
      <c r="A1155" s="40"/>
      <c r="B1155" s="41"/>
      <c r="C1155" s="41"/>
      <c r="D1155" s="41"/>
      <c r="E1155" s="41"/>
      <c r="F1155" s="41"/>
      <c r="G1155" s="41"/>
      <c r="H1155" s="41"/>
    </row>
    <row r="1156">
      <c r="A1156" s="40"/>
      <c r="B1156" s="41"/>
      <c r="C1156" s="41"/>
      <c r="D1156" s="41"/>
      <c r="E1156" s="41"/>
      <c r="F1156" s="41"/>
      <c r="G1156" s="41"/>
      <c r="H1156" s="41"/>
    </row>
    <row r="1157">
      <c r="A1157" s="40"/>
      <c r="B1157" s="41"/>
      <c r="C1157" s="41"/>
      <c r="D1157" s="41"/>
      <c r="E1157" s="41"/>
      <c r="F1157" s="41"/>
      <c r="G1157" s="41"/>
      <c r="H1157" s="41"/>
    </row>
    <row r="1158">
      <c r="A1158" s="40"/>
      <c r="B1158" s="41"/>
      <c r="C1158" s="41"/>
      <c r="D1158" s="41"/>
      <c r="E1158" s="41"/>
      <c r="F1158" s="41"/>
      <c r="G1158" s="41"/>
      <c r="H1158" s="41"/>
    </row>
    <row r="1159">
      <c r="A1159" s="40"/>
      <c r="B1159" s="41"/>
      <c r="C1159" s="41"/>
      <c r="D1159" s="41"/>
      <c r="E1159" s="41"/>
      <c r="F1159" s="41"/>
      <c r="G1159" s="41"/>
      <c r="H1159" s="41"/>
    </row>
    <row r="1160">
      <c r="A1160" s="40"/>
      <c r="B1160" s="41"/>
      <c r="C1160" s="41"/>
      <c r="D1160" s="41"/>
      <c r="E1160" s="41"/>
      <c r="F1160" s="41"/>
      <c r="G1160" s="41"/>
      <c r="H1160" s="41"/>
    </row>
    <row r="1161">
      <c r="A1161" s="40"/>
      <c r="B1161" s="41"/>
      <c r="C1161" s="41"/>
      <c r="D1161" s="41"/>
      <c r="E1161" s="41"/>
      <c r="F1161" s="41"/>
      <c r="G1161" s="41"/>
      <c r="H1161" s="41"/>
    </row>
    <row r="1162">
      <c r="A1162" s="40"/>
      <c r="B1162" s="41"/>
      <c r="C1162" s="41"/>
      <c r="D1162" s="41"/>
      <c r="E1162" s="41"/>
      <c r="F1162" s="41"/>
      <c r="G1162" s="41"/>
      <c r="H1162" s="41"/>
    </row>
    <row r="1163">
      <c r="A1163" s="40"/>
      <c r="B1163" s="41"/>
      <c r="C1163" s="41"/>
      <c r="D1163" s="41"/>
      <c r="E1163" s="41"/>
      <c r="F1163" s="41"/>
      <c r="G1163" s="41"/>
      <c r="H1163" s="41"/>
    </row>
    <row r="1164">
      <c r="A1164" s="40"/>
      <c r="B1164" s="41"/>
      <c r="C1164" s="41"/>
      <c r="D1164" s="41"/>
      <c r="E1164" s="41"/>
      <c r="F1164" s="41"/>
      <c r="G1164" s="41"/>
      <c r="H1164" s="41"/>
    </row>
    <row r="1165">
      <c r="A1165" s="40"/>
      <c r="B1165" s="41"/>
      <c r="C1165" s="41"/>
      <c r="D1165" s="41"/>
      <c r="E1165" s="41"/>
      <c r="F1165" s="41"/>
      <c r="G1165" s="41"/>
      <c r="H1165" s="41"/>
    </row>
    <row r="1166">
      <c r="A1166" s="40"/>
      <c r="B1166" s="41"/>
      <c r="C1166" s="41"/>
      <c r="D1166" s="41"/>
      <c r="E1166" s="41"/>
      <c r="F1166" s="41"/>
      <c r="G1166" s="41"/>
      <c r="H1166" s="41"/>
    </row>
    <row r="1167">
      <c r="A1167" s="40"/>
      <c r="B1167" s="41"/>
      <c r="C1167" s="41"/>
      <c r="D1167" s="41"/>
      <c r="E1167" s="41"/>
      <c r="F1167" s="41"/>
      <c r="G1167" s="41"/>
      <c r="H1167" s="41"/>
    </row>
    <row r="1168">
      <c r="A1168" s="40"/>
      <c r="B1168" s="41"/>
      <c r="C1168" s="41"/>
      <c r="D1168" s="41"/>
      <c r="E1168" s="41"/>
      <c r="F1168" s="41"/>
      <c r="G1168" s="41"/>
      <c r="H1168" s="41"/>
    </row>
    <row r="1169">
      <c r="A1169" s="40"/>
      <c r="B1169" s="41"/>
      <c r="C1169" s="41"/>
      <c r="D1169" s="41"/>
      <c r="E1169" s="41"/>
      <c r="F1169" s="41"/>
      <c r="G1169" s="41"/>
      <c r="H1169" s="41"/>
    </row>
    <row r="1170">
      <c r="A1170" s="40"/>
      <c r="B1170" s="41"/>
      <c r="C1170" s="41"/>
      <c r="D1170" s="41"/>
      <c r="E1170" s="41"/>
      <c r="F1170" s="41"/>
      <c r="G1170" s="41"/>
      <c r="H1170" s="41"/>
    </row>
    <row r="1171">
      <c r="A1171" s="40"/>
      <c r="B1171" s="41"/>
      <c r="C1171" s="41"/>
      <c r="D1171" s="41"/>
      <c r="E1171" s="41"/>
      <c r="F1171" s="41"/>
      <c r="G1171" s="41"/>
      <c r="H1171" s="41"/>
    </row>
    <row r="1172">
      <c r="A1172" s="40"/>
      <c r="B1172" s="41"/>
      <c r="C1172" s="41"/>
      <c r="D1172" s="41"/>
      <c r="E1172" s="41"/>
      <c r="F1172" s="41"/>
      <c r="G1172" s="41"/>
      <c r="H1172" s="41"/>
    </row>
    <row r="1173">
      <c r="A1173" s="40"/>
      <c r="B1173" s="41"/>
      <c r="C1173" s="41"/>
      <c r="D1173" s="41"/>
      <c r="E1173" s="41"/>
      <c r="F1173" s="41"/>
      <c r="G1173" s="41"/>
      <c r="H1173" s="41"/>
    </row>
    <row r="1174">
      <c r="A1174" s="40"/>
      <c r="B1174" s="41"/>
      <c r="C1174" s="41"/>
      <c r="D1174" s="41"/>
      <c r="E1174" s="41"/>
      <c r="F1174" s="41"/>
      <c r="G1174" s="41"/>
      <c r="H1174" s="41"/>
    </row>
    <row r="1175">
      <c r="A1175" s="40"/>
      <c r="B1175" s="41"/>
      <c r="C1175" s="41"/>
      <c r="D1175" s="41"/>
      <c r="E1175" s="41"/>
      <c r="F1175" s="41"/>
      <c r="G1175" s="41"/>
      <c r="H1175" s="41"/>
    </row>
    <row r="1176">
      <c r="A1176" s="40"/>
      <c r="B1176" s="41"/>
      <c r="C1176" s="41"/>
      <c r="D1176" s="41"/>
      <c r="E1176" s="41"/>
      <c r="F1176" s="41"/>
      <c r="G1176" s="41"/>
      <c r="H1176" s="41"/>
    </row>
    <row r="1177">
      <c r="A1177" s="40"/>
      <c r="B1177" s="41"/>
      <c r="C1177" s="41"/>
      <c r="D1177" s="41"/>
      <c r="E1177" s="41"/>
      <c r="F1177" s="41"/>
      <c r="G1177" s="41"/>
      <c r="H1177" s="41"/>
    </row>
    <row r="1178">
      <c r="A1178" s="40"/>
      <c r="B1178" s="41"/>
      <c r="C1178" s="41"/>
      <c r="D1178" s="41"/>
      <c r="E1178" s="41"/>
      <c r="F1178" s="41"/>
      <c r="G1178" s="41"/>
      <c r="H1178" s="41"/>
    </row>
    <row r="1179">
      <c r="A1179" s="40"/>
      <c r="B1179" s="41"/>
      <c r="C1179" s="41"/>
      <c r="D1179" s="41"/>
      <c r="E1179" s="41"/>
      <c r="F1179" s="41"/>
      <c r="G1179" s="41"/>
      <c r="H1179" s="41"/>
    </row>
    <row r="1180">
      <c r="A1180" s="40"/>
      <c r="B1180" s="41"/>
      <c r="C1180" s="41"/>
      <c r="D1180" s="41"/>
      <c r="E1180" s="41"/>
      <c r="F1180" s="41"/>
      <c r="G1180" s="41"/>
      <c r="H1180" s="41"/>
    </row>
    <row r="1181">
      <c r="A1181" s="40"/>
      <c r="B1181" s="41"/>
      <c r="C1181" s="41"/>
      <c r="D1181" s="41"/>
      <c r="E1181" s="41"/>
      <c r="F1181" s="41"/>
      <c r="G1181" s="41"/>
      <c r="H1181" s="41"/>
    </row>
    <row r="1182">
      <c r="A1182" s="40"/>
      <c r="B1182" s="41"/>
      <c r="C1182" s="41"/>
      <c r="D1182" s="41"/>
      <c r="E1182" s="41"/>
      <c r="F1182" s="41"/>
      <c r="G1182" s="41"/>
      <c r="H1182" s="41"/>
    </row>
    <row r="1183">
      <c r="A1183" s="40"/>
      <c r="B1183" s="41"/>
      <c r="C1183" s="41"/>
      <c r="D1183" s="41"/>
      <c r="E1183" s="41"/>
      <c r="F1183" s="41"/>
      <c r="G1183" s="41"/>
      <c r="H1183" s="41"/>
    </row>
    <row r="1184">
      <c r="A1184" s="40"/>
      <c r="B1184" s="41"/>
      <c r="C1184" s="41"/>
      <c r="D1184" s="41"/>
      <c r="E1184" s="41"/>
      <c r="F1184" s="41"/>
      <c r="G1184" s="41"/>
      <c r="H1184" s="41"/>
    </row>
    <row r="1185">
      <c r="A1185" s="40"/>
      <c r="B1185" s="41"/>
      <c r="C1185" s="41"/>
      <c r="D1185" s="41"/>
      <c r="E1185" s="41"/>
      <c r="F1185" s="41"/>
      <c r="G1185" s="41"/>
      <c r="H1185" s="41"/>
    </row>
    <row r="1186">
      <c r="A1186" s="40"/>
      <c r="B1186" s="41"/>
      <c r="C1186" s="41"/>
      <c r="D1186" s="41"/>
      <c r="E1186" s="41"/>
      <c r="F1186" s="41"/>
      <c r="G1186" s="41"/>
      <c r="H1186" s="41"/>
    </row>
    <row r="1187">
      <c r="A1187" s="40"/>
      <c r="B1187" s="41"/>
      <c r="C1187" s="41"/>
      <c r="D1187" s="41"/>
      <c r="E1187" s="41"/>
      <c r="F1187" s="41"/>
      <c r="G1187" s="41"/>
      <c r="H1187" s="41"/>
    </row>
    <row r="1188">
      <c r="A1188" s="40"/>
      <c r="B1188" s="41"/>
      <c r="C1188" s="41"/>
      <c r="D1188" s="41"/>
      <c r="E1188" s="41"/>
      <c r="F1188" s="41"/>
      <c r="G1188" s="41"/>
      <c r="H1188" s="41"/>
    </row>
    <row r="1189">
      <c r="A1189" s="40"/>
      <c r="B1189" s="41"/>
      <c r="C1189" s="41"/>
      <c r="D1189" s="41"/>
      <c r="E1189" s="41"/>
      <c r="F1189" s="41"/>
      <c r="G1189" s="41"/>
      <c r="H1189" s="41"/>
    </row>
    <row r="1190">
      <c r="A1190" s="40"/>
      <c r="B1190" s="41"/>
      <c r="C1190" s="41"/>
      <c r="D1190" s="41"/>
      <c r="E1190" s="41"/>
      <c r="F1190" s="41"/>
      <c r="G1190" s="41"/>
      <c r="H1190" s="41"/>
    </row>
    <row r="1191">
      <c r="A1191" s="40"/>
      <c r="B1191" s="41"/>
      <c r="C1191" s="41"/>
      <c r="D1191" s="41"/>
      <c r="E1191" s="41"/>
      <c r="F1191" s="41"/>
      <c r="G1191" s="41"/>
      <c r="H1191" s="41"/>
    </row>
    <row r="1192">
      <c r="A1192" s="40"/>
      <c r="B1192" s="41"/>
      <c r="C1192" s="41"/>
      <c r="D1192" s="41"/>
      <c r="E1192" s="41"/>
      <c r="F1192" s="41"/>
      <c r="G1192" s="41"/>
      <c r="H1192" s="41"/>
    </row>
    <row r="1193">
      <c r="A1193" s="40"/>
      <c r="B1193" s="41"/>
      <c r="C1193" s="41"/>
      <c r="D1193" s="41"/>
      <c r="E1193" s="41"/>
      <c r="F1193" s="41"/>
      <c r="G1193" s="41"/>
      <c r="H1193" s="41"/>
    </row>
    <row r="1194">
      <c r="A1194" s="40"/>
      <c r="B1194" s="41"/>
      <c r="C1194" s="41"/>
      <c r="D1194" s="41"/>
      <c r="E1194" s="41"/>
      <c r="F1194" s="41"/>
      <c r="G1194" s="41"/>
      <c r="H1194" s="41"/>
    </row>
    <row r="1195">
      <c r="A1195" s="40"/>
      <c r="B1195" s="41"/>
      <c r="C1195" s="41"/>
      <c r="D1195" s="41"/>
      <c r="E1195" s="41"/>
      <c r="F1195" s="41"/>
      <c r="G1195" s="41"/>
      <c r="H1195" s="41"/>
    </row>
    <row r="1196">
      <c r="A1196" s="40"/>
      <c r="B1196" s="41"/>
      <c r="C1196" s="41"/>
      <c r="D1196" s="41"/>
      <c r="E1196" s="41"/>
      <c r="F1196" s="41"/>
      <c r="G1196" s="41"/>
      <c r="H1196" s="41"/>
    </row>
    <row r="1197">
      <c r="A1197" s="40"/>
      <c r="B1197" s="41"/>
      <c r="C1197" s="41"/>
      <c r="D1197" s="41"/>
      <c r="E1197" s="41"/>
      <c r="F1197" s="41"/>
      <c r="G1197" s="41"/>
      <c r="H1197" s="41"/>
    </row>
    <row r="1198">
      <c r="A1198" s="40"/>
      <c r="B1198" s="41"/>
      <c r="C1198" s="41"/>
      <c r="D1198" s="41"/>
      <c r="E1198" s="41"/>
      <c r="F1198" s="41"/>
      <c r="G1198" s="41"/>
      <c r="H1198" s="41"/>
    </row>
    <row r="1199">
      <c r="A1199" s="40"/>
      <c r="B1199" s="41"/>
      <c r="C1199" s="41"/>
      <c r="D1199" s="41"/>
      <c r="E1199" s="41"/>
      <c r="F1199" s="41"/>
      <c r="G1199" s="41"/>
      <c r="H1199" s="41"/>
    </row>
    <row r="1200">
      <c r="A1200" s="40"/>
      <c r="B1200" s="41"/>
      <c r="C1200" s="41"/>
      <c r="D1200" s="41"/>
      <c r="E1200" s="41"/>
      <c r="F1200" s="41"/>
      <c r="G1200" s="41"/>
      <c r="H1200" s="41"/>
    </row>
    <row r="1201">
      <c r="A1201" s="40"/>
      <c r="B1201" s="41"/>
      <c r="C1201" s="41"/>
      <c r="D1201" s="41"/>
      <c r="E1201" s="41"/>
      <c r="F1201" s="41"/>
      <c r="G1201" s="41"/>
      <c r="H1201" s="41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54"/>
  <tableParts count="1">
    <tablePart r:id="rId35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0"/>
    <col customWidth="1" min="2" max="2" width="42.63"/>
    <col customWidth="1" min="3" max="3" width="15.5"/>
    <col customWidth="1" min="4" max="5" width="18.13"/>
    <col customWidth="1" min="6" max="6" width="14.0"/>
    <col customWidth="1" min="7" max="7" width="13.63"/>
  </cols>
  <sheetData>
    <row r="1" ht="22.5" customHeight="1">
      <c r="A1" s="18" t="s">
        <v>275</v>
      </c>
      <c r="B1" s="19" t="s">
        <v>6</v>
      </c>
      <c r="C1" s="19" t="s">
        <v>276</v>
      </c>
      <c r="D1" s="42" t="s">
        <v>93</v>
      </c>
      <c r="E1" s="19" t="s">
        <v>94</v>
      </c>
      <c r="F1" s="19" t="s">
        <v>95</v>
      </c>
      <c r="G1" s="19" t="s">
        <v>96</v>
      </c>
    </row>
    <row r="2" ht="22.5" customHeight="1">
      <c r="A2" s="20" t="str">
        <f t="array" ref="A2:A102">BYROW(ตาราง1_3[[รายการสินค้า]:[ขนาด]], LAMBDA(row, TEXTJOIN("-", TRUE, row)))</f>
        <v>ยาง 044-40</v>
      </c>
      <c r="B2" s="21" t="s">
        <v>1152</v>
      </c>
      <c r="C2" s="19">
        <v>40.0</v>
      </c>
      <c r="D2" s="19">
        <v>7.5</v>
      </c>
      <c r="E2" s="29" t="s">
        <v>1153</v>
      </c>
      <c r="F2" s="19">
        <v>9.0</v>
      </c>
      <c r="G2" s="21">
        <f t="array" ref="G2:G102">MAP(ตาราง1_3[SKU],LAMBDA(sku,SUMIFS('รับเข้า-เบิก'!H:H,'รับเข้า-เบิก'!G:G,sku,'รับเข้า-เบิก'!I:I,"รับเข้า")))</f>
        <v>0</v>
      </c>
    </row>
    <row r="3" ht="22.5" customHeight="1">
      <c r="A3" s="20" t="s">
        <v>1154</v>
      </c>
      <c r="B3" s="21" t="s">
        <v>1154</v>
      </c>
      <c r="C3" s="21"/>
      <c r="D3" s="19">
        <v>10.5</v>
      </c>
      <c r="E3" s="29" t="s">
        <v>1155</v>
      </c>
      <c r="F3" s="19">
        <v>11.0</v>
      </c>
      <c r="G3" s="21">
        <v>0.0</v>
      </c>
    </row>
    <row r="4" ht="22.5" customHeight="1">
      <c r="A4" s="20" t="s">
        <v>1156</v>
      </c>
      <c r="B4" s="21" t="s">
        <v>1156</v>
      </c>
      <c r="C4" s="21"/>
      <c r="D4" s="19">
        <v>8.5</v>
      </c>
      <c r="E4" s="29" t="s">
        <v>1157</v>
      </c>
      <c r="F4" s="19">
        <v>7.0</v>
      </c>
      <c r="G4" s="21">
        <v>0.0</v>
      </c>
    </row>
    <row r="5" ht="22.5" customHeight="1">
      <c r="A5" s="18" t="s">
        <v>1158</v>
      </c>
      <c r="B5" s="21" t="s">
        <v>1158</v>
      </c>
      <c r="C5" s="19"/>
      <c r="D5" s="19">
        <v>5.5</v>
      </c>
      <c r="E5" s="29" t="s">
        <v>1159</v>
      </c>
      <c r="F5" s="19">
        <v>20.0</v>
      </c>
      <c r="G5" s="21">
        <v>0.0</v>
      </c>
    </row>
    <row r="6" ht="22.5" customHeight="1">
      <c r="A6" s="18" t="s">
        <v>1160</v>
      </c>
      <c r="B6" s="21" t="s">
        <v>1160</v>
      </c>
      <c r="C6" s="19"/>
      <c r="D6" s="19">
        <v>5.0</v>
      </c>
      <c r="E6" s="24" t="s">
        <v>1159</v>
      </c>
      <c r="F6" s="19">
        <v>5.0</v>
      </c>
      <c r="G6" s="21">
        <v>0.0</v>
      </c>
    </row>
    <row r="7" ht="22.5" customHeight="1">
      <c r="A7" s="18" t="s">
        <v>1161</v>
      </c>
      <c r="B7" s="21" t="s">
        <v>1161</v>
      </c>
      <c r="C7" s="19"/>
      <c r="D7" s="19"/>
      <c r="E7" s="29" t="s">
        <v>1162</v>
      </c>
      <c r="F7" s="19">
        <v>10.0</v>
      </c>
      <c r="G7" s="21">
        <v>0.0</v>
      </c>
    </row>
    <row r="8" ht="22.5" customHeight="1">
      <c r="A8" s="18" t="s">
        <v>1163</v>
      </c>
      <c r="B8" s="21" t="s">
        <v>1163</v>
      </c>
      <c r="C8" s="19"/>
      <c r="D8" s="19"/>
      <c r="E8" s="29" t="s">
        <v>1164</v>
      </c>
      <c r="F8" s="19">
        <v>18.0</v>
      </c>
      <c r="G8" s="21">
        <v>0.0</v>
      </c>
    </row>
    <row r="9" ht="22.5" customHeight="1">
      <c r="A9" s="20" t="s">
        <v>1165</v>
      </c>
      <c r="B9" s="19" t="s">
        <v>1165</v>
      </c>
      <c r="C9" s="21"/>
      <c r="D9" s="19">
        <v>1.5</v>
      </c>
      <c r="E9" s="43" t="s">
        <v>1166</v>
      </c>
      <c r="F9" s="21"/>
      <c r="G9" s="21">
        <v>0.0</v>
      </c>
    </row>
    <row r="10" ht="22.5" customHeight="1">
      <c r="A10" s="18" t="s">
        <v>1167</v>
      </c>
      <c r="B10" s="19" t="s">
        <v>1167</v>
      </c>
      <c r="C10" s="21"/>
      <c r="D10" s="19">
        <v>1.5</v>
      </c>
      <c r="E10" s="29" t="s">
        <v>1166</v>
      </c>
      <c r="F10" s="21"/>
      <c r="G10" s="21">
        <v>0.0</v>
      </c>
    </row>
    <row r="11" ht="22.5" customHeight="1">
      <c r="A11" s="18" t="s">
        <v>1168</v>
      </c>
      <c r="B11" s="19" t="s">
        <v>1168</v>
      </c>
      <c r="C11" s="21"/>
      <c r="D11" s="19">
        <v>1.5</v>
      </c>
      <c r="E11" s="29" t="s">
        <v>1166</v>
      </c>
      <c r="F11" s="21"/>
      <c r="G11" s="21">
        <v>0.0</v>
      </c>
    </row>
    <row r="12" ht="22.5" customHeight="1">
      <c r="A12" s="18" t="s">
        <v>1169</v>
      </c>
      <c r="B12" s="19" t="s">
        <v>1169</v>
      </c>
      <c r="C12" s="21"/>
      <c r="D12" s="19">
        <v>10.5</v>
      </c>
      <c r="E12" s="29" t="s">
        <v>1170</v>
      </c>
      <c r="F12" s="21"/>
      <c r="G12" s="21">
        <v>0.0</v>
      </c>
    </row>
    <row r="13" ht="22.5" customHeight="1">
      <c r="A13" s="18" t="s">
        <v>1171</v>
      </c>
      <c r="B13" s="19" t="s">
        <v>1171</v>
      </c>
      <c r="C13" s="21"/>
      <c r="D13" s="19"/>
      <c r="E13" s="24" t="s">
        <v>1172</v>
      </c>
      <c r="F13" s="21"/>
      <c r="G13" s="21">
        <v>0.0</v>
      </c>
    </row>
    <row r="14" ht="22.5" customHeight="1">
      <c r="A14" s="18" t="s">
        <v>1173</v>
      </c>
      <c r="B14" s="19" t="s">
        <v>1173</v>
      </c>
      <c r="C14" s="21"/>
      <c r="D14" s="19"/>
      <c r="E14" s="24" t="s">
        <v>1174</v>
      </c>
      <c r="F14" s="21"/>
      <c r="G14" s="21">
        <v>0.0</v>
      </c>
    </row>
    <row r="15" ht="22.5" customHeight="1">
      <c r="A15" s="18" t="s">
        <v>1175</v>
      </c>
      <c r="B15" s="19" t="s">
        <v>1175</v>
      </c>
      <c r="C15" s="21"/>
      <c r="D15" s="19"/>
      <c r="E15" s="29" t="s">
        <v>1176</v>
      </c>
      <c r="F15" s="21"/>
      <c r="G15" s="21">
        <v>0.0</v>
      </c>
    </row>
    <row r="16" ht="22.5" customHeight="1">
      <c r="A16" s="25" t="s">
        <v>1177</v>
      </c>
      <c r="B16" s="26" t="s">
        <v>1177</v>
      </c>
      <c r="C16" s="28"/>
      <c r="D16" s="26"/>
      <c r="E16" s="45" t="s">
        <v>1153</v>
      </c>
      <c r="F16" s="28"/>
      <c r="G16" s="28">
        <v>0.0</v>
      </c>
    </row>
    <row r="17" ht="22.5" customHeight="1">
      <c r="A17" s="25" t="s">
        <v>1178</v>
      </c>
      <c r="B17" s="26" t="s">
        <v>1178</v>
      </c>
      <c r="C17" s="28"/>
      <c r="D17" s="26"/>
      <c r="E17" s="45" t="s">
        <v>1153</v>
      </c>
      <c r="F17" s="28"/>
      <c r="G17" s="28">
        <v>0.0</v>
      </c>
    </row>
    <row r="18" ht="22.5" customHeight="1">
      <c r="A18" s="25" t="s">
        <v>1179</v>
      </c>
      <c r="B18" s="26" t="s">
        <v>1180</v>
      </c>
      <c r="C18" s="26">
        <v>5.0</v>
      </c>
      <c r="D18" s="26"/>
      <c r="E18" s="45" t="s">
        <v>1181</v>
      </c>
      <c r="F18" s="26">
        <v>7.0</v>
      </c>
      <c r="G18" s="28">
        <v>0.0</v>
      </c>
    </row>
    <row r="19" ht="22.5" customHeight="1">
      <c r="A19" s="25" t="s">
        <v>1182</v>
      </c>
      <c r="B19" s="26" t="s">
        <v>1180</v>
      </c>
      <c r="C19" s="26">
        <v>6.0</v>
      </c>
      <c r="D19" s="26"/>
      <c r="E19" s="45" t="s">
        <v>1183</v>
      </c>
      <c r="F19" s="26">
        <v>6.0</v>
      </c>
      <c r="G19" s="28">
        <v>0.0</v>
      </c>
    </row>
    <row r="20" ht="22.5" customHeight="1">
      <c r="A20" s="25" t="s">
        <v>1184</v>
      </c>
      <c r="B20" s="26" t="s">
        <v>1180</v>
      </c>
      <c r="C20" s="26">
        <v>13.0</v>
      </c>
      <c r="D20" s="26"/>
      <c r="E20" s="45" t="s">
        <v>1185</v>
      </c>
      <c r="F20" s="26">
        <v>9.0</v>
      </c>
      <c r="G20" s="28">
        <v>0.0</v>
      </c>
    </row>
    <row r="21" ht="22.5" customHeight="1">
      <c r="A21" s="25" t="s">
        <v>1186</v>
      </c>
      <c r="B21" s="26" t="s">
        <v>1180</v>
      </c>
      <c r="C21" s="26">
        <v>15.0</v>
      </c>
      <c r="D21" s="26"/>
      <c r="E21" s="27" t="s">
        <v>1187</v>
      </c>
      <c r="F21" s="26">
        <v>7.0</v>
      </c>
      <c r="G21" s="28">
        <v>0.0</v>
      </c>
    </row>
    <row r="22" ht="22.5" customHeight="1">
      <c r="A22" s="25" t="s">
        <v>1188</v>
      </c>
      <c r="B22" s="26" t="s">
        <v>1189</v>
      </c>
      <c r="C22" s="26">
        <v>4.0</v>
      </c>
      <c r="D22" s="26"/>
      <c r="E22" s="45" t="s">
        <v>1190</v>
      </c>
      <c r="F22" s="26">
        <v>4.0</v>
      </c>
      <c r="G22" s="28">
        <v>0.0</v>
      </c>
    </row>
    <row r="23" ht="22.5" customHeight="1">
      <c r="A23" s="25" t="s">
        <v>1191</v>
      </c>
      <c r="B23" s="26" t="s">
        <v>1192</v>
      </c>
      <c r="C23" s="26">
        <v>1.0</v>
      </c>
      <c r="D23" s="26"/>
      <c r="E23" s="45" t="s">
        <v>1193</v>
      </c>
      <c r="F23" s="26">
        <v>15.0</v>
      </c>
      <c r="G23" s="28">
        <v>0.0</v>
      </c>
    </row>
    <row r="24" ht="22.5" customHeight="1">
      <c r="A24" s="25" t="s">
        <v>1194</v>
      </c>
      <c r="B24" s="26" t="s">
        <v>1195</v>
      </c>
      <c r="C24" s="26">
        <v>2.0</v>
      </c>
      <c r="D24" s="26"/>
      <c r="E24" s="27" t="s">
        <v>1196</v>
      </c>
      <c r="F24" s="26">
        <v>7.0</v>
      </c>
      <c r="G24" s="28">
        <v>0.0</v>
      </c>
    </row>
    <row r="25" ht="22.5" customHeight="1">
      <c r="A25" s="25" t="s">
        <v>1197</v>
      </c>
      <c r="B25" s="26" t="s">
        <v>1197</v>
      </c>
      <c r="C25" s="26"/>
      <c r="D25" s="26"/>
      <c r="E25" s="27" t="s">
        <v>1159</v>
      </c>
      <c r="F25" s="28"/>
      <c r="G25" s="28">
        <v>0.0</v>
      </c>
    </row>
    <row r="26" ht="22.5" customHeight="1">
      <c r="A26" s="25" t="s">
        <v>1198</v>
      </c>
      <c r="B26" s="26" t="s">
        <v>1198</v>
      </c>
      <c r="C26" s="26"/>
      <c r="D26" s="26"/>
      <c r="E26" s="45" t="s">
        <v>1162</v>
      </c>
      <c r="F26" s="28"/>
      <c r="G26" s="28">
        <v>0.0</v>
      </c>
    </row>
    <row r="27" ht="22.5" customHeight="1">
      <c r="A27" s="25" t="s">
        <v>1199</v>
      </c>
      <c r="B27" s="26" t="s">
        <v>1199</v>
      </c>
      <c r="C27" s="26"/>
      <c r="D27" s="26"/>
      <c r="E27" s="27" t="s">
        <v>1200</v>
      </c>
      <c r="F27" s="26">
        <v>7.0</v>
      </c>
      <c r="G27" s="28">
        <v>0.0</v>
      </c>
    </row>
    <row r="28" ht="22.5" customHeight="1">
      <c r="A28" s="25" t="s">
        <v>1201</v>
      </c>
      <c r="B28" s="26" t="s">
        <v>1201</v>
      </c>
      <c r="C28" s="26"/>
      <c r="D28" s="26">
        <v>1100.0</v>
      </c>
      <c r="E28" s="45" t="s">
        <v>1170</v>
      </c>
      <c r="F28" s="28"/>
      <c r="G28" s="28">
        <v>0.0</v>
      </c>
    </row>
    <row r="29" ht="22.5" customHeight="1">
      <c r="A29" s="25" t="s">
        <v>1202</v>
      </c>
      <c r="B29" s="26" t="s">
        <v>1203</v>
      </c>
      <c r="C29" s="26" t="s">
        <v>1204</v>
      </c>
      <c r="D29" s="28"/>
      <c r="E29" s="45" t="s">
        <v>1205</v>
      </c>
      <c r="F29" s="26">
        <v>104.0</v>
      </c>
      <c r="G29" s="28">
        <v>0.0</v>
      </c>
    </row>
    <row r="30" ht="22.5" customHeight="1">
      <c r="A30" s="25" t="s">
        <v>1206</v>
      </c>
      <c r="B30" s="26" t="s">
        <v>1207</v>
      </c>
      <c r="C30" s="26" t="s">
        <v>1208</v>
      </c>
      <c r="D30" s="28"/>
      <c r="E30" s="27" t="s">
        <v>1209</v>
      </c>
      <c r="F30" s="26">
        <v>60.0</v>
      </c>
      <c r="G30" s="28">
        <v>0.0</v>
      </c>
    </row>
    <row r="31" ht="22.5" customHeight="1">
      <c r="A31" s="25" t="s">
        <v>1210</v>
      </c>
      <c r="B31" s="26" t="s">
        <v>1211</v>
      </c>
      <c r="C31" s="26" t="s">
        <v>1212</v>
      </c>
      <c r="D31" s="28"/>
      <c r="E31" s="45" t="s">
        <v>1213</v>
      </c>
      <c r="F31" s="26">
        <v>17.0</v>
      </c>
      <c r="G31" s="28">
        <v>0.0</v>
      </c>
    </row>
    <row r="32" ht="22.5" customHeight="1">
      <c r="A32" s="25" t="s">
        <v>1214</v>
      </c>
      <c r="B32" s="26" t="s">
        <v>1211</v>
      </c>
      <c r="C32" s="26" t="s">
        <v>1215</v>
      </c>
      <c r="D32" s="28"/>
      <c r="E32" s="30" t="s">
        <v>1216</v>
      </c>
      <c r="F32" s="26">
        <v>15.0</v>
      </c>
      <c r="G32" s="28">
        <v>0.0</v>
      </c>
    </row>
    <row r="33" ht="22.5" customHeight="1">
      <c r="A33" s="25" t="s">
        <v>1217</v>
      </c>
      <c r="B33" s="26" t="s">
        <v>1211</v>
      </c>
      <c r="C33" s="26" t="s">
        <v>1218</v>
      </c>
      <c r="D33" s="28"/>
      <c r="E33" s="45" t="s">
        <v>1219</v>
      </c>
      <c r="F33" s="26">
        <v>4.0</v>
      </c>
      <c r="G33" s="28">
        <v>0.0</v>
      </c>
    </row>
    <row r="34" ht="22.5" customHeight="1">
      <c r="A34" s="25" t="s">
        <v>1220</v>
      </c>
      <c r="B34" s="26" t="s">
        <v>1211</v>
      </c>
      <c r="C34" s="26" t="s">
        <v>1221</v>
      </c>
      <c r="D34" s="28"/>
      <c r="E34" s="45" t="s">
        <v>1222</v>
      </c>
      <c r="F34" s="26">
        <v>2.0</v>
      </c>
      <c r="G34" s="28">
        <v>0.0</v>
      </c>
    </row>
    <row r="35" ht="22.5" customHeight="1">
      <c r="A35" s="25" t="s">
        <v>1223</v>
      </c>
      <c r="B35" s="26" t="s">
        <v>1223</v>
      </c>
      <c r="C35" s="26"/>
      <c r="D35" s="28"/>
      <c r="E35" s="45" t="s">
        <v>1224</v>
      </c>
      <c r="F35" s="26">
        <v>1.0</v>
      </c>
      <c r="G35" s="28">
        <v>0.0</v>
      </c>
    </row>
    <row r="36" ht="22.5" customHeight="1">
      <c r="A36" s="25" t="s">
        <v>1225</v>
      </c>
      <c r="B36" s="26" t="s">
        <v>1225</v>
      </c>
      <c r="C36" s="26"/>
      <c r="D36" s="28"/>
      <c r="E36" s="45" t="s">
        <v>1226</v>
      </c>
      <c r="F36" s="26">
        <v>16.0</v>
      </c>
      <c r="G36" s="28">
        <v>0.0</v>
      </c>
    </row>
    <row r="37" ht="22.5" customHeight="1">
      <c r="A37" s="25" t="s">
        <v>1227</v>
      </c>
      <c r="B37" s="26" t="s">
        <v>1227</v>
      </c>
      <c r="C37" s="26"/>
      <c r="D37" s="28"/>
      <c r="E37" s="45" t="s">
        <v>1228</v>
      </c>
      <c r="F37" s="26">
        <v>30.0</v>
      </c>
      <c r="G37" s="28">
        <v>0.0</v>
      </c>
    </row>
    <row r="38" ht="22.5" customHeight="1">
      <c r="A38" s="25" t="s">
        <v>1229</v>
      </c>
      <c r="B38" s="26" t="s">
        <v>1229</v>
      </c>
      <c r="C38" s="26"/>
      <c r="D38" s="28"/>
      <c r="E38" s="27" t="s">
        <v>1230</v>
      </c>
      <c r="F38" s="26">
        <v>23.0</v>
      </c>
      <c r="G38" s="28">
        <v>0.0</v>
      </c>
    </row>
    <row r="39" ht="22.5" customHeight="1">
      <c r="A39" s="25" t="s">
        <v>1231</v>
      </c>
      <c r="B39" s="26" t="s">
        <v>1231</v>
      </c>
      <c r="C39" s="26"/>
      <c r="D39" s="28"/>
      <c r="E39" s="27" t="s">
        <v>1232</v>
      </c>
      <c r="F39" s="26">
        <v>1.0</v>
      </c>
      <c r="G39" s="28">
        <v>0.0</v>
      </c>
    </row>
    <row r="40" ht="22.5" customHeight="1">
      <c r="A40" s="25" t="s">
        <v>1233</v>
      </c>
      <c r="B40" s="26" t="s">
        <v>1233</v>
      </c>
      <c r="C40" s="26"/>
      <c r="D40" s="28"/>
      <c r="E40" s="45" t="s">
        <v>1234</v>
      </c>
      <c r="F40" s="26">
        <v>1.0</v>
      </c>
      <c r="G40" s="28">
        <v>0.0</v>
      </c>
    </row>
    <row r="41" ht="22.5" customHeight="1">
      <c r="A41" s="25" t="s">
        <v>1151</v>
      </c>
      <c r="B41" s="26"/>
      <c r="C41" s="26"/>
      <c r="D41" s="28"/>
      <c r="E41" s="26"/>
      <c r="F41" s="28"/>
      <c r="G41" s="28">
        <v>0.0</v>
      </c>
    </row>
    <row r="42" ht="22.5" customHeight="1">
      <c r="A42" s="25" t="s">
        <v>1151</v>
      </c>
      <c r="B42" s="26"/>
      <c r="C42" s="26"/>
      <c r="D42" s="28"/>
      <c r="E42" s="26"/>
      <c r="F42" s="28"/>
      <c r="G42" s="28">
        <v>0.0</v>
      </c>
    </row>
    <row r="43" ht="22.5" customHeight="1">
      <c r="A43" s="25" t="s">
        <v>1151</v>
      </c>
      <c r="B43" s="26"/>
      <c r="C43" s="26"/>
      <c r="D43" s="28"/>
      <c r="E43" s="26"/>
      <c r="F43" s="28"/>
      <c r="G43" s="28">
        <v>0.0</v>
      </c>
    </row>
    <row r="44" ht="22.5" customHeight="1">
      <c r="A44" s="25" t="s">
        <v>1151</v>
      </c>
      <c r="B44" s="26"/>
      <c r="C44" s="26"/>
      <c r="D44" s="28"/>
      <c r="E44" s="26"/>
      <c r="F44" s="28"/>
      <c r="G44" s="28">
        <v>0.0</v>
      </c>
    </row>
    <row r="45" ht="22.5" customHeight="1">
      <c r="A45" s="25" t="s">
        <v>1151</v>
      </c>
      <c r="B45" s="26"/>
      <c r="C45" s="26"/>
      <c r="D45" s="28"/>
      <c r="E45" s="26"/>
      <c r="F45" s="28"/>
      <c r="G45" s="28">
        <v>0.0</v>
      </c>
    </row>
    <row r="46" ht="22.5" customHeight="1">
      <c r="A46" s="25" t="s">
        <v>1151</v>
      </c>
      <c r="B46" s="26"/>
      <c r="C46" s="26"/>
      <c r="D46" s="28"/>
      <c r="E46" s="26"/>
      <c r="F46" s="28"/>
      <c r="G46" s="28">
        <v>0.0</v>
      </c>
    </row>
    <row r="47" ht="22.5" customHeight="1">
      <c r="A47" s="25" t="s">
        <v>1151</v>
      </c>
      <c r="B47" s="26"/>
      <c r="C47" s="26"/>
      <c r="D47" s="28"/>
      <c r="E47" s="26"/>
      <c r="F47" s="28"/>
      <c r="G47" s="28">
        <v>0.0</v>
      </c>
    </row>
    <row r="48" ht="22.5" customHeight="1">
      <c r="A48" s="25" t="s">
        <v>1151</v>
      </c>
      <c r="B48" s="26"/>
      <c r="C48" s="26"/>
      <c r="D48" s="28"/>
      <c r="E48" s="26"/>
      <c r="F48" s="28"/>
      <c r="G48" s="28">
        <v>0.0</v>
      </c>
    </row>
    <row r="49" ht="22.5" customHeight="1">
      <c r="A49" s="25" t="s">
        <v>1151</v>
      </c>
      <c r="B49" s="26"/>
      <c r="C49" s="26"/>
      <c r="D49" s="28"/>
      <c r="E49" s="26"/>
      <c r="F49" s="28"/>
      <c r="G49" s="28">
        <v>0.0</v>
      </c>
    </row>
    <row r="50" ht="22.5" customHeight="1">
      <c r="A50" s="25" t="s">
        <v>1151</v>
      </c>
      <c r="B50" s="26"/>
      <c r="C50" s="26"/>
      <c r="D50" s="28"/>
      <c r="E50" s="26"/>
      <c r="F50" s="28"/>
      <c r="G50" s="28">
        <v>0.0</v>
      </c>
    </row>
    <row r="51" ht="22.5" customHeight="1">
      <c r="A51" s="25" t="s">
        <v>1151</v>
      </c>
      <c r="B51" s="26"/>
      <c r="C51" s="26"/>
      <c r="D51" s="28"/>
      <c r="E51" s="26"/>
      <c r="F51" s="28"/>
      <c r="G51" s="28">
        <v>0.0</v>
      </c>
    </row>
    <row r="52" ht="22.5" customHeight="1">
      <c r="A52" s="25" t="s">
        <v>1151</v>
      </c>
      <c r="B52" s="26"/>
      <c r="C52" s="26"/>
      <c r="D52" s="28"/>
      <c r="E52" s="26"/>
      <c r="F52" s="28"/>
      <c r="G52" s="28">
        <v>0.0</v>
      </c>
    </row>
    <row r="53" ht="22.5" customHeight="1">
      <c r="A53" s="25" t="s">
        <v>1151</v>
      </c>
      <c r="B53" s="26"/>
      <c r="C53" s="26"/>
      <c r="D53" s="28"/>
      <c r="E53" s="26"/>
      <c r="F53" s="28"/>
      <c r="G53" s="28">
        <v>0.0</v>
      </c>
    </row>
    <row r="54" ht="22.5" customHeight="1">
      <c r="A54" s="25" t="s">
        <v>1151</v>
      </c>
      <c r="B54" s="26"/>
      <c r="C54" s="26"/>
      <c r="D54" s="28"/>
      <c r="E54" s="26"/>
      <c r="F54" s="28"/>
      <c r="G54" s="28">
        <v>0.0</v>
      </c>
    </row>
    <row r="55" ht="22.5" customHeight="1">
      <c r="A55" s="25" t="s">
        <v>1151</v>
      </c>
      <c r="B55" s="26"/>
      <c r="C55" s="26"/>
      <c r="D55" s="28"/>
      <c r="E55" s="26"/>
      <c r="F55" s="28"/>
      <c r="G55" s="28">
        <v>0.0</v>
      </c>
    </row>
    <row r="56" ht="22.5" customHeight="1">
      <c r="A56" s="25" t="s">
        <v>1151</v>
      </c>
      <c r="B56" s="26"/>
      <c r="C56" s="26"/>
      <c r="D56" s="28"/>
      <c r="E56" s="26"/>
      <c r="F56" s="28"/>
      <c r="G56" s="28">
        <v>0.0</v>
      </c>
    </row>
    <row r="57" ht="22.5" customHeight="1">
      <c r="A57" s="25" t="s">
        <v>1151</v>
      </c>
      <c r="B57" s="26"/>
      <c r="C57" s="26"/>
      <c r="D57" s="28"/>
      <c r="E57" s="26"/>
      <c r="F57" s="28"/>
      <c r="G57" s="28">
        <v>0.0</v>
      </c>
    </row>
    <row r="58" ht="22.5" customHeight="1">
      <c r="A58" s="25" t="s">
        <v>1151</v>
      </c>
      <c r="B58" s="26"/>
      <c r="C58" s="26"/>
      <c r="D58" s="28"/>
      <c r="E58" s="26"/>
      <c r="F58" s="28"/>
      <c r="G58" s="28">
        <v>0.0</v>
      </c>
    </row>
    <row r="59" ht="22.5" customHeight="1">
      <c r="A59" s="25" t="s">
        <v>1151</v>
      </c>
      <c r="B59" s="26"/>
      <c r="C59" s="26"/>
      <c r="D59" s="28"/>
      <c r="E59" s="26"/>
      <c r="F59" s="28"/>
      <c r="G59" s="28">
        <v>0.0</v>
      </c>
    </row>
    <row r="60" ht="22.5" customHeight="1">
      <c r="A60" s="25" t="s">
        <v>1151</v>
      </c>
      <c r="B60" s="26"/>
      <c r="C60" s="26"/>
      <c r="D60" s="28"/>
      <c r="E60" s="26"/>
      <c r="F60" s="28"/>
      <c r="G60" s="28">
        <v>0.0</v>
      </c>
    </row>
    <row r="61" ht="22.5" customHeight="1">
      <c r="A61" s="25" t="s">
        <v>1151</v>
      </c>
      <c r="B61" s="26"/>
      <c r="C61" s="26"/>
      <c r="D61" s="28"/>
      <c r="E61" s="26"/>
      <c r="F61" s="28"/>
      <c r="G61" s="28">
        <v>0.0</v>
      </c>
    </row>
    <row r="62" ht="22.5" customHeight="1">
      <c r="A62" s="25" t="s">
        <v>1151</v>
      </c>
      <c r="B62" s="26"/>
      <c r="C62" s="26"/>
      <c r="D62" s="28"/>
      <c r="E62" s="26"/>
      <c r="F62" s="28"/>
      <c r="G62" s="28">
        <v>0.0</v>
      </c>
    </row>
    <row r="63" ht="22.5" customHeight="1">
      <c r="A63" s="25" t="s">
        <v>1151</v>
      </c>
      <c r="B63" s="26"/>
      <c r="C63" s="26"/>
      <c r="D63" s="28"/>
      <c r="E63" s="26"/>
      <c r="F63" s="28"/>
      <c r="G63" s="28">
        <v>0.0</v>
      </c>
    </row>
    <row r="64" ht="22.5" customHeight="1">
      <c r="A64" s="25" t="s">
        <v>1151</v>
      </c>
      <c r="B64" s="26"/>
      <c r="C64" s="26"/>
      <c r="D64" s="28"/>
      <c r="E64" s="26"/>
      <c r="F64" s="28"/>
      <c r="G64" s="28">
        <v>0.0</v>
      </c>
    </row>
    <row r="65" ht="22.5" customHeight="1">
      <c r="A65" s="25" t="s">
        <v>1151</v>
      </c>
      <c r="B65" s="26"/>
      <c r="C65" s="26"/>
      <c r="D65" s="28"/>
      <c r="E65" s="26"/>
      <c r="F65" s="28"/>
      <c r="G65" s="28">
        <v>0.0</v>
      </c>
    </row>
    <row r="66" ht="22.5" customHeight="1">
      <c r="A66" s="25" t="s">
        <v>1151</v>
      </c>
      <c r="B66" s="26"/>
      <c r="C66" s="26"/>
      <c r="D66" s="28"/>
      <c r="E66" s="26"/>
      <c r="F66" s="28"/>
      <c r="G66" s="28">
        <v>0.0</v>
      </c>
    </row>
    <row r="67" ht="22.5" customHeight="1">
      <c r="A67" s="25" t="s">
        <v>1151</v>
      </c>
      <c r="B67" s="26"/>
      <c r="C67" s="26"/>
      <c r="D67" s="28"/>
      <c r="E67" s="26"/>
      <c r="F67" s="28"/>
      <c r="G67" s="28">
        <v>0.0</v>
      </c>
    </row>
    <row r="68" ht="22.5" customHeight="1">
      <c r="A68" s="25" t="s">
        <v>1151</v>
      </c>
      <c r="B68" s="26"/>
      <c r="C68" s="26"/>
      <c r="D68" s="28"/>
      <c r="E68" s="26"/>
      <c r="F68" s="28"/>
      <c r="G68" s="28">
        <v>0.0</v>
      </c>
    </row>
    <row r="69" ht="22.5" customHeight="1">
      <c r="A69" s="25" t="s">
        <v>1151</v>
      </c>
      <c r="B69" s="26"/>
      <c r="C69" s="26"/>
      <c r="D69" s="28"/>
      <c r="E69" s="26"/>
      <c r="F69" s="28"/>
      <c r="G69" s="28">
        <v>0.0</v>
      </c>
    </row>
    <row r="70" ht="22.5" customHeight="1">
      <c r="A70" s="25" t="s">
        <v>1151</v>
      </c>
      <c r="B70" s="26"/>
      <c r="C70" s="26"/>
      <c r="D70" s="28"/>
      <c r="E70" s="26"/>
      <c r="F70" s="28"/>
      <c r="G70" s="28">
        <v>0.0</v>
      </c>
    </row>
    <row r="71" ht="22.5" customHeight="1">
      <c r="A71" s="25" t="s">
        <v>1151</v>
      </c>
      <c r="B71" s="26"/>
      <c r="C71" s="26"/>
      <c r="D71" s="28"/>
      <c r="E71" s="26"/>
      <c r="F71" s="28"/>
      <c r="G71" s="28">
        <v>0.0</v>
      </c>
    </row>
    <row r="72" ht="22.5" customHeight="1">
      <c r="A72" s="25" t="s">
        <v>1151</v>
      </c>
      <c r="B72" s="26"/>
      <c r="C72" s="26"/>
      <c r="D72" s="28"/>
      <c r="E72" s="26"/>
      <c r="F72" s="28"/>
      <c r="G72" s="28">
        <v>0.0</v>
      </c>
    </row>
    <row r="73" ht="22.5" customHeight="1">
      <c r="A73" s="25" t="s">
        <v>1151</v>
      </c>
      <c r="B73" s="26"/>
      <c r="C73" s="26"/>
      <c r="D73" s="28"/>
      <c r="E73" s="26"/>
      <c r="F73" s="28"/>
      <c r="G73" s="28">
        <v>0.0</v>
      </c>
    </row>
    <row r="74" ht="22.5" customHeight="1">
      <c r="A74" s="25" t="s">
        <v>1151</v>
      </c>
      <c r="B74" s="26"/>
      <c r="C74" s="26"/>
      <c r="D74" s="28"/>
      <c r="E74" s="26"/>
      <c r="F74" s="28"/>
      <c r="G74" s="28">
        <v>0.0</v>
      </c>
    </row>
    <row r="75" ht="22.5" customHeight="1">
      <c r="A75" s="25" t="s">
        <v>1151</v>
      </c>
      <c r="B75" s="26"/>
      <c r="C75" s="26"/>
      <c r="D75" s="28"/>
      <c r="E75" s="26"/>
      <c r="F75" s="28"/>
      <c r="G75" s="28">
        <v>0.0</v>
      </c>
    </row>
    <row r="76" ht="22.5" customHeight="1">
      <c r="A76" s="25" t="s">
        <v>1151</v>
      </c>
      <c r="B76" s="26"/>
      <c r="C76" s="26"/>
      <c r="D76" s="28"/>
      <c r="E76" s="26"/>
      <c r="F76" s="28"/>
      <c r="G76" s="28">
        <v>0.0</v>
      </c>
    </row>
    <row r="77" ht="22.5" customHeight="1">
      <c r="A77" s="25" t="s">
        <v>1151</v>
      </c>
      <c r="B77" s="26"/>
      <c r="C77" s="26"/>
      <c r="D77" s="28"/>
      <c r="E77" s="26"/>
      <c r="F77" s="28"/>
      <c r="G77" s="28">
        <v>0.0</v>
      </c>
    </row>
    <row r="78" ht="22.5" customHeight="1">
      <c r="A78" s="25" t="s">
        <v>1151</v>
      </c>
      <c r="B78" s="26"/>
      <c r="C78" s="26"/>
      <c r="D78" s="28"/>
      <c r="E78" s="26"/>
      <c r="F78" s="28"/>
      <c r="G78" s="28">
        <v>0.0</v>
      </c>
    </row>
    <row r="79" ht="22.5" customHeight="1">
      <c r="A79" s="25" t="s">
        <v>1151</v>
      </c>
      <c r="B79" s="26"/>
      <c r="C79" s="26"/>
      <c r="D79" s="28"/>
      <c r="E79" s="26"/>
      <c r="F79" s="28"/>
      <c r="G79" s="28">
        <v>0.0</v>
      </c>
    </row>
    <row r="80" ht="22.5" customHeight="1">
      <c r="A80" s="25" t="s">
        <v>1151</v>
      </c>
      <c r="B80" s="26"/>
      <c r="C80" s="26"/>
      <c r="D80" s="28"/>
      <c r="E80" s="26"/>
      <c r="F80" s="28"/>
      <c r="G80" s="28">
        <v>0.0</v>
      </c>
    </row>
    <row r="81" ht="22.5" customHeight="1">
      <c r="A81" s="25" t="s">
        <v>1151</v>
      </c>
      <c r="B81" s="26"/>
      <c r="C81" s="26"/>
      <c r="D81" s="28"/>
      <c r="E81" s="26"/>
      <c r="F81" s="28"/>
      <c r="G81" s="28">
        <v>0.0</v>
      </c>
    </row>
    <row r="82" ht="22.5" customHeight="1">
      <c r="A82" s="25" t="s">
        <v>1151</v>
      </c>
      <c r="B82" s="26"/>
      <c r="C82" s="26"/>
      <c r="D82" s="28"/>
      <c r="E82" s="26"/>
      <c r="F82" s="28"/>
      <c r="G82" s="28">
        <v>0.0</v>
      </c>
    </row>
    <row r="83" ht="22.5" customHeight="1">
      <c r="A83" s="25" t="s">
        <v>1151</v>
      </c>
      <c r="B83" s="26"/>
      <c r="C83" s="26"/>
      <c r="D83" s="28"/>
      <c r="E83" s="26"/>
      <c r="F83" s="28"/>
      <c r="G83" s="28">
        <v>0.0</v>
      </c>
    </row>
    <row r="84" ht="22.5" customHeight="1">
      <c r="A84" s="25" t="s">
        <v>1151</v>
      </c>
      <c r="B84" s="26"/>
      <c r="C84" s="26"/>
      <c r="D84" s="28"/>
      <c r="E84" s="26"/>
      <c r="F84" s="28"/>
      <c r="G84" s="28">
        <v>0.0</v>
      </c>
    </row>
    <row r="85" ht="22.5" customHeight="1">
      <c r="A85" s="25" t="s">
        <v>1151</v>
      </c>
      <c r="B85" s="26"/>
      <c r="C85" s="26"/>
      <c r="D85" s="28"/>
      <c r="E85" s="26"/>
      <c r="F85" s="28"/>
      <c r="G85" s="28">
        <v>0.0</v>
      </c>
    </row>
    <row r="86" ht="22.5" customHeight="1">
      <c r="A86" s="25" t="s">
        <v>1151</v>
      </c>
      <c r="B86" s="26"/>
      <c r="C86" s="26"/>
      <c r="D86" s="28"/>
      <c r="E86" s="26"/>
      <c r="F86" s="28"/>
      <c r="G86" s="28">
        <v>0.0</v>
      </c>
    </row>
    <row r="87" ht="22.5" customHeight="1">
      <c r="A87" s="25" t="s">
        <v>1151</v>
      </c>
      <c r="B87" s="26"/>
      <c r="C87" s="26"/>
      <c r="D87" s="28"/>
      <c r="E87" s="26"/>
      <c r="F87" s="28"/>
      <c r="G87" s="28">
        <v>0.0</v>
      </c>
    </row>
    <row r="88" ht="22.5" customHeight="1">
      <c r="A88" s="25" t="s">
        <v>1151</v>
      </c>
      <c r="B88" s="26"/>
      <c r="C88" s="26"/>
      <c r="D88" s="28"/>
      <c r="E88" s="26"/>
      <c r="F88" s="28"/>
      <c r="G88" s="28">
        <v>0.0</v>
      </c>
    </row>
    <row r="89" ht="22.5" customHeight="1">
      <c r="A89" s="25" t="s">
        <v>1151</v>
      </c>
      <c r="B89" s="26"/>
      <c r="C89" s="26"/>
      <c r="D89" s="28"/>
      <c r="E89" s="26"/>
      <c r="F89" s="28"/>
      <c r="G89" s="28">
        <v>0.0</v>
      </c>
    </row>
    <row r="90" ht="22.5" customHeight="1">
      <c r="A90" s="25" t="s">
        <v>1151</v>
      </c>
      <c r="B90" s="26"/>
      <c r="C90" s="26"/>
      <c r="D90" s="28"/>
      <c r="E90" s="26"/>
      <c r="F90" s="28"/>
      <c r="G90" s="28">
        <v>0.0</v>
      </c>
    </row>
    <row r="91" ht="22.5" customHeight="1">
      <c r="A91" s="25" t="s">
        <v>1151</v>
      </c>
      <c r="B91" s="26"/>
      <c r="C91" s="26"/>
      <c r="D91" s="28"/>
      <c r="E91" s="26"/>
      <c r="F91" s="28"/>
      <c r="G91" s="28">
        <v>0.0</v>
      </c>
    </row>
    <row r="92" ht="22.5" customHeight="1">
      <c r="A92" s="25" t="s">
        <v>1151</v>
      </c>
      <c r="B92" s="26"/>
      <c r="C92" s="26"/>
      <c r="D92" s="28"/>
      <c r="E92" s="26"/>
      <c r="F92" s="28"/>
      <c r="G92" s="28">
        <v>0.0</v>
      </c>
    </row>
    <row r="93" ht="22.5" customHeight="1">
      <c r="A93" s="25" t="s">
        <v>1151</v>
      </c>
      <c r="B93" s="26"/>
      <c r="C93" s="26"/>
      <c r="D93" s="28"/>
      <c r="E93" s="26"/>
      <c r="F93" s="28"/>
      <c r="G93" s="28">
        <v>0.0</v>
      </c>
    </row>
    <row r="94" ht="22.5" customHeight="1">
      <c r="A94" s="25" t="s">
        <v>1151</v>
      </c>
      <c r="B94" s="26"/>
      <c r="C94" s="26"/>
      <c r="D94" s="28"/>
      <c r="E94" s="26"/>
      <c r="F94" s="28"/>
      <c r="G94" s="28">
        <v>0.0</v>
      </c>
    </row>
    <row r="95" ht="22.5" customHeight="1">
      <c r="A95" s="25" t="s">
        <v>1151</v>
      </c>
      <c r="B95" s="26"/>
      <c r="C95" s="26"/>
      <c r="D95" s="28"/>
      <c r="E95" s="26"/>
      <c r="F95" s="28"/>
      <c r="G95" s="28">
        <v>0.0</v>
      </c>
    </row>
    <row r="96" ht="22.5" customHeight="1">
      <c r="A96" s="25" t="s">
        <v>1151</v>
      </c>
      <c r="B96" s="26"/>
      <c r="C96" s="26"/>
      <c r="D96" s="28"/>
      <c r="E96" s="26"/>
      <c r="F96" s="28"/>
      <c r="G96" s="28">
        <v>0.0</v>
      </c>
    </row>
    <row r="97" ht="22.5" customHeight="1">
      <c r="A97" s="25" t="s">
        <v>1151</v>
      </c>
      <c r="B97" s="26"/>
      <c r="C97" s="26"/>
      <c r="D97" s="28"/>
      <c r="E97" s="26"/>
      <c r="F97" s="28"/>
      <c r="G97" s="28">
        <v>0.0</v>
      </c>
    </row>
    <row r="98" ht="22.5" customHeight="1">
      <c r="A98" s="25" t="s">
        <v>1151</v>
      </c>
      <c r="B98" s="26"/>
      <c r="C98" s="26"/>
      <c r="D98" s="28"/>
      <c r="E98" s="26"/>
      <c r="F98" s="28"/>
      <c r="G98" s="28">
        <v>0.0</v>
      </c>
    </row>
    <row r="99" ht="22.5" customHeight="1">
      <c r="A99" s="25" t="s">
        <v>1151</v>
      </c>
      <c r="B99" s="26"/>
      <c r="C99" s="26"/>
      <c r="D99" s="28"/>
      <c r="E99" s="26"/>
      <c r="F99" s="28"/>
      <c r="G99" s="28">
        <v>0.0</v>
      </c>
    </row>
    <row r="100" ht="22.5" customHeight="1">
      <c r="A100" s="25" t="s">
        <v>1151</v>
      </c>
      <c r="B100" s="26"/>
      <c r="C100" s="26"/>
      <c r="D100" s="28"/>
      <c r="E100" s="26"/>
      <c r="F100" s="28"/>
      <c r="G100" s="28">
        <v>0.0</v>
      </c>
    </row>
    <row r="101" ht="22.5" customHeight="1">
      <c r="A101" s="25" t="s">
        <v>1151</v>
      </c>
      <c r="B101" s="26"/>
      <c r="C101" s="26"/>
      <c r="D101" s="28"/>
      <c r="E101" s="26"/>
      <c r="F101" s="28"/>
      <c r="G101" s="28">
        <v>0.0</v>
      </c>
    </row>
    <row r="102" ht="22.5" customHeight="1">
      <c r="A102" s="25" t="s">
        <v>1151</v>
      </c>
      <c r="B102" s="26"/>
      <c r="C102" s="26"/>
      <c r="D102" s="28"/>
      <c r="E102" s="26"/>
      <c r="F102" s="28"/>
      <c r="G102" s="28">
        <v>0.0</v>
      </c>
    </row>
    <row r="103">
      <c r="A103" s="40"/>
      <c r="B103" s="41"/>
      <c r="C103" s="41"/>
      <c r="D103" s="41"/>
      <c r="E103" s="41"/>
      <c r="F103" s="41"/>
      <c r="G103" s="41"/>
    </row>
    <row r="104">
      <c r="A104" s="40"/>
      <c r="B104" s="41"/>
      <c r="C104" s="41"/>
      <c r="D104" s="41"/>
      <c r="E104" s="41"/>
      <c r="F104" s="41"/>
      <c r="G104" s="41"/>
    </row>
    <row r="105">
      <c r="A105" s="40"/>
      <c r="B105" s="41"/>
      <c r="C105" s="41"/>
      <c r="D105" s="41"/>
      <c r="E105" s="41"/>
      <c r="F105" s="41"/>
      <c r="G105" s="41"/>
    </row>
    <row r="106">
      <c r="A106" s="40"/>
      <c r="B106" s="41"/>
      <c r="C106" s="41"/>
      <c r="D106" s="41"/>
      <c r="E106" s="41"/>
      <c r="F106" s="41"/>
      <c r="G106" s="41"/>
    </row>
    <row r="107">
      <c r="A107" s="40"/>
      <c r="B107" s="41"/>
      <c r="C107" s="41"/>
      <c r="D107" s="41"/>
      <c r="E107" s="41"/>
      <c r="F107" s="41"/>
      <c r="G107" s="41"/>
    </row>
    <row r="108">
      <c r="A108" s="40"/>
      <c r="B108" s="41"/>
      <c r="C108" s="41"/>
      <c r="D108" s="41"/>
      <c r="E108" s="41"/>
      <c r="F108" s="41"/>
      <c r="G108" s="41"/>
    </row>
    <row r="109">
      <c r="A109" s="40"/>
      <c r="B109" s="41"/>
      <c r="C109" s="41"/>
      <c r="D109" s="41"/>
      <c r="E109" s="41"/>
      <c r="F109" s="41"/>
      <c r="G109" s="41"/>
    </row>
    <row r="110">
      <c r="A110" s="40"/>
      <c r="B110" s="41"/>
      <c r="C110" s="41"/>
      <c r="D110" s="41"/>
      <c r="E110" s="41"/>
      <c r="F110" s="41"/>
      <c r="G110" s="41"/>
    </row>
    <row r="111">
      <c r="A111" s="40"/>
      <c r="B111" s="41"/>
      <c r="C111" s="41"/>
      <c r="D111" s="41"/>
      <c r="E111" s="41"/>
      <c r="F111" s="41"/>
      <c r="G111" s="41"/>
    </row>
    <row r="112">
      <c r="A112" s="40"/>
      <c r="B112" s="41"/>
      <c r="C112" s="41"/>
      <c r="D112" s="41"/>
      <c r="E112" s="41"/>
      <c r="F112" s="41"/>
      <c r="G112" s="41"/>
    </row>
    <row r="113">
      <c r="A113" s="40"/>
      <c r="B113" s="41"/>
      <c r="C113" s="41"/>
      <c r="D113" s="41"/>
      <c r="E113" s="41"/>
      <c r="F113" s="41"/>
      <c r="G113" s="41"/>
    </row>
    <row r="114">
      <c r="A114" s="40"/>
      <c r="B114" s="41"/>
      <c r="C114" s="41"/>
      <c r="D114" s="41"/>
      <c r="E114" s="41"/>
      <c r="F114" s="41"/>
      <c r="G114" s="41"/>
    </row>
    <row r="115">
      <c r="A115" s="40"/>
      <c r="B115" s="41"/>
      <c r="C115" s="41"/>
      <c r="D115" s="41"/>
      <c r="E115" s="41"/>
      <c r="F115" s="41"/>
      <c r="G115" s="41"/>
    </row>
    <row r="116">
      <c r="A116" s="40"/>
      <c r="B116" s="41"/>
      <c r="C116" s="41"/>
      <c r="D116" s="41"/>
      <c r="E116" s="41"/>
      <c r="F116" s="41"/>
      <c r="G116" s="41"/>
    </row>
    <row r="117">
      <c r="A117" s="40"/>
      <c r="B117" s="41"/>
      <c r="C117" s="41"/>
      <c r="D117" s="41"/>
      <c r="E117" s="41"/>
      <c r="F117" s="41"/>
      <c r="G117" s="41"/>
    </row>
    <row r="118">
      <c r="A118" s="40"/>
      <c r="B118" s="41"/>
      <c r="C118" s="41"/>
      <c r="D118" s="41"/>
      <c r="E118" s="41"/>
      <c r="F118" s="41"/>
      <c r="G118" s="41"/>
    </row>
    <row r="119">
      <c r="A119" s="40"/>
      <c r="B119" s="41"/>
      <c r="C119" s="41"/>
      <c r="D119" s="41"/>
      <c r="E119" s="41"/>
      <c r="F119" s="41"/>
      <c r="G119" s="41"/>
    </row>
    <row r="120">
      <c r="A120" s="40"/>
      <c r="B120" s="41"/>
      <c r="C120" s="41"/>
      <c r="D120" s="41"/>
      <c r="E120" s="41"/>
      <c r="F120" s="41"/>
      <c r="G120" s="41"/>
    </row>
    <row r="121">
      <c r="A121" s="40"/>
      <c r="B121" s="41"/>
      <c r="C121" s="41"/>
      <c r="D121" s="41"/>
      <c r="E121" s="41"/>
      <c r="F121" s="41"/>
      <c r="G121" s="41"/>
    </row>
    <row r="122">
      <c r="A122" s="40"/>
      <c r="B122" s="41"/>
      <c r="C122" s="41"/>
      <c r="D122" s="41"/>
      <c r="E122" s="41"/>
      <c r="F122" s="41"/>
      <c r="G122" s="41"/>
    </row>
    <row r="123">
      <c r="A123" s="40"/>
      <c r="B123" s="41"/>
      <c r="C123" s="41"/>
      <c r="D123" s="41"/>
      <c r="E123" s="41"/>
      <c r="F123" s="41"/>
      <c r="G123" s="41"/>
    </row>
    <row r="124">
      <c r="A124" s="40"/>
      <c r="B124" s="41"/>
      <c r="C124" s="41"/>
      <c r="D124" s="41"/>
      <c r="E124" s="41"/>
      <c r="F124" s="41"/>
      <c r="G124" s="41"/>
    </row>
    <row r="125">
      <c r="A125" s="40"/>
      <c r="B125" s="41"/>
      <c r="C125" s="41"/>
      <c r="D125" s="41"/>
      <c r="E125" s="41"/>
      <c r="F125" s="41"/>
      <c r="G125" s="41"/>
    </row>
    <row r="126">
      <c r="A126" s="40"/>
      <c r="B126" s="41"/>
      <c r="C126" s="41"/>
      <c r="D126" s="41"/>
      <c r="E126" s="41"/>
      <c r="F126" s="41"/>
      <c r="G126" s="41"/>
    </row>
    <row r="127">
      <c r="A127" s="40"/>
      <c r="B127" s="41"/>
      <c r="C127" s="41"/>
      <c r="D127" s="41"/>
      <c r="E127" s="41"/>
      <c r="F127" s="41"/>
      <c r="G127" s="41"/>
    </row>
    <row r="128">
      <c r="A128" s="40"/>
      <c r="B128" s="41"/>
      <c r="C128" s="41"/>
      <c r="D128" s="41"/>
      <c r="E128" s="41"/>
      <c r="F128" s="41"/>
      <c r="G128" s="41"/>
    </row>
    <row r="129">
      <c r="A129" s="40"/>
      <c r="B129" s="41"/>
      <c r="C129" s="41"/>
      <c r="D129" s="41"/>
      <c r="E129" s="41"/>
      <c r="F129" s="41"/>
      <c r="G129" s="41"/>
    </row>
    <row r="130">
      <c r="A130" s="40"/>
      <c r="B130" s="41"/>
      <c r="C130" s="41"/>
      <c r="D130" s="41"/>
      <c r="E130" s="41"/>
      <c r="F130" s="41"/>
      <c r="G130" s="41"/>
    </row>
    <row r="131">
      <c r="A131" s="40"/>
      <c r="B131" s="41"/>
      <c r="C131" s="41"/>
      <c r="D131" s="41"/>
      <c r="E131" s="41"/>
      <c r="F131" s="41"/>
      <c r="G131" s="41"/>
    </row>
    <row r="132">
      <c r="A132" s="40"/>
      <c r="B132" s="41"/>
      <c r="C132" s="41"/>
      <c r="D132" s="41"/>
      <c r="E132" s="41"/>
      <c r="F132" s="41"/>
      <c r="G132" s="41"/>
    </row>
    <row r="133">
      <c r="A133" s="40"/>
      <c r="B133" s="41"/>
      <c r="C133" s="41"/>
      <c r="D133" s="41"/>
      <c r="E133" s="41"/>
      <c r="F133" s="41"/>
      <c r="G133" s="41"/>
    </row>
    <row r="134">
      <c r="A134" s="40"/>
      <c r="B134" s="41"/>
      <c r="C134" s="41"/>
      <c r="D134" s="41"/>
      <c r="E134" s="41"/>
      <c r="F134" s="41"/>
      <c r="G134" s="41"/>
    </row>
    <row r="135">
      <c r="A135" s="40"/>
      <c r="B135" s="41"/>
      <c r="C135" s="41"/>
      <c r="D135" s="41"/>
      <c r="E135" s="41"/>
      <c r="F135" s="41"/>
      <c r="G135" s="41"/>
    </row>
    <row r="136">
      <c r="A136" s="40"/>
      <c r="B136" s="41"/>
      <c r="C136" s="41"/>
      <c r="D136" s="41"/>
      <c r="E136" s="41"/>
      <c r="F136" s="41"/>
      <c r="G136" s="41"/>
    </row>
    <row r="137">
      <c r="A137" s="40"/>
      <c r="B137" s="41"/>
      <c r="C137" s="41"/>
      <c r="D137" s="41"/>
      <c r="E137" s="41"/>
      <c r="F137" s="41"/>
      <c r="G137" s="41"/>
    </row>
    <row r="138">
      <c r="A138" s="40"/>
      <c r="B138" s="41"/>
      <c r="C138" s="41"/>
      <c r="D138" s="41"/>
      <c r="E138" s="41"/>
      <c r="F138" s="41"/>
      <c r="G138" s="41"/>
    </row>
    <row r="139">
      <c r="A139" s="40"/>
      <c r="B139" s="41"/>
      <c r="C139" s="41"/>
      <c r="D139" s="41"/>
      <c r="E139" s="41"/>
      <c r="F139" s="41"/>
      <c r="G139" s="41"/>
    </row>
    <row r="140">
      <c r="A140" s="40"/>
      <c r="B140" s="41"/>
      <c r="C140" s="41"/>
      <c r="D140" s="41"/>
      <c r="E140" s="41"/>
      <c r="F140" s="41"/>
      <c r="G140" s="41"/>
    </row>
    <row r="141">
      <c r="A141" s="40"/>
      <c r="B141" s="41"/>
      <c r="C141" s="41"/>
      <c r="D141" s="41"/>
      <c r="E141" s="41"/>
      <c r="F141" s="41"/>
      <c r="G141" s="41"/>
    </row>
    <row r="142">
      <c r="A142" s="40"/>
      <c r="B142" s="41"/>
      <c r="C142" s="41"/>
      <c r="D142" s="41"/>
      <c r="E142" s="41"/>
      <c r="F142" s="41"/>
      <c r="G142" s="41"/>
    </row>
    <row r="143">
      <c r="A143" s="40"/>
      <c r="B143" s="41"/>
      <c r="C143" s="41"/>
      <c r="D143" s="41"/>
      <c r="E143" s="41"/>
      <c r="F143" s="41"/>
      <c r="G143" s="41"/>
    </row>
    <row r="144">
      <c r="A144" s="40"/>
      <c r="B144" s="41"/>
      <c r="C144" s="41"/>
      <c r="D144" s="41"/>
      <c r="E144" s="41"/>
      <c r="F144" s="41"/>
      <c r="G144" s="41"/>
    </row>
    <row r="145">
      <c r="A145" s="40"/>
      <c r="B145" s="41"/>
      <c r="C145" s="41"/>
      <c r="D145" s="41"/>
      <c r="E145" s="41"/>
      <c r="F145" s="41"/>
      <c r="G145" s="41"/>
    </row>
    <row r="146">
      <c r="A146" s="40"/>
      <c r="B146" s="41"/>
      <c r="C146" s="41"/>
      <c r="D146" s="41"/>
      <c r="E146" s="41"/>
      <c r="F146" s="41"/>
      <c r="G146" s="41"/>
    </row>
    <row r="147">
      <c r="A147" s="40"/>
      <c r="B147" s="41"/>
      <c r="C147" s="41"/>
      <c r="D147" s="41"/>
      <c r="E147" s="41"/>
      <c r="F147" s="41"/>
      <c r="G147" s="41"/>
    </row>
    <row r="148">
      <c r="A148" s="40"/>
      <c r="B148" s="41"/>
      <c r="C148" s="41"/>
      <c r="D148" s="41"/>
      <c r="E148" s="41"/>
      <c r="F148" s="41"/>
      <c r="G148" s="41"/>
    </row>
    <row r="149">
      <c r="A149" s="40"/>
      <c r="B149" s="41"/>
      <c r="C149" s="41"/>
      <c r="D149" s="41"/>
      <c r="E149" s="41"/>
      <c r="F149" s="41"/>
      <c r="G149" s="41"/>
    </row>
    <row r="150">
      <c r="A150" s="40"/>
      <c r="B150" s="41"/>
      <c r="C150" s="41"/>
      <c r="D150" s="41"/>
      <c r="E150" s="41"/>
      <c r="F150" s="41"/>
      <c r="G150" s="41"/>
    </row>
    <row r="151">
      <c r="A151" s="40"/>
      <c r="B151" s="41"/>
      <c r="C151" s="41"/>
      <c r="D151" s="41"/>
      <c r="E151" s="41"/>
      <c r="F151" s="41"/>
      <c r="G151" s="41"/>
    </row>
    <row r="152">
      <c r="A152" s="40"/>
      <c r="B152" s="41"/>
      <c r="C152" s="41"/>
      <c r="D152" s="41"/>
      <c r="E152" s="41"/>
      <c r="F152" s="41"/>
      <c r="G152" s="41"/>
    </row>
    <row r="153">
      <c r="A153" s="40"/>
      <c r="B153" s="41"/>
      <c r="C153" s="41"/>
      <c r="D153" s="41"/>
      <c r="E153" s="41"/>
      <c r="F153" s="41"/>
      <c r="G153" s="41"/>
    </row>
    <row r="154">
      <c r="A154" s="40"/>
      <c r="B154" s="41"/>
      <c r="C154" s="41"/>
      <c r="D154" s="41"/>
      <c r="E154" s="41"/>
      <c r="F154" s="41"/>
      <c r="G154" s="41"/>
    </row>
    <row r="155">
      <c r="A155" s="40"/>
      <c r="B155" s="41"/>
      <c r="C155" s="41"/>
      <c r="D155" s="41"/>
      <c r="E155" s="41"/>
      <c r="F155" s="41"/>
      <c r="G155" s="41"/>
    </row>
    <row r="156">
      <c r="A156" s="40"/>
      <c r="B156" s="41"/>
      <c r="C156" s="41"/>
      <c r="D156" s="41"/>
      <c r="E156" s="41"/>
      <c r="F156" s="41"/>
      <c r="G156" s="41"/>
    </row>
    <row r="157">
      <c r="A157" s="40"/>
      <c r="B157" s="41"/>
      <c r="C157" s="41"/>
      <c r="D157" s="41"/>
      <c r="E157" s="41"/>
      <c r="F157" s="41"/>
      <c r="G157" s="41"/>
    </row>
    <row r="158">
      <c r="A158" s="40"/>
      <c r="B158" s="41"/>
      <c r="C158" s="41"/>
      <c r="D158" s="41"/>
      <c r="E158" s="41"/>
      <c r="F158" s="41"/>
      <c r="G158" s="41"/>
    </row>
    <row r="159">
      <c r="A159" s="40"/>
      <c r="B159" s="41"/>
      <c r="C159" s="41"/>
      <c r="D159" s="41"/>
      <c r="E159" s="41"/>
      <c r="F159" s="41"/>
      <c r="G159" s="41"/>
    </row>
    <row r="160">
      <c r="A160" s="40"/>
      <c r="B160" s="41"/>
      <c r="C160" s="41"/>
      <c r="D160" s="41"/>
      <c r="E160" s="41"/>
      <c r="F160" s="41"/>
      <c r="G160" s="41"/>
    </row>
    <row r="161">
      <c r="A161" s="40"/>
      <c r="B161" s="41"/>
      <c r="C161" s="41"/>
      <c r="D161" s="41"/>
      <c r="E161" s="41"/>
      <c r="F161" s="41"/>
      <c r="G161" s="41"/>
    </row>
    <row r="162">
      <c r="A162" s="40"/>
      <c r="B162" s="41"/>
      <c r="C162" s="41"/>
      <c r="D162" s="41"/>
      <c r="E162" s="41"/>
      <c r="F162" s="41"/>
      <c r="G162" s="41"/>
    </row>
    <row r="163">
      <c r="A163" s="40"/>
      <c r="B163" s="41"/>
      <c r="C163" s="41"/>
      <c r="D163" s="41"/>
      <c r="E163" s="41"/>
      <c r="F163" s="41"/>
      <c r="G163" s="41"/>
    </row>
    <row r="164">
      <c r="A164" s="40"/>
      <c r="B164" s="41"/>
      <c r="C164" s="41"/>
      <c r="D164" s="41"/>
      <c r="E164" s="41"/>
      <c r="F164" s="41"/>
      <c r="G164" s="41"/>
    </row>
    <row r="165">
      <c r="A165" s="40"/>
      <c r="B165" s="41"/>
      <c r="C165" s="41"/>
      <c r="D165" s="41"/>
      <c r="E165" s="41"/>
      <c r="F165" s="41"/>
      <c r="G165" s="41"/>
    </row>
    <row r="166">
      <c r="A166" s="40"/>
      <c r="B166" s="41"/>
      <c r="C166" s="41"/>
      <c r="D166" s="41"/>
      <c r="E166" s="41"/>
      <c r="F166" s="41"/>
      <c r="G166" s="41"/>
    </row>
    <row r="167">
      <c r="A167" s="40"/>
      <c r="B167" s="41"/>
      <c r="C167" s="41"/>
      <c r="D167" s="41"/>
      <c r="E167" s="41"/>
      <c r="F167" s="41"/>
      <c r="G167" s="41"/>
    </row>
    <row r="168">
      <c r="A168" s="40"/>
      <c r="B168" s="41"/>
      <c r="C168" s="41"/>
      <c r="D168" s="41"/>
      <c r="E168" s="41"/>
      <c r="F168" s="41"/>
      <c r="G168" s="41"/>
    </row>
    <row r="169">
      <c r="A169" s="40"/>
      <c r="B169" s="41"/>
      <c r="C169" s="41"/>
      <c r="D169" s="41"/>
      <c r="E169" s="41"/>
      <c r="F169" s="41"/>
      <c r="G169" s="41"/>
    </row>
    <row r="170">
      <c r="A170" s="40"/>
      <c r="B170" s="41"/>
      <c r="C170" s="41"/>
      <c r="D170" s="41"/>
      <c r="E170" s="41"/>
      <c r="F170" s="41"/>
      <c r="G170" s="41"/>
    </row>
    <row r="171">
      <c r="A171" s="40"/>
      <c r="B171" s="41"/>
      <c r="C171" s="41"/>
      <c r="D171" s="41"/>
      <c r="E171" s="41"/>
      <c r="F171" s="41"/>
      <c r="G171" s="41"/>
    </row>
    <row r="172">
      <c r="A172" s="40"/>
      <c r="B172" s="41"/>
      <c r="C172" s="41"/>
      <c r="D172" s="41"/>
      <c r="E172" s="41"/>
      <c r="F172" s="41"/>
      <c r="G172" s="41"/>
    </row>
    <row r="173">
      <c r="A173" s="40"/>
      <c r="B173" s="41"/>
      <c r="C173" s="41"/>
      <c r="D173" s="41"/>
      <c r="E173" s="41"/>
      <c r="F173" s="41"/>
      <c r="G173" s="41"/>
    </row>
    <row r="174">
      <c r="A174" s="40"/>
      <c r="B174" s="41"/>
      <c r="C174" s="41"/>
      <c r="D174" s="41"/>
      <c r="E174" s="41"/>
      <c r="F174" s="41"/>
      <c r="G174" s="41"/>
    </row>
    <row r="175">
      <c r="A175" s="40"/>
      <c r="B175" s="41"/>
      <c r="C175" s="41"/>
      <c r="D175" s="41"/>
      <c r="E175" s="41"/>
      <c r="F175" s="41"/>
      <c r="G175" s="41"/>
    </row>
    <row r="176">
      <c r="A176" s="40"/>
      <c r="B176" s="41"/>
      <c r="C176" s="41"/>
      <c r="D176" s="41"/>
      <c r="E176" s="41"/>
      <c r="F176" s="41"/>
      <c r="G176" s="41"/>
    </row>
    <row r="177">
      <c r="A177" s="40"/>
      <c r="B177" s="41"/>
      <c r="C177" s="41"/>
      <c r="D177" s="41"/>
      <c r="E177" s="41"/>
      <c r="F177" s="41"/>
      <c r="G177" s="41"/>
    </row>
    <row r="178">
      <c r="A178" s="40"/>
      <c r="B178" s="41"/>
      <c r="C178" s="41"/>
      <c r="D178" s="41"/>
      <c r="E178" s="41"/>
      <c r="F178" s="41"/>
      <c r="G178" s="41"/>
    </row>
    <row r="179">
      <c r="A179" s="40"/>
      <c r="B179" s="41"/>
      <c r="C179" s="41"/>
      <c r="D179" s="41"/>
      <c r="E179" s="41"/>
      <c r="F179" s="41"/>
      <c r="G179" s="41"/>
    </row>
    <row r="180">
      <c r="A180" s="40"/>
      <c r="B180" s="41"/>
      <c r="C180" s="41"/>
      <c r="D180" s="41"/>
      <c r="E180" s="41"/>
      <c r="F180" s="41"/>
      <c r="G180" s="41"/>
    </row>
    <row r="181">
      <c r="A181" s="40"/>
      <c r="B181" s="41"/>
      <c r="C181" s="41"/>
      <c r="D181" s="41"/>
      <c r="E181" s="41"/>
      <c r="F181" s="41"/>
      <c r="G181" s="41"/>
    </row>
    <row r="182">
      <c r="A182" s="40"/>
      <c r="B182" s="41"/>
      <c r="C182" s="41"/>
      <c r="D182" s="41"/>
      <c r="E182" s="41"/>
      <c r="F182" s="41"/>
      <c r="G182" s="41"/>
    </row>
    <row r="183">
      <c r="A183" s="40"/>
      <c r="B183" s="41"/>
      <c r="C183" s="41"/>
      <c r="D183" s="41"/>
      <c r="E183" s="41"/>
      <c r="F183" s="41"/>
      <c r="G183" s="41"/>
    </row>
    <row r="184">
      <c r="A184" s="40"/>
      <c r="B184" s="41"/>
      <c r="C184" s="41"/>
      <c r="D184" s="41"/>
      <c r="E184" s="41"/>
      <c r="F184" s="41"/>
      <c r="G184" s="41"/>
    </row>
    <row r="185">
      <c r="A185" s="40"/>
      <c r="B185" s="41"/>
      <c r="C185" s="41"/>
      <c r="D185" s="41"/>
      <c r="E185" s="41"/>
      <c r="F185" s="41"/>
      <c r="G185" s="41"/>
    </row>
    <row r="186">
      <c r="A186" s="40"/>
      <c r="B186" s="41"/>
      <c r="C186" s="41"/>
      <c r="D186" s="41"/>
      <c r="E186" s="41"/>
      <c r="F186" s="41"/>
      <c r="G186" s="41"/>
    </row>
    <row r="187">
      <c r="A187" s="40"/>
      <c r="B187" s="41"/>
      <c r="C187" s="41"/>
      <c r="D187" s="41"/>
      <c r="E187" s="41"/>
      <c r="F187" s="41"/>
      <c r="G187" s="41"/>
    </row>
    <row r="188">
      <c r="A188" s="40"/>
      <c r="B188" s="41"/>
      <c r="C188" s="41"/>
      <c r="D188" s="41"/>
      <c r="E188" s="41"/>
      <c r="F188" s="41"/>
      <c r="G188" s="41"/>
    </row>
    <row r="189">
      <c r="A189" s="40"/>
      <c r="B189" s="41"/>
      <c r="C189" s="41"/>
      <c r="D189" s="41"/>
      <c r="E189" s="41"/>
      <c r="F189" s="41"/>
      <c r="G189" s="41"/>
    </row>
    <row r="190">
      <c r="A190" s="40"/>
      <c r="B190" s="41"/>
      <c r="C190" s="41"/>
      <c r="D190" s="41"/>
      <c r="E190" s="41"/>
      <c r="F190" s="41"/>
      <c r="G190" s="41"/>
    </row>
    <row r="191">
      <c r="A191" s="40"/>
      <c r="B191" s="41"/>
      <c r="C191" s="41"/>
      <c r="D191" s="41"/>
      <c r="E191" s="41"/>
      <c r="F191" s="41"/>
      <c r="G191" s="41"/>
    </row>
    <row r="192">
      <c r="A192" s="40"/>
      <c r="B192" s="41"/>
      <c r="C192" s="41"/>
      <c r="D192" s="41"/>
      <c r="E192" s="41"/>
      <c r="F192" s="41"/>
      <c r="G192" s="41"/>
    </row>
    <row r="193">
      <c r="A193" s="40"/>
      <c r="B193" s="41"/>
      <c r="C193" s="41"/>
      <c r="D193" s="41"/>
      <c r="E193" s="41"/>
      <c r="F193" s="41"/>
      <c r="G193" s="41"/>
    </row>
    <row r="194">
      <c r="A194" s="40"/>
      <c r="B194" s="41"/>
      <c r="C194" s="41"/>
      <c r="D194" s="41"/>
      <c r="E194" s="41"/>
      <c r="F194" s="41"/>
      <c r="G194" s="41"/>
    </row>
    <row r="195">
      <c r="A195" s="40"/>
      <c r="B195" s="41"/>
      <c r="C195" s="41"/>
      <c r="D195" s="41"/>
      <c r="E195" s="41"/>
      <c r="F195" s="41"/>
      <c r="G195" s="41"/>
    </row>
    <row r="196">
      <c r="A196" s="40"/>
      <c r="B196" s="41"/>
      <c r="C196" s="41"/>
      <c r="D196" s="41"/>
      <c r="E196" s="41"/>
      <c r="F196" s="41"/>
      <c r="G196" s="41"/>
    </row>
    <row r="197">
      <c r="A197" s="40"/>
      <c r="B197" s="41"/>
      <c r="C197" s="41"/>
      <c r="D197" s="41"/>
      <c r="E197" s="41"/>
      <c r="F197" s="41"/>
      <c r="G197" s="41"/>
    </row>
    <row r="198">
      <c r="A198" s="40"/>
      <c r="B198" s="41"/>
      <c r="C198" s="41"/>
      <c r="D198" s="41"/>
      <c r="E198" s="41"/>
      <c r="F198" s="41"/>
      <c r="G198" s="41"/>
    </row>
    <row r="199">
      <c r="A199" s="40"/>
      <c r="B199" s="41"/>
      <c r="C199" s="41"/>
      <c r="D199" s="41"/>
      <c r="E199" s="41"/>
      <c r="F199" s="41"/>
      <c r="G199" s="41"/>
    </row>
    <row r="200">
      <c r="A200" s="40"/>
      <c r="B200" s="41"/>
      <c r="C200" s="41"/>
      <c r="D200" s="41"/>
      <c r="E200" s="41"/>
      <c r="F200" s="41"/>
      <c r="G200" s="41"/>
    </row>
    <row r="201">
      <c r="A201" s="40"/>
      <c r="B201" s="41"/>
      <c r="C201" s="41"/>
      <c r="D201" s="41"/>
      <c r="E201" s="41"/>
      <c r="F201" s="41"/>
      <c r="G201" s="41"/>
    </row>
    <row r="202">
      <c r="A202" s="40"/>
      <c r="B202" s="41"/>
      <c r="C202" s="41"/>
      <c r="D202" s="41"/>
      <c r="E202" s="41"/>
      <c r="F202" s="41"/>
      <c r="G202" s="41"/>
    </row>
    <row r="203">
      <c r="A203" s="40"/>
      <c r="B203" s="41"/>
      <c r="C203" s="41"/>
      <c r="D203" s="41"/>
      <c r="E203" s="41"/>
      <c r="F203" s="41"/>
      <c r="G203" s="41"/>
    </row>
    <row r="204">
      <c r="A204" s="40"/>
      <c r="B204" s="41"/>
      <c r="C204" s="41"/>
      <c r="D204" s="41"/>
      <c r="E204" s="41"/>
      <c r="F204" s="41"/>
      <c r="G204" s="41"/>
    </row>
    <row r="205">
      <c r="A205" s="40"/>
      <c r="B205" s="41"/>
      <c r="C205" s="41"/>
      <c r="D205" s="41"/>
      <c r="E205" s="41"/>
      <c r="F205" s="41"/>
      <c r="G205" s="41"/>
    </row>
    <row r="206">
      <c r="A206" s="40"/>
      <c r="B206" s="41"/>
      <c r="C206" s="41"/>
      <c r="D206" s="41"/>
      <c r="E206" s="41"/>
      <c r="F206" s="41"/>
      <c r="G206" s="41"/>
    </row>
    <row r="207">
      <c r="A207" s="40"/>
      <c r="B207" s="41"/>
      <c r="C207" s="41"/>
      <c r="D207" s="41"/>
      <c r="E207" s="41"/>
      <c r="F207" s="41"/>
      <c r="G207" s="41"/>
    </row>
    <row r="208">
      <c r="A208" s="40"/>
      <c r="B208" s="41"/>
      <c r="C208" s="41"/>
      <c r="D208" s="41"/>
      <c r="E208" s="41"/>
      <c r="F208" s="41"/>
      <c r="G208" s="41"/>
    </row>
    <row r="209">
      <c r="A209" s="40"/>
      <c r="B209" s="41"/>
      <c r="C209" s="41"/>
      <c r="D209" s="41"/>
      <c r="E209" s="41"/>
      <c r="F209" s="41"/>
      <c r="G209" s="41"/>
    </row>
    <row r="210">
      <c r="A210" s="40"/>
      <c r="B210" s="41"/>
      <c r="C210" s="41"/>
      <c r="D210" s="41"/>
      <c r="E210" s="41"/>
      <c r="F210" s="41"/>
      <c r="G210" s="41"/>
    </row>
    <row r="211">
      <c r="A211" s="40"/>
      <c r="B211" s="41"/>
      <c r="C211" s="41"/>
      <c r="D211" s="41"/>
      <c r="E211" s="41"/>
      <c r="F211" s="41"/>
      <c r="G211" s="41"/>
    </row>
    <row r="212">
      <c r="A212" s="40"/>
      <c r="B212" s="41"/>
      <c r="C212" s="41"/>
      <c r="D212" s="41"/>
      <c r="E212" s="41"/>
      <c r="F212" s="41"/>
      <c r="G212" s="41"/>
    </row>
    <row r="213">
      <c r="A213" s="40"/>
      <c r="B213" s="41"/>
      <c r="C213" s="41"/>
      <c r="D213" s="41"/>
      <c r="E213" s="41"/>
      <c r="F213" s="41"/>
      <c r="G213" s="41"/>
    </row>
    <row r="214">
      <c r="A214" s="40"/>
      <c r="B214" s="41"/>
      <c r="C214" s="41"/>
      <c r="D214" s="41"/>
      <c r="E214" s="41"/>
      <c r="F214" s="41"/>
      <c r="G214" s="41"/>
    </row>
    <row r="215">
      <c r="A215" s="40"/>
      <c r="B215" s="41"/>
      <c r="C215" s="41"/>
      <c r="D215" s="41"/>
      <c r="E215" s="41"/>
      <c r="F215" s="41"/>
      <c r="G215" s="41"/>
    </row>
    <row r="216">
      <c r="A216" s="40"/>
      <c r="B216" s="41"/>
      <c r="C216" s="41"/>
      <c r="D216" s="41"/>
      <c r="E216" s="41"/>
      <c r="F216" s="41"/>
      <c r="G216" s="41"/>
    </row>
    <row r="217">
      <c r="A217" s="40"/>
      <c r="B217" s="41"/>
      <c r="C217" s="41"/>
      <c r="D217" s="41"/>
      <c r="E217" s="41"/>
      <c r="F217" s="41"/>
      <c r="G217" s="41"/>
    </row>
    <row r="218">
      <c r="A218" s="40"/>
      <c r="B218" s="41"/>
      <c r="C218" s="41"/>
      <c r="D218" s="41"/>
      <c r="E218" s="41"/>
      <c r="F218" s="41"/>
      <c r="G218" s="41"/>
    </row>
    <row r="219">
      <c r="A219" s="40"/>
      <c r="B219" s="41"/>
      <c r="C219" s="41"/>
      <c r="D219" s="41"/>
      <c r="E219" s="41"/>
      <c r="F219" s="41"/>
      <c r="G219" s="41"/>
    </row>
    <row r="220">
      <c r="A220" s="40"/>
      <c r="B220" s="41"/>
      <c r="C220" s="41"/>
      <c r="D220" s="41"/>
      <c r="E220" s="41"/>
      <c r="F220" s="41"/>
      <c r="G220" s="41"/>
    </row>
    <row r="221">
      <c r="A221" s="40"/>
      <c r="B221" s="41"/>
      <c r="C221" s="41"/>
      <c r="D221" s="41"/>
      <c r="E221" s="41"/>
      <c r="F221" s="41"/>
      <c r="G221" s="41"/>
    </row>
    <row r="222">
      <c r="A222" s="40"/>
      <c r="B222" s="41"/>
      <c r="C222" s="41"/>
      <c r="D222" s="41"/>
      <c r="E222" s="41"/>
      <c r="F222" s="41"/>
      <c r="G222" s="41"/>
    </row>
    <row r="223">
      <c r="A223" s="40"/>
      <c r="B223" s="41"/>
      <c r="C223" s="41"/>
      <c r="D223" s="41"/>
      <c r="E223" s="41"/>
      <c r="F223" s="41"/>
      <c r="G223" s="41"/>
    </row>
    <row r="224">
      <c r="A224" s="40"/>
      <c r="B224" s="41"/>
      <c r="C224" s="41"/>
      <c r="D224" s="41"/>
      <c r="E224" s="41"/>
      <c r="F224" s="41"/>
      <c r="G224" s="41"/>
    </row>
    <row r="225">
      <c r="A225" s="40"/>
      <c r="B225" s="41"/>
      <c r="C225" s="41"/>
      <c r="D225" s="41"/>
      <c r="E225" s="41"/>
      <c r="F225" s="41"/>
      <c r="G225" s="41"/>
    </row>
    <row r="226">
      <c r="A226" s="40"/>
      <c r="B226" s="41"/>
      <c r="C226" s="41"/>
      <c r="D226" s="41"/>
      <c r="E226" s="41"/>
      <c r="F226" s="41"/>
      <c r="G226" s="41"/>
    </row>
    <row r="227">
      <c r="A227" s="40"/>
      <c r="B227" s="41"/>
      <c r="C227" s="41"/>
      <c r="D227" s="41"/>
      <c r="E227" s="41"/>
      <c r="F227" s="41"/>
      <c r="G227" s="41"/>
    </row>
    <row r="228">
      <c r="A228" s="40"/>
      <c r="B228" s="41"/>
      <c r="C228" s="41"/>
      <c r="D228" s="41"/>
      <c r="E228" s="41"/>
      <c r="F228" s="41"/>
      <c r="G228" s="41"/>
    </row>
    <row r="229">
      <c r="A229" s="40"/>
      <c r="B229" s="41"/>
      <c r="C229" s="41"/>
      <c r="D229" s="41"/>
      <c r="E229" s="41"/>
      <c r="F229" s="41"/>
      <c r="G229" s="41"/>
    </row>
    <row r="230">
      <c r="A230" s="40"/>
      <c r="B230" s="41"/>
      <c r="C230" s="41"/>
      <c r="D230" s="41"/>
      <c r="E230" s="41"/>
      <c r="F230" s="41"/>
      <c r="G230" s="41"/>
    </row>
    <row r="231">
      <c r="A231" s="40"/>
      <c r="B231" s="41"/>
      <c r="C231" s="41"/>
      <c r="D231" s="41"/>
      <c r="E231" s="41"/>
      <c r="F231" s="41"/>
      <c r="G231" s="41"/>
    </row>
    <row r="232">
      <c r="A232" s="40"/>
      <c r="B232" s="41"/>
      <c r="C232" s="41"/>
      <c r="D232" s="41"/>
      <c r="E232" s="41"/>
      <c r="F232" s="41"/>
      <c r="G232" s="41"/>
    </row>
    <row r="233">
      <c r="A233" s="40"/>
      <c r="B233" s="41"/>
      <c r="C233" s="41"/>
      <c r="D233" s="41"/>
      <c r="E233" s="41"/>
      <c r="F233" s="41"/>
      <c r="G233" s="41"/>
    </row>
    <row r="234">
      <c r="A234" s="40"/>
      <c r="B234" s="41"/>
      <c r="C234" s="41"/>
      <c r="D234" s="41"/>
      <c r="E234" s="41"/>
      <c r="F234" s="41"/>
      <c r="G234" s="41"/>
    </row>
    <row r="235">
      <c r="A235" s="40"/>
      <c r="B235" s="41"/>
      <c r="C235" s="41"/>
      <c r="D235" s="41"/>
      <c r="E235" s="41"/>
      <c r="F235" s="41"/>
      <c r="G235" s="41"/>
    </row>
    <row r="236">
      <c r="A236" s="40"/>
      <c r="B236" s="41"/>
      <c r="C236" s="41"/>
      <c r="D236" s="41"/>
      <c r="E236" s="41"/>
      <c r="F236" s="41"/>
      <c r="G236" s="41"/>
    </row>
    <row r="237">
      <c r="A237" s="40"/>
      <c r="B237" s="41"/>
      <c r="C237" s="41"/>
      <c r="D237" s="41"/>
      <c r="E237" s="41"/>
      <c r="F237" s="41"/>
      <c r="G237" s="41"/>
    </row>
    <row r="238">
      <c r="A238" s="40"/>
      <c r="B238" s="41"/>
      <c r="C238" s="41"/>
      <c r="D238" s="41"/>
      <c r="E238" s="41"/>
      <c r="F238" s="41"/>
      <c r="G238" s="41"/>
    </row>
    <row r="239">
      <c r="A239" s="40"/>
      <c r="B239" s="41"/>
      <c r="C239" s="41"/>
      <c r="D239" s="41"/>
      <c r="E239" s="41"/>
      <c r="F239" s="41"/>
      <c r="G239" s="41"/>
    </row>
    <row r="240">
      <c r="A240" s="40"/>
      <c r="B240" s="41"/>
      <c r="C240" s="41"/>
      <c r="D240" s="41"/>
      <c r="E240" s="41"/>
      <c r="F240" s="41"/>
      <c r="G240" s="41"/>
    </row>
    <row r="241">
      <c r="A241" s="40"/>
      <c r="B241" s="41"/>
      <c r="C241" s="41"/>
      <c r="D241" s="41"/>
      <c r="E241" s="41"/>
      <c r="F241" s="41"/>
      <c r="G241" s="41"/>
    </row>
    <row r="242">
      <c r="A242" s="40"/>
      <c r="B242" s="41"/>
      <c r="C242" s="41"/>
      <c r="D242" s="41"/>
      <c r="E242" s="41"/>
      <c r="F242" s="41"/>
      <c r="G242" s="41"/>
    </row>
    <row r="243">
      <c r="A243" s="40"/>
      <c r="B243" s="41"/>
      <c r="C243" s="41"/>
      <c r="D243" s="41"/>
      <c r="E243" s="41"/>
      <c r="F243" s="41"/>
      <c r="G243" s="41"/>
    </row>
    <row r="244">
      <c r="A244" s="40"/>
      <c r="B244" s="41"/>
      <c r="C244" s="41"/>
      <c r="D244" s="41"/>
      <c r="E244" s="41"/>
      <c r="F244" s="41"/>
      <c r="G244" s="41"/>
    </row>
    <row r="245">
      <c r="A245" s="40"/>
      <c r="B245" s="41"/>
      <c r="C245" s="41"/>
      <c r="D245" s="41"/>
      <c r="E245" s="41"/>
      <c r="F245" s="41"/>
      <c r="G245" s="41"/>
    </row>
    <row r="246">
      <c r="A246" s="40"/>
      <c r="B246" s="41"/>
      <c r="C246" s="41"/>
      <c r="D246" s="41"/>
      <c r="E246" s="41"/>
      <c r="F246" s="41"/>
      <c r="G246" s="41"/>
    </row>
    <row r="247">
      <c r="A247" s="40"/>
      <c r="B247" s="41"/>
      <c r="C247" s="41"/>
      <c r="D247" s="41"/>
      <c r="E247" s="41"/>
      <c r="F247" s="41"/>
      <c r="G247" s="41"/>
    </row>
    <row r="248">
      <c r="A248" s="40"/>
      <c r="B248" s="41"/>
      <c r="C248" s="41"/>
      <c r="D248" s="41"/>
      <c r="E248" s="41"/>
      <c r="F248" s="41"/>
      <c r="G248" s="41"/>
    </row>
    <row r="249">
      <c r="A249" s="40"/>
      <c r="B249" s="41"/>
      <c r="C249" s="41"/>
      <c r="D249" s="41"/>
      <c r="E249" s="41"/>
      <c r="F249" s="41"/>
      <c r="G249" s="41"/>
    </row>
    <row r="250">
      <c r="A250" s="40"/>
      <c r="B250" s="41"/>
      <c r="C250" s="41"/>
      <c r="D250" s="41"/>
      <c r="E250" s="41"/>
      <c r="F250" s="41"/>
      <c r="G250" s="41"/>
    </row>
    <row r="251">
      <c r="A251" s="40"/>
      <c r="B251" s="41"/>
      <c r="C251" s="41"/>
      <c r="D251" s="41"/>
      <c r="E251" s="41"/>
      <c r="F251" s="41"/>
      <c r="G251" s="41"/>
    </row>
    <row r="252">
      <c r="A252" s="40"/>
      <c r="B252" s="41"/>
      <c r="C252" s="41"/>
      <c r="D252" s="41"/>
      <c r="E252" s="41"/>
      <c r="F252" s="41"/>
      <c r="G252" s="41"/>
    </row>
    <row r="253">
      <c r="A253" s="40"/>
      <c r="B253" s="41"/>
      <c r="C253" s="41"/>
      <c r="D253" s="41"/>
      <c r="E253" s="41"/>
      <c r="F253" s="41"/>
      <c r="G253" s="41"/>
    </row>
    <row r="254">
      <c r="A254" s="40"/>
      <c r="B254" s="41"/>
      <c r="C254" s="41"/>
      <c r="D254" s="41"/>
      <c r="E254" s="41"/>
      <c r="F254" s="41"/>
      <c r="G254" s="41"/>
    </row>
    <row r="255">
      <c r="A255" s="40"/>
      <c r="B255" s="41"/>
      <c r="C255" s="41"/>
      <c r="D255" s="41"/>
      <c r="E255" s="41"/>
      <c r="F255" s="41"/>
      <c r="G255" s="41"/>
    </row>
    <row r="256">
      <c r="A256" s="40"/>
      <c r="B256" s="41"/>
      <c r="C256" s="41"/>
      <c r="D256" s="41"/>
      <c r="E256" s="41"/>
      <c r="F256" s="41"/>
      <c r="G256" s="41"/>
    </row>
    <row r="257">
      <c r="A257" s="40"/>
      <c r="B257" s="41"/>
      <c r="C257" s="41"/>
      <c r="D257" s="41"/>
      <c r="E257" s="41"/>
      <c r="F257" s="41"/>
      <c r="G257" s="41"/>
    </row>
    <row r="258">
      <c r="A258" s="40"/>
      <c r="B258" s="41"/>
      <c r="C258" s="41"/>
      <c r="D258" s="41"/>
      <c r="E258" s="41"/>
      <c r="F258" s="41"/>
      <c r="G258" s="41"/>
    </row>
    <row r="259">
      <c r="A259" s="40"/>
      <c r="B259" s="41"/>
      <c r="C259" s="41"/>
      <c r="D259" s="41"/>
      <c r="E259" s="41"/>
      <c r="F259" s="41"/>
      <c r="G259" s="41"/>
    </row>
    <row r="260">
      <c r="A260" s="40"/>
      <c r="B260" s="41"/>
      <c r="C260" s="41"/>
      <c r="D260" s="41"/>
      <c r="E260" s="41"/>
      <c r="F260" s="41"/>
      <c r="G260" s="41"/>
    </row>
    <row r="261">
      <c r="A261" s="40"/>
      <c r="B261" s="41"/>
      <c r="C261" s="41"/>
      <c r="D261" s="41"/>
      <c r="E261" s="41"/>
      <c r="F261" s="41"/>
      <c r="G261" s="41"/>
    </row>
    <row r="262">
      <c r="A262" s="40"/>
      <c r="B262" s="41"/>
      <c r="C262" s="41"/>
      <c r="D262" s="41"/>
      <c r="E262" s="41"/>
      <c r="F262" s="41"/>
      <c r="G262" s="41"/>
    </row>
    <row r="263">
      <c r="A263" s="40"/>
      <c r="B263" s="41"/>
      <c r="C263" s="41"/>
      <c r="D263" s="41"/>
      <c r="E263" s="41"/>
      <c r="F263" s="41"/>
      <c r="G263" s="41"/>
    </row>
    <row r="264">
      <c r="A264" s="40"/>
      <c r="B264" s="41"/>
      <c r="C264" s="41"/>
      <c r="D264" s="41"/>
      <c r="E264" s="41"/>
      <c r="F264" s="41"/>
      <c r="G264" s="41"/>
    </row>
    <row r="265">
      <c r="A265" s="40"/>
      <c r="B265" s="41"/>
      <c r="C265" s="41"/>
      <c r="D265" s="41"/>
      <c r="E265" s="41"/>
      <c r="F265" s="41"/>
      <c r="G265" s="41"/>
    </row>
    <row r="266">
      <c r="A266" s="40"/>
      <c r="B266" s="41"/>
      <c r="C266" s="41"/>
      <c r="D266" s="41"/>
      <c r="E266" s="41"/>
      <c r="F266" s="41"/>
      <c r="G266" s="41"/>
    </row>
    <row r="267">
      <c r="A267" s="40"/>
      <c r="B267" s="41"/>
      <c r="C267" s="41"/>
      <c r="D267" s="41"/>
      <c r="E267" s="41"/>
      <c r="F267" s="41"/>
      <c r="G267" s="41"/>
    </row>
    <row r="268">
      <c r="A268" s="40"/>
      <c r="B268" s="41"/>
      <c r="C268" s="41"/>
      <c r="D268" s="41"/>
      <c r="E268" s="41"/>
      <c r="F268" s="41"/>
      <c r="G268" s="41"/>
    </row>
    <row r="269">
      <c r="A269" s="40"/>
      <c r="B269" s="41"/>
      <c r="C269" s="41"/>
      <c r="D269" s="41"/>
      <c r="E269" s="41"/>
      <c r="F269" s="41"/>
      <c r="G269" s="41"/>
    </row>
    <row r="270">
      <c r="A270" s="40"/>
      <c r="B270" s="41"/>
      <c r="C270" s="41"/>
      <c r="D270" s="41"/>
      <c r="E270" s="41"/>
      <c r="F270" s="41"/>
      <c r="G270" s="41"/>
    </row>
    <row r="271">
      <c r="A271" s="40"/>
      <c r="B271" s="41"/>
      <c r="C271" s="41"/>
      <c r="D271" s="41"/>
      <c r="E271" s="41"/>
      <c r="F271" s="41"/>
      <c r="G271" s="41"/>
    </row>
    <row r="272">
      <c r="A272" s="40"/>
      <c r="B272" s="41"/>
      <c r="C272" s="41"/>
      <c r="D272" s="41"/>
      <c r="E272" s="41"/>
      <c r="F272" s="41"/>
      <c r="G272" s="41"/>
    </row>
    <row r="273">
      <c r="A273" s="40"/>
      <c r="B273" s="41"/>
      <c r="C273" s="41"/>
      <c r="D273" s="41"/>
      <c r="E273" s="41"/>
      <c r="F273" s="41"/>
      <c r="G273" s="41"/>
    </row>
    <row r="274">
      <c r="A274" s="40"/>
      <c r="B274" s="41"/>
      <c r="C274" s="41"/>
      <c r="D274" s="41"/>
      <c r="E274" s="41"/>
      <c r="F274" s="41"/>
      <c r="G274" s="41"/>
    </row>
    <row r="275">
      <c r="A275" s="40"/>
      <c r="B275" s="41"/>
      <c r="C275" s="41"/>
      <c r="D275" s="41"/>
      <c r="E275" s="41"/>
      <c r="F275" s="41"/>
      <c r="G275" s="41"/>
    </row>
    <row r="276">
      <c r="A276" s="40"/>
      <c r="B276" s="41"/>
      <c r="C276" s="41"/>
      <c r="D276" s="41"/>
      <c r="E276" s="41"/>
      <c r="F276" s="41"/>
      <c r="G276" s="41"/>
    </row>
    <row r="277">
      <c r="A277" s="40"/>
      <c r="B277" s="41"/>
      <c r="C277" s="41"/>
      <c r="D277" s="41"/>
      <c r="E277" s="41"/>
      <c r="F277" s="41"/>
      <c r="G277" s="41"/>
    </row>
    <row r="278">
      <c r="A278" s="40"/>
      <c r="B278" s="41"/>
      <c r="C278" s="41"/>
      <c r="D278" s="41"/>
      <c r="E278" s="41"/>
      <c r="F278" s="41"/>
      <c r="G278" s="41"/>
    </row>
    <row r="279">
      <c r="A279" s="40"/>
      <c r="B279" s="41"/>
      <c r="C279" s="41"/>
      <c r="D279" s="41"/>
      <c r="E279" s="41"/>
      <c r="F279" s="41"/>
      <c r="G279" s="41"/>
    </row>
    <row r="280">
      <c r="A280" s="40"/>
      <c r="B280" s="41"/>
      <c r="C280" s="41"/>
      <c r="D280" s="41"/>
      <c r="E280" s="41"/>
      <c r="F280" s="41"/>
      <c r="G280" s="41"/>
    </row>
    <row r="281">
      <c r="A281" s="40"/>
      <c r="B281" s="41"/>
      <c r="C281" s="41"/>
      <c r="D281" s="41"/>
      <c r="E281" s="41"/>
      <c r="F281" s="41"/>
      <c r="G281" s="41"/>
    </row>
    <row r="282">
      <c r="A282" s="40"/>
      <c r="B282" s="41"/>
      <c r="C282" s="41"/>
      <c r="D282" s="41"/>
      <c r="E282" s="41"/>
      <c r="F282" s="41"/>
      <c r="G282" s="41"/>
    </row>
    <row r="283">
      <c r="A283" s="40"/>
      <c r="B283" s="41"/>
      <c r="C283" s="41"/>
      <c r="D283" s="41"/>
      <c r="E283" s="41"/>
      <c r="F283" s="41"/>
      <c r="G283" s="41"/>
    </row>
    <row r="284">
      <c r="A284" s="40"/>
      <c r="B284" s="41"/>
      <c r="C284" s="41"/>
      <c r="D284" s="41"/>
      <c r="E284" s="41"/>
      <c r="F284" s="41"/>
      <c r="G284" s="41"/>
    </row>
    <row r="285">
      <c r="A285" s="40"/>
      <c r="B285" s="41"/>
      <c r="C285" s="41"/>
      <c r="D285" s="41"/>
      <c r="E285" s="41"/>
      <c r="F285" s="41"/>
      <c r="G285" s="41"/>
    </row>
    <row r="286">
      <c r="A286" s="40"/>
      <c r="B286" s="41"/>
      <c r="C286" s="41"/>
      <c r="D286" s="41"/>
      <c r="E286" s="41"/>
      <c r="F286" s="41"/>
      <c r="G286" s="41"/>
    </row>
    <row r="287">
      <c r="A287" s="40"/>
      <c r="B287" s="41"/>
      <c r="C287" s="41"/>
      <c r="D287" s="41"/>
      <c r="E287" s="41"/>
      <c r="F287" s="41"/>
      <c r="G287" s="41"/>
    </row>
    <row r="288">
      <c r="A288" s="40"/>
      <c r="B288" s="41"/>
      <c r="C288" s="41"/>
      <c r="D288" s="41"/>
      <c r="E288" s="41"/>
      <c r="F288" s="41"/>
      <c r="G288" s="41"/>
    </row>
    <row r="289">
      <c r="A289" s="40"/>
      <c r="B289" s="41"/>
      <c r="C289" s="41"/>
      <c r="D289" s="41"/>
      <c r="E289" s="41"/>
      <c r="F289" s="41"/>
      <c r="G289" s="41"/>
    </row>
    <row r="290">
      <c r="A290" s="40"/>
      <c r="B290" s="41"/>
      <c r="C290" s="41"/>
      <c r="D290" s="41"/>
      <c r="E290" s="41"/>
      <c r="F290" s="41"/>
      <c r="G290" s="41"/>
    </row>
    <row r="291">
      <c r="A291" s="40"/>
      <c r="B291" s="41"/>
      <c r="C291" s="41"/>
      <c r="D291" s="41"/>
      <c r="E291" s="41"/>
      <c r="F291" s="41"/>
      <c r="G291" s="41"/>
    </row>
    <row r="292">
      <c r="A292" s="40"/>
      <c r="B292" s="41"/>
      <c r="C292" s="41"/>
      <c r="D292" s="41"/>
      <c r="E292" s="41"/>
      <c r="F292" s="41"/>
      <c r="G292" s="41"/>
    </row>
    <row r="293">
      <c r="A293" s="40"/>
      <c r="B293" s="41"/>
      <c r="C293" s="41"/>
      <c r="D293" s="41"/>
      <c r="E293" s="41"/>
      <c r="F293" s="41"/>
      <c r="G293" s="41"/>
    </row>
    <row r="294">
      <c r="A294" s="40"/>
      <c r="B294" s="41"/>
      <c r="C294" s="41"/>
      <c r="D294" s="41"/>
      <c r="E294" s="41"/>
      <c r="F294" s="41"/>
      <c r="G294" s="41"/>
    </row>
    <row r="295">
      <c r="A295" s="40"/>
      <c r="B295" s="41"/>
      <c r="C295" s="41"/>
      <c r="D295" s="41"/>
      <c r="E295" s="41"/>
      <c r="F295" s="41"/>
      <c r="G295" s="41"/>
    </row>
    <row r="296">
      <c r="A296" s="40"/>
      <c r="B296" s="41"/>
      <c r="C296" s="41"/>
      <c r="D296" s="41"/>
      <c r="E296" s="41"/>
      <c r="F296" s="41"/>
      <c r="G296" s="41"/>
    </row>
    <row r="297">
      <c r="A297" s="40"/>
      <c r="B297" s="41"/>
      <c r="C297" s="41"/>
      <c r="D297" s="41"/>
      <c r="E297" s="41"/>
      <c r="F297" s="41"/>
      <c r="G297" s="41"/>
    </row>
    <row r="298">
      <c r="A298" s="40"/>
      <c r="B298" s="41"/>
      <c r="C298" s="41"/>
      <c r="D298" s="41"/>
      <c r="E298" s="41"/>
      <c r="F298" s="41"/>
      <c r="G298" s="41"/>
    </row>
    <row r="299">
      <c r="A299" s="40"/>
      <c r="B299" s="41"/>
      <c r="C299" s="41"/>
      <c r="D299" s="41"/>
      <c r="E299" s="41"/>
      <c r="F299" s="41"/>
      <c r="G299" s="41"/>
    </row>
    <row r="300">
      <c r="A300" s="40"/>
      <c r="B300" s="41"/>
      <c r="C300" s="41"/>
      <c r="D300" s="41"/>
      <c r="E300" s="41"/>
      <c r="F300" s="41"/>
      <c r="G300" s="41"/>
    </row>
    <row r="301">
      <c r="A301" s="40"/>
      <c r="B301" s="41"/>
      <c r="C301" s="41"/>
      <c r="D301" s="41"/>
      <c r="E301" s="41"/>
      <c r="F301" s="41"/>
      <c r="G301" s="41"/>
    </row>
    <row r="302">
      <c r="A302" s="40"/>
      <c r="B302" s="41"/>
      <c r="C302" s="41"/>
      <c r="D302" s="41"/>
      <c r="E302" s="41"/>
      <c r="F302" s="41"/>
      <c r="G302" s="41"/>
    </row>
    <row r="303">
      <c r="A303" s="40"/>
      <c r="B303" s="41"/>
      <c r="C303" s="41"/>
      <c r="D303" s="41"/>
      <c r="E303" s="41"/>
      <c r="F303" s="41"/>
      <c r="G303" s="41"/>
    </row>
    <row r="304">
      <c r="A304" s="40"/>
      <c r="B304" s="41"/>
      <c r="C304" s="41"/>
      <c r="D304" s="41"/>
      <c r="E304" s="41"/>
      <c r="F304" s="41"/>
      <c r="G304" s="41"/>
    </row>
    <row r="305">
      <c r="A305" s="40"/>
      <c r="B305" s="41"/>
      <c r="C305" s="41"/>
      <c r="D305" s="41"/>
      <c r="E305" s="41"/>
      <c r="F305" s="41"/>
      <c r="G305" s="41"/>
    </row>
    <row r="306">
      <c r="A306" s="40"/>
      <c r="B306" s="41"/>
      <c r="C306" s="41"/>
      <c r="D306" s="41"/>
      <c r="E306" s="41"/>
      <c r="F306" s="41"/>
      <c r="G306" s="41"/>
    </row>
    <row r="307">
      <c r="A307" s="40"/>
      <c r="B307" s="41"/>
      <c r="C307" s="41"/>
      <c r="D307" s="41"/>
      <c r="E307" s="41"/>
      <c r="F307" s="41"/>
      <c r="G307" s="41"/>
    </row>
    <row r="308">
      <c r="A308" s="40"/>
      <c r="B308" s="41"/>
      <c r="C308" s="41"/>
      <c r="D308" s="41"/>
      <c r="E308" s="41"/>
      <c r="F308" s="41"/>
      <c r="G308" s="41"/>
    </row>
    <row r="309">
      <c r="A309" s="40"/>
      <c r="B309" s="41"/>
      <c r="C309" s="41"/>
      <c r="D309" s="41"/>
      <c r="E309" s="41"/>
      <c r="F309" s="41"/>
      <c r="G309" s="41"/>
    </row>
    <row r="310">
      <c r="A310" s="40"/>
      <c r="B310" s="41"/>
      <c r="C310" s="41"/>
      <c r="D310" s="41"/>
      <c r="E310" s="41"/>
      <c r="F310" s="41"/>
      <c r="G310" s="41"/>
    </row>
    <row r="311">
      <c r="A311" s="40"/>
      <c r="B311" s="41"/>
      <c r="C311" s="41"/>
      <c r="D311" s="41"/>
      <c r="E311" s="41"/>
      <c r="F311" s="41"/>
      <c r="G311" s="41"/>
    </row>
    <row r="312">
      <c r="A312" s="40"/>
      <c r="B312" s="41"/>
      <c r="C312" s="41"/>
      <c r="D312" s="41"/>
      <c r="E312" s="41"/>
      <c r="F312" s="41"/>
      <c r="G312" s="41"/>
    </row>
    <row r="313">
      <c r="A313" s="40"/>
      <c r="B313" s="41"/>
      <c r="C313" s="41"/>
      <c r="D313" s="41"/>
      <c r="E313" s="41"/>
      <c r="F313" s="41"/>
      <c r="G313" s="41"/>
    </row>
    <row r="314">
      <c r="A314" s="40"/>
      <c r="B314" s="41"/>
      <c r="C314" s="41"/>
      <c r="D314" s="41"/>
      <c r="E314" s="41"/>
      <c r="F314" s="41"/>
      <c r="G314" s="41"/>
    </row>
    <row r="315">
      <c r="A315" s="40"/>
      <c r="B315" s="41"/>
      <c r="C315" s="41"/>
      <c r="D315" s="41"/>
      <c r="E315" s="41"/>
      <c r="F315" s="41"/>
      <c r="G315" s="41"/>
    </row>
    <row r="316">
      <c r="A316" s="40"/>
      <c r="B316" s="41"/>
      <c r="C316" s="41"/>
      <c r="D316" s="41"/>
      <c r="E316" s="41"/>
      <c r="F316" s="41"/>
      <c r="G316" s="41"/>
    </row>
    <row r="317">
      <c r="A317" s="40"/>
      <c r="B317" s="41"/>
      <c r="C317" s="41"/>
      <c r="D317" s="41"/>
      <c r="E317" s="41"/>
      <c r="F317" s="41"/>
      <c r="G317" s="41"/>
    </row>
    <row r="318">
      <c r="A318" s="40"/>
      <c r="B318" s="41"/>
      <c r="C318" s="41"/>
      <c r="D318" s="41"/>
      <c r="E318" s="41"/>
      <c r="F318" s="41"/>
      <c r="G318" s="41"/>
    </row>
    <row r="319">
      <c r="A319" s="40"/>
      <c r="B319" s="41"/>
      <c r="C319" s="41"/>
      <c r="D319" s="41"/>
      <c r="E319" s="41"/>
      <c r="F319" s="41"/>
      <c r="G319" s="41"/>
    </row>
    <row r="320">
      <c r="A320" s="40"/>
      <c r="B320" s="41"/>
      <c r="C320" s="41"/>
      <c r="D320" s="41"/>
      <c r="E320" s="41"/>
      <c r="F320" s="41"/>
      <c r="G320" s="41"/>
    </row>
    <row r="321">
      <c r="A321" s="40"/>
      <c r="B321" s="41"/>
      <c r="C321" s="41"/>
      <c r="D321" s="41"/>
      <c r="E321" s="41"/>
      <c r="F321" s="41"/>
      <c r="G321" s="41"/>
    </row>
    <row r="322">
      <c r="A322" s="40"/>
      <c r="B322" s="41"/>
      <c r="C322" s="41"/>
      <c r="D322" s="41"/>
      <c r="E322" s="41"/>
      <c r="F322" s="41"/>
      <c r="G322" s="41"/>
    </row>
    <row r="323">
      <c r="A323" s="40"/>
      <c r="B323" s="41"/>
      <c r="C323" s="41"/>
      <c r="D323" s="41"/>
      <c r="E323" s="41"/>
      <c r="F323" s="41"/>
      <c r="G323" s="41"/>
    </row>
    <row r="324">
      <c r="A324" s="40"/>
      <c r="B324" s="41"/>
      <c r="C324" s="41"/>
      <c r="D324" s="41"/>
      <c r="E324" s="41"/>
      <c r="F324" s="41"/>
      <c r="G324" s="41"/>
    </row>
    <row r="325">
      <c r="A325" s="40"/>
      <c r="B325" s="41"/>
      <c r="C325" s="41"/>
      <c r="D325" s="41"/>
      <c r="E325" s="41"/>
      <c r="F325" s="41"/>
      <c r="G325" s="41"/>
    </row>
    <row r="326">
      <c r="A326" s="40"/>
      <c r="B326" s="41"/>
      <c r="C326" s="41"/>
      <c r="D326" s="41"/>
      <c r="E326" s="41"/>
      <c r="F326" s="41"/>
      <c r="G326" s="41"/>
    </row>
    <row r="327">
      <c r="A327" s="40"/>
      <c r="B327" s="41"/>
      <c r="C327" s="41"/>
      <c r="D327" s="41"/>
      <c r="E327" s="41"/>
      <c r="F327" s="41"/>
      <c r="G327" s="41"/>
    </row>
    <row r="328">
      <c r="A328" s="40"/>
      <c r="B328" s="41"/>
      <c r="C328" s="41"/>
      <c r="D328" s="41"/>
      <c r="E328" s="41"/>
      <c r="F328" s="41"/>
      <c r="G328" s="41"/>
    </row>
    <row r="329">
      <c r="A329" s="40"/>
      <c r="B329" s="41"/>
      <c r="C329" s="41"/>
      <c r="D329" s="41"/>
      <c r="E329" s="41"/>
      <c r="F329" s="41"/>
      <c r="G329" s="41"/>
    </row>
    <row r="330">
      <c r="A330" s="40"/>
      <c r="B330" s="41"/>
      <c r="C330" s="41"/>
      <c r="D330" s="41"/>
      <c r="E330" s="41"/>
      <c r="F330" s="41"/>
      <c r="G330" s="41"/>
    </row>
    <row r="331">
      <c r="A331" s="40"/>
      <c r="B331" s="41"/>
      <c r="C331" s="41"/>
      <c r="D331" s="41"/>
      <c r="E331" s="41"/>
      <c r="F331" s="41"/>
      <c r="G331" s="41"/>
    </row>
    <row r="332">
      <c r="A332" s="40"/>
      <c r="B332" s="41"/>
      <c r="C332" s="41"/>
      <c r="D332" s="41"/>
      <c r="E332" s="41"/>
      <c r="F332" s="41"/>
      <c r="G332" s="41"/>
    </row>
    <row r="333">
      <c r="A333" s="40"/>
      <c r="B333" s="41"/>
      <c r="C333" s="41"/>
      <c r="D333" s="41"/>
      <c r="E333" s="41"/>
      <c r="F333" s="41"/>
      <c r="G333" s="41"/>
    </row>
    <row r="334">
      <c r="A334" s="40"/>
      <c r="B334" s="41"/>
      <c r="C334" s="41"/>
      <c r="D334" s="41"/>
      <c r="E334" s="41"/>
      <c r="F334" s="41"/>
      <c r="G334" s="41"/>
    </row>
    <row r="335">
      <c r="A335" s="40"/>
      <c r="B335" s="41"/>
      <c r="C335" s="41"/>
      <c r="D335" s="41"/>
      <c r="E335" s="41"/>
      <c r="F335" s="41"/>
      <c r="G335" s="41"/>
    </row>
    <row r="336">
      <c r="A336" s="40"/>
      <c r="B336" s="41"/>
      <c r="C336" s="41"/>
      <c r="D336" s="41"/>
      <c r="E336" s="41"/>
      <c r="F336" s="41"/>
      <c r="G336" s="41"/>
    </row>
    <row r="337">
      <c r="A337" s="40"/>
      <c r="B337" s="41"/>
      <c r="C337" s="41"/>
      <c r="D337" s="41"/>
      <c r="E337" s="41"/>
      <c r="F337" s="41"/>
      <c r="G337" s="41"/>
    </row>
    <row r="338">
      <c r="A338" s="40"/>
      <c r="B338" s="41"/>
      <c r="C338" s="41"/>
      <c r="D338" s="41"/>
      <c r="E338" s="41"/>
      <c r="F338" s="41"/>
      <c r="G338" s="41"/>
    </row>
    <row r="339">
      <c r="A339" s="40"/>
      <c r="B339" s="41"/>
      <c r="C339" s="41"/>
      <c r="D339" s="41"/>
      <c r="E339" s="41"/>
      <c r="F339" s="41"/>
      <c r="G339" s="41"/>
    </row>
    <row r="340">
      <c r="A340" s="40"/>
      <c r="B340" s="41"/>
      <c r="C340" s="41"/>
      <c r="D340" s="41"/>
      <c r="E340" s="41"/>
      <c r="F340" s="41"/>
      <c r="G340" s="41"/>
    </row>
    <row r="341">
      <c r="A341" s="40"/>
      <c r="B341" s="41"/>
      <c r="C341" s="41"/>
      <c r="D341" s="41"/>
      <c r="E341" s="41"/>
      <c r="F341" s="41"/>
      <c r="G341" s="41"/>
    </row>
    <row r="342">
      <c r="A342" s="40"/>
      <c r="B342" s="41"/>
      <c r="C342" s="41"/>
      <c r="D342" s="41"/>
      <c r="E342" s="41"/>
      <c r="F342" s="41"/>
      <c r="G342" s="41"/>
    </row>
    <row r="343">
      <c r="A343" s="40"/>
      <c r="B343" s="41"/>
      <c r="C343" s="41"/>
      <c r="D343" s="41"/>
      <c r="E343" s="41"/>
      <c r="F343" s="41"/>
      <c r="G343" s="41"/>
    </row>
    <row r="344">
      <c r="A344" s="40"/>
      <c r="B344" s="41"/>
      <c r="C344" s="41"/>
      <c r="D344" s="41"/>
      <c r="E344" s="41"/>
      <c r="F344" s="41"/>
      <c r="G344" s="41"/>
    </row>
    <row r="345">
      <c r="A345" s="40"/>
      <c r="B345" s="41"/>
      <c r="C345" s="41"/>
      <c r="D345" s="41"/>
      <c r="E345" s="41"/>
      <c r="F345" s="41"/>
      <c r="G345" s="41"/>
    </row>
    <row r="346">
      <c r="A346" s="40"/>
      <c r="B346" s="41"/>
      <c r="C346" s="41"/>
      <c r="D346" s="41"/>
      <c r="E346" s="41"/>
      <c r="F346" s="41"/>
      <c r="G346" s="41"/>
    </row>
    <row r="347">
      <c r="A347" s="40"/>
      <c r="B347" s="41"/>
      <c r="C347" s="41"/>
      <c r="D347" s="41"/>
      <c r="E347" s="41"/>
      <c r="F347" s="41"/>
      <c r="G347" s="41"/>
    </row>
    <row r="348">
      <c r="A348" s="40"/>
      <c r="B348" s="41"/>
      <c r="C348" s="41"/>
      <c r="D348" s="41"/>
      <c r="E348" s="41"/>
      <c r="F348" s="41"/>
      <c r="G348" s="41"/>
    </row>
    <row r="349">
      <c r="A349" s="40"/>
      <c r="B349" s="41"/>
      <c r="C349" s="41"/>
      <c r="D349" s="41"/>
      <c r="E349" s="41"/>
      <c r="F349" s="41"/>
      <c r="G349" s="41"/>
    </row>
    <row r="350">
      <c r="A350" s="40"/>
      <c r="B350" s="41"/>
      <c r="C350" s="41"/>
      <c r="D350" s="41"/>
      <c r="E350" s="41"/>
      <c r="F350" s="41"/>
      <c r="G350" s="41"/>
    </row>
    <row r="351">
      <c r="A351" s="40"/>
      <c r="B351" s="41"/>
      <c r="C351" s="41"/>
      <c r="D351" s="41"/>
      <c r="E351" s="41"/>
      <c r="F351" s="41"/>
      <c r="G351" s="41"/>
    </row>
    <row r="352">
      <c r="A352" s="40"/>
      <c r="B352" s="41"/>
      <c r="C352" s="41"/>
      <c r="D352" s="41"/>
      <c r="E352" s="41"/>
      <c r="F352" s="41"/>
      <c r="G352" s="41"/>
    </row>
    <row r="353">
      <c r="A353" s="40"/>
      <c r="B353" s="41"/>
      <c r="C353" s="41"/>
      <c r="D353" s="41"/>
      <c r="E353" s="41"/>
      <c r="F353" s="41"/>
      <c r="G353" s="41"/>
    </row>
    <row r="354">
      <c r="A354" s="40"/>
      <c r="B354" s="41"/>
      <c r="C354" s="41"/>
      <c r="D354" s="41"/>
      <c r="E354" s="41"/>
      <c r="F354" s="41"/>
      <c r="G354" s="41"/>
    </row>
    <row r="355">
      <c r="A355" s="40"/>
      <c r="B355" s="41"/>
      <c r="C355" s="41"/>
      <c r="D355" s="41"/>
      <c r="E355" s="41"/>
      <c r="F355" s="41"/>
      <c r="G355" s="41"/>
    </row>
    <row r="356">
      <c r="A356" s="40"/>
      <c r="B356" s="41"/>
      <c r="C356" s="41"/>
      <c r="D356" s="41"/>
      <c r="E356" s="41"/>
      <c r="F356" s="41"/>
      <c r="G356" s="41"/>
    </row>
    <row r="357">
      <c r="A357" s="40"/>
      <c r="B357" s="41"/>
      <c r="C357" s="41"/>
      <c r="D357" s="41"/>
      <c r="E357" s="41"/>
      <c r="F357" s="41"/>
      <c r="G357" s="41"/>
    </row>
    <row r="358">
      <c r="A358" s="40"/>
      <c r="B358" s="41"/>
      <c r="C358" s="41"/>
      <c r="D358" s="41"/>
      <c r="E358" s="41"/>
      <c r="F358" s="41"/>
      <c r="G358" s="41"/>
    </row>
    <row r="359">
      <c r="A359" s="40"/>
      <c r="B359" s="41"/>
      <c r="C359" s="41"/>
      <c r="D359" s="41"/>
      <c r="E359" s="41"/>
      <c r="F359" s="41"/>
      <c r="G359" s="41"/>
    </row>
    <row r="360">
      <c r="A360" s="40"/>
      <c r="B360" s="41"/>
      <c r="C360" s="41"/>
      <c r="D360" s="41"/>
      <c r="E360" s="41"/>
      <c r="F360" s="41"/>
      <c r="G360" s="41"/>
    </row>
    <row r="361">
      <c r="A361" s="40"/>
      <c r="B361" s="41"/>
      <c r="C361" s="41"/>
      <c r="D361" s="41"/>
      <c r="E361" s="41"/>
      <c r="F361" s="41"/>
      <c r="G361" s="41"/>
    </row>
    <row r="362">
      <c r="A362" s="40"/>
      <c r="B362" s="41"/>
      <c r="C362" s="41"/>
      <c r="D362" s="41"/>
      <c r="E362" s="41"/>
      <c r="F362" s="41"/>
      <c r="G362" s="41"/>
    </row>
    <row r="363">
      <c r="A363" s="40"/>
      <c r="B363" s="41"/>
      <c r="C363" s="41"/>
      <c r="D363" s="41"/>
      <c r="E363" s="41"/>
      <c r="F363" s="41"/>
      <c r="G363" s="41"/>
    </row>
    <row r="364">
      <c r="A364" s="40"/>
      <c r="B364" s="41"/>
      <c r="C364" s="41"/>
      <c r="D364" s="41"/>
      <c r="E364" s="41"/>
      <c r="F364" s="41"/>
      <c r="G364" s="41"/>
    </row>
    <row r="365">
      <c r="A365" s="40"/>
      <c r="B365" s="41"/>
      <c r="C365" s="41"/>
      <c r="D365" s="41"/>
      <c r="E365" s="41"/>
      <c r="F365" s="41"/>
      <c r="G365" s="41"/>
    </row>
    <row r="366">
      <c r="A366" s="40"/>
      <c r="B366" s="41"/>
      <c r="C366" s="41"/>
      <c r="D366" s="41"/>
      <c r="E366" s="41"/>
      <c r="F366" s="41"/>
      <c r="G366" s="41"/>
    </row>
    <row r="367">
      <c r="A367" s="40"/>
      <c r="B367" s="41"/>
      <c r="C367" s="41"/>
      <c r="D367" s="41"/>
      <c r="E367" s="41"/>
      <c r="F367" s="41"/>
      <c r="G367" s="41"/>
    </row>
    <row r="368">
      <c r="A368" s="40"/>
      <c r="B368" s="41"/>
      <c r="C368" s="41"/>
      <c r="D368" s="41"/>
      <c r="E368" s="41"/>
      <c r="F368" s="41"/>
      <c r="G368" s="41"/>
    </row>
    <row r="369">
      <c r="A369" s="40"/>
      <c r="B369" s="41"/>
      <c r="C369" s="41"/>
      <c r="D369" s="41"/>
      <c r="E369" s="41"/>
      <c r="F369" s="41"/>
      <c r="G369" s="41"/>
    </row>
    <row r="370">
      <c r="A370" s="40"/>
      <c r="B370" s="41"/>
      <c r="C370" s="41"/>
      <c r="D370" s="41"/>
      <c r="E370" s="41"/>
      <c r="F370" s="41"/>
      <c r="G370" s="41"/>
    </row>
    <row r="371">
      <c r="A371" s="40"/>
      <c r="B371" s="41"/>
      <c r="C371" s="41"/>
      <c r="D371" s="41"/>
      <c r="E371" s="41"/>
      <c r="F371" s="41"/>
      <c r="G371" s="41"/>
    </row>
    <row r="372">
      <c r="A372" s="40"/>
      <c r="B372" s="41"/>
      <c r="C372" s="41"/>
      <c r="D372" s="41"/>
      <c r="E372" s="41"/>
      <c r="F372" s="41"/>
      <c r="G372" s="41"/>
    </row>
    <row r="373">
      <c r="A373" s="40"/>
      <c r="B373" s="41"/>
      <c r="C373" s="41"/>
      <c r="D373" s="41"/>
      <c r="E373" s="41"/>
      <c r="F373" s="41"/>
      <c r="G373" s="41"/>
    </row>
    <row r="374">
      <c r="A374" s="40"/>
      <c r="B374" s="41"/>
      <c r="C374" s="41"/>
      <c r="D374" s="41"/>
      <c r="E374" s="41"/>
      <c r="F374" s="41"/>
      <c r="G374" s="41"/>
    </row>
    <row r="375">
      <c r="A375" s="40"/>
      <c r="B375" s="41"/>
      <c r="C375" s="41"/>
      <c r="D375" s="41"/>
      <c r="E375" s="41"/>
      <c r="F375" s="41"/>
      <c r="G375" s="41"/>
    </row>
    <row r="376">
      <c r="A376" s="40"/>
      <c r="B376" s="41"/>
      <c r="C376" s="41"/>
      <c r="D376" s="41"/>
      <c r="E376" s="41"/>
      <c r="F376" s="41"/>
      <c r="G376" s="41"/>
    </row>
    <row r="377">
      <c r="A377" s="40"/>
      <c r="B377" s="41"/>
      <c r="C377" s="41"/>
      <c r="D377" s="41"/>
      <c r="E377" s="41"/>
      <c r="F377" s="41"/>
      <c r="G377" s="41"/>
    </row>
    <row r="378">
      <c r="A378" s="40"/>
      <c r="B378" s="41"/>
      <c r="C378" s="41"/>
      <c r="D378" s="41"/>
      <c r="E378" s="41"/>
      <c r="F378" s="41"/>
      <c r="G378" s="41"/>
    </row>
    <row r="379">
      <c r="A379" s="40"/>
      <c r="B379" s="41"/>
      <c r="C379" s="41"/>
      <c r="D379" s="41"/>
      <c r="E379" s="41"/>
      <c r="F379" s="41"/>
      <c r="G379" s="41"/>
    </row>
    <row r="380">
      <c r="A380" s="40"/>
      <c r="B380" s="41"/>
      <c r="C380" s="41"/>
      <c r="D380" s="41"/>
      <c r="E380" s="41"/>
      <c r="F380" s="41"/>
      <c r="G380" s="41"/>
    </row>
    <row r="381">
      <c r="A381" s="40"/>
      <c r="B381" s="41"/>
      <c r="C381" s="41"/>
      <c r="D381" s="41"/>
      <c r="E381" s="41"/>
      <c r="F381" s="41"/>
      <c r="G381" s="41"/>
    </row>
    <row r="382">
      <c r="A382" s="40"/>
      <c r="B382" s="41"/>
      <c r="C382" s="41"/>
      <c r="D382" s="41"/>
      <c r="E382" s="41"/>
      <c r="F382" s="41"/>
      <c r="G382" s="41"/>
    </row>
    <row r="383">
      <c r="A383" s="40"/>
      <c r="B383" s="41"/>
      <c r="C383" s="41"/>
      <c r="D383" s="41"/>
      <c r="E383" s="41"/>
      <c r="F383" s="41"/>
      <c r="G383" s="41"/>
    </row>
    <row r="384">
      <c r="A384" s="40"/>
      <c r="B384" s="41"/>
      <c r="C384" s="41"/>
      <c r="D384" s="41"/>
      <c r="E384" s="41"/>
      <c r="F384" s="41"/>
      <c r="G384" s="41"/>
    </row>
    <row r="385">
      <c r="A385" s="40"/>
      <c r="B385" s="41"/>
      <c r="C385" s="41"/>
      <c r="D385" s="41"/>
      <c r="E385" s="41"/>
      <c r="F385" s="41"/>
      <c r="G385" s="41"/>
    </row>
    <row r="386">
      <c r="A386" s="40"/>
      <c r="B386" s="41"/>
      <c r="C386" s="41"/>
      <c r="D386" s="41"/>
      <c r="E386" s="41"/>
      <c r="F386" s="41"/>
      <c r="G386" s="41"/>
    </row>
    <row r="387">
      <c r="A387" s="40"/>
      <c r="B387" s="41"/>
      <c r="C387" s="41"/>
      <c r="D387" s="41"/>
      <c r="E387" s="41"/>
      <c r="F387" s="41"/>
      <c r="G387" s="41"/>
    </row>
    <row r="388">
      <c r="A388" s="40"/>
      <c r="B388" s="41"/>
      <c r="C388" s="41"/>
      <c r="D388" s="41"/>
      <c r="E388" s="41"/>
      <c r="F388" s="41"/>
      <c r="G388" s="41"/>
    </row>
    <row r="389">
      <c r="A389" s="40"/>
      <c r="B389" s="41"/>
      <c r="C389" s="41"/>
      <c r="D389" s="41"/>
      <c r="E389" s="41"/>
      <c r="F389" s="41"/>
      <c r="G389" s="41"/>
    </row>
    <row r="390">
      <c r="A390" s="40"/>
      <c r="B390" s="41"/>
      <c r="C390" s="41"/>
      <c r="D390" s="41"/>
      <c r="E390" s="41"/>
      <c r="F390" s="41"/>
      <c r="G390" s="41"/>
    </row>
    <row r="391">
      <c r="A391" s="40"/>
      <c r="B391" s="41"/>
      <c r="C391" s="41"/>
      <c r="D391" s="41"/>
      <c r="E391" s="41"/>
      <c r="F391" s="41"/>
      <c r="G391" s="41"/>
    </row>
    <row r="392">
      <c r="A392" s="40"/>
      <c r="B392" s="41"/>
      <c r="C392" s="41"/>
      <c r="D392" s="41"/>
      <c r="E392" s="41"/>
      <c r="F392" s="41"/>
      <c r="G392" s="41"/>
    </row>
    <row r="393">
      <c r="A393" s="40"/>
      <c r="B393" s="41"/>
      <c r="C393" s="41"/>
      <c r="D393" s="41"/>
      <c r="E393" s="41"/>
      <c r="F393" s="41"/>
      <c r="G393" s="41"/>
    </row>
    <row r="394">
      <c r="A394" s="40"/>
      <c r="B394" s="41"/>
      <c r="C394" s="41"/>
      <c r="D394" s="41"/>
      <c r="E394" s="41"/>
      <c r="F394" s="41"/>
      <c r="G394" s="41"/>
    </row>
    <row r="395">
      <c r="A395" s="40"/>
      <c r="B395" s="41"/>
      <c r="C395" s="41"/>
      <c r="D395" s="41"/>
      <c r="E395" s="41"/>
      <c r="F395" s="41"/>
      <c r="G395" s="41"/>
    </row>
    <row r="396">
      <c r="A396" s="40"/>
      <c r="B396" s="41"/>
      <c r="C396" s="41"/>
      <c r="D396" s="41"/>
      <c r="E396" s="41"/>
      <c r="F396" s="41"/>
      <c r="G396" s="41"/>
    </row>
    <row r="397">
      <c r="A397" s="40"/>
      <c r="B397" s="41"/>
      <c r="C397" s="41"/>
      <c r="D397" s="41"/>
      <c r="E397" s="41"/>
      <c r="F397" s="41"/>
      <c r="G397" s="41"/>
    </row>
    <row r="398">
      <c r="A398" s="40"/>
      <c r="B398" s="41"/>
      <c r="C398" s="41"/>
      <c r="D398" s="41"/>
      <c r="E398" s="41"/>
      <c r="F398" s="41"/>
      <c r="G398" s="41"/>
    </row>
    <row r="399">
      <c r="A399" s="40"/>
      <c r="B399" s="41"/>
      <c r="C399" s="41"/>
      <c r="D399" s="41"/>
      <c r="E399" s="41"/>
      <c r="F399" s="41"/>
      <c r="G399" s="41"/>
    </row>
    <row r="400">
      <c r="A400" s="40"/>
      <c r="B400" s="41"/>
      <c r="C400" s="41"/>
      <c r="D400" s="41"/>
      <c r="E400" s="41"/>
      <c r="F400" s="41"/>
      <c r="G400" s="41"/>
    </row>
    <row r="401">
      <c r="A401" s="40"/>
      <c r="B401" s="41"/>
      <c r="C401" s="41"/>
      <c r="D401" s="41"/>
      <c r="E401" s="41"/>
      <c r="F401" s="41"/>
      <c r="G401" s="41"/>
    </row>
    <row r="402">
      <c r="A402" s="40"/>
      <c r="B402" s="41"/>
      <c r="C402" s="41"/>
      <c r="D402" s="41"/>
      <c r="E402" s="41"/>
      <c r="F402" s="41"/>
      <c r="G402" s="41"/>
    </row>
    <row r="403">
      <c r="A403" s="40"/>
      <c r="B403" s="41"/>
      <c r="C403" s="41"/>
      <c r="D403" s="41"/>
      <c r="E403" s="41"/>
      <c r="F403" s="41"/>
      <c r="G403" s="41"/>
    </row>
    <row r="404">
      <c r="A404" s="40"/>
      <c r="B404" s="41"/>
      <c r="C404" s="41"/>
      <c r="D404" s="41"/>
      <c r="E404" s="41"/>
      <c r="F404" s="41"/>
      <c r="G404" s="41"/>
    </row>
    <row r="405">
      <c r="A405" s="40"/>
      <c r="B405" s="41"/>
      <c r="C405" s="41"/>
      <c r="D405" s="41"/>
      <c r="E405" s="41"/>
      <c r="F405" s="41"/>
      <c r="G405" s="41"/>
    </row>
    <row r="406">
      <c r="A406" s="40"/>
      <c r="B406" s="41"/>
      <c r="C406" s="41"/>
      <c r="D406" s="41"/>
      <c r="E406" s="41"/>
      <c r="F406" s="41"/>
      <c r="G406" s="41"/>
    </row>
    <row r="407">
      <c r="A407" s="40"/>
      <c r="B407" s="41"/>
      <c r="C407" s="41"/>
      <c r="D407" s="41"/>
      <c r="E407" s="41"/>
      <c r="F407" s="41"/>
      <c r="G407" s="41"/>
    </row>
    <row r="408">
      <c r="A408" s="40"/>
      <c r="B408" s="41"/>
      <c r="C408" s="41"/>
      <c r="D408" s="41"/>
      <c r="E408" s="41"/>
      <c r="F408" s="41"/>
      <c r="G408" s="41"/>
    </row>
    <row r="409">
      <c r="A409" s="40"/>
      <c r="B409" s="41"/>
      <c r="C409" s="41"/>
      <c r="D409" s="41"/>
      <c r="E409" s="41"/>
      <c r="F409" s="41"/>
      <c r="G409" s="41"/>
    </row>
    <row r="410">
      <c r="A410" s="40"/>
      <c r="B410" s="41"/>
      <c r="C410" s="41"/>
      <c r="D410" s="41"/>
      <c r="E410" s="41"/>
      <c r="F410" s="41"/>
      <c r="G410" s="41"/>
    </row>
    <row r="411">
      <c r="A411" s="40"/>
      <c r="B411" s="41"/>
      <c r="C411" s="41"/>
      <c r="D411" s="41"/>
      <c r="E411" s="41"/>
      <c r="F411" s="41"/>
      <c r="G411" s="41"/>
    </row>
    <row r="412">
      <c r="A412" s="40"/>
      <c r="B412" s="41"/>
      <c r="C412" s="41"/>
      <c r="D412" s="41"/>
      <c r="E412" s="41"/>
      <c r="F412" s="41"/>
      <c r="G412" s="41"/>
    </row>
    <row r="413">
      <c r="A413" s="40"/>
      <c r="B413" s="41"/>
      <c r="C413" s="41"/>
      <c r="D413" s="41"/>
      <c r="E413" s="41"/>
      <c r="F413" s="41"/>
      <c r="G413" s="41"/>
    </row>
    <row r="414">
      <c r="A414" s="40"/>
      <c r="B414" s="41"/>
      <c r="C414" s="41"/>
      <c r="D414" s="41"/>
      <c r="E414" s="41"/>
      <c r="F414" s="41"/>
      <c r="G414" s="41"/>
    </row>
    <row r="415">
      <c r="A415" s="40"/>
      <c r="B415" s="41"/>
      <c r="C415" s="41"/>
      <c r="D415" s="41"/>
      <c r="E415" s="41"/>
      <c r="F415" s="41"/>
      <c r="G415" s="41"/>
    </row>
    <row r="416">
      <c r="A416" s="40"/>
      <c r="B416" s="41"/>
      <c r="C416" s="41"/>
      <c r="D416" s="41"/>
      <c r="E416" s="41"/>
      <c r="F416" s="41"/>
      <c r="G416" s="41"/>
    </row>
    <row r="417">
      <c r="A417" s="40"/>
      <c r="B417" s="41"/>
      <c r="C417" s="41"/>
      <c r="D417" s="41"/>
      <c r="E417" s="41"/>
      <c r="F417" s="41"/>
      <c r="G417" s="41"/>
    </row>
    <row r="418">
      <c r="A418" s="40"/>
      <c r="B418" s="41"/>
      <c r="C418" s="41"/>
      <c r="D418" s="41"/>
      <c r="E418" s="41"/>
      <c r="F418" s="41"/>
      <c r="G418" s="41"/>
    </row>
    <row r="419">
      <c r="A419" s="40"/>
      <c r="B419" s="41"/>
      <c r="C419" s="41"/>
      <c r="D419" s="41"/>
      <c r="E419" s="41"/>
      <c r="F419" s="41"/>
      <c r="G419" s="41"/>
    </row>
    <row r="420">
      <c r="A420" s="40"/>
      <c r="B420" s="41"/>
      <c r="C420" s="41"/>
      <c r="D420" s="41"/>
      <c r="E420" s="41"/>
      <c r="F420" s="41"/>
      <c r="G420" s="41"/>
    </row>
    <row r="421">
      <c r="A421" s="40"/>
      <c r="B421" s="41"/>
      <c r="C421" s="41"/>
      <c r="D421" s="41"/>
      <c r="E421" s="41"/>
      <c r="F421" s="41"/>
      <c r="G421" s="41"/>
    </row>
    <row r="422">
      <c r="A422" s="40"/>
      <c r="B422" s="41"/>
      <c r="C422" s="41"/>
      <c r="D422" s="41"/>
      <c r="E422" s="41"/>
      <c r="F422" s="41"/>
      <c r="G422" s="41"/>
    </row>
    <row r="423">
      <c r="A423" s="40"/>
      <c r="B423" s="41"/>
      <c r="C423" s="41"/>
      <c r="D423" s="41"/>
      <c r="E423" s="41"/>
      <c r="F423" s="41"/>
      <c r="G423" s="41"/>
    </row>
    <row r="424">
      <c r="A424" s="40"/>
      <c r="B424" s="41"/>
      <c r="C424" s="41"/>
      <c r="D424" s="41"/>
      <c r="E424" s="41"/>
      <c r="F424" s="41"/>
      <c r="G424" s="41"/>
    </row>
    <row r="425">
      <c r="A425" s="40"/>
      <c r="B425" s="41"/>
      <c r="C425" s="41"/>
      <c r="D425" s="41"/>
      <c r="E425" s="41"/>
      <c r="F425" s="41"/>
      <c r="G425" s="41"/>
    </row>
    <row r="426">
      <c r="A426" s="40"/>
      <c r="B426" s="41"/>
      <c r="C426" s="41"/>
      <c r="D426" s="41"/>
      <c r="E426" s="41"/>
      <c r="F426" s="41"/>
      <c r="G426" s="41"/>
    </row>
    <row r="427">
      <c r="A427" s="40"/>
      <c r="B427" s="41"/>
      <c r="C427" s="41"/>
      <c r="D427" s="41"/>
      <c r="E427" s="41"/>
      <c r="F427" s="41"/>
      <c r="G427" s="41"/>
    </row>
    <row r="428">
      <c r="A428" s="40"/>
      <c r="B428" s="41"/>
      <c r="C428" s="41"/>
      <c r="D428" s="41"/>
      <c r="E428" s="41"/>
      <c r="F428" s="41"/>
      <c r="G428" s="41"/>
    </row>
    <row r="429">
      <c r="A429" s="40"/>
      <c r="B429" s="41"/>
      <c r="C429" s="41"/>
      <c r="D429" s="41"/>
      <c r="E429" s="41"/>
      <c r="F429" s="41"/>
      <c r="G429" s="41"/>
    </row>
    <row r="430">
      <c r="A430" s="40"/>
      <c r="B430" s="41"/>
      <c r="C430" s="41"/>
      <c r="D430" s="41"/>
      <c r="E430" s="41"/>
      <c r="F430" s="41"/>
      <c r="G430" s="41"/>
    </row>
    <row r="431">
      <c r="A431" s="40"/>
      <c r="B431" s="41"/>
      <c r="C431" s="41"/>
      <c r="D431" s="41"/>
      <c r="E431" s="41"/>
      <c r="F431" s="41"/>
      <c r="G431" s="41"/>
    </row>
    <row r="432">
      <c r="A432" s="40"/>
      <c r="B432" s="41"/>
      <c r="C432" s="41"/>
      <c r="D432" s="41"/>
      <c r="E432" s="41"/>
      <c r="F432" s="41"/>
      <c r="G432" s="41"/>
    </row>
    <row r="433">
      <c r="A433" s="40"/>
      <c r="B433" s="41"/>
      <c r="C433" s="41"/>
      <c r="D433" s="41"/>
      <c r="E433" s="41"/>
      <c r="F433" s="41"/>
      <c r="G433" s="41"/>
    </row>
    <row r="434">
      <c r="A434" s="40"/>
      <c r="B434" s="41"/>
      <c r="C434" s="41"/>
      <c r="D434" s="41"/>
      <c r="E434" s="41"/>
      <c r="F434" s="41"/>
      <c r="G434" s="41"/>
    </row>
    <row r="435">
      <c r="A435" s="40"/>
      <c r="B435" s="41"/>
      <c r="C435" s="41"/>
      <c r="D435" s="41"/>
      <c r="E435" s="41"/>
      <c r="F435" s="41"/>
      <c r="G435" s="41"/>
    </row>
    <row r="436">
      <c r="A436" s="40"/>
      <c r="B436" s="41"/>
      <c r="C436" s="41"/>
      <c r="D436" s="41"/>
      <c r="E436" s="41"/>
      <c r="F436" s="41"/>
      <c r="G436" s="41"/>
    </row>
    <row r="437">
      <c r="A437" s="40"/>
      <c r="B437" s="41"/>
      <c r="C437" s="41"/>
      <c r="D437" s="41"/>
      <c r="E437" s="41"/>
      <c r="F437" s="41"/>
      <c r="G437" s="41"/>
    </row>
    <row r="438">
      <c r="A438" s="40"/>
      <c r="B438" s="41"/>
      <c r="C438" s="41"/>
      <c r="D438" s="41"/>
      <c r="E438" s="41"/>
      <c r="F438" s="41"/>
      <c r="G438" s="41"/>
    </row>
    <row r="439">
      <c r="A439" s="40"/>
      <c r="B439" s="41"/>
      <c r="C439" s="41"/>
      <c r="D439" s="41"/>
      <c r="E439" s="41"/>
      <c r="F439" s="41"/>
      <c r="G439" s="41"/>
    </row>
    <row r="440">
      <c r="A440" s="40"/>
      <c r="B440" s="41"/>
      <c r="C440" s="41"/>
      <c r="D440" s="41"/>
      <c r="E440" s="41"/>
      <c r="F440" s="41"/>
      <c r="G440" s="41"/>
    </row>
    <row r="441">
      <c r="A441" s="40"/>
      <c r="B441" s="41"/>
      <c r="C441" s="41"/>
      <c r="D441" s="41"/>
      <c r="E441" s="41"/>
      <c r="F441" s="41"/>
      <c r="G441" s="41"/>
    </row>
    <row r="442">
      <c r="A442" s="40"/>
      <c r="B442" s="41"/>
      <c r="C442" s="41"/>
      <c r="D442" s="41"/>
      <c r="E442" s="41"/>
      <c r="F442" s="41"/>
      <c r="G442" s="41"/>
    </row>
    <row r="443">
      <c r="A443" s="40"/>
      <c r="B443" s="41"/>
      <c r="C443" s="41"/>
      <c r="D443" s="41"/>
      <c r="E443" s="41"/>
      <c r="F443" s="41"/>
      <c r="G443" s="41"/>
    </row>
    <row r="444">
      <c r="A444" s="40"/>
      <c r="B444" s="41"/>
      <c r="C444" s="41"/>
      <c r="D444" s="41"/>
      <c r="E444" s="41"/>
      <c r="F444" s="41"/>
      <c r="G444" s="41"/>
    </row>
    <row r="445">
      <c r="A445" s="40"/>
      <c r="B445" s="41"/>
      <c r="C445" s="41"/>
      <c r="D445" s="41"/>
      <c r="E445" s="41"/>
      <c r="F445" s="41"/>
      <c r="G445" s="41"/>
    </row>
    <row r="446">
      <c r="A446" s="40"/>
      <c r="B446" s="41"/>
      <c r="C446" s="41"/>
      <c r="D446" s="41"/>
      <c r="E446" s="41"/>
      <c r="F446" s="41"/>
      <c r="G446" s="41"/>
    </row>
    <row r="447">
      <c r="A447" s="40"/>
      <c r="B447" s="41"/>
      <c r="C447" s="41"/>
      <c r="D447" s="41"/>
      <c r="E447" s="41"/>
      <c r="F447" s="41"/>
      <c r="G447" s="41"/>
    </row>
    <row r="448">
      <c r="A448" s="40"/>
      <c r="B448" s="41"/>
      <c r="C448" s="41"/>
      <c r="D448" s="41"/>
      <c r="E448" s="41"/>
      <c r="F448" s="41"/>
      <c r="G448" s="41"/>
    </row>
    <row r="449">
      <c r="A449" s="40"/>
      <c r="B449" s="41"/>
      <c r="C449" s="41"/>
      <c r="D449" s="41"/>
      <c r="E449" s="41"/>
      <c r="F449" s="41"/>
      <c r="G449" s="41"/>
    </row>
    <row r="450">
      <c r="A450" s="40"/>
      <c r="B450" s="41"/>
      <c r="C450" s="41"/>
      <c r="D450" s="41"/>
      <c r="E450" s="41"/>
      <c r="F450" s="41"/>
      <c r="G450" s="41"/>
    </row>
    <row r="451">
      <c r="A451" s="40"/>
      <c r="B451" s="41"/>
      <c r="C451" s="41"/>
      <c r="D451" s="41"/>
      <c r="E451" s="41"/>
      <c r="F451" s="41"/>
      <c r="G451" s="41"/>
    </row>
    <row r="452">
      <c r="A452" s="40"/>
      <c r="B452" s="41"/>
      <c r="C452" s="41"/>
      <c r="D452" s="41"/>
      <c r="E452" s="41"/>
      <c r="F452" s="41"/>
      <c r="G452" s="41"/>
    </row>
    <row r="453">
      <c r="A453" s="40"/>
      <c r="B453" s="41"/>
      <c r="C453" s="41"/>
      <c r="D453" s="41"/>
      <c r="E453" s="41"/>
      <c r="F453" s="41"/>
      <c r="G453" s="41"/>
    </row>
    <row r="454">
      <c r="A454" s="40"/>
      <c r="B454" s="41"/>
      <c r="C454" s="41"/>
      <c r="D454" s="41"/>
      <c r="E454" s="41"/>
      <c r="F454" s="41"/>
      <c r="G454" s="41"/>
    </row>
    <row r="455">
      <c r="A455" s="40"/>
      <c r="B455" s="41"/>
      <c r="C455" s="41"/>
      <c r="D455" s="41"/>
      <c r="E455" s="41"/>
      <c r="F455" s="41"/>
      <c r="G455" s="41"/>
    </row>
    <row r="456">
      <c r="A456" s="40"/>
      <c r="B456" s="41"/>
      <c r="C456" s="41"/>
      <c r="D456" s="41"/>
      <c r="E456" s="41"/>
      <c r="F456" s="41"/>
      <c r="G456" s="41"/>
    </row>
    <row r="457">
      <c r="A457" s="40"/>
      <c r="B457" s="41"/>
      <c r="C457" s="41"/>
      <c r="D457" s="41"/>
      <c r="E457" s="41"/>
      <c r="F457" s="41"/>
      <c r="G457" s="41"/>
    </row>
    <row r="458">
      <c r="A458" s="40"/>
      <c r="B458" s="41"/>
      <c r="C458" s="41"/>
      <c r="D458" s="41"/>
      <c r="E458" s="41"/>
      <c r="F458" s="41"/>
      <c r="G458" s="41"/>
    </row>
    <row r="459">
      <c r="A459" s="40"/>
      <c r="B459" s="41"/>
      <c r="C459" s="41"/>
      <c r="D459" s="41"/>
      <c r="E459" s="41"/>
      <c r="F459" s="41"/>
      <c r="G459" s="41"/>
    </row>
    <row r="460">
      <c r="A460" s="40"/>
      <c r="B460" s="41"/>
      <c r="C460" s="41"/>
      <c r="D460" s="41"/>
      <c r="E460" s="41"/>
      <c r="F460" s="41"/>
      <c r="G460" s="41"/>
    </row>
    <row r="461">
      <c r="A461" s="40"/>
      <c r="B461" s="41"/>
      <c r="C461" s="41"/>
      <c r="D461" s="41"/>
      <c r="E461" s="41"/>
      <c r="F461" s="41"/>
      <c r="G461" s="41"/>
    </row>
    <row r="462">
      <c r="A462" s="40"/>
      <c r="B462" s="41"/>
      <c r="C462" s="41"/>
      <c r="D462" s="41"/>
      <c r="E462" s="41"/>
      <c r="F462" s="41"/>
      <c r="G462" s="41"/>
    </row>
    <row r="463">
      <c r="A463" s="40"/>
      <c r="B463" s="41"/>
      <c r="C463" s="41"/>
      <c r="D463" s="41"/>
      <c r="E463" s="41"/>
      <c r="F463" s="41"/>
      <c r="G463" s="41"/>
    </row>
    <row r="464">
      <c r="A464" s="40"/>
      <c r="B464" s="41"/>
      <c r="C464" s="41"/>
      <c r="D464" s="41"/>
      <c r="E464" s="41"/>
      <c r="F464" s="41"/>
      <c r="G464" s="41"/>
    </row>
    <row r="465">
      <c r="A465" s="40"/>
      <c r="B465" s="41"/>
      <c r="C465" s="41"/>
      <c r="D465" s="41"/>
      <c r="E465" s="41"/>
      <c r="F465" s="41"/>
      <c r="G465" s="41"/>
    </row>
    <row r="466">
      <c r="A466" s="40"/>
      <c r="B466" s="41"/>
      <c r="C466" s="41"/>
      <c r="D466" s="41"/>
      <c r="E466" s="41"/>
      <c r="F466" s="41"/>
      <c r="G466" s="41"/>
    </row>
    <row r="467">
      <c r="A467" s="40"/>
      <c r="B467" s="41"/>
      <c r="C467" s="41"/>
      <c r="D467" s="41"/>
      <c r="E467" s="41"/>
      <c r="F467" s="41"/>
      <c r="G467" s="41"/>
    </row>
    <row r="468">
      <c r="A468" s="40"/>
      <c r="B468" s="41"/>
      <c r="C468" s="41"/>
      <c r="D468" s="41"/>
      <c r="E468" s="41"/>
      <c r="F468" s="41"/>
      <c r="G468" s="41"/>
    </row>
    <row r="469">
      <c r="A469" s="40"/>
      <c r="B469" s="41"/>
      <c r="C469" s="41"/>
      <c r="D469" s="41"/>
      <c r="E469" s="41"/>
      <c r="F469" s="41"/>
      <c r="G469" s="41"/>
    </row>
    <row r="470">
      <c r="A470" s="40"/>
      <c r="B470" s="41"/>
      <c r="C470" s="41"/>
      <c r="D470" s="41"/>
      <c r="E470" s="41"/>
      <c r="F470" s="41"/>
      <c r="G470" s="41"/>
    </row>
    <row r="471">
      <c r="A471" s="40"/>
      <c r="B471" s="41"/>
      <c r="C471" s="41"/>
      <c r="D471" s="41"/>
      <c r="E471" s="41"/>
      <c r="F471" s="41"/>
      <c r="G471" s="41"/>
    </row>
    <row r="472">
      <c r="A472" s="40"/>
      <c r="B472" s="41"/>
      <c r="C472" s="41"/>
      <c r="D472" s="41"/>
      <c r="E472" s="41"/>
      <c r="F472" s="41"/>
      <c r="G472" s="41"/>
    </row>
    <row r="473">
      <c r="A473" s="40"/>
      <c r="B473" s="41"/>
      <c r="C473" s="41"/>
      <c r="D473" s="41"/>
      <c r="E473" s="41"/>
      <c r="F473" s="41"/>
      <c r="G473" s="41"/>
    </row>
    <row r="474">
      <c r="A474" s="40"/>
      <c r="B474" s="41"/>
      <c r="C474" s="41"/>
      <c r="D474" s="41"/>
      <c r="E474" s="41"/>
      <c r="F474" s="41"/>
      <c r="G474" s="41"/>
    </row>
    <row r="475">
      <c r="A475" s="40"/>
      <c r="B475" s="41"/>
      <c r="C475" s="41"/>
      <c r="D475" s="41"/>
      <c r="E475" s="41"/>
      <c r="F475" s="41"/>
      <c r="G475" s="41"/>
    </row>
    <row r="476">
      <c r="A476" s="40"/>
      <c r="B476" s="41"/>
      <c r="C476" s="41"/>
      <c r="D476" s="41"/>
      <c r="E476" s="41"/>
      <c r="F476" s="41"/>
      <c r="G476" s="41"/>
    </row>
    <row r="477">
      <c r="A477" s="40"/>
      <c r="B477" s="41"/>
      <c r="C477" s="41"/>
      <c r="D477" s="41"/>
      <c r="E477" s="41"/>
      <c r="F477" s="41"/>
      <c r="G477" s="41"/>
    </row>
    <row r="478">
      <c r="A478" s="40"/>
      <c r="B478" s="41"/>
      <c r="C478" s="41"/>
      <c r="D478" s="41"/>
      <c r="E478" s="41"/>
      <c r="F478" s="41"/>
      <c r="G478" s="41"/>
    </row>
    <row r="479">
      <c r="A479" s="40"/>
      <c r="B479" s="41"/>
      <c r="C479" s="41"/>
      <c r="D479" s="41"/>
      <c r="E479" s="41"/>
      <c r="F479" s="41"/>
      <c r="G479" s="41"/>
    </row>
    <row r="480">
      <c r="A480" s="40"/>
      <c r="B480" s="41"/>
      <c r="C480" s="41"/>
      <c r="D480" s="41"/>
      <c r="E480" s="41"/>
      <c r="F480" s="41"/>
      <c r="G480" s="41"/>
    </row>
    <row r="481">
      <c r="A481" s="40"/>
      <c r="B481" s="41"/>
      <c r="C481" s="41"/>
      <c r="D481" s="41"/>
      <c r="E481" s="41"/>
      <c r="F481" s="41"/>
      <c r="G481" s="41"/>
    </row>
    <row r="482">
      <c r="A482" s="40"/>
      <c r="B482" s="41"/>
      <c r="C482" s="41"/>
      <c r="D482" s="41"/>
      <c r="E482" s="41"/>
      <c r="F482" s="41"/>
      <c r="G482" s="41"/>
    </row>
    <row r="483">
      <c r="A483" s="40"/>
      <c r="B483" s="41"/>
      <c r="C483" s="41"/>
      <c r="D483" s="41"/>
      <c r="E483" s="41"/>
      <c r="F483" s="41"/>
      <c r="G483" s="41"/>
    </row>
    <row r="484">
      <c r="A484" s="40"/>
      <c r="B484" s="41"/>
      <c r="C484" s="41"/>
      <c r="D484" s="41"/>
      <c r="E484" s="41"/>
      <c r="F484" s="41"/>
      <c r="G484" s="41"/>
    </row>
    <row r="485">
      <c r="A485" s="40"/>
      <c r="B485" s="41"/>
      <c r="C485" s="41"/>
      <c r="D485" s="41"/>
      <c r="E485" s="41"/>
      <c r="F485" s="41"/>
      <c r="G485" s="41"/>
    </row>
    <row r="486">
      <c r="A486" s="40"/>
      <c r="B486" s="41"/>
      <c r="C486" s="41"/>
      <c r="D486" s="41"/>
      <c r="E486" s="41"/>
      <c r="F486" s="41"/>
      <c r="G486" s="41"/>
    </row>
    <row r="487">
      <c r="A487" s="40"/>
      <c r="B487" s="41"/>
      <c r="C487" s="41"/>
      <c r="D487" s="41"/>
      <c r="E487" s="41"/>
      <c r="F487" s="41"/>
      <c r="G487" s="41"/>
    </row>
    <row r="488">
      <c r="A488" s="40"/>
      <c r="B488" s="41"/>
      <c r="C488" s="41"/>
      <c r="D488" s="41"/>
      <c r="E488" s="41"/>
      <c r="F488" s="41"/>
      <c r="G488" s="41"/>
    </row>
    <row r="489">
      <c r="A489" s="40"/>
      <c r="B489" s="41"/>
      <c r="C489" s="41"/>
      <c r="D489" s="41"/>
      <c r="E489" s="41"/>
      <c r="F489" s="41"/>
      <c r="G489" s="41"/>
    </row>
    <row r="490">
      <c r="A490" s="40"/>
      <c r="B490" s="41"/>
      <c r="C490" s="41"/>
      <c r="D490" s="41"/>
      <c r="E490" s="41"/>
      <c r="F490" s="41"/>
      <c r="G490" s="41"/>
    </row>
    <row r="491">
      <c r="A491" s="40"/>
      <c r="B491" s="41"/>
      <c r="C491" s="41"/>
      <c r="D491" s="41"/>
      <c r="E491" s="41"/>
      <c r="F491" s="41"/>
      <c r="G491" s="41"/>
    </row>
    <row r="492">
      <c r="A492" s="40"/>
      <c r="B492" s="41"/>
      <c r="C492" s="41"/>
      <c r="D492" s="41"/>
      <c r="E492" s="41"/>
      <c r="F492" s="41"/>
      <c r="G492" s="41"/>
    </row>
    <row r="493">
      <c r="A493" s="40"/>
      <c r="B493" s="41"/>
      <c r="C493" s="41"/>
      <c r="D493" s="41"/>
      <c r="E493" s="41"/>
      <c r="F493" s="41"/>
      <c r="G493" s="41"/>
    </row>
    <row r="494">
      <c r="A494" s="40"/>
      <c r="B494" s="41"/>
      <c r="C494" s="41"/>
      <c r="D494" s="41"/>
      <c r="E494" s="41"/>
      <c r="F494" s="41"/>
      <c r="G494" s="41"/>
    </row>
    <row r="495">
      <c r="A495" s="40"/>
      <c r="B495" s="41"/>
      <c r="C495" s="41"/>
      <c r="D495" s="41"/>
      <c r="E495" s="41"/>
      <c r="F495" s="41"/>
      <c r="G495" s="41"/>
    </row>
    <row r="496">
      <c r="A496" s="40"/>
      <c r="B496" s="41"/>
      <c r="C496" s="41"/>
      <c r="D496" s="41"/>
      <c r="E496" s="41"/>
      <c r="F496" s="41"/>
      <c r="G496" s="41"/>
    </row>
    <row r="497">
      <c r="A497" s="40"/>
      <c r="B497" s="41"/>
      <c r="C497" s="41"/>
      <c r="D497" s="41"/>
      <c r="E497" s="41"/>
      <c r="F497" s="41"/>
      <c r="G497" s="41"/>
    </row>
    <row r="498">
      <c r="A498" s="40"/>
      <c r="B498" s="41"/>
      <c r="C498" s="41"/>
      <c r="D498" s="41"/>
      <c r="E498" s="41"/>
      <c r="F498" s="41"/>
      <c r="G498" s="41"/>
    </row>
    <row r="499">
      <c r="A499" s="40"/>
      <c r="B499" s="41"/>
      <c r="C499" s="41"/>
      <c r="D499" s="41"/>
      <c r="E499" s="41"/>
      <c r="F499" s="41"/>
      <c r="G499" s="41"/>
    </row>
    <row r="500">
      <c r="A500" s="40"/>
      <c r="B500" s="41"/>
      <c r="C500" s="41"/>
      <c r="D500" s="41"/>
      <c r="E500" s="41"/>
      <c r="F500" s="41"/>
      <c r="G500" s="41"/>
    </row>
    <row r="501">
      <c r="A501" s="40"/>
      <c r="B501" s="41"/>
      <c r="C501" s="41"/>
      <c r="D501" s="41"/>
      <c r="E501" s="41"/>
      <c r="F501" s="41"/>
      <c r="G501" s="41"/>
    </row>
    <row r="502">
      <c r="A502" s="40"/>
      <c r="B502" s="41"/>
      <c r="C502" s="41"/>
      <c r="D502" s="41"/>
      <c r="E502" s="41"/>
      <c r="F502" s="41"/>
      <c r="G502" s="41"/>
    </row>
    <row r="503">
      <c r="A503" s="40"/>
      <c r="B503" s="41"/>
      <c r="C503" s="41"/>
      <c r="D503" s="41"/>
      <c r="E503" s="41"/>
      <c r="F503" s="41"/>
      <c r="G503" s="41"/>
    </row>
    <row r="504">
      <c r="A504" s="40"/>
      <c r="B504" s="41"/>
      <c r="C504" s="41"/>
      <c r="D504" s="41"/>
      <c r="E504" s="41"/>
      <c r="F504" s="41"/>
      <c r="G504" s="41"/>
    </row>
    <row r="505">
      <c r="A505" s="40"/>
      <c r="B505" s="41"/>
      <c r="C505" s="41"/>
      <c r="D505" s="41"/>
      <c r="E505" s="41"/>
      <c r="F505" s="41"/>
      <c r="G505" s="41"/>
    </row>
    <row r="506">
      <c r="A506" s="40"/>
      <c r="B506" s="41"/>
      <c r="C506" s="41"/>
      <c r="D506" s="41"/>
      <c r="E506" s="41"/>
      <c r="F506" s="41"/>
      <c r="G506" s="41"/>
    </row>
    <row r="507">
      <c r="A507" s="40"/>
      <c r="B507" s="41"/>
      <c r="C507" s="41"/>
      <c r="D507" s="41"/>
      <c r="E507" s="41"/>
      <c r="F507" s="41"/>
      <c r="G507" s="41"/>
    </row>
    <row r="508">
      <c r="A508" s="40"/>
      <c r="B508" s="41"/>
      <c r="C508" s="41"/>
      <c r="D508" s="41"/>
      <c r="E508" s="41"/>
      <c r="F508" s="41"/>
      <c r="G508" s="41"/>
    </row>
    <row r="509">
      <c r="A509" s="40"/>
      <c r="B509" s="41"/>
      <c r="C509" s="41"/>
      <c r="D509" s="41"/>
      <c r="E509" s="41"/>
      <c r="F509" s="41"/>
      <c r="G509" s="41"/>
    </row>
    <row r="510">
      <c r="A510" s="40"/>
      <c r="B510" s="41"/>
      <c r="C510" s="41"/>
      <c r="D510" s="41"/>
      <c r="E510" s="41"/>
      <c r="F510" s="41"/>
      <c r="G510" s="41"/>
    </row>
    <row r="511">
      <c r="A511" s="40"/>
      <c r="B511" s="41"/>
      <c r="C511" s="41"/>
      <c r="D511" s="41"/>
      <c r="E511" s="41"/>
      <c r="F511" s="41"/>
      <c r="G511" s="41"/>
    </row>
    <row r="512">
      <c r="A512" s="40"/>
      <c r="B512" s="41"/>
      <c r="C512" s="41"/>
      <c r="D512" s="41"/>
      <c r="E512" s="41"/>
      <c r="F512" s="41"/>
      <c r="G512" s="41"/>
    </row>
    <row r="513">
      <c r="A513" s="40"/>
      <c r="B513" s="41"/>
      <c r="C513" s="41"/>
      <c r="D513" s="41"/>
      <c r="E513" s="41"/>
      <c r="F513" s="41"/>
      <c r="G513" s="41"/>
    </row>
    <row r="514">
      <c r="A514" s="40"/>
      <c r="B514" s="41"/>
      <c r="C514" s="41"/>
      <c r="D514" s="41"/>
      <c r="E514" s="41"/>
      <c r="F514" s="41"/>
      <c r="G514" s="41"/>
    </row>
    <row r="515">
      <c r="A515" s="40"/>
      <c r="B515" s="41"/>
      <c r="C515" s="41"/>
      <c r="D515" s="41"/>
      <c r="E515" s="41"/>
      <c r="F515" s="41"/>
      <c r="G515" s="41"/>
    </row>
    <row r="516">
      <c r="A516" s="40"/>
      <c r="B516" s="41"/>
      <c r="C516" s="41"/>
      <c r="D516" s="41"/>
      <c r="E516" s="41"/>
      <c r="F516" s="41"/>
      <c r="G516" s="41"/>
    </row>
    <row r="517">
      <c r="A517" s="40"/>
      <c r="B517" s="41"/>
      <c r="C517" s="41"/>
      <c r="D517" s="41"/>
      <c r="E517" s="41"/>
      <c r="F517" s="41"/>
      <c r="G517" s="41"/>
    </row>
    <row r="518">
      <c r="A518" s="40"/>
      <c r="B518" s="41"/>
      <c r="C518" s="41"/>
      <c r="D518" s="41"/>
      <c r="E518" s="41"/>
      <c r="F518" s="41"/>
      <c r="G518" s="41"/>
    </row>
    <row r="519">
      <c r="A519" s="40"/>
      <c r="B519" s="41"/>
      <c r="C519" s="41"/>
      <c r="D519" s="41"/>
      <c r="E519" s="41"/>
      <c r="F519" s="41"/>
      <c r="G519" s="41"/>
    </row>
    <row r="520">
      <c r="A520" s="40"/>
      <c r="B520" s="41"/>
      <c r="C520" s="41"/>
      <c r="D520" s="41"/>
      <c r="E520" s="41"/>
      <c r="F520" s="41"/>
      <c r="G520" s="41"/>
    </row>
    <row r="521">
      <c r="A521" s="40"/>
      <c r="B521" s="41"/>
      <c r="C521" s="41"/>
      <c r="D521" s="41"/>
      <c r="E521" s="41"/>
      <c r="F521" s="41"/>
      <c r="G521" s="41"/>
    </row>
    <row r="522">
      <c r="A522" s="40"/>
      <c r="B522" s="41"/>
      <c r="C522" s="41"/>
      <c r="D522" s="41"/>
      <c r="E522" s="41"/>
      <c r="F522" s="41"/>
      <c r="G522" s="41"/>
    </row>
    <row r="523">
      <c r="A523" s="40"/>
      <c r="B523" s="41"/>
      <c r="C523" s="41"/>
      <c r="D523" s="41"/>
      <c r="E523" s="41"/>
      <c r="F523" s="41"/>
      <c r="G523" s="41"/>
    </row>
    <row r="524">
      <c r="A524" s="40"/>
      <c r="B524" s="41"/>
      <c r="C524" s="41"/>
      <c r="D524" s="41"/>
      <c r="E524" s="41"/>
      <c r="F524" s="41"/>
      <c r="G524" s="41"/>
    </row>
    <row r="525">
      <c r="A525" s="40"/>
      <c r="B525" s="41"/>
      <c r="C525" s="41"/>
      <c r="D525" s="41"/>
      <c r="E525" s="41"/>
      <c r="F525" s="41"/>
      <c r="G525" s="41"/>
    </row>
    <row r="526">
      <c r="A526" s="40"/>
      <c r="B526" s="41"/>
      <c r="C526" s="41"/>
      <c r="D526" s="41"/>
      <c r="E526" s="41"/>
      <c r="F526" s="41"/>
      <c r="G526" s="41"/>
    </row>
    <row r="527">
      <c r="A527" s="40"/>
      <c r="B527" s="41"/>
      <c r="C527" s="41"/>
      <c r="D527" s="41"/>
      <c r="E527" s="41"/>
      <c r="F527" s="41"/>
      <c r="G527" s="41"/>
    </row>
    <row r="528">
      <c r="A528" s="40"/>
      <c r="B528" s="41"/>
      <c r="C528" s="41"/>
      <c r="D528" s="41"/>
      <c r="E528" s="41"/>
      <c r="F528" s="41"/>
      <c r="G528" s="41"/>
    </row>
    <row r="529">
      <c r="A529" s="40"/>
      <c r="B529" s="41"/>
      <c r="C529" s="41"/>
      <c r="D529" s="41"/>
      <c r="E529" s="41"/>
      <c r="F529" s="41"/>
      <c r="G529" s="41"/>
    </row>
    <row r="530">
      <c r="A530" s="40"/>
      <c r="B530" s="41"/>
      <c r="C530" s="41"/>
      <c r="D530" s="41"/>
      <c r="E530" s="41"/>
      <c r="F530" s="41"/>
      <c r="G530" s="41"/>
    </row>
    <row r="531">
      <c r="A531" s="40"/>
      <c r="B531" s="41"/>
      <c r="C531" s="41"/>
      <c r="D531" s="41"/>
      <c r="E531" s="41"/>
      <c r="F531" s="41"/>
      <c r="G531" s="41"/>
    </row>
    <row r="532">
      <c r="A532" s="40"/>
      <c r="B532" s="41"/>
      <c r="C532" s="41"/>
      <c r="D532" s="41"/>
      <c r="E532" s="41"/>
      <c r="F532" s="41"/>
      <c r="G532" s="41"/>
    </row>
    <row r="533">
      <c r="A533" s="40"/>
      <c r="B533" s="41"/>
      <c r="C533" s="41"/>
      <c r="D533" s="41"/>
      <c r="E533" s="41"/>
      <c r="F533" s="41"/>
      <c r="G533" s="41"/>
    </row>
    <row r="534">
      <c r="A534" s="40"/>
      <c r="B534" s="41"/>
      <c r="C534" s="41"/>
      <c r="D534" s="41"/>
      <c r="E534" s="41"/>
      <c r="F534" s="41"/>
      <c r="G534" s="41"/>
    </row>
    <row r="535">
      <c r="A535" s="40"/>
      <c r="B535" s="41"/>
      <c r="C535" s="41"/>
      <c r="D535" s="41"/>
      <c r="E535" s="41"/>
      <c r="F535" s="41"/>
      <c r="G535" s="41"/>
    </row>
    <row r="536">
      <c r="A536" s="40"/>
      <c r="B536" s="41"/>
      <c r="C536" s="41"/>
      <c r="D536" s="41"/>
      <c r="E536" s="41"/>
      <c r="F536" s="41"/>
      <c r="G536" s="41"/>
    </row>
    <row r="537">
      <c r="A537" s="40"/>
      <c r="B537" s="41"/>
      <c r="C537" s="41"/>
      <c r="D537" s="41"/>
      <c r="E537" s="41"/>
      <c r="F537" s="41"/>
      <c r="G537" s="41"/>
    </row>
    <row r="538">
      <c r="A538" s="40"/>
      <c r="B538" s="41"/>
      <c r="C538" s="41"/>
      <c r="D538" s="41"/>
      <c r="E538" s="41"/>
      <c r="F538" s="41"/>
      <c r="G538" s="41"/>
    </row>
    <row r="539">
      <c r="A539" s="40"/>
      <c r="B539" s="41"/>
      <c r="C539" s="41"/>
      <c r="D539" s="41"/>
      <c r="E539" s="41"/>
      <c r="F539" s="41"/>
      <c r="G539" s="41"/>
    </row>
    <row r="540">
      <c r="A540" s="40"/>
      <c r="B540" s="41"/>
      <c r="C540" s="41"/>
      <c r="D540" s="41"/>
      <c r="E540" s="41"/>
      <c r="F540" s="41"/>
      <c r="G540" s="41"/>
    </row>
    <row r="541">
      <c r="A541" s="40"/>
      <c r="B541" s="41"/>
      <c r="C541" s="41"/>
      <c r="D541" s="41"/>
      <c r="E541" s="41"/>
      <c r="F541" s="41"/>
      <c r="G541" s="41"/>
    </row>
    <row r="542">
      <c r="A542" s="40"/>
      <c r="B542" s="41"/>
      <c r="C542" s="41"/>
      <c r="D542" s="41"/>
      <c r="E542" s="41"/>
      <c r="F542" s="41"/>
      <c r="G542" s="41"/>
    </row>
    <row r="543">
      <c r="A543" s="40"/>
      <c r="B543" s="41"/>
      <c r="C543" s="41"/>
      <c r="D543" s="41"/>
      <c r="E543" s="41"/>
      <c r="F543" s="41"/>
      <c r="G543" s="41"/>
    </row>
    <row r="544">
      <c r="A544" s="40"/>
      <c r="B544" s="41"/>
      <c r="C544" s="41"/>
      <c r="D544" s="41"/>
      <c r="E544" s="41"/>
      <c r="F544" s="41"/>
      <c r="G544" s="41"/>
    </row>
    <row r="545">
      <c r="A545" s="40"/>
      <c r="B545" s="41"/>
      <c r="C545" s="41"/>
      <c r="D545" s="41"/>
      <c r="E545" s="41"/>
      <c r="F545" s="41"/>
      <c r="G545" s="41"/>
    </row>
    <row r="546">
      <c r="A546" s="40"/>
      <c r="B546" s="41"/>
      <c r="C546" s="41"/>
      <c r="D546" s="41"/>
      <c r="E546" s="41"/>
      <c r="F546" s="41"/>
      <c r="G546" s="41"/>
    </row>
    <row r="547">
      <c r="A547" s="40"/>
      <c r="B547" s="41"/>
      <c r="C547" s="41"/>
      <c r="D547" s="41"/>
      <c r="E547" s="41"/>
      <c r="F547" s="41"/>
      <c r="G547" s="41"/>
    </row>
    <row r="548">
      <c r="A548" s="40"/>
      <c r="B548" s="41"/>
      <c r="C548" s="41"/>
      <c r="D548" s="41"/>
      <c r="E548" s="41"/>
      <c r="F548" s="41"/>
      <c r="G548" s="41"/>
    </row>
    <row r="549">
      <c r="A549" s="40"/>
      <c r="B549" s="41"/>
      <c r="C549" s="41"/>
      <c r="D549" s="41"/>
      <c r="E549" s="41"/>
      <c r="F549" s="41"/>
      <c r="G549" s="41"/>
    </row>
    <row r="550">
      <c r="A550" s="40"/>
      <c r="B550" s="41"/>
      <c r="C550" s="41"/>
      <c r="D550" s="41"/>
      <c r="E550" s="41"/>
      <c r="F550" s="41"/>
      <c r="G550" s="41"/>
    </row>
    <row r="551">
      <c r="A551" s="40"/>
      <c r="B551" s="41"/>
      <c r="C551" s="41"/>
      <c r="D551" s="41"/>
      <c r="E551" s="41"/>
      <c r="F551" s="41"/>
      <c r="G551" s="41"/>
    </row>
    <row r="552">
      <c r="A552" s="40"/>
      <c r="B552" s="41"/>
      <c r="C552" s="41"/>
      <c r="D552" s="41"/>
      <c r="E552" s="41"/>
      <c r="F552" s="41"/>
      <c r="G552" s="41"/>
    </row>
    <row r="553">
      <c r="A553" s="40"/>
      <c r="B553" s="41"/>
      <c r="C553" s="41"/>
      <c r="D553" s="41"/>
      <c r="E553" s="41"/>
      <c r="F553" s="41"/>
      <c r="G553" s="41"/>
    </row>
    <row r="554">
      <c r="A554" s="40"/>
      <c r="B554" s="41"/>
      <c r="C554" s="41"/>
      <c r="D554" s="41"/>
      <c r="E554" s="41"/>
      <c r="F554" s="41"/>
      <c r="G554" s="41"/>
    </row>
    <row r="555">
      <c r="A555" s="40"/>
      <c r="B555" s="41"/>
      <c r="C555" s="41"/>
      <c r="D555" s="41"/>
      <c r="E555" s="41"/>
      <c r="F555" s="41"/>
      <c r="G555" s="41"/>
    </row>
    <row r="556">
      <c r="A556" s="40"/>
      <c r="B556" s="41"/>
      <c r="C556" s="41"/>
      <c r="D556" s="41"/>
      <c r="E556" s="41"/>
      <c r="F556" s="41"/>
      <c r="G556" s="41"/>
    </row>
    <row r="557">
      <c r="A557" s="40"/>
      <c r="B557" s="41"/>
      <c r="C557" s="41"/>
      <c r="D557" s="41"/>
      <c r="E557" s="41"/>
      <c r="F557" s="41"/>
      <c r="G557" s="41"/>
    </row>
    <row r="558">
      <c r="A558" s="40"/>
      <c r="B558" s="41"/>
      <c r="C558" s="41"/>
      <c r="D558" s="41"/>
      <c r="E558" s="41"/>
      <c r="F558" s="41"/>
      <c r="G558" s="41"/>
    </row>
    <row r="559">
      <c r="A559" s="40"/>
      <c r="B559" s="41"/>
      <c r="C559" s="41"/>
      <c r="D559" s="41"/>
      <c r="E559" s="41"/>
      <c r="F559" s="41"/>
      <c r="G559" s="41"/>
    </row>
    <row r="560">
      <c r="A560" s="40"/>
      <c r="B560" s="41"/>
      <c r="C560" s="41"/>
      <c r="D560" s="41"/>
      <c r="E560" s="41"/>
      <c r="F560" s="41"/>
      <c r="G560" s="41"/>
    </row>
    <row r="561">
      <c r="A561" s="40"/>
      <c r="B561" s="41"/>
      <c r="C561" s="41"/>
      <c r="D561" s="41"/>
      <c r="E561" s="41"/>
      <c r="F561" s="41"/>
      <c r="G561" s="41"/>
    </row>
    <row r="562">
      <c r="A562" s="40"/>
      <c r="B562" s="41"/>
      <c r="C562" s="41"/>
      <c r="D562" s="41"/>
      <c r="E562" s="41"/>
      <c r="F562" s="41"/>
      <c r="G562" s="41"/>
    </row>
    <row r="563">
      <c r="A563" s="40"/>
      <c r="B563" s="41"/>
      <c r="C563" s="41"/>
      <c r="D563" s="41"/>
      <c r="E563" s="41"/>
      <c r="F563" s="41"/>
      <c r="G563" s="41"/>
    </row>
    <row r="564">
      <c r="A564" s="40"/>
      <c r="B564" s="41"/>
      <c r="C564" s="41"/>
      <c r="D564" s="41"/>
      <c r="E564" s="41"/>
      <c r="F564" s="41"/>
      <c r="G564" s="41"/>
    </row>
    <row r="565">
      <c r="A565" s="40"/>
      <c r="B565" s="41"/>
      <c r="C565" s="41"/>
      <c r="D565" s="41"/>
      <c r="E565" s="41"/>
      <c r="F565" s="41"/>
      <c r="G565" s="41"/>
    </row>
    <row r="566">
      <c r="A566" s="40"/>
      <c r="B566" s="41"/>
      <c r="C566" s="41"/>
      <c r="D566" s="41"/>
      <c r="E566" s="41"/>
      <c r="F566" s="41"/>
      <c r="G566" s="41"/>
    </row>
    <row r="567">
      <c r="A567" s="40"/>
      <c r="B567" s="41"/>
      <c r="C567" s="41"/>
      <c r="D567" s="41"/>
      <c r="E567" s="41"/>
      <c r="F567" s="41"/>
      <c r="G567" s="41"/>
    </row>
    <row r="568">
      <c r="A568" s="40"/>
      <c r="B568" s="41"/>
      <c r="C568" s="41"/>
      <c r="D568" s="41"/>
      <c r="E568" s="41"/>
      <c r="F568" s="41"/>
      <c r="G568" s="41"/>
    </row>
    <row r="569">
      <c r="A569" s="40"/>
      <c r="B569" s="41"/>
      <c r="C569" s="41"/>
      <c r="D569" s="41"/>
      <c r="E569" s="41"/>
      <c r="F569" s="41"/>
      <c r="G569" s="41"/>
    </row>
    <row r="570">
      <c r="A570" s="40"/>
      <c r="B570" s="41"/>
      <c r="C570" s="41"/>
      <c r="D570" s="41"/>
      <c r="E570" s="41"/>
      <c r="F570" s="41"/>
      <c r="G570" s="41"/>
    </row>
    <row r="571">
      <c r="A571" s="40"/>
      <c r="B571" s="41"/>
      <c r="C571" s="41"/>
      <c r="D571" s="41"/>
      <c r="E571" s="41"/>
      <c r="F571" s="41"/>
      <c r="G571" s="41"/>
    </row>
    <row r="572">
      <c r="A572" s="40"/>
      <c r="B572" s="41"/>
      <c r="C572" s="41"/>
      <c r="D572" s="41"/>
      <c r="E572" s="41"/>
      <c r="F572" s="41"/>
      <c r="G572" s="41"/>
    </row>
    <row r="573">
      <c r="A573" s="40"/>
      <c r="B573" s="41"/>
      <c r="C573" s="41"/>
      <c r="D573" s="41"/>
      <c r="E573" s="41"/>
      <c r="F573" s="41"/>
      <c r="G573" s="41"/>
    </row>
    <row r="574">
      <c r="A574" s="40"/>
      <c r="B574" s="41"/>
      <c r="C574" s="41"/>
      <c r="D574" s="41"/>
      <c r="E574" s="41"/>
      <c r="F574" s="41"/>
      <c r="G574" s="41"/>
    </row>
    <row r="575">
      <c r="A575" s="40"/>
      <c r="B575" s="41"/>
      <c r="C575" s="41"/>
      <c r="D575" s="41"/>
      <c r="E575" s="41"/>
      <c r="F575" s="41"/>
      <c r="G575" s="41"/>
    </row>
    <row r="576">
      <c r="A576" s="40"/>
      <c r="B576" s="41"/>
      <c r="C576" s="41"/>
      <c r="D576" s="41"/>
      <c r="E576" s="41"/>
      <c r="F576" s="41"/>
      <c r="G576" s="41"/>
    </row>
    <row r="577">
      <c r="A577" s="40"/>
      <c r="B577" s="41"/>
      <c r="C577" s="41"/>
      <c r="D577" s="41"/>
      <c r="E577" s="41"/>
      <c r="F577" s="41"/>
      <c r="G577" s="41"/>
    </row>
    <row r="578">
      <c r="A578" s="40"/>
      <c r="B578" s="41"/>
      <c r="C578" s="41"/>
      <c r="D578" s="41"/>
      <c r="E578" s="41"/>
      <c r="F578" s="41"/>
      <c r="G578" s="41"/>
    </row>
    <row r="579">
      <c r="A579" s="40"/>
      <c r="B579" s="41"/>
      <c r="C579" s="41"/>
      <c r="D579" s="41"/>
      <c r="E579" s="41"/>
      <c r="F579" s="41"/>
      <c r="G579" s="41"/>
    </row>
    <row r="580">
      <c r="A580" s="40"/>
      <c r="B580" s="41"/>
      <c r="C580" s="41"/>
      <c r="D580" s="41"/>
      <c r="E580" s="41"/>
      <c r="F580" s="41"/>
      <c r="G580" s="41"/>
    </row>
    <row r="581">
      <c r="A581" s="40"/>
      <c r="B581" s="41"/>
      <c r="C581" s="41"/>
      <c r="D581" s="41"/>
      <c r="E581" s="41"/>
      <c r="F581" s="41"/>
      <c r="G581" s="41"/>
    </row>
    <row r="582">
      <c r="A582" s="40"/>
      <c r="B582" s="41"/>
      <c r="C582" s="41"/>
      <c r="D582" s="41"/>
      <c r="E582" s="41"/>
      <c r="F582" s="41"/>
      <c r="G582" s="41"/>
    </row>
    <row r="583">
      <c r="A583" s="40"/>
      <c r="B583" s="41"/>
      <c r="C583" s="41"/>
      <c r="D583" s="41"/>
      <c r="E583" s="41"/>
      <c r="F583" s="41"/>
      <c r="G583" s="41"/>
    </row>
    <row r="584">
      <c r="A584" s="40"/>
      <c r="B584" s="41"/>
      <c r="C584" s="41"/>
      <c r="D584" s="41"/>
      <c r="E584" s="41"/>
      <c r="F584" s="41"/>
      <c r="G584" s="41"/>
    </row>
    <row r="585">
      <c r="A585" s="40"/>
      <c r="B585" s="41"/>
      <c r="C585" s="41"/>
      <c r="D585" s="41"/>
      <c r="E585" s="41"/>
      <c r="F585" s="41"/>
      <c r="G585" s="41"/>
    </row>
    <row r="586">
      <c r="A586" s="40"/>
      <c r="B586" s="41"/>
      <c r="C586" s="41"/>
      <c r="D586" s="41"/>
      <c r="E586" s="41"/>
      <c r="F586" s="41"/>
      <c r="G586" s="41"/>
    </row>
    <row r="587">
      <c r="A587" s="40"/>
      <c r="B587" s="41"/>
      <c r="C587" s="41"/>
      <c r="D587" s="41"/>
      <c r="E587" s="41"/>
      <c r="F587" s="41"/>
      <c r="G587" s="41"/>
    </row>
    <row r="588">
      <c r="A588" s="40"/>
      <c r="B588" s="41"/>
      <c r="C588" s="41"/>
      <c r="D588" s="41"/>
      <c r="E588" s="41"/>
      <c r="F588" s="41"/>
      <c r="G588" s="41"/>
    </row>
    <row r="589">
      <c r="A589" s="40"/>
      <c r="B589" s="41"/>
      <c r="C589" s="41"/>
      <c r="D589" s="41"/>
      <c r="E589" s="41"/>
      <c r="F589" s="41"/>
      <c r="G589" s="41"/>
    </row>
    <row r="590">
      <c r="A590" s="40"/>
      <c r="B590" s="41"/>
      <c r="C590" s="41"/>
      <c r="D590" s="41"/>
      <c r="E590" s="41"/>
      <c r="F590" s="41"/>
      <c r="G590" s="41"/>
    </row>
    <row r="591">
      <c r="A591" s="40"/>
      <c r="B591" s="41"/>
      <c r="C591" s="41"/>
      <c r="D591" s="41"/>
      <c r="E591" s="41"/>
      <c r="F591" s="41"/>
      <c r="G591" s="41"/>
    </row>
    <row r="592">
      <c r="A592" s="40"/>
      <c r="B592" s="41"/>
      <c r="C592" s="41"/>
      <c r="D592" s="41"/>
      <c r="E592" s="41"/>
      <c r="F592" s="41"/>
      <c r="G592" s="41"/>
    </row>
    <row r="593">
      <c r="A593" s="40"/>
      <c r="B593" s="41"/>
      <c r="C593" s="41"/>
      <c r="D593" s="41"/>
      <c r="E593" s="41"/>
      <c r="F593" s="41"/>
      <c r="G593" s="41"/>
    </row>
    <row r="594">
      <c r="A594" s="40"/>
      <c r="B594" s="41"/>
      <c r="C594" s="41"/>
      <c r="D594" s="41"/>
      <c r="E594" s="41"/>
      <c r="F594" s="41"/>
      <c r="G594" s="41"/>
    </row>
    <row r="595">
      <c r="A595" s="40"/>
      <c r="B595" s="41"/>
      <c r="C595" s="41"/>
      <c r="D595" s="41"/>
      <c r="E595" s="41"/>
      <c r="F595" s="41"/>
      <c r="G595" s="41"/>
    </row>
    <row r="596">
      <c r="A596" s="40"/>
      <c r="B596" s="41"/>
      <c r="C596" s="41"/>
      <c r="D596" s="41"/>
      <c r="E596" s="41"/>
      <c r="F596" s="41"/>
      <c r="G596" s="41"/>
    </row>
    <row r="597">
      <c r="A597" s="40"/>
      <c r="B597" s="41"/>
      <c r="C597" s="41"/>
      <c r="D597" s="41"/>
      <c r="E597" s="41"/>
      <c r="F597" s="41"/>
      <c r="G597" s="41"/>
    </row>
    <row r="598">
      <c r="A598" s="40"/>
      <c r="B598" s="41"/>
      <c r="C598" s="41"/>
      <c r="D598" s="41"/>
      <c r="E598" s="41"/>
      <c r="F598" s="41"/>
      <c r="G598" s="41"/>
    </row>
    <row r="599">
      <c r="A599" s="40"/>
      <c r="B599" s="41"/>
      <c r="C599" s="41"/>
      <c r="D599" s="41"/>
      <c r="E599" s="41"/>
      <c r="F599" s="41"/>
      <c r="G599" s="41"/>
    </row>
    <row r="600">
      <c r="A600" s="40"/>
      <c r="B600" s="41"/>
      <c r="C600" s="41"/>
      <c r="D600" s="41"/>
      <c r="E600" s="41"/>
      <c r="F600" s="41"/>
      <c r="G600" s="41"/>
    </row>
    <row r="601">
      <c r="A601" s="40"/>
      <c r="B601" s="41"/>
      <c r="C601" s="41"/>
      <c r="D601" s="41"/>
      <c r="E601" s="41"/>
      <c r="F601" s="41"/>
      <c r="G601" s="41"/>
    </row>
    <row r="602">
      <c r="A602" s="40"/>
      <c r="B602" s="41"/>
      <c r="C602" s="41"/>
      <c r="D602" s="41"/>
      <c r="E602" s="41"/>
      <c r="F602" s="41"/>
      <c r="G602" s="41"/>
    </row>
    <row r="603">
      <c r="A603" s="40"/>
      <c r="B603" s="41"/>
      <c r="C603" s="41"/>
      <c r="D603" s="41"/>
      <c r="E603" s="41"/>
      <c r="F603" s="41"/>
      <c r="G603" s="41"/>
    </row>
    <row r="604">
      <c r="A604" s="40"/>
      <c r="B604" s="41"/>
      <c r="C604" s="41"/>
      <c r="D604" s="41"/>
      <c r="E604" s="41"/>
      <c r="F604" s="41"/>
      <c r="G604" s="41"/>
    </row>
    <row r="605">
      <c r="A605" s="40"/>
      <c r="B605" s="41"/>
      <c r="C605" s="41"/>
      <c r="D605" s="41"/>
      <c r="E605" s="41"/>
      <c r="F605" s="41"/>
      <c r="G605" s="41"/>
    </row>
    <row r="606">
      <c r="A606" s="40"/>
      <c r="B606" s="41"/>
      <c r="C606" s="41"/>
      <c r="D606" s="41"/>
      <c r="E606" s="41"/>
      <c r="F606" s="41"/>
      <c r="G606" s="41"/>
    </row>
    <row r="607">
      <c r="A607" s="40"/>
      <c r="B607" s="41"/>
      <c r="C607" s="41"/>
      <c r="D607" s="41"/>
      <c r="E607" s="41"/>
      <c r="F607" s="41"/>
      <c r="G607" s="41"/>
    </row>
    <row r="608">
      <c r="A608" s="40"/>
      <c r="B608" s="41"/>
      <c r="C608" s="41"/>
      <c r="D608" s="41"/>
      <c r="E608" s="41"/>
      <c r="F608" s="41"/>
      <c r="G608" s="41"/>
    </row>
    <row r="609">
      <c r="A609" s="40"/>
      <c r="B609" s="41"/>
      <c r="C609" s="41"/>
      <c r="D609" s="41"/>
      <c r="E609" s="41"/>
      <c r="F609" s="41"/>
      <c r="G609" s="41"/>
    </row>
    <row r="610">
      <c r="A610" s="40"/>
      <c r="B610" s="41"/>
      <c r="C610" s="41"/>
      <c r="D610" s="41"/>
      <c r="E610" s="41"/>
      <c r="F610" s="41"/>
      <c r="G610" s="41"/>
    </row>
    <row r="611">
      <c r="A611" s="40"/>
      <c r="B611" s="41"/>
      <c r="C611" s="41"/>
      <c r="D611" s="41"/>
      <c r="E611" s="41"/>
      <c r="F611" s="41"/>
      <c r="G611" s="41"/>
    </row>
    <row r="612">
      <c r="A612" s="40"/>
      <c r="B612" s="41"/>
      <c r="C612" s="41"/>
      <c r="D612" s="41"/>
      <c r="E612" s="41"/>
      <c r="F612" s="41"/>
      <c r="G612" s="41"/>
    </row>
    <row r="613">
      <c r="A613" s="40"/>
      <c r="B613" s="41"/>
      <c r="C613" s="41"/>
      <c r="D613" s="41"/>
      <c r="E613" s="41"/>
      <c r="F613" s="41"/>
      <c r="G613" s="41"/>
    </row>
    <row r="614">
      <c r="A614" s="40"/>
      <c r="B614" s="41"/>
      <c r="C614" s="41"/>
      <c r="D614" s="41"/>
      <c r="E614" s="41"/>
      <c r="F614" s="41"/>
      <c r="G614" s="41"/>
    </row>
    <row r="615">
      <c r="A615" s="40"/>
      <c r="B615" s="41"/>
      <c r="C615" s="41"/>
      <c r="D615" s="41"/>
      <c r="E615" s="41"/>
      <c r="F615" s="41"/>
      <c r="G615" s="41"/>
    </row>
    <row r="616">
      <c r="A616" s="40"/>
      <c r="B616" s="41"/>
      <c r="C616" s="41"/>
      <c r="D616" s="41"/>
      <c r="E616" s="41"/>
      <c r="F616" s="41"/>
      <c r="G616" s="41"/>
    </row>
    <row r="617">
      <c r="A617" s="40"/>
      <c r="B617" s="41"/>
      <c r="C617" s="41"/>
      <c r="D617" s="41"/>
      <c r="E617" s="41"/>
      <c r="F617" s="41"/>
      <c r="G617" s="41"/>
    </row>
    <row r="618">
      <c r="A618" s="40"/>
      <c r="B618" s="41"/>
      <c r="C618" s="41"/>
      <c r="D618" s="41"/>
      <c r="E618" s="41"/>
      <c r="F618" s="41"/>
      <c r="G618" s="41"/>
    </row>
    <row r="619">
      <c r="A619" s="40"/>
      <c r="B619" s="41"/>
      <c r="C619" s="41"/>
      <c r="D619" s="41"/>
      <c r="E619" s="41"/>
      <c r="F619" s="41"/>
      <c r="G619" s="41"/>
    </row>
    <row r="620">
      <c r="A620" s="40"/>
      <c r="B620" s="41"/>
      <c r="C620" s="41"/>
      <c r="D620" s="41"/>
      <c r="E620" s="41"/>
      <c r="F620" s="41"/>
      <c r="G620" s="41"/>
    </row>
    <row r="621">
      <c r="A621" s="40"/>
      <c r="B621" s="41"/>
      <c r="C621" s="41"/>
      <c r="D621" s="41"/>
      <c r="E621" s="41"/>
      <c r="F621" s="41"/>
      <c r="G621" s="41"/>
    </row>
    <row r="622">
      <c r="A622" s="40"/>
      <c r="B622" s="41"/>
      <c r="C622" s="41"/>
      <c r="D622" s="41"/>
      <c r="E622" s="41"/>
      <c r="F622" s="41"/>
      <c r="G622" s="41"/>
    </row>
    <row r="623">
      <c r="A623" s="40"/>
      <c r="B623" s="41"/>
      <c r="C623" s="41"/>
      <c r="D623" s="41"/>
      <c r="E623" s="41"/>
      <c r="F623" s="41"/>
      <c r="G623" s="41"/>
    </row>
    <row r="624">
      <c r="A624" s="40"/>
      <c r="B624" s="41"/>
      <c r="C624" s="41"/>
      <c r="D624" s="41"/>
      <c r="E624" s="41"/>
      <c r="F624" s="41"/>
      <c r="G624" s="41"/>
    </row>
    <row r="625">
      <c r="A625" s="40"/>
      <c r="B625" s="41"/>
      <c r="C625" s="41"/>
      <c r="D625" s="41"/>
      <c r="E625" s="41"/>
      <c r="F625" s="41"/>
      <c r="G625" s="41"/>
    </row>
    <row r="626">
      <c r="A626" s="40"/>
      <c r="B626" s="41"/>
      <c r="C626" s="41"/>
      <c r="D626" s="41"/>
      <c r="E626" s="41"/>
      <c r="F626" s="41"/>
      <c r="G626" s="41"/>
    </row>
    <row r="627">
      <c r="A627" s="40"/>
      <c r="B627" s="41"/>
      <c r="C627" s="41"/>
      <c r="D627" s="41"/>
      <c r="E627" s="41"/>
      <c r="F627" s="41"/>
      <c r="G627" s="41"/>
    </row>
    <row r="628">
      <c r="A628" s="40"/>
      <c r="B628" s="41"/>
      <c r="C628" s="41"/>
      <c r="D628" s="41"/>
      <c r="E628" s="41"/>
      <c r="F628" s="41"/>
      <c r="G628" s="41"/>
    </row>
    <row r="629">
      <c r="A629" s="40"/>
      <c r="B629" s="41"/>
      <c r="C629" s="41"/>
      <c r="D629" s="41"/>
      <c r="E629" s="41"/>
      <c r="F629" s="41"/>
      <c r="G629" s="41"/>
    </row>
    <row r="630">
      <c r="A630" s="40"/>
      <c r="B630" s="41"/>
      <c r="C630" s="41"/>
      <c r="D630" s="41"/>
      <c r="E630" s="41"/>
      <c r="F630" s="41"/>
      <c r="G630" s="41"/>
    </row>
    <row r="631">
      <c r="A631" s="40"/>
      <c r="B631" s="41"/>
      <c r="C631" s="41"/>
      <c r="D631" s="41"/>
      <c r="E631" s="41"/>
      <c r="F631" s="41"/>
      <c r="G631" s="41"/>
    </row>
    <row r="632">
      <c r="A632" s="40"/>
      <c r="B632" s="41"/>
      <c r="C632" s="41"/>
      <c r="D632" s="41"/>
      <c r="E632" s="41"/>
      <c r="F632" s="41"/>
      <c r="G632" s="41"/>
    </row>
    <row r="633">
      <c r="A633" s="40"/>
      <c r="B633" s="41"/>
      <c r="C633" s="41"/>
      <c r="D633" s="41"/>
      <c r="E633" s="41"/>
      <c r="F633" s="41"/>
      <c r="G633" s="41"/>
    </row>
    <row r="634">
      <c r="A634" s="40"/>
      <c r="B634" s="41"/>
      <c r="C634" s="41"/>
      <c r="D634" s="41"/>
      <c r="E634" s="41"/>
      <c r="F634" s="41"/>
      <c r="G634" s="41"/>
    </row>
    <row r="635">
      <c r="A635" s="40"/>
      <c r="B635" s="41"/>
      <c r="C635" s="41"/>
      <c r="D635" s="41"/>
      <c r="E635" s="41"/>
      <c r="F635" s="41"/>
      <c r="G635" s="41"/>
    </row>
    <row r="636">
      <c r="A636" s="40"/>
      <c r="B636" s="41"/>
      <c r="C636" s="41"/>
      <c r="D636" s="41"/>
      <c r="E636" s="41"/>
      <c r="F636" s="41"/>
      <c r="G636" s="41"/>
    </row>
    <row r="637">
      <c r="A637" s="40"/>
      <c r="B637" s="41"/>
      <c r="C637" s="41"/>
      <c r="D637" s="41"/>
      <c r="E637" s="41"/>
      <c r="F637" s="41"/>
      <c r="G637" s="41"/>
    </row>
    <row r="638">
      <c r="A638" s="40"/>
      <c r="B638" s="41"/>
      <c r="C638" s="41"/>
      <c r="D638" s="41"/>
      <c r="E638" s="41"/>
      <c r="F638" s="41"/>
      <c r="G638" s="41"/>
    </row>
    <row r="639">
      <c r="A639" s="40"/>
      <c r="B639" s="41"/>
      <c r="C639" s="41"/>
      <c r="D639" s="41"/>
      <c r="E639" s="41"/>
      <c r="F639" s="41"/>
      <c r="G639" s="41"/>
    </row>
    <row r="640">
      <c r="A640" s="40"/>
      <c r="B640" s="41"/>
      <c r="C640" s="41"/>
      <c r="D640" s="41"/>
      <c r="E640" s="41"/>
      <c r="F640" s="41"/>
      <c r="G640" s="41"/>
    </row>
    <row r="641">
      <c r="A641" s="40"/>
      <c r="B641" s="41"/>
      <c r="C641" s="41"/>
      <c r="D641" s="41"/>
      <c r="E641" s="41"/>
      <c r="F641" s="41"/>
      <c r="G641" s="41"/>
    </row>
    <row r="642">
      <c r="A642" s="40"/>
      <c r="B642" s="41"/>
      <c r="C642" s="41"/>
      <c r="D642" s="41"/>
      <c r="E642" s="41"/>
      <c r="F642" s="41"/>
      <c r="G642" s="41"/>
    </row>
    <row r="643">
      <c r="A643" s="40"/>
      <c r="B643" s="41"/>
      <c r="C643" s="41"/>
      <c r="D643" s="41"/>
      <c r="E643" s="41"/>
      <c r="F643" s="41"/>
      <c r="G643" s="41"/>
    </row>
    <row r="644">
      <c r="A644" s="40"/>
      <c r="B644" s="41"/>
      <c r="C644" s="41"/>
      <c r="D644" s="41"/>
      <c r="E644" s="41"/>
      <c r="F644" s="41"/>
      <c r="G644" s="41"/>
    </row>
    <row r="645">
      <c r="A645" s="40"/>
      <c r="B645" s="41"/>
      <c r="C645" s="41"/>
      <c r="D645" s="41"/>
      <c r="E645" s="41"/>
      <c r="F645" s="41"/>
      <c r="G645" s="41"/>
    </row>
    <row r="646">
      <c r="A646" s="40"/>
      <c r="B646" s="41"/>
      <c r="C646" s="41"/>
      <c r="D646" s="41"/>
      <c r="E646" s="41"/>
      <c r="F646" s="41"/>
      <c r="G646" s="41"/>
    </row>
    <row r="647">
      <c r="A647" s="40"/>
      <c r="B647" s="41"/>
      <c r="C647" s="41"/>
      <c r="D647" s="41"/>
      <c r="E647" s="41"/>
      <c r="F647" s="41"/>
      <c r="G647" s="41"/>
    </row>
    <row r="648">
      <c r="A648" s="40"/>
      <c r="B648" s="41"/>
      <c r="C648" s="41"/>
      <c r="D648" s="41"/>
      <c r="E648" s="41"/>
      <c r="F648" s="41"/>
      <c r="G648" s="41"/>
    </row>
    <row r="649">
      <c r="A649" s="40"/>
      <c r="B649" s="41"/>
      <c r="C649" s="41"/>
      <c r="D649" s="41"/>
      <c r="E649" s="41"/>
      <c r="F649" s="41"/>
      <c r="G649" s="41"/>
    </row>
    <row r="650">
      <c r="A650" s="40"/>
      <c r="B650" s="41"/>
      <c r="C650" s="41"/>
      <c r="D650" s="41"/>
      <c r="E650" s="41"/>
      <c r="F650" s="41"/>
      <c r="G650" s="41"/>
    </row>
    <row r="651">
      <c r="A651" s="40"/>
      <c r="B651" s="41"/>
      <c r="C651" s="41"/>
      <c r="D651" s="41"/>
      <c r="E651" s="41"/>
      <c r="F651" s="41"/>
      <c r="G651" s="41"/>
    </row>
    <row r="652">
      <c r="A652" s="40"/>
      <c r="B652" s="41"/>
      <c r="C652" s="41"/>
      <c r="D652" s="41"/>
      <c r="E652" s="41"/>
      <c r="F652" s="41"/>
      <c r="G652" s="41"/>
    </row>
    <row r="653">
      <c r="A653" s="40"/>
      <c r="B653" s="41"/>
      <c r="C653" s="41"/>
      <c r="D653" s="41"/>
      <c r="E653" s="41"/>
      <c r="F653" s="41"/>
      <c r="G653" s="41"/>
    </row>
    <row r="654">
      <c r="A654" s="40"/>
      <c r="B654" s="41"/>
      <c r="C654" s="41"/>
      <c r="D654" s="41"/>
      <c r="E654" s="41"/>
      <c r="F654" s="41"/>
      <c r="G654" s="41"/>
    </row>
    <row r="655">
      <c r="A655" s="40"/>
      <c r="B655" s="41"/>
      <c r="C655" s="41"/>
      <c r="D655" s="41"/>
      <c r="E655" s="41"/>
      <c r="F655" s="41"/>
      <c r="G655" s="41"/>
    </row>
    <row r="656">
      <c r="A656" s="40"/>
      <c r="B656" s="41"/>
      <c r="C656" s="41"/>
      <c r="D656" s="41"/>
      <c r="E656" s="41"/>
      <c r="F656" s="41"/>
      <c r="G656" s="41"/>
    </row>
    <row r="657">
      <c r="A657" s="40"/>
      <c r="B657" s="41"/>
      <c r="C657" s="41"/>
      <c r="D657" s="41"/>
      <c r="E657" s="41"/>
      <c r="F657" s="41"/>
      <c r="G657" s="41"/>
    </row>
    <row r="658">
      <c r="A658" s="40"/>
      <c r="B658" s="41"/>
      <c r="C658" s="41"/>
      <c r="D658" s="41"/>
      <c r="E658" s="41"/>
      <c r="F658" s="41"/>
      <c r="G658" s="41"/>
    </row>
    <row r="659">
      <c r="A659" s="40"/>
      <c r="B659" s="41"/>
      <c r="C659" s="41"/>
      <c r="D659" s="41"/>
      <c r="E659" s="41"/>
      <c r="F659" s="41"/>
      <c r="G659" s="41"/>
    </row>
    <row r="660">
      <c r="A660" s="40"/>
      <c r="B660" s="41"/>
      <c r="C660" s="41"/>
      <c r="D660" s="41"/>
      <c r="E660" s="41"/>
      <c r="F660" s="41"/>
      <c r="G660" s="41"/>
    </row>
    <row r="661">
      <c r="A661" s="40"/>
      <c r="B661" s="41"/>
      <c r="C661" s="41"/>
      <c r="D661" s="41"/>
      <c r="E661" s="41"/>
      <c r="F661" s="41"/>
      <c r="G661" s="41"/>
    </row>
    <row r="662">
      <c r="A662" s="40"/>
      <c r="B662" s="41"/>
      <c r="C662" s="41"/>
      <c r="D662" s="41"/>
      <c r="E662" s="41"/>
      <c r="F662" s="41"/>
      <c r="G662" s="41"/>
    </row>
    <row r="663">
      <c r="A663" s="40"/>
      <c r="B663" s="41"/>
      <c r="C663" s="41"/>
      <c r="D663" s="41"/>
      <c r="E663" s="41"/>
      <c r="F663" s="41"/>
      <c r="G663" s="41"/>
    </row>
    <row r="664">
      <c r="A664" s="40"/>
      <c r="B664" s="41"/>
      <c r="C664" s="41"/>
      <c r="D664" s="41"/>
      <c r="E664" s="41"/>
      <c r="F664" s="41"/>
      <c r="G664" s="41"/>
    </row>
    <row r="665">
      <c r="A665" s="40"/>
      <c r="B665" s="41"/>
      <c r="C665" s="41"/>
      <c r="D665" s="41"/>
      <c r="E665" s="41"/>
      <c r="F665" s="41"/>
      <c r="G665" s="41"/>
    </row>
    <row r="666">
      <c r="A666" s="40"/>
      <c r="B666" s="41"/>
      <c r="C666" s="41"/>
      <c r="D666" s="41"/>
      <c r="E666" s="41"/>
      <c r="F666" s="41"/>
      <c r="G666" s="41"/>
    </row>
    <row r="667">
      <c r="A667" s="40"/>
      <c r="B667" s="41"/>
      <c r="C667" s="41"/>
      <c r="D667" s="41"/>
      <c r="E667" s="41"/>
      <c r="F667" s="41"/>
      <c r="G667" s="41"/>
    </row>
    <row r="668">
      <c r="A668" s="40"/>
      <c r="B668" s="41"/>
      <c r="C668" s="41"/>
      <c r="D668" s="41"/>
      <c r="E668" s="41"/>
      <c r="F668" s="41"/>
      <c r="G668" s="41"/>
    </row>
    <row r="669">
      <c r="A669" s="40"/>
      <c r="B669" s="41"/>
      <c r="C669" s="41"/>
      <c r="D669" s="41"/>
      <c r="E669" s="41"/>
      <c r="F669" s="41"/>
      <c r="G669" s="41"/>
    </row>
    <row r="670">
      <c r="A670" s="40"/>
      <c r="B670" s="41"/>
      <c r="C670" s="41"/>
      <c r="D670" s="41"/>
      <c r="E670" s="41"/>
      <c r="F670" s="41"/>
      <c r="G670" s="41"/>
    </row>
    <row r="671">
      <c r="A671" s="40"/>
      <c r="B671" s="41"/>
      <c r="C671" s="41"/>
      <c r="D671" s="41"/>
      <c r="E671" s="41"/>
      <c r="F671" s="41"/>
      <c r="G671" s="41"/>
    </row>
    <row r="672">
      <c r="A672" s="40"/>
      <c r="B672" s="41"/>
      <c r="C672" s="41"/>
      <c r="D672" s="41"/>
      <c r="E672" s="41"/>
      <c r="F672" s="41"/>
      <c r="G672" s="41"/>
    </row>
    <row r="673">
      <c r="A673" s="40"/>
      <c r="B673" s="41"/>
      <c r="C673" s="41"/>
      <c r="D673" s="41"/>
      <c r="E673" s="41"/>
      <c r="F673" s="41"/>
      <c r="G673" s="41"/>
    </row>
    <row r="674">
      <c r="A674" s="40"/>
      <c r="B674" s="41"/>
      <c r="C674" s="41"/>
      <c r="D674" s="41"/>
      <c r="E674" s="41"/>
      <c r="F674" s="41"/>
      <c r="G674" s="41"/>
    </row>
    <row r="675">
      <c r="A675" s="40"/>
      <c r="B675" s="41"/>
      <c r="C675" s="41"/>
      <c r="D675" s="41"/>
      <c r="E675" s="41"/>
      <c r="F675" s="41"/>
      <c r="G675" s="41"/>
    </row>
    <row r="676">
      <c r="A676" s="40"/>
      <c r="B676" s="41"/>
      <c r="C676" s="41"/>
      <c r="D676" s="41"/>
      <c r="E676" s="41"/>
      <c r="F676" s="41"/>
      <c r="G676" s="41"/>
    </row>
    <row r="677">
      <c r="A677" s="40"/>
      <c r="B677" s="41"/>
      <c r="C677" s="41"/>
      <c r="D677" s="41"/>
      <c r="E677" s="41"/>
      <c r="F677" s="41"/>
      <c r="G677" s="41"/>
    </row>
    <row r="678">
      <c r="A678" s="40"/>
      <c r="B678" s="41"/>
      <c r="C678" s="41"/>
      <c r="D678" s="41"/>
      <c r="E678" s="41"/>
      <c r="F678" s="41"/>
      <c r="G678" s="41"/>
    </row>
    <row r="679">
      <c r="A679" s="40"/>
      <c r="B679" s="41"/>
      <c r="C679" s="41"/>
      <c r="D679" s="41"/>
      <c r="E679" s="41"/>
      <c r="F679" s="41"/>
      <c r="G679" s="41"/>
    </row>
    <row r="680">
      <c r="A680" s="40"/>
      <c r="B680" s="41"/>
      <c r="C680" s="41"/>
      <c r="D680" s="41"/>
      <c r="E680" s="41"/>
      <c r="F680" s="41"/>
      <c r="G680" s="41"/>
    </row>
    <row r="681">
      <c r="A681" s="40"/>
      <c r="B681" s="41"/>
      <c r="C681" s="41"/>
      <c r="D681" s="41"/>
      <c r="E681" s="41"/>
      <c r="F681" s="41"/>
      <c r="G681" s="41"/>
    </row>
    <row r="682">
      <c r="A682" s="40"/>
      <c r="B682" s="41"/>
      <c r="C682" s="41"/>
      <c r="D682" s="41"/>
      <c r="E682" s="41"/>
      <c r="F682" s="41"/>
      <c r="G682" s="41"/>
    </row>
    <row r="683">
      <c r="A683" s="40"/>
      <c r="B683" s="41"/>
      <c r="C683" s="41"/>
      <c r="D683" s="41"/>
      <c r="E683" s="41"/>
      <c r="F683" s="41"/>
      <c r="G683" s="41"/>
    </row>
    <row r="684">
      <c r="A684" s="40"/>
      <c r="B684" s="41"/>
      <c r="C684" s="41"/>
      <c r="D684" s="41"/>
      <c r="E684" s="41"/>
      <c r="F684" s="41"/>
      <c r="G684" s="41"/>
    </row>
    <row r="685">
      <c r="A685" s="40"/>
      <c r="B685" s="41"/>
      <c r="C685" s="41"/>
      <c r="D685" s="41"/>
      <c r="E685" s="41"/>
      <c r="F685" s="41"/>
      <c r="G685" s="41"/>
    </row>
    <row r="686">
      <c r="A686" s="40"/>
      <c r="B686" s="41"/>
      <c r="C686" s="41"/>
      <c r="D686" s="41"/>
      <c r="E686" s="41"/>
      <c r="F686" s="41"/>
      <c r="G686" s="41"/>
    </row>
    <row r="687">
      <c r="A687" s="40"/>
      <c r="B687" s="41"/>
      <c r="C687" s="41"/>
      <c r="D687" s="41"/>
      <c r="E687" s="41"/>
      <c r="F687" s="41"/>
      <c r="G687" s="41"/>
    </row>
    <row r="688">
      <c r="A688" s="40"/>
      <c r="B688" s="41"/>
      <c r="C688" s="41"/>
      <c r="D688" s="41"/>
      <c r="E688" s="41"/>
      <c r="F688" s="41"/>
      <c r="G688" s="41"/>
    </row>
    <row r="689">
      <c r="A689" s="40"/>
      <c r="B689" s="41"/>
      <c r="C689" s="41"/>
      <c r="D689" s="41"/>
      <c r="E689" s="41"/>
      <c r="F689" s="41"/>
      <c r="G689" s="41"/>
    </row>
    <row r="690">
      <c r="A690" s="40"/>
      <c r="B690" s="41"/>
      <c r="C690" s="41"/>
      <c r="D690" s="41"/>
      <c r="E690" s="41"/>
      <c r="F690" s="41"/>
      <c r="G690" s="41"/>
    </row>
    <row r="691">
      <c r="A691" s="40"/>
      <c r="B691" s="41"/>
      <c r="C691" s="41"/>
      <c r="D691" s="41"/>
      <c r="E691" s="41"/>
      <c r="F691" s="41"/>
      <c r="G691" s="41"/>
    </row>
    <row r="692">
      <c r="A692" s="40"/>
      <c r="B692" s="41"/>
      <c r="C692" s="41"/>
      <c r="D692" s="41"/>
      <c r="E692" s="41"/>
      <c r="F692" s="41"/>
      <c r="G692" s="41"/>
    </row>
    <row r="693">
      <c r="A693" s="40"/>
      <c r="B693" s="41"/>
      <c r="C693" s="41"/>
      <c r="D693" s="41"/>
      <c r="E693" s="41"/>
      <c r="F693" s="41"/>
      <c r="G693" s="41"/>
    </row>
    <row r="694">
      <c r="A694" s="40"/>
      <c r="B694" s="41"/>
      <c r="C694" s="41"/>
      <c r="D694" s="41"/>
      <c r="E694" s="41"/>
      <c r="F694" s="41"/>
      <c r="G694" s="41"/>
    </row>
    <row r="695">
      <c r="A695" s="40"/>
      <c r="B695" s="41"/>
      <c r="C695" s="41"/>
      <c r="D695" s="41"/>
      <c r="E695" s="41"/>
      <c r="F695" s="41"/>
      <c r="G695" s="41"/>
    </row>
    <row r="696">
      <c r="A696" s="40"/>
      <c r="B696" s="41"/>
      <c r="C696" s="41"/>
      <c r="D696" s="41"/>
      <c r="E696" s="41"/>
      <c r="F696" s="41"/>
      <c r="G696" s="41"/>
    </row>
    <row r="697">
      <c r="A697" s="40"/>
      <c r="B697" s="41"/>
      <c r="C697" s="41"/>
      <c r="D697" s="41"/>
      <c r="E697" s="41"/>
      <c r="F697" s="41"/>
      <c r="G697" s="41"/>
    </row>
    <row r="698">
      <c r="A698" s="40"/>
      <c r="B698" s="41"/>
      <c r="C698" s="41"/>
      <c r="D698" s="41"/>
      <c r="E698" s="41"/>
      <c r="F698" s="41"/>
      <c r="G698" s="41"/>
    </row>
    <row r="699">
      <c r="A699" s="40"/>
      <c r="B699" s="41"/>
      <c r="C699" s="41"/>
      <c r="D699" s="41"/>
      <c r="E699" s="41"/>
      <c r="F699" s="41"/>
      <c r="G699" s="41"/>
    </row>
    <row r="700">
      <c r="A700" s="40"/>
      <c r="B700" s="41"/>
      <c r="C700" s="41"/>
      <c r="D700" s="41"/>
      <c r="E700" s="41"/>
      <c r="F700" s="41"/>
      <c r="G700" s="41"/>
    </row>
    <row r="701">
      <c r="A701" s="40"/>
      <c r="B701" s="41"/>
      <c r="C701" s="41"/>
      <c r="D701" s="41"/>
      <c r="E701" s="41"/>
      <c r="F701" s="41"/>
      <c r="G701" s="41"/>
    </row>
    <row r="702">
      <c r="A702" s="40"/>
      <c r="B702" s="41"/>
      <c r="C702" s="41"/>
      <c r="D702" s="41"/>
      <c r="E702" s="41"/>
      <c r="F702" s="41"/>
      <c r="G702" s="41"/>
    </row>
    <row r="703">
      <c r="A703" s="40"/>
      <c r="B703" s="41"/>
      <c r="C703" s="41"/>
      <c r="D703" s="41"/>
      <c r="E703" s="41"/>
      <c r="F703" s="41"/>
      <c r="G703" s="41"/>
    </row>
    <row r="704">
      <c r="A704" s="40"/>
      <c r="B704" s="41"/>
      <c r="C704" s="41"/>
      <c r="D704" s="41"/>
      <c r="E704" s="41"/>
      <c r="F704" s="41"/>
      <c r="G704" s="41"/>
    </row>
    <row r="705">
      <c r="A705" s="40"/>
      <c r="B705" s="41"/>
      <c r="C705" s="41"/>
      <c r="D705" s="41"/>
      <c r="E705" s="41"/>
      <c r="F705" s="41"/>
      <c r="G705" s="41"/>
    </row>
    <row r="706">
      <c r="A706" s="40"/>
      <c r="B706" s="41"/>
      <c r="C706" s="41"/>
      <c r="D706" s="41"/>
      <c r="E706" s="41"/>
      <c r="F706" s="41"/>
      <c r="G706" s="41"/>
    </row>
    <row r="707">
      <c r="A707" s="40"/>
      <c r="B707" s="41"/>
      <c r="C707" s="41"/>
      <c r="D707" s="41"/>
      <c r="E707" s="41"/>
      <c r="F707" s="41"/>
      <c r="G707" s="41"/>
    </row>
    <row r="708">
      <c r="A708" s="40"/>
      <c r="B708" s="41"/>
      <c r="C708" s="41"/>
      <c r="D708" s="41"/>
      <c r="E708" s="41"/>
      <c r="F708" s="41"/>
      <c r="G708" s="41"/>
    </row>
    <row r="709">
      <c r="A709" s="40"/>
      <c r="B709" s="41"/>
      <c r="C709" s="41"/>
      <c r="D709" s="41"/>
      <c r="E709" s="41"/>
      <c r="F709" s="41"/>
      <c r="G709" s="41"/>
    </row>
    <row r="710">
      <c r="A710" s="40"/>
      <c r="B710" s="41"/>
      <c r="C710" s="41"/>
      <c r="D710" s="41"/>
      <c r="E710" s="41"/>
      <c r="F710" s="41"/>
      <c r="G710" s="41"/>
    </row>
    <row r="711">
      <c r="A711" s="40"/>
      <c r="B711" s="41"/>
      <c r="C711" s="41"/>
      <c r="D711" s="41"/>
      <c r="E711" s="41"/>
      <c r="F711" s="41"/>
      <c r="G711" s="41"/>
    </row>
    <row r="712">
      <c r="A712" s="40"/>
      <c r="B712" s="41"/>
      <c r="C712" s="41"/>
      <c r="D712" s="41"/>
      <c r="E712" s="41"/>
      <c r="F712" s="41"/>
      <c r="G712" s="41"/>
    </row>
    <row r="713">
      <c r="A713" s="40"/>
      <c r="B713" s="41"/>
      <c r="C713" s="41"/>
      <c r="D713" s="41"/>
      <c r="E713" s="41"/>
      <c r="F713" s="41"/>
      <c r="G713" s="41"/>
    </row>
    <row r="714">
      <c r="A714" s="40"/>
      <c r="B714" s="41"/>
      <c r="C714" s="41"/>
      <c r="D714" s="41"/>
      <c r="E714" s="41"/>
      <c r="F714" s="41"/>
      <c r="G714" s="41"/>
    </row>
    <row r="715">
      <c r="A715" s="40"/>
      <c r="B715" s="41"/>
      <c r="C715" s="41"/>
      <c r="D715" s="41"/>
      <c r="E715" s="41"/>
      <c r="F715" s="41"/>
      <c r="G715" s="41"/>
    </row>
    <row r="716">
      <c r="A716" s="40"/>
      <c r="B716" s="41"/>
      <c r="C716" s="41"/>
      <c r="D716" s="41"/>
      <c r="E716" s="41"/>
      <c r="F716" s="41"/>
      <c r="G716" s="41"/>
    </row>
    <row r="717">
      <c r="A717" s="40"/>
      <c r="B717" s="41"/>
      <c r="C717" s="41"/>
      <c r="D717" s="41"/>
      <c r="E717" s="41"/>
      <c r="F717" s="41"/>
      <c r="G717" s="41"/>
    </row>
    <row r="718">
      <c r="A718" s="40"/>
      <c r="B718" s="41"/>
      <c r="C718" s="41"/>
      <c r="D718" s="41"/>
      <c r="E718" s="41"/>
      <c r="F718" s="41"/>
      <c r="G718" s="41"/>
    </row>
    <row r="719">
      <c r="A719" s="40"/>
      <c r="B719" s="41"/>
      <c r="C719" s="41"/>
      <c r="D719" s="41"/>
      <c r="E719" s="41"/>
      <c r="F719" s="41"/>
      <c r="G719" s="41"/>
    </row>
    <row r="720">
      <c r="A720" s="40"/>
      <c r="B720" s="41"/>
      <c r="C720" s="41"/>
      <c r="D720" s="41"/>
      <c r="E720" s="41"/>
      <c r="F720" s="41"/>
      <c r="G720" s="41"/>
    </row>
    <row r="721">
      <c r="A721" s="40"/>
      <c r="B721" s="41"/>
      <c r="C721" s="41"/>
      <c r="D721" s="41"/>
      <c r="E721" s="41"/>
      <c r="F721" s="41"/>
      <c r="G721" s="41"/>
    </row>
    <row r="722">
      <c r="A722" s="40"/>
      <c r="B722" s="41"/>
      <c r="C722" s="41"/>
      <c r="D722" s="41"/>
      <c r="E722" s="41"/>
      <c r="F722" s="41"/>
      <c r="G722" s="41"/>
    </row>
    <row r="723">
      <c r="A723" s="40"/>
      <c r="B723" s="41"/>
      <c r="C723" s="41"/>
      <c r="D723" s="41"/>
      <c r="E723" s="41"/>
      <c r="F723" s="41"/>
      <c r="G723" s="41"/>
    </row>
    <row r="724">
      <c r="A724" s="40"/>
      <c r="B724" s="41"/>
      <c r="C724" s="41"/>
      <c r="D724" s="41"/>
      <c r="E724" s="41"/>
      <c r="F724" s="41"/>
      <c r="G724" s="41"/>
    </row>
    <row r="725">
      <c r="A725" s="40"/>
      <c r="B725" s="41"/>
      <c r="C725" s="41"/>
      <c r="D725" s="41"/>
      <c r="E725" s="41"/>
      <c r="F725" s="41"/>
      <c r="G725" s="41"/>
    </row>
    <row r="726">
      <c r="A726" s="40"/>
      <c r="B726" s="41"/>
      <c r="C726" s="41"/>
      <c r="D726" s="41"/>
      <c r="E726" s="41"/>
      <c r="F726" s="41"/>
      <c r="G726" s="41"/>
    </row>
    <row r="727">
      <c r="A727" s="40"/>
      <c r="B727" s="41"/>
      <c r="C727" s="41"/>
      <c r="D727" s="41"/>
      <c r="E727" s="41"/>
      <c r="F727" s="41"/>
      <c r="G727" s="41"/>
    </row>
    <row r="728">
      <c r="A728" s="40"/>
      <c r="B728" s="41"/>
      <c r="C728" s="41"/>
      <c r="D728" s="41"/>
      <c r="E728" s="41"/>
      <c r="F728" s="41"/>
      <c r="G728" s="41"/>
    </row>
    <row r="729">
      <c r="A729" s="40"/>
      <c r="B729" s="41"/>
      <c r="C729" s="41"/>
      <c r="D729" s="41"/>
      <c r="E729" s="41"/>
      <c r="F729" s="41"/>
      <c r="G729" s="41"/>
    </row>
    <row r="730">
      <c r="A730" s="40"/>
      <c r="B730" s="41"/>
      <c r="C730" s="41"/>
      <c r="D730" s="41"/>
      <c r="E730" s="41"/>
      <c r="F730" s="41"/>
      <c r="G730" s="41"/>
    </row>
    <row r="731">
      <c r="A731" s="40"/>
      <c r="B731" s="41"/>
      <c r="C731" s="41"/>
      <c r="D731" s="41"/>
      <c r="E731" s="41"/>
      <c r="F731" s="41"/>
      <c r="G731" s="41"/>
    </row>
    <row r="732">
      <c r="A732" s="40"/>
      <c r="B732" s="41"/>
      <c r="C732" s="41"/>
      <c r="D732" s="41"/>
      <c r="E732" s="41"/>
      <c r="F732" s="41"/>
      <c r="G732" s="41"/>
    </row>
    <row r="733">
      <c r="A733" s="40"/>
      <c r="B733" s="41"/>
      <c r="C733" s="41"/>
      <c r="D733" s="41"/>
      <c r="E733" s="41"/>
      <c r="F733" s="41"/>
      <c r="G733" s="41"/>
    </row>
    <row r="734">
      <c r="A734" s="40"/>
      <c r="B734" s="41"/>
      <c r="C734" s="41"/>
      <c r="D734" s="41"/>
      <c r="E734" s="41"/>
      <c r="F734" s="41"/>
      <c r="G734" s="41"/>
    </row>
    <row r="735">
      <c r="A735" s="40"/>
      <c r="B735" s="41"/>
      <c r="C735" s="41"/>
      <c r="D735" s="41"/>
      <c r="E735" s="41"/>
      <c r="F735" s="41"/>
      <c r="G735" s="41"/>
    </row>
    <row r="736">
      <c r="A736" s="40"/>
      <c r="B736" s="41"/>
      <c r="C736" s="41"/>
      <c r="D736" s="41"/>
      <c r="E736" s="41"/>
      <c r="F736" s="41"/>
      <c r="G736" s="41"/>
    </row>
    <row r="737">
      <c r="A737" s="40"/>
      <c r="B737" s="41"/>
      <c r="C737" s="41"/>
      <c r="D737" s="41"/>
      <c r="E737" s="41"/>
      <c r="F737" s="41"/>
      <c r="G737" s="41"/>
    </row>
    <row r="738">
      <c r="A738" s="40"/>
      <c r="B738" s="41"/>
      <c r="C738" s="41"/>
      <c r="D738" s="41"/>
      <c r="E738" s="41"/>
      <c r="F738" s="41"/>
      <c r="G738" s="41"/>
    </row>
    <row r="739">
      <c r="A739" s="40"/>
      <c r="B739" s="41"/>
      <c r="C739" s="41"/>
      <c r="D739" s="41"/>
      <c r="E739" s="41"/>
      <c r="F739" s="41"/>
      <c r="G739" s="41"/>
    </row>
    <row r="740">
      <c r="A740" s="40"/>
      <c r="B740" s="41"/>
      <c r="C740" s="41"/>
      <c r="D740" s="41"/>
      <c r="E740" s="41"/>
      <c r="F740" s="41"/>
      <c r="G740" s="41"/>
    </row>
    <row r="741">
      <c r="A741" s="40"/>
      <c r="B741" s="41"/>
      <c r="C741" s="41"/>
      <c r="D741" s="41"/>
      <c r="E741" s="41"/>
      <c r="F741" s="41"/>
      <c r="G741" s="41"/>
    </row>
    <row r="742">
      <c r="A742" s="40"/>
      <c r="B742" s="41"/>
      <c r="C742" s="41"/>
      <c r="D742" s="41"/>
      <c r="E742" s="41"/>
      <c r="F742" s="41"/>
      <c r="G742" s="41"/>
    </row>
    <row r="743">
      <c r="A743" s="40"/>
      <c r="B743" s="41"/>
      <c r="C743" s="41"/>
      <c r="D743" s="41"/>
      <c r="E743" s="41"/>
      <c r="F743" s="41"/>
      <c r="G743" s="41"/>
    </row>
    <row r="744">
      <c r="A744" s="40"/>
      <c r="B744" s="41"/>
      <c r="C744" s="41"/>
      <c r="D744" s="41"/>
      <c r="E744" s="41"/>
      <c r="F744" s="41"/>
      <c r="G744" s="41"/>
    </row>
    <row r="745">
      <c r="A745" s="40"/>
      <c r="B745" s="41"/>
      <c r="C745" s="41"/>
      <c r="D745" s="41"/>
      <c r="E745" s="41"/>
      <c r="F745" s="41"/>
      <c r="G745" s="41"/>
    </row>
    <row r="746">
      <c r="A746" s="40"/>
      <c r="B746" s="41"/>
      <c r="C746" s="41"/>
      <c r="D746" s="41"/>
      <c r="E746" s="41"/>
      <c r="F746" s="41"/>
      <c r="G746" s="41"/>
    </row>
    <row r="747">
      <c r="A747" s="40"/>
      <c r="B747" s="41"/>
      <c r="C747" s="41"/>
      <c r="D747" s="41"/>
      <c r="E747" s="41"/>
      <c r="F747" s="41"/>
      <c r="G747" s="41"/>
    </row>
    <row r="748">
      <c r="A748" s="40"/>
      <c r="B748" s="41"/>
      <c r="C748" s="41"/>
      <c r="D748" s="41"/>
      <c r="E748" s="41"/>
      <c r="F748" s="41"/>
      <c r="G748" s="41"/>
    </row>
    <row r="749">
      <c r="A749" s="40"/>
      <c r="B749" s="41"/>
      <c r="C749" s="41"/>
      <c r="D749" s="41"/>
      <c r="E749" s="41"/>
      <c r="F749" s="41"/>
      <c r="G749" s="41"/>
    </row>
    <row r="750">
      <c r="A750" s="40"/>
      <c r="B750" s="41"/>
      <c r="C750" s="41"/>
      <c r="D750" s="41"/>
      <c r="E750" s="41"/>
      <c r="F750" s="41"/>
      <c r="G750" s="41"/>
    </row>
    <row r="751">
      <c r="A751" s="40"/>
      <c r="B751" s="41"/>
      <c r="C751" s="41"/>
      <c r="D751" s="41"/>
      <c r="E751" s="41"/>
      <c r="F751" s="41"/>
      <c r="G751" s="41"/>
    </row>
    <row r="752">
      <c r="A752" s="40"/>
      <c r="B752" s="41"/>
      <c r="C752" s="41"/>
      <c r="D752" s="41"/>
      <c r="E752" s="41"/>
      <c r="F752" s="41"/>
      <c r="G752" s="41"/>
    </row>
    <row r="753">
      <c r="A753" s="40"/>
      <c r="B753" s="41"/>
      <c r="C753" s="41"/>
      <c r="D753" s="41"/>
      <c r="E753" s="41"/>
      <c r="F753" s="41"/>
      <c r="G753" s="41"/>
    </row>
    <row r="754">
      <c r="A754" s="40"/>
      <c r="B754" s="41"/>
      <c r="C754" s="41"/>
      <c r="D754" s="41"/>
      <c r="E754" s="41"/>
      <c r="F754" s="41"/>
      <c r="G754" s="41"/>
    </row>
    <row r="755">
      <c r="A755" s="40"/>
      <c r="B755" s="41"/>
      <c r="C755" s="41"/>
      <c r="D755" s="41"/>
      <c r="E755" s="41"/>
      <c r="F755" s="41"/>
      <c r="G755" s="41"/>
    </row>
    <row r="756">
      <c r="A756" s="40"/>
      <c r="B756" s="41"/>
      <c r="C756" s="41"/>
      <c r="D756" s="41"/>
      <c r="E756" s="41"/>
      <c r="F756" s="41"/>
      <c r="G756" s="41"/>
    </row>
    <row r="757">
      <c r="A757" s="40"/>
      <c r="B757" s="41"/>
      <c r="C757" s="41"/>
      <c r="D757" s="41"/>
      <c r="E757" s="41"/>
      <c r="F757" s="41"/>
      <c r="G757" s="41"/>
    </row>
    <row r="758">
      <c r="A758" s="40"/>
      <c r="B758" s="41"/>
      <c r="C758" s="41"/>
      <c r="D758" s="41"/>
      <c r="E758" s="41"/>
      <c r="F758" s="41"/>
      <c r="G758" s="41"/>
    </row>
    <row r="759">
      <c r="A759" s="40"/>
      <c r="B759" s="41"/>
      <c r="C759" s="41"/>
      <c r="D759" s="41"/>
      <c r="E759" s="41"/>
      <c r="F759" s="41"/>
      <c r="G759" s="41"/>
    </row>
    <row r="760">
      <c r="A760" s="40"/>
      <c r="B760" s="41"/>
      <c r="C760" s="41"/>
      <c r="D760" s="41"/>
      <c r="E760" s="41"/>
      <c r="F760" s="41"/>
      <c r="G760" s="41"/>
    </row>
    <row r="761">
      <c r="A761" s="40"/>
      <c r="B761" s="41"/>
      <c r="C761" s="41"/>
      <c r="D761" s="41"/>
      <c r="E761" s="41"/>
      <c r="F761" s="41"/>
      <c r="G761" s="41"/>
    </row>
    <row r="762">
      <c r="A762" s="40"/>
      <c r="B762" s="41"/>
      <c r="C762" s="41"/>
      <c r="D762" s="41"/>
      <c r="E762" s="41"/>
      <c r="F762" s="41"/>
      <c r="G762" s="41"/>
    </row>
    <row r="763">
      <c r="A763" s="40"/>
      <c r="B763" s="41"/>
      <c r="C763" s="41"/>
      <c r="D763" s="41"/>
      <c r="E763" s="41"/>
      <c r="F763" s="41"/>
      <c r="G763" s="41"/>
    </row>
    <row r="764">
      <c r="A764" s="40"/>
      <c r="B764" s="41"/>
      <c r="C764" s="41"/>
      <c r="D764" s="41"/>
      <c r="E764" s="41"/>
      <c r="F764" s="41"/>
      <c r="G764" s="41"/>
    </row>
    <row r="765">
      <c r="A765" s="40"/>
      <c r="B765" s="41"/>
      <c r="C765" s="41"/>
      <c r="D765" s="41"/>
      <c r="E765" s="41"/>
      <c r="F765" s="41"/>
      <c r="G765" s="41"/>
    </row>
    <row r="766">
      <c r="A766" s="40"/>
      <c r="B766" s="41"/>
      <c r="C766" s="41"/>
      <c r="D766" s="41"/>
      <c r="E766" s="41"/>
      <c r="F766" s="41"/>
      <c r="G766" s="41"/>
    </row>
    <row r="767">
      <c r="A767" s="40"/>
      <c r="B767" s="41"/>
      <c r="C767" s="41"/>
      <c r="D767" s="41"/>
      <c r="E767" s="41"/>
      <c r="F767" s="41"/>
      <c r="G767" s="41"/>
    </row>
    <row r="768">
      <c r="A768" s="40"/>
      <c r="B768" s="41"/>
      <c r="C768" s="41"/>
      <c r="D768" s="41"/>
      <c r="E768" s="41"/>
      <c r="F768" s="41"/>
      <c r="G768" s="41"/>
    </row>
    <row r="769">
      <c r="A769" s="40"/>
      <c r="B769" s="41"/>
      <c r="C769" s="41"/>
      <c r="D769" s="41"/>
      <c r="E769" s="41"/>
      <c r="F769" s="41"/>
      <c r="G769" s="41"/>
    </row>
    <row r="770">
      <c r="A770" s="40"/>
      <c r="B770" s="41"/>
      <c r="C770" s="41"/>
      <c r="D770" s="41"/>
      <c r="E770" s="41"/>
      <c r="F770" s="41"/>
      <c r="G770" s="41"/>
    </row>
    <row r="771">
      <c r="A771" s="40"/>
      <c r="B771" s="41"/>
      <c r="C771" s="41"/>
      <c r="D771" s="41"/>
      <c r="E771" s="41"/>
      <c r="F771" s="41"/>
      <c r="G771" s="41"/>
    </row>
    <row r="772">
      <c r="A772" s="40"/>
      <c r="B772" s="41"/>
      <c r="C772" s="41"/>
      <c r="D772" s="41"/>
      <c r="E772" s="41"/>
      <c r="F772" s="41"/>
      <c r="G772" s="41"/>
    </row>
    <row r="773">
      <c r="A773" s="40"/>
      <c r="B773" s="41"/>
      <c r="C773" s="41"/>
      <c r="D773" s="41"/>
      <c r="E773" s="41"/>
      <c r="F773" s="41"/>
      <c r="G773" s="41"/>
    </row>
    <row r="774">
      <c r="A774" s="40"/>
      <c r="B774" s="41"/>
      <c r="C774" s="41"/>
      <c r="D774" s="41"/>
      <c r="E774" s="41"/>
      <c r="F774" s="41"/>
      <c r="G774" s="41"/>
    </row>
    <row r="775">
      <c r="A775" s="40"/>
      <c r="B775" s="41"/>
      <c r="C775" s="41"/>
      <c r="D775" s="41"/>
      <c r="E775" s="41"/>
      <c r="F775" s="41"/>
      <c r="G775" s="41"/>
    </row>
    <row r="776">
      <c r="A776" s="40"/>
      <c r="B776" s="41"/>
      <c r="C776" s="41"/>
      <c r="D776" s="41"/>
      <c r="E776" s="41"/>
      <c r="F776" s="41"/>
      <c r="G776" s="41"/>
    </row>
    <row r="777">
      <c r="A777" s="40"/>
      <c r="B777" s="41"/>
      <c r="C777" s="41"/>
      <c r="D777" s="41"/>
      <c r="E777" s="41"/>
      <c r="F777" s="41"/>
      <c r="G777" s="41"/>
    </row>
    <row r="778">
      <c r="A778" s="40"/>
      <c r="B778" s="41"/>
      <c r="C778" s="41"/>
      <c r="D778" s="41"/>
      <c r="E778" s="41"/>
      <c r="F778" s="41"/>
      <c r="G778" s="41"/>
    </row>
    <row r="779">
      <c r="A779" s="40"/>
      <c r="B779" s="41"/>
      <c r="C779" s="41"/>
      <c r="D779" s="41"/>
      <c r="E779" s="41"/>
      <c r="F779" s="41"/>
      <c r="G779" s="41"/>
    </row>
    <row r="780">
      <c r="A780" s="40"/>
      <c r="B780" s="41"/>
      <c r="C780" s="41"/>
      <c r="D780" s="41"/>
      <c r="E780" s="41"/>
      <c r="F780" s="41"/>
      <c r="G780" s="41"/>
    </row>
    <row r="781">
      <c r="A781" s="40"/>
      <c r="B781" s="41"/>
      <c r="C781" s="41"/>
      <c r="D781" s="41"/>
      <c r="E781" s="41"/>
      <c r="F781" s="41"/>
      <c r="G781" s="41"/>
    </row>
    <row r="782">
      <c r="A782" s="40"/>
      <c r="B782" s="41"/>
      <c r="C782" s="41"/>
      <c r="D782" s="41"/>
      <c r="E782" s="41"/>
      <c r="F782" s="41"/>
      <c r="G782" s="41"/>
    </row>
    <row r="783">
      <c r="A783" s="40"/>
      <c r="B783" s="41"/>
      <c r="C783" s="41"/>
      <c r="D783" s="41"/>
      <c r="E783" s="41"/>
      <c r="F783" s="41"/>
      <c r="G783" s="41"/>
    </row>
    <row r="784">
      <c r="A784" s="40"/>
      <c r="B784" s="41"/>
      <c r="C784" s="41"/>
      <c r="D784" s="41"/>
      <c r="E784" s="41"/>
      <c r="F784" s="41"/>
      <c r="G784" s="41"/>
    </row>
    <row r="785">
      <c r="A785" s="40"/>
      <c r="B785" s="41"/>
      <c r="C785" s="41"/>
      <c r="D785" s="41"/>
      <c r="E785" s="41"/>
      <c r="F785" s="41"/>
      <c r="G785" s="41"/>
    </row>
    <row r="786">
      <c r="A786" s="40"/>
      <c r="B786" s="41"/>
      <c r="C786" s="41"/>
      <c r="D786" s="41"/>
      <c r="E786" s="41"/>
      <c r="F786" s="41"/>
      <c r="G786" s="41"/>
    </row>
    <row r="787">
      <c r="A787" s="40"/>
      <c r="B787" s="41"/>
      <c r="C787" s="41"/>
      <c r="D787" s="41"/>
      <c r="E787" s="41"/>
      <c r="F787" s="41"/>
      <c r="G787" s="41"/>
    </row>
    <row r="788">
      <c r="A788" s="40"/>
      <c r="B788" s="41"/>
      <c r="C788" s="41"/>
      <c r="D788" s="41"/>
      <c r="E788" s="41"/>
      <c r="F788" s="41"/>
      <c r="G788" s="41"/>
    </row>
    <row r="789">
      <c r="A789" s="40"/>
      <c r="B789" s="41"/>
      <c r="C789" s="41"/>
      <c r="D789" s="41"/>
      <c r="E789" s="41"/>
      <c r="F789" s="41"/>
      <c r="G789" s="41"/>
    </row>
    <row r="790">
      <c r="A790" s="40"/>
      <c r="B790" s="41"/>
      <c r="C790" s="41"/>
      <c r="D790" s="41"/>
      <c r="E790" s="41"/>
      <c r="F790" s="41"/>
      <c r="G790" s="41"/>
    </row>
    <row r="791">
      <c r="A791" s="40"/>
      <c r="B791" s="41"/>
      <c r="C791" s="41"/>
      <c r="D791" s="41"/>
      <c r="E791" s="41"/>
      <c r="F791" s="41"/>
      <c r="G791" s="41"/>
    </row>
    <row r="792">
      <c r="A792" s="40"/>
      <c r="B792" s="41"/>
      <c r="C792" s="41"/>
      <c r="D792" s="41"/>
      <c r="E792" s="41"/>
      <c r="F792" s="41"/>
      <c r="G792" s="41"/>
    </row>
    <row r="793">
      <c r="A793" s="40"/>
      <c r="B793" s="41"/>
      <c r="C793" s="41"/>
      <c r="D793" s="41"/>
      <c r="E793" s="41"/>
      <c r="F793" s="41"/>
      <c r="G793" s="41"/>
    </row>
    <row r="794">
      <c r="A794" s="40"/>
      <c r="B794" s="41"/>
      <c r="C794" s="41"/>
      <c r="D794" s="41"/>
      <c r="E794" s="41"/>
      <c r="F794" s="41"/>
      <c r="G794" s="41"/>
    </row>
    <row r="795">
      <c r="A795" s="40"/>
      <c r="B795" s="41"/>
      <c r="C795" s="41"/>
      <c r="D795" s="41"/>
      <c r="E795" s="41"/>
      <c r="F795" s="41"/>
      <c r="G795" s="41"/>
    </row>
    <row r="796">
      <c r="A796" s="40"/>
      <c r="B796" s="41"/>
      <c r="C796" s="41"/>
      <c r="D796" s="41"/>
      <c r="E796" s="41"/>
      <c r="F796" s="41"/>
      <c r="G796" s="41"/>
    </row>
    <row r="797">
      <c r="A797" s="40"/>
      <c r="B797" s="41"/>
      <c r="C797" s="41"/>
      <c r="D797" s="41"/>
      <c r="E797" s="41"/>
      <c r="F797" s="41"/>
      <c r="G797" s="41"/>
    </row>
    <row r="798">
      <c r="A798" s="40"/>
      <c r="B798" s="41"/>
      <c r="C798" s="41"/>
      <c r="D798" s="41"/>
      <c r="E798" s="41"/>
      <c r="F798" s="41"/>
      <c r="G798" s="41"/>
    </row>
    <row r="799">
      <c r="A799" s="40"/>
      <c r="B799" s="41"/>
      <c r="C799" s="41"/>
      <c r="D799" s="41"/>
      <c r="E799" s="41"/>
      <c r="F799" s="41"/>
      <c r="G799" s="41"/>
    </row>
    <row r="800">
      <c r="A800" s="40"/>
      <c r="B800" s="41"/>
      <c r="C800" s="41"/>
      <c r="D800" s="41"/>
      <c r="E800" s="41"/>
      <c r="F800" s="41"/>
      <c r="G800" s="41"/>
    </row>
    <row r="801">
      <c r="A801" s="40"/>
      <c r="B801" s="41"/>
      <c r="C801" s="41"/>
      <c r="D801" s="41"/>
      <c r="E801" s="41"/>
      <c r="F801" s="41"/>
      <c r="G801" s="41"/>
    </row>
    <row r="802">
      <c r="A802" s="40"/>
      <c r="B802" s="41"/>
      <c r="C802" s="41"/>
      <c r="D802" s="41"/>
      <c r="E802" s="41"/>
      <c r="F802" s="41"/>
      <c r="G802" s="41"/>
    </row>
    <row r="803">
      <c r="A803" s="40"/>
      <c r="B803" s="41"/>
      <c r="C803" s="41"/>
      <c r="D803" s="41"/>
      <c r="E803" s="41"/>
      <c r="F803" s="41"/>
      <c r="G803" s="41"/>
    </row>
    <row r="804">
      <c r="A804" s="40"/>
      <c r="B804" s="41"/>
      <c r="C804" s="41"/>
      <c r="D804" s="41"/>
      <c r="E804" s="41"/>
      <c r="F804" s="41"/>
      <c r="G804" s="41"/>
    </row>
    <row r="805">
      <c r="A805" s="40"/>
      <c r="B805" s="41"/>
      <c r="C805" s="41"/>
      <c r="D805" s="41"/>
      <c r="E805" s="41"/>
      <c r="F805" s="41"/>
      <c r="G805" s="41"/>
    </row>
    <row r="806">
      <c r="A806" s="40"/>
      <c r="B806" s="41"/>
      <c r="C806" s="41"/>
      <c r="D806" s="41"/>
      <c r="E806" s="41"/>
      <c r="F806" s="41"/>
      <c r="G806" s="41"/>
    </row>
    <row r="807">
      <c r="A807" s="40"/>
      <c r="B807" s="41"/>
      <c r="C807" s="41"/>
      <c r="D807" s="41"/>
      <c r="E807" s="41"/>
      <c r="F807" s="41"/>
      <c r="G807" s="41"/>
    </row>
    <row r="808">
      <c r="A808" s="40"/>
      <c r="B808" s="41"/>
      <c r="C808" s="41"/>
      <c r="D808" s="41"/>
      <c r="E808" s="41"/>
      <c r="F808" s="41"/>
      <c r="G808" s="41"/>
    </row>
    <row r="809">
      <c r="A809" s="40"/>
      <c r="B809" s="41"/>
      <c r="C809" s="41"/>
      <c r="D809" s="41"/>
      <c r="E809" s="41"/>
      <c r="F809" s="41"/>
      <c r="G809" s="41"/>
    </row>
    <row r="810">
      <c r="A810" s="40"/>
      <c r="B810" s="41"/>
      <c r="C810" s="41"/>
      <c r="D810" s="41"/>
      <c r="E810" s="41"/>
      <c r="F810" s="41"/>
      <c r="G810" s="41"/>
    </row>
    <row r="811">
      <c r="A811" s="40"/>
      <c r="B811" s="41"/>
      <c r="C811" s="41"/>
      <c r="D811" s="41"/>
      <c r="E811" s="41"/>
      <c r="F811" s="41"/>
      <c r="G811" s="41"/>
    </row>
    <row r="812">
      <c r="A812" s="40"/>
      <c r="B812" s="41"/>
      <c r="C812" s="41"/>
      <c r="D812" s="41"/>
      <c r="E812" s="41"/>
      <c r="F812" s="41"/>
      <c r="G812" s="41"/>
    </row>
    <row r="813">
      <c r="A813" s="40"/>
      <c r="B813" s="41"/>
      <c r="C813" s="41"/>
      <c r="D813" s="41"/>
      <c r="E813" s="41"/>
      <c r="F813" s="41"/>
      <c r="G813" s="41"/>
    </row>
    <row r="814">
      <c r="A814" s="40"/>
      <c r="B814" s="41"/>
      <c r="C814" s="41"/>
      <c r="D814" s="41"/>
      <c r="E814" s="41"/>
      <c r="F814" s="41"/>
      <c r="G814" s="41"/>
    </row>
    <row r="815">
      <c r="A815" s="40"/>
      <c r="B815" s="41"/>
      <c r="C815" s="41"/>
      <c r="D815" s="41"/>
      <c r="E815" s="41"/>
      <c r="F815" s="41"/>
      <c r="G815" s="41"/>
    </row>
    <row r="816">
      <c r="A816" s="40"/>
      <c r="B816" s="41"/>
      <c r="C816" s="41"/>
      <c r="D816" s="41"/>
      <c r="E816" s="41"/>
      <c r="F816" s="41"/>
      <c r="G816" s="41"/>
    </row>
    <row r="817">
      <c r="A817" s="40"/>
      <c r="B817" s="41"/>
      <c r="C817" s="41"/>
      <c r="D817" s="41"/>
      <c r="E817" s="41"/>
      <c r="F817" s="41"/>
      <c r="G817" s="41"/>
    </row>
    <row r="818">
      <c r="A818" s="40"/>
      <c r="B818" s="41"/>
      <c r="C818" s="41"/>
      <c r="D818" s="41"/>
      <c r="E818" s="41"/>
      <c r="F818" s="41"/>
      <c r="G818" s="41"/>
    </row>
    <row r="819">
      <c r="A819" s="40"/>
      <c r="B819" s="41"/>
      <c r="C819" s="41"/>
      <c r="D819" s="41"/>
      <c r="E819" s="41"/>
      <c r="F819" s="41"/>
      <c r="G819" s="41"/>
    </row>
    <row r="820">
      <c r="A820" s="40"/>
      <c r="B820" s="41"/>
      <c r="C820" s="41"/>
      <c r="D820" s="41"/>
      <c r="E820" s="41"/>
      <c r="F820" s="41"/>
      <c r="G820" s="41"/>
    </row>
    <row r="821">
      <c r="A821" s="40"/>
      <c r="B821" s="41"/>
      <c r="C821" s="41"/>
      <c r="D821" s="41"/>
      <c r="E821" s="41"/>
      <c r="F821" s="41"/>
      <c r="G821" s="41"/>
    </row>
    <row r="822">
      <c r="A822" s="40"/>
      <c r="B822" s="41"/>
      <c r="C822" s="41"/>
      <c r="D822" s="41"/>
      <c r="E822" s="41"/>
      <c r="F822" s="41"/>
      <c r="G822" s="41"/>
    </row>
    <row r="823">
      <c r="A823" s="40"/>
      <c r="B823" s="41"/>
      <c r="C823" s="41"/>
      <c r="D823" s="41"/>
      <c r="E823" s="41"/>
      <c r="F823" s="41"/>
      <c r="G823" s="41"/>
    </row>
    <row r="824">
      <c r="A824" s="40"/>
      <c r="B824" s="41"/>
      <c r="C824" s="41"/>
      <c r="D824" s="41"/>
      <c r="E824" s="41"/>
      <c r="F824" s="41"/>
      <c r="G824" s="41"/>
    </row>
    <row r="825">
      <c r="A825" s="40"/>
      <c r="B825" s="41"/>
      <c r="C825" s="41"/>
      <c r="D825" s="41"/>
      <c r="E825" s="41"/>
      <c r="F825" s="41"/>
      <c r="G825" s="41"/>
    </row>
    <row r="826">
      <c r="A826" s="40"/>
      <c r="B826" s="41"/>
      <c r="C826" s="41"/>
      <c r="D826" s="41"/>
      <c r="E826" s="41"/>
      <c r="F826" s="41"/>
      <c r="G826" s="41"/>
    </row>
    <row r="827">
      <c r="A827" s="40"/>
      <c r="B827" s="41"/>
      <c r="C827" s="41"/>
      <c r="D827" s="41"/>
      <c r="E827" s="41"/>
      <c r="F827" s="41"/>
      <c r="G827" s="41"/>
    </row>
    <row r="828">
      <c r="A828" s="40"/>
      <c r="B828" s="41"/>
      <c r="C828" s="41"/>
      <c r="D828" s="41"/>
      <c r="E828" s="41"/>
      <c r="F828" s="41"/>
      <c r="G828" s="41"/>
    </row>
    <row r="829">
      <c r="A829" s="40"/>
      <c r="B829" s="41"/>
      <c r="C829" s="41"/>
      <c r="D829" s="41"/>
      <c r="E829" s="41"/>
      <c r="F829" s="41"/>
      <c r="G829" s="41"/>
    </row>
    <row r="830">
      <c r="A830" s="40"/>
      <c r="B830" s="41"/>
      <c r="C830" s="41"/>
      <c r="D830" s="41"/>
      <c r="E830" s="41"/>
      <c r="F830" s="41"/>
      <c r="G830" s="41"/>
    </row>
    <row r="831">
      <c r="A831" s="40"/>
      <c r="B831" s="41"/>
      <c r="C831" s="41"/>
      <c r="D831" s="41"/>
      <c r="E831" s="41"/>
      <c r="F831" s="41"/>
      <c r="G831" s="41"/>
    </row>
    <row r="832">
      <c r="A832" s="40"/>
      <c r="B832" s="41"/>
      <c r="C832" s="41"/>
      <c r="D832" s="41"/>
      <c r="E832" s="41"/>
      <c r="F832" s="41"/>
      <c r="G832" s="41"/>
    </row>
    <row r="833">
      <c r="A833" s="40"/>
      <c r="B833" s="41"/>
      <c r="C833" s="41"/>
      <c r="D833" s="41"/>
      <c r="E833" s="41"/>
      <c r="F833" s="41"/>
      <c r="G833" s="41"/>
    </row>
    <row r="834">
      <c r="A834" s="40"/>
      <c r="B834" s="41"/>
      <c r="C834" s="41"/>
      <c r="D834" s="41"/>
      <c r="E834" s="41"/>
      <c r="F834" s="41"/>
      <c r="G834" s="41"/>
    </row>
    <row r="835">
      <c r="A835" s="40"/>
      <c r="B835" s="41"/>
      <c r="C835" s="41"/>
      <c r="D835" s="41"/>
      <c r="E835" s="41"/>
      <c r="F835" s="41"/>
      <c r="G835" s="41"/>
    </row>
    <row r="836">
      <c r="A836" s="40"/>
      <c r="B836" s="41"/>
      <c r="C836" s="41"/>
      <c r="D836" s="41"/>
      <c r="E836" s="41"/>
      <c r="F836" s="41"/>
      <c r="G836" s="41"/>
    </row>
    <row r="837">
      <c r="A837" s="40"/>
      <c r="B837" s="41"/>
      <c r="C837" s="41"/>
      <c r="D837" s="41"/>
      <c r="E837" s="41"/>
      <c r="F837" s="41"/>
      <c r="G837" s="41"/>
    </row>
    <row r="838">
      <c r="A838" s="40"/>
      <c r="B838" s="41"/>
      <c r="C838" s="41"/>
      <c r="D838" s="41"/>
      <c r="E838" s="41"/>
      <c r="F838" s="41"/>
      <c r="G838" s="41"/>
    </row>
    <row r="839">
      <c r="A839" s="40"/>
      <c r="B839" s="41"/>
      <c r="C839" s="41"/>
      <c r="D839" s="41"/>
      <c r="E839" s="41"/>
      <c r="F839" s="41"/>
      <c r="G839" s="41"/>
    </row>
    <row r="840">
      <c r="A840" s="40"/>
      <c r="B840" s="41"/>
      <c r="C840" s="41"/>
      <c r="D840" s="41"/>
      <c r="E840" s="41"/>
      <c r="F840" s="41"/>
      <c r="G840" s="41"/>
    </row>
    <row r="841">
      <c r="A841" s="40"/>
      <c r="B841" s="41"/>
      <c r="C841" s="41"/>
      <c r="D841" s="41"/>
      <c r="E841" s="41"/>
      <c r="F841" s="41"/>
      <c r="G841" s="41"/>
    </row>
    <row r="842">
      <c r="A842" s="40"/>
      <c r="B842" s="41"/>
      <c r="C842" s="41"/>
      <c r="D842" s="41"/>
      <c r="E842" s="41"/>
      <c r="F842" s="41"/>
      <c r="G842" s="41"/>
    </row>
    <row r="843">
      <c r="A843" s="40"/>
      <c r="B843" s="41"/>
      <c r="C843" s="41"/>
      <c r="D843" s="41"/>
      <c r="E843" s="41"/>
      <c r="F843" s="41"/>
      <c r="G843" s="41"/>
    </row>
    <row r="844">
      <c r="A844" s="40"/>
      <c r="B844" s="41"/>
      <c r="C844" s="41"/>
      <c r="D844" s="41"/>
      <c r="E844" s="41"/>
      <c r="F844" s="41"/>
      <c r="G844" s="41"/>
    </row>
    <row r="845">
      <c r="A845" s="40"/>
      <c r="B845" s="41"/>
      <c r="C845" s="41"/>
      <c r="D845" s="41"/>
      <c r="E845" s="41"/>
      <c r="F845" s="41"/>
      <c r="G845" s="41"/>
    </row>
    <row r="846">
      <c r="A846" s="40"/>
      <c r="B846" s="41"/>
      <c r="C846" s="41"/>
      <c r="D846" s="41"/>
      <c r="E846" s="41"/>
      <c r="F846" s="41"/>
      <c r="G846" s="41"/>
    </row>
    <row r="847">
      <c r="A847" s="40"/>
      <c r="B847" s="41"/>
      <c r="C847" s="41"/>
      <c r="D847" s="41"/>
      <c r="E847" s="41"/>
      <c r="F847" s="41"/>
      <c r="G847" s="41"/>
    </row>
    <row r="848">
      <c r="A848" s="40"/>
      <c r="B848" s="41"/>
      <c r="C848" s="41"/>
      <c r="D848" s="41"/>
      <c r="E848" s="41"/>
      <c r="F848" s="41"/>
      <c r="G848" s="41"/>
    </row>
    <row r="849">
      <c r="A849" s="40"/>
      <c r="B849" s="41"/>
      <c r="C849" s="41"/>
      <c r="D849" s="41"/>
      <c r="E849" s="41"/>
      <c r="F849" s="41"/>
      <c r="G849" s="41"/>
    </row>
    <row r="850">
      <c r="A850" s="40"/>
      <c r="B850" s="41"/>
      <c r="C850" s="41"/>
      <c r="D850" s="41"/>
      <c r="E850" s="41"/>
      <c r="F850" s="41"/>
      <c r="G850" s="41"/>
    </row>
    <row r="851">
      <c r="A851" s="40"/>
      <c r="B851" s="41"/>
      <c r="C851" s="41"/>
      <c r="D851" s="41"/>
      <c r="E851" s="41"/>
      <c r="F851" s="41"/>
      <c r="G851" s="41"/>
    </row>
    <row r="852">
      <c r="A852" s="40"/>
      <c r="B852" s="41"/>
      <c r="C852" s="41"/>
      <c r="D852" s="41"/>
      <c r="E852" s="41"/>
      <c r="F852" s="41"/>
      <c r="G852" s="41"/>
    </row>
    <row r="853">
      <c r="A853" s="40"/>
      <c r="B853" s="41"/>
      <c r="C853" s="41"/>
      <c r="D853" s="41"/>
      <c r="E853" s="41"/>
      <c r="F853" s="41"/>
      <c r="G853" s="41"/>
    </row>
    <row r="854">
      <c r="A854" s="40"/>
      <c r="B854" s="41"/>
      <c r="C854" s="41"/>
      <c r="D854" s="41"/>
      <c r="E854" s="41"/>
      <c r="F854" s="41"/>
      <c r="G854" s="41"/>
    </row>
    <row r="855">
      <c r="A855" s="40"/>
      <c r="B855" s="41"/>
      <c r="C855" s="41"/>
      <c r="D855" s="41"/>
      <c r="E855" s="41"/>
      <c r="F855" s="41"/>
      <c r="G855" s="41"/>
    </row>
    <row r="856">
      <c r="A856" s="40"/>
      <c r="B856" s="41"/>
      <c r="C856" s="41"/>
      <c r="D856" s="41"/>
      <c r="E856" s="41"/>
      <c r="F856" s="41"/>
      <c r="G856" s="41"/>
    </row>
    <row r="857">
      <c r="A857" s="40"/>
      <c r="B857" s="41"/>
      <c r="C857" s="41"/>
      <c r="D857" s="41"/>
      <c r="E857" s="41"/>
      <c r="F857" s="41"/>
      <c r="G857" s="41"/>
    </row>
    <row r="858">
      <c r="A858" s="40"/>
      <c r="B858" s="41"/>
      <c r="C858" s="41"/>
      <c r="D858" s="41"/>
      <c r="E858" s="41"/>
      <c r="F858" s="41"/>
      <c r="G858" s="41"/>
    </row>
    <row r="859">
      <c r="A859" s="40"/>
      <c r="B859" s="41"/>
      <c r="C859" s="41"/>
      <c r="D859" s="41"/>
      <c r="E859" s="41"/>
      <c r="F859" s="41"/>
      <c r="G859" s="41"/>
    </row>
    <row r="860">
      <c r="A860" s="40"/>
      <c r="B860" s="41"/>
      <c r="C860" s="41"/>
      <c r="D860" s="41"/>
      <c r="E860" s="41"/>
      <c r="F860" s="41"/>
      <c r="G860" s="41"/>
    </row>
    <row r="861">
      <c r="A861" s="40"/>
      <c r="B861" s="41"/>
      <c r="C861" s="41"/>
      <c r="D861" s="41"/>
      <c r="E861" s="41"/>
      <c r="F861" s="41"/>
      <c r="G861" s="41"/>
    </row>
    <row r="862">
      <c r="A862" s="40"/>
      <c r="B862" s="41"/>
      <c r="C862" s="41"/>
      <c r="D862" s="41"/>
      <c r="E862" s="41"/>
      <c r="F862" s="41"/>
      <c r="G862" s="41"/>
    </row>
    <row r="863">
      <c r="A863" s="40"/>
      <c r="B863" s="41"/>
      <c r="C863" s="41"/>
      <c r="D863" s="41"/>
      <c r="E863" s="41"/>
      <c r="F863" s="41"/>
      <c r="G863" s="41"/>
    </row>
    <row r="864">
      <c r="A864" s="40"/>
      <c r="B864" s="41"/>
      <c r="C864" s="41"/>
      <c r="D864" s="41"/>
      <c r="E864" s="41"/>
      <c r="F864" s="41"/>
      <c r="G864" s="41"/>
    </row>
    <row r="865">
      <c r="A865" s="40"/>
      <c r="B865" s="41"/>
      <c r="C865" s="41"/>
      <c r="D865" s="41"/>
      <c r="E865" s="41"/>
      <c r="F865" s="41"/>
      <c r="G865" s="41"/>
    </row>
    <row r="866">
      <c r="A866" s="40"/>
      <c r="B866" s="41"/>
      <c r="C866" s="41"/>
      <c r="D866" s="41"/>
      <c r="E866" s="41"/>
      <c r="F866" s="41"/>
      <c r="G866" s="41"/>
    </row>
    <row r="867">
      <c r="A867" s="40"/>
      <c r="B867" s="41"/>
      <c r="C867" s="41"/>
      <c r="D867" s="41"/>
      <c r="E867" s="41"/>
      <c r="F867" s="41"/>
      <c r="G867" s="41"/>
    </row>
    <row r="868">
      <c r="A868" s="40"/>
      <c r="B868" s="41"/>
      <c r="C868" s="41"/>
      <c r="D868" s="41"/>
      <c r="E868" s="41"/>
      <c r="F868" s="41"/>
      <c r="G868" s="41"/>
    </row>
    <row r="869">
      <c r="A869" s="40"/>
      <c r="B869" s="41"/>
      <c r="C869" s="41"/>
      <c r="D869" s="41"/>
      <c r="E869" s="41"/>
      <c r="F869" s="41"/>
      <c r="G869" s="41"/>
    </row>
    <row r="870">
      <c r="A870" s="40"/>
      <c r="B870" s="41"/>
      <c r="C870" s="41"/>
      <c r="D870" s="41"/>
      <c r="E870" s="41"/>
      <c r="F870" s="41"/>
      <c r="G870" s="41"/>
    </row>
    <row r="871">
      <c r="A871" s="40"/>
      <c r="B871" s="41"/>
      <c r="C871" s="41"/>
      <c r="D871" s="41"/>
      <c r="E871" s="41"/>
      <c r="F871" s="41"/>
      <c r="G871" s="41"/>
    </row>
    <row r="872">
      <c r="A872" s="40"/>
      <c r="B872" s="41"/>
      <c r="C872" s="41"/>
      <c r="D872" s="41"/>
      <c r="E872" s="41"/>
      <c r="F872" s="41"/>
      <c r="G872" s="41"/>
    </row>
    <row r="873">
      <c r="A873" s="40"/>
      <c r="B873" s="41"/>
      <c r="C873" s="41"/>
      <c r="D873" s="41"/>
      <c r="E873" s="41"/>
      <c r="F873" s="41"/>
      <c r="G873" s="41"/>
    </row>
    <row r="874">
      <c r="A874" s="40"/>
      <c r="B874" s="41"/>
      <c r="C874" s="41"/>
      <c r="D874" s="41"/>
      <c r="E874" s="41"/>
      <c r="F874" s="41"/>
      <c r="G874" s="41"/>
    </row>
    <row r="875">
      <c r="A875" s="40"/>
      <c r="B875" s="41"/>
      <c r="C875" s="41"/>
      <c r="D875" s="41"/>
      <c r="E875" s="41"/>
      <c r="F875" s="41"/>
      <c r="G875" s="41"/>
    </row>
    <row r="876">
      <c r="A876" s="40"/>
      <c r="B876" s="41"/>
      <c r="C876" s="41"/>
      <c r="D876" s="41"/>
      <c r="E876" s="41"/>
      <c r="F876" s="41"/>
      <c r="G876" s="41"/>
    </row>
    <row r="877">
      <c r="A877" s="40"/>
      <c r="B877" s="41"/>
      <c r="C877" s="41"/>
      <c r="D877" s="41"/>
      <c r="E877" s="41"/>
      <c r="F877" s="41"/>
      <c r="G877" s="41"/>
    </row>
    <row r="878">
      <c r="A878" s="40"/>
      <c r="B878" s="41"/>
      <c r="C878" s="41"/>
      <c r="D878" s="41"/>
      <c r="E878" s="41"/>
      <c r="F878" s="41"/>
      <c r="G878" s="41"/>
    </row>
    <row r="879">
      <c r="A879" s="40"/>
      <c r="B879" s="41"/>
      <c r="C879" s="41"/>
      <c r="D879" s="41"/>
      <c r="E879" s="41"/>
      <c r="F879" s="41"/>
      <c r="G879" s="41"/>
    </row>
    <row r="880">
      <c r="A880" s="40"/>
      <c r="B880" s="41"/>
      <c r="C880" s="41"/>
      <c r="D880" s="41"/>
      <c r="E880" s="41"/>
      <c r="F880" s="41"/>
      <c r="G880" s="41"/>
    </row>
    <row r="881">
      <c r="A881" s="40"/>
      <c r="B881" s="41"/>
      <c r="C881" s="41"/>
      <c r="D881" s="41"/>
      <c r="E881" s="41"/>
      <c r="F881" s="41"/>
      <c r="G881" s="41"/>
    </row>
    <row r="882">
      <c r="A882" s="40"/>
      <c r="B882" s="41"/>
      <c r="C882" s="41"/>
      <c r="D882" s="41"/>
      <c r="E882" s="41"/>
      <c r="F882" s="41"/>
      <c r="G882" s="41"/>
    </row>
    <row r="883">
      <c r="A883" s="40"/>
      <c r="B883" s="41"/>
      <c r="C883" s="41"/>
      <c r="D883" s="41"/>
      <c r="E883" s="41"/>
      <c r="F883" s="41"/>
      <c r="G883" s="41"/>
    </row>
    <row r="884">
      <c r="A884" s="40"/>
      <c r="B884" s="41"/>
      <c r="C884" s="41"/>
      <c r="D884" s="41"/>
      <c r="E884" s="41"/>
      <c r="F884" s="41"/>
      <c r="G884" s="41"/>
    </row>
    <row r="885">
      <c r="A885" s="40"/>
      <c r="B885" s="41"/>
      <c r="C885" s="41"/>
      <c r="D885" s="41"/>
      <c r="E885" s="41"/>
      <c r="F885" s="41"/>
      <c r="G885" s="41"/>
    </row>
    <row r="886">
      <c r="A886" s="40"/>
      <c r="B886" s="41"/>
      <c r="C886" s="41"/>
      <c r="D886" s="41"/>
      <c r="E886" s="41"/>
      <c r="F886" s="41"/>
      <c r="G886" s="41"/>
    </row>
    <row r="887">
      <c r="A887" s="40"/>
      <c r="B887" s="41"/>
      <c r="C887" s="41"/>
      <c r="D887" s="41"/>
      <c r="E887" s="41"/>
      <c r="F887" s="41"/>
      <c r="G887" s="41"/>
    </row>
    <row r="888">
      <c r="A888" s="40"/>
      <c r="B888" s="41"/>
      <c r="C888" s="41"/>
      <c r="D888" s="41"/>
      <c r="E888" s="41"/>
      <c r="F888" s="41"/>
      <c r="G888" s="41"/>
    </row>
    <row r="889">
      <c r="A889" s="40"/>
      <c r="B889" s="41"/>
      <c r="C889" s="41"/>
      <c r="D889" s="41"/>
      <c r="E889" s="41"/>
      <c r="F889" s="41"/>
      <c r="G889" s="41"/>
    </row>
    <row r="890">
      <c r="A890" s="40"/>
      <c r="B890" s="41"/>
      <c r="C890" s="41"/>
      <c r="D890" s="41"/>
      <c r="E890" s="41"/>
      <c r="F890" s="41"/>
      <c r="G890" s="41"/>
    </row>
    <row r="891">
      <c r="A891" s="40"/>
      <c r="B891" s="41"/>
      <c r="C891" s="41"/>
      <c r="D891" s="41"/>
      <c r="E891" s="41"/>
      <c r="F891" s="41"/>
      <c r="G891" s="41"/>
    </row>
    <row r="892">
      <c r="A892" s="40"/>
      <c r="B892" s="41"/>
      <c r="C892" s="41"/>
      <c r="D892" s="41"/>
      <c r="E892" s="41"/>
      <c r="F892" s="41"/>
      <c r="G892" s="41"/>
    </row>
    <row r="893">
      <c r="A893" s="40"/>
      <c r="B893" s="41"/>
      <c r="C893" s="41"/>
      <c r="D893" s="41"/>
      <c r="E893" s="41"/>
      <c r="F893" s="41"/>
      <c r="G893" s="41"/>
    </row>
    <row r="894">
      <c r="A894" s="40"/>
      <c r="B894" s="41"/>
      <c r="C894" s="41"/>
      <c r="D894" s="41"/>
      <c r="E894" s="41"/>
      <c r="F894" s="41"/>
      <c r="G894" s="41"/>
    </row>
    <row r="895">
      <c r="A895" s="40"/>
      <c r="B895" s="41"/>
      <c r="C895" s="41"/>
      <c r="D895" s="41"/>
      <c r="E895" s="41"/>
      <c r="F895" s="41"/>
      <c r="G895" s="41"/>
    </row>
    <row r="896">
      <c r="A896" s="40"/>
      <c r="B896" s="41"/>
      <c r="C896" s="41"/>
      <c r="D896" s="41"/>
      <c r="E896" s="41"/>
      <c r="F896" s="41"/>
      <c r="G896" s="41"/>
    </row>
    <row r="897">
      <c r="A897" s="40"/>
      <c r="B897" s="41"/>
      <c r="C897" s="41"/>
      <c r="D897" s="41"/>
      <c r="E897" s="41"/>
      <c r="F897" s="41"/>
      <c r="G897" s="41"/>
    </row>
    <row r="898">
      <c r="A898" s="40"/>
      <c r="B898" s="41"/>
      <c r="C898" s="41"/>
      <c r="D898" s="41"/>
      <c r="E898" s="41"/>
      <c r="F898" s="41"/>
      <c r="G898" s="41"/>
    </row>
    <row r="899">
      <c r="A899" s="40"/>
      <c r="B899" s="41"/>
      <c r="C899" s="41"/>
      <c r="D899" s="41"/>
      <c r="E899" s="41"/>
      <c r="F899" s="41"/>
      <c r="G899" s="41"/>
    </row>
    <row r="900">
      <c r="A900" s="40"/>
      <c r="B900" s="41"/>
      <c r="C900" s="41"/>
      <c r="D900" s="41"/>
      <c r="E900" s="41"/>
      <c r="F900" s="41"/>
      <c r="G900" s="41"/>
    </row>
    <row r="901">
      <c r="A901" s="40"/>
      <c r="B901" s="41"/>
      <c r="C901" s="41"/>
      <c r="D901" s="41"/>
      <c r="E901" s="41"/>
      <c r="F901" s="41"/>
      <c r="G901" s="41"/>
    </row>
    <row r="902">
      <c r="A902" s="40"/>
      <c r="B902" s="41"/>
      <c r="C902" s="41"/>
      <c r="D902" s="41"/>
      <c r="E902" s="41"/>
      <c r="F902" s="41"/>
      <c r="G902" s="41"/>
    </row>
    <row r="903">
      <c r="A903" s="40"/>
      <c r="B903" s="41"/>
      <c r="C903" s="41"/>
      <c r="D903" s="41"/>
      <c r="E903" s="41"/>
      <c r="F903" s="41"/>
      <c r="G903" s="41"/>
    </row>
    <row r="904">
      <c r="A904" s="40"/>
      <c r="B904" s="41"/>
      <c r="C904" s="41"/>
      <c r="D904" s="41"/>
      <c r="E904" s="41"/>
      <c r="F904" s="41"/>
      <c r="G904" s="41"/>
    </row>
    <row r="905">
      <c r="A905" s="40"/>
      <c r="B905" s="41"/>
      <c r="C905" s="41"/>
      <c r="D905" s="41"/>
      <c r="E905" s="41"/>
      <c r="F905" s="41"/>
      <c r="G905" s="41"/>
    </row>
    <row r="906">
      <c r="A906" s="40"/>
      <c r="B906" s="41"/>
      <c r="C906" s="41"/>
      <c r="D906" s="41"/>
      <c r="E906" s="41"/>
      <c r="F906" s="41"/>
      <c r="G906" s="41"/>
    </row>
    <row r="907">
      <c r="A907" s="40"/>
      <c r="B907" s="41"/>
      <c r="C907" s="41"/>
      <c r="D907" s="41"/>
      <c r="E907" s="41"/>
      <c r="F907" s="41"/>
      <c r="G907" s="41"/>
    </row>
    <row r="908">
      <c r="A908" s="40"/>
      <c r="B908" s="41"/>
      <c r="C908" s="41"/>
      <c r="D908" s="41"/>
      <c r="E908" s="41"/>
      <c r="F908" s="41"/>
      <c r="G908" s="41"/>
    </row>
    <row r="909">
      <c r="A909" s="40"/>
      <c r="B909" s="41"/>
      <c r="C909" s="41"/>
      <c r="D909" s="41"/>
      <c r="E909" s="41"/>
      <c r="F909" s="41"/>
      <c r="G909" s="41"/>
    </row>
    <row r="910">
      <c r="A910" s="40"/>
      <c r="B910" s="41"/>
      <c r="C910" s="41"/>
      <c r="D910" s="41"/>
      <c r="E910" s="41"/>
      <c r="F910" s="41"/>
      <c r="G910" s="41"/>
    </row>
    <row r="911">
      <c r="A911" s="40"/>
      <c r="B911" s="41"/>
      <c r="C911" s="41"/>
      <c r="D911" s="41"/>
      <c r="E911" s="41"/>
      <c r="F911" s="41"/>
      <c r="G911" s="41"/>
    </row>
    <row r="912">
      <c r="A912" s="40"/>
      <c r="B912" s="41"/>
      <c r="C912" s="41"/>
      <c r="D912" s="41"/>
      <c r="E912" s="41"/>
      <c r="F912" s="41"/>
      <c r="G912" s="41"/>
    </row>
    <row r="913">
      <c r="A913" s="40"/>
      <c r="B913" s="41"/>
      <c r="C913" s="41"/>
      <c r="D913" s="41"/>
      <c r="E913" s="41"/>
      <c r="F913" s="41"/>
      <c r="G913" s="41"/>
    </row>
    <row r="914">
      <c r="A914" s="40"/>
      <c r="B914" s="41"/>
      <c r="C914" s="41"/>
      <c r="D914" s="41"/>
      <c r="E914" s="41"/>
      <c r="F914" s="41"/>
      <c r="G914" s="41"/>
    </row>
    <row r="915">
      <c r="A915" s="40"/>
      <c r="B915" s="41"/>
      <c r="C915" s="41"/>
      <c r="D915" s="41"/>
      <c r="E915" s="41"/>
      <c r="F915" s="41"/>
      <c r="G915" s="41"/>
    </row>
    <row r="916">
      <c r="A916" s="40"/>
      <c r="B916" s="41"/>
      <c r="C916" s="41"/>
      <c r="D916" s="41"/>
      <c r="E916" s="41"/>
      <c r="F916" s="41"/>
      <c r="G916" s="41"/>
    </row>
    <row r="917">
      <c r="A917" s="40"/>
      <c r="B917" s="41"/>
      <c r="C917" s="41"/>
      <c r="D917" s="41"/>
      <c r="E917" s="41"/>
      <c r="F917" s="41"/>
      <c r="G917" s="41"/>
    </row>
    <row r="918">
      <c r="A918" s="40"/>
      <c r="B918" s="41"/>
      <c r="C918" s="41"/>
      <c r="D918" s="41"/>
      <c r="E918" s="41"/>
      <c r="F918" s="41"/>
      <c r="G918" s="41"/>
    </row>
    <row r="919">
      <c r="A919" s="40"/>
      <c r="B919" s="41"/>
      <c r="C919" s="41"/>
      <c r="D919" s="41"/>
      <c r="E919" s="41"/>
      <c r="F919" s="41"/>
      <c r="G919" s="41"/>
    </row>
    <row r="920">
      <c r="A920" s="40"/>
      <c r="B920" s="41"/>
      <c r="C920" s="41"/>
      <c r="D920" s="41"/>
      <c r="E920" s="41"/>
      <c r="F920" s="41"/>
      <c r="G920" s="41"/>
    </row>
    <row r="921">
      <c r="A921" s="40"/>
      <c r="B921" s="41"/>
      <c r="C921" s="41"/>
      <c r="D921" s="41"/>
      <c r="E921" s="41"/>
      <c r="F921" s="41"/>
      <c r="G921" s="41"/>
    </row>
    <row r="922">
      <c r="A922" s="40"/>
      <c r="B922" s="41"/>
      <c r="C922" s="41"/>
      <c r="D922" s="41"/>
      <c r="E922" s="41"/>
      <c r="F922" s="41"/>
      <c r="G922" s="41"/>
    </row>
    <row r="923">
      <c r="A923" s="40"/>
      <c r="B923" s="41"/>
      <c r="C923" s="41"/>
      <c r="D923" s="41"/>
      <c r="E923" s="41"/>
      <c r="F923" s="41"/>
      <c r="G923" s="41"/>
    </row>
    <row r="924">
      <c r="A924" s="40"/>
      <c r="B924" s="41"/>
      <c r="C924" s="41"/>
      <c r="D924" s="41"/>
      <c r="E924" s="41"/>
      <c r="F924" s="41"/>
      <c r="G924" s="41"/>
    </row>
    <row r="925">
      <c r="A925" s="40"/>
      <c r="B925" s="41"/>
      <c r="C925" s="41"/>
      <c r="D925" s="41"/>
      <c r="E925" s="41"/>
      <c r="F925" s="41"/>
      <c r="G925" s="41"/>
    </row>
    <row r="926">
      <c r="A926" s="40"/>
      <c r="B926" s="41"/>
      <c r="C926" s="41"/>
      <c r="D926" s="41"/>
      <c r="E926" s="41"/>
      <c r="F926" s="41"/>
      <c r="G926" s="41"/>
    </row>
    <row r="927">
      <c r="A927" s="40"/>
      <c r="B927" s="41"/>
      <c r="C927" s="41"/>
      <c r="D927" s="41"/>
      <c r="E927" s="41"/>
      <c r="F927" s="41"/>
      <c r="G927" s="41"/>
    </row>
    <row r="928">
      <c r="A928" s="40"/>
      <c r="B928" s="41"/>
      <c r="C928" s="41"/>
      <c r="D928" s="41"/>
      <c r="E928" s="41"/>
      <c r="F928" s="41"/>
      <c r="G928" s="41"/>
    </row>
    <row r="929">
      <c r="A929" s="40"/>
      <c r="B929" s="41"/>
      <c r="C929" s="41"/>
      <c r="D929" s="41"/>
      <c r="E929" s="41"/>
      <c r="F929" s="41"/>
      <c r="G929" s="41"/>
    </row>
    <row r="930">
      <c r="A930" s="40"/>
      <c r="B930" s="41"/>
      <c r="C930" s="41"/>
      <c r="D930" s="41"/>
      <c r="E930" s="41"/>
      <c r="F930" s="41"/>
      <c r="G930" s="41"/>
    </row>
    <row r="931">
      <c r="A931" s="40"/>
      <c r="B931" s="41"/>
      <c r="C931" s="41"/>
      <c r="D931" s="41"/>
      <c r="E931" s="41"/>
      <c r="F931" s="41"/>
      <c r="G931" s="41"/>
    </row>
    <row r="932">
      <c r="A932" s="40"/>
      <c r="B932" s="41"/>
      <c r="C932" s="41"/>
      <c r="D932" s="41"/>
      <c r="E932" s="41"/>
      <c r="F932" s="41"/>
      <c r="G932" s="41"/>
    </row>
    <row r="933">
      <c r="A933" s="40"/>
      <c r="B933" s="41"/>
      <c r="C933" s="41"/>
      <c r="D933" s="41"/>
      <c r="E933" s="41"/>
      <c r="F933" s="41"/>
      <c r="G933" s="41"/>
    </row>
    <row r="934">
      <c r="A934" s="40"/>
      <c r="B934" s="41"/>
      <c r="C934" s="41"/>
      <c r="D934" s="41"/>
      <c r="E934" s="41"/>
      <c r="F934" s="41"/>
      <c r="G934" s="41"/>
    </row>
    <row r="935">
      <c r="A935" s="40"/>
      <c r="B935" s="41"/>
      <c r="C935" s="41"/>
      <c r="D935" s="41"/>
      <c r="E935" s="41"/>
      <c r="F935" s="41"/>
      <c r="G935" s="41"/>
    </row>
    <row r="936">
      <c r="A936" s="40"/>
      <c r="B936" s="41"/>
      <c r="C936" s="41"/>
      <c r="D936" s="41"/>
      <c r="E936" s="41"/>
      <c r="F936" s="41"/>
      <c r="G936" s="41"/>
    </row>
    <row r="937">
      <c r="A937" s="40"/>
      <c r="B937" s="41"/>
      <c r="C937" s="41"/>
      <c r="D937" s="41"/>
      <c r="E937" s="41"/>
      <c r="F937" s="41"/>
      <c r="G937" s="41"/>
    </row>
    <row r="938">
      <c r="A938" s="40"/>
      <c r="B938" s="41"/>
      <c r="C938" s="41"/>
      <c r="D938" s="41"/>
      <c r="E938" s="41"/>
      <c r="F938" s="41"/>
      <c r="G938" s="41"/>
    </row>
    <row r="939">
      <c r="A939" s="40"/>
      <c r="B939" s="41"/>
      <c r="C939" s="41"/>
      <c r="D939" s="41"/>
      <c r="E939" s="41"/>
      <c r="F939" s="41"/>
      <c r="G939" s="41"/>
    </row>
    <row r="940">
      <c r="A940" s="40"/>
      <c r="B940" s="41"/>
      <c r="C940" s="41"/>
      <c r="D940" s="41"/>
      <c r="E940" s="41"/>
      <c r="F940" s="41"/>
      <c r="G940" s="41"/>
    </row>
    <row r="941">
      <c r="A941" s="40"/>
      <c r="B941" s="41"/>
      <c r="C941" s="41"/>
      <c r="D941" s="41"/>
      <c r="E941" s="41"/>
      <c r="F941" s="41"/>
      <c r="G941" s="41"/>
    </row>
    <row r="942">
      <c r="A942" s="40"/>
      <c r="B942" s="41"/>
      <c r="C942" s="41"/>
      <c r="D942" s="41"/>
      <c r="E942" s="41"/>
      <c r="F942" s="41"/>
      <c r="G942" s="41"/>
    </row>
    <row r="943">
      <c r="A943" s="40"/>
      <c r="B943" s="41"/>
      <c r="C943" s="41"/>
      <c r="D943" s="41"/>
      <c r="E943" s="41"/>
      <c r="F943" s="41"/>
      <c r="G943" s="41"/>
    </row>
    <row r="944">
      <c r="A944" s="40"/>
      <c r="B944" s="41"/>
      <c r="C944" s="41"/>
      <c r="D944" s="41"/>
      <c r="E944" s="41"/>
      <c r="F944" s="41"/>
      <c r="G944" s="41"/>
    </row>
    <row r="945">
      <c r="A945" s="40"/>
      <c r="B945" s="41"/>
      <c r="C945" s="41"/>
      <c r="D945" s="41"/>
      <c r="E945" s="41"/>
      <c r="F945" s="41"/>
      <c r="G945" s="41"/>
    </row>
    <row r="946">
      <c r="A946" s="40"/>
      <c r="B946" s="41"/>
      <c r="C946" s="41"/>
      <c r="D946" s="41"/>
      <c r="E946" s="41"/>
      <c r="F946" s="41"/>
      <c r="G946" s="41"/>
    </row>
    <row r="947">
      <c r="A947" s="40"/>
      <c r="B947" s="41"/>
      <c r="C947" s="41"/>
      <c r="D947" s="41"/>
      <c r="E947" s="41"/>
      <c r="F947" s="41"/>
      <c r="G947" s="41"/>
    </row>
    <row r="948">
      <c r="A948" s="40"/>
      <c r="B948" s="41"/>
      <c r="C948" s="41"/>
      <c r="D948" s="41"/>
      <c r="E948" s="41"/>
      <c r="F948" s="41"/>
      <c r="G948" s="41"/>
    </row>
    <row r="949">
      <c r="A949" s="40"/>
      <c r="B949" s="41"/>
      <c r="C949" s="41"/>
      <c r="D949" s="41"/>
      <c r="E949" s="41"/>
      <c r="F949" s="41"/>
      <c r="G949" s="41"/>
    </row>
    <row r="950">
      <c r="A950" s="40"/>
      <c r="B950" s="41"/>
      <c r="C950" s="41"/>
      <c r="D950" s="41"/>
      <c r="E950" s="41"/>
      <c r="F950" s="41"/>
      <c r="G950" s="41"/>
    </row>
    <row r="951">
      <c r="A951" s="40"/>
      <c r="B951" s="41"/>
      <c r="C951" s="41"/>
      <c r="D951" s="41"/>
      <c r="E951" s="41"/>
      <c r="F951" s="41"/>
      <c r="G951" s="41"/>
    </row>
    <row r="952">
      <c r="A952" s="40"/>
      <c r="B952" s="41"/>
      <c r="C952" s="41"/>
      <c r="D952" s="41"/>
      <c r="E952" s="41"/>
      <c r="F952" s="41"/>
      <c r="G952" s="41"/>
    </row>
    <row r="953">
      <c r="A953" s="40"/>
      <c r="B953" s="41"/>
      <c r="C953" s="41"/>
      <c r="D953" s="41"/>
      <c r="E953" s="41"/>
      <c r="F953" s="41"/>
      <c r="G953" s="41"/>
    </row>
    <row r="954">
      <c r="A954" s="40"/>
      <c r="B954" s="41"/>
      <c r="C954" s="41"/>
      <c r="D954" s="41"/>
      <c r="E954" s="41"/>
      <c r="F954" s="41"/>
      <c r="G954" s="41"/>
    </row>
    <row r="955">
      <c r="A955" s="40"/>
      <c r="B955" s="41"/>
      <c r="C955" s="41"/>
      <c r="D955" s="41"/>
      <c r="E955" s="41"/>
      <c r="F955" s="41"/>
      <c r="G955" s="41"/>
    </row>
    <row r="956">
      <c r="A956" s="40"/>
      <c r="B956" s="41"/>
      <c r="C956" s="41"/>
      <c r="D956" s="41"/>
      <c r="E956" s="41"/>
      <c r="F956" s="41"/>
      <c r="G956" s="41"/>
    </row>
    <row r="957">
      <c r="A957" s="40"/>
      <c r="B957" s="41"/>
      <c r="C957" s="41"/>
      <c r="D957" s="41"/>
      <c r="E957" s="41"/>
      <c r="F957" s="41"/>
      <c r="G957" s="41"/>
    </row>
    <row r="958">
      <c r="A958" s="40"/>
      <c r="B958" s="41"/>
      <c r="C958" s="41"/>
      <c r="D958" s="41"/>
      <c r="E958" s="41"/>
      <c r="F958" s="41"/>
      <c r="G958" s="41"/>
    </row>
    <row r="959">
      <c r="A959" s="40"/>
      <c r="B959" s="41"/>
      <c r="C959" s="41"/>
      <c r="D959" s="41"/>
      <c r="E959" s="41"/>
      <c r="F959" s="41"/>
      <c r="G959" s="41"/>
    </row>
    <row r="960">
      <c r="A960" s="40"/>
      <c r="B960" s="41"/>
      <c r="C960" s="41"/>
      <c r="D960" s="41"/>
      <c r="E960" s="41"/>
      <c r="F960" s="41"/>
      <c r="G960" s="41"/>
    </row>
    <row r="961">
      <c r="A961" s="40"/>
      <c r="B961" s="41"/>
      <c r="C961" s="41"/>
      <c r="D961" s="41"/>
      <c r="E961" s="41"/>
      <c r="F961" s="41"/>
      <c r="G961" s="41"/>
    </row>
    <row r="962">
      <c r="A962" s="40"/>
      <c r="B962" s="41"/>
      <c r="C962" s="41"/>
      <c r="D962" s="41"/>
      <c r="E962" s="41"/>
      <c r="F962" s="41"/>
      <c r="G962" s="41"/>
    </row>
    <row r="963">
      <c r="A963" s="40"/>
      <c r="B963" s="41"/>
      <c r="C963" s="41"/>
      <c r="D963" s="41"/>
      <c r="E963" s="41"/>
      <c r="F963" s="41"/>
      <c r="G963" s="41"/>
    </row>
    <row r="964">
      <c r="A964" s="40"/>
      <c r="B964" s="41"/>
      <c r="C964" s="41"/>
      <c r="D964" s="41"/>
      <c r="E964" s="41"/>
      <c r="F964" s="41"/>
      <c r="G964" s="41"/>
    </row>
    <row r="965">
      <c r="A965" s="40"/>
      <c r="B965" s="41"/>
      <c r="C965" s="41"/>
      <c r="D965" s="41"/>
      <c r="E965" s="41"/>
      <c r="F965" s="41"/>
      <c r="G965" s="41"/>
    </row>
    <row r="966">
      <c r="A966" s="40"/>
      <c r="B966" s="41"/>
      <c r="C966" s="41"/>
      <c r="D966" s="41"/>
      <c r="E966" s="41"/>
      <c r="F966" s="41"/>
      <c r="G966" s="41"/>
    </row>
    <row r="967">
      <c r="A967" s="40"/>
      <c r="B967" s="41"/>
      <c r="C967" s="41"/>
      <c r="D967" s="41"/>
      <c r="E967" s="41"/>
      <c r="F967" s="41"/>
      <c r="G967" s="41"/>
    </row>
    <row r="968">
      <c r="A968" s="40"/>
      <c r="B968" s="41"/>
      <c r="C968" s="41"/>
      <c r="D968" s="41"/>
      <c r="E968" s="41"/>
      <c r="F968" s="41"/>
      <c r="G968" s="41"/>
    </row>
    <row r="969">
      <c r="A969" s="40"/>
      <c r="B969" s="41"/>
      <c r="C969" s="41"/>
      <c r="D969" s="41"/>
      <c r="E969" s="41"/>
      <c r="F969" s="41"/>
      <c r="G969" s="41"/>
    </row>
    <row r="970">
      <c r="A970" s="40"/>
      <c r="B970" s="41"/>
      <c r="C970" s="41"/>
      <c r="D970" s="41"/>
      <c r="E970" s="41"/>
      <c r="F970" s="41"/>
      <c r="G970" s="41"/>
    </row>
    <row r="971">
      <c r="A971" s="40"/>
      <c r="B971" s="41"/>
      <c r="C971" s="41"/>
      <c r="D971" s="41"/>
      <c r="E971" s="41"/>
      <c r="F971" s="41"/>
      <c r="G971" s="41"/>
    </row>
    <row r="972">
      <c r="A972" s="40"/>
      <c r="B972" s="41"/>
      <c r="C972" s="41"/>
      <c r="D972" s="41"/>
      <c r="E972" s="41"/>
      <c r="F972" s="41"/>
      <c r="G972" s="41"/>
    </row>
    <row r="973">
      <c r="A973" s="40"/>
      <c r="B973" s="41"/>
      <c r="C973" s="41"/>
      <c r="D973" s="41"/>
      <c r="E973" s="41"/>
      <c r="F973" s="41"/>
      <c r="G973" s="41"/>
    </row>
    <row r="974">
      <c r="A974" s="40"/>
      <c r="B974" s="41"/>
      <c r="C974" s="41"/>
      <c r="D974" s="41"/>
      <c r="E974" s="41"/>
      <c r="F974" s="41"/>
      <c r="G974" s="41"/>
    </row>
    <row r="975">
      <c r="A975" s="40"/>
      <c r="B975" s="41"/>
      <c r="C975" s="41"/>
      <c r="D975" s="41"/>
      <c r="E975" s="41"/>
      <c r="F975" s="41"/>
      <c r="G975" s="41"/>
    </row>
    <row r="976">
      <c r="A976" s="40"/>
      <c r="B976" s="41"/>
      <c r="C976" s="41"/>
      <c r="D976" s="41"/>
      <c r="E976" s="41"/>
      <c r="F976" s="41"/>
      <c r="G976" s="41"/>
    </row>
    <row r="977">
      <c r="A977" s="40"/>
      <c r="B977" s="41"/>
      <c r="C977" s="41"/>
      <c r="D977" s="41"/>
      <c r="E977" s="41"/>
      <c r="F977" s="41"/>
      <c r="G977" s="41"/>
    </row>
    <row r="978">
      <c r="A978" s="40"/>
      <c r="B978" s="41"/>
      <c r="C978" s="41"/>
      <c r="D978" s="41"/>
      <c r="E978" s="41"/>
      <c r="F978" s="41"/>
      <c r="G978" s="41"/>
    </row>
    <row r="979">
      <c r="A979" s="40"/>
      <c r="B979" s="41"/>
      <c r="C979" s="41"/>
      <c r="D979" s="41"/>
      <c r="E979" s="41"/>
      <c r="F979" s="41"/>
      <c r="G979" s="41"/>
    </row>
    <row r="980">
      <c r="A980" s="40"/>
      <c r="B980" s="41"/>
      <c r="C980" s="41"/>
      <c r="D980" s="41"/>
      <c r="E980" s="41"/>
      <c r="F980" s="41"/>
      <c r="G980" s="41"/>
    </row>
    <row r="981">
      <c r="A981" s="40"/>
      <c r="B981" s="41"/>
      <c r="C981" s="41"/>
      <c r="D981" s="41"/>
      <c r="E981" s="41"/>
      <c r="F981" s="41"/>
      <c r="G981" s="41"/>
    </row>
    <row r="982">
      <c r="A982" s="40"/>
      <c r="B982" s="41"/>
      <c r="C982" s="41"/>
      <c r="D982" s="41"/>
      <c r="E982" s="41"/>
      <c r="F982" s="41"/>
      <c r="G982" s="41"/>
    </row>
    <row r="983">
      <c r="A983" s="40"/>
      <c r="B983" s="41"/>
      <c r="C983" s="41"/>
      <c r="D983" s="41"/>
      <c r="E983" s="41"/>
      <c r="F983" s="41"/>
      <c r="G983" s="41"/>
    </row>
    <row r="984">
      <c r="A984" s="40"/>
      <c r="B984" s="41"/>
      <c r="C984" s="41"/>
      <c r="D984" s="41"/>
      <c r="E984" s="41"/>
      <c r="F984" s="41"/>
      <c r="G984" s="41"/>
    </row>
    <row r="985">
      <c r="A985" s="40"/>
      <c r="B985" s="41"/>
      <c r="C985" s="41"/>
      <c r="D985" s="41"/>
      <c r="E985" s="41"/>
      <c r="F985" s="41"/>
      <c r="G985" s="41"/>
    </row>
    <row r="986">
      <c r="A986" s="40"/>
      <c r="B986" s="41"/>
      <c r="C986" s="41"/>
      <c r="D986" s="41"/>
      <c r="E986" s="41"/>
      <c r="F986" s="41"/>
      <c r="G986" s="41"/>
    </row>
    <row r="987">
      <c r="A987" s="40"/>
      <c r="B987" s="41"/>
      <c r="C987" s="41"/>
      <c r="D987" s="41"/>
      <c r="E987" s="41"/>
      <c r="F987" s="41"/>
      <c r="G987" s="41"/>
    </row>
    <row r="988">
      <c r="A988" s="40"/>
      <c r="B988" s="41"/>
      <c r="C988" s="41"/>
      <c r="D988" s="41"/>
      <c r="E988" s="41"/>
      <c r="F988" s="41"/>
      <c r="G988" s="41"/>
    </row>
    <row r="989">
      <c r="A989" s="40"/>
      <c r="B989" s="41"/>
      <c r="C989" s="41"/>
      <c r="D989" s="41"/>
      <c r="E989" s="41"/>
      <c r="F989" s="41"/>
      <c r="G989" s="41"/>
    </row>
    <row r="990">
      <c r="A990" s="40"/>
      <c r="B990" s="41"/>
      <c r="C990" s="41"/>
      <c r="D990" s="41"/>
      <c r="E990" s="41"/>
      <c r="F990" s="41"/>
      <c r="G990" s="41"/>
    </row>
    <row r="991">
      <c r="A991" s="40"/>
      <c r="B991" s="41"/>
      <c r="C991" s="41"/>
      <c r="D991" s="41"/>
      <c r="E991" s="41"/>
      <c r="F991" s="41"/>
      <c r="G991" s="41"/>
    </row>
    <row r="992">
      <c r="A992" s="40"/>
      <c r="B992" s="41"/>
      <c r="C992" s="41"/>
      <c r="D992" s="41"/>
      <c r="E992" s="41"/>
      <c r="F992" s="41"/>
      <c r="G992" s="41"/>
    </row>
    <row r="993">
      <c r="A993" s="40"/>
      <c r="B993" s="41"/>
      <c r="C993" s="41"/>
      <c r="D993" s="41"/>
      <c r="E993" s="41"/>
      <c r="F993" s="41"/>
      <c r="G993" s="41"/>
    </row>
    <row r="994">
      <c r="A994" s="40"/>
      <c r="B994" s="41"/>
      <c r="C994" s="41"/>
      <c r="D994" s="41"/>
      <c r="E994" s="41"/>
      <c r="F994" s="41"/>
      <c r="G994" s="41"/>
    </row>
    <row r="995">
      <c r="A995" s="40"/>
      <c r="B995" s="41"/>
      <c r="C995" s="41"/>
      <c r="D995" s="41"/>
      <c r="E995" s="41"/>
      <c r="F995" s="41"/>
      <c r="G995" s="41"/>
    </row>
    <row r="996">
      <c r="A996" s="40"/>
      <c r="B996" s="41"/>
      <c r="C996" s="41"/>
      <c r="D996" s="41"/>
      <c r="E996" s="41"/>
      <c r="F996" s="41"/>
      <c r="G996" s="41"/>
    </row>
    <row r="997">
      <c r="A997" s="40"/>
      <c r="B997" s="41"/>
      <c r="C997" s="41"/>
      <c r="D997" s="41"/>
      <c r="E997" s="41"/>
      <c r="F997" s="41"/>
      <c r="G997" s="41"/>
    </row>
    <row r="998">
      <c r="A998" s="40"/>
      <c r="B998" s="41"/>
      <c r="C998" s="41"/>
      <c r="D998" s="41"/>
      <c r="E998" s="41"/>
      <c r="F998" s="41"/>
      <c r="G998" s="41"/>
    </row>
    <row r="999">
      <c r="A999" s="40"/>
      <c r="B999" s="41"/>
      <c r="C999" s="41"/>
      <c r="D999" s="41"/>
      <c r="E999" s="41"/>
      <c r="F999" s="41"/>
      <c r="G999" s="41"/>
    </row>
    <row r="1000">
      <c r="A1000" s="40"/>
      <c r="B1000" s="41"/>
      <c r="C1000" s="41"/>
      <c r="D1000" s="41"/>
      <c r="E1000" s="41"/>
      <c r="F1000" s="41"/>
      <c r="G1000" s="41"/>
    </row>
    <row r="1001">
      <c r="A1001" s="40"/>
      <c r="B1001" s="41"/>
      <c r="C1001" s="41"/>
      <c r="D1001" s="41"/>
      <c r="E1001" s="41"/>
      <c r="F1001" s="41"/>
      <c r="G1001" s="41"/>
    </row>
    <row r="1002">
      <c r="A1002" s="40"/>
      <c r="B1002" s="41"/>
      <c r="C1002" s="41"/>
      <c r="D1002" s="41"/>
      <c r="E1002" s="41"/>
      <c r="F1002" s="41"/>
      <c r="G1002" s="41"/>
    </row>
    <row r="1003">
      <c r="A1003" s="40"/>
      <c r="B1003" s="41"/>
      <c r="C1003" s="41"/>
      <c r="D1003" s="41"/>
      <c r="E1003" s="41"/>
      <c r="F1003" s="41"/>
      <c r="G1003" s="41"/>
    </row>
    <row r="1004">
      <c r="A1004" s="40"/>
      <c r="B1004" s="41"/>
      <c r="C1004" s="41"/>
      <c r="D1004" s="41"/>
      <c r="E1004" s="41"/>
      <c r="F1004" s="41"/>
      <c r="G1004" s="41"/>
    </row>
    <row r="1005">
      <c r="A1005" s="40"/>
      <c r="B1005" s="41"/>
      <c r="C1005" s="41"/>
      <c r="D1005" s="41"/>
      <c r="E1005" s="41"/>
      <c r="F1005" s="41"/>
      <c r="G1005" s="41"/>
    </row>
    <row r="1006">
      <c r="A1006" s="40"/>
      <c r="B1006" s="41"/>
      <c r="C1006" s="41"/>
      <c r="D1006" s="41"/>
      <c r="E1006" s="41"/>
      <c r="F1006" s="41"/>
      <c r="G1006" s="41"/>
    </row>
    <row r="1007">
      <c r="A1007" s="40"/>
      <c r="B1007" s="41"/>
      <c r="C1007" s="41"/>
      <c r="D1007" s="41"/>
      <c r="E1007" s="41"/>
      <c r="F1007" s="41"/>
      <c r="G1007" s="41"/>
    </row>
    <row r="1008">
      <c r="A1008" s="40"/>
      <c r="B1008" s="41"/>
      <c r="C1008" s="41"/>
      <c r="D1008" s="41"/>
      <c r="E1008" s="41"/>
      <c r="F1008" s="41"/>
      <c r="G1008" s="41"/>
    </row>
    <row r="1009">
      <c r="A1009" s="40"/>
      <c r="B1009" s="41"/>
      <c r="C1009" s="41"/>
      <c r="D1009" s="41"/>
      <c r="E1009" s="41"/>
      <c r="F1009" s="41"/>
      <c r="G1009" s="41"/>
    </row>
    <row r="1010">
      <c r="A1010" s="40"/>
      <c r="B1010" s="41"/>
      <c r="C1010" s="41"/>
      <c r="D1010" s="41"/>
      <c r="E1010" s="41"/>
      <c r="F1010" s="41"/>
      <c r="G1010" s="41"/>
    </row>
    <row r="1011">
      <c r="A1011" s="40"/>
      <c r="B1011" s="41"/>
      <c r="C1011" s="41"/>
      <c r="D1011" s="41"/>
      <c r="E1011" s="41"/>
      <c r="F1011" s="41"/>
      <c r="G1011" s="41"/>
    </row>
    <row r="1012">
      <c r="A1012" s="40"/>
      <c r="B1012" s="41"/>
      <c r="C1012" s="41"/>
      <c r="D1012" s="41"/>
      <c r="E1012" s="41"/>
      <c r="F1012" s="41"/>
      <c r="G1012" s="41"/>
    </row>
    <row r="1013">
      <c r="A1013" s="40"/>
      <c r="B1013" s="41"/>
      <c r="C1013" s="41"/>
      <c r="D1013" s="41"/>
      <c r="E1013" s="41"/>
      <c r="F1013" s="41"/>
      <c r="G1013" s="41"/>
    </row>
    <row r="1014">
      <c r="A1014" s="40"/>
      <c r="B1014" s="41"/>
      <c r="C1014" s="41"/>
      <c r="D1014" s="41"/>
      <c r="E1014" s="41"/>
      <c r="F1014" s="41"/>
      <c r="G1014" s="41"/>
    </row>
    <row r="1015">
      <c r="A1015" s="40"/>
      <c r="B1015" s="41"/>
      <c r="C1015" s="41"/>
      <c r="D1015" s="41"/>
      <c r="E1015" s="41"/>
      <c r="F1015" s="41"/>
      <c r="G1015" s="41"/>
    </row>
    <row r="1016">
      <c r="A1016" s="40"/>
      <c r="B1016" s="41"/>
      <c r="C1016" s="41"/>
      <c r="D1016" s="41"/>
      <c r="E1016" s="41"/>
      <c r="F1016" s="41"/>
      <c r="G1016" s="41"/>
    </row>
    <row r="1017">
      <c r="A1017" s="40"/>
      <c r="B1017" s="41"/>
      <c r="C1017" s="41"/>
      <c r="D1017" s="41"/>
      <c r="E1017" s="41"/>
      <c r="F1017" s="41"/>
      <c r="G1017" s="41"/>
    </row>
    <row r="1018">
      <c r="A1018" s="40"/>
      <c r="B1018" s="41"/>
      <c r="C1018" s="41"/>
      <c r="D1018" s="41"/>
      <c r="E1018" s="41"/>
      <c r="F1018" s="41"/>
      <c r="G1018" s="41"/>
    </row>
    <row r="1019">
      <c r="A1019" s="40"/>
      <c r="B1019" s="41"/>
      <c r="C1019" s="41"/>
      <c r="D1019" s="41"/>
      <c r="E1019" s="41"/>
      <c r="F1019" s="41"/>
      <c r="G1019" s="41"/>
    </row>
    <row r="1020">
      <c r="A1020" s="40"/>
      <c r="B1020" s="41"/>
      <c r="C1020" s="41"/>
      <c r="D1020" s="41"/>
      <c r="E1020" s="41"/>
      <c r="F1020" s="41"/>
      <c r="G1020" s="41"/>
    </row>
    <row r="1021">
      <c r="A1021" s="40"/>
      <c r="B1021" s="41"/>
      <c r="C1021" s="41"/>
      <c r="D1021" s="41"/>
      <c r="E1021" s="41"/>
      <c r="F1021" s="41"/>
      <c r="G1021" s="41"/>
    </row>
    <row r="1022">
      <c r="A1022" s="40"/>
      <c r="B1022" s="41"/>
      <c r="C1022" s="41"/>
      <c r="D1022" s="41"/>
      <c r="E1022" s="41"/>
      <c r="F1022" s="41"/>
      <c r="G1022" s="41"/>
    </row>
    <row r="1023">
      <c r="A1023" s="40"/>
      <c r="B1023" s="41"/>
      <c r="C1023" s="41"/>
      <c r="D1023" s="41"/>
      <c r="E1023" s="41"/>
      <c r="F1023" s="41"/>
      <c r="G1023" s="41"/>
    </row>
    <row r="1024">
      <c r="A1024" s="40"/>
      <c r="B1024" s="41"/>
      <c r="C1024" s="41"/>
      <c r="D1024" s="41"/>
      <c r="E1024" s="41"/>
      <c r="F1024" s="41"/>
      <c r="G1024" s="41"/>
    </row>
    <row r="1025">
      <c r="A1025" s="40"/>
      <c r="B1025" s="41"/>
      <c r="C1025" s="41"/>
      <c r="D1025" s="41"/>
      <c r="E1025" s="41"/>
      <c r="F1025" s="41"/>
      <c r="G1025" s="41"/>
    </row>
    <row r="1026">
      <c r="A1026" s="40"/>
      <c r="B1026" s="41"/>
      <c r="C1026" s="41"/>
      <c r="D1026" s="41"/>
      <c r="E1026" s="41"/>
      <c r="F1026" s="41"/>
      <c r="G1026" s="41"/>
    </row>
    <row r="1027">
      <c r="A1027" s="40"/>
      <c r="B1027" s="41"/>
      <c r="C1027" s="41"/>
      <c r="D1027" s="41"/>
      <c r="E1027" s="41"/>
      <c r="F1027" s="41"/>
      <c r="G1027" s="41"/>
    </row>
    <row r="1028">
      <c r="A1028" s="40"/>
      <c r="B1028" s="41"/>
      <c r="C1028" s="41"/>
      <c r="D1028" s="41"/>
      <c r="E1028" s="41"/>
      <c r="F1028" s="41"/>
      <c r="G1028" s="41"/>
    </row>
    <row r="1029">
      <c r="A1029" s="40"/>
      <c r="B1029" s="41"/>
      <c r="C1029" s="41"/>
      <c r="D1029" s="41"/>
      <c r="E1029" s="41"/>
      <c r="F1029" s="41"/>
      <c r="G1029" s="41"/>
    </row>
    <row r="1030">
      <c r="A1030" s="40"/>
      <c r="B1030" s="41"/>
      <c r="C1030" s="41"/>
      <c r="D1030" s="41"/>
      <c r="E1030" s="41"/>
      <c r="F1030" s="41"/>
      <c r="G1030" s="41"/>
    </row>
    <row r="1031">
      <c r="A1031" s="40"/>
      <c r="B1031" s="41"/>
      <c r="C1031" s="41"/>
      <c r="D1031" s="41"/>
      <c r="E1031" s="41"/>
      <c r="F1031" s="41"/>
      <c r="G1031" s="41"/>
    </row>
    <row r="1032">
      <c r="A1032" s="40"/>
      <c r="B1032" s="41"/>
      <c r="C1032" s="41"/>
      <c r="D1032" s="41"/>
      <c r="E1032" s="41"/>
      <c r="F1032" s="41"/>
      <c r="G1032" s="41"/>
    </row>
    <row r="1033">
      <c r="A1033" s="40"/>
      <c r="B1033" s="41"/>
      <c r="C1033" s="41"/>
      <c r="D1033" s="41"/>
      <c r="E1033" s="41"/>
      <c r="F1033" s="41"/>
      <c r="G1033" s="41"/>
    </row>
    <row r="1034">
      <c r="A1034" s="40"/>
      <c r="B1034" s="41"/>
      <c r="C1034" s="41"/>
      <c r="D1034" s="41"/>
      <c r="E1034" s="41"/>
      <c r="F1034" s="41"/>
      <c r="G1034" s="41"/>
    </row>
    <row r="1035">
      <c r="A1035" s="40"/>
      <c r="B1035" s="41"/>
      <c r="C1035" s="41"/>
      <c r="D1035" s="41"/>
      <c r="E1035" s="41"/>
      <c r="F1035" s="41"/>
      <c r="G1035" s="41"/>
    </row>
    <row r="1036">
      <c r="A1036" s="40"/>
      <c r="B1036" s="41"/>
      <c r="C1036" s="41"/>
      <c r="D1036" s="41"/>
      <c r="E1036" s="41"/>
      <c r="F1036" s="41"/>
      <c r="G1036" s="41"/>
    </row>
    <row r="1037">
      <c r="A1037" s="40"/>
      <c r="B1037" s="41"/>
      <c r="C1037" s="41"/>
      <c r="D1037" s="41"/>
      <c r="E1037" s="41"/>
      <c r="F1037" s="41"/>
      <c r="G1037" s="41"/>
    </row>
    <row r="1038">
      <c r="A1038" s="40"/>
      <c r="B1038" s="41"/>
      <c r="C1038" s="41"/>
      <c r="D1038" s="41"/>
      <c r="E1038" s="41"/>
      <c r="F1038" s="41"/>
      <c r="G1038" s="41"/>
    </row>
    <row r="1039">
      <c r="A1039" s="40"/>
      <c r="B1039" s="41"/>
      <c r="C1039" s="41"/>
      <c r="D1039" s="41"/>
      <c r="E1039" s="41"/>
      <c r="F1039" s="41"/>
      <c r="G1039" s="41"/>
    </row>
    <row r="1040">
      <c r="A1040" s="40"/>
      <c r="B1040" s="41"/>
      <c r="C1040" s="41"/>
      <c r="D1040" s="41"/>
      <c r="E1040" s="41"/>
      <c r="F1040" s="41"/>
      <c r="G1040" s="41"/>
    </row>
    <row r="1041">
      <c r="A1041" s="40"/>
      <c r="B1041" s="41"/>
      <c r="C1041" s="41"/>
      <c r="D1041" s="41"/>
      <c r="E1041" s="41"/>
      <c r="F1041" s="41"/>
      <c r="G1041" s="41"/>
    </row>
    <row r="1042">
      <c r="A1042" s="40"/>
      <c r="B1042" s="41"/>
      <c r="C1042" s="41"/>
      <c r="D1042" s="41"/>
      <c r="E1042" s="41"/>
      <c r="F1042" s="41"/>
      <c r="G1042" s="41"/>
    </row>
    <row r="1043">
      <c r="A1043" s="40"/>
      <c r="B1043" s="41"/>
      <c r="C1043" s="41"/>
      <c r="D1043" s="41"/>
      <c r="E1043" s="41"/>
      <c r="F1043" s="41"/>
      <c r="G1043" s="41"/>
    </row>
    <row r="1044">
      <c r="A1044" s="40"/>
      <c r="B1044" s="41"/>
      <c r="C1044" s="41"/>
      <c r="D1044" s="41"/>
      <c r="E1044" s="41"/>
      <c r="F1044" s="41"/>
      <c r="G1044" s="41"/>
    </row>
    <row r="1045">
      <c r="A1045" s="40"/>
      <c r="B1045" s="41"/>
      <c r="C1045" s="41"/>
      <c r="D1045" s="41"/>
      <c r="E1045" s="41"/>
      <c r="F1045" s="41"/>
      <c r="G1045" s="41"/>
    </row>
    <row r="1046">
      <c r="A1046" s="40"/>
      <c r="B1046" s="41"/>
      <c r="C1046" s="41"/>
      <c r="D1046" s="41"/>
      <c r="E1046" s="41"/>
      <c r="F1046" s="41"/>
      <c r="G1046" s="41"/>
    </row>
    <row r="1047">
      <c r="A1047" s="40"/>
      <c r="B1047" s="41"/>
      <c r="C1047" s="41"/>
      <c r="D1047" s="41"/>
      <c r="E1047" s="41"/>
      <c r="F1047" s="41"/>
      <c r="G1047" s="41"/>
    </row>
    <row r="1048">
      <c r="A1048" s="40"/>
      <c r="B1048" s="41"/>
      <c r="C1048" s="41"/>
      <c r="D1048" s="41"/>
      <c r="E1048" s="41"/>
      <c r="F1048" s="41"/>
      <c r="G1048" s="41"/>
    </row>
    <row r="1049">
      <c r="A1049" s="40"/>
      <c r="B1049" s="41"/>
      <c r="C1049" s="41"/>
      <c r="D1049" s="41"/>
      <c r="E1049" s="41"/>
      <c r="F1049" s="41"/>
      <c r="G1049" s="41"/>
    </row>
    <row r="1050">
      <c r="A1050" s="40"/>
      <c r="B1050" s="41"/>
      <c r="C1050" s="41"/>
      <c r="D1050" s="41"/>
      <c r="E1050" s="41"/>
      <c r="F1050" s="41"/>
      <c r="G1050" s="41"/>
    </row>
    <row r="1051">
      <c r="A1051" s="40"/>
      <c r="B1051" s="41"/>
      <c r="C1051" s="41"/>
      <c r="D1051" s="41"/>
      <c r="E1051" s="41"/>
      <c r="F1051" s="41"/>
      <c r="G1051" s="41"/>
    </row>
    <row r="1052">
      <c r="A1052" s="40"/>
      <c r="B1052" s="41"/>
      <c r="C1052" s="41"/>
      <c r="D1052" s="41"/>
      <c r="E1052" s="41"/>
      <c r="F1052" s="41"/>
      <c r="G1052" s="41"/>
    </row>
    <row r="1053">
      <c r="A1053" s="40"/>
      <c r="B1053" s="41"/>
      <c r="C1053" s="41"/>
      <c r="D1053" s="41"/>
      <c r="E1053" s="41"/>
      <c r="F1053" s="41"/>
      <c r="G1053" s="41"/>
    </row>
    <row r="1054">
      <c r="A1054" s="40"/>
      <c r="B1054" s="41"/>
      <c r="C1054" s="41"/>
      <c r="D1054" s="41"/>
      <c r="E1054" s="41"/>
      <c r="F1054" s="41"/>
      <c r="G1054" s="41"/>
    </row>
    <row r="1055">
      <c r="A1055" s="40"/>
      <c r="B1055" s="41"/>
      <c r="C1055" s="41"/>
      <c r="D1055" s="41"/>
      <c r="E1055" s="41"/>
      <c r="F1055" s="41"/>
      <c r="G1055" s="41"/>
    </row>
    <row r="1056">
      <c r="A1056" s="40"/>
      <c r="B1056" s="41"/>
      <c r="C1056" s="41"/>
      <c r="D1056" s="41"/>
      <c r="E1056" s="41"/>
      <c r="F1056" s="41"/>
      <c r="G1056" s="41"/>
    </row>
    <row r="1057">
      <c r="A1057" s="40"/>
      <c r="B1057" s="41"/>
      <c r="C1057" s="41"/>
      <c r="D1057" s="41"/>
      <c r="E1057" s="41"/>
      <c r="F1057" s="41"/>
      <c r="G1057" s="41"/>
    </row>
    <row r="1058">
      <c r="A1058" s="40"/>
      <c r="B1058" s="41"/>
      <c r="C1058" s="41"/>
      <c r="D1058" s="41"/>
      <c r="E1058" s="41"/>
      <c r="F1058" s="41"/>
      <c r="G1058" s="41"/>
    </row>
    <row r="1059">
      <c r="A1059" s="40"/>
      <c r="B1059" s="41"/>
      <c r="C1059" s="41"/>
      <c r="D1059" s="41"/>
      <c r="E1059" s="41"/>
      <c r="F1059" s="41"/>
      <c r="G1059" s="41"/>
    </row>
    <row r="1060">
      <c r="A1060" s="40"/>
      <c r="B1060" s="41"/>
      <c r="C1060" s="41"/>
      <c r="D1060" s="41"/>
      <c r="E1060" s="41"/>
      <c r="F1060" s="41"/>
      <c r="G1060" s="41"/>
    </row>
    <row r="1061">
      <c r="A1061" s="40"/>
      <c r="B1061" s="41"/>
      <c r="C1061" s="41"/>
      <c r="D1061" s="41"/>
      <c r="E1061" s="41"/>
      <c r="F1061" s="41"/>
      <c r="G1061" s="41"/>
    </row>
    <row r="1062">
      <c r="A1062" s="40"/>
      <c r="B1062" s="41"/>
      <c r="C1062" s="41"/>
      <c r="D1062" s="41"/>
      <c r="E1062" s="41"/>
      <c r="F1062" s="41"/>
      <c r="G1062" s="41"/>
    </row>
    <row r="1063">
      <c r="A1063" s="40"/>
      <c r="B1063" s="41"/>
      <c r="C1063" s="41"/>
      <c r="D1063" s="41"/>
      <c r="E1063" s="41"/>
      <c r="F1063" s="41"/>
      <c r="G1063" s="41"/>
    </row>
    <row r="1064">
      <c r="A1064" s="40"/>
      <c r="B1064" s="41"/>
      <c r="C1064" s="41"/>
      <c r="D1064" s="41"/>
      <c r="E1064" s="41"/>
      <c r="F1064" s="41"/>
      <c r="G1064" s="41"/>
    </row>
    <row r="1065">
      <c r="A1065" s="40"/>
      <c r="B1065" s="41"/>
      <c r="C1065" s="41"/>
      <c r="D1065" s="41"/>
      <c r="E1065" s="41"/>
      <c r="F1065" s="41"/>
      <c r="G1065" s="41"/>
    </row>
    <row r="1066">
      <c r="A1066" s="40"/>
      <c r="B1066" s="41"/>
      <c r="C1066" s="41"/>
      <c r="D1066" s="41"/>
      <c r="E1066" s="41"/>
      <c r="F1066" s="41"/>
      <c r="G1066" s="41"/>
    </row>
    <row r="1067">
      <c r="A1067" s="40"/>
      <c r="B1067" s="41"/>
      <c r="C1067" s="41"/>
      <c r="D1067" s="41"/>
      <c r="E1067" s="41"/>
      <c r="F1067" s="41"/>
      <c r="G1067" s="41"/>
    </row>
    <row r="1068">
      <c r="A1068" s="40"/>
      <c r="B1068" s="41"/>
      <c r="C1068" s="41"/>
      <c r="D1068" s="41"/>
      <c r="E1068" s="41"/>
      <c r="F1068" s="41"/>
      <c r="G1068" s="41"/>
    </row>
    <row r="1069">
      <c r="A1069" s="40"/>
      <c r="B1069" s="41"/>
      <c r="C1069" s="41"/>
      <c r="D1069" s="41"/>
      <c r="E1069" s="41"/>
      <c r="F1069" s="41"/>
      <c r="G1069" s="41"/>
    </row>
    <row r="1070">
      <c r="A1070" s="40"/>
      <c r="B1070" s="41"/>
      <c r="C1070" s="41"/>
      <c r="D1070" s="41"/>
      <c r="E1070" s="41"/>
      <c r="F1070" s="41"/>
      <c r="G1070" s="41"/>
    </row>
    <row r="1071">
      <c r="A1071" s="40"/>
      <c r="B1071" s="41"/>
      <c r="C1071" s="41"/>
      <c r="D1071" s="41"/>
      <c r="E1071" s="41"/>
      <c r="F1071" s="41"/>
      <c r="G1071" s="41"/>
    </row>
    <row r="1072">
      <c r="A1072" s="40"/>
      <c r="B1072" s="41"/>
      <c r="C1072" s="41"/>
      <c r="D1072" s="41"/>
      <c r="E1072" s="41"/>
      <c r="F1072" s="41"/>
      <c r="G1072" s="41"/>
    </row>
    <row r="1073">
      <c r="A1073" s="40"/>
      <c r="B1073" s="41"/>
      <c r="C1073" s="41"/>
      <c r="D1073" s="41"/>
      <c r="E1073" s="41"/>
      <c r="F1073" s="41"/>
      <c r="G1073" s="41"/>
    </row>
    <row r="1074">
      <c r="A1074" s="40"/>
      <c r="B1074" s="41"/>
      <c r="C1074" s="41"/>
      <c r="D1074" s="41"/>
      <c r="E1074" s="41"/>
      <c r="F1074" s="41"/>
      <c r="G1074" s="41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0"/>
  <tableParts count="1">
    <tablePart r:id="rId4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5"/>
    <col customWidth="1" min="2" max="2" width="42.63"/>
    <col customWidth="1" min="3" max="5" width="18.13"/>
    <col customWidth="1" min="6" max="6" width="14.0"/>
    <col customWidth="1" min="7" max="8" width="15.25"/>
  </cols>
  <sheetData>
    <row r="1" ht="22.5" customHeight="1">
      <c r="A1" s="18" t="s">
        <v>1235</v>
      </c>
      <c r="B1" s="19" t="s">
        <v>6</v>
      </c>
      <c r="C1" s="42" t="s">
        <v>276</v>
      </c>
      <c r="D1" s="42" t="s">
        <v>93</v>
      </c>
      <c r="E1" s="19" t="s">
        <v>94</v>
      </c>
      <c r="F1" s="19" t="s">
        <v>95</v>
      </c>
      <c r="G1" s="19" t="s">
        <v>96</v>
      </c>
      <c r="H1" s="19" t="s">
        <v>1236</v>
      </c>
    </row>
    <row r="2" ht="22.5" customHeight="1">
      <c r="A2" s="20" t="str">
        <f t="shared" ref="A2:A142" si="1">CONCATENATE(B2,"-",C2)</f>
        <v>LB หัวเอฟ สีรุ้ง ปลายสว่าน-#8*3/4"(19mm)</v>
      </c>
      <c r="B2" s="19" t="s">
        <v>1237</v>
      </c>
      <c r="C2" s="19" t="s">
        <v>1238</v>
      </c>
      <c r="D2" s="19">
        <v>5.0</v>
      </c>
      <c r="E2" s="43" t="s">
        <v>1239</v>
      </c>
      <c r="F2" s="21"/>
      <c r="G2" s="21">
        <f t="array" ref="G2:G142">MAP(ตาราง1_5[คอลัมน์ 1],LAMBDA(sku,SUMIFS('รับเข้า-เบิก'!H:H,'รับเข้า-เบิก'!G:G,sku,'รับเข้า-เบิก'!I:I,"รับเข้า")))</f>
        <v>0</v>
      </c>
      <c r="H2" s="21"/>
    </row>
    <row r="3" ht="22.5" customHeight="1">
      <c r="A3" s="20" t="str">
        <f t="shared" si="1"/>
        <v>YJ ผนังเบา สีทอง ปลายแหลมไม่ผ่า-#6*3/4"(19mm)</v>
      </c>
      <c r="B3" s="19" t="s">
        <v>1240</v>
      </c>
      <c r="C3" s="19" t="s">
        <v>1241</v>
      </c>
      <c r="D3" s="19"/>
      <c r="E3" s="43" t="s">
        <v>1242</v>
      </c>
      <c r="F3" s="21"/>
      <c r="G3" s="21">
        <v>0.0</v>
      </c>
      <c r="H3" s="21"/>
    </row>
    <row r="4" ht="22.5" customHeight="1">
      <c r="A4" s="20" t="str">
        <f t="shared" si="1"/>
        <v>FSD SUS410 ปลายสว่านF สแตนเลส-#8x25(1")</v>
      </c>
      <c r="B4" s="19" t="s">
        <v>1243</v>
      </c>
      <c r="C4" s="19" t="s">
        <v>1244</v>
      </c>
      <c r="D4" s="19"/>
      <c r="E4" s="29" t="s">
        <v>1245</v>
      </c>
      <c r="F4" s="19">
        <v>650.0</v>
      </c>
      <c r="G4" s="21">
        <v>0.0</v>
      </c>
      <c r="H4" s="21"/>
    </row>
    <row r="5" ht="22.5" customHeight="1">
      <c r="A5" s="18" t="str">
        <f t="shared" si="1"/>
        <v>สกรูเกลียวปล่อย เตเปอร์-#8X1"</v>
      </c>
      <c r="B5" s="19" t="s">
        <v>1246</v>
      </c>
      <c r="C5" s="19" t="s">
        <v>1247</v>
      </c>
      <c r="D5" s="19"/>
      <c r="E5" s="24" t="s">
        <v>1248</v>
      </c>
      <c r="F5" s="21"/>
      <c r="G5" s="21">
        <v>0.0</v>
      </c>
      <c r="H5" s="21"/>
    </row>
    <row r="6" ht="22.5" customHeight="1">
      <c r="A6" s="18" t="str">
        <f t="shared" si="1"/>
        <v>สกรูเกลียวปล่อย เตเปอร์-#8X1-1/2"</v>
      </c>
      <c r="B6" s="19" t="s">
        <v>1246</v>
      </c>
      <c r="C6" s="19" t="s">
        <v>1249</v>
      </c>
      <c r="D6" s="19"/>
      <c r="E6" s="24" t="s">
        <v>1250</v>
      </c>
      <c r="F6" s="21"/>
      <c r="G6" s="21">
        <v>0.0</v>
      </c>
      <c r="H6" s="21"/>
    </row>
    <row r="7" ht="22.5" customHeight="1">
      <c r="A7" s="18" t="str">
        <f t="shared" si="1"/>
        <v>สกรูเกลียวปล่อย เตเปอร์-#8X2"</v>
      </c>
      <c r="B7" s="19" t="s">
        <v>1246</v>
      </c>
      <c r="C7" s="19" t="s">
        <v>1251</v>
      </c>
      <c r="D7" s="19"/>
      <c r="E7" s="24" t="s">
        <v>1250</v>
      </c>
      <c r="F7" s="21"/>
      <c r="G7" s="21">
        <v>0.0</v>
      </c>
      <c r="H7" s="21"/>
    </row>
    <row r="8" ht="22.5" customHeight="1">
      <c r="A8" s="18" t="str">
        <f t="shared" si="1"/>
        <v>สกรูเกลียวปล่อย เตเปอร์-#8X3"</v>
      </c>
      <c r="B8" s="19" t="s">
        <v>1246</v>
      </c>
      <c r="C8" s="19" t="s">
        <v>1252</v>
      </c>
      <c r="D8" s="19"/>
      <c r="E8" s="24" t="s">
        <v>1250</v>
      </c>
      <c r="F8" s="21"/>
      <c r="G8" s="21">
        <v>0.0</v>
      </c>
      <c r="H8" s="21"/>
    </row>
    <row r="9" ht="22.5" customHeight="1">
      <c r="A9" s="18" t="str">
        <f t="shared" si="1"/>
        <v>Phillip Pan Self Tapping Screws - AB-#7X5/8"</v>
      </c>
      <c r="B9" s="19" t="s">
        <v>1253</v>
      </c>
      <c r="C9" s="19" t="s">
        <v>1254</v>
      </c>
      <c r="D9" s="19"/>
      <c r="E9" s="29" t="s">
        <v>1255</v>
      </c>
      <c r="F9" s="21"/>
      <c r="G9" s="21">
        <v>0.0</v>
      </c>
      <c r="H9" s="21"/>
    </row>
    <row r="10" ht="22.5" customHeight="1">
      <c r="A10" s="18" t="str">
        <f t="shared" si="1"/>
        <v>DW07 สกรูไดร์วอลว์ ดำ-#6*1"(25mm)</v>
      </c>
      <c r="B10" s="19" t="s">
        <v>1256</v>
      </c>
      <c r="C10" s="19" t="s">
        <v>1257</v>
      </c>
      <c r="D10" s="19"/>
      <c r="E10" s="29" t="s">
        <v>1258</v>
      </c>
      <c r="F10" s="21"/>
      <c r="G10" s="21">
        <v>0.0</v>
      </c>
      <c r="H10" s="21"/>
    </row>
    <row r="11" ht="22.5" customHeight="1">
      <c r="A11" s="72" t="str">
        <f t="shared" si="1"/>
        <v>LB หัวเอฟ สีรุ้ง ปลายสว่าน-#8*3/4"(19mm)</v>
      </c>
      <c r="B11" s="73" t="s">
        <v>1237</v>
      </c>
      <c r="C11" s="73" t="s">
        <v>1238</v>
      </c>
      <c r="D11" s="74"/>
      <c r="E11" s="75" t="s">
        <v>1239</v>
      </c>
      <c r="F11" s="21"/>
      <c r="G11" s="21">
        <v>0.0</v>
      </c>
      <c r="H11" s="21"/>
    </row>
    <row r="12" ht="22.5" customHeight="1">
      <c r="A12" s="76" t="str">
        <f t="shared" si="1"/>
        <v>Phillip Flat CSK Self Drilling Screws -#8x3.1/2"</v>
      </c>
      <c r="B12" s="26" t="s">
        <v>1259</v>
      </c>
      <c r="C12" s="26" t="s">
        <v>1260</v>
      </c>
      <c r="D12" s="28"/>
      <c r="E12" s="45" t="s">
        <v>1261</v>
      </c>
      <c r="F12" s="28"/>
      <c r="G12" s="28">
        <v>0.0</v>
      </c>
      <c r="H12" s="28"/>
    </row>
    <row r="13" ht="22.5" customHeight="1">
      <c r="A13" s="76" t="str">
        <f t="shared" si="1"/>
        <v>Phillip Flat CSK Self Drilling Screws -#8x4"</v>
      </c>
      <c r="B13" s="26" t="s">
        <v>1259</v>
      </c>
      <c r="C13" s="26" t="s">
        <v>1262</v>
      </c>
      <c r="D13" s="28"/>
      <c r="E13" s="45" t="s">
        <v>1261</v>
      </c>
      <c r="F13" s="28"/>
      <c r="G13" s="28">
        <v>0.0</v>
      </c>
      <c r="H13" s="28"/>
    </row>
    <row r="14" ht="22.5" customHeight="1">
      <c r="A14" s="76" t="str">
        <f t="shared" si="1"/>
        <v>Phillip Pan Self Tapping Screws - AB-#8x5/8"</v>
      </c>
      <c r="B14" s="26" t="s">
        <v>1253</v>
      </c>
      <c r="C14" s="26" t="s">
        <v>1263</v>
      </c>
      <c r="D14" s="28"/>
      <c r="E14" s="45" t="s">
        <v>1255</v>
      </c>
      <c r="F14" s="28"/>
      <c r="G14" s="28">
        <v>0.0</v>
      </c>
      <c r="H14" s="28"/>
    </row>
    <row r="15" ht="22.5" customHeight="1">
      <c r="A15" s="76" t="str">
        <f t="shared" si="1"/>
        <v>LB หัวเอฟ สีรุ้ง ปลายสว่าน-#8*1-1/2"(38mm)</v>
      </c>
      <c r="B15" s="26" t="s">
        <v>1237</v>
      </c>
      <c r="C15" s="26" t="s">
        <v>1264</v>
      </c>
      <c r="D15" s="28"/>
      <c r="E15" s="45" t="s">
        <v>1239</v>
      </c>
      <c r="F15" s="28"/>
      <c r="G15" s="28">
        <v>0.0</v>
      </c>
      <c r="H15" s="28"/>
    </row>
    <row r="16" ht="22.5" customHeight="1">
      <c r="A16" s="76" t="str">
        <f t="shared" si="1"/>
        <v>Hex Head Self Drilling Screws-#10-16x1"(25mm.)</v>
      </c>
      <c r="B16" s="26" t="s">
        <v>1265</v>
      </c>
      <c r="C16" s="26" t="s">
        <v>1266</v>
      </c>
      <c r="D16" s="28"/>
      <c r="E16" s="45" t="s">
        <v>1267</v>
      </c>
      <c r="F16" s="28"/>
      <c r="G16" s="28">
        <v>0.0</v>
      </c>
      <c r="H16" s="28"/>
    </row>
    <row r="17" ht="22.5" customHeight="1">
      <c r="A17" s="76" t="str">
        <f t="shared" si="1"/>
        <v>Phillip Flat CSK Self Drilling Screws -#8x2"</v>
      </c>
      <c r="B17" s="26" t="s">
        <v>1259</v>
      </c>
      <c r="C17" s="26" t="s">
        <v>1268</v>
      </c>
      <c r="D17" s="28"/>
      <c r="E17" s="45" t="s">
        <v>1261</v>
      </c>
      <c r="F17" s="28"/>
      <c r="G17" s="28">
        <v>0.0</v>
      </c>
      <c r="H17" s="28"/>
    </row>
    <row r="18" ht="22.5" customHeight="1">
      <c r="A18" s="76" t="str">
        <f t="shared" si="1"/>
        <v>LB หัวเอฟ สีรุ้ง ปลายสว่าน-#8*3"(75mm)</v>
      </c>
      <c r="B18" s="26" t="s">
        <v>1237</v>
      </c>
      <c r="C18" s="26" t="s">
        <v>1269</v>
      </c>
      <c r="D18" s="28"/>
      <c r="E18" s="45" t="s">
        <v>1261</v>
      </c>
      <c r="F18" s="28"/>
      <c r="G18" s="28">
        <v>0.0</v>
      </c>
      <c r="H18" s="28"/>
    </row>
    <row r="19" ht="22.5" customHeight="1">
      <c r="A19" s="76" t="str">
        <f t="shared" si="1"/>
        <v>LB หัวเอฟ สีรุ้ง ปลายสว่าน-#8*1"(25mm)</v>
      </c>
      <c r="B19" s="26" t="s">
        <v>1237</v>
      </c>
      <c r="C19" s="26" t="s">
        <v>1270</v>
      </c>
      <c r="D19" s="28"/>
      <c r="E19" s="27" t="s">
        <v>1239</v>
      </c>
      <c r="F19" s="28"/>
      <c r="G19" s="28">
        <v>0.0</v>
      </c>
      <c r="H19" s="28"/>
    </row>
    <row r="20" ht="22.5" customHeight="1">
      <c r="A20" s="76" t="str">
        <f t="shared" si="1"/>
        <v>YT หัวเวเฟอร์ ปลายสว่าน สีขาว-#8*3/4"(19mm)</v>
      </c>
      <c r="B20" s="26" t="s">
        <v>1271</v>
      </c>
      <c r="C20" s="26" t="s">
        <v>1238</v>
      </c>
      <c r="D20" s="28"/>
      <c r="E20" s="45" t="s">
        <v>1272</v>
      </c>
      <c r="F20" s="28"/>
      <c r="G20" s="28">
        <v>0.0</v>
      </c>
      <c r="H20" s="28"/>
    </row>
    <row r="21" ht="22.5" customHeight="1">
      <c r="A21" s="76" t="str">
        <f t="shared" si="1"/>
        <v>SK สกรูไดวอล์ล-#6x1 ½ </v>
      </c>
      <c r="B21" s="26" t="s">
        <v>1273</v>
      </c>
      <c r="C21" s="26" t="s">
        <v>1274</v>
      </c>
      <c r="D21" s="28"/>
      <c r="E21" s="45" t="s">
        <v>1258</v>
      </c>
      <c r="F21" s="28"/>
      <c r="G21" s="28">
        <v>0.0</v>
      </c>
      <c r="H21" s="28"/>
    </row>
    <row r="22" ht="22.5" customHeight="1">
      <c r="A22" s="76" t="str">
        <f t="shared" si="1"/>
        <v>สกรููยิงฝ้า HPP-#6x3/4"</v>
      </c>
      <c r="B22" s="26" t="s">
        <v>1275</v>
      </c>
      <c r="C22" s="26" t="s">
        <v>1276</v>
      </c>
      <c r="D22" s="28"/>
      <c r="E22" s="45" t="s">
        <v>1258</v>
      </c>
      <c r="F22" s="28"/>
      <c r="G22" s="28">
        <v>0.0</v>
      </c>
      <c r="H22" s="28"/>
    </row>
    <row r="23" ht="22.5" customHeight="1">
      <c r="A23" s="76" t="str">
        <f t="shared" si="1"/>
        <v>Phillilp Pan Self Drilling Screws-#8x1.1/2"</v>
      </c>
      <c r="B23" s="26" t="s">
        <v>1277</v>
      </c>
      <c r="C23" s="26" t="s">
        <v>1278</v>
      </c>
      <c r="D23" s="28"/>
      <c r="E23" s="45" t="s">
        <v>1279</v>
      </c>
      <c r="F23" s="28"/>
      <c r="G23" s="28">
        <v>0.0</v>
      </c>
      <c r="H23" s="28"/>
    </row>
    <row r="24" ht="22.5" customHeight="1">
      <c r="A24" s="76" t="str">
        <f t="shared" si="1"/>
        <v>Phillip Pan Self Drilling Screws-#6x3/8"</v>
      </c>
      <c r="B24" s="26" t="s">
        <v>1280</v>
      </c>
      <c r="C24" s="26" t="s">
        <v>1281</v>
      </c>
      <c r="D24" s="28"/>
      <c r="E24" s="45" t="s">
        <v>1279</v>
      </c>
      <c r="F24" s="28"/>
      <c r="G24" s="28">
        <v>0.0</v>
      </c>
      <c r="H24" s="28"/>
    </row>
    <row r="25" ht="22.5" customHeight="1">
      <c r="A25" s="76" t="str">
        <f t="shared" si="1"/>
        <v>SK D.W. Screws-6x1"</v>
      </c>
      <c r="B25" s="26" t="s">
        <v>1282</v>
      </c>
      <c r="C25" s="26" t="s">
        <v>1283</v>
      </c>
      <c r="D25" s="28"/>
      <c r="E25" s="45" t="s">
        <v>1258</v>
      </c>
      <c r="F25" s="28"/>
      <c r="G25" s="28">
        <v>0.0</v>
      </c>
      <c r="H25" s="28"/>
    </row>
    <row r="26" ht="22.5" customHeight="1">
      <c r="A26" s="76" t="str">
        <f t="shared" si="1"/>
        <v>สกรูปลายสว่าน SUS410-4.2X19</v>
      </c>
      <c r="B26" s="26" t="s">
        <v>1284</v>
      </c>
      <c r="C26" s="26" t="s">
        <v>1285</v>
      </c>
      <c r="D26" s="28"/>
      <c r="E26" s="45" t="s">
        <v>1245</v>
      </c>
      <c r="F26" s="28"/>
      <c r="G26" s="28">
        <v>0.0</v>
      </c>
      <c r="H26" s="28"/>
    </row>
    <row r="27" ht="22.5" customHeight="1">
      <c r="A27" s="76" t="str">
        <f t="shared" si="1"/>
        <v>ZW ลอนคูู่ ปลายสว่าน สีรุ้ง ยางดำ-#10X2(50mm)</v>
      </c>
      <c r="B27" s="26" t="s">
        <v>1286</v>
      </c>
      <c r="C27" s="26" t="s">
        <v>1287</v>
      </c>
      <c r="D27" s="28"/>
      <c r="E27" s="45" t="s">
        <v>1267</v>
      </c>
      <c r="F27" s="28"/>
      <c r="G27" s="28">
        <v>0.0</v>
      </c>
      <c r="H27" s="28"/>
    </row>
    <row r="28" ht="22.5" customHeight="1">
      <c r="A28" s="76" t="str">
        <f t="shared" si="1"/>
        <v>ZW ลอนคู่ ปลายสว่าน สีรุ้ง ยางดำ-#10X3(75mm)</v>
      </c>
      <c r="B28" s="26" t="s">
        <v>1288</v>
      </c>
      <c r="C28" s="26" t="s">
        <v>1289</v>
      </c>
      <c r="D28" s="28"/>
      <c r="E28" s="45" t="s">
        <v>1267</v>
      </c>
      <c r="F28" s="28"/>
      <c r="G28" s="28">
        <v>0.0</v>
      </c>
      <c r="H28" s="28"/>
    </row>
    <row r="29" ht="22.5" customHeight="1">
      <c r="A29" s="76" t="str">
        <f t="shared" si="1"/>
        <v>ZW ลอนคูู่ ปลายสว่าน สีรุ้ง ยางดำ-#10X4(100mm)</v>
      </c>
      <c r="B29" s="26" t="s">
        <v>1286</v>
      </c>
      <c r="C29" s="26" t="s">
        <v>1290</v>
      </c>
      <c r="D29" s="28"/>
      <c r="E29" s="45" t="s">
        <v>1267</v>
      </c>
      <c r="F29" s="28"/>
      <c r="G29" s="28">
        <v>0.0</v>
      </c>
      <c r="H29" s="28"/>
    </row>
    <row r="30" ht="22.5" customHeight="1">
      <c r="A30" s="76" t="str">
        <f t="shared" si="1"/>
        <v>น๊อตเกลียวปล่อย เตเปอร์-1 ½ </v>
      </c>
      <c r="B30" s="26" t="s">
        <v>1291</v>
      </c>
      <c r="C30" s="26" t="s">
        <v>1292</v>
      </c>
      <c r="D30" s="28"/>
      <c r="E30" s="45" t="s">
        <v>1293</v>
      </c>
      <c r="F30" s="26">
        <v>10094.0</v>
      </c>
      <c r="G30" s="28">
        <v>0.0</v>
      </c>
      <c r="H30" s="28">
        <f>F30*0.5/198</f>
        <v>25.48989899</v>
      </c>
    </row>
    <row r="31" ht="22.5" customHeight="1">
      <c r="A31" s="76" t="str">
        <f t="shared" si="1"/>
        <v>น๊อตเกลียวปล่อย เตเปอร์-2"</v>
      </c>
      <c r="B31" s="26" t="s">
        <v>1291</v>
      </c>
      <c r="C31" s="26" t="s">
        <v>815</v>
      </c>
      <c r="D31" s="28"/>
      <c r="E31" s="45" t="s">
        <v>1294</v>
      </c>
      <c r="F31" s="26">
        <v>11643.0</v>
      </c>
      <c r="G31" s="28">
        <v>0.0</v>
      </c>
      <c r="H31" s="28">
        <f>F31*0.5/143</f>
        <v>40.70979021</v>
      </c>
    </row>
    <row r="32" ht="22.5" customHeight="1">
      <c r="A32" s="76" t="str">
        <f t="shared" si="1"/>
        <v>น๊อตเกลียวปล่อย เตเปอร์-3"</v>
      </c>
      <c r="B32" s="26" t="s">
        <v>1291</v>
      </c>
      <c r="C32" s="26" t="s">
        <v>598</v>
      </c>
      <c r="D32" s="28"/>
      <c r="E32" s="45" t="s">
        <v>1295</v>
      </c>
      <c r="F32" s="26">
        <v>9200.0</v>
      </c>
      <c r="G32" s="28">
        <v>0.0</v>
      </c>
      <c r="H32" s="28">
        <f>F32*0.5/100</f>
        <v>46</v>
      </c>
    </row>
    <row r="33" ht="22.5" customHeight="1">
      <c r="A33" s="76" t="str">
        <f t="shared" si="1"/>
        <v>น๊อตหัวกลม เกลียวปล่อย-7X5/8"</v>
      </c>
      <c r="B33" s="26" t="s">
        <v>1296</v>
      </c>
      <c r="C33" s="26" t="s">
        <v>1297</v>
      </c>
      <c r="D33" s="28"/>
      <c r="E33" s="45" t="s">
        <v>1298</v>
      </c>
      <c r="F33" s="26">
        <v>6000.0</v>
      </c>
      <c r="G33" s="28">
        <v>0.0</v>
      </c>
      <c r="H33" s="28">
        <f>F33*0.5/360</f>
        <v>8.333333333</v>
      </c>
    </row>
    <row r="34" ht="22.5" customHeight="1">
      <c r="A34" s="76" t="str">
        <f t="shared" si="1"/>
        <v>น๊อตหัวกลม เกลียวปล่อย-8X5/8"</v>
      </c>
      <c r="B34" s="26" t="s">
        <v>1296</v>
      </c>
      <c r="C34" s="26" t="s">
        <v>1299</v>
      </c>
      <c r="D34" s="28"/>
      <c r="E34" s="45" t="s">
        <v>1300</v>
      </c>
      <c r="F34" s="26">
        <v>9000.0</v>
      </c>
      <c r="G34" s="28">
        <v>0.0</v>
      </c>
      <c r="H34" s="28">
        <f>F34*0.5/320</f>
        <v>14.0625</v>
      </c>
    </row>
    <row r="35" ht="22.5" customHeight="1">
      <c r="A35" s="76" t="str">
        <f t="shared" si="1"/>
        <v>น๊อตหัวกลม ปลายสว่าน-6x5/8</v>
      </c>
      <c r="B35" s="26" t="s">
        <v>1301</v>
      </c>
      <c r="C35" s="26" t="s">
        <v>1302</v>
      </c>
      <c r="D35" s="28"/>
      <c r="E35" s="27" t="s">
        <v>1303</v>
      </c>
      <c r="F35" s="26">
        <v>10000.0</v>
      </c>
      <c r="G35" s="28">
        <v>0.0</v>
      </c>
      <c r="H35" s="28">
        <f>F35*0.5/500</f>
        <v>10</v>
      </c>
    </row>
    <row r="36" ht="22.5" customHeight="1">
      <c r="A36" s="76" t="str">
        <f t="shared" si="1"/>
        <v>น๊อตหัวกลม เกลียวปล่อย-8x25/1"</v>
      </c>
      <c r="B36" s="26" t="s">
        <v>1296</v>
      </c>
      <c r="C36" s="26" t="s">
        <v>1304</v>
      </c>
      <c r="D36" s="28"/>
      <c r="E36" s="27" t="s">
        <v>1305</v>
      </c>
      <c r="F36" s="26">
        <v>2350.0</v>
      </c>
      <c r="G36" s="28">
        <v>0.0</v>
      </c>
      <c r="H36" s="28">
        <f>F36*0.5/250</f>
        <v>4.7</v>
      </c>
    </row>
    <row r="37" ht="22.5" customHeight="1">
      <c r="A37" s="76" t="str">
        <f t="shared" si="1"/>
        <v>น๊อตหัวกลม ปลายสว่าน-6X3/8"</v>
      </c>
      <c r="B37" s="26" t="s">
        <v>1301</v>
      </c>
      <c r="C37" s="26" t="s">
        <v>1306</v>
      </c>
      <c r="D37" s="28"/>
      <c r="E37" s="45" t="s">
        <v>1307</v>
      </c>
      <c r="F37" s="26">
        <v>1000.0</v>
      </c>
      <c r="G37" s="28">
        <v>0.0</v>
      </c>
      <c r="H37" s="28">
        <f>F37*0.5/500</f>
        <v>1</v>
      </c>
    </row>
    <row r="38" ht="22.5" customHeight="1">
      <c r="A38" s="76" t="str">
        <f t="shared" si="1"/>
        <v>น๊อตหัวกลม ปลายสว่าน-8X1½"</v>
      </c>
      <c r="B38" s="26" t="s">
        <v>1301</v>
      </c>
      <c r="C38" s="26" t="s">
        <v>1308</v>
      </c>
      <c r="D38" s="28"/>
      <c r="E38" s="45" t="s">
        <v>1309</v>
      </c>
      <c r="F38" s="26">
        <v>9200.0</v>
      </c>
      <c r="G38" s="28">
        <v>0.0</v>
      </c>
      <c r="H38" s="28">
        <f>F38*0.5/200</f>
        <v>23</v>
      </c>
    </row>
    <row r="39" ht="22.5" customHeight="1">
      <c r="A39" s="76" t="str">
        <f t="shared" si="1"/>
        <v>น๊อตสแตนเลส หัวกลม-M4-1.4X19(8X3/4)</v>
      </c>
      <c r="B39" s="26" t="s">
        <v>1310</v>
      </c>
      <c r="C39" s="26" t="s">
        <v>1311</v>
      </c>
      <c r="D39" s="28"/>
      <c r="E39" s="45" t="s">
        <v>1312</v>
      </c>
      <c r="F39" s="26">
        <v>8468.0</v>
      </c>
      <c r="G39" s="28">
        <v>0.0</v>
      </c>
      <c r="H39" s="28">
        <f>F39*0.5/400</f>
        <v>10.585</v>
      </c>
    </row>
    <row r="40" ht="22.5" customHeight="1">
      <c r="A40" s="76" t="str">
        <f t="shared" si="1"/>
        <v>น๊อตสแตนเลสเลส เตเปอร์ ปลายสว่าน-4.2x19</v>
      </c>
      <c r="B40" s="26" t="s">
        <v>1313</v>
      </c>
      <c r="C40" s="26" t="s">
        <v>1314</v>
      </c>
      <c r="D40" s="28"/>
      <c r="E40" s="45" t="s">
        <v>1315</v>
      </c>
      <c r="F40" s="26">
        <v>7500.0</v>
      </c>
      <c r="G40" s="28">
        <v>0.0</v>
      </c>
      <c r="H40" s="28">
        <f>F40*0.5/500</f>
        <v>7.5</v>
      </c>
    </row>
    <row r="41" ht="22.5" customHeight="1">
      <c r="A41" s="76" t="str">
        <f t="shared" si="1"/>
        <v>น๊อตสแตนเลสยางก้ามปู-8X25(1")</v>
      </c>
      <c r="B41" s="26" t="s">
        <v>1316</v>
      </c>
      <c r="C41" s="26" t="s">
        <v>1317</v>
      </c>
      <c r="D41" s="28"/>
      <c r="E41" s="45" t="s">
        <v>1318</v>
      </c>
      <c r="F41" s="26">
        <v>2350.0</v>
      </c>
      <c r="G41" s="28">
        <v>0.0</v>
      </c>
      <c r="H41" s="28">
        <f>F41*0.5/250</f>
        <v>4.7</v>
      </c>
    </row>
    <row r="42" ht="22.5" customHeight="1">
      <c r="A42" s="76" t="str">
        <f t="shared" si="1"/>
        <v>พุกเหล็ก-46237</v>
      </c>
      <c r="B42" s="26" t="s">
        <v>1319</v>
      </c>
      <c r="C42" s="77">
        <v>46237.0</v>
      </c>
      <c r="D42" s="28"/>
      <c r="E42" s="45" t="s">
        <v>1320</v>
      </c>
      <c r="F42" s="26">
        <v>240.0</v>
      </c>
      <c r="G42" s="28">
        <v>240.0</v>
      </c>
      <c r="H42" s="28"/>
    </row>
    <row r="43" ht="22.5" customHeight="1">
      <c r="A43" s="76" t="str">
        <f t="shared" si="1"/>
        <v>พุกเหล็ก-46113</v>
      </c>
      <c r="B43" s="26" t="s">
        <v>1319</v>
      </c>
      <c r="C43" s="77">
        <v>46113.0</v>
      </c>
      <c r="D43" s="28"/>
      <c r="E43" s="45" t="s">
        <v>1321</v>
      </c>
      <c r="F43" s="26">
        <v>5854.0</v>
      </c>
      <c r="G43" s="28">
        <v>5854.0</v>
      </c>
      <c r="H43" s="28"/>
    </row>
    <row r="44" ht="22.5" customHeight="1">
      <c r="A44" s="76" t="str">
        <f t="shared" si="1"/>
        <v>พุกตะปู M10-</v>
      </c>
      <c r="B44" s="26" t="s">
        <v>1322</v>
      </c>
      <c r="C44" s="26"/>
      <c r="D44" s="28"/>
      <c r="E44" s="45" t="s">
        <v>1323</v>
      </c>
      <c r="F44" s="26">
        <v>320.0</v>
      </c>
      <c r="G44" s="28">
        <v>320.0</v>
      </c>
      <c r="H44" s="28"/>
    </row>
    <row r="45" ht="22.5" customHeight="1">
      <c r="A45" s="76" t="str">
        <f t="shared" si="1"/>
        <v>พุกตะปู M8-</v>
      </c>
      <c r="B45" s="26" t="s">
        <v>1324</v>
      </c>
      <c r="C45" s="26"/>
      <c r="D45" s="28"/>
      <c r="E45" s="45" t="s">
        <v>1325</v>
      </c>
      <c r="F45" s="26">
        <v>75.0</v>
      </c>
      <c r="G45" s="28">
        <v>0.0</v>
      </c>
      <c r="H45" s="28"/>
    </row>
    <row r="46" ht="22.5" customHeight="1">
      <c r="A46" s="76" t="str">
        <f t="shared" si="1"/>
        <v>พุกตะกั่ว-46113</v>
      </c>
      <c r="B46" s="26" t="s">
        <v>1326</v>
      </c>
      <c r="C46" s="77">
        <v>46113.0</v>
      </c>
      <c r="D46" s="28"/>
      <c r="E46" s="45" t="s">
        <v>1327</v>
      </c>
      <c r="F46" s="26">
        <v>704.0</v>
      </c>
      <c r="G46" s="28">
        <v>709.0</v>
      </c>
      <c r="H46" s="28"/>
    </row>
    <row r="47" ht="22.5" customHeight="1">
      <c r="A47" s="76" t="str">
        <f t="shared" si="1"/>
        <v>พุกตะกั่ว-46237</v>
      </c>
      <c r="B47" s="26" t="s">
        <v>1326</v>
      </c>
      <c r="C47" s="77">
        <v>46237.0</v>
      </c>
      <c r="D47" s="28"/>
      <c r="E47" s="45" t="s">
        <v>1328</v>
      </c>
      <c r="F47" s="26">
        <v>100.0</v>
      </c>
      <c r="G47" s="28">
        <v>0.0</v>
      </c>
      <c r="H47" s="28"/>
    </row>
    <row r="48" ht="22.5" customHeight="1">
      <c r="A48" s="76" t="str">
        <f t="shared" si="1"/>
        <v>พุกเคมี M8-</v>
      </c>
      <c r="B48" s="26" t="s">
        <v>1329</v>
      </c>
      <c r="C48" s="26"/>
      <c r="D48" s="28"/>
      <c r="E48" s="45" t="s">
        <v>1330</v>
      </c>
      <c r="F48" s="26">
        <v>10.0</v>
      </c>
      <c r="G48" s="28">
        <v>75.0</v>
      </c>
      <c r="H48" s="28"/>
    </row>
    <row r="49" ht="22.5" customHeight="1">
      <c r="A49" s="76" t="str">
        <f t="shared" si="1"/>
        <v>พุกเคมี M10-</v>
      </c>
      <c r="B49" s="26" t="s">
        <v>1331</v>
      </c>
      <c r="C49" s="26"/>
      <c r="D49" s="28"/>
      <c r="E49" s="45" t="s">
        <v>1330</v>
      </c>
      <c r="F49" s="26">
        <v>150.0</v>
      </c>
      <c r="G49" s="28">
        <v>0.0</v>
      </c>
      <c r="H49" s="28"/>
    </row>
    <row r="50" ht="22.5" customHeight="1">
      <c r="A50" s="76" t="str">
        <f t="shared" si="1"/>
        <v>พุกผีเสื้อ ยิบซั่ม พุกร่ม-</v>
      </c>
      <c r="B50" s="26" t="s">
        <v>1332</v>
      </c>
      <c r="C50" s="26"/>
      <c r="D50" s="28"/>
      <c r="E50" s="45" t="s">
        <v>1333</v>
      </c>
      <c r="F50" s="26">
        <v>250.0</v>
      </c>
      <c r="G50" s="28">
        <v>0.0</v>
      </c>
      <c r="H50" s="28"/>
    </row>
    <row r="51" ht="22.5" customHeight="1">
      <c r="A51" s="76" t="str">
        <f t="shared" si="1"/>
        <v>พุกพลาสติก-</v>
      </c>
      <c r="B51" s="26" t="s">
        <v>1334</v>
      </c>
      <c r="C51" s="26"/>
      <c r="D51" s="28"/>
      <c r="E51" s="45" t="s">
        <v>1335</v>
      </c>
      <c r="F51" s="26">
        <v>650.0</v>
      </c>
      <c r="G51" s="28">
        <v>0.0</v>
      </c>
      <c r="H51" s="28"/>
    </row>
    <row r="52" ht="22.5" customHeight="1">
      <c r="A52" s="76" t="str">
        <f t="shared" si="1"/>
        <v>น๊อตยิงฝ้า สีดำ-6X1"</v>
      </c>
      <c r="B52" s="26" t="s">
        <v>1336</v>
      </c>
      <c r="C52" s="26" t="s">
        <v>1337</v>
      </c>
      <c r="D52" s="28"/>
      <c r="E52" s="45" t="s">
        <v>1338</v>
      </c>
      <c r="F52" s="28"/>
      <c r="G52" s="28">
        <v>0.0</v>
      </c>
      <c r="H52" s="28"/>
    </row>
    <row r="53" ht="22.5" customHeight="1">
      <c r="A53" s="76" t="str">
        <f t="shared" si="1"/>
        <v>น๊อตยิงฝ้า สีดำ-6X1½"</v>
      </c>
      <c r="B53" s="26" t="s">
        <v>1336</v>
      </c>
      <c r="C53" s="26" t="s">
        <v>1339</v>
      </c>
      <c r="D53" s="28"/>
      <c r="E53" s="45" t="s">
        <v>1340</v>
      </c>
      <c r="F53" s="28"/>
      <c r="G53" s="28">
        <v>0.0</v>
      </c>
      <c r="H53" s="28"/>
    </row>
    <row r="54" ht="22.5" customHeight="1">
      <c r="A54" s="76" t="str">
        <f t="shared" si="1"/>
        <v>น๊อตยิงฝ้า สีดำ-6X2"</v>
      </c>
      <c r="B54" s="26" t="s">
        <v>1336</v>
      </c>
      <c r="C54" s="26" t="s">
        <v>1341</v>
      </c>
      <c r="D54" s="28"/>
      <c r="E54" s="45" t="s">
        <v>1342</v>
      </c>
      <c r="F54" s="28"/>
      <c r="G54" s="28">
        <v>0.0</v>
      </c>
      <c r="H54" s="28"/>
    </row>
    <row r="55" ht="22.5" customHeight="1">
      <c r="A55" s="76" t="str">
        <f t="shared" si="1"/>
        <v>น๊อตหัวบล็อค เหลี่ยมยางดำปลายสว่าน-1"</v>
      </c>
      <c r="B55" s="26" t="s">
        <v>1343</v>
      </c>
      <c r="C55" s="26" t="s">
        <v>1344</v>
      </c>
      <c r="D55" s="28"/>
      <c r="E55" s="45" t="s">
        <v>1345</v>
      </c>
      <c r="F55" s="28"/>
      <c r="G55" s="28">
        <v>0.0</v>
      </c>
      <c r="H55" s="28"/>
    </row>
    <row r="56" ht="22.5" customHeight="1">
      <c r="A56" s="76" t="str">
        <f t="shared" si="1"/>
        <v>น๊อตหัวบล็อค เหลี่ยมยางดำปลายสว่าน-1½"</v>
      </c>
      <c r="B56" s="26" t="s">
        <v>1343</v>
      </c>
      <c r="C56" s="26" t="s">
        <v>1346</v>
      </c>
      <c r="D56" s="28"/>
      <c r="E56" s="45" t="s">
        <v>1347</v>
      </c>
      <c r="F56" s="28"/>
      <c r="G56" s="28">
        <v>0.0</v>
      </c>
      <c r="H56" s="28"/>
    </row>
    <row r="57" ht="22.5" customHeight="1">
      <c r="A57" s="76" t="str">
        <f t="shared" si="1"/>
        <v>น๊อตหัวบล็อค เหลี่ยมยางดำปลายสว่าน-2"</v>
      </c>
      <c r="B57" s="26" t="s">
        <v>1343</v>
      </c>
      <c r="C57" s="26" t="s">
        <v>815</v>
      </c>
      <c r="D57" s="28"/>
      <c r="E57" s="45" t="s">
        <v>1348</v>
      </c>
      <c r="F57" s="28"/>
      <c r="G57" s="28">
        <v>0.0</v>
      </c>
      <c r="H57" s="28"/>
    </row>
    <row r="58" ht="22.5" customHeight="1">
      <c r="A58" s="76" t="str">
        <f t="shared" si="1"/>
        <v>น๊อตหัวบล็อค เหลี่ยมยางดำปลายสว่าน-3"</v>
      </c>
      <c r="B58" s="26" t="s">
        <v>1343</v>
      </c>
      <c r="C58" s="26" t="s">
        <v>598</v>
      </c>
      <c r="D58" s="28"/>
      <c r="E58" s="45" t="s">
        <v>1349</v>
      </c>
      <c r="F58" s="28"/>
      <c r="G58" s="28">
        <v>0.0</v>
      </c>
      <c r="H58" s="28"/>
    </row>
    <row r="59" ht="22.5" customHeight="1">
      <c r="A59" s="76" t="str">
        <f t="shared" si="1"/>
        <v>น๊อตหัวบล็อค เหลี่ยมยางดำปลายสว่าน-4"</v>
      </c>
      <c r="B59" s="26" t="s">
        <v>1343</v>
      </c>
      <c r="C59" s="26" t="s">
        <v>1070</v>
      </c>
      <c r="D59" s="28"/>
      <c r="E59" s="45" t="s">
        <v>1350</v>
      </c>
      <c r="F59" s="28"/>
      <c r="G59" s="28">
        <v>0.0</v>
      </c>
      <c r="H59" s="28"/>
    </row>
    <row r="60" ht="22.5" customHeight="1">
      <c r="A60" s="76" t="str">
        <f t="shared" si="1"/>
        <v>น๊อตปลายสว่าน-3/4"</v>
      </c>
      <c r="B60" s="26" t="s">
        <v>1351</v>
      </c>
      <c r="C60" s="26" t="s">
        <v>1352</v>
      </c>
      <c r="D60" s="28"/>
      <c r="E60" s="45" t="s">
        <v>1353</v>
      </c>
      <c r="F60" s="78">
        <v>46000.0</v>
      </c>
      <c r="G60" s="28">
        <v>0.0</v>
      </c>
      <c r="H60" s="28">
        <f>F60*0.5/366</f>
        <v>62.84153005</v>
      </c>
    </row>
    <row r="61" ht="22.5" customHeight="1">
      <c r="A61" s="76" t="str">
        <f t="shared" si="1"/>
        <v>น๊อตปลายสว่าน-1"</v>
      </c>
      <c r="B61" s="26" t="s">
        <v>1351</v>
      </c>
      <c r="C61" s="26" t="s">
        <v>1344</v>
      </c>
      <c r="D61" s="28"/>
      <c r="E61" s="45" t="s">
        <v>1354</v>
      </c>
      <c r="F61" s="78">
        <v>18000.0</v>
      </c>
      <c r="G61" s="28">
        <v>0.0</v>
      </c>
      <c r="H61" s="28">
        <f>F61*0.5/290</f>
        <v>31.03448276</v>
      </c>
    </row>
    <row r="62" ht="22.5" customHeight="1">
      <c r="A62" s="76" t="str">
        <f t="shared" si="1"/>
        <v>น๊อตปลายสว่าน-1½"</v>
      </c>
      <c r="B62" s="26" t="s">
        <v>1351</v>
      </c>
      <c r="C62" s="26" t="s">
        <v>1346</v>
      </c>
      <c r="D62" s="28"/>
      <c r="E62" s="30" t="s">
        <v>1355</v>
      </c>
      <c r="F62" s="26">
        <v>12300.0</v>
      </c>
      <c r="G62" s="28">
        <v>0.0</v>
      </c>
      <c r="H62" s="28">
        <f>F62*0.5/200</f>
        <v>30.75</v>
      </c>
    </row>
    <row r="63" ht="22.5" customHeight="1">
      <c r="A63" s="76" t="str">
        <f t="shared" si="1"/>
        <v>น๊อตปลายสว่าน-2"</v>
      </c>
      <c r="B63" s="26" t="s">
        <v>1351</v>
      </c>
      <c r="C63" s="26" t="s">
        <v>815</v>
      </c>
      <c r="D63" s="28"/>
      <c r="E63" s="45" t="s">
        <v>1356</v>
      </c>
      <c r="F63" s="26">
        <v>14780.0</v>
      </c>
      <c r="G63" s="28">
        <v>0.0</v>
      </c>
      <c r="H63" s="28">
        <f>F63*0.5/140</f>
        <v>52.78571429</v>
      </c>
    </row>
    <row r="64" ht="22.5" customHeight="1">
      <c r="A64" s="76" t="str">
        <f t="shared" si="1"/>
        <v>น๊อตปลายสว่าน-3"</v>
      </c>
      <c r="B64" s="26" t="s">
        <v>1351</v>
      </c>
      <c r="C64" s="26" t="s">
        <v>598</v>
      </c>
      <c r="D64" s="28"/>
      <c r="E64" s="30" t="s">
        <v>1357</v>
      </c>
      <c r="F64" s="26">
        <v>7700.0</v>
      </c>
      <c r="G64" s="28">
        <v>0.0</v>
      </c>
      <c r="H64" s="28">
        <f>F64*0.5/100</f>
        <v>38.5</v>
      </c>
    </row>
    <row r="65" ht="22.5" customHeight="1">
      <c r="A65" s="76" t="str">
        <f t="shared" si="1"/>
        <v>น๊อตปลายสว่าน-3½"</v>
      </c>
      <c r="B65" s="26" t="s">
        <v>1351</v>
      </c>
      <c r="C65" s="26" t="s">
        <v>1358</v>
      </c>
      <c r="D65" s="28"/>
      <c r="E65" s="30" t="s">
        <v>1359</v>
      </c>
      <c r="F65" s="26">
        <v>370.0</v>
      </c>
      <c r="G65" s="28">
        <v>0.0</v>
      </c>
      <c r="H65" s="28">
        <f>F65*0.5/81</f>
        <v>2.283950617</v>
      </c>
    </row>
    <row r="66" ht="22.5" customHeight="1">
      <c r="A66" s="76" t="str">
        <f t="shared" si="1"/>
        <v>น๊อตปลายสว่าน-4"</v>
      </c>
      <c r="B66" s="26" t="s">
        <v>1351</v>
      </c>
      <c r="C66" s="26" t="s">
        <v>1070</v>
      </c>
      <c r="D66" s="28"/>
      <c r="E66" s="45" t="s">
        <v>1360</v>
      </c>
      <c r="F66" s="26">
        <v>561.0</v>
      </c>
      <c r="G66" s="28">
        <v>0.0</v>
      </c>
      <c r="H66" s="28">
        <f>F66*0.5/70</f>
        <v>4.007142857</v>
      </c>
    </row>
    <row r="67" ht="22.5" customHeight="1">
      <c r="A67" s="76" t="str">
        <f t="shared" si="1"/>
        <v>ลูกรีเวท สีเงิน-46057</v>
      </c>
      <c r="B67" s="26" t="s">
        <v>1361</v>
      </c>
      <c r="C67" s="79">
        <v>46057.0</v>
      </c>
      <c r="D67" s="28"/>
      <c r="E67" s="45" t="s">
        <v>1362</v>
      </c>
      <c r="F67" s="26">
        <v>11676.0</v>
      </c>
      <c r="G67" s="28">
        <v>0.0</v>
      </c>
      <c r="H67" s="28">
        <f>F67*0.35/288</f>
        <v>14.18958333</v>
      </c>
    </row>
    <row r="68" ht="22.5" customHeight="1">
      <c r="A68" s="76" t="str">
        <f t="shared" si="1"/>
        <v>ลูกรีเวท สีเงิน-46116</v>
      </c>
      <c r="B68" s="26" t="s">
        <v>1361</v>
      </c>
      <c r="C68" s="79">
        <v>46116.0</v>
      </c>
      <c r="D68" s="28"/>
      <c r="E68" s="45" t="s">
        <v>1363</v>
      </c>
      <c r="F68" s="26">
        <v>39264.0</v>
      </c>
      <c r="G68" s="28">
        <v>0.0</v>
      </c>
      <c r="H68" s="28">
        <f>F68*0.35/265</f>
        <v>51.85811321</v>
      </c>
    </row>
    <row r="69" ht="22.5" customHeight="1">
      <c r="A69" s="76" t="str">
        <f t="shared" si="1"/>
        <v>ลูกรีเวท สีเงิน-46177</v>
      </c>
      <c r="B69" s="26" t="s">
        <v>1361</v>
      </c>
      <c r="C69" s="79">
        <v>46177.0</v>
      </c>
      <c r="D69" s="28"/>
      <c r="E69" s="45" t="s">
        <v>1364</v>
      </c>
      <c r="F69" s="26">
        <v>15254.0</v>
      </c>
      <c r="G69" s="28">
        <v>0.0</v>
      </c>
      <c r="H69" s="28">
        <f>F69*0.35/254</f>
        <v>21.01929134</v>
      </c>
    </row>
    <row r="70" ht="22.5" customHeight="1">
      <c r="A70" s="76" t="str">
        <f t="shared" si="1"/>
        <v>ลูกรีเวท สีเงิน-46117</v>
      </c>
      <c r="B70" s="26" t="s">
        <v>1361</v>
      </c>
      <c r="C70" s="79">
        <v>46117.0</v>
      </c>
      <c r="D70" s="28"/>
      <c r="E70" s="45" t="s">
        <v>1365</v>
      </c>
      <c r="F70" s="26">
        <v>10190.0</v>
      </c>
      <c r="G70" s="28">
        <v>0.0</v>
      </c>
      <c r="H70" s="28">
        <f>F70*0.35/190</f>
        <v>18.77105263</v>
      </c>
    </row>
    <row r="71" ht="22.5" customHeight="1">
      <c r="A71" s="76" t="str">
        <f t="shared" si="1"/>
        <v>ลูกรีเวท สีเงิน-46118</v>
      </c>
      <c r="B71" s="26" t="s">
        <v>1361</v>
      </c>
      <c r="C71" s="79">
        <v>46118.0</v>
      </c>
      <c r="D71" s="28"/>
      <c r="E71" s="45" t="s">
        <v>1366</v>
      </c>
      <c r="F71" s="26">
        <v>8328.0</v>
      </c>
      <c r="G71" s="28">
        <v>0.0</v>
      </c>
      <c r="H71" s="28">
        <f>F71*0.35/128</f>
        <v>22.771875</v>
      </c>
    </row>
    <row r="72" ht="22.5" customHeight="1">
      <c r="A72" s="76" t="str">
        <f t="shared" si="1"/>
        <v>ลูกรีเวท สีดำ -46057</v>
      </c>
      <c r="B72" s="26" t="s">
        <v>1367</v>
      </c>
      <c r="C72" s="79">
        <v>46057.0</v>
      </c>
      <c r="D72" s="28"/>
      <c r="E72" s="45" t="s">
        <v>1368</v>
      </c>
      <c r="F72" s="26">
        <v>4288.0</v>
      </c>
      <c r="G72" s="28">
        <v>0.0</v>
      </c>
      <c r="H72" s="28">
        <f>F72*0.35/288</f>
        <v>5.211111111</v>
      </c>
    </row>
    <row r="73" ht="22.5" customHeight="1">
      <c r="A73" s="76" t="str">
        <f t="shared" si="1"/>
        <v>ลูกรีเวท สีดำ -46116</v>
      </c>
      <c r="B73" s="26" t="s">
        <v>1367</v>
      </c>
      <c r="C73" s="79">
        <v>46116.0</v>
      </c>
      <c r="D73" s="28"/>
      <c r="E73" s="45" t="s">
        <v>1369</v>
      </c>
      <c r="F73" s="26">
        <v>10265.0</v>
      </c>
      <c r="G73" s="28">
        <v>0.0</v>
      </c>
      <c r="H73" s="28">
        <f>F73*0.35/265</f>
        <v>13.55754717</v>
      </c>
    </row>
    <row r="74" ht="22.5" customHeight="1">
      <c r="A74" s="76" t="str">
        <f t="shared" si="1"/>
        <v>ลูกรีเวท สีดำ -46177</v>
      </c>
      <c r="B74" s="26" t="s">
        <v>1367</v>
      </c>
      <c r="C74" s="79">
        <v>46177.0</v>
      </c>
      <c r="D74" s="28"/>
      <c r="E74" s="45" t="s">
        <v>1370</v>
      </c>
      <c r="F74" s="26">
        <v>7354.0</v>
      </c>
      <c r="G74" s="28">
        <v>0.0</v>
      </c>
      <c r="H74" s="28">
        <f>F74*0.35/254</f>
        <v>10.13346457</v>
      </c>
    </row>
    <row r="75" ht="22.5" customHeight="1">
      <c r="A75" s="76" t="str">
        <f t="shared" si="1"/>
        <v>ลูกรีเวท สีขาว-46057</v>
      </c>
      <c r="B75" s="26" t="s">
        <v>1371</v>
      </c>
      <c r="C75" s="79">
        <v>46057.0</v>
      </c>
      <c r="D75" s="28"/>
      <c r="E75" s="27" t="s">
        <v>1372</v>
      </c>
      <c r="F75" s="26">
        <v>5288.0</v>
      </c>
      <c r="G75" s="28">
        <v>0.0</v>
      </c>
      <c r="H75" s="28">
        <f>F75*0.35/288</f>
        <v>6.426388889</v>
      </c>
    </row>
    <row r="76" ht="22.5" customHeight="1">
      <c r="A76" s="76" t="str">
        <f t="shared" si="1"/>
        <v>ลูกรีเวท สีขาว-46116</v>
      </c>
      <c r="B76" s="26" t="s">
        <v>1371</v>
      </c>
      <c r="C76" s="79">
        <v>46116.0</v>
      </c>
      <c r="D76" s="28"/>
      <c r="E76" s="45" t="s">
        <v>1373</v>
      </c>
      <c r="F76" s="26">
        <v>13265.0</v>
      </c>
      <c r="G76" s="28">
        <v>0.0</v>
      </c>
      <c r="H76" s="28">
        <f>F76*0.35/265</f>
        <v>17.51981132</v>
      </c>
    </row>
    <row r="77" ht="22.5" customHeight="1">
      <c r="A77" s="76" t="str">
        <f t="shared" si="1"/>
        <v>ลูกรีเวท สีขาว-46177</v>
      </c>
      <c r="B77" s="26" t="s">
        <v>1371</v>
      </c>
      <c r="C77" s="79">
        <v>46177.0</v>
      </c>
      <c r="D77" s="28"/>
      <c r="E77" s="45" t="s">
        <v>1374</v>
      </c>
      <c r="F77" s="26">
        <v>2254.0</v>
      </c>
      <c r="G77" s="28">
        <v>0.0</v>
      </c>
      <c r="H77" s="28">
        <f>F77*0.35/254</f>
        <v>3.105905512</v>
      </c>
    </row>
    <row r="78" ht="22.5" customHeight="1">
      <c r="A78" s="76" t="str">
        <f t="shared" si="1"/>
        <v>ลูกรีเวท สีชา-46057</v>
      </c>
      <c r="B78" s="26" t="s">
        <v>1375</v>
      </c>
      <c r="C78" s="79">
        <v>46057.0</v>
      </c>
      <c r="D78" s="28"/>
      <c r="E78" s="45" t="s">
        <v>1376</v>
      </c>
      <c r="F78" s="26">
        <v>3576.0</v>
      </c>
      <c r="G78" s="28">
        <v>0.0</v>
      </c>
      <c r="H78" s="28">
        <f>F78*0.35/288</f>
        <v>4.345833333</v>
      </c>
    </row>
    <row r="79" ht="22.5" customHeight="1">
      <c r="A79" s="76" t="str">
        <f t="shared" si="1"/>
        <v>ลูกรีเวท สีชา-46116</v>
      </c>
      <c r="B79" s="26" t="s">
        <v>1375</v>
      </c>
      <c r="C79" s="79">
        <v>46116.0</v>
      </c>
      <c r="D79" s="28"/>
      <c r="E79" s="45" t="s">
        <v>1377</v>
      </c>
      <c r="F79" s="26">
        <v>9265.0</v>
      </c>
      <c r="G79" s="28">
        <v>0.0</v>
      </c>
      <c r="H79" s="28">
        <f>F79*0.35/265</f>
        <v>12.23679245</v>
      </c>
    </row>
    <row r="80" ht="22.5" customHeight="1">
      <c r="A80" s="76" t="str">
        <f t="shared" si="1"/>
        <v>ลูกรีเวท สีชา-46177</v>
      </c>
      <c r="B80" s="26" t="s">
        <v>1375</v>
      </c>
      <c r="C80" s="79">
        <v>46177.0</v>
      </c>
      <c r="D80" s="28"/>
      <c r="E80" s="45" t="s">
        <v>1378</v>
      </c>
      <c r="F80" s="26">
        <v>7254.0</v>
      </c>
      <c r="G80" s="28">
        <v>0.0</v>
      </c>
      <c r="H80" s="28">
        <f>F80*0.35/254</f>
        <v>9.995669291</v>
      </c>
    </row>
    <row r="81" ht="22.5" customHeight="1">
      <c r="A81" s="76" t="str">
        <f t="shared" si="1"/>
        <v>น๊อตยิงฝ้า สีดำ-6x1"</v>
      </c>
      <c r="B81" s="26" t="s">
        <v>1336</v>
      </c>
      <c r="C81" s="26" t="s">
        <v>1283</v>
      </c>
      <c r="D81" s="28"/>
      <c r="E81" s="27" t="s">
        <v>1338</v>
      </c>
      <c r="F81" s="26">
        <v>27600.0</v>
      </c>
      <c r="G81" s="28">
        <v>0.0</v>
      </c>
      <c r="H81" s="28">
        <f t="shared" ref="H81:H82" si="2">F81*0.6/600</f>
        <v>27.6</v>
      </c>
    </row>
    <row r="82" ht="22.5" customHeight="1">
      <c r="A82" s="76" t="str">
        <f t="shared" si="1"/>
        <v>น๊อตยิงฝ้า สีดำ-6x1½"</v>
      </c>
      <c r="B82" s="26" t="s">
        <v>1336</v>
      </c>
      <c r="C82" s="26" t="s">
        <v>1379</v>
      </c>
      <c r="D82" s="28"/>
      <c r="E82" s="27" t="s">
        <v>1340</v>
      </c>
      <c r="F82" s="26">
        <v>7870.0</v>
      </c>
      <c r="G82" s="28">
        <v>0.0</v>
      </c>
      <c r="H82" s="28">
        <f t="shared" si="2"/>
        <v>7.87</v>
      </c>
    </row>
    <row r="83" ht="22.5" customHeight="1">
      <c r="A83" s="76" t="str">
        <f t="shared" si="1"/>
        <v>น๊อตยิงฝ้า สีดำ-6x2"</v>
      </c>
      <c r="B83" s="26" t="s">
        <v>1336</v>
      </c>
      <c r="C83" s="26" t="s">
        <v>1380</v>
      </c>
      <c r="D83" s="28"/>
      <c r="E83" s="45" t="s">
        <v>1381</v>
      </c>
      <c r="F83" s="26">
        <v>1500.0</v>
      </c>
      <c r="G83" s="28">
        <v>0.0</v>
      </c>
      <c r="H83" s="28">
        <f>F83*0.6/500</f>
        <v>1.8</v>
      </c>
    </row>
    <row r="84" ht="22.5" customHeight="1">
      <c r="A84" s="76" t="str">
        <f t="shared" si="1"/>
        <v>น๊อตยิงฝ้า สีดำ-6x3/4"</v>
      </c>
      <c r="B84" s="26" t="s">
        <v>1336</v>
      </c>
      <c r="C84" s="26" t="s">
        <v>1382</v>
      </c>
      <c r="D84" s="28"/>
      <c r="E84" s="27" t="s">
        <v>1383</v>
      </c>
      <c r="F84" s="26">
        <v>2535.0</v>
      </c>
      <c r="G84" s="28">
        <v>0.0</v>
      </c>
      <c r="H84" s="28">
        <f>F84*0.5/600</f>
        <v>2.1125</v>
      </c>
    </row>
    <row r="85" ht="22.5" customHeight="1">
      <c r="A85" s="76" t="str">
        <f t="shared" si="1"/>
        <v>น๊อตหกเหลี่ยมยางดำปลายสว่าน-1"</v>
      </c>
      <c r="B85" s="26" t="s">
        <v>1384</v>
      </c>
      <c r="C85" s="26" t="s">
        <v>1344</v>
      </c>
      <c r="D85" s="28"/>
      <c r="E85" s="27" t="s">
        <v>1385</v>
      </c>
      <c r="F85" s="26">
        <v>2135.0</v>
      </c>
      <c r="G85" s="28">
        <v>0.0</v>
      </c>
      <c r="H85" s="28">
        <f>F85*0.5/103</f>
        <v>10.36407767</v>
      </c>
    </row>
    <row r="86" ht="22.5" customHeight="1">
      <c r="A86" s="76" t="str">
        <f t="shared" si="1"/>
        <v>น๊อตหกเหลี่ยมยางดำปลายสว่าน-1½"</v>
      </c>
      <c r="B86" s="26" t="s">
        <v>1384</v>
      </c>
      <c r="C86" s="26" t="s">
        <v>1346</v>
      </c>
      <c r="D86" s="28"/>
      <c r="E86" s="27" t="s">
        <v>1347</v>
      </c>
      <c r="F86" s="26">
        <v>4800.0</v>
      </c>
      <c r="G86" s="28">
        <v>0.0</v>
      </c>
      <c r="H86" s="28">
        <f>F86*0.5/78</f>
        <v>30.76923077</v>
      </c>
    </row>
    <row r="87" ht="22.5" customHeight="1">
      <c r="A87" s="76" t="str">
        <f t="shared" si="1"/>
        <v>น๊อตหกเหลี่ยมยางดำปลายสว่าน-2"</v>
      </c>
      <c r="B87" s="26" t="s">
        <v>1384</v>
      </c>
      <c r="C87" s="26" t="s">
        <v>815</v>
      </c>
      <c r="D87" s="28"/>
      <c r="E87" s="27" t="s">
        <v>1348</v>
      </c>
      <c r="F87" s="26">
        <v>6030.0</v>
      </c>
      <c r="G87" s="28">
        <v>0.0</v>
      </c>
      <c r="H87" s="28">
        <f>F87*0.5/84</f>
        <v>35.89285714</v>
      </c>
    </row>
    <row r="88" ht="22.5" customHeight="1">
      <c r="A88" s="80" t="str">
        <f t="shared" si="1"/>
        <v>น๊อตหกเหลี่ยมยางดำปลายสว่าน-3"</v>
      </c>
      <c r="B88" s="26" t="s">
        <v>1384</v>
      </c>
      <c r="C88" s="26" t="s">
        <v>598</v>
      </c>
      <c r="D88" s="28"/>
      <c r="E88" s="27" t="s">
        <v>1349</v>
      </c>
      <c r="F88" s="26">
        <v>1500.0</v>
      </c>
      <c r="G88" s="28">
        <v>0.0</v>
      </c>
      <c r="H88" s="28">
        <f>F88*0.5/54</f>
        <v>13.88888889</v>
      </c>
    </row>
    <row r="89" ht="23.25" customHeight="1">
      <c r="A89" s="76" t="str">
        <f t="shared" si="1"/>
        <v>น๊อตหกเหลี่ยมยางดำปลายสว่าน-4"</v>
      </c>
      <c r="B89" s="26" t="s">
        <v>1384</v>
      </c>
      <c r="C89" s="26" t="s">
        <v>1070</v>
      </c>
      <c r="D89" s="28"/>
      <c r="E89" s="27" t="s">
        <v>1386</v>
      </c>
      <c r="F89" s="26">
        <v>2448.0</v>
      </c>
      <c r="G89" s="28">
        <v>0.0</v>
      </c>
      <c r="H89" s="28">
        <f>F89*0.5/46</f>
        <v>26.60869565</v>
      </c>
    </row>
    <row r="90" ht="22.5" customHeight="1">
      <c r="A90" s="80" t="str">
        <f t="shared" si="1"/>
        <v>-</v>
      </c>
      <c r="B90" s="26"/>
      <c r="C90" s="26"/>
      <c r="D90" s="28"/>
      <c r="E90" s="26"/>
      <c r="F90" s="28"/>
      <c r="G90" s="28">
        <v>0.0</v>
      </c>
      <c r="H90" s="28"/>
    </row>
    <row r="91" ht="22.5" customHeight="1">
      <c r="A91" s="76" t="str">
        <f t="shared" si="1"/>
        <v>-</v>
      </c>
      <c r="B91" s="26"/>
      <c r="C91" s="26"/>
      <c r="D91" s="28"/>
      <c r="E91" s="26"/>
      <c r="F91" s="28"/>
      <c r="G91" s="28">
        <v>0.0</v>
      </c>
      <c r="H91" s="28"/>
    </row>
    <row r="92" ht="22.5" customHeight="1">
      <c r="A92" s="76" t="str">
        <f t="shared" si="1"/>
        <v>-</v>
      </c>
      <c r="B92" s="26"/>
      <c r="C92" s="26"/>
      <c r="D92" s="28"/>
      <c r="E92" s="30"/>
      <c r="F92" s="28"/>
      <c r="G92" s="28">
        <v>0.0</v>
      </c>
      <c r="H92" s="28"/>
    </row>
    <row r="93" ht="22.5" customHeight="1">
      <c r="A93" s="76" t="str">
        <f t="shared" si="1"/>
        <v>-</v>
      </c>
      <c r="B93" s="26"/>
      <c r="C93" s="26"/>
      <c r="D93" s="28"/>
      <c r="E93" s="26"/>
      <c r="F93" s="28"/>
      <c r="G93" s="28">
        <v>0.0</v>
      </c>
      <c r="H93" s="28"/>
    </row>
    <row r="94" ht="22.5" customHeight="1">
      <c r="A94" s="76" t="str">
        <f t="shared" si="1"/>
        <v>-</v>
      </c>
      <c r="B94" s="26"/>
      <c r="C94" s="26"/>
      <c r="D94" s="28"/>
      <c r="E94" s="26"/>
      <c r="F94" s="28"/>
      <c r="G94" s="28">
        <v>0.0</v>
      </c>
      <c r="H94" s="28"/>
    </row>
    <row r="95" ht="22.5" customHeight="1">
      <c r="A95" s="76" t="str">
        <f t="shared" si="1"/>
        <v>-</v>
      </c>
      <c r="B95" s="26"/>
      <c r="C95" s="26"/>
      <c r="D95" s="28"/>
      <c r="E95" s="26"/>
      <c r="F95" s="28"/>
      <c r="G95" s="28">
        <v>0.0</v>
      </c>
      <c r="H95" s="28"/>
    </row>
    <row r="96" ht="22.5" customHeight="1">
      <c r="A96" s="76" t="str">
        <f t="shared" si="1"/>
        <v>-</v>
      </c>
      <c r="B96" s="26"/>
      <c r="C96" s="26"/>
      <c r="D96" s="28"/>
      <c r="E96" s="26"/>
      <c r="F96" s="28"/>
      <c r="G96" s="28">
        <v>0.0</v>
      </c>
      <c r="H96" s="28"/>
    </row>
    <row r="97" ht="22.5" customHeight="1">
      <c r="A97" s="76" t="str">
        <f t="shared" si="1"/>
        <v>-</v>
      </c>
      <c r="B97" s="26"/>
      <c r="C97" s="26"/>
      <c r="D97" s="28"/>
      <c r="E97" s="26"/>
      <c r="F97" s="28"/>
      <c r="G97" s="28">
        <v>0.0</v>
      </c>
      <c r="H97" s="28"/>
    </row>
    <row r="98" ht="22.5" customHeight="1">
      <c r="A98" s="76" t="str">
        <f t="shared" si="1"/>
        <v>-</v>
      </c>
      <c r="B98" s="26"/>
      <c r="C98" s="26"/>
      <c r="D98" s="28"/>
      <c r="E98" s="26"/>
      <c r="F98" s="28"/>
      <c r="G98" s="28">
        <v>0.0</v>
      </c>
      <c r="H98" s="28"/>
    </row>
    <row r="99" ht="22.5" customHeight="1">
      <c r="A99" s="76" t="str">
        <f t="shared" si="1"/>
        <v>-</v>
      </c>
      <c r="B99" s="26"/>
      <c r="C99" s="26"/>
      <c r="D99" s="28"/>
      <c r="E99" s="26"/>
      <c r="F99" s="28"/>
      <c r="G99" s="28">
        <v>0.0</v>
      </c>
      <c r="H99" s="28"/>
    </row>
    <row r="100" ht="22.5" customHeight="1">
      <c r="A100" s="76" t="str">
        <f t="shared" si="1"/>
        <v>-</v>
      </c>
      <c r="B100" s="26"/>
      <c r="C100" s="26"/>
      <c r="D100" s="28"/>
      <c r="E100" s="26"/>
      <c r="F100" s="28"/>
      <c r="G100" s="28">
        <v>0.0</v>
      </c>
      <c r="H100" s="28"/>
    </row>
    <row r="101" ht="22.5" customHeight="1">
      <c r="A101" s="76" t="str">
        <f t="shared" si="1"/>
        <v>-</v>
      </c>
      <c r="B101" s="26"/>
      <c r="C101" s="26"/>
      <c r="D101" s="28"/>
      <c r="E101" s="26"/>
      <c r="F101" s="28"/>
      <c r="G101" s="28">
        <v>0.0</v>
      </c>
      <c r="H101" s="28"/>
    </row>
    <row r="102" ht="22.5" customHeight="1">
      <c r="A102" s="76" t="str">
        <f t="shared" si="1"/>
        <v>-</v>
      </c>
      <c r="B102" s="26"/>
      <c r="C102" s="26"/>
      <c r="D102" s="28"/>
      <c r="E102" s="26"/>
      <c r="F102" s="28"/>
      <c r="G102" s="28">
        <v>0.0</v>
      </c>
      <c r="H102" s="28"/>
    </row>
    <row r="103" ht="22.5" customHeight="1">
      <c r="A103" s="76" t="str">
        <f t="shared" si="1"/>
        <v>-</v>
      </c>
      <c r="B103" s="26"/>
      <c r="C103" s="26"/>
      <c r="D103" s="28"/>
      <c r="E103" s="26"/>
      <c r="F103" s="28"/>
      <c r="G103" s="28">
        <v>0.0</v>
      </c>
      <c r="H103" s="28"/>
    </row>
    <row r="104" ht="22.5" customHeight="1">
      <c r="A104" s="76" t="str">
        <f t="shared" si="1"/>
        <v>-</v>
      </c>
      <c r="B104" s="26"/>
      <c r="C104" s="26"/>
      <c r="D104" s="28"/>
      <c r="E104" s="26"/>
      <c r="F104" s="28"/>
      <c r="G104" s="28">
        <v>0.0</v>
      </c>
      <c r="H104" s="28"/>
    </row>
    <row r="105" ht="22.5" customHeight="1">
      <c r="A105" s="76" t="str">
        <f t="shared" si="1"/>
        <v>-</v>
      </c>
      <c r="B105" s="26"/>
      <c r="C105" s="26"/>
      <c r="D105" s="28"/>
      <c r="E105" s="26"/>
      <c r="F105" s="28"/>
      <c r="G105" s="28">
        <v>0.0</v>
      </c>
      <c r="H105" s="28"/>
    </row>
    <row r="106" ht="22.5" customHeight="1">
      <c r="A106" s="76" t="str">
        <f t="shared" si="1"/>
        <v>-</v>
      </c>
      <c r="B106" s="26"/>
      <c r="C106" s="26"/>
      <c r="D106" s="28"/>
      <c r="E106" s="26"/>
      <c r="F106" s="28"/>
      <c r="G106" s="28">
        <v>0.0</v>
      </c>
      <c r="H106" s="28"/>
    </row>
    <row r="107" ht="22.5" customHeight="1">
      <c r="A107" s="76" t="str">
        <f t="shared" si="1"/>
        <v>-</v>
      </c>
      <c r="B107" s="26"/>
      <c r="C107" s="26"/>
      <c r="D107" s="28"/>
      <c r="E107" s="30"/>
      <c r="F107" s="28"/>
      <c r="G107" s="28">
        <v>0.0</v>
      </c>
      <c r="H107" s="28"/>
    </row>
    <row r="108" ht="22.5" customHeight="1">
      <c r="A108" s="76" t="str">
        <f t="shared" si="1"/>
        <v>-</v>
      </c>
      <c r="B108" s="26"/>
      <c r="C108" s="26"/>
      <c r="D108" s="28"/>
      <c r="E108" s="26"/>
      <c r="F108" s="28"/>
      <c r="G108" s="28">
        <v>0.0</v>
      </c>
      <c r="H108" s="28"/>
    </row>
    <row r="109" ht="22.5" customHeight="1">
      <c r="A109" s="76" t="str">
        <f t="shared" si="1"/>
        <v>-</v>
      </c>
      <c r="B109" s="26"/>
      <c r="C109" s="26"/>
      <c r="D109" s="28"/>
      <c r="E109" s="30"/>
      <c r="F109" s="28"/>
      <c r="G109" s="28">
        <v>0.0</v>
      </c>
      <c r="H109" s="28"/>
    </row>
    <row r="110" ht="22.5" customHeight="1">
      <c r="A110" s="76" t="str">
        <f t="shared" si="1"/>
        <v>-</v>
      </c>
      <c r="B110" s="26"/>
      <c r="C110" s="26"/>
      <c r="D110" s="28"/>
      <c r="E110" s="26"/>
      <c r="F110" s="28"/>
      <c r="G110" s="28">
        <v>0.0</v>
      </c>
      <c r="H110" s="28"/>
    </row>
    <row r="111" ht="22.5" customHeight="1">
      <c r="A111" s="76" t="str">
        <f t="shared" si="1"/>
        <v>-</v>
      </c>
      <c r="B111" s="26"/>
      <c r="C111" s="26"/>
      <c r="D111" s="28"/>
      <c r="E111" s="26"/>
      <c r="F111" s="28"/>
      <c r="G111" s="28">
        <v>0.0</v>
      </c>
      <c r="H111" s="28"/>
    </row>
    <row r="112" ht="22.5" customHeight="1">
      <c r="A112" s="76" t="str">
        <f t="shared" si="1"/>
        <v>-</v>
      </c>
      <c r="B112" s="26"/>
      <c r="C112" s="26"/>
      <c r="D112" s="28"/>
      <c r="E112" s="26"/>
      <c r="F112" s="28"/>
      <c r="G112" s="28">
        <v>0.0</v>
      </c>
      <c r="H112" s="28"/>
    </row>
    <row r="113" ht="22.5" customHeight="1">
      <c r="A113" s="76" t="str">
        <f t="shared" si="1"/>
        <v>-</v>
      </c>
      <c r="B113" s="26"/>
      <c r="C113" s="26"/>
      <c r="D113" s="28"/>
      <c r="E113" s="26"/>
      <c r="F113" s="28"/>
      <c r="G113" s="28">
        <v>0.0</v>
      </c>
      <c r="H113" s="28"/>
    </row>
    <row r="114" ht="22.5" customHeight="1">
      <c r="A114" s="76" t="str">
        <f t="shared" si="1"/>
        <v>-</v>
      </c>
      <c r="B114" s="26"/>
      <c r="C114" s="26"/>
      <c r="D114" s="28"/>
      <c r="E114" s="26"/>
      <c r="F114" s="28"/>
      <c r="G114" s="28">
        <v>0.0</v>
      </c>
      <c r="H114" s="28"/>
    </row>
    <row r="115" ht="22.5" customHeight="1">
      <c r="A115" s="76" t="str">
        <f t="shared" si="1"/>
        <v>-</v>
      </c>
      <c r="B115" s="26"/>
      <c r="C115" s="26"/>
      <c r="D115" s="28"/>
      <c r="E115" s="39"/>
      <c r="F115" s="28"/>
      <c r="G115" s="28">
        <v>0.0</v>
      </c>
      <c r="H115" s="28"/>
    </row>
    <row r="116" ht="22.5" customHeight="1">
      <c r="A116" s="76" t="str">
        <f t="shared" si="1"/>
        <v>-</v>
      </c>
      <c r="B116" s="26"/>
      <c r="C116" s="26"/>
      <c r="D116" s="28"/>
      <c r="E116" s="26"/>
      <c r="F116" s="28"/>
      <c r="G116" s="28">
        <v>0.0</v>
      </c>
      <c r="H116" s="28"/>
    </row>
    <row r="117" ht="22.5" customHeight="1">
      <c r="A117" s="76" t="str">
        <f t="shared" si="1"/>
        <v>-</v>
      </c>
      <c r="B117" s="26"/>
      <c r="C117" s="26"/>
      <c r="D117" s="28"/>
      <c r="E117" s="26"/>
      <c r="F117" s="28"/>
      <c r="G117" s="28">
        <v>0.0</v>
      </c>
      <c r="H117" s="28"/>
    </row>
    <row r="118" ht="22.5" customHeight="1">
      <c r="A118" s="76" t="str">
        <f t="shared" si="1"/>
        <v>-</v>
      </c>
      <c r="B118" s="26"/>
      <c r="C118" s="26"/>
      <c r="D118" s="28"/>
      <c r="E118" s="26"/>
      <c r="F118" s="28"/>
      <c r="G118" s="28">
        <v>0.0</v>
      </c>
      <c r="H118" s="28"/>
    </row>
    <row r="119" ht="22.5" customHeight="1">
      <c r="A119" s="76" t="str">
        <f t="shared" si="1"/>
        <v>-</v>
      </c>
      <c r="B119" s="26"/>
      <c r="C119" s="26"/>
      <c r="D119" s="28"/>
      <c r="E119" s="26"/>
      <c r="F119" s="28"/>
      <c r="G119" s="28">
        <v>0.0</v>
      </c>
      <c r="H119" s="28"/>
    </row>
    <row r="120" ht="22.5" customHeight="1">
      <c r="A120" s="80" t="str">
        <f t="shared" si="1"/>
        <v>-</v>
      </c>
      <c r="B120" s="26"/>
      <c r="C120" s="26"/>
      <c r="D120" s="28"/>
      <c r="E120" s="26"/>
      <c r="F120" s="28"/>
      <c r="G120" s="28">
        <v>0.0</v>
      </c>
      <c r="H120" s="28"/>
    </row>
    <row r="121" ht="22.5" customHeight="1">
      <c r="A121" s="80" t="str">
        <f t="shared" si="1"/>
        <v>-</v>
      </c>
      <c r="B121" s="26"/>
      <c r="C121" s="26"/>
      <c r="D121" s="28"/>
      <c r="E121" s="26"/>
      <c r="F121" s="28"/>
      <c r="G121" s="28">
        <v>0.0</v>
      </c>
      <c r="H121" s="28"/>
    </row>
    <row r="122" ht="22.5" customHeight="1">
      <c r="A122" s="80" t="str">
        <f t="shared" si="1"/>
        <v>-</v>
      </c>
      <c r="B122" s="26"/>
      <c r="C122" s="26"/>
      <c r="D122" s="28"/>
      <c r="E122" s="26"/>
      <c r="F122" s="28"/>
      <c r="G122" s="28">
        <v>0.0</v>
      </c>
      <c r="H122" s="28"/>
    </row>
    <row r="123" ht="22.5" customHeight="1">
      <c r="A123" s="80" t="str">
        <f t="shared" si="1"/>
        <v>-</v>
      </c>
      <c r="B123" s="26"/>
      <c r="C123" s="26"/>
      <c r="D123" s="28"/>
      <c r="E123" s="26"/>
      <c r="F123" s="28"/>
      <c r="G123" s="28">
        <v>0.0</v>
      </c>
      <c r="H123" s="28"/>
    </row>
    <row r="124" ht="22.5" customHeight="1">
      <c r="A124" s="80" t="str">
        <f t="shared" si="1"/>
        <v>-</v>
      </c>
      <c r="B124" s="26"/>
      <c r="C124" s="26"/>
      <c r="D124" s="28"/>
      <c r="E124" s="26"/>
      <c r="F124" s="28"/>
      <c r="G124" s="28">
        <v>0.0</v>
      </c>
      <c r="H124" s="28"/>
    </row>
    <row r="125" ht="22.5" customHeight="1">
      <c r="A125" s="76" t="str">
        <f t="shared" si="1"/>
        <v>-</v>
      </c>
      <c r="B125" s="26"/>
      <c r="C125" s="26"/>
      <c r="D125" s="28"/>
      <c r="E125" s="26"/>
      <c r="F125" s="28"/>
      <c r="G125" s="28">
        <v>0.0</v>
      </c>
      <c r="H125" s="28"/>
    </row>
    <row r="126" ht="22.5" customHeight="1">
      <c r="A126" s="80" t="str">
        <f t="shared" si="1"/>
        <v>-</v>
      </c>
      <c r="B126" s="26"/>
      <c r="C126" s="26"/>
      <c r="D126" s="28"/>
      <c r="E126" s="26"/>
      <c r="F126" s="28"/>
      <c r="G126" s="28">
        <v>0.0</v>
      </c>
      <c r="H126" s="28"/>
    </row>
    <row r="127" ht="22.5" customHeight="1">
      <c r="A127" s="76" t="str">
        <f t="shared" si="1"/>
        <v>-</v>
      </c>
      <c r="B127" s="26"/>
      <c r="C127" s="26"/>
      <c r="D127" s="28"/>
      <c r="E127" s="26"/>
      <c r="F127" s="28"/>
      <c r="G127" s="28">
        <v>0.0</v>
      </c>
      <c r="H127" s="28"/>
    </row>
    <row r="128" ht="22.5" customHeight="1">
      <c r="A128" s="80" t="str">
        <f t="shared" si="1"/>
        <v>-</v>
      </c>
      <c r="B128" s="26"/>
      <c r="C128" s="26"/>
      <c r="D128" s="28"/>
      <c r="E128" s="26"/>
      <c r="F128" s="28"/>
      <c r="G128" s="28">
        <v>0.0</v>
      </c>
      <c r="H128" s="28"/>
    </row>
    <row r="129" ht="22.5" customHeight="1">
      <c r="A129" s="80" t="str">
        <f t="shared" si="1"/>
        <v>-</v>
      </c>
      <c r="B129" s="26"/>
      <c r="C129" s="26"/>
      <c r="D129" s="28"/>
      <c r="E129" s="26"/>
      <c r="F129" s="28"/>
      <c r="G129" s="28">
        <v>0.0</v>
      </c>
      <c r="H129" s="28"/>
    </row>
    <row r="130" ht="22.5" customHeight="1">
      <c r="A130" s="80" t="str">
        <f t="shared" si="1"/>
        <v>-</v>
      </c>
      <c r="B130" s="26"/>
      <c r="C130" s="26"/>
      <c r="D130" s="28"/>
      <c r="E130" s="26"/>
      <c r="F130" s="28"/>
      <c r="G130" s="28">
        <v>0.0</v>
      </c>
      <c r="H130" s="28"/>
    </row>
    <row r="131" ht="22.5" customHeight="1">
      <c r="A131" s="80" t="str">
        <f t="shared" si="1"/>
        <v>-</v>
      </c>
      <c r="B131" s="26"/>
      <c r="C131" s="26"/>
      <c r="D131" s="28"/>
      <c r="E131" s="26"/>
      <c r="F131" s="28"/>
      <c r="G131" s="28">
        <v>0.0</v>
      </c>
      <c r="H131" s="28"/>
    </row>
    <row r="132" ht="22.5" customHeight="1">
      <c r="A132" s="80" t="str">
        <f t="shared" si="1"/>
        <v>-</v>
      </c>
      <c r="B132" s="26"/>
      <c r="C132" s="26"/>
      <c r="D132" s="28"/>
      <c r="E132" s="26"/>
      <c r="F132" s="28"/>
      <c r="G132" s="28">
        <v>0.0</v>
      </c>
      <c r="H132" s="28"/>
    </row>
    <row r="133" ht="22.5" customHeight="1">
      <c r="A133" s="80" t="str">
        <f t="shared" si="1"/>
        <v>-</v>
      </c>
      <c r="B133" s="26"/>
      <c r="C133" s="26"/>
      <c r="D133" s="28"/>
      <c r="E133" s="26"/>
      <c r="F133" s="28"/>
      <c r="G133" s="28">
        <v>0.0</v>
      </c>
      <c r="H133" s="28"/>
    </row>
    <row r="134" ht="22.5" customHeight="1">
      <c r="A134" s="76" t="str">
        <f t="shared" si="1"/>
        <v>-</v>
      </c>
      <c r="B134" s="26"/>
      <c r="C134" s="26"/>
      <c r="D134" s="28"/>
      <c r="E134" s="26"/>
      <c r="F134" s="28"/>
      <c r="G134" s="28">
        <v>0.0</v>
      </c>
      <c r="H134" s="28"/>
    </row>
    <row r="135" ht="22.5" customHeight="1">
      <c r="A135" s="76" t="str">
        <f t="shared" si="1"/>
        <v>-</v>
      </c>
      <c r="B135" s="26"/>
      <c r="C135" s="26"/>
      <c r="D135" s="28"/>
      <c r="E135" s="26"/>
      <c r="F135" s="28"/>
      <c r="G135" s="28">
        <v>0.0</v>
      </c>
      <c r="H135" s="28"/>
    </row>
    <row r="136" ht="22.5" customHeight="1">
      <c r="A136" s="76" t="str">
        <f t="shared" si="1"/>
        <v>-</v>
      </c>
      <c r="B136" s="26"/>
      <c r="C136" s="26"/>
      <c r="D136" s="28"/>
      <c r="E136" s="26"/>
      <c r="F136" s="28"/>
      <c r="G136" s="28">
        <v>0.0</v>
      </c>
      <c r="H136" s="28"/>
    </row>
    <row r="137" ht="22.5" customHeight="1">
      <c r="A137" s="80" t="str">
        <f t="shared" si="1"/>
        <v>-</v>
      </c>
      <c r="B137" s="26"/>
      <c r="C137" s="26"/>
      <c r="D137" s="28"/>
      <c r="E137" s="26"/>
      <c r="F137" s="28"/>
      <c r="G137" s="28">
        <v>0.0</v>
      </c>
      <c r="H137" s="28"/>
    </row>
    <row r="138" ht="22.5" customHeight="1">
      <c r="A138" s="76" t="str">
        <f t="shared" si="1"/>
        <v>-</v>
      </c>
      <c r="B138" s="26"/>
      <c r="C138" s="26"/>
      <c r="D138" s="28"/>
      <c r="E138" s="26"/>
      <c r="F138" s="28"/>
      <c r="G138" s="28">
        <v>0.0</v>
      </c>
      <c r="H138" s="28"/>
    </row>
    <row r="139" ht="22.5" customHeight="1">
      <c r="A139" s="76" t="str">
        <f t="shared" si="1"/>
        <v>-</v>
      </c>
      <c r="B139" s="26"/>
      <c r="C139" s="26"/>
      <c r="D139" s="28"/>
      <c r="E139" s="26"/>
      <c r="F139" s="28"/>
      <c r="G139" s="28">
        <v>0.0</v>
      </c>
      <c r="H139" s="28"/>
    </row>
    <row r="140" ht="22.5" customHeight="1">
      <c r="A140" s="76" t="str">
        <f t="shared" si="1"/>
        <v>-</v>
      </c>
      <c r="B140" s="26"/>
      <c r="C140" s="26"/>
      <c r="D140" s="28"/>
      <c r="E140" s="26"/>
      <c r="F140" s="28"/>
      <c r="G140" s="28">
        <v>0.0</v>
      </c>
      <c r="H140" s="28"/>
    </row>
    <row r="141" ht="22.5" customHeight="1">
      <c r="A141" s="76" t="str">
        <f t="shared" si="1"/>
        <v>-</v>
      </c>
      <c r="B141" s="26"/>
      <c r="C141" s="26"/>
      <c r="D141" s="28"/>
      <c r="E141" s="26"/>
      <c r="F141" s="28"/>
      <c r="G141" s="28">
        <v>0.0</v>
      </c>
      <c r="H141" s="28"/>
    </row>
    <row r="142" ht="22.5" customHeight="1">
      <c r="A142" s="76" t="str">
        <f t="shared" si="1"/>
        <v>-</v>
      </c>
      <c r="B142" s="26"/>
      <c r="C142" s="26"/>
      <c r="D142" s="28"/>
      <c r="E142" s="26"/>
      <c r="F142" s="28"/>
      <c r="G142" s="28">
        <v>0.0</v>
      </c>
      <c r="H142" s="28"/>
    </row>
    <row r="143">
      <c r="A143" s="40"/>
      <c r="B143" s="41"/>
      <c r="C143" s="41"/>
      <c r="D143" s="41"/>
      <c r="E143" s="41"/>
      <c r="F143" s="41"/>
      <c r="G143" s="41"/>
      <c r="H143" s="41"/>
    </row>
    <row r="144">
      <c r="A144" s="40"/>
      <c r="B144" s="41"/>
      <c r="C144" s="41"/>
      <c r="D144" s="41"/>
      <c r="E144" s="41"/>
      <c r="F144" s="41"/>
      <c r="G144" s="41"/>
      <c r="H144" s="41"/>
    </row>
    <row r="145">
      <c r="A145" s="40"/>
      <c r="B145" s="41"/>
      <c r="C145" s="41"/>
      <c r="D145" s="41"/>
      <c r="E145" s="41"/>
      <c r="F145" s="41"/>
      <c r="G145" s="41"/>
      <c r="H145" s="41"/>
    </row>
    <row r="146">
      <c r="A146" s="40"/>
      <c r="B146" s="41"/>
      <c r="C146" s="41"/>
      <c r="D146" s="41"/>
      <c r="E146" s="41"/>
      <c r="F146" s="41"/>
      <c r="G146" s="41"/>
      <c r="H146" s="41"/>
    </row>
    <row r="147">
      <c r="A147" s="40"/>
      <c r="B147" s="41"/>
      <c r="C147" s="41"/>
      <c r="D147" s="41"/>
      <c r="E147" s="41"/>
      <c r="F147" s="41"/>
      <c r="G147" s="41"/>
      <c r="H147" s="41"/>
    </row>
    <row r="148">
      <c r="A148" s="40"/>
      <c r="B148" s="41"/>
      <c r="C148" s="41"/>
      <c r="D148" s="41"/>
      <c r="E148" s="41"/>
      <c r="F148" s="41"/>
      <c r="G148" s="41"/>
      <c r="H148" s="41"/>
    </row>
    <row r="149">
      <c r="A149" s="40"/>
      <c r="B149" s="41"/>
      <c r="C149" s="41"/>
      <c r="D149" s="41"/>
      <c r="E149" s="41"/>
      <c r="F149" s="41"/>
      <c r="G149" s="41"/>
      <c r="H149" s="41"/>
    </row>
    <row r="150">
      <c r="A150" s="40"/>
      <c r="B150" s="41"/>
      <c r="C150" s="41"/>
      <c r="D150" s="41"/>
      <c r="E150" s="41"/>
      <c r="F150" s="41"/>
      <c r="G150" s="41"/>
      <c r="H150" s="41"/>
    </row>
    <row r="151">
      <c r="A151" s="40"/>
      <c r="B151" s="41"/>
      <c r="C151" s="41"/>
      <c r="D151" s="41"/>
      <c r="E151" s="41"/>
      <c r="F151" s="41"/>
      <c r="G151" s="41"/>
      <c r="H151" s="41"/>
    </row>
    <row r="152">
      <c r="A152" s="40"/>
      <c r="B152" s="41"/>
      <c r="C152" s="41"/>
      <c r="D152" s="41"/>
      <c r="E152" s="41"/>
      <c r="F152" s="41"/>
      <c r="G152" s="41"/>
      <c r="H152" s="41"/>
    </row>
    <row r="153">
      <c r="A153" s="40"/>
      <c r="B153" s="41"/>
      <c r="C153" s="41"/>
      <c r="D153" s="41"/>
      <c r="E153" s="41"/>
      <c r="F153" s="41"/>
      <c r="G153" s="41"/>
      <c r="H153" s="41"/>
    </row>
    <row r="154">
      <c r="A154" s="40"/>
      <c r="B154" s="41"/>
      <c r="C154" s="41"/>
      <c r="D154" s="41"/>
      <c r="E154" s="41"/>
      <c r="F154" s="41"/>
      <c r="G154" s="41"/>
      <c r="H154" s="41"/>
    </row>
    <row r="155">
      <c r="A155" s="40"/>
      <c r="B155" s="41"/>
      <c r="C155" s="41"/>
      <c r="D155" s="41"/>
      <c r="E155" s="41"/>
      <c r="F155" s="41"/>
      <c r="G155" s="41"/>
      <c r="H155" s="41"/>
    </row>
    <row r="156">
      <c r="A156" s="40"/>
      <c r="B156" s="41"/>
      <c r="C156" s="41"/>
      <c r="D156" s="41"/>
      <c r="E156" s="41"/>
      <c r="F156" s="41"/>
      <c r="G156" s="41"/>
      <c r="H156" s="41"/>
    </row>
    <row r="157">
      <c r="A157" s="40"/>
      <c r="B157" s="41"/>
      <c r="C157" s="41"/>
      <c r="D157" s="41"/>
      <c r="E157" s="41"/>
      <c r="F157" s="41"/>
      <c r="G157" s="41"/>
      <c r="H157" s="41"/>
    </row>
    <row r="158">
      <c r="A158" s="40"/>
      <c r="B158" s="41"/>
      <c r="C158" s="41"/>
      <c r="D158" s="41"/>
      <c r="E158" s="41"/>
      <c r="F158" s="41"/>
      <c r="G158" s="41"/>
      <c r="H158" s="41"/>
    </row>
    <row r="159">
      <c r="A159" s="40"/>
      <c r="B159" s="41"/>
      <c r="C159" s="41"/>
      <c r="D159" s="41"/>
      <c r="E159" s="41"/>
      <c r="F159" s="41"/>
      <c r="G159" s="41"/>
      <c r="H159" s="41"/>
    </row>
    <row r="160">
      <c r="A160" s="40"/>
      <c r="B160" s="41"/>
      <c r="C160" s="41"/>
      <c r="D160" s="41"/>
      <c r="E160" s="41"/>
      <c r="F160" s="41"/>
      <c r="G160" s="41"/>
      <c r="H160" s="41"/>
    </row>
    <row r="161">
      <c r="A161" s="40"/>
      <c r="B161" s="41"/>
      <c r="C161" s="41"/>
      <c r="D161" s="41"/>
      <c r="E161" s="41"/>
      <c r="F161" s="41"/>
      <c r="G161" s="41"/>
      <c r="H161" s="41"/>
    </row>
    <row r="162">
      <c r="A162" s="40"/>
      <c r="B162" s="41"/>
      <c r="C162" s="41"/>
      <c r="D162" s="41"/>
      <c r="E162" s="41"/>
      <c r="F162" s="41"/>
      <c r="G162" s="41"/>
      <c r="H162" s="41"/>
    </row>
    <row r="163">
      <c r="A163" s="40"/>
      <c r="B163" s="41"/>
      <c r="C163" s="41"/>
      <c r="D163" s="41"/>
      <c r="E163" s="41"/>
      <c r="F163" s="41"/>
      <c r="G163" s="41"/>
      <c r="H163" s="41"/>
    </row>
    <row r="164">
      <c r="A164" s="40"/>
      <c r="B164" s="41"/>
      <c r="C164" s="41"/>
      <c r="D164" s="41"/>
      <c r="E164" s="41"/>
      <c r="F164" s="41"/>
      <c r="G164" s="41"/>
      <c r="H164" s="41"/>
    </row>
    <row r="165">
      <c r="A165" s="40"/>
      <c r="B165" s="41"/>
      <c r="C165" s="41"/>
      <c r="D165" s="41"/>
      <c r="E165" s="41"/>
      <c r="F165" s="41"/>
      <c r="G165" s="41"/>
      <c r="H165" s="41"/>
    </row>
    <row r="166">
      <c r="A166" s="40"/>
      <c r="B166" s="41"/>
      <c r="C166" s="41"/>
      <c r="D166" s="41"/>
      <c r="E166" s="41"/>
      <c r="F166" s="41"/>
      <c r="G166" s="41"/>
      <c r="H166" s="41"/>
    </row>
    <row r="167">
      <c r="A167" s="40"/>
      <c r="B167" s="41"/>
      <c r="C167" s="41"/>
      <c r="D167" s="41"/>
      <c r="E167" s="41"/>
      <c r="F167" s="41"/>
      <c r="G167" s="41"/>
      <c r="H167" s="41"/>
    </row>
    <row r="168">
      <c r="A168" s="40"/>
      <c r="B168" s="41"/>
      <c r="C168" s="41"/>
      <c r="D168" s="41"/>
      <c r="E168" s="41"/>
      <c r="F168" s="41"/>
      <c r="G168" s="41"/>
      <c r="H168" s="41"/>
    </row>
    <row r="169">
      <c r="A169" s="40"/>
      <c r="B169" s="41"/>
      <c r="C169" s="41"/>
      <c r="D169" s="41"/>
      <c r="E169" s="41"/>
      <c r="F169" s="41"/>
      <c r="G169" s="41"/>
      <c r="H169" s="41"/>
    </row>
    <row r="170">
      <c r="A170" s="40"/>
      <c r="B170" s="41"/>
      <c r="C170" s="41"/>
      <c r="D170" s="41"/>
      <c r="E170" s="41"/>
      <c r="F170" s="41"/>
      <c r="G170" s="41"/>
      <c r="H170" s="41"/>
    </row>
    <row r="171">
      <c r="A171" s="40"/>
      <c r="B171" s="41"/>
      <c r="C171" s="41"/>
      <c r="D171" s="41"/>
      <c r="E171" s="41"/>
      <c r="F171" s="41"/>
      <c r="G171" s="41"/>
      <c r="H171" s="41"/>
    </row>
    <row r="172">
      <c r="A172" s="40"/>
      <c r="B172" s="41"/>
      <c r="C172" s="41"/>
      <c r="D172" s="41"/>
      <c r="E172" s="41"/>
      <c r="F172" s="41"/>
      <c r="G172" s="41"/>
      <c r="H172" s="41"/>
    </row>
    <row r="173">
      <c r="A173" s="40"/>
      <c r="B173" s="41"/>
      <c r="C173" s="41"/>
      <c r="D173" s="41"/>
      <c r="E173" s="41"/>
      <c r="F173" s="41"/>
      <c r="G173" s="41"/>
      <c r="H173" s="41"/>
    </row>
    <row r="174">
      <c r="A174" s="40"/>
      <c r="B174" s="41"/>
      <c r="C174" s="41"/>
      <c r="D174" s="41"/>
      <c r="E174" s="41"/>
      <c r="F174" s="41"/>
      <c r="G174" s="41"/>
      <c r="H174" s="41"/>
    </row>
    <row r="175">
      <c r="A175" s="40"/>
      <c r="B175" s="41"/>
      <c r="C175" s="41"/>
      <c r="D175" s="41"/>
      <c r="E175" s="41"/>
      <c r="F175" s="41"/>
      <c r="G175" s="41"/>
      <c r="H175" s="41"/>
    </row>
    <row r="176">
      <c r="A176" s="40"/>
      <c r="B176" s="41"/>
      <c r="C176" s="41"/>
      <c r="D176" s="41"/>
      <c r="E176" s="41"/>
      <c r="F176" s="41"/>
      <c r="G176" s="41"/>
      <c r="H176" s="41"/>
    </row>
    <row r="177">
      <c r="A177" s="40"/>
      <c r="B177" s="41"/>
      <c r="C177" s="41"/>
      <c r="D177" s="41"/>
      <c r="E177" s="41"/>
      <c r="F177" s="41"/>
      <c r="G177" s="41"/>
      <c r="H177" s="41"/>
    </row>
    <row r="178">
      <c r="A178" s="40"/>
      <c r="B178" s="41"/>
      <c r="C178" s="41"/>
      <c r="D178" s="41"/>
      <c r="E178" s="41"/>
      <c r="F178" s="41"/>
      <c r="G178" s="41"/>
      <c r="H178" s="41"/>
    </row>
    <row r="179">
      <c r="A179" s="40"/>
      <c r="B179" s="41"/>
      <c r="C179" s="41"/>
      <c r="D179" s="41"/>
      <c r="E179" s="41"/>
      <c r="F179" s="41"/>
      <c r="G179" s="41"/>
      <c r="H179" s="41"/>
    </row>
    <row r="180">
      <c r="A180" s="40"/>
      <c r="B180" s="41"/>
      <c r="C180" s="41"/>
      <c r="D180" s="41"/>
      <c r="E180" s="41"/>
      <c r="F180" s="41"/>
      <c r="G180" s="41"/>
      <c r="H180" s="41"/>
    </row>
    <row r="181">
      <c r="A181" s="40"/>
      <c r="B181" s="41"/>
      <c r="C181" s="41"/>
      <c r="D181" s="41"/>
      <c r="E181" s="41"/>
      <c r="F181" s="41"/>
      <c r="G181" s="41"/>
      <c r="H181" s="41"/>
    </row>
    <row r="182">
      <c r="A182" s="40"/>
      <c r="B182" s="41"/>
      <c r="C182" s="41"/>
      <c r="D182" s="41"/>
      <c r="E182" s="41"/>
      <c r="F182" s="41"/>
      <c r="G182" s="41"/>
      <c r="H182" s="41"/>
    </row>
    <row r="183">
      <c r="A183" s="40"/>
      <c r="B183" s="41"/>
      <c r="C183" s="41"/>
      <c r="D183" s="41"/>
      <c r="E183" s="41"/>
      <c r="F183" s="41"/>
      <c r="G183" s="41"/>
      <c r="H183" s="41"/>
    </row>
    <row r="184">
      <c r="A184" s="40"/>
      <c r="B184" s="41"/>
      <c r="C184" s="41"/>
      <c r="D184" s="41"/>
      <c r="E184" s="41"/>
      <c r="F184" s="41"/>
      <c r="G184" s="41"/>
      <c r="H184" s="41"/>
    </row>
    <row r="185">
      <c r="A185" s="40"/>
      <c r="B185" s="41"/>
      <c r="C185" s="41"/>
      <c r="D185" s="41"/>
      <c r="E185" s="41"/>
      <c r="F185" s="41"/>
      <c r="G185" s="41"/>
      <c r="H185" s="41"/>
    </row>
    <row r="186">
      <c r="A186" s="40"/>
      <c r="B186" s="41"/>
      <c r="C186" s="41"/>
      <c r="D186" s="41"/>
      <c r="E186" s="41"/>
      <c r="F186" s="41"/>
      <c r="G186" s="41"/>
      <c r="H186" s="41"/>
    </row>
    <row r="187">
      <c r="A187" s="40"/>
      <c r="B187" s="41"/>
      <c r="C187" s="41"/>
      <c r="D187" s="41"/>
      <c r="E187" s="41"/>
      <c r="F187" s="41"/>
      <c r="G187" s="41"/>
      <c r="H187" s="41"/>
    </row>
    <row r="188">
      <c r="A188" s="40"/>
      <c r="B188" s="41"/>
      <c r="C188" s="41"/>
      <c r="D188" s="41"/>
      <c r="E188" s="41"/>
      <c r="F188" s="41"/>
      <c r="G188" s="41"/>
      <c r="H188" s="41"/>
    </row>
    <row r="189">
      <c r="A189" s="40"/>
      <c r="B189" s="41"/>
      <c r="C189" s="41"/>
      <c r="D189" s="41"/>
      <c r="E189" s="41"/>
      <c r="F189" s="41"/>
      <c r="G189" s="41"/>
      <c r="H189" s="41"/>
    </row>
    <row r="190">
      <c r="A190" s="40"/>
      <c r="B190" s="41"/>
      <c r="C190" s="41"/>
      <c r="D190" s="41"/>
      <c r="E190" s="41"/>
      <c r="F190" s="41"/>
      <c r="G190" s="41"/>
      <c r="H190" s="41"/>
    </row>
    <row r="191">
      <c r="A191" s="40"/>
      <c r="B191" s="41"/>
      <c r="C191" s="41"/>
      <c r="D191" s="41"/>
      <c r="E191" s="41"/>
      <c r="F191" s="41"/>
      <c r="G191" s="41"/>
      <c r="H191" s="41"/>
    </row>
    <row r="192">
      <c r="A192" s="40"/>
      <c r="B192" s="41"/>
      <c r="C192" s="41"/>
      <c r="D192" s="41"/>
      <c r="E192" s="41"/>
      <c r="F192" s="41"/>
      <c r="G192" s="41"/>
      <c r="H192" s="41"/>
    </row>
    <row r="193">
      <c r="A193" s="40"/>
      <c r="B193" s="41"/>
      <c r="C193" s="41"/>
      <c r="D193" s="41"/>
      <c r="E193" s="41"/>
      <c r="F193" s="41"/>
      <c r="G193" s="41"/>
      <c r="H193" s="41"/>
    </row>
    <row r="194">
      <c r="A194" s="40"/>
      <c r="B194" s="41"/>
      <c r="C194" s="41"/>
      <c r="D194" s="41"/>
      <c r="E194" s="41"/>
      <c r="F194" s="41"/>
      <c r="G194" s="41"/>
      <c r="H194" s="41"/>
    </row>
    <row r="195">
      <c r="A195" s="40"/>
      <c r="B195" s="41"/>
      <c r="C195" s="41"/>
      <c r="D195" s="41"/>
      <c r="E195" s="41"/>
      <c r="F195" s="41"/>
      <c r="G195" s="41"/>
      <c r="H195" s="41"/>
    </row>
    <row r="196">
      <c r="A196" s="40"/>
      <c r="B196" s="41"/>
      <c r="C196" s="41"/>
      <c r="D196" s="41"/>
      <c r="E196" s="41"/>
      <c r="F196" s="41"/>
      <c r="G196" s="41"/>
      <c r="H196" s="41"/>
    </row>
    <row r="197">
      <c r="A197" s="40"/>
      <c r="B197" s="41"/>
      <c r="C197" s="41"/>
      <c r="D197" s="41"/>
      <c r="E197" s="41"/>
      <c r="F197" s="41"/>
      <c r="G197" s="41"/>
      <c r="H197" s="41"/>
    </row>
    <row r="198">
      <c r="A198" s="40"/>
      <c r="B198" s="41"/>
      <c r="C198" s="41"/>
      <c r="D198" s="41"/>
      <c r="E198" s="41"/>
      <c r="F198" s="41"/>
      <c r="G198" s="41"/>
      <c r="H198" s="41"/>
    </row>
    <row r="199">
      <c r="A199" s="40"/>
      <c r="B199" s="41"/>
      <c r="C199" s="41"/>
      <c r="D199" s="41"/>
      <c r="E199" s="41"/>
      <c r="F199" s="41"/>
      <c r="G199" s="41"/>
      <c r="H199" s="41"/>
    </row>
    <row r="200">
      <c r="A200" s="40"/>
      <c r="B200" s="41"/>
      <c r="C200" s="41"/>
      <c r="D200" s="41"/>
      <c r="E200" s="41"/>
      <c r="F200" s="41"/>
      <c r="G200" s="41"/>
      <c r="H200" s="41"/>
    </row>
    <row r="201">
      <c r="A201" s="40"/>
      <c r="B201" s="41"/>
      <c r="C201" s="41"/>
      <c r="D201" s="41"/>
      <c r="E201" s="41"/>
      <c r="F201" s="41"/>
      <c r="G201" s="41"/>
      <c r="H201" s="41"/>
    </row>
    <row r="202">
      <c r="A202" s="40"/>
      <c r="B202" s="41"/>
      <c r="C202" s="41"/>
      <c r="D202" s="41"/>
      <c r="E202" s="41"/>
      <c r="F202" s="41"/>
      <c r="G202" s="41"/>
      <c r="H202" s="41"/>
    </row>
    <row r="203">
      <c r="A203" s="40"/>
      <c r="B203" s="41"/>
      <c r="C203" s="41"/>
      <c r="D203" s="41"/>
      <c r="E203" s="41"/>
      <c r="F203" s="41"/>
      <c r="G203" s="41"/>
      <c r="H203" s="41"/>
    </row>
    <row r="204">
      <c r="A204" s="40"/>
      <c r="B204" s="41"/>
      <c r="C204" s="41"/>
      <c r="D204" s="41"/>
      <c r="E204" s="41"/>
      <c r="F204" s="41"/>
      <c r="G204" s="41"/>
      <c r="H204" s="41"/>
    </row>
    <row r="205">
      <c r="A205" s="40"/>
      <c r="B205" s="41"/>
      <c r="C205" s="41"/>
      <c r="D205" s="41"/>
      <c r="E205" s="41"/>
      <c r="F205" s="41"/>
      <c r="G205" s="41"/>
      <c r="H205" s="41"/>
    </row>
    <row r="206">
      <c r="A206" s="40"/>
      <c r="B206" s="41"/>
      <c r="C206" s="41"/>
      <c r="D206" s="41"/>
      <c r="E206" s="41"/>
      <c r="F206" s="41"/>
      <c r="G206" s="41"/>
      <c r="H206" s="41"/>
    </row>
    <row r="207">
      <c r="A207" s="40"/>
      <c r="B207" s="41"/>
      <c r="C207" s="41"/>
      <c r="D207" s="41"/>
      <c r="E207" s="41"/>
      <c r="F207" s="41"/>
      <c r="G207" s="41"/>
      <c r="H207" s="41"/>
    </row>
    <row r="208">
      <c r="A208" s="40"/>
      <c r="B208" s="41"/>
      <c r="C208" s="41"/>
      <c r="D208" s="41"/>
      <c r="E208" s="41"/>
      <c r="F208" s="41"/>
      <c r="G208" s="41"/>
      <c r="H208" s="41"/>
    </row>
    <row r="209">
      <c r="A209" s="40"/>
      <c r="B209" s="41"/>
      <c r="C209" s="41"/>
      <c r="D209" s="41"/>
      <c r="E209" s="41"/>
      <c r="F209" s="41"/>
      <c r="G209" s="41"/>
      <c r="H209" s="41"/>
    </row>
    <row r="210">
      <c r="A210" s="40"/>
      <c r="B210" s="41"/>
      <c r="C210" s="41"/>
      <c r="D210" s="41"/>
      <c r="E210" s="41"/>
      <c r="F210" s="41"/>
      <c r="G210" s="41"/>
      <c r="H210" s="41"/>
    </row>
    <row r="211">
      <c r="A211" s="40"/>
      <c r="B211" s="41"/>
      <c r="C211" s="41"/>
      <c r="D211" s="41"/>
      <c r="E211" s="41"/>
      <c r="F211" s="41"/>
      <c r="G211" s="41"/>
      <c r="H211" s="41"/>
    </row>
    <row r="212">
      <c r="A212" s="40"/>
      <c r="B212" s="41"/>
      <c r="C212" s="41"/>
      <c r="D212" s="41"/>
      <c r="E212" s="41"/>
      <c r="F212" s="41"/>
      <c r="G212" s="41"/>
      <c r="H212" s="41"/>
    </row>
    <row r="213">
      <c r="A213" s="40"/>
      <c r="B213" s="41"/>
      <c r="C213" s="41"/>
      <c r="D213" s="41"/>
      <c r="E213" s="41"/>
      <c r="F213" s="41"/>
      <c r="G213" s="41"/>
      <c r="H213" s="41"/>
    </row>
    <row r="214">
      <c r="A214" s="40"/>
      <c r="B214" s="41"/>
      <c r="C214" s="41"/>
      <c r="D214" s="41"/>
      <c r="E214" s="41"/>
      <c r="F214" s="41"/>
      <c r="G214" s="41"/>
      <c r="H214" s="41"/>
    </row>
    <row r="215">
      <c r="A215" s="40"/>
      <c r="B215" s="41"/>
      <c r="C215" s="41"/>
      <c r="D215" s="41"/>
      <c r="E215" s="41"/>
      <c r="F215" s="41"/>
      <c r="G215" s="41"/>
      <c r="H215" s="41"/>
    </row>
    <row r="216">
      <c r="A216" s="40"/>
      <c r="B216" s="41"/>
      <c r="C216" s="41"/>
      <c r="D216" s="41"/>
      <c r="E216" s="41"/>
      <c r="F216" s="41"/>
      <c r="G216" s="41"/>
      <c r="H216" s="41"/>
    </row>
    <row r="217">
      <c r="A217" s="40"/>
      <c r="B217" s="41"/>
      <c r="C217" s="41"/>
      <c r="D217" s="41"/>
      <c r="E217" s="41"/>
      <c r="F217" s="41"/>
      <c r="G217" s="41"/>
      <c r="H217" s="41"/>
    </row>
    <row r="218">
      <c r="A218" s="40"/>
      <c r="B218" s="41"/>
      <c r="C218" s="41"/>
      <c r="D218" s="41"/>
      <c r="E218" s="41"/>
      <c r="F218" s="41"/>
      <c r="G218" s="41"/>
      <c r="H218" s="41"/>
    </row>
    <row r="219">
      <c r="A219" s="40"/>
      <c r="B219" s="41"/>
      <c r="C219" s="41"/>
      <c r="D219" s="41"/>
      <c r="E219" s="41"/>
      <c r="F219" s="41"/>
      <c r="G219" s="41"/>
      <c r="H219" s="41"/>
    </row>
    <row r="220">
      <c r="A220" s="40"/>
      <c r="B220" s="41"/>
      <c r="C220" s="41"/>
      <c r="D220" s="41"/>
      <c r="E220" s="41"/>
      <c r="F220" s="41"/>
      <c r="G220" s="41"/>
      <c r="H220" s="41"/>
    </row>
    <row r="221">
      <c r="A221" s="40"/>
      <c r="B221" s="41"/>
      <c r="C221" s="41"/>
      <c r="D221" s="41"/>
      <c r="E221" s="41"/>
      <c r="F221" s="41"/>
      <c r="G221" s="41"/>
      <c r="H221" s="41"/>
    </row>
    <row r="222">
      <c r="A222" s="40"/>
      <c r="B222" s="41"/>
      <c r="C222" s="41"/>
      <c r="D222" s="41"/>
      <c r="E222" s="41"/>
      <c r="F222" s="41"/>
      <c r="G222" s="41"/>
      <c r="H222" s="41"/>
    </row>
    <row r="223">
      <c r="A223" s="40"/>
      <c r="B223" s="41"/>
      <c r="C223" s="41"/>
      <c r="D223" s="41"/>
      <c r="E223" s="41"/>
      <c r="F223" s="41"/>
      <c r="G223" s="41"/>
      <c r="H223" s="41"/>
    </row>
    <row r="224">
      <c r="A224" s="40"/>
      <c r="B224" s="41"/>
      <c r="C224" s="41"/>
      <c r="D224" s="41"/>
      <c r="E224" s="41"/>
      <c r="F224" s="41"/>
      <c r="G224" s="41"/>
      <c r="H224" s="41"/>
    </row>
    <row r="225">
      <c r="A225" s="40"/>
      <c r="B225" s="41"/>
      <c r="C225" s="41"/>
      <c r="D225" s="41"/>
      <c r="E225" s="41"/>
      <c r="F225" s="41"/>
      <c r="G225" s="41"/>
      <c r="H225" s="41"/>
    </row>
    <row r="226">
      <c r="A226" s="40"/>
      <c r="B226" s="41"/>
      <c r="C226" s="41"/>
      <c r="D226" s="41"/>
      <c r="E226" s="41"/>
      <c r="F226" s="41"/>
      <c r="G226" s="41"/>
      <c r="H226" s="41"/>
    </row>
    <row r="227">
      <c r="A227" s="40"/>
      <c r="B227" s="41"/>
      <c r="C227" s="41"/>
      <c r="D227" s="41"/>
      <c r="E227" s="41"/>
      <c r="F227" s="41"/>
      <c r="G227" s="41"/>
      <c r="H227" s="41"/>
    </row>
    <row r="228">
      <c r="A228" s="40"/>
      <c r="B228" s="41"/>
      <c r="C228" s="41"/>
      <c r="D228" s="41"/>
      <c r="E228" s="41"/>
      <c r="F228" s="41"/>
      <c r="G228" s="41"/>
      <c r="H228" s="41"/>
    </row>
    <row r="229">
      <c r="A229" s="40"/>
      <c r="B229" s="41"/>
      <c r="C229" s="41"/>
      <c r="D229" s="41"/>
      <c r="E229" s="41"/>
      <c r="F229" s="41"/>
      <c r="G229" s="41"/>
      <c r="H229" s="41"/>
    </row>
    <row r="230">
      <c r="A230" s="40"/>
      <c r="B230" s="41"/>
      <c r="C230" s="41"/>
      <c r="D230" s="41"/>
      <c r="E230" s="41"/>
      <c r="F230" s="41"/>
      <c r="G230" s="41"/>
      <c r="H230" s="41"/>
    </row>
    <row r="231">
      <c r="A231" s="40"/>
      <c r="B231" s="41"/>
      <c r="C231" s="41"/>
      <c r="D231" s="41"/>
      <c r="E231" s="41"/>
      <c r="F231" s="41"/>
      <c r="G231" s="41"/>
      <c r="H231" s="41"/>
    </row>
    <row r="232">
      <c r="A232" s="40"/>
      <c r="B232" s="41"/>
      <c r="C232" s="41"/>
      <c r="D232" s="41"/>
      <c r="E232" s="41"/>
      <c r="F232" s="41"/>
      <c r="G232" s="41"/>
      <c r="H232" s="41"/>
    </row>
    <row r="233">
      <c r="A233" s="40"/>
      <c r="B233" s="41"/>
      <c r="C233" s="41"/>
      <c r="D233" s="41"/>
      <c r="E233" s="41"/>
      <c r="F233" s="41"/>
      <c r="G233" s="41"/>
      <c r="H233" s="41"/>
    </row>
    <row r="234">
      <c r="A234" s="40"/>
      <c r="B234" s="41"/>
      <c r="C234" s="41"/>
      <c r="D234" s="41"/>
      <c r="E234" s="41"/>
      <c r="F234" s="41"/>
      <c r="G234" s="41"/>
      <c r="H234" s="41"/>
    </row>
    <row r="235">
      <c r="A235" s="40"/>
      <c r="B235" s="41"/>
      <c r="C235" s="41"/>
      <c r="D235" s="41"/>
      <c r="E235" s="41"/>
      <c r="F235" s="41"/>
      <c r="G235" s="41"/>
      <c r="H235" s="41"/>
    </row>
    <row r="236">
      <c r="A236" s="40"/>
      <c r="B236" s="41"/>
      <c r="C236" s="41"/>
      <c r="D236" s="41"/>
      <c r="E236" s="41"/>
      <c r="F236" s="41"/>
      <c r="G236" s="41"/>
      <c r="H236" s="41"/>
    </row>
    <row r="237">
      <c r="A237" s="40"/>
      <c r="B237" s="41"/>
      <c r="C237" s="41"/>
      <c r="D237" s="41"/>
      <c r="E237" s="41"/>
      <c r="F237" s="41"/>
      <c r="G237" s="41"/>
      <c r="H237" s="41"/>
    </row>
    <row r="238">
      <c r="A238" s="40"/>
      <c r="B238" s="41"/>
      <c r="C238" s="41"/>
      <c r="D238" s="41"/>
      <c r="E238" s="41"/>
      <c r="F238" s="41"/>
      <c r="G238" s="41"/>
      <c r="H238" s="41"/>
    </row>
    <row r="239">
      <c r="A239" s="40"/>
      <c r="B239" s="41"/>
      <c r="C239" s="41"/>
      <c r="D239" s="41"/>
      <c r="E239" s="41"/>
      <c r="F239" s="41"/>
      <c r="G239" s="41"/>
      <c r="H239" s="41"/>
    </row>
    <row r="240">
      <c r="A240" s="40"/>
      <c r="B240" s="41"/>
      <c r="C240" s="41"/>
      <c r="D240" s="41"/>
      <c r="E240" s="41"/>
      <c r="F240" s="41"/>
      <c r="G240" s="41"/>
      <c r="H240" s="41"/>
    </row>
    <row r="241">
      <c r="A241" s="40"/>
      <c r="B241" s="41"/>
      <c r="C241" s="41"/>
      <c r="D241" s="41"/>
      <c r="E241" s="41"/>
      <c r="F241" s="41"/>
      <c r="G241" s="41"/>
      <c r="H241" s="41"/>
    </row>
    <row r="242">
      <c r="A242" s="40"/>
      <c r="B242" s="41"/>
      <c r="C242" s="41"/>
      <c r="D242" s="41"/>
      <c r="E242" s="41"/>
      <c r="F242" s="41"/>
      <c r="G242" s="41"/>
      <c r="H242" s="41"/>
    </row>
    <row r="243">
      <c r="A243" s="40"/>
      <c r="B243" s="41"/>
      <c r="C243" s="41"/>
      <c r="D243" s="41"/>
      <c r="E243" s="41"/>
      <c r="F243" s="41"/>
      <c r="G243" s="41"/>
      <c r="H243" s="41"/>
    </row>
    <row r="244">
      <c r="A244" s="40"/>
      <c r="B244" s="41"/>
      <c r="C244" s="41"/>
      <c r="D244" s="41"/>
      <c r="E244" s="41"/>
      <c r="F244" s="41"/>
      <c r="G244" s="41"/>
      <c r="H244" s="41"/>
    </row>
    <row r="245">
      <c r="A245" s="40"/>
      <c r="B245" s="41"/>
      <c r="C245" s="41"/>
      <c r="D245" s="41"/>
      <c r="E245" s="41"/>
      <c r="F245" s="41"/>
      <c r="G245" s="41"/>
      <c r="H245" s="41"/>
    </row>
    <row r="246">
      <c r="A246" s="40"/>
      <c r="B246" s="41"/>
      <c r="C246" s="41"/>
      <c r="D246" s="41"/>
      <c r="E246" s="41"/>
      <c r="F246" s="41"/>
      <c r="G246" s="41"/>
      <c r="H246" s="41"/>
    </row>
    <row r="247">
      <c r="A247" s="40"/>
      <c r="B247" s="41"/>
      <c r="C247" s="41"/>
      <c r="D247" s="41"/>
      <c r="E247" s="41"/>
      <c r="F247" s="41"/>
      <c r="G247" s="41"/>
      <c r="H247" s="41"/>
    </row>
    <row r="248">
      <c r="A248" s="40"/>
      <c r="B248" s="41"/>
      <c r="C248" s="41"/>
      <c r="D248" s="41"/>
      <c r="E248" s="41"/>
      <c r="F248" s="41"/>
      <c r="G248" s="41"/>
      <c r="H248" s="41"/>
    </row>
    <row r="249">
      <c r="A249" s="40"/>
      <c r="B249" s="41"/>
      <c r="C249" s="41"/>
      <c r="D249" s="41"/>
      <c r="E249" s="41"/>
      <c r="F249" s="41"/>
      <c r="G249" s="41"/>
      <c r="H249" s="41"/>
    </row>
    <row r="250">
      <c r="A250" s="40"/>
      <c r="B250" s="41"/>
      <c r="C250" s="41"/>
      <c r="D250" s="41"/>
      <c r="E250" s="41"/>
      <c r="F250" s="41"/>
      <c r="G250" s="41"/>
      <c r="H250" s="41"/>
    </row>
    <row r="251">
      <c r="A251" s="40"/>
      <c r="B251" s="41"/>
      <c r="C251" s="41"/>
      <c r="D251" s="41"/>
      <c r="E251" s="41"/>
      <c r="F251" s="41"/>
      <c r="G251" s="41"/>
      <c r="H251" s="41"/>
    </row>
    <row r="252">
      <c r="A252" s="40"/>
      <c r="B252" s="41"/>
      <c r="C252" s="41"/>
      <c r="D252" s="41"/>
      <c r="E252" s="41"/>
      <c r="F252" s="41"/>
      <c r="G252" s="41"/>
      <c r="H252" s="41"/>
    </row>
    <row r="253">
      <c r="A253" s="40"/>
      <c r="B253" s="41"/>
      <c r="C253" s="41"/>
      <c r="D253" s="41"/>
      <c r="E253" s="41"/>
      <c r="F253" s="41"/>
      <c r="G253" s="41"/>
      <c r="H253" s="41"/>
    </row>
    <row r="254">
      <c r="A254" s="40"/>
      <c r="B254" s="41"/>
      <c r="C254" s="41"/>
      <c r="D254" s="41"/>
      <c r="E254" s="41"/>
      <c r="F254" s="41"/>
      <c r="G254" s="41"/>
      <c r="H254" s="41"/>
    </row>
    <row r="255">
      <c r="A255" s="40"/>
      <c r="B255" s="41"/>
      <c r="C255" s="41"/>
      <c r="D255" s="41"/>
      <c r="E255" s="41"/>
      <c r="F255" s="41"/>
      <c r="G255" s="41"/>
      <c r="H255" s="41"/>
    </row>
    <row r="256">
      <c r="A256" s="40"/>
      <c r="B256" s="41"/>
      <c r="C256" s="41"/>
      <c r="D256" s="41"/>
      <c r="E256" s="41"/>
      <c r="F256" s="41"/>
      <c r="G256" s="41"/>
      <c r="H256" s="41"/>
    </row>
    <row r="257">
      <c r="A257" s="40"/>
      <c r="B257" s="41"/>
      <c r="C257" s="41"/>
      <c r="D257" s="41"/>
      <c r="E257" s="41"/>
      <c r="F257" s="41"/>
      <c r="G257" s="41"/>
      <c r="H257" s="41"/>
    </row>
    <row r="258">
      <c r="A258" s="40"/>
      <c r="B258" s="41"/>
      <c r="C258" s="41"/>
      <c r="D258" s="41"/>
      <c r="E258" s="41"/>
      <c r="F258" s="41"/>
      <c r="G258" s="41"/>
      <c r="H258" s="41"/>
    </row>
    <row r="259">
      <c r="A259" s="40"/>
      <c r="B259" s="41"/>
      <c r="C259" s="41"/>
      <c r="D259" s="41"/>
      <c r="E259" s="41"/>
      <c r="F259" s="41"/>
      <c r="G259" s="41"/>
      <c r="H259" s="41"/>
    </row>
    <row r="260">
      <c r="A260" s="40"/>
      <c r="B260" s="41"/>
      <c r="C260" s="41"/>
      <c r="D260" s="41"/>
      <c r="E260" s="41"/>
      <c r="F260" s="41"/>
      <c r="G260" s="41"/>
      <c r="H260" s="41"/>
    </row>
    <row r="261">
      <c r="A261" s="40"/>
      <c r="B261" s="41"/>
      <c r="C261" s="41"/>
      <c r="D261" s="41"/>
      <c r="E261" s="41"/>
      <c r="F261" s="41"/>
      <c r="G261" s="41"/>
      <c r="H261" s="41"/>
    </row>
    <row r="262">
      <c r="A262" s="40"/>
      <c r="B262" s="41"/>
      <c r="C262" s="41"/>
      <c r="D262" s="41"/>
      <c r="E262" s="41"/>
      <c r="F262" s="41"/>
      <c r="G262" s="41"/>
      <c r="H262" s="41"/>
    </row>
    <row r="263">
      <c r="A263" s="40"/>
      <c r="B263" s="41"/>
      <c r="C263" s="41"/>
      <c r="D263" s="41"/>
      <c r="E263" s="41"/>
      <c r="F263" s="41"/>
      <c r="G263" s="41"/>
      <c r="H263" s="41"/>
    </row>
    <row r="264">
      <c r="A264" s="40"/>
      <c r="B264" s="41"/>
      <c r="C264" s="41"/>
      <c r="D264" s="41"/>
      <c r="E264" s="41"/>
      <c r="F264" s="41"/>
      <c r="G264" s="41"/>
      <c r="H264" s="41"/>
    </row>
    <row r="265">
      <c r="A265" s="40"/>
      <c r="B265" s="41"/>
      <c r="C265" s="41"/>
      <c r="D265" s="41"/>
      <c r="E265" s="41"/>
      <c r="F265" s="41"/>
      <c r="G265" s="41"/>
      <c r="H265" s="41"/>
    </row>
    <row r="266">
      <c r="A266" s="40"/>
      <c r="B266" s="41"/>
      <c r="C266" s="41"/>
      <c r="D266" s="41"/>
      <c r="E266" s="41"/>
      <c r="F266" s="41"/>
      <c r="G266" s="41"/>
      <c r="H266" s="41"/>
    </row>
    <row r="267">
      <c r="A267" s="40"/>
      <c r="B267" s="41"/>
      <c r="C267" s="41"/>
      <c r="D267" s="41"/>
      <c r="E267" s="41"/>
      <c r="F267" s="41"/>
      <c r="G267" s="41"/>
      <c r="H267" s="41"/>
    </row>
    <row r="268">
      <c r="A268" s="40"/>
      <c r="B268" s="41"/>
      <c r="C268" s="41"/>
      <c r="D268" s="41"/>
      <c r="E268" s="41"/>
      <c r="F268" s="41"/>
      <c r="G268" s="41"/>
      <c r="H268" s="41"/>
    </row>
    <row r="269">
      <c r="A269" s="40"/>
      <c r="B269" s="41"/>
      <c r="C269" s="41"/>
      <c r="D269" s="41"/>
      <c r="E269" s="41"/>
      <c r="F269" s="41"/>
      <c r="G269" s="41"/>
      <c r="H269" s="41"/>
    </row>
    <row r="270">
      <c r="A270" s="40"/>
      <c r="B270" s="41"/>
      <c r="C270" s="41"/>
      <c r="D270" s="41"/>
      <c r="E270" s="41"/>
      <c r="F270" s="41"/>
      <c r="G270" s="41"/>
      <c r="H270" s="41"/>
    </row>
    <row r="271">
      <c r="A271" s="40"/>
      <c r="B271" s="41"/>
      <c r="C271" s="41"/>
      <c r="D271" s="41"/>
      <c r="E271" s="41"/>
      <c r="F271" s="41"/>
      <c r="G271" s="41"/>
      <c r="H271" s="41"/>
    </row>
    <row r="272">
      <c r="A272" s="40"/>
      <c r="B272" s="41"/>
      <c r="C272" s="41"/>
      <c r="D272" s="41"/>
      <c r="E272" s="41"/>
      <c r="F272" s="41"/>
      <c r="G272" s="41"/>
      <c r="H272" s="41"/>
    </row>
    <row r="273">
      <c r="A273" s="40"/>
      <c r="B273" s="41"/>
      <c r="C273" s="41"/>
      <c r="D273" s="41"/>
      <c r="E273" s="41"/>
      <c r="F273" s="41"/>
      <c r="G273" s="41"/>
      <c r="H273" s="41"/>
    </row>
    <row r="274">
      <c r="A274" s="40"/>
      <c r="B274" s="41"/>
      <c r="C274" s="41"/>
      <c r="D274" s="41"/>
      <c r="E274" s="41"/>
      <c r="F274" s="41"/>
      <c r="G274" s="41"/>
      <c r="H274" s="41"/>
    </row>
    <row r="275">
      <c r="A275" s="40"/>
      <c r="B275" s="41"/>
      <c r="C275" s="41"/>
      <c r="D275" s="41"/>
      <c r="E275" s="41"/>
      <c r="F275" s="41"/>
      <c r="G275" s="41"/>
      <c r="H275" s="41"/>
    </row>
    <row r="276">
      <c r="A276" s="40"/>
      <c r="B276" s="41"/>
      <c r="C276" s="41"/>
      <c r="D276" s="41"/>
      <c r="E276" s="41"/>
      <c r="F276" s="41"/>
      <c r="G276" s="41"/>
      <c r="H276" s="41"/>
    </row>
    <row r="277">
      <c r="A277" s="40"/>
      <c r="B277" s="41"/>
      <c r="C277" s="41"/>
      <c r="D277" s="41"/>
      <c r="E277" s="41"/>
      <c r="F277" s="41"/>
      <c r="G277" s="41"/>
      <c r="H277" s="41"/>
    </row>
    <row r="278">
      <c r="A278" s="40"/>
      <c r="B278" s="41"/>
      <c r="C278" s="41"/>
      <c r="D278" s="41"/>
      <c r="E278" s="41"/>
      <c r="F278" s="41"/>
      <c r="G278" s="41"/>
      <c r="H278" s="41"/>
    </row>
    <row r="279">
      <c r="A279" s="40"/>
      <c r="B279" s="41"/>
      <c r="C279" s="41"/>
      <c r="D279" s="41"/>
      <c r="E279" s="41"/>
      <c r="F279" s="41"/>
      <c r="G279" s="41"/>
      <c r="H279" s="41"/>
    </row>
    <row r="280">
      <c r="A280" s="40"/>
      <c r="B280" s="41"/>
      <c r="C280" s="41"/>
      <c r="D280" s="41"/>
      <c r="E280" s="41"/>
      <c r="F280" s="41"/>
      <c r="G280" s="41"/>
      <c r="H280" s="41"/>
    </row>
    <row r="281">
      <c r="A281" s="40"/>
      <c r="B281" s="41"/>
      <c r="C281" s="41"/>
      <c r="D281" s="41"/>
      <c r="E281" s="41"/>
      <c r="F281" s="41"/>
      <c r="G281" s="41"/>
      <c r="H281" s="41"/>
    </row>
    <row r="282">
      <c r="A282" s="40"/>
      <c r="B282" s="41"/>
      <c r="C282" s="41"/>
      <c r="D282" s="41"/>
      <c r="E282" s="41"/>
      <c r="F282" s="41"/>
      <c r="G282" s="41"/>
      <c r="H282" s="41"/>
    </row>
    <row r="283">
      <c r="A283" s="40"/>
      <c r="B283" s="41"/>
      <c r="C283" s="41"/>
      <c r="D283" s="41"/>
      <c r="E283" s="41"/>
      <c r="F283" s="41"/>
      <c r="G283" s="41"/>
      <c r="H283" s="41"/>
    </row>
    <row r="284">
      <c r="A284" s="40"/>
      <c r="B284" s="41"/>
      <c r="C284" s="41"/>
      <c r="D284" s="41"/>
      <c r="E284" s="41"/>
      <c r="F284" s="41"/>
      <c r="G284" s="41"/>
      <c r="H284" s="41"/>
    </row>
    <row r="285">
      <c r="A285" s="40"/>
      <c r="B285" s="41"/>
      <c r="C285" s="41"/>
      <c r="D285" s="41"/>
      <c r="E285" s="41"/>
      <c r="F285" s="41"/>
      <c r="G285" s="41"/>
      <c r="H285" s="41"/>
    </row>
    <row r="286">
      <c r="A286" s="40"/>
      <c r="B286" s="41"/>
      <c r="C286" s="41"/>
      <c r="D286" s="41"/>
      <c r="E286" s="41"/>
      <c r="F286" s="41"/>
      <c r="G286" s="41"/>
      <c r="H286" s="41"/>
    </row>
    <row r="287">
      <c r="A287" s="40"/>
      <c r="B287" s="41"/>
      <c r="C287" s="41"/>
      <c r="D287" s="41"/>
      <c r="E287" s="41"/>
      <c r="F287" s="41"/>
      <c r="G287" s="41"/>
      <c r="H287" s="41"/>
    </row>
    <row r="288">
      <c r="A288" s="40"/>
      <c r="B288" s="41"/>
      <c r="C288" s="41"/>
      <c r="D288" s="41"/>
      <c r="E288" s="41"/>
      <c r="F288" s="41"/>
      <c r="G288" s="41"/>
      <c r="H288" s="41"/>
    </row>
    <row r="289">
      <c r="A289" s="40"/>
      <c r="B289" s="41"/>
      <c r="C289" s="41"/>
      <c r="D289" s="41"/>
      <c r="E289" s="41"/>
      <c r="F289" s="41"/>
      <c r="G289" s="41"/>
      <c r="H289" s="41"/>
    </row>
    <row r="290">
      <c r="A290" s="40"/>
      <c r="B290" s="41"/>
      <c r="C290" s="41"/>
      <c r="D290" s="41"/>
      <c r="E290" s="41"/>
      <c r="F290" s="41"/>
      <c r="G290" s="41"/>
      <c r="H290" s="41"/>
    </row>
    <row r="291">
      <c r="A291" s="40"/>
      <c r="B291" s="41"/>
      <c r="C291" s="41"/>
      <c r="D291" s="41"/>
      <c r="E291" s="41"/>
      <c r="F291" s="41"/>
      <c r="G291" s="41"/>
      <c r="H291" s="41"/>
    </row>
    <row r="292">
      <c r="A292" s="40"/>
      <c r="B292" s="41"/>
      <c r="C292" s="41"/>
      <c r="D292" s="41"/>
      <c r="E292" s="41"/>
      <c r="F292" s="41"/>
      <c r="G292" s="41"/>
      <c r="H292" s="41"/>
    </row>
    <row r="293">
      <c r="A293" s="40"/>
      <c r="B293" s="41"/>
      <c r="C293" s="41"/>
      <c r="D293" s="41"/>
      <c r="E293" s="41"/>
      <c r="F293" s="41"/>
      <c r="G293" s="41"/>
      <c r="H293" s="41"/>
    </row>
    <row r="294">
      <c r="A294" s="40"/>
      <c r="B294" s="41"/>
      <c r="C294" s="41"/>
      <c r="D294" s="41"/>
      <c r="E294" s="41"/>
      <c r="F294" s="41"/>
      <c r="G294" s="41"/>
      <c r="H294" s="41"/>
    </row>
    <row r="295">
      <c r="A295" s="40"/>
      <c r="B295" s="41"/>
      <c r="C295" s="41"/>
      <c r="D295" s="41"/>
      <c r="E295" s="41"/>
      <c r="F295" s="41"/>
      <c r="G295" s="41"/>
      <c r="H295" s="41"/>
    </row>
    <row r="296">
      <c r="A296" s="40"/>
      <c r="B296" s="41"/>
      <c r="C296" s="41"/>
      <c r="D296" s="41"/>
      <c r="E296" s="41"/>
      <c r="F296" s="41"/>
      <c r="G296" s="41"/>
      <c r="H296" s="41"/>
    </row>
    <row r="297">
      <c r="A297" s="40"/>
      <c r="B297" s="41"/>
      <c r="C297" s="41"/>
      <c r="D297" s="41"/>
      <c r="E297" s="41"/>
      <c r="F297" s="41"/>
      <c r="G297" s="41"/>
      <c r="H297" s="41"/>
    </row>
    <row r="298">
      <c r="A298" s="40"/>
      <c r="B298" s="41"/>
      <c r="C298" s="41"/>
      <c r="D298" s="41"/>
      <c r="E298" s="41"/>
      <c r="F298" s="41"/>
      <c r="G298" s="41"/>
      <c r="H298" s="41"/>
    </row>
    <row r="299">
      <c r="A299" s="40"/>
      <c r="B299" s="41"/>
      <c r="C299" s="41"/>
      <c r="D299" s="41"/>
      <c r="E299" s="41"/>
      <c r="F299" s="41"/>
      <c r="G299" s="41"/>
      <c r="H299" s="41"/>
    </row>
    <row r="300">
      <c r="A300" s="40"/>
      <c r="B300" s="41"/>
      <c r="C300" s="41"/>
      <c r="D300" s="41"/>
      <c r="E300" s="41"/>
      <c r="F300" s="41"/>
      <c r="G300" s="41"/>
      <c r="H300" s="41"/>
    </row>
    <row r="301">
      <c r="A301" s="40"/>
      <c r="B301" s="41"/>
      <c r="C301" s="41"/>
      <c r="D301" s="41"/>
      <c r="E301" s="41"/>
      <c r="F301" s="41"/>
      <c r="G301" s="41"/>
      <c r="H301" s="41"/>
    </row>
    <row r="302">
      <c r="A302" s="40"/>
      <c r="B302" s="41"/>
      <c r="C302" s="41"/>
      <c r="D302" s="41"/>
      <c r="E302" s="41"/>
      <c r="F302" s="41"/>
      <c r="G302" s="41"/>
      <c r="H302" s="41"/>
    </row>
    <row r="303">
      <c r="A303" s="40"/>
      <c r="B303" s="41"/>
      <c r="C303" s="41"/>
      <c r="D303" s="41"/>
      <c r="E303" s="41"/>
      <c r="F303" s="41"/>
      <c r="G303" s="41"/>
      <c r="H303" s="41"/>
    </row>
    <row r="304">
      <c r="A304" s="40"/>
      <c r="B304" s="41"/>
      <c r="C304" s="41"/>
      <c r="D304" s="41"/>
      <c r="E304" s="41"/>
      <c r="F304" s="41"/>
      <c r="G304" s="41"/>
      <c r="H304" s="41"/>
    </row>
    <row r="305">
      <c r="A305" s="40"/>
      <c r="B305" s="41"/>
      <c r="C305" s="41"/>
      <c r="D305" s="41"/>
      <c r="E305" s="41"/>
      <c r="F305" s="41"/>
      <c r="G305" s="41"/>
      <c r="H305" s="41"/>
    </row>
    <row r="306">
      <c r="A306" s="40"/>
      <c r="B306" s="41"/>
      <c r="C306" s="41"/>
      <c r="D306" s="41"/>
      <c r="E306" s="41"/>
      <c r="F306" s="41"/>
      <c r="G306" s="41"/>
      <c r="H306" s="41"/>
    </row>
    <row r="307">
      <c r="A307" s="40"/>
      <c r="B307" s="41"/>
      <c r="C307" s="41"/>
      <c r="D307" s="41"/>
      <c r="E307" s="41"/>
      <c r="F307" s="41"/>
      <c r="G307" s="41"/>
      <c r="H307" s="41"/>
    </row>
    <row r="308">
      <c r="A308" s="40"/>
      <c r="B308" s="41"/>
      <c r="C308" s="41"/>
      <c r="D308" s="41"/>
      <c r="E308" s="41"/>
      <c r="F308" s="41"/>
      <c r="G308" s="41"/>
      <c r="H308" s="41"/>
    </row>
    <row r="309">
      <c r="A309" s="40"/>
      <c r="B309" s="41"/>
      <c r="C309" s="41"/>
      <c r="D309" s="41"/>
      <c r="E309" s="41"/>
      <c r="F309" s="41"/>
      <c r="G309" s="41"/>
      <c r="H309" s="41"/>
    </row>
    <row r="310">
      <c r="A310" s="40"/>
      <c r="B310" s="41"/>
      <c r="C310" s="41"/>
      <c r="D310" s="41"/>
      <c r="E310" s="41"/>
      <c r="F310" s="41"/>
      <c r="G310" s="41"/>
      <c r="H310" s="41"/>
    </row>
    <row r="311">
      <c r="A311" s="40"/>
      <c r="B311" s="41"/>
      <c r="C311" s="41"/>
      <c r="D311" s="41"/>
      <c r="E311" s="41"/>
      <c r="F311" s="41"/>
      <c r="G311" s="41"/>
      <c r="H311" s="41"/>
    </row>
    <row r="312">
      <c r="A312" s="40"/>
      <c r="B312" s="41"/>
      <c r="C312" s="41"/>
      <c r="D312" s="41"/>
      <c r="E312" s="41"/>
      <c r="F312" s="41"/>
      <c r="G312" s="41"/>
      <c r="H312" s="41"/>
    </row>
    <row r="313">
      <c r="A313" s="40"/>
      <c r="B313" s="41"/>
      <c r="C313" s="41"/>
      <c r="D313" s="41"/>
      <c r="E313" s="41"/>
      <c r="F313" s="41"/>
      <c r="G313" s="41"/>
      <c r="H313" s="41"/>
    </row>
    <row r="314">
      <c r="A314" s="40"/>
      <c r="B314" s="41"/>
      <c r="C314" s="41"/>
      <c r="D314" s="41"/>
      <c r="E314" s="41"/>
      <c r="F314" s="41"/>
      <c r="G314" s="41"/>
      <c r="H314" s="41"/>
    </row>
    <row r="315">
      <c r="A315" s="40"/>
      <c r="B315" s="41"/>
      <c r="C315" s="41"/>
      <c r="D315" s="41"/>
      <c r="E315" s="41"/>
      <c r="F315" s="41"/>
      <c r="G315" s="41"/>
      <c r="H315" s="41"/>
    </row>
    <row r="316">
      <c r="A316" s="40"/>
      <c r="B316" s="41"/>
      <c r="C316" s="41"/>
      <c r="D316" s="41"/>
      <c r="E316" s="41"/>
      <c r="F316" s="41"/>
      <c r="G316" s="41"/>
      <c r="H316" s="41"/>
    </row>
    <row r="317">
      <c r="A317" s="40"/>
      <c r="B317" s="41"/>
      <c r="C317" s="41"/>
      <c r="D317" s="41"/>
      <c r="E317" s="41"/>
      <c r="F317" s="41"/>
      <c r="G317" s="41"/>
      <c r="H317" s="41"/>
    </row>
    <row r="318">
      <c r="A318" s="40"/>
      <c r="B318" s="41"/>
      <c r="C318" s="41"/>
      <c r="D318" s="41"/>
      <c r="E318" s="41"/>
      <c r="F318" s="41"/>
      <c r="G318" s="41"/>
      <c r="H318" s="41"/>
    </row>
    <row r="319">
      <c r="A319" s="40"/>
      <c r="B319" s="41"/>
      <c r="C319" s="41"/>
      <c r="D319" s="41"/>
      <c r="E319" s="41"/>
      <c r="F319" s="41"/>
      <c r="G319" s="41"/>
      <c r="H319" s="41"/>
    </row>
    <row r="320">
      <c r="A320" s="40"/>
      <c r="B320" s="41"/>
      <c r="C320" s="41"/>
      <c r="D320" s="41"/>
      <c r="E320" s="41"/>
      <c r="F320" s="41"/>
      <c r="G320" s="41"/>
      <c r="H320" s="41"/>
    </row>
    <row r="321">
      <c r="A321" s="40"/>
      <c r="B321" s="41"/>
      <c r="C321" s="41"/>
      <c r="D321" s="41"/>
      <c r="E321" s="41"/>
      <c r="F321" s="41"/>
      <c r="G321" s="41"/>
      <c r="H321" s="41"/>
    </row>
    <row r="322">
      <c r="A322" s="40"/>
      <c r="B322" s="41"/>
      <c r="C322" s="41"/>
      <c r="D322" s="41"/>
      <c r="E322" s="41"/>
      <c r="F322" s="41"/>
      <c r="G322" s="41"/>
      <c r="H322" s="41"/>
    </row>
    <row r="323">
      <c r="A323" s="40"/>
      <c r="B323" s="41"/>
      <c r="C323" s="41"/>
      <c r="D323" s="41"/>
      <c r="E323" s="41"/>
      <c r="F323" s="41"/>
      <c r="G323" s="41"/>
      <c r="H323" s="41"/>
    </row>
    <row r="324">
      <c r="A324" s="40"/>
      <c r="B324" s="41"/>
      <c r="C324" s="41"/>
      <c r="D324" s="41"/>
      <c r="E324" s="41"/>
      <c r="F324" s="41"/>
      <c r="G324" s="41"/>
      <c r="H324" s="41"/>
    </row>
    <row r="325">
      <c r="A325" s="40"/>
      <c r="B325" s="41"/>
      <c r="C325" s="41"/>
      <c r="D325" s="41"/>
      <c r="E325" s="41"/>
      <c r="F325" s="41"/>
      <c r="G325" s="41"/>
      <c r="H325" s="41"/>
    </row>
    <row r="326">
      <c r="A326" s="40"/>
      <c r="B326" s="41"/>
      <c r="C326" s="41"/>
      <c r="D326" s="41"/>
      <c r="E326" s="41"/>
      <c r="F326" s="41"/>
      <c r="G326" s="41"/>
      <c r="H326" s="41"/>
    </row>
    <row r="327">
      <c r="A327" s="40"/>
      <c r="B327" s="41"/>
      <c r="C327" s="41"/>
      <c r="D327" s="41"/>
      <c r="E327" s="41"/>
      <c r="F327" s="41"/>
      <c r="G327" s="41"/>
      <c r="H327" s="41"/>
    </row>
    <row r="328">
      <c r="A328" s="40"/>
      <c r="B328" s="41"/>
      <c r="C328" s="41"/>
      <c r="D328" s="41"/>
      <c r="E328" s="41"/>
      <c r="F328" s="41"/>
      <c r="G328" s="41"/>
      <c r="H328" s="41"/>
    </row>
    <row r="329">
      <c r="A329" s="40"/>
      <c r="B329" s="41"/>
      <c r="C329" s="41"/>
      <c r="D329" s="41"/>
      <c r="E329" s="41"/>
      <c r="F329" s="41"/>
      <c r="G329" s="41"/>
      <c r="H329" s="41"/>
    </row>
    <row r="330">
      <c r="A330" s="40"/>
      <c r="B330" s="41"/>
      <c r="C330" s="41"/>
      <c r="D330" s="41"/>
      <c r="E330" s="41"/>
      <c r="F330" s="41"/>
      <c r="G330" s="41"/>
      <c r="H330" s="41"/>
    </row>
    <row r="331">
      <c r="A331" s="40"/>
      <c r="B331" s="41"/>
      <c r="C331" s="41"/>
      <c r="D331" s="41"/>
      <c r="E331" s="41"/>
      <c r="F331" s="41"/>
      <c r="G331" s="41"/>
      <c r="H331" s="41"/>
    </row>
    <row r="332">
      <c r="A332" s="40"/>
      <c r="B332" s="41"/>
      <c r="C332" s="41"/>
      <c r="D332" s="41"/>
      <c r="E332" s="41"/>
      <c r="F332" s="41"/>
      <c r="G332" s="41"/>
      <c r="H332" s="41"/>
    </row>
    <row r="333">
      <c r="A333" s="40"/>
      <c r="B333" s="41"/>
      <c r="C333" s="41"/>
      <c r="D333" s="41"/>
      <c r="E333" s="41"/>
      <c r="F333" s="41"/>
      <c r="G333" s="41"/>
      <c r="H333" s="41"/>
    </row>
    <row r="334">
      <c r="A334" s="40"/>
      <c r="B334" s="41"/>
      <c r="C334" s="41"/>
      <c r="D334" s="41"/>
      <c r="E334" s="41"/>
      <c r="F334" s="41"/>
      <c r="G334" s="41"/>
      <c r="H334" s="41"/>
    </row>
    <row r="335">
      <c r="A335" s="40"/>
      <c r="B335" s="41"/>
      <c r="C335" s="41"/>
      <c r="D335" s="41"/>
      <c r="E335" s="41"/>
      <c r="F335" s="41"/>
      <c r="G335" s="41"/>
      <c r="H335" s="41"/>
    </row>
    <row r="336">
      <c r="A336" s="40"/>
      <c r="B336" s="41"/>
      <c r="C336" s="41"/>
      <c r="D336" s="41"/>
      <c r="E336" s="41"/>
      <c r="F336" s="41"/>
      <c r="G336" s="41"/>
      <c r="H336" s="41"/>
    </row>
    <row r="337">
      <c r="A337" s="40"/>
      <c r="B337" s="41"/>
      <c r="C337" s="41"/>
      <c r="D337" s="41"/>
      <c r="E337" s="41"/>
      <c r="F337" s="41"/>
      <c r="G337" s="41"/>
      <c r="H337" s="41"/>
    </row>
    <row r="338">
      <c r="A338" s="40"/>
      <c r="B338" s="41"/>
      <c r="C338" s="41"/>
      <c r="D338" s="41"/>
      <c r="E338" s="41"/>
      <c r="F338" s="41"/>
      <c r="G338" s="41"/>
      <c r="H338" s="41"/>
    </row>
    <row r="339">
      <c r="A339" s="40"/>
      <c r="B339" s="41"/>
      <c r="C339" s="41"/>
      <c r="D339" s="41"/>
      <c r="E339" s="41"/>
      <c r="F339" s="41"/>
      <c r="G339" s="41"/>
      <c r="H339" s="41"/>
    </row>
    <row r="340">
      <c r="A340" s="40"/>
      <c r="B340" s="41"/>
      <c r="C340" s="41"/>
      <c r="D340" s="41"/>
      <c r="E340" s="41"/>
      <c r="F340" s="41"/>
      <c r="G340" s="41"/>
      <c r="H340" s="41"/>
    </row>
    <row r="341">
      <c r="A341" s="40"/>
      <c r="B341" s="41"/>
      <c r="C341" s="41"/>
      <c r="D341" s="41"/>
      <c r="E341" s="41"/>
      <c r="F341" s="41"/>
      <c r="G341" s="41"/>
      <c r="H341" s="41"/>
    </row>
    <row r="342">
      <c r="A342" s="40"/>
      <c r="B342" s="41"/>
      <c r="C342" s="41"/>
      <c r="D342" s="41"/>
      <c r="E342" s="41"/>
      <c r="F342" s="41"/>
      <c r="G342" s="41"/>
      <c r="H342" s="41"/>
    </row>
    <row r="343">
      <c r="A343" s="40"/>
      <c r="B343" s="41"/>
      <c r="C343" s="41"/>
      <c r="D343" s="41"/>
      <c r="E343" s="41"/>
      <c r="F343" s="41"/>
      <c r="G343" s="41"/>
      <c r="H343" s="41"/>
    </row>
    <row r="344">
      <c r="A344" s="40"/>
      <c r="B344" s="41"/>
      <c r="C344" s="41"/>
      <c r="D344" s="41"/>
      <c r="E344" s="41"/>
      <c r="F344" s="41"/>
      <c r="G344" s="41"/>
      <c r="H344" s="41"/>
    </row>
    <row r="345">
      <c r="A345" s="40"/>
      <c r="B345" s="41"/>
      <c r="C345" s="41"/>
      <c r="D345" s="41"/>
      <c r="E345" s="41"/>
      <c r="F345" s="41"/>
      <c r="G345" s="41"/>
      <c r="H345" s="41"/>
    </row>
    <row r="346">
      <c r="A346" s="40"/>
      <c r="B346" s="41"/>
      <c r="C346" s="41"/>
      <c r="D346" s="41"/>
      <c r="E346" s="41"/>
      <c r="F346" s="41"/>
      <c r="G346" s="41"/>
      <c r="H346" s="41"/>
    </row>
    <row r="347">
      <c r="A347" s="40"/>
      <c r="B347" s="41"/>
      <c r="C347" s="41"/>
      <c r="D347" s="41"/>
      <c r="E347" s="41"/>
      <c r="F347" s="41"/>
      <c r="G347" s="41"/>
      <c r="H347" s="41"/>
    </row>
    <row r="348">
      <c r="A348" s="40"/>
      <c r="B348" s="41"/>
      <c r="C348" s="41"/>
      <c r="D348" s="41"/>
      <c r="E348" s="41"/>
      <c r="F348" s="41"/>
      <c r="G348" s="41"/>
      <c r="H348" s="41"/>
    </row>
    <row r="349">
      <c r="A349" s="40"/>
      <c r="B349" s="41"/>
      <c r="C349" s="41"/>
      <c r="D349" s="41"/>
      <c r="E349" s="41"/>
      <c r="F349" s="41"/>
      <c r="G349" s="41"/>
      <c r="H349" s="41"/>
    </row>
    <row r="350">
      <c r="A350" s="40"/>
      <c r="B350" s="41"/>
      <c r="C350" s="41"/>
      <c r="D350" s="41"/>
      <c r="E350" s="41"/>
      <c r="F350" s="41"/>
      <c r="G350" s="41"/>
      <c r="H350" s="41"/>
    </row>
    <row r="351">
      <c r="A351" s="40"/>
      <c r="B351" s="41"/>
      <c r="C351" s="41"/>
      <c r="D351" s="41"/>
      <c r="E351" s="41"/>
      <c r="F351" s="41"/>
      <c r="G351" s="41"/>
      <c r="H351" s="41"/>
    </row>
    <row r="352">
      <c r="A352" s="40"/>
      <c r="B352" s="41"/>
      <c r="C352" s="41"/>
      <c r="D352" s="41"/>
      <c r="E352" s="41"/>
      <c r="F352" s="41"/>
      <c r="G352" s="41"/>
      <c r="H352" s="41"/>
    </row>
    <row r="353">
      <c r="A353" s="40"/>
      <c r="B353" s="41"/>
      <c r="C353" s="41"/>
      <c r="D353" s="41"/>
      <c r="E353" s="41"/>
      <c r="F353" s="41"/>
      <c r="G353" s="41"/>
      <c r="H353" s="41"/>
    </row>
    <row r="354">
      <c r="A354" s="40"/>
      <c r="B354" s="41"/>
      <c r="C354" s="41"/>
      <c r="D354" s="41"/>
      <c r="E354" s="41"/>
      <c r="F354" s="41"/>
      <c r="G354" s="41"/>
      <c r="H354" s="41"/>
    </row>
    <row r="355">
      <c r="A355" s="40"/>
      <c r="B355" s="41"/>
      <c r="C355" s="41"/>
      <c r="D355" s="41"/>
      <c r="E355" s="41"/>
      <c r="F355" s="41"/>
      <c r="G355" s="41"/>
      <c r="H355" s="41"/>
    </row>
    <row r="356">
      <c r="A356" s="40"/>
      <c r="B356" s="41"/>
      <c r="C356" s="41"/>
      <c r="D356" s="41"/>
      <c r="E356" s="41"/>
      <c r="F356" s="41"/>
      <c r="G356" s="41"/>
      <c r="H356" s="41"/>
    </row>
    <row r="357">
      <c r="A357" s="40"/>
      <c r="B357" s="41"/>
      <c r="C357" s="41"/>
      <c r="D357" s="41"/>
      <c r="E357" s="41"/>
      <c r="F357" s="41"/>
      <c r="G357" s="41"/>
      <c r="H357" s="41"/>
    </row>
    <row r="358">
      <c r="A358" s="40"/>
      <c r="B358" s="41"/>
      <c r="C358" s="41"/>
      <c r="D358" s="41"/>
      <c r="E358" s="41"/>
      <c r="F358" s="41"/>
      <c r="G358" s="41"/>
      <c r="H358" s="41"/>
    </row>
    <row r="359">
      <c r="A359" s="40"/>
      <c r="B359" s="41"/>
      <c r="C359" s="41"/>
      <c r="D359" s="41"/>
      <c r="E359" s="41"/>
      <c r="F359" s="41"/>
      <c r="G359" s="41"/>
      <c r="H359" s="41"/>
    </row>
    <row r="360">
      <c r="A360" s="40"/>
      <c r="B360" s="41"/>
      <c r="C360" s="41"/>
      <c r="D360" s="41"/>
      <c r="E360" s="41"/>
      <c r="F360" s="41"/>
      <c r="G360" s="41"/>
      <c r="H360" s="41"/>
    </row>
    <row r="361">
      <c r="A361" s="40"/>
      <c r="B361" s="41"/>
      <c r="C361" s="41"/>
      <c r="D361" s="41"/>
      <c r="E361" s="41"/>
      <c r="F361" s="41"/>
      <c r="G361" s="41"/>
      <c r="H361" s="41"/>
    </row>
    <row r="362">
      <c r="A362" s="40"/>
      <c r="B362" s="41"/>
      <c r="C362" s="41"/>
      <c r="D362" s="41"/>
      <c r="E362" s="41"/>
      <c r="F362" s="41"/>
      <c r="G362" s="41"/>
      <c r="H362" s="41"/>
    </row>
    <row r="363">
      <c r="A363" s="40"/>
      <c r="B363" s="41"/>
      <c r="C363" s="41"/>
      <c r="D363" s="41"/>
      <c r="E363" s="41"/>
      <c r="F363" s="41"/>
      <c r="G363" s="41"/>
      <c r="H363" s="41"/>
    </row>
    <row r="364">
      <c r="A364" s="40"/>
      <c r="B364" s="41"/>
      <c r="C364" s="41"/>
      <c r="D364" s="41"/>
      <c r="E364" s="41"/>
      <c r="F364" s="41"/>
      <c r="G364" s="41"/>
      <c r="H364" s="41"/>
    </row>
    <row r="365">
      <c r="A365" s="40"/>
      <c r="B365" s="41"/>
      <c r="C365" s="41"/>
      <c r="D365" s="41"/>
      <c r="E365" s="41"/>
      <c r="F365" s="41"/>
      <c r="G365" s="41"/>
      <c r="H365" s="41"/>
    </row>
    <row r="366">
      <c r="A366" s="40"/>
      <c r="B366" s="41"/>
      <c r="C366" s="41"/>
      <c r="D366" s="41"/>
      <c r="E366" s="41"/>
      <c r="F366" s="41"/>
      <c r="G366" s="41"/>
      <c r="H366" s="41"/>
    </row>
    <row r="367">
      <c r="A367" s="40"/>
      <c r="B367" s="41"/>
      <c r="C367" s="41"/>
      <c r="D367" s="41"/>
      <c r="E367" s="41"/>
      <c r="F367" s="41"/>
      <c r="G367" s="41"/>
      <c r="H367" s="41"/>
    </row>
    <row r="368">
      <c r="A368" s="40"/>
      <c r="B368" s="41"/>
      <c r="C368" s="41"/>
      <c r="D368" s="41"/>
      <c r="E368" s="41"/>
      <c r="F368" s="41"/>
      <c r="G368" s="41"/>
      <c r="H368" s="41"/>
    </row>
    <row r="369">
      <c r="A369" s="40"/>
      <c r="B369" s="41"/>
      <c r="C369" s="41"/>
      <c r="D369" s="41"/>
      <c r="E369" s="41"/>
      <c r="F369" s="41"/>
      <c r="G369" s="41"/>
      <c r="H369" s="41"/>
    </row>
    <row r="370">
      <c r="A370" s="40"/>
      <c r="B370" s="41"/>
      <c r="C370" s="41"/>
      <c r="D370" s="41"/>
      <c r="E370" s="41"/>
      <c r="F370" s="41"/>
      <c r="G370" s="41"/>
      <c r="H370" s="41"/>
    </row>
    <row r="371">
      <c r="A371" s="40"/>
      <c r="B371" s="41"/>
      <c r="C371" s="41"/>
      <c r="D371" s="41"/>
      <c r="E371" s="41"/>
      <c r="F371" s="41"/>
      <c r="G371" s="41"/>
      <c r="H371" s="41"/>
    </row>
    <row r="372">
      <c r="A372" s="40"/>
      <c r="B372" s="41"/>
      <c r="C372" s="41"/>
      <c r="D372" s="41"/>
      <c r="E372" s="41"/>
      <c r="F372" s="41"/>
      <c r="G372" s="41"/>
      <c r="H372" s="41"/>
    </row>
    <row r="373">
      <c r="A373" s="40"/>
      <c r="B373" s="41"/>
      <c r="C373" s="41"/>
      <c r="D373" s="41"/>
      <c r="E373" s="41"/>
      <c r="F373" s="41"/>
      <c r="G373" s="41"/>
      <c r="H373" s="41"/>
    </row>
    <row r="374">
      <c r="A374" s="40"/>
      <c r="B374" s="41"/>
      <c r="C374" s="41"/>
      <c r="D374" s="41"/>
      <c r="E374" s="41"/>
      <c r="F374" s="41"/>
      <c r="G374" s="41"/>
      <c r="H374" s="41"/>
    </row>
    <row r="375">
      <c r="A375" s="40"/>
      <c r="B375" s="41"/>
      <c r="C375" s="41"/>
      <c r="D375" s="41"/>
      <c r="E375" s="41"/>
      <c r="F375" s="41"/>
      <c r="G375" s="41"/>
      <c r="H375" s="41"/>
    </row>
    <row r="376">
      <c r="A376" s="40"/>
      <c r="B376" s="41"/>
      <c r="C376" s="41"/>
      <c r="D376" s="41"/>
      <c r="E376" s="41"/>
      <c r="F376" s="41"/>
      <c r="G376" s="41"/>
      <c r="H376" s="41"/>
    </row>
    <row r="377">
      <c r="A377" s="40"/>
      <c r="B377" s="41"/>
      <c r="C377" s="41"/>
      <c r="D377" s="41"/>
      <c r="E377" s="41"/>
      <c r="F377" s="41"/>
      <c r="G377" s="41"/>
      <c r="H377" s="41"/>
    </row>
    <row r="378">
      <c r="A378" s="40"/>
      <c r="B378" s="41"/>
      <c r="C378" s="41"/>
      <c r="D378" s="41"/>
      <c r="E378" s="41"/>
      <c r="F378" s="41"/>
      <c r="G378" s="41"/>
      <c r="H378" s="41"/>
    </row>
    <row r="379">
      <c r="A379" s="40"/>
      <c r="B379" s="41"/>
      <c r="C379" s="41"/>
      <c r="D379" s="41"/>
      <c r="E379" s="41"/>
      <c r="F379" s="41"/>
      <c r="G379" s="41"/>
      <c r="H379" s="41"/>
    </row>
    <row r="380">
      <c r="A380" s="40"/>
      <c r="B380" s="41"/>
      <c r="C380" s="41"/>
      <c r="D380" s="41"/>
      <c r="E380" s="41"/>
      <c r="F380" s="41"/>
      <c r="G380" s="41"/>
      <c r="H380" s="41"/>
    </row>
    <row r="381">
      <c r="A381" s="40"/>
      <c r="B381" s="41"/>
      <c r="C381" s="41"/>
      <c r="D381" s="41"/>
      <c r="E381" s="41"/>
      <c r="F381" s="41"/>
      <c r="G381" s="41"/>
      <c r="H381" s="41"/>
    </row>
    <row r="382">
      <c r="A382" s="40"/>
      <c r="B382" s="41"/>
      <c r="C382" s="41"/>
      <c r="D382" s="41"/>
      <c r="E382" s="41"/>
      <c r="F382" s="41"/>
      <c r="G382" s="41"/>
      <c r="H382" s="41"/>
    </row>
    <row r="383">
      <c r="A383" s="40"/>
      <c r="B383" s="41"/>
      <c r="C383" s="41"/>
      <c r="D383" s="41"/>
      <c r="E383" s="41"/>
      <c r="F383" s="41"/>
      <c r="G383" s="41"/>
      <c r="H383" s="41"/>
    </row>
    <row r="384">
      <c r="A384" s="40"/>
      <c r="B384" s="41"/>
      <c r="C384" s="41"/>
      <c r="D384" s="41"/>
      <c r="E384" s="41"/>
      <c r="F384" s="41"/>
      <c r="G384" s="41"/>
      <c r="H384" s="41"/>
    </row>
    <row r="385">
      <c r="A385" s="40"/>
      <c r="B385" s="41"/>
      <c r="C385" s="41"/>
      <c r="D385" s="41"/>
      <c r="E385" s="41"/>
      <c r="F385" s="41"/>
      <c r="G385" s="41"/>
      <c r="H385" s="41"/>
    </row>
    <row r="386">
      <c r="A386" s="40"/>
      <c r="B386" s="41"/>
      <c r="C386" s="41"/>
      <c r="D386" s="41"/>
      <c r="E386" s="41"/>
      <c r="F386" s="41"/>
      <c r="G386" s="41"/>
      <c r="H386" s="41"/>
    </row>
    <row r="387">
      <c r="A387" s="40"/>
      <c r="B387" s="41"/>
      <c r="C387" s="41"/>
      <c r="D387" s="41"/>
      <c r="E387" s="41"/>
      <c r="F387" s="41"/>
      <c r="G387" s="41"/>
      <c r="H387" s="41"/>
    </row>
    <row r="388">
      <c r="A388" s="40"/>
      <c r="B388" s="41"/>
      <c r="C388" s="41"/>
      <c r="D388" s="41"/>
      <c r="E388" s="41"/>
      <c r="F388" s="41"/>
      <c r="G388" s="41"/>
      <c r="H388" s="41"/>
    </row>
    <row r="389">
      <c r="A389" s="40"/>
      <c r="B389" s="41"/>
      <c r="C389" s="41"/>
      <c r="D389" s="41"/>
      <c r="E389" s="41"/>
      <c r="F389" s="41"/>
      <c r="G389" s="41"/>
      <c r="H389" s="41"/>
    </row>
    <row r="390">
      <c r="A390" s="40"/>
      <c r="B390" s="41"/>
      <c r="C390" s="41"/>
      <c r="D390" s="41"/>
      <c r="E390" s="41"/>
      <c r="F390" s="41"/>
      <c r="G390" s="41"/>
      <c r="H390" s="41"/>
    </row>
    <row r="391">
      <c r="A391" s="40"/>
      <c r="B391" s="41"/>
      <c r="C391" s="41"/>
      <c r="D391" s="41"/>
      <c r="E391" s="41"/>
      <c r="F391" s="41"/>
      <c r="G391" s="41"/>
      <c r="H391" s="41"/>
    </row>
    <row r="392">
      <c r="A392" s="40"/>
      <c r="B392" s="41"/>
      <c r="C392" s="41"/>
      <c r="D392" s="41"/>
      <c r="E392" s="41"/>
      <c r="F392" s="41"/>
      <c r="G392" s="41"/>
      <c r="H392" s="41"/>
    </row>
    <row r="393">
      <c r="A393" s="40"/>
      <c r="B393" s="41"/>
      <c r="C393" s="41"/>
      <c r="D393" s="41"/>
      <c r="E393" s="41"/>
      <c r="F393" s="41"/>
      <c r="G393" s="41"/>
      <c r="H393" s="41"/>
    </row>
    <row r="394">
      <c r="A394" s="40"/>
      <c r="B394" s="41"/>
      <c r="C394" s="41"/>
      <c r="D394" s="41"/>
      <c r="E394" s="41"/>
      <c r="F394" s="41"/>
      <c r="G394" s="41"/>
      <c r="H394" s="41"/>
    </row>
    <row r="395">
      <c r="A395" s="40"/>
      <c r="B395" s="41"/>
      <c r="C395" s="41"/>
      <c r="D395" s="41"/>
      <c r="E395" s="41"/>
      <c r="F395" s="41"/>
      <c r="G395" s="41"/>
      <c r="H395" s="41"/>
    </row>
    <row r="396">
      <c r="A396" s="40"/>
      <c r="B396" s="41"/>
      <c r="C396" s="41"/>
      <c r="D396" s="41"/>
      <c r="E396" s="41"/>
      <c r="F396" s="41"/>
      <c r="G396" s="41"/>
      <c r="H396" s="41"/>
    </row>
    <row r="397">
      <c r="A397" s="40"/>
      <c r="B397" s="41"/>
      <c r="C397" s="41"/>
      <c r="D397" s="41"/>
      <c r="E397" s="41"/>
      <c r="F397" s="41"/>
      <c r="G397" s="41"/>
      <c r="H397" s="41"/>
    </row>
    <row r="398">
      <c r="A398" s="40"/>
      <c r="B398" s="41"/>
      <c r="C398" s="41"/>
      <c r="D398" s="41"/>
      <c r="E398" s="41"/>
      <c r="F398" s="41"/>
      <c r="G398" s="41"/>
      <c r="H398" s="41"/>
    </row>
    <row r="399">
      <c r="A399" s="40"/>
      <c r="B399" s="41"/>
      <c r="C399" s="41"/>
      <c r="D399" s="41"/>
      <c r="E399" s="41"/>
      <c r="F399" s="41"/>
      <c r="G399" s="41"/>
      <c r="H399" s="41"/>
    </row>
    <row r="400">
      <c r="A400" s="40"/>
      <c r="B400" s="41"/>
      <c r="C400" s="41"/>
      <c r="D400" s="41"/>
      <c r="E400" s="41"/>
      <c r="F400" s="41"/>
      <c r="G400" s="41"/>
      <c r="H400" s="41"/>
    </row>
    <row r="401">
      <c r="A401" s="40"/>
      <c r="B401" s="41"/>
      <c r="C401" s="41"/>
      <c r="D401" s="41"/>
      <c r="E401" s="41"/>
      <c r="F401" s="41"/>
      <c r="G401" s="41"/>
      <c r="H401" s="41"/>
    </row>
    <row r="402">
      <c r="A402" s="40"/>
      <c r="B402" s="41"/>
      <c r="C402" s="41"/>
      <c r="D402" s="41"/>
      <c r="E402" s="41"/>
      <c r="F402" s="41"/>
      <c r="G402" s="41"/>
      <c r="H402" s="41"/>
    </row>
    <row r="403">
      <c r="A403" s="40"/>
      <c r="B403" s="41"/>
      <c r="C403" s="41"/>
      <c r="D403" s="41"/>
      <c r="E403" s="41"/>
      <c r="F403" s="41"/>
      <c r="G403" s="41"/>
      <c r="H403" s="41"/>
    </row>
    <row r="404">
      <c r="A404" s="40"/>
      <c r="B404" s="41"/>
      <c r="C404" s="41"/>
      <c r="D404" s="41"/>
      <c r="E404" s="41"/>
      <c r="F404" s="41"/>
      <c r="G404" s="41"/>
      <c r="H404" s="41"/>
    </row>
    <row r="405">
      <c r="A405" s="40"/>
      <c r="B405" s="41"/>
      <c r="C405" s="41"/>
      <c r="D405" s="41"/>
      <c r="E405" s="41"/>
      <c r="F405" s="41"/>
      <c r="G405" s="41"/>
      <c r="H405" s="41"/>
    </row>
    <row r="406">
      <c r="A406" s="40"/>
      <c r="B406" s="41"/>
      <c r="C406" s="41"/>
      <c r="D406" s="41"/>
      <c r="E406" s="41"/>
      <c r="F406" s="41"/>
      <c r="G406" s="41"/>
      <c r="H406" s="41"/>
    </row>
    <row r="407">
      <c r="A407" s="40"/>
      <c r="B407" s="41"/>
      <c r="C407" s="41"/>
      <c r="D407" s="41"/>
      <c r="E407" s="41"/>
      <c r="F407" s="41"/>
      <c r="G407" s="41"/>
      <c r="H407" s="41"/>
    </row>
    <row r="408">
      <c r="A408" s="40"/>
      <c r="B408" s="41"/>
      <c r="C408" s="41"/>
      <c r="D408" s="41"/>
      <c r="E408" s="41"/>
      <c r="F408" s="41"/>
      <c r="G408" s="41"/>
      <c r="H408" s="41"/>
    </row>
    <row r="409">
      <c r="A409" s="40"/>
      <c r="B409" s="41"/>
      <c r="C409" s="41"/>
      <c r="D409" s="41"/>
      <c r="E409" s="41"/>
      <c r="F409" s="41"/>
      <c r="G409" s="41"/>
      <c r="H409" s="41"/>
    </row>
    <row r="410">
      <c r="A410" s="40"/>
      <c r="B410" s="41"/>
      <c r="C410" s="41"/>
      <c r="D410" s="41"/>
      <c r="E410" s="41"/>
      <c r="F410" s="41"/>
      <c r="G410" s="41"/>
      <c r="H410" s="41"/>
    </row>
    <row r="411">
      <c r="A411" s="40"/>
      <c r="B411" s="41"/>
      <c r="C411" s="41"/>
      <c r="D411" s="41"/>
      <c r="E411" s="41"/>
      <c r="F411" s="41"/>
      <c r="G411" s="41"/>
      <c r="H411" s="41"/>
    </row>
    <row r="412">
      <c r="A412" s="40"/>
      <c r="B412" s="41"/>
      <c r="C412" s="41"/>
      <c r="D412" s="41"/>
      <c r="E412" s="41"/>
      <c r="F412" s="41"/>
      <c r="G412" s="41"/>
      <c r="H412" s="41"/>
    </row>
    <row r="413">
      <c r="A413" s="40"/>
      <c r="B413" s="41"/>
      <c r="C413" s="41"/>
      <c r="D413" s="41"/>
      <c r="E413" s="41"/>
      <c r="F413" s="41"/>
      <c r="G413" s="41"/>
      <c r="H413" s="41"/>
    </row>
    <row r="414">
      <c r="A414" s="40"/>
      <c r="B414" s="41"/>
      <c r="C414" s="41"/>
      <c r="D414" s="41"/>
      <c r="E414" s="41"/>
      <c r="F414" s="41"/>
      <c r="G414" s="41"/>
      <c r="H414" s="41"/>
    </row>
    <row r="415">
      <c r="A415" s="40"/>
      <c r="B415" s="41"/>
      <c r="C415" s="41"/>
      <c r="D415" s="41"/>
      <c r="E415" s="41"/>
      <c r="F415" s="41"/>
      <c r="G415" s="41"/>
      <c r="H415" s="41"/>
    </row>
    <row r="416">
      <c r="A416" s="40"/>
      <c r="B416" s="41"/>
      <c r="C416" s="41"/>
      <c r="D416" s="41"/>
      <c r="E416" s="41"/>
      <c r="F416" s="41"/>
      <c r="G416" s="41"/>
      <c r="H416" s="41"/>
    </row>
    <row r="417">
      <c r="A417" s="40"/>
      <c r="B417" s="41"/>
      <c r="C417" s="41"/>
      <c r="D417" s="41"/>
      <c r="E417" s="41"/>
      <c r="F417" s="41"/>
      <c r="G417" s="41"/>
      <c r="H417" s="41"/>
    </row>
    <row r="418">
      <c r="A418" s="40"/>
      <c r="B418" s="41"/>
      <c r="C418" s="41"/>
      <c r="D418" s="41"/>
      <c r="E418" s="41"/>
      <c r="F418" s="41"/>
      <c r="G418" s="41"/>
      <c r="H418" s="41"/>
    </row>
    <row r="419">
      <c r="A419" s="40"/>
      <c r="B419" s="41"/>
      <c r="C419" s="41"/>
      <c r="D419" s="41"/>
      <c r="E419" s="41"/>
      <c r="F419" s="41"/>
      <c r="G419" s="41"/>
      <c r="H419" s="41"/>
    </row>
    <row r="420">
      <c r="A420" s="40"/>
      <c r="B420" s="41"/>
      <c r="C420" s="41"/>
      <c r="D420" s="41"/>
      <c r="E420" s="41"/>
      <c r="F420" s="41"/>
      <c r="G420" s="41"/>
      <c r="H420" s="41"/>
    </row>
    <row r="421">
      <c r="A421" s="40"/>
      <c r="B421" s="41"/>
      <c r="C421" s="41"/>
      <c r="D421" s="41"/>
      <c r="E421" s="41"/>
      <c r="F421" s="41"/>
      <c r="G421" s="41"/>
      <c r="H421" s="41"/>
    </row>
    <row r="422">
      <c r="A422" s="40"/>
      <c r="B422" s="41"/>
      <c r="C422" s="41"/>
      <c r="D422" s="41"/>
      <c r="E422" s="41"/>
      <c r="F422" s="41"/>
      <c r="G422" s="41"/>
      <c r="H422" s="41"/>
    </row>
    <row r="423">
      <c r="A423" s="40"/>
      <c r="B423" s="41"/>
      <c r="C423" s="41"/>
      <c r="D423" s="41"/>
      <c r="E423" s="41"/>
      <c r="F423" s="41"/>
      <c r="G423" s="41"/>
      <c r="H423" s="41"/>
    </row>
    <row r="424">
      <c r="A424" s="40"/>
      <c r="B424" s="41"/>
      <c r="C424" s="41"/>
      <c r="D424" s="41"/>
      <c r="E424" s="41"/>
      <c r="F424" s="41"/>
      <c r="G424" s="41"/>
      <c r="H424" s="41"/>
    </row>
    <row r="425">
      <c r="A425" s="40"/>
      <c r="B425" s="41"/>
      <c r="C425" s="41"/>
      <c r="D425" s="41"/>
      <c r="E425" s="41"/>
      <c r="F425" s="41"/>
      <c r="G425" s="41"/>
      <c r="H425" s="41"/>
    </row>
    <row r="426">
      <c r="A426" s="40"/>
      <c r="B426" s="41"/>
      <c r="C426" s="41"/>
      <c r="D426" s="41"/>
      <c r="E426" s="41"/>
      <c r="F426" s="41"/>
      <c r="G426" s="41"/>
      <c r="H426" s="41"/>
    </row>
    <row r="427">
      <c r="A427" s="40"/>
      <c r="B427" s="41"/>
      <c r="C427" s="41"/>
      <c r="D427" s="41"/>
      <c r="E427" s="41"/>
      <c r="F427" s="41"/>
      <c r="G427" s="41"/>
      <c r="H427" s="41"/>
    </row>
    <row r="428">
      <c r="A428" s="40"/>
      <c r="B428" s="41"/>
      <c r="C428" s="41"/>
      <c r="D428" s="41"/>
      <c r="E428" s="41"/>
      <c r="F428" s="41"/>
      <c r="G428" s="41"/>
      <c r="H428" s="41"/>
    </row>
    <row r="429">
      <c r="A429" s="40"/>
      <c r="B429" s="41"/>
      <c r="C429" s="41"/>
      <c r="D429" s="41"/>
      <c r="E429" s="41"/>
      <c r="F429" s="41"/>
      <c r="G429" s="41"/>
      <c r="H429" s="41"/>
    </row>
    <row r="430">
      <c r="A430" s="40"/>
      <c r="B430" s="41"/>
      <c r="C430" s="41"/>
      <c r="D430" s="41"/>
      <c r="E430" s="41"/>
      <c r="F430" s="41"/>
      <c r="G430" s="41"/>
      <c r="H430" s="41"/>
    </row>
    <row r="431">
      <c r="A431" s="40"/>
      <c r="B431" s="41"/>
      <c r="C431" s="41"/>
      <c r="D431" s="41"/>
      <c r="E431" s="41"/>
      <c r="F431" s="41"/>
      <c r="G431" s="41"/>
      <c r="H431" s="41"/>
    </row>
    <row r="432">
      <c r="A432" s="40"/>
      <c r="B432" s="41"/>
      <c r="C432" s="41"/>
      <c r="D432" s="41"/>
      <c r="E432" s="41"/>
      <c r="F432" s="41"/>
      <c r="G432" s="41"/>
      <c r="H432" s="41"/>
    </row>
    <row r="433">
      <c r="A433" s="40"/>
      <c r="B433" s="41"/>
      <c r="C433" s="41"/>
      <c r="D433" s="41"/>
      <c r="E433" s="41"/>
      <c r="F433" s="41"/>
      <c r="G433" s="41"/>
      <c r="H433" s="41"/>
    </row>
    <row r="434">
      <c r="A434" s="40"/>
      <c r="B434" s="41"/>
      <c r="C434" s="41"/>
      <c r="D434" s="41"/>
      <c r="E434" s="41"/>
      <c r="F434" s="41"/>
      <c r="G434" s="41"/>
      <c r="H434" s="41"/>
    </row>
    <row r="435">
      <c r="A435" s="40"/>
      <c r="B435" s="41"/>
      <c r="C435" s="41"/>
      <c r="D435" s="41"/>
      <c r="E435" s="41"/>
      <c r="F435" s="41"/>
      <c r="G435" s="41"/>
      <c r="H435" s="41"/>
    </row>
    <row r="436">
      <c r="A436" s="40"/>
      <c r="B436" s="41"/>
      <c r="C436" s="41"/>
      <c r="D436" s="41"/>
      <c r="E436" s="41"/>
      <c r="F436" s="41"/>
      <c r="G436" s="41"/>
      <c r="H436" s="41"/>
    </row>
    <row r="437">
      <c r="A437" s="40"/>
      <c r="B437" s="41"/>
      <c r="C437" s="41"/>
      <c r="D437" s="41"/>
      <c r="E437" s="41"/>
      <c r="F437" s="41"/>
      <c r="G437" s="41"/>
      <c r="H437" s="41"/>
    </row>
    <row r="438">
      <c r="A438" s="40"/>
      <c r="B438" s="41"/>
      <c r="C438" s="41"/>
      <c r="D438" s="41"/>
      <c r="E438" s="41"/>
      <c r="F438" s="41"/>
      <c r="G438" s="41"/>
      <c r="H438" s="41"/>
    </row>
    <row r="439">
      <c r="A439" s="40"/>
      <c r="B439" s="41"/>
      <c r="C439" s="41"/>
      <c r="D439" s="41"/>
      <c r="E439" s="41"/>
      <c r="F439" s="41"/>
      <c r="G439" s="41"/>
      <c r="H439" s="41"/>
    </row>
    <row r="440">
      <c r="A440" s="40"/>
      <c r="B440" s="41"/>
      <c r="C440" s="41"/>
      <c r="D440" s="41"/>
      <c r="E440" s="41"/>
      <c r="F440" s="41"/>
      <c r="G440" s="41"/>
      <c r="H440" s="41"/>
    </row>
    <row r="441">
      <c r="A441" s="40"/>
      <c r="B441" s="41"/>
      <c r="C441" s="41"/>
      <c r="D441" s="41"/>
      <c r="E441" s="41"/>
      <c r="F441" s="41"/>
      <c r="G441" s="41"/>
      <c r="H441" s="41"/>
    </row>
    <row r="442">
      <c r="A442" s="40"/>
      <c r="B442" s="41"/>
      <c r="C442" s="41"/>
      <c r="D442" s="41"/>
      <c r="E442" s="41"/>
      <c r="F442" s="41"/>
      <c r="G442" s="41"/>
      <c r="H442" s="41"/>
    </row>
    <row r="443">
      <c r="A443" s="40"/>
      <c r="B443" s="41"/>
      <c r="C443" s="41"/>
      <c r="D443" s="41"/>
      <c r="E443" s="41"/>
      <c r="F443" s="41"/>
      <c r="G443" s="41"/>
      <c r="H443" s="41"/>
    </row>
    <row r="444">
      <c r="A444" s="40"/>
      <c r="B444" s="41"/>
      <c r="C444" s="41"/>
      <c r="D444" s="41"/>
      <c r="E444" s="41"/>
      <c r="F444" s="41"/>
      <c r="G444" s="41"/>
      <c r="H444" s="41"/>
    </row>
    <row r="445">
      <c r="A445" s="40"/>
      <c r="B445" s="41"/>
      <c r="C445" s="41"/>
      <c r="D445" s="41"/>
      <c r="E445" s="41"/>
      <c r="F445" s="41"/>
      <c r="G445" s="41"/>
      <c r="H445" s="41"/>
    </row>
    <row r="446">
      <c r="A446" s="40"/>
      <c r="B446" s="41"/>
      <c r="C446" s="41"/>
      <c r="D446" s="41"/>
      <c r="E446" s="41"/>
      <c r="F446" s="41"/>
      <c r="G446" s="41"/>
      <c r="H446" s="41"/>
    </row>
    <row r="447">
      <c r="A447" s="40"/>
      <c r="B447" s="41"/>
      <c r="C447" s="41"/>
      <c r="D447" s="41"/>
      <c r="E447" s="41"/>
      <c r="F447" s="41"/>
      <c r="G447" s="41"/>
      <c r="H447" s="41"/>
    </row>
    <row r="448">
      <c r="A448" s="40"/>
      <c r="B448" s="41"/>
      <c r="C448" s="41"/>
      <c r="D448" s="41"/>
      <c r="E448" s="41"/>
      <c r="F448" s="41"/>
      <c r="G448" s="41"/>
      <c r="H448" s="41"/>
    </row>
    <row r="449">
      <c r="A449" s="40"/>
      <c r="B449" s="41"/>
      <c r="C449" s="41"/>
      <c r="D449" s="41"/>
      <c r="E449" s="41"/>
      <c r="F449" s="41"/>
      <c r="G449" s="41"/>
      <c r="H449" s="41"/>
    </row>
    <row r="450">
      <c r="A450" s="40"/>
      <c r="B450" s="41"/>
      <c r="C450" s="41"/>
      <c r="D450" s="41"/>
      <c r="E450" s="41"/>
      <c r="F450" s="41"/>
      <c r="G450" s="41"/>
      <c r="H450" s="41"/>
    </row>
    <row r="451">
      <c r="A451" s="40"/>
      <c r="B451" s="41"/>
      <c r="C451" s="41"/>
      <c r="D451" s="41"/>
      <c r="E451" s="41"/>
      <c r="F451" s="41"/>
      <c r="G451" s="41"/>
      <c r="H451" s="41"/>
    </row>
    <row r="452">
      <c r="A452" s="40"/>
      <c r="B452" s="41"/>
      <c r="C452" s="41"/>
      <c r="D452" s="41"/>
      <c r="E452" s="41"/>
      <c r="F452" s="41"/>
      <c r="G452" s="41"/>
      <c r="H452" s="41"/>
    </row>
    <row r="453">
      <c r="A453" s="40"/>
      <c r="B453" s="41"/>
      <c r="C453" s="41"/>
      <c r="D453" s="41"/>
      <c r="E453" s="41"/>
      <c r="F453" s="41"/>
      <c r="G453" s="41"/>
      <c r="H453" s="41"/>
    </row>
    <row r="454">
      <c r="A454" s="40"/>
      <c r="B454" s="41"/>
      <c r="C454" s="41"/>
      <c r="D454" s="41"/>
      <c r="E454" s="41"/>
      <c r="F454" s="41"/>
      <c r="G454" s="41"/>
      <c r="H454" s="41"/>
    </row>
    <row r="455">
      <c r="A455" s="40"/>
      <c r="B455" s="41"/>
      <c r="C455" s="41"/>
      <c r="D455" s="41"/>
      <c r="E455" s="41"/>
      <c r="F455" s="41"/>
      <c r="G455" s="41"/>
      <c r="H455" s="41"/>
    </row>
    <row r="456">
      <c r="A456" s="40"/>
      <c r="B456" s="41"/>
      <c r="C456" s="41"/>
      <c r="D456" s="41"/>
      <c r="E456" s="41"/>
      <c r="F456" s="41"/>
      <c r="G456" s="41"/>
      <c r="H456" s="41"/>
    </row>
    <row r="457">
      <c r="A457" s="40"/>
      <c r="B457" s="41"/>
      <c r="C457" s="41"/>
      <c r="D457" s="41"/>
      <c r="E457" s="41"/>
      <c r="F457" s="41"/>
      <c r="G457" s="41"/>
      <c r="H457" s="41"/>
    </row>
    <row r="458">
      <c r="A458" s="40"/>
      <c r="B458" s="41"/>
      <c r="C458" s="41"/>
      <c r="D458" s="41"/>
      <c r="E458" s="41"/>
      <c r="F458" s="41"/>
      <c r="G458" s="41"/>
      <c r="H458" s="41"/>
    </row>
    <row r="459">
      <c r="A459" s="40"/>
      <c r="B459" s="41"/>
      <c r="C459" s="41"/>
      <c r="D459" s="41"/>
      <c r="E459" s="41"/>
      <c r="F459" s="41"/>
      <c r="G459" s="41"/>
      <c r="H459" s="41"/>
    </row>
    <row r="460">
      <c r="A460" s="40"/>
      <c r="B460" s="41"/>
      <c r="C460" s="41"/>
      <c r="D460" s="41"/>
      <c r="E460" s="41"/>
      <c r="F460" s="41"/>
      <c r="G460" s="41"/>
      <c r="H460" s="41"/>
    </row>
    <row r="461">
      <c r="A461" s="40"/>
      <c r="B461" s="41"/>
      <c r="C461" s="41"/>
      <c r="D461" s="41"/>
      <c r="E461" s="41"/>
      <c r="F461" s="41"/>
      <c r="G461" s="41"/>
      <c r="H461" s="41"/>
    </row>
    <row r="462">
      <c r="A462" s="40"/>
      <c r="B462" s="41"/>
      <c r="C462" s="41"/>
      <c r="D462" s="41"/>
      <c r="E462" s="41"/>
      <c r="F462" s="41"/>
      <c r="G462" s="41"/>
      <c r="H462" s="41"/>
    </row>
    <row r="463">
      <c r="A463" s="40"/>
      <c r="B463" s="41"/>
      <c r="C463" s="41"/>
      <c r="D463" s="41"/>
      <c r="E463" s="41"/>
      <c r="F463" s="41"/>
      <c r="G463" s="41"/>
      <c r="H463" s="41"/>
    </row>
    <row r="464">
      <c r="A464" s="40"/>
      <c r="B464" s="41"/>
      <c r="C464" s="41"/>
      <c r="D464" s="41"/>
      <c r="E464" s="41"/>
      <c r="F464" s="41"/>
      <c r="G464" s="41"/>
      <c r="H464" s="41"/>
    </row>
    <row r="465">
      <c r="A465" s="40"/>
      <c r="B465" s="41"/>
      <c r="C465" s="41"/>
      <c r="D465" s="41"/>
      <c r="E465" s="41"/>
      <c r="F465" s="41"/>
      <c r="G465" s="41"/>
      <c r="H465" s="41"/>
    </row>
    <row r="466">
      <c r="A466" s="40"/>
      <c r="B466" s="41"/>
      <c r="C466" s="41"/>
      <c r="D466" s="41"/>
      <c r="E466" s="41"/>
      <c r="F466" s="41"/>
      <c r="G466" s="41"/>
      <c r="H466" s="41"/>
    </row>
    <row r="467">
      <c r="A467" s="40"/>
      <c r="B467" s="41"/>
      <c r="C467" s="41"/>
      <c r="D467" s="41"/>
      <c r="E467" s="41"/>
      <c r="F467" s="41"/>
      <c r="G467" s="41"/>
      <c r="H467" s="41"/>
    </row>
    <row r="468">
      <c r="A468" s="40"/>
      <c r="B468" s="41"/>
      <c r="C468" s="41"/>
      <c r="D468" s="41"/>
      <c r="E468" s="41"/>
      <c r="F468" s="41"/>
      <c r="G468" s="41"/>
      <c r="H468" s="41"/>
    </row>
    <row r="469">
      <c r="A469" s="40"/>
      <c r="B469" s="41"/>
      <c r="C469" s="41"/>
      <c r="D469" s="41"/>
      <c r="E469" s="41"/>
      <c r="F469" s="41"/>
      <c r="G469" s="41"/>
      <c r="H469" s="41"/>
    </row>
    <row r="470">
      <c r="A470" s="40"/>
      <c r="B470" s="41"/>
      <c r="C470" s="41"/>
      <c r="D470" s="41"/>
      <c r="E470" s="41"/>
      <c r="F470" s="41"/>
      <c r="G470" s="41"/>
      <c r="H470" s="41"/>
    </row>
    <row r="471">
      <c r="A471" s="40"/>
      <c r="B471" s="41"/>
      <c r="C471" s="41"/>
      <c r="D471" s="41"/>
      <c r="E471" s="41"/>
      <c r="F471" s="41"/>
      <c r="G471" s="41"/>
      <c r="H471" s="41"/>
    </row>
    <row r="472">
      <c r="A472" s="40"/>
      <c r="B472" s="41"/>
      <c r="C472" s="41"/>
      <c r="D472" s="41"/>
      <c r="E472" s="41"/>
      <c r="F472" s="41"/>
      <c r="G472" s="41"/>
      <c r="H472" s="41"/>
    </row>
    <row r="473">
      <c r="A473" s="40"/>
      <c r="B473" s="41"/>
      <c r="C473" s="41"/>
      <c r="D473" s="41"/>
      <c r="E473" s="41"/>
      <c r="F473" s="41"/>
      <c r="G473" s="41"/>
      <c r="H473" s="41"/>
    </row>
    <row r="474">
      <c r="A474" s="40"/>
      <c r="B474" s="41"/>
      <c r="C474" s="41"/>
      <c r="D474" s="41"/>
      <c r="E474" s="41"/>
      <c r="F474" s="41"/>
      <c r="G474" s="41"/>
      <c r="H474" s="41"/>
    </row>
    <row r="475">
      <c r="A475" s="40"/>
      <c r="B475" s="41"/>
      <c r="C475" s="41"/>
      <c r="D475" s="41"/>
      <c r="E475" s="41"/>
      <c r="F475" s="41"/>
      <c r="G475" s="41"/>
      <c r="H475" s="41"/>
    </row>
    <row r="476">
      <c r="A476" s="40"/>
      <c r="B476" s="41"/>
      <c r="C476" s="41"/>
      <c r="D476" s="41"/>
      <c r="E476" s="41"/>
      <c r="F476" s="41"/>
      <c r="G476" s="41"/>
      <c r="H476" s="41"/>
    </row>
    <row r="477">
      <c r="A477" s="40"/>
      <c r="B477" s="41"/>
      <c r="C477" s="41"/>
      <c r="D477" s="41"/>
      <c r="E477" s="41"/>
      <c r="F477" s="41"/>
      <c r="G477" s="41"/>
      <c r="H477" s="41"/>
    </row>
    <row r="478">
      <c r="A478" s="40"/>
      <c r="B478" s="41"/>
      <c r="C478" s="41"/>
      <c r="D478" s="41"/>
      <c r="E478" s="41"/>
      <c r="F478" s="41"/>
      <c r="G478" s="41"/>
      <c r="H478" s="41"/>
    </row>
    <row r="479">
      <c r="A479" s="40"/>
      <c r="B479" s="41"/>
      <c r="C479" s="41"/>
      <c r="D479" s="41"/>
      <c r="E479" s="41"/>
      <c r="F479" s="41"/>
      <c r="G479" s="41"/>
      <c r="H479" s="41"/>
    </row>
    <row r="480">
      <c r="A480" s="40"/>
      <c r="B480" s="41"/>
      <c r="C480" s="41"/>
      <c r="D480" s="41"/>
      <c r="E480" s="41"/>
      <c r="F480" s="41"/>
      <c r="G480" s="41"/>
      <c r="H480" s="41"/>
    </row>
    <row r="481">
      <c r="A481" s="40"/>
      <c r="B481" s="41"/>
      <c r="C481" s="41"/>
      <c r="D481" s="41"/>
      <c r="E481" s="41"/>
      <c r="F481" s="41"/>
      <c r="G481" s="41"/>
      <c r="H481" s="41"/>
    </row>
    <row r="482">
      <c r="A482" s="40"/>
      <c r="B482" s="41"/>
      <c r="C482" s="41"/>
      <c r="D482" s="41"/>
      <c r="E482" s="41"/>
      <c r="F482" s="41"/>
      <c r="G482" s="41"/>
      <c r="H482" s="41"/>
    </row>
    <row r="483">
      <c r="A483" s="40"/>
      <c r="B483" s="41"/>
      <c r="C483" s="41"/>
      <c r="D483" s="41"/>
      <c r="E483" s="41"/>
      <c r="F483" s="41"/>
      <c r="G483" s="41"/>
      <c r="H483" s="41"/>
    </row>
    <row r="484">
      <c r="A484" s="40"/>
      <c r="B484" s="41"/>
      <c r="C484" s="41"/>
      <c r="D484" s="41"/>
      <c r="E484" s="41"/>
      <c r="F484" s="41"/>
      <c r="G484" s="41"/>
      <c r="H484" s="41"/>
    </row>
    <row r="485">
      <c r="A485" s="40"/>
      <c r="B485" s="41"/>
      <c r="C485" s="41"/>
      <c r="D485" s="41"/>
      <c r="E485" s="41"/>
      <c r="F485" s="41"/>
      <c r="G485" s="41"/>
      <c r="H485" s="41"/>
    </row>
    <row r="486">
      <c r="A486" s="40"/>
      <c r="B486" s="41"/>
      <c r="C486" s="41"/>
      <c r="D486" s="41"/>
      <c r="E486" s="41"/>
      <c r="F486" s="41"/>
      <c r="G486" s="41"/>
      <c r="H486" s="41"/>
    </row>
    <row r="487">
      <c r="A487" s="40"/>
      <c r="B487" s="41"/>
      <c r="C487" s="41"/>
      <c r="D487" s="41"/>
      <c r="E487" s="41"/>
      <c r="F487" s="41"/>
      <c r="G487" s="41"/>
      <c r="H487" s="41"/>
    </row>
    <row r="488">
      <c r="A488" s="40"/>
      <c r="B488" s="41"/>
      <c r="C488" s="41"/>
      <c r="D488" s="41"/>
      <c r="E488" s="41"/>
      <c r="F488" s="41"/>
      <c r="G488" s="41"/>
      <c r="H488" s="41"/>
    </row>
    <row r="489">
      <c r="A489" s="40"/>
      <c r="B489" s="41"/>
      <c r="C489" s="41"/>
      <c r="D489" s="41"/>
      <c r="E489" s="41"/>
      <c r="F489" s="41"/>
      <c r="G489" s="41"/>
      <c r="H489" s="41"/>
    </row>
    <row r="490">
      <c r="A490" s="40"/>
      <c r="B490" s="41"/>
      <c r="C490" s="41"/>
      <c r="D490" s="41"/>
      <c r="E490" s="41"/>
      <c r="F490" s="41"/>
      <c r="G490" s="41"/>
      <c r="H490" s="41"/>
    </row>
    <row r="491">
      <c r="A491" s="40"/>
      <c r="B491" s="41"/>
      <c r="C491" s="41"/>
      <c r="D491" s="41"/>
      <c r="E491" s="41"/>
      <c r="F491" s="41"/>
      <c r="G491" s="41"/>
      <c r="H491" s="41"/>
    </row>
    <row r="492">
      <c r="A492" s="40"/>
      <c r="B492" s="41"/>
      <c r="C492" s="41"/>
      <c r="D492" s="41"/>
      <c r="E492" s="41"/>
      <c r="F492" s="41"/>
      <c r="G492" s="41"/>
      <c r="H492" s="41"/>
    </row>
    <row r="493">
      <c r="A493" s="40"/>
      <c r="B493" s="41"/>
      <c r="C493" s="41"/>
      <c r="D493" s="41"/>
      <c r="E493" s="41"/>
      <c r="F493" s="41"/>
      <c r="G493" s="41"/>
      <c r="H493" s="41"/>
    </row>
    <row r="494">
      <c r="A494" s="40"/>
      <c r="B494" s="41"/>
      <c r="C494" s="41"/>
      <c r="D494" s="41"/>
      <c r="E494" s="41"/>
      <c r="F494" s="41"/>
      <c r="G494" s="41"/>
      <c r="H494" s="41"/>
    </row>
    <row r="495">
      <c r="A495" s="40"/>
      <c r="B495" s="41"/>
      <c r="C495" s="41"/>
      <c r="D495" s="41"/>
      <c r="E495" s="41"/>
      <c r="F495" s="41"/>
      <c r="G495" s="41"/>
      <c r="H495" s="41"/>
    </row>
    <row r="496">
      <c r="A496" s="40"/>
      <c r="B496" s="41"/>
      <c r="C496" s="41"/>
      <c r="D496" s="41"/>
      <c r="E496" s="41"/>
      <c r="F496" s="41"/>
      <c r="G496" s="41"/>
      <c r="H496" s="41"/>
    </row>
    <row r="497">
      <c r="A497" s="40"/>
      <c r="B497" s="41"/>
      <c r="C497" s="41"/>
      <c r="D497" s="41"/>
      <c r="E497" s="41"/>
      <c r="F497" s="41"/>
      <c r="G497" s="41"/>
      <c r="H497" s="41"/>
    </row>
    <row r="498">
      <c r="A498" s="40"/>
      <c r="B498" s="41"/>
      <c r="C498" s="41"/>
      <c r="D498" s="41"/>
      <c r="E498" s="41"/>
      <c r="F498" s="41"/>
      <c r="G498" s="41"/>
      <c r="H498" s="41"/>
    </row>
    <row r="499">
      <c r="A499" s="40"/>
      <c r="B499" s="41"/>
      <c r="C499" s="41"/>
      <c r="D499" s="41"/>
      <c r="E499" s="41"/>
      <c r="F499" s="41"/>
      <c r="G499" s="41"/>
      <c r="H499" s="41"/>
    </row>
    <row r="500">
      <c r="A500" s="40"/>
      <c r="B500" s="41"/>
      <c r="C500" s="41"/>
      <c r="D500" s="41"/>
      <c r="E500" s="41"/>
      <c r="F500" s="41"/>
      <c r="G500" s="41"/>
      <c r="H500" s="41"/>
    </row>
    <row r="501">
      <c r="A501" s="40"/>
      <c r="B501" s="41"/>
      <c r="C501" s="41"/>
      <c r="D501" s="41"/>
      <c r="E501" s="41"/>
      <c r="F501" s="41"/>
      <c r="G501" s="41"/>
      <c r="H501" s="41"/>
    </row>
    <row r="502">
      <c r="A502" s="40"/>
      <c r="B502" s="41"/>
      <c r="C502" s="41"/>
      <c r="D502" s="41"/>
      <c r="E502" s="41"/>
      <c r="F502" s="41"/>
      <c r="G502" s="41"/>
      <c r="H502" s="41"/>
    </row>
    <row r="503">
      <c r="A503" s="40"/>
      <c r="B503" s="41"/>
      <c r="C503" s="41"/>
      <c r="D503" s="41"/>
      <c r="E503" s="41"/>
      <c r="F503" s="41"/>
      <c r="G503" s="41"/>
      <c r="H503" s="41"/>
    </row>
    <row r="504">
      <c r="A504" s="40"/>
      <c r="B504" s="41"/>
      <c r="C504" s="41"/>
      <c r="D504" s="41"/>
      <c r="E504" s="41"/>
      <c r="F504" s="41"/>
      <c r="G504" s="41"/>
      <c r="H504" s="41"/>
    </row>
    <row r="505">
      <c r="A505" s="40"/>
      <c r="B505" s="41"/>
      <c r="C505" s="41"/>
      <c r="D505" s="41"/>
      <c r="E505" s="41"/>
      <c r="F505" s="41"/>
      <c r="G505" s="41"/>
      <c r="H505" s="41"/>
    </row>
    <row r="506">
      <c r="A506" s="40"/>
      <c r="B506" s="41"/>
      <c r="C506" s="41"/>
      <c r="D506" s="41"/>
      <c r="E506" s="41"/>
      <c r="F506" s="41"/>
      <c r="G506" s="41"/>
      <c r="H506" s="41"/>
    </row>
    <row r="507">
      <c r="A507" s="40"/>
      <c r="B507" s="41"/>
      <c r="C507" s="41"/>
      <c r="D507" s="41"/>
      <c r="E507" s="41"/>
      <c r="F507" s="41"/>
      <c r="G507" s="41"/>
      <c r="H507" s="41"/>
    </row>
    <row r="508">
      <c r="A508" s="40"/>
      <c r="B508" s="41"/>
      <c r="C508" s="41"/>
      <c r="D508" s="41"/>
      <c r="E508" s="41"/>
      <c r="F508" s="41"/>
      <c r="G508" s="41"/>
      <c r="H508" s="41"/>
    </row>
    <row r="509">
      <c r="A509" s="40"/>
      <c r="B509" s="41"/>
      <c r="C509" s="41"/>
      <c r="D509" s="41"/>
      <c r="E509" s="41"/>
      <c r="F509" s="41"/>
      <c r="G509" s="41"/>
      <c r="H509" s="41"/>
    </row>
    <row r="510">
      <c r="A510" s="40"/>
      <c r="B510" s="41"/>
      <c r="C510" s="41"/>
      <c r="D510" s="41"/>
      <c r="E510" s="41"/>
      <c r="F510" s="41"/>
      <c r="G510" s="41"/>
      <c r="H510" s="41"/>
    </row>
    <row r="511">
      <c r="A511" s="40"/>
      <c r="B511" s="41"/>
      <c r="C511" s="41"/>
      <c r="D511" s="41"/>
      <c r="E511" s="41"/>
      <c r="F511" s="41"/>
      <c r="G511" s="41"/>
      <c r="H511" s="41"/>
    </row>
    <row r="512">
      <c r="A512" s="40"/>
      <c r="B512" s="41"/>
      <c r="C512" s="41"/>
      <c r="D512" s="41"/>
      <c r="E512" s="41"/>
      <c r="F512" s="41"/>
      <c r="G512" s="41"/>
      <c r="H512" s="41"/>
    </row>
    <row r="513">
      <c r="A513" s="40"/>
      <c r="B513" s="41"/>
      <c r="C513" s="41"/>
      <c r="D513" s="41"/>
      <c r="E513" s="41"/>
      <c r="F513" s="41"/>
      <c r="G513" s="41"/>
      <c r="H513" s="41"/>
    </row>
    <row r="514">
      <c r="A514" s="40"/>
      <c r="B514" s="41"/>
      <c r="C514" s="41"/>
      <c r="D514" s="41"/>
      <c r="E514" s="41"/>
      <c r="F514" s="41"/>
      <c r="G514" s="41"/>
      <c r="H514" s="41"/>
    </row>
    <row r="515">
      <c r="A515" s="40"/>
      <c r="B515" s="41"/>
      <c r="C515" s="41"/>
      <c r="D515" s="41"/>
      <c r="E515" s="41"/>
      <c r="F515" s="41"/>
      <c r="G515" s="41"/>
      <c r="H515" s="41"/>
    </row>
    <row r="516">
      <c r="A516" s="40"/>
      <c r="B516" s="41"/>
      <c r="C516" s="41"/>
      <c r="D516" s="41"/>
      <c r="E516" s="41"/>
      <c r="F516" s="41"/>
      <c r="G516" s="41"/>
      <c r="H516" s="41"/>
    </row>
    <row r="517">
      <c r="A517" s="40"/>
      <c r="B517" s="41"/>
      <c r="C517" s="41"/>
      <c r="D517" s="41"/>
      <c r="E517" s="41"/>
      <c r="F517" s="41"/>
      <c r="G517" s="41"/>
      <c r="H517" s="41"/>
    </row>
    <row r="518">
      <c r="A518" s="40"/>
      <c r="B518" s="41"/>
      <c r="C518" s="41"/>
      <c r="D518" s="41"/>
      <c r="E518" s="41"/>
      <c r="F518" s="41"/>
      <c r="G518" s="41"/>
      <c r="H518" s="41"/>
    </row>
    <row r="519">
      <c r="A519" s="40"/>
      <c r="B519" s="41"/>
      <c r="C519" s="41"/>
      <c r="D519" s="41"/>
      <c r="E519" s="41"/>
      <c r="F519" s="41"/>
      <c r="G519" s="41"/>
      <c r="H519" s="41"/>
    </row>
    <row r="520">
      <c r="A520" s="40"/>
      <c r="B520" s="41"/>
      <c r="C520" s="41"/>
      <c r="D520" s="41"/>
      <c r="E520" s="41"/>
      <c r="F520" s="41"/>
      <c r="G520" s="41"/>
      <c r="H520" s="41"/>
    </row>
    <row r="521">
      <c r="A521" s="40"/>
      <c r="B521" s="41"/>
      <c r="C521" s="41"/>
      <c r="D521" s="41"/>
      <c r="E521" s="41"/>
      <c r="F521" s="41"/>
      <c r="G521" s="41"/>
      <c r="H521" s="41"/>
    </row>
    <row r="522">
      <c r="A522" s="40"/>
      <c r="B522" s="41"/>
      <c r="C522" s="41"/>
      <c r="D522" s="41"/>
      <c r="E522" s="41"/>
      <c r="F522" s="41"/>
      <c r="G522" s="41"/>
      <c r="H522" s="41"/>
    </row>
    <row r="523">
      <c r="A523" s="40"/>
      <c r="B523" s="41"/>
      <c r="C523" s="41"/>
      <c r="D523" s="41"/>
      <c r="E523" s="41"/>
      <c r="F523" s="41"/>
      <c r="G523" s="41"/>
      <c r="H523" s="41"/>
    </row>
    <row r="524">
      <c r="A524" s="40"/>
      <c r="B524" s="41"/>
      <c r="C524" s="41"/>
      <c r="D524" s="41"/>
      <c r="E524" s="41"/>
      <c r="F524" s="41"/>
      <c r="G524" s="41"/>
      <c r="H524" s="41"/>
    </row>
    <row r="525">
      <c r="A525" s="40"/>
      <c r="B525" s="41"/>
      <c r="C525" s="41"/>
      <c r="D525" s="41"/>
      <c r="E525" s="41"/>
      <c r="F525" s="41"/>
      <c r="G525" s="41"/>
      <c r="H525" s="41"/>
    </row>
    <row r="526">
      <c r="A526" s="40"/>
      <c r="B526" s="41"/>
      <c r="C526" s="41"/>
      <c r="D526" s="41"/>
      <c r="E526" s="41"/>
      <c r="F526" s="41"/>
      <c r="G526" s="41"/>
      <c r="H526" s="41"/>
    </row>
    <row r="527">
      <c r="A527" s="40"/>
      <c r="B527" s="41"/>
      <c r="C527" s="41"/>
      <c r="D527" s="41"/>
      <c r="E527" s="41"/>
      <c r="F527" s="41"/>
      <c r="G527" s="41"/>
      <c r="H527" s="41"/>
    </row>
    <row r="528">
      <c r="A528" s="40"/>
      <c r="B528" s="41"/>
      <c r="C528" s="41"/>
      <c r="D528" s="41"/>
      <c r="E528" s="41"/>
      <c r="F528" s="41"/>
      <c r="G528" s="41"/>
      <c r="H528" s="41"/>
    </row>
    <row r="529">
      <c r="A529" s="40"/>
      <c r="B529" s="41"/>
      <c r="C529" s="41"/>
      <c r="D529" s="41"/>
      <c r="E529" s="41"/>
      <c r="F529" s="41"/>
      <c r="G529" s="41"/>
      <c r="H529" s="41"/>
    </row>
    <row r="530">
      <c r="A530" s="40"/>
      <c r="B530" s="41"/>
      <c r="C530" s="41"/>
      <c r="D530" s="41"/>
      <c r="E530" s="41"/>
      <c r="F530" s="41"/>
      <c r="G530" s="41"/>
      <c r="H530" s="41"/>
    </row>
    <row r="531">
      <c r="A531" s="40"/>
      <c r="B531" s="41"/>
      <c r="C531" s="41"/>
      <c r="D531" s="41"/>
      <c r="E531" s="41"/>
      <c r="F531" s="41"/>
      <c r="G531" s="41"/>
      <c r="H531" s="41"/>
    </row>
    <row r="532">
      <c r="A532" s="40"/>
      <c r="B532" s="41"/>
      <c r="C532" s="41"/>
      <c r="D532" s="41"/>
      <c r="E532" s="41"/>
      <c r="F532" s="41"/>
      <c r="G532" s="41"/>
      <c r="H532" s="41"/>
    </row>
    <row r="533">
      <c r="A533" s="40"/>
      <c r="B533" s="41"/>
      <c r="C533" s="41"/>
      <c r="D533" s="41"/>
      <c r="E533" s="41"/>
      <c r="F533" s="41"/>
      <c r="G533" s="41"/>
      <c r="H533" s="41"/>
    </row>
    <row r="534">
      <c r="A534" s="40"/>
      <c r="B534" s="41"/>
      <c r="C534" s="41"/>
      <c r="D534" s="41"/>
      <c r="E534" s="41"/>
      <c r="F534" s="41"/>
      <c r="G534" s="41"/>
      <c r="H534" s="41"/>
    </row>
    <row r="535">
      <c r="A535" s="40"/>
      <c r="B535" s="41"/>
      <c r="C535" s="41"/>
      <c r="D535" s="41"/>
      <c r="E535" s="41"/>
      <c r="F535" s="41"/>
      <c r="G535" s="41"/>
      <c r="H535" s="41"/>
    </row>
    <row r="536">
      <c r="A536" s="40"/>
      <c r="B536" s="41"/>
      <c r="C536" s="41"/>
      <c r="D536" s="41"/>
      <c r="E536" s="41"/>
      <c r="F536" s="41"/>
      <c r="G536" s="41"/>
      <c r="H536" s="41"/>
    </row>
    <row r="537">
      <c r="A537" s="40"/>
      <c r="B537" s="41"/>
      <c r="C537" s="41"/>
      <c r="D537" s="41"/>
      <c r="E537" s="41"/>
      <c r="F537" s="41"/>
      <c r="G537" s="41"/>
      <c r="H537" s="41"/>
    </row>
    <row r="538">
      <c r="A538" s="40"/>
      <c r="B538" s="41"/>
      <c r="C538" s="41"/>
      <c r="D538" s="41"/>
      <c r="E538" s="41"/>
      <c r="F538" s="41"/>
      <c r="G538" s="41"/>
      <c r="H538" s="41"/>
    </row>
    <row r="539">
      <c r="A539" s="40"/>
      <c r="B539" s="41"/>
      <c r="C539" s="41"/>
      <c r="D539" s="41"/>
      <c r="E539" s="41"/>
      <c r="F539" s="41"/>
      <c r="G539" s="41"/>
      <c r="H539" s="41"/>
    </row>
    <row r="540">
      <c r="A540" s="40"/>
      <c r="B540" s="41"/>
      <c r="C540" s="41"/>
      <c r="D540" s="41"/>
      <c r="E540" s="41"/>
      <c r="F540" s="41"/>
      <c r="G540" s="41"/>
      <c r="H540" s="41"/>
    </row>
    <row r="541">
      <c r="A541" s="40"/>
      <c r="B541" s="41"/>
      <c r="C541" s="41"/>
      <c r="D541" s="41"/>
      <c r="E541" s="41"/>
      <c r="F541" s="41"/>
      <c r="G541" s="41"/>
      <c r="H541" s="41"/>
    </row>
    <row r="542">
      <c r="A542" s="40"/>
      <c r="B542" s="41"/>
      <c r="C542" s="41"/>
      <c r="D542" s="41"/>
      <c r="E542" s="41"/>
      <c r="F542" s="41"/>
      <c r="G542" s="41"/>
      <c r="H542" s="41"/>
    </row>
    <row r="543">
      <c r="A543" s="40"/>
      <c r="B543" s="41"/>
      <c r="C543" s="41"/>
      <c r="D543" s="41"/>
      <c r="E543" s="41"/>
      <c r="F543" s="41"/>
      <c r="G543" s="41"/>
      <c r="H543" s="41"/>
    </row>
    <row r="544">
      <c r="A544" s="40"/>
      <c r="B544" s="41"/>
      <c r="C544" s="41"/>
      <c r="D544" s="41"/>
      <c r="E544" s="41"/>
      <c r="F544" s="41"/>
      <c r="G544" s="41"/>
      <c r="H544" s="41"/>
    </row>
    <row r="545">
      <c r="A545" s="40"/>
      <c r="B545" s="41"/>
      <c r="C545" s="41"/>
      <c r="D545" s="41"/>
      <c r="E545" s="41"/>
      <c r="F545" s="41"/>
      <c r="G545" s="41"/>
      <c r="H545" s="41"/>
    </row>
    <row r="546">
      <c r="A546" s="40"/>
      <c r="B546" s="41"/>
      <c r="C546" s="41"/>
      <c r="D546" s="41"/>
      <c r="E546" s="41"/>
      <c r="F546" s="41"/>
      <c r="G546" s="41"/>
      <c r="H546" s="41"/>
    </row>
    <row r="547">
      <c r="A547" s="40"/>
      <c r="B547" s="41"/>
      <c r="C547" s="41"/>
      <c r="D547" s="41"/>
      <c r="E547" s="41"/>
      <c r="F547" s="41"/>
      <c r="G547" s="41"/>
      <c r="H547" s="41"/>
    </row>
    <row r="548">
      <c r="A548" s="40"/>
      <c r="B548" s="41"/>
      <c r="C548" s="41"/>
      <c r="D548" s="41"/>
      <c r="E548" s="41"/>
      <c r="F548" s="41"/>
      <c r="G548" s="41"/>
      <c r="H548" s="41"/>
    </row>
    <row r="549">
      <c r="A549" s="40"/>
      <c r="B549" s="41"/>
      <c r="C549" s="41"/>
      <c r="D549" s="41"/>
      <c r="E549" s="41"/>
      <c r="F549" s="41"/>
      <c r="G549" s="41"/>
      <c r="H549" s="41"/>
    </row>
    <row r="550">
      <c r="A550" s="40"/>
      <c r="B550" s="41"/>
      <c r="C550" s="41"/>
      <c r="D550" s="41"/>
      <c r="E550" s="41"/>
      <c r="F550" s="41"/>
      <c r="G550" s="41"/>
      <c r="H550" s="41"/>
    </row>
    <row r="551">
      <c r="A551" s="40"/>
      <c r="B551" s="41"/>
      <c r="C551" s="41"/>
      <c r="D551" s="41"/>
      <c r="E551" s="41"/>
      <c r="F551" s="41"/>
      <c r="G551" s="41"/>
      <c r="H551" s="41"/>
    </row>
    <row r="552">
      <c r="A552" s="40"/>
      <c r="B552" s="41"/>
      <c r="C552" s="41"/>
      <c r="D552" s="41"/>
      <c r="E552" s="41"/>
      <c r="F552" s="41"/>
      <c r="G552" s="41"/>
      <c r="H552" s="41"/>
    </row>
    <row r="553">
      <c r="A553" s="40"/>
      <c r="B553" s="41"/>
      <c r="C553" s="41"/>
      <c r="D553" s="41"/>
      <c r="E553" s="41"/>
      <c r="F553" s="41"/>
      <c r="G553" s="41"/>
      <c r="H553" s="41"/>
    </row>
    <row r="554">
      <c r="A554" s="40"/>
      <c r="B554" s="41"/>
      <c r="C554" s="41"/>
      <c r="D554" s="41"/>
      <c r="E554" s="41"/>
      <c r="F554" s="41"/>
      <c r="G554" s="41"/>
      <c r="H554" s="41"/>
    </row>
    <row r="555">
      <c r="A555" s="40"/>
      <c r="B555" s="41"/>
      <c r="C555" s="41"/>
      <c r="D555" s="41"/>
      <c r="E555" s="41"/>
      <c r="F555" s="41"/>
      <c r="G555" s="41"/>
      <c r="H555" s="41"/>
    </row>
    <row r="556">
      <c r="A556" s="40"/>
      <c r="B556" s="41"/>
      <c r="C556" s="41"/>
      <c r="D556" s="41"/>
      <c r="E556" s="41"/>
      <c r="F556" s="41"/>
      <c r="G556" s="41"/>
      <c r="H556" s="41"/>
    </row>
    <row r="557">
      <c r="A557" s="40"/>
      <c r="B557" s="41"/>
      <c r="C557" s="41"/>
      <c r="D557" s="41"/>
      <c r="E557" s="41"/>
      <c r="F557" s="41"/>
      <c r="G557" s="41"/>
      <c r="H557" s="41"/>
    </row>
    <row r="558">
      <c r="A558" s="40"/>
      <c r="B558" s="41"/>
      <c r="C558" s="41"/>
      <c r="D558" s="41"/>
      <c r="E558" s="41"/>
      <c r="F558" s="41"/>
      <c r="G558" s="41"/>
      <c r="H558" s="41"/>
    </row>
    <row r="559">
      <c r="A559" s="40"/>
      <c r="B559" s="41"/>
      <c r="C559" s="41"/>
      <c r="D559" s="41"/>
      <c r="E559" s="41"/>
      <c r="F559" s="41"/>
      <c r="G559" s="41"/>
      <c r="H559" s="41"/>
    </row>
    <row r="560">
      <c r="A560" s="40"/>
      <c r="B560" s="41"/>
      <c r="C560" s="41"/>
      <c r="D560" s="41"/>
      <c r="E560" s="41"/>
      <c r="F560" s="41"/>
      <c r="G560" s="41"/>
      <c r="H560" s="41"/>
    </row>
    <row r="561">
      <c r="A561" s="40"/>
      <c r="B561" s="41"/>
      <c r="C561" s="41"/>
      <c r="D561" s="41"/>
      <c r="E561" s="41"/>
      <c r="F561" s="41"/>
      <c r="G561" s="41"/>
      <c r="H561" s="41"/>
    </row>
    <row r="562">
      <c r="A562" s="40"/>
      <c r="B562" s="41"/>
      <c r="C562" s="41"/>
      <c r="D562" s="41"/>
      <c r="E562" s="41"/>
      <c r="F562" s="41"/>
      <c r="G562" s="41"/>
      <c r="H562" s="41"/>
    </row>
    <row r="563">
      <c r="A563" s="40"/>
      <c r="B563" s="41"/>
      <c r="C563" s="41"/>
      <c r="D563" s="41"/>
      <c r="E563" s="41"/>
      <c r="F563" s="41"/>
      <c r="G563" s="41"/>
      <c r="H563" s="41"/>
    </row>
    <row r="564">
      <c r="A564" s="40"/>
      <c r="B564" s="41"/>
      <c r="C564" s="41"/>
      <c r="D564" s="41"/>
      <c r="E564" s="41"/>
      <c r="F564" s="41"/>
      <c r="G564" s="41"/>
      <c r="H564" s="41"/>
    </row>
    <row r="565">
      <c r="A565" s="40"/>
      <c r="B565" s="41"/>
      <c r="C565" s="41"/>
      <c r="D565" s="41"/>
      <c r="E565" s="41"/>
      <c r="F565" s="41"/>
      <c r="G565" s="41"/>
      <c r="H565" s="41"/>
    </row>
    <row r="566">
      <c r="A566" s="40"/>
      <c r="B566" s="41"/>
      <c r="C566" s="41"/>
      <c r="D566" s="41"/>
      <c r="E566" s="41"/>
      <c r="F566" s="41"/>
      <c r="G566" s="41"/>
      <c r="H566" s="41"/>
    </row>
    <row r="567">
      <c r="A567" s="40"/>
      <c r="B567" s="41"/>
      <c r="C567" s="41"/>
      <c r="D567" s="41"/>
      <c r="E567" s="41"/>
      <c r="F567" s="41"/>
      <c r="G567" s="41"/>
      <c r="H567" s="41"/>
    </row>
    <row r="568">
      <c r="A568" s="40"/>
      <c r="B568" s="41"/>
      <c r="C568" s="41"/>
      <c r="D568" s="41"/>
      <c r="E568" s="41"/>
      <c r="F568" s="41"/>
      <c r="G568" s="41"/>
      <c r="H568" s="41"/>
    </row>
    <row r="569">
      <c r="A569" s="40"/>
      <c r="B569" s="41"/>
      <c r="C569" s="41"/>
      <c r="D569" s="41"/>
      <c r="E569" s="41"/>
      <c r="F569" s="41"/>
      <c r="G569" s="41"/>
      <c r="H569" s="41"/>
    </row>
    <row r="570">
      <c r="A570" s="40"/>
      <c r="B570" s="41"/>
      <c r="C570" s="41"/>
      <c r="D570" s="41"/>
      <c r="E570" s="41"/>
      <c r="F570" s="41"/>
      <c r="G570" s="41"/>
      <c r="H570" s="41"/>
    </row>
    <row r="571">
      <c r="A571" s="40"/>
      <c r="B571" s="41"/>
      <c r="C571" s="41"/>
      <c r="D571" s="41"/>
      <c r="E571" s="41"/>
      <c r="F571" s="41"/>
      <c r="G571" s="41"/>
      <c r="H571" s="41"/>
    </row>
    <row r="572">
      <c r="A572" s="40"/>
      <c r="B572" s="41"/>
      <c r="C572" s="41"/>
      <c r="D572" s="41"/>
      <c r="E572" s="41"/>
      <c r="F572" s="41"/>
      <c r="G572" s="41"/>
      <c r="H572" s="41"/>
    </row>
    <row r="573">
      <c r="A573" s="40"/>
      <c r="B573" s="41"/>
      <c r="C573" s="41"/>
      <c r="D573" s="41"/>
      <c r="E573" s="41"/>
      <c r="F573" s="41"/>
      <c r="G573" s="41"/>
      <c r="H573" s="41"/>
    </row>
    <row r="574">
      <c r="A574" s="40"/>
      <c r="B574" s="41"/>
      <c r="C574" s="41"/>
      <c r="D574" s="41"/>
      <c r="E574" s="41"/>
      <c r="F574" s="41"/>
      <c r="G574" s="41"/>
      <c r="H574" s="41"/>
    </row>
    <row r="575">
      <c r="A575" s="40"/>
      <c r="B575" s="41"/>
      <c r="C575" s="41"/>
      <c r="D575" s="41"/>
      <c r="E575" s="41"/>
      <c r="F575" s="41"/>
      <c r="G575" s="41"/>
      <c r="H575" s="41"/>
    </row>
    <row r="576">
      <c r="A576" s="40"/>
      <c r="B576" s="41"/>
      <c r="C576" s="41"/>
      <c r="D576" s="41"/>
      <c r="E576" s="41"/>
      <c r="F576" s="41"/>
      <c r="G576" s="41"/>
      <c r="H576" s="41"/>
    </row>
    <row r="577">
      <c r="A577" s="40"/>
      <c r="B577" s="41"/>
      <c r="C577" s="41"/>
      <c r="D577" s="41"/>
      <c r="E577" s="41"/>
      <c r="F577" s="41"/>
      <c r="G577" s="41"/>
      <c r="H577" s="41"/>
    </row>
    <row r="578">
      <c r="A578" s="40"/>
      <c r="B578" s="41"/>
      <c r="C578" s="41"/>
      <c r="D578" s="41"/>
      <c r="E578" s="41"/>
      <c r="F578" s="41"/>
      <c r="G578" s="41"/>
      <c r="H578" s="41"/>
    </row>
    <row r="579">
      <c r="A579" s="40"/>
      <c r="B579" s="41"/>
      <c r="C579" s="41"/>
      <c r="D579" s="41"/>
      <c r="E579" s="41"/>
      <c r="F579" s="41"/>
      <c r="G579" s="41"/>
      <c r="H579" s="41"/>
    </row>
    <row r="580">
      <c r="A580" s="40"/>
      <c r="B580" s="41"/>
      <c r="C580" s="41"/>
      <c r="D580" s="41"/>
      <c r="E580" s="41"/>
      <c r="F580" s="41"/>
      <c r="G580" s="41"/>
      <c r="H580" s="41"/>
    </row>
    <row r="581">
      <c r="A581" s="40"/>
      <c r="B581" s="41"/>
      <c r="C581" s="41"/>
      <c r="D581" s="41"/>
      <c r="E581" s="41"/>
      <c r="F581" s="41"/>
      <c r="G581" s="41"/>
      <c r="H581" s="41"/>
    </row>
    <row r="582">
      <c r="A582" s="40"/>
      <c r="B582" s="41"/>
      <c r="C582" s="41"/>
      <c r="D582" s="41"/>
      <c r="E582" s="41"/>
      <c r="F582" s="41"/>
      <c r="G582" s="41"/>
      <c r="H582" s="41"/>
    </row>
    <row r="583">
      <c r="A583" s="40"/>
      <c r="B583" s="41"/>
      <c r="C583" s="41"/>
      <c r="D583" s="41"/>
      <c r="E583" s="41"/>
      <c r="F583" s="41"/>
      <c r="G583" s="41"/>
      <c r="H583" s="41"/>
    </row>
    <row r="584">
      <c r="A584" s="40"/>
      <c r="B584" s="41"/>
      <c r="C584" s="41"/>
      <c r="D584" s="41"/>
      <c r="E584" s="41"/>
      <c r="F584" s="41"/>
      <c r="G584" s="41"/>
      <c r="H584" s="41"/>
    </row>
    <row r="585">
      <c r="A585" s="40"/>
      <c r="B585" s="41"/>
      <c r="C585" s="41"/>
      <c r="D585" s="41"/>
      <c r="E585" s="41"/>
      <c r="F585" s="41"/>
      <c r="G585" s="41"/>
      <c r="H585" s="41"/>
    </row>
    <row r="586">
      <c r="A586" s="40"/>
      <c r="B586" s="41"/>
      <c r="C586" s="41"/>
      <c r="D586" s="41"/>
      <c r="E586" s="41"/>
      <c r="F586" s="41"/>
      <c r="G586" s="41"/>
      <c r="H586" s="41"/>
    </row>
    <row r="587">
      <c r="A587" s="40"/>
      <c r="B587" s="41"/>
      <c r="C587" s="41"/>
      <c r="D587" s="41"/>
      <c r="E587" s="41"/>
      <c r="F587" s="41"/>
      <c r="G587" s="41"/>
      <c r="H587" s="41"/>
    </row>
    <row r="588">
      <c r="A588" s="40"/>
      <c r="B588" s="41"/>
      <c r="C588" s="41"/>
      <c r="D588" s="41"/>
      <c r="E588" s="41"/>
      <c r="F588" s="41"/>
      <c r="G588" s="41"/>
      <c r="H588" s="41"/>
    </row>
    <row r="589">
      <c r="A589" s="40"/>
      <c r="B589" s="41"/>
      <c r="C589" s="41"/>
      <c r="D589" s="41"/>
      <c r="E589" s="41"/>
      <c r="F589" s="41"/>
      <c r="G589" s="41"/>
      <c r="H589" s="41"/>
    </row>
    <row r="590">
      <c r="A590" s="40"/>
      <c r="B590" s="41"/>
      <c r="C590" s="41"/>
      <c r="D590" s="41"/>
      <c r="E590" s="41"/>
      <c r="F590" s="41"/>
      <c r="G590" s="41"/>
      <c r="H590" s="41"/>
    </row>
    <row r="591">
      <c r="A591" s="40"/>
      <c r="B591" s="41"/>
      <c r="C591" s="41"/>
      <c r="D591" s="41"/>
      <c r="E591" s="41"/>
      <c r="F591" s="41"/>
      <c r="G591" s="41"/>
      <c r="H591" s="41"/>
    </row>
    <row r="592">
      <c r="A592" s="40"/>
      <c r="B592" s="41"/>
      <c r="C592" s="41"/>
      <c r="D592" s="41"/>
      <c r="E592" s="41"/>
      <c r="F592" s="41"/>
      <c r="G592" s="41"/>
      <c r="H592" s="41"/>
    </row>
    <row r="593">
      <c r="A593" s="40"/>
      <c r="B593" s="41"/>
      <c r="C593" s="41"/>
      <c r="D593" s="41"/>
      <c r="E593" s="41"/>
      <c r="F593" s="41"/>
      <c r="G593" s="41"/>
      <c r="H593" s="41"/>
    </row>
    <row r="594">
      <c r="A594" s="40"/>
      <c r="B594" s="41"/>
      <c r="C594" s="41"/>
      <c r="D594" s="41"/>
      <c r="E594" s="41"/>
      <c r="F594" s="41"/>
      <c r="G594" s="41"/>
      <c r="H594" s="41"/>
    </row>
    <row r="595">
      <c r="A595" s="40"/>
      <c r="B595" s="41"/>
      <c r="C595" s="41"/>
      <c r="D595" s="41"/>
      <c r="E595" s="41"/>
      <c r="F595" s="41"/>
      <c r="G595" s="41"/>
      <c r="H595" s="41"/>
    </row>
    <row r="596">
      <c r="A596" s="40"/>
      <c r="B596" s="41"/>
      <c r="C596" s="41"/>
      <c r="D596" s="41"/>
      <c r="E596" s="41"/>
      <c r="F596" s="41"/>
      <c r="G596" s="41"/>
      <c r="H596" s="41"/>
    </row>
    <row r="597">
      <c r="A597" s="40"/>
      <c r="B597" s="41"/>
      <c r="C597" s="41"/>
      <c r="D597" s="41"/>
      <c r="E597" s="41"/>
      <c r="F597" s="41"/>
      <c r="G597" s="41"/>
      <c r="H597" s="41"/>
    </row>
    <row r="598">
      <c r="A598" s="40"/>
      <c r="B598" s="41"/>
      <c r="C598" s="41"/>
      <c r="D598" s="41"/>
      <c r="E598" s="41"/>
      <c r="F598" s="41"/>
      <c r="G598" s="41"/>
      <c r="H598" s="41"/>
    </row>
    <row r="599">
      <c r="A599" s="40"/>
      <c r="B599" s="41"/>
      <c r="C599" s="41"/>
      <c r="D599" s="41"/>
      <c r="E599" s="41"/>
      <c r="F599" s="41"/>
      <c r="G599" s="41"/>
      <c r="H599" s="41"/>
    </row>
    <row r="600">
      <c r="A600" s="40"/>
      <c r="B600" s="41"/>
      <c r="C600" s="41"/>
      <c r="D600" s="41"/>
      <c r="E600" s="41"/>
      <c r="F600" s="41"/>
      <c r="G600" s="41"/>
      <c r="H600" s="41"/>
    </row>
    <row r="601">
      <c r="A601" s="40"/>
      <c r="B601" s="41"/>
      <c r="C601" s="41"/>
      <c r="D601" s="41"/>
      <c r="E601" s="41"/>
      <c r="F601" s="41"/>
      <c r="G601" s="41"/>
      <c r="H601" s="41"/>
    </row>
    <row r="602">
      <c r="A602" s="40"/>
      <c r="B602" s="41"/>
      <c r="C602" s="41"/>
      <c r="D602" s="41"/>
      <c r="E602" s="41"/>
      <c r="F602" s="41"/>
      <c r="G602" s="41"/>
      <c r="H602" s="41"/>
    </row>
    <row r="603">
      <c r="A603" s="40"/>
      <c r="B603" s="41"/>
      <c r="C603" s="41"/>
      <c r="D603" s="41"/>
      <c r="E603" s="41"/>
      <c r="F603" s="41"/>
      <c r="G603" s="41"/>
      <c r="H603" s="41"/>
    </row>
    <row r="604">
      <c r="A604" s="40"/>
      <c r="B604" s="41"/>
      <c r="C604" s="41"/>
      <c r="D604" s="41"/>
      <c r="E604" s="41"/>
      <c r="F604" s="41"/>
      <c r="G604" s="41"/>
      <c r="H604" s="41"/>
    </row>
    <row r="605">
      <c r="A605" s="40"/>
      <c r="B605" s="41"/>
      <c r="C605" s="41"/>
      <c r="D605" s="41"/>
      <c r="E605" s="41"/>
      <c r="F605" s="41"/>
      <c r="G605" s="41"/>
      <c r="H605" s="41"/>
    </row>
    <row r="606">
      <c r="A606" s="40"/>
      <c r="B606" s="41"/>
      <c r="C606" s="41"/>
      <c r="D606" s="41"/>
      <c r="E606" s="41"/>
      <c r="F606" s="41"/>
      <c r="G606" s="41"/>
      <c r="H606" s="41"/>
    </row>
    <row r="607">
      <c r="A607" s="40"/>
      <c r="B607" s="41"/>
      <c r="C607" s="41"/>
      <c r="D607" s="41"/>
      <c r="E607" s="41"/>
      <c r="F607" s="41"/>
      <c r="G607" s="41"/>
      <c r="H607" s="41"/>
    </row>
    <row r="608">
      <c r="A608" s="40"/>
      <c r="B608" s="41"/>
      <c r="C608" s="41"/>
      <c r="D608" s="41"/>
      <c r="E608" s="41"/>
      <c r="F608" s="41"/>
      <c r="G608" s="41"/>
      <c r="H608" s="41"/>
    </row>
    <row r="609">
      <c r="A609" s="40"/>
      <c r="B609" s="41"/>
      <c r="C609" s="41"/>
      <c r="D609" s="41"/>
      <c r="E609" s="41"/>
      <c r="F609" s="41"/>
      <c r="G609" s="41"/>
      <c r="H609" s="41"/>
    </row>
    <row r="610">
      <c r="A610" s="40"/>
      <c r="B610" s="41"/>
      <c r="C610" s="41"/>
      <c r="D610" s="41"/>
      <c r="E610" s="41"/>
      <c r="F610" s="41"/>
      <c r="G610" s="41"/>
      <c r="H610" s="41"/>
    </row>
    <row r="611">
      <c r="A611" s="40"/>
      <c r="B611" s="41"/>
      <c r="C611" s="41"/>
      <c r="D611" s="41"/>
      <c r="E611" s="41"/>
      <c r="F611" s="41"/>
      <c r="G611" s="41"/>
      <c r="H611" s="41"/>
    </row>
    <row r="612">
      <c r="A612" s="40"/>
      <c r="B612" s="41"/>
      <c r="C612" s="41"/>
      <c r="D612" s="41"/>
      <c r="E612" s="41"/>
      <c r="F612" s="41"/>
      <c r="G612" s="41"/>
      <c r="H612" s="41"/>
    </row>
    <row r="613">
      <c r="A613" s="40"/>
      <c r="B613" s="41"/>
      <c r="C613" s="41"/>
      <c r="D613" s="41"/>
      <c r="E613" s="41"/>
      <c r="F613" s="41"/>
      <c r="G613" s="41"/>
      <c r="H613" s="41"/>
    </row>
    <row r="614">
      <c r="A614" s="40"/>
      <c r="B614" s="41"/>
      <c r="C614" s="41"/>
      <c r="D614" s="41"/>
      <c r="E614" s="41"/>
      <c r="F614" s="41"/>
      <c r="G614" s="41"/>
      <c r="H614" s="41"/>
    </row>
    <row r="615">
      <c r="A615" s="40"/>
      <c r="B615" s="41"/>
      <c r="C615" s="41"/>
      <c r="D615" s="41"/>
      <c r="E615" s="41"/>
      <c r="F615" s="41"/>
      <c r="G615" s="41"/>
      <c r="H615" s="41"/>
    </row>
    <row r="616">
      <c r="A616" s="40"/>
      <c r="B616" s="41"/>
      <c r="C616" s="41"/>
      <c r="D616" s="41"/>
      <c r="E616" s="41"/>
      <c r="F616" s="41"/>
      <c r="G616" s="41"/>
      <c r="H616" s="41"/>
    </row>
    <row r="617">
      <c r="A617" s="40"/>
      <c r="B617" s="41"/>
      <c r="C617" s="41"/>
      <c r="D617" s="41"/>
      <c r="E617" s="41"/>
      <c r="F617" s="41"/>
      <c r="G617" s="41"/>
      <c r="H617" s="41"/>
    </row>
    <row r="618">
      <c r="A618" s="40"/>
      <c r="B618" s="41"/>
      <c r="C618" s="41"/>
      <c r="D618" s="41"/>
      <c r="E618" s="41"/>
      <c r="F618" s="41"/>
      <c r="G618" s="41"/>
      <c r="H618" s="41"/>
    </row>
    <row r="619">
      <c r="A619" s="40"/>
      <c r="B619" s="41"/>
      <c r="C619" s="41"/>
      <c r="D619" s="41"/>
      <c r="E619" s="41"/>
      <c r="F619" s="41"/>
      <c r="G619" s="41"/>
      <c r="H619" s="41"/>
    </row>
    <row r="620">
      <c r="A620" s="40"/>
      <c r="B620" s="41"/>
      <c r="C620" s="41"/>
      <c r="D620" s="41"/>
      <c r="E620" s="41"/>
      <c r="F620" s="41"/>
      <c r="G620" s="41"/>
      <c r="H620" s="41"/>
    </row>
    <row r="621">
      <c r="A621" s="40"/>
      <c r="B621" s="41"/>
      <c r="C621" s="41"/>
      <c r="D621" s="41"/>
      <c r="E621" s="41"/>
      <c r="F621" s="41"/>
      <c r="G621" s="41"/>
      <c r="H621" s="41"/>
    </row>
    <row r="622">
      <c r="A622" s="40"/>
      <c r="B622" s="41"/>
      <c r="C622" s="41"/>
      <c r="D622" s="41"/>
      <c r="E622" s="41"/>
      <c r="F622" s="41"/>
      <c r="G622" s="41"/>
      <c r="H622" s="41"/>
    </row>
    <row r="623">
      <c r="A623" s="40"/>
      <c r="B623" s="41"/>
      <c r="C623" s="41"/>
      <c r="D623" s="41"/>
      <c r="E623" s="41"/>
      <c r="F623" s="41"/>
      <c r="G623" s="41"/>
      <c r="H623" s="41"/>
    </row>
    <row r="624">
      <c r="A624" s="40"/>
      <c r="B624" s="41"/>
      <c r="C624" s="41"/>
      <c r="D624" s="41"/>
      <c r="E624" s="41"/>
      <c r="F624" s="41"/>
      <c r="G624" s="41"/>
      <c r="H624" s="41"/>
    </row>
    <row r="625">
      <c r="A625" s="40"/>
      <c r="B625" s="41"/>
      <c r="C625" s="41"/>
      <c r="D625" s="41"/>
      <c r="E625" s="41"/>
      <c r="F625" s="41"/>
      <c r="G625" s="41"/>
      <c r="H625" s="41"/>
    </row>
    <row r="626">
      <c r="A626" s="40"/>
      <c r="B626" s="41"/>
      <c r="C626" s="41"/>
      <c r="D626" s="41"/>
      <c r="E626" s="41"/>
      <c r="F626" s="41"/>
      <c r="G626" s="41"/>
      <c r="H626" s="41"/>
    </row>
    <row r="627">
      <c r="A627" s="40"/>
      <c r="B627" s="41"/>
      <c r="C627" s="41"/>
      <c r="D627" s="41"/>
      <c r="E627" s="41"/>
      <c r="F627" s="41"/>
      <c r="G627" s="41"/>
      <c r="H627" s="41"/>
    </row>
    <row r="628">
      <c r="A628" s="40"/>
      <c r="B628" s="41"/>
      <c r="C628" s="41"/>
      <c r="D628" s="41"/>
      <c r="E628" s="41"/>
      <c r="F628" s="41"/>
      <c r="G628" s="41"/>
      <c r="H628" s="41"/>
    </row>
    <row r="629">
      <c r="A629" s="40"/>
      <c r="B629" s="41"/>
      <c r="C629" s="41"/>
      <c r="D629" s="41"/>
      <c r="E629" s="41"/>
      <c r="F629" s="41"/>
      <c r="G629" s="41"/>
      <c r="H629" s="41"/>
    </row>
    <row r="630">
      <c r="A630" s="40"/>
      <c r="B630" s="41"/>
      <c r="C630" s="41"/>
      <c r="D630" s="41"/>
      <c r="E630" s="41"/>
      <c r="F630" s="41"/>
      <c r="G630" s="41"/>
      <c r="H630" s="41"/>
    </row>
    <row r="631">
      <c r="A631" s="40"/>
      <c r="B631" s="41"/>
      <c r="C631" s="41"/>
      <c r="D631" s="41"/>
      <c r="E631" s="41"/>
      <c r="F631" s="41"/>
      <c r="G631" s="41"/>
      <c r="H631" s="41"/>
    </row>
    <row r="632">
      <c r="A632" s="40"/>
      <c r="B632" s="41"/>
      <c r="C632" s="41"/>
      <c r="D632" s="41"/>
      <c r="E632" s="41"/>
      <c r="F632" s="41"/>
      <c r="G632" s="41"/>
      <c r="H632" s="41"/>
    </row>
    <row r="633">
      <c r="A633" s="40"/>
      <c r="B633" s="41"/>
      <c r="C633" s="41"/>
      <c r="D633" s="41"/>
      <c r="E633" s="41"/>
      <c r="F633" s="41"/>
      <c r="G633" s="41"/>
      <c r="H633" s="41"/>
    </row>
    <row r="634">
      <c r="A634" s="40"/>
      <c r="B634" s="41"/>
      <c r="C634" s="41"/>
      <c r="D634" s="41"/>
      <c r="E634" s="41"/>
      <c r="F634" s="41"/>
      <c r="G634" s="41"/>
      <c r="H634" s="41"/>
    </row>
    <row r="635">
      <c r="A635" s="40"/>
      <c r="B635" s="41"/>
      <c r="C635" s="41"/>
      <c r="D635" s="41"/>
      <c r="E635" s="41"/>
      <c r="F635" s="41"/>
      <c r="G635" s="41"/>
      <c r="H635" s="41"/>
    </row>
    <row r="636">
      <c r="A636" s="40"/>
      <c r="B636" s="41"/>
      <c r="C636" s="41"/>
      <c r="D636" s="41"/>
      <c r="E636" s="41"/>
      <c r="F636" s="41"/>
      <c r="G636" s="41"/>
      <c r="H636" s="41"/>
    </row>
    <row r="637">
      <c r="A637" s="40"/>
      <c r="B637" s="41"/>
      <c r="C637" s="41"/>
      <c r="D637" s="41"/>
      <c r="E637" s="41"/>
      <c r="F637" s="41"/>
      <c r="G637" s="41"/>
      <c r="H637" s="41"/>
    </row>
    <row r="638">
      <c r="A638" s="40"/>
      <c r="B638" s="41"/>
      <c r="C638" s="41"/>
      <c r="D638" s="41"/>
      <c r="E638" s="41"/>
      <c r="F638" s="41"/>
      <c r="G638" s="41"/>
      <c r="H638" s="41"/>
    </row>
    <row r="639">
      <c r="A639" s="40"/>
      <c r="B639" s="41"/>
      <c r="C639" s="41"/>
      <c r="D639" s="41"/>
      <c r="E639" s="41"/>
      <c r="F639" s="41"/>
      <c r="G639" s="41"/>
      <c r="H639" s="41"/>
    </row>
    <row r="640">
      <c r="A640" s="40"/>
      <c r="B640" s="41"/>
      <c r="C640" s="41"/>
      <c r="D640" s="41"/>
      <c r="E640" s="41"/>
      <c r="F640" s="41"/>
      <c r="G640" s="41"/>
      <c r="H640" s="41"/>
    </row>
    <row r="641">
      <c r="A641" s="40"/>
      <c r="B641" s="41"/>
      <c r="C641" s="41"/>
      <c r="D641" s="41"/>
      <c r="E641" s="41"/>
      <c r="F641" s="41"/>
      <c r="G641" s="41"/>
      <c r="H641" s="41"/>
    </row>
    <row r="642">
      <c r="A642" s="40"/>
      <c r="B642" s="41"/>
      <c r="C642" s="41"/>
      <c r="D642" s="41"/>
      <c r="E642" s="41"/>
      <c r="F642" s="41"/>
      <c r="G642" s="41"/>
      <c r="H642" s="41"/>
    </row>
    <row r="643">
      <c r="A643" s="40"/>
      <c r="B643" s="41"/>
      <c r="C643" s="41"/>
      <c r="D643" s="41"/>
      <c r="E643" s="41"/>
      <c r="F643" s="41"/>
      <c r="G643" s="41"/>
      <c r="H643" s="41"/>
    </row>
    <row r="644">
      <c r="A644" s="40"/>
      <c r="B644" s="41"/>
      <c r="C644" s="41"/>
      <c r="D644" s="41"/>
      <c r="E644" s="41"/>
      <c r="F644" s="41"/>
      <c r="G644" s="41"/>
      <c r="H644" s="41"/>
    </row>
    <row r="645">
      <c r="A645" s="40"/>
      <c r="B645" s="41"/>
      <c r="C645" s="41"/>
      <c r="D645" s="41"/>
      <c r="E645" s="41"/>
      <c r="F645" s="41"/>
      <c r="G645" s="41"/>
      <c r="H645" s="41"/>
    </row>
    <row r="646">
      <c r="A646" s="40"/>
      <c r="B646" s="41"/>
      <c r="C646" s="41"/>
      <c r="D646" s="41"/>
      <c r="E646" s="41"/>
      <c r="F646" s="41"/>
      <c r="G646" s="41"/>
      <c r="H646" s="41"/>
    </row>
    <row r="647">
      <c r="A647" s="40"/>
      <c r="B647" s="41"/>
      <c r="C647" s="41"/>
      <c r="D647" s="41"/>
      <c r="E647" s="41"/>
      <c r="F647" s="41"/>
      <c r="G647" s="41"/>
      <c r="H647" s="41"/>
    </row>
    <row r="648">
      <c r="A648" s="40"/>
      <c r="B648" s="41"/>
      <c r="C648" s="41"/>
      <c r="D648" s="41"/>
      <c r="E648" s="41"/>
      <c r="F648" s="41"/>
      <c r="G648" s="41"/>
      <c r="H648" s="41"/>
    </row>
    <row r="649">
      <c r="A649" s="40"/>
      <c r="B649" s="41"/>
      <c r="C649" s="41"/>
      <c r="D649" s="41"/>
      <c r="E649" s="41"/>
      <c r="F649" s="41"/>
      <c r="G649" s="41"/>
      <c r="H649" s="41"/>
    </row>
    <row r="650">
      <c r="A650" s="40"/>
      <c r="B650" s="41"/>
      <c r="C650" s="41"/>
      <c r="D650" s="41"/>
      <c r="E650" s="41"/>
      <c r="F650" s="41"/>
      <c r="G650" s="41"/>
      <c r="H650" s="41"/>
    </row>
    <row r="651">
      <c r="A651" s="40"/>
      <c r="B651" s="41"/>
      <c r="C651" s="41"/>
      <c r="D651" s="41"/>
      <c r="E651" s="41"/>
      <c r="F651" s="41"/>
      <c r="G651" s="41"/>
      <c r="H651" s="41"/>
    </row>
    <row r="652">
      <c r="A652" s="40"/>
      <c r="B652" s="41"/>
      <c r="C652" s="41"/>
      <c r="D652" s="41"/>
      <c r="E652" s="41"/>
      <c r="F652" s="41"/>
      <c r="G652" s="41"/>
      <c r="H652" s="41"/>
    </row>
    <row r="653">
      <c r="A653" s="40"/>
      <c r="B653" s="41"/>
      <c r="C653" s="41"/>
      <c r="D653" s="41"/>
      <c r="E653" s="41"/>
      <c r="F653" s="41"/>
      <c r="G653" s="41"/>
      <c r="H653" s="41"/>
    </row>
    <row r="654">
      <c r="A654" s="40"/>
      <c r="B654" s="41"/>
      <c r="C654" s="41"/>
      <c r="D654" s="41"/>
      <c r="E654" s="41"/>
      <c r="F654" s="41"/>
      <c r="G654" s="41"/>
      <c r="H654" s="41"/>
    </row>
    <row r="655">
      <c r="A655" s="40"/>
      <c r="B655" s="41"/>
      <c r="C655" s="41"/>
      <c r="D655" s="41"/>
      <c r="E655" s="41"/>
      <c r="F655" s="41"/>
      <c r="G655" s="41"/>
      <c r="H655" s="41"/>
    </row>
    <row r="656">
      <c r="A656" s="40"/>
      <c r="B656" s="41"/>
      <c r="C656" s="41"/>
      <c r="D656" s="41"/>
      <c r="E656" s="41"/>
      <c r="F656" s="41"/>
      <c r="G656" s="41"/>
      <c r="H656" s="41"/>
    </row>
    <row r="657">
      <c r="A657" s="40"/>
      <c r="B657" s="41"/>
      <c r="C657" s="41"/>
      <c r="D657" s="41"/>
      <c r="E657" s="41"/>
      <c r="F657" s="41"/>
      <c r="G657" s="41"/>
      <c r="H657" s="41"/>
    </row>
    <row r="658">
      <c r="A658" s="40"/>
      <c r="B658" s="41"/>
      <c r="C658" s="41"/>
      <c r="D658" s="41"/>
      <c r="E658" s="41"/>
      <c r="F658" s="41"/>
      <c r="G658" s="41"/>
      <c r="H658" s="41"/>
    </row>
    <row r="659">
      <c r="A659" s="40"/>
      <c r="B659" s="41"/>
      <c r="C659" s="41"/>
      <c r="D659" s="41"/>
      <c r="E659" s="41"/>
      <c r="F659" s="41"/>
      <c r="G659" s="41"/>
      <c r="H659" s="41"/>
    </row>
    <row r="660">
      <c r="A660" s="40"/>
      <c r="B660" s="41"/>
      <c r="C660" s="41"/>
      <c r="D660" s="41"/>
      <c r="E660" s="41"/>
      <c r="F660" s="41"/>
      <c r="G660" s="41"/>
      <c r="H660" s="41"/>
    </row>
    <row r="661">
      <c r="A661" s="40"/>
      <c r="B661" s="41"/>
      <c r="C661" s="41"/>
      <c r="D661" s="41"/>
      <c r="E661" s="41"/>
      <c r="F661" s="41"/>
      <c r="G661" s="41"/>
      <c r="H661" s="41"/>
    </row>
    <row r="662">
      <c r="A662" s="40"/>
      <c r="B662" s="41"/>
      <c r="C662" s="41"/>
      <c r="D662" s="41"/>
      <c r="E662" s="41"/>
      <c r="F662" s="41"/>
      <c r="G662" s="41"/>
      <c r="H662" s="41"/>
    </row>
    <row r="663">
      <c r="A663" s="40"/>
      <c r="B663" s="41"/>
      <c r="C663" s="41"/>
      <c r="D663" s="41"/>
      <c r="E663" s="41"/>
      <c r="F663" s="41"/>
      <c r="G663" s="41"/>
      <c r="H663" s="41"/>
    </row>
    <row r="664">
      <c r="A664" s="40"/>
      <c r="B664" s="41"/>
      <c r="C664" s="41"/>
      <c r="D664" s="41"/>
      <c r="E664" s="41"/>
      <c r="F664" s="41"/>
      <c r="G664" s="41"/>
      <c r="H664" s="41"/>
    </row>
    <row r="665">
      <c r="A665" s="40"/>
      <c r="B665" s="41"/>
      <c r="C665" s="41"/>
      <c r="D665" s="41"/>
      <c r="E665" s="41"/>
      <c r="F665" s="41"/>
      <c r="G665" s="41"/>
      <c r="H665" s="41"/>
    </row>
    <row r="666">
      <c r="A666" s="40"/>
      <c r="B666" s="41"/>
      <c r="C666" s="41"/>
      <c r="D666" s="41"/>
      <c r="E666" s="41"/>
      <c r="F666" s="41"/>
      <c r="G666" s="41"/>
      <c r="H666" s="41"/>
    </row>
    <row r="667">
      <c r="A667" s="40"/>
      <c r="B667" s="41"/>
      <c r="C667" s="41"/>
      <c r="D667" s="41"/>
      <c r="E667" s="41"/>
      <c r="F667" s="41"/>
      <c r="G667" s="41"/>
      <c r="H667" s="41"/>
    </row>
    <row r="668">
      <c r="A668" s="40"/>
      <c r="B668" s="41"/>
      <c r="C668" s="41"/>
      <c r="D668" s="41"/>
      <c r="E668" s="41"/>
      <c r="F668" s="41"/>
      <c r="G668" s="41"/>
      <c r="H668" s="41"/>
    </row>
    <row r="669">
      <c r="A669" s="40"/>
      <c r="B669" s="41"/>
      <c r="C669" s="41"/>
      <c r="D669" s="41"/>
      <c r="E669" s="41"/>
      <c r="F669" s="41"/>
      <c r="G669" s="41"/>
      <c r="H669" s="41"/>
    </row>
    <row r="670">
      <c r="A670" s="40"/>
      <c r="B670" s="41"/>
      <c r="C670" s="41"/>
      <c r="D670" s="41"/>
      <c r="E670" s="41"/>
      <c r="F670" s="41"/>
      <c r="G670" s="41"/>
      <c r="H670" s="41"/>
    </row>
    <row r="671">
      <c r="A671" s="40"/>
      <c r="B671" s="41"/>
      <c r="C671" s="41"/>
      <c r="D671" s="41"/>
      <c r="E671" s="41"/>
      <c r="F671" s="41"/>
      <c r="G671" s="41"/>
      <c r="H671" s="41"/>
    </row>
    <row r="672">
      <c r="A672" s="40"/>
      <c r="B672" s="41"/>
      <c r="C672" s="41"/>
      <c r="D672" s="41"/>
      <c r="E672" s="41"/>
      <c r="F672" s="41"/>
      <c r="G672" s="41"/>
      <c r="H672" s="41"/>
    </row>
    <row r="673">
      <c r="A673" s="40"/>
      <c r="B673" s="41"/>
      <c r="C673" s="41"/>
      <c r="D673" s="41"/>
      <c r="E673" s="41"/>
      <c r="F673" s="41"/>
      <c r="G673" s="41"/>
      <c r="H673" s="41"/>
    </row>
    <row r="674">
      <c r="A674" s="40"/>
      <c r="B674" s="41"/>
      <c r="C674" s="41"/>
      <c r="D674" s="41"/>
      <c r="E674" s="41"/>
      <c r="F674" s="41"/>
      <c r="G674" s="41"/>
      <c r="H674" s="41"/>
    </row>
    <row r="675">
      <c r="A675" s="40"/>
      <c r="B675" s="41"/>
      <c r="C675" s="41"/>
      <c r="D675" s="41"/>
      <c r="E675" s="41"/>
      <c r="F675" s="41"/>
      <c r="G675" s="41"/>
      <c r="H675" s="41"/>
    </row>
    <row r="676">
      <c r="A676" s="40"/>
      <c r="B676" s="41"/>
      <c r="C676" s="41"/>
      <c r="D676" s="41"/>
      <c r="E676" s="41"/>
      <c r="F676" s="41"/>
      <c r="G676" s="41"/>
      <c r="H676" s="41"/>
    </row>
    <row r="677">
      <c r="A677" s="40"/>
      <c r="B677" s="41"/>
      <c r="C677" s="41"/>
      <c r="D677" s="41"/>
      <c r="E677" s="41"/>
      <c r="F677" s="41"/>
      <c r="G677" s="41"/>
      <c r="H677" s="41"/>
    </row>
    <row r="678">
      <c r="A678" s="40"/>
      <c r="B678" s="41"/>
      <c r="C678" s="41"/>
      <c r="D678" s="41"/>
      <c r="E678" s="41"/>
      <c r="F678" s="41"/>
      <c r="G678" s="41"/>
      <c r="H678" s="41"/>
    </row>
    <row r="679">
      <c r="A679" s="40"/>
      <c r="B679" s="41"/>
      <c r="C679" s="41"/>
      <c r="D679" s="41"/>
      <c r="E679" s="41"/>
      <c r="F679" s="41"/>
      <c r="G679" s="41"/>
      <c r="H679" s="41"/>
    </row>
    <row r="680">
      <c r="A680" s="40"/>
      <c r="B680" s="41"/>
      <c r="C680" s="41"/>
      <c r="D680" s="41"/>
      <c r="E680" s="41"/>
      <c r="F680" s="41"/>
      <c r="G680" s="41"/>
      <c r="H680" s="41"/>
    </row>
    <row r="681">
      <c r="A681" s="40"/>
      <c r="B681" s="41"/>
      <c r="C681" s="41"/>
      <c r="D681" s="41"/>
      <c r="E681" s="41"/>
      <c r="F681" s="41"/>
      <c r="G681" s="41"/>
      <c r="H681" s="41"/>
    </row>
    <row r="682">
      <c r="A682" s="40"/>
      <c r="B682" s="41"/>
      <c r="C682" s="41"/>
      <c r="D682" s="41"/>
      <c r="E682" s="41"/>
      <c r="F682" s="41"/>
      <c r="G682" s="41"/>
      <c r="H682" s="41"/>
    </row>
    <row r="683">
      <c r="A683" s="40"/>
      <c r="B683" s="41"/>
      <c r="C683" s="41"/>
      <c r="D683" s="41"/>
      <c r="E683" s="41"/>
      <c r="F683" s="41"/>
      <c r="G683" s="41"/>
      <c r="H683" s="41"/>
    </row>
    <row r="684">
      <c r="A684" s="40"/>
      <c r="B684" s="41"/>
      <c r="C684" s="41"/>
      <c r="D684" s="41"/>
      <c r="E684" s="41"/>
      <c r="F684" s="41"/>
      <c r="G684" s="41"/>
      <c r="H684" s="41"/>
    </row>
    <row r="685">
      <c r="A685" s="40"/>
      <c r="B685" s="41"/>
      <c r="C685" s="41"/>
      <c r="D685" s="41"/>
      <c r="E685" s="41"/>
      <c r="F685" s="41"/>
      <c r="G685" s="41"/>
      <c r="H685" s="41"/>
    </row>
    <row r="686">
      <c r="A686" s="40"/>
      <c r="B686" s="41"/>
      <c r="C686" s="41"/>
      <c r="D686" s="41"/>
      <c r="E686" s="41"/>
      <c r="F686" s="41"/>
      <c r="G686" s="41"/>
      <c r="H686" s="41"/>
    </row>
    <row r="687">
      <c r="A687" s="40"/>
      <c r="B687" s="41"/>
      <c r="C687" s="41"/>
      <c r="D687" s="41"/>
      <c r="E687" s="41"/>
      <c r="F687" s="41"/>
      <c r="G687" s="41"/>
      <c r="H687" s="41"/>
    </row>
    <row r="688">
      <c r="A688" s="40"/>
      <c r="B688" s="41"/>
      <c r="C688" s="41"/>
      <c r="D688" s="41"/>
      <c r="E688" s="41"/>
      <c r="F688" s="41"/>
      <c r="G688" s="41"/>
      <c r="H688" s="41"/>
    </row>
    <row r="689">
      <c r="A689" s="40"/>
      <c r="B689" s="41"/>
      <c r="C689" s="41"/>
      <c r="D689" s="41"/>
      <c r="E689" s="41"/>
      <c r="F689" s="41"/>
      <c r="G689" s="41"/>
      <c r="H689" s="41"/>
    </row>
    <row r="690">
      <c r="A690" s="40"/>
      <c r="B690" s="41"/>
      <c r="C690" s="41"/>
      <c r="D690" s="41"/>
      <c r="E690" s="41"/>
      <c r="F690" s="41"/>
      <c r="G690" s="41"/>
      <c r="H690" s="41"/>
    </row>
    <row r="691">
      <c r="A691" s="40"/>
      <c r="B691" s="41"/>
      <c r="C691" s="41"/>
      <c r="D691" s="41"/>
      <c r="E691" s="41"/>
      <c r="F691" s="41"/>
      <c r="G691" s="41"/>
      <c r="H691" s="41"/>
    </row>
    <row r="692">
      <c r="A692" s="40"/>
      <c r="B692" s="41"/>
      <c r="C692" s="41"/>
      <c r="D692" s="41"/>
      <c r="E692" s="41"/>
      <c r="F692" s="41"/>
      <c r="G692" s="41"/>
      <c r="H692" s="41"/>
    </row>
    <row r="693">
      <c r="A693" s="40"/>
      <c r="B693" s="41"/>
      <c r="C693" s="41"/>
      <c r="D693" s="41"/>
      <c r="E693" s="41"/>
      <c r="F693" s="41"/>
      <c r="G693" s="41"/>
      <c r="H693" s="41"/>
    </row>
    <row r="694">
      <c r="A694" s="40"/>
      <c r="B694" s="41"/>
      <c r="C694" s="41"/>
      <c r="D694" s="41"/>
      <c r="E694" s="41"/>
      <c r="F694" s="41"/>
      <c r="G694" s="41"/>
      <c r="H694" s="41"/>
    </row>
    <row r="695">
      <c r="A695" s="40"/>
      <c r="B695" s="41"/>
      <c r="C695" s="41"/>
      <c r="D695" s="41"/>
      <c r="E695" s="41"/>
      <c r="F695" s="41"/>
      <c r="G695" s="41"/>
      <c r="H695" s="41"/>
    </row>
    <row r="696">
      <c r="A696" s="40"/>
      <c r="B696" s="41"/>
      <c r="C696" s="41"/>
      <c r="D696" s="41"/>
      <c r="E696" s="41"/>
      <c r="F696" s="41"/>
      <c r="G696" s="41"/>
      <c r="H696" s="41"/>
    </row>
    <row r="697">
      <c r="A697" s="40"/>
      <c r="B697" s="41"/>
      <c r="C697" s="41"/>
      <c r="D697" s="41"/>
      <c r="E697" s="41"/>
      <c r="F697" s="41"/>
      <c r="G697" s="41"/>
      <c r="H697" s="41"/>
    </row>
    <row r="698">
      <c r="A698" s="40"/>
      <c r="B698" s="41"/>
      <c r="C698" s="41"/>
      <c r="D698" s="41"/>
      <c r="E698" s="41"/>
      <c r="F698" s="41"/>
      <c r="G698" s="41"/>
      <c r="H698" s="41"/>
    </row>
    <row r="699">
      <c r="A699" s="40"/>
      <c r="B699" s="41"/>
      <c r="C699" s="41"/>
      <c r="D699" s="41"/>
      <c r="E699" s="41"/>
      <c r="F699" s="41"/>
      <c r="G699" s="41"/>
      <c r="H699" s="41"/>
    </row>
    <row r="700">
      <c r="A700" s="40"/>
      <c r="B700" s="41"/>
      <c r="C700" s="41"/>
      <c r="D700" s="41"/>
      <c r="E700" s="41"/>
      <c r="F700" s="41"/>
      <c r="G700" s="41"/>
      <c r="H700" s="41"/>
    </row>
    <row r="701">
      <c r="A701" s="40"/>
      <c r="B701" s="41"/>
      <c r="C701" s="41"/>
      <c r="D701" s="41"/>
      <c r="E701" s="41"/>
      <c r="F701" s="41"/>
      <c r="G701" s="41"/>
      <c r="H701" s="41"/>
    </row>
    <row r="702">
      <c r="A702" s="40"/>
      <c r="B702" s="41"/>
      <c r="C702" s="41"/>
      <c r="D702" s="41"/>
      <c r="E702" s="41"/>
      <c r="F702" s="41"/>
      <c r="G702" s="41"/>
      <c r="H702" s="41"/>
    </row>
    <row r="703">
      <c r="A703" s="40"/>
      <c r="B703" s="41"/>
      <c r="C703" s="41"/>
      <c r="D703" s="41"/>
      <c r="E703" s="41"/>
      <c r="F703" s="41"/>
      <c r="G703" s="41"/>
      <c r="H703" s="41"/>
    </row>
    <row r="704">
      <c r="A704" s="40"/>
      <c r="B704" s="41"/>
      <c r="C704" s="41"/>
      <c r="D704" s="41"/>
      <c r="E704" s="41"/>
      <c r="F704" s="41"/>
      <c r="G704" s="41"/>
      <c r="H704" s="41"/>
    </row>
    <row r="705">
      <c r="A705" s="40"/>
      <c r="B705" s="41"/>
      <c r="C705" s="41"/>
      <c r="D705" s="41"/>
      <c r="E705" s="41"/>
      <c r="F705" s="41"/>
      <c r="G705" s="41"/>
      <c r="H705" s="41"/>
    </row>
    <row r="706">
      <c r="A706" s="40"/>
      <c r="B706" s="41"/>
      <c r="C706" s="41"/>
      <c r="D706" s="41"/>
      <c r="E706" s="41"/>
      <c r="F706" s="41"/>
      <c r="G706" s="41"/>
      <c r="H706" s="41"/>
    </row>
    <row r="707">
      <c r="A707" s="40"/>
      <c r="B707" s="41"/>
      <c r="C707" s="41"/>
      <c r="D707" s="41"/>
      <c r="E707" s="41"/>
      <c r="F707" s="41"/>
      <c r="G707" s="41"/>
      <c r="H707" s="41"/>
    </row>
    <row r="708">
      <c r="A708" s="40"/>
      <c r="B708" s="41"/>
      <c r="C708" s="41"/>
      <c r="D708" s="41"/>
      <c r="E708" s="41"/>
      <c r="F708" s="41"/>
      <c r="G708" s="41"/>
      <c r="H708" s="41"/>
    </row>
    <row r="709">
      <c r="A709" s="40"/>
      <c r="B709" s="41"/>
      <c r="C709" s="41"/>
      <c r="D709" s="41"/>
      <c r="E709" s="41"/>
      <c r="F709" s="41"/>
      <c r="G709" s="41"/>
      <c r="H709" s="41"/>
    </row>
    <row r="710">
      <c r="A710" s="40"/>
      <c r="B710" s="41"/>
      <c r="C710" s="41"/>
      <c r="D710" s="41"/>
      <c r="E710" s="41"/>
      <c r="F710" s="41"/>
      <c r="G710" s="41"/>
      <c r="H710" s="41"/>
    </row>
    <row r="711">
      <c r="A711" s="40"/>
      <c r="B711" s="41"/>
      <c r="C711" s="41"/>
      <c r="D711" s="41"/>
      <c r="E711" s="41"/>
      <c r="F711" s="41"/>
      <c r="G711" s="41"/>
      <c r="H711" s="41"/>
    </row>
    <row r="712">
      <c r="A712" s="40"/>
      <c r="B712" s="41"/>
      <c r="C712" s="41"/>
      <c r="D712" s="41"/>
      <c r="E712" s="41"/>
      <c r="F712" s="41"/>
      <c r="G712" s="41"/>
      <c r="H712" s="41"/>
    </row>
    <row r="713">
      <c r="A713" s="40"/>
      <c r="B713" s="41"/>
      <c r="C713" s="41"/>
      <c r="D713" s="41"/>
      <c r="E713" s="41"/>
      <c r="F713" s="41"/>
      <c r="G713" s="41"/>
      <c r="H713" s="41"/>
    </row>
    <row r="714">
      <c r="A714" s="40"/>
      <c r="B714" s="41"/>
      <c r="C714" s="41"/>
      <c r="D714" s="41"/>
      <c r="E714" s="41"/>
      <c r="F714" s="41"/>
      <c r="G714" s="41"/>
      <c r="H714" s="41"/>
    </row>
    <row r="715">
      <c r="A715" s="40"/>
      <c r="B715" s="41"/>
      <c r="C715" s="41"/>
      <c r="D715" s="41"/>
      <c r="E715" s="41"/>
      <c r="F715" s="41"/>
      <c r="G715" s="41"/>
      <c r="H715" s="41"/>
    </row>
    <row r="716">
      <c r="A716" s="40"/>
      <c r="B716" s="41"/>
      <c r="C716" s="41"/>
      <c r="D716" s="41"/>
      <c r="E716" s="41"/>
      <c r="F716" s="41"/>
      <c r="G716" s="41"/>
      <c r="H716" s="41"/>
    </row>
    <row r="717">
      <c r="A717" s="40"/>
      <c r="B717" s="41"/>
      <c r="C717" s="41"/>
      <c r="D717" s="41"/>
      <c r="E717" s="41"/>
      <c r="F717" s="41"/>
      <c r="G717" s="41"/>
      <c r="H717" s="41"/>
    </row>
    <row r="718">
      <c r="A718" s="40"/>
      <c r="B718" s="41"/>
      <c r="C718" s="41"/>
      <c r="D718" s="41"/>
      <c r="E718" s="41"/>
      <c r="F718" s="41"/>
      <c r="G718" s="41"/>
      <c r="H718" s="41"/>
    </row>
    <row r="719">
      <c r="A719" s="40"/>
      <c r="B719" s="41"/>
      <c r="C719" s="41"/>
      <c r="D719" s="41"/>
      <c r="E719" s="41"/>
      <c r="F719" s="41"/>
      <c r="G719" s="41"/>
      <c r="H719" s="41"/>
    </row>
    <row r="720">
      <c r="A720" s="40"/>
      <c r="B720" s="41"/>
      <c r="C720" s="41"/>
      <c r="D720" s="41"/>
      <c r="E720" s="41"/>
      <c r="F720" s="41"/>
      <c r="G720" s="41"/>
      <c r="H720" s="41"/>
    </row>
    <row r="721">
      <c r="A721" s="40"/>
      <c r="B721" s="41"/>
      <c r="C721" s="41"/>
      <c r="D721" s="41"/>
      <c r="E721" s="41"/>
      <c r="F721" s="41"/>
      <c r="G721" s="41"/>
      <c r="H721" s="41"/>
    </row>
    <row r="722">
      <c r="A722" s="40"/>
      <c r="B722" s="41"/>
      <c r="C722" s="41"/>
      <c r="D722" s="41"/>
      <c r="E722" s="41"/>
      <c r="F722" s="41"/>
      <c r="G722" s="41"/>
      <c r="H722" s="41"/>
    </row>
    <row r="723">
      <c r="A723" s="40"/>
      <c r="B723" s="41"/>
      <c r="C723" s="41"/>
      <c r="D723" s="41"/>
      <c r="E723" s="41"/>
      <c r="F723" s="41"/>
      <c r="G723" s="41"/>
      <c r="H723" s="41"/>
    </row>
    <row r="724">
      <c r="A724" s="40"/>
      <c r="B724" s="41"/>
      <c r="C724" s="41"/>
      <c r="D724" s="41"/>
      <c r="E724" s="41"/>
      <c r="F724" s="41"/>
      <c r="G724" s="41"/>
      <c r="H724" s="41"/>
    </row>
    <row r="725">
      <c r="A725" s="40"/>
      <c r="B725" s="41"/>
      <c r="C725" s="41"/>
      <c r="D725" s="41"/>
      <c r="E725" s="41"/>
      <c r="F725" s="41"/>
      <c r="G725" s="41"/>
      <c r="H725" s="41"/>
    </row>
    <row r="726">
      <c r="A726" s="40"/>
      <c r="B726" s="41"/>
      <c r="C726" s="41"/>
      <c r="D726" s="41"/>
      <c r="E726" s="41"/>
      <c r="F726" s="41"/>
      <c r="G726" s="41"/>
      <c r="H726" s="41"/>
    </row>
    <row r="727">
      <c r="A727" s="40"/>
      <c r="B727" s="41"/>
      <c r="C727" s="41"/>
      <c r="D727" s="41"/>
      <c r="E727" s="41"/>
      <c r="F727" s="41"/>
      <c r="G727" s="41"/>
      <c r="H727" s="41"/>
    </row>
    <row r="728">
      <c r="A728" s="40"/>
      <c r="B728" s="41"/>
      <c r="C728" s="41"/>
      <c r="D728" s="41"/>
      <c r="E728" s="41"/>
      <c r="F728" s="41"/>
      <c r="G728" s="41"/>
      <c r="H728" s="41"/>
    </row>
    <row r="729">
      <c r="A729" s="40"/>
      <c r="B729" s="41"/>
      <c r="C729" s="41"/>
      <c r="D729" s="41"/>
      <c r="E729" s="41"/>
      <c r="F729" s="41"/>
      <c r="G729" s="41"/>
      <c r="H729" s="41"/>
    </row>
    <row r="730">
      <c r="A730" s="40"/>
      <c r="B730" s="41"/>
      <c r="C730" s="41"/>
      <c r="D730" s="41"/>
      <c r="E730" s="41"/>
      <c r="F730" s="41"/>
      <c r="G730" s="41"/>
      <c r="H730" s="41"/>
    </row>
    <row r="731">
      <c r="A731" s="40"/>
      <c r="B731" s="41"/>
      <c r="C731" s="41"/>
      <c r="D731" s="41"/>
      <c r="E731" s="41"/>
      <c r="F731" s="41"/>
      <c r="G731" s="41"/>
      <c r="H731" s="41"/>
    </row>
    <row r="732">
      <c r="A732" s="40"/>
      <c r="B732" s="41"/>
      <c r="C732" s="41"/>
      <c r="D732" s="41"/>
      <c r="E732" s="41"/>
      <c r="F732" s="41"/>
      <c r="G732" s="41"/>
      <c r="H732" s="41"/>
    </row>
    <row r="733">
      <c r="A733" s="40"/>
      <c r="B733" s="41"/>
      <c r="C733" s="41"/>
      <c r="D733" s="41"/>
      <c r="E733" s="41"/>
      <c r="F733" s="41"/>
      <c r="G733" s="41"/>
      <c r="H733" s="41"/>
    </row>
    <row r="734">
      <c r="A734" s="40"/>
      <c r="B734" s="41"/>
      <c r="C734" s="41"/>
      <c r="D734" s="41"/>
      <c r="E734" s="41"/>
      <c r="F734" s="41"/>
      <c r="G734" s="41"/>
      <c r="H734" s="41"/>
    </row>
    <row r="735">
      <c r="A735" s="40"/>
      <c r="B735" s="41"/>
      <c r="C735" s="41"/>
      <c r="D735" s="41"/>
      <c r="E735" s="41"/>
      <c r="F735" s="41"/>
      <c r="G735" s="41"/>
      <c r="H735" s="41"/>
    </row>
    <row r="736">
      <c r="A736" s="40"/>
      <c r="B736" s="41"/>
      <c r="C736" s="41"/>
      <c r="D736" s="41"/>
      <c r="E736" s="41"/>
      <c r="F736" s="41"/>
      <c r="G736" s="41"/>
      <c r="H736" s="41"/>
    </row>
    <row r="737">
      <c r="A737" s="40"/>
      <c r="B737" s="41"/>
      <c r="C737" s="41"/>
      <c r="D737" s="41"/>
      <c r="E737" s="41"/>
      <c r="F737" s="41"/>
      <c r="G737" s="41"/>
      <c r="H737" s="41"/>
    </row>
    <row r="738">
      <c r="A738" s="40"/>
      <c r="B738" s="41"/>
      <c r="C738" s="41"/>
      <c r="D738" s="41"/>
      <c r="E738" s="41"/>
      <c r="F738" s="41"/>
      <c r="G738" s="41"/>
      <c r="H738" s="41"/>
    </row>
    <row r="739">
      <c r="A739" s="40"/>
      <c r="B739" s="41"/>
      <c r="C739" s="41"/>
      <c r="D739" s="41"/>
      <c r="E739" s="41"/>
      <c r="F739" s="41"/>
      <c r="G739" s="41"/>
      <c r="H739" s="41"/>
    </row>
    <row r="740">
      <c r="A740" s="40"/>
      <c r="B740" s="41"/>
      <c r="C740" s="41"/>
      <c r="D740" s="41"/>
      <c r="E740" s="41"/>
      <c r="F740" s="41"/>
      <c r="G740" s="41"/>
      <c r="H740" s="41"/>
    </row>
    <row r="741">
      <c r="A741" s="40"/>
      <c r="B741" s="41"/>
      <c r="C741" s="41"/>
      <c r="D741" s="41"/>
      <c r="E741" s="41"/>
      <c r="F741" s="41"/>
      <c r="G741" s="41"/>
      <c r="H741" s="41"/>
    </row>
    <row r="742">
      <c r="A742" s="40"/>
      <c r="B742" s="41"/>
      <c r="C742" s="41"/>
      <c r="D742" s="41"/>
      <c r="E742" s="41"/>
      <c r="F742" s="41"/>
      <c r="G742" s="41"/>
      <c r="H742" s="41"/>
    </row>
    <row r="743">
      <c r="A743" s="40"/>
      <c r="B743" s="41"/>
      <c r="C743" s="41"/>
      <c r="D743" s="41"/>
      <c r="E743" s="41"/>
      <c r="F743" s="41"/>
      <c r="G743" s="41"/>
      <c r="H743" s="41"/>
    </row>
    <row r="744">
      <c r="A744" s="40"/>
      <c r="B744" s="41"/>
      <c r="C744" s="41"/>
      <c r="D744" s="41"/>
      <c r="E744" s="41"/>
      <c r="F744" s="41"/>
      <c r="G744" s="41"/>
      <c r="H744" s="41"/>
    </row>
    <row r="745">
      <c r="A745" s="40"/>
      <c r="B745" s="41"/>
      <c r="C745" s="41"/>
      <c r="D745" s="41"/>
      <c r="E745" s="41"/>
      <c r="F745" s="41"/>
      <c r="G745" s="41"/>
      <c r="H745" s="41"/>
    </row>
    <row r="746">
      <c r="A746" s="40"/>
      <c r="B746" s="41"/>
      <c r="C746" s="41"/>
      <c r="D746" s="41"/>
      <c r="E746" s="41"/>
      <c r="F746" s="41"/>
      <c r="G746" s="41"/>
      <c r="H746" s="41"/>
    </row>
    <row r="747">
      <c r="A747" s="40"/>
      <c r="B747" s="41"/>
      <c r="C747" s="41"/>
      <c r="D747" s="41"/>
      <c r="E747" s="41"/>
      <c r="F747" s="41"/>
      <c r="G747" s="41"/>
      <c r="H747" s="41"/>
    </row>
    <row r="748">
      <c r="A748" s="40"/>
      <c r="B748" s="41"/>
      <c r="C748" s="41"/>
      <c r="D748" s="41"/>
      <c r="E748" s="41"/>
      <c r="F748" s="41"/>
      <c r="G748" s="41"/>
      <c r="H748" s="41"/>
    </row>
    <row r="749">
      <c r="A749" s="40"/>
      <c r="B749" s="41"/>
      <c r="C749" s="41"/>
      <c r="D749" s="41"/>
      <c r="E749" s="41"/>
      <c r="F749" s="41"/>
      <c r="G749" s="41"/>
      <c r="H749" s="41"/>
    </row>
    <row r="750">
      <c r="A750" s="40"/>
      <c r="B750" s="41"/>
      <c r="C750" s="41"/>
      <c r="D750" s="41"/>
      <c r="E750" s="41"/>
      <c r="F750" s="41"/>
      <c r="G750" s="41"/>
      <c r="H750" s="41"/>
    </row>
    <row r="751">
      <c r="A751" s="40"/>
      <c r="B751" s="41"/>
      <c r="C751" s="41"/>
      <c r="D751" s="41"/>
      <c r="E751" s="41"/>
      <c r="F751" s="41"/>
      <c r="G751" s="41"/>
      <c r="H751" s="41"/>
    </row>
    <row r="752">
      <c r="A752" s="40"/>
      <c r="B752" s="41"/>
      <c r="C752" s="41"/>
      <c r="D752" s="41"/>
      <c r="E752" s="41"/>
      <c r="F752" s="41"/>
      <c r="G752" s="41"/>
      <c r="H752" s="41"/>
    </row>
    <row r="753">
      <c r="A753" s="40"/>
      <c r="B753" s="41"/>
      <c r="C753" s="41"/>
      <c r="D753" s="41"/>
      <c r="E753" s="41"/>
      <c r="F753" s="41"/>
      <c r="G753" s="41"/>
      <c r="H753" s="41"/>
    </row>
    <row r="754">
      <c r="A754" s="40"/>
      <c r="B754" s="41"/>
      <c r="C754" s="41"/>
      <c r="D754" s="41"/>
      <c r="E754" s="41"/>
      <c r="F754" s="41"/>
      <c r="G754" s="41"/>
      <c r="H754" s="41"/>
    </row>
    <row r="755">
      <c r="A755" s="40"/>
      <c r="B755" s="41"/>
      <c r="C755" s="41"/>
      <c r="D755" s="41"/>
      <c r="E755" s="41"/>
      <c r="F755" s="41"/>
      <c r="G755" s="41"/>
      <c r="H755" s="41"/>
    </row>
    <row r="756">
      <c r="A756" s="40"/>
      <c r="B756" s="41"/>
      <c r="C756" s="41"/>
      <c r="D756" s="41"/>
      <c r="E756" s="41"/>
      <c r="F756" s="41"/>
      <c r="G756" s="41"/>
      <c r="H756" s="41"/>
    </row>
    <row r="757">
      <c r="A757" s="40"/>
      <c r="B757" s="41"/>
      <c r="C757" s="41"/>
      <c r="D757" s="41"/>
      <c r="E757" s="41"/>
      <c r="F757" s="41"/>
      <c r="G757" s="41"/>
      <c r="H757" s="41"/>
    </row>
    <row r="758">
      <c r="A758" s="40"/>
      <c r="B758" s="41"/>
      <c r="C758" s="41"/>
      <c r="D758" s="41"/>
      <c r="E758" s="41"/>
      <c r="F758" s="41"/>
      <c r="G758" s="41"/>
      <c r="H758" s="41"/>
    </row>
    <row r="759">
      <c r="A759" s="40"/>
      <c r="B759" s="41"/>
      <c r="C759" s="41"/>
      <c r="D759" s="41"/>
      <c r="E759" s="41"/>
      <c r="F759" s="41"/>
      <c r="G759" s="41"/>
      <c r="H759" s="41"/>
    </row>
    <row r="760">
      <c r="A760" s="40"/>
      <c r="B760" s="41"/>
      <c r="C760" s="41"/>
      <c r="D760" s="41"/>
      <c r="E760" s="41"/>
      <c r="F760" s="41"/>
      <c r="G760" s="41"/>
      <c r="H760" s="41"/>
    </row>
    <row r="761">
      <c r="A761" s="40"/>
      <c r="B761" s="41"/>
      <c r="C761" s="41"/>
      <c r="D761" s="41"/>
      <c r="E761" s="41"/>
      <c r="F761" s="41"/>
      <c r="G761" s="41"/>
      <c r="H761" s="41"/>
    </row>
    <row r="762">
      <c r="A762" s="40"/>
      <c r="B762" s="41"/>
      <c r="C762" s="41"/>
      <c r="D762" s="41"/>
      <c r="E762" s="41"/>
      <c r="F762" s="41"/>
      <c r="G762" s="41"/>
      <c r="H762" s="41"/>
    </row>
    <row r="763">
      <c r="A763" s="40"/>
      <c r="B763" s="41"/>
      <c r="C763" s="41"/>
      <c r="D763" s="41"/>
      <c r="E763" s="41"/>
      <c r="F763" s="41"/>
      <c r="G763" s="41"/>
      <c r="H763" s="41"/>
    </row>
    <row r="764">
      <c r="A764" s="40"/>
      <c r="B764" s="41"/>
      <c r="C764" s="41"/>
      <c r="D764" s="41"/>
      <c r="E764" s="41"/>
      <c r="F764" s="41"/>
      <c r="G764" s="41"/>
      <c r="H764" s="41"/>
    </row>
    <row r="765">
      <c r="A765" s="40"/>
      <c r="B765" s="41"/>
      <c r="C765" s="41"/>
      <c r="D765" s="41"/>
      <c r="E765" s="41"/>
      <c r="F765" s="41"/>
      <c r="G765" s="41"/>
      <c r="H765" s="41"/>
    </row>
    <row r="766">
      <c r="A766" s="40"/>
      <c r="B766" s="41"/>
      <c r="C766" s="41"/>
      <c r="D766" s="41"/>
      <c r="E766" s="41"/>
      <c r="F766" s="41"/>
      <c r="G766" s="41"/>
      <c r="H766" s="41"/>
    </row>
    <row r="767">
      <c r="A767" s="40"/>
      <c r="B767" s="41"/>
      <c r="C767" s="41"/>
      <c r="D767" s="41"/>
      <c r="E767" s="41"/>
      <c r="F767" s="41"/>
      <c r="G767" s="41"/>
      <c r="H767" s="41"/>
    </row>
    <row r="768">
      <c r="A768" s="40"/>
      <c r="B768" s="41"/>
      <c r="C768" s="41"/>
      <c r="D768" s="41"/>
      <c r="E768" s="41"/>
      <c r="F768" s="41"/>
      <c r="G768" s="41"/>
      <c r="H768" s="41"/>
    </row>
    <row r="769">
      <c r="A769" s="40"/>
      <c r="B769" s="41"/>
      <c r="C769" s="41"/>
      <c r="D769" s="41"/>
      <c r="E769" s="41"/>
      <c r="F769" s="41"/>
      <c r="G769" s="41"/>
      <c r="H769" s="41"/>
    </row>
    <row r="770">
      <c r="A770" s="40"/>
      <c r="B770" s="41"/>
      <c r="C770" s="41"/>
      <c r="D770" s="41"/>
      <c r="E770" s="41"/>
      <c r="F770" s="41"/>
      <c r="G770" s="41"/>
      <c r="H770" s="41"/>
    </row>
    <row r="771">
      <c r="A771" s="40"/>
      <c r="B771" s="41"/>
      <c r="C771" s="41"/>
      <c r="D771" s="41"/>
      <c r="E771" s="41"/>
      <c r="F771" s="41"/>
      <c r="G771" s="41"/>
      <c r="H771" s="41"/>
    </row>
    <row r="772">
      <c r="A772" s="40"/>
      <c r="B772" s="41"/>
      <c r="C772" s="41"/>
      <c r="D772" s="41"/>
      <c r="E772" s="41"/>
      <c r="F772" s="41"/>
      <c r="G772" s="41"/>
      <c r="H772" s="41"/>
    </row>
    <row r="773">
      <c r="A773" s="40"/>
      <c r="B773" s="41"/>
      <c r="C773" s="41"/>
      <c r="D773" s="41"/>
      <c r="E773" s="41"/>
      <c r="F773" s="41"/>
      <c r="G773" s="41"/>
      <c r="H773" s="41"/>
    </row>
    <row r="774">
      <c r="A774" s="40"/>
      <c r="B774" s="41"/>
      <c r="C774" s="41"/>
      <c r="D774" s="41"/>
      <c r="E774" s="41"/>
      <c r="F774" s="41"/>
      <c r="G774" s="41"/>
      <c r="H774" s="41"/>
    </row>
    <row r="775">
      <c r="A775" s="40"/>
      <c r="B775" s="41"/>
      <c r="C775" s="41"/>
      <c r="D775" s="41"/>
      <c r="E775" s="41"/>
      <c r="F775" s="41"/>
      <c r="G775" s="41"/>
      <c r="H775" s="41"/>
    </row>
    <row r="776">
      <c r="A776" s="40"/>
      <c r="B776" s="41"/>
      <c r="C776" s="41"/>
      <c r="D776" s="41"/>
      <c r="E776" s="41"/>
      <c r="F776" s="41"/>
      <c r="G776" s="41"/>
      <c r="H776" s="41"/>
    </row>
    <row r="777">
      <c r="A777" s="40"/>
      <c r="B777" s="41"/>
      <c r="C777" s="41"/>
      <c r="D777" s="41"/>
      <c r="E777" s="41"/>
      <c r="F777" s="41"/>
      <c r="G777" s="41"/>
      <c r="H777" s="41"/>
    </row>
    <row r="778">
      <c r="A778" s="40"/>
      <c r="B778" s="41"/>
      <c r="C778" s="41"/>
      <c r="D778" s="41"/>
      <c r="E778" s="41"/>
      <c r="F778" s="41"/>
      <c r="G778" s="41"/>
      <c r="H778" s="41"/>
    </row>
    <row r="779">
      <c r="A779" s="40"/>
      <c r="B779" s="41"/>
      <c r="C779" s="41"/>
      <c r="D779" s="41"/>
      <c r="E779" s="41"/>
      <c r="F779" s="41"/>
      <c r="G779" s="41"/>
      <c r="H779" s="41"/>
    </row>
    <row r="780">
      <c r="A780" s="40"/>
      <c r="B780" s="41"/>
      <c r="C780" s="41"/>
      <c r="D780" s="41"/>
      <c r="E780" s="41"/>
      <c r="F780" s="41"/>
      <c r="G780" s="41"/>
      <c r="H780" s="41"/>
    </row>
    <row r="781">
      <c r="A781" s="40"/>
      <c r="B781" s="41"/>
      <c r="C781" s="41"/>
      <c r="D781" s="41"/>
      <c r="E781" s="41"/>
      <c r="F781" s="41"/>
      <c r="G781" s="41"/>
      <c r="H781" s="41"/>
    </row>
    <row r="782">
      <c r="A782" s="40"/>
      <c r="B782" s="41"/>
      <c r="C782" s="41"/>
      <c r="D782" s="41"/>
      <c r="E782" s="41"/>
      <c r="F782" s="41"/>
      <c r="G782" s="41"/>
      <c r="H782" s="41"/>
    </row>
    <row r="783">
      <c r="A783" s="40"/>
      <c r="B783" s="41"/>
      <c r="C783" s="41"/>
      <c r="D783" s="41"/>
      <c r="E783" s="41"/>
      <c r="F783" s="41"/>
      <c r="G783" s="41"/>
      <c r="H783" s="41"/>
    </row>
    <row r="784">
      <c r="A784" s="40"/>
      <c r="B784" s="41"/>
      <c r="C784" s="41"/>
      <c r="D784" s="41"/>
      <c r="E784" s="41"/>
      <c r="F784" s="41"/>
      <c r="G784" s="41"/>
      <c r="H784" s="41"/>
    </row>
    <row r="785">
      <c r="A785" s="40"/>
      <c r="B785" s="41"/>
      <c r="C785" s="41"/>
      <c r="D785" s="41"/>
      <c r="E785" s="41"/>
      <c r="F785" s="41"/>
      <c r="G785" s="41"/>
      <c r="H785" s="41"/>
    </row>
    <row r="786">
      <c r="A786" s="40"/>
      <c r="B786" s="41"/>
      <c r="C786" s="41"/>
      <c r="D786" s="41"/>
      <c r="E786" s="41"/>
      <c r="F786" s="41"/>
      <c r="G786" s="41"/>
      <c r="H786" s="41"/>
    </row>
    <row r="787">
      <c r="A787" s="40"/>
      <c r="B787" s="41"/>
      <c r="C787" s="41"/>
      <c r="D787" s="41"/>
      <c r="E787" s="41"/>
      <c r="F787" s="41"/>
      <c r="G787" s="41"/>
      <c r="H787" s="41"/>
    </row>
    <row r="788">
      <c r="A788" s="40"/>
      <c r="B788" s="41"/>
      <c r="C788" s="41"/>
      <c r="D788" s="41"/>
      <c r="E788" s="41"/>
      <c r="F788" s="41"/>
      <c r="G788" s="41"/>
      <c r="H788" s="41"/>
    </row>
    <row r="789">
      <c r="A789" s="40"/>
      <c r="B789" s="41"/>
      <c r="C789" s="41"/>
      <c r="D789" s="41"/>
      <c r="E789" s="41"/>
      <c r="F789" s="41"/>
      <c r="G789" s="41"/>
      <c r="H789" s="41"/>
    </row>
    <row r="790">
      <c r="A790" s="40"/>
      <c r="B790" s="41"/>
      <c r="C790" s="41"/>
      <c r="D790" s="41"/>
      <c r="E790" s="41"/>
      <c r="F790" s="41"/>
      <c r="G790" s="41"/>
      <c r="H790" s="41"/>
    </row>
    <row r="791">
      <c r="A791" s="40"/>
      <c r="B791" s="41"/>
      <c r="C791" s="41"/>
      <c r="D791" s="41"/>
      <c r="E791" s="41"/>
      <c r="F791" s="41"/>
      <c r="G791" s="41"/>
      <c r="H791" s="41"/>
    </row>
    <row r="792">
      <c r="A792" s="40"/>
      <c r="B792" s="41"/>
      <c r="C792" s="41"/>
      <c r="D792" s="41"/>
      <c r="E792" s="41"/>
      <c r="F792" s="41"/>
      <c r="G792" s="41"/>
      <c r="H792" s="41"/>
    </row>
    <row r="793">
      <c r="A793" s="40"/>
      <c r="B793" s="41"/>
      <c r="C793" s="41"/>
      <c r="D793" s="41"/>
      <c r="E793" s="41"/>
      <c r="F793" s="41"/>
      <c r="G793" s="41"/>
      <c r="H793" s="41"/>
    </row>
    <row r="794">
      <c r="A794" s="40"/>
      <c r="B794" s="41"/>
      <c r="C794" s="41"/>
      <c r="D794" s="41"/>
      <c r="E794" s="41"/>
      <c r="F794" s="41"/>
      <c r="G794" s="41"/>
      <c r="H794" s="41"/>
    </row>
    <row r="795">
      <c r="A795" s="40"/>
      <c r="B795" s="41"/>
      <c r="C795" s="41"/>
      <c r="D795" s="41"/>
      <c r="E795" s="41"/>
      <c r="F795" s="41"/>
      <c r="G795" s="41"/>
      <c r="H795" s="41"/>
    </row>
    <row r="796">
      <c r="A796" s="40"/>
      <c r="B796" s="41"/>
      <c r="C796" s="41"/>
      <c r="D796" s="41"/>
      <c r="E796" s="41"/>
      <c r="F796" s="41"/>
      <c r="G796" s="41"/>
      <c r="H796" s="41"/>
    </row>
    <row r="797">
      <c r="A797" s="40"/>
      <c r="B797" s="41"/>
      <c r="C797" s="41"/>
      <c r="D797" s="41"/>
      <c r="E797" s="41"/>
      <c r="F797" s="41"/>
      <c r="G797" s="41"/>
      <c r="H797" s="41"/>
    </row>
    <row r="798">
      <c r="A798" s="40"/>
      <c r="B798" s="41"/>
      <c r="C798" s="41"/>
      <c r="D798" s="41"/>
      <c r="E798" s="41"/>
      <c r="F798" s="41"/>
      <c r="G798" s="41"/>
      <c r="H798" s="41"/>
    </row>
    <row r="799">
      <c r="A799" s="40"/>
      <c r="B799" s="41"/>
      <c r="C799" s="41"/>
      <c r="D799" s="41"/>
      <c r="E799" s="41"/>
      <c r="F799" s="41"/>
      <c r="G799" s="41"/>
      <c r="H799" s="41"/>
    </row>
    <row r="800">
      <c r="A800" s="40"/>
      <c r="B800" s="41"/>
      <c r="C800" s="41"/>
      <c r="D800" s="41"/>
      <c r="E800" s="41"/>
      <c r="F800" s="41"/>
      <c r="G800" s="41"/>
      <c r="H800" s="41"/>
    </row>
    <row r="801">
      <c r="A801" s="40"/>
      <c r="B801" s="41"/>
      <c r="C801" s="41"/>
      <c r="D801" s="41"/>
      <c r="E801" s="41"/>
      <c r="F801" s="41"/>
      <c r="G801" s="41"/>
      <c r="H801" s="41"/>
    </row>
    <row r="802">
      <c r="A802" s="40"/>
      <c r="B802" s="41"/>
      <c r="C802" s="41"/>
      <c r="D802" s="41"/>
      <c r="E802" s="41"/>
      <c r="F802" s="41"/>
      <c r="G802" s="41"/>
      <c r="H802" s="41"/>
    </row>
    <row r="803">
      <c r="A803" s="40"/>
      <c r="B803" s="41"/>
      <c r="C803" s="41"/>
      <c r="D803" s="41"/>
      <c r="E803" s="41"/>
      <c r="F803" s="41"/>
      <c r="G803" s="41"/>
      <c r="H803" s="41"/>
    </row>
    <row r="804">
      <c r="A804" s="40"/>
      <c r="B804" s="41"/>
      <c r="C804" s="41"/>
      <c r="D804" s="41"/>
      <c r="E804" s="41"/>
      <c r="F804" s="41"/>
      <c r="G804" s="41"/>
      <c r="H804" s="41"/>
    </row>
    <row r="805">
      <c r="A805" s="40"/>
      <c r="B805" s="41"/>
      <c r="C805" s="41"/>
      <c r="D805" s="41"/>
      <c r="E805" s="41"/>
      <c r="F805" s="41"/>
      <c r="G805" s="41"/>
      <c r="H805" s="41"/>
    </row>
    <row r="806">
      <c r="A806" s="40"/>
      <c r="B806" s="41"/>
      <c r="C806" s="41"/>
      <c r="D806" s="41"/>
      <c r="E806" s="41"/>
      <c r="F806" s="41"/>
      <c r="G806" s="41"/>
      <c r="H806" s="41"/>
    </row>
    <row r="807">
      <c r="A807" s="40"/>
      <c r="B807" s="41"/>
      <c r="C807" s="41"/>
      <c r="D807" s="41"/>
      <c r="E807" s="41"/>
      <c r="F807" s="41"/>
      <c r="G807" s="41"/>
      <c r="H807" s="41"/>
    </row>
    <row r="808">
      <c r="A808" s="40"/>
      <c r="B808" s="41"/>
      <c r="C808" s="41"/>
      <c r="D808" s="41"/>
      <c r="E808" s="41"/>
      <c r="F808" s="41"/>
      <c r="G808" s="41"/>
      <c r="H808" s="41"/>
    </row>
    <row r="809">
      <c r="A809" s="40"/>
      <c r="B809" s="41"/>
      <c r="C809" s="41"/>
      <c r="D809" s="41"/>
      <c r="E809" s="41"/>
      <c r="F809" s="41"/>
      <c r="G809" s="41"/>
      <c r="H809" s="41"/>
    </row>
    <row r="810">
      <c r="A810" s="40"/>
      <c r="B810" s="41"/>
      <c r="C810" s="41"/>
      <c r="D810" s="41"/>
      <c r="E810" s="41"/>
      <c r="F810" s="41"/>
      <c r="G810" s="41"/>
      <c r="H810" s="41"/>
    </row>
    <row r="811">
      <c r="A811" s="40"/>
      <c r="B811" s="41"/>
      <c r="C811" s="41"/>
      <c r="D811" s="41"/>
      <c r="E811" s="41"/>
      <c r="F811" s="41"/>
      <c r="G811" s="41"/>
      <c r="H811" s="41"/>
    </row>
    <row r="812">
      <c r="A812" s="40"/>
      <c r="B812" s="41"/>
      <c r="C812" s="41"/>
      <c r="D812" s="41"/>
      <c r="E812" s="41"/>
      <c r="F812" s="41"/>
      <c r="G812" s="41"/>
      <c r="H812" s="41"/>
    </row>
    <row r="813">
      <c r="A813" s="40"/>
      <c r="B813" s="41"/>
      <c r="C813" s="41"/>
      <c r="D813" s="41"/>
      <c r="E813" s="41"/>
      <c r="F813" s="41"/>
      <c r="G813" s="41"/>
      <c r="H813" s="41"/>
    </row>
    <row r="814">
      <c r="A814" s="40"/>
      <c r="B814" s="41"/>
      <c r="C814" s="41"/>
      <c r="D814" s="41"/>
      <c r="E814" s="41"/>
      <c r="F814" s="41"/>
      <c r="G814" s="41"/>
      <c r="H814" s="41"/>
    </row>
    <row r="815">
      <c r="A815" s="40"/>
      <c r="B815" s="41"/>
      <c r="C815" s="41"/>
      <c r="D815" s="41"/>
      <c r="E815" s="41"/>
      <c r="F815" s="41"/>
      <c r="G815" s="41"/>
      <c r="H815" s="41"/>
    </row>
    <row r="816">
      <c r="A816" s="40"/>
      <c r="B816" s="41"/>
      <c r="C816" s="41"/>
      <c r="D816" s="41"/>
      <c r="E816" s="41"/>
      <c r="F816" s="41"/>
      <c r="G816" s="41"/>
      <c r="H816" s="41"/>
    </row>
    <row r="817">
      <c r="A817" s="40"/>
      <c r="B817" s="41"/>
      <c r="C817" s="41"/>
      <c r="D817" s="41"/>
      <c r="E817" s="41"/>
      <c r="F817" s="41"/>
      <c r="G817" s="41"/>
      <c r="H817" s="41"/>
    </row>
    <row r="818">
      <c r="A818" s="40"/>
      <c r="B818" s="41"/>
      <c r="C818" s="41"/>
      <c r="D818" s="41"/>
      <c r="E818" s="41"/>
      <c r="F818" s="41"/>
      <c r="G818" s="41"/>
      <c r="H818" s="41"/>
    </row>
    <row r="819">
      <c r="A819" s="40"/>
      <c r="B819" s="41"/>
      <c r="C819" s="41"/>
      <c r="D819" s="41"/>
      <c r="E819" s="41"/>
      <c r="F819" s="41"/>
      <c r="G819" s="41"/>
      <c r="H819" s="41"/>
    </row>
    <row r="820">
      <c r="A820" s="40"/>
      <c r="B820" s="41"/>
      <c r="C820" s="41"/>
      <c r="D820" s="41"/>
      <c r="E820" s="41"/>
      <c r="F820" s="41"/>
      <c r="G820" s="41"/>
      <c r="H820" s="41"/>
    </row>
    <row r="821">
      <c r="A821" s="40"/>
      <c r="B821" s="41"/>
      <c r="C821" s="41"/>
      <c r="D821" s="41"/>
      <c r="E821" s="41"/>
      <c r="F821" s="41"/>
      <c r="G821" s="41"/>
      <c r="H821" s="41"/>
    </row>
    <row r="822">
      <c r="A822" s="40"/>
      <c r="B822" s="41"/>
      <c r="C822" s="41"/>
      <c r="D822" s="41"/>
      <c r="E822" s="41"/>
      <c r="F822" s="41"/>
      <c r="G822" s="41"/>
      <c r="H822" s="41"/>
    </row>
    <row r="823">
      <c r="A823" s="40"/>
      <c r="B823" s="41"/>
      <c r="C823" s="41"/>
      <c r="D823" s="41"/>
      <c r="E823" s="41"/>
      <c r="F823" s="41"/>
      <c r="G823" s="41"/>
      <c r="H823" s="41"/>
    </row>
    <row r="824">
      <c r="A824" s="40"/>
      <c r="B824" s="41"/>
      <c r="C824" s="41"/>
      <c r="D824" s="41"/>
      <c r="E824" s="41"/>
      <c r="F824" s="41"/>
      <c r="G824" s="41"/>
      <c r="H824" s="41"/>
    </row>
    <row r="825">
      <c r="A825" s="40"/>
      <c r="B825" s="41"/>
      <c r="C825" s="41"/>
      <c r="D825" s="41"/>
      <c r="E825" s="41"/>
      <c r="F825" s="41"/>
      <c r="G825" s="41"/>
      <c r="H825" s="41"/>
    </row>
    <row r="826">
      <c r="A826" s="40"/>
      <c r="B826" s="41"/>
      <c r="C826" s="41"/>
      <c r="D826" s="41"/>
      <c r="E826" s="41"/>
      <c r="F826" s="41"/>
      <c r="G826" s="41"/>
      <c r="H826" s="41"/>
    </row>
    <row r="827">
      <c r="A827" s="40"/>
      <c r="B827" s="41"/>
      <c r="C827" s="41"/>
      <c r="D827" s="41"/>
      <c r="E827" s="41"/>
      <c r="F827" s="41"/>
      <c r="G827" s="41"/>
      <c r="H827" s="41"/>
    </row>
    <row r="828">
      <c r="A828" s="40"/>
      <c r="B828" s="41"/>
      <c r="C828" s="41"/>
      <c r="D828" s="41"/>
      <c r="E828" s="41"/>
      <c r="F828" s="41"/>
      <c r="G828" s="41"/>
      <c r="H828" s="41"/>
    </row>
    <row r="829">
      <c r="A829" s="40"/>
      <c r="B829" s="41"/>
      <c r="C829" s="41"/>
      <c r="D829" s="41"/>
      <c r="E829" s="41"/>
      <c r="F829" s="41"/>
      <c r="G829" s="41"/>
      <c r="H829" s="41"/>
    </row>
    <row r="830">
      <c r="A830" s="40"/>
      <c r="B830" s="41"/>
      <c r="C830" s="41"/>
      <c r="D830" s="41"/>
      <c r="E830" s="41"/>
      <c r="F830" s="41"/>
      <c r="G830" s="41"/>
      <c r="H830" s="41"/>
    </row>
    <row r="831">
      <c r="A831" s="40"/>
      <c r="B831" s="41"/>
      <c r="C831" s="41"/>
      <c r="D831" s="41"/>
      <c r="E831" s="41"/>
      <c r="F831" s="41"/>
      <c r="G831" s="41"/>
      <c r="H831" s="41"/>
    </row>
    <row r="832">
      <c r="A832" s="40"/>
      <c r="B832" s="41"/>
      <c r="C832" s="41"/>
      <c r="D832" s="41"/>
      <c r="E832" s="41"/>
      <c r="F832" s="41"/>
      <c r="G832" s="41"/>
      <c r="H832" s="41"/>
    </row>
    <row r="833">
      <c r="A833" s="40"/>
      <c r="B833" s="41"/>
      <c r="C833" s="41"/>
      <c r="D833" s="41"/>
      <c r="E833" s="41"/>
      <c r="F833" s="41"/>
      <c r="G833" s="41"/>
      <c r="H833" s="41"/>
    </row>
    <row r="834">
      <c r="A834" s="40"/>
      <c r="B834" s="41"/>
      <c r="C834" s="41"/>
      <c r="D834" s="41"/>
      <c r="E834" s="41"/>
      <c r="F834" s="41"/>
      <c r="G834" s="41"/>
      <c r="H834" s="41"/>
    </row>
    <row r="835">
      <c r="A835" s="40"/>
      <c r="B835" s="41"/>
      <c r="C835" s="41"/>
      <c r="D835" s="41"/>
      <c r="E835" s="41"/>
      <c r="F835" s="41"/>
      <c r="G835" s="41"/>
      <c r="H835" s="41"/>
    </row>
    <row r="836">
      <c r="A836" s="40"/>
      <c r="B836" s="41"/>
      <c r="C836" s="41"/>
      <c r="D836" s="41"/>
      <c r="E836" s="41"/>
      <c r="F836" s="41"/>
      <c r="G836" s="41"/>
      <c r="H836" s="41"/>
    </row>
    <row r="837">
      <c r="A837" s="40"/>
      <c r="B837" s="41"/>
      <c r="C837" s="41"/>
      <c r="D837" s="41"/>
      <c r="E837" s="41"/>
      <c r="F837" s="41"/>
      <c r="G837" s="41"/>
      <c r="H837" s="41"/>
    </row>
    <row r="838">
      <c r="A838" s="40"/>
      <c r="B838" s="41"/>
      <c r="C838" s="41"/>
      <c r="D838" s="41"/>
      <c r="E838" s="41"/>
      <c r="F838" s="41"/>
      <c r="G838" s="41"/>
      <c r="H838" s="41"/>
    </row>
    <row r="839">
      <c r="A839" s="40"/>
      <c r="B839" s="41"/>
      <c r="C839" s="41"/>
      <c r="D839" s="41"/>
      <c r="E839" s="41"/>
      <c r="F839" s="41"/>
      <c r="G839" s="41"/>
      <c r="H839" s="41"/>
    </row>
    <row r="840">
      <c r="A840" s="40"/>
      <c r="B840" s="41"/>
      <c r="C840" s="41"/>
      <c r="D840" s="41"/>
      <c r="E840" s="41"/>
      <c r="F840" s="41"/>
      <c r="G840" s="41"/>
      <c r="H840" s="41"/>
    </row>
    <row r="841">
      <c r="A841" s="40"/>
      <c r="B841" s="41"/>
      <c r="C841" s="41"/>
      <c r="D841" s="41"/>
      <c r="E841" s="41"/>
      <c r="F841" s="41"/>
      <c r="G841" s="41"/>
      <c r="H841" s="41"/>
    </row>
    <row r="842">
      <c r="A842" s="40"/>
      <c r="B842" s="41"/>
      <c r="C842" s="41"/>
      <c r="D842" s="41"/>
      <c r="E842" s="41"/>
      <c r="F842" s="41"/>
      <c r="G842" s="41"/>
      <c r="H842" s="41"/>
    </row>
    <row r="843">
      <c r="A843" s="40"/>
      <c r="B843" s="41"/>
      <c r="C843" s="41"/>
      <c r="D843" s="41"/>
      <c r="E843" s="41"/>
      <c r="F843" s="41"/>
      <c r="G843" s="41"/>
      <c r="H843" s="41"/>
    </row>
    <row r="844">
      <c r="A844" s="40"/>
      <c r="B844" s="41"/>
      <c r="C844" s="41"/>
      <c r="D844" s="41"/>
      <c r="E844" s="41"/>
      <c r="F844" s="41"/>
      <c r="G844" s="41"/>
      <c r="H844" s="41"/>
    </row>
    <row r="845">
      <c r="A845" s="40"/>
      <c r="B845" s="41"/>
      <c r="C845" s="41"/>
      <c r="D845" s="41"/>
      <c r="E845" s="41"/>
      <c r="F845" s="41"/>
      <c r="G845" s="41"/>
      <c r="H845" s="41"/>
    </row>
    <row r="846">
      <c r="A846" s="40"/>
      <c r="B846" s="41"/>
      <c r="C846" s="41"/>
      <c r="D846" s="41"/>
      <c r="E846" s="41"/>
      <c r="F846" s="41"/>
      <c r="G846" s="41"/>
      <c r="H846" s="41"/>
    </row>
    <row r="847">
      <c r="A847" s="40"/>
      <c r="B847" s="41"/>
      <c r="C847" s="41"/>
      <c r="D847" s="41"/>
      <c r="E847" s="41"/>
      <c r="F847" s="41"/>
      <c r="G847" s="41"/>
      <c r="H847" s="41"/>
    </row>
    <row r="848">
      <c r="A848" s="40"/>
      <c r="B848" s="41"/>
      <c r="C848" s="41"/>
      <c r="D848" s="41"/>
      <c r="E848" s="41"/>
      <c r="F848" s="41"/>
      <c r="G848" s="41"/>
      <c r="H848" s="41"/>
    </row>
    <row r="849">
      <c r="A849" s="40"/>
      <c r="B849" s="41"/>
      <c r="C849" s="41"/>
      <c r="D849" s="41"/>
      <c r="E849" s="41"/>
      <c r="F849" s="41"/>
      <c r="G849" s="41"/>
      <c r="H849" s="41"/>
    </row>
    <row r="850">
      <c r="A850" s="40"/>
      <c r="B850" s="41"/>
      <c r="C850" s="41"/>
      <c r="D850" s="41"/>
      <c r="E850" s="41"/>
      <c r="F850" s="41"/>
      <c r="G850" s="41"/>
      <c r="H850" s="41"/>
    </row>
    <row r="851">
      <c r="A851" s="40"/>
      <c r="B851" s="41"/>
      <c r="C851" s="41"/>
      <c r="D851" s="41"/>
      <c r="E851" s="41"/>
      <c r="F851" s="41"/>
      <c r="G851" s="41"/>
      <c r="H851" s="41"/>
    </row>
    <row r="852">
      <c r="A852" s="40"/>
      <c r="B852" s="41"/>
      <c r="C852" s="41"/>
      <c r="D852" s="41"/>
      <c r="E852" s="41"/>
      <c r="F852" s="41"/>
      <c r="G852" s="41"/>
      <c r="H852" s="41"/>
    </row>
    <row r="853">
      <c r="A853" s="40"/>
      <c r="B853" s="41"/>
      <c r="C853" s="41"/>
      <c r="D853" s="41"/>
      <c r="E853" s="41"/>
      <c r="F853" s="41"/>
      <c r="G853" s="41"/>
      <c r="H853" s="41"/>
    </row>
    <row r="854">
      <c r="A854" s="40"/>
      <c r="B854" s="41"/>
      <c r="C854" s="41"/>
      <c r="D854" s="41"/>
      <c r="E854" s="41"/>
      <c r="F854" s="41"/>
      <c r="G854" s="41"/>
      <c r="H854" s="41"/>
    </row>
    <row r="855">
      <c r="A855" s="40"/>
      <c r="B855" s="41"/>
      <c r="C855" s="41"/>
      <c r="D855" s="41"/>
      <c r="E855" s="41"/>
      <c r="F855" s="41"/>
      <c r="G855" s="41"/>
      <c r="H855" s="41"/>
    </row>
    <row r="856">
      <c r="A856" s="40"/>
      <c r="B856" s="41"/>
      <c r="C856" s="41"/>
      <c r="D856" s="41"/>
      <c r="E856" s="41"/>
      <c r="F856" s="41"/>
      <c r="G856" s="41"/>
      <c r="H856" s="41"/>
    </row>
    <row r="857">
      <c r="A857" s="40"/>
      <c r="B857" s="41"/>
      <c r="C857" s="41"/>
      <c r="D857" s="41"/>
      <c r="E857" s="41"/>
      <c r="F857" s="41"/>
      <c r="G857" s="41"/>
      <c r="H857" s="41"/>
    </row>
    <row r="858">
      <c r="A858" s="40"/>
      <c r="B858" s="41"/>
      <c r="C858" s="41"/>
      <c r="D858" s="41"/>
      <c r="E858" s="41"/>
      <c r="F858" s="41"/>
      <c r="G858" s="41"/>
      <c r="H858" s="41"/>
    </row>
    <row r="859">
      <c r="A859" s="40"/>
      <c r="B859" s="41"/>
      <c r="C859" s="41"/>
      <c r="D859" s="41"/>
      <c r="E859" s="41"/>
      <c r="F859" s="41"/>
      <c r="G859" s="41"/>
      <c r="H859" s="41"/>
    </row>
    <row r="860">
      <c r="A860" s="40"/>
      <c r="B860" s="41"/>
      <c r="C860" s="41"/>
      <c r="D860" s="41"/>
      <c r="E860" s="41"/>
      <c r="F860" s="41"/>
      <c r="G860" s="41"/>
      <c r="H860" s="41"/>
    </row>
    <row r="861">
      <c r="A861" s="40"/>
      <c r="B861" s="41"/>
      <c r="C861" s="41"/>
      <c r="D861" s="41"/>
      <c r="E861" s="41"/>
      <c r="F861" s="41"/>
      <c r="G861" s="41"/>
      <c r="H861" s="41"/>
    </row>
    <row r="862">
      <c r="A862" s="40"/>
      <c r="B862" s="41"/>
      <c r="C862" s="41"/>
      <c r="D862" s="41"/>
      <c r="E862" s="41"/>
      <c r="F862" s="41"/>
      <c r="G862" s="41"/>
      <c r="H862" s="41"/>
    </row>
    <row r="863">
      <c r="A863" s="40"/>
      <c r="B863" s="41"/>
      <c r="C863" s="41"/>
      <c r="D863" s="41"/>
      <c r="E863" s="41"/>
      <c r="F863" s="41"/>
      <c r="G863" s="41"/>
      <c r="H863" s="41"/>
    </row>
    <row r="864">
      <c r="A864" s="40"/>
      <c r="B864" s="41"/>
      <c r="C864" s="41"/>
      <c r="D864" s="41"/>
      <c r="E864" s="41"/>
      <c r="F864" s="41"/>
      <c r="G864" s="41"/>
      <c r="H864" s="41"/>
    </row>
    <row r="865">
      <c r="A865" s="40"/>
      <c r="B865" s="41"/>
      <c r="C865" s="41"/>
      <c r="D865" s="41"/>
      <c r="E865" s="41"/>
      <c r="F865" s="41"/>
      <c r="G865" s="41"/>
      <c r="H865" s="41"/>
    </row>
    <row r="866">
      <c r="A866" s="40"/>
      <c r="B866" s="41"/>
      <c r="C866" s="41"/>
      <c r="D866" s="41"/>
      <c r="E866" s="41"/>
      <c r="F866" s="41"/>
      <c r="G866" s="41"/>
      <c r="H866" s="41"/>
    </row>
    <row r="867">
      <c r="A867" s="40"/>
      <c r="B867" s="41"/>
      <c r="C867" s="41"/>
      <c r="D867" s="41"/>
      <c r="E867" s="41"/>
      <c r="F867" s="41"/>
      <c r="G867" s="41"/>
      <c r="H867" s="41"/>
    </row>
    <row r="868">
      <c r="A868" s="40"/>
      <c r="B868" s="41"/>
      <c r="C868" s="41"/>
      <c r="D868" s="41"/>
      <c r="E868" s="41"/>
      <c r="F868" s="41"/>
      <c r="G868" s="41"/>
      <c r="H868" s="41"/>
    </row>
    <row r="869">
      <c r="A869" s="40"/>
      <c r="B869" s="41"/>
      <c r="C869" s="41"/>
      <c r="D869" s="41"/>
      <c r="E869" s="41"/>
      <c r="F869" s="41"/>
      <c r="G869" s="41"/>
      <c r="H869" s="41"/>
    </row>
    <row r="870">
      <c r="A870" s="40"/>
      <c r="B870" s="41"/>
      <c r="C870" s="41"/>
      <c r="D870" s="41"/>
      <c r="E870" s="41"/>
      <c r="F870" s="41"/>
      <c r="G870" s="41"/>
      <c r="H870" s="41"/>
    </row>
    <row r="871">
      <c r="A871" s="40"/>
      <c r="B871" s="41"/>
      <c r="C871" s="41"/>
      <c r="D871" s="41"/>
      <c r="E871" s="41"/>
      <c r="F871" s="41"/>
      <c r="G871" s="41"/>
      <c r="H871" s="41"/>
    </row>
    <row r="872">
      <c r="A872" s="40"/>
      <c r="B872" s="41"/>
      <c r="C872" s="41"/>
      <c r="D872" s="41"/>
      <c r="E872" s="41"/>
      <c r="F872" s="41"/>
      <c r="G872" s="41"/>
      <c r="H872" s="41"/>
    </row>
    <row r="873">
      <c r="A873" s="40"/>
      <c r="B873" s="41"/>
      <c r="C873" s="41"/>
      <c r="D873" s="41"/>
      <c r="E873" s="41"/>
      <c r="F873" s="41"/>
      <c r="G873" s="41"/>
      <c r="H873" s="41"/>
    </row>
    <row r="874">
      <c r="A874" s="40"/>
      <c r="B874" s="41"/>
      <c r="C874" s="41"/>
      <c r="D874" s="41"/>
      <c r="E874" s="41"/>
      <c r="F874" s="41"/>
      <c r="G874" s="41"/>
      <c r="H874" s="41"/>
    </row>
    <row r="875">
      <c r="A875" s="40"/>
      <c r="B875" s="41"/>
      <c r="C875" s="41"/>
      <c r="D875" s="41"/>
      <c r="E875" s="41"/>
      <c r="F875" s="41"/>
      <c r="G875" s="41"/>
      <c r="H875" s="41"/>
    </row>
    <row r="876">
      <c r="A876" s="40"/>
      <c r="B876" s="41"/>
      <c r="C876" s="41"/>
      <c r="D876" s="41"/>
      <c r="E876" s="41"/>
      <c r="F876" s="41"/>
      <c r="G876" s="41"/>
      <c r="H876" s="41"/>
    </row>
    <row r="877">
      <c r="A877" s="40"/>
      <c r="B877" s="41"/>
      <c r="C877" s="41"/>
      <c r="D877" s="41"/>
      <c r="E877" s="41"/>
      <c r="F877" s="41"/>
      <c r="G877" s="41"/>
      <c r="H877" s="41"/>
    </row>
    <row r="878">
      <c r="A878" s="40"/>
      <c r="B878" s="41"/>
      <c r="C878" s="41"/>
      <c r="D878" s="41"/>
      <c r="E878" s="41"/>
      <c r="F878" s="41"/>
      <c r="G878" s="41"/>
      <c r="H878" s="41"/>
    </row>
    <row r="879">
      <c r="A879" s="40"/>
      <c r="B879" s="41"/>
      <c r="C879" s="41"/>
      <c r="D879" s="41"/>
      <c r="E879" s="41"/>
      <c r="F879" s="41"/>
      <c r="G879" s="41"/>
      <c r="H879" s="41"/>
    </row>
    <row r="880">
      <c r="A880" s="40"/>
      <c r="B880" s="41"/>
      <c r="C880" s="41"/>
      <c r="D880" s="41"/>
      <c r="E880" s="41"/>
      <c r="F880" s="41"/>
      <c r="G880" s="41"/>
      <c r="H880" s="41"/>
    </row>
    <row r="881">
      <c r="A881" s="40"/>
      <c r="B881" s="41"/>
      <c r="C881" s="41"/>
      <c r="D881" s="41"/>
      <c r="E881" s="41"/>
      <c r="F881" s="41"/>
      <c r="G881" s="41"/>
      <c r="H881" s="41"/>
    </row>
    <row r="882">
      <c r="A882" s="40"/>
      <c r="B882" s="41"/>
      <c r="C882" s="41"/>
      <c r="D882" s="41"/>
      <c r="E882" s="41"/>
      <c r="F882" s="41"/>
      <c r="G882" s="41"/>
      <c r="H882" s="41"/>
    </row>
    <row r="883">
      <c r="A883" s="40"/>
      <c r="B883" s="41"/>
      <c r="C883" s="41"/>
      <c r="D883" s="41"/>
      <c r="E883" s="41"/>
      <c r="F883" s="41"/>
      <c r="G883" s="41"/>
      <c r="H883" s="41"/>
    </row>
    <row r="884">
      <c r="A884" s="40"/>
      <c r="B884" s="41"/>
      <c r="C884" s="41"/>
      <c r="D884" s="41"/>
      <c r="E884" s="41"/>
      <c r="F884" s="41"/>
      <c r="G884" s="41"/>
      <c r="H884" s="41"/>
    </row>
    <row r="885">
      <c r="A885" s="40"/>
      <c r="B885" s="41"/>
      <c r="C885" s="41"/>
      <c r="D885" s="41"/>
      <c r="E885" s="41"/>
      <c r="F885" s="41"/>
      <c r="G885" s="41"/>
      <c r="H885" s="41"/>
    </row>
    <row r="886">
      <c r="A886" s="40"/>
      <c r="B886" s="41"/>
      <c r="C886" s="41"/>
      <c r="D886" s="41"/>
      <c r="E886" s="41"/>
      <c r="F886" s="41"/>
      <c r="G886" s="41"/>
      <c r="H886" s="41"/>
    </row>
    <row r="887">
      <c r="A887" s="40"/>
      <c r="B887" s="41"/>
      <c r="C887" s="41"/>
      <c r="D887" s="41"/>
      <c r="E887" s="41"/>
      <c r="F887" s="41"/>
      <c r="G887" s="41"/>
      <c r="H887" s="41"/>
    </row>
    <row r="888">
      <c r="A888" s="40"/>
      <c r="B888" s="41"/>
      <c r="C888" s="41"/>
      <c r="D888" s="41"/>
      <c r="E888" s="41"/>
      <c r="F888" s="41"/>
      <c r="G888" s="41"/>
      <c r="H888" s="41"/>
    </row>
    <row r="889">
      <c r="A889" s="40"/>
      <c r="B889" s="41"/>
      <c r="C889" s="41"/>
      <c r="D889" s="41"/>
      <c r="E889" s="41"/>
      <c r="F889" s="41"/>
      <c r="G889" s="41"/>
      <c r="H889" s="41"/>
    </row>
    <row r="890">
      <c r="A890" s="40"/>
      <c r="B890" s="41"/>
      <c r="C890" s="41"/>
      <c r="D890" s="41"/>
      <c r="E890" s="41"/>
      <c r="F890" s="41"/>
      <c r="G890" s="41"/>
      <c r="H890" s="41"/>
    </row>
    <row r="891">
      <c r="A891" s="40"/>
      <c r="B891" s="41"/>
      <c r="C891" s="41"/>
      <c r="D891" s="41"/>
      <c r="E891" s="41"/>
      <c r="F891" s="41"/>
      <c r="G891" s="41"/>
      <c r="H891" s="41"/>
    </row>
    <row r="892">
      <c r="A892" s="40"/>
      <c r="B892" s="41"/>
      <c r="C892" s="41"/>
      <c r="D892" s="41"/>
      <c r="E892" s="41"/>
      <c r="F892" s="41"/>
      <c r="G892" s="41"/>
      <c r="H892" s="41"/>
    </row>
    <row r="893">
      <c r="A893" s="40"/>
      <c r="B893" s="41"/>
      <c r="C893" s="41"/>
      <c r="D893" s="41"/>
      <c r="E893" s="41"/>
      <c r="F893" s="41"/>
      <c r="G893" s="41"/>
      <c r="H893" s="41"/>
    </row>
    <row r="894">
      <c r="A894" s="40"/>
      <c r="B894" s="41"/>
      <c r="C894" s="41"/>
      <c r="D894" s="41"/>
      <c r="E894" s="41"/>
      <c r="F894" s="41"/>
      <c r="G894" s="41"/>
      <c r="H894" s="41"/>
    </row>
    <row r="895">
      <c r="A895" s="40"/>
      <c r="B895" s="41"/>
      <c r="C895" s="41"/>
      <c r="D895" s="41"/>
      <c r="E895" s="41"/>
      <c r="F895" s="41"/>
      <c r="G895" s="41"/>
      <c r="H895" s="41"/>
    </row>
    <row r="896">
      <c r="A896" s="40"/>
      <c r="B896" s="41"/>
      <c r="C896" s="41"/>
      <c r="D896" s="41"/>
      <c r="E896" s="41"/>
      <c r="F896" s="41"/>
      <c r="G896" s="41"/>
      <c r="H896" s="41"/>
    </row>
    <row r="897">
      <c r="A897" s="40"/>
      <c r="B897" s="41"/>
      <c r="C897" s="41"/>
      <c r="D897" s="41"/>
      <c r="E897" s="41"/>
      <c r="F897" s="41"/>
      <c r="G897" s="41"/>
      <c r="H897" s="41"/>
    </row>
    <row r="898">
      <c r="A898" s="40"/>
      <c r="B898" s="41"/>
      <c r="C898" s="41"/>
      <c r="D898" s="41"/>
      <c r="E898" s="41"/>
      <c r="F898" s="41"/>
      <c r="G898" s="41"/>
      <c r="H898" s="41"/>
    </row>
    <row r="899">
      <c r="A899" s="40"/>
      <c r="B899" s="41"/>
      <c r="C899" s="41"/>
      <c r="D899" s="41"/>
      <c r="E899" s="41"/>
      <c r="F899" s="41"/>
      <c r="G899" s="41"/>
      <c r="H899" s="41"/>
    </row>
    <row r="900">
      <c r="A900" s="40"/>
      <c r="B900" s="41"/>
      <c r="C900" s="41"/>
      <c r="D900" s="41"/>
      <c r="E900" s="41"/>
      <c r="F900" s="41"/>
      <c r="G900" s="41"/>
      <c r="H900" s="41"/>
    </row>
    <row r="901">
      <c r="A901" s="40"/>
      <c r="B901" s="41"/>
      <c r="C901" s="41"/>
      <c r="D901" s="41"/>
      <c r="E901" s="41"/>
      <c r="F901" s="41"/>
      <c r="G901" s="41"/>
      <c r="H901" s="41"/>
    </row>
    <row r="902">
      <c r="A902" s="40"/>
      <c r="B902" s="41"/>
      <c r="C902" s="41"/>
      <c r="D902" s="41"/>
      <c r="E902" s="41"/>
      <c r="F902" s="41"/>
      <c r="G902" s="41"/>
      <c r="H902" s="41"/>
    </row>
    <row r="903">
      <c r="A903" s="40"/>
      <c r="B903" s="41"/>
      <c r="C903" s="41"/>
      <c r="D903" s="41"/>
      <c r="E903" s="41"/>
      <c r="F903" s="41"/>
      <c r="G903" s="41"/>
      <c r="H903" s="41"/>
    </row>
    <row r="904">
      <c r="A904" s="40"/>
      <c r="B904" s="41"/>
      <c r="C904" s="41"/>
      <c r="D904" s="41"/>
      <c r="E904" s="41"/>
      <c r="F904" s="41"/>
      <c r="G904" s="41"/>
      <c r="H904" s="41"/>
    </row>
    <row r="905">
      <c r="A905" s="40"/>
      <c r="B905" s="41"/>
      <c r="C905" s="41"/>
      <c r="D905" s="41"/>
      <c r="E905" s="41"/>
      <c r="F905" s="41"/>
      <c r="G905" s="41"/>
      <c r="H905" s="41"/>
    </row>
    <row r="906">
      <c r="A906" s="40"/>
      <c r="B906" s="41"/>
      <c r="C906" s="41"/>
      <c r="D906" s="41"/>
      <c r="E906" s="41"/>
      <c r="F906" s="41"/>
      <c r="G906" s="41"/>
      <c r="H906" s="41"/>
    </row>
    <row r="907">
      <c r="A907" s="40"/>
      <c r="B907" s="41"/>
      <c r="C907" s="41"/>
      <c r="D907" s="41"/>
      <c r="E907" s="41"/>
      <c r="F907" s="41"/>
      <c r="G907" s="41"/>
      <c r="H907" s="41"/>
    </row>
    <row r="908">
      <c r="A908" s="40"/>
      <c r="B908" s="41"/>
      <c r="C908" s="41"/>
      <c r="D908" s="41"/>
      <c r="E908" s="41"/>
      <c r="F908" s="41"/>
      <c r="G908" s="41"/>
      <c r="H908" s="41"/>
    </row>
    <row r="909">
      <c r="A909" s="40"/>
      <c r="B909" s="41"/>
      <c r="C909" s="41"/>
      <c r="D909" s="41"/>
      <c r="E909" s="41"/>
      <c r="F909" s="41"/>
      <c r="G909" s="41"/>
      <c r="H909" s="41"/>
    </row>
    <row r="910">
      <c r="A910" s="40"/>
      <c r="B910" s="41"/>
      <c r="C910" s="41"/>
      <c r="D910" s="41"/>
      <c r="E910" s="41"/>
      <c r="F910" s="41"/>
      <c r="G910" s="41"/>
      <c r="H910" s="41"/>
    </row>
    <row r="911">
      <c r="A911" s="40"/>
      <c r="B911" s="41"/>
      <c r="C911" s="41"/>
      <c r="D911" s="41"/>
      <c r="E911" s="41"/>
      <c r="F911" s="41"/>
      <c r="G911" s="41"/>
      <c r="H911" s="41"/>
    </row>
    <row r="912">
      <c r="A912" s="40"/>
      <c r="B912" s="41"/>
      <c r="C912" s="41"/>
      <c r="D912" s="41"/>
      <c r="E912" s="41"/>
      <c r="F912" s="41"/>
      <c r="G912" s="41"/>
      <c r="H912" s="41"/>
    </row>
    <row r="913">
      <c r="A913" s="40"/>
      <c r="B913" s="41"/>
      <c r="C913" s="41"/>
      <c r="D913" s="41"/>
      <c r="E913" s="41"/>
      <c r="F913" s="41"/>
      <c r="G913" s="41"/>
      <c r="H913" s="41"/>
    </row>
    <row r="914">
      <c r="A914" s="40"/>
      <c r="B914" s="41"/>
      <c r="C914" s="41"/>
      <c r="D914" s="41"/>
      <c r="E914" s="41"/>
      <c r="F914" s="41"/>
      <c r="G914" s="41"/>
      <c r="H914" s="41"/>
    </row>
    <row r="915">
      <c r="A915" s="40"/>
      <c r="B915" s="41"/>
      <c r="C915" s="41"/>
      <c r="D915" s="41"/>
      <c r="E915" s="41"/>
      <c r="F915" s="41"/>
      <c r="G915" s="41"/>
      <c r="H915" s="41"/>
    </row>
    <row r="916">
      <c r="A916" s="40"/>
      <c r="B916" s="41"/>
      <c r="C916" s="41"/>
      <c r="D916" s="41"/>
      <c r="E916" s="41"/>
      <c r="F916" s="41"/>
      <c r="G916" s="41"/>
      <c r="H916" s="41"/>
    </row>
    <row r="917">
      <c r="A917" s="40"/>
      <c r="B917" s="41"/>
      <c r="C917" s="41"/>
      <c r="D917" s="41"/>
      <c r="E917" s="41"/>
      <c r="F917" s="41"/>
      <c r="G917" s="41"/>
      <c r="H917" s="41"/>
    </row>
    <row r="918">
      <c r="A918" s="40"/>
      <c r="B918" s="41"/>
      <c r="C918" s="41"/>
      <c r="D918" s="41"/>
      <c r="E918" s="41"/>
      <c r="F918" s="41"/>
      <c r="G918" s="41"/>
      <c r="H918" s="41"/>
    </row>
    <row r="919">
      <c r="A919" s="40"/>
      <c r="B919" s="41"/>
      <c r="C919" s="41"/>
      <c r="D919" s="41"/>
      <c r="E919" s="41"/>
      <c r="F919" s="41"/>
      <c r="G919" s="41"/>
      <c r="H919" s="41"/>
    </row>
    <row r="920">
      <c r="A920" s="40"/>
      <c r="B920" s="41"/>
      <c r="C920" s="41"/>
      <c r="D920" s="41"/>
      <c r="E920" s="41"/>
      <c r="F920" s="41"/>
      <c r="G920" s="41"/>
      <c r="H920" s="41"/>
    </row>
    <row r="921">
      <c r="A921" s="40"/>
      <c r="B921" s="41"/>
      <c r="C921" s="41"/>
      <c r="D921" s="41"/>
      <c r="E921" s="41"/>
      <c r="F921" s="41"/>
      <c r="G921" s="41"/>
      <c r="H921" s="41"/>
    </row>
    <row r="922">
      <c r="A922" s="40"/>
      <c r="B922" s="41"/>
      <c r="C922" s="41"/>
      <c r="D922" s="41"/>
      <c r="E922" s="41"/>
      <c r="F922" s="41"/>
      <c r="G922" s="41"/>
      <c r="H922" s="41"/>
    </row>
    <row r="923">
      <c r="A923" s="40"/>
      <c r="B923" s="41"/>
      <c r="C923" s="41"/>
      <c r="D923" s="41"/>
      <c r="E923" s="41"/>
      <c r="F923" s="41"/>
      <c r="G923" s="41"/>
      <c r="H923" s="41"/>
    </row>
    <row r="924">
      <c r="A924" s="40"/>
      <c r="B924" s="41"/>
      <c r="C924" s="41"/>
      <c r="D924" s="41"/>
      <c r="E924" s="41"/>
      <c r="F924" s="41"/>
      <c r="G924" s="41"/>
      <c r="H924" s="41"/>
    </row>
    <row r="925">
      <c r="A925" s="40"/>
      <c r="B925" s="41"/>
      <c r="C925" s="41"/>
      <c r="D925" s="41"/>
      <c r="E925" s="41"/>
      <c r="F925" s="41"/>
      <c r="G925" s="41"/>
      <c r="H925" s="41"/>
    </row>
    <row r="926">
      <c r="A926" s="40"/>
      <c r="B926" s="41"/>
      <c r="C926" s="41"/>
      <c r="D926" s="41"/>
      <c r="E926" s="41"/>
      <c r="F926" s="41"/>
      <c r="G926" s="41"/>
      <c r="H926" s="41"/>
    </row>
    <row r="927">
      <c r="A927" s="40"/>
      <c r="B927" s="41"/>
      <c r="C927" s="41"/>
      <c r="D927" s="41"/>
      <c r="E927" s="41"/>
      <c r="F927" s="41"/>
      <c r="G927" s="41"/>
      <c r="H927" s="41"/>
    </row>
    <row r="928">
      <c r="A928" s="40"/>
      <c r="B928" s="41"/>
      <c r="C928" s="41"/>
      <c r="D928" s="41"/>
      <c r="E928" s="41"/>
      <c r="F928" s="41"/>
      <c r="G928" s="41"/>
      <c r="H928" s="41"/>
    </row>
    <row r="929">
      <c r="A929" s="40"/>
      <c r="B929" s="41"/>
      <c r="C929" s="41"/>
      <c r="D929" s="41"/>
      <c r="E929" s="41"/>
      <c r="F929" s="41"/>
      <c r="G929" s="41"/>
      <c r="H929" s="41"/>
    </row>
    <row r="930">
      <c r="A930" s="40"/>
      <c r="B930" s="41"/>
      <c r="C930" s="41"/>
      <c r="D930" s="41"/>
      <c r="E930" s="41"/>
      <c r="F930" s="41"/>
      <c r="G930" s="41"/>
      <c r="H930" s="41"/>
    </row>
    <row r="931">
      <c r="A931" s="40"/>
      <c r="B931" s="41"/>
      <c r="C931" s="41"/>
      <c r="D931" s="41"/>
      <c r="E931" s="41"/>
      <c r="F931" s="41"/>
      <c r="G931" s="41"/>
      <c r="H931" s="41"/>
    </row>
    <row r="932">
      <c r="A932" s="40"/>
      <c r="B932" s="41"/>
      <c r="C932" s="41"/>
      <c r="D932" s="41"/>
      <c r="E932" s="41"/>
      <c r="F932" s="41"/>
      <c r="G932" s="41"/>
      <c r="H932" s="41"/>
    </row>
    <row r="933">
      <c r="A933" s="40"/>
      <c r="B933" s="41"/>
      <c r="C933" s="41"/>
      <c r="D933" s="41"/>
      <c r="E933" s="41"/>
      <c r="F933" s="41"/>
      <c r="G933" s="41"/>
      <c r="H933" s="41"/>
    </row>
    <row r="934">
      <c r="A934" s="40"/>
      <c r="B934" s="41"/>
      <c r="C934" s="41"/>
      <c r="D934" s="41"/>
      <c r="E934" s="41"/>
      <c r="F934" s="41"/>
      <c r="G934" s="41"/>
      <c r="H934" s="41"/>
    </row>
    <row r="935">
      <c r="A935" s="40"/>
      <c r="B935" s="41"/>
      <c r="C935" s="41"/>
      <c r="D935" s="41"/>
      <c r="E935" s="41"/>
      <c r="F935" s="41"/>
      <c r="G935" s="41"/>
      <c r="H935" s="41"/>
    </row>
    <row r="936">
      <c r="A936" s="40"/>
      <c r="B936" s="41"/>
      <c r="C936" s="41"/>
      <c r="D936" s="41"/>
      <c r="E936" s="41"/>
      <c r="F936" s="41"/>
      <c r="G936" s="41"/>
      <c r="H936" s="41"/>
    </row>
    <row r="937">
      <c r="A937" s="40"/>
      <c r="B937" s="41"/>
      <c r="C937" s="41"/>
      <c r="D937" s="41"/>
      <c r="E937" s="41"/>
      <c r="F937" s="41"/>
      <c r="G937" s="41"/>
      <c r="H937" s="41"/>
    </row>
    <row r="938">
      <c r="A938" s="40"/>
      <c r="B938" s="41"/>
      <c r="C938" s="41"/>
      <c r="D938" s="41"/>
      <c r="E938" s="41"/>
      <c r="F938" s="41"/>
      <c r="G938" s="41"/>
      <c r="H938" s="41"/>
    </row>
    <row r="939">
      <c r="A939" s="40"/>
      <c r="B939" s="41"/>
      <c r="C939" s="41"/>
      <c r="D939" s="41"/>
      <c r="E939" s="41"/>
      <c r="F939" s="41"/>
      <c r="G939" s="41"/>
      <c r="H939" s="41"/>
    </row>
    <row r="940">
      <c r="A940" s="40"/>
      <c r="B940" s="41"/>
      <c r="C940" s="41"/>
      <c r="D940" s="41"/>
      <c r="E940" s="41"/>
      <c r="F940" s="41"/>
      <c r="G940" s="41"/>
      <c r="H940" s="41"/>
    </row>
    <row r="941">
      <c r="A941" s="40"/>
      <c r="B941" s="41"/>
      <c r="C941" s="41"/>
      <c r="D941" s="41"/>
      <c r="E941" s="41"/>
      <c r="F941" s="41"/>
      <c r="G941" s="41"/>
      <c r="H941" s="41"/>
    </row>
    <row r="942">
      <c r="A942" s="40"/>
      <c r="B942" s="41"/>
      <c r="C942" s="41"/>
      <c r="D942" s="41"/>
      <c r="E942" s="41"/>
      <c r="F942" s="41"/>
      <c r="G942" s="41"/>
      <c r="H942" s="41"/>
    </row>
    <row r="943">
      <c r="A943" s="40"/>
      <c r="B943" s="41"/>
      <c r="C943" s="41"/>
      <c r="D943" s="41"/>
      <c r="E943" s="41"/>
      <c r="F943" s="41"/>
      <c r="G943" s="41"/>
      <c r="H943" s="41"/>
    </row>
    <row r="944">
      <c r="A944" s="40"/>
      <c r="B944" s="41"/>
      <c r="C944" s="41"/>
      <c r="D944" s="41"/>
      <c r="E944" s="41"/>
      <c r="F944" s="41"/>
      <c r="G944" s="41"/>
      <c r="H944" s="41"/>
    </row>
    <row r="945">
      <c r="A945" s="40"/>
      <c r="B945" s="41"/>
      <c r="C945" s="41"/>
      <c r="D945" s="41"/>
      <c r="E945" s="41"/>
      <c r="F945" s="41"/>
      <c r="G945" s="41"/>
      <c r="H945" s="41"/>
    </row>
    <row r="946">
      <c r="A946" s="40"/>
      <c r="B946" s="41"/>
      <c r="C946" s="41"/>
      <c r="D946" s="41"/>
      <c r="E946" s="41"/>
      <c r="F946" s="41"/>
      <c r="G946" s="41"/>
      <c r="H946" s="41"/>
    </row>
    <row r="947">
      <c r="A947" s="40"/>
      <c r="B947" s="41"/>
      <c r="C947" s="41"/>
      <c r="D947" s="41"/>
      <c r="E947" s="41"/>
      <c r="F947" s="41"/>
      <c r="G947" s="41"/>
      <c r="H947" s="41"/>
    </row>
    <row r="948">
      <c r="A948" s="40"/>
      <c r="B948" s="41"/>
      <c r="C948" s="41"/>
      <c r="D948" s="41"/>
      <c r="E948" s="41"/>
      <c r="F948" s="41"/>
      <c r="G948" s="41"/>
      <c r="H948" s="41"/>
    </row>
    <row r="949">
      <c r="A949" s="40"/>
      <c r="B949" s="41"/>
      <c r="C949" s="41"/>
      <c r="D949" s="41"/>
      <c r="E949" s="41"/>
      <c r="F949" s="41"/>
      <c r="G949" s="41"/>
      <c r="H949" s="41"/>
    </row>
    <row r="950">
      <c r="A950" s="40"/>
      <c r="B950" s="41"/>
      <c r="C950" s="41"/>
      <c r="D950" s="41"/>
      <c r="E950" s="41"/>
      <c r="F950" s="41"/>
      <c r="G950" s="41"/>
      <c r="H950" s="41"/>
    </row>
    <row r="951">
      <c r="A951" s="40"/>
      <c r="B951" s="41"/>
      <c r="C951" s="41"/>
      <c r="D951" s="41"/>
      <c r="E951" s="41"/>
      <c r="F951" s="41"/>
      <c r="G951" s="41"/>
      <c r="H951" s="41"/>
    </row>
    <row r="952">
      <c r="A952" s="40"/>
      <c r="B952" s="41"/>
      <c r="C952" s="41"/>
      <c r="D952" s="41"/>
      <c r="E952" s="41"/>
      <c r="F952" s="41"/>
      <c r="G952" s="41"/>
      <c r="H952" s="41"/>
    </row>
    <row r="953">
      <c r="A953" s="40"/>
      <c r="B953" s="41"/>
      <c r="C953" s="41"/>
      <c r="D953" s="41"/>
      <c r="E953" s="41"/>
      <c r="F953" s="41"/>
      <c r="G953" s="41"/>
      <c r="H953" s="41"/>
    </row>
    <row r="954">
      <c r="A954" s="40"/>
      <c r="B954" s="41"/>
      <c r="C954" s="41"/>
      <c r="D954" s="41"/>
      <c r="E954" s="41"/>
      <c r="F954" s="41"/>
      <c r="G954" s="41"/>
      <c r="H954" s="41"/>
    </row>
    <row r="955">
      <c r="A955" s="40"/>
      <c r="B955" s="41"/>
      <c r="C955" s="41"/>
      <c r="D955" s="41"/>
      <c r="E955" s="41"/>
      <c r="F955" s="41"/>
      <c r="G955" s="41"/>
      <c r="H955" s="41"/>
    </row>
    <row r="956">
      <c r="A956" s="40"/>
      <c r="B956" s="41"/>
      <c r="C956" s="41"/>
      <c r="D956" s="41"/>
      <c r="E956" s="41"/>
      <c r="F956" s="41"/>
      <c r="G956" s="41"/>
      <c r="H956" s="41"/>
    </row>
    <row r="957">
      <c r="A957" s="40"/>
      <c r="B957" s="41"/>
      <c r="C957" s="41"/>
      <c r="D957" s="41"/>
      <c r="E957" s="41"/>
      <c r="F957" s="41"/>
      <c r="G957" s="41"/>
      <c r="H957" s="41"/>
    </row>
    <row r="958">
      <c r="A958" s="40"/>
      <c r="B958" s="41"/>
      <c r="C958" s="41"/>
      <c r="D958" s="41"/>
      <c r="E958" s="41"/>
      <c r="F958" s="41"/>
      <c r="G958" s="41"/>
      <c r="H958" s="41"/>
    </row>
    <row r="959">
      <c r="A959" s="40"/>
      <c r="B959" s="41"/>
      <c r="C959" s="41"/>
      <c r="D959" s="41"/>
      <c r="E959" s="41"/>
      <c r="F959" s="41"/>
      <c r="G959" s="41"/>
      <c r="H959" s="41"/>
    </row>
    <row r="960">
      <c r="A960" s="40"/>
      <c r="B960" s="41"/>
      <c r="C960" s="41"/>
      <c r="D960" s="41"/>
      <c r="E960" s="41"/>
      <c r="F960" s="41"/>
      <c r="G960" s="41"/>
      <c r="H960" s="41"/>
    </row>
    <row r="961">
      <c r="A961" s="40"/>
      <c r="B961" s="41"/>
      <c r="C961" s="41"/>
      <c r="D961" s="41"/>
      <c r="E961" s="41"/>
      <c r="F961" s="41"/>
      <c r="G961" s="41"/>
      <c r="H961" s="41"/>
    </row>
    <row r="962">
      <c r="A962" s="40"/>
      <c r="B962" s="41"/>
      <c r="C962" s="41"/>
      <c r="D962" s="41"/>
      <c r="E962" s="41"/>
      <c r="F962" s="41"/>
      <c r="G962" s="41"/>
      <c r="H962" s="41"/>
    </row>
    <row r="963">
      <c r="A963" s="40"/>
      <c r="B963" s="41"/>
      <c r="C963" s="41"/>
      <c r="D963" s="41"/>
      <c r="E963" s="41"/>
      <c r="F963" s="41"/>
      <c r="G963" s="41"/>
      <c r="H963" s="41"/>
    </row>
    <row r="964">
      <c r="A964" s="40"/>
      <c r="B964" s="41"/>
      <c r="C964" s="41"/>
      <c r="D964" s="41"/>
      <c r="E964" s="41"/>
      <c r="F964" s="41"/>
      <c r="G964" s="41"/>
      <c r="H964" s="41"/>
    </row>
    <row r="965">
      <c r="A965" s="40"/>
      <c r="B965" s="41"/>
      <c r="C965" s="41"/>
      <c r="D965" s="41"/>
      <c r="E965" s="41"/>
      <c r="F965" s="41"/>
      <c r="G965" s="41"/>
      <c r="H965" s="41"/>
    </row>
    <row r="966">
      <c r="A966" s="40"/>
      <c r="B966" s="41"/>
      <c r="C966" s="41"/>
      <c r="D966" s="41"/>
      <c r="E966" s="41"/>
      <c r="F966" s="41"/>
      <c r="G966" s="41"/>
      <c r="H966" s="41"/>
    </row>
    <row r="967">
      <c r="A967" s="40"/>
      <c r="B967" s="41"/>
      <c r="C967" s="41"/>
      <c r="D967" s="41"/>
      <c r="E967" s="41"/>
      <c r="F967" s="41"/>
      <c r="G967" s="41"/>
      <c r="H967" s="41"/>
    </row>
    <row r="968">
      <c r="A968" s="40"/>
      <c r="B968" s="41"/>
      <c r="C968" s="41"/>
      <c r="D968" s="41"/>
      <c r="E968" s="41"/>
      <c r="F968" s="41"/>
      <c r="G968" s="41"/>
      <c r="H968" s="41"/>
    </row>
    <row r="969">
      <c r="A969" s="40"/>
      <c r="B969" s="41"/>
      <c r="C969" s="41"/>
      <c r="D969" s="41"/>
      <c r="E969" s="41"/>
      <c r="F969" s="41"/>
      <c r="G969" s="41"/>
      <c r="H969" s="41"/>
    </row>
    <row r="970">
      <c r="A970" s="40"/>
      <c r="B970" s="41"/>
      <c r="C970" s="41"/>
      <c r="D970" s="41"/>
      <c r="E970" s="41"/>
      <c r="F970" s="41"/>
      <c r="G970" s="41"/>
      <c r="H970" s="41"/>
    </row>
    <row r="971">
      <c r="A971" s="40"/>
      <c r="B971" s="41"/>
      <c r="C971" s="41"/>
      <c r="D971" s="41"/>
      <c r="E971" s="41"/>
      <c r="F971" s="41"/>
      <c r="G971" s="41"/>
      <c r="H971" s="41"/>
    </row>
    <row r="972">
      <c r="A972" s="40"/>
      <c r="B972" s="41"/>
      <c r="C972" s="41"/>
      <c r="D972" s="41"/>
      <c r="E972" s="41"/>
      <c r="F972" s="41"/>
      <c r="G972" s="41"/>
      <c r="H972" s="41"/>
    </row>
    <row r="973">
      <c r="A973" s="40"/>
      <c r="B973" s="41"/>
      <c r="C973" s="41"/>
      <c r="D973" s="41"/>
      <c r="E973" s="41"/>
      <c r="F973" s="41"/>
      <c r="G973" s="41"/>
      <c r="H973" s="41"/>
    </row>
    <row r="974">
      <c r="A974" s="40"/>
      <c r="B974" s="41"/>
      <c r="C974" s="41"/>
      <c r="D974" s="41"/>
      <c r="E974" s="41"/>
      <c r="F974" s="41"/>
      <c r="G974" s="41"/>
      <c r="H974" s="41"/>
    </row>
    <row r="975">
      <c r="A975" s="40"/>
      <c r="B975" s="41"/>
      <c r="C975" s="41"/>
      <c r="D975" s="41"/>
      <c r="E975" s="41"/>
      <c r="F975" s="41"/>
      <c r="G975" s="41"/>
      <c r="H975" s="41"/>
    </row>
    <row r="976">
      <c r="A976" s="40"/>
      <c r="B976" s="41"/>
      <c r="C976" s="41"/>
      <c r="D976" s="41"/>
      <c r="E976" s="41"/>
      <c r="F976" s="41"/>
      <c r="G976" s="41"/>
      <c r="H976" s="41"/>
    </row>
    <row r="977">
      <c r="A977" s="40"/>
      <c r="B977" s="41"/>
      <c r="C977" s="41"/>
      <c r="D977" s="41"/>
      <c r="E977" s="41"/>
      <c r="F977" s="41"/>
      <c r="G977" s="41"/>
      <c r="H977" s="41"/>
    </row>
    <row r="978">
      <c r="A978" s="40"/>
      <c r="B978" s="41"/>
      <c r="C978" s="41"/>
      <c r="D978" s="41"/>
      <c r="E978" s="41"/>
      <c r="F978" s="41"/>
      <c r="G978" s="41"/>
      <c r="H978" s="41"/>
    </row>
    <row r="979">
      <c r="A979" s="40"/>
      <c r="B979" s="41"/>
      <c r="C979" s="41"/>
      <c r="D979" s="41"/>
      <c r="E979" s="41"/>
      <c r="F979" s="41"/>
      <c r="G979" s="41"/>
      <c r="H979" s="41"/>
    </row>
    <row r="980">
      <c r="A980" s="40"/>
      <c r="B980" s="41"/>
      <c r="C980" s="41"/>
      <c r="D980" s="41"/>
      <c r="E980" s="41"/>
      <c r="F980" s="41"/>
      <c r="G980" s="41"/>
      <c r="H980" s="41"/>
    </row>
    <row r="981">
      <c r="A981" s="40"/>
      <c r="B981" s="41"/>
      <c r="C981" s="41"/>
      <c r="D981" s="41"/>
      <c r="E981" s="41"/>
      <c r="F981" s="41"/>
      <c r="G981" s="41"/>
      <c r="H981" s="41"/>
    </row>
    <row r="982">
      <c r="A982" s="40"/>
      <c r="B982" s="41"/>
      <c r="C982" s="41"/>
      <c r="D982" s="41"/>
      <c r="E982" s="41"/>
      <c r="F982" s="41"/>
      <c r="G982" s="41"/>
      <c r="H982" s="41"/>
    </row>
    <row r="983">
      <c r="A983" s="40"/>
      <c r="B983" s="41"/>
      <c r="C983" s="41"/>
      <c r="D983" s="41"/>
      <c r="E983" s="41"/>
      <c r="F983" s="41"/>
      <c r="G983" s="41"/>
      <c r="H983" s="41"/>
    </row>
    <row r="984">
      <c r="A984" s="40"/>
      <c r="B984" s="41"/>
      <c r="C984" s="41"/>
      <c r="D984" s="41"/>
      <c r="E984" s="41"/>
      <c r="F984" s="41"/>
      <c r="G984" s="41"/>
      <c r="H984" s="41"/>
    </row>
    <row r="985">
      <c r="A985" s="40"/>
      <c r="B985" s="41"/>
      <c r="C985" s="41"/>
      <c r="D985" s="41"/>
      <c r="E985" s="41"/>
      <c r="F985" s="41"/>
      <c r="G985" s="41"/>
      <c r="H985" s="41"/>
    </row>
    <row r="986">
      <c r="A986" s="40"/>
      <c r="B986" s="41"/>
      <c r="C986" s="41"/>
      <c r="D986" s="41"/>
      <c r="E986" s="41"/>
      <c r="F986" s="41"/>
      <c r="G986" s="41"/>
      <c r="H986" s="41"/>
    </row>
    <row r="987">
      <c r="A987" s="40"/>
      <c r="B987" s="41"/>
      <c r="C987" s="41"/>
      <c r="D987" s="41"/>
      <c r="E987" s="41"/>
      <c r="F987" s="41"/>
      <c r="G987" s="41"/>
      <c r="H987" s="41"/>
    </row>
    <row r="988">
      <c r="A988" s="40"/>
      <c r="B988" s="41"/>
      <c r="C988" s="41"/>
      <c r="D988" s="41"/>
      <c r="E988" s="41"/>
      <c r="F988" s="41"/>
      <c r="G988" s="41"/>
      <c r="H988" s="41"/>
    </row>
    <row r="989">
      <c r="A989" s="40"/>
      <c r="B989" s="41"/>
      <c r="C989" s="41"/>
      <c r="D989" s="41"/>
      <c r="E989" s="41"/>
      <c r="F989" s="41"/>
      <c r="G989" s="41"/>
      <c r="H989" s="41"/>
    </row>
    <row r="990">
      <c r="A990" s="40"/>
      <c r="B990" s="41"/>
      <c r="C990" s="41"/>
      <c r="D990" s="41"/>
      <c r="E990" s="41"/>
      <c r="F990" s="41"/>
      <c r="G990" s="41"/>
      <c r="H990" s="41"/>
    </row>
    <row r="991">
      <c r="A991" s="40"/>
      <c r="B991" s="41"/>
      <c r="C991" s="41"/>
      <c r="D991" s="41"/>
      <c r="E991" s="41"/>
      <c r="F991" s="41"/>
      <c r="G991" s="41"/>
      <c r="H991" s="41"/>
    </row>
    <row r="992">
      <c r="A992" s="40"/>
      <c r="B992" s="41"/>
      <c r="C992" s="41"/>
      <c r="D992" s="41"/>
      <c r="E992" s="41"/>
      <c r="F992" s="41"/>
      <c r="G992" s="41"/>
      <c r="H992" s="41"/>
    </row>
    <row r="993">
      <c r="A993" s="40"/>
      <c r="B993" s="41"/>
      <c r="C993" s="41"/>
      <c r="D993" s="41"/>
      <c r="E993" s="41"/>
      <c r="F993" s="41"/>
      <c r="G993" s="41"/>
      <c r="H993" s="41"/>
    </row>
    <row r="994">
      <c r="A994" s="40"/>
      <c r="B994" s="41"/>
      <c r="C994" s="41"/>
      <c r="D994" s="41"/>
      <c r="E994" s="41"/>
      <c r="F994" s="41"/>
      <c r="G994" s="41"/>
      <c r="H994" s="41"/>
    </row>
    <row r="995">
      <c r="A995" s="40"/>
      <c r="B995" s="41"/>
      <c r="C995" s="41"/>
      <c r="D995" s="41"/>
      <c r="E995" s="41"/>
      <c r="F995" s="41"/>
      <c r="G995" s="41"/>
      <c r="H995" s="41"/>
    </row>
    <row r="996">
      <c r="A996" s="40"/>
      <c r="B996" s="41"/>
      <c r="C996" s="41"/>
      <c r="D996" s="41"/>
      <c r="E996" s="41"/>
      <c r="F996" s="41"/>
      <c r="G996" s="41"/>
      <c r="H996" s="41"/>
    </row>
    <row r="997">
      <c r="A997" s="40"/>
      <c r="B997" s="41"/>
      <c r="C997" s="41"/>
      <c r="D997" s="41"/>
      <c r="E997" s="41"/>
      <c r="F997" s="41"/>
      <c r="G997" s="41"/>
      <c r="H997" s="41"/>
    </row>
    <row r="998">
      <c r="A998" s="40"/>
      <c r="B998" s="41"/>
      <c r="C998" s="41"/>
      <c r="D998" s="41"/>
      <c r="E998" s="41"/>
      <c r="F998" s="41"/>
      <c r="G998" s="41"/>
      <c r="H998" s="41"/>
    </row>
    <row r="999">
      <c r="A999" s="40"/>
      <c r="B999" s="41"/>
      <c r="C999" s="41"/>
      <c r="D999" s="41"/>
      <c r="E999" s="41"/>
      <c r="F999" s="41"/>
      <c r="G999" s="41"/>
      <c r="H999" s="41"/>
    </row>
    <row r="1000">
      <c r="A1000" s="40"/>
      <c r="B1000" s="41"/>
      <c r="C1000" s="41"/>
      <c r="D1000" s="41"/>
      <c r="E1000" s="41"/>
      <c r="F1000" s="41"/>
      <c r="G1000" s="41"/>
      <c r="H1000" s="41"/>
    </row>
    <row r="1001">
      <c r="A1001" s="40"/>
      <c r="B1001" s="41"/>
      <c r="C1001" s="41"/>
      <c r="D1001" s="41"/>
      <c r="E1001" s="41"/>
      <c r="F1001" s="41"/>
      <c r="G1001" s="41"/>
      <c r="H1001" s="41"/>
    </row>
    <row r="1002">
      <c r="A1002" s="40"/>
      <c r="B1002" s="41"/>
      <c r="C1002" s="41"/>
      <c r="D1002" s="41"/>
      <c r="E1002" s="41"/>
      <c r="F1002" s="41"/>
      <c r="G1002" s="41"/>
      <c r="H1002" s="41"/>
    </row>
    <row r="1003">
      <c r="A1003" s="40"/>
      <c r="B1003" s="41"/>
      <c r="C1003" s="41"/>
      <c r="D1003" s="41"/>
      <c r="E1003" s="41"/>
      <c r="F1003" s="41"/>
      <c r="G1003" s="41"/>
      <c r="H1003" s="41"/>
    </row>
    <row r="1004">
      <c r="A1004" s="40"/>
      <c r="B1004" s="41"/>
      <c r="C1004" s="41"/>
      <c r="D1004" s="41"/>
      <c r="E1004" s="41"/>
      <c r="F1004" s="41"/>
      <c r="G1004" s="41"/>
      <c r="H1004" s="41"/>
    </row>
    <row r="1005">
      <c r="A1005" s="40"/>
      <c r="B1005" s="41"/>
      <c r="C1005" s="41"/>
      <c r="D1005" s="41"/>
      <c r="E1005" s="41"/>
      <c r="F1005" s="41"/>
      <c r="G1005" s="41"/>
      <c r="H1005" s="41"/>
    </row>
    <row r="1006">
      <c r="A1006" s="40"/>
      <c r="B1006" s="41"/>
      <c r="C1006" s="41"/>
      <c r="D1006" s="41"/>
      <c r="E1006" s="41"/>
      <c r="F1006" s="41"/>
      <c r="G1006" s="41"/>
      <c r="H1006" s="41"/>
    </row>
    <row r="1007">
      <c r="A1007" s="40"/>
      <c r="B1007" s="41"/>
      <c r="C1007" s="41"/>
      <c r="D1007" s="41"/>
      <c r="E1007" s="41"/>
      <c r="F1007" s="41"/>
      <c r="G1007" s="41"/>
      <c r="H1007" s="41"/>
    </row>
    <row r="1008">
      <c r="A1008" s="40"/>
      <c r="B1008" s="41"/>
      <c r="C1008" s="41"/>
      <c r="D1008" s="41"/>
      <c r="E1008" s="41"/>
      <c r="F1008" s="41"/>
      <c r="G1008" s="41"/>
      <c r="H1008" s="41"/>
    </row>
    <row r="1009">
      <c r="A1009" s="40"/>
      <c r="B1009" s="41"/>
      <c r="C1009" s="41"/>
      <c r="D1009" s="41"/>
      <c r="E1009" s="41"/>
      <c r="F1009" s="41"/>
      <c r="G1009" s="41"/>
      <c r="H1009" s="41"/>
    </row>
    <row r="1010">
      <c r="A1010" s="40"/>
      <c r="B1010" s="41"/>
      <c r="C1010" s="41"/>
      <c r="D1010" s="41"/>
      <c r="E1010" s="41"/>
      <c r="F1010" s="41"/>
      <c r="G1010" s="41"/>
      <c r="H1010" s="41"/>
    </row>
    <row r="1011">
      <c r="A1011" s="40"/>
      <c r="B1011" s="41"/>
      <c r="C1011" s="41"/>
      <c r="D1011" s="41"/>
      <c r="E1011" s="41"/>
      <c r="F1011" s="41"/>
      <c r="G1011" s="41"/>
      <c r="H1011" s="41"/>
    </row>
    <row r="1012">
      <c r="A1012" s="40"/>
      <c r="B1012" s="41"/>
      <c r="C1012" s="41"/>
      <c r="D1012" s="41"/>
      <c r="E1012" s="41"/>
      <c r="F1012" s="41"/>
      <c r="G1012" s="41"/>
      <c r="H1012" s="41"/>
    </row>
    <row r="1013">
      <c r="A1013" s="40"/>
      <c r="B1013" s="41"/>
      <c r="C1013" s="41"/>
      <c r="D1013" s="41"/>
      <c r="E1013" s="41"/>
      <c r="F1013" s="41"/>
      <c r="G1013" s="41"/>
      <c r="H1013" s="41"/>
    </row>
    <row r="1014">
      <c r="A1014" s="40"/>
      <c r="B1014" s="41"/>
      <c r="C1014" s="41"/>
      <c r="D1014" s="41"/>
      <c r="E1014" s="41"/>
      <c r="F1014" s="41"/>
      <c r="G1014" s="41"/>
      <c r="H1014" s="41"/>
    </row>
    <row r="1015">
      <c r="A1015" s="40"/>
      <c r="B1015" s="41"/>
      <c r="C1015" s="41"/>
      <c r="D1015" s="41"/>
      <c r="E1015" s="41"/>
      <c r="F1015" s="41"/>
      <c r="G1015" s="41"/>
      <c r="H1015" s="41"/>
    </row>
    <row r="1016">
      <c r="A1016" s="40"/>
      <c r="B1016" s="41"/>
      <c r="C1016" s="41"/>
      <c r="D1016" s="41"/>
      <c r="E1016" s="41"/>
      <c r="F1016" s="41"/>
      <c r="G1016" s="41"/>
      <c r="H1016" s="41"/>
    </row>
    <row r="1017">
      <c r="A1017" s="40"/>
      <c r="B1017" s="41"/>
      <c r="C1017" s="41"/>
      <c r="D1017" s="41"/>
      <c r="E1017" s="41"/>
      <c r="F1017" s="41"/>
      <c r="G1017" s="41"/>
      <c r="H1017" s="41"/>
    </row>
    <row r="1018">
      <c r="A1018" s="40"/>
      <c r="B1018" s="41"/>
      <c r="C1018" s="41"/>
      <c r="D1018" s="41"/>
      <c r="E1018" s="41"/>
      <c r="F1018" s="41"/>
      <c r="G1018" s="41"/>
      <c r="H1018" s="41"/>
    </row>
    <row r="1019">
      <c r="A1019" s="40"/>
      <c r="B1019" s="41"/>
      <c r="C1019" s="41"/>
      <c r="D1019" s="41"/>
      <c r="E1019" s="41"/>
      <c r="F1019" s="41"/>
      <c r="G1019" s="41"/>
      <c r="H1019" s="41"/>
    </row>
    <row r="1020">
      <c r="A1020" s="40"/>
      <c r="B1020" s="41"/>
      <c r="C1020" s="41"/>
      <c r="D1020" s="41"/>
      <c r="E1020" s="41"/>
      <c r="F1020" s="41"/>
      <c r="G1020" s="41"/>
      <c r="H1020" s="41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location="gid=322267480&amp;range=E58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9"/>
  <tableParts count="1">
    <tablePart r:id="rId9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0"/>
    <col customWidth="1" min="2" max="2" width="42.63"/>
    <col customWidth="1" min="3" max="4" width="18.13"/>
    <col customWidth="1" min="5" max="5" width="14.0"/>
    <col customWidth="1" min="6" max="6" width="13.63"/>
  </cols>
  <sheetData>
    <row r="1" ht="22.5" customHeight="1">
      <c r="A1" s="18" t="s">
        <v>275</v>
      </c>
      <c r="B1" s="19" t="s">
        <v>6</v>
      </c>
      <c r="C1" s="42" t="s">
        <v>93</v>
      </c>
      <c r="D1" s="19" t="s">
        <v>94</v>
      </c>
      <c r="E1" s="19" t="s">
        <v>95</v>
      </c>
      <c r="F1" s="19" t="s">
        <v>96</v>
      </c>
    </row>
    <row r="2" ht="22.5" customHeight="1">
      <c r="A2" s="20" t="str">
        <f t="array" ref="A2:A50">BYROW(ตาราง1_4[รายการสินค้า], LAMBDA(row, TEXTJOIN("-", TRUE, row)))</f>
        <v>เครื่องวัดระดับ เลเซอร์ 5 เส้น</v>
      </c>
      <c r="B2" s="21" t="s">
        <v>66</v>
      </c>
      <c r="C2" s="19"/>
      <c r="D2" s="24" t="s">
        <v>1387</v>
      </c>
      <c r="E2" s="19">
        <v>3.0</v>
      </c>
      <c r="F2" s="19"/>
    </row>
    <row r="3" ht="22.5" customHeight="1">
      <c r="A3" s="20" t="s">
        <v>50</v>
      </c>
      <c r="B3" s="21" t="s">
        <v>50</v>
      </c>
      <c r="C3" s="19"/>
      <c r="D3" s="43" t="s">
        <v>1388</v>
      </c>
      <c r="E3" s="19">
        <v>3.0</v>
      </c>
      <c r="F3" s="21"/>
    </row>
    <row r="4" ht="22.5" customHeight="1">
      <c r="A4" s="20" t="s">
        <v>67</v>
      </c>
      <c r="B4" s="21" t="s">
        <v>67</v>
      </c>
      <c r="C4" s="19"/>
      <c r="D4" s="24" t="s">
        <v>1389</v>
      </c>
      <c r="E4" s="21"/>
      <c r="F4" s="21"/>
    </row>
    <row r="5" ht="22.5" customHeight="1">
      <c r="A5" s="18" t="s">
        <v>54</v>
      </c>
      <c r="B5" s="21" t="s">
        <v>54</v>
      </c>
      <c r="C5" s="19"/>
      <c r="D5" s="43" t="s">
        <v>1390</v>
      </c>
      <c r="E5" s="19">
        <v>1.0</v>
      </c>
      <c r="F5" s="21"/>
    </row>
    <row r="6" ht="22.5" customHeight="1">
      <c r="A6" s="18" t="s">
        <v>1391</v>
      </c>
      <c r="B6" s="21" t="s">
        <v>1391</v>
      </c>
      <c r="C6" s="19"/>
      <c r="D6" s="43" t="s">
        <v>1392</v>
      </c>
      <c r="E6" s="19"/>
      <c r="F6" s="21"/>
    </row>
    <row r="7" ht="22.5" customHeight="1">
      <c r="A7" s="18" t="s">
        <v>1393</v>
      </c>
      <c r="B7" s="21" t="s">
        <v>1393</v>
      </c>
      <c r="C7" s="19"/>
      <c r="D7" s="24" t="s">
        <v>1392</v>
      </c>
      <c r="E7" s="21"/>
      <c r="F7" s="21"/>
    </row>
    <row r="8" ht="22.5" customHeight="1">
      <c r="A8" s="18" t="s">
        <v>68</v>
      </c>
      <c r="B8" s="19" t="s">
        <v>68</v>
      </c>
      <c r="C8" s="19"/>
      <c r="D8" s="24" t="s">
        <v>1394</v>
      </c>
      <c r="E8" s="19">
        <v>1.0</v>
      </c>
      <c r="F8" s="21"/>
    </row>
    <row r="9" ht="22.5" customHeight="1">
      <c r="A9" s="18" t="s">
        <v>51</v>
      </c>
      <c r="B9" s="81" t="s">
        <v>51</v>
      </c>
      <c r="C9" s="19"/>
      <c r="D9" s="24" t="s">
        <v>1395</v>
      </c>
      <c r="E9" s="19">
        <v>1.0</v>
      </c>
      <c r="F9" s="21"/>
    </row>
    <row r="10" ht="22.5" customHeight="1">
      <c r="A10" s="18" t="s">
        <v>48</v>
      </c>
      <c r="B10" s="19" t="s">
        <v>48</v>
      </c>
      <c r="C10" s="19"/>
      <c r="D10" s="29" t="s">
        <v>1396</v>
      </c>
      <c r="E10" s="19">
        <v>1.0</v>
      </c>
      <c r="F10" s="21"/>
    </row>
    <row r="11" ht="22.5" customHeight="1">
      <c r="A11" s="18" t="s">
        <v>49</v>
      </c>
      <c r="B11" s="19" t="s">
        <v>49</v>
      </c>
      <c r="C11" s="19"/>
      <c r="D11" s="24" t="s">
        <v>1397</v>
      </c>
      <c r="E11" s="19" t="s">
        <v>1398</v>
      </c>
      <c r="F11" s="21"/>
    </row>
    <row r="12" ht="22.5" customHeight="1">
      <c r="A12" s="18" t="s">
        <v>52</v>
      </c>
      <c r="B12" s="19" t="s">
        <v>52</v>
      </c>
      <c r="C12" s="19"/>
      <c r="D12" s="24" t="s">
        <v>1399</v>
      </c>
      <c r="E12" s="21"/>
      <c r="F12" s="21"/>
    </row>
    <row r="13" ht="22.5" customHeight="1">
      <c r="A13" s="18" t="s">
        <v>53</v>
      </c>
      <c r="B13" s="19" t="s">
        <v>53</v>
      </c>
      <c r="C13" s="19"/>
      <c r="D13" s="24" t="s">
        <v>1400</v>
      </c>
      <c r="E13" s="19"/>
      <c r="F13" s="21"/>
    </row>
    <row r="14" ht="22.5" customHeight="1">
      <c r="A14" s="18" t="s">
        <v>55</v>
      </c>
      <c r="B14" s="19" t="s">
        <v>55</v>
      </c>
      <c r="C14" s="19"/>
      <c r="D14" s="24" t="s">
        <v>1401</v>
      </c>
      <c r="E14" s="19">
        <v>4.0</v>
      </c>
      <c r="F14" s="21"/>
    </row>
    <row r="15" ht="22.5" customHeight="1">
      <c r="A15" s="18" t="s">
        <v>56</v>
      </c>
      <c r="B15" s="19" t="s">
        <v>56</v>
      </c>
      <c r="C15" s="19"/>
      <c r="D15" s="24" t="s">
        <v>1402</v>
      </c>
      <c r="E15" s="19">
        <v>2.0</v>
      </c>
      <c r="F15" s="21"/>
    </row>
    <row r="16" ht="22.5" customHeight="1">
      <c r="A16" s="18" t="s">
        <v>57</v>
      </c>
      <c r="B16" s="19" t="s">
        <v>57</v>
      </c>
      <c r="C16" s="19"/>
      <c r="D16" s="24" t="s">
        <v>1403</v>
      </c>
      <c r="E16" s="19">
        <v>1.0</v>
      </c>
      <c r="F16" s="21"/>
    </row>
    <row r="17" ht="22.5" customHeight="1">
      <c r="A17" s="18" t="s">
        <v>58</v>
      </c>
      <c r="B17" s="19" t="s">
        <v>58</v>
      </c>
      <c r="C17" s="19"/>
      <c r="D17" s="24" t="s">
        <v>1404</v>
      </c>
      <c r="E17" s="19">
        <v>2.0</v>
      </c>
      <c r="F17" s="21"/>
    </row>
    <row r="18" ht="22.5" customHeight="1">
      <c r="A18" s="18" t="s">
        <v>59</v>
      </c>
      <c r="B18" s="19" t="s">
        <v>59</v>
      </c>
      <c r="C18" s="19"/>
      <c r="D18" s="29" t="s">
        <v>1405</v>
      </c>
      <c r="E18" s="19">
        <v>1.0</v>
      </c>
      <c r="F18" s="21"/>
    </row>
    <row r="19" ht="22.5" customHeight="1">
      <c r="A19" s="18" t="s">
        <v>60</v>
      </c>
      <c r="B19" s="19" t="s">
        <v>60</v>
      </c>
      <c r="C19" s="19"/>
      <c r="D19" s="29" t="s">
        <v>1406</v>
      </c>
      <c r="E19" s="19">
        <v>1.0</v>
      </c>
      <c r="F19" s="21"/>
    </row>
    <row r="20" ht="22.5" customHeight="1">
      <c r="A20" s="18" t="s">
        <v>61</v>
      </c>
      <c r="B20" s="19" t="s">
        <v>61</v>
      </c>
      <c r="C20" s="19"/>
      <c r="D20" s="29" t="s">
        <v>1407</v>
      </c>
      <c r="E20" s="19">
        <v>1.0</v>
      </c>
      <c r="F20" s="21"/>
    </row>
    <row r="21" ht="22.5" customHeight="1">
      <c r="A21" s="18" t="s">
        <v>62</v>
      </c>
      <c r="B21" s="19" t="s">
        <v>62</v>
      </c>
      <c r="C21" s="19"/>
      <c r="D21" s="29" t="s">
        <v>1408</v>
      </c>
      <c r="E21" s="19">
        <v>1.0</v>
      </c>
      <c r="F21" s="21"/>
    </row>
    <row r="22" ht="22.5" customHeight="1">
      <c r="A22" s="18" t="s">
        <v>72</v>
      </c>
      <c r="B22" s="19" t="s">
        <v>72</v>
      </c>
      <c r="C22" s="19"/>
      <c r="D22" s="29" t="s">
        <v>1409</v>
      </c>
      <c r="E22" s="19">
        <v>1.0</v>
      </c>
      <c r="F22" s="21"/>
    </row>
    <row r="23" ht="22.5" customHeight="1">
      <c r="A23" s="18" t="s">
        <v>71</v>
      </c>
      <c r="B23" s="19" t="s">
        <v>71</v>
      </c>
      <c r="C23" s="19"/>
      <c r="D23" s="29" t="s">
        <v>1410</v>
      </c>
      <c r="E23" s="19">
        <v>10.0</v>
      </c>
      <c r="F23" s="21"/>
    </row>
    <row r="24" ht="22.5" customHeight="1">
      <c r="A24" s="18" t="s">
        <v>70</v>
      </c>
      <c r="B24" s="19" t="s">
        <v>70</v>
      </c>
      <c r="C24" s="19"/>
      <c r="D24" s="29" t="s">
        <v>1411</v>
      </c>
      <c r="E24" s="19">
        <v>17.0</v>
      </c>
      <c r="F24" s="21"/>
    </row>
    <row r="25" ht="22.5" customHeight="1">
      <c r="A25" s="18" t="s">
        <v>63</v>
      </c>
      <c r="B25" s="19" t="s">
        <v>63</v>
      </c>
      <c r="C25" s="19"/>
      <c r="D25" s="29" t="s">
        <v>1412</v>
      </c>
      <c r="E25" s="19">
        <v>2.0</v>
      </c>
      <c r="F25" s="21"/>
    </row>
    <row r="26" ht="22.5" customHeight="1">
      <c r="A26" s="18" t="s">
        <v>64</v>
      </c>
      <c r="B26" s="19" t="s">
        <v>64</v>
      </c>
      <c r="C26" s="19"/>
      <c r="D26" s="29" t="s">
        <v>1413</v>
      </c>
      <c r="E26" s="19">
        <v>2.0</v>
      </c>
      <c r="F26" s="21"/>
    </row>
    <row r="27" ht="22.5" customHeight="1">
      <c r="A27" s="18" t="s">
        <v>1414</v>
      </c>
      <c r="B27" s="19" t="s">
        <v>1414</v>
      </c>
      <c r="C27" s="19"/>
      <c r="D27" s="24" t="s">
        <v>1415</v>
      </c>
      <c r="E27" s="19"/>
      <c r="F27" s="21"/>
    </row>
    <row r="28" ht="22.5" customHeight="1">
      <c r="A28" s="18" t="s">
        <v>65</v>
      </c>
      <c r="B28" s="19" t="s">
        <v>65</v>
      </c>
      <c r="C28" s="19"/>
      <c r="D28" s="29" t="s">
        <v>1416</v>
      </c>
      <c r="E28" s="19">
        <v>8.0</v>
      </c>
      <c r="F28" s="21"/>
    </row>
    <row r="29" ht="22.5" customHeight="1">
      <c r="A29" s="18" t="s">
        <v>1417</v>
      </c>
      <c r="B29" s="19" t="s">
        <v>1417</v>
      </c>
      <c r="C29" s="19"/>
      <c r="D29" s="24" t="s">
        <v>1418</v>
      </c>
      <c r="E29" s="19">
        <v>1.0</v>
      </c>
      <c r="F29" s="21"/>
    </row>
    <row r="30" ht="22.5" customHeight="1">
      <c r="A30" s="18" t="s">
        <v>1419</v>
      </c>
      <c r="B30" s="19" t="s">
        <v>1419</v>
      </c>
      <c r="C30" s="19"/>
      <c r="D30" s="24" t="s">
        <v>1412</v>
      </c>
      <c r="E30" s="19">
        <v>1.0</v>
      </c>
      <c r="F30" s="21"/>
    </row>
    <row r="31" ht="22.5" customHeight="1">
      <c r="A31" s="18" t="s">
        <v>1420</v>
      </c>
      <c r="B31" s="19" t="s">
        <v>1420</v>
      </c>
      <c r="C31" s="19"/>
      <c r="D31" s="43" t="s">
        <v>1421</v>
      </c>
      <c r="E31" s="19">
        <v>3.0</v>
      </c>
      <c r="F31" s="21"/>
    </row>
    <row r="32" ht="22.5" customHeight="1">
      <c r="A32" s="18" t="s">
        <v>1422</v>
      </c>
      <c r="B32" s="19" t="s">
        <v>1422</v>
      </c>
      <c r="C32" s="19"/>
      <c r="D32" s="24" t="s">
        <v>1423</v>
      </c>
      <c r="E32" s="19">
        <v>9.0</v>
      </c>
      <c r="F32" s="21"/>
    </row>
    <row r="33" ht="22.5" customHeight="1">
      <c r="A33" s="18" t="s">
        <v>1424</v>
      </c>
      <c r="B33" s="19" t="s">
        <v>1424</v>
      </c>
      <c r="C33" s="19"/>
      <c r="D33" s="24" t="s">
        <v>1425</v>
      </c>
      <c r="E33" s="19">
        <v>1.0</v>
      </c>
      <c r="F33" s="21"/>
    </row>
    <row r="34" ht="22.5" customHeight="1">
      <c r="A34" s="18" t="s">
        <v>1426</v>
      </c>
      <c r="B34" s="19" t="s">
        <v>1426</v>
      </c>
      <c r="C34" s="19"/>
      <c r="D34" s="24" t="s">
        <v>1427</v>
      </c>
      <c r="E34" s="19">
        <v>5.0</v>
      </c>
      <c r="F34" s="21"/>
    </row>
    <row r="35" ht="22.5" customHeight="1">
      <c r="A35" s="18" t="s">
        <v>1428</v>
      </c>
      <c r="B35" s="19" t="s">
        <v>1428</v>
      </c>
      <c r="C35" s="19"/>
      <c r="D35" s="24" t="s">
        <v>1429</v>
      </c>
      <c r="E35" s="19">
        <v>7.0</v>
      </c>
      <c r="F35" s="21"/>
    </row>
    <row r="36" ht="22.5" customHeight="1">
      <c r="A36" s="18" t="s">
        <v>1430</v>
      </c>
      <c r="B36" s="19" t="s">
        <v>1430</v>
      </c>
      <c r="C36" s="19"/>
      <c r="D36" s="24" t="s">
        <v>1431</v>
      </c>
      <c r="E36" s="19">
        <v>1.0</v>
      </c>
      <c r="F36" s="21"/>
    </row>
    <row r="37" ht="22.5" customHeight="1">
      <c r="A37" s="18" t="s">
        <v>1432</v>
      </c>
      <c r="B37" s="19" t="s">
        <v>1432</v>
      </c>
      <c r="C37" s="19"/>
      <c r="D37" s="24" t="s">
        <v>1433</v>
      </c>
      <c r="E37" s="19">
        <v>5.0</v>
      </c>
      <c r="F37" s="21"/>
    </row>
    <row r="38" ht="22.5" customHeight="1">
      <c r="A38" s="18" t="s">
        <v>1434</v>
      </c>
      <c r="B38" s="19" t="s">
        <v>1434</v>
      </c>
      <c r="C38" s="19"/>
      <c r="D38" s="24" t="s">
        <v>1435</v>
      </c>
      <c r="E38" s="19">
        <v>3.0</v>
      </c>
      <c r="F38" s="21"/>
    </row>
    <row r="39" ht="22.5" customHeight="1">
      <c r="A39" s="18" t="s">
        <v>1436</v>
      </c>
      <c r="B39" s="19" t="s">
        <v>1436</v>
      </c>
      <c r="C39" s="19"/>
      <c r="D39" s="24" t="s">
        <v>1437</v>
      </c>
      <c r="E39" s="19">
        <v>2.0</v>
      </c>
      <c r="F39" s="21"/>
    </row>
    <row r="40" ht="22.5" customHeight="1">
      <c r="A40" s="18" t="s">
        <v>1438</v>
      </c>
      <c r="B40" s="19" t="s">
        <v>1438</v>
      </c>
      <c r="C40" s="19"/>
      <c r="D40" s="24" t="s">
        <v>1439</v>
      </c>
      <c r="E40" s="19">
        <v>7.0</v>
      </c>
      <c r="F40" s="21"/>
    </row>
    <row r="41" ht="22.5" customHeight="1">
      <c r="A41" s="18" t="s">
        <v>1440</v>
      </c>
      <c r="B41" s="19" t="s">
        <v>1440</v>
      </c>
      <c r="C41" s="19"/>
      <c r="D41" s="24" t="s">
        <v>1441</v>
      </c>
      <c r="E41" s="19">
        <v>6.0</v>
      </c>
      <c r="F41" s="21"/>
    </row>
    <row r="42" ht="22.5" customHeight="1">
      <c r="A42" s="18" t="s">
        <v>1442</v>
      </c>
      <c r="B42" s="19" t="s">
        <v>1442</v>
      </c>
      <c r="C42" s="19"/>
      <c r="D42" s="29" t="s">
        <v>1443</v>
      </c>
      <c r="E42" s="19">
        <v>5.0</v>
      </c>
      <c r="F42" s="21"/>
    </row>
    <row r="43" ht="22.5" customHeight="1">
      <c r="A43" s="18" t="s">
        <v>1444</v>
      </c>
      <c r="B43" s="19" t="s">
        <v>1444</v>
      </c>
      <c r="C43" s="19"/>
      <c r="D43" s="43" t="s">
        <v>1445</v>
      </c>
      <c r="E43" s="19">
        <v>1.0</v>
      </c>
      <c r="F43" s="21"/>
    </row>
    <row r="44" ht="22.5" customHeight="1">
      <c r="A44" s="18" t="s">
        <v>1446</v>
      </c>
      <c r="B44" s="19" t="s">
        <v>1446</v>
      </c>
      <c r="C44" s="19"/>
      <c r="D44" s="29" t="s">
        <v>1447</v>
      </c>
      <c r="E44" s="19">
        <v>3.0</v>
      </c>
      <c r="F44" s="21"/>
    </row>
    <row r="45" ht="22.5" customHeight="1">
      <c r="A45" s="18" t="s">
        <v>1151</v>
      </c>
      <c r="B45" s="21"/>
      <c r="C45" s="19"/>
      <c r="D45" s="21"/>
      <c r="E45" s="21"/>
      <c r="F45" s="21"/>
    </row>
    <row r="46" ht="22.5" customHeight="1">
      <c r="A46" s="18" t="s">
        <v>1151</v>
      </c>
      <c r="B46" s="21"/>
      <c r="C46" s="19"/>
      <c r="D46" s="21"/>
      <c r="E46" s="21"/>
      <c r="F46" s="21"/>
    </row>
    <row r="47" ht="22.5" customHeight="1">
      <c r="A47" s="18" t="s">
        <v>1151</v>
      </c>
      <c r="B47" s="21"/>
      <c r="C47" s="19"/>
      <c r="D47" s="21"/>
      <c r="E47" s="21"/>
      <c r="F47" s="21"/>
    </row>
    <row r="48" ht="22.5" customHeight="1">
      <c r="A48" s="18" t="s">
        <v>1151</v>
      </c>
      <c r="B48" s="21"/>
      <c r="C48" s="19"/>
      <c r="D48" s="21"/>
      <c r="E48" s="21"/>
      <c r="F48" s="21"/>
    </row>
    <row r="49" ht="22.5" customHeight="1">
      <c r="A49" s="18" t="s">
        <v>1151</v>
      </c>
      <c r="B49" s="21"/>
      <c r="C49" s="19"/>
      <c r="D49" s="21"/>
      <c r="E49" s="21"/>
      <c r="F49" s="21"/>
    </row>
    <row r="50" ht="22.5" customHeight="1">
      <c r="A50" s="18" t="s">
        <v>1151</v>
      </c>
      <c r="B50" s="21"/>
      <c r="C50" s="19"/>
      <c r="D50" s="21"/>
      <c r="E50" s="21"/>
      <c r="F50" s="21"/>
    </row>
    <row r="51">
      <c r="A51" s="40"/>
      <c r="B51" s="41"/>
      <c r="C51" s="41"/>
      <c r="D51" s="41"/>
      <c r="E51" s="41"/>
      <c r="F51" s="41"/>
    </row>
    <row r="52">
      <c r="A52" s="40"/>
      <c r="B52" s="41"/>
      <c r="C52" s="41"/>
      <c r="D52" s="41"/>
      <c r="E52" s="41"/>
      <c r="F52" s="41"/>
    </row>
    <row r="53">
      <c r="A53" s="40"/>
      <c r="B53" s="41"/>
      <c r="C53" s="41"/>
      <c r="D53" s="41"/>
      <c r="E53" s="41"/>
      <c r="F53" s="41"/>
    </row>
    <row r="54">
      <c r="A54" s="40"/>
      <c r="B54" s="41"/>
      <c r="C54" s="41"/>
      <c r="D54" s="41"/>
      <c r="E54" s="41"/>
      <c r="F54" s="41"/>
    </row>
    <row r="55">
      <c r="A55" s="40"/>
      <c r="B55" s="41"/>
      <c r="C55" s="41"/>
      <c r="D55" s="41"/>
      <c r="E55" s="41"/>
      <c r="F55" s="41"/>
    </row>
    <row r="56">
      <c r="A56" s="40"/>
      <c r="B56" s="41"/>
      <c r="C56" s="41"/>
      <c r="D56" s="41"/>
      <c r="E56" s="41"/>
      <c r="F56" s="41"/>
    </row>
    <row r="57">
      <c r="A57" s="40"/>
      <c r="B57" s="41"/>
      <c r="C57" s="41"/>
      <c r="D57" s="41"/>
      <c r="E57" s="41"/>
      <c r="F57" s="41"/>
    </row>
    <row r="58">
      <c r="A58" s="40"/>
      <c r="B58" s="41"/>
      <c r="C58" s="41"/>
      <c r="D58" s="41"/>
      <c r="E58" s="41"/>
      <c r="F58" s="41"/>
    </row>
    <row r="59">
      <c r="A59" s="40"/>
      <c r="B59" s="41"/>
      <c r="C59" s="41"/>
      <c r="D59" s="41"/>
      <c r="E59" s="41"/>
      <c r="F59" s="41"/>
    </row>
    <row r="60">
      <c r="A60" s="40"/>
      <c r="B60" s="41"/>
      <c r="C60" s="41"/>
      <c r="D60" s="41"/>
      <c r="E60" s="41"/>
      <c r="F60" s="41"/>
    </row>
    <row r="61">
      <c r="A61" s="40"/>
      <c r="B61" s="41"/>
      <c r="C61" s="41"/>
      <c r="D61" s="41"/>
      <c r="E61" s="41"/>
      <c r="F61" s="41"/>
    </row>
    <row r="62">
      <c r="A62" s="40"/>
      <c r="B62" s="41"/>
      <c r="C62" s="41"/>
      <c r="D62" s="41"/>
      <c r="E62" s="41"/>
      <c r="F62" s="41"/>
    </row>
    <row r="63">
      <c r="A63" s="40"/>
      <c r="B63" s="41"/>
      <c r="C63" s="41"/>
      <c r="D63" s="41"/>
      <c r="E63" s="41"/>
      <c r="F63" s="41"/>
    </row>
    <row r="64">
      <c r="A64" s="40"/>
      <c r="B64" s="41"/>
      <c r="C64" s="41"/>
      <c r="D64" s="41"/>
      <c r="E64" s="41"/>
      <c r="F64" s="41"/>
    </row>
    <row r="65">
      <c r="A65" s="40"/>
      <c r="B65" s="41"/>
      <c r="C65" s="41"/>
      <c r="D65" s="41"/>
      <c r="E65" s="41"/>
      <c r="F65" s="41"/>
    </row>
    <row r="66">
      <c r="A66" s="40"/>
      <c r="B66" s="41"/>
      <c r="C66" s="41"/>
      <c r="D66" s="41"/>
      <c r="E66" s="41"/>
      <c r="F66" s="41"/>
    </row>
    <row r="67">
      <c r="A67" s="40"/>
      <c r="B67" s="41"/>
      <c r="C67" s="41"/>
      <c r="D67" s="41"/>
      <c r="E67" s="41"/>
      <c r="F67" s="41"/>
    </row>
    <row r="68">
      <c r="A68" s="40"/>
      <c r="B68" s="41"/>
      <c r="C68" s="41"/>
      <c r="D68" s="41"/>
      <c r="E68" s="41"/>
      <c r="F68" s="41"/>
    </row>
    <row r="69">
      <c r="A69" s="40"/>
      <c r="B69" s="41"/>
      <c r="C69" s="41"/>
      <c r="D69" s="41"/>
      <c r="E69" s="41"/>
      <c r="F69" s="41"/>
    </row>
    <row r="70">
      <c r="A70" s="40"/>
      <c r="B70" s="41"/>
      <c r="C70" s="41"/>
      <c r="D70" s="41"/>
      <c r="E70" s="41"/>
      <c r="F70" s="41"/>
    </row>
    <row r="71">
      <c r="A71" s="40"/>
      <c r="B71" s="41"/>
      <c r="C71" s="41"/>
      <c r="D71" s="41"/>
      <c r="E71" s="41"/>
      <c r="F71" s="41"/>
    </row>
    <row r="72">
      <c r="A72" s="40"/>
      <c r="B72" s="41"/>
      <c r="C72" s="41"/>
      <c r="D72" s="41"/>
      <c r="E72" s="41"/>
      <c r="F72" s="41"/>
    </row>
    <row r="73">
      <c r="A73" s="40"/>
      <c r="B73" s="41"/>
      <c r="C73" s="41"/>
      <c r="D73" s="41"/>
      <c r="E73" s="41"/>
      <c r="F73" s="41"/>
    </row>
    <row r="74">
      <c r="A74" s="40"/>
      <c r="B74" s="41"/>
      <c r="C74" s="41"/>
      <c r="D74" s="41"/>
      <c r="E74" s="41"/>
      <c r="F74" s="41"/>
    </row>
    <row r="75">
      <c r="A75" s="40"/>
      <c r="B75" s="41"/>
      <c r="C75" s="41"/>
      <c r="D75" s="41"/>
      <c r="E75" s="41"/>
      <c r="F75" s="41"/>
    </row>
    <row r="76">
      <c r="A76" s="40"/>
      <c r="B76" s="41"/>
      <c r="C76" s="41"/>
      <c r="D76" s="41"/>
      <c r="E76" s="41"/>
      <c r="F76" s="41"/>
    </row>
    <row r="77">
      <c r="A77" s="40"/>
      <c r="B77" s="41"/>
      <c r="C77" s="41"/>
      <c r="D77" s="41"/>
      <c r="E77" s="41"/>
      <c r="F77" s="41"/>
    </row>
    <row r="78">
      <c r="A78" s="40"/>
      <c r="B78" s="41"/>
      <c r="C78" s="41"/>
      <c r="D78" s="41"/>
      <c r="E78" s="41"/>
      <c r="F78" s="41"/>
    </row>
    <row r="79">
      <c r="A79" s="40"/>
      <c r="B79" s="41"/>
      <c r="C79" s="41"/>
      <c r="D79" s="41"/>
      <c r="E79" s="41"/>
      <c r="F79" s="41"/>
    </row>
    <row r="80">
      <c r="A80" s="40"/>
      <c r="B80" s="41"/>
      <c r="C80" s="41"/>
      <c r="D80" s="41"/>
      <c r="E80" s="41"/>
      <c r="F80" s="41"/>
    </row>
    <row r="81">
      <c r="A81" s="40"/>
      <c r="B81" s="41"/>
      <c r="C81" s="41"/>
      <c r="D81" s="41"/>
      <c r="E81" s="41"/>
      <c r="F81" s="41"/>
    </row>
    <row r="82">
      <c r="A82" s="40"/>
      <c r="B82" s="41"/>
      <c r="C82" s="41"/>
      <c r="D82" s="41"/>
      <c r="E82" s="41"/>
      <c r="F82" s="41"/>
    </row>
    <row r="83">
      <c r="A83" s="40"/>
      <c r="B83" s="41"/>
      <c r="C83" s="41"/>
      <c r="D83" s="41"/>
      <c r="E83" s="41"/>
      <c r="F83" s="41"/>
    </row>
    <row r="84">
      <c r="A84" s="40"/>
      <c r="B84" s="41"/>
      <c r="C84" s="41"/>
      <c r="D84" s="41"/>
      <c r="E84" s="41"/>
      <c r="F84" s="41"/>
    </row>
    <row r="85">
      <c r="A85" s="40"/>
      <c r="B85" s="41"/>
      <c r="C85" s="41"/>
      <c r="D85" s="41"/>
      <c r="E85" s="41"/>
      <c r="F85" s="41"/>
    </row>
    <row r="86">
      <c r="A86" s="40"/>
      <c r="B86" s="41"/>
      <c r="C86" s="41"/>
      <c r="D86" s="41"/>
      <c r="E86" s="41"/>
      <c r="F86" s="41"/>
    </row>
    <row r="87">
      <c r="A87" s="40"/>
      <c r="B87" s="41"/>
      <c r="C87" s="41"/>
      <c r="D87" s="41"/>
      <c r="E87" s="41"/>
      <c r="F87" s="41"/>
    </row>
    <row r="88">
      <c r="A88" s="40"/>
      <c r="B88" s="41"/>
      <c r="C88" s="41"/>
      <c r="D88" s="41"/>
      <c r="E88" s="41"/>
      <c r="F88" s="41"/>
    </row>
    <row r="89">
      <c r="A89" s="40"/>
      <c r="B89" s="41"/>
      <c r="C89" s="41"/>
      <c r="D89" s="41"/>
      <c r="E89" s="41"/>
      <c r="F89" s="41"/>
    </row>
    <row r="90">
      <c r="A90" s="40"/>
      <c r="B90" s="41"/>
      <c r="C90" s="41"/>
      <c r="D90" s="41"/>
      <c r="E90" s="41"/>
      <c r="F90" s="41"/>
    </row>
    <row r="91">
      <c r="A91" s="40"/>
      <c r="B91" s="41"/>
      <c r="C91" s="41"/>
      <c r="D91" s="41"/>
      <c r="E91" s="41"/>
      <c r="F91" s="41"/>
    </row>
    <row r="92">
      <c r="A92" s="40"/>
      <c r="B92" s="41"/>
      <c r="C92" s="41"/>
      <c r="D92" s="41"/>
      <c r="E92" s="41"/>
      <c r="F92" s="41"/>
    </row>
    <row r="93">
      <c r="A93" s="40"/>
      <c r="B93" s="41"/>
      <c r="C93" s="41"/>
      <c r="D93" s="41"/>
      <c r="E93" s="41"/>
      <c r="F93" s="41"/>
    </row>
    <row r="94">
      <c r="A94" s="40"/>
      <c r="B94" s="41"/>
      <c r="C94" s="41"/>
      <c r="D94" s="41"/>
      <c r="E94" s="41"/>
      <c r="F94" s="41"/>
    </row>
    <row r="95">
      <c r="A95" s="40"/>
      <c r="B95" s="41"/>
      <c r="C95" s="41"/>
      <c r="D95" s="41"/>
      <c r="E95" s="41"/>
      <c r="F95" s="41"/>
    </row>
    <row r="96">
      <c r="A96" s="40"/>
      <c r="B96" s="41"/>
      <c r="C96" s="41"/>
      <c r="D96" s="41"/>
      <c r="E96" s="41"/>
      <c r="F96" s="41"/>
    </row>
    <row r="97">
      <c r="A97" s="40"/>
      <c r="B97" s="41"/>
      <c r="C97" s="41"/>
      <c r="D97" s="41"/>
      <c r="E97" s="41"/>
      <c r="F97" s="41"/>
    </row>
    <row r="98">
      <c r="A98" s="40"/>
      <c r="B98" s="41"/>
      <c r="C98" s="41"/>
      <c r="D98" s="41"/>
      <c r="E98" s="41"/>
      <c r="F98" s="41"/>
    </row>
    <row r="99">
      <c r="A99" s="40"/>
      <c r="B99" s="41"/>
      <c r="C99" s="41"/>
      <c r="D99" s="41"/>
      <c r="E99" s="41"/>
      <c r="F99" s="41"/>
    </row>
    <row r="100">
      <c r="A100" s="40"/>
      <c r="B100" s="41"/>
      <c r="C100" s="41"/>
      <c r="D100" s="41"/>
      <c r="E100" s="41"/>
      <c r="F100" s="41"/>
    </row>
    <row r="101">
      <c r="A101" s="40"/>
      <c r="B101" s="41"/>
      <c r="C101" s="41"/>
      <c r="D101" s="41"/>
      <c r="E101" s="41"/>
      <c r="F101" s="41"/>
    </row>
    <row r="102">
      <c r="A102" s="40"/>
      <c r="B102" s="41"/>
      <c r="C102" s="41"/>
      <c r="D102" s="41"/>
      <c r="E102" s="41"/>
      <c r="F102" s="41"/>
    </row>
    <row r="103">
      <c r="A103" s="40"/>
      <c r="B103" s="41"/>
      <c r="C103" s="41"/>
      <c r="D103" s="41"/>
      <c r="E103" s="41"/>
      <c r="F103" s="41"/>
    </row>
    <row r="104">
      <c r="A104" s="40"/>
      <c r="B104" s="41"/>
      <c r="C104" s="41"/>
      <c r="D104" s="41"/>
      <c r="E104" s="41"/>
      <c r="F104" s="41"/>
    </row>
    <row r="105">
      <c r="A105" s="40"/>
      <c r="B105" s="41"/>
      <c r="C105" s="41"/>
      <c r="D105" s="41"/>
      <c r="E105" s="41"/>
      <c r="F105" s="41"/>
    </row>
    <row r="106">
      <c r="A106" s="40"/>
      <c r="B106" s="41"/>
      <c r="C106" s="41"/>
      <c r="D106" s="41"/>
      <c r="E106" s="41"/>
      <c r="F106" s="41"/>
    </row>
    <row r="107">
      <c r="A107" s="40"/>
      <c r="B107" s="41"/>
      <c r="C107" s="41"/>
      <c r="D107" s="41"/>
      <c r="E107" s="41"/>
      <c r="F107" s="41"/>
    </row>
    <row r="108">
      <c r="A108" s="40"/>
      <c r="B108" s="41"/>
      <c r="C108" s="41"/>
      <c r="D108" s="41"/>
      <c r="E108" s="41"/>
      <c r="F108" s="41"/>
    </row>
    <row r="109">
      <c r="A109" s="40"/>
      <c r="B109" s="41"/>
      <c r="C109" s="41"/>
      <c r="D109" s="41"/>
      <c r="E109" s="41"/>
      <c r="F109" s="41"/>
    </row>
    <row r="110">
      <c r="A110" s="40"/>
      <c r="B110" s="41"/>
      <c r="C110" s="41"/>
      <c r="D110" s="41"/>
      <c r="E110" s="41"/>
      <c r="F110" s="41"/>
    </row>
    <row r="111">
      <c r="A111" s="40"/>
      <c r="B111" s="41"/>
      <c r="C111" s="41"/>
      <c r="D111" s="41"/>
      <c r="E111" s="41"/>
      <c r="F111" s="41"/>
    </row>
    <row r="112">
      <c r="A112" s="40"/>
      <c r="B112" s="41"/>
      <c r="C112" s="41"/>
      <c r="D112" s="41"/>
      <c r="E112" s="41"/>
      <c r="F112" s="41"/>
    </row>
    <row r="113">
      <c r="A113" s="40"/>
      <c r="B113" s="41"/>
      <c r="C113" s="41"/>
      <c r="D113" s="41"/>
      <c r="E113" s="41"/>
      <c r="F113" s="41"/>
    </row>
    <row r="114">
      <c r="A114" s="40"/>
      <c r="B114" s="41"/>
      <c r="C114" s="41"/>
      <c r="D114" s="41"/>
      <c r="E114" s="41"/>
      <c r="F114" s="41"/>
    </row>
    <row r="115">
      <c r="A115" s="40"/>
      <c r="B115" s="41"/>
      <c r="C115" s="41"/>
      <c r="D115" s="41"/>
      <c r="E115" s="41"/>
      <c r="F115" s="41"/>
    </row>
    <row r="116">
      <c r="A116" s="40"/>
      <c r="B116" s="41"/>
      <c r="C116" s="41"/>
      <c r="D116" s="41"/>
      <c r="E116" s="41"/>
      <c r="F116" s="41"/>
    </row>
    <row r="117">
      <c r="A117" s="40"/>
      <c r="B117" s="41"/>
      <c r="C117" s="41"/>
      <c r="D117" s="41"/>
      <c r="E117" s="41"/>
      <c r="F117" s="41"/>
    </row>
    <row r="118">
      <c r="A118" s="40"/>
      <c r="B118" s="41"/>
      <c r="C118" s="41"/>
      <c r="D118" s="41"/>
      <c r="E118" s="41"/>
      <c r="F118" s="41"/>
    </row>
    <row r="119">
      <c r="A119" s="40"/>
      <c r="B119" s="41"/>
      <c r="C119" s="41"/>
      <c r="D119" s="41"/>
      <c r="E119" s="41"/>
      <c r="F119" s="41"/>
    </row>
    <row r="120">
      <c r="A120" s="40"/>
      <c r="B120" s="41"/>
      <c r="C120" s="41"/>
      <c r="D120" s="41"/>
      <c r="E120" s="41"/>
      <c r="F120" s="41"/>
    </row>
    <row r="121">
      <c r="A121" s="40"/>
      <c r="B121" s="41"/>
      <c r="C121" s="41"/>
      <c r="D121" s="41"/>
      <c r="E121" s="41"/>
      <c r="F121" s="41"/>
    </row>
    <row r="122">
      <c r="A122" s="40"/>
      <c r="B122" s="41"/>
      <c r="C122" s="41"/>
      <c r="D122" s="41"/>
      <c r="E122" s="41"/>
      <c r="F122" s="41"/>
    </row>
    <row r="123">
      <c r="A123" s="40"/>
      <c r="B123" s="41"/>
      <c r="C123" s="41"/>
      <c r="D123" s="41"/>
      <c r="E123" s="41"/>
      <c r="F123" s="41"/>
    </row>
    <row r="124">
      <c r="A124" s="40"/>
      <c r="B124" s="41"/>
      <c r="C124" s="41"/>
      <c r="D124" s="41"/>
      <c r="E124" s="41"/>
      <c r="F124" s="41"/>
    </row>
    <row r="125">
      <c r="A125" s="40"/>
      <c r="B125" s="41"/>
      <c r="C125" s="41"/>
      <c r="D125" s="41"/>
      <c r="E125" s="41"/>
      <c r="F125" s="41"/>
    </row>
    <row r="126">
      <c r="A126" s="40"/>
      <c r="B126" s="41"/>
      <c r="C126" s="41"/>
      <c r="D126" s="41"/>
      <c r="E126" s="41"/>
      <c r="F126" s="41"/>
    </row>
    <row r="127">
      <c r="A127" s="40"/>
      <c r="B127" s="41"/>
      <c r="C127" s="41"/>
      <c r="D127" s="41"/>
      <c r="E127" s="41"/>
      <c r="F127" s="41"/>
    </row>
    <row r="128">
      <c r="A128" s="40"/>
      <c r="B128" s="41"/>
      <c r="C128" s="41"/>
      <c r="D128" s="41"/>
      <c r="E128" s="41"/>
      <c r="F128" s="41"/>
    </row>
    <row r="129">
      <c r="A129" s="40"/>
      <c r="B129" s="41"/>
      <c r="C129" s="41"/>
      <c r="D129" s="41"/>
      <c r="E129" s="41"/>
      <c r="F129" s="41"/>
    </row>
    <row r="130">
      <c r="A130" s="40"/>
      <c r="B130" s="41"/>
      <c r="C130" s="41"/>
      <c r="D130" s="41"/>
      <c r="E130" s="41"/>
      <c r="F130" s="41"/>
    </row>
    <row r="131">
      <c r="A131" s="40"/>
      <c r="B131" s="41"/>
      <c r="C131" s="41"/>
      <c r="D131" s="41"/>
      <c r="E131" s="41"/>
      <c r="F131" s="41"/>
    </row>
    <row r="132">
      <c r="A132" s="40"/>
      <c r="B132" s="41"/>
      <c r="C132" s="41"/>
      <c r="D132" s="41"/>
      <c r="E132" s="41"/>
      <c r="F132" s="41"/>
    </row>
    <row r="133">
      <c r="A133" s="40"/>
      <c r="B133" s="41"/>
      <c r="C133" s="41"/>
      <c r="D133" s="41"/>
      <c r="E133" s="41"/>
      <c r="F133" s="41"/>
    </row>
    <row r="134">
      <c r="A134" s="40"/>
      <c r="B134" s="41"/>
      <c r="C134" s="41"/>
      <c r="D134" s="41"/>
      <c r="E134" s="41"/>
      <c r="F134" s="41"/>
    </row>
    <row r="135">
      <c r="A135" s="40"/>
      <c r="B135" s="41"/>
      <c r="C135" s="41"/>
      <c r="D135" s="41"/>
      <c r="E135" s="41"/>
      <c r="F135" s="41"/>
    </row>
    <row r="136">
      <c r="A136" s="40"/>
      <c r="B136" s="41"/>
      <c r="C136" s="41"/>
      <c r="D136" s="41"/>
      <c r="E136" s="41"/>
      <c r="F136" s="41"/>
    </row>
    <row r="137">
      <c r="A137" s="40"/>
      <c r="B137" s="41"/>
      <c r="C137" s="41"/>
      <c r="D137" s="41"/>
      <c r="E137" s="41"/>
      <c r="F137" s="41"/>
    </row>
    <row r="138">
      <c r="A138" s="40"/>
      <c r="B138" s="41"/>
      <c r="C138" s="41"/>
      <c r="D138" s="41"/>
      <c r="E138" s="41"/>
      <c r="F138" s="41"/>
    </row>
    <row r="139">
      <c r="A139" s="40"/>
      <c r="B139" s="41"/>
      <c r="C139" s="41"/>
      <c r="D139" s="41"/>
      <c r="E139" s="41"/>
      <c r="F139" s="41"/>
    </row>
    <row r="140">
      <c r="A140" s="40"/>
      <c r="B140" s="41"/>
      <c r="C140" s="41"/>
      <c r="D140" s="41"/>
      <c r="E140" s="41"/>
      <c r="F140" s="41"/>
    </row>
    <row r="141">
      <c r="A141" s="40"/>
      <c r="B141" s="41"/>
      <c r="C141" s="41"/>
      <c r="D141" s="41"/>
      <c r="E141" s="41"/>
      <c r="F141" s="41"/>
    </row>
    <row r="142">
      <c r="A142" s="40"/>
      <c r="B142" s="41"/>
      <c r="C142" s="41"/>
      <c r="D142" s="41"/>
      <c r="E142" s="41"/>
      <c r="F142" s="41"/>
    </row>
    <row r="143">
      <c r="A143" s="40"/>
      <c r="B143" s="41"/>
      <c r="C143" s="41"/>
      <c r="D143" s="41"/>
      <c r="E143" s="41"/>
      <c r="F143" s="41"/>
    </row>
    <row r="144">
      <c r="A144" s="40"/>
      <c r="B144" s="41"/>
      <c r="C144" s="41"/>
      <c r="D144" s="41"/>
      <c r="E144" s="41"/>
      <c r="F144" s="41"/>
    </row>
    <row r="145">
      <c r="A145" s="40"/>
      <c r="B145" s="41"/>
      <c r="C145" s="41"/>
      <c r="D145" s="41"/>
      <c r="E145" s="41"/>
      <c r="F145" s="41"/>
    </row>
    <row r="146">
      <c r="A146" s="40"/>
      <c r="B146" s="41"/>
      <c r="C146" s="41"/>
      <c r="D146" s="41"/>
      <c r="E146" s="41"/>
      <c r="F146" s="41"/>
    </row>
    <row r="147">
      <c r="A147" s="40"/>
      <c r="B147" s="41"/>
      <c r="C147" s="41"/>
      <c r="D147" s="41"/>
      <c r="E147" s="41"/>
      <c r="F147" s="41"/>
    </row>
    <row r="148">
      <c r="A148" s="40"/>
      <c r="B148" s="41"/>
      <c r="C148" s="41"/>
      <c r="D148" s="41"/>
      <c r="E148" s="41"/>
      <c r="F148" s="41"/>
    </row>
    <row r="149">
      <c r="A149" s="40"/>
      <c r="B149" s="41"/>
      <c r="C149" s="41"/>
      <c r="D149" s="41"/>
      <c r="E149" s="41"/>
      <c r="F149" s="41"/>
    </row>
    <row r="150">
      <c r="A150" s="40"/>
      <c r="B150" s="41"/>
      <c r="C150" s="41"/>
      <c r="D150" s="41"/>
      <c r="E150" s="41"/>
      <c r="F150" s="41"/>
    </row>
    <row r="151">
      <c r="A151" s="40"/>
      <c r="B151" s="41"/>
      <c r="C151" s="41"/>
      <c r="D151" s="41"/>
      <c r="E151" s="41"/>
      <c r="F151" s="41"/>
    </row>
    <row r="152">
      <c r="A152" s="40"/>
      <c r="B152" s="41"/>
      <c r="C152" s="41"/>
      <c r="D152" s="41"/>
      <c r="E152" s="41"/>
      <c r="F152" s="41"/>
    </row>
    <row r="153">
      <c r="A153" s="40"/>
      <c r="B153" s="41"/>
      <c r="C153" s="41"/>
      <c r="D153" s="41"/>
      <c r="E153" s="41"/>
      <c r="F153" s="41"/>
    </row>
    <row r="154">
      <c r="A154" s="40"/>
      <c r="B154" s="41"/>
      <c r="C154" s="41"/>
      <c r="D154" s="41"/>
      <c r="E154" s="41"/>
      <c r="F154" s="41"/>
    </row>
    <row r="155">
      <c r="A155" s="40"/>
      <c r="B155" s="41"/>
      <c r="C155" s="41"/>
      <c r="D155" s="41"/>
      <c r="E155" s="41"/>
      <c r="F155" s="41"/>
    </row>
    <row r="156">
      <c r="A156" s="40"/>
      <c r="B156" s="41"/>
      <c r="C156" s="41"/>
      <c r="D156" s="41"/>
      <c r="E156" s="41"/>
      <c r="F156" s="41"/>
    </row>
    <row r="157">
      <c r="A157" s="40"/>
      <c r="B157" s="41"/>
      <c r="C157" s="41"/>
      <c r="D157" s="41"/>
      <c r="E157" s="41"/>
      <c r="F157" s="41"/>
    </row>
    <row r="158">
      <c r="A158" s="40"/>
      <c r="B158" s="41"/>
      <c r="C158" s="41"/>
      <c r="D158" s="41"/>
      <c r="E158" s="41"/>
      <c r="F158" s="41"/>
    </row>
    <row r="159">
      <c r="A159" s="40"/>
      <c r="B159" s="41"/>
      <c r="C159" s="41"/>
      <c r="D159" s="41"/>
      <c r="E159" s="41"/>
      <c r="F159" s="41"/>
    </row>
    <row r="160">
      <c r="A160" s="40"/>
      <c r="B160" s="41"/>
      <c r="C160" s="41"/>
      <c r="D160" s="41"/>
      <c r="E160" s="41"/>
      <c r="F160" s="41"/>
    </row>
    <row r="161">
      <c r="A161" s="40"/>
      <c r="B161" s="41"/>
      <c r="C161" s="41"/>
      <c r="D161" s="41"/>
      <c r="E161" s="41"/>
      <c r="F161" s="41"/>
    </row>
    <row r="162">
      <c r="A162" s="40"/>
      <c r="B162" s="41"/>
      <c r="C162" s="41"/>
      <c r="D162" s="41"/>
      <c r="E162" s="41"/>
      <c r="F162" s="41"/>
    </row>
    <row r="163">
      <c r="A163" s="40"/>
      <c r="B163" s="41"/>
      <c r="C163" s="41"/>
      <c r="D163" s="41"/>
      <c r="E163" s="41"/>
      <c r="F163" s="41"/>
    </row>
    <row r="164">
      <c r="A164" s="40"/>
      <c r="B164" s="41"/>
      <c r="C164" s="41"/>
      <c r="D164" s="41"/>
      <c r="E164" s="41"/>
      <c r="F164" s="41"/>
    </row>
    <row r="165">
      <c r="A165" s="40"/>
      <c r="B165" s="41"/>
      <c r="C165" s="41"/>
      <c r="D165" s="41"/>
      <c r="E165" s="41"/>
      <c r="F165" s="41"/>
    </row>
    <row r="166">
      <c r="A166" s="40"/>
      <c r="B166" s="41"/>
      <c r="C166" s="41"/>
      <c r="D166" s="41"/>
      <c r="E166" s="41"/>
      <c r="F166" s="41"/>
    </row>
    <row r="167">
      <c r="A167" s="40"/>
      <c r="B167" s="41"/>
      <c r="C167" s="41"/>
      <c r="D167" s="41"/>
      <c r="E167" s="41"/>
      <c r="F167" s="41"/>
    </row>
    <row r="168">
      <c r="A168" s="40"/>
      <c r="B168" s="41"/>
      <c r="C168" s="41"/>
      <c r="D168" s="41"/>
      <c r="E168" s="41"/>
      <c r="F168" s="41"/>
    </row>
    <row r="169">
      <c r="A169" s="40"/>
      <c r="B169" s="41"/>
      <c r="C169" s="41"/>
      <c r="D169" s="41"/>
      <c r="E169" s="41"/>
      <c r="F169" s="41"/>
    </row>
    <row r="170">
      <c r="A170" s="40"/>
      <c r="B170" s="41"/>
      <c r="C170" s="41"/>
      <c r="D170" s="41"/>
      <c r="E170" s="41"/>
      <c r="F170" s="41"/>
    </row>
    <row r="171">
      <c r="A171" s="40"/>
      <c r="B171" s="41"/>
      <c r="C171" s="41"/>
      <c r="D171" s="41"/>
      <c r="E171" s="41"/>
      <c r="F171" s="41"/>
    </row>
    <row r="172">
      <c r="A172" s="40"/>
      <c r="B172" s="41"/>
      <c r="C172" s="41"/>
      <c r="D172" s="41"/>
      <c r="E172" s="41"/>
      <c r="F172" s="41"/>
    </row>
    <row r="173">
      <c r="A173" s="40"/>
      <c r="B173" s="41"/>
      <c r="C173" s="41"/>
      <c r="D173" s="41"/>
      <c r="E173" s="41"/>
      <c r="F173" s="41"/>
    </row>
    <row r="174">
      <c r="A174" s="40"/>
      <c r="B174" s="41"/>
      <c r="C174" s="41"/>
      <c r="D174" s="41"/>
      <c r="E174" s="41"/>
      <c r="F174" s="41"/>
    </row>
    <row r="175">
      <c r="A175" s="40"/>
      <c r="B175" s="41"/>
      <c r="C175" s="41"/>
      <c r="D175" s="41"/>
      <c r="E175" s="41"/>
      <c r="F175" s="41"/>
    </row>
    <row r="176">
      <c r="A176" s="40"/>
      <c r="B176" s="41"/>
      <c r="C176" s="41"/>
      <c r="D176" s="41"/>
      <c r="E176" s="41"/>
      <c r="F176" s="41"/>
    </row>
    <row r="177">
      <c r="A177" s="40"/>
      <c r="B177" s="41"/>
      <c r="C177" s="41"/>
      <c r="D177" s="41"/>
      <c r="E177" s="41"/>
      <c r="F177" s="41"/>
    </row>
    <row r="178">
      <c r="A178" s="40"/>
      <c r="B178" s="41"/>
      <c r="C178" s="41"/>
      <c r="D178" s="41"/>
      <c r="E178" s="41"/>
      <c r="F178" s="41"/>
    </row>
    <row r="179">
      <c r="A179" s="40"/>
      <c r="B179" s="41"/>
      <c r="C179" s="41"/>
      <c r="D179" s="41"/>
      <c r="E179" s="41"/>
      <c r="F179" s="41"/>
    </row>
    <row r="180">
      <c r="A180" s="40"/>
      <c r="B180" s="41"/>
      <c r="C180" s="41"/>
      <c r="D180" s="41"/>
      <c r="E180" s="41"/>
      <c r="F180" s="41"/>
    </row>
    <row r="181">
      <c r="A181" s="40"/>
      <c r="B181" s="41"/>
      <c r="C181" s="41"/>
      <c r="D181" s="41"/>
      <c r="E181" s="41"/>
      <c r="F181" s="41"/>
    </row>
    <row r="182">
      <c r="A182" s="40"/>
      <c r="B182" s="41"/>
      <c r="C182" s="41"/>
      <c r="D182" s="41"/>
      <c r="E182" s="41"/>
      <c r="F182" s="41"/>
    </row>
    <row r="183">
      <c r="A183" s="40"/>
      <c r="B183" s="41"/>
      <c r="C183" s="41"/>
      <c r="D183" s="41"/>
      <c r="E183" s="41"/>
      <c r="F183" s="41"/>
    </row>
    <row r="184">
      <c r="A184" s="40"/>
      <c r="B184" s="41"/>
      <c r="C184" s="41"/>
      <c r="D184" s="41"/>
      <c r="E184" s="41"/>
      <c r="F184" s="41"/>
    </row>
    <row r="185">
      <c r="A185" s="40"/>
      <c r="B185" s="41"/>
      <c r="C185" s="41"/>
      <c r="D185" s="41"/>
      <c r="E185" s="41"/>
      <c r="F185" s="41"/>
    </row>
    <row r="186">
      <c r="A186" s="40"/>
      <c r="B186" s="41"/>
      <c r="C186" s="41"/>
      <c r="D186" s="41"/>
      <c r="E186" s="41"/>
      <c r="F186" s="41"/>
    </row>
    <row r="187">
      <c r="A187" s="40"/>
      <c r="B187" s="41"/>
      <c r="C187" s="41"/>
      <c r="D187" s="41"/>
      <c r="E187" s="41"/>
      <c r="F187" s="41"/>
    </row>
    <row r="188">
      <c r="A188" s="40"/>
      <c r="B188" s="41"/>
      <c r="C188" s="41"/>
      <c r="D188" s="41"/>
      <c r="E188" s="41"/>
      <c r="F188" s="41"/>
    </row>
    <row r="189">
      <c r="A189" s="40"/>
      <c r="B189" s="41"/>
      <c r="C189" s="41"/>
      <c r="D189" s="41"/>
      <c r="E189" s="41"/>
      <c r="F189" s="41"/>
    </row>
    <row r="190">
      <c r="A190" s="40"/>
      <c r="B190" s="41"/>
      <c r="C190" s="41"/>
      <c r="D190" s="41"/>
      <c r="E190" s="41"/>
      <c r="F190" s="41"/>
    </row>
    <row r="191">
      <c r="A191" s="40"/>
      <c r="B191" s="41"/>
      <c r="C191" s="41"/>
      <c r="D191" s="41"/>
      <c r="E191" s="41"/>
      <c r="F191" s="41"/>
    </row>
    <row r="192">
      <c r="A192" s="40"/>
      <c r="B192" s="41"/>
      <c r="C192" s="41"/>
      <c r="D192" s="41"/>
      <c r="E192" s="41"/>
      <c r="F192" s="41"/>
    </row>
    <row r="193">
      <c r="A193" s="40"/>
      <c r="B193" s="41"/>
      <c r="C193" s="41"/>
      <c r="D193" s="41"/>
      <c r="E193" s="41"/>
      <c r="F193" s="41"/>
    </row>
    <row r="194">
      <c r="A194" s="40"/>
      <c r="B194" s="41"/>
      <c r="C194" s="41"/>
      <c r="D194" s="41"/>
      <c r="E194" s="41"/>
      <c r="F194" s="41"/>
    </row>
    <row r="195">
      <c r="A195" s="40"/>
      <c r="B195" s="41"/>
      <c r="C195" s="41"/>
      <c r="D195" s="41"/>
      <c r="E195" s="41"/>
      <c r="F195" s="41"/>
    </row>
    <row r="196">
      <c r="A196" s="40"/>
      <c r="B196" s="41"/>
      <c r="C196" s="41"/>
      <c r="D196" s="41"/>
      <c r="E196" s="41"/>
      <c r="F196" s="41"/>
    </row>
    <row r="197">
      <c r="A197" s="40"/>
      <c r="B197" s="41"/>
      <c r="C197" s="41"/>
      <c r="D197" s="41"/>
      <c r="E197" s="41"/>
      <c r="F197" s="41"/>
    </row>
    <row r="198">
      <c r="A198" s="40"/>
      <c r="B198" s="41"/>
      <c r="C198" s="41"/>
      <c r="D198" s="41"/>
      <c r="E198" s="41"/>
      <c r="F198" s="41"/>
    </row>
    <row r="199">
      <c r="A199" s="40"/>
      <c r="B199" s="41"/>
      <c r="C199" s="41"/>
      <c r="D199" s="41"/>
      <c r="E199" s="41"/>
      <c r="F199" s="41"/>
    </row>
    <row r="200">
      <c r="A200" s="40"/>
      <c r="B200" s="41"/>
      <c r="C200" s="41"/>
      <c r="D200" s="41"/>
      <c r="E200" s="41"/>
      <c r="F200" s="41"/>
    </row>
    <row r="201">
      <c r="A201" s="40"/>
      <c r="B201" s="41"/>
      <c r="C201" s="41"/>
      <c r="D201" s="41"/>
      <c r="E201" s="41"/>
      <c r="F201" s="41"/>
    </row>
    <row r="202">
      <c r="A202" s="40"/>
      <c r="B202" s="41"/>
      <c r="C202" s="41"/>
      <c r="D202" s="41"/>
      <c r="E202" s="41"/>
      <c r="F202" s="41"/>
    </row>
    <row r="203">
      <c r="A203" s="40"/>
      <c r="B203" s="41"/>
      <c r="C203" s="41"/>
      <c r="D203" s="41"/>
      <c r="E203" s="41"/>
      <c r="F203" s="41"/>
    </row>
    <row r="204">
      <c r="A204" s="40"/>
      <c r="B204" s="41"/>
      <c r="C204" s="41"/>
      <c r="D204" s="41"/>
      <c r="E204" s="41"/>
      <c r="F204" s="41"/>
    </row>
    <row r="205">
      <c r="A205" s="40"/>
      <c r="B205" s="41"/>
      <c r="C205" s="41"/>
      <c r="D205" s="41"/>
      <c r="E205" s="41"/>
      <c r="F205" s="41"/>
    </row>
    <row r="206">
      <c r="A206" s="40"/>
      <c r="B206" s="41"/>
      <c r="C206" s="41"/>
      <c r="D206" s="41"/>
      <c r="E206" s="41"/>
      <c r="F206" s="41"/>
    </row>
    <row r="207">
      <c r="A207" s="40"/>
      <c r="B207" s="41"/>
      <c r="C207" s="41"/>
      <c r="D207" s="41"/>
      <c r="E207" s="41"/>
      <c r="F207" s="41"/>
    </row>
    <row r="208">
      <c r="A208" s="40"/>
      <c r="B208" s="41"/>
      <c r="C208" s="41"/>
      <c r="D208" s="41"/>
      <c r="E208" s="41"/>
      <c r="F208" s="41"/>
    </row>
    <row r="209">
      <c r="A209" s="40"/>
      <c r="B209" s="41"/>
      <c r="C209" s="41"/>
      <c r="D209" s="41"/>
      <c r="E209" s="41"/>
      <c r="F209" s="41"/>
    </row>
    <row r="210">
      <c r="A210" s="40"/>
      <c r="B210" s="41"/>
      <c r="C210" s="41"/>
      <c r="D210" s="41"/>
      <c r="E210" s="41"/>
      <c r="F210" s="41"/>
    </row>
    <row r="211">
      <c r="A211" s="40"/>
      <c r="B211" s="41"/>
      <c r="C211" s="41"/>
      <c r="D211" s="41"/>
      <c r="E211" s="41"/>
      <c r="F211" s="41"/>
    </row>
    <row r="212">
      <c r="A212" s="40"/>
      <c r="B212" s="41"/>
      <c r="C212" s="41"/>
      <c r="D212" s="41"/>
      <c r="E212" s="41"/>
      <c r="F212" s="41"/>
    </row>
    <row r="213">
      <c r="A213" s="40"/>
      <c r="B213" s="41"/>
      <c r="C213" s="41"/>
      <c r="D213" s="41"/>
      <c r="E213" s="41"/>
      <c r="F213" s="41"/>
    </row>
    <row r="214">
      <c r="A214" s="40"/>
      <c r="B214" s="41"/>
      <c r="C214" s="41"/>
      <c r="D214" s="41"/>
      <c r="E214" s="41"/>
      <c r="F214" s="41"/>
    </row>
    <row r="215">
      <c r="A215" s="40"/>
      <c r="B215" s="41"/>
      <c r="C215" s="41"/>
      <c r="D215" s="41"/>
      <c r="E215" s="41"/>
      <c r="F215" s="41"/>
    </row>
    <row r="216">
      <c r="A216" s="40"/>
      <c r="B216" s="41"/>
      <c r="C216" s="41"/>
      <c r="D216" s="41"/>
      <c r="E216" s="41"/>
      <c r="F216" s="41"/>
    </row>
    <row r="217">
      <c r="A217" s="40"/>
      <c r="B217" s="41"/>
      <c r="C217" s="41"/>
      <c r="D217" s="41"/>
      <c r="E217" s="41"/>
      <c r="F217" s="41"/>
    </row>
    <row r="218">
      <c r="A218" s="40"/>
      <c r="B218" s="41"/>
      <c r="C218" s="41"/>
      <c r="D218" s="41"/>
      <c r="E218" s="41"/>
      <c r="F218" s="41"/>
    </row>
    <row r="219">
      <c r="A219" s="40"/>
      <c r="B219" s="41"/>
      <c r="C219" s="41"/>
      <c r="D219" s="41"/>
      <c r="E219" s="41"/>
      <c r="F219" s="41"/>
    </row>
    <row r="220">
      <c r="A220" s="40"/>
      <c r="B220" s="41"/>
      <c r="C220" s="41"/>
      <c r="D220" s="41"/>
      <c r="E220" s="41"/>
      <c r="F220" s="41"/>
    </row>
    <row r="221">
      <c r="A221" s="40"/>
      <c r="B221" s="41"/>
      <c r="C221" s="41"/>
      <c r="D221" s="41"/>
      <c r="E221" s="41"/>
      <c r="F221" s="41"/>
    </row>
    <row r="222">
      <c r="A222" s="40"/>
      <c r="B222" s="41"/>
      <c r="C222" s="41"/>
      <c r="D222" s="41"/>
      <c r="E222" s="41"/>
      <c r="F222" s="41"/>
    </row>
    <row r="223">
      <c r="A223" s="40"/>
      <c r="B223" s="41"/>
      <c r="C223" s="41"/>
      <c r="D223" s="41"/>
      <c r="E223" s="41"/>
      <c r="F223" s="41"/>
    </row>
    <row r="224">
      <c r="A224" s="40"/>
      <c r="B224" s="41"/>
      <c r="C224" s="41"/>
      <c r="D224" s="41"/>
      <c r="E224" s="41"/>
      <c r="F224" s="41"/>
    </row>
    <row r="225">
      <c r="A225" s="40"/>
      <c r="B225" s="41"/>
      <c r="C225" s="41"/>
      <c r="D225" s="41"/>
      <c r="E225" s="41"/>
      <c r="F225" s="41"/>
    </row>
    <row r="226">
      <c r="A226" s="40"/>
      <c r="B226" s="41"/>
      <c r="C226" s="41"/>
      <c r="D226" s="41"/>
      <c r="E226" s="41"/>
      <c r="F226" s="41"/>
    </row>
    <row r="227">
      <c r="A227" s="40"/>
      <c r="B227" s="41"/>
      <c r="C227" s="41"/>
      <c r="D227" s="41"/>
      <c r="E227" s="41"/>
      <c r="F227" s="41"/>
    </row>
    <row r="228">
      <c r="A228" s="40"/>
      <c r="B228" s="41"/>
      <c r="C228" s="41"/>
      <c r="D228" s="41"/>
      <c r="E228" s="41"/>
      <c r="F228" s="41"/>
    </row>
    <row r="229">
      <c r="A229" s="40"/>
      <c r="B229" s="41"/>
      <c r="C229" s="41"/>
      <c r="D229" s="41"/>
      <c r="E229" s="41"/>
      <c r="F229" s="41"/>
    </row>
    <row r="230">
      <c r="A230" s="40"/>
      <c r="B230" s="41"/>
      <c r="C230" s="41"/>
      <c r="D230" s="41"/>
      <c r="E230" s="41"/>
      <c r="F230" s="41"/>
    </row>
    <row r="231">
      <c r="A231" s="40"/>
      <c r="B231" s="41"/>
      <c r="C231" s="41"/>
      <c r="D231" s="41"/>
      <c r="E231" s="41"/>
      <c r="F231" s="41"/>
    </row>
    <row r="232">
      <c r="A232" s="40"/>
      <c r="B232" s="41"/>
      <c r="C232" s="41"/>
      <c r="D232" s="41"/>
      <c r="E232" s="41"/>
      <c r="F232" s="41"/>
    </row>
    <row r="233">
      <c r="A233" s="40"/>
      <c r="B233" s="41"/>
      <c r="C233" s="41"/>
      <c r="D233" s="41"/>
      <c r="E233" s="41"/>
      <c r="F233" s="41"/>
    </row>
    <row r="234">
      <c r="A234" s="40"/>
      <c r="B234" s="41"/>
      <c r="C234" s="41"/>
      <c r="D234" s="41"/>
      <c r="E234" s="41"/>
      <c r="F234" s="41"/>
    </row>
    <row r="235">
      <c r="A235" s="40"/>
      <c r="B235" s="41"/>
      <c r="C235" s="41"/>
      <c r="D235" s="41"/>
      <c r="E235" s="41"/>
      <c r="F235" s="41"/>
    </row>
    <row r="236">
      <c r="A236" s="40"/>
      <c r="B236" s="41"/>
      <c r="C236" s="41"/>
      <c r="D236" s="41"/>
      <c r="E236" s="41"/>
      <c r="F236" s="41"/>
    </row>
    <row r="237">
      <c r="A237" s="40"/>
      <c r="B237" s="41"/>
      <c r="C237" s="41"/>
      <c r="D237" s="41"/>
      <c r="E237" s="41"/>
      <c r="F237" s="41"/>
    </row>
    <row r="238">
      <c r="A238" s="40"/>
      <c r="B238" s="41"/>
      <c r="C238" s="41"/>
      <c r="D238" s="41"/>
      <c r="E238" s="41"/>
      <c r="F238" s="41"/>
    </row>
    <row r="239">
      <c r="A239" s="40"/>
      <c r="B239" s="41"/>
      <c r="C239" s="41"/>
      <c r="D239" s="41"/>
      <c r="E239" s="41"/>
      <c r="F239" s="41"/>
    </row>
    <row r="240">
      <c r="A240" s="40"/>
      <c r="B240" s="41"/>
      <c r="C240" s="41"/>
      <c r="D240" s="41"/>
      <c r="E240" s="41"/>
      <c r="F240" s="41"/>
    </row>
    <row r="241">
      <c r="A241" s="40"/>
      <c r="B241" s="41"/>
      <c r="C241" s="41"/>
      <c r="D241" s="41"/>
      <c r="E241" s="41"/>
      <c r="F241" s="41"/>
    </row>
    <row r="242">
      <c r="A242" s="40"/>
      <c r="B242" s="41"/>
      <c r="C242" s="41"/>
      <c r="D242" s="41"/>
      <c r="E242" s="41"/>
      <c r="F242" s="41"/>
    </row>
    <row r="243">
      <c r="A243" s="40"/>
      <c r="B243" s="41"/>
      <c r="C243" s="41"/>
      <c r="D243" s="41"/>
      <c r="E243" s="41"/>
      <c r="F243" s="41"/>
    </row>
    <row r="244">
      <c r="A244" s="40"/>
      <c r="B244" s="41"/>
      <c r="C244" s="41"/>
      <c r="D244" s="41"/>
      <c r="E244" s="41"/>
      <c r="F244" s="41"/>
    </row>
    <row r="245">
      <c r="A245" s="40"/>
      <c r="B245" s="41"/>
      <c r="C245" s="41"/>
      <c r="D245" s="41"/>
      <c r="E245" s="41"/>
      <c r="F245" s="41"/>
    </row>
    <row r="246">
      <c r="A246" s="40"/>
      <c r="B246" s="41"/>
      <c r="C246" s="41"/>
      <c r="D246" s="41"/>
      <c r="E246" s="41"/>
      <c r="F246" s="41"/>
    </row>
    <row r="247">
      <c r="A247" s="40"/>
      <c r="B247" s="41"/>
      <c r="C247" s="41"/>
      <c r="D247" s="41"/>
      <c r="E247" s="41"/>
      <c r="F247" s="41"/>
    </row>
    <row r="248">
      <c r="A248" s="40"/>
      <c r="B248" s="41"/>
      <c r="C248" s="41"/>
      <c r="D248" s="41"/>
      <c r="E248" s="41"/>
      <c r="F248" s="41"/>
    </row>
    <row r="249">
      <c r="A249" s="40"/>
      <c r="B249" s="41"/>
      <c r="C249" s="41"/>
      <c r="D249" s="41"/>
      <c r="E249" s="41"/>
      <c r="F249" s="41"/>
    </row>
    <row r="250">
      <c r="A250" s="40"/>
      <c r="B250" s="41"/>
      <c r="C250" s="41"/>
      <c r="D250" s="41"/>
      <c r="E250" s="41"/>
      <c r="F250" s="41"/>
    </row>
    <row r="251">
      <c r="A251" s="40"/>
      <c r="B251" s="41"/>
      <c r="C251" s="41"/>
      <c r="D251" s="41"/>
      <c r="E251" s="41"/>
      <c r="F251" s="41"/>
    </row>
    <row r="252">
      <c r="A252" s="40"/>
      <c r="B252" s="41"/>
      <c r="C252" s="41"/>
      <c r="D252" s="41"/>
      <c r="E252" s="41"/>
      <c r="F252" s="41"/>
    </row>
    <row r="253">
      <c r="A253" s="40"/>
      <c r="B253" s="41"/>
      <c r="C253" s="41"/>
      <c r="D253" s="41"/>
      <c r="E253" s="41"/>
      <c r="F253" s="41"/>
    </row>
    <row r="254">
      <c r="A254" s="40"/>
      <c r="B254" s="41"/>
      <c r="C254" s="41"/>
      <c r="D254" s="41"/>
      <c r="E254" s="41"/>
      <c r="F254" s="41"/>
    </row>
    <row r="255">
      <c r="A255" s="40"/>
      <c r="B255" s="41"/>
      <c r="C255" s="41"/>
      <c r="D255" s="41"/>
      <c r="E255" s="41"/>
      <c r="F255" s="41"/>
    </row>
    <row r="256">
      <c r="A256" s="40"/>
      <c r="B256" s="41"/>
      <c r="C256" s="41"/>
      <c r="D256" s="41"/>
      <c r="E256" s="41"/>
      <c r="F256" s="41"/>
    </row>
    <row r="257">
      <c r="A257" s="40"/>
      <c r="B257" s="41"/>
      <c r="C257" s="41"/>
      <c r="D257" s="41"/>
      <c r="E257" s="41"/>
      <c r="F257" s="41"/>
    </row>
    <row r="258">
      <c r="A258" s="40"/>
      <c r="B258" s="41"/>
      <c r="C258" s="41"/>
      <c r="D258" s="41"/>
      <c r="E258" s="41"/>
      <c r="F258" s="41"/>
    </row>
    <row r="259">
      <c r="A259" s="40"/>
      <c r="B259" s="41"/>
      <c r="C259" s="41"/>
      <c r="D259" s="41"/>
      <c r="E259" s="41"/>
      <c r="F259" s="41"/>
    </row>
    <row r="260">
      <c r="A260" s="40"/>
      <c r="B260" s="41"/>
      <c r="C260" s="41"/>
      <c r="D260" s="41"/>
      <c r="E260" s="41"/>
      <c r="F260" s="41"/>
    </row>
    <row r="261">
      <c r="A261" s="40"/>
      <c r="B261" s="41"/>
      <c r="C261" s="41"/>
      <c r="D261" s="41"/>
      <c r="E261" s="41"/>
      <c r="F261" s="41"/>
    </row>
    <row r="262">
      <c r="A262" s="40"/>
      <c r="B262" s="41"/>
      <c r="C262" s="41"/>
      <c r="D262" s="41"/>
      <c r="E262" s="41"/>
      <c r="F262" s="41"/>
    </row>
    <row r="263">
      <c r="A263" s="40"/>
      <c r="B263" s="41"/>
      <c r="C263" s="41"/>
      <c r="D263" s="41"/>
      <c r="E263" s="41"/>
      <c r="F263" s="41"/>
    </row>
    <row r="264">
      <c r="A264" s="40"/>
      <c r="B264" s="41"/>
      <c r="C264" s="41"/>
      <c r="D264" s="41"/>
      <c r="E264" s="41"/>
      <c r="F264" s="41"/>
    </row>
    <row r="265">
      <c r="A265" s="40"/>
      <c r="B265" s="41"/>
      <c r="C265" s="41"/>
      <c r="D265" s="41"/>
      <c r="E265" s="41"/>
      <c r="F265" s="41"/>
    </row>
    <row r="266">
      <c r="A266" s="40"/>
      <c r="B266" s="41"/>
      <c r="C266" s="41"/>
      <c r="D266" s="41"/>
      <c r="E266" s="41"/>
      <c r="F266" s="41"/>
    </row>
    <row r="267">
      <c r="A267" s="40"/>
      <c r="B267" s="41"/>
      <c r="C267" s="41"/>
      <c r="D267" s="41"/>
      <c r="E267" s="41"/>
      <c r="F267" s="41"/>
    </row>
    <row r="268">
      <c r="A268" s="40"/>
      <c r="B268" s="41"/>
      <c r="C268" s="41"/>
      <c r="D268" s="41"/>
      <c r="E268" s="41"/>
      <c r="F268" s="41"/>
    </row>
    <row r="269">
      <c r="A269" s="40"/>
      <c r="B269" s="41"/>
      <c r="C269" s="41"/>
      <c r="D269" s="41"/>
      <c r="E269" s="41"/>
      <c r="F269" s="41"/>
    </row>
    <row r="270">
      <c r="A270" s="40"/>
      <c r="B270" s="41"/>
      <c r="C270" s="41"/>
      <c r="D270" s="41"/>
      <c r="E270" s="41"/>
      <c r="F270" s="41"/>
    </row>
    <row r="271">
      <c r="A271" s="40"/>
      <c r="B271" s="41"/>
      <c r="C271" s="41"/>
      <c r="D271" s="41"/>
      <c r="E271" s="41"/>
      <c r="F271" s="41"/>
    </row>
    <row r="272">
      <c r="A272" s="40"/>
      <c r="B272" s="41"/>
      <c r="C272" s="41"/>
      <c r="D272" s="41"/>
      <c r="E272" s="41"/>
      <c r="F272" s="41"/>
    </row>
    <row r="273">
      <c r="A273" s="40"/>
      <c r="B273" s="41"/>
      <c r="C273" s="41"/>
      <c r="D273" s="41"/>
      <c r="E273" s="41"/>
      <c r="F273" s="41"/>
    </row>
    <row r="274">
      <c r="A274" s="40"/>
      <c r="B274" s="41"/>
      <c r="C274" s="41"/>
      <c r="D274" s="41"/>
      <c r="E274" s="41"/>
      <c r="F274" s="41"/>
    </row>
    <row r="275">
      <c r="A275" s="40"/>
      <c r="B275" s="41"/>
      <c r="C275" s="41"/>
      <c r="D275" s="41"/>
      <c r="E275" s="41"/>
      <c r="F275" s="41"/>
    </row>
    <row r="276">
      <c r="A276" s="40"/>
      <c r="B276" s="41"/>
      <c r="C276" s="41"/>
      <c r="D276" s="41"/>
      <c r="E276" s="41"/>
      <c r="F276" s="41"/>
    </row>
    <row r="277">
      <c r="A277" s="40"/>
      <c r="B277" s="41"/>
      <c r="C277" s="41"/>
      <c r="D277" s="41"/>
      <c r="E277" s="41"/>
      <c r="F277" s="41"/>
    </row>
    <row r="278">
      <c r="A278" s="40"/>
      <c r="B278" s="41"/>
      <c r="C278" s="41"/>
      <c r="D278" s="41"/>
      <c r="E278" s="41"/>
      <c r="F278" s="41"/>
    </row>
    <row r="279">
      <c r="A279" s="40"/>
      <c r="B279" s="41"/>
      <c r="C279" s="41"/>
      <c r="D279" s="41"/>
      <c r="E279" s="41"/>
      <c r="F279" s="41"/>
    </row>
    <row r="280">
      <c r="A280" s="40"/>
      <c r="B280" s="41"/>
      <c r="C280" s="41"/>
      <c r="D280" s="41"/>
      <c r="E280" s="41"/>
      <c r="F280" s="41"/>
    </row>
    <row r="281">
      <c r="A281" s="40"/>
      <c r="B281" s="41"/>
      <c r="C281" s="41"/>
      <c r="D281" s="41"/>
      <c r="E281" s="41"/>
      <c r="F281" s="41"/>
    </row>
    <row r="282">
      <c r="A282" s="40"/>
      <c r="B282" s="41"/>
      <c r="C282" s="41"/>
      <c r="D282" s="41"/>
      <c r="E282" s="41"/>
      <c r="F282" s="41"/>
    </row>
    <row r="283">
      <c r="A283" s="40"/>
      <c r="B283" s="41"/>
      <c r="C283" s="41"/>
      <c r="D283" s="41"/>
      <c r="E283" s="41"/>
      <c r="F283" s="41"/>
    </row>
    <row r="284">
      <c r="A284" s="40"/>
      <c r="B284" s="41"/>
      <c r="C284" s="41"/>
      <c r="D284" s="41"/>
      <c r="E284" s="41"/>
      <c r="F284" s="41"/>
    </row>
    <row r="285">
      <c r="A285" s="40"/>
      <c r="B285" s="41"/>
      <c r="C285" s="41"/>
      <c r="D285" s="41"/>
      <c r="E285" s="41"/>
      <c r="F285" s="41"/>
    </row>
    <row r="286">
      <c r="A286" s="40"/>
      <c r="B286" s="41"/>
      <c r="C286" s="41"/>
      <c r="D286" s="41"/>
      <c r="E286" s="41"/>
      <c r="F286" s="41"/>
    </row>
    <row r="287">
      <c r="A287" s="40"/>
      <c r="B287" s="41"/>
      <c r="C287" s="41"/>
      <c r="D287" s="41"/>
      <c r="E287" s="41"/>
      <c r="F287" s="41"/>
    </row>
    <row r="288">
      <c r="A288" s="40"/>
      <c r="B288" s="41"/>
      <c r="C288" s="41"/>
      <c r="D288" s="41"/>
      <c r="E288" s="41"/>
      <c r="F288" s="41"/>
    </row>
    <row r="289">
      <c r="A289" s="40"/>
      <c r="B289" s="41"/>
      <c r="C289" s="41"/>
      <c r="D289" s="41"/>
      <c r="E289" s="41"/>
      <c r="F289" s="41"/>
    </row>
    <row r="290">
      <c r="A290" s="40"/>
      <c r="B290" s="41"/>
      <c r="C290" s="41"/>
      <c r="D290" s="41"/>
      <c r="E290" s="41"/>
      <c r="F290" s="41"/>
    </row>
    <row r="291">
      <c r="A291" s="40"/>
      <c r="B291" s="41"/>
      <c r="C291" s="41"/>
      <c r="D291" s="41"/>
      <c r="E291" s="41"/>
      <c r="F291" s="41"/>
    </row>
    <row r="292">
      <c r="A292" s="40"/>
      <c r="B292" s="41"/>
      <c r="C292" s="41"/>
      <c r="D292" s="41"/>
      <c r="E292" s="41"/>
      <c r="F292" s="41"/>
    </row>
    <row r="293">
      <c r="A293" s="40"/>
      <c r="B293" s="41"/>
      <c r="C293" s="41"/>
      <c r="D293" s="41"/>
      <c r="E293" s="41"/>
      <c r="F293" s="41"/>
    </row>
    <row r="294">
      <c r="A294" s="40"/>
      <c r="B294" s="41"/>
      <c r="C294" s="41"/>
      <c r="D294" s="41"/>
      <c r="E294" s="41"/>
      <c r="F294" s="41"/>
    </row>
    <row r="295">
      <c r="A295" s="40"/>
      <c r="B295" s="41"/>
      <c r="C295" s="41"/>
      <c r="D295" s="41"/>
      <c r="E295" s="41"/>
      <c r="F295" s="41"/>
    </row>
    <row r="296">
      <c r="A296" s="40"/>
      <c r="B296" s="41"/>
      <c r="C296" s="41"/>
      <c r="D296" s="41"/>
      <c r="E296" s="41"/>
      <c r="F296" s="41"/>
    </row>
    <row r="297">
      <c r="A297" s="40"/>
      <c r="B297" s="41"/>
      <c r="C297" s="41"/>
      <c r="D297" s="41"/>
      <c r="E297" s="41"/>
      <c r="F297" s="41"/>
    </row>
    <row r="298">
      <c r="A298" s="40"/>
      <c r="B298" s="41"/>
      <c r="C298" s="41"/>
      <c r="D298" s="41"/>
      <c r="E298" s="41"/>
      <c r="F298" s="41"/>
    </row>
    <row r="299">
      <c r="A299" s="40"/>
      <c r="B299" s="41"/>
      <c r="C299" s="41"/>
      <c r="D299" s="41"/>
      <c r="E299" s="41"/>
      <c r="F299" s="41"/>
    </row>
    <row r="300">
      <c r="A300" s="40"/>
      <c r="B300" s="41"/>
      <c r="C300" s="41"/>
      <c r="D300" s="41"/>
      <c r="E300" s="41"/>
      <c r="F300" s="41"/>
    </row>
    <row r="301">
      <c r="A301" s="40"/>
      <c r="B301" s="41"/>
      <c r="C301" s="41"/>
      <c r="D301" s="41"/>
      <c r="E301" s="41"/>
      <c r="F301" s="41"/>
    </row>
    <row r="302">
      <c r="A302" s="40"/>
      <c r="B302" s="41"/>
      <c r="C302" s="41"/>
      <c r="D302" s="41"/>
      <c r="E302" s="41"/>
      <c r="F302" s="41"/>
    </row>
    <row r="303">
      <c r="A303" s="40"/>
      <c r="B303" s="41"/>
      <c r="C303" s="41"/>
      <c r="D303" s="41"/>
      <c r="E303" s="41"/>
      <c r="F303" s="41"/>
    </row>
    <row r="304">
      <c r="A304" s="40"/>
      <c r="B304" s="41"/>
      <c r="C304" s="41"/>
      <c r="D304" s="41"/>
      <c r="E304" s="41"/>
      <c r="F304" s="41"/>
    </row>
    <row r="305">
      <c r="A305" s="40"/>
      <c r="B305" s="41"/>
      <c r="C305" s="41"/>
      <c r="D305" s="41"/>
      <c r="E305" s="41"/>
      <c r="F305" s="41"/>
    </row>
    <row r="306">
      <c r="A306" s="40"/>
      <c r="B306" s="41"/>
      <c r="C306" s="41"/>
      <c r="D306" s="41"/>
      <c r="E306" s="41"/>
      <c r="F306" s="41"/>
    </row>
    <row r="307">
      <c r="A307" s="40"/>
      <c r="B307" s="41"/>
      <c r="C307" s="41"/>
      <c r="D307" s="41"/>
      <c r="E307" s="41"/>
      <c r="F307" s="41"/>
    </row>
    <row r="308">
      <c r="A308" s="40"/>
      <c r="B308" s="41"/>
      <c r="C308" s="41"/>
      <c r="D308" s="41"/>
      <c r="E308" s="41"/>
      <c r="F308" s="41"/>
    </row>
    <row r="309">
      <c r="A309" s="40"/>
      <c r="B309" s="41"/>
      <c r="C309" s="41"/>
      <c r="D309" s="41"/>
      <c r="E309" s="41"/>
      <c r="F309" s="41"/>
    </row>
    <row r="310">
      <c r="A310" s="40"/>
      <c r="B310" s="41"/>
      <c r="C310" s="41"/>
      <c r="D310" s="41"/>
      <c r="E310" s="41"/>
      <c r="F310" s="41"/>
    </row>
    <row r="311">
      <c r="A311" s="40"/>
      <c r="B311" s="41"/>
      <c r="C311" s="41"/>
      <c r="D311" s="41"/>
      <c r="E311" s="41"/>
      <c r="F311" s="41"/>
    </row>
    <row r="312">
      <c r="A312" s="40"/>
      <c r="B312" s="41"/>
      <c r="C312" s="41"/>
      <c r="D312" s="41"/>
      <c r="E312" s="41"/>
      <c r="F312" s="41"/>
    </row>
    <row r="313">
      <c r="A313" s="40"/>
      <c r="B313" s="41"/>
      <c r="C313" s="41"/>
      <c r="D313" s="41"/>
      <c r="E313" s="41"/>
      <c r="F313" s="41"/>
    </row>
    <row r="314">
      <c r="A314" s="40"/>
      <c r="B314" s="41"/>
      <c r="C314" s="41"/>
      <c r="D314" s="41"/>
      <c r="E314" s="41"/>
      <c r="F314" s="41"/>
    </row>
    <row r="315">
      <c r="A315" s="40"/>
      <c r="B315" s="41"/>
      <c r="C315" s="41"/>
      <c r="D315" s="41"/>
      <c r="E315" s="41"/>
      <c r="F315" s="41"/>
    </row>
    <row r="316">
      <c r="A316" s="40"/>
      <c r="B316" s="41"/>
      <c r="C316" s="41"/>
      <c r="D316" s="41"/>
      <c r="E316" s="41"/>
      <c r="F316" s="41"/>
    </row>
    <row r="317">
      <c r="A317" s="40"/>
      <c r="B317" s="41"/>
      <c r="C317" s="41"/>
      <c r="D317" s="41"/>
      <c r="E317" s="41"/>
      <c r="F317" s="41"/>
    </row>
    <row r="318">
      <c r="A318" s="40"/>
      <c r="B318" s="41"/>
      <c r="C318" s="41"/>
      <c r="D318" s="41"/>
      <c r="E318" s="41"/>
      <c r="F318" s="41"/>
    </row>
    <row r="319">
      <c r="A319" s="40"/>
      <c r="B319" s="41"/>
      <c r="C319" s="41"/>
      <c r="D319" s="41"/>
      <c r="E319" s="41"/>
      <c r="F319" s="41"/>
    </row>
    <row r="320">
      <c r="A320" s="40"/>
      <c r="B320" s="41"/>
      <c r="C320" s="41"/>
      <c r="D320" s="41"/>
      <c r="E320" s="41"/>
      <c r="F320" s="41"/>
    </row>
    <row r="321">
      <c r="A321" s="40"/>
      <c r="B321" s="41"/>
      <c r="C321" s="41"/>
      <c r="D321" s="41"/>
      <c r="E321" s="41"/>
      <c r="F321" s="41"/>
    </row>
    <row r="322">
      <c r="A322" s="40"/>
      <c r="B322" s="41"/>
      <c r="C322" s="41"/>
      <c r="D322" s="41"/>
      <c r="E322" s="41"/>
      <c r="F322" s="41"/>
    </row>
    <row r="323">
      <c r="A323" s="40"/>
      <c r="B323" s="41"/>
      <c r="C323" s="41"/>
      <c r="D323" s="41"/>
      <c r="E323" s="41"/>
      <c r="F323" s="41"/>
    </row>
    <row r="324">
      <c r="A324" s="40"/>
      <c r="B324" s="41"/>
      <c r="C324" s="41"/>
      <c r="D324" s="41"/>
      <c r="E324" s="41"/>
      <c r="F324" s="41"/>
    </row>
    <row r="325">
      <c r="A325" s="40"/>
      <c r="B325" s="41"/>
      <c r="C325" s="41"/>
      <c r="D325" s="41"/>
      <c r="E325" s="41"/>
      <c r="F325" s="41"/>
    </row>
    <row r="326">
      <c r="A326" s="40"/>
      <c r="B326" s="41"/>
      <c r="C326" s="41"/>
      <c r="D326" s="41"/>
      <c r="E326" s="41"/>
      <c r="F326" s="41"/>
    </row>
    <row r="327">
      <c r="A327" s="40"/>
      <c r="B327" s="41"/>
      <c r="C327" s="41"/>
      <c r="D327" s="41"/>
      <c r="E327" s="41"/>
      <c r="F327" s="41"/>
    </row>
    <row r="328">
      <c r="A328" s="40"/>
      <c r="B328" s="41"/>
      <c r="C328" s="41"/>
      <c r="D328" s="41"/>
      <c r="E328" s="41"/>
      <c r="F328" s="41"/>
    </row>
    <row r="329">
      <c r="A329" s="40"/>
      <c r="B329" s="41"/>
      <c r="C329" s="41"/>
      <c r="D329" s="41"/>
      <c r="E329" s="41"/>
      <c r="F329" s="41"/>
    </row>
    <row r="330">
      <c r="A330" s="40"/>
      <c r="B330" s="41"/>
      <c r="C330" s="41"/>
      <c r="D330" s="41"/>
      <c r="E330" s="41"/>
      <c r="F330" s="41"/>
    </row>
    <row r="331">
      <c r="A331" s="40"/>
      <c r="B331" s="41"/>
      <c r="C331" s="41"/>
      <c r="D331" s="41"/>
      <c r="E331" s="41"/>
      <c r="F331" s="41"/>
    </row>
    <row r="332">
      <c r="A332" s="40"/>
      <c r="B332" s="41"/>
      <c r="C332" s="41"/>
      <c r="D332" s="41"/>
      <c r="E332" s="41"/>
      <c r="F332" s="41"/>
    </row>
    <row r="333">
      <c r="A333" s="40"/>
      <c r="B333" s="41"/>
      <c r="C333" s="41"/>
      <c r="D333" s="41"/>
      <c r="E333" s="41"/>
      <c r="F333" s="41"/>
    </row>
    <row r="334">
      <c r="A334" s="40"/>
      <c r="B334" s="41"/>
      <c r="C334" s="41"/>
      <c r="D334" s="41"/>
      <c r="E334" s="41"/>
      <c r="F334" s="41"/>
    </row>
    <row r="335">
      <c r="A335" s="40"/>
      <c r="B335" s="41"/>
      <c r="C335" s="41"/>
      <c r="D335" s="41"/>
      <c r="E335" s="41"/>
      <c r="F335" s="41"/>
    </row>
    <row r="336">
      <c r="A336" s="40"/>
      <c r="B336" s="41"/>
      <c r="C336" s="41"/>
      <c r="D336" s="41"/>
      <c r="E336" s="41"/>
      <c r="F336" s="41"/>
    </row>
    <row r="337">
      <c r="A337" s="40"/>
      <c r="B337" s="41"/>
      <c r="C337" s="41"/>
      <c r="D337" s="41"/>
      <c r="E337" s="41"/>
      <c r="F337" s="41"/>
    </row>
    <row r="338">
      <c r="A338" s="40"/>
      <c r="B338" s="41"/>
      <c r="C338" s="41"/>
      <c r="D338" s="41"/>
      <c r="E338" s="41"/>
      <c r="F338" s="41"/>
    </row>
    <row r="339">
      <c r="A339" s="40"/>
      <c r="B339" s="41"/>
      <c r="C339" s="41"/>
      <c r="D339" s="41"/>
      <c r="E339" s="41"/>
      <c r="F339" s="41"/>
    </row>
    <row r="340">
      <c r="A340" s="40"/>
      <c r="B340" s="41"/>
      <c r="C340" s="41"/>
      <c r="D340" s="41"/>
      <c r="E340" s="41"/>
      <c r="F340" s="41"/>
    </row>
    <row r="341">
      <c r="A341" s="40"/>
      <c r="B341" s="41"/>
      <c r="C341" s="41"/>
      <c r="D341" s="41"/>
      <c r="E341" s="41"/>
      <c r="F341" s="41"/>
    </row>
    <row r="342">
      <c r="A342" s="40"/>
      <c r="B342" s="41"/>
      <c r="C342" s="41"/>
      <c r="D342" s="41"/>
      <c r="E342" s="41"/>
      <c r="F342" s="41"/>
    </row>
    <row r="343">
      <c r="A343" s="40"/>
      <c r="B343" s="41"/>
      <c r="C343" s="41"/>
      <c r="D343" s="41"/>
      <c r="E343" s="41"/>
      <c r="F343" s="41"/>
    </row>
    <row r="344">
      <c r="A344" s="40"/>
      <c r="B344" s="41"/>
      <c r="C344" s="41"/>
      <c r="D344" s="41"/>
      <c r="E344" s="41"/>
      <c r="F344" s="41"/>
    </row>
    <row r="345">
      <c r="A345" s="40"/>
      <c r="B345" s="41"/>
      <c r="C345" s="41"/>
      <c r="D345" s="41"/>
      <c r="E345" s="41"/>
      <c r="F345" s="41"/>
    </row>
    <row r="346">
      <c r="A346" s="40"/>
      <c r="B346" s="41"/>
      <c r="C346" s="41"/>
      <c r="D346" s="41"/>
      <c r="E346" s="41"/>
      <c r="F346" s="41"/>
    </row>
    <row r="347">
      <c r="A347" s="40"/>
      <c r="B347" s="41"/>
      <c r="C347" s="41"/>
      <c r="D347" s="41"/>
      <c r="E347" s="41"/>
      <c r="F347" s="41"/>
    </row>
    <row r="348">
      <c r="A348" s="40"/>
      <c r="B348" s="41"/>
      <c r="C348" s="41"/>
      <c r="D348" s="41"/>
      <c r="E348" s="41"/>
      <c r="F348" s="41"/>
    </row>
    <row r="349">
      <c r="A349" s="40"/>
      <c r="B349" s="41"/>
      <c r="C349" s="41"/>
      <c r="D349" s="41"/>
      <c r="E349" s="41"/>
      <c r="F349" s="41"/>
    </row>
    <row r="350">
      <c r="A350" s="40"/>
      <c r="B350" s="41"/>
      <c r="C350" s="41"/>
      <c r="D350" s="41"/>
      <c r="E350" s="41"/>
      <c r="F350" s="41"/>
    </row>
    <row r="351">
      <c r="A351" s="40"/>
      <c r="B351" s="41"/>
      <c r="C351" s="41"/>
      <c r="D351" s="41"/>
      <c r="E351" s="41"/>
      <c r="F351" s="41"/>
    </row>
    <row r="352">
      <c r="A352" s="40"/>
      <c r="B352" s="41"/>
      <c r="C352" s="41"/>
      <c r="D352" s="41"/>
      <c r="E352" s="41"/>
      <c r="F352" s="41"/>
    </row>
    <row r="353">
      <c r="A353" s="40"/>
      <c r="B353" s="41"/>
      <c r="C353" s="41"/>
      <c r="D353" s="41"/>
      <c r="E353" s="41"/>
      <c r="F353" s="41"/>
    </row>
    <row r="354">
      <c r="A354" s="40"/>
      <c r="B354" s="41"/>
      <c r="C354" s="41"/>
      <c r="D354" s="41"/>
      <c r="E354" s="41"/>
      <c r="F354" s="41"/>
    </row>
    <row r="355">
      <c r="A355" s="40"/>
      <c r="B355" s="41"/>
      <c r="C355" s="41"/>
      <c r="D355" s="41"/>
      <c r="E355" s="41"/>
      <c r="F355" s="41"/>
    </row>
    <row r="356">
      <c r="A356" s="40"/>
      <c r="B356" s="41"/>
      <c r="C356" s="41"/>
      <c r="D356" s="41"/>
      <c r="E356" s="41"/>
      <c r="F356" s="41"/>
    </row>
    <row r="357">
      <c r="A357" s="40"/>
      <c r="B357" s="41"/>
      <c r="C357" s="41"/>
      <c r="D357" s="41"/>
      <c r="E357" s="41"/>
      <c r="F357" s="41"/>
    </row>
    <row r="358">
      <c r="A358" s="40"/>
      <c r="B358" s="41"/>
      <c r="C358" s="41"/>
      <c r="D358" s="41"/>
      <c r="E358" s="41"/>
      <c r="F358" s="41"/>
    </row>
    <row r="359">
      <c r="A359" s="40"/>
      <c r="B359" s="41"/>
      <c r="C359" s="41"/>
      <c r="D359" s="41"/>
      <c r="E359" s="41"/>
      <c r="F359" s="41"/>
    </row>
    <row r="360">
      <c r="A360" s="40"/>
      <c r="B360" s="41"/>
      <c r="C360" s="41"/>
      <c r="D360" s="41"/>
      <c r="E360" s="41"/>
      <c r="F360" s="41"/>
    </row>
    <row r="361">
      <c r="A361" s="40"/>
      <c r="B361" s="41"/>
      <c r="C361" s="41"/>
      <c r="D361" s="41"/>
      <c r="E361" s="41"/>
      <c r="F361" s="41"/>
    </row>
    <row r="362">
      <c r="A362" s="40"/>
      <c r="B362" s="41"/>
      <c r="C362" s="41"/>
      <c r="D362" s="41"/>
      <c r="E362" s="41"/>
      <c r="F362" s="41"/>
    </row>
    <row r="363">
      <c r="A363" s="40"/>
      <c r="B363" s="41"/>
      <c r="C363" s="41"/>
      <c r="D363" s="41"/>
      <c r="E363" s="41"/>
      <c r="F363" s="41"/>
    </row>
    <row r="364">
      <c r="A364" s="40"/>
      <c r="B364" s="41"/>
      <c r="C364" s="41"/>
      <c r="D364" s="41"/>
      <c r="E364" s="41"/>
      <c r="F364" s="41"/>
    </row>
    <row r="365">
      <c r="A365" s="40"/>
      <c r="B365" s="41"/>
      <c r="C365" s="41"/>
      <c r="D365" s="41"/>
      <c r="E365" s="41"/>
      <c r="F365" s="41"/>
    </row>
    <row r="366">
      <c r="A366" s="40"/>
      <c r="B366" s="41"/>
      <c r="C366" s="41"/>
      <c r="D366" s="41"/>
      <c r="E366" s="41"/>
      <c r="F366" s="41"/>
    </row>
    <row r="367">
      <c r="A367" s="40"/>
      <c r="B367" s="41"/>
      <c r="C367" s="41"/>
      <c r="D367" s="41"/>
      <c r="E367" s="41"/>
      <c r="F367" s="41"/>
    </row>
    <row r="368">
      <c r="A368" s="40"/>
      <c r="B368" s="41"/>
      <c r="C368" s="41"/>
      <c r="D368" s="41"/>
      <c r="E368" s="41"/>
      <c r="F368" s="41"/>
    </row>
    <row r="369">
      <c r="A369" s="40"/>
      <c r="B369" s="41"/>
      <c r="C369" s="41"/>
      <c r="D369" s="41"/>
      <c r="E369" s="41"/>
      <c r="F369" s="41"/>
    </row>
    <row r="370">
      <c r="A370" s="40"/>
      <c r="B370" s="41"/>
      <c r="C370" s="41"/>
      <c r="D370" s="41"/>
      <c r="E370" s="41"/>
      <c r="F370" s="41"/>
    </row>
    <row r="371">
      <c r="A371" s="40"/>
      <c r="B371" s="41"/>
      <c r="C371" s="41"/>
      <c r="D371" s="41"/>
      <c r="E371" s="41"/>
      <c r="F371" s="41"/>
    </row>
    <row r="372">
      <c r="A372" s="40"/>
      <c r="B372" s="41"/>
      <c r="C372" s="41"/>
      <c r="D372" s="41"/>
      <c r="E372" s="41"/>
      <c r="F372" s="41"/>
    </row>
    <row r="373">
      <c r="A373" s="40"/>
      <c r="B373" s="41"/>
      <c r="C373" s="41"/>
      <c r="D373" s="41"/>
      <c r="E373" s="41"/>
      <c r="F373" s="41"/>
    </row>
    <row r="374">
      <c r="A374" s="40"/>
      <c r="B374" s="41"/>
      <c r="C374" s="41"/>
      <c r="D374" s="41"/>
      <c r="E374" s="41"/>
      <c r="F374" s="41"/>
    </row>
    <row r="375">
      <c r="A375" s="40"/>
      <c r="B375" s="41"/>
      <c r="C375" s="41"/>
      <c r="D375" s="41"/>
      <c r="E375" s="41"/>
      <c r="F375" s="41"/>
    </row>
    <row r="376">
      <c r="A376" s="40"/>
      <c r="B376" s="41"/>
      <c r="C376" s="41"/>
      <c r="D376" s="41"/>
      <c r="E376" s="41"/>
      <c r="F376" s="41"/>
    </row>
    <row r="377">
      <c r="A377" s="40"/>
      <c r="B377" s="41"/>
      <c r="C377" s="41"/>
      <c r="D377" s="41"/>
      <c r="E377" s="41"/>
      <c r="F377" s="41"/>
    </row>
    <row r="378">
      <c r="A378" s="40"/>
      <c r="B378" s="41"/>
      <c r="C378" s="41"/>
      <c r="D378" s="41"/>
      <c r="E378" s="41"/>
      <c r="F378" s="41"/>
    </row>
    <row r="379">
      <c r="A379" s="40"/>
      <c r="B379" s="41"/>
      <c r="C379" s="41"/>
      <c r="D379" s="41"/>
      <c r="E379" s="41"/>
      <c r="F379" s="41"/>
    </row>
    <row r="380">
      <c r="A380" s="40"/>
      <c r="B380" s="41"/>
      <c r="C380" s="41"/>
      <c r="D380" s="41"/>
      <c r="E380" s="41"/>
      <c r="F380" s="41"/>
    </row>
    <row r="381">
      <c r="A381" s="40"/>
      <c r="B381" s="41"/>
      <c r="C381" s="41"/>
      <c r="D381" s="41"/>
      <c r="E381" s="41"/>
      <c r="F381" s="41"/>
    </row>
    <row r="382">
      <c r="A382" s="40"/>
      <c r="B382" s="41"/>
      <c r="C382" s="41"/>
      <c r="D382" s="41"/>
      <c r="E382" s="41"/>
      <c r="F382" s="41"/>
    </row>
    <row r="383">
      <c r="A383" s="40"/>
      <c r="B383" s="41"/>
      <c r="C383" s="41"/>
      <c r="D383" s="41"/>
      <c r="E383" s="41"/>
      <c r="F383" s="41"/>
    </row>
    <row r="384">
      <c r="A384" s="40"/>
      <c r="B384" s="41"/>
      <c r="C384" s="41"/>
      <c r="D384" s="41"/>
      <c r="E384" s="41"/>
      <c r="F384" s="41"/>
    </row>
    <row r="385">
      <c r="A385" s="40"/>
      <c r="B385" s="41"/>
      <c r="C385" s="41"/>
      <c r="D385" s="41"/>
      <c r="E385" s="41"/>
      <c r="F385" s="41"/>
    </row>
    <row r="386">
      <c r="A386" s="40"/>
      <c r="B386" s="41"/>
      <c r="C386" s="41"/>
      <c r="D386" s="41"/>
      <c r="E386" s="41"/>
      <c r="F386" s="41"/>
    </row>
    <row r="387">
      <c r="A387" s="40"/>
      <c r="B387" s="41"/>
      <c r="C387" s="41"/>
      <c r="D387" s="41"/>
      <c r="E387" s="41"/>
      <c r="F387" s="41"/>
    </row>
    <row r="388">
      <c r="A388" s="40"/>
      <c r="B388" s="41"/>
      <c r="C388" s="41"/>
      <c r="D388" s="41"/>
      <c r="E388" s="41"/>
      <c r="F388" s="41"/>
    </row>
    <row r="389">
      <c r="A389" s="40"/>
      <c r="B389" s="41"/>
      <c r="C389" s="41"/>
      <c r="D389" s="41"/>
      <c r="E389" s="41"/>
      <c r="F389" s="41"/>
    </row>
    <row r="390">
      <c r="A390" s="40"/>
      <c r="B390" s="41"/>
      <c r="C390" s="41"/>
      <c r="D390" s="41"/>
      <c r="E390" s="41"/>
      <c r="F390" s="41"/>
    </row>
    <row r="391">
      <c r="A391" s="40"/>
      <c r="B391" s="41"/>
      <c r="C391" s="41"/>
      <c r="D391" s="41"/>
      <c r="E391" s="41"/>
      <c r="F391" s="41"/>
    </row>
    <row r="392">
      <c r="A392" s="40"/>
      <c r="B392" s="41"/>
      <c r="C392" s="41"/>
      <c r="D392" s="41"/>
      <c r="E392" s="41"/>
      <c r="F392" s="41"/>
    </row>
    <row r="393">
      <c r="A393" s="40"/>
      <c r="B393" s="41"/>
      <c r="C393" s="41"/>
      <c r="D393" s="41"/>
      <c r="E393" s="41"/>
      <c r="F393" s="41"/>
    </row>
    <row r="394">
      <c r="A394" s="40"/>
      <c r="B394" s="41"/>
      <c r="C394" s="41"/>
      <c r="D394" s="41"/>
      <c r="E394" s="41"/>
      <c r="F394" s="41"/>
    </row>
    <row r="395">
      <c r="A395" s="40"/>
      <c r="B395" s="41"/>
      <c r="C395" s="41"/>
      <c r="D395" s="41"/>
      <c r="E395" s="41"/>
      <c r="F395" s="41"/>
    </row>
    <row r="396">
      <c r="A396" s="40"/>
      <c r="B396" s="41"/>
      <c r="C396" s="41"/>
      <c r="D396" s="41"/>
      <c r="E396" s="41"/>
      <c r="F396" s="41"/>
    </row>
    <row r="397">
      <c r="A397" s="40"/>
      <c r="B397" s="41"/>
      <c r="C397" s="41"/>
      <c r="D397" s="41"/>
      <c r="E397" s="41"/>
      <c r="F397" s="41"/>
    </row>
    <row r="398">
      <c r="A398" s="40"/>
      <c r="B398" s="41"/>
      <c r="C398" s="41"/>
      <c r="D398" s="41"/>
      <c r="E398" s="41"/>
      <c r="F398" s="41"/>
    </row>
    <row r="399">
      <c r="A399" s="40"/>
      <c r="B399" s="41"/>
      <c r="C399" s="41"/>
      <c r="D399" s="41"/>
      <c r="E399" s="41"/>
      <c r="F399" s="41"/>
    </row>
    <row r="400">
      <c r="A400" s="40"/>
      <c r="B400" s="41"/>
      <c r="C400" s="41"/>
      <c r="D400" s="41"/>
      <c r="E400" s="41"/>
      <c r="F400" s="41"/>
    </row>
    <row r="401">
      <c r="A401" s="40"/>
      <c r="B401" s="41"/>
      <c r="C401" s="41"/>
      <c r="D401" s="41"/>
      <c r="E401" s="41"/>
      <c r="F401" s="41"/>
    </row>
    <row r="402">
      <c r="A402" s="40"/>
      <c r="B402" s="41"/>
      <c r="C402" s="41"/>
      <c r="D402" s="41"/>
      <c r="E402" s="41"/>
      <c r="F402" s="41"/>
    </row>
    <row r="403">
      <c r="A403" s="40"/>
      <c r="B403" s="41"/>
      <c r="C403" s="41"/>
      <c r="D403" s="41"/>
      <c r="E403" s="41"/>
      <c r="F403" s="41"/>
    </row>
    <row r="404">
      <c r="A404" s="40"/>
      <c r="B404" s="41"/>
      <c r="C404" s="41"/>
      <c r="D404" s="41"/>
      <c r="E404" s="41"/>
      <c r="F404" s="41"/>
    </row>
    <row r="405">
      <c r="A405" s="40"/>
      <c r="B405" s="41"/>
      <c r="C405" s="41"/>
      <c r="D405" s="41"/>
      <c r="E405" s="41"/>
      <c r="F405" s="41"/>
    </row>
    <row r="406">
      <c r="A406" s="40"/>
      <c r="B406" s="41"/>
      <c r="C406" s="41"/>
      <c r="D406" s="41"/>
      <c r="E406" s="41"/>
      <c r="F406" s="41"/>
    </row>
    <row r="407">
      <c r="A407" s="40"/>
      <c r="B407" s="41"/>
      <c r="C407" s="41"/>
      <c r="D407" s="41"/>
      <c r="E407" s="41"/>
      <c r="F407" s="41"/>
    </row>
    <row r="408">
      <c r="A408" s="40"/>
      <c r="B408" s="41"/>
      <c r="C408" s="41"/>
      <c r="D408" s="41"/>
      <c r="E408" s="41"/>
      <c r="F408" s="41"/>
    </row>
    <row r="409">
      <c r="A409" s="40"/>
      <c r="B409" s="41"/>
      <c r="C409" s="41"/>
      <c r="D409" s="41"/>
      <c r="E409" s="41"/>
      <c r="F409" s="41"/>
    </row>
    <row r="410">
      <c r="A410" s="40"/>
      <c r="B410" s="41"/>
      <c r="C410" s="41"/>
      <c r="D410" s="41"/>
      <c r="E410" s="41"/>
      <c r="F410" s="41"/>
    </row>
    <row r="411">
      <c r="A411" s="40"/>
      <c r="B411" s="41"/>
      <c r="C411" s="41"/>
      <c r="D411" s="41"/>
      <c r="E411" s="41"/>
      <c r="F411" s="41"/>
    </row>
    <row r="412">
      <c r="A412" s="40"/>
      <c r="B412" s="41"/>
      <c r="C412" s="41"/>
      <c r="D412" s="41"/>
      <c r="E412" s="41"/>
      <c r="F412" s="41"/>
    </row>
    <row r="413">
      <c r="A413" s="40"/>
      <c r="B413" s="41"/>
      <c r="C413" s="41"/>
      <c r="D413" s="41"/>
      <c r="E413" s="41"/>
      <c r="F413" s="41"/>
    </row>
    <row r="414">
      <c r="A414" s="40"/>
      <c r="B414" s="41"/>
      <c r="C414" s="41"/>
      <c r="D414" s="41"/>
      <c r="E414" s="41"/>
      <c r="F414" s="41"/>
    </row>
    <row r="415">
      <c r="A415" s="40"/>
      <c r="B415" s="41"/>
      <c r="C415" s="41"/>
      <c r="D415" s="41"/>
      <c r="E415" s="41"/>
      <c r="F415" s="41"/>
    </row>
    <row r="416">
      <c r="A416" s="40"/>
      <c r="B416" s="41"/>
      <c r="C416" s="41"/>
      <c r="D416" s="41"/>
      <c r="E416" s="41"/>
      <c r="F416" s="41"/>
    </row>
    <row r="417">
      <c r="A417" s="40"/>
      <c r="B417" s="41"/>
      <c r="C417" s="41"/>
      <c r="D417" s="41"/>
      <c r="E417" s="41"/>
      <c r="F417" s="41"/>
    </row>
    <row r="418">
      <c r="A418" s="40"/>
      <c r="B418" s="41"/>
      <c r="C418" s="41"/>
      <c r="D418" s="41"/>
      <c r="E418" s="41"/>
      <c r="F418" s="41"/>
    </row>
    <row r="419">
      <c r="A419" s="40"/>
      <c r="B419" s="41"/>
      <c r="C419" s="41"/>
      <c r="D419" s="41"/>
      <c r="E419" s="41"/>
      <c r="F419" s="41"/>
    </row>
    <row r="420">
      <c r="A420" s="40"/>
      <c r="B420" s="41"/>
      <c r="C420" s="41"/>
      <c r="D420" s="41"/>
      <c r="E420" s="41"/>
      <c r="F420" s="41"/>
    </row>
    <row r="421">
      <c r="A421" s="40"/>
      <c r="B421" s="41"/>
      <c r="C421" s="41"/>
      <c r="D421" s="41"/>
      <c r="E421" s="41"/>
      <c r="F421" s="41"/>
    </row>
    <row r="422">
      <c r="A422" s="40"/>
      <c r="B422" s="41"/>
      <c r="C422" s="41"/>
      <c r="D422" s="41"/>
      <c r="E422" s="41"/>
      <c r="F422" s="41"/>
    </row>
    <row r="423">
      <c r="A423" s="40"/>
      <c r="B423" s="41"/>
      <c r="C423" s="41"/>
      <c r="D423" s="41"/>
      <c r="E423" s="41"/>
      <c r="F423" s="41"/>
    </row>
    <row r="424">
      <c r="A424" s="40"/>
      <c r="B424" s="41"/>
      <c r="C424" s="41"/>
      <c r="D424" s="41"/>
      <c r="E424" s="41"/>
      <c r="F424" s="41"/>
    </row>
    <row r="425">
      <c r="A425" s="40"/>
      <c r="B425" s="41"/>
      <c r="C425" s="41"/>
      <c r="D425" s="41"/>
      <c r="E425" s="41"/>
      <c r="F425" s="41"/>
    </row>
    <row r="426">
      <c r="A426" s="40"/>
      <c r="B426" s="41"/>
      <c r="C426" s="41"/>
      <c r="D426" s="41"/>
      <c r="E426" s="41"/>
      <c r="F426" s="41"/>
    </row>
    <row r="427">
      <c r="A427" s="40"/>
      <c r="B427" s="41"/>
      <c r="C427" s="41"/>
      <c r="D427" s="41"/>
      <c r="E427" s="41"/>
      <c r="F427" s="41"/>
    </row>
    <row r="428">
      <c r="A428" s="40"/>
      <c r="B428" s="41"/>
      <c r="C428" s="41"/>
      <c r="D428" s="41"/>
      <c r="E428" s="41"/>
      <c r="F428" s="41"/>
    </row>
    <row r="429">
      <c r="A429" s="40"/>
      <c r="B429" s="41"/>
      <c r="C429" s="41"/>
      <c r="D429" s="41"/>
      <c r="E429" s="41"/>
      <c r="F429" s="41"/>
    </row>
    <row r="430">
      <c r="A430" s="40"/>
      <c r="B430" s="41"/>
      <c r="C430" s="41"/>
      <c r="D430" s="41"/>
      <c r="E430" s="41"/>
      <c r="F430" s="41"/>
    </row>
    <row r="431">
      <c r="A431" s="40"/>
      <c r="B431" s="41"/>
      <c r="C431" s="41"/>
      <c r="D431" s="41"/>
      <c r="E431" s="41"/>
      <c r="F431" s="41"/>
    </row>
    <row r="432">
      <c r="A432" s="40"/>
      <c r="B432" s="41"/>
      <c r="C432" s="41"/>
      <c r="D432" s="41"/>
      <c r="E432" s="41"/>
      <c r="F432" s="41"/>
    </row>
    <row r="433">
      <c r="A433" s="40"/>
      <c r="B433" s="41"/>
      <c r="C433" s="41"/>
      <c r="D433" s="41"/>
      <c r="E433" s="41"/>
      <c r="F433" s="41"/>
    </row>
    <row r="434">
      <c r="A434" s="40"/>
      <c r="B434" s="41"/>
      <c r="C434" s="41"/>
      <c r="D434" s="41"/>
      <c r="E434" s="41"/>
      <c r="F434" s="41"/>
    </row>
    <row r="435">
      <c r="A435" s="40"/>
      <c r="B435" s="41"/>
      <c r="C435" s="41"/>
      <c r="D435" s="41"/>
      <c r="E435" s="41"/>
      <c r="F435" s="41"/>
    </row>
    <row r="436">
      <c r="A436" s="40"/>
      <c r="B436" s="41"/>
      <c r="C436" s="41"/>
      <c r="D436" s="41"/>
      <c r="E436" s="41"/>
      <c r="F436" s="41"/>
    </row>
    <row r="437">
      <c r="A437" s="40"/>
      <c r="B437" s="41"/>
      <c r="C437" s="41"/>
      <c r="D437" s="41"/>
      <c r="E437" s="41"/>
      <c r="F437" s="41"/>
    </row>
    <row r="438">
      <c r="A438" s="40"/>
      <c r="B438" s="41"/>
      <c r="C438" s="41"/>
      <c r="D438" s="41"/>
      <c r="E438" s="41"/>
      <c r="F438" s="41"/>
    </row>
    <row r="439">
      <c r="A439" s="40"/>
      <c r="B439" s="41"/>
      <c r="C439" s="41"/>
      <c r="D439" s="41"/>
      <c r="E439" s="41"/>
      <c r="F439" s="41"/>
    </row>
    <row r="440">
      <c r="A440" s="40"/>
      <c r="B440" s="41"/>
      <c r="C440" s="41"/>
      <c r="D440" s="41"/>
      <c r="E440" s="41"/>
      <c r="F440" s="41"/>
    </row>
    <row r="441">
      <c r="A441" s="40"/>
      <c r="B441" s="41"/>
      <c r="C441" s="41"/>
      <c r="D441" s="41"/>
      <c r="E441" s="41"/>
      <c r="F441" s="41"/>
    </row>
    <row r="442">
      <c r="A442" s="40"/>
      <c r="B442" s="41"/>
      <c r="C442" s="41"/>
      <c r="D442" s="41"/>
      <c r="E442" s="41"/>
      <c r="F442" s="41"/>
    </row>
    <row r="443">
      <c r="A443" s="40"/>
      <c r="B443" s="41"/>
      <c r="C443" s="41"/>
      <c r="D443" s="41"/>
      <c r="E443" s="41"/>
      <c r="F443" s="41"/>
    </row>
    <row r="444">
      <c r="A444" s="40"/>
      <c r="B444" s="41"/>
      <c r="C444" s="41"/>
      <c r="D444" s="41"/>
      <c r="E444" s="41"/>
      <c r="F444" s="41"/>
    </row>
    <row r="445">
      <c r="A445" s="40"/>
      <c r="B445" s="41"/>
      <c r="C445" s="41"/>
      <c r="D445" s="41"/>
      <c r="E445" s="41"/>
      <c r="F445" s="41"/>
    </row>
    <row r="446">
      <c r="A446" s="40"/>
      <c r="B446" s="41"/>
      <c r="C446" s="41"/>
      <c r="D446" s="41"/>
      <c r="E446" s="41"/>
      <c r="F446" s="41"/>
    </row>
    <row r="447">
      <c r="A447" s="40"/>
      <c r="B447" s="41"/>
      <c r="C447" s="41"/>
      <c r="D447" s="41"/>
      <c r="E447" s="41"/>
      <c r="F447" s="41"/>
    </row>
    <row r="448">
      <c r="A448" s="40"/>
      <c r="B448" s="41"/>
      <c r="C448" s="41"/>
      <c r="D448" s="41"/>
      <c r="E448" s="41"/>
      <c r="F448" s="41"/>
    </row>
    <row r="449">
      <c r="A449" s="40"/>
      <c r="B449" s="41"/>
      <c r="C449" s="41"/>
      <c r="D449" s="41"/>
      <c r="E449" s="41"/>
      <c r="F449" s="41"/>
    </row>
    <row r="450">
      <c r="A450" s="40"/>
      <c r="B450" s="41"/>
      <c r="C450" s="41"/>
      <c r="D450" s="41"/>
      <c r="E450" s="41"/>
      <c r="F450" s="41"/>
    </row>
    <row r="451">
      <c r="A451" s="40"/>
      <c r="B451" s="41"/>
      <c r="C451" s="41"/>
      <c r="D451" s="41"/>
      <c r="E451" s="41"/>
      <c r="F451" s="41"/>
    </row>
    <row r="452">
      <c r="A452" s="40"/>
      <c r="B452" s="41"/>
      <c r="C452" s="41"/>
      <c r="D452" s="41"/>
      <c r="E452" s="41"/>
      <c r="F452" s="41"/>
    </row>
    <row r="453">
      <c r="A453" s="40"/>
      <c r="B453" s="41"/>
      <c r="C453" s="41"/>
      <c r="D453" s="41"/>
      <c r="E453" s="41"/>
      <c r="F453" s="41"/>
    </row>
    <row r="454">
      <c r="A454" s="40"/>
      <c r="B454" s="41"/>
      <c r="C454" s="41"/>
      <c r="D454" s="41"/>
      <c r="E454" s="41"/>
      <c r="F454" s="41"/>
    </row>
    <row r="455">
      <c r="A455" s="40"/>
      <c r="B455" s="41"/>
      <c r="C455" s="41"/>
      <c r="D455" s="41"/>
      <c r="E455" s="41"/>
      <c r="F455" s="41"/>
    </row>
    <row r="456">
      <c r="A456" s="40"/>
      <c r="B456" s="41"/>
      <c r="C456" s="41"/>
      <c r="D456" s="41"/>
      <c r="E456" s="41"/>
      <c r="F456" s="41"/>
    </row>
    <row r="457">
      <c r="A457" s="40"/>
      <c r="B457" s="41"/>
      <c r="C457" s="41"/>
      <c r="D457" s="41"/>
      <c r="E457" s="41"/>
      <c r="F457" s="41"/>
    </row>
    <row r="458">
      <c r="A458" s="40"/>
      <c r="B458" s="41"/>
      <c r="C458" s="41"/>
      <c r="D458" s="41"/>
      <c r="E458" s="41"/>
      <c r="F458" s="41"/>
    </row>
    <row r="459">
      <c r="A459" s="40"/>
      <c r="B459" s="41"/>
      <c r="C459" s="41"/>
      <c r="D459" s="41"/>
      <c r="E459" s="41"/>
      <c r="F459" s="41"/>
    </row>
    <row r="460">
      <c r="A460" s="40"/>
      <c r="B460" s="41"/>
      <c r="C460" s="41"/>
      <c r="D460" s="41"/>
      <c r="E460" s="41"/>
      <c r="F460" s="41"/>
    </row>
    <row r="461">
      <c r="A461" s="40"/>
      <c r="B461" s="41"/>
      <c r="C461" s="41"/>
      <c r="D461" s="41"/>
      <c r="E461" s="41"/>
      <c r="F461" s="41"/>
    </row>
    <row r="462">
      <c r="A462" s="40"/>
      <c r="B462" s="41"/>
      <c r="C462" s="41"/>
      <c r="D462" s="41"/>
      <c r="E462" s="41"/>
      <c r="F462" s="41"/>
    </row>
    <row r="463">
      <c r="A463" s="40"/>
      <c r="B463" s="41"/>
      <c r="C463" s="41"/>
      <c r="D463" s="41"/>
      <c r="E463" s="41"/>
      <c r="F463" s="41"/>
    </row>
    <row r="464">
      <c r="A464" s="40"/>
      <c r="B464" s="41"/>
      <c r="C464" s="41"/>
      <c r="D464" s="41"/>
      <c r="E464" s="41"/>
      <c r="F464" s="41"/>
    </row>
    <row r="465">
      <c r="A465" s="40"/>
      <c r="B465" s="41"/>
      <c r="C465" s="41"/>
      <c r="D465" s="41"/>
      <c r="E465" s="41"/>
      <c r="F465" s="41"/>
    </row>
    <row r="466">
      <c r="A466" s="40"/>
      <c r="B466" s="41"/>
      <c r="C466" s="41"/>
      <c r="D466" s="41"/>
      <c r="E466" s="41"/>
      <c r="F466" s="41"/>
    </row>
    <row r="467">
      <c r="A467" s="40"/>
      <c r="B467" s="41"/>
      <c r="C467" s="41"/>
      <c r="D467" s="41"/>
      <c r="E467" s="41"/>
      <c r="F467" s="41"/>
    </row>
    <row r="468">
      <c r="A468" s="40"/>
      <c r="B468" s="41"/>
      <c r="C468" s="41"/>
      <c r="D468" s="41"/>
      <c r="E468" s="41"/>
      <c r="F468" s="41"/>
    </row>
    <row r="469">
      <c r="A469" s="40"/>
      <c r="B469" s="41"/>
      <c r="C469" s="41"/>
      <c r="D469" s="41"/>
      <c r="E469" s="41"/>
      <c r="F469" s="41"/>
    </row>
    <row r="470">
      <c r="A470" s="40"/>
      <c r="B470" s="41"/>
      <c r="C470" s="41"/>
      <c r="D470" s="41"/>
      <c r="E470" s="41"/>
      <c r="F470" s="41"/>
    </row>
    <row r="471">
      <c r="A471" s="40"/>
      <c r="B471" s="41"/>
      <c r="C471" s="41"/>
      <c r="D471" s="41"/>
      <c r="E471" s="41"/>
      <c r="F471" s="41"/>
    </row>
    <row r="472">
      <c r="A472" s="40"/>
      <c r="B472" s="41"/>
      <c r="C472" s="41"/>
      <c r="D472" s="41"/>
      <c r="E472" s="41"/>
      <c r="F472" s="41"/>
    </row>
    <row r="473">
      <c r="A473" s="40"/>
      <c r="B473" s="41"/>
      <c r="C473" s="41"/>
      <c r="D473" s="41"/>
      <c r="E473" s="41"/>
      <c r="F473" s="41"/>
    </row>
    <row r="474">
      <c r="A474" s="40"/>
      <c r="B474" s="41"/>
      <c r="C474" s="41"/>
      <c r="D474" s="41"/>
      <c r="E474" s="41"/>
      <c r="F474" s="41"/>
    </row>
    <row r="475">
      <c r="A475" s="40"/>
      <c r="B475" s="41"/>
      <c r="C475" s="41"/>
      <c r="D475" s="41"/>
      <c r="E475" s="41"/>
      <c r="F475" s="41"/>
    </row>
    <row r="476">
      <c r="A476" s="40"/>
      <c r="B476" s="41"/>
      <c r="C476" s="41"/>
      <c r="D476" s="41"/>
      <c r="E476" s="41"/>
      <c r="F476" s="41"/>
    </row>
    <row r="477">
      <c r="A477" s="40"/>
      <c r="B477" s="41"/>
      <c r="C477" s="41"/>
      <c r="D477" s="41"/>
      <c r="E477" s="41"/>
      <c r="F477" s="41"/>
    </row>
    <row r="478">
      <c r="A478" s="40"/>
      <c r="B478" s="41"/>
      <c r="C478" s="41"/>
      <c r="D478" s="41"/>
      <c r="E478" s="41"/>
      <c r="F478" s="41"/>
    </row>
    <row r="479">
      <c r="A479" s="40"/>
      <c r="B479" s="41"/>
      <c r="C479" s="41"/>
      <c r="D479" s="41"/>
      <c r="E479" s="41"/>
      <c r="F479" s="41"/>
    </row>
    <row r="480">
      <c r="A480" s="40"/>
      <c r="B480" s="41"/>
      <c r="C480" s="41"/>
      <c r="D480" s="41"/>
      <c r="E480" s="41"/>
      <c r="F480" s="41"/>
    </row>
    <row r="481">
      <c r="A481" s="40"/>
      <c r="B481" s="41"/>
      <c r="C481" s="41"/>
      <c r="D481" s="41"/>
      <c r="E481" s="41"/>
      <c r="F481" s="41"/>
    </row>
    <row r="482">
      <c r="A482" s="40"/>
      <c r="B482" s="41"/>
      <c r="C482" s="41"/>
      <c r="D482" s="41"/>
      <c r="E482" s="41"/>
      <c r="F482" s="41"/>
    </row>
    <row r="483">
      <c r="A483" s="40"/>
      <c r="B483" s="41"/>
      <c r="C483" s="41"/>
      <c r="D483" s="41"/>
      <c r="E483" s="41"/>
      <c r="F483" s="41"/>
    </row>
    <row r="484">
      <c r="A484" s="40"/>
      <c r="B484" s="41"/>
      <c r="C484" s="41"/>
      <c r="D484" s="41"/>
      <c r="E484" s="41"/>
      <c r="F484" s="41"/>
    </row>
    <row r="485">
      <c r="A485" s="40"/>
      <c r="B485" s="41"/>
      <c r="C485" s="41"/>
      <c r="D485" s="41"/>
      <c r="E485" s="41"/>
      <c r="F485" s="41"/>
    </row>
    <row r="486">
      <c r="A486" s="40"/>
      <c r="B486" s="41"/>
      <c r="C486" s="41"/>
      <c r="D486" s="41"/>
      <c r="E486" s="41"/>
      <c r="F486" s="41"/>
    </row>
    <row r="487">
      <c r="A487" s="40"/>
      <c r="B487" s="41"/>
      <c r="C487" s="41"/>
      <c r="D487" s="41"/>
      <c r="E487" s="41"/>
      <c r="F487" s="41"/>
    </row>
    <row r="488">
      <c r="A488" s="40"/>
      <c r="B488" s="41"/>
      <c r="C488" s="41"/>
      <c r="D488" s="41"/>
      <c r="E488" s="41"/>
      <c r="F488" s="41"/>
    </row>
    <row r="489">
      <c r="A489" s="40"/>
      <c r="B489" s="41"/>
      <c r="C489" s="41"/>
      <c r="D489" s="41"/>
      <c r="E489" s="41"/>
      <c r="F489" s="41"/>
    </row>
    <row r="490">
      <c r="A490" s="40"/>
      <c r="B490" s="41"/>
      <c r="C490" s="41"/>
      <c r="D490" s="41"/>
      <c r="E490" s="41"/>
      <c r="F490" s="41"/>
    </row>
    <row r="491">
      <c r="A491" s="40"/>
      <c r="B491" s="41"/>
      <c r="C491" s="41"/>
      <c r="D491" s="41"/>
      <c r="E491" s="41"/>
      <c r="F491" s="41"/>
    </row>
    <row r="492">
      <c r="A492" s="40"/>
      <c r="B492" s="41"/>
      <c r="C492" s="41"/>
      <c r="D492" s="41"/>
      <c r="E492" s="41"/>
      <c r="F492" s="41"/>
    </row>
    <row r="493">
      <c r="A493" s="40"/>
      <c r="B493" s="41"/>
      <c r="C493" s="41"/>
      <c r="D493" s="41"/>
      <c r="E493" s="41"/>
      <c r="F493" s="41"/>
    </row>
    <row r="494">
      <c r="A494" s="40"/>
      <c r="B494" s="41"/>
      <c r="C494" s="41"/>
      <c r="D494" s="41"/>
      <c r="E494" s="41"/>
      <c r="F494" s="41"/>
    </row>
    <row r="495">
      <c r="A495" s="40"/>
      <c r="B495" s="41"/>
      <c r="C495" s="41"/>
      <c r="D495" s="41"/>
      <c r="E495" s="41"/>
      <c r="F495" s="41"/>
    </row>
    <row r="496">
      <c r="A496" s="40"/>
      <c r="B496" s="41"/>
      <c r="C496" s="41"/>
      <c r="D496" s="41"/>
      <c r="E496" s="41"/>
      <c r="F496" s="41"/>
    </row>
    <row r="497">
      <c r="A497" s="40"/>
      <c r="B497" s="41"/>
      <c r="C497" s="41"/>
      <c r="D497" s="41"/>
      <c r="E497" s="41"/>
      <c r="F497" s="41"/>
    </row>
    <row r="498">
      <c r="A498" s="40"/>
      <c r="B498" s="41"/>
      <c r="C498" s="41"/>
      <c r="D498" s="41"/>
      <c r="E498" s="41"/>
      <c r="F498" s="41"/>
    </row>
    <row r="499">
      <c r="A499" s="40"/>
      <c r="B499" s="41"/>
      <c r="C499" s="41"/>
      <c r="D499" s="41"/>
      <c r="E499" s="41"/>
      <c r="F499" s="41"/>
    </row>
    <row r="500">
      <c r="A500" s="40"/>
      <c r="B500" s="41"/>
      <c r="C500" s="41"/>
      <c r="D500" s="41"/>
      <c r="E500" s="41"/>
      <c r="F500" s="41"/>
    </row>
    <row r="501">
      <c r="A501" s="40"/>
      <c r="B501" s="41"/>
      <c r="C501" s="41"/>
      <c r="D501" s="41"/>
      <c r="E501" s="41"/>
      <c r="F501" s="41"/>
    </row>
    <row r="502">
      <c r="A502" s="40"/>
      <c r="B502" s="41"/>
      <c r="C502" s="41"/>
      <c r="D502" s="41"/>
      <c r="E502" s="41"/>
      <c r="F502" s="41"/>
    </row>
    <row r="503">
      <c r="A503" s="40"/>
      <c r="B503" s="41"/>
      <c r="C503" s="41"/>
      <c r="D503" s="41"/>
      <c r="E503" s="41"/>
      <c r="F503" s="41"/>
    </row>
    <row r="504">
      <c r="A504" s="40"/>
      <c r="B504" s="41"/>
      <c r="C504" s="41"/>
      <c r="D504" s="41"/>
      <c r="E504" s="41"/>
      <c r="F504" s="41"/>
    </row>
    <row r="505">
      <c r="A505" s="40"/>
      <c r="B505" s="41"/>
      <c r="C505" s="41"/>
      <c r="D505" s="41"/>
      <c r="E505" s="41"/>
      <c r="F505" s="41"/>
    </row>
    <row r="506">
      <c r="A506" s="40"/>
      <c r="B506" s="41"/>
      <c r="C506" s="41"/>
      <c r="D506" s="41"/>
      <c r="E506" s="41"/>
      <c r="F506" s="41"/>
    </row>
    <row r="507">
      <c r="A507" s="40"/>
      <c r="B507" s="41"/>
      <c r="C507" s="41"/>
      <c r="D507" s="41"/>
      <c r="E507" s="41"/>
      <c r="F507" s="41"/>
    </row>
    <row r="508">
      <c r="A508" s="40"/>
      <c r="B508" s="41"/>
      <c r="C508" s="41"/>
      <c r="D508" s="41"/>
      <c r="E508" s="41"/>
      <c r="F508" s="41"/>
    </row>
    <row r="509">
      <c r="A509" s="40"/>
      <c r="B509" s="41"/>
      <c r="C509" s="41"/>
      <c r="D509" s="41"/>
      <c r="E509" s="41"/>
      <c r="F509" s="41"/>
    </row>
    <row r="510">
      <c r="A510" s="40"/>
      <c r="B510" s="41"/>
      <c r="C510" s="41"/>
      <c r="D510" s="41"/>
      <c r="E510" s="41"/>
      <c r="F510" s="41"/>
    </row>
    <row r="511">
      <c r="A511" s="40"/>
      <c r="B511" s="41"/>
      <c r="C511" s="41"/>
      <c r="D511" s="41"/>
      <c r="E511" s="41"/>
      <c r="F511" s="41"/>
    </row>
    <row r="512">
      <c r="A512" s="40"/>
      <c r="B512" s="41"/>
      <c r="C512" s="41"/>
      <c r="D512" s="41"/>
      <c r="E512" s="41"/>
      <c r="F512" s="41"/>
    </row>
    <row r="513">
      <c r="A513" s="40"/>
      <c r="B513" s="41"/>
      <c r="C513" s="41"/>
      <c r="D513" s="41"/>
      <c r="E513" s="41"/>
      <c r="F513" s="41"/>
    </row>
    <row r="514">
      <c r="A514" s="40"/>
      <c r="B514" s="41"/>
      <c r="C514" s="41"/>
      <c r="D514" s="41"/>
      <c r="E514" s="41"/>
      <c r="F514" s="41"/>
    </row>
    <row r="515">
      <c r="A515" s="40"/>
      <c r="B515" s="41"/>
      <c r="C515" s="41"/>
      <c r="D515" s="41"/>
      <c r="E515" s="41"/>
      <c r="F515" s="41"/>
    </row>
    <row r="516">
      <c r="A516" s="40"/>
      <c r="B516" s="41"/>
      <c r="C516" s="41"/>
      <c r="D516" s="41"/>
      <c r="E516" s="41"/>
      <c r="F516" s="41"/>
    </row>
    <row r="517">
      <c r="A517" s="40"/>
      <c r="B517" s="41"/>
      <c r="C517" s="41"/>
      <c r="D517" s="41"/>
      <c r="E517" s="41"/>
      <c r="F517" s="41"/>
    </row>
    <row r="518">
      <c r="A518" s="40"/>
      <c r="B518" s="41"/>
      <c r="C518" s="41"/>
      <c r="D518" s="41"/>
      <c r="E518" s="41"/>
      <c r="F518" s="41"/>
    </row>
    <row r="519">
      <c r="A519" s="40"/>
      <c r="B519" s="41"/>
      <c r="C519" s="41"/>
      <c r="D519" s="41"/>
      <c r="E519" s="41"/>
      <c r="F519" s="41"/>
    </row>
    <row r="520">
      <c r="A520" s="40"/>
      <c r="B520" s="41"/>
      <c r="C520" s="41"/>
      <c r="D520" s="41"/>
      <c r="E520" s="41"/>
      <c r="F520" s="41"/>
    </row>
    <row r="521">
      <c r="A521" s="40"/>
      <c r="B521" s="41"/>
      <c r="C521" s="41"/>
      <c r="D521" s="41"/>
      <c r="E521" s="41"/>
      <c r="F521" s="41"/>
    </row>
    <row r="522">
      <c r="A522" s="40"/>
      <c r="B522" s="41"/>
      <c r="C522" s="41"/>
      <c r="D522" s="41"/>
      <c r="E522" s="41"/>
      <c r="F522" s="41"/>
    </row>
    <row r="523">
      <c r="A523" s="40"/>
      <c r="B523" s="41"/>
      <c r="C523" s="41"/>
      <c r="D523" s="41"/>
      <c r="E523" s="41"/>
      <c r="F523" s="41"/>
    </row>
    <row r="524">
      <c r="A524" s="40"/>
      <c r="B524" s="41"/>
      <c r="C524" s="41"/>
      <c r="D524" s="41"/>
      <c r="E524" s="41"/>
      <c r="F524" s="41"/>
    </row>
    <row r="525">
      <c r="A525" s="40"/>
      <c r="B525" s="41"/>
      <c r="C525" s="41"/>
      <c r="D525" s="41"/>
      <c r="E525" s="41"/>
      <c r="F525" s="41"/>
    </row>
    <row r="526">
      <c r="A526" s="40"/>
      <c r="B526" s="41"/>
      <c r="C526" s="41"/>
      <c r="D526" s="41"/>
      <c r="E526" s="41"/>
      <c r="F526" s="41"/>
    </row>
    <row r="527">
      <c r="A527" s="40"/>
      <c r="B527" s="41"/>
      <c r="C527" s="41"/>
      <c r="D527" s="41"/>
      <c r="E527" s="41"/>
      <c r="F527" s="41"/>
    </row>
    <row r="528">
      <c r="A528" s="40"/>
      <c r="B528" s="41"/>
      <c r="C528" s="41"/>
      <c r="D528" s="41"/>
      <c r="E528" s="41"/>
      <c r="F528" s="41"/>
    </row>
    <row r="529">
      <c r="A529" s="40"/>
      <c r="B529" s="41"/>
      <c r="C529" s="41"/>
      <c r="D529" s="41"/>
      <c r="E529" s="41"/>
      <c r="F529" s="41"/>
    </row>
    <row r="530">
      <c r="A530" s="40"/>
      <c r="B530" s="41"/>
      <c r="C530" s="41"/>
      <c r="D530" s="41"/>
      <c r="E530" s="41"/>
      <c r="F530" s="41"/>
    </row>
    <row r="531">
      <c r="A531" s="40"/>
      <c r="B531" s="41"/>
      <c r="C531" s="41"/>
      <c r="D531" s="41"/>
      <c r="E531" s="41"/>
      <c r="F531" s="41"/>
    </row>
    <row r="532">
      <c r="A532" s="40"/>
      <c r="B532" s="41"/>
      <c r="C532" s="41"/>
      <c r="D532" s="41"/>
      <c r="E532" s="41"/>
      <c r="F532" s="41"/>
    </row>
    <row r="533">
      <c r="A533" s="40"/>
      <c r="B533" s="41"/>
      <c r="C533" s="41"/>
      <c r="D533" s="41"/>
      <c r="E533" s="41"/>
      <c r="F533" s="41"/>
    </row>
    <row r="534">
      <c r="A534" s="40"/>
      <c r="B534" s="41"/>
      <c r="C534" s="41"/>
      <c r="D534" s="41"/>
      <c r="E534" s="41"/>
      <c r="F534" s="41"/>
    </row>
    <row r="535">
      <c r="A535" s="40"/>
      <c r="B535" s="41"/>
      <c r="C535" s="41"/>
      <c r="D535" s="41"/>
      <c r="E535" s="41"/>
      <c r="F535" s="41"/>
    </row>
    <row r="536">
      <c r="A536" s="40"/>
      <c r="B536" s="41"/>
      <c r="C536" s="41"/>
      <c r="D536" s="41"/>
      <c r="E536" s="41"/>
      <c r="F536" s="41"/>
    </row>
    <row r="537">
      <c r="A537" s="40"/>
      <c r="B537" s="41"/>
      <c r="C537" s="41"/>
      <c r="D537" s="41"/>
      <c r="E537" s="41"/>
      <c r="F537" s="41"/>
    </row>
    <row r="538">
      <c r="A538" s="40"/>
      <c r="B538" s="41"/>
      <c r="C538" s="41"/>
      <c r="D538" s="41"/>
      <c r="E538" s="41"/>
      <c r="F538" s="41"/>
    </row>
    <row r="539">
      <c r="A539" s="40"/>
      <c r="B539" s="41"/>
      <c r="C539" s="41"/>
      <c r="D539" s="41"/>
      <c r="E539" s="41"/>
      <c r="F539" s="41"/>
    </row>
    <row r="540">
      <c r="A540" s="40"/>
      <c r="B540" s="41"/>
      <c r="C540" s="41"/>
      <c r="D540" s="41"/>
      <c r="E540" s="41"/>
      <c r="F540" s="41"/>
    </row>
    <row r="541">
      <c r="A541" s="40"/>
      <c r="B541" s="41"/>
      <c r="C541" s="41"/>
      <c r="D541" s="41"/>
      <c r="E541" s="41"/>
      <c r="F541" s="41"/>
    </row>
    <row r="542">
      <c r="A542" s="40"/>
      <c r="B542" s="41"/>
      <c r="C542" s="41"/>
      <c r="D542" s="41"/>
      <c r="E542" s="41"/>
      <c r="F542" s="41"/>
    </row>
    <row r="543">
      <c r="A543" s="40"/>
      <c r="B543" s="41"/>
      <c r="C543" s="41"/>
      <c r="D543" s="41"/>
      <c r="E543" s="41"/>
      <c r="F543" s="41"/>
    </row>
    <row r="544">
      <c r="A544" s="40"/>
      <c r="B544" s="41"/>
      <c r="C544" s="41"/>
      <c r="D544" s="41"/>
      <c r="E544" s="41"/>
      <c r="F544" s="41"/>
    </row>
    <row r="545">
      <c r="A545" s="40"/>
      <c r="B545" s="41"/>
      <c r="C545" s="41"/>
      <c r="D545" s="41"/>
      <c r="E545" s="41"/>
      <c r="F545" s="41"/>
    </row>
    <row r="546">
      <c r="A546" s="40"/>
      <c r="B546" s="41"/>
      <c r="C546" s="41"/>
      <c r="D546" s="41"/>
      <c r="E546" s="41"/>
      <c r="F546" s="41"/>
    </row>
    <row r="547">
      <c r="A547" s="40"/>
      <c r="B547" s="41"/>
      <c r="C547" s="41"/>
      <c r="D547" s="41"/>
      <c r="E547" s="41"/>
      <c r="F547" s="41"/>
    </row>
    <row r="548">
      <c r="A548" s="40"/>
      <c r="B548" s="41"/>
      <c r="C548" s="41"/>
      <c r="D548" s="41"/>
      <c r="E548" s="41"/>
      <c r="F548" s="41"/>
    </row>
    <row r="549">
      <c r="A549" s="40"/>
      <c r="B549" s="41"/>
      <c r="C549" s="41"/>
      <c r="D549" s="41"/>
      <c r="E549" s="41"/>
      <c r="F549" s="41"/>
    </row>
    <row r="550">
      <c r="A550" s="40"/>
      <c r="B550" s="41"/>
      <c r="C550" s="41"/>
      <c r="D550" s="41"/>
      <c r="E550" s="41"/>
      <c r="F550" s="41"/>
    </row>
    <row r="551">
      <c r="A551" s="40"/>
      <c r="B551" s="41"/>
      <c r="C551" s="41"/>
      <c r="D551" s="41"/>
      <c r="E551" s="41"/>
      <c r="F551" s="41"/>
    </row>
    <row r="552">
      <c r="A552" s="40"/>
      <c r="B552" s="41"/>
      <c r="C552" s="41"/>
      <c r="D552" s="41"/>
      <c r="E552" s="41"/>
      <c r="F552" s="41"/>
    </row>
    <row r="553">
      <c r="A553" s="40"/>
      <c r="B553" s="41"/>
      <c r="C553" s="41"/>
      <c r="D553" s="41"/>
      <c r="E553" s="41"/>
      <c r="F553" s="41"/>
    </row>
    <row r="554">
      <c r="A554" s="40"/>
      <c r="B554" s="41"/>
      <c r="C554" s="41"/>
      <c r="D554" s="41"/>
      <c r="E554" s="41"/>
      <c r="F554" s="41"/>
    </row>
    <row r="555">
      <c r="A555" s="40"/>
      <c r="B555" s="41"/>
      <c r="C555" s="41"/>
      <c r="D555" s="41"/>
      <c r="E555" s="41"/>
      <c r="F555" s="41"/>
    </row>
    <row r="556">
      <c r="A556" s="40"/>
      <c r="B556" s="41"/>
      <c r="C556" s="41"/>
      <c r="D556" s="41"/>
      <c r="E556" s="41"/>
      <c r="F556" s="41"/>
    </row>
    <row r="557">
      <c r="A557" s="40"/>
      <c r="B557" s="41"/>
      <c r="C557" s="41"/>
      <c r="D557" s="41"/>
      <c r="E557" s="41"/>
      <c r="F557" s="41"/>
    </row>
    <row r="558">
      <c r="A558" s="40"/>
      <c r="B558" s="41"/>
      <c r="C558" s="41"/>
      <c r="D558" s="41"/>
      <c r="E558" s="41"/>
      <c r="F558" s="41"/>
    </row>
    <row r="559">
      <c r="A559" s="40"/>
      <c r="B559" s="41"/>
      <c r="C559" s="41"/>
      <c r="D559" s="41"/>
      <c r="E559" s="41"/>
      <c r="F559" s="41"/>
    </row>
    <row r="560">
      <c r="A560" s="40"/>
      <c r="B560" s="41"/>
      <c r="C560" s="41"/>
      <c r="D560" s="41"/>
      <c r="E560" s="41"/>
      <c r="F560" s="41"/>
    </row>
    <row r="561">
      <c r="A561" s="40"/>
      <c r="B561" s="41"/>
      <c r="C561" s="41"/>
      <c r="D561" s="41"/>
      <c r="E561" s="41"/>
      <c r="F561" s="41"/>
    </row>
    <row r="562">
      <c r="A562" s="40"/>
      <c r="B562" s="41"/>
      <c r="C562" s="41"/>
      <c r="D562" s="41"/>
      <c r="E562" s="41"/>
      <c r="F562" s="41"/>
    </row>
    <row r="563">
      <c r="A563" s="40"/>
      <c r="B563" s="41"/>
      <c r="C563" s="41"/>
      <c r="D563" s="41"/>
      <c r="E563" s="41"/>
      <c r="F563" s="41"/>
    </row>
    <row r="564">
      <c r="A564" s="40"/>
      <c r="B564" s="41"/>
      <c r="C564" s="41"/>
      <c r="D564" s="41"/>
      <c r="E564" s="41"/>
      <c r="F564" s="41"/>
    </row>
    <row r="565">
      <c r="A565" s="40"/>
      <c r="B565" s="41"/>
      <c r="C565" s="41"/>
      <c r="D565" s="41"/>
      <c r="E565" s="41"/>
      <c r="F565" s="41"/>
    </row>
    <row r="566">
      <c r="A566" s="40"/>
      <c r="B566" s="41"/>
      <c r="C566" s="41"/>
      <c r="D566" s="41"/>
      <c r="E566" s="41"/>
      <c r="F566" s="41"/>
    </row>
    <row r="567">
      <c r="A567" s="40"/>
      <c r="B567" s="41"/>
      <c r="C567" s="41"/>
      <c r="D567" s="41"/>
      <c r="E567" s="41"/>
      <c r="F567" s="41"/>
    </row>
    <row r="568">
      <c r="A568" s="40"/>
      <c r="B568" s="41"/>
      <c r="C568" s="41"/>
      <c r="D568" s="41"/>
      <c r="E568" s="41"/>
      <c r="F568" s="41"/>
    </row>
    <row r="569">
      <c r="A569" s="40"/>
      <c r="B569" s="41"/>
      <c r="C569" s="41"/>
      <c r="D569" s="41"/>
      <c r="E569" s="41"/>
      <c r="F569" s="41"/>
    </row>
    <row r="570">
      <c r="A570" s="40"/>
      <c r="B570" s="41"/>
      <c r="C570" s="41"/>
      <c r="D570" s="41"/>
      <c r="E570" s="41"/>
      <c r="F570" s="41"/>
    </row>
    <row r="571">
      <c r="A571" s="40"/>
      <c r="B571" s="41"/>
      <c r="C571" s="41"/>
      <c r="D571" s="41"/>
      <c r="E571" s="41"/>
      <c r="F571" s="41"/>
    </row>
    <row r="572">
      <c r="A572" s="40"/>
      <c r="B572" s="41"/>
      <c r="C572" s="41"/>
      <c r="D572" s="41"/>
      <c r="E572" s="41"/>
      <c r="F572" s="41"/>
    </row>
    <row r="573">
      <c r="A573" s="40"/>
      <c r="B573" s="41"/>
      <c r="C573" s="41"/>
      <c r="D573" s="41"/>
      <c r="E573" s="41"/>
      <c r="F573" s="41"/>
    </row>
    <row r="574">
      <c r="A574" s="40"/>
      <c r="B574" s="41"/>
      <c r="C574" s="41"/>
      <c r="D574" s="41"/>
      <c r="E574" s="41"/>
      <c r="F574" s="41"/>
    </row>
    <row r="575">
      <c r="A575" s="40"/>
      <c r="B575" s="41"/>
      <c r="C575" s="41"/>
      <c r="D575" s="41"/>
      <c r="E575" s="41"/>
      <c r="F575" s="41"/>
    </row>
    <row r="576">
      <c r="A576" s="40"/>
      <c r="B576" s="41"/>
      <c r="C576" s="41"/>
      <c r="D576" s="41"/>
      <c r="E576" s="41"/>
      <c r="F576" s="41"/>
    </row>
    <row r="577">
      <c r="A577" s="40"/>
      <c r="B577" s="41"/>
      <c r="C577" s="41"/>
      <c r="D577" s="41"/>
      <c r="E577" s="41"/>
      <c r="F577" s="41"/>
    </row>
    <row r="578">
      <c r="A578" s="40"/>
      <c r="B578" s="41"/>
      <c r="C578" s="41"/>
      <c r="D578" s="41"/>
      <c r="E578" s="41"/>
      <c r="F578" s="41"/>
    </row>
    <row r="579">
      <c r="A579" s="40"/>
      <c r="B579" s="41"/>
      <c r="C579" s="41"/>
      <c r="D579" s="41"/>
      <c r="E579" s="41"/>
      <c r="F579" s="41"/>
    </row>
    <row r="580">
      <c r="A580" s="40"/>
      <c r="B580" s="41"/>
      <c r="C580" s="41"/>
      <c r="D580" s="41"/>
      <c r="E580" s="41"/>
      <c r="F580" s="41"/>
    </row>
    <row r="581">
      <c r="A581" s="40"/>
      <c r="B581" s="41"/>
      <c r="C581" s="41"/>
      <c r="D581" s="41"/>
      <c r="E581" s="41"/>
      <c r="F581" s="41"/>
    </row>
    <row r="582">
      <c r="A582" s="40"/>
      <c r="B582" s="41"/>
      <c r="C582" s="41"/>
      <c r="D582" s="41"/>
      <c r="E582" s="41"/>
      <c r="F582" s="41"/>
    </row>
    <row r="583">
      <c r="A583" s="40"/>
      <c r="B583" s="41"/>
      <c r="C583" s="41"/>
      <c r="D583" s="41"/>
      <c r="E583" s="41"/>
      <c r="F583" s="41"/>
    </row>
    <row r="584">
      <c r="A584" s="40"/>
      <c r="B584" s="41"/>
      <c r="C584" s="41"/>
      <c r="D584" s="41"/>
      <c r="E584" s="41"/>
      <c r="F584" s="41"/>
    </row>
    <row r="585">
      <c r="A585" s="40"/>
      <c r="B585" s="41"/>
      <c r="C585" s="41"/>
      <c r="D585" s="41"/>
      <c r="E585" s="41"/>
      <c r="F585" s="41"/>
    </row>
    <row r="586">
      <c r="A586" s="40"/>
      <c r="B586" s="41"/>
      <c r="C586" s="41"/>
      <c r="D586" s="41"/>
      <c r="E586" s="41"/>
      <c r="F586" s="41"/>
    </row>
    <row r="587">
      <c r="A587" s="40"/>
      <c r="B587" s="41"/>
      <c r="C587" s="41"/>
      <c r="D587" s="41"/>
      <c r="E587" s="41"/>
      <c r="F587" s="41"/>
    </row>
    <row r="588">
      <c r="A588" s="40"/>
      <c r="B588" s="41"/>
      <c r="C588" s="41"/>
      <c r="D588" s="41"/>
      <c r="E588" s="41"/>
      <c r="F588" s="41"/>
    </row>
    <row r="589">
      <c r="A589" s="40"/>
      <c r="B589" s="41"/>
      <c r="C589" s="41"/>
      <c r="D589" s="41"/>
      <c r="E589" s="41"/>
      <c r="F589" s="41"/>
    </row>
    <row r="590">
      <c r="A590" s="40"/>
      <c r="B590" s="41"/>
      <c r="C590" s="41"/>
      <c r="D590" s="41"/>
      <c r="E590" s="41"/>
      <c r="F590" s="41"/>
    </row>
    <row r="591">
      <c r="A591" s="40"/>
      <c r="B591" s="41"/>
      <c r="C591" s="41"/>
      <c r="D591" s="41"/>
      <c r="E591" s="41"/>
      <c r="F591" s="41"/>
    </row>
    <row r="592">
      <c r="A592" s="40"/>
      <c r="B592" s="41"/>
      <c r="C592" s="41"/>
      <c r="D592" s="41"/>
      <c r="E592" s="41"/>
      <c r="F592" s="41"/>
    </row>
    <row r="593">
      <c r="A593" s="40"/>
      <c r="B593" s="41"/>
      <c r="C593" s="41"/>
      <c r="D593" s="41"/>
      <c r="E593" s="41"/>
      <c r="F593" s="41"/>
    </row>
    <row r="594">
      <c r="A594" s="40"/>
      <c r="B594" s="41"/>
      <c r="C594" s="41"/>
      <c r="D594" s="41"/>
      <c r="E594" s="41"/>
      <c r="F594" s="41"/>
    </row>
    <row r="595">
      <c r="A595" s="40"/>
      <c r="B595" s="41"/>
      <c r="C595" s="41"/>
      <c r="D595" s="41"/>
      <c r="E595" s="41"/>
      <c r="F595" s="41"/>
    </row>
    <row r="596">
      <c r="A596" s="40"/>
      <c r="B596" s="41"/>
      <c r="C596" s="41"/>
      <c r="D596" s="41"/>
      <c r="E596" s="41"/>
      <c r="F596" s="41"/>
    </row>
    <row r="597">
      <c r="A597" s="40"/>
      <c r="B597" s="41"/>
      <c r="C597" s="41"/>
      <c r="D597" s="41"/>
      <c r="E597" s="41"/>
      <c r="F597" s="41"/>
    </row>
    <row r="598">
      <c r="A598" s="40"/>
      <c r="B598" s="41"/>
      <c r="C598" s="41"/>
      <c r="D598" s="41"/>
      <c r="E598" s="41"/>
      <c r="F598" s="41"/>
    </row>
    <row r="599">
      <c r="A599" s="40"/>
      <c r="B599" s="41"/>
      <c r="C599" s="41"/>
      <c r="D599" s="41"/>
      <c r="E599" s="41"/>
      <c r="F599" s="41"/>
    </row>
    <row r="600">
      <c r="A600" s="40"/>
      <c r="B600" s="41"/>
      <c r="C600" s="41"/>
      <c r="D600" s="41"/>
      <c r="E600" s="41"/>
      <c r="F600" s="41"/>
    </row>
    <row r="601">
      <c r="A601" s="40"/>
      <c r="B601" s="41"/>
      <c r="C601" s="41"/>
      <c r="D601" s="41"/>
      <c r="E601" s="41"/>
      <c r="F601" s="41"/>
    </row>
    <row r="602">
      <c r="A602" s="40"/>
      <c r="B602" s="41"/>
      <c r="C602" s="41"/>
      <c r="D602" s="41"/>
      <c r="E602" s="41"/>
      <c r="F602" s="41"/>
    </row>
    <row r="603">
      <c r="A603" s="40"/>
      <c r="B603" s="41"/>
      <c r="C603" s="41"/>
      <c r="D603" s="41"/>
      <c r="E603" s="41"/>
      <c r="F603" s="41"/>
    </row>
    <row r="604">
      <c r="A604" s="40"/>
      <c r="B604" s="41"/>
      <c r="C604" s="41"/>
      <c r="D604" s="41"/>
      <c r="E604" s="41"/>
      <c r="F604" s="41"/>
    </row>
    <row r="605">
      <c r="A605" s="40"/>
      <c r="B605" s="41"/>
      <c r="C605" s="41"/>
      <c r="D605" s="41"/>
      <c r="E605" s="41"/>
      <c r="F605" s="41"/>
    </row>
    <row r="606">
      <c r="A606" s="40"/>
      <c r="B606" s="41"/>
      <c r="C606" s="41"/>
      <c r="D606" s="41"/>
      <c r="E606" s="41"/>
      <c r="F606" s="41"/>
    </row>
    <row r="607">
      <c r="A607" s="40"/>
      <c r="B607" s="41"/>
      <c r="C607" s="41"/>
      <c r="D607" s="41"/>
      <c r="E607" s="41"/>
      <c r="F607" s="41"/>
    </row>
    <row r="608">
      <c r="A608" s="40"/>
      <c r="B608" s="41"/>
      <c r="C608" s="41"/>
      <c r="D608" s="41"/>
      <c r="E608" s="41"/>
      <c r="F608" s="41"/>
    </row>
    <row r="609">
      <c r="A609" s="40"/>
      <c r="B609" s="41"/>
      <c r="C609" s="41"/>
      <c r="D609" s="41"/>
      <c r="E609" s="41"/>
      <c r="F609" s="41"/>
    </row>
    <row r="610">
      <c r="A610" s="40"/>
      <c r="B610" s="41"/>
      <c r="C610" s="41"/>
      <c r="D610" s="41"/>
      <c r="E610" s="41"/>
      <c r="F610" s="41"/>
    </row>
    <row r="611">
      <c r="A611" s="40"/>
      <c r="B611" s="41"/>
      <c r="C611" s="41"/>
      <c r="D611" s="41"/>
      <c r="E611" s="41"/>
      <c r="F611" s="41"/>
    </row>
    <row r="612">
      <c r="A612" s="40"/>
      <c r="B612" s="41"/>
      <c r="C612" s="41"/>
      <c r="D612" s="41"/>
      <c r="E612" s="41"/>
      <c r="F612" s="41"/>
    </row>
    <row r="613">
      <c r="A613" s="40"/>
      <c r="B613" s="41"/>
      <c r="C613" s="41"/>
      <c r="D613" s="41"/>
      <c r="E613" s="41"/>
      <c r="F613" s="41"/>
    </row>
    <row r="614">
      <c r="A614" s="40"/>
      <c r="B614" s="41"/>
      <c r="C614" s="41"/>
      <c r="D614" s="41"/>
      <c r="E614" s="41"/>
      <c r="F614" s="41"/>
    </row>
    <row r="615">
      <c r="A615" s="40"/>
      <c r="B615" s="41"/>
      <c r="C615" s="41"/>
      <c r="D615" s="41"/>
      <c r="E615" s="41"/>
      <c r="F615" s="41"/>
    </row>
    <row r="616">
      <c r="A616" s="40"/>
      <c r="B616" s="41"/>
      <c r="C616" s="41"/>
      <c r="D616" s="41"/>
      <c r="E616" s="41"/>
      <c r="F616" s="41"/>
    </row>
    <row r="617">
      <c r="A617" s="40"/>
      <c r="B617" s="41"/>
      <c r="C617" s="41"/>
      <c r="D617" s="41"/>
      <c r="E617" s="41"/>
      <c r="F617" s="41"/>
    </row>
    <row r="618">
      <c r="A618" s="40"/>
      <c r="B618" s="41"/>
      <c r="C618" s="41"/>
      <c r="D618" s="41"/>
      <c r="E618" s="41"/>
      <c r="F618" s="41"/>
    </row>
    <row r="619">
      <c r="A619" s="40"/>
      <c r="B619" s="41"/>
      <c r="C619" s="41"/>
      <c r="D619" s="41"/>
      <c r="E619" s="41"/>
      <c r="F619" s="41"/>
    </row>
    <row r="620">
      <c r="A620" s="40"/>
      <c r="B620" s="41"/>
      <c r="C620" s="41"/>
      <c r="D620" s="41"/>
      <c r="E620" s="41"/>
      <c r="F620" s="41"/>
    </row>
    <row r="621">
      <c r="A621" s="40"/>
      <c r="B621" s="41"/>
      <c r="C621" s="41"/>
      <c r="D621" s="41"/>
      <c r="E621" s="41"/>
      <c r="F621" s="41"/>
    </row>
    <row r="622">
      <c r="A622" s="40"/>
      <c r="B622" s="41"/>
      <c r="C622" s="41"/>
      <c r="D622" s="41"/>
      <c r="E622" s="41"/>
      <c r="F622" s="41"/>
    </row>
    <row r="623">
      <c r="A623" s="40"/>
      <c r="B623" s="41"/>
      <c r="C623" s="41"/>
      <c r="D623" s="41"/>
      <c r="E623" s="41"/>
      <c r="F623" s="41"/>
    </row>
    <row r="624">
      <c r="A624" s="40"/>
      <c r="B624" s="41"/>
      <c r="C624" s="41"/>
      <c r="D624" s="41"/>
      <c r="E624" s="41"/>
      <c r="F624" s="41"/>
    </row>
    <row r="625">
      <c r="A625" s="40"/>
      <c r="B625" s="41"/>
      <c r="C625" s="41"/>
      <c r="D625" s="41"/>
      <c r="E625" s="41"/>
      <c r="F625" s="41"/>
    </row>
    <row r="626">
      <c r="A626" s="40"/>
      <c r="B626" s="41"/>
      <c r="C626" s="41"/>
      <c r="D626" s="41"/>
      <c r="E626" s="41"/>
      <c r="F626" s="41"/>
    </row>
    <row r="627">
      <c r="A627" s="40"/>
      <c r="B627" s="41"/>
      <c r="C627" s="41"/>
      <c r="D627" s="41"/>
      <c r="E627" s="41"/>
      <c r="F627" s="41"/>
    </row>
    <row r="628">
      <c r="A628" s="40"/>
      <c r="B628" s="41"/>
      <c r="C628" s="41"/>
      <c r="D628" s="41"/>
      <c r="E628" s="41"/>
      <c r="F628" s="41"/>
    </row>
    <row r="629">
      <c r="A629" s="40"/>
      <c r="B629" s="41"/>
      <c r="C629" s="41"/>
      <c r="D629" s="41"/>
      <c r="E629" s="41"/>
      <c r="F629" s="41"/>
    </row>
    <row r="630">
      <c r="A630" s="40"/>
      <c r="B630" s="41"/>
      <c r="C630" s="41"/>
      <c r="D630" s="41"/>
      <c r="E630" s="41"/>
      <c r="F630" s="41"/>
    </row>
    <row r="631">
      <c r="A631" s="40"/>
      <c r="B631" s="41"/>
      <c r="C631" s="41"/>
      <c r="D631" s="41"/>
      <c r="E631" s="41"/>
      <c r="F631" s="41"/>
    </row>
    <row r="632">
      <c r="A632" s="40"/>
      <c r="B632" s="41"/>
      <c r="C632" s="41"/>
      <c r="D632" s="41"/>
      <c r="E632" s="41"/>
      <c r="F632" s="41"/>
    </row>
    <row r="633">
      <c r="A633" s="40"/>
      <c r="B633" s="41"/>
      <c r="C633" s="41"/>
      <c r="D633" s="41"/>
      <c r="E633" s="41"/>
      <c r="F633" s="41"/>
    </row>
    <row r="634">
      <c r="A634" s="40"/>
      <c r="B634" s="41"/>
      <c r="C634" s="41"/>
      <c r="D634" s="41"/>
      <c r="E634" s="41"/>
      <c r="F634" s="41"/>
    </row>
    <row r="635">
      <c r="A635" s="40"/>
      <c r="B635" s="41"/>
      <c r="C635" s="41"/>
      <c r="D635" s="41"/>
      <c r="E635" s="41"/>
      <c r="F635" s="41"/>
    </row>
    <row r="636">
      <c r="A636" s="40"/>
      <c r="B636" s="41"/>
      <c r="C636" s="41"/>
      <c r="D636" s="41"/>
      <c r="E636" s="41"/>
      <c r="F636" s="41"/>
    </row>
    <row r="637">
      <c r="A637" s="40"/>
      <c r="B637" s="41"/>
      <c r="C637" s="41"/>
      <c r="D637" s="41"/>
      <c r="E637" s="41"/>
      <c r="F637" s="41"/>
    </row>
    <row r="638">
      <c r="A638" s="40"/>
      <c r="B638" s="41"/>
      <c r="C638" s="41"/>
      <c r="D638" s="41"/>
      <c r="E638" s="41"/>
      <c r="F638" s="41"/>
    </row>
    <row r="639">
      <c r="A639" s="40"/>
      <c r="B639" s="41"/>
      <c r="C639" s="41"/>
      <c r="D639" s="41"/>
      <c r="E639" s="41"/>
      <c r="F639" s="41"/>
    </row>
    <row r="640">
      <c r="A640" s="40"/>
      <c r="B640" s="41"/>
      <c r="C640" s="41"/>
      <c r="D640" s="41"/>
      <c r="E640" s="41"/>
      <c r="F640" s="41"/>
    </row>
    <row r="641">
      <c r="A641" s="40"/>
      <c r="B641" s="41"/>
      <c r="C641" s="41"/>
      <c r="D641" s="41"/>
      <c r="E641" s="41"/>
      <c r="F641" s="41"/>
    </row>
    <row r="642">
      <c r="A642" s="40"/>
      <c r="B642" s="41"/>
      <c r="C642" s="41"/>
      <c r="D642" s="41"/>
      <c r="E642" s="41"/>
      <c r="F642" s="41"/>
    </row>
    <row r="643">
      <c r="A643" s="40"/>
      <c r="B643" s="41"/>
      <c r="C643" s="41"/>
      <c r="D643" s="41"/>
      <c r="E643" s="41"/>
      <c r="F643" s="41"/>
    </row>
    <row r="644">
      <c r="A644" s="40"/>
      <c r="B644" s="41"/>
      <c r="C644" s="41"/>
      <c r="D644" s="41"/>
      <c r="E644" s="41"/>
      <c r="F644" s="41"/>
    </row>
    <row r="645">
      <c r="A645" s="40"/>
      <c r="B645" s="41"/>
      <c r="C645" s="41"/>
      <c r="D645" s="41"/>
      <c r="E645" s="41"/>
      <c r="F645" s="41"/>
    </row>
    <row r="646">
      <c r="A646" s="40"/>
      <c r="B646" s="41"/>
      <c r="C646" s="41"/>
      <c r="D646" s="41"/>
      <c r="E646" s="41"/>
      <c r="F646" s="41"/>
    </row>
    <row r="647">
      <c r="A647" s="40"/>
      <c r="B647" s="41"/>
      <c r="C647" s="41"/>
      <c r="D647" s="41"/>
      <c r="E647" s="41"/>
      <c r="F647" s="41"/>
    </row>
    <row r="648">
      <c r="A648" s="40"/>
      <c r="B648" s="41"/>
      <c r="C648" s="41"/>
      <c r="D648" s="41"/>
      <c r="E648" s="41"/>
      <c r="F648" s="41"/>
    </row>
    <row r="649">
      <c r="A649" s="40"/>
      <c r="B649" s="41"/>
      <c r="C649" s="41"/>
      <c r="D649" s="41"/>
      <c r="E649" s="41"/>
      <c r="F649" s="41"/>
    </row>
    <row r="650">
      <c r="A650" s="40"/>
      <c r="B650" s="41"/>
      <c r="C650" s="41"/>
      <c r="D650" s="41"/>
      <c r="E650" s="41"/>
      <c r="F650" s="41"/>
    </row>
    <row r="651">
      <c r="A651" s="40"/>
      <c r="B651" s="41"/>
      <c r="C651" s="41"/>
      <c r="D651" s="41"/>
      <c r="E651" s="41"/>
      <c r="F651" s="41"/>
    </row>
    <row r="652">
      <c r="A652" s="40"/>
      <c r="B652" s="41"/>
      <c r="C652" s="41"/>
      <c r="D652" s="41"/>
      <c r="E652" s="41"/>
      <c r="F652" s="41"/>
    </row>
    <row r="653">
      <c r="A653" s="40"/>
      <c r="B653" s="41"/>
      <c r="C653" s="41"/>
      <c r="D653" s="41"/>
      <c r="E653" s="41"/>
      <c r="F653" s="41"/>
    </row>
    <row r="654">
      <c r="A654" s="40"/>
      <c r="B654" s="41"/>
      <c r="C654" s="41"/>
      <c r="D654" s="41"/>
      <c r="E654" s="41"/>
      <c r="F654" s="41"/>
    </row>
    <row r="655">
      <c r="A655" s="40"/>
      <c r="B655" s="41"/>
      <c r="C655" s="41"/>
      <c r="D655" s="41"/>
      <c r="E655" s="41"/>
      <c r="F655" s="41"/>
    </row>
    <row r="656">
      <c r="A656" s="40"/>
      <c r="B656" s="41"/>
      <c r="C656" s="41"/>
      <c r="D656" s="41"/>
      <c r="E656" s="41"/>
      <c r="F656" s="41"/>
    </row>
    <row r="657">
      <c r="A657" s="40"/>
      <c r="B657" s="41"/>
      <c r="C657" s="41"/>
      <c r="D657" s="41"/>
      <c r="E657" s="41"/>
      <c r="F657" s="41"/>
    </row>
    <row r="658">
      <c r="A658" s="40"/>
      <c r="B658" s="41"/>
      <c r="C658" s="41"/>
      <c r="D658" s="41"/>
      <c r="E658" s="41"/>
      <c r="F658" s="41"/>
    </row>
    <row r="659">
      <c r="A659" s="40"/>
      <c r="B659" s="41"/>
      <c r="C659" s="41"/>
      <c r="D659" s="41"/>
      <c r="E659" s="41"/>
      <c r="F659" s="41"/>
    </row>
    <row r="660">
      <c r="A660" s="40"/>
      <c r="B660" s="41"/>
      <c r="C660" s="41"/>
      <c r="D660" s="41"/>
      <c r="E660" s="41"/>
      <c r="F660" s="41"/>
    </row>
    <row r="661">
      <c r="A661" s="40"/>
      <c r="B661" s="41"/>
      <c r="C661" s="41"/>
      <c r="D661" s="41"/>
      <c r="E661" s="41"/>
      <c r="F661" s="41"/>
    </row>
    <row r="662">
      <c r="A662" s="40"/>
      <c r="B662" s="41"/>
      <c r="C662" s="41"/>
      <c r="D662" s="41"/>
      <c r="E662" s="41"/>
      <c r="F662" s="41"/>
    </row>
    <row r="663">
      <c r="A663" s="40"/>
      <c r="B663" s="41"/>
      <c r="C663" s="41"/>
      <c r="D663" s="41"/>
      <c r="E663" s="41"/>
      <c r="F663" s="41"/>
    </row>
    <row r="664">
      <c r="A664" s="40"/>
      <c r="B664" s="41"/>
      <c r="C664" s="41"/>
      <c r="D664" s="41"/>
      <c r="E664" s="41"/>
      <c r="F664" s="41"/>
    </row>
    <row r="665">
      <c r="A665" s="40"/>
      <c r="B665" s="41"/>
      <c r="C665" s="41"/>
      <c r="D665" s="41"/>
      <c r="E665" s="41"/>
      <c r="F665" s="41"/>
    </row>
    <row r="666">
      <c r="A666" s="40"/>
      <c r="B666" s="41"/>
      <c r="C666" s="41"/>
      <c r="D666" s="41"/>
      <c r="E666" s="41"/>
      <c r="F666" s="41"/>
    </row>
    <row r="667">
      <c r="A667" s="40"/>
      <c r="B667" s="41"/>
      <c r="C667" s="41"/>
      <c r="D667" s="41"/>
      <c r="E667" s="41"/>
      <c r="F667" s="41"/>
    </row>
    <row r="668">
      <c r="A668" s="40"/>
      <c r="B668" s="41"/>
      <c r="C668" s="41"/>
      <c r="D668" s="41"/>
      <c r="E668" s="41"/>
      <c r="F668" s="41"/>
    </row>
    <row r="669">
      <c r="A669" s="40"/>
      <c r="B669" s="41"/>
      <c r="C669" s="41"/>
      <c r="D669" s="41"/>
      <c r="E669" s="41"/>
      <c r="F669" s="41"/>
    </row>
    <row r="670">
      <c r="A670" s="40"/>
      <c r="B670" s="41"/>
      <c r="C670" s="41"/>
      <c r="D670" s="41"/>
      <c r="E670" s="41"/>
      <c r="F670" s="41"/>
    </row>
    <row r="671">
      <c r="A671" s="40"/>
      <c r="B671" s="41"/>
      <c r="C671" s="41"/>
      <c r="D671" s="41"/>
      <c r="E671" s="41"/>
      <c r="F671" s="41"/>
    </row>
    <row r="672">
      <c r="A672" s="40"/>
      <c r="B672" s="41"/>
      <c r="C672" s="41"/>
      <c r="D672" s="41"/>
      <c r="E672" s="41"/>
      <c r="F672" s="41"/>
    </row>
    <row r="673">
      <c r="A673" s="40"/>
      <c r="B673" s="41"/>
      <c r="C673" s="41"/>
      <c r="D673" s="41"/>
      <c r="E673" s="41"/>
      <c r="F673" s="41"/>
    </row>
    <row r="674">
      <c r="A674" s="40"/>
      <c r="B674" s="41"/>
      <c r="C674" s="41"/>
      <c r="D674" s="41"/>
      <c r="E674" s="41"/>
      <c r="F674" s="41"/>
    </row>
    <row r="675">
      <c r="A675" s="40"/>
      <c r="B675" s="41"/>
      <c r="C675" s="41"/>
      <c r="D675" s="41"/>
      <c r="E675" s="41"/>
      <c r="F675" s="41"/>
    </row>
    <row r="676">
      <c r="A676" s="40"/>
      <c r="B676" s="41"/>
      <c r="C676" s="41"/>
      <c r="D676" s="41"/>
      <c r="E676" s="41"/>
      <c r="F676" s="41"/>
    </row>
    <row r="677">
      <c r="A677" s="40"/>
      <c r="B677" s="41"/>
      <c r="C677" s="41"/>
      <c r="D677" s="41"/>
      <c r="E677" s="41"/>
      <c r="F677" s="41"/>
    </row>
    <row r="678">
      <c r="A678" s="40"/>
      <c r="B678" s="41"/>
      <c r="C678" s="41"/>
      <c r="D678" s="41"/>
      <c r="E678" s="41"/>
      <c r="F678" s="41"/>
    </row>
    <row r="679">
      <c r="A679" s="40"/>
      <c r="B679" s="41"/>
      <c r="C679" s="41"/>
      <c r="D679" s="41"/>
      <c r="E679" s="41"/>
      <c r="F679" s="41"/>
    </row>
    <row r="680">
      <c r="A680" s="40"/>
      <c r="B680" s="41"/>
      <c r="C680" s="41"/>
      <c r="D680" s="41"/>
      <c r="E680" s="41"/>
      <c r="F680" s="41"/>
    </row>
    <row r="681">
      <c r="A681" s="40"/>
      <c r="B681" s="41"/>
      <c r="C681" s="41"/>
      <c r="D681" s="41"/>
      <c r="E681" s="41"/>
      <c r="F681" s="41"/>
    </row>
    <row r="682">
      <c r="A682" s="40"/>
      <c r="B682" s="41"/>
      <c r="C682" s="41"/>
      <c r="D682" s="41"/>
      <c r="E682" s="41"/>
      <c r="F682" s="41"/>
    </row>
    <row r="683">
      <c r="A683" s="40"/>
      <c r="B683" s="41"/>
      <c r="C683" s="41"/>
      <c r="D683" s="41"/>
      <c r="E683" s="41"/>
      <c r="F683" s="41"/>
    </row>
    <row r="684">
      <c r="A684" s="40"/>
      <c r="B684" s="41"/>
      <c r="C684" s="41"/>
      <c r="D684" s="41"/>
      <c r="E684" s="41"/>
      <c r="F684" s="41"/>
    </row>
    <row r="685">
      <c r="A685" s="40"/>
      <c r="B685" s="41"/>
      <c r="C685" s="41"/>
      <c r="D685" s="41"/>
      <c r="E685" s="41"/>
      <c r="F685" s="41"/>
    </row>
    <row r="686">
      <c r="A686" s="40"/>
      <c r="B686" s="41"/>
      <c r="C686" s="41"/>
      <c r="D686" s="41"/>
      <c r="E686" s="41"/>
      <c r="F686" s="41"/>
    </row>
    <row r="687">
      <c r="A687" s="40"/>
      <c r="B687" s="41"/>
      <c r="C687" s="41"/>
      <c r="D687" s="41"/>
      <c r="E687" s="41"/>
      <c r="F687" s="41"/>
    </row>
    <row r="688">
      <c r="A688" s="40"/>
      <c r="B688" s="41"/>
      <c r="C688" s="41"/>
      <c r="D688" s="41"/>
      <c r="E688" s="41"/>
      <c r="F688" s="41"/>
    </row>
    <row r="689">
      <c r="A689" s="40"/>
      <c r="B689" s="41"/>
      <c r="C689" s="41"/>
      <c r="D689" s="41"/>
      <c r="E689" s="41"/>
      <c r="F689" s="41"/>
    </row>
    <row r="690">
      <c r="A690" s="40"/>
      <c r="B690" s="41"/>
      <c r="C690" s="41"/>
      <c r="D690" s="41"/>
      <c r="E690" s="41"/>
      <c r="F690" s="41"/>
    </row>
    <row r="691">
      <c r="A691" s="40"/>
      <c r="B691" s="41"/>
      <c r="C691" s="41"/>
      <c r="D691" s="41"/>
      <c r="E691" s="41"/>
      <c r="F691" s="41"/>
    </row>
    <row r="692">
      <c r="A692" s="40"/>
      <c r="B692" s="41"/>
      <c r="C692" s="41"/>
      <c r="D692" s="41"/>
      <c r="E692" s="41"/>
      <c r="F692" s="41"/>
    </row>
    <row r="693">
      <c r="A693" s="40"/>
      <c r="B693" s="41"/>
      <c r="C693" s="41"/>
      <c r="D693" s="41"/>
      <c r="E693" s="41"/>
      <c r="F693" s="41"/>
    </row>
    <row r="694">
      <c r="A694" s="40"/>
      <c r="B694" s="41"/>
      <c r="C694" s="41"/>
      <c r="D694" s="41"/>
      <c r="E694" s="41"/>
      <c r="F694" s="41"/>
    </row>
    <row r="695">
      <c r="A695" s="40"/>
      <c r="B695" s="41"/>
      <c r="C695" s="41"/>
      <c r="D695" s="41"/>
      <c r="E695" s="41"/>
      <c r="F695" s="41"/>
    </row>
    <row r="696">
      <c r="A696" s="40"/>
      <c r="B696" s="41"/>
      <c r="C696" s="41"/>
      <c r="D696" s="41"/>
      <c r="E696" s="41"/>
      <c r="F696" s="41"/>
    </row>
    <row r="697">
      <c r="A697" s="40"/>
      <c r="B697" s="41"/>
      <c r="C697" s="41"/>
      <c r="D697" s="41"/>
      <c r="E697" s="41"/>
      <c r="F697" s="41"/>
    </row>
    <row r="698">
      <c r="A698" s="40"/>
      <c r="B698" s="41"/>
      <c r="C698" s="41"/>
      <c r="D698" s="41"/>
      <c r="E698" s="41"/>
      <c r="F698" s="41"/>
    </row>
    <row r="699">
      <c r="A699" s="40"/>
      <c r="B699" s="41"/>
      <c r="C699" s="41"/>
      <c r="D699" s="41"/>
      <c r="E699" s="41"/>
      <c r="F699" s="41"/>
    </row>
    <row r="700">
      <c r="A700" s="40"/>
      <c r="B700" s="41"/>
      <c r="C700" s="41"/>
      <c r="D700" s="41"/>
      <c r="E700" s="41"/>
      <c r="F700" s="41"/>
    </row>
    <row r="701">
      <c r="A701" s="40"/>
      <c r="B701" s="41"/>
      <c r="C701" s="41"/>
      <c r="D701" s="41"/>
      <c r="E701" s="41"/>
      <c r="F701" s="41"/>
    </row>
    <row r="702">
      <c r="A702" s="40"/>
      <c r="B702" s="41"/>
      <c r="C702" s="41"/>
      <c r="D702" s="41"/>
      <c r="E702" s="41"/>
      <c r="F702" s="41"/>
    </row>
    <row r="703">
      <c r="A703" s="40"/>
      <c r="B703" s="41"/>
      <c r="C703" s="41"/>
      <c r="D703" s="41"/>
      <c r="E703" s="41"/>
      <c r="F703" s="41"/>
    </row>
    <row r="704">
      <c r="A704" s="40"/>
      <c r="B704" s="41"/>
      <c r="C704" s="41"/>
      <c r="D704" s="41"/>
      <c r="E704" s="41"/>
      <c r="F704" s="41"/>
    </row>
    <row r="705">
      <c r="A705" s="40"/>
      <c r="B705" s="41"/>
      <c r="C705" s="41"/>
      <c r="D705" s="41"/>
      <c r="E705" s="41"/>
      <c r="F705" s="41"/>
    </row>
    <row r="706">
      <c r="A706" s="40"/>
      <c r="B706" s="41"/>
      <c r="C706" s="41"/>
      <c r="D706" s="41"/>
      <c r="E706" s="41"/>
      <c r="F706" s="41"/>
    </row>
    <row r="707">
      <c r="A707" s="40"/>
      <c r="B707" s="41"/>
      <c r="C707" s="41"/>
      <c r="D707" s="41"/>
      <c r="E707" s="41"/>
      <c r="F707" s="41"/>
    </row>
    <row r="708">
      <c r="A708" s="40"/>
      <c r="B708" s="41"/>
      <c r="C708" s="41"/>
      <c r="D708" s="41"/>
      <c r="E708" s="41"/>
      <c r="F708" s="41"/>
    </row>
    <row r="709">
      <c r="A709" s="40"/>
      <c r="B709" s="41"/>
      <c r="C709" s="41"/>
      <c r="D709" s="41"/>
      <c r="E709" s="41"/>
      <c r="F709" s="41"/>
    </row>
    <row r="710">
      <c r="A710" s="40"/>
      <c r="B710" s="41"/>
      <c r="C710" s="41"/>
      <c r="D710" s="41"/>
      <c r="E710" s="41"/>
      <c r="F710" s="41"/>
    </row>
    <row r="711">
      <c r="A711" s="40"/>
      <c r="B711" s="41"/>
      <c r="C711" s="41"/>
      <c r="D711" s="41"/>
      <c r="E711" s="41"/>
      <c r="F711" s="41"/>
    </row>
    <row r="712">
      <c r="A712" s="40"/>
      <c r="B712" s="41"/>
      <c r="C712" s="41"/>
      <c r="D712" s="41"/>
      <c r="E712" s="41"/>
      <c r="F712" s="41"/>
    </row>
    <row r="713">
      <c r="A713" s="40"/>
      <c r="B713" s="41"/>
      <c r="C713" s="41"/>
      <c r="D713" s="41"/>
      <c r="E713" s="41"/>
      <c r="F713" s="41"/>
    </row>
    <row r="714">
      <c r="A714" s="40"/>
      <c r="B714" s="41"/>
      <c r="C714" s="41"/>
      <c r="D714" s="41"/>
      <c r="E714" s="41"/>
      <c r="F714" s="41"/>
    </row>
    <row r="715">
      <c r="A715" s="40"/>
      <c r="B715" s="41"/>
      <c r="C715" s="41"/>
      <c r="D715" s="41"/>
      <c r="E715" s="41"/>
      <c r="F715" s="41"/>
    </row>
    <row r="716">
      <c r="A716" s="40"/>
      <c r="B716" s="41"/>
      <c r="C716" s="41"/>
      <c r="D716" s="41"/>
      <c r="E716" s="41"/>
      <c r="F716" s="41"/>
    </row>
    <row r="717">
      <c r="A717" s="40"/>
      <c r="B717" s="41"/>
      <c r="C717" s="41"/>
      <c r="D717" s="41"/>
      <c r="E717" s="41"/>
      <c r="F717" s="41"/>
    </row>
    <row r="718">
      <c r="A718" s="40"/>
      <c r="B718" s="41"/>
      <c r="C718" s="41"/>
      <c r="D718" s="41"/>
      <c r="E718" s="41"/>
      <c r="F718" s="41"/>
    </row>
    <row r="719">
      <c r="A719" s="40"/>
      <c r="B719" s="41"/>
      <c r="C719" s="41"/>
      <c r="D719" s="41"/>
      <c r="E719" s="41"/>
      <c r="F719" s="41"/>
    </row>
    <row r="720">
      <c r="A720" s="40"/>
      <c r="B720" s="41"/>
      <c r="C720" s="41"/>
      <c r="D720" s="41"/>
      <c r="E720" s="41"/>
      <c r="F720" s="41"/>
    </row>
    <row r="721">
      <c r="A721" s="40"/>
      <c r="B721" s="41"/>
      <c r="C721" s="41"/>
      <c r="D721" s="41"/>
      <c r="E721" s="41"/>
      <c r="F721" s="41"/>
    </row>
    <row r="722">
      <c r="A722" s="40"/>
      <c r="B722" s="41"/>
      <c r="C722" s="41"/>
      <c r="D722" s="41"/>
      <c r="E722" s="41"/>
      <c r="F722" s="41"/>
    </row>
    <row r="723">
      <c r="A723" s="40"/>
      <c r="B723" s="41"/>
      <c r="C723" s="41"/>
      <c r="D723" s="41"/>
      <c r="E723" s="41"/>
      <c r="F723" s="41"/>
    </row>
    <row r="724">
      <c r="A724" s="40"/>
      <c r="B724" s="41"/>
      <c r="C724" s="41"/>
      <c r="D724" s="41"/>
      <c r="E724" s="41"/>
      <c r="F724" s="41"/>
    </row>
    <row r="725">
      <c r="A725" s="40"/>
      <c r="B725" s="41"/>
      <c r="C725" s="41"/>
      <c r="D725" s="41"/>
      <c r="E725" s="41"/>
      <c r="F725" s="41"/>
    </row>
    <row r="726">
      <c r="A726" s="40"/>
      <c r="B726" s="41"/>
      <c r="C726" s="41"/>
      <c r="D726" s="41"/>
      <c r="E726" s="41"/>
      <c r="F726" s="41"/>
    </row>
    <row r="727">
      <c r="A727" s="40"/>
      <c r="B727" s="41"/>
      <c r="C727" s="41"/>
      <c r="D727" s="41"/>
      <c r="E727" s="41"/>
      <c r="F727" s="41"/>
    </row>
    <row r="728">
      <c r="A728" s="40"/>
      <c r="B728" s="41"/>
      <c r="C728" s="41"/>
      <c r="D728" s="41"/>
      <c r="E728" s="41"/>
      <c r="F728" s="41"/>
    </row>
    <row r="729">
      <c r="A729" s="40"/>
      <c r="B729" s="41"/>
      <c r="C729" s="41"/>
      <c r="D729" s="41"/>
      <c r="E729" s="41"/>
      <c r="F729" s="41"/>
    </row>
    <row r="730">
      <c r="A730" s="40"/>
      <c r="B730" s="41"/>
      <c r="C730" s="41"/>
      <c r="D730" s="41"/>
      <c r="E730" s="41"/>
      <c r="F730" s="41"/>
    </row>
    <row r="731">
      <c r="A731" s="40"/>
      <c r="B731" s="41"/>
      <c r="C731" s="41"/>
      <c r="D731" s="41"/>
      <c r="E731" s="41"/>
      <c r="F731" s="41"/>
    </row>
    <row r="732">
      <c r="A732" s="40"/>
      <c r="B732" s="41"/>
      <c r="C732" s="41"/>
      <c r="D732" s="41"/>
      <c r="E732" s="41"/>
      <c r="F732" s="41"/>
    </row>
    <row r="733">
      <c r="A733" s="40"/>
      <c r="B733" s="41"/>
      <c r="C733" s="41"/>
      <c r="D733" s="41"/>
      <c r="E733" s="41"/>
      <c r="F733" s="41"/>
    </row>
    <row r="734">
      <c r="A734" s="40"/>
      <c r="B734" s="41"/>
      <c r="C734" s="41"/>
      <c r="D734" s="41"/>
      <c r="E734" s="41"/>
      <c r="F734" s="41"/>
    </row>
    <row r="735">
      <c r="A735" s="40"/>
      <c r="B735" s="41"/>
      <c r="C735" s="41"/>
      <c r="D735" s="41"/>
      <c r="E735" s="41"/>
      <c r="F735" s="41"/>
    </row>
    <row r="736">
      <c r="A736" s="40"/>
      <c r="B736" s="41"/>
      <c r="C736" s="41"/>
      <c r="D736" s="41"/>
      <c r="E736" s="41"/>
      <c r="F736" s="41"/>
    </row>
    <row r="737">
      <c r="A737" s="40"/>
      <c r="B737" s="41"/>
      <c r="C737" s="41"/>
      <c r="D737" s="41"/>
      <c r="E737" s="41"/>
      <c r="F737" s="41"/>
    </row>
    <row r="738">
      <c r="A738" s="40"/>
      <c r="B738" s="41"/>
      <c r="C738" s="41"/>
      <c r="D738" s="41"/>
      <c r="E738" s="41"/>
      <c r="F738" s="41"/>
    </row>
    <row r="739">
      <c r="A739" s="40"/>
      <c r="B739" s="41"/>
      <c r="C739" s="41"/>
      <c r="D739" s="41"/>
      <c r="E739" s="41"/>
      <c r="F739" s="41"/>
    </row>
    <row r="740">
      <c r="A740" s="40"/>
      <c r="B740" s="41"/>
      <c r="C740" s="41"/>
      <c r="D740" s="41"/>
      <c r="E740" s="41"/>
      <c r="F740" s="41"/>
    </row>
    <row r="741">
      <c r="A741" s="40"/>
      <c r="B741" s="41"/>
      <c r="C741" s="41"/>
      <c r="D741" s="41"/>
      <c r="E741" s="41"/>
      <c r="F741" s="41"/>
    </row>
    <row r="742">
      <c r="A742" s="40"/>
      <c r="B742" s="41"/>
      <c r="C742" s="41"/>
      <c r="D742" s="41"/>
      <c r="E742" s="41"/>
      <c r="F742" s="41"/>
    </row>
    <row r="743">
      <c r="A743" s="40"/>
      <c r="B743" s="41"/>
      <c r="C743" s="41"/>
      <c r="D743" s="41"/>
      <c r="E743" s="41"/>
      <c r="F743" s="41"/>
    </row>
    <row r="744">
      <c r="A744" s="40"/>
      <c r="B744" s="41"/>
      <c r="C744" s="41"/>
      <c r="D744" s="41"/>
      <c r="E744" s="41"/>
      <c r="F744" s="41"/>
    </row>
    <row r="745">
      <c r="A745" s="40"/>
      <c r="B745" s="41"/>
      <c r="C745" s="41"/>
      <c r="D745" s="41"/>
      <c r="E745" s="41"/>
      <c r="F745" s="41"/>
    </row>
    <row r="746">
      <c r="A746" s="40"/>
      <c r="B746" s="41"/>
      <c r="C746" s="41"/>
      <c r="D746" s="41"/>
      <c r="E746" s="41"/>
      <c r="F746" s="41"/>
    </row>
    <row r="747">
      <c r="A747" s="40"/>
      <c r="B747" s="41"/>
      <c r="C747" s="41"/>
      <c r="D747" s="41"/>
      <c r="E747" s="41"/>
      <c r="F747" s="41"/>
    </row>
    <row r="748">
      <c r="A748" s="40"/>
      <c r="B748" s="41"/>
      <c r="C748" s="41"/>
      <c r="D748" s="41"/>
      <c r="E748" s="41"/>
      <c r="F748" s="41"/>
    </row>
    <row r="749">
      <c r="A749" s="40"/>
      <c r="B749" s="41"/>
      <c r="C749" s="41"/>
      <c r="D749" s="41"/>
      <c r="E749" s="41"/>
      <c r="F749" s="41"/>
    </row>
    <row r="750">
      <c r="A750" s="40"/>
      <c r="B750" s="41"/>
      <c r="C750" s="41"/>
      <c r="D750" s="41"/>
      <c r="E750" s="41"/>
      <c r="F750" s="41"/>
    </row>
    <row r="751">
      <c r="A751" s="40"/>
      <c r="B751" s="41"/>
      <c r="C751" s="41"/>
      <c r="D751" s="41"/>
      <c r="E751" s="41"/>
      <c r="F751" s="41"/>
    </row>
    <row r="752">
      <c r="A752" s="40"/>
      <c r="B752" s="41"/>
      <c r="C752" s="41"/>
      <c r="D752" s="41"/>
      <c r="E752" s="41"/>
      <c r="F752" s="41"/>
    </row>
    <row r="753">
      <c r="A753" s="40"/>
      <c r="B753" s="41"/>
      <c r="C753" s="41"/>
      <c r="D753" s="41"/>
      <c r="E753" s="41"/>
      <c r="F753" s="41"/>
    </row>
    <row r="754">
      <c r="A754" s="40"/>
      <c r="B754" s="41"/>
      <c r="C754" s="41"/>
      <c r="D754" s="41"/>
      <c r="E754" s="41"/>
      <c r="F754" s="41"/>
    </row>
    <row r="755">
      <c r="A755" s="40"/>
      <c r="B755" s="41"/>
      <c r="C755" s="41"/>
      <c r="D755" s="41"/>
      <c r="E755" s="41"/>
      <c r="F755" s="41"/>
    </row>
    <row r="756">
      <c r="A756" s="40"/>
      <c r="B756" s="41"/>
      <c r="C756" s="41"/>
      <c r="D756" s="41"/>
      <c r="E756" s="41"/>
      <c r="F756" s="41"/>
    </row>
    <row r="757">
      <c r="A757" s="40"/>
      <c r="B757" s="41"/>
      <c r="C757" s="41"/>
      <c r="D757" s="41"/>
      <c r="E757" s="41"/>
      <c r="F757" s="41"/>
    </row>
    <row r="758">
      <c r="A758" s="40"/>
      <c r="B758" s="41"/>
      <c r="C758" s="41"/>
      <c r="D758" s="41"/>
      <c r="E758" s="41"/>
      <c r="F758" s="41"/>
    </row>
    <row r="759">
      <c r="A759" s="40"/>
      <c r="B759" s="41"/>
      <c r="C759" s="41"/>
      <c r="D759" s="41"/>
      <c r="E759" s="41"/>
      <c r="F759" s="41"/>
    </row>
    <row r="760">
      <c r="A760" s="40"/>
      <c r="B760" s="41"/>
      <c r="C760" s="41"/>
      <c r="D760" s="41"/>
      <c r="E760" s="41"/>
      <c r="F760" s="41"/>
    </row>
    <row r="761">
      <c r="A761" s="40"/>
      <c r="B761" s="41"/>
      <c r="C761" s="41"/>
      <c r="D761" s="41"/>
      <c r="E761" s="41"/>
      <c r="F761" s="41"/>
    </row>
    <row r="762">
      <c r="A762" s="40"/>
      <c r="B762" s="41"/>
      <c r="C762" s="41"/>
      <c r="D762" s="41"/>
      <c r="E762" s="41"/>
      <c r="F762" s="41"/>
    </row>
    <row r="763">
      <c r="A763" s="40"/>
      <c r="B763" s="41"/>
      <c r="C763" s="41"/>
      <c r="D763" s="41"/>
      <c r="E763" s="41"/>
      <c r="F763" s="41"/>
    </row>
    <row r="764">
      <c r="A764" s="40"/>
      <c r="B764" s="41"/>
      <c r="C764" s="41"/>
      <c r="D764" s="41"/>
      <c r="E764" s="41"/>
      <c r="F764" s="41"/>
    </row>
    <row r="765">
      <c r="A765" s="40"/>
      <c r="B765" s="41"/>
      <c r="C765" s="41"/>
      <c r="D765" s="41"/>
      <c r="E765" s="41"/>
      <c r="F765" s="41"/>
    </row>
    <row r="766">
      <c r="A766" s="40"/>
      <c r="B766" s="41"/>
      <c r="C766" s="41"/>
      <c r="D766" s="41"/>
      <c r="E766" s="41"/>
      <c r="F766" s="41"/>
    </row>
    <row r="767">
      <c r="A767" s="40"/>
      <c r="B767" s="41"/>
      <c r="C767" s="41"/>
      <c r="D767" s="41"/>
      <c r="E767" s="41"/>
      <c r="F767" s="41"/>
    </row>
    <row r="768">
      <c r="A768" s="40"/>
      <c r="B768" s="41"/>
      <c r="C768" s="41"/>
      <c r="D768" s="41"/>
      <c r="E768" s="41"/>
      <c r="F768" s="41"/>
    </row>
    <row r="769">
      <c r="A769" s="40"/>
      <c r="B769" s="41"/>
      <c r="C769" s="41"/>
      <c r="D769" s="41"/>
      <c r="E769" s="41"/>
      <c r="F769" s="41"/>
    </row>
    <row r="770">
      <c r="A770" s="40"/>
      <c r="B770" s="41"/>
      <c r="C770" s="41"/>
      <c r="D770" s="41"/>
      <c r="E770" s="41"/>
      <c r="F770" s="41"/>
    </row>
    <row r="771">
      <c r="A771" s="40"/>
      <c r="B771" s="41"/>
      <c r="C771" s="41"/>
      <c r="D771" s="41"/>
      <c r="E771" s="41"/>
      <c r="F771" s="41"/>
    </row>
    <row r="772">
      <c r="A772" s="40"/>
      <c r="B772" s="41"/>
      <c r="C772" s="41"/>
      <c r="D772" s="41"/>
      <c r="E772" s="41"/>
      <c r="F772" s="41"/>
    </row>
    <row r="773">
      <c r="A773" s="40"/>
      <c r="B773" s="41"/>
      <c r="C773" s="41"/>
      <c r="D773" s="41"/>
      <c r="E773" s="41"/>
      <c r="F773" s="41"/>
    </row>
    <row r="774">
      <c r="A774" s="40"/>
      <c r="B774" s="41"/>
      <c r="C774" s="41"/>
      <c r="D774" s="41"/>
      <c r="E774" s="41"/>
      <c r="F774" s="41"/>
    </row>
    <row r="775">
      <c r="A775" s="40"/>
      <c r="B775" s="41"/>
      <c r="C775" s="41"/>
      <c r="D775" s="41"/>
      <c r="E775" s="41"/>
      <c r="F775" s="41"/>
    </row>
    <row r="776">
      <c r="A776" s="40"/>
      <c r="B776" s="41"/>
      <c r="C776" s="41"/>
      <c r="D776" s="41"/>
      <c r="E776" s="41"/>
      <c r="F776" s="41"/>
    </row>
    <row r="777">
      <c r="A777" s="40"/>
      <c r="B777" s="41"/>
      <c r="C777" s="41"/>
      <c r="D777" s="41"/>
      <c r="E777" s="41"/>
      <c r="F777" s="41"/>
    </row>
    <row r="778">
      <c r="A778" s="40"/>
      <c r="B778" s="41"/>
      <c r="C778" s="41"/>
      <c r="D778" s="41"/>
      <c r="E778" s="41"/>
      <c r="F778" s="41"/>
    </row>
    <row r="779">
      <c r="A779" s="40"/>
      <c r="B779" s="41"/>
      <c r="C779" s="41"/>
      <c r="D779" s="41"/>
      <c r="E779" s="41"/>
      <c r="F779" s="41"/>
    </row>
    <row r="780">
      <c r="A780" s="40"/>
      <c r="B780" s="41"/>
      <c r="C780" s="41"/>
      <c r="D780" s="41"/>
      <c r="E780" s="41"/>
      <c r="F780" s="41"/>
    </row>
    <row r="781">
      <c r="A781" s="40"/>
      <c r="B781" s="41"/>
      <c r="C781" s="41"/>
      <c r="D781" s="41"/>
      <c r="E781" s="41"/>
      <c r="F781" s="41"/>
    </row>
    <row r="782">
      <c r="A782" s="40"/>
      <c r="B782" s="41"/>
      <c r="C782" s="41"/>
      <c r="D782" s="41"/>
      <c r="E782" s="41"/>
      <c r="F782" s="41"/>
    </row>
    <row r="783">
      <c r="A783" s="40"/>
      <c r="B783" s="41"/>
      <c r="C783" s="41"/>
      <c r="D783" s="41"/>
      <c r="E783" s="41"/>
      <c r="F783" s="41"/>
    </row>
    <row r="784">
      <c r="A784" s="40"/>
      <c r="B784" s="41"/>
      <c r="C784" s="41"/>
      <c r="D784" s="41"/>
      <c r="E784" s="41"/>
      <c r="F784" s="41"/>
    </row>
    <row r="785">
      <c r="A785" s="40"/>
      <c r="B785" s="41"/>
      <c r="C785" s="41"/>
      <c r="D785" s="41"/>
      <c r="E785" s="41"/>
      <c r="F785" s="41"/>
    </row>
    <row r="786">
      <c r="A786" s="40"/>
      <c r="B786" s="41"/>
      <c r="C786" s="41"/>
      <c r="D786" s="41"/>
      <c r="E786" s="41"/>
      <c r="F786" s="41"/>
    </row>
    <row r="787">
      <c r="A787" s="40"/>
      <c r="B787" s="41"/>
      <c r="C787" s="41"/>
      <c r="D787" s="41"/>
      <c r="E787" s="41"/>
      <c r="F787" s="41"/>
    </row>
    <row r="788">
      <c r="A788" s="40"/>
      <c r="B788" s="41"/>
      <c r="C788" s="41"/>
      <c r="D788" s="41"/>
      <c r="E788" s="41"/>
      <c r="F788" s="41"/>
    </row>
    <row r="789">
      <c r="A789" s="40"/>
      <c r="B789" s="41"/>
      <c r="C789" s="41"/>
      <c r="D789" s="41"/>
      <c r="E789" s="41"/>
      <c r="F789" s="41"/>
    </row>
    <row r="790">
      <c r="A790" s="40"/>
      <c r="B790" s="41"/>
      <c r="C790" s="41"/>
      <c r="D790" s="41"/>
      <c r="E790" s="41"/>
      <c r="F790" s="41"/>
    </row>
    <row r="791">
      <c r="A791" s="40"/>
      <c r="B791" s="41"/>
      <c r="C791" s="41"/>
      <c r="D791" s="41"/>
      <c r="E791" s="41"/>
      <c r="F791" s="41"/>
    </row>
    <row r="792">
      <c r="A792" s="40"/>
      <c r="B792" s="41"/>
      <c r="C792" s="41"/>
      <c r="D792" s="41"/>
      <c r="E792" s="41"/>
      <c r="F792" s="41"/>
    </row>
    <row r="793">
      <c r="A793" s="40"/>
      <c r="B793" s="41"/>
      <c r="C793" s="41"/>
      <c r="D793" s="41"/>
      <c r="E793" s="41"/>
      <c r="F793" s="41"/>
    </row>
    <row r="794">
      <c r="A794" s="40"/>
      <c r="B794" s="41"/>
      <c r="C794" s="41"/>
      <c r="D794" s="41"/>
      <c r="E794" s="41"/>
      <c r="F794" s="41"/>
    </row>
    <row r="795">
      <c r="A795" s="40"/>
      <c r="B795" s="41"/>
      <c r="C795" s="41"/>
      <c r="D795" s="41"/>
      <c r="E795" s="41"/>
      <c r="F795" s="41"/>
    </row>
    <row r="796">
      <c r="A796" s="40"/>
      <c r="B796" s="41"/>
      <c r="C796" s="41"/>
      <c r="D796" s="41"/>
      <c r="E796" s="41"/>
      <c r="F796" s="41"/>
    </row>
    <row r="797">
      <c r="A797" s="40"/>
      <c r="B797" s="41"/>
      <c r="C797" s="41"/>
      <c r="D797" s="41"/>
      <c r="E797" s="41"/>
      <c r="F797" s="41"/>
    </row>
    <row r="798">
      <c r="A798" s="40"/>
      <c r="B798" s="41"/>
      <c r="C798" s="41"/>
      <c r="D798" s="41"/>
      <c r="E798" s="41"/>
      <c r="F798" s="41"/>
    </row>
    <row r="799">
      <c r="A799" s="40"/>
      <c r="B799" s="41"/>
      <c r="C799" s="41"/>
      <c r="D799" s="41"/>
      <c r="E799" s="41"/>
      <c r="F799" s="41"/>
    </row>
    <row r="800">
      <c r="A800" s="40"/>
      <c r="B800" s="41"/>
      <c r="C800" s="41"/>
      <c r="D800" s="41"/>
      <c r="E800" s="41"/>
      <c r="F800" s="41"/>
    </row>
    <row r="801">
      <c r="A801" s="40"/>
      <c r="B801" s="41"/>
      <c r="C801" s="41"/>
      <c r="D801" s="41"/>
      <c r="E801" s="41"/>
      <c r="F801" s="41"/>
    </row>
    <row r="802">
      <c r="A802" s="40"/>
      <c r="B802" s="41"/>
      <c r="C802" s="41"/>
      <c r="D802" s="41"/>
      <c r="E802" s="41"/>
      <c r="F802" s="41"/>
    </row>
    <row r="803">
      <c r="A803" s="40"/>
      <c r="B803" s="41"/>
      <c r="C803" s="41"/>
      <c r="D803" s="41"/>
      <c r="E803" s="41"/>
      <c r="F803" s="41"/>
    </row>
    <row r="804">
      <c r="A804" s="40"/>
      <c r="B804" s="41"/>
      <c r="C804" s="41"/>
      <c r="D804" s="41"/>
      <c r="E804" s="41"/>
      <c r="F804" s="41"/>
    </row>
    <row r="805">
      <c r="A805" s="40"/>
      <c r="B805" s="41"/>
      <c r="C805" s="41"/>
      <c r="D805" s="41"/>
      <c r="E805" s="41"/>
      <c r="F805" s="41"/>
    </row>
    <row r="806">
      <c r="A806" s="40"/>
      <c r="B806" s="41"/>
      <c r="C806" s="41"/>
      <c r="D806" s="41"/>
      <c r="E806" s="41"/>
      <c r="F806" s="41"/>
    </row>
    <row r="807">
      <c r="A807" s="40"/>
      <c r="B807" s="41"/>
      <c r="C807" s="41"/>
      <c r="D807" s="41"/>
      <c r="E807" s="41"/>
      <c r="F807" s="41"/>
    </row>
    <row r="808">
      <c r="A808" s="40"/>
      <c r="B808" s="41"/>
      <c r="C808" s="41"/>
      <c r="D808" s="41"/>
      <c r="E808" s="41"/>
      <c r="F808" s="41"/>
    </row>
    <row r="809">
      <c r="A809" s="40"/>
      <c r="B809" s="41"/>
      <c r="C809" s="41"/>
      <c r="D809" s="41"/>
      <c r="E809" s="41"/>
      <c r="F809" s="41"/>
    </row>
    <row r="810">
      <c r="A810" s="40"/>
      <c r="B810" s="41"/>
      <c r="C810" s="41"/>
      <c r="D810" s="41"/>
      <c r="E810" s="41"/>
      <c r="F810" s="41"/>
    </row>
    <row r="811">
      <c r="A811" s="40"/>
      <c r="B811" s="41"/>
      <c r="C811" s="41"/>
      <c r="D811" s="41"/>
      <c r="E811" s="41"/>
      <c r="F811" s="41"/>
    </row>
    <row r="812">
      <c r="A812" s="40"/>
      <c r="B812" s="41"/>
      <c r="C812" s="41"/>
      <c r="D812" s="41"/>
      <c r="E812" s="41"/>
      <c r="F812" s="41"/>
    </row>
    <row r="813">
      <c r="A813" s="40"/>
      <c r="B813" s="41"/>
      <c r="C813" s="41"/>
      <c r="D813" s="41"/>
      <c r="E813" s="41"/>
      <c r="F813" s="41"/>
    </row>
    <row r="814">
      <c r="A814" s="40"/>
      <c r="B814" s="41"/>
      <c r="C814" s="41"/>
      <c r="D814" s="41"/>
      <c r="E814" s="41"/>
      <c r="F814" s="41"/>
    </row>
    <row r="815">
      <c r="A815" s="40"/>
      <c r="B815" s="41"/>
      <c r="C815" s="41"/>
      <c r="D815" s="41"/>
      <c r="E815" s="41"/>
      <c r="F815" s="41"/>
    </row>
    <row r="816">
      <c r="A816" s="40"/>
      <c r="B816" s="41"/>
      <c r="C816" s="41"/>
      <c r="D816" s="41"/>
      <c r="E816" s="41"/>
      <c r="F816" s="41"/>
    </row>
    <row r="817">
      <c r="A817" s="40"/>
      <c r="B817" s="41"/>
      <c r="C817" s="41"/>
      <c r="D817" s="41"/>
      <c r="E817" s="41"/>
      <c r="F817" s="41"/>
    </row>
    <row r="818">
      <c r="A818" s="40"/>
      <c r="B818" s="41"/>
      <c r="C818" s="41"/>
      <c r="D818" s="41"/>
      <c r="E818" s="41"/>
      <c r="F818" s="41"/>
    </row>
    <row r="819">
      <c r="A819" s="40"/>
      <c r="B819" s="41"/>
      <c r="C819" s="41"/>
      <c r="D819" s="41"/>
      <c r="E819" s="41"/>
      <c r="F819" s="41"/>
    </row>
    <row r="820">
      <c r="A820" s="40"/>
      <c r="B820" s="41"/>
      <c r="C820" s="41"/>
      <c r="D820" s="41"/>
      <c r="E820" s="41"/>
      <c r="F820" s="41"/>
    </row>
    <row r="821">
      <c r="A821" s="40"/>
      <c r="B821" s="41"/>
      <c r="C821" s="41"/>
      <c r="D821" s="41"/>
      <c r="E821" s="41"/>
      <c r="F821" s="41"/>
    </row>
    <row r="822">
      <c r="A822" s="40"/>
      <c r="B822" s="41"/>
      <c r="C822" s="41"/>
      <c r="D822" s="41"/>
      <c r="E822" s="41"/>
      <c r="F822" s="41"/>
    </row>
    <row r="823">
      <c r="A823" s="40"/>
      <c r="B823" s="41"/>
      <c r="C823" s="41"/>
      <c r="D823" s="41"/>
      <c r="E823" s="41"/>
      <c r="F823" s="41"/>
    </row>
    <row r="824">
      <c r="A824" s="40"/>
      <c r="B824" s="41"/>
      <c r="C824" s="41"/>
      <c r="D824" s="41"/>
      <c r="E824" s="41"/>
      <c r="F824" s="41"/>
    </row>
    <row r="825">
      <c r="A825" s="40"/>
      <c r="B825" s="41"/>
      <c r="C825" s="41"/>
      <c r="D825" s="41"/>
      <c r="E825" s="41"/>
      <c r="F825" s="41"/>
    </row>
    <row r="826">
      <c r="A826" s="40"/>
      <c r="B826" s="41"/>
      <c r="C826" s="41"/>
      <c r="D826" s="41"/>
      <c r="E826" s="41"/>
      <c r="F826" s="41"/>
    </row>
    <row r="827">
      <c r="A827" s="40"/>
      <c r="B827" s="41"/>
      <c r="C827" s="41"/>
      <c r="D827" s="41"/>
      <c r="E827" s="41"/>
      <c r="F827" s="41"/>
    </row>
    <row r="828">
      <c r="A828" s="40"/>
      <c r="B828" s="41"/>
      <c r="C828" s="41"/>
      <c r="D828" s="41"/>
      <c r="E828" s="41"/>
      <c r="F828" s="41"/>
    </row>
    <row r="829">
      <c r="A829" s="40"/>
      <c r="B829" s="41"/>
      <c r="C829" s="41"/>
      <c r="D829" s="41"/>
      <c r="E829" s="41"/>
      <c r="F829" s="41"/>
    </row>
    <row r="830">
      <c r="A830" s="40"/>
      <c r="B830" s="41"/>
      <c r="C830" s="41"/>
      <c r="D830" s="41"/>
      <c r="E830" s="41"/>
      <c r="F830" s="41"/>
    </row>
    <row r="831">
      <c r="A831" s="40"/>
      <c r="B831" s="41"/>
      <c r="C831" s="41"/>
      <c r="D831" s="41"/>
      <c r="E831" s="41"/>
      <c r="F831" s="41"/>
    </row>
    <row r="832">
      <c r="A832" s="40"/>
      <c r="B832" s="41"/>
      <c r="C832" s="41"/>
      <c r="D832" s="41"/>
      <c r="E832" s="41"/>
      <c r="F832" s="41"/>
    </row>
    <row r="833">
      <c r="A833" s="40"/>
      <c r="B833" s="41"/>
      <c r="C833" s="41"/>
      <c r="D833" s="41"/>
      <c r="E833" s="41"/>
      <c r="F833" s="41"/>
    </row>
    <row r="834">
      <c r="A834" s="40"/>
      <c r="B834" s="41"/>
      <c r="C834" s="41"/>
      <c r="D834" s="41"/>
      <c r="E834" s="41"/>
      <c r="F834" s="41"/>
    </row>
    <row r="835">
      <c r="A835" s="40"/>
      <c r="B835" s="41"/>
      <c r="C835" s="41"/>
      <c r="D835" s="41"/>
      <c r="E835" s="41"/>
      <c r="F835" s="41"/>
    </row>
    <row r="836">
      <c r="A836" s="40"/>
      <c r="B836" s="41"/>
      <c r="C836" s="41"/>
      <c r="D836" s="41"/>
      <c r="E836" s="41"/>
      <c r="F836" s="41"/>
    </row>
    <row r="837">
      <c r="A837" s="40"/>
      <c r="B837" s="41"/>
      <c r="C837" s="41"/>
      <c r="D837" s="41"/>
      <c r="E837" s="41"/>
      <c r="F837" s="41"/>
    </row>
    <row r="838">
      <c r="A838" s="40"/>
      <c r="B838" s="41"/>
      <c r="C838" s="41"/>
      <c r="D838" s="41"/>
      <c r="E838" s="41"/>
      <c r="F838" s="41"/>
    </row>
    <row r="839">
      <c r="A839" s="40"/>
      <c r="B839" s="41"/>
      <c r="C839" s="41"/>
      <c r="D839" s="41"/>
      <c r="E839" s="41"/>
      <c r="F839" s="41"/>
    </row>
    <row r="840">
      <c r="A840" s="40"/>
      <c r="B840" s="41"/>
      <c r="C840" s="41"/>
      <c r="D840" s="41"/>
      <c r="E840" s="41"/>
      <c r="F840" s="41"/>
    </row>
    <row r="841">
      <c r="A841" s="40"/>
      <c r="B841" s="41"/>
      <c r="C841" s="41"/>
      <c r="D841" s="41"/>
      <c r="E841" s="41"/>
      <c r="F841" s="41"/>
    </row>
    <row r="842">
      <c r="A842" s="40"/>
      <c r="B842" s="41"/>
      <c r="C842" s="41"/>
      <c r="D842" s="41"/>
      <c r="E842" s="41"/>
      <c r="F842" s="41"/>
    </row>
    <row r="843">
      <c r="A843" s="40"/>
      <c r="B843" s="41"/>
      <c r="C843" s="41"/>
      <c r="D843" s="41"/>
      <c r="E843" s="41"/>
      <c r="F843" s="41"/>
    </row>
    <row r="844">
      <c r="A844" s="40"/>
      <c r="B844" s="41"/>
      <c r="C844" s="41"/>
      <c r="D844" s="41"/>
      <c r="E844" s="41"/>
      <c r="F844" s="41"/>
    </row>
    <row r="845">
      <c r="A845" s="40"/>
      <c r="B845" s="41"/>
      <c r="C845" s="41"/>
      <c r="D845" s="41"/>
      <c r="E845" s="41"/>
      <c r="F845" s="41"/>
    </row>
    <row r="846">
      <c r="A846" s="40"/>
      <c r="B846" s="41"/>
      <c r="C846" s="41"/>
      <c r="D846" s="41"/>
      <c r="E846" s="41"/>
      <c r="F846" s="41"/>
    </row>
    <row r="847">
      <c r="A847" s="40"/>
      <c r="B847" s="41"/>
      <c r="C847" s="41"/>
      <c r="D847" s="41"/>
      <c r="E847" s="41"/>
      <c r="F847" s="41"/>
    </row>
    <row r="848">
      <c r="A848" s="40"/>
      <c r="B848" s="41"/>
      <c r="C848" s="41"/>
      <c r="D848" s="41"/>
      <c r="E848" s="41"/>
      <c r="F848" s="41"/>
    </row>
    <row r="849">
      <c r="A849" s="40"/>
      <c r="B849" s="41"/>
      <c r="C849" s="41"/>
      <c r="D849" s="41"/>
      <c r="E849" s="41"/>
      <c r="F849" s="41"/>
    </row>
    <row r="850">
      <c r="A850" s="40"/>
      <c r="B850" s="41"/>
      <c r="C850" s="41"/>
      <c r="D850" s="41"/>
      <c r="E850" s="41"/>
      <c r="F850" s="41"/>
    </row>
    <row r="851">
      <c r="A851" s="40"/>
      <c r="B851" s="41"/>
      <c r="C851" s="41"/>
      <c r="D851" s="41"/>
      <c r="E851" s="41"/>
      <c r="F851" s="41"/>
    </row>
    <row r="852">
      <c r="A852" s="40"/>
      <c r="B852" s="41"/>
      <c r="C852" s="41"/>
      <c r="D852" s="41"/>
      <c r="E852" s="41"/>
      <c r="F852" s="41"/>
    </row>
    <row r="853">
      <c r="A853" s="40"/>
      <c r="B853" s="41"/>
      <c r="C853" s="41"/>
      <c r="D853" s="41"/>
      <c r="E853" s="41"/>
      <c r="F853" s="41"/>
    </row>
    <row r="854">
      <c r="A854" s="40"/>
      <c r="B854" s="41"/>
      <c r="C854" s="41"/>
      <c r="D854" s="41"/>
      <c r="E854" s="41"/>
      <c r="F854" s="41"/>
    </row>
    <row r="855">
      <c r="A855" s="40"/>
      <c r="B855" s="41"/>
      <c r="C855" s="41"/>
      <c r="D855" s="41"/>
      <c r="E855" s="41"/>
      <c r="F855" s="41"/>
    </row>
    <row r="856">
      <c r="A856" s="40"/>
      <c r="B856" s="41"/>
      <c r="C856" s="41"/>
      <c r="D856" s="41"/>
      <c r="E856" s="41"/>
      <c r="F856" s="41"/>
    </row>
    <row r="857">
      <c r="A857" s="40"/>
      <c r="B857" s="41"/>
      <c r="C857" s="41"/>
      <c r="D857" s="41"/>
      <c r="E857" s="41"/>
      <c r="F857" s="41"/>
    </row>
    <row r="858">
      <c r="A858" s="40"/>
      <c r="B858" s="41"/>
      <c r="C858" s="41"/>
      <c r="D858" s="41"/>
      <c r="E858" s="41"/>
      <c r="F858" s="41"/>
    </row>
    <row r="859">
      <c r="A859" s="40"/>
      <c r="B859" s="41"/>
      <c r="C859" s="41"/>
      <c r="D859" s="41"/>
      <c r="E859" s="41"/>
      <c r="F859" s="41"/>
    </row>
    <row r="860">
      <c r="A860" s="40"/>
      <c r="B860" s="41"/>
      <c r="C860" s="41"/>
      <c r="D860" s="41"/>
      <c r="E860" s="41"/>
      <c r="F860" s="41"/>
    </row>
    <row r="861">
      <c r="A861" s="40"/>
      <c r="B861" s="41"/>
      <c r="C861" s="41"/>
      <c r="D861" s="41"/>
      <c r="E861" s="41"/>
      <c r="F861" s="41"/>
    </row>
    <row r="862">
      <c r="A862" s="40"/>
      <c r="B862" s="41"/>
      <c r="C862" s="41"/>
      <c r="D862" s="41"/>
      <c r="E862" s="41"/>
      <c r="F862" s="41"/>
    </row>
    <row r="863">
      <c r="A863" s="40"/>
      <c r="B863" s="41"/>
      <c r="C863" s="41"/>
      <c r="D863" s="41"/>
      <c r="E863" s="41"/>
      <c r="F863" s="41"/>
    </row>
    <row r="864">
      <c r="A864" s="40"/>
      <c r="B864" s="41"/>
      <c r="C864" s="41"/>
      <c r="D864" s="41"/>
      <c r="E864" s="41"/>
      <c r="F864" s="41"/>
    </row>
    <row r="865">
      <c r="A865" s="40"/>
      <c r="B865" s="41"/>
      <c r="C865" s="41"/>
      <c r="D865" s="41"/>
      <c r="E865" s="41"/>
      <c r="F865" s="41"/>
    </row>
    <row r="866">
      <c r="A866" s="40"/>
      <c r="B866" s="41"/>
      <c r="C866" s="41"/>
      <c r="D866" s="41"/>
      <c r="E866" s="41"/>
      <c r="F866" s="41"/>
    </row>
    <row r="867">
      <c r="A867" s="40"/>
      <c r="B867" s="41"/>
      <c r="C867" s="41"/>
      <c r="D867" s="41"/>
      <c r="E867" s="41"/>
      <c r="F867" s="41"/>
    </row>
    <row r="868">
      <c r="A868" s="40"/>
      <c r="B868" s="41"/>
      <c r="C868" s="41"/>
      <c r="D868" s="41"/>
      <c r="E868" s="41"/>
      <c r="F868" s="41"/>
    </row>
    <row r="869">
      <c r="A869" s="40"/>
      <c r="B869" s="41"/>
      <c r="C869" s="41"/>
      <c r="D869" s="41"/>
      <c r="E869" s="41"/>
      <c r="F869" s="41"/>
    </row>
    <row r="870">
      <c r="A870" s="40"/>
      <c r="B870" s="41"/>
      <c r="C870" s="41"/>
      <c r="D870" s="41"/>
      <c r="E870" s="41"/>
      <c r="F870" s="41"/>
    </row>
    <row r="871">
      <c r="A871" s="40"/>
      <c r="B871" s="41"/>
      <c r="C871" s="41"/>
      <c r="D871" s="41"/>
      <c r="E871" s="41"/>
      <c r="F871" s="41"/>
    </row>
    <row r="872">
      <c r="A872" s="40"/>
      <c r="B872" s="41"/>
      <c r="C872" s="41"/>
      <c r="D872" s="41"/>
      <c r="E872" s="41"/>
      <c r="F872" s="41"/>
    </row>
    <row r="873">
      <c r="A873" s="40"/>
      <c r="B873" s="41"/>
      <c r="C873" s="41"/>
      <c r="D873" s="41"/>
      <c r="E873" s="41"/>
      <c r="F873" s="41"/>
    </row>
    <row r="874">
      <c r="A874" s="40"/>
      <c r="B874" s="41"/>
      <c r="C874" s="41"/>
      <c r="D874" s="41"/>
      <c r="E874" s="41"/>
      <c r="F874" s="41"/>
    </row>
    <row r="875">
      <c r="A875" s="40"/>
      <c r="B875" s="41"/>
      <c r="C875" s="41"/>
      <c r="D875" s="41"/>
      <c r="E875" s="41"/>
      <c r="F875" s="41"/>
    </row>
    <row r="876">
      <c r="A876" s="40"/>
      <c r="B876" s="41"/>
      <c r="C876" s="41"/>
      <c r="D876" s="41"/>
      <c r="E876" s="41"/>
      <c r="F876" s="41"/>
    </row>
    <row r="877">
      <c r="A877" s="40"/>
      <c r="B877" s="41"/>
      <c r="C877" s="41"/>
      <c r="D877" s="41"/>
      <c r="E877" s="41"/>
      <c r="F877" s="41"/>
    </row>
    <row r="878">
      <c r="A878" s="40"/>
      <c r="B878" s="41"/>
      <c r="C878" s="41"/>
      <c r="D878" s="41"/>
      <c r="E878" s="41"/>
      <c r="F878" s="41"/>
    </row>
    <row r="879">
      <c r="A879" s="40"/>
      <c r="B879" s="41"/>
      <c r="C879" s="41"/>
      <c r="D879" s="41"/>
      <c r="E879" s="41"/>
      <c r="F879" s="41"/>
    </row>
    <row r="880">
      <c r="A880" s="40"/>
      <c r="B880" s="41"/>
      <c r="C880" s="41"/>
      <c r="D880" s="41"/>
      <c r="E880" s="41"/>
      <c r="F880" s="41"/>
    </row>
    <row r="881">
      <c r="A881" s="40"/>
      <c r="B881" s="41"/>
      <c r="C881" s="41"/>
      <c r="D881" s="41"/>
      <c r="E881" s="41"/>
      <c r="F881" s="41"/>
    </row>
    <row r="882">
      <c r="A882" s="40"/>
      <c r="B882" s="41"/>
      <c r="C882" s="41"/>
      <c r="D882" s="41"/>
      <c r="E882" s="41"/>
      <c r="F882" s="41"/>
    </row>
    <row r="883">
      <c r="A883" s="40"/>
      <c r="B883" s="41"/>
      <c r="C883" s="41"/>
      <c r="D883" s="41"/>
      <c r="E883" s="41"/>
      <c r="F883" s="41"/>
    </row>
    <row r="884">
      <c r="A884" s="40"/>
      <c r="B884" s="41"/>
      <c r="C884" s="41"/>
      <c r="D884" s="41"/>
      <c r="E884" s="41"/>
      <c r="F884" s="41"/>
    </row>
    <row r="885">
      <c r="A885" s="40"/>
      <c r="B885" s="41"/>
      <c r="C885" s="41"/>
      <c r="D885" s="41"/>
      <c r="E885" s="41"/>
      <c r="F885" s="41"/>
    </row>
    <row r="886">
      <c r="A886" s="40"/>
      <c r="B886" s="41"/>
      <c r="C886" s="41"/>
      <c r="D886" s="41"/>
      <c r="E886" s="41"/>
      <c r="F886" s="41"/>
    </row>
    <row r="887">
      <c r="A887" s="40"/>
      <c r="B887" s="41"/>
      <c r="C887" s="41"/>
      <c r="D887" s="41"/>
      <c r="E887" s="41"/>
      <c r="F887" s="41"/>
    </row>
    <row r="888">
      <c r="A888" s="40"/>
      <c r="B888" s="41"/>
      <c r="C888" s="41"/>
      <c r="D888" s="41"/>
      <c r="E888" s="41"/>
      <c r="F888" s="41"/>
    </row>
    <row r="889">
      <c r="A889" s="40"/>
      <c r="B889" s="41"/>
      <c r="C889" s="41"/>
      <c r="D889" s="41"/>
      <c r="E889" s="41"/>
      <c r="F889" s="41"/>
    </row>
    <row r="890">
      <c r="A890" s="40"/>
      <c r="B890" s="41"/>
      <c r="C890" s="41"/>
      <c r="D890" s="41"/>
      <c r="E890" s="41"/>
      <c r="F890" s="41"/>
    </row>
    <row r="891">
      <c r="A891" s="40"/>
      <c r="B891" s="41"/>
      <c r="C891" s="41"/>
      <c r="D891" s="41"/>
      <c r="E891" s="41"/>
      <c r="F891" s="41"/>
    </row>
    <row r="892">
      <c r="A892" s="40"/>
      <c r="B892" s="41"/>
      <c r="C892" s="41"/>
      <c r="D892" s="41"/>
      <c r="E892" s="41"/>
      <c r="F892" s="41"/>
    </row>
    <row r="893">
      <c r="A893" s="40"/>
      <c r="B893" s="41"/>
      <c r="C893" s="41"/>
      <c r="D893" s="41"/>
      <c r="E893" s="41"/>
      <c r="F893" s="41"/>
    </row>
    <row r="894">
      <c r="A894" s="40"/>
      <c r="B894" s="41"/>
      <c r="C894" s="41"/>
      <c r="D894" s="41"/>
      <c r="E894" s="41"/>
      <c r="F894" s="41"/>
    </row>
    <row r="895">
      <c r="A895" s="40"/>
      <c r="B895" s="41"/>
      <c r="C895" s="41"/>
      <c r="D895" s="41"/>
      <c r="E895" s="41"/>
      <c r="F895" s="41"/>
    </row>
    <row r="896">
      <c r="A896" s="40"/>
      <c r="B896" s="41"/>
      <c r="C896" s="41"/>
      <c r="D896" s="41"/>
      <c r="E896" s="41"/>
      <c r="F896" s="41"/>
    </row>
    <row r="897">
      <c r="A897" s="40"/>
      <c r="B897" s="41"/>
      <c r="C897" s="41"/>
      <c r="D897" s="41"/>
      <c r="E897" s="41"/>
      <c r="F897" s="41"/>
    </row>
    <row r="898">
      <c r="A898" s="40"/>
      <c r="B898" s="41"/>
      <c r="C898" s="41"/>
      <c r="D898" s="41"/>
      <c r="E898" s="41"/>
      <c r="F898" s="41"/>
    </row>
    <row r="899">
      <c r="A899" s="40"/>
      <c r="B899" s="41"/>
      <c r="C899" s="41"/>
      <c r="D899" s="41"/>
      <c r="E899" s="41"/>
      <c r="F899" s="41"/>
    </row>
    <row r="900">
      <c r="A900" s="40"/>
      <c r="B900" s="41"/>
      <c r="C900" s="41"/>
      <c r="D900" s="41"/>
      <c r="E900" s="41"/>
      <c r="F900" s="41"/>
    </row>
    <row r="901">
      <c r="A901" s="40"/>
      <c r="B901" s="41"/>
      <c r="C901" s="41"/>
      <c r="D901" s="41"/>
      <c r="E901" s="41"/>
      <c r="F901" s="41"/>
    </row>
    <row r="902">
      <c r="A902" s="40"/>
      <c r="B902" s="41"/>
      <c r="C902" s="41"/>
      <c r="D902" s="41"/>
      <c r="E902" s="41"/>
      <c r="F902" s="41"/>
    </row>
    <row r="903">
      <c r="A903" s="40"/>
      <c r="B903" s="41"/>
      <c r="C903" s="41"/>
      <c r="D903" s="41"/>
      <c r="E903" s="41"/>
      <c r="F903" s="41"/>
    </row>
    <row r="904">
      <c r="A904" s="40"/>
      <c r="B904" s="41"/>
      <c r="C904" s="41"/>
      <c r="D904" s="41"/>
      <c r="E904" s="41"/>
      <c r="F904" s="41"/>
    </row>
    <row r="905">
      <c r="A905" s="40"/>
      <c r="B905" s="41"/>
      <c r="C905" s="41"/>
      <c r="D905" s="41"/>
      <c r="E905" s="41"/>
      <c r="F905" s="41"/>
    </row>
    <row r="906">
      <c r="A906" s="40"/>
      <c r="B906" s="41"/>
      <c r="C906" s="41"/>
      <c r="D906" s="41"/>
      <c r="E906" s="41"/>
      <c r="F906" s="41"/>
    </row>
    <row r="907">
      <c r="A907" s="40"/>
      <c r="B907" s="41"/>
      <c r="C907" s="41"/>
      <c r="D907" s="41"/>
      <c r="E907" s="41"/>
      <c r="F907" s="41"/>
    </row>
    <row r="908">
      <c r="A908" s="40"/>
      <c r="B908" s="41"/>
      <c r="C908" s="41"/>
      <c r="D908" s="41"/>
      <c r="E908" s="41"/>
      <c r="F908" s="41"/>
    </row>
    <row r="909">
      <c r="A909" s="40"/>
      <c r="B909" s="41"/>
      <c r="C909" s="41"/>
      <c r="D909" s="41"/>
      <c r="E909" s="41"/>
      <c r="F909" s="41"/>
    </row>
    <row r="910">
      <c r="A910" s="40"/>
      <c r="B910" s="41"/>
      <c r="C910" s="41"/>
      <c r="D910" s="41"/>
      <c r="E910" s="41"/>
      <c r="F910" s="41"/>
    </row>
    <row r="911">
      <c r="A911" s="40"/>
      <c r="B911" s="41"/>
      <c r="C911" s="41"/>
      <c r="D911" s="41"/>
      <c r="E911" s="41"/>
      <c r="F911" s="41"/>
    </row>
    <row r="912">
      <c r="A912" s="40"/>
      <c r="B912" s="41"/>
      <c r="C912" s="41"/>
      <c r="D912" s="41"/>
      <c r="E912" s="41"/>
      <c r="F912" s="41"/>
    </row>
    <row r="913">
      <c r="A913" s="40"/>
      <c r="B913" s="41"/>
      <c r="C913" s="41"/>
      <c r="D913" s="41"/>
      <c r="E913" s="41"/>
      <c r="F913" s="41"/>
    </row>
    <row r="914">
      <c r="A914" s="40"/>
      <c r="B914" s="41"/>
      <c r="C914" s="41"/>
      <c r="D914" s="41"/>
      <c r="E914" s="41"/>
      <c r="F914" s="41"/>
    </row>
    <row r="915">
      <c r="A915" s="40"/>
      <c r="B915" s="41"/>
      <c r="C915" s="41"/>
      <c r="D915" s="41"/>
      <c r="E915" s="41"/>
      <c r="F915" s="41"/>
    </row>
    <row r="916">
      <c r="A916" s="40"/>
      <c r="B916" s="41"/>
      <c r="C916" s="41"/>
      <c r="D916" s="41"/>
      <c r="E916" s="41"/>
      <c r="F916" s="41"/>
    </row>
    <row r="917">
      <c r="A917" s="40"/>
      <c r="B917" s="41"/>
      <c r="C917" s="41"/>
      <c r="D917" s="41"/>
      <c r="E917" s="41"/>
      <c r="F917" s="41"/>
    </row>
    <row r="918">
      <c r="A918" s="40"/>
      <c r="B918" s="41"/>
      <c r="C918" s="41"/>
      <c r="D918" s="41"/>
      <c r="E918" s="41"/>
      <c r="F918" s="41"/>
    </row>
    <row r="919">
      <c r="A919" s="40"/>
      <c r="B919" s="41"/>
      <c r="C919" s="41"/>
      <c r="D919" s="41"/>
      <c r="E919" s="41"/>
      <c r="F919" s="41"/>
    </row>
    <row r="920">
      <c r="A920" s="40"/>
      <c r="B920" s="41"/>
      <c r="C920" s="41"/>
      <c r="D920" s="41"/>
      <c r="E920" s="41"/>
      <c r="F920" s="41"/>
    </row>
    <row r="921">
      <c r="A921" s="40"/>
      <c r="B921" s="41"/>
      <c r="C921" s="41"/>
      <c r="D921" s="41"/>
      <c r="E921" s="41"/>
      <c r="F921" s="41"/>
    </row>
    <row r="922">
      <c r="A922" s="40"/>
      <c r="B922" s="41"/>
      <c r="C922" s="41"/>
      <c r="D922" s="41"/>
      <c r="E922" s="41"/>
      <c r="F922" s="41"/>
    </row>
    <row r="923">
      <c r="A923" s="40"/>
      <c r="B923" s="41"/>
      <c r="C923" s="41"/>
      <c r="D923" s="41"/>
      <c r="E923" s="41"/>
      <c r="F923" s="41"/>
    </row>
    <row r="924">
      <c r="A924" s="40"/>
      <c r="B924" s="41"/>
      <c r="C924" s="41"/>
      <c r="D924" s="41"/>
      <c r="E924" s="41"/>
      <c r="F924" s="41"/>
    </row>
    <row r="925">
      <c r="A925" s="40"/>
      <c r="B925" s="41"/>
      <c r="C925" s="41"/>
      <c r="D925" s="41"/>
      <c r="E925" s="41"/>
      <c r="F925" s="41"/>
    </row>
    <row r="926">
      <c r="A926" s="40"/>
      <c r="B926" s="41"/>
      <c r="C926" s="41"/>
      <c r="D926" s="41"/>
      <c r="E926" s="41"/>
      <c r="F926" s="41"/>
    </row>
    <row r="927">
      <c r="A927" s="40"/>
      <c r="B927" s="41"/>
      <c r="C927" s="41"/>
      <c r="D927" s="41"/>
      <c r="E927" s="41"/>
      <c r="F927" s="41"/>
    </row>
    <row r="928">
      <c r="A928" s="40"/>
      <c r="B928" s="41"/>
      <c r="C928" s="41"/>
      <c r="D928" s="41"/>
      <c r="E928" s="41"/>
      <c r="F928" s="41"/>
    </row>
    <row r="929">
      <c r="A929" s="40"/>
      <c r="B929" s="41"/>
      <c r="C929" s="41"/>
      <c r="D929" s="41"/>
      <c r="E929" s="41"/>
      <c r="F929" s="41"/>
    </row>
    <row r="930">
      <c r="A930" s="40"/>
      <c r="B930" s="41"/>
      <c r="C930" s="41"/>
      <c r="D930" s="41"/>
      <c r="E930" s="41"/>
      <c r="F930" s="41"/>
    </row>
    <row r="931">
      <c r="A931" s="40"/>
      <c r="B931" s="41"/>
      <c r="C931" s="41"/>
      <c r="D931" s="41"/>
      <c r="E931" s="41"/>
      <c r="F931" s="41"/>
    </row>
    <row r="932">
      <c r="A932" s="40"/>
      <c r="B932" s="41"/>
      <c r="C932" s="41"/>
      <c r="D932" s="41"/>
      <c r="E932" s="41"/>
      <c r="F932" s="41"/>
    </row>
    <row r="933">
      <c r="A933" s="40"/>
      <c r="B933" s="41"/>
      <c r="C933" s="41"/>
      <c r="D933" s="41"/>
      <c r="E933" s="41"/>
      <c r="F933" s="41"/>
    </row>
    <row r="934">
      <c r="A934" s="40"/>
      <c r="B934" s="41"/>
      <c r="C934" s="41"/>
      <c r="D934" s="41"/>
      <c r="E934" s="41"/>
      <c r="F934" s="41"/>
    </row>
    <row r="935">
      <c r="A935" s="40"/>
      <c r="B935" s="41"/>
      <c r="C935" s="41"/>
      <c r="D935" s="41"/>
      <c r="E935" s="41"/>
      <c r="F935" s="41"/>
    </row>
    <row r="936">
      <c r="A936" s="40"/>
      <c r="B936" s="41"/>
      <c r="C936" s="41"/>
      <c r="D936" s="41"/>
      <c r="E936" s="41"/>
      <c r="F936" s="41"/>
    </row>
    <row r="937">
      <c r="A937" s="40"/>
      <c r="B937" s="41"/>
      <c r="C937" s="41"/>
      <c r="D937" s="41"/>
      <c r="E937" s="41"/>
      <c r="F937" s="41"/>
    </row>
    <row r="938">
      <c r="A938" s="40"/>
      <c r="B938" s="41"/>
      <c r="C938" s="41"/>
      <c r="D938" s="41"/>
      <c r="E938" s="41"/>
      <c r="F938" s="41"/>
    </row>
    <row r="939">
      <c r="A939" s="40"/>
      <c r="B939" s="41"/>
      <c r="C939" s="41"/>
      <c r="D939" s="41"/>
      <c r="E939" s="41"/>
      <c r="F939" s="41"/>
    </row>
    <row r="940">
      <c r="A940" s="40"/>
      <c r="B940" s="41"/>
      <c r="C940" s="41"/>
      <c r="D940" s="41"/>
      <c r="E940" s="41"/>
      <c r="F940" s="41"/>
    </row>
    <row r="941">
      <c r="A941" s="40"/>
      <c r="B941" s="41"/>
      <c r="C941" s="41"/>
      <c r="D941" s="41"/>
      <c r="E941" s="41"/>
      <c r="F941" s="41"/>
    </row>
    <row r="942">
      <c r="A942" s="40"/>
      <c r="B942" s="41"/>
      <c r="C942" s="41"/>
      <c r="D942" s="41"/>
      <c r="E942" s="41"/>
      <c r="F942" s="41"/>
    </row>
    <row r="943">
      <c r="A943" s="40"/>
      <c r="B943" s="41"/>
      <c r="C943" s="41"/>
      <c r="D943" s="41"/>
      <c r="E943" s="41"/>
      <c r="F943" s="41"/>
    </row>
    <row r="944">
      <c r="A944" s="40"/>
      <c r="B944" s="41"/>
      <c r="C944" s="41"/>
      <c r="D944" s="41"/>
      <c r="E944" s="41"/>
      <c r="F944" s="41"/>
    </row>
    <row r="945">
      <c r="A945" s="40"/>
      <c r="B945" s="41"/>
      <c r="C945" s="41"/>
      <c r="D945" s="41"/>
      <c r="E945" s="41"/>
      <c r="F945" s="41"/>
    </row>
    <row r="946">
      <c r="A946" s="40"/>
      <c r="B946" s="41"/>
      <c r="C946" s="41"/>
      <c r="D946" s="41"/>
      <c r="E946" s="41"/>
      <c r="F946" s="41"/>
    </row>
    <row r="947">
      <c r="A947" s="40"/>
      <c r="B947" s="41"/>
      <c r="C947" s="41"/>
      <c r="D947" s="41"/>
      <c r="E947" s="41"/>
      <c r="F947" s="41"/>
    </row>
    <row r="948">
      <c r="A948" s="40"/>
      <c r="B948" s="41"/>
      <c r="C948" s="41"/>
      <c r="D948" s="41"/>
      <c r="E948" s="41"/>
      <c r="F948" s="41"/>
    </row>
    <row r="949">
      <c r="A949" s="40"/>
      <c r="B949" s="41"/>
      <c r="C949" s="41"/>
      <c r="D949" s="41"/>
      <c r="E949" s="41"/>
      <c r="F949" s="41"/>
    </row>
    <row r="950">
      <c r="A950" s="40"/>
      <c r="B950" s="41"/>
      <c r="C950" s="41"/>
      <c r="D950" s="41"/>
      <c r="E950" s="41"/>
      <c r="F950" s="41"/>
    </row>
    <row r="951">
      <c r="A951" s="40"/>
      <c r="B951" s="41"/>
      <c r="C951" s="41"/>
      <c r="D951" s="41"/>
      <c r="E951" s="41"/>
      <c r="F951" s="41"/>
    </row>
    <row r="952">
      <c r="A952" s="40"/>
      <c r="B952" s="41"/>
      <c r="C952" s="41"/>
      <c r="D952" s="41"/>
      <c r="E952" s="41"/>
      <c r="F952" s="41"/>
    </row>
    <row r="953">
      <c r="A953" s="40"/>
      <c r="B953" s="41"/>
      <c r="C953" s="41"/>
      <c r="D953" s="41"/>
      <c r="E953" s="41"/>
      <c r="F953" s="41"/>
    </row>
    <row r="954">
      <c r="A954" s="40"/>
      <c r="B954" s="41"/>
      <c r="C954" s="41"/>
      <c r="D954" s="41"/>
      <c r="E954" s="41"/>
      <c r="F954" s="41"/>
    </row>
    <row r="955">
      <c r="A955" s="40"/>
      <c r="B955" s="41"/>
      <c r="C955" s="41"/>
      <c r="D955" s="41"/>
      <c r="E955" s="41"/>
      <c r="F955" s="41"/>
    </row>
    <row r="956">
      <c r="A956" s="40"/>
      <c r="B956" s="41"/>
      <c r="C956" s="41"/>
      <c r="D956" s="41"/>
      <c r="E956" s="41"/>
      <c r="F956" s="41"/>
    </row>
    <row r="957">
      <c r="A957" s="40"/>
      <c r="B957" s="41"/>
      <c r="C957" s="41"/>
      <c r="D957" s="41"/>
      <c r="E957" s="41"/>
      <c r="F957" s="41"/>
    </row>
    <row r="958">
      <c r="A958" s="40"/>
      <c r="B958" s="41"/>
      <c r="C958" s="41"/>
      <c r="D958" s="41"/>
      <c r="E958" s="41"/>
      <c r="F958" s="41"/>
    </row>
    <row r="959">
      <c r="A959" s="40"/>
      <c r="B959" s="41"/>
      <c r="C959" s="41"/>
      <c r="D959" s="41"/>
      <c r="E959" s="41"/>
      <c r="F959" s="41"/>
    </row>
    <row r="960">
      <c r="A960" s="40"/>
      <c r="B960" s="41"/>
      <c r="C960" s="41"/>
      <c r="D960" s="41"/>
      <c r="E960" s="41"/>
      <c r="F960" s="41"/>
    </row>
    <row r="961">
      <c r="A961" s="40"/>
      <c r="B961" s="41"/>
      <c r="C961" s="41"/>
      <c r="D961" s="41"/>
      <c r="E961" s="41"/>
      <c r="F961" s="41"/>
    </row>
    <row r="962">
      <c r="A962" s="40"/>
      <c r="B962" s="41"/>
      <c r="C962" s="41"/>
      <c r="D962" s="41"/>
      <c r="E962" s="41"/>
      <c r="F962" s="41"/>
    </row>
    <row r="963">
      <c r="A963" s="40"/>
      <c r="B963" s="41"/>
      <c r="C963" s="41"/>
      <c r="D963" s="41"/>
      <c r="E963" s="41"/>
      <c r="F963" s="41"/>
    </row>
    <row r="964">
      <c r="A964" s="40"/>
      <c r="B964" s="41"/>
      <c r="C964" s="41"/>
      <c r="D964" s="41"/>
      <c r="E964" s="41"/>
      <c r="F964" s="41"/>
    </row>
    <row r="965">
      <c r="A965" s="40"/>
      <c r="B965" s="41"/>
      <c r="C965" s="41"/>
      <c r="D965" s="41"/>
      <c r="E965" s="41"/>
      <c r="F965" s="41"/>
    </row>
    <row r="966">
      <c r="A966" s="40"/>
      <c r="B966" s="41"/>
      <c r="C966" s="41"/>
      <c r="D966" s="41"/>
      <c r="E966" s="41"/>
      <c r="F966" s="41"/>
    </row>
    <row r="967">
      <c r="A967" s="40"/>
      <c r="B967" s="41"/>
      <c r="C967" s="41"/>
      <c r="D967" s="41"/>
      <c r="E967" s="41"/>
      <c r="F967" s="41"/>
    </row>
    <row r="968">
      <c r="A968" s="40"/>
      <c r="B968" s="41"/>
      <c r="C968" s="41"/>
      <c r="D968" s="41"/>
      <c r="E968" s="41"/>
      <c r="F968" s="41"/>
    </row>
    <row r="969">
      <c r="A969" s="40"/>
      <c r="B969" s="41"/>
      <c r="C969" s="41"/>
      <c r="D969" s="41"/>
      <c r="E969" s="41"/>
      <c r="F969" s="41"/>
    </row>
    <row r="970">
      <c r="A970" s="40"/>
      <c r="B970" s="41"/>
      <c r="C970" s="41"/>
      <c r="D970" s="41"/>
      <c r="E970" s="41"/>
      <c r="F970" s="41"/>
    </row>
    <row r="971">
      <c r="A971" s="40"/>
      <c r="B971" s="41"/>
      <c r="C971" s="41"/>
      <c r="D971" s="41"/>
      <c r="E971" s="41"/>
      <c r="F971" s="41"/>
    </row>
    <row r="972">
      <c r="A972" s="40"/>
      <c r="B972" s="41"/>
      <c r="C972" s="41"/>
      <c r="D972" s="41"/>
      <c r="E972" s="41"/>
      <c r="F972" s="41"/>
    </row>
    <row r="973">
      <c r="A973" s="40"/>
      <c r="B973" s="41"/>
      <c r="C973" s="41"/>
      <c r="D973" s="41"/>
      <c r="E973" s="41"/>
      <c r="F973" s="41"/>
    </row>
    <row r="974">
      <c r="A974" s="40"/>
      <c r="B974" s="41"/>
      <c r="C974" s="41"/>
      <c r="D974" s="41"/>
      <c r="E974" s="41"/>
      <c r="F974" s="41"/>
    </row>
    <row r="975">
      <c r="A975" s="40"/>
      <c r="B975" s="41"/>
      <c r="C975" s="41"/>
      <c r="D975" s="41"/>
      <c r="E975" s="41"/>
      <c r="F975" s="41"/>
    </row>
    <row r="976">
      <c r="A976" s="40"/>
      <c r="B976" s="41"/>
      <c r="C976" s="41"/>
      <c r="D976" s="41"/>
      <c r="E976" s="41"/>
      <c r="F976" s="41"/>
    </row>
    <row r="977">
      <c r="A977" s="40"/>
      <c r="B977" s="41"/>
      <c r="C977" s="41"/>
      <c r="D977" s="41"/>
      <c r="E977" s="41"/>
      <c r="F977" s="41"/>
    </row>
    <row r="978">
      <c r="A978" s="40"/>
      <c r="B978" s="41"/>
      <c r="C978" s="41"/>
      <c r="D978" s="41"/>
      <c r="E978" s="41"/>
      <c r="F978" s="41"/>
    </row>
    <row r="979">
      <c r="A979" s="40"/>
      <c r="B979" s="41"/>
      <c r="C979" s="41"/>
      <c r="D979" s="41"/>
      <c r="E979" s="41"/>
      <c r="F979" s="41"/>
    </row>
    <row r="980">
      <c r="A980" s="40"/>
      <c r="B980" s="41"/>
      <c r="C980" s="41"/>
      <c r="D980" s="41"/>
      <c r="E980" s="41"/>
      <c r="F980" s="41"/>
    </row>
    <row r="981">
      <c r="A981" s="40"/>
      <c r="B981" s="41"/>
      <c r="C981" s="41"/>
      <c r="D981" s="41"/>
      <c r="E981" s="41"/>
      <c r="F981" s="41"/>
    </row>
    <row r="982">
      <c r="A982" s="40"/>
      <c r="B982" s="41"/>
      <c r="C982" s="41"/>
      <c r="D982" s="41"/>
      <c r="E982" s="41"/>
      <c r="F982" s="41"/>
    </row>
    <row r="983">
      <c r="A983" s="40"/>
      <c r="B983" s="41"/>
      <c r="C983" s="41"/>
      <c r="D983" s="41"/>
      <c r="E983" s="41"/>
      <c r="F983" s="41"/>
    </row>
    <row r="984">
      <c r="A984" s="40"/>
      <c r="B984" s="41"/>
      <c r="C984" s="41"/>
      <c r="D984" s="41"/>
      <c r="E984" s="41"/>
      <c r="F984" s="41"/>
    </row>
    <row r="985">
      <c r="A985" s="40"/>
      <c r="B985" s="41"/>
      <c r="C985" s="41"/>
      <c r="D985" s="41"/>
      <c r="E985" s="41"/>
      <c r="F985" s="41"/>
    </row>
    <row r="986">
      <c r="A986" s="40"/>
      <c r="B986" s="41"/>
      <c r="C986" s="41"/>
      <c r="D986" s="41"/>
      <c r="E986" s="41"/>
      <c r="F986" s="41"/>
    </row>
    <row r="987">
      <c r="A987" s="40"/>
      <c r="B987" s="41"/>
      <c r="C987" s="41"/>
      <c r="D987" s="41"/>
      <c r="E987" s="41"/>
      <c r="F987" s="41"/>
    </row>
    <row r="988">
      <c r="A988" s="40"/>
      <c r="B988" s="41"/>
      <c r="C988" s="41"/>
      <c r="D988" s="41"/>
      <c r="E988" s="41"/>
      <c r="F988" s="41"/>
    </row>
    <row r="989">
      <c r="A989" s="40"/>
      <c r="B989" s="41"/>
      <c r="C989" s="41"/>
      <c r="D989" s="41"/>
      <c r="E989" s="41"/>
      <c r="F989" s="41"/>
    </row>
    <row r="990">
      <c r="A990" s="40"/>
      <c r="B990" s="41"/>
      <c r="C990" s="41"/>
      <c r="D990" s="41"/>
      <c r="E990" s="41"/>
      <c r="F990" s="41"/>
    </row>
    <row r="991">
      <c r="A991" s="40"/>
      <c r="B991" s="41"/>
      <c r="C991" s="41"/>
      <c r="D991" s="41"/>
      <c r="E991" s="41"/>
      <c r="F991" s="41"/>
    </row>
    <row r="992">
      <c r="A992" s="40"/>
      <c r="B992" s="41"/>
      <c r="C992" s="41"/>
      <c r="D992" s="41"/>
      <c r="E992" s="41"/>
      <c r="F992" s="41"/>
    </row>
    <row r="993">
      <c r="A993" s="40"/>
      <c r="B993" s="41"/>
      <c r="C993" s="41"/>
      <c r="D993" s="41"/>
      <c r="E993" s="41"/>
      <c r="F993" s="41"/>
    </row>
    <row r="994">
      <c r="A994" s="40"/>
      <c r="B994" s="41"/>
      <c r="C994" s="41"/>
      <c r="D994" s="41"/>
      <c r="E994" s="41"/>
      <c r="F994" s="41"/>
    </row>
    <row r="995">
      <c r="A995" s="40"/>
      <c r="B995" s="41"/>
      <c r="C995" s="41"/>
      <c r="D995" s="41"/>
      <c r="E995" s="41"/>
      <c r="F995" s="41"/>
    </row>
    <row r="996">
      <c r="A996" s="40"/>
      <c r="B996" s="41"/>
      <c r="C996" s="41"/>
      <c r="D996" s="41"/>
      <c r="E996" s="41"/>
      <c r="F996" s="41"/>
    </row>
    <row r="997">
      <c r="A997" s="40"/>
      <c r="B997" s="41"/>
      <c r="C997" s="41"/>
      <c r="D997" s="41"/>
      <c r="E997" s="41"/>
      <c r="F997" s="41"/>
    </row>
    <row r="998">
      <c r="A998" s="40"/>
      <c r="B998" s="41"/>
      <c r="C998" s="41"/>
      <c r="D998" s="41"/>
      <c r="E998" s="41"/>
      <c r="F998" s="41"/>
    </row>
    <row r="999">
      <c r="A999" s="40"/>
      <c r="B999" s="41"/>
      <c r="C999" s="41"/>
      <c r="D999" s="41"/>
      <c r="E999" s="41"/>
      <c r="F999" s="41"/>
    </row>
    <row r="1000">
      <c r="A1000" s="40"/>
      <c r="B1000" s="41"/>
      <c r="C1000" s="41"/>
      <c r="D1000" s="41"/>
      <c r="E1000" s="41"/>
      <c r="F1000" s="41"/>
    </row>
    <row r="1001">
      <c r="A1001" s="40"/>
      <c r="B1001" s="41"/>
      <c r="C1001" s="41"/>
      <c r="D1001" s="41"/>
      <c r="E1001" s="41"/>
      <c r="F1001" s="41"/>
    </row>
    <row r="1002">
      <c r="A1002" s="40"/>
      <c r="B1002" s="41"/>
      <c r="C1002" s="41"/>
      <c r="D1002" s="41"/>
      <c r="E1002" s="41"/>
      <c r="F1002" s="41"/>
    </row>
    <row r="1003">
      <c r="A1003" s="40"/>
      <c r="B1003" s="41"/>
      <c r="C1003" s="41"/>
      <c r="D1003" s="41"/>
      <c r="E1003" s="41"/>
      <c r="F1003" s="41"/>
    </row>
    <row r="1004">
      <c r="A1004" s="40"/>
      <c r="B1004" s="41"/>
      <c r="C1004" s="41"/>
      <c r="D1004" s="41"/>
      <c r="E1004" s="41"/>
      <c r="F1004" s="41"/>
    </row>
    <row r="1005">
      <c r="A1005" s="40"/>
      <c r="B1005" s="41"/>
      <c r="C1005" s="41"/>
      <c r="D1005" s="41"/>
      <c r="E1005" s="41"/>
      <c r="F1005" s="41"/>
    </row>
    <row r="1006">
      <c r="A1006" s="40"/>
      <c r="B1006" s="41"/>
      <c r="C1006" s="41"/>
      <c r="D1006" s="41"/>
      <c r="E1006" s="41"/>
      <c r="F1006" s="41"/>
    </row>
    <row r="1007">
      <c r="A1007" s="40"/>
      <c r="B1007" s="41"/>
      <c r="C1007" s="41"/>
      <c r="D1007" s="41"/>
      <c r="E1007" s="41"/>
      <c r="F1007" s="41"/>
    </row>
    <row r="1008">
      <c r="A1008" s="40"/>
      <c r="B1008" s="41"/>
      <c r="C1008" s="41"/>
      <c r="D1008" s="41"/>
      <c r="E1008" s="41"/>
      <c r="F1008" s="41"/>
    </row>
    <row r="1009">
      <c r="A1009" s="40"/>
      <c r="B1009" s="41"/>
      <c r="C1009" s="41"/>
      <c r="D1009" s="41"/>
      <c r="E1009" s="41"/>
      <c r="F1009" s="41"/>
    </row>
    <row r="1010">
      <c r="A1010" s="40"/>
      <c r="B1010" s="41"/>
      <c r="C1010" s="41"/>
      <c r="D1010" s="41"/>
      <c r="E1010" s="41"/>
      <c r="F1010" s="41"/>
    </row>
    <row r="1011">
      <c r="A1011" s="40"/>
      <c r="B1011" s="41"/>
      <c r="C1011" s="41"/>
      <c r="D1011" s="41"/>
      <c r="E1011" s="41"/>
      <c r="F1011" s="41"/>
    </row>
    <row r="1012">
      <c r="A1012" s="40"/>
      <c r="B1012" s="41"/>
      <c r="C1012" s="41"/>
      <c r="D1012" s="41"/>
      <c r="E1012" s="41"/>
      <c r="F1012" s="41"/>
    </row>
    <row r="1013">
      <c r="A1013" s="40"/>
      <c r="B1013" s="41"/>
      <c r="C1013" s="41"/>
      <c r="D1013" s="41"/>
      <c r="E1013" s="41"/>
      <c r="F1013" s="41"/>
    </row>
    <row r="1014">
      <c r="A1014" s="40"/>
      <c r="B1014" s="41"/>
      <c r="C1014" s="41"/>
      <c r="D1014" s="41"/>
      <c r="E1014" s="41"/>
      <c r="F1014" s="41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4"/>
  <tableParts count="1">
    <tablePart r:id="rId4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5"/>
    <col customWidth="1" min="2" max="2" width="17.13"/>
    <col customWidth="1" min="3" max="3" width="12.75"/>
    <col customWidth="1" min="4" max="4" width="18.5"/>
    <col customWidth="1" min="5" max="8" width="18.13"/>
    <col customWidth="1" min="9" max="9" width="14.0"/>
    <col customWidth="1" min="10" max="10" width="13.63"/>
  </cols>
  <sheetData>
    <row r="1" ht="22.5" customHeight="1">
      <c r="A1" s="18" t="s">
        <v>275</v>
      </c>
      <c r="B1" s="42" t="s">
        <v>1448</v>
      </c>
      <c r="C1" s="42" t="s">
        <v>1449</v>
      </c>
      <c r="D1" s="19" t="s">
        <v>6</v>
      </c>
      <c r="E1" s="42" t="s">
        <v>92</v>
      </c>
      <c r="F1" s="19" t="s">
        <v>1450</v>
      </c>
      <c r="G1" s="42" t="s">
        <v>93</v>
      </c>
      <c r="H1" s="19" t="s">
        <v>94</v>
      </c>
      <c r="I1" s="19" t="s">
        <v>95</v>
      </c>
      <c r="J1" s="19" t="s">
        <v>96</v>
      </c>
    </row>
    <row r="2" ht="22.5" customHeight="1">
      <c r="A2" s="20" t="str">
        <f t="array" ref="A2:A1184">BYROW(ตาราง1_6[[รหัส]:[สี]], LAMBDA(row, TEXTJOIN("-", TRUE, row)))</f>
        <v>B20001-เฟรมบนบานเลื่อน-อบขาว</v>
      </c>
      <c r="B2" s="19" t="s">
        <v>1451</v>
      </c>
      <c r="C2" s="19" t="s">
        <v>1452</v>
      </c>
      <c r="D2" s="19" t="s">
        <v>1453</v>
      </c>
      <c r="E2" s="19" t="s">
        <v>105</v>
      </c>
      <c r="F2" s="19">
        <v>6.4</v>
      </c>
      <c r="G2" s="82">
        <v>1125.0</v>
      </c>
      <c r="H2" s="83" t="s">
        <v>1454</v>
      </c>
      <c r="I2" s="26">
        <v>81.0</v>
      </c>
      <c r="J2" s="21"/>
    </row>
    <row r="3" ht="22.5" customHeight="1">
      <c r="A3" s="20" t="s">
        <v>1455</v>
      </c>
      <c r="B3" s="19" t="s">
        <v>1451</v>
      </c>
      <c r="C3" s="19" t="s">
        <v>1452</v>
      </c>
      <c r="D3" s="19" t="s">
        <v>1453</v>
      </c>
      <c r="E3" s="19" t="s">
        <v>103</v>
      </c>
      <c r="F3" s="19">
        <v>6.4</v>
      </c>
      <c r="G3" s="82">
        <v>1125.0</v>
      </c>
      <c r="H3" s="84" t="s">
        <v>1454</v>
      </c>
      <c r="I3" s="26">
        <v>76.0</v>
      </c>
      <c r="J3" s="21"/>
    </row>
    <row r="4" ht="22.5" customHeight="1">
      <c r="A4" s="20" t="s">
        <v>1456</v>
      </c>
      <c r="B4" s="19" t="s">
        <v>1451</v>
      </c>
      <c r="C4" s="19" t="s">
        <v>1452</v>
      </c>
      <c r="D4" s="19" t="s">
        <v>1453</v>
      </c>
      <c r="E4" s="19" t="s">
        <v>1457</v>
      </c>
      <c r="F4" s="19">
        <v>6.4</v>
      </c>
      <c r="G4" s="82">
        <v>1225.0</v>
      </c>
      <c r="H4" s="84" t="s">
        <v>1454</v>
      </c>
      <c r="I4" s="26">
        <v>64.0</v>
      </c>
      <c r="J4" s="21"/>
    </row>
    <row r="5" ht="22.5" customHeight="1">
      <c r="A5" s="18" t="s">
        <v>1458</v>
      </c>
      <c r="B5" s="19" t="s">
        <v>1451</v>
      </c>
      <c r="C5" s="19" t="s">
        <v>1452</v>
      </c>
      <c r="D5" s="19" t="s">
        <v>1453</v>
      </c>
      <c r="E5" s="19" t="s">
        <v>497</v>
      </c>
      <c r="F5" s="19">
        <v>6.4</v>
      </c>
      <c r="G5" s="82">
        <v>1825.0</v>
      </c>
      <c r="H5" s="84" t="s">
        <v>1454</v>
      </c>
      <c r="I5" s="19">
        <v>6.0</v>
      </c>
      <c r="J5" s="21"/>
    </row>
    <row r="6" ht="22.5" customHeight="1">
      <c r="A6" s="18" t="s">
        <v>1459</v>
      </c>
      <c r="B6" s="19" t="s">
        <v>1451</v>
      </c>
      <c r="C6" s="19" t="s">
        <v>1452</v>
      </c>
      <c r="D6" s="19" t="s">
        <v>1453</v>
      </c>
      <c r="E6" s="19" t="s">
        <v>1460</v>
      </c>
      <c r="F6" s="19">
        <v>6.4</v>
      </c>
      <c r="G6" s="85">
        <v>1074.45</v>
      </c>
      <c r="H6" s="84" t="s">
        <v>1454</v>
      </c>
      <c r="I6" s="21"/>
      <c r="J6" s="21"/>
    </row>
    <row r="7" ht="22.5" customHeight="1">
      <c r="A7" s="18" t="s">
        <v>1461</v>
      </c>
      <c r="B7" s="19" t="s">
        <v>1451</v>
      </c>
      <c r="C7" s="19" t="s">
        <v>1462</v>
      </c>
      <c r="D7" s="19" t="s">
        <v>1463</v>
      </c>
      <c r="E7" s="19" t="s">
        <v>105</v>
      </c>
      <c r="F7" s="19">
        <v>6.4</v>
      </c>
      <c r="G7" s="82">
        <v>1205.0</v>
      </c>
      <c r="H7" s="84" t="s">
        <v>1464</v>
      </c>
      <c r="I7" s="21"/>
      <c r="J7" s="21"/>
    </row>
    <row r="8" ht="22.5" customHeight="1">
      <c r="A8" s="18" t="s">
        <v>1465</v>
      </c>
      <c r="B8" s="19" t="s">
        <v>1451</v>
      </c>
      <c r="C8" s="19" t="s">
        <v>1462</v>
      </c>
      <c r="D8" s="19" t="s">
        <v>1463</v>
      </c>
      <c r="E8" s="19" t="s">
        <v>103</v>
      </c>
      <c r="F8" s="19">
        <v>6.4</v>
      </c>
      <c r="G8" s="82">
        <v>1205.0</v>
      </c>
      <c r="H8" s="84" t="s">
        <v>1464</v>
      </c>
      <c r="I8" s="21"/>
      <c r="J8" s="21"/>
    </row>
    <row r="9" ht="22.5" customHeight="1">
      <c r="A9" s="20" t="s">
        <v>1466</v>
      </c>
      <c r="B9" s="19" t="s">
        <v>1451</v>
      </c>
      <c r="C9" s="19" t="s">
        <v>1462</v>
      </c>
      <c r="D9" s="19" t="s">
        <v>1463</v>
      </c>
      <c r="E9" s="19" t="s">
        <v>1457</v>
      </c>
      <c r="F9" s="19">
        <v>6.4</v>
      </c>
      <c r="G9" s="82">
        <v>1310.0</v>
      </c>
      <c r="H9" s="84" t="s">
        <v>1464</v>
      </c>
      <c r="I9" s="19"/>
      <c r="J9" s="21"/>
    </row>
    <row r="10" ht="22.5" customHeight="1">
      <c r="A10" s="18" t="s">
        <v>1467</v>
      </c>
      <c r="B10" s="19" t="s">
        <v>1451</v>
      </c>
      <c r="C10" s="19" t="s">
        <v>1462</v>
      </c>
      <c r="D10" s="19" t="s">
        <v>1463</v>
      </c>
      <c r="E10" s="19" t="s">
        <v>497</v>
      </c>
      <c r="F10" s="19">
        <v>6.4</v>
      </c>
      <c r="G10" s="82">
        <v>1925.0</v>
      </c>
      <c r="H10" s="84" t="s">
        <v>1464</v>
      </c>
      <c r="I10" s="21"/>
      <c r="J10" s="21"/>
    </row>
    <row r="11" ht="22.5" customHeight="1">
      <c r="A11" s="25" t="s">
        <v>1468</v>
      </c>
      <c r="B11" s="26" t="s">
        <v>1451</v>
      </c>
      <c r="C11" s="19" t="s">
        <v>1462</v>
      </c>
      <c r="D11" s="19" t="s">
        <v>1463</v>
      </c>
      <c r="E11" s="26" t="s">
        <v>1460</v>
      </c>
      <c r="F11" s="26">
        <v>6.4</v>
      </c>
      <c r="G11" s="86"/>
      <c r="H11" s="84" t="s">
        <v>1464</v>
      </c>
      <c r="I11" s="28"/>
      <c r="J11" s="28"/>
    </row>
    <row r="12" ht="22.5" customHeight="1">
      <c r="A12" s="20" t="s">
        <v>1469</v>
      </c>
      <c r="B12" s="26" t="s">
        <v>1451</v>
      </c>
      <c r="C12" s="19" t="s">
        <v>1470</v>
      </c>
      <c r="D12" s="19" t="s">
        <v>1471</v>
      </c>
      <c r="E12" s="19" t="s">
        <v>105</v>
      </c>
      <c r="F12" s="19">
        <v>6.4</v>
      </c>
      <c r="G12" s="85">
        <v>870.0</v>
      </c>
      <c r="H12" s="87" t="s">
        <v>1472</v>
      </c>
      <c r="I12" s="19">
        <v>62.0</v>
      </c>
      <c r="J12" s="21"/>
    </row>
    <row r="13" ht="22.5" customHeight="1">
      <c r="A13" s="20" t="s">
        <v>1473</v>
      </c>
      <c r="B13" s="26" t="s">
        <v>1451</v>
      </c>
      <c r="C13" s="19" t="s">
        <v>1470</v>
      </c>
      <c r="D13" s="19" t="s">
        <v>1471</v>
      </c>
      <c r="E13" s="19" t="s">
        <v>103</v>
      </c>
      <c r="F13" s="19">
        <v>6.4</v>
      </c>
      <c r="G13" s="85">
        <v>870.0</v>
      </c>
      <c r="H13" s="87" t="s">
        <v>1474</v>
      </c>
      <c r="I13" s="19">
        <v>71.0</v>
      </c>
      <c r="J13" s="21"/>
    </row>
    <row r="14" ht="22.5" customHeight="1">
      <c r="A14" s="20" t="s">
        <v>1475</v>
      </c>
      <c r="B14" s="85" t="s">
        <v>1451</v>
      </c>
      <c r="C14" s="85" t="s">
        <v>1470</v>
      </c>
      <c r="D14" s="85" t="s">
        <v>1471</v>
      </c>
      <c r="E14" s="85" t="s">
        <v>1457</v>
      </c>
      <c r="F14" s="85">
        <v>6.4</v>
      </c>
      <c r="G14" s="85">
        <v>950.0</v>
      </c>
      <c r="H14" s="87" t="s">
        <v>1476</v>
      </c>
      <c r="I14" s="19">
        <v>70.0</v>
      </c>
      <c r="J14" s="21"/>
    </row>
    <row r="15" ht="22.5" customHeight="1">
      <c r="A15" s="20" t="s">
        <v>1477</v>
      </c>
      <c r="B15" s="85" t="s">
        <v>1451</v>
      </c>
      <c r="C15" s="85" t="s">
        <v>1470</v>
      </c>
      <c r="D15" s="85" t="s">
        <v>1471</v>
      </c>
      <c r="E15" s="85" t="s">
        <v>497</v>
      </c>
      <c r="F15" s="85">
        <v>6.4</v>
      </c>
      <c r="G15" s="82">
        <v>1450.95</v>
      </c>
      <c r="H15" s="87" t="s">
        <v>1478</v>
      </c>
      <c r="I15" s="19">
        <v>12.0</v>
      </c>
      <c r="J15" s="21"/>
    </row>
    <row r="16" ht="22.5" customHeight="1">
      <c r="A16" s="20" t="s">
        <v>1479</v>
      </c>
      <c r="B16" s="85" t="s">
        <v>1451</v>
      </c>
      <c r="C16" s="85" t="s">
        <v>1470</v>
      </c>
      <c r="D16" s="85" t="s">
        <v>1471</v>
      </c>
      <c r="E16" s="85" t="s">
        <v>1460</v>
      </c>
      <c r="F16" s="85">
        <v>6.4</v>
      </c>
      <c r="G16" s="85">
        <v>970.0</v>
      </c>
      <c r="H16" s="87" t="s">
        <v>1480</v>
      </c>
      <c r="I16" s="21"/>
      <c r="J16" s="21"/>
    </row>
    <row r="17" ht="22.5" customHeight="1">
      <c r="A17" s="76" t="s">
        <v>1481</v>
      </c>
      <c r="B17" s="85" t="s">
        <v>1451</v>
      </c>
      <c r="C17" s="85" t="s">
        <v>1482</v>
      </c>
      <c r="D17" s="85" t="s">
        <v>1483</v>
      </c>
      <c r="E17" s="88" t="s">
        <v>105</v>
      </c>
      <c r="F17" s="85">
        <v>6.4</v>
      </c>
      <c r="G17" s="88">
        <v>870.0</v>
      </c>
      <c r="H17" s="89" t="s">
        <v>1484</v>
      </c>
      <c r="I17" s="26"/>
      <c r="J17" s="28"/>
    </row>
    <row r="18" ht="22.5" customHeight="1">
      <c r="A18" s="76" t="s">
        <v>1485</v>
      </c>
      <c r="B18" s="85" t="s">
        <v>1451</v>
      </c>
      <c r="C18" s="85" t="s">
        <v>1482</v>
      </c>
      <c r="D18" s="85" t="s">
        <v>1483</v>
      </c>
      <c r="E18" s="88" t="s">
        <v>103</v>
      </c>
      <c r="F18" s="85">
        <v>6.4</v>
      </c>
      <c r="G18" s="88">
        <v>870.0</v>
      </c>
      <c r="H18" s="89" t="s">
        <v>1484</v>
      </c>
      <c r="I18" s="26"/>
      <c r="J18" s="28"/>
    </row>
    <row r="19" ht="22.5" customHeight="1">
      <c r="A19" s="76" t="s">
        <v>1486</v>
      </c>
      <c r="B19" s="85" t="s">
        <v>1451</v>
      </c>
      <c r="C19" s="88" t="s">
        <v>1482</v>
      </c>
      <c r="D19" s="88" t="s">
        <v>1483</v>
      </c>
      <c r="E19" s="85" t="s">
        <v>1457</v>
      </c>
      <c r="F19" s="85">
        <v>6.4</v>
      </c>
      <c r="G19" s="88">
        <v>950.0</v>
      </c>
      <c r="H19" s="89" t="s">
        <v>1484</v>
      </c>
      <c r="I19" s="26"/>
      <c r="J19" s="28"/>
    </row>
    <row r="20" ht="22.5" customHeight="1">
      <c r="A20" s="76" t="s">
        <v>1487</v>
      </c>
      <c r="B20" s="85" t="s">
        <v>1451</v>
      </c>
      <c r="C20" s="88" t="s">
        <v>1482</v>
      </c>
      <c r="D20" s="88" t="s">
        <v>1483</v>
      </c>
      <c r="E20" s="88" t="s">
        <v>497</v>
      </c>
      <c r="F20" s="85">
        <v>6.4</v>
      </c>
      <c r="G20" s="90">
        <v>1395.0</v>
      </c>
      <c r="H20" s="89" t="s">
        <v>1484</v>
      </c>
      <c r="I20" s="28"/>
      <c r="J20" s="28"/>
    </row>
    <row r="21" ht="22.5" customHeight="1">
      <c r="A21" s="76" t="s">
        <v>1488</v>
      </c>
      <c r="B21" s="85" t="s">
        <v>1451</v>
      </c>
      <c r="C21" s="88" t="s">
        <v>1482</v>
      </c>
      <c r="D21" s="88" t="s">
        <v>1483</v>
      </c>
      <c r="E21" s="88" t="s">
        <v>1460</v>
      </c>
      <c r="F21" s="85">
        <v>6.4</v>
      </c>
      <c r="G21" s="91"/>
      <c r="H21" s="89" t="s">
        <v>1484</v>
      </c>
      <c r="I21" s="28"/>
      <c r="J21" s="28"/>
    </row>
    <row r="22" ht="22.5" customHeight="1">
      <c r="A22" s="76" t="s">
        <v>1489</v>
      </c>
      <c r="B22" s="85" t="s">
        <v>1451</v>
      </c>
      <c r="C22" s="88" t="s">
        <v>1490</v>
      </c>
      <c r="D22" s="88" t="s">
        <v>1491</v>
      </c>
      <c r="E22" s="88" t="s">
        <v>105</v>
      </c>
      <c r="F22" s="88">
        <v>6.4</v>
      </c>
      <c r="G22" s="88">
        <v>660.0</v>
      </c>
      <c r="H22" s="92" t="s">
        <v>1492</v>
      </c>
      <c r="I22" s="26">
        <v>39.0</v>
      </c>
      <c r="J22" s="28"/>
    </row>
    <row r="23" ht="22.5" customHeight="1">
      <c r="A23" s="76" t="s">
        <v>1493</v>
      </c>
      <c r="B23" s="85" t="s">
        <v>1451</v>
      </c>
      <c r="C23" s="88" t="s">
        <v>1490</v>
      </c>
      <c r="D23" s="88" t="s">
        <v>1491</v>
      </c>
      <c r="E23" s="88" t="s">
        <v>103</v>
      </c>
      <c r="F23" s="88">
        <v>6.4</v>
      </c>
      <c r="G23" s="88">
        <v>660.0</v>
      </c>
      <c r="H23" s="92" t="s">
        <v>1494</v>
      </c>
      <c r="I23" s="26">
        <v>36.0</v>
      </c>
      <c r="J23" s="28"/>
    </row>
    <row r="24" ht="22.5" customHeight="1">
      <c r="A24" s="76" t="s">
        <v>1495</v>
      </c>
      <c r="B24" s="85" t="s">
        <v>1451</v>
      </c>
      <c r="C24" s="88" t="s">
        <v>1490</v>
      </c>
      <c r="D24" s="88" t="s">
        <v>1491</v>
      </c>
      <c r="E24" s="88" t="s">
        <v>1457</v>
      </c>
      <c r="F24" s="88">
        <v>6.4</v>
      </c>
      <c r="G24" s="88">
        <v>725.0</v>
      </c>
      <c r="H24" s="92" t="s">
        <v>1496</v>
      </c>
      <c r="I24" s="26">
        <v>42.0</v>
      </c>
      <c r="J24" s="28"/>
    </row>
    <row r="25" ht="22.5" customHeight="1">
      <c r="A25" s="76" t="s">
        <v>1497</v>
      </c>
      <c r="B25" s="85" t="s">
        <v>1451</v>
      </c>
      <c r="C25" s="88" t="s">
        <v>1490</v>
      </c>
      <c r="D25" s="88" t="s">
        <v>1491</v>
      </c>
      <c r="E25" s="88" t="s">
        <v>497</v>
      </c>
      <c r="F25" s="88">
        <v>6.4</v>
      </c>
      <c r="G25" s="90">
        <v>1065.0</v>
      </c>
      <c r="H25" s="92" t="s">
        <v>1498</v>
      </c>
      <c r="I25" s="26">
        <v>20.0</v>
      </c>
      <c r="J25" s="28"/>
    </row>
    <row r="26" ht="22.5" customHeight="1">
      <c r="A26" s="76" t="s">
        <v>1499</v>
      </c>
      <c r="B26" s="85" t="s">
        <v>1451</v>
      </c>
      <c r="C26" s="88" t="s">
        <v>1490</v>
      </c>
      <c r="D26" s="88" t="s">
        <v>1491</v>
      </c>
      <c r="E26" s="88" t="s">
        <v>1460</v>
      </c>
      <c r="F26" s="88">
        <v>6.4</v>
      </c>
      <c r="G26" s="93"/>
      <c r="H26" s="92" t="s">
        <v>1500</v>
      </c>
      <c r="I26" s="28"/>
      <c r="J26" s="28"/>
    </row>
    <row r="27" ht="22.5" customHeight="1">
      <c r="A27" s="76" t="s">
        <v>1501</v>
      </c>
      <c r="B27" s="85" t="s">
        <v>1451</v>
      </c>
      <c r="C27" s="88" t="s">
        <v>1502</v>
      </c>
      <c r="D27" s="88" t="s">
        <v>1503</v>
      </c>
      <c r="E27" s="88" t="s">
        <v>105</v>
      </c>
      <c r="F27" s="88">
        <v>6.4</v>
      </c>
      <c r="G27" s="90">
        <v>1125.0</v>
      </c>
      <c r="H27" s="89" t="s">
        <v>1504</v>
      </c>
      <c r="I27" s="28"/>
      <c r="J27" s="28"/>
    </row>
    <row r="28" ht="22.5" customHeight="1">
      <c r="A28" s="76" t="s">
        <v>1505</v>
      </c>
      <c r="B28" s="85" t="s">
        <v>1451</v>
      </c>
      <c r="C28" s="88" t="s">
        <v>1502</v>
      </c>
      <c r="D28" s="88" t="s">
        <v>1503</v>
      </c>
      <c r="E28" s="88" t="s">
        <v>103</v>
      </c>
      <c r="F28" s="88">
        <v>6.4</v>
      </c>
      <c r="G28" s="90">
        <v>1125.0</v>
      </c>
      <c r="H28" s="89" t="s">
        <v>1504</v>
      </c>
      <c r="I28" s="28"/>
      <c r="J28" s="28"/>
    </row>
    <row r="29" ht="22.5" customHeight="1">
      <c r="A29" s="76" t="s">
        <v>1506</v>
      </c>
      <c r="B29" s="85" t="s">
        <v>1451</v>
      </c>
      <c r="C29" s="88" t="s">
        <v>1502</v>
      </c>
      <c r="D29" s="88" t="s">
        <v>1503</v>
      </c>
      <c r="E29" s="88" t="s">
        <v>1457</v>
      </c>
      <c r="F29" s="88">
        <v>6.4</v>
      </c>
      <c r="G29" s="90">
        <v>1225.0</v>
      </c>
      <c r="H29" s="89" t="s">
        <v>1504</v>
      </c>
      <c r="I29" s="28"/>
      <c r="J29" s="28"/>
    </row>
    <row r="30" ht="22.5" customHeight="1">
      <c r="A30" s="76" t="s">
        <v>1507</v>
      </c>
      <c r="B30" s="85" t="s">
        <v>1451</v>
      </c>
      <c r="C30" s="88" t="s">
        <v>1502</v>
      </c>
      <c r="D30" s="88" t="s">
        <v>1503</v>
      </c>
      <c r="E30" s="88" t="s">
        <v>497</v>
      </c>
      <c r="F30" s="88">
        <v>6.4</v>
      </c>
      <c r="G30" s="90">
        <v>1800.0</v>
      </c>
      <c r="H30" s="89" t="s">
        <v>1504</v>
      </c>
      <c r="I30" s="28"/>
      <c r="J30" s="28"/>
    </row>
    <row r="31" ht="22.5" customHeight="1">
      <c r="A31" s="76" t="s">
        <v>1508</v>
      </c>
      <c r="B31" s="85" t="s">
        <v>1451</v>
      </c>
      <c r="C31" s="88" t="s">
        <v>1502</v>
      </c>
      <c r="D31" s="88" t="s">
        <v>1503</v>
      </c>
      <c r="E31" s="88" t="s">
        <v>1460</v>
      </c>
      <c r="F31" s="88">
        <v>6.4</v>
      </c>
      <c r="G31" s="94"/>
      <c r="H31" s="89" t="s">
        <v>1504</v>
      </c>
      <c r="I31" s="28"/>
      <c r="J31" s="28"/>
    </row>
    <row r="32" ht="22.5" customHeight="1">
      <c r="A32" s="76" t="s">
        <v>1509</v>
      </c>
      <c r="B32" s="85" t="s">
        <v>1451</v>
      </c>
      <c r="C32" s="88" t="s">
        <v>1510</v>
      </c>
      <c r="D32" s="88" t="s">
        <v>1511</v>
      </c>
      <c r="E32" s="88" t="s">
        <v>105</v>
      </c>
      <c r="F32" s="88">
        <v>6.4</v>
      </c>
      <c r="G32" s="88">
        <v>690.0</v>
      </c>
      <c r="H32" s="92" t="s">
        <v>1512</v>
      </c>
      <c r="I32" s="26">
        <v>65.0</v>
      </c>
      <c r="J32" s="28"/>
    </row>
    <row r="33" ht="22.5" customHeight="1">
      <c r="A33" s="76" t="s">
        <v>1513</v>
      </c>
      <c r="B33" s="85" t="s">
        <v>1451</v>
      </c>
      <c r="C33" s="88" t="s">
        <v>1510</v>
      </c>
      <c r="D33" s="88" t="s">
        <v>1511</v>
      </c>
      <c r="E33" s="88" t="s">
        <v>103</v>
      </c>
      <c r="F33" s="88">
        <v>6.4</v>
      </c>
      <c r="G33" s="88">
        <v>690.0</v>
      </c>
      <c r="H33" s="92" t="s">
        <v>1514</v>
      </c>
      <c r="I33" s="26">
        <v>53.0</v>
      </c>
      <c r="J33" s="28"/>
    </row>
    <row r="34" ht="22.5" customHeight="1">
      <c r="A34" s="76" t="s">
        <v>1515</v>
      </c>
      <c r="B34" s="85" t="s">
        <v>1451</v>
      </c>
      <c r="C34" s="88" t="s">
        <v>1510</v>
      </c>
      <c r="D34" s="88" t="s">
        <v>1511</v>
      </c>
      <c r="E34" s="88" t="s">
        <v>1457</v>
      </c>
      <c r="F34" s="88">
        <v>6.4</v>
      </c>
      <c r="G34" s="88">
        <v>750.0</v>
      </c>
      <c r="H34" s="92" t="s">
        <v>1516</v>
      </c>
      <c r="I34" s="26">
        <v>66.0</v>
      </c>
      <c r="J34" s="28"/>
    </row>
    <row r="35" ht="22.5" customHeight="1">
      <c r="A35" s="76" t="s">
        <v>1517</v>
      </c>
      <c r="B35" s="85" t="s">
        <v>1451</v>
      </c>
      <c r="C35" s="88" t="s">
        <v>1510</v>
      </c>
      <c r="D35" s="88" t="s">
        <v>1511</v>
      </c>
      <c r="E35" s="88" t="s">
        <v>497</v>
      </c>
      <c r="F35" s="88">
        <v>6.4</v>
      </c>
      <c r="G35" s="90">
        <v>1105.0</v>
      </c>
      <c r="H35" s="92" t="s">
        <v>1518</v>
      </c>
      <c r="I35" s="26">
        <v>22.0</v>
      </c>
      <c r="J35" s="28"/>
    </row>
    <row r="36" ht="22.5" customHeight="1">
      <c r="A36" s="76" t="s">
        <v>1519</v>
      </c>
      <c r="B36" s="85" t="s">
        <v>1451</v>
      </c>
      <c r="C36" s="88" t="s">
        <v>1510</v>
      </c>
      <c r="D36" s="88" t="s">
        <v>1511</v>
      </c>
      <c r="E36" s="88" t="s">
        <v>1460</v>
      </c>
      <c r="F36" s="88">
        <v>6.4</v>
      </c>
      <c r="G36" s="88">
        <v>835.2</v>
      </c>
      <c r="H36" s="92" t="s">
        <v>1520</v>
      </c>
      <c r="I36" s="28"/>
      <c r="J36" s="28"/>
    </row>
    <row r="37" ht="22.5" customHeight="1">
      <c r="A37" s="76" t="s">
        <v>1521</v>
      </c>
      <c r="B37" s="85" t="s">
        <v>1451</v>
      </c>
      <c r="C37" s="88" t="s">
        <v>1522</v>
      </c>
      <c r="D37" s="88" t="s">
        <v>1523</v>
      </c>
      <c r="E37" s="88" t="s">
        <v>105</v>
      </c>
      <c r="F37" s="88">
        <v>6.4</v>
      </c>
      <c r="G37" s="90">
        <v>1235.0</v>
      </c>
      <c r="H37" s="92" t="s">
        <v>1524</v>
      </c>
      <c r="I37" s="26">
        <v>55.0</v>
      </c>
      <c r="J37" s="28"/>
    </row>
    <row r="38" ht="22.5" customHeight="1">
      <c r="A38" s="76" t="s">
        <v>1525</v>
      </c>
      <c r="B38" s="85" t="s">
        <v>1451</v>
      </c>
      <c r="C38" s="88" t="s">
        <v>1522</v>
      </c>
      <c r="D38" s="88" t="s">
        <v>1523</v>
      </c>
      <c r="E38" s="88" t="s">
        <v>103</v>
      </c>
      <c r="F38" s="88">
        <v>6.4</v>
      </c>
      <c r="G38" s="90">
        <v>1235.0</v>
      </c>
      <c r="H38" s="92" t="s">
        <v>1526</v>
      </c>
      <c r="I38" s="26">
        <v>55.0</v>
      </c>
      <c r="J38" s="28"/>
    </row>
    <row r="39" ht="22.5" customHeight="1">
      <c r="A39" s="76" t="s">
        <v>1527</v>
      </c>
      <c r="B39" s="85" t="s">
        <v>1451</v>
      </c>
      <c r="C39" s="88" t="s">
        <v>1522</v>
      </c>
      <c r="D39" s="88" t="s">
        <v>1523</v>
      </c>
      <c r="E39" s="88" t="s">
        <v>1457</v>
      </c>
      <c r="F39" s="88">
        <v>6.4</v>
      </c>
      <c r="G39" s="90">
        <v>1345.0</v>
      </c>
      <c r="H39" s="92" t="s">
        <v>1528</v>
      </c>
      <c r="I39" s="26">
        <v>59.0</v>
      </c>
      <c r="J39" s="28"/>
    </row>
    <row r="40" ht="22.5" customHeight="1">
      <c r="A40" s="76" t="s">
        <v>1529</v>
      </c>
      <c r="B40" s="85" t="s">
        <v>1451</v>
      </c>
      <c r="C40" s="88" t="s">
        <v>1522</v>
      </c>
      <c r="D40" s="88" t="s">
        <v>1523</v>
      </c>
      <c r="E40" s="88" t="s">
        <v>497</v>
      </c>
      <c r="F40" s="88">
        <v>6.4</v>
      </c>
      <c r="G40" s="90">
        <v>1975.0</v>
      </c>
      <c r="H40" s="92" t="s">
        <v>1530</v>
      </c>
      <c r="I40" s="26">
        <v>10.0</v>
      </c>
      <c r="J40" s="28"/>
    </row>
    <row r="41" ht="22.5" customHeight="1">
      <c r="A41" s="76" t="s">
        <v>1531</v>
      </c>
      <c r="B41" s="85" t="s">
        <v>1451</v>
      </c>
      <c r="C41" s="88" t="s">
        <v>1522</v>
      </c>
      <c r="D41" s="88" t="s">
        <v>1523</v>
      </c>
      <c r="E41" s="88" t="s">
        <v>1460</v>
      </c>
      <c r="F41" s="88">
        <v>6.4</v>
      </c>
      <c r="G41" s="93"/>
      <c r="H41" s="92" t="s">
        <v>1532</v>
      </c>
      <c r="I41" s="28"/>
      <c r="J41" s="28"/>
    </row>
    <row r="42" ht="22.5" customHeight="1">
      <c r="A42" s="76" t="s">
        <v>1533</v>
      </c>
      <c r="B42" s="85" t="s">
        <v>1451</v>
      </c>
      <c r="C42" s="88" t="s">
        <v>1534</v>
      </c>
      <c r="D42" s="88" t="s">
        <v>1535</v>
      </c>
      <c r="E42" s="88" t="s">
        <v>105</v>
      </c>
      <c r="F42" s="88">
        <v>6.4</v>
      </c>
      <c r="G42" s="88">
        <v>175.0</v>
      </c>
      <c r="H42" s="92" t="s">
        <v>1536</v>
      </c>
      <c r="I42" s="26">
        <v>116.0</v>
      </c>
      <c r="J42" s="28"/>
    </row>
    <row r="43" ht="22.5" customHeight="1">
      <c r="A43" s="76" t="s">
        <v>1537</v>
      </c>
      <c r="B43" s="85" t="s">
        <v>1451</v>
      </c>
      <c r="C43" s="88" t="s">
        <v>1534</v>
      </c>
      <c r="D43" s="88" t="s">
        <v>1535</v>
      </c>
      <c r="E43" s="88" t="s">
        <v>103</v>
      </c>
      <c r="F43" s="88">
        <v>6.4</v>
      </c>
      <c r="G43" s="88">
        <v>175.0</v>
      </c>
      <c r="H43" s="92" t="s">
        <v>1538</v>
      </c>
      <c r="I43" s="26">
        <v>108.0</v>
      </c>
      <c r="J43" s="28"/>
    </row>
    <row r="44" ht="22.5" customHeight="1">
      <c r="A44" s="76" t="s">
        <v>1539</v>
      </c>
      <c r="B44" s="85" t="s">
        <v>1451</v>
      </c>
      <c r="C44" s="88" t="s">
        <v>1534</v>
      </c>
      <c r="D44" s="88" t="s">
        <v>1535</v>
      </c>
      <c r="E44" s="88" t="s">
        <v>1457</v>
      </c>
      <c r="F44" s="88">
        <v>6.4</v>
      </c>
      <c r="G44" s="88">
        <v>190.0</v>
      </c>
      <c r="H44" s="92" t="s">
        <v>1540</v>
      </c>
      <c r="I44" s="26">
        <v>104.0</v>
      </c>
      <c r="J44" s="28"/>
    </row>
    <row r="45" ht="22.5" customHeight="1">
      <c r="A45" s="76" t="s">
        <v>1541</v>
      </c>
      <c r="B45" s="85" t="s">
        <v>1451</v>
      </c>
      <c r="C45" s="88" t="s">
        <v>1534</v>
      </c>
      <c r="D45" s="88" t="s">
        <v>1535</v>
      </c>
      <c r="E45" s="88" t="s">
        <v>497</v>
      </c>
      <c r="F45" s="88">
        <v>6.4</v>
      </c>
      <c r="G45" s="88">
        <v>280.0</v>
      </c>
      <c r="H45" s="92" t="s">
        <v>1542</v>
      </c>
      <c r="I45" s="26">
        <v>29.0</v>
      </c>
      <c r="J45" s="28"/>
    </row>
    <row r="46" ht="22.5" customHeight="1">
      <c r="A46" s="76" t="s">
        <v>1543</v>
      </c>
      <c r="B46" s="85" t="s">
        <v>1451</v>
      </c>
      <c r="C46" s="88" t="s">
        <v>1534</v>
      </c>
      <c r="D46" s="88" t="s">
        <v>1535</v>
      </c>
      <c r="E46" s="88" t="s">
        <v>1460</v>
      </c>
      <c r="F46" s="88">
        <v>6.4</v>
      </c>
      <c r="G46" s="88">
        <v>195.0</v>
      </c>
      <c r="H46" s="92" t="s">
        <v>1544</v>
      </c>
      <c r="I46" s="28"/>
      <c r="J46" s="28"/>
    </row>
    <row r="47" ht="22.5" customHeight="1">
      <c r="A47" s="76" t="s">
        <v>1545</v>
      </c>
      <c r="B47" s="85" t="s">
        <v>1451</v>
      </c>
      <c r="C47" s="88" t="s">
        <v>1546</v>
      </c>
      <c r="D47" s="88" t="s">
        <v>1547</v>
      </c>
      <c r="E47" s="88" t="s">
        <v>105</v>
      </c>
      <c r="F47" s="88">
        <v>6.4</v>
      </c>
      <c r="G47" s="88">
        <v>360.0</v>
      </c>
      <c r="H47" s="92" t="s">
        <v>1548</v>
      </c>
      <c r="I47" s="28"/>
      <c r="J47" s="28"/>
    </row>
    <row r="48" ht="22.5" customHeight="1">
      <c r="A48" s="76" t="s">
        <v>1549</v>
      </c>
      <c r="B48" s="85" t="s">
        <v>1451</v>
      </c>
      <c r="C48" s="88" t="s">
        <v>1546</v>
      </c>
      <c r="D48" s="88" t="s">
        <v>1547</v>
      </c>
      <c r="E48" s="88" t="s">
        <v>103</v>
      </c>
      <c r="F48" s="88">
        <v>6.4</v>
      </c>
      <c r="G48" s="88">
        <v>185.0</v>
      </c>
      <c r="H48" s="92" t="s">
        <v>1550</v>
      </c>
      <c r="I48" s="28"/>
      <c r="J48" s="28"/>
    </row>
    <row r="49" ht="22.5" customHeight="1">
      <c r="A49" s="76" t="s">
        <v>1551</v>
      </c>
      <c r="B49" s="85" t="s">
        <v>1451</v>
      </c>
      <c r="C49" s="88" t="s">
        <v>1546</v>
      </c>
      <c r="D49" s="88" t="s">
        <v>1547</v>
      </c>
      <c r="E49" s="88" t="s">
        <v>1457</v>
      </c>
      <c r="F49" s="88">
        <v>6.4</v>
      </c>
      <c r="G49" s="88">
        <v>200.0</v>
      </c>
      <c r="H49" s="92" t="s">
        <v>1552</v>
      </c>
      <c r="I49" s="28"/>
      <c r="J49" s="28"/>
    </row>
    <row r="50" ht="22.5" customHeight="1">
      <c r="A50" s="76" t="s">
        <v>1553</v>
      </c>
      <c r="B50" s="85" t="s">
        <v>1451</v>
      </c>
      <c r="C50" s="88" t="s">
        <v>1546</v>
      </c>
      <c r="D50" s="88" t="s">
        <v>1547</v>
      </c>
      <c r="E50" s="88" t="s">
        <v>497</v>
      </c>
      <c r="F50" s="88">
        <v>6.4</v>
      </c>
      <c r="G50" s="88">
        <v>295.0</v>
      </c>
      <c r="H50" s="92" t="s">
        <v>1554</v>
      </c>
      <c r="I50" s="28"/>
      <c r="J50" s="28"/>
    </row>
    <row r="51" ht="22.5" customHeight="1">
      <c r="A51" s="76" t="s">
        <v>1555</v>
      </c>
      <c r="B51" s="85" t="s">
        <v>1451</v>
      </c>
      <c r="C51" s="88" t="s">
        <v>1546</v>
      </c>
      <c r="D51" s="88" t="s">
        <v>1547</v>
      </c>
      <c r="E51" s="88" t="s">
        <v>1460</v>
      </c>
      <c r="F51" s="88">
        <v>6.4</v>
      </c>
      <c r="G51" s="93"/>
      <c r="H51" s="92" t="s">
        <v>1556</v>
      </c>
      <c r="I51" s="28"/>
      <c r="J51" s="28"/>
    </row>
    <row r="52" ht="22.5" customHeight="1">
      <c r="A52" s="76" t="s">
        <v>1557</v>
      </c>
      <c r="B52" s="85" t="s">
        <v>1451</v>
      </c>
      <c r="C52" s="88" t="s">
        <v>1558</v>
      </c>
      <c r="D52" s="88" t="s">
        <v>1559</v>
      </c>
      <c r="E52" s="88" t="s">
        <v>105</v>
      </c>
      <c r="F52" s="88">
        <v>6.4</v>
      </c>
      <c r="G52" s="90">
        <v>2070.0</v>
      </c>
      <c r="H52" s="92" t="s">
        <v>1560</v>
      </c>
      <c r="I52" s="26">
        <v>61.0</v>
      </c>
      <c r="J52" s="28"/>
    </row>
    <row r="53" ht="22.5" customHeight="1">
      <c r="A53" s="76" t="s">
        <v>1561</v>
      </c>
      <c r="B53" s="85" t="s">
        <v>1451</v>
      </c>
      <c r="C53" s="88" t="s">
        <v>1558</v>
      </c>
      <c r="D53" s="88" t="s">
        <v>1559</v>
      </c>
      <c r="E53" s="88" t="s">
        <v>103</v>
      </c>
      <c r="F53" s="88">
        <v>6.4</v>
      </c>
      <c r="G53" s="90">
        <v>2070.0</v>
      </c>
      <c r="H53" s="92" t="s">
        <v>1562</v>
      </c>
      <c r="I53" s="26">
        <v>85.0</v>
      </c>
      <c r="J53" s="28"/>
    </row>
    <row r="54" ht="22.5" customHeight="1">
      <c r="A54" s="76" t="s">
        <v>1563</v>
      </c>
      <c r="B54" s="85" t="s">
        <v>1451</v>
      </c>
      <c r="C54" s="88" t="s">
        <v>1558</v>
      </c>
      <c r="D54" s="88" t="s">
        <v>1559</v>
      </c>
      <c r="E54" s="88" t="s">
        <v>1457</v>
      </c>
      <c r="F54" s="88">
        <v>6.4</v>
      </c>
      <c r="G54" s="90">
        <v>2255.0</v>
      </c>
      <c r="H54" s="92" t="s">
        <v>1564</v>
      </c>
      <c r="I54" s="26">
        <v>49.0</v>
      </c>
      <c r="J54" s="28"/>
    </row>
    <row r="55" ht="22.5" customHeight="1">
      <c r="A55" s="76" t="s">
        <v>1565</v>
      </c>
      <c r="B55" s="85" t="s">
        <v>1451</v>
      </c>
      <c r="C55" s="88" t="s">
        <v>1558</v>
      </c>
      <c r="D55" s="88" t="s">
        <v>1559</v>
      </c>
      <c r="E55" s="88" t="s">
        <v>497</v>
      </c>
      <c r="F55" s="88">
        <v>6.4</v>
      </c>
      <c r="G55" s="90">
        <v>3315.0</v>
      </c>
      <c r="H55" s="92" t="s">
        <v>1566</v>
      </c>
      <c r="I55" s="26">
        <v>21.0</v>
      </c>
      <c r="J55" s="28"/>
    </row>
    <row r="56" ht="22.5" customHeight="1">
      <c r="A56" s="76" t="s">
        <v>1567</v>
      </c>
      <c r="B56" s="85" t="s">
        <v>1451</v>
      </c>
      <c r="C56" s="88" t="s">
        <v>1558</v>
      </c>
      <c r="D56" s="88" t="s">
        <v>1559</v>
      </c>
      <c r="E56" s="88" t="s">
        <v>1460</v>
      </c>
      <c r="F56" s="88">
        <v>6.4</v>
      </c>
      <c r="G56" s="88">
        <v>2288.1</v>
      </c>
      <c r="H56" s="92" t="s">
        <v>1568</v>
      </c>
      <c r="I56" s="28"/>
      <c r="J56" s="28"/>
    </row>
    <row r="57" ht="22.5" customHeight="1">
      <c r="A57" s="76" t="s">
        <v>1569</v>
      </c>
      <c r="B57" s="85" t="s">
        <v>1451</v>
      </c>
      <c r="C57" s="88" t="s">
        <v>1570</v>
      </c>
      <c r="D57" s="88" t="s">
        <v>1571</v>
      </c>
      <c r="E57" s="88" t="s">
        <v>105</v>
      </c>
      <c r="F57" s="88">
        <v>6.4</v>
      </c>
      <c r="G57" s="88">
        <v>240.0</v>
      </c>
      <c r="H57" s="92" t="s">
        <v>1572</v>
      </c>
      <c r="I57" s="26">
        <v>38.0</v>
      </c>
      <c r="J57" s="28"/>
    </row>
    <row r="58" ht="22.5" customHeight="1">
      <c r="A58" s="76" t="s">
        <v>1573</v>
      </c>
      <c r="B58" s="85" t="s">
        <v>1451</v>
      </c>
      <c r="C58" s="88" t="s">
        <v>1570</v>
      </c>
      <c r="D58" s="88" t="s">
        <v>1571</v>
      </c>
      <c r="E58" s="88" t="s">
        <v>103</v>
      </c>
      <c r="F58" s="88">
        <v>6.4</v>
      </c>
      <c r="G58" s="88">
        <v>240.0</v>
      </c>
      <c r="H58" s="92" t="s">
        <v>1574</v>
      </c>
      <c r="I58" s="26">
        <v>39.0</v>
      </c>
      <c r="J58" s="28"/>
    </row>
    <row r="59" ht="22.5" customHeight="1">
      <c r="A59" s="76" t="s">
        <v>1575</v>
      </c>
      <c r="B59" s="85" t="s">
        <v>1451</v>
      </c>
      <c r="C59" s="88" t="s">
        <v>1570</v>
      </c>
      <c r="D59" s="88" t="s">
        <v>1571</v>
      </c>
      <c r="E59" s="88" t="s">
        <v>1457</v>
      </c>
      <c r="F59" s="88">
        <v>6.4</v>
      </c>
      <c r="G59" s="88">
        <v>260.0</v>
      </c>
      <c r="H59" s="92" t="s">
        <v>1576</v>
      </c>
      <c r="I59" s="26">
        <v>37.0</v>
      </c>
      <c r="J59" s="28"/>
    </row>
    <row r="60" ht="22.5" customHeight="1">
      <c r="A60" s="76" t="s">
        <v>1577</v>
      </c>
      <c r="B60" s="85" t="s">
        <v>1451</v>
      </c>
      <c r="C60" s="88" t="s">
        <v>1570</v>
      </c>
      <c r="D60" s="88" t="s">
        <v>1571</v>
      </c>
      <c r="E60" s="88" t="s">
        <v>497</v>
      </c>
      <c r="F60" s="88">
        <v>6.4</v>
      </c>
      <c r="G60" s="88">
        <v>380.0</v>
      </c>
      <c r="H60" s="92" t="s">
        <v>1578</v>
      </c>
      <c r="I60" s="26">
        <v>5.0</v>
      </c>
      <c r="J60" s="28"/>
    </row>
    <row r="61" ht="22.5" customHeight="1">
      <c r="A61" s="76" t="s">
        <v>1579</v>
      </c>
      <c r="B61" s="85" t="s">
        <v>1451</v>
      </c>
      <c r="C61" s="88" t="s">
        <v>1570</v>
      </c>
      <c r="D61" s="88" t="s">
        <v>1571</v>
      </c>
      <c r="E61" s="88" t="s">
        <v>1460</v>
      </c>
      <c r="F61" s="88">
        <v>6.4</v>
      </c>
      <c r="G61" s="88">
        <v>275.0</v>
      </c>
      <c r="H61" s="92" t="s">
        <v>1580</v>
      </c>
      <c r="I61" s="28"/>
      <c r="J61" s="28"/>
    </row>
    <row r="62" ht="22.5" customHeight="1">
      <c r="A62" s="76" t="s">
        <v>1581</v>
      </c>
      <c r="B62" s="85" t="s">
        <v>1451</v>
      </c>
      <c r="C62" s="88" t="s">
        <v>1582</v>
      </c>
      <c r="D62" s="88" t="s">
        <v>1583</v>
      </c>
      <c r="E62" s="88" t="s">
        <v>105</v>
      </c>
      <c r="F62" s="88">
        <v>6.4</v>
      </c>
      <c r="G62" s="88">
        <v>825.0</v>
      </c>
      <c r="H62" s="92" t="s">
        <v>1584</v>
      </c>
      <c r="I62" s="26">
        <v>20.0</v>
      </c>
      <c r="J62" s="28"/>
    </row>
    <row r="63" ht="22.5" customHeight="1">
      <c r="A63" s="76" t="s">
        <v>1585</v>
      </c>
      <c r="B63" s="85" t="s">
        <v>1451</v>
      </c>
      <c r="C63" s="88" t="s">
        <v>1582</v>
      </c>
      <c r="D63" s="88" t="s">
        <v>1583</v>
      </c>
      <c r="E63" s="88" t="s">
        <v>103</v>
      </c>
      <c r="F63" s="88">
        <v>6.4</v>
      </c>
      <c r="G63" s="88">
        <v>825.0</v>
      </c>
      <c r="H63" s="92" t="s">
        <v>1586</v>
      </c>
      <c r="I63" s="26">
        <v>24.0</v>
      </c>
      <c r="J63" s="28"/>
    </row>
    <row r="64" ht="22.5" customHeight="1">
      <c r="A64" s="76" t="s">
        <v>1587</v>
      </c>
      <c r="B64" s="85" t="s">
        <v>1451</v>
      </c>
      <c r="C64" s="88" t="s">
        <v>1582</v>
      </c>
      <c r="D64" s="88" t="s">
        <v>1583</v>
      </c>
      <c r="E64" s="88" t="s">
        <v>1457</v>
      </c>
      <c r="F64" s="88">
        <v>6.4</v>
      </c>
      <c r="G64" s="88">
        <v>895.0</v>
      </c>
      <c r="H64" s="92" t="s">
        <v>1588</v>
      </c>
      <c r="I64" s="26">
        <v>12.0</v>
      </c>
      <c r="J64" s="28"/>
    </row>
    <row r="65" ht="22.5" customHeight="1">
      <c r="A65" s="76" t="s">
        <v>1589</v>
      </c>
      <c r="B65" s="85" t="s">
        <v>1451</v>
      </c>
      <c r="C65" s="88" t="s">
        <v>1582</v>
      </c>
      <c r="D65" s="88" t="s">
        <v>1583</v>
      </c>
      <c r="E65" s="88" t="s">
        <v>497</v>
      </c>
      <c r="F65" s="88">
        <v>6.4</v>
      </c>
      <c r="G65" s="90">
        <v>1320.0</v>
      </c>
      <c r="H65" s="92" t="s">
        <v>1590</v>
      </c>
      <c r="I65" s="28"/>
      <c r="J65" s="28"/>
    </row>
    <row r="66" ht="22.5" customHeight="1">
      <c r="A66" s="76" t="s">
        <v>1591</v>
      </c>
      <c r="B66" s="85" t="s">
        <v>1451</v>
      </c>
      <c r="C66" s="88" t="s">
        <v>1582</v>
      </c>
      <c r="D66" s="88" t="s">
        <v>1583</v>
      </c>
      <c r="E66" s="88" t="s">
        <v>1460</v>
      </c>
      <c r="F66" s="88">
        <v>6.4</v>
      </c>
      <c r="G66" s="93"/>
      <c r="H66" s="92" t="s">
        <v>1592</v>
      </c>
      <c r="I66" s="28"/>
      <c r="J66" s="28"/>
    </row>
    <row r="67" ht="22.5" customHeight="1">
      <c r="A67" s="76" t="s">
        <v>1593</v>
      </c>
      <c r="B67" s="85" t="s">
        <v>1451</v>
      </c>
      <c r="C67" s="88" t="s">
        <v>1594</v>
      </c>
      <c r="D67" s="88" t="s">
        <v>1595</v>
      </c>
      <c r="E67" s="88" t="s">
        <v>105</v>
      </c>
      <c r="F67" s="88">
        <v>6.4</v>
      </c>
      <c r="G67" s="88">
        <v>310.0</v>
      </c>
      <c r="H67" s="92" t="s">
        <v>1596</v>
      </c>
      <c r="I67" s="26">
        <v>49.0</v>
      </c>
      <c r="J67" s="28"/>
    </row>
    <row r="68" ht="22.5" customHeight="1">
      <c r="A68" s="76" t="s">
        <v>1597</v>
      </c>
      <c r="B68" s="85" t="s">
        <v>1451</v>
      </c>
      <c r="C68" s="88" t="s">
        <v>1594</v>
      </c>
      <c r="D68" s="88" t="s">
        <v>1595</v>
      </c>
      <c r="E68" s="88" t="s">
        <v>103</v>
      </c>
      <c r="F68" s="88">
        <v>6.4</v>
      </c>
      <c r="G68" s="88">
        <v>310.0</v>
      </c>
      <c r="H68" s="92" t="s">
        <v>1598</v>
      </c>
      <c r="I68" s="26">
        <v>61.0</v>
      </c>
      <c r="J68" s="28"/>
    </row>
    <row r="69" ht="22.5" customHeight="1">
      <c r="A69" s="76" t="s">
        <v>1599</v>
      </c>
      <c r="B69" s="85" t="s">
        <v>1451</v>
      </c>
      <c r="C69" s="88" t="s">
        <v>1594</v>
      </c>
      <c r="D69" s="88" t="s">
        <v>1595</v>
      </c>
      <c r="E69" s="88" t="s">
        <v>1457</v>
      </c>
      <c r="F69" s="88">
        <v>6.4</v>
      </c>
      <c r="G69" s="88">
        <v>340.0</v>
      </c>
      <c r="H69" s="92" t="s">
        <v>1600</v>
      </c>
      <c r="I69" s="26">
        <v>73.0</v>
      </c>
      <c r="J69" s="28"/>
    </row>
    <row r="70" ht="22.5" customHeight="1">
      <c r="A70" s="76" t="s">
        <v>1601</v>
      </c>
      <c r="B70" s="85" t="s">
        <v>1451</v>
      </c>
      <c r="C70" s="88" t="s">
        <v>1594</v>
      </c>
      <c r="D70" s="88" t="s">
        <v>1595</v>
      </c>
      <c r="E70" s="88" t="s">
        <v>497</v>
      </c>
      <c r="F70" s="88">
        <v>6.4</v>
      </c>
      <c r="G70" s="88">
        <v>495.0</v>
      </c>
      <c r="H70" s="92" t="s">
        <v>1602</v>
      </c>
      <c r="I70" s="26">
        <v>30.0</v>
      </c>
      <c r="J70" s="28"/>
    </row>
    <row r="71" ht="22.5" customHeight="1">
      <c r="A71" s="76" t="s">
        <v>1603</v>
      </c>
      <c r="B71" s="85" t="s">
        <v>1451</v>
      </c>
      <c r="C71" s="88" t="s">
        <v>1594</v>
      </c>
      <c r="D71" s="88" t="s">
        <v>1595</v>
      </c>
      <c r="E71" s="88" t="s">
        <v>1460</v>
      </c>
      <c r="F71" s="88">
        <v>6.4</v>
      </c>
      <c r="G71" s="93"/>
      <c r="H71" s="92" t="s">
        <v>1604</v>
      </c>
      <c r="I71" s="28"/>
      <c r="J71" s="28"/>
    </row>
    <row r="72" ht="22.5" customHeight="1">
      <c r="A72" s="76" t="s">
        <v>1605</v>
      </c>
      <c r="B72" s="85" t="s">
        <v>1451</v>
      </c>
      <c r="C72" s="88" t="s">
        <v>1606</v>
      </c>
      <c r="D72" s="88" t="s">
        <v>1607</v>
      </c>
      <c r="E72" s="88" t="s">
        <v>105</v>
      </c>
      <c r="F72" s="88">
        <v>6.4</v>
      </c>
      <c r="G72" s="88">
        <v>145.0</v>
      </c>
      <c r="H72" s="92" t="s">
        <v>1608</v>
      </c>
      <c r="I72" s="26">
        <v>69.0</v>
      </c>
      <c r="J72" s="28"/>
    </row>
    <row r="73" ht="22.5" customHeight="1">
      <c r="A73" s="76" t="s">
        <v>1609</v>
      </c>
      <c r="B73" s="85" t="s">
        <v>1451</v>
      </c>
      <c r="C73" s="88" t="s">
        <v>1606</v>
      </c>
      <c r="D73" s="88" t="s">
        <v>1607</v>
      </c>
      <c r="E73" s="88" t="s">
        <v>103</v>
      </c>
      <c r="F73" s="88">
        <v>6.4</v>
      </c>
      <c r="G73" s="88">
        <v>145.0</v>
      </c>
      <c r="H73" s="92" t="s">
        <v>1610</v>
      </c>
      <c r="I73" s="26">
        <v>62.0</v>
      </c>
      <c r="J73" s="28"/>
    </row>
    <row r="74" ht="22.5" customHeight="1">
      <c r="A74" s="76" t="s">
        <v>1611</v>
      </c>
      <c r="B74" s="85" t="s">
        <v>1451</v>
      </c>
      <c r="C74" s="88" t="s">
        <v>1606</v>
      </c>
      <c r="D74" s="88" t="s">
        <v>1607</v>
      </c>
      <c r="E74" s="88" t="s">
        <v>1457</v>
      </c>
      <c r="F74" s="88">
        <v>6.4</v>
      </c>
      <c r="G74" s="88">
        <v>155.0</v>
      </c>
      <c r="H74" s="92" t="s">
        <v>1612</v>
      </c>
      <c r="I74" s="26">
        <v>61.0</v>
      </c>
      <c r="J74" s="28"/>
    </row>
    <row r="75" ht="22.5" customHeight="1">
      <c r="A75" s="76" t="s">
        <v>1613</v>
      </c>
      <c r="B75" s="85" t="s">
        <v>1451</v>
      </c>
      <c r="C75" s="88" t="s">
        <v>1606</v>
      </c>
      <c r="D75" s="88" t="s">
        <v>1607</v>
      </c>
      <c r="E75" s="88" t="s">
        <v>497</v>
      </c>
      <c r="F75" s="88">
        <v>6.4</v>
      </c>
      <c r="G75" s="88">
        <v>230.0</v>
      </c>
      <c r="H75" s="92" t="s">
        <v>1614</v>
      </c>
      <c r="I75" s="26">
        <v>8.0</v>
      </c>
      <c r="J75" s="28"/>
    </row>
    <row r="76" ht="22.5" customHeight="1">
      <c r="A76" s="76" t="s">
        <v>1615</v>
      </c>
      <c r="B76" s="85" t="s">
        <v>1451</v>
      </c>
      <c r="C76" s="88" t="s">
        <v>1606</v>
      </c>
      <c r="D76" s="88" t="s">
        <v>1607</v>
      </c>
      <c r="E76" s="88" t="s">
        <v>1460</v>
      </c>
      <c r="F76" s="88">
        <v>6.4</v>
      </c>
      <c r="G76" s="93"/>
      <c r="H76" s="92" t="s">
        <v>1616</v>
      </c>
      <c r="I76" s="28"/>
      <c r="J76" s="28"/>
    </row>
    <row r="77" ht="22.5" customHeight="1">
      <c r="A77" s="76" t="s">
        <v>1617</v>
      </c>
      <c r="B77" s="85" t="s">
        <v>1451</v>
      </c>
      <c r="C77" s="88" t="s">
        <v>1618</v>
      </c>
      <c r="D77" s="88" t="s">
        <v>1619</v>
      </c>
      <c r="E77" s="88" t="s">
        <v>105</v>
      </c>
      <c r="F77" s="88">
        <v>6.4</v>
      </c>
      <c r="G77" s="88">
        <v>894.67</v>
      </c>
      <c r="H77" s="92" t="s">
        <v>1620</v>
      </c>
      <c r="I77" s="26">
        <v>60.0</v>
      </c>
      <c r="J77" s="28"/>
    </row>
    <row r="78" ht="22.5" customHeight="1">
      <c r="A78" s="76" t="s">
        <v>1621</v>
      </c>
      <c r="B78" s="85" t="s">
        <v>1451</v>
      </c>
      <c r="C78" s="88" t="s">
        <v>1618</v>
      </c>
      <c r="D78" s="88" t="s">
        <v>1619</v>
      </c>
      <c r="E78" s="88" t="s">
        <v>103</v>
      </c>
      <c r="F78" s="88">
        <v>6.4</v>
      </c>
      <c r="G78" s="88">
        <v>890.0</v>
      </c>
      <c r="H78" s="92" t="s">
        <v>1622</v>
      </c>
      <c r="I78" s="26">
        <v>63.0</v>
      </c>
      <c r="J78" s="28"/>
    </row>
    <row r="79" ht="22.5" customHeight="1">
      <c r="A79" s="76" t="s">
        <v>1623</v>
      </c>
      <c r="B79" s="85" t="s">
        <v>1451</v>
      </c>
      <c r="C79" s="88" t="s">
        <v>1618</v>
      </c>
      <c r="D79" s="88" t="s">
        <v>1619</v>
      </c>
      <c r="E79" s="88" t="s">
        <v>1457</v>
      </c>
      <c r="F79" s="88">
        <v>6.4</v>
      </c>
      <c r="G79" s="88">
        <v>965.0</v>
      </c>
      <c r="H79" s="92" t="s">
        <v>1624</v>
      </c>
      <c r="I79" s="26">
        <v>60.0</v>
      </c>
      <c r="J79" s="28"/>
    </row>
    <row r="80" ht="22.5" customHeight="1">
      <c r="A80" s="76" t="s">
        <v>1625</v>
      </c>
      <c r="B80" s="85" t="s">
        <v>1451</v>
      </c>
      <c r="C80" s="88" t="s">
        <v>1618</v>
      </c>
      <c r="D80" s="88" t="s">
        <v>1619</v>
      </c>
      <c r="E80" s="88" t="s">
        <v>497</v>
      </c>
      <c r="F80" s="88">
        <v>6.4</v>
      </c>
      <c r="G80" s="90">
        <v>1458.6</v>
      </c>
      <c r="H80" s="92" t="s">
        <v>1626</v>
      </c>
      <c r="I80" s="28"/>
      <c r="J80" s="28"/>
    </row>
    <row r="81" ht="22.5" customHeight="1">
      <c r="A81" s="76" t="s">
        <v>1627</v>
      </c>
      <c r="B81" s="85" t="s">
        <v>1451</v>
      </c>
      <c r="C81" s="88" t="s">
        <v>1618</v>
      </c>
      <c r="D81" s="88" t="s">
        <v>1619</v>
      </c>
      <c r="E81" s="88" t="s">
        <v>1460</v>
      </c>
      <c r="F81" s="88">
        <v>6.4</v>
      </c>
      <c r="G81" s="88">
        <v>972.23</v>
      </c>
      <c r="H81" s="92" t="s">
        <v>1628</v>
      </c>
      <c r="I81" s="28"/>
      <c r="J81" s="28"/>
    </row>
    <row r="82" ht="22.5" customHeight="1">
      <c r="A82" s="76" t="s">
        <v>1629</v>
      </c>
      <c r="B82" s="85" t="s">
        <v>1451</v>
      </c>
      <c r="C82" s="88" t="s">
        <v>1630</v>
      </c>
      <c r="D82" s="88" t="s">
        <v>1631</v>
      </c>
      <c r="E82" s="88" t="s">
        <v>105</v>
      </c>
      <c r="F82" s="88">
        <v>6.4</v>
      </c>
      <c r="G82" s="90">
        <v>1550.0</v>
      </c>
      <c r="H82" s="92" t="s">
        <v>1632</v>
      </c>
      <c r="I82" s="28"/>
      <c r="J82" s="28"/>
    </row>
    <row r="83" ht="22.5" customHeight="1">
      <c r="A83" s="76" t="s">
        <v>1633</v>
      </c>
      <c r="B83" s="85" t="s">
        <v>1451</v>
      </c>
      <c r="C83" s="88" t="s">
        <v>1630</v>
      </c>
      <c r="D83" s="88" t="s">
        <v>1631</v>
      </c>
      <c r="E83" s="88" t="s">
        <v>103</v>
      </c>
      <c r="F83" s="88">
        <v>6.4</v>
      </c>
      <c r="G83" s="90">
        <v>1550.0</v>
      </c>
      <c r="H83" s="92" t="s">
        <v>1634</v>
      </c>
      <c r="I83" s="28"/>
      <c r="J83" s="28"/>
    </row>
    <row r="84" ht="22.5" customHeight="1">
      <c r="A84" s="76" t="s">
        <v>1635</v>
      </c>
      <c r="B84" s="85" t="s">
        <v>1451</v>
      </c>
      <c r="C84" s="88" t="s">
        <v>1630</v>
      </c>
      <c r="D84" s="88" t="s">
        <v>1631</v>
      </c>
      <c r="E84" s="88" t="s">
        <v>1457</v>
      </c>
      <c r="F84" s="88">
        <v>6.4</v>
      </c>
      <c r="G84" s="90">
        <v>1690.0</v>
      </c>
      <c r="H84" s="92" t="s">
        <v>1636</v>
      </c>
      <c r="I84" s="28"/>
      <c r="J84" s="28"/>
    </row>
    <row r="85" ht="22.5" customHeight="1">
      <c r="A85" s="76" t="s">
        <v>1637</v>
      </c>
      <c r="B85" s="85" t="s">
        <v>1451</v>
      </c>
      <c r="C85" s="88" t="s">
        <v>1630</v>
      </c>
      <c r="D85" s="88" t="s">
        <v>1631</v>
      </c>
      <c r="E85" s="88" t="s">
        <v>497</v>
      </c>
      <c r="F85" s="88">
        <v>6.4</v>
      </c>
      <c r="G85" s="90">
        <v>2480.0</v>
      </c>
      <c r="H85" s="92" t="s">
        <v>1638</v>
      </c>
      <c r="I85" s="28"/>
      <c r="J85" s="28"/>
    </row>
    <row r="86" ht="22.5" customHeight="1">
      <c r="A86" s="76" t="s">
        <v>1639</v>
      </c>
      <c r="B86" s="85" t="s">
        <v>1451</v>
      </c>
      <c r="C86" s="88" t="s">
        <v>1630</v>
      </c>
      <c r="D86" s="88" t="s">
        <v>1631</v>
      </c>
      <c r="E86" s="88" t="s">
        <v>1460</v>
      </c>
      <c r="F86" s="88">
        <v>6.4</v>
      </c>
      <c r="G86" s="93"/>
      <c r="H86" s="92" t="s">
        <v>1640</v>
      </c>
      <c r="I86" s="28"/>
      <c r="J86" s="28"/>
    </row>
    <row r="87" ht="22.5" customHeight="1">
      <c r="A87" s="76" t="s">
        <v>1641</v>
      </c>
      <c r="B87" s="85" t="s">
        <v>1451</v>
      </c>
      <c r="C87" s="88" t="s">
        <v>1642</v>
      </c>
      <c r="D87" s="88" t="s">
        <v>1643</v>
      </c>
      <c r="E87" s="88" t="s">
        <v>105</v>
      </c>
      <c r="F87" s="88">
        <v>6.4</v>
      </c>
      <c r="G87" s="90">
        <v>1060.0</v>
      </c>
      <c r="H87" s="92" t="s">
        <v>1644</v>
      </c>
      <c r="I87" s="26">
        <v>46.0</v>
      </c>
      <c r="J87" s="28"/>
    </row>
    <row r="88" ht="22.5" customHeight="1">
      <c r="A88" s="76" t="s">
        <v>1645</v>
      </c>
      <c r="B88" s="85" t="s">
        <v>1451</v>
      </c>
      <c r="C88" s="88" t="s">
        <v>1642</v>
      </c>
      <c r="D88" s="88" t="s">
        <v>1643</v>
      </c>
      <c r="E88" s="88" t="s">
        <v>103</v>
      </c>
      <c r="F88" s="88">
        <v>6.4</v>
      </c>
      <c r="G88" s="90">
        <v>1060.0</v>
      </c>
      <c r="H88" s="92" t="s">
        <v>1646</v>
      </c>
      <c r="I88" s="26">
        <v>52.0</v>
      </c>
      <c r="J88" s="28"/>
    </row>
    <row r="89" ht="22.5" customHeight="1">
      <c r="A89" s="76" t="s">
        <v>1647</v>
      </c>
      <c r="B89" s="85" t="s">
        <v>1451</v>
      </c>
      <c r="C89" s="88" t="s">
        <v>1642</v>
      </c>
      <c r="D89" s="88" t="s">
        <v>1643</v>
      </c>
      <c r="E89" s="88" t="s">
        <v>1457</v>
      </c>
      <c r="F89" s="88">
        <v>6.4</v>
      </c>
      <c r="G89" s="90">
        <v>1155.0</v>
      </c>
      <c r="H89" s="92" t="s">
        <v>1648</v>
      </c>
      <c r="I89" s="26">
        <v>66.0</v>
      </c>
      <c r="J89" s="28"/>
    </row>
    <row r="90" ht="22.5" customHeight="1">
      <c r="A90" s="76" t="s">
        <v>1649</v>
      </c>
      <c r="B90" s="85" t="s">
        <v>1451</v>
      </c>
      <c r="C90" s="88" t="s">
        <v>1642</v>
      </c>
      <c r="D90" s="88" t="s">
        <v>1643</v>
      </c>
      <c r="E90" s="88" t="s">
        <v>497</v>
      </c>
      <c r="F90" s="88">
        <v>6.4</v>
      </c>
      <c r="G90" s="90">
        <v>1700.0</v>
      </c>
      <c r="H90" s="92" t="s">
        <v>1650</v>
      </c>
      <c r="I90" s="26">
        <v>30.0</v>
      </c>
      <c r="J90" s="28"/>
    </row>
    <row r="91" ht="22.5" customHeight="1">
      <c r="A91" s="76" t="s">
        <v>1651</v>
      </c>
      <c r="B91" s="85" t="s">
        <v>1451</v>
      </c>
      <c r="C91" s="88" t="s">
        <v>1642</v>
      </c>
      <c r="D91" s="88" t="s">
        <v>1643</v>
      </c>
      <c r="E91" s="88" t="s">
        <v>1460</v>
      </c>
      <c r="F91" s="88">
        <v>6.4</v>
      </c>
      <c r="G91" s="88">
        <v>1111.42</v>
      </c>
      <c r="H91" s="92" t="s">
        <v>1652</v>
      </c>
      <c r="I91" s="28"/>
      <c r="J91" s="28"/>
    </row>
    <row r="92" ht="22.5" customHeight="1">
      <c r="A92" s="76" t="s">
        <v>1653</v>
      </c>
      <c r="B92" s="85" t="s">
        <v>1451</v>
      </c>
      <c r="C92" s="88" t="s">
        <v>1654</v>
      </c>
      <c r="D92" s="88" t="s">
        <v>1655</v>
      </c>
      <c r="E92" s="88" t="s">
        <v>105</v>
      </c>
      <c r="F92" s="88">
        <v>6.4</v>
      </c>
      <c r="G92" s="90">
        <v>1235.0</v>
      </c>
      <c r="H92" s="92" t="s">
        <v>1656</v>
      </c>
      <c r="I92" s="28"/>
      <c r="J92" s="28"/>
    </row>
    <row r="93" ht="22.5" customHeight="1">
      <c r="A93" s="76" t="s">
        <v>1657</v>
      </c>
      <c r="B93" s="85" t="s">
        <v>1451</v>
      </c>
      <c r="C93" s="88" t="s">
        <v>1654</v>
      </c>
      <c r="D93" s="88" t="s">
        <v>1655</v>
      </c>
      <c r="E93" s="88" t="s">
        <v>103</v>
      </c>
      <c r="F93" s="88">
        <v>6.4</v>
      </c>
      <c r="G93" s="90">
        <v>1235.0</v>
      </c>
      <c r="H93" s="92" t="s">
        <v>1656</v>
      </c>
      <c r="I93" s="28"/>
      <c r="J93" s="28"/>
    </row>
    <row r="94" ht="22.5" customHeight="1">
      <c r="A94" s="76" t="s">
        <v>1658</v>
      </c>
      <c r="B94" s="85" t="s">
        <v>1451</v>
      </c>
      <c r="C94" s="88" t="s">
        <v>1654</v>
      </c>
      <c r="D94" s="88" t="s">
        <v>1655</v>
      </c>
      <c r="E94" s="88" t="s">
        <v>1457</v>
      </c>
      <c r="F94" s="88">
        <v>6.4</v>
      </c>
      <c r="G94" s="90">
        <v>1345.0</v>
      </c>
      <c r="H94" s="92" t="s">
        <v>1656</v>
      </c>
      <c r="I94" s="28"/>
      <c r="J94" s="28"/>
    </row>
    <row r="95" ht="22.5" customHeight="1">
      <c r="A95" s="76" t="s">
        <v>1659</v>
      </c>
      <c r="B95" s="85" t="s">
        <v>1451</v>
      </c>
      <c r="C95" s="88" t="s">
        <v>1654</v>
      </c>
      <c r="D95" s="88" t="s">
        <v>1655</v>
      </c>
      <c r="E95" s="88" t="s">
        <v>497</v>
      </c>
      <c r="F95" s="88">
        <v>6.4</v>
      </c>
      <c r="G95" s="91"/>
      <c r="H95" s="92" t="s">
        <v>1656</v>
      </c>
      <c r="I95" s="28"/>
      <c r="J95" s="28"/>
    </row>
    <row r="96" ht="22.5" customHeight="1">
      <c r="A96" s="76" t="s">
        <v>1660</v>
      </c>
      <c r="B96" s="85" t="s">
        <v>1451</v>
      </c>
      <c r="C96" s="88" t="s">
        <v>1654</v>
      </c>
      <c r="D96" s="88" t="s">
        <v>1655</v>
      </c>
      <c r="E96" s="88" t="s">
        <v>1460</v>
      </c>
      <c r="F96" s="88">
        <v>6.4</v>
      </c>
      <c r="G96" s="91"/>
      <c r="H96" s="92" t="s">
        <v>1656</v>
      </c>
      <c r="I96" s="28"/>
      <c r="J96" s="28"/>
    </row>
    <row r="97" ht="22.5" customHeight="1">
      <c r="A97" s="76" t="s">
        <v>1661</v>
      </c>
      <c r="B97" s="85" t="s">
        <v>1451</v>
      </c>
      <c r="C97" s="88" t="s">
        <v>1662</v>
      </c>
      <c r="D97" s="88" t="s">
        <v>1663</v>
      </c>
      <c r="E97" s="88" t="s">
        <v>105</v>
      </c>
      <c r="F97" s="88">
        <v>6.4</v>
      </c>
      <c r="G97" s="90">
        <v>1030.0</v>
      </c>
      <c r="H97" s="92" t="s">
        <v>1664</v>
      </c>
      <c r="I97" s="26"/>
      <c r="J97" s="28"/>
    </row>
    <row r="98" ht="22.5" customHeight="1">
      <c r="A98" s="76" t="s">
        <v>1665</v>
      </c>
      <c r="B98" s="85" t="s">
        <v>1451</v>
      </c>
      <c r="C98" s="88" t="s">
        <v>1662</v>
      </c>
      <c r="D98" s="88" t="s">
        <v>1663</v>
      </c>
      <c r="E98" s="88" t="s">
        <v>103</v>
      </c>
      <c r="F98" s="88">
        <v>6.4</v>
      </c>
      <c r="G98" s="90">
        <v>1030.0</v>
      </c>
      <c r="H98" s="92" t="s">
        <v>1664</v>
      </c>
      <c r="I98" s="28"/>
      <c r="J98" s="28"/>
    </row>
    <row r="99" ht="22.5" customHeight="1">
      <c r="A99" s="76" t="s">
        <v>1666</v>
      </c>
      <c r="B99" s="85" t="s">
        <v>1451</v>
      </c>
      <c r="C99" s="88" t="s">
        <v>1662</v>
      </c>
      <c r="D99" s="88" t="s">
        <v>1663</v>
      </c>
      <c r="E99" s="88" t="s">
        <v>1457</v>
      </c>
      <c r="F99" s="88">
        <v>6.4</v>
      </c>
      <c r="G99" s="90">
        <v>1120.0</v>
      </c>
      <c r="H99" s="92" t="s">
        <v>1664</v>
      </c>
      <c r="I99" s="28"/>
      <c r="J99" s="28"/>
    </row>
    <row r="100" ht="22.5" customHeight="1">
      <c r="A100" s="76" t="s">
        <v>1667</v>
      </c>
      <c r="B100" s="85" t="s">
        <v>1451</v>
      </c>
      <c r="C100" s="88" t="s">
        <v>1662</v>
      </c>
      <c r="D100" s="88" t="s">
        <v>1663</v>
      </c>
      <c r="E100" s="88" t="s">
        <v>497</v>
      </c>
      <c r="F100" s="88">
        <v>6.4</v>
      </c>
      <c r="G100" s="91"/>
      <c r="H100" s="92" t="s">
        <v>1664</v>
      </c>
      <c r="I100" s="28"/>
      <c r="J100" s="28"/>
    </row>
    <row r="101" ht="22.5" customHeight="1">
      <c r="A101" s="76" t="s">
        <v>1668</v>
      </c>
      <c r="B101" s="85" t="s">
        <v>1451</v>
      </c>
      <c r="C101" s="88" t="s">
        <v>1662</v>
      </c>
      <c r="D101" s="88" t="s">
        <v>1663</v>
      </c>
      <c r="E101" s="88" t="s">
        <v>1460</v>
      </c>
      <c r="F101" s="88">
        <v>6.4</v>
      </c>
      <c r="G101" s="91"/>
      <c r="H101" s="92" t="s">
        <v>1669</v>
      </c>
      <c r="I101" s="28"/>
      <c r="J101" s="28"/>
    </row>
    <row r="102" ht="22.5" customHeight="1">
      <c r="A102" s="76" t="s">
        <v>1670</v>
      </c>
      <c r="B102" s="85" t="s">
        <v>1451</v>
      </c>
      <c r="C102" s="88" t="s">
        <v>1671</v>
      </c>
      <c r="D102" s="88" t="s">
        <v>1672</v>
      </c>
      <c r="E102" s="88" t="s">
        <v>105</v>
      </c>
      <c r="F102" s="88">
        <v>6.4</v>
      </c>
      <c r="G102" s="88">
        <v>305.0</v>
      </c>
      <c r="H102" s="92" t="s">
        <v>1673</v>
      </c>
      <c r="I102" s="26">
        <v>30.0</v>
      </c>
      <c r="J102" s="28"/>
    </row>
    <row r="103" ht="22.5" customHeight="1">
      <c r="A103" s="76" t="s">
        <v>1674</v>
      </c>
      <c r="B103" s="85" t="s">
        <v>1451</v>
      </c>
      <c r="C103" s="88" t="s">
        <v>1671</v>
      </c>
      <c r="D103" s="88" t="s">
        <v>1672</v>
      </c>
      <c r="E103" s="88" t="s">
        <v>103</v>
      </c>
      <c r="F103" s="88">
        <v>6.4</v>
      </c>
      <c r="G103" s="88">
        <v>305.0</v>
      </c>
      <c r="H103" s="92" t="s">
        <v>1675</v>
      </c>
      <c r="I103" s="26">
        <v>31.0</v>
      </c>
      <c r="J103" s="28"/>
    </row>
    <row r="104" ht="22.5" customHeight="1">
      <c r="A104" s="76" t="s">
        <v>1676</v>
      </c>
      <c r="B104" s="85" t="s">
        <v>1451</v>
      </c>
      <c r="C104" s="88" t="s">
        <v>1671</v>
      </c>
      <c r="D104" s="88" t="s">
        <v>1672</v>
      </c>
      <c r="E104" s="88" t="s">
        <v>1457</v>
      </c>
      <c r="F104" s="88">
        <v>6.4</v>
      </c>
      <c r="G104" s="88">
        <v>330.0</v>
      </c>
      <c r="H104" s="92" t="s">
        <v>1677</v>
      </c>
      <c r="I104" s="26">
        <v>32.0</v>
      </c>
      <c r="J104" s="28"/>
    </row>
    <row r="105" ht="22.5" customHeight="1">
      <c r="A105" s="76" t="s">
        <v>1678</v>
      </c>
      <c r="B105" s="85" t="s">
        <v>1451</v>
      </c>
      <c r="C105" s="88" t="s">
        <v>1671</v>
      </c>
      <c r="D105" s="88" t="s">
        <v>1672</v>
      </c>
      <c r="E105" s="88" t="s">
        <v>497</v>
      </c>
      <c r="F105" s="88">
        <v>6.4</v>
      </c>
      <c r="G105" s="88">
        <v>485.0</v>
      </c>
      <c r="H105" s="92" t="s">
        <v>1679</v>
      </c>
      <c r="I105" s="26">
        <v>32.0</v>
      </c>
      <c r="J105" s="28"/>
    </row>
    <row r="106" ht="22.5" customHeight="1">
      <c r="A106" s="76" t="s">
        <v>1680</v>
      </c>
      <c r="B106" s="85" t="s">
        <v>1451</v>
      </c>
      <c r="C106" s="88" t="s">
        <v>1671</v>
      </c>
      <c r="D106" s="88" t="s">
        <v>1672</v>
      </c>
      <c r="E106" s="88" t="s">
        <v>1460</v>
      </c>
      <c r="F106" s="88">
        <v>6.4</v>
      </c>
      <c r="G106" s="88">
        <v>320.0</v>
      </c>
      <c r="H106" s="92" t="s">
        <v>1681</v>
      </c>
      <c r="I106" s="28"/>
      <c r="J106" s="28"/>
    </row>
    <row r="107" ht="22.5" customHeight="1">
      <c r="A107" s="76" t="s">
        <v>1682</v>
      </c>
      <c r="B107" s="85" t="s">
        <v>1451</v>
      </c>
      <c r="C107" s="88" t="s">
        <v>1683</v>
      </c>
      <c r="D107" s="88" t="s">
        <v>1684</v>
      </c>
      <c r="E107" s="88" t="s">
        <v>105</v>
      </c>
      <c r="F107" s="88">
        <v>6.4</v>
      </c>
      <c r="G107" s="95">
        <v>2105.0</v>
      </c>
      <c r="H107" s="92" t="s">
        <v>1685</v>
      </c>
      <c r="I107" s="28"/>
      <c r="J107" s="28"/>
    </row>
    <row r="108" ht="22.5" customHeight="1">
      <c r="A108" s="76" t="s">
        <v>1686</v>
      </c>
      <c r="B108" s="85" t="s">
        <v>1451</v>
      </c>
      <c r="C108" s="88" t="s">
        <v>1683</v>
      </c>
      <c r="D108" s="88" t="s">
        <v>1684</v>
      </c>
      <c r="E108" s="88" t="s">
        <v>103</v>
      </c>
      <c r="F108" s="88">
        <v>6.4</v>
      </c>
      <c r="G108" s="95">
        <v>2105.0</v>
      </c>
      <c r="H108" s="92" t="s">
        <v>1687</v>
      </c>
      <c r="I108" s="28"/>
      <c r="J108" s="28"/>
    </row>
    <row r="109" ht="22.5" customHeight="1">
      <c r="A109" s="76" t="s">
        <v>1688</v>
      </c>
      <c r="B109" s="85" t="s">
        <v>1451</v>
      </c>
      <c r="C109" s="88" t="s">
        <v>1683</v>
      </c>
      <c r="D109" s="88" t="s">
        <v>1684</v>
      </c>
      <c r="E109" s="88" t="s">
        <v>1457</v>
      </c>
      <c r="F109" s="88">
        <v>6.4</v>
      </c>
      <c r="G109" s="95">
        <v>2290.0</v>
      </c>
      <c r="H109" s="92" t="s">
        <v>1689</v>
      </c>
      <c r="I109" s="28"/>
      <c r="J109" s="28"/>
    </row>
    <row r="110" ht="22.5" customHeight="1">
      <c r="A110" s="76" t="s">
        <v>1690</v>
      </c>
      <c r="B110" s="85" t="s">
        <v>1451</v>
      </c>
      <c r="C110" s="88" t="s">
        <v>1683</v>
      </c>
      <c r="D110" s="88" t="s">
        <v>1684</v>
      </c>
      <c r="E110" s="88" t="s">
        <v>497</v>
      </c>
      <c r="F110" s="88">
        <v>6.4</v>
      </c>
      <c r="G110" s="95">
        <v>3590.0</v>
      </c>
      <c r="H110" s="92" t="s">
        <v>1691</v>
      </c>
      <c r="I110" s="28"/>
      <c r="J110" s="28"/>
    </row>
    <row r="111" ht="22.5" customHeight="1">
      <c r="A111" s="76" t="s">
        <v>1692</v>
      </c>
      <c r="B111" s="85" t="s">
        <v>1451</v>
      </c>
      <c r="C111" s="88" t="s">
        <v>1683</v>
      </c>
      <c r="D111" s="88" t="s">
        <v>1684</v>
      </c>
      <c r="E111" s="88" t="s">
        <v>1460</v>
      </c>
      <c r="F111" s="88">
        <v>6.4</v>
      </c>
      <c r="G111" s="93"/>
      <c r="H111" s="92" t="s">
        <v>1693</v>
      </c>
      <c r="I111" s="28"/>
      <c r="J111" s="28"/>
    </row>
    <row r="112" ht="22.5" customHeight="1">
      <c r="A112" s="76" t="s">
        <v>1694</v>
      </c>
      <c r="B112" s="85" t="s">
        <v>1451</v>
      </c>
      <c r="C112" s="88" t="s">
        <v>1695</v>
      </c>
      <c r="D112" s="88" t="s">
        <v>1696</v>
      </c>
      <c r="E112" s="88" t="s">
        <v>105</v>
      </c>
      <c r="F112" s="88">
        <v>6.4</v>
      </c>
      <c r="G112" s="88">
        <v>320.0</v>
      </c>
      <c r="H112" s="92" t="s">
        <v>1697</v>
      </c>
      <c r="I112" s="28"/>
      <c r="J112" s="28"/>
    </row>
    <row r="113" ht="22.5" customHeight="1">
      <c r="A113" s="76" t="s">
        <v>1698</v>
      </c>
      <c r="B113" s="85" t="s">
        <v>1451</v>
      </c>
      <c r="C113" s="88" t="s">
        <v>1695</v>
      </c>
      <c r="D113" s="88" t="s">
        <v>1696</v>
      </c>
      <c r="E113" s="88" t="s">
        <v>103</v>
      </c>
      <c r="F113" s="88">
        <v>6.4</v>
      </c>
      <c r="G113" s="96">
        <v>320.0</v>
      </c>
      <c r="H113" s="92" t="s">
        <v>1699</v>
      </c>
      <c r="I113" s="28"/>
      <c r="J113" s="28"/>
    </row>
    <row r="114" ht="22.5" customHeight="1">
      <c r="A114" s="76" t="s">
        <v>1700</v>
      </c>
      <c r="B114" s="85" t="s">
        <v>1451</v>
      </c>
      <c r="C114" s="88" t="s">
        <v>1695</v>
      </c>
      <c r="D114" s="88" t="s">
        <v>1696</v>
      </c>
      <c r="E114" s="88" t="s">
        <v>1457</v>
      </c>
      <c r="F114" s="88">
        <v>6.4</v>
      </c>
      <c r="G114" s="88">
        <v>345.0</v>
      </c>
      <c r="H114" s="92" t="s">
        <v>1701</v>
      </c>
      <c r="I114" s="28"/>
      <c r="J114" s="28"/>
    </row>
    <row r="115" ht="22.5" customHeight="1">
      <c r="A115" s="76" t="s">
        <v>1702</v>
      </c>
      <c r="B115" s="85" t="s">
        <v>1451</v>
      </c>
      <c r="C115" s="88" t="s">
        <v>1695</v>
      </c>
      <c r="D115" s="88" t="s">
        <v>1696</v>
      </c>
      <c r="E115" s="88" t="s">
        <v>497</v>
      </c>
      <c r="F115" s="88">
        <v>6.4</v>
      </c>
      <c r="G115" s="88">
        <v>550.0</v>
      </c>
      <c r="H115" s="92" t="s">
        <v>1703</v>
      </c>
      <c r="I115" s="28"/>
      <c r="J115" s="28"/>
    </row>
    <row r="116" ht="22.5" customHeight="1">
      <c r="A116" s="76" t="s">
        <v>1704</v>
      </c>
      <c r="B116" s="85" t="s">
        <v>1451</v>
      </c>
      <c r="C116" s="88" t="s">
        <v>1695</v>
      </c>
      <c r="D116" s="88" t="s">
        <v>1696</v>
      </c>
      <c r="E116" s="88" t="s">
        <v>1460</v>
      </c>
      <c r="F116" s="88">
        <v>6.4</v>
      </c>
      <c r="G116" s="93"/>
      <c r="H116" s="92" t="s">
        <v>1705</v>
      </c>
      <c r="I116" s="28"/>
      <c r="J116" s="28"/>
    </row>
    <row r="117" ht="22.5" customHeight="1">
      <c r="A117" s="76" t="s">
        <v>1706</v>
      </c>
      <c r="B117" s="85" t="s">
        <v>1451</v>
      </c>
      <c r="C117" s="88" t="s">
        <v>1707</v>
      </c>
      <c r="D117" s="88" t="s">
        <v>1708</v>
      </c>
      <c r="E117" s="88" t="s">
        <v>105</v>
      </c>
      <c r="F117" s="88">
        <v>6.4</v>
      </c>
      <c r="G117" s="90">
        <v>1455.0</v>
      </c>
      <c r="H117" s="92" t="s">
        <v>1709</v>
      </c>
      <c r="I117" s="28"/>
      <c r="J117" s="28"/>
    </row>
    <row r="118" ht="22.5" customHeight="1">
      <c r="A118" s="76" t="s">
        <v>1710</v>
      </c>
      <c r="B118" s="85" t="s">
        <v>1451</v>
      </c>
      <c r="C118" s="88" t="s">
        <v>1707</v>
      </c>
      <c r="D118" s="88" t="s">
        <v>1708</v>
      </c>
      <c r="E118" s="88" t="s">
        <v>103</v>
      </c>
      <c r="F118" s="88">
        <v>6.4</v>
      </c>
      <c r="G118" s="90">
        <v>1455.0</v>
      </c>
      <c r="H118" s="92" t="s">
        <v>1711</v>
      </c>
      <c r="I118" s="28"/>
      <c r="J118" s="28"/>
    </row>
    <row r="119" ht="22.5" customHeight="1">
      <c r="A119" s="76" t="s">
        <v>1712</v>
      </c>
      <c r="B119" s="85" t="s">
        <v>1451</v>
      </c>
      <c r="C119" s="88" t="s">
        <v>1707</v>
      </c>
      <c r="D119" s="88" t="s">
        <v>1708</v>
      </c>
      <c r="E119" s="88" t="s">
        <v>1457</v>
      </c>
      <c r="F119" s="88">
        <v>6.4</v>
      </c>
      <c r="G119" s="90">
        <v>1585.0</v>
      </c>
      <c r="H119" s="92" t="s">
        <v>1713</v>
      </c>
      <c r="I119" s="28"/>
      <c r="J119" s="28"/>
    </row>
    <row r="120" ht="22.5" customHeight="1">
      <c r="A120" s="76" t="s">
        <v>1714</v>
      </c>
      <c r="B120" s="85" t="s">
        <v>1451</v>
      </c>
      <c r="C120" s="88" t="s">
        <v>1707</v>
      </c>
      <c r="D120" s="88" t="s">
        <v>1708</v>
      </c>
      <c r="E120" s="88" t="s">
        <v>497</v>
      </c>
      <c r="F120" s="88">
        <v>6.4</v>
      </c>
      <c r="G120" s="90">
        <v>2505.0</v>
      </c>
      <c r="H120" s="92" t="s">
        <v>1715</v>
      </c>
      <c r="I120" s="28"/>
      <c r="J120" s="28"/>
    </row>
    <row r="121" ht="22.5" customHeight="1">
      <c r="A121" s="76" t="s">
        <v>1716</v>
      </c>
      <c r="B121" s="85" t="s">
        <v>1451</v>
      </c>
      <c r="C121" s="88" t="s">
        <v>1707</v>
      </c>
      <c r="D121" s="88" t="s">
        <v>1708</v>
      </c>
      <c r="E121" s="88" t="s">
        <v>1460</v>
      </c>
      <c r="F121" s="88">
        <v>6.4</v>
      </c>
      <c r="G121" s="93"/>
      <c r="H121" s="92" t="s">
        <v>1717</v>
      </c>
      <c r="I121" s="28"/>
      <c r="J121" s="28"/>
    </row>
    <row r="122" ht="22.5" customHeight="1">
      <c r="A122" s="76" t="s">
        <v>1718</v>
      </c>
      <c r="B122" s="85" t="s">
        <v>1451</v>
      </c>
      <c r="C122" s="88" t="s">
        <v>1719</v>
      </c>
      <c r="D122" s="88" t="s">
        <v>1720</v>
      </c>
      <c r="E122" s="88" t="s">
        <v>105</v>
      </c>
      <c r="F122" s="88">
        <v>6.4</v>
      </c>
      <c r="G122" s="88">
        <v>570.0</v>
      </c>
      <c r="H122" s="92" t="s">
        <v>1721</v>
      </c>
      <c r="I122" s="28"/>
      <c r="J122" s="28"/>
    </row>
    <row r="123" ht="22.5" customHeight="1">
      <c r="A123" s="76" t="s">
        <v>1722</v>
      </c>
      <c r="B123" s="85" t="s">
        <v>1451</v>
      </c>
      <c r="C123" s="88" t="s">
        <v>1719</v>
      </c>
      <c r="D123" s="88" t="s">
        <v>1720</v>
      </c>
      <c r="E123" s="88" t="s">
        <v>103</v>
      </c>
      <c r="F123" s="88">
        <v>6.4</v>
      </c>
      <c r="G123" s="88">
        <v>570.0</v>
      </c>
      <c r="H123" s="92" t="s">
        <v>1723</v>
      </c>
      <c r="I123" s="28"/>
      <c r="J123" s="28"/>
    </row>
    <row r="124" ht="22.5" customHeight="1">
      <c r="A124" s="76" t="s">
        <v>1724</v>
      </c>
      <c r="B124" s="85" t="s">
        <v>1451</v>
      </c>
      <c r="C124" s="88" t="s">
        <v>1719</v>
      </c>
      <c r="D124" s="88" t="s">
        <v>1720</v>
      </c>
      <c r="E124" s="88" t="s">
        <v>1457</v>
      </c>
      <c r="F124" s="88">
        <v>6.4</v>
      </c>
      <c r="G124" s="88">
        <v>620.0</v>
      </c>
      <c r="H124" s="92" t="s">
        <v>1725</v>
      </c>
      <c r="I124" s="28"/>
      <c r="J124" s="28"/>
    </row>
    <row r="125" ht="22.5" customHeight="1">
      <c r="A125" s="76" t="s">
        <v>1726</v>
      </c>
      <c r="B125" s="85" t="s">
        <v>1451</v>
      </c>
      <c r="C125" s="88" t="s">
        <v>1719</v>
      </c>
      <c r="D125" s="88" t="s">
        <v>1720</v>
      </c>
      <c r="E125" s="88" t="s">
        <v>497</v>
      </c>
      <c r="F125" s="88">
        <v>6.4</v>
      </c>
      <c r="G125" s="88">
        <v>965.0</v>
      </c>
      <c r="H125" s="92" t="s">
        <v>1727</v>
      </c>
      <c r="I125" s="28"/>
      <c r="J125" s="28"/>
    </row>
    <row r="126" ht="22.5" customHeight="1">
      <c r="A126" s="76" t="s">
        <v>1728</v>
      </c>
      <c r="B126" s="85" t="s">
        <v>1451</v>
      </c>
      <c r="C126" s="88" t="s">
        <v>1719</v>
      </c>
      <c r="D126" s="88" t="s">
        <v>1720</v>
      </c>
      <c r="E126" s="88" t="s">
        <v>1460</v>
      </c>
      <c r="F126" s="88">
        <v>6.4</v>
      </c>
      <c r="G126" s="93"/>
      <c r="H126" s="92" t="s">
        <v>1729</v>
      </c>
      <c r="I126" s="28"/>
      <c r="J126" s="28"/>
    </row>
    <row r="127" ht="22.5" customHeight="1">
      <c r="A127" s="76" t="s">
        <v>1730</v>
      </c>
      <c r="B127" s="85" t="s">
        <v>1451</v>
      </c>
      <c r="C127" s="88" t="s">
        <v>1731</v>
      </c>
      <c r="D127" s="88" t="s">
        <v>1732</v>
      </c>
      <c r="E127" s="88" t="s">
        <v>105</v>
      </c>
      <c r="F127" s="88">
        <v>6.4</v>
      </c>
      <c r="G127" s="90">
        <v>1095.0</v>
      </c>
      <c r="H127" s="92" t="s">
        <v>1733</v>
      </c>
      <c r="I127" s="28"/>
      <c r="J127" s="28"/>
    </row>
    <row r="128" ht="22.5" customHeight="1">
      <c r="A128" s="76" t="s">
        <v>1734</v>
      </c>
      <c r="B128" s="85" t="s">
        <v>1451</v>
      </c>
      <c r="C128" s="88" t="s">
        <v>1731</v>
      </c>
      <c r="D128" s="88" t="s">
        <v>1732</v>
      </c>
      <c r="E128" s="88" t="s">
        <v>103</v>
      </c>
      <c r="F128" s="88">
        <v>6.4</v>
      </c>
      <c r="G128" s="90">
        <v>1000.0</v>
      </c>
      <c r="H128" s="92" t="s">
        <v>1735</v>
      </c>
      <c r="I128" s="28"/>
      <c r="J128" s="28"/>
    </row>
    <row r="129" ht="22.5" customHeight="1">
      <c r="A129" s="76" t="s">
        <v>1736</v>
      </c>
      <c r="B129" s="85" t="s">
        <v>1451</v>
      </c>
      <c r="C129" s="88" t="s">
        <v>1731</v>
      </c>
      <c r="D129" s="88" t="s">
        <v>1732</v>
      </c>
      <c r="E129" s="88" t="s">
        <v>1457</v>
      </c>
      <c r="F129" s="88">
        <v>6.4</v>
      </c>
      <c r="G129" s="90">
        <v>1085.0</v>
      </c>
      <c r="H129" s="92" t="s">
        <v>1737</v>
      </c>
      <c r="I129" s="28"/>
      <c r="J129" s="28"/>
    </row>
    <row r="130" ht="22.5" customHeight="1">
      <c r="A130" s="76" t="s">
        <v>1738</v>
      </c>
      <c r="B130" s="85" t="s">
        <v>1451</v>
      </c>
      <c r="C130" s="88" t="s">
        <v>1731</v>
      </c>
      <c r="D130" s="88" t="s">
        <v>1732</v>
      </c>
      <c r="E130" s="88" t="s">
        <v>497</v>
      </c>
      <c r="F130" s="88">
        <v>6.4</v>
      </c>
      <c r="G130" s="90">
        <v>1745.0</v>
      </c>
      <c r="H130" s="92" t="s">
        <v>1739</v>
      </c>
      <c r="I130" s="28"/>
      <c r="J130" s="28"/>
    </row>
    <row r="131" ht="22.5" customHeight="1">
      <c r="A131" s="76" t="s">
        <v>1740</v>
      </c>
      <c r="B131" s="85" t="s">
        <v>1451</v>
      </c>
      <c r="C131" s="88" t="s">
        <v>1731</v>
      </c>
      <c r="D131" s="88" t="s">
        <v>1732</v>
      </c>
      <c r="E131" s="88" t="s">
        <v>1460</v>
      </c>
      <c r="F131" s="88">
        <v>6.4</v>
      </c>
      <c r="G131" s="93"/>
      <c r="H131" s="92" t="s">
        <v>1741</v>
      </c>
      <c r="I131" s="28"/>
      <c r="J131" s="28"/>
    </row>
    <row r="132" ht="22.5" customHeight="1">
      <c r="A132" s="76" t="s">
        <v>1742</v>
      </c>
      <c r="B132" s="85" t="s">
        <v>1451</v>
      </c>
      <c r="C132" s="88" t="s">
        <v>1743</v>
      </c>
      <c r="D132" s="88" t="s">
        <v>1744</v>
      </c>
      <c r="E132" s="88" t="s">
        <v>105</v>
      </c>
      <c r="F132" s="88">
        <v>6.4</v>
      </c>
      <c r="G132" s="88">
        <v>280.0</v>
      </c>
      <c r="H132" s="92" t="s">
        <v>1745</v>
      </c>
      <c r="I132" s="28"/>
      <c r="J132" s="28"/>
    </row>
    <row r="133" ht="22.5" customHeight="1">
      <c r="A133" s="76" t="s">
        <v>1746</v>
      </c>
      <c r="B133" s="85" t="s">
        <v>1451</v>
      </c>
      <c r="C133" s="88" t="s">
        <v>1743</v>
      </c>
      <c r="D133" s="88" t="s">
        <v>1744</v>
      </c>
      <c r="E133" s="88" t="s">
        <v>103</v>
      </c>
      <c r="F133" s="88">
        <v>6.4</v>
      </c>
      <c r="G133" s="88">
        <v>280.0</v>
      </c>
      <c r="H133" s="92" t="s">
        <v>1747</v>
      </c>
      <c r="I133" s="28"/>
      <c r="J133" s="28"/>
    </row>
    <row r="134" ht="22.5" customHeight="1">
      <c r="A134" s="76" t="s">
        <v>1748</v>
      </c>
      <c r="B134" s="85" t="s">
        <v>1451</v>
      </c>
      <c r="C134" s="88" t="s">
        <v>1743</v>
      </c>
      <c r="D134" s="88" t="s">
        <v>1744</v>
      </c>
      <c r="E134" s="88" t="s">
        <v>1457</v>
      </c>
      <c r="F134" s="88">
        <v>6.4</v>
      </c>
      <c r="G134" s="88">
        <v>305.0</v>
      </c>
      <c r="H134" s="92" t="s">
        <v>1749</v>
      </c>
      <c r="I134" s="28"/>
      <c r="J134" s="28"/>
    </row>
    <row r="135" ht="22.5" customHeight="1">
      <c r="A135" s="76" t="s">
        <v>1750</v>
      </c>
      <c r="B135" s="85" t="s">
        <v>1451</v>
      </c>
      <c r="C135" s="88" t="s">
        <v>1743</v>
      </c>
      <c r="D135" s="88" t="s">
        <v>1744</v>
      </c>
      <c r="E135" s="88" t="s">
        <v>497</v>
      </c>
      <c r="F135" s="88">
        <v>6.4</v>
      </c>
      <c r="G135" s="88">
        <v>500.0</v>
      </c>
      <c r="H135" s="92" t="s">
        <v>1751</v>
      </c>
      <c r="I135" s="28"/>
      <c r="J135" s="28"/>
    </row>
    <row r="136" ht="22.5" customHeight="1">
      <c r="A136" s="76" t="s">
        <v>1752</v>
      </c>
      <c r="B136" s="85" t="s">
        <v>1451</v>
      </c>
      <c r="C136" s="88" t="s">
        <v>1743</v>
      </c>
      <c r="D136" s="88" t="s">
        <v>1744</v>
      </c>
      <c r="E136" s="88" t="s">
        <v>1460</v>
      </c>
      <c r="F136" s="88">
        <v>6.4</v>
      </c>
      <c r="G136" s="93"/>
      <c r="H136" s="92" t="s">
        <v>1753</v>
      </c>
      <c r="I136" s="28"/>
      <c r="J136" s="28"/>
    </row>
    <row r="137" ht="22.5" customHeight="1">
      <c r="A137" s="76" t="s">
        <v>1754</v>
      </c>
      <c r="B137" s="85" t="s">
        <v>1451</v>
      </c>
      <c r="C137" s="88" t="s">
        <v>1755</v>
      </c>
      <c r="D137" s="88" t="s">
        <v>1756</v>
      </c>
      <c r="E137" s="88" t="s">
        <v>105</v>
      </c>
      <c r="F137" s="88">
        <v>6.4</v>
      </c>
      <c r="G137" s="90">
        <v>1210.0</v>
      </c>
      <c r="H137" s="92" t="s">
        <v>1757</v>
      </c>
      <c r="I137" s="28"/>
      <c r="J137" s="28"/>
    </row>
    <row r="138" ht="22.5" customHeight="1">
      <c r="A138" s="76" t="s">
        <v>1758</v>
      </c>
      <c r="B138" s="85" t="s">
        <v>1451</v>
      </c>
      <c r="C138" s="88" t="s">
        <v>1755</v>
      </c>
      <c r="D138" s="88" t="s">
        <v>1756</v>
      </c>
      <c r="E138" s="88" t="s">
        <v>103</v>
      </c>
      <c r="F138" s="88">
        <v>6.4</v>
      </c>
      <c r="G138" s="90">
        <v>1210.0</v>
      </c>
      <c r="H138" s="92" t="s">
        <v>1759</v>
      </c>
      <c r="I138" s="28"/>
      <c r="J138" s="28"/>
    </row>
    <row r="139" ht="22.5" customHeight="1">
      <c r="A139" s="76" t="s">
        <v>1760</v>
      </c>
      <c r="B139" s="85" t="s">
        <v>1451</v>
      </c>
      <c r="C139" s="88" t="s">
        <v>1755</v>
      </c>
      <c r="D139" s="88" t="s">
        <v>1756</v>
      </c>
      <c r="E139" s="88" t="s">
        <v>1457</v>
      </c>
      <c r="F139" s="88">
        <v>6.4</v>
      </c>
      <c r="G139" s="90">
        <v>1320.0</v>
      </c>
      <c r="H139" s="92" t="s">
        <v>1761</v>
      </c>
      <c r="I139" s="28"/>
      <c r="J139" s="28"/>
    </row>
    <row r="140" ht="22.5" customHeight="1">
      <c r="A140" s="76" t="s">
        <v>1762</v>
      </c>
      <c r="B140" s="85" t="s">
        <v>1451</v>
      </c>
      <c r="C140" s="88" t="s">
        <v>1755</v>
      </c>
      <c r="D140" s="88" t="s">
        <v>1756</v>
      </c>
      <c r="E140" s="88" t="s">
        <v>497</v>
      </c>
      <c r="F140" s="88">
        <v>6.4</v>
      </c>
      <c r="G140" s="90">
        <v>1940.0</v>
      </c>
      <c r="H140" s="92" t="s">
        <v>1763</v>
      </c>
      <c r="I140" s="28"/>
      <c r="J140" s="28"/>
    </row>
    <row r="141" ht="22.5" customHeight="1">
      <c r="A141" s="76" t="s">
        <v>1764</v>
      </c>
      <c r="B141" s="85" t="s">
        <v>1451</v>
      </c>
      <c r="C141" s="88" t="s">
        <v>1755</v>
      </c>
      <c r="D141" s="88" t="s">
        <v>1756</v>
      </c>
      <c r="E141" s="88" t="s">
        <v>1460</v>
      </c>
      <c r="F141" s="88">
        <v>6.4</v>
      </c>
      <c r="G141" s="93"/>
      <c r="H141" s="92" t="s">
        <v>1765</v>
      </c>
      <c r="I141" s="28"/>
      <c r="J141" s="28"/>
    </row>
    <row r="142" ht="22.5" customHeight="1">
      <c r="A142" s="76" t="s">
        <v>1766</v>
      </c>
      <c r="B142" s="85" t="s">
        <v>1451</v>
      </c>
      <c r="C142" s="88" t="s">
        <v>1767</v>
      </c>
      <c r="D142" s="88" t="s">
        <v>1768</v>
      </c>
      <c r="E142" s="88" t="s">
        <v>105</v>
      </c>
      <c r="F142" s="88">
        <v>6.4</v>
      </c>
      <c r="G142" s="88">
        <v>290.0</v>
      </c>
      <c r="H142" s="92" t="s">
        <v>1769</v>
      </c>
      <c r="I142" s="28"/>
      <c r="J142" s="28"/>
    </row>
    <row r="143" ht="22.5" customHeight="1">
      <c r="A143" s="76" t="s">
        <v>1770</v>
      </c>
      <c r="B143" s="85" t="s">
        <v>1451</v>
      </c>
      <c r="C143" s="88" t="s">
        <v>1767</v>
      </c>
      <c r="D143" s="88" t="s">
        <v>1768</v>
      </c>
      <c r="E143" s="88" t="s">
        <v>103</v>
      </c>
      <c r="F143" s="88">
        <v>6.4</v>
      </c>
      <c r="G143" s="88">
        <v>265.0</v>
      </c>
      <c r="H143" s="92" t="s">
        <v>1771</v>
      </c>
      <c r="I143" s="28"/>
      <c r="J143" s="28"/>
    </row>
    <row r="144" ht="22.5" customHeight="1">
      <c r="A144" s="76" t="s">
        <v>1772</v>
      </c>
      <c r="B144" s="85" t="s">
        <v>1451</v>
      </c>
      <c r="C144" s="88" t="s">
        <v>1767</v>
      </c>
      <c r="D144" s="88" t="s">
        <v>1768</v>
      </c>
      <c r="E144" s="88" t="s">
        <v>1457</v>
      </c>
      <c r="F144" s="88">
        <v>6.4</v>
      </c>
      <c r="G144" s="88">
        <v>302.6</v>
      </c>
      <c r="H144" s="92" t="s">
        <v>1773</v>
      </c>
      <c r="I144" s="28"/>
      <c r="J144" s="28"/>
    </row>
    <row r="145" ht="22.5" customHeight="1">
      <c r="A145" s="76" t="s">
        <v>1774</v>
      </c>
      <c r="B145" s="85" t="s">
        <v>1451</v>
      </c>
      <c r="C145" s="88" t="s">
        <v>1767</v>
      </c>
      <c r="D145" s="88" t="s">
        <v>1768</v>
      </c>
      <c r="E145" s="88" t="s">
        <v>497</v>
      </c>
      <c r="F145" s="88">
        <v>6.4</v>
      </c>
      <c r="G145" s="88">
        <v>460.0</v>
      </c>
      <c r="H145" s="92" t="s">
        <v>1775</v>
      </c>
      <c r="I145" s="28"/>
      <c r="J145" s="28"/>
    </row>
    <row r="146" ht="22.5" customHeight="1">
      <c r="A146" s="76" t="s">
        <v>1776</v>
      </c>
      <c r="B146" s="85" t="s">
        <v>1451</v>
      </c>
      <c r="C146" s="88" t="s">
        <v>1767</v>
      </c>
      <c r="D146" s="88" t="s">
        <v>1768</v>
      </c>
      <c r="E146" s="88" t="s">
        <v>1460</v>
      </c>
      <c r="F146" s="88">
        <v>6.4</v>
      </c>
      <c r="G146" s="93"/>
      <c r="H146" s="92" t="s">
        <v>1777</v>
      </c>
      <c r="I146" s="28"/>
      <c r="J146" s="28"/>
    </row>
    <row r="147" ht="22.5" customHeight="1">
      <c r="A147" s="76" t="s">
        <v>1778</v>
      </c>
      <c r="B147" s="85" t="s">
        <v>1451</v>
      </c>
      <c r="C147" s="88" t="s">
        <v>1779</v>
      </c>
      <c r="D147" s="88" t="s">
        <v>1780</v>
      </c>
      <c r="E147" s="88" t="s">
        <v>105</v>
      </c>
      <c r="F147" s="88">
        <v>6.4</v>
      </c>
      <c r="G147" s="88">
        <v>270.0</v>
      </c>
      <c r="H147" s="92" t="s">
        <v>1781</v>
      </c>
      <c r="I147" s="28"/>
      <c r="J147" s="28"/>
    </row>
    <row r="148" ht="22.5" customHeight="1">
      <c r="A148" s="76" t="s">
        <v>1782</v>
      </c>
      <c r="B148" s="85" t="s">
        <v>1451</v>
      </c>
      <c r="C148" s="88" t="s">
        <v>1779</v>
      </c>
      <c r="D148" s="88" t="s">
        <v>1780</v>
      </c>
      <c r="E148" s="88" t="s">
        <v>103</v>
      </c>
      <c r="F148" s="88">
        <v>6.4</v>
      </c>
      <c r="G148" s="88">
        <v>270.0</v>
      </c>
      <c r="H148" s="92" t="s">
        <v>1783</v>
      </c>
      <c r="I148" s="28"/>
      <c r="J148" s="28"/>
    </row>
    <row r="149" ht="22.5" customHeight="1">
      <c r="A149" s="76" t="s">
        <v>1784</v>
      </c>
      <c r="B149" s="85" t="s">
        <v>1451</v>
      </c>
      <c r="C149" s="88" t="s">
        <v>1779</v>
      </c>
      <c r="D149" s="88" t="s">
        <v>1780</v>
      </c>
      <c r="E149" s="88" t="s">
        <v>1457</v>
      </c>
      <c r="F149" s="88">
        <v>6.4</v>
      </c>
      <c r="G149" s="88">
        <v>295.0</v>
      </c>
      <c r="H149" s="92" t="s">
        <v>1785</v>
      </c>
      <c r="I149" s="28"/>
      <c r="J149" s="28"/>
    </row>
    <row r="150" ht="22.5" customHeight="1">
      <c r="A150" s="76" t="s">
        <v>1786</v>
      </c>
      <c r="B150" s="85" t="s">
        <v>1451</v>
      </c>
      <c r="C150" s="88" t="s">
        <v>1779</v>
      </c>
      <c r="D150" s="88" t="s">
        <v>1780</v>
      </c>
      <c r="E150" s="88" t="s">
        <v>497</v>
      </c>
      <c r="F150" s="88">
        <v>6.4</v>
      </c>
      <c r="G150" s="88">
        <v>460.0</v>
      </c>
      <c r="H150" s="92" t="s">
        <v>1787</v>
      </c>
      <c r="I150" s="28"/>
      <c r="J150" s="28"/>
    </row>
    <row r="151" ht="22.5" customHeight="1">
      <c r="A151" s="76" t="s">
        <v>1788</v>
      </c>
      <c r="B151" s="85" t="s">
        <v>1451</v>
      </c>
      <c r="C151" s="88" t="s">
        <v>1779</v>
      </c>
      <c r="D151" s="88" t="s">
        <v>1780</v>
      </c>
      <c r="E151" s="88" t="s">
        <v>1460</v>
      </c>
      <c r="F151" s="88">
        <v>6.4</v>
      </c>
      <c r="G151" s="93"/>
      <c r="H151" s="92" t="s">
        <v>1789</v>
      </c>
      <c r="I151" s="28"/>
      <c r="J151" s="28"/>
    </row>
    <row r="152" ht="22.5" customHeight="1">
      <c r="A152" s="76" t="s">
        <v>1790</v>
      </c>
      <c r="B152" s="85" t="s">
        <v>1451</v>
      </c>
      <c r="C152" s="88" t="s">
        <v>1791</v>
      </c>
      <c r="D152" s="88" t="s">
        <v>1792</v>
      </c>
      <c r="E152" s="88" t="s">
        <v>105</v>
      </c>
      <c r="F152" s="88">
        <v>6.4</v>
      </c>
      <c r="G152" s="88">
        <v>305.0</v>
      </c>
      <c r="H152" s="92" t="s">
        <v>1793</v>
      </c>
      <c r="I152" s="28"/>
      <c r="J152" s="28"/>
    </row>
    <row r="153" ht="22.5" customHeight="1">
      <c r="A153" s="76" t="s">
        <v>1794</v>
      </c>
      <c r="B153" s="85" t="s">
        <v>1451</v>
      </c>
      <c r="C153" s="88" t="s">
        <v>1791</v>
      </c>
      <c r="D153" s="88" t="s">
        <v>1792</v>
      </c>
      <c r="E153" s="88" t="s">
        <v>103</v>
      </c>
      <c r="F153" s="88">
        <v>6.4</v>
      </c>
      <c r="G153" s="88">
        <v>305.0</v>
      </c>
      <c r="H153" s="92" t="s">
        <v>1795</v>
      </c>
      <c r="I153" s="28"/>
      <c r="J153" s="28"/>
    </row>
    <row r="154" ht="22.5" customHeight="1">
      <c r="A154" s="76" t="s">
        <v>1796</v>
      </c>
      <c r="B154" s="85" t="s">
        <v>1451</v>
      </c>
      <c r="C154" s="88" t="s">
        <v>1791</v>
      </c>
      <c r="D154" s="88" t="s">
        <v>1792</v>
      </c>
      <c r="E154" s="88" t="s">
        <v>1457</v>
      </c>
      <c r="F154" s="88">
        <v>6.4</v>
      </c>
      <c r="G154" s="88">
        <v>330.0</v>
      </c>
      <c r="H154" s="92" t="s">
        <v>1797</v>
      </c>
      <c r="I154" s="28"/>
      <c r="J154" s="28"/>
    </row>
    <row r="155" ht="22.5" customHeight="1">
      <c r="A155" s="76" t="s">
        <v>1798</v>
      </c>
      <c r="B155" s="85" t="s">
        <v>1451</v>
      </c>
      <c r="C155" s="88" t="s">
        <v>1791</v>
      </c>
      <c r="D155" s="88" t="s">
        <v>1792</v>
      </c>
      <c r="E155" s="88" t="s">
        <v>497</v>
      </c>
      <c r="F155" s="88">
        <v>6.4</v>
      </c>
      <c r="G155" s="88">
        <v>485.0</v>
      </c>
      <c r="H155" s="92" t="s">
        <v>1799</v>
      </c>
      <c r="I155" s="28"/>
      <c r="J155" s="28"/>
    </row>
    <row r="156" ht="22.5" customHeight="1">
      <c r="A156" s="76" t="s">
        <v>1800</v>
      </c>
      <c r="B156" s="85" t="s">
        <v>1451</v>
      </c>
      <c r="C156" s="88" t="s">
        <v>1791</v>
      </c>
      <c r="D156" s="88" t="s">
        <v>1792</v>
      </c>
      <c r="E156" s="88" t="s">
        <v>1460</v>
      </c>
      <c r="F156" s="88">
        <v>6.4</v>
      </c>
      <c r="G156" s="93"/>
      <c r="H156" s="92" t="s">
        <v>1801</v>
      </c>
      <c r="I156" s="28"/>
      <c r="J156" s="28"/>
    </row>
    <row r="157" ht="22.5" customHeight="1">
      <c r="A157" s="76" t="s">
        <v>1802</v>
      </c>
      <c r="B157" s="85" t="s">
        <v>1451</v>
      </c>
      <c r="C157" s="88" t="s">
        <v>1803</v>
      </c>
      <c r="D157" s="88" t="s">
        <v>1804</v>
      </c>
      <c r="E157" s="88" t="s">
        <v>105</v>
      </c>
      <c r="F157" s="88">
        <v>6.4</v>
      </c>
      <c r="G157" s="88">
        <v>905.0</v>
      </c>
      <c r="H157" s="92" t="s">
        <v>1805</v>
      </c>
      <c r="I157" s="28"/>
      <c r="J157" s="28"/>
    </row>
    <row r="158" ht="22.5" customHeight="1">
      <c r="A158" s="76" t="s">
        <v>1806</v>
      </c>
      <c r="B158" s="85" t="s">
        <v>1451</v>
      </c>
      <c r="C158" s="88" t="s">
        <v>1803</v>
      </c>
      <c r="D158" s="88" t="s">
        <v>1804</v>
      </c>
      <c r="E158" s="88" t="s">
        <v>103</v>
      </c>
      <c r="F158" s="88">
        <v>6.4</v>
      </c>
      <c r="G158" s="88">
        <v>905.0</v>
      </c>
      <c r="H158" s="92" t="s">
        <v>1807</v>
      </c>
      <c r="I158" s="28"/>
      <c r="J158" s="28"/>
    </row>
    <row r="159" ht="22.5" customHeight="1">
      <c r="A159" s="76" t="s">
        <v>1808</v>
      </c>
      <c r="B159" s="85" t="s">
        <v>1451</v>
      </c>
      <c r="C159" s="88" t="s">
        <v>1803</v>
      </c>
      <c r="D159" s="88" t="s">
        <v>1804</v>
      </c>
      <c r="E159" s="88" t="s">
        <v>1457</v>
      </c>
      <c r="F159" s="88">
        <v>6.4</v>
      </c>
      <c r="G159" s="88">
        <v>985.0</v>
      </c>
      <c r="H159" s="92" t="s">
        <v>1809</v>
      </c>
      <c r="I159" s="28"/>
      <c r="J159" s="28"/>
    </row>
    <row r="160" ht="22.5" customHeight="1">
      <c r="A160" s="76" t="s">
        <v>1810</v>
      </c>
      <c r="B160" s="85" t="s">
        <v>1451</v>
      </c>
      <c r="C160" s="88" t="s">
        <v>1803</v>
      </c>
      <c r="D160" s="88" t="s">
        <v>1804</v>
      </c>
      <c r="E160" s="88" t="s">
        <v>497</v>
      </c>
      <c r="F160" s="88">
        <v>6.4</v>
      </c>
      <c r="G160" s="90">
        <v>1445.0</v>
      </c>
      <c r="H160" s="92" t="s">
        <v>1811</v>
      </c>
      <c r="I160" s="28"/>
      <c r="J160" s="28"/>
    </row>
    <row r="161" ht="22.5" customHeight="1">
      <c r="A161" s="76" t="s">
        <v>1812</v>
      </c>
      <c r="B161" s="85" t="s">
        <v>1451</v>
      </c>
      <c r="C161" s="88" t="s">
        <v>1803</v>
      </c>
      <c r="D161" s="88" t="s">
        <v>1804</v>
      </c>
      <c r="E161" s="88" t="s">
        <v>1460</v>
      </c>
      <c r="F161" s="88">
        <v>6.4</v>
      </c>
      <c r="G161" s="93"/>
      <c r="H161" s="92" t="s">
        <v>1813</v>
      </c>
      <c r="I161" s="28"/>
      <c r="J161" s="28"/>
    </row>
    <row r="162" ht="22.5" customHeight="1">
      <c r="A162" s="76" t="s">
        <v>1814</v>
      </c>
      <c r="B162" s="85" t="s">
        <v>1451</v>
      </c>
      <c r="C162" s="88" t="s">
        <v>1815</v>
      </c>
      <c r="D162" s="88" t="s">
        <v>1816</v>
      </c>
      <c r="E162" s="88" t="s">
        <v>105</v>
      </c>
      <c r="F162" s="88">
        <v>6.4</v>
      </c>
      <c r="G162" s="88">
        <v>646.0</v>
      </c>
      <c r="H162" s="89" t="s">
        <v>1817</v>
      </c>
      <c r="I162" s="26">
        <v>59.0</v>
      </c>
      <c r="J162" s="28"/>
    </row>
    <row r="163" ht="22.5" customHeight="1">
      <c r="A163" s="76" t="s">
        <v>1818</v>
      </c>
      <c r="B163" s="85" t="s">
        <v>1451</v>
      </c>
      <c r="C163" s="88" t="s">
        <v>1815</v>
      </c>
      <c r="D163" s="88" t="s">
        <v>1816</v>
      </c>
      <c r="E163" s="88" t="s">
        <v>103</v>
      </c>
      <c r="F163" s="88">
        <v>6.4</v>
      </c>
      <c r="G163" s="88">
        <v>632.0</v>
      </c>
      <c r="H163" s="89" t="s">
        <v>1817</v>
      </c>
      <c r="I163" s="26">
        <v>44.0</v>
      </c>
      <c r="J163" s="28"/>
    </row>
    <row r="164" ht="22.5" customHeight="1">
      <c r="A164" s="76" t="s">
        <v>1819</v>
      </c>
      <c r="B164" s="85" t="s">
        <v>1451</v>
      </c>
      <c r="C164" s="88" t="s">
        <v>1815</v>
      </c>
      <c r="D164" s="88" t="s">
        <v>1816</v>
      </c>
      <c r="E164" s="88" t="s">
        <v>1457</v>
      </c>
      <c r="F164" s="88">
        <v>6.4</v>
      </c>
      <c r="G164" s="88">
        <v>696.0</v>
      </c>
      <c r="H164" s="89" t="s">
        <v>1817</v>
      </c>
      <c r="I164" s="26">
        <v>50.0</v>
      </c>
      <c r="J164" s="28"/>
    </row>
    <row r="165" ht="22.5" customHeight="1">
      <c r="A165" s="76" t="s">
        <v>1820</v>
      </c>
      <c r="B165" s="85" t="s">
        <v>1451</v>
      </c>
      <c r="C165" s="88" t="s">
        <v>1815</v>
      </c>
      <c r="D165" s="88" t="s">
        <v>1816</v>
      </c>
      <c r="E165" s="88" t="s">
        <v>497</v>
      </c>
      <c r="F165" s="88">
        <v>6.4</v>
      </c>
      <c r="G165" s="90">
        <v>1020.0</v>
      </c>
      <c r="H165" s="89" t="s">
        <v>1817</v>
      </c>
      <c r="I165" s="26">
        <v>23.0</v>
      </c>
      <c r="J165" s="28"/>
    </row>
    <row r="166" ht="22.5" customHeight="1">
      <c r="A166" s="76" t="s">
        <v>1821</v>
      </c>
      <c r="B166" s="85" t="s">
        <v>1451</v>
      </c>
      <c r="C166" s="88" t="s">
        <v>1815</v>
      </c>
      <c r="D166" s="88" t="s">
        <v>1816</v>
      </c>
      <c r="E166" s="88" t="s">
        <v>1460</v>
      </c>
      <c r="F166" s="88">
        <v>6.4</v>
      </c>
      <c r="G166" s="97"/>
      <c r="H166" s="89" t="s">
        <v>1817</v>
      </c>
      <c r="I166" s="28"/>
      <c r="J166" s="28"/>
    </row>
    <row r="167" ht="22.5" customHeight="1">
      <c r="A167" s="76" t="s">
        <v>1822</v>
      </c>
      <c r="B167" s="88" t="s">
        <v>1823</v>
      </c>
      <c r="C167" s="88" t="s">
        <v>1824</v>
      </c>
      <c r="D167" s="88" t="s">
        <v>1825</v>
      </c>
      <c r="E167" s="88" t="s">
        <v>105</v>
      </c>
      <c r="F167" s="88">
        <v>6.4</v>
      </c>
      <c r="G167" s="95">
        <v>2110.0</v>
      </c>
      <c r="H167" s="89" t="s">
        <v>1826</v>
      </c>
      <c r="I167" s="26">
        <v>11.0</v>
      </c>
      <c r="J167" s="28"/>
    </row>
    <row r="168" ht="22.5" customHeight="1">
      <c r="A168" s="76" t="s">
        <v>1827</v>
      </c>
      <c r="B168" s="88" t="s">
        <v>1823</v>
      </c>
      <c r="C168" s="88" t="s">
        <v>1824</v>
      </c>
      <c r="D168" s="88" t="s">
        <v>1825</v>
      </c>
      <c r="E168" s="88" t="s">
        <v>103</v>
      </c>
      <c r="F168" s="88">
        <v>6.4</v>
      </c>
      <c r="G168" s="95">
        <v>2110.0</v>
      </c>
      <c r="H168" s="89" t="s">
        <v>1826</v>
      </c>
      <c r="I168" s="26">
        <v>10.0</v>
      </c>
      <c r="J168" s="28"/>
    </row>
    <row r="169" ht="22.5" customHeight="1">
      <c r="A169" s="76" t="s">
        <v>1828</v>
      </c>
      <c r="B169" s="88" t="s">
        <v>1823</v>
      </c>
      <c r="C169" s="88" t="s">
        <v>1824</v>
      </c>
      <c r="D169" s="88" t="s">
        <v>1825</v>
      </c>
      <c r="E169" s="88" t="s">
        <v>1457</v>
      </c>
      <c r="F169" s="88">
        <v>6.4</v>
      </c>
      <c r="G169" s="95">
        <v>2265.0</v>
      </c>
      <c r="H169" s="89" t="s">
        <v>1826</v>
      </c>
      <c r="I169" s="28"/>
      <c r="J169" s="28"/>
    </row>
    <row r="170" ht="22.5" customHeight="1">
      <c r="A170" s="76" t="s">
        <v>1829</v>
      </c>
      <c r="B170" s="88" t="s">
        <v>1823</v>
      </c>
      <c r="C170" s="88" t="s">
        <v>1824</v>
      </c>
      <c r="D170" s="88" t="s">
        <v>1825</v>
      </c>
      <c r="E170" s="88" t="s">
        <v>1830</v>
      </c>
      <c r="F170" s="88">
        <v>6.4</v>
      </c>
      <c r="G170" s="95">
        <v>2265.0</v>
      </c>
      <c r="H170" s="89" t="s">
        <v>1826</v>
      </c>
      <c r="I170" s="28"/>
      <c r="J170" s="28"/>
    </row>
    <row r="171" ht="22.5" customHeight="1">
      <c r="A171" s="76" t="s">
        <v>1831</v>
      </c>
      <c r="B171" s="88" t="s">
        <v>1823</v>
      </c>
      <c r="C171" s="88" t="s">
        <v>1824</v>
      </c>
      <c r="D171" s="88" t="s">
        <v>1825</v>
      </c>
      <c r="E171" s="88" t="s">
        <v>497</v>
      </c>
      <c r="F171" s="88">
        <v>6.4</v>
      </c>
      <c r="G171" s="95">
        <v>3350.0</v>
      </c>
      <c r="H171" s="89" t="s">
        <v>1826</v>
      </c>
      <c r="I171" s="28"/>
      <c r="J171" s="28"/>
    </row>
    <row r="172" ht="22.5" customHeight="1">
      <c r="A172" s="76" t="s">
        <v>1832</v>
      </c>
      <c r="B172" s="88" t="s">
        <v>1823</v>
      </c>
      <c r="C172" s="88" t="s">
        <v>1824</v>
      </c>
      <c r="D172" s="88" t="s">
        <v>1825</v>
      </c>
      <c r="E172" s="88" t="s">
        <v>1833</v>
      </c>
      <c r="F172" s="88">
        <v>6.4</v>
      </c>
      <c r="G172" s="95">
        <v>3350.0</v>
      </c>
      <c r="H172" s="89" t="s">
        <v>1826</v>
      </c>
      <c r="I172" s="28"/>
      <c r="J172" s="28"/>
    </row>
    <row r="173" ht="22.5" customHeight="1">
      <c r="A173" s="76" t="s">
        <v>1834</v>
      </c>
      <c r="B173" s="88" t="s">
        <v>1823</v>
      </c>
      <c r="C173" s="88" t="s">
        <v>1835</v>
      </c>
      <c r="D173" s="88" t="s">
        <v>1836</v>
      </c>
      <c r="E173" s="88" t="s">
        <v>105</v>
      </c>
      <c r="F173" s="88">
        <v>6.4</v>
      </c>
      <c r="G173" s="82">
        <v>2525.0</v>
      </c>
      <c r="H173" s="89" t="s">
        <v>1837</v>
      </c>
      <c r="I173" s="28"/>
      <c r="J173" s="28"/>
    </row>
    <row r="174" ht="22.5" customHeight="1">
      <c r="A174" s="76" t="s">
        <v>1838</v>
      </c>
      <c r="B174" s="88" t="s">
        <v>1823</v>
      </c>
      <c r="C174" s="88" t="s">
        <v>1835</v>
      </c>
      <c r="D174" s="88" t="s">
        <v>1836</v>
      </c>
      <c r="E174" s="88" t="s">
        <v>103</v>
      </c>
      <c r="F174" s="88">
        <v>6.4</v>
      </c>
      <c r="G174" s="90">
        <v>2525.0</v>
      </c>
      <c r="H174" s="89" t="s">
        <v>1837</v>
      </c>
      <c r="I174" s="28"/>
      <c r="J174" s="28"/>
    </row>
    <row r="175" ht="22.5" customHeight="1">
      <c r="A175" s="76" t="s">
        <v>1839</v>
      </c>
      <c r="B175" s="88" t="s">
        <v>1823</v>
      </c>
      <c r="C175" s="88" t="s">
        <v>1835</v>
      </c>
      <c r="D175" s="88" t="s">
        <v>1836</v>
      </c>
      <c r="E175" s="88" t="s">
        <v>1457</v>
      </c>
      <c r="F175" s="88">
        <v>6.4</v>
      </c>
      <c r="G175" s="90">
        <v>2710.0</v>
      </c>
      <c r="H175" s="89" t="s">
        <v>1837</v>
      </c>
      <c r="I175" s="26">
        <v>9.0</v>
      </c>
      <c r="J175" s="28"/>
    </row>
    <row r="176" ht="22.5" customHeight="1">
      <c r="A176" s="76" t="s">
        <v>1840</v>
      </c>
      <c r="B176" s="88" t="s">
        <v>1823</v>
      </c>
      <c r="C176" s="88" t="s">
        <v>1835</v>
      </c>
      <c r="D176" s="88" t="s">
        <v>1836</v>
      </c>
      <c r="E176" s="88" t="s">
        <v>1830</v>
      </c>
      <c r="F176" s="88">
        <v>6.4</v>
      </c>
      <c r="G176" s="90">
        <v>2710.0</v>
      </c>
      <c r="H176" s="89" t="s">
        <v>1837</v>
      </c>
      <c r="I176" s="28"/>
      <c r="J176" s="28"/>
    </row>
    <row r="177" ht="22.5" customHeight="1">
      <c r="A177" s="76" t="s">
        <v>1841</v>
      </c>
      <c r="B177" s="88" t="s">
        <v>1823</v>
      </c>
      <c r="C177" s="88" t="s">
        <v>1835</v>
      </c>
      <c r="D177" s="88" t="s">
        <v>1836</v>
      </c>
      <c r="E177" s="88" t="s">
        <v>497</v>
      </c>
      <c r="F177" s="88">
        <v>6.4</v>
      </c>
      <c r="G177" s="90">
        <v>4005.0</v>
      </c>
      <c r="H177" s="89" t="s">
        <v>1837</v>
      </c>
      <c r="I177" s="28"/>
      <c r="J177" s="28"/>
    </row>
    <row r="178" ht="22.5" customHeight="1">
      <c r="A178" s="76" t="s">
        <v>1842</v>
      </c>
      <c r="B178" s="88" t="s">
        <v>1823</v>
      </c>
      <c r="C178" s="88" t="s">
        <v>1835</v>
      </c>
      <c r="D178" s="88" t="s">
        <v>1836</v>
      </c>
      <c r="E178" s="88" t="s">
        <v>1833</v>
      </c>
      <c r="F178" s="88">
        <v>6.4</v>
      </c>
      <c r="G178" s="90">
        <v>4005.0</v>
      </c>
      <c r="H178" s="89" t="s">
        <v>1837</v>
      </c>
      <c r="I178" s="28"/>
      <c r="J178" s="28"/>
    </row>
    <row r="179" ht="22.5" customHeight="1">
      <c r="A179" s="76" t="s">
        <v>1843</v>
      </c>
      <c r="B179" s="88" t="s">
        <v>1823</v>
      </c>
      <c r="C179" s="88" t="s">
        <v>1835</v>
      </c>
      <c r="D179" s="88" t="s">
        <v>1836</v>
      </c>
      <c r="E179" s="88" t="s">
        <v>1844</v>
      </c>
      <c r="F179" s="88">
        <v>6.4</v>
      </c>
      <c r="G179" s="90">
        <v>4005.0</v>
      </c>
      <c r="H179" s="89" t="s">
        <v>1837</v>
      </c>
      <c r="I179" s="28"/>
      <c r="J179" s="28"/>
    </row>
    <row r="180" ht="22.5" customHeight="1">
      <c r="A180" s="76" t="s">
        <v>1845</v>
      </c>
      <c r="B180" s="88" t="s">
        <v>1823</v>
      </c>
      <c r="C180" s="88" t="s">
        <v>1846</v>
      </c>
      <c r="D180" s="88" t="s">
        <v>1847</v>
      </c>
      <c r="E180" s="88" t="s">
        <v>105</v>
      </c>
      <c r="F180" s="88">
        <v>6.4</v>
      </c>
      <c r="G180" s="90">
        <v>1420.0</v>
      </c>
      <c r="H180" s="89" t="s">
        <v>1848</v>
      </c>
      <c r="I180" s="28"/>
      <c r="J180" s="28"/>
    </row>
    <row r="181" ht="22.5" customHeight="1">
      <c r="A181" s="76" t="s">
        <v>1849</v>
      </c>
      <c r="B181" s="88" t="s">
        <v>1823</v>
      </c>
      <c r="C181" s="88" t="s">
        <v>1846</v>
      </c>
      <c r="D181" s="88" t="s">
        <v>1847</v>
      </c>
      <c r="E181" s="88" t="s">
        <v>103</v>
      </c>
      <c r="F181" s="88">
        <v>6.4</v>
      </c>
      <c r="G181" s="90">
        <v>1420.0</v>
      </c>
      <c r="H181" s="89" t="s">
        <v>1848</v>
      </c>
      <c r="I181" s="28"/>
      <c r="J181" s="28"/>
    </row>
    <row r="182" ht="22.5" customHeight="1">
      <c r="A182" s="76" t="s">
        <v>1850</v>
      </c>
      <c r="B182" s="88" t="s">
        <v>1823</v>
      </c>
      <c r="C182" s="88" t="s">
        <v>1846</v>
      </c>
      <c r="D182" s="88" t="s">
        <v>1847</v>
      </c>
      <c r="E182" s="88" t="s">
        <v>1457</v>
      </c>
      <c r="F182" s="88">
        <v>6.4</v>
      </c>
      <c r="G182" s="90">
        <v>1525.0</v>
      </c>
      <c r="H182" s="89" t="s">
        <v>1848</v>
      </c>
      <c r="I182" s="28"/>
      <c r="J182" s="28"/>
    </row>
    <row r="183" ht="22.5" customHeight="1">
      <c r="A183" s="76" t="s">
        <v>1851</v>
      </c>
      <c r="B183" s="88" t="s">
        <v>1823</v>
      </c>
      <c r="C183" s="88" t="s">
        <v>1846</v>
      </c>
      <c r="D183" s="88" t="s">
        <v>1847</v>
      </c>
      <c r="E183" s="88" t="s">
        <v>1830</v>
      </c>
      <c r="F183" s="88">
        <v>6.4</v>
      </c>
      <c r="G183" s="90">
        <v>1525.0</v>
      </c>
      <c r="H183" s="89" t="s">
        <v>1848</v>
      </c>
      <c r="I183" s="28"/>
      <c r="J183" s="28"/>
    </row>
    <row r="184" ht="22.5" customHeight="1">
      <c r="A184" s="76" t="s">
        <v>1852</v>
      </c>
      <c r="B184" s="88" t="s">
        <v>1823</v>
      </c>
      <c r="C184" s="88" t="s">
        <v>1846</v>
      </c>
      <c r="D184" s="88" t="s">
        <v>1847</v>
      </c>
      <c r="E184" s="88" t="s">
        <v>497</v>
      </c>
      <c r="F184" s="88">
        <v>6.4</v>
      </c>
      <c r="G184" s="90">
        <v>2250.0</v>
      </c>
      <c r="H184" s="89" t="s">
        <v>1848</v>
      </c>
      <c r="I184" s="28"/>
      <c r="J184" s="28"/>
    </row>
    <row r="185" ht="22.5" customHeight="1">
      <c r="A185" s="76" t="s">
        <v>1853</v>
      </c>
      <c r="B185" s="88" t="s">
        <v>1823</v>
      </c>
      <c r="C185" s="88" t="s">
        <v>1846</v>
      </c>
      <c r="D185" s="88" t="s">
        <v>1847</v>
      </c>
      <c r="E185" s="88" t="s">
        <v>1833</v>
      </c>
      <c r="F185" s="88">
        <v>6.4</v>
      </c>
      <c r="G185" s="90">
        <v>2250.0</v>
      </c>
      <c r="H185" s="89" t="s">
        <v>1848</v>
      </c>
      <c r="I185" s="28"/>
      <c r="J185" s="28"/>
    </row>
    <row r="186" ht="22.5" customHeight="1">
      <c r="A186" s="76" t="s">
        <v>1854</v>
      </c>
      <c r="B186" s="88" t="s">
        <v>1823</v>
      </c>
      <c r="C186" s="88" t="s">
        <v>1846</v>
      </c>
      <c r="D186" s="88" t="s">
        <v>1847</v>
      </c>
      <c r="E186" s="88" t="s">
        <v>1844</v>
      </c>
      <c r="F186" s="88">
        <v>6.4</v>
      </c>
      <c r="G186" s="90">
        <v>2250.0</v>
      </c>
      <c r="H186" s="89" t="s">
        <v>1848</v>
      </c>
      <c r="I186" s="28"/>
      <c r="J186" s="28"/>
    </row>
    <row r="187" ht="22.5" customHeight="1">
      <c r="A187" s="76" t="s">
        <v>1855</v>
      </c>
      <c r="B187" s="88" t="s">
        <v>1823</v>
      </c>
      <c r="C187" s="88" t="s">
        <v>1856</v>
      </c>
      <c r="D187" s="88" t="s">
        <v>1857</v>
      </c>
      <c r="E187" s="88" t="s">
        <v>105</v>
      </c>
      <c r="F187" s="88">
        <v>6.4</v>
      </c>
      <c r="G187" s="88">
        <v>940.0</v>
      </c>
      <c r="H187" s="89" t="s">
        <v>1858</v>
      </c>
      <c r="I187" s="28"/>
      <c r="J187" s="28"/>
    </row>
    <row r="188" ht="22.5" customHeight="1">
      <c r="A188" s="76" t="s">
        <v>1859</v>
      </c>
      <c r="B188" s="88" t="s">
        <v>1823</v>
      </c>
      <c r="C188" s="88" t="s">
        <v>1856</v>
      </c>
      <c r="D188" s="88" t="s">
        <v>1857</v>
      </c>
      <c r="E188" s="88" t="s">
        <v>103</v>
      </c>
      <c r="F188" s="88">
        <v>6.4</v>
      </c>
      <c r="G188" s="88">
        <v>940.0</v>
      </c>
      <c r="H188" s="89" t="s">
        <v>1858</v>
      </c>
      <c r="I188" s="28"/>
      <c r="J188" s="28"/>
    </row>
    <row r="189" ht="22.5" customHeight="1">
      <c r="A189" s="76" t="s">
        <v>1860</v>
      </c>
      <c r="B189" s="88" t="s">
        <v>1823</v>
      </c>
      <c r="C189" s="88" t="s">
        <v>1856</v>
      </c>
      <c r="D189" s="88" t="s">
        <v>1857</v>
      </c>
      <c r="E189" s="88" t="s">
        <v>1457</v>
      </c>
      <c r="F189" s="88">
        <v>6.4</v>
      </c>
      <c r="G189" s="90">
        <v>1005.0</v>
      </c>
      <c r="H189" s="89" t="s">
        <v>1858</v>
      </c>
      <c r="I189" s="28"/>
      <c r="J189" s="28"/>
    </row>
    <row r="190" ht="22.5" customHeight="1">
      <c r="A190" s="76" t="s">
        <v>1861</v>
      </c>
      <c r="B190" s="88" t="s">
        <v>1823</v>
      </c>
      <c r="C190" s="88" t="s">
        <v>1856</v>
      </c>
      <c r="D190" s="88" t="s">
        <v>1857</v>
      </c>
      <c r="E190" s="88" t="s">
        <v>1830</v>
      </c>
      <c r="F190" s="88">
        <v>6.4</v>
      </c>
      <c r="G190" s="90">
        <v>1005.0</v>
      </c>
      <c r="H190" s="89" t="s">
        <v>1858</v>
      </c>
      <c r="I190" s="28"/>
      <c r="J190" s="28"/>
    </row>
    <row r="191" ht="22.5" customHeight="1">
      <c r="A191" s="76" t="s">
        <v>1862</v>
      </c>
      <c r="B191" s="88" t="s">
        <v>1823</v>
      </c>
      <c r="C191" s="88" t="s">
        <v>1856</v>
      </c>
      <c r="D191" s="88" t="s">
        <v>1857</v>
      </c>
      <c r="E191" s="88" t="s">
        <v>497</v>
      </c>
      <c r="F191" s="88">
        <v>6.4</v>
      </c>
      <c r="G191" s="90">
        <v>1485.0</v>
      </c>
      <c r="H191" s="89" t="s">
        <v>1858</v>
      </c>
      <c r="I191" s="28"/>
      <c r="J191" s="28"/>
    </row>
    <row r="192" ht="22.5" customHeight="1">
      <c r="A192" s="76" t="s">
        <v>1863</v>
      </c>
      <c r="B192" s="88" t="s">
        <v>1823</v>
      </c>
      <c r="C192" s="88" t="s">
        <v>1856</v>
      </c>
      <c r="D192" s="88" t="s">
        <v>1857</v>
      </c>
      <c r="E192" s="88" t="s">
        <v>1833</v>
      </c>
      <c r="F192" s="88">
        <v>6.4</v>
      </c>
      <c r="G192" s="90">
        <v>1485.0</v>
      </c>
      <c r="H192" s="89" t="s">
        <v>1858</v>
      </c>
      <c r="I192" s="28"/>
      <c r="J192" s="28"/>
    </row>
    <row r="193" ht="22.5" customHeight="1">
      <c r="A193" s="76" t="s">
        <v>1864</v>
      </c>
      <c r="B193" s="88" t="s">
        <v>1823</v>
      </c>
      <c r="C193" s="88" t="s">
        <v>1856</v>
      </c>
      <c r="D193" s="88" t="s">
        <v>1857</v>
      </c>
      <c r="E193" s="88" t="s">
        <v>1844</v>
      </c>
      <c r="F193" s="88">
        <v>6.4</v>
      </c>
      <c r="G193" s="90">
        <v>1485.0</v>
      </c>
      <c r="H193" s="89" t="s">
        <v>1858</v>
      </c>
      <c r="I193" s="28"/>
      <c r="J193" s="28"/>
    </row>
    <row r="194" ht="22.5" customHeight="1">
      <c r="A194" s="76" t="s">
        <v>1865</v>
      </c>
      <c r="B194" s="88" t="s">
        <v>1823</v>
      </c>
      <c r="C194" s="88" t="s">
        <v>1866</v>
      </c>
      <c r="D194" s="88" t="s">
        <v>1867</v>
      </c>
      <c r="E194" s="88" t="s">
        <v>105</v>
      </c>
      <c r="F194" s="88">
        <v>6.4</v>
      </c>
      <c r="G194" s="90">
        <v>1130.0</v>
      </c>
      <c r="H194" s="89" t="s">
        <v>1868</v>
      </c>
      <c r="I194" s="28"/>
      <c r="J194" s="28"/>
    </row>
    <row r="195" ht="22.5" customHeight="1">
      <c r="A195" s="76" t="s">
        <v>1869</v>
      </c>
      <c r="B195" s="88" t="s">
        <v>1823</v>
      </c>
      <c r="C195" s="88" t="s">
        <v>1866</v>
      </c>
      <c r="D195" s="88" t="s">
        <v>1867</v>
      </c>
      <c r="E195" s="88" t="s">
        <v>103</v>
      </c>
      <c r="F195" s="88">
        <v>6.4</v>
      </c>
      <c r="G195" s="90">
        <v>1130.0</v>
      </c>
      <c r="H195" s="89" t="s">
        <v>1868</v>
      </c>
      <c r="I195" s="28"/>
      <c r="J195" s="28"/>
    </row>
    <row r="196" ht="22.5" customHeight="1">
      <c r="A196" s="76" t="s">
        <v>1870</v>
      </c>
      <c r="B196" s="88" t="s">
        <v>1823</v>
      </c>
      <c r="C196" s="88" t="s">
        <v>1866</v>
      </c>
      <c r="D196" s="88" t="s">
        <v>1867</v>
      </c>
      <c r="E196" s="88" t="s">
        <v>1457</v>
      </c>
      <c r="F196" s="88">
        <v>6.4</v>
      </c>
      <c r="G196" s="90">
        <v>1215.0</v>
      </c>
      <c r="H196" s="89" t="s">
        <v>1868</v>
      </c>
      <c r="I196" s="28"/>
      <c r="J196" s="28"/>
    </row>
    <row r="197" ht="22.5" customHeight="1">
      <c r="A197" s="76" t="s">
        <v>1871</v>
      </c>
      <c r="B197" s="88" t="s">
        <v>1823</v>
      </c>
      <c r="C197" s="88" t="s">
        <v>1866</v>
      </c>
      <c r="D197" s="88" t="s">
        <v>1867</v>
      </c>
      <c r="E197" s="88" t="s">
        <v>1830</v>
      </c>
      <c r="F197" s="88">
        <v>6.4</v>
      </c>
      <c r="G197" s="90">
        <v>1215.0</v>
      </c>
      <c r="H197" s="89" t="s">
        <v>1868</v>
      </c>
      <c r="I197" s="28"/>
      <c r="J197" s="28"/>
    </row>
    <row r="198" ht="22.5" customHeight="1">
      <c r="A198" s="76" t="s">
        <v>1872</v>
      </c>
      <c r="B198" s="88" t="s">
        <v>1823</v>
      </c>
      <c r="C198" s="88" t="s">
        <v>1866</v>
      </c>
      <c r="D198" s="88" t="s">
        <v>1867</v>
      </c>
      <c r="E198" s="88" t="s">
        <v>497</v>
      </c>
      <c r="F198" s="88">
        <v>6.4</v>
      </c>
      <c r="G198" s="90">
        <v>1795.0</v>
      </c>
      <c r="H198" s="89" t="s">
        <v>1868</v>
      </c>
      <c r="I198" s="28"/>
      <c r="J198" s="28"/>
    </row>
    <row r="199" ht="22.5" customHeight="1">
      <c r="A199" s="76" t="s">
        <v>1873</v>
      </c>
      <c r="B199" s="88" t="s">
        <v>1823</v>
      </c>
      <c r="C199" s="88" t="s">
        <v>1866</v>
      </c>
      <c r="D199" s="88" t="s">
        <v>1867</v>
      </c>
      <c r="E199" s="88" t="s">
        <v>1833</v>
      </c>
      <c r="F199" s="88">
        <v>6.4</v>
      </c>
      <c r="G199" s="90">
        <v>1795.0</v>
      </c>
      <c r="H199" s="89" t="s">
        <v>1868</v>
      </c>
      <c r="I199" s="28"/>
      <c r="J199" s="28"/>
    </row>
    <row r="200" ht="22.5" customHeight="1">
      <c r="A200" s="76" t="s">
        <v>1874</v>
      </c>
      <c r="B200" s="88" t="s">
        <v>1823</v>
      </c>
      <c r="C200" s="88" t="s">
        <v>1866</v>
      </c>
      <c r="D200" s="88" t="s">
        <v>1867</v>
      </c>
      <c r="E200" s="88" t="s">
        <v>1844</v>
      </c>
      <c r="F200" s="88">
        <v>6.4</v>
      </c>
      <c r="G200" s="90">
        <v>1795.0</v>
      </c>
      <c r="H200" s="89" t="s">
        <v>1868</v>
      </c>
      <c r="I200" s="28"/>
      <c r="J200" s="28"/>
    </row>
    <row r="201" ht="22.5" customHeight="1">
      <c r="A201" s="76" t="s">
        <v>1875</v>
      </c>
      <c r="B201" s="88" t="s">
        <v>1823</v>
      </c>
      <c r="C201" s="88" t="s">
        <v>1876</v>
      </c>
      <c r="D201" s="88" t="s">
        <v>1877</v>
      </c>
      <c r="E201" s="88" t="s">
        <v>105</v>
      </c>
      <c r="F201" s="88">
        <v>6.4</v>
      </c>
      <c r="G201" s="88">
        <v>880.0</v>
      </c>
      <c r="H201" s="89" t="s">
        <v>1878</v>
      </c>
      <c r="I201" s="26">
        <v>11.0</v>
      </c>
      <c r="J201" s="28"/>
    </row>
    <row r="202" ht="22.5" customHeight="1">
      <c r="A202" s="76" t="s">
        <v>1879</v>
      </c>
      <c r="B202" s="88" t="s">
        <v>1823</v>
      </c>
      <c r="C202" s="88" t="s">
        <v>1876</v>
      </c>
      <c r="D202" s="88" t="s">
        <v>1877</v>
      </c>
      <c r="E202" s="88" t="s">
        <v>103</v>
      </c>
      <c r="F202" s="88">
        <v>6.4</v>
      </c>
      <c r="G202" s="88">
        <v>880.0</v>
      </c>
      <c r="H202" s="89" t="s">
        <v>1878</v>
      </c>
      <c r="I202" s="26">
        <v>10.0</v>
      </c>
      <c r="J202" s="28"/>
    </row>
    <row r="203" ht="22.5" customHeight="1">
      <c r="A203" s="76" t="s">
        <v>1880</v>
      </c>
      <c r="B203" s="88" t="s">
        <v>1823</v>
      </c>
      <c r="C203" s="88" t="s">
        <v>1876</v>
      </c>
      <c r="D203" s="88" t="s">
        <v>1877</v>
      </c>
      <c r="E203" s="88" t="s">
        <v>1457</v>
      </c>
      <c r="F203" s="88">
        <v>6.4</v>
      </c>
      <c r="G203" s="88">
        <v>945.0</v>
      </c>
      <c r="H203" s="89" t="s">
        <v>1878</v>
      </c>
      <c r="I203" s="26">
        <v>9.0</v>
      </c>
      <c r="J203" s="28"/>
    </row>
    <row r="204" ht="22.5" customHeight="1">
      <c r="A204" s="76" t="s">
        <v>1881</v>
      </c>
      <c r="B204" s="88" t="s">
        <v>1823</v>
      </c>
      <c r="C204" s="88" t="s">
        <v>1876</v>
      </c>
      <c r="D204" s="88" t="s">
        <v>1877</v>
      </c>
      <c r="E204" s="88" t="s">
        <v>1830</v>
      </c>
      <c r="F204" s="88">
        <v>6.4</v>
      </c>
      <c r="G204" s="88">
        <v>945.0</v>
      </c>
      <c r="H204" s="89" t="s">
        <v>1878</v>
      </c>
      <c r="I204" s="28"/>
      <c r="J204" s="28"/>
    </row>
    <row r="205" ht="22.5" customHeight="1">
      <c r="A205" s="76" t="s">
        <v>1882</v>
      </c>
      <c r="B205" s="88" t="s">
        <v>1823</v>
      </c>
      <c r="C205" s="88" t="s">
        <v>1876</v>
      </c>
      <c r="D205" s="88" t="s">
        <v>1877</v>
      </c>
      <c r="E205" s="88" t="s">
        <v>497</v>
      </c>
      <c r="F205" s="88">
        <v>6.4</v>
      </c>
      <c r="G205" s="90">
        <v>1395.0</v>
      </c>
      <c r="H205" s="89" t="s">
        <v>1878</v>
      </c>
      <c r="I205" s="28"/>
      <c r="J205" s="28"/>
    </row>
    <row r="206" ht="22.5" customHeight="1">
      <c r="A206" s="76" t="s">
        <v>1883</v>
      </c>
      <c r="B206" s="88" t="s">
        <v>1823</v>
      </c>
      <c r="C206" s="88" t="s">
        <v>1876</v>
      </c>
      <c r="D206" s="88" t="s">
        <v>1877</v>
      </c>
      <c r="E206" s="88" t="s">
        <v>1833</v>
      </c>
      <c r="F206" s="88">
        <v>6.4</v>
      </c>
      <c r="G206" s="90">
        <v>1395.0</v>
      </c>
      <c r="H206" s="89" t="s">
        <v>1878</v>
      </c>
      <c r="I206" s="28"/>
      <c r="J206" s="28"/>
    </row>
    <row r="207" ht="22.5" customHeight="1">
      <c r="A207" s="76" t="s">
        <v>1884</v>
      </c>
      <c r="B207" s="88" t="s">
        <v>1823</v>
      </c>
      <c r="C207" s="88" t="s">
        <v>1876</v>
      </c>
      <c r="D207" s="88" t="s">
        <v>1877</v>
      </c>
      <c r="E207" s="88" t="s">
        <v>1844</v>
      </c>
      <c r="F207" s="88">
        <v>6.4</v>
      </c>
      <c r="G207" s="90">
        <v>1395.0</v>
      </c>
      <c r="H207" s="89" t="s">
        <v>1878</v>
      </c>
      <c r="I207" s="28"/>
      <c r="J207" s="28"/>
    </row>
    <row r="208" ht="22.5" customHeight="1">
      <c r="A208" s="76" t="s">
        <v>1885</v>
      </c>
      <c r="B208" s="88" t="s">
        <v>1823</v>
      </c>
      <c r="C208" s="88" t="s">
        <v>1886</v>
      </c>
      <c r="D208" s="88" t="s">
        <v>1887</v>
      </c>
      <c r="E208" s="88" t="s">
        <v>105</v>
      </c>
      <c r="F208" s="88">
        <v>6.4</v>
      </c>
      <c r="G208" s="90">
        <v>1030.0</v>
      </c>
      <c r="H208" s="89" t="s">
        <v>1888</v>
      </c>
      <c r="I208" s="28"/>
      <c r="J208" s="28"/>
    </row>
    <row r="209" ht="22.5" customHeight="1">
      <c r="A209" s="76" t="s">
        <v>1889</v>
      </c>
      <c r="B209" s="88" t="s">
        <v>1823</v>
      </c>
      <c r="C209" s="88" t="s">
        <v>1886</v>
      </c>
      <c r="D209" s="88" t="s">
        <v>1887</v>
      </c>
      <c r="E209" s="88" t="s">
        <v>103</v>
      </c>
      <c r="F209" s="88">
        <v>6.4</v>
      </c>
      <c r="G209" s="90">
        <v>1030.0</v>
      </c>
      <c r="H209" s="89" t="s">
        <v>1888</v>
      </c>
      <c r="I209" s="28"/>
      <c r="J209" s="28"/>
    </row>
    <row r="210" ht="22.5" customHeight="1">
      <c r="A210" s="76" t="s">
        <v>1890</v>
      </c>
      <c r="B210" s="88" t="s">
        <v>1823</v>
      </c>
      <c r="C210" s="88" t="s">
        <v>1886</v>
      </c>
      <c r="D210" s="88" t="s">
        <v>1887</v>
      </c>
      <c r="E210" s="88" t="s">
        <v>1457</v>
      </c>
      <c r="F210" s="88">
        <v>6.4</v>
      </c>
      <c r="G210" s="90">
        <v>1105.0</v>
      </c>
      <c r="H210" s="89" t="s">
        <v>1888</v>
      </c>
      <c r="I210" s="28"/>
      <c r="J210" s="28"/>
    </row>
    <row r="211" ht="22.5" customHeight="1">
      <c r="A211" s="76" t="s">
        <v>1891</v>
      </c>
      <c r="B211" s="88" t="s">
        <v>1823</v>
      </c>
      <c r="C211" s="88" t="s">
        <v>1886</v>
      </c>
      <c r="D211" s="88" t="s">
        <v>1887</v>
      </c>
      <c r="E211" s="88" t="s">
        <v>1830</v>
      </c>
      <c r="F211" s="88">
        <v>6.4</v>
      </c>
      <c r="G211" s="90">
        <v>1105.0</v>
      </c>
      <c r="H211" s="89" t="s">
        <v>1888</v>
      </c>
      <c r="I211" s="28"/>
      <c r="J211" s="28"/>
    </row>
    <row r="212" ht="22.5" customHeight="1">
      <c r="A212" s="76" t="s">
        <v>1892</v>
      </c>
      <c r="B212" s="88" t="s">
        <v>1823</v>
      </c>
      <c r="C212" s="88" t="s">
        <v>1886</v>
      </c>
      <c r="D212" s="88" t="s">
        <v>1887</v>
      </c>
      <c r="E212" s="88" t="s">
        <v>497</v>
      </c>
      <c r="F212" s="88">
        <v>6.4</v>
      </c>
      <c r="G212" s="90">
        <v>1635.0</v>
      </c>
      <c r="H212" s="89" t="s">
        <v>1888</v>
      </c>
      <c r="I212" s="28"/>
      <c r="J212" s="28"/>
    </row>
    <row r="213" ht="22.5" customHeight="1">
      <c r="A213" s="76" t="s">
        <v>1893</v>
      </c>
      <c r="B213" s="88" t="s">
        <v>1823</v>
      </c>
      <c r="C213" s="88" t="s">
        <v>1886</v>
      </c>
      <c r="D213" s="88" t="s">
        <v>1887</v>
      </c>
      <c r="E213" s="88" t="s">
        <v>1833</v>
      </c>
      <c r="F213" s="88">
        <v>6.4</v>
      </c>
      <c r="G213" s="90">
        <v>1635.0</v>
      </c>
      <c r="H213" s="89" t="s">
        <v>1888</v>
      </c>
      <c r="I213" s="28"/>
      <c r="J213" s="28"/>
    </row>
    <row r="214" ht="22.5" customHeight="1">
      <c r="A214" s="76" t="s">
        <v>1894</v>
      </c>
      <c r="B214" s="88" t="s">
        <v>1823</v>
      </c>
      <c r="C214" s="88" t="s">
        <v>1886</v>
      </c>
      <c r="D214" s="88" t="s">
        <v>1887</v>
      </c>
      <c r="E214" s="88" t="s">
        <v>1844</v>
      </c>
      <c r="F214" s="88">
        <v>6.4</v>
      </c>
      <c r="G214" s="90">
        <v>1635.0</v>
      </c>
      <c r="H214" s="89" t="s">
        <v>1888</v>
      </c>
      <c r="I214" s="28"/>
      <c r="J214" s="28"/>
    </row>
    <row r="215" ht="22.5" customHeight="1">
      <c r="A215" s="76" t="s">
        <v>1895</v>
      </c>
      <c r="B215" s="88" t="s">
        <v>1823</v>
      </c>
      <c r="C215" s="88" t="s">
        <v>1896</v>
      </c>
      <c r="D215" s="88" t="s">
        <v>1897</v>
      </c>
      <c r="E215" s="88" t="s">
        <v>105</v>
      </c>
      <c r="F215" s="88">
        <v>6.4</v>
      </c>
      <c r="G215" s="88">
        <v>650.0</v>
      </c>
      <c r="H215" s="89" t="s">
        <v>1898</v>
      </c>
      <c r="I215" s="28"/>
      <c r="J215" s="28"/>
    </row>
    <row r="216" ht="22.5" customHeight="1">
      <c r="A216" s="76" t="s">
        <v>1899</v>
      </c>
      <c r="B216" s="88" t="s">
        <v>1823</v>
      </c>
      <c r="C216" s="88" t="s">
        <v>1896</v>
      </c>
      <c r="D216" s="88" t="s">
        <v>1897</v>
      </c>
      <c r="E216" s="88" t="s">
        <v>103</v>
      </c>
      <c r="F216" s="88">
        <v>6.4</v>
      </c>
      <c r="G216" s="88">
        <v>650.0</v>
      </c>
      <c r="H216" s="89" t="s">
        <v>1898</v>
      </c>
      <c r="I216" s="28"/>
      <c r="J216" s="28"/>
    </row>
    <row r="217" ht="22.5" customHeight="1">
      <c r="A217" s="76" t="s">
        <v>1900</v>
      </c>
      <c r="B217" s="88" t="s">
        <v>1823</v>
      </c>
      <c r="C217" s="88" t="s">
        <v>1896</v>
      </c>
      <c r="D217" s="88" t="s">
        <v>1897</v>
      </c>
      <c r="E217" s="88" t="s">
        <v>1457</v>
      </c>
      <c r="F217" s="88">
        <v>6.4</v>
      </c>
      <c r="G217" s="88">
        <v>700.0</v>
      </c>
      <c r="H217" s="89" t="s">
        <v>1898</v>
      </c>
      <c r="I217" s="28"/>
      <c r="J217" s="28"/>
    </row>
    <row r="218" ht="22.5" customHeight="1">
      <c r="A218" s="76" t="s">
        <v>1901</v>
      </c>
      <c r="B218" s="88" t="s">
        <v>1823</v>
      </c>
      <c r="C218" s="88" t="s">
        <v>1896</v>
      </c>
      <c r="D218" s="88" t="s">
        <v>1897</v>
      </c>
      <c r="E218" s="88" t="s">
        <v>1830</v>
      </c>
      <c r="F218" s="88">
        <v>6.4</v>
      </c>
      <c r="G218" s="88">
        <v>700.0</v>
      </c>
      <c r="H218" s="89" t="s">
        <v>1898</v>
      </c>
      <c r="I218" s="28"/>
      <c r="J218" s="28"/>
    </row>
    <row r="219" ht="22.5" customHeight="1">
      <c r="A219" s="76" t="s">
        <v>1902</v>
      </c>
      <c r="B219" s="88" t="s">
        <v>1823</v>
      </c>
      <c r="C219" s="88" t="s">
        <v>1896</v>
      </c>
      <c r="D219" s="88" t="s">
        <v>1897</v>
      </c>
      <c r="E219" s="88" t="s">
        <v>497</v>
      </c>
      <c r="F219" s="88">
        <v>6.4</v>
      </c>
      <c r="G219" s="90">
        <v>1030.0</v>
      </c>
      <c r="H219" s="89" t="s">
        <v>1898</v>
      </c>
      <c r="I219" s="28"/>
      <c r="J219" s="28"/>
    </row>
    <row r="220" ht="22.5" customHeight="1">
      <c r="A220" s="76" t="s">
        <v>1903</v>
      </c>
      <c r="B220" s="88" t="s">
        <v>1823</v>
      </c>
      <c r="C220" s="88" t="s">
        <v>1896</v>
      </c>
      <c r="D220" s="88" t="s">
        <v>1897</v>
      </c>
      <c r="E220" s="88" t="s">
        <v>1833</v>
      </c>
      <c r="F220" s="88">
        <v>6.4</v>
      </c>
      <c r="G220" s="90">
        <v>1030.0</v>
      </c>
      <c r="H220" s="89" t="s">
        <v>1898</v>
      </c>
      <c r="I220" s="28"/>
      <c r="J220" s="28"/>
    </row>
    <row r="221" ht="22.5" customHeight="1">
      <c r="A221" s="76" t="s">
        <v>1904</v>
      </c>
      <c r="B221" s="88" t="s">
        <v>1823</v>
      </c>
      <c r="C221" s="88" t="s">
        <v>1896</v>
      </c>
      <c r="D221" s="88" t="s">
        <v>1897</v>
      </c>
      <c r="E221" s="88" t="s">
        <v>1844</v>
      </c>
      <c r="F221" s="88">
        <v>6.4</v>
      </c>
      <c r="G221" s="90">
        <v>1030.0</v>
      </c>
      <c r="H221" s="89" t="s">
        <v>1898</v>
      </c>
      <c r="I221" s="28"/>
      <c r="J221" s="28"/>
    </row>
    <row r="222" ht="22.5" customHeight="1">
      <c r="A222" s="76" t="s">
        <v>1905</v>
      </c>
      <c r="B222" s="88" t="s">
        <v>1823</v>
      </c>
      <c r="C222" s="88" t="s">
        <v>1906</v>
      </c>
      <c r="D222" s="88" t="s">
        <v>1907</v>
      </c>
      <c r="E222" s="88" t="s">
        <v>105</v>
      </c>
      <c r="F222" s="88">
        <v>6.4</v>
      </c>
      <c r="G222" s="88">
        <v>270.0</v>
      </c>
      <c r="H222" s="89" t="s">
        <v>1908</v>
      </c>
      <c r="I222" s="26">
        <v>12.0</v>
      </c>
      <c r="J222" s="28"/>
    </row>
    <row r="223" ht="22.5" customHeight="1">
      <c r="A223" s="76" t="s">
        <v>1909</v>
      </c>
      <c r="B223" s="88" t="s">
        <v>1823</v>
      </c>
      <c r="C223" s="88" t="s">
        <v>1906</v>
      </c>
      <c r="D223" s="88" t="s">
        <v>1907</v>
      </c>
      <c r="E223" s="88" t="s">
        <v>103</v>
      </c>
      <c r="F223" s="88">
        <v>6.4</v>
      </c>
      <c r="G223" s="88">
        <v>270.0</v>
      </c>
      <c r="H223" s="89" t="s">
        <v>1908</v>
      </c>
      <c r="I223" s="26">
        <v>15.0</v>
      </c>
      <c r="J223" s="28"/>
    </row>
    <row r="224" ht="22.5" customHeight="1">
      <c r="A224" s="76" t="s">
        <v>1910</v>
      </c>
      <c r="B224" s="88" t="s">
        <v>1823</v>
      </c>
      <c r="C224" s="88" t="s">
        <v>1906</v>
      </c>
      <c r="D224" s="88" t="s">
        <v>1907</v>
      </c>
      <c r="E224" s="88" t="s">
        <v>1457</v>
      </c>
      <c r="F224" s="88">
        <v>6.4</v>
      </c>
      <c r="G224" s="88">
        <v>290.0</v>
      </c>
      <c r="H224" s="89" t="s">
        <v>1908</v>
      </c>
      <c r="I224" s="28"/>
      <c r="J224" s="28"/>
    </row>
    <row r="225" ht="22.5" customHeight="1">
      <c r="A225" s="76" t="s">
        <v>1911</v>
      </c>
      <c r="B225" s="88" t="s">
        <v>1823</v>
      </c>
      <c r="C225" s="88" t="s">
        <v>1906</v>
      </c>
      <c r="D225" s="88" t="s">
        <v>1907</v>
      </c>
      <c r="E225" s="88" t="s">
        <v>1830</v>
      </c>
      <c r="F225" s="88">
        <v>6.4</v>
      </c>
      <c r="G225" s="88">
        <v>290.0</v>
      </c>
      <c r="H225" s="89" t="s">
        <v>1908</v>
      </c>
      <c r="I225" s="28"/>
      <c r="J225" s="28"/>
    </row>
    <row r="226" ht="22.5" customHeight="1">
      <c r="A226" s="76" t="s">
        <v>1912</v>
      </c>
      <c r="B226" s="88" t="s">
        <v>1823</v>
      </c>
      <c r="C226" s="88" t="s">
        <v>1906</v>
      </c>
      <c r="D226" s="88" t="s">
        <v>1907</v>
      </c>
      <c r="E226" s="88" t="s">
        <v>497</v>
      </c>
      <c r="F226" s="88">
        <v>6.4</v>
      </c>
      <c r="G226" s="88">
        <v>430.0</v>
      </c>
      <c r="H226" s="89" t="s">
        <v>1908</v>
      </c>
      <c r="I226" s="28"/>
      <c r="J226" s="28"/>
    </row>
    <row r="227" ht="22.5" customHeight="1">
      <c r="A227" s="76" t="s">
        <v>1913</v>
      </c>
      <c r="B227" s="88" t="s">
        <v>1823</v>
      </c>
      <c r="C227" s="88" t="s">
        <v>1906</v>
      </c>
      <c r="D227" s="88" t="s">
        <v>1907</v>
      </c>
      <c r="E227" s="88" t="s">
        <v>1833</v>
      </c>
      <c r="F227" s="88">
        <v>6.4</v>
      </c>
      <c r="G227" s="88">
        <v>430.0</v>
      </c>
      <c r="H227" s="89" t="s">
        <v>1908</v>
      </c>
      <c r="I227" s="28"/>
      <c r="J227" s="28"/>
    </row>
    <row r="228" ht="22.5" customHeight="1">
      <c r="A228" s="76" t="s">
        <v>1914</v>
      </c>
      <c r="B228" s="88" t="s">
        <v>1823</v>
      </c>
      <c r="C228" s="88" t="s">
        <v>1906</v>
      </c>
      <c r="D228" s="88" t="s">
        <v>1907</v>
      </c>
      <c r="E228" s="88" t="s">
        <v>1844</v>
      </c>
      <c r="F228" s="88">
        <v>6.4</v>
      </c>
      <c r="G228" s="88">
        <v>430.0</v>
      </c>
      <c r="H228" s="89" t="s">
        <v>1908</v>
      </c>
      <c r="I228" s="28"/>
      <c r="J228" s="28"/>
    </row>
    <row r="229" ht="22.5" customHeight="1">
      <c r="A229" s="76" t="s">
        <v>1915</v>
      </c>
      <c r="B229" s="88" t="s">
        <v>1823</v>
      </c>
      <c r="C229" s="88" t="s">
        <v>1916</v>
      </c>
      <c r="D229" s="88" t="s">
        <v>1917</v>
      </c>
      <c r="E229" s="88" t="s">
        <v>105</v>
      </c>
      <c r="F229" s="88">
        <v>6.4</v>
      </c>
      <c r="G229" s="88">
        <v>305.0</v>
      </c>
      <c r="H229" s="89" t="s">
        <v>1918</v>
      </c>
      <c r="I229" s="28"/>
      <c r="J229" s="28"/>
    </row>
    <row r="230" ht="22.5" customHeight="1">
      <c r="A230" s="76" t="s">
        <v>1919</v>
      </c>
      <c r="B230" s="88" t="s">
        <v>1823</v>
      </c>
      <c r="C230" s="88" t="s">
        <v>1916</v>
      </c>
      <c r="D230" s="88" t="s">
        <v>1917</v>
      </c>
      <c r="E230" s="88" t="s">
        <v>103</v>
      </c>
      <c r="F230" s="88">
        <v>6.4</v>
      </c>
      <c r="G230" s="88">
        <v>305.0</v>
      </c>
      <c r="H230" s="89" t="s">
        <v>1918</v>
      </c>
      <c r="I230" s="28"/>
      <c r="J230" s="28"/>
    </row>
    <row r="231" ht="22.5" customHeight="1">
      <c r="A231" s="76" t="s">
        <v>1920</v>
      </c>
      <c r="B231" s="88" t="s">
        <v>1823</v>
      </c>
      <c r="C231" s="88" t="s">
        <v>1916</v>
      </c>
      <c r="D231" s="88" t="s">
        <v>1917</v>
      </c>
      <c r="E231" s="88" t="s">
        <v>1457</v>
      </c>
      <c r="F231" s="88">
        <v>6.4</v>
      </c>
      <c r="G231" s="88">
        <v>325.0</v>
      </c>
      <c r="H231" s="89" t="s">
        <v>1918</v>
      </c>
      <c r="I231" s="28"/>
      <c r="J231" s="28"/>
    </row>
    <row r="232" ht="22.5" customHeight="1">
      <c r="A232" s="76" t="s">
        <v>1921</v>
      </c>
      <c r="B232" s="88" t="s">
        <v>1823</v>
      </c>
      <c r="C232" s="88" t="s">
        <v>1916</v>
      </c>
      <c r="D232" s="88" t="s">
        <v>1917</v>
      </c>
      <c r="E232" s="88" t="s">
        <v>1830</v>
      </c>
      <c r="F232" s="88">
        <v>6.4</v>
      </c>
      <c r="G232" s="88">
        <v>325.0</v>
      </c>
      <c r="H232" s="89" t="s">
        <v>1918</v>
      </c>
      <c r="I232" s="28"/>
      <c r="J232" s="28"/>
    </row>
    <row r="233" ht="22.5" customHeight="1">
      <c r="A233" s="76" t="s">
        <v>1922</v>
      </c>
      <c r="B233" s="88" t="s">
        <v>1823</v>
      </c>
      <c r="C233" s="88" t="s">
        <v>1916</v>
      </c>
      <c r="D233" s="88" t="s">
        <v>1917</v>
      </c>
      <c r="E233" s="88" t="s">
        <v>497</v>
      </c>
      <c r="F233" s="88">
        <v>6.4</v>
      </c>
      <c r="G233" s="88">
        <v>480.0</v>
      </c>
      <c r="H233" s="89" t="s">
        <v>1918</v>
      </c>
      <c r="I233" s="28"/>
      <c r="J233" s="28"/>
    </row>
    <row r="234" ht="22.5" customHeight="1">
      <c r="A234" s="76" t="s">
        <v>1923</v>
      </c>
      <c r="B234" s="88" t="s">
        <v>1823</v>
      </c>
      <c r="C234" s="88" t="s">
        <v>1916</v>
      </c>
      <c r="D234" s="88" t="s">
        <v>1917</v>
      </c>
      <c r="E234" s="88" t="s">
        <v>1833</v>
      </c>
      <c r="F234" s="88">
        <v>6.4</v>
      </c>
      <c r="G234" s="88">
        <v>480.0</v>
      </c>
      <c r="H234" s="89" t="s">
        <v>1918</v>
      </c>
      <c r="I234" s="28"/>
      <c r="J234" s="28"/>
    </row>
    <row r="235" ht="22.5" customHeight="1">
      <c r="A235" s="76" t="s">
        <v>1924</v>
      </c>
      <c r="B235" s="88" t="s">
        <v>1823</v>
      </c>
      <c r="C235" s="88" t="s">
        <v>1916</v>
      </c>
      <c r="D235" s="88" t="s">
        <v>1917</v>
      </c>
      <c r="E235" s="88" t="s">
        <v>1844</v>
      </c>
      <c r="F235" s="88">
        <v>6.4</v>
      </c>
      <c r="G235" s="88">
        <v>480.0</v>
      </c>
      <c r="H235" s="89" t="s">
        <v>1918</v>
      </c>
      <c r="I235" s="28"/>
      <c r="J235" s="28"/>
    </row>
    <row r="236" ht="22.5" customHeight="1">
      <c r="A236" s="76" t="s">
        <v>1925</v>
      </c>
      <c r="B236" s="88" t="s">
        <v>1823</v>
      </c>
      <c r="C236" s="88" t="s">
        <v>1926</v>
      </c>
      <c r="D236" s="88" t="s">
        <v>1927</v>
      </c>
      <c r="E236" s="88" t="s">
        <v>105</v>
      </c>
      <c r="F236" s="88">
        <v>6.4</v>
      </c>
      <c r="G236" s="90">
        <v>1105.0</v>
      </c>
      <c r="H236" s="89" t="s">
        <v>1928</v>
      </c>
      <c r="I236" s="28"/>
      <c r="J236" s="28"/>
    </row>
    <row r="237" ht="22.5" customHeight="1">
      <c r="A237" s="76" t="s">
        <v>1929</v>
      </c>
      <c r="B237" s="88" t="s">
        <v>1823</v>
      </c>
      <c r="C237" s="88" t="s">
        <v>1926</v>
      </c>
      <c r="D237" s="88" t="s">
        <v>1927</v>
      </c>
      <c r="E237" s="88" t="s">
        <v>103</v>
      </c>
      <c r="F237" s="88">
        <v>6.4</v>
      </c>
      <c r="G237" s="90">
        <v>1105.0</v>
      </c>
      <c r="H237" s="89" t="s">
        <v>1928</v>
      </c>
      <c r="I237" s="28"/>
      <c r="J237" s="28"/>
    </row>
    <row r="238" ht="22.5" customHeight="1">
      <c r="A238" s="76" t="s">
        <v>1930</v>
      </c>
      <c r="B238" s="88" t="s">
        <v>1823</v>
      </c>
      <c r="C238" s="88" t="s">
        <v>1926</v>
      </c>
      <c r="D238" s="88" t="s">
        <v>1927</v>
      </c>
      <c r="E238" s="88" t="s">
        <v>1457</v>
      </c>
      <c r="F238" s="88">
        <v>6.4</v>
      </c>
      <c r="G238" s="90">
        <v>1185.0</v>
      </c>
      <c r="H238" s="89" t="s">
        <v>1928</v>
      </c>
      <c r="I238" s="28"/>
      <c r="J238" s="28"/>
    </row>
    <row r="239" ht="22.5" customHeight="1">
      <c r="A239" s="76" t="s">
        <v>1931</v>
      </c>
      <c r="B239" s="88" t="s">
        <v>1823</v>
      </c>
      <c r="C239" s="88" t="s">
        <v>1926</v>
      </c>
      <c r="D239" s="88" t="s">
        <v>1927</v>
      </c>
      <c r="E239" s="88" t="s">
        <v>1830</v>
      </c>
      <c r="F239" s="88">
        <v>6.4</v>
      </c>
      <c r="G239" s="90">
        <v>1185.0</v>
      </c>
      <c r="H239" s="89" t="s">
        <v>1928</v>
      </c>
      <c r="I239" s="28"/>
      <c r="J239" s="28"/>
    </row>
    <row r="240" ht="22.5" customHeight="1">
      <c r="A240" s="76" t="s">
        <v>1932</v>
      </c>
      <c r="B240" s="88" t="s">
        <v>1823</v>
      </c>
      <c r="C240" s="88" t="s">
        <v>1926</v>
      </c>
      <c r="D240" s="88" t="s">
        <v>1927</v>
      </c>
      <c r="E240" s="88" t="s">
        <v>497</v>
      </c>
      <c r="F240" s="88">
        <v>6.4</v>
      </c>
      <c r="G240" s="90">
        <v>1755.0</v>
      </c>
      <c r="H240" s="89" t="s">
        <v>1928</v>
      </c>
      <c r="I240" s="28"/>
      <c r="J240" s="28"/>
    </row>
    <row r="241" ht="22.5" customHeight="1">
      <c r="A241" s="76" t="s">
        <v>1933</v>
      </c>
      <c r="B241" s="88" t="s">
        <v>1823</v>
      </c>
      <c r="C241" s="88" t="s">
        <v>1926</v>
      </c>
      <c r="D241" s="88" t="s">
        <v>1927</v>
      </c>
      <c r="E241" s="88" t="s">
        <v>1833</v>
      </c>
      <c r="F241" s="88">
        <v>6.4</v>
      </c>
      <c r="G241" s="90">
        <v>1755.0</v>
      </c>
      <c r="H241" s="89" t="s">
        <v>1928</v>
      </c>
      <c r="I241" s="28"/>
      <c r="J241" s="28"/>
    </row>
    <row r="242" ht="22.5" customHeight="1">
      <c r="A242" s="76" t="s">
        <v>1934</v>
      </c>
      <c r="B242" s="88" t="s">
        <v>1823</v>
      </c>
      <c r="C242" s="88" t="s">
        <v>1926</v>
      </c>
      <c r="D242" s="88" t="s">
        <v>1927</v>
      </c>
      <c r="E242" s="88" t="s">
        <v>1844</v>
      </c>
      <c r="F242" s="88">
        <v>6.4</v>
      </c>
      <c r="G242" s="90">
        <v>1755.0</v>
      </c>
      <c r="H242" s="89" t="s">
        <v>1928</v>
      </c>
      <c r="I242" s="28"/>
      <c r="J242" s="28"/>
    </row>
    <row r="243" ht="22.5" customHeight="1">
      <c r="A243" s="76" t="s">
        <v>1935</v>
      </c>
      <c r="B243" s="88" t="s">
        <v>1823</v>
      </c>
      <c r="C243" s="88" t="s">
        <v>1936</v>
      </c>
      <c r="D243" s="88" t="s">
        <v>1937</v>
      </c>
      <c r="E243" s="88" t="s">
        <v>105</v>
      </c>
      <c r="F243" s="88">
        <v>6.4</v>
      </c>
      <c r="G243" s="90">
        <v>1370.0</v>
      </c>
      <c r="H243" s="89" t="s">
        <v>1938</v>
      </c>
      <c r="I243" s="26">
        <v>24.0</v>
      </c>
      <c r="J243" s="28"/>
    </row>
    <row r="244" ht="22.5" customHeight="1">
      <c r="A244" s="76" t="s">
        <v>1939</v>
      </c>
      <c r="B244" s="88" t="s">
        <v>1823</v>
      </c>
      <c r="C244" s="88" t="s">
        <v>1936</v>
      </c>
      <c r="D244" s="88" t="s">
        <v>1937</v>
      </c>
      <c r="E244" s="88" t="s">
        <v>103</v>
      </c>
      <c r="F244" s="88">
        <v>6.4</v>
      </c>
      <c r="G244" s="90">
        <v>1370.0</v>
      </c>
      <c r="H244" s="89" t="s">
        <v>1938</v>
      </c>
      <c r="I244" s="26">
        <v>22.0</v>
      </c>
      <c r="J244" s="28"/>
    </row>
    <row r="245" ht="22.5" customHeight="1">
      <c r="A245" s="76" t="s">
        <v>1940</v>
      </c>
      <c r="B245" s="88" t="s">
        <v>1823</v>
      </c>
      <c r="C245" s="88" t="s">
        <v>1936</v>
      </c>
      <c r="D245" s="88" t="s">
        <v>1937</v>
      </c>
      <c r="E245" s="88" t="s">
        <v>1457</v>
      </c>
      <c r="F245" s="88">
        <v>6.4</v>
      </c>
      <c r="G245" s="90">
        <v>1470.0</v>
      </c>
      <c r="H245" s="89" t="s">
        <v>1938</v>
      </c>
      <c r="I245" s="26">
        <v>15.0</v>
      </c>
      <c r="J245" s="28"/>
    </row>
    <row r="246" ht="22.5" customHeight="1">
      <c r="A246" s="76" t="s">
        <v>1941</v>
      </c>
      <c r="B246" s="88" t="s">
        <v>1823</v>
      </c>
      <c r="C246" s="88" t="s">
        <v>1936</v>
      </c>
      <c r="D246" s="88" t="s">
        <v>1937</v>
      </c>
      <c r="E246" s="88" t="s">
        <v>1830</v>
      </c>
      <c r="F246" s="88">
        <v>6.4</v>
      </c>
      <c r="G246" s="90">
        <v>1470.0</v>
      </c>
      <c r="H246" s="89" t="s">
        <v>1938</v>
      </c>
      <c r="I246" s="28"/>
      <c r="J246" s="28"/>
    </row>
    <row r="247" ht="22.5" customHeight="1">
      <c r="A247" s="76" t="s">
        <v>1942</v>
      </c>
      <c r="B247" s="88" t="s">
        <v>1823</v>
      </c>
      <c r="C247" s="88" t="s">
        <v>1936</v>
      </c>
      <c r="D247" s="88" t="s">
        <v>1937</v>
      </c>
      <c r="E247" s="88" t="s">
        <v>497</v>
      </c>
      <c r="F247" s="88">
        <v>6.4</v>
      </c>
      <c r="G247" s="90">
        <v>2170.0</v>
      </c>
      <c r="H247" s="89" t="s">
        <v>1938</v>
      </c>
      <c r="I247" s="28"/>
      <c r="J247" s="28"/>
    </row>
    <row r="248" ht="22.5" customHeight="1">
      <c r="A248" s="76" t="s">
        <v>1943</v>
      </c>
      <c r="B248" s="88" t="s">
        <v>1823</v>
      </c>
      <c r="C248" s="88" t="s">
        <v>1936</v>
      </c>
      <c r="D248" s="88" t="s">
        <v>1937</v>
      </c>
      <c r="E248" s="88" t="s">
        <v>1833</v>
      </c>
      <c r="F248" s="88">
        <v>6.4</v>
      </c>
      <c r="G248" s="90">
        <v>2170.0</v>
      </c>
      <c r="H248" s="89" t="s">
        <v>1938</v>
      </c>
      <c r="I248" s="28"/>
      <c r="J248" s="28"/>
    </row>
    <row r="249" ht="22.5" customHeight="1">
      <c r="A249" s="76" t="s">
        <v>1944</v>
      </c>
      <c r="B249" s="88" t="s">
        <v>1823</v>
      </c>
      <c r="C249" s="88" t="s">
        <v>1936</v>
      </c>
      <c r="D249" s="88" t="s">
        <v>1937</v>
      </c>
      <c r="E249" s="88" t="s">
        <v>1844</v>
      </c>
      <c r="F249" s="88">
        <v>6.4</v>
      </c>
      <c r="G249" s="90">
        <v>2170.0</v>
      </c>
      <c r="H249" s="89" t="s">
        <v>1938</v>
      </c>
      <c r="I249" s="28"/>
      <c r="J249" s="28"/>
    </row>
    <row r="250" ht="22.5" customHeight="1">
      <c r="A250" s="76" t="s">
        <v>1945</v>
      </c>
      <c r="B250" s="88" t="s">
        <v>1823</v>
      </c>
      <c r="C250" s="88" t="s">
        <v>1946</v>
      </c>
      <c r="D250" s="88" t="s">
        <v>1947</v>
      </c>
      <c r="E250" s="88" t="s">
        <v>105</v>
      </c>
      <c r="F250" s="88">
        <v>6.4</v>
      </c>
      <c r="G250" s="90">
        <v>1075.0</v>
      </c>
      <c r="H250" s="89" t="s">
        <v>1948</v>
      </c>
      <c r="I250" s="28"/>
      <c r="J250" s="28"/>
    </row>
    <row r="251" ht="22.5" customHeight="1">
      <c r="A251" s="76" t="s">
        <v>1949</v>
      </c>
      <c r="B251" s="88" t="s">
        <v>1823</v>
      </c>
      <c r="C251" s="88" t="s">
        <v>1946</v>
      </c>
      <c r="D251" s="88" t="s">
        <v>1947</v>
      </c>
      <c r="E251" s="88" t="s">
        <v>103</v>
      </c>
      <c r="F251" s="88">
        <v>6.4</v>
      </c>
      <c r="G251" s="90">
        <v>1075.0</v>
      </c>
      <c r="H251" s="89" t="s">
        <v>1948</v>
      </c>
      <c r="I251" s="28"/>
      <c r="J251" s="28"/>
    </row>
    <row r="252" ht="22.5" customHeight="1">
      <c r="A252" s="76" t="s">
        <v>1950</v>
      </c>
      <c r="B252" s="88" t="s">
        <v>1823</v>
      </c>
      <c r="C252" s="88" t="s">
        <v>1946</v>
      </c>
      <c r="D252" s="88" t="s">
        <v>1947</v>
      </c>
      <c r="E252" s="88" t="s">
        <v>1457</v>
      </c>
      <c r="F252" s="88">
        <v>6.4</v>
      </c>
      <c r="G252" s="90">
        <v>1150.0</v>
      </c>
      <c r="H252" s="89" t="s">
        <v>1948</v>
      </c>
      <c r="I252" s="28"/>
      <c r="J252" s="28"/>
    </row>
    <row r="253" ht="22.5" customHeight="1">
      <c r="A253" s="76" t="s">
        <v>1951</v>
      </c>
      <c r="B253" s="88" t="s">
        <v>1823</v>
      </c>
      <c r="C253" s="88" t="s">
        <v>1946</v>
      </c>
      <c r="D253" s="88" t="s">
        <v>1947</v>
      </c>
      <c r="E253" s="88" t="s">
        <v>1830</v>
      </c>
      <c r="F253" s="88">
        <v>6.4</v>
      </c>
      <c r="G253" s="90">
        <v>1150.0</v>
      </c>
      <c r="H253" s="89" t="s">
        <v>1948</v>
      </c>
      <c r="I253" s="28"/>
      <c r="J253" s="28"/>
    </row>
    <row r="254" ht="22.5" customHeight="1">
      <c r="A254" s="76" t="s">
        <v>1952</v>
      </c>
      <c r="B254" s="88" t="s">
        <v>1823</v>
      </c>
      <c r="C254" s="88" t="s">
        <v>1946</v>
      </c>
      <c r="D254" s="88" t="s">
        <v>1947</v>
      </c>
      <c r="E254" s="88" t="s">
        <v>497</v>
      </c>
      <c r="F254" s="88">
        <v>6.4</v>
      </c>
      <c r="G254" s="90">
        <v>1700.0</v>
      </c>
      <c r="H254" s="89" t="s">
        <v>1948</v>
      </c>
      <c r="I254" s="28"/>
      <c r="J254" s="28"/>
    </row>
    <row r="255" ht="22.5" customHeight="1">
      <c r="A255" s="76" t="s">
        <v>1953</v>
      </c>
      <c r="B255" s="88" t="s">
        <v>1823</v>
      </c>
      <c r="C255" s="88" t="s">
        <v>1946</v>
      </c>
      <c r="D255" s="88" t="s">
        <v>1947</v>
      </c>
      <c r="E255" s="88" t="s">
        <v>1833</v>
      </c>
      <c r="F255" s="88">
        <v>6.4</v>
      </c>
      <c r="G255" s="90">
        <v>1700.0</v>
      </c>
      <c r="H255" s="89" t="s">
        <v>1948</v>
      </c>
      <c r="I255" s="28"/>
      <c r="J255" s="28"/>
    </row>
    <row r="256" ht="22.5" customHeight="1">
      <c r="A256" s="76" t="s">
        <v>1954</v>
      </c>
      <c r="B256" s="88" t="s">
        <v>1823</v>
      </c>
      <c r="C256" s="88" t="s">
        <v>1946</v>
      </c>
      <c r="D256" s="88" t="s">
        <v>1947</v>
      </c>
      <c r="E256" s="88" t="s">
        <v>1844</v>
      </c>
      <c r="F256" s="88">
        <v>6.4</v>
      </c>
      <c r="G256" s="90">
        <v>1700.0</v>
      </c>
      <c r="H256" s="89" t="s">
        <v>1948</v>
      </c>
      <c r="I256" s="28"/>
      <c r="J256" s="28"/>
    </row>
    <row r="257" ht="22.5" customHeight="1">
      <c r="A257" s="76" t="s">
        <v>1955</v>
      </c>
      <c r="B257" s="88" t="s">
        <v>1823</v>
      </c>
      <c r="C257" s="88" t="s">
        <v>1956</v>
      </c>
      <c r="D257" s="88" t="s">
        <v>1957</v>
      </c>
      <c r="E257" s="88" t="s">
        <v>105</v>
      </c>
      <c r="F257" s="88">
        <v>6.4</v>
      </c>
      <c r="G257" s="88">
        <v>285.0</v>
      </c>
      <c r="H257" s="89" t="s">
        <v>1958</v>
      </c>
      <c r="I257" s="26">
        <v>20.0</v>
      </c>
      <c r="J257" s="28"/>
    </row>
    <row r="258" ht="22.5" customHeight="1">
      <c r="A258" s="76" t="s">
        <v>1959</v>
      </c>
      <c r="B258" s="88" t="s">
        <v>1823</v>
      </c>
      <c r="C258" s="88" t="s">
        <v>1956</v>
      </c>
      <c r="D258" s="88" t="s">
        <v>1957</v>
      </c>
      <c r="E258" s="88" t="s">
        <v>103</v>
      </c>
      <c r="F258" s="88">
        <v>6.4</v>
      </c>
      <c r="G258" s="88">
        <v>285.0</v>
      </c>
      <c r="H258" s="89" t="s">
        <v>1958</v>
      </c>
      <c r="I258" s="26">
        <v>20.0</v>
      </c>
      <c r="J258" s="28"/>
    </row>
    <row r="259" ht="22.5" customHeight="1">
      <c r="A259" s="76" t="s">
        <v>1960</v>
      </c>
      <c r="B259" s="88" t="s">
        <v>1823</v>
      </c>
      <c r="C259" s="88" t="s">
        <v>1956</v>
      </c>
      <c r="D259" s="88" t="s">
        <v>1957</v>
      </c>
      <c r="E259" s="88" t="s">
        <v>1457</v>
      </c>
      <c r="F259" s="88">
        <v>6.4</v>
      </c>
      <c r="G259" s="88">
        <v>310.0</v>
      </c>
      <c r="H259" s="89" t="s">
        <v>1958</v>
      </c>
      <c r="I259" s="26">
        <v>10.0</v>
      </c>
      <c r="J259" s="28"/>
    </row>
    <row r="260" ht="22.5" customHeight="1">
      <c r="A260" s="76" t="s">
        <v>1961</v>
      </c>
      <c r="B260" s="88" t="s">
        <v>1823</v>
      </c>
      <c r="C260" s="88" t="s">
        <v>1956</v>
      </c>
      <c r="D260" s="88" t="s">
        <v>1957</v>
      </c>
      <c r="E260" s="88" t="s">
        <v>1830</v>
      </c>
      <c r="F260" s="88">
        <v>6.4</v>
      </c>
      <c r="G260" s="88">
        <v>310.0</v>
      </c>
      <c r="H260" s="89" t="s">
        <v>1958</v>
      </c>
      <c r="I260" s="28"/>
      <c r="J260" s="28"/>
    </row>
    <row r="261" ht="22.5" customHeight="1">
      <c r="A261" s="76" t="s">
        <v>1962</v>
      </c>
      <c r="B261" s="88" t="s">
        <v>1823</v>
      </c>
      <c r="C261" s="88" t="s">
        <v>1956</v>
      </c>
      <c r="D261" s="88" t="s">
        <v>1957</v>
      </c>
      <c r="E261" s="88" t="s">
        <v>497</v>
      </c>
      <c r="F261" s="88">
        <v>6.4</v>
      </c>
      <c r="G261" s="88">
        <v>455.0</v>
      </c>
      <c r="H261" s="89" t="s">
        <v>1958</v>
      </c>
      <c r="I261" s="28"/>
      <c r="J261" s="28"/>
    </row>
    <row r="262" ht="22.5" customHeight="1">
      <c r="A262" s="76" t="s">
        <v>1963</v>
      </c>
      <c r="B262" s="88" t="s">
        <v>1823</v>
      </c>
      <c r="C262" s="88" t="s">
        <v>1956</v>
      </c>
      <c r="D262" s="88" t="s">
        <v>1957</v>
      </c>
      <c r="E262" s="88" t="s">
        <v>1833</v>
      </c>
      <c r="F262" s="88">
        <v>6.4</v>
      </c>
      <c r="G262" s="88">
        <v>455.0</v>
      </c>
      <c r="H262" s="89" t="s">
        <v>1958</v>
      </c>
      <c r="I262" s="28"/>
      <c r="J262" s="28"/>
    </row>
    <row r="263" ht="22.5" customHeight="1">
      <c r="A263" s="76" t="s">
        <v>1964</v>
      </c>
      <c r="B263" s="88" t="s">
        <v>1823</v>
      </c>
      <c r="C263" s="88" t="s">
        <v>1956</v>
      </c>
      <c r="D263" s="88" t="s">
        <v>1957</v>
      </c>
      <c r="E263" s="88" t="s">
        <v>1844</v>
      </c>
      <c r="F263" s="88">
        <v>6.4</v>
      </c>
      <c r="G263" s="88">
        <v>455.0</v>
      </c>
      <c r="H263" s="89" t="s">
        <v>1958</v>
      </c>
      <c r="I263" s="28"/>
      <c r="J263" s="28"/>
    </row>
    <row r="264" ht="22.5" customHeight="1">
      <c r="A264" s="76" t="s">
        <v>1965</v>
      </c>
      <c r="B264" s="88" t="s">
        <v>1823</v>
      </c>
      <c r="C264" s="88" t="s">
        <v>1966</v>
      </c>
      <c r="D264" s="88" t="s">
        <v>1967</v>
      </c>
      <c r="E264" s="88" t="s">
        <v>105</v>
      </c>
      <c r="F264" s="88">
        <v>6.4</v>
      </c>
      <c r="G264" s="88">
        <v>490.0</v>
      </c>
      <c r="H264" s="89" t="s">
        <v>1968</v>
      </c>
      <c r="I264" s="26">
        <v>6.0</v>
      </c>
      <c r="J264" s="28"/>
    </row>
    <row r="265" ht="22.5" customHeight="1">
      <c r="A265" s="76" t="s">
        <v>1969</v>
      </c>
      <c r="B265" s="88" t="s">
        <v>1823</v>
      </c>
      <c r="C265" s="88" t="s">
        <v>1966</v>
      </c>
      <c r="D265" s="88" t="s">
        <v>1967</v>
      </c>
      <c r="E265" s="88" t="s">
        <v>103</v>
      </c>
      <c r="F265" s="88">
        <v>6.4</v>
      </c>
      <c r="G265" s="88">
        <v>490.0</v>
      </c>
      <c r="H265" s="89" t="s">
        <v>1968</v>
      </c>
      <c r="I265" s="26">
        <v>10.0</v>
      </c>
      <c r="J265" s="28"/>
    </row>
    <row r="266" ht="22.5" customHeight="1">
      <c r="A266" s="76" t="s">
        <v>1970</v>
      </c>
      <c r="B266" s="88" t="s">
        <v>1823</v>
      </c>
      <c r="C266" s="88" t="s">
        <v>1966</v>
      </c>
      <c r="D266" s="88" t="s">
        <v>1967</v>
      </c>
      <c r="E266" s="88" t="s">
        <v>1457</v>
      </c>
      <c r="F266" s="88">
        <v>6.4</v>
      </c>
      <c r="G266" s="88">
        <v>525.0</v>
      </c>
      <c r="H266" s="89" t="s">
        <v>1968</v>
      </c>
      <c r="I266" s="26">
        <v>6.0</v>
      </c>
      <c r="J266" s="28"/>
    </row>
    <row r="267" ht="22.5" customHeight="1">
      <c r="A267" s="76" t="s">
        <v>1971</v>
      </c>
      <c r="B267" s="88" t="s">
        <v>1823</v>
      </c>
      <c r="C267" s="88" t="s">
        <v>1966</v>
      </c>
      <c r="D267" s="88" t="s">
        <v>1967</v>
      </c>
      <c r="E267" s="88" t="s">
        <v>1830</v>
      </c>
      <c r="F267" s="88">
        <v>6.4</v>
      </c>
      <c r="G267" s="88">
        <v>525.0</v>
      </c>
      <c r="H267" s="89" t="s">
        <v>1968</v>
      </c>
      <c r="I267" s="28"/>
      <c r="J267" s="28"/>
    </row>
    <row r="268" ht="22.5" customHeight="1">
      <c r="A268" s="76" t="s">
        <v>1972</v>
      </c>
      <c r="B268" s="88" t="s">
        <v>1823</v>
      </c>
      <c r="C268" s="88" t="s">
        <v>1966</v>
      </c>
      <c r="D268" s="88" t="s">
        <v>1967</v>
      </c>
      <c r="E268" s="88" t="s">
        <v>497</v>
      </c>
      <c r="F268" s="88">
        <v>6.4</v>
      </c>
      <c r="G268" s="88">
        <v>775.0</v>
      </c>
      <c r="H268" s="89" t="s">
        <v>1968</v>
      </c>
      <c r="I268" s="28"/>
      <c r="J268" s="28"/>
    </row>
    <row r="269" ht="22.5" customHeight="1">
      <c r="A269" s="76" t="s">
        <v>1973</v>
      </c>
      <c r="B269" s="88" t="s">
        <v>1823</v>
      </c>
      <c r="C269" s="88" t="s">
        <v>1966</v>
      </c>
      <c r="D269" s="88" t="s">
        <v>1967</v>
      </c>
      <c r="E269" s="88" t="s">
        <v>1833</v>
      </c>
      <c r="F269" s="88">
        <v>6.4</v>
      </c>
      <c r="G269" s="88">
        <v>775.0</v>
      </c>
      <c r="H269" s="89" t="s">
        <v>1968</v>
      </c>
      <c r="I269" s="28"/>
      <c r="J269" s="28"/>
    </row>
    <row r="270" ht="22.5" customHeight="1">
      <c r="A270" s="76" t="s">
        <v>1974</v>
      </c>
      <c r="B270" s="88" t="s">
        <v>1823</v>
      </c>
      <c r="C270" s="88" t="s">
        <v>1966</v>
      </c>
      <c r="D270" s="88" t="s">
        <v>1967</v>
      </c>
      <c r="E270" s="88" t="s">
        <v>1844</v>
      </c>
      <c r="F270" s="88">
        <v>6.4</v>
      </c>
      <c r="G270" s="88">
        <v>775.0</v>
      </c>
      <c r="H270" s="89" t="s">
        <v>1968</v>
      </c>
      <c r="I270" s="28"/>
      <c r="J270" s="28"/>
    </row>
    <row r="271" ht="22.5" customHeight="1">
      <c r="A271" s="76" t="s">
        <v>1975</v>
      </c>
      <c r="B271" s="88" t="s">
        <v>1823</v>
      </c>
      <c r="C271" s="88" t="s">
        <v>1976</v>
      </c>
      <c r="D271" s="88" t="s">
        <v>1977</v>
      </c>
      <c r="E271" s="88" t="s">
        <v>105</v>
      </c>
      <c r="F271" s="88">
        <v>6.4</v>
      </c>
      <c r="G271" s="88">
        <v>395.0</v>
      </c>
      <c r="H271" s="89" t="s">
        <v>1978</v>
      </c>
      <c r="I271" s="28"/>
      <c r="J271" s="28"/>
    </row>
    <row r="272" ht="22.5" customHeight="1">
      <c r="A272" s="76" t="s">
        <v>1979</v>
      </c>
      <c r="B272" s="88" t="s">
        <v>1823</v>
      </c>
      <c r="C272" s="88" t="s">
        <v>1976</v>
      </c>
      <c r="D272" s="88" t="s">
        <v>1977</v>
      </c>
      <c r="E272" s="88" t="s">
        <v>103</v>
      </c>
      <c r="F272" s="88">
        <v>6.4</v>
      </c>
      <c r="G272" s="88">
        <v>395.0</v>
      </c>
      <c r="H272" s="89" t="s">
        <v>1978</v>
      </c>
      <c r="I272" s="28"/>
      <c r="J272" s="28"/>
    </row>
    <row r="273" ht="22.5" customHeight="1">
      <c r="A273" s="76" t="s">
        <v>1980</v>
      </c>
      <c r="B273" s="88" t="s">
        <v>1823</v>
      </c>
      <c r="C273" s="88" t="s">
        <v>1976</v>
      </c>
      <c r="D273" s="88" t="s">
        <v>1977</v>
      </c>
      <c r="E273" s="88" t="s">
        <v>1457</v>
      </c>
      <c r="F273" s="88">
        <v>6.4</v>
      </c>
      <c r="G273" s="88">
        <v>425.0</v>
      </c>
      <c r="H273" s="89" t="s">
        <v>1978</v>
      </c>
      <c r="I273" s="28"/>
      <c r="J273" s="28"/>
    </row>
    <row r="274" ht="22.5" customHeight="1">
      <c r="A274" s="76" t="s">
        <v>1981</v>
      </c>
      <c r="B274" s="88" t="s">
        <v>1823</v>
      </c>
      <c r="C274" s="88" t="s">
        <v>1976</v>
      </c>
      <c r="D274" s="88" t="s">
        <v>1977</v>
      </c>
      <c r="E274" s="88" t="s">
        <v>1830</v>
      </c>
      <c r="F274" s="88">
        <v>6.4</v>
      </c>
      <c r="G274" s="88">
        <v>425.0</v>
      </c>
      <c r="H274" s="89" t="s">
        <v>1978</v>
      </c>
      <c r="I274" s="28"/>
      <c r="J274" s="28"/>
    </row>
    <row r="275" ht="22.5" customHeight="1">
      <c r="A275" s="76" t="s">
        <v>1982</v>
      </c>
      <c r="B275" s="88" t="s">
        <v>1823</v>
      </c>
      <c r="C275" s="88" t="s">
        <v>1976</v>
      </c>
      <c r="D275" s="88" t="s">
        <v>1977</v>
      </c>
      <c r="E275" s="88" t="s">
        <v>497</v>
      </c>
      <c r="F275" s="88">
        <v>6.4</v>
      </c>
      <c r="G275" s="88">
        <v>630.0</v>
      </c>
      <c r="H275" s="89" t="s">
        <v>1978</v>
      </c>
      <c r="I275" s="28"/>
      <c r="J275" s="28"/>
    </row>
    <row r="276" ht="22.5" customHeight="1">
      <c r="A276" s="76" t="s">
        <v>1983</v>
      </c>
      <c r="B276" s="88" t="s">
        <v>1823</v>
      </c>
      <c r="C276" s="88" t="s">
        <v>1976</v>
      </c>
      <c r="D276" s="88" t="s">
        <v>1977</v>
      </c>
      <c r="E276" s="88" t="s">
        <v>1833</v>
      </c>
      <c r="F276" s="88">
        <v>6.4</v>
      </c>
      <c r="G276" s="88">
        <v>630.0</v>
      </c>
      <c r="H276" s="89" t="s">
        <v>1978</v>
      </c>
      <c r="I276" s="28"/>
      <c r="J276" s="28"/>
    </row>
    <row r="277" ht="22.5" customHeight="1">
      <c r="A277" s="76" t="s">
        <v>1984</v>
      </c>
      <c r="B277" s="88" t="s">
        <v>1823</v>
      </c>
      <c r="C277" s="88" t="s">
        <v>1976</v>
      </c>
      <c r="D277" s="88" t="s">
        <v>1977</v>
      </c>
      <c r="E277" s="88" t="s">
        <v>1844</v>
      </c>
      <c r="F277" s="88">
        <v>6.4</v>
      </c>
      <c r="G277" s="88">
        <v>630.0</v>
      </c>
      <c r="H277" s="89" t="s">
        <v>1978</v>
      </c>
      <c r="I277" s="28"/>
      <c r="J277" s="28"/>
    </row>
    <row r="278" ht="22.5" customHeight="1">
      <c r="A278" s="76" t="s">
        <v>1985</v>
      </c>
      <c r="B278" s="88" t="s">
        <v>1823</v>
      </c>
      <c r="C278" s="88" t="s">
        <v>1986</v>
      </c>
      <c r="D278" s="88" t="s">
        <v>1987</v>
      </c>
      <c r="E278" s="88" t="s">
        <v>105</v>
      </c>
      <c r="F278" s="88">
        <v>6.4</v>
      </c>
      <c r="G278" s="88">
        <v>455.0</v>
      </c>
      <c r="H278" s="89" t="s">
        <v>1988</v>
      </c>
      <c r="I278" s="28"/>
      <c r="J278" s="28"/>
    </row>
    <row r="279" ht="22.5" customHeight="1">
      <c r="A279" s="76" t="s">
        <v>1989</v>
      </c>
      <c r="B279" s="88" t="s">
        <v>1823</v>
      </c>
      <c r="C279" s="88" t="s">
        <v>1986</v>
      </c>
      <c r="D279" s="88" t="s">
        <v>1987</v>
      </c>
      <c r="E279" s="88" t="s">
        <v>103</v>
      </c>
      <c r="F279" s="88">
        <v>6.4</v>
      </c>
      <c r="G279" s="88">
        <v>455.0</v>
      </c>
      <c r="H279" s="89" t="s">
        <v>1988</v>
      </c>
      <c r="I279" s="26">
        <v>10.0</v>
      </c>
      <c r="J279" s="28"/>
    </row>
    <row r="280" ht="22.5" customHeight="1">
      <c r="A280" s="76" t="s">
        <v>1990</v>
      </c>
      <c r="B280" s="88" t="s">
        <v>1823</v>
      </c>
      <c r="C280" s="88" t="s">
        <v>1986</v>
      </c>
      <c r="D280" s="88" t="s">
        <v>1987</v>
      </c>
      <c r="E280" s="88" t="s">
        <v>1457</v>
      </c>
      <c r="F280" s="88">
        <v>6.4</v>
      </c>
      <c r="G280" s="88">
        <v>490.0</v>
      </c>
      <c r="H280" s="89" t="s">
        <v>1988</v>
      </c>
      <c r="I280" s="26">
        <v>10.0</v>
      </c>
      <c r="J280" s="28"/>
    </row>
    <row r="281" ht="22.5" customHeight="1">
      <c r="A281" s="76" t="s">
        <v>1991</v>
      </c>
      <c r="B281" s="88" t="s">
        <v>1823</v>
      </c>
      <c r="C281" s="88" t="s">
        <v>1986</v>
      </c>
      <c r="D281" s="88" t="s">
        <v>1987</v>
      </c>
      <c r="E281" s="88" t="s">
        <v>1830</v>
      </c>
      <c r="F281" s="88">
        <v>6.4</v>
      </c>
      <c r="G281" s="88">
        <v>490.0</v>
      </c>
      <c r="H281" s="89" t="s">
        <v>1988</v>
      </c>
      <c r="I281" s="28"/>
      <c r="J281" s="28"/>
    </row>
    <row r="282" ht="22.5" customHeight="1">
      <c r="A282" s="76" t="s">
        <v>1992</v>
      </c>
      <c r="B282" s="88" t="s">
        <v>1823</v>
      </c>
      <c r="C282" s="88" t="s">
        <v>1986</v>
      </c>
      <c r="D282" s="88" t="s">
        <v>1987</v>
      </c>
      <c r="E282" s="88" t="s">
        <v>497</v>
      </c>
      <c r="F282" s="88">
        <v>6.4</v>
      </c>
      <c r="G282" s="88">
        <v>795.0</v>
      </c>
      <c r="H282" s="89" t="s">
        <v>1988</v>
      </c>
      <c r="I282" s="28"/>
      <c r="J282" s="28"/>
    </row>
    <row r="283" ht="22.5" customHeight="1">
      <c r="A283" s="76" t="s">
        <v>1993</v>
      </c>
      <c r="B283" s="88" t="s">
        <v>1823</v>
      </c>
      <c r="C283" s="88" t="s">
        <v>1986</v>
      </c>
      <c r="D283" s="88" t="s">
        <v>1987</v>
      </c>
      <c r="E283" s="88" t="s">
        <v>1833</v>
      </c>
      <c r="F283" s="88">
        <v>6.4</v>
      </c>
      <c r="G283" s="88">
        <v>725.0</v>
      </c>
      <c r="H283" s="89" t="s">
        <v>1988</v>
      </c>
      <c r="I283" s="28"/>
      <c r="J283" s="28"/>
    </row>
    <row r="284" ht="22.5" customHeight="1">
      <c r="A284" s="76" t="s">
        <v>1994</v>
      </c>
      <c r="B284" s="88" t="s">
        <v>1823</v>
      </c>
      <c r="C284" s="88" t="s">
        <v>1986</v>
      </c>
      <c r="D284" s="88" t="s">
        <v>1987</v>
      </c>
      <c r="E284" s="88"/>
      <c r="F284" s="88">
        <v>6.4</v>
      </c>
      <c r="G284" s="88">
        <v>725.0</v>
      </c>
      <c r="H284" s="89" t="s">
        <v>1988</v>
      </c>
      <c r="I284" s="28"/>
      <c r="J284" s="28"/>
    </row>
    <row r="285" ht="22.5" customHeight="1">
      <c r="A285" s="76" t="s">
        <v>1995</v>
      </c>
      <c r="B285" s="88" t="s">
        <v>1823</v>
      </c>
      <c r="C285" s="88" t="s">
        <v>1996</v>
      </c>
      <c r="D285" s="88" t="s">
        <v>1997</v>
      </c>
      <c r="E285" s="88" t="s">
        <v>105</v>
      </c>
      <c r="F285" s="88">
        <v>6.4</v>
      </c>
      <c r="G285" s="88">
        <v>625.0</v>
      </c>
      <c r="H285" s="89" t="s">
        <v>1998</v>
      </c>
      <c r="I285" s="28"/>
      <c r="J285" s="28"/>
    </row>
    <row r="286" ht="22.5" customHeight="1">
      <c r="A286" s="76" t="s">
        <v>1999</v>
      </c>
      <c r="B286" s="88" t="s">
        <v>1823</v>
      </c>
      <c r="C286" s="88" t="s">
        <v>1996</v>
      </c>
      <c r="D286" s="88" t="s">
        <v>1997</v>
      </c>
      <c r="E286" s="88" t="s">
        <v>103</v>
      </c>
      <c r="F286" s="88">
        <v>6.4</v>
      </c>
      <c r="G286" s="88">
        <v>625.0</v>
      </c>
      <c r="H286" s="89" t="s">
        <v>1998</v>
      </c>
      <c r="I286" s="28"/>
      <c r="J286" s="28"/>
    </row>
    <row r="287" ht="22.5" customHeight="1">
      <c r="A287" s="76" t="s">
        <v>2000</v>
      </c>
      <c r="B287" s="88" t="s">
        <v>1823</v>
      </c>
      <c r="C287" s="88" t="s">
        <v>1996</v>
      </c>
      <c r="D287" s="88" t="s">
        <v>1997</v>
      </c>
      <c r="E287" s="88" t="s">
        <v>1457</v>
      </c>
      <c r="F287" s="88">
        <v>6.4</v>
      </c>
      <c r="G287" s="88">
        <v>670.0</v>
      </c>
      <c r="H287" s="89" t="s">
        <v>1998</v>
      </c>
      <c r="I287" s="28"/>
      <c r="J287" s="28"/>
    </row>
    <row r="288" ht="22.5" customHeight="1">
      <c r="A288" s="76" t="s">
        <v>2001</v>
      </c>
      <c r="B288" s="88" t="s">
        <v>1823</v>
      </c>
      <c r="C288" s="88" t="s">
        <v>1996</v>
      </c>
      <c r="D288" s="88" t="s">
        <v>1997</v>
      </c>
      <c r="E288" s="88" t="s">
        <v>1830</v>
      </c>
      <c r="F288" s="88">
        <v>6.4</v>
      </c>
      <c r="G288" s="88">
        <v>670.0</v>
      </c>
      <c r="H288" s="89" t="s">
        <v>1998</v>
      </c>
      <c r="I288" s="28"/>
      <c r="J288" s="28"/>
    </row>
    <row r="289" ht="22.5" customHeight="1">
      <c r="A289" s="76" t="s">
        <v>2002</v>
      </c>
      <c r="B289" s="88" t="s">
        <v>1823</v>
      </c>
      <c r="C289" s="88" t="s">
        <v>1996</v>
      </c>
      <c r="D289" s="88" t="s">
        <v>1997</v>
      </c>
      <c r="E289" s="88" t="s">
        <v>497</v>
      </c>
      <c r="F289" s="88">
        <v>6.4</v>
      </c>
      <c r="G289" s="88">
        <v>990.0</v>
      </c>
      <c r="H289" s="89" t="s">
        <v>1998</v>
      </c>
      <c r="I289" s="28"/>
      <c r="J289" s="28"/>
    </row>
    <row r="290" ht="22.5" customHeight="1">
      <c r="A290" s="76" t="s">
        <v>2003</v>
      </c>
      <c r="B290" s="88" t="s">
        <v>1823</v>
      </c>
      <c r="C290" s="88" t="s">
        <v>1996</v>
      </c>
      <c r="D290" s="88" t="s">
        <v>1997</v>
      </c>
      <c r="E290" s="88" t="s">
        <v>1833</v>
      </c>
      <c r="F290" s="88">
        <v>6.4</v>
      </c>
      <c r="G290" s="88">
        <v>990.0</v>
      </c>
      <c r="H290" s="89" t="s">
        <v>1998</v>
      </c>
      <c r="I290" s="28"/>
      <c r="J290" s="28"/>
    </row>
    <row r="291" ht="22.5" customHeight="1">
      <c r="A291" s="76" t="s">
        <v>2004</v>
      </c>
      <c r="B291" s="88" t="s">
        <v>1823</v>
      </c>
      <c r="C291" s="88" t="s">
        <v>1996</v>
      </c>
      <c r="D291" s="88" t="s">
        <v>1997</v>
      </c>
      <c r="E291" s="88" t="s">
        <v>1844</v>
      </c>
      <c r="F291" s="88">
        <v>6.4</v>
      </c>
      <c r="G291" s="88">
        <v>990.0</v>
      </c>
      <c r="H291" s="89" t="s">
        <v>1998</v>
      </c>
      <c r="I291" s="28"/>
      <c r="J291" s="28"/>
    </row>
    <row r="292" ht="22.5" customHeight="1">
      <c r="A292" s="76" t="s">
        <v>2005</v>
      </c>
      <c r="B292" s="88" t="s">
        <v>1823</v>
      </c>
      <c r="C292" s="88" t="s">
        <v>2006</v>
      </c>
      <c r="D292" s="88" t="s">
        <v>2007</v>
      </c>
      <c r="E292" s="88" t="s">
        <v>105</v>
      </c>
      <c r="F292" s="88">
        <v>6.4</v>
      </c>
      <c r="G292" s="88">
        <v>750.0</v>
      </c>
      <c r="H292" s="89" t="s">
        <v>2008</v>
      </c>
      <c r="I292" s="28"/>
      <c r="J292" s="28"/>
    </row>
    <row r="293" ht="22.5" customHeight="1">
      <c r="A293" s="76" t="s">
        <v>2009</v>
      </c>
      <c r="B293" s="88" t="s">
        <v>1823</v>
      </c>
      <c r="C293" s="88" t="s">
        <v>2006</v>
      </c>
      <c r="D293" s="88" t="s">
        <v>2007</v>
      </c>
      <c r="E293" s="88" t="s">
        <v>103</v>
      </c>
      <c r="F293" s="88">
        <v>6.4</v>
      </c>
      <c r="G293" s="88">
        <v>750.0</v>
      </c>
      <c r="H293" s="89" t="s">
        <v>2008</v>
      </c>
      <c r="I293" s="26">
        <v>5.0</v>
      </c>
      <c r="J293" s="28"/>
    </row>
    <row r="294" ht="22.5" customHeight="1">
      <c r="A294" s="76" t="s">
        <v>2010</v>
      </c>
      <c r="B294" s="88" t="s">
        <v>1823</v>
      </c>
      <c r="C294" s="88" t="s">
        <v>2006</v>
      </c>
      <c r="D294" s="88" t="s">
        <v>2007</v>
      </c>
      <c r="E294" s="88" t="s">
        <v>1457</v>
      </c>
      <c r="F294" s="88">
        <v>6.4</v>
      </c>
      <c r="G294" s="88">
        <v>805.0</v>
      </c>
      <c r="H294" s="89" t="s">
        <v>2008</v>
      </c>
      <c r="I294" s="26">
        <v>6.0</v>
      </c>
      <c r="J294" s="28"/>
    </row>
    <row r="295" ht="22.5" customHeight="1">
      <c r="A295" s="76" t="s">
        <v>2011</v>
      </c>
      <c r="B295" s="88" t="s">
        <v>1823</v>
      </c>
      <c r="C295" s="88" t="s">
        <v>2006</v>
      </c>
      <c r="D295" s="88" t="s">
        <v>2007</v>
      </c>
      <c r="E295" s="88" t="s">
        <v>1830</v>
      </c>
      <c r="F295" s="88">
        <v>6.4</v>
      </c>
      <c r="G295" s="88">
        <v>805.0</v>
      </c>
      <c r="H295" s="89" t="s">
        <v>2008</v>
      </c>
      <c r="I295" s="28"/>
      <c r="J295" s="28"/>
    </row>
    <row r="296" ht="22.5" customHeight="1">
      <c r="A296" s="76" t="s">
        <v>2012</v>
      </c>
      <c r="B296" s="88" t="s">
        <v>1823</v>
      </c>
      <c r="C296" s="88" t="s">
        <v>2006</v>
      </c>
      <c r="D296" s="88" t="s">
        <v>2007</v>
      </c>
      <c r="E296" s="88" t="s">
        <v>497</v>
      </c>
      <c r="F296" s="88">
        <v>6.4</v>
      </c>
      <c r="G296" s="90">
        <v>1190.0</v>
      </c>
      <c r="H296" s="89" t="s">
        <v>2008</v>
      </c>
      <c r="I296" s="28"/>
      <c r="J296" s="28"/>
    </row>
    <row r="297" ht="22.5" customHeight="1">
      <c r="A297" s="76" t="s">
        <v>2013</v>
      </c>
      <c r="B297" s="88" t="s">
        <v>1823</v>
      </c>
      <c r="C297" s="88" t="s">
        <v>2006</v>
      </c>
      <c r="D297" s="88" t="s">
        <v>2007</v>
      </c>
      <c r="E297" s="88" t="s">
        <v>1833</v>
      </c>
      <c r="F297" s="88">
        <v>6.4</v>
      </c>
      <c r="G297" s="90">
        <v>1190.0</v>
      </c>
      <c r="H297" s="89" t="s">
        <v>2008</v>
      </c>
      <c r="I297" s="28"/>
      <c r="J297" s="28"/>
    </row>
    <row r="298" ht="22.5" customHeight="1">
      <c r="A298" s="76" t="s">
        <v>2014</v>
      </c>
      <c r="B298" s="88" t="s">
        <v>1823</v>
      </c>
      <c r="C298" s="88" t="s">
        <v>2006</v>
      </c>
      <c r="D298" s="88" t="s">
        <v>2007</v>
      </c>
      <c r="E298" s="88" t="s">
        <v>1844</v>
      </c>
      <c r="F298" s="88">
        <v>6.4</v>
      </c>
      <c r="G298" s="90">
        <v>1190.0</v>
      </c>
      <c r="H298" s="89" t="s">
        <v>2008</v>
      </c>
      <c r="I298" s="28"/>
      <c r="J298" s="28"/>
    </row>
    <row r="299" ht="22.5" customHeight="1">
      <c r="A299" s="76" t="s">
        <v>2015</v>
      </c>
      <c r="B299" s="88" t="s">
        <v>1823</v>
      </c>
      <c r="C299" s="88" t="s">
        <v>2016</v>
      </c>
      <c r="D299" s="88" t="s">
        <v>2017</v>
      </c>
      <c r="E299" s="88" t="s">
        <v>105</v>
      </c>
      <c r="F299" s="88">
        <v>6.4</v>
      </c>
      <c r="G299" s="88">
        <v>760.0</v>
      </c>
      <c r="H299" s="89" t="s">
        <v>1826</v>
      </c>
      <c r="I299" s="28"/>
      <c r="J299" s="28"/>
    </row>
    <row r="300" ht="22.5" customHeight="1">
      <c r="A300" s="76" t="s">
        <v>2018</v>
      </c>
      <c r="B300" s="88" t="s">
        <v>1823</v>
      </c>
      <c r="C300" s="88" t="s">
        <v>2016</v>
      </c>
      <c r="D300" s="88" t="s">
        <v>2017</v>
      </c>
      <c r="E300" s="88" t="s">
        <v>103</v>
      </c>
      <c r="F300" s="88">
        <v>6.4</v>
      </c>
      <c r="G300" s="88">
        <v>760.0</v>
      </c>
      <c r="H300" s="89" t="s">
        <v>1826</v>
      </c>
      <c r="I300" s="28"/>
      <c r="J300" s="28"/>
    </row>
    <row r="301" ht="22.5" customHeight="1">
      <c r="A301" s="76" t="s">
        <v>2019</v>
      </c>
      <c r="B301" s="88" t="s">
        <v>1823</v>
      </c>
      <c r="C301" s="88" t="s">
        <v>2016</v>
      </c>
      <c r="D301" s="88" t="s">
        <v>2017</v>
      </c>
      <c r="E301" s="88" t="s">
        <v>1457</v>
      </c>
      <c r="F301" s="88">
        <v>6.4</v>
      </c>
      <c r="G301" s="88">
        <v>815.0</v>
      </c>
      <c r="H301" s="89" t="s">
        <v>1826</v>
      </c>
      <c r="I301" s="28"/>
      <c r="J301" s="28"/>
    </row>
    <row r="302" ht="22.5" customHeight="1">
      <c r="A302" s="76" t="s">
        <v>2020</v>
      </c>
      <c r="B302" s="88" t="s">
        <v>1823</v>
      </c>
      <c r="C302" s="88" t="s">
        <v>2016</v>
      </c>
      <c r="D302" s="88" t="s">
        <v>2017</v>
      </c>
      <c r="E302" s="88" t="s">
        <v>1830</v>
      </c>
      <c r="F302" s="88">
        <v>6.4</v>
      </c>
      <c r="G302" s="88">
        <v>815.0</v>
      </c>
      <c r="H302" s="89" t="s">
        <v>1826</v>
      </c>
      <c r="I302" s="28"/>
      <c r="J302" s="28"/>
    </row>
    <row r="303" ht="22.5" customHeight="1">
      <c r="A303" s="76" t="s">
        <v>2021</v>
      </c>
      <c r="B303" s="88" t="s">
        <v>1823</v>
      </c>
      <c r="C303" s="88" t="s">
        <v>2016</v>
      </c>
      <c r="D303" s="88" t="s">
        <v>2017</v>
      </c>
      <c r="E303" s="88" t="s">
        <v>497</v>
      </c>
      <c r="F303" s="88">
        <v>6.4</v>
      </c>
      <c r="G303" s="90">
        <v>1205.0</v>
      </c>
      <c r="H303" s="89" t="s">
        <v>1826</v>
      </c>
      <c r="I303" s="28"/>
      <c r="J303" s="28"/>
    </row>
    <row r="304" ht="22.5" customHeight="1">
      <c r="A304" s="76" t="s">
        <v>2022</v>
      </c>
      <c r="B304" s="88" t="s">
        <v>1823</v>
      </c>
      <c r="C304" s="88" t="s">
        <v>2016</v>
      </c>
      <c r="D304" s="88" t="s">
        <v>2017</v>
      </c>
      <c r="E304" s="88" t="s">
        <v>1833</v>
      </c>
      <c r="F304" s="88">
        <v>6.4</v>
      </c>
      <c r="G304" s="90">
        <v>1205.0</v>
      </c>
      <c r="H304" s="89" t="s">
        <v>1826</v>
      </c>
      <c r="I304" s="28"/>
      <c r="J304" s="28"/>
    </row>
    <row r="305" ht="22.5" customHeight="1">
      <c r="A305" s="76" t="s">
        <v>2023</v>
      </c>
      <c r="B305" s="88" t="s">
        <v>1823</v>
      </c>
      <c r="C305" s="88" t="s">
        <v>2016</v>
      </c>
      <c r="D305" s="88" t="s">
        <v>2017</v>
      </c>
      <c r="E305" s="88" t="s">
        <v>1844</v>
      </c>
      <c r="F305" s="88">
        <v>6.4</v>
      </c>
      <c r="G305" s="90">
        <v>1205.0</v>
      </c>
      <c r="H305" s="89" t="s">
        <v>1826</v>
      </c>
      <c r="I305" s="28"/>
      <c r="J305" s="28"/>
    </row>
    <row r="306" ht="22.5" customHeight="1">
      <c r="A306" s="76" t="s">
        <v>2024</v>
      </c>
      <c r="B306" s="88" t="s">
        <v>1823</v>
      </c>
      <c r="C306" s="88" t="s">
        <v>2025</v>
      </c>
      <c r="D306" s="88" t="s">
        <v>2026</v>
      </c>
      <c r="E306" s="88" t="s">
        <v>105</v>
      </c>
      <c r="F306" s="88">
        <v>6.4</v>
      </c>
      <c r="G306" s="88">
        <v>395.0</v>
      </c>
      <c r="H306" s="89" t="s">
        <v>2027</v>
      </c>
      <c r="I306" s="26">
        <v>10.0</v>
      </c>
      <c r="J306" s="28"/>
    </row>
    <row r="307" ht="22.5" customHeight="1">
      <c r="A307" s="76" t="s">
        <v>2028</v>
      </c>
      <c r="B307" s="88" t="s">
        <v>1823</v>
      </c>
      <c r="C307" s="88" t="s">
        <v>2025</v>
      </c>
      <c r="D307" s="88" t="s">
        <v>2026</v>
      </c>
      <c r="E307" s="88" t="s">
        <v>103</v>
      </c>
      <c r="F307" s="88">
        <v>6.4</v>
      </c>
      <c r="G307" s="88">
        <v>395.0</v>
      </c>
      <c r="H307" s="89" t="s">
        <v>2027</v>
      </c>
      <c r="I307" s="26">
        <v>10.0</v>
      </c>
      <c r="J307" s="28"/>
    </row>
    <row r="308" ht="22.5" customHeight="1">
      <c r="A308" s="76" t="s">
        <v>2029</v>
      </c>
      <c r="B308" s="88" t="s">
        <v>1823</v>
      </c>
      <c r="C308" s="88" t="s">
        <v>2025</v>
      </c>
      <c r="D308" s="88" t="s">
        <v>2026</v>
      </c>
      <c r="E308" s="88" t="s">
        <v>1457</v>
      </c>
      <c r="F308" s="88">
        <v>6.4</v>
      </c>
      <c r="G308" s="88">
        <v>425.0</v>
      </c>
      <c r="H308" s="89" t="s">
        <v>2027</v>
      </c>
      <c r="I308" s="28"/>
      <c r="J308" s="28"/>
    </row>
    <row r="309" ht="22.5" customHeight="1">
      <c r="A309" s="76" t="s">
        <v>2030</v>
      </c>
      <c r="B309" s="88" t="s">
        <v>1823</v>
      </c>
      <c r="C309" s="88" t="s">
        <v>2025</v>
      </c>
      <c r="D309" s="88" t="s">
        <v>2026</v>
      </c>
      <c r="E309" s="88" t="s">
        <v>1830</v>
      </c>
      <c r="F309" s="88">
        <v>6.4</v>
      </c>
      <c r="G309" s="88">
        <v>425.0</v>
      </c>
      <c r="H309" s="89" t="s">
        <v>2027</v>
      </c>
      <c r="I309" s="28"/>
      <c r="J309" s="28"/>
    </row>
    <row r="310" ht="22.5" customHeight="1">
      <c r="A310" s="76" t="s">
        <v>2031</v>
      </c>
      <c r="B310" s="88" t="s">
        <v>1823</v>
      </c>
      <c r="C310" s="88" t="s">
        <v>2025</v>
      </c>
      <c r="D310" s="88" t="s">
        <v>2026</v>
      </c>
      <c r="E310" s="88" t="s">
        <v>497</v>
      </c>
      <c r="F310" s="88">
        <v>6.4</v>
      </c>
      <c r="G310" s="88">
        <v>630.0</v>
      </c>
      <c r="H310" s="89" t="s">
        <v>2027</v>
      </c>
      <c r="I310" s="28"/>
      <c r="J310" s="28"/>
    </row>
    <row r="311" ht="22.5" customHeight="1">
      <c r="A311" s="76" t="s">
        <v>2032</v>
      </c>
      <c r="B311" s="88" t="s">
        <v>1823</v>
      </c>
      <c r="C311" s="88" t="s">
        <v>2025</v>
      </c>
      <c r="D311" s="88" t="s">
        <v>2026</v>
      </c>
      <c r="E311" s="88" t="s">
        <v>1833</v>
      </c>
      <c r="F311" s="88">
        <v>6.4</v>
      </c>
      <c r="G311" s="88">
        <v>630.0</v>
      </c>
      <c r="H311" s="89" t="s">
        <v>2027</v>
      </c>
      <c r="I311" s="28"/>
      <c r="J311" s="28"/>
    </row>
    <row r="312" ht="22.5" customHeight="1">
      <c r="A312" s="76" t="s">
        <v>2033</v>
      </c>
      <c r="B312" s="88" t="s">
        <v>1823</v>
      </c>
      <c r="C312" s="88" t="s">
        <v>2025</v>
      </c>
      <c r="D312" s="88" t="s">
        <v>2026</v>
      </c>
      <c r="E312" s="88" t="s">
        <v>1844</v>
      </c>
      <c r="F312" s="88">
        <v>6.4</v>
      </c>
      <c r="G312" s="88">
        <v>630.0</v>
      </c>
      <c r="H312" s="89" t="s">
        <v>2027</v>
      </c>
      <c r="I312" s="28"/>
      <c r="J312" s="28"/>
    </row>
    <row r="313" ht="22.5" customHeight="1">
      <c r="A313" s="76" t="s">
        <v>2034</v>
      </c>
      <c r="B313" s="88" t="s">
        <v>1823</v>
      </c>
      <c r="C313" s="88" t="s">
        <v>2035</v>
      </c>
      <c r="D313" s="88" t="s">
        <v>2036</v>
      </c>
      <c r="E313" s="88" t="s">
        <v>105</v>
      </c>
      <c r="F313" s="88">
        <v>6.4</v>
      </c>
      <c r="G313" s="88">
        <v>750.0</v>
      </c>
      <c r="H313" s="89" t="s">
        <v>2037</v>
      </c>
      <c r="I313" s="28"/>
      <c r="J313" s="28"/>
    </row>
    <row r="314" ht="22.5" customHeight="1">
      <c r="A314" s="76" t="s">
        <v>2038</v>
      </c>
      <c r="B314" s="88" t="s">
        <v>1823</v>
      </c>
      <c r="C314" s="88" t="s">
        <v>2035</v>
      </c>
      <c r="D314" s="88" t="s">
        <v>2036</v>
      </c>
      <c r="E314" s="88" t="s">
        <v>103</v>
      </c>
      <c r="F314" s="88">
        <v>6.4</v>
      </c>
      <c r="G314" s="88">
        <v>750.0</v>
      </c>
      <c r="H314" s="89" t="s">
        <v>2037</v>
      </c>
      <c r="I314" s="28"/>
      <c r="J314" s="28"/>
    </row>
    <row r="315" ht="22.5" customHeight="1">
      <c r="A315" s="76" t="s">
        <v>2039</v>
      </c>
      <c r="B315" s="88" t="s">
        <v>1823</v>
      </c>
      <c r="C315" s="88" t="s">
        <v>2035</v>
      </c>
      <c r="D315" s="88" t="s">
        <v>2036</v>
      </c>
      <c r="E315" s="88" t="s">
        <v>1457</v>
      </c>
      <c r="F315" s="88">
        <v>6.4</v>
      </c>
      <c r="G315" s="88">
        <v>805.0</v>
      </c>
      <c r="H315" s="89" t="s">
        <v>2037</v>
      </c>
      <c r="I315" s="28"/>
      <c r="J315" s="28"/>
    </row>
    <row r="316" ht="22.5" customHeight="1">
      <c r="A316" s="76" t="s">
        <v>2040</v>
      </c>
      <c r="B316" s="88" t="s">
        <v>1823</v>
      </c>
      <c r="C316" s="88" t="s">
        <v>2035</v>
      </c>
      <c r="D316" s="88" t="s">
        <v>2036</v>
      </c>
      <c r="E316" s="88" t="s">
        <v>1830</v>
      </c>
      <c r="F316" s="88">
        <v>6.4</v>
      </c>
      <c r="G316" s="88">
        <v>805.0</v>
      </c>
      <c r="H316" s="89" t="s">
        <v>2037</v>
      </c>
      <c r="I316" s="28"/>
      <c r="J316" s="28"/>
    </row>
    <row r="317" ht="22.5" customHeight="1">
      <c r="A317" s="76" t="s">
        <v>2041</v>
      </c>
      <c r="B317" s="88" t="s">
        <v>1823</v>
      </c>
      <c r="C317" s="88" t="s">
        <v>2035</v>
      </c>
      <c r="D317" s="88" t="s">
        <v>2036</v>
      </c>
      <c r="E317" s="88" t="s">
        <v>497</v>
      </c>
      <c r="F317" s="88">
        <v>6.4</v>
      </c>
      <c r="G317" s="90">
        <v>1190.0</v>
      </c>
      <c r="H317" s="89" t="s">
        <v>2037</v>
      </c>
      <c r="I317" s="28"/>
      <c r="J317" s="28"/>
    </row>
    <row r="318" ht="22.5" customHeight="1">
      <c r="A318" s="76" t="s">
        <v>2042</v>
      </c>
      <c r="B318" s="88" t="s">
        <v>1823</v>
      </c>
      <c r="C318" s="88" t="s">
        <v>2035</v>
      </c>
      <c r="D318" s="88" t="s">
        <v>2036</v>
      </c>
      <c r="E318" s="88" t="s">
        <v>1833</v>
      </c>
      <c r="F318" s="88">
        <v>6.4</v>
      </c>
      <c r="G318" s="90">
        <v>1190.0</v>
      </c>
      <c r="H318" s="89" t="s">
        <v>2037</v>
      </c>
      <c r="I318" s="28"/>
      <c r="J318" s="28"/>
    </row>
    <row r="319" ht="22.5" customHeight="1">
      <c r="A319" s="76" t="s">
        <v>2043</v>
      </c>
      <c r="B319" s="88" t="s">
        <v>1823</v>
      </c>
      <c r="C319" s="88" t="s">
        <v>2035</v>
      </c>
      <c r="D319" s="88" t="s">
        <v>2036</v>
      </c>
      <c r="E319" s="88" t="s">
        <v>1844</v>
      </c>
      <c r="F319" s="88">
        <v>6.4</v>
      </c>
      <c r="G319" s="90">
        <v>1190.0</v>
      </c>
      <c r="H319" s="89" t="s">
        <v>2037</v>
      </c>
      <c r="I319" s="28"/>
      <c r="J319" s="28"/>
    </row>
    <row r="320" ht="22.5" customHeight="1">
      <c r="A320" s="76" t="s">
        <v>2044</v>
      </c>
      <c r="B320" s="88" t="s">
        <v>1823</v>
      </c>
      <c r="C320" s="88" t="s">
        <v>2045</v>
      </c>
      <c r="D320" s="88" t="s">
        <v>2046</v>
      </c>
      <c r="E320" s="88" t="s">
        <v>105</v>
      </c>
      <c r="F320" s="88">
        <v>6.4</v>
      </c>
      <c r="G320" s="90">
        <v>1960.0</v>
      </c>
      <c r="H320" s="89" t="s">
        <v>2047</v>
      </c>
      <c r="I320" s="28"/>
      <c r="J320" s="28"/>
    </row>
    <row r="321" ht="22.5" customHeight="1">
      <c r="A321" s="76" t="s">
        <v>2048</v>
      </c>
      <c r="B321" s="88" t="s">
        <v>1823</v>
      </c>
      <c r="C321" s="88" t="s">
        <v>2045</v>
      </c>
      <c r="D321" s="88" t="s">
        <v>2046</v>
      </c>
      <c r="E321" s="88" t="s">
        <v>103</v>
      </c>
      <c r="F321" s="88">
        <v>6.4</v>
      </c>
      <c r="G321" s="90">
        <v>1960.0</v>
      </c>
      <c r="H321" s="89" t="s">
        <v>2047</v>
      </c>
      <c r="I321" s="28"/>
      <c r="J321" s="28"/>
    </row>
    <row r="322" ht="22.5" customHeight="1">
      <c r="A322" s="76" t="s">
        <v>2049</v>
      </c>
      <c r="B322" s="88" t="s">
        <v>1823</v>
      </c>
      <c r="C322" s="88" t="s">
        <v>2045</v>
      </c>
      <c r="D322" s="88" t="s">
        <v>2046</v>
      </c>
      <c r="E322" s="88" t="s">
        <v>1457</v>
      </c>
      <c r="F322" s="88">
        <v>6.4</v>
      </c>
      <c r="G322" s="90">
        <v>2105.0</v>
      </c>
      <c r="H322" s="89" t="s">
        <v>2047</v>
      </c>
      <c r="I322" s="28"/>
      <c r="J322" s="28"/>
    </row>
    <row r="323" ht="22.5" customHeight="1">
      <c r="A323" s="76" t="s">
        <v>2050</v>
      </c>
      <c r="B323" s="88" t="s">
        <v>1823</v>
      </c>
      <c r="C323" s="88" t="s">
        <v>2045</v>
      </c>
      <c r="D323" s="88" t="s">
        <v>2046</v>
      </c>
      <c r="E323" s="88" t="s">
        <v>1830</v>
      </c>
      <c r="F323" s="88">
        <v>6.4</v>
      </c>
      <c r="G323" s="90">
        <v>2105.0</v>
      </c>
      <c r="H323" s="89" t="s">
        <v>2047</v>
      </c>
      <c r="I323" s="28"/>
      <c r="J323" s="28"/>
    </row>
    <row r="324" ht="22.5" customHeight="1">
      <c r="A324" s="76" t="s">
        <v>2051</v>
      </c>
      <c r="B324" s="88" t="s">
        <v>1823</v>
      </c>
      <c r="C324" s="88" t="s">
        <v>2045</v>
      </c>
      <c r="D324" s="88" t="s">
        <v>2046</v>
      </c>
      <c r="E324" s="88" t="s">
        <v>497</v>
      </c>
      <c r="F324" s="88">
        <v>6.4</v>
      </c>
      <c r="G324" s="90">
        <v>3105.0</v>
      </c>
      <c r="H324" s="89" t="s">
        <v>2047</v>
      </c>
      <c r="I324" s="28"/>
      <c r="J324" s="28"/>
    </row>
    <row r="325" ht="22.5" customHeight="1">
      <c r="A325" s="76" t="s">
        <v>2052</v>
      </c>
      <c r="B325" s="88" t="s">
        <v>1823</v>
      </c>
      <c r="C325" s="88" t="s">
        <v>2045</v>
      </c>
      <c r="D325" s="88" t="s">
        <v>2046</v>
      </c>
      <c r="E325" s="88" t="s">
        <v>1833</v>
      </c>
      <c r="F325" s="88">
        <v>6.4</v>
      </c>
      <c r="G325" s="90">
        <v>3105.0</v>
      </c>
      <c r="H325" s="89" t="s">
        <v>2047</v>
      </c>
      <c r="I325" s="28"/>
      <c r="J325" s="28"/>
    </row>
    <row r="326" ht="22.5" customHeight="1">
      <c r="A326" s="76" t="s">
        <v>2053</v>
      </c>
      <c r="B326" s="88" t="s">
        <v>1823</v>
      </c>
      <c r="C326" s="88" t="s">
        <v>2045</v>
      </c>
      <c r="D326" s="88" t="s">
        <v>2046</v>
      </c>
      <c r="E326" s="88" t="s">
        <v>1844</v>
      </c>
      <c r="F326" s="88">
        <v>6.4</v>
      </c>
      <c r="G326" s="90">
        <v>3105.0</v>
      </c>
      <c r="H326" s="89" t="s">
        <v>2047</v>
      </c>
      <c r="I326" s="28"/>
      <c r="J326" s="28"/>
    </row>
    <row r="327" ht="22.5" customHeight="1">
      <c r="A327" s="76" t="s">
        <v>2054</v>
      </c>
      <c r="B327" s="88" t="s">
        <v>1823</v>
      </c>
      <c r="C327" s="88" t="s">
        <v>2055</v>
      </c>
      <c r="D327" s="88" t="s">
        <v>2056</v>
      </c>
      <c r="E327" s="88" t="s">
        <v>105</v>
      </c>
      <c r="F327" s="88">
        <v>6.4</v>
      </c>
      <c r="G327" s="88">
        <v>880.0</v>
      </c>
      <c r="H327" s="98" t="s">
        <v>2057</v>
      </c>
      <c r="I327" s="99"/>
      <c r="J327" s="99"/>
    </row>
    <row r="328" ht="22.5" customHeight="1">
      <c r="A328" s="76" t="s">
        <v>2058</v>
      </c>
      <c r="B328" s="88" t="s">
        <v>1823</v>
      </c>
      <c r="C328" s="88" t="s">
        <v>2055</v>
      </c>
      <c r="D328" s="88" t="s">
        <v>2056</v>
      </c>
      <c r="E328" s="88" t="s">
        <v>103</v>
      </c>
      <c r="F328" s="88">
        <v>6.4</v>
      </c>
      <c r="G328" s="88">
        <v>880.0</v>
      </c>
      <c r="H328" s="98" t="s">
        <v>2057</v>
      </c>
      <c r="I328" s="99"/>
      <c r="J328" s="99"/>
    </row>
    <row r="329" ht="22.5" customHeight="1">
      <c r="A329" s="76" t="s">
        <v>2059</v>
      </c>
      <c r="B329" s="88" t="s">
        <v>1823</v>
      </c>
      <c r="C329" s="88" t="s">
        <v>2055</v>
      </c>
      <c r="D329" s="88" t="s">
        <v>2056</v>
      </c>
      <c r="E329" s="88" t="s">
        <v>1457</v>
      </c>
      <c r="F329" s="88">
        <v>6.4</v>
      </c>
      <c r="G329" s="88">
        <v>945.0</v>
      </c>
      <c r="H329" s="98" t="s">
        <v>2057</v>
      </c>
      <c r="I329" s="99"/>
      <c r="J329" s="99"/>
    </row>
    <row r="330" ht="22.5" customHeight="1">
      <c r="A330" s="76" t="s">
        <v>2060</v>
      </c>
      <c r="B330" s="88" t="s">
        <v>1823</v>
      </c>
      <c r="C330" s="88" t="s">
        <v>2055</v>
      </c>
      <c r="D330" s="88" t="s">
        <v>2056</v>
      </c>
      <c r="E330" s="88" t="s">
        <v>1830</v>
      </c>
      <c r="F330" s="88">
        <v>6.4</v>
      </c>
      <c r="G330" s="88">
        <v>945.0</v>
      </c>
      <c r="H330" s="98" t="s">
        <v>2057</v>
      </c>
      <c r="I330" s="99"/>
      <c r="J330" s="99"/>
    </row>
    <row r="331" ht="22.5" customHeight="1">
      <c r="A331" s="76" t="s">
        <v>2061</v>
      </c>
      <c r="B331" s="88" t="s">
        <v>1823</v>
      </c>
      <c r="C331" s="88" t="s">
        <v>2055</v>
      </c>
      <c r="D331" s="88" t="s">
        <v>2056</v>
      </c>
      <c r="E331" s="88" t="s">
        <v>497</v>
      </c>
      <c r="F331" s="88">
        <v>6.4</v>
      </c>
      <c r="G331" s="88">
        <v>1415.0</v>
      </c>
      <c r="H331" s="98" t="s">
        <v>2057</v>
      </c>
      <c r="I331" s="100">
        <v>8.0</v>
      </c>
      <c r="J331" s="99"/>
    </row>
    <row r="332" ht="22.5" customHeight="1">
      <c r="A332" s="76" t="s">
        <v>2062</v>
      </c>
      <c r="B332" s="88" t="s">
        <v>1823</v>
      </c>
      <c r="C332" s="88" t="s">
        <v>2055</v>
      </c>
      <c r="D332" s="88" t="s">
        <v>2056</v>
      </c>
      <c r="E332" s="88" t="s">
        <v>1833</v>
      </c>
      <c r="F332" s="88">
        <v>6.4</v>
      </c>
      <c r="G332" s="88">
        <v>1395.0</v>
      </c>
      <c r="H332" s="98" t="s">
        <v>2057</v>
      </c>
      <c r="I332" s="99"/>
      <c r="J332" s="99"/>
    </row>
    <row r="333" ht="22.5" customHeight="1">
      <c r="A333" s="76" t="s">
        <v>2063</v>
      </c>
      <c r="B333" s="88" t="s">
        <v>1823</v>
      </c>
      <c r="C333" s="88" t="s">
        <v>2055</v>
      </c>
      <c r="D333" s="88" t="s">
        <v>2056</v>
      </c>
      <c r="E333" s="88" t="s">
        <v>1844</v>
      </c>
      <c r="F333" s="88">
        <v>6.4</v>
      </c>
      <c r="G333" s="88">
        <v>1395.0</v>
      </c>
      <c r="H333" s="98" t="s">
        <v>2057</v>
      </c>
      <c r="I333" s="99"/>
      <c r="J333" s="99"/>
    </row>
    <row r="334" ht="22.5" customHeight="1">
      <c r="A334" s="76" t="s">
        <v>2064</v>
      </c>
      <c r="B334" s="88" t="s">
        <v>1823</v>
      </c>
      <c r="C334" s="88" t="s">
        <v>2065</v>
      </c>
      <c r="D334" s="88" t="s">
        <v>2066</v>
      </c>
      <c r="E334" s="88" t="s">
        <v>105</v>
      </c>
      <c r="F334" s="88">
        <v>6.4</v>
      </c>
      <c r="G334" s="88">
        <v>665.0</v>
      </c>
      <c r="H334" s="89" t="s">
        <v>2067</v>
      </c>
      <c r="I334" s="28"/>
      <c r="J334" s="28"/>
    </row>
    <row r="335" ht="22.5" customHeight="1">
      <c r="A335" s="76" t="s">
        <v>2068</v>
      </c>
      <c r="B335" s="88" t="s">
        <v>1823</v>
      </c>
      <c r="C335" s="88" t="s">
        <v>2065</v>
      </c>
      <c r="D335" s="88" t="s">
        <v>2066</v>
      </c>
      <c r="E335" s="88" t="s">
        <v>103</v>
      </c>
      <c r="F335" s="88">
        <v>6.4</v>
      </c>
      <c r="G335" s="88">
        <v>665.0</v>
      </c>
      <c r="H335" s="89" t="s">
        <v>2067</v>
      </c>
      <c r="I335" s="28"/>
      <c r="J335" s="28"/>
    </row>
    <row r="336" ht="22.5" customHeight="1">
      <c r="A336" s="76" t="s">
        <v>2069</v>
      </c>
      <c r="B336" s="88" t="s">
        <v>1823</v>
      </c>
      <c r="C336" s="88" t="s">
        <v>2065</v>
      </c>
      <c r="D336" s="88" t="s">
        <v>2066</v>
      </c>
      <c r="E336" s="88" t="s">
        <v>1457</v>
      </c>
      <c r="F336" s="88">
        <v>6.4</v>
      </c>
      <c r="G336" s="88">
        <v>715.0</v>
      </c>
      <c r="H336" s="89" t="s">
        <v>2067</v>
      </c>
      <c r="I336" s="28"/>
      <c r="J336" s="28"/>
    </row>
    <row r="337" ht="22.5" customHeight="1">
      <c r="A337" s="76" t="s">
        <v>2070</v>
      </c>
      <c r="B337" s="88" t="s">
        <v>1823</v>
      </c>
      <c r="C337" s="88" t="s">
        <v>2065</v>
      </c>
      <c r="D337" s="88" t="s">
        <v>2066</v>
      </c>
      <c r="E337" s="88" t="s">
        <v>1830</v>
      </c>
      <c r="F337" s="88">
        <v>6.4</v>
      </c>
      <c r="G337" s="88">
        <v>715.0</v>
      </c>
      <c r="H337" s="89" t="s">
        <v>2067</v>
      </c>
      <c r="I337" s="28"/>
      <c r="J337" s="28"/>
    </row>
    <row r="338" ht="22.5" customHeight="1">
      <c r="A338" s="76" t="s">
        <v>2071</v>
      </c>
      <c r="B338" s="88" t="s">
        <v>1823</v>
      </c>
      <c r="C338" s="88" t="s">
        <v>2065</v>
      </c>
      <c r="D338" s="88" t="s">
        <v>2066</v>
      </c>
      <c r="E338" s="88" t="s">
        <v>497</v>
      </c>
      <c r="F338" s="88">
        <v>6.4</v>
      </c>
      <c r="G338" s="90">
        <v>1060.0</v>
      </c>
      <c r="H338" s="89" t="s">
        <v>2067</v>
      </c>
      <c r="I338" s="28"/>
      <c r="J338" s="28"/>
    </row>
    <row r="339" ht="22.5" customHeight="1">
      <c r="A339" s="76" t="s">
        <v>2072</v>
      </c>
      <c r="B339" s="88" t="s">
        <v>1823</v>
      </c>
      <c r="C339" s="88" t="s">
        <v>2065</v>
      </c>
      <c r="D339" s="88" t="s">
        <v>2066</v>
      </c>
      <c r="E339" s="88" t="s">
        <v>1833</v>
      </c>
      <c r="F339" s="88">
        <v>6.4</v>
      </c>
      <c r="G339" s="90">
        <v>1060.0</v>
      </c>
      <c r="H339" s="89" t="s">
        <v>2067</v>
      </c>
      <c r="I339" s="28"/>
      <c r="J339" s="28"/>
    </row>
    <row r="340" ht="22.5" customHeight="1">
      <c r="A340" s="76" t="s">
        <v>2073</v>
      </c>
      <c r="B340" s="88" t="s">
        <v>1823</v>
      </c>
      <c r="C340" s="88" t="s">
        <v>2065</v>
      </c>
      <c r="D340" s="88" t="s">
        <v>2066</v>
      </c>
      <c r="E340" s="88" t="s">
        <v>1844</v>
      </c>
      <c r="F340" s="88">
        <v>6.4</v>
      </c>
      <c r="G340" s="90">
        <v>1060.0</v>
      </c>
      <c r="H340" s="89" t="s">
        <v>2067</v>
      </c>
      <c r="I340" s="28"/>
      <c r="J340" s="28"/>
    </row>
    <row r="341" ht="22.5" customHeight="1">
      <c r="A341" s="76" t="s">
        <v>2074</v>
      </c>
      <c r="B341" s="88" t="s">
        <v>1823</v>
      </c>
      <c r="C341" s="88" t="s">
        <v>2075</v>
      </c>
      <c r="D341" s="88" t="s">
        <v>2076</v>
      </c>
      <c r="E341" s="88" t="s">
        <v>105</v>
      </c>
      <c r="F341" s="88">
        <v>6.4</v>
      </c>
      <c r="G341" s="88">
        <v>775.0</v>
      </c>
      <c r="H341" s="89" t="s">
        <v>2077</v>
      </c>
      <c r="I341" s="28"/>
      <c r="J341" s="28"/>
    </row>
    <row r="342" ht="22.5" customHeight="1">
      <c r="A342" s="76" t="s">
        <v>2078</v>
      </c>
      <c r="B342" s="88" t="s">
        <v>1823</v>
      </c>
      <c r="C342" s="88" t="s">
        <v>2075</v>
      </c>
      <c r="D342" s="88" t="s">
        <v>2076</v>
      </c>
      <c r="E342" s="88" t="s">
        <v>103</v>
      </c>
      <c r="F342" s="88">
        <v>6.4</v>
      </c>
      <c r="G342" s="88">
        <v>775.0</v>
      </c>
      <c r="H342" s="89" t="s">
        <v>2077</v>
      </c>
      <c r="I342" s="28"/>
      <c r="J342" s="28"/>
    </row>
    <row r="343" ht="22.5" customHeight="1">
      <c r="A343" s="76" t="s">
        <v>2079</v>
      </c>
      <c r="B343" s="88" t="s">
        <v>1823</v>
      </c>
      <c r="C343" s="88" t="s">
        <v>2075</v>
      </c>
      <c r="D343" s="88" t="s">
        <v>2076</v>
      </c>
      <c r="E343" s="88" t="s">
        <v>1457</v>
      </c>
      <c r="F343" s="88">
        <v>6.4</v>
      </c>
      <c r="G343" s="88">
        <v>835.0</v>
      </c>
      <c r="H343" s="89" t="s">
        <v>2077</v>
      </c>
      <c r="I343" s="28"/>
      <c r="J343" s="28"/>
    </row>
    <row r="344" ht="22.5" customHeight="1">
      <c r="A344" s="76" t="s">
        <v>2080</v>
      </c>
      <c r="B344" s="88" t="s">
        <v>1823</v>
      </c>
      <c r="C344" s="88" t="s">
        <v>2075</v>
      </c>
      <c r="D344" s="88" t="s">
        <v>2076</v>
      </c>
      <c r="E344" s="88" t="s">
        <v>1830</v>
      </c>
      <c r="F344" s="88">
        <v>6.4</v>
      </c>
      <c r="G344" s="88">
        <v>835.0</v>
      </c>
      <c r="H344" s="89" t="s">
        <v>2077</v>
      </c>
      <c r="I344" s="28"/>
      <c r="J344" s="28"/>
    </row>
    <row r="345" ht="22.5" customHeight="1">
      <c r="A345" s="76" t="s">
        <v>2081</v>
      </c>
      <c r="B345" s="88" t="s">
        <v>1823</v>
      </c>
      <c r="C345" s="88" t="s">
        <v>2075</v>
      </c>
      <c r="D345" s="88" t="s">
        <v>2076</v>
      </c>
      <c r="E345" s="88" t="s">
        <v>497</v>
      </c>
      <c r="F345" s="88">
        <v>6.4</v>
      </c>
      <c r="G345" s="90">
        <v>1230.0</v>
      </c>
      <c r="H345" s="89" t="s">
        <v>2077</v>
      </c>
      <c r="I345" s="28"/>
      <c r="J345" s="28"/>
    </row>
    <row r="346" ht="22.5" customHeight="1">
      <c r="A346" s="76" t="s">
        <v>2082</v>
      </c>
      <c r="B346" s="88" t="s">
        <v>1823</v>
      </c>
      <c r="C346" s="88" t="s">
        <v>2075</v>
      </c>
      <c r="D346" s="88" t="s">
        <v>2076</v>
      </c>
      <c r="E346" s="88" t="s">
        <v>1833</v>
      </c>
      <c r="F346" s="88">
        <v>6.4</v>
      </c>
      <c r="G346" s="90">
        <v>1230.0</v>
      </c>
      <c r="H346" s="89" t="s">
        <v>2077</v>
      </c>
      <c r="I346" s="28"/>
      <c r="J346" s="28"/>
    </row>
    <row r="347" ht="22.5" customHeight="1">
      <c r="A347" s="76" t="s">
        <v>2083</v>
      </c>
      <c r="B347" s="88" t="s">
        <v>1823</v>
      </c>
      <c r="C347" s="88" t="s">
        <v>2075</v>
      </c>
      <c r="D347" s="88" t="s">
        <v>2076</v>
      </c>
      <c r="E347" s="88" t="s">
        <v>1844</v>
      </c>
      <c r="F347" s="88">
        <v>6.4</v>
      </c>
      <c r="G347" s="90">
        <v>1230.0</v>
      </c>
      <c r="H347" s="89" t="s">
        <v>2077</v>
      </c>
      <c r="I347" s="28"/>
      <c r="J347" s="28"/>
    </row>
    <row r="348" ht="22.5" customHeight="1">
      <c r="A348" s="76" t="s">
        <v>2084</v>
      </c>
      <c r="B348" s="88" t="s">
        <v>1823</v>
      </c>
      <c r="C348" s="88" t="s">
        <v>2085</v>
      </c>
      <c r="D348" s="88" t="s">
        <v>2086</v>
      </c>
      <c r="E348" s="88" t="s">
        <v>105</v>
      </c>
      <c r="F348" s="88">
        <v>6.4</v>
      </c>
      <c r="G348" s="88">
        <v>120.0</v>
      </c>
      <c r="H348" s="89" t="s">
        <v>2087</v>
      </c>
      <c r="I348" s="26">
        <v>22.0</v>
      </c>
      <c r="J348" s="28"/>
    </row>
    <row r="349" ht="22.5" customHeight="1">
      <c r="A349" s="76" t="s">
        <v>2088</v>
      </c>
      <c r="B349" s="88" t="s">
        <v>1823</v>
      </c>
      <c r="C349" s="88" t="s">
        <v>2085</v>
      </c>
      <c r="D349" s="88" t="s">
        <v>2086</v>
      </c>
      <c r="E349" s="88" t="s">
        <v>103</v>
      </c>
      <c r="F349" s="88">
        <v>6.4</v>
      </c>
      <c r="G349" s="88">
        <v>120.0</v>
      </c>
      <c r="H349" s="89" t="s">
        <v>2087</v>
      </c>
      <c r="I349" s="26">
        <v>22.0</v>
      </c>
      <c r="J349" s="28"/>
    </row>
    <row r="350" ht="22.5" customHeight="1">
      <c r="A350" s="76" t="s">
        <v>2089</v>
      </c>
      <c r="B350" s="88" t="s">
        <v>1823</v>
      </c>
      <c r="C350" s="88" t="s">
        <v>2085</v>
      </c>
      <c r="D350" s="88" t="s">
        <v>2086</v>
      </c>
      <c r="E350" s="88" t="s">
        <v>1457</v>
      </c>
      <c r="F350" s="88">
        <v>6.4</v>
      </c>
      <c r="G350" s="88">
        <v>150.0</v>
      </c>
      <c r="H350" s="89" t="s">
        <v>2087</v>
      </c>
      <c r="I350" s="26">
        <v>13.0</v>
      </c>
      <c r="J350" s="28"/>
    </row>
    <row r="351" ht="22.5" customHeight="1">
      <c r="A351" s="76" t="s">
        <v>2090</v>
      </c>
      <c r="B351" s="88" t="s">
        <v>1823</v>
      </c>
      <c r="C351" s="88" t="s">
        <v>2085</v>
      </c>
      <c r="D351" s="88" t="s">
        <v>2086</v>
      </c>
      <c r="E351" s="88" t="s">
        <v>1830</v>
      </c>
      <c r="F351" s="88">
        <v>6.4</v>
      </c>
      <c r="G351" s="88">
        <v>150.0</v>
      </c>
      <c r="H351" s="89" t="s">
        <v>2087</v>
      </c>
      <c r="I351" s="28"/>
      <c r="J351" s="28"/>
    </row>
    <row r="352" ht="22.5" customHeight="1">
      <c r="A352" s="76" t="s">
        <v>2091</v>
      </c>
      <c r="B352" s="88" t="s">
        <v>1823</v>
      </c>
      <c r="C352" s="88" t="s">
        <v>2085</v>
      </c>
      <c r="D352" s="88" t="s">
        <v>2086</v>
      </c>
      <c r="E352" s="88" t="s">
        <v>497</v>
      </c>
      <c r="F352" s="88">
        <v>6.4</v>
      </c>
      <c r="G352" s="88">
        <v>180.0</v>
      </c>
      <c r="H352" s="89" t="s">
        <v>2087</v>
      </c>
      <c r="I352" s="28"/>
      <c r="J352" s="28"/>
    </row>
    <row r="353" ht="22.5" customHeight="1">
      <c r="A353" s="76" t="s">
        <v>2092</v>
      </c>
      <c r="B353" s="88" t="s">
        <v>1823</v>
      </c>
      <c r="C353" s="88" t="s">
        <v>2085</v>
      </c>
      <c r="D353" s="88" t="s">
        <v>2086</v>
      </c>
      <c r="E353" s="88" t="s">
        <v>1833</v>
      </c>
      <c r="F353" s="88">
        <v>6.4</v>
      </c>
      <c r="G353" s="88">
        <v>180.0</v>
      </c>
      <c r="H353" s="89" t="s">
        <v>2087</v>
      </c>
      <c r="I353" s="28"/>
      <c r="J353" s="28"/>
    </row>
    <row r="354" ht="22.5" customHeight="1">
      <c r="A354" s="76" t="s">
        <v>2093</v>
      </c>
      <c r="B354" s="88" t="s">
        <v>1823</v>
      </c>
      <c r="C354" s="88" t="s">
        <v>2085</v>
      </c>
      <c r="D354" s="88" t="s">
        <v>2086</v>
      </c>
      <c r="E354" s="88" t="s">
        <v>1844</v>
      </c>
      <c r="F354" s="88">
        <v>6.4</v>
      </c>
      <c r="G354" s="88">
        <v>180.0</v>
      </c>
      <c r="H354" s="89" t="s">
        <v>2087</v>
      </c>
      <c r="I354" s="28"/>
      <c r="J354" s="28"/>
    </row>
    <row r="355" ht="22.5" customHeight="1">
      <c r="A355" s="76" t="s">
        <v>2094</v>
      </c>
      <c r="B355" s="88" t="s">
        <v>1823</v>
      </c>
      <c r="C355" s="88" t="s">
        <v>2095</v>
      </c>
      <c r="D355" s="88" t="s">
        <v>2096</v>
      </c>
      <c r="E355" s="88" t="s">
        <v>105</v>
      </c>
      <c r="F355" s="88">
        <v>6.4</v>
      </c>
      <c r="G355" s="88">
        <v>120.0</v>
      </c>
      <c r="H355" s="89" t="s">
        <v>2097</v>
      </c>
      <c r="I355" s="28"/>
      <c r="J355" s="28"/>
    </row>
    <row r="356" ht="22.5" customHeight="1">
      <c r="A356" s="76" t="s">
        <v>2098</v>
      </c>
      <c r="B356" s="88" t="s">
        <v>1823</v>
      </c>
      <c r="C356" s="88" t="s">
        <v>2095</v>
      </c>
      <c r="D356" s="88" t="s">
        <v>2096</v>
      </c>
      <c r="E356" s="88" t="s">
        <v>103</v>
      </c>
      <c r="F356" s="88">
        <v>6.4</v>
      </c>
      <c r="G356" s="88">
        <v>120.0</v>
      </c>
      <c r="H356" s="89" t="s">
        <v>2097</v>
      </c>
      <c r="I356" s="28"/>
      <c r="J356" s="28"/>
    </row>
    <row r="357" ht="22.5" customHeight="1">
      <c r="A357" s="76" t="s">
        <v>2099</v>
      </c>
      <c r="B357" s="88" t="s">
        <v>1823</v>
      </c>
      <c r="C357" s="88" t="s">
        <v>2095</v>
      </c>
      <c r="D357" s="88" t="s">
        <v>2096</v>
      </c>
      <c r="E357" s="88" t="s">
        <v>1457</v>
      </c>
      <c r="F357" s="88">
        <v>6.4</v>
      </c>
      <c r="G357" s="88">
        <v>150.0</v>
      </c>
      <c r="H357" s="89" t="s">
        <v>2097</v>
      </c>
      <c r="I357" s="28"/>
      <c r="J357" s="28"/>
    </row>
    <row r="358" ht="22.5" customHeight="1">
      <c r="A358" s="76" t="s">
        <v>2100</v>
      </c>
      <c r="B358" s="88" t="s">
        <v>1823</v>
      </c>
      <c r="C358" s="88" t="s">
        <v>2095</v>
      </c>
      <c r="D358" s="88" t="s">
        <v>2096</v>
      </c>
      <c r="E358" s="88" t="s">
        <v>1830</v>
      </c>
      <c r="F358" s="88">
        <v>6.4</v>
      </c>
      <c r="G358" s="88">
        <v>150.0</v>
      </c>
      <c r="H358" s="89" t="s">
        <v>2097</v>
      </c>
      <c r="I358" s="28"/>
      <c r="J358" s="28"/>
    </row>
    <row r="359" ht="22.5" customHeight="1">
      <c r="A359" s="76" t="s">
        <v>2101</v>
      </c>
      <c r="B359" s="88" t="s">
        <v>1823</v>
      </c>
      <c r="C359" s="88" t="s">
        <v>2095</v>
      </c>
      <c r="D359" s="88" t="s">
        <v>2096</v>
      </c>
      <c r="E359" s="88" t="s">
        <v>497</v>
      </c>
      <c r="F359" s="88">
        <v>6.4</v>
      </c>
      <c r="G359" s="88">
        <v>170.0</v>
      </c>
      <c r="H359" s="89" t="s">
        <v>2097</v>
      </c>
      <c r="I359" s="28"/>
      <c r="J359" s="28"/>
    </row>
    <row r="360" ht="22.5" customHeight="1">
      <c r="A360" s="76" t="s">
        <v>2102</v>
      </c>
      <c r="B360" s="88" t="s">
        <v>1823</v>
      </c>
      <c r="C360" s="88" t="s">
        <v>2095</v>
      </c>
      <c r="D360" s="88" t="s">
        <v>2096</v>
      </c>
      <c r="E360" s="88" t="s">
        <v>1833</v>
      </c>
      <c r="F360" s="88">
        <v>6.4</v>
      </c>
      <c r="G360" s="88">
        <v>170.0</v>
      </c>
      <c r="H360" s="89" t="s">
        <v>2097</v>
      </c>
      <c r="I360" s="28"/>
      <c r="J360" s="28"/>
    </row>
    <row r="361" ht="22.5" customHeight="1">
      <c r="A361" s="76" t="s">
        <v>2103</v>
      </c>
      <c r="B361" s="88" t="s">
        <v>1823</v>
      </c>
      <c r="C361" s="88" t="s">
        <v>2095</v>
      </c>
      <c r="D361" s="88" t="s">
        <v>2096</v>
      </c>
      <c r="E361" s="88" t="s">
        <v>1844</v>
      </c>
      <c r="F361" s="88">
        <v>6.4</v>
      </c>
      <c r="G361" s="88">
        <v>170.0</v>
      </c>
      <c r="H361" s="89" t="s">
        <v>2097</v>
      </c>
      <c r="I361" s="28"/>
      <c r="J361" s="28"/>
    </row>
    <row r="362" ht="22.5" customHeight="1">
      <c r="A362" s="76" t="s">
        <v>2104</v>
      </c>
      <c r="B362" s="88" t="s">
        <v>1823</v>
      </c>
      <c r="C362" s="88" t="s">
        <v>2105</v>
      </c>
      <c r="D362" s="88" t="s">
        <v>2106</v>
      </c>
      <c r="E362" s="88" t="s">
        <v>105</v>
      </c>
      <c r="F362" s="88">
        <v>6.4</v>
      </c>
      <c r="G362" s="88">
        <v>130.0</v>
      </c>
      <c r="H362" s="89" t="s">
        <v>2107</v>
      </c>
      <c r="I362" s="28"/>
      <c r="J362" s="28"/>
    </row>
    <row r="363" ht="22.5" customHeight="1">
      <c r="A363" s="76" t="s">
        <v>2108</v>
      </c>
      <c r="B363" s="88" t="s">
        <v>1823</v>
      </c>
      <c r="C363" s="88" t="s">
        <v>2105</v>
      </c>
      <c r="D363" s="88" t="s">
        <v>2106</v>
      </c>
      <c r="E363" s="88" t="s">
        <v>103</v>
      </c>
      <c r="F363" s="88">
        <v>6.4</v>
      </c>
      <c r="G363" s="88">
        <v>150.0</v>
      </c>
      <c r="H363" s="89" t="s">
        <v>2107</v>
      </c>
      <c r="I363" s="28"/>
      <c r="J363" s="28"/>
    </row>
    <row r="364" ht="22.5" customHeight="1">
      <c r="A364" s="76" t="s">
        <v>2109</v>
      </c>
      <c r="B364" s="88" t="s">
        <v>1823</v>
      </c>
      <c r="C364" s="88" t="s">
        <v>2105</v>
      </c>
      <c r="D364" s="88" t="s">
        <v>2106</v>
      </c>
      <c r="E364" s="88" t="s">
        <v>1457</v>
      </c>
      <c r="F364" s="88">
        <v>6.4</v>
      </c>
      <c r="G364" s="91"/>
      <c r="H364" s="89" t="s">
        <v>2107</v>
      </c>
      <c r="I364" s="28"/>
      <c r="J364" s="28"/>
    </row>
    <row r="365" ht="22.5" customHeight="1">
      <c r="A365" s="76" t="s">
        <v>2110</v>
      </c>
      <c r="B365" s="88" t="s">
        <v>1823</v>
      </c>
      <c r="C365" s="88" t="s">
        <v>2105</v>
      </c>
      <c r="D365" s="88" t="s">
        <v>2106</v>
      </c>
      <c r="E365" s="88" t="s">
        <v>1830</v>
      </c>
      <c r="F365" s="88">
        <v>6.4</v>
      </c>
      <c r="G365" s="91"/>
      <c r="H365" s="89" t="s">
        <v>2107</v>
      </c>
      <c r="I365" s="28"/>
      <c r="J365" s="28"/>
    </row>
    <row r="366" ht="22.5" customHeight="1">
      <c r="A366" s="76" t="s">
        <v>2111</v>
      </c>
      <c r="B366" s="88" t="s">
        <v>1823</v>
      </c>
      <c r="C366" s="88" t="s">
        <v>2105</v>
      </c>
      <c r="D366" s="88" t="s">
        <v>2106</v>
      </c>
      <c r="E366" s="88" t="s">
        <v>497</v>
      </c>
      <c r="F366" s="88">
        <v>6.4</v>
      </c>
      <c r="G366" s="88"/>
      <c r="H366" s="89" t="s">
        <v>2107</v>
      </c>
      <c r="I366" s="28"/>
      <c r="J366" s="28"/>
    </row>
    <row r="367" ht="22.5" customHeight="1">
      <c r="A367" s="76" t="s">
        <v>2112</v>
      </c>
      <c r="B367" s="88" t="s">
        <v>1823</v>
      </c>
      <c r="C367" s="88" t="s">
        <v>2105</v>
      </c>
      <c r="D367" s="88" t="s">
        <v>2106</v>
      </c>
      <c r="E367" s="88" t="s">
        <v>1833</v>
      </c>
      <c r="F367" s="88">
        <v>6.4</v>
      </c>
      <c r="G367" s="91"/>
      <c r="H367" s="89" t="s">
        <v>2107</v>
      </c>
      <c r="I367" s="28"/>
      <c r="J367" s="28"/>
    </row>
    <row r="368" ht="22.5" customHeight="1">
      <c r="A368" s="76" t="s">
        <v>2113</v>
      </c>
      <c r="B368" s="88" t="s">
        <v>1823</v>
      </c>
      <c r="C368" s="88" t="s">
        <v>2105</v>
      </c>
      <c r="D368" s="88" t="s">
        <v>2106</v>
      </c>
      <c r="E368" s="88" t="s">
        <v>1844</v>
      </c>
      <c r="F368" s="88">
        <v>6.4</v>
      </c>
      <c r="G368" s="91"/>
      <c r="H368" s="89" t="s">
        <v>2107</v>
      </c>
      <c r="I368" s="28"/>
      <c r="J368" s="28"/>
    </row>
    <row r="369" ht="22.5" customHeight="1">
      <c r="A369" s="76" t="s">
        <v>2114</v>
      </c>
      <c r="B369" s="88" t="s">
        <v>1823</v>
      </c>
      <c r="C369" s="88" t="s">
        <v>2115</v>
      </c>
      <c r="D369" s="88" t="s">
        <v>2116</v>
      </c>
      <c r="E369" s="88" t="s">
        <v>105</v>
      </c>
      <c r="F369" s="88">
        <v>6.4</v>
      </c>
      <c r="G369" s="91"/>
      <c r="H369" s="89" t="s">
        <v>2117</v>
      </c>
      <c r="I369" s="88"/>
      <c r="J369" s="28"/>
    </row>
    <row r="370" ht="22.5" customHeight="1">
      <c r="A370" s="76" t="s">
        <v>2118</v>
      </c>
      <c r="B370" s="88" t="s">
        <v>1823</v>
      </c>
      <c r="C370" s="88" t="s">
        <v>2115</v>
      </c>
      <c r="D370" s="88" t="s">
        <v>2116</v>
      </c>
      <c r="E370" s="88" t="s">
        <v>103</v>
      </c>
      <c r="F370" s="88">
        <v>6.4</v>
      </c>
      <c r="G370" s="91"/>
      <c r="H370" s="89" t="s">
        <v>2117</v>
      </c>
      <c r="I370" s="28"/>
      <c r="J370" s="28"/>
    </row>
    <row r="371" ht="22.5" customHeight="1">
      <c r="A371" s="76" t="s">
        <v>2119</v>
      </c>
      <c r="B371" s="88" t="s">
        <v>1823</v>
      </c>
      <c r="C371" s="88" t="s">
        <v>2115</v>
      </c>
      <c r="D371" s="88" t="s">
        <v>2116</v>
      </c>
      <c r="E371" s="88" t="s">
        <v>1457</v>
      </c>
      <c r="F371" s="88">
        <v>6.4</v>
      </c>
      <c r="G371" s="91"/>
      <c r="H371" s="89" t="s">
        <v>2117</v>
      </c>
      <c r="I371" s="28"/>
      <c r="J371" s="28"/>
    </row>
    <row r="372" ht="22.5" customHeight="1">
      <c r="A372" s="76" t="s">
        <v>2120</v>
      </c>
      <c r="B372" s="88" t="s">
        <v>1823</v>
      </c>
      <c r="C372" s="88" t="s">
        <v>2115</v>
      </c>
      <c r="D372" s="88" t="s">
        <v>2116</v>
      </c>
      <c r="E372" s="88" t="s">
        <v>1830</v>
      </c>
      <c r="F372" s="88">
        <v>6.4</v>
      </c>
      <c r="G372" s="91"/>
      <c r="H372" s="89" t="s">
        <v>2117</v>
      </c>
      <c r="I372" s="28"/>
      <c r="J372" s="28"/>
    </row>
    <row r="373" ht="22.5" customHeight="1">
      <c r="A373" s="76" t="s">
        <v>2121</v>
      </c>
      <c r="B373" s="88" t="s">
        <v>1823</v>
      </c>
      <c r="C373" s="88" t="s">
        <v>2115</v>
      </c>
      <c r="D373" s="88" t="s">
        <v>2116</v>
      </c>
      <c r="E373" s="88" t="s">
        <v>497</v>
      </c>
      <c r="F373" s="88">
        <v>6.4</v>
      </c>
      <c r="G373" s="91"/>
      <c r="H373" s="89" t="s">
        <v>2117</v>
      </c>
      <c r="I373" s="28"/>
      <c r="J373" s="28"/>
    </row>
    <row r="374" ht="22.5" customHeight="1">
      <c r="A374" s="76" t="s">
        <v>2122</v>
      </c>
      <c r="B374" s="88" t="s">
        <v>1823</v>
      </c>
      <c r="C374" s="88" t="s">
        <v>2115</v>
      </c>
      <c r="D374" s="88" t="s">
        <v>2116</v>
      </c>
      <c r="E374" s="88" t="s">
        <v>1833</v>
      </c>
      <c r="F374" s="88">
        <v>6.4</v>
      </c>
      <c r="G374" s="91"/>
      <c r="H374" s="89" t="s">
        <v>2117</v>
      </c>
      <c r="I374" s="28"/>
      <c r="J374" s="28"/>
    </row>
    <row r="375" ht="22.5" customHeight="1">
      <c r="A375" s="76" t="s">
        <v>2123</v>
      </c>
      <c r="B375" s="88" t="s">
        <v>1823</v>
      </c>
      <c r="C375" s="88" t="s">
        <v>2115</v>
      </c>
      <c r="D375" s="88" t="s">
        <v>2116</v>
      </c>
      <c r="E375" s="88" t="s">
        <v>1844</v>
      </c>
      <c r="F375" s="88">
        <v>6.4</v>
      </c>
      <c r="G375" s="91"/>
      <c r="H375" s="89" t="s">
        <v>2117</v>
      </c>
      <c r="I375" s="28"/>
      <c r="J375" s="28"/>
    </row>
    <row r="376" ht="22.5" customHeight="1">
      <c r="A376" s="76" t="s">
        <v>2124</v>
      </c>
      <c r="B376" s="88" t="s">
        <v>1823</v>
      </c>
      <c r="C376" s="88" t="s">
        <v>2125</v>
      </c>
      <c r="D376" s="88" t="s">
        <v>2126</v>
      </c>
      <c r="E376" s="88" t="s">
        <v>105</v>
      </c>
      <c r="F376" s="88">
        <v>6.4</v>
      </c>
      <c r="G376" s="96">
        <v>150.0</v>
      </c>
      <c r="H376" s="89" t="s">
        <v>2127</v>
      </c>
      <c r="I376" s="28"/>
      <c r="J376" s="28"/>
    </row>
    <row r="377" ht="22.5" customHeight="1">
      <c r="A377" s="76" t="s">
        <v>2128</v>
      </c>
      <c r="B377" s="88" t="s">
        <v>1823</v>
      </c>
      <c r="C377" s="88" t="s">
        <v>2125</v>
      </c>
      <c r="D377" s="88" t="s">
        <v>2126</v>
      </c>
      <c r="E377" s="88" t="s">
        <v>103</v>
      </c>
      <c r="F377" s="88">
        <v>6.4</v>
      </c>
      <c r="G377" s="88">
        <v>150.0</v>
      </c>
      <c r="H377" s="89" t="s">
        <v>2127</v>
      </c>
      <c r="I377" s="28"/>
      <c r="J377" s="28"/>
    </row>
    <row r="378" ht="22.5" customHeight="1">
      <c r="A378" s="76" t="s">
        <v>2129</v>
      </c>
      <c r="B378" s="88" t="s">
        <v>1823</v>
      </c>
      <c r="C378" s="88" t="s">
        <v>2125</v>
      </c>
      <c r="D378" s="88" t="s">
        <v>2126</v>
      </c>
      <c r="E378" s="88" t="s">
        <v>1457</v>
      </c>
      <c r="F378" s="88">
        <v>6.4</v>
      </c>
      <c r="G378" s="88">
        <v>180.0</v>
      </c>
      <c r="H378" s="89" t="s">
        <v>2127</v>
      </c>
      <c r="I378" s="28"/>
      <c r="J378" s="28"/>
    </row>
    <row r="379" ht="22.5" customHeight="1">
      <c r="A379" s="76" t="s">
        <v>2130</v>
      </c>
      <c r="B379" s="88" t="s">
        <v>1823</v>
      </c>
      <c r="C379" s="88" t="s">
        <v>2125</v>
      </c>
      <c r="D379" s="88" t="s">
        <v>2126</v>
      </c>
      <c r="E379" s="88" t="s">
        <v>1830</v>
      </c>
      <c r="F379" s="88">
        <v>6.4</v>
      </c>
      <c r="G379" s="88">
        <v>180.0</v>
      </c>
      <c r="H379" s="89" t="s">
        <v>2127</v>
      </c>
      <c r="I379" s="28"/>
      <c r="J379" s="28"/>
    </row>
    <row r="380" ht="22.5" customHeight="1">
      <c r="A380" s="76" t="s">
        <v>2131</v>
      </c>
      <c r="B380" s="88" t="s">
        <v>1823</v>
      </c>
      <c r="C380" s="88" t="s">
        <v>2125</v>
      </c>
      <c r="D380" s="88" t="s">
        <v>2126</v>
      </c>
      <c r="E380" s="88" t="s">
        <v>497</v>
      </c>
      <c r="F380" s="88">
        <v>6.4</v>
      </c>
      <c r="G380" s="88">
        <v>270.0</v>
      </c>
      <c r="H380" s="89" t="s">
        <v>2127</v>
      </c>
      <c r="I380" s="28"/>
      <c r="J380" s="28"/>
    </row>
    <row r="381" ht="22.5" customHeight="1">
      <c r="A381" s="76" t="s">
        <v>2132</v>
      </c>
      <c r="B381" s="88" t="s">
        <v>1823</v>
      </c>
      <c r="C381" s="88" t="s">
        <v>2125</v>
      </c>
      <c r="D381" s="88" t="s">
        <v>2126</v>
      </c>
      <c r="E381" s="88" t="s">
        <v>1833</v>
      </c>
      <c r="F381" s="88">
        <v>6.4</v>
      </c>
      <c r="G381" s="88">
        <v>270.0</v>
      </c>
      <c r="H381" s="89" t="s">
        <v>2127</v>
      </c>
      <c r="I381" s="28"/>
      <c r="J381" s="28"/>
    </row>
    <row r="382" ht="22.5" customHeight="1">
      <c r="A382" s="76" t="s">
        <v>2133</v>
      </c>
      <c r="B382" s="88" t="s">
        <v>1823</v>
      </c>
      <c r="C382" s="88" t="s">
        <v>2125</v>
      </c>
      <c r="D382" s="88" t="s">
        <v>2126</v>
      </c>
      <c r="E382" s="88" t="s">
        <v>1844</v>
      </c>
      <c r="F382" s="88">
        <v>6.4</v>
      </c>
      <c r="G382" s="88">
        <v>270.0</v>
      </c>
      <c r="H382" s="89" t="s">
        <v>2127</v>
      </c>
      <c r="I382" s="28"/>
      <c r="J382" s="28"/>
    </row>
    <row r="383" ht="22.5" customHeight="1">
      <c r="A383" s="76" t="s">
        <v>2134</v>
      </c>
      <c r="B383" s="88" t="s">
        <v>1823</v>
      </c>
      <c r="C383" s="88" t="s">
        <v>2135</v>
      </c>
      <c r="D383" s="88" t="s">
        <v>2136</v>
      </c>
      <c r="E383" s="88" t="s">
        <v>105</v>
      </c>
      <c r="F383" s="88">
        <v>6.4</v>
      </c>
      <c r="G383" s="88">
        <v>455.0</v>
      </c>
      <c r="H383" s="89" t="s">
        <v>1826</v>
      </c>
      <c r="I383" s="28"/>
      <c r="J383" s="28"/>
    </row>
    <row r="384" ht="22.5" customHeight="1">
      <c r="A384" s="76" t="s">
        <v>2137</v>
      </c>
      <c r="B384" s="88" t="s">
        <v>1823</v>
      </c>
      <c r="C384" s="88" t="s">
        <v>2135</v>
      </c>
      <c r="D384" s="88" t="s">
        <v>2136</v>
      </c>
      <c r="E384" s="88" t="s">
        <v>103</v>
      </c>
      <c r="F384" s="88">
        <v>6.4</v>
      </c>
      <c r="G384" s="88">
        <v>455.0</v>
      </c>
      <c r="H384" s="98" t="s">
        <v>1826</v>
      </c>
      <c r="I384" s="28"/>
      <c r="J384" s="28"/>
    </row>
    <row r="385" ht="22.5" customHeight="1">
      <c r="A385" s="76" t="s">
        <v>2138</v>
      </c>
      <c r="B385" s="88" t="s">
        <v>1823</v>
      </c>
      <c r="C385" s="88" t="s">
        <v>2135</v>
      </c>
      <c r="D385" s="88" t="s">
        <v>2136</v>
      </c>
      <c r="E385" s="88" t="s">
        <v>1457</v>
      </c>
      <c r="F385" s="88">
        <v>6.4</v>
      </c>
      <c r="G385" s="88">
        <v>490.0</v>
      </c>
      <c r="H385" s="89" t="s">
        <v>1826</v>
      </c>
      <c r="I385" s="28"/>
      <c r="J385" s="28"/>
    </row>
    <row r="386" ht="22.5" customHeight="1">
      <c r="A386" s="76" t="s">
        <v>2139</v>
      </c>
      <c r="B386" s="88" t="s">
        <v>1823</v>
      </c>
      <c r="C386" s="88" t="s">
        <v>2135</v>
      </c>
      <c r="D386" s="88" t="s">
        <v>2136</v>
      </c>
      <c r="E386" s="88" t="s">
        <v>1830</v>
      </c>
      <c r="F386" s="88">
        <v>6.4</v>
      </c>
      <c r="G386" s="88">
        <v>490.0</v>
      </c>
      <c r="H386" s="89" t="s">
        <v>1826</v>
      </c>
      <c r="I386" s="28"/>
      <c r="J386" s="28"/>
    </row>
    <row r="387" ht="22.5" customHeight="1">
      <c r="A387" s="76" t="s">
        <v>2140</v>
      </c>
      <c r="B387" s="88" t="s">
        <v>1823</v>
      </c>
      <c r="C387" s="88" t="s">
        <v>2135</v>
      </c>
      <c r="D387" s="88" t="s">
        <v>2136</v>
      </c>
      <c r="E387" s="88" t="s">
        <v>497</v>
      </c>
      <c r="F387" s="88">
        <v>6.4</v>
      </c>
      <c r="G387" s="88">
        <v>725.0</v>
      </c>
      <c r="H387" s="89" t="s">
        <v>1826</v>
      </c>
      <c r="I387" s="28"/>
      <c r="J387" s="28"/>
    </row>
    <row r="388" ht="22.5" customHeight="1">
      <c r="A388" s="76" t="s">
        <v>2141</v>
      </c>
      <c r="B388" s="88" t="s">
        <v>1823</v>
      </c>
      <c r="C388" s="88" t="s">
        <v>2135</v>
      </c>
      <c r="D388" s="88" t="s">
        <v>2136</v>
      </c>
      <c r="E388" s="88" t="s">
        <v>1833</v>
      </c>
      <c r="F388" s="88">
        <v>6.4</v>
      </c>
      <c r="G388" s="88">
        <v>725.0</v>
      </c>
      <c r="H388" s="89" t="s">
        <v>1826</v>
      </c>
      <c r="I388" s="28"/>
      <c r="J388" s="28"/>
    </row>
    <row r="389" ht="22.5" customHeight="1">
      <c r="A389" s="76" t="s">
        <v>2142</v>
      </c>
      <c r="B389" s="88" t="s">
        <v>1823</v>
      </c>
      <c r="C389" s="88" t="s">
        <v>2135</v>
      </c>
      <c r="D389" s="88" t="s">
        <v>2136</v>
      </c>
      <c r="E389" s="88" t="s">
        <v>1844</v>
      </c>
      <c r="F389" s="88">
        <v>6.4</v>
      </c>
      <c r="G389" s="88">
        <v>725.0</v>
      </c>
      <c r="H389" s="89" t="s">
        <v>1826</v>
      </c>
      <c r="I389" s="28"/>
      <c r="J389" s="28"/>
    </row>
    <row r="390" ht="22.5" customHeight="1">
      <c r="A390" s="76" t="s">
        <v>2143</v>
      </c>
      <c r="B390" s="88" t="s">
        <v>1823</v>
      </c>
      <c r="C390" s="88" t="s">
        <v>2144</v>
      </c>
      <c r="D390" s="88" t="s">
        <v>2145</v>
      </c>
      <c r="E390" s="88" t="s">
        <v>105</v>
      </c>
      <c r="F390" s="88">
        <v>6.4</v>
      </c>
      <c r="G390" s="88">
        <v>185.0</v>
      </c>
      <c r="H390" s="89" t="s">
        <v>2146</v>
      </c>
      <c r="I390" s="26">
        <v>10.0</v>
      </c>
      <c r="J390" s="28"/>
    </row>
    <row r="391" ht="22.5" customHeight="1">
      <c r="A391" s="76" t="s">
        <v>2147</v>
      </c>
      <c r="B391" s="88" t="s">
        <v>1823</v>
      </c>
      <c r="C391" s="88" t="s">
        <v>2144</v>
      </c>
      <c r="D391" s="88" t="s">
        <v>2145</v>
      </c>
      <c r="E391" s="88" t="s">
        <v>103</v>
      </c>
      <c r="F391" s="88">
        <v>6.4</v>
      </c>
      <c r="G391" s="88">
        <v>185.0</v>
      </c>
      <c r="H391" s="89" t="s">
        <v>2146</v>
      </c>
      <c r="I391" s="26">
        <v>10.0</v>
      </c>
      <c r="J391" s="28"/>
    </row>
    <row r="392" ht="22.5" customHeight="1">
      <c r="A392" s="76" t="s">
        <v>2148</v>
      </c>
      <c r="B392" s="88" t="s">
        <v>1823</v>
      </c>
      <c r="C392" s="88" t="s">
        <v>2144</v>
      </c>
      <c r="D392" s="88" t="s">
        <v>2145</v>
      </c>
      <c r="E392" s="88" t="s">
        <v>1457</v>
      </c>
      <c r="F392" s="88">
        <v>6.4</v>
      </c>
      <c r="G392" s="88">
        <v>200.0</v>
      </c>
      <c r="H392" s="89" t="s">
        <v>2146</v>
      </c>
      <c r="I392" s="26">
        <v>15.0</v>
      </c>
      <c r="J392" s="28"/>
    </row>
    <row r="393" ht="22.5" customHeight="1">
      <c r="A393" s="76" t="s">
        <v>2149</v>
      </c>
      <c r="B393" s="88" t="s">
        <v>1823</v>
      </c>
      <c r="C393" s="88" t="s">
        <v>2144</v>
      </c>
      <c r="D393" s="88" t="s">
        <v>2145</v>
      </c>
      <c r="E393" s="88" t="s">
        <v>1830</v>
      </c>
      <c r="F393" s="88">
        <v>6.4</v>
      </c>
      <c r="G393" s="88">
        <v>200.0</v>
      </c>
      <c r="H393" s="89" t="s">
        <v>2146</v>
      </c>
      <c r="I393" s="28"/>
      <c r="J393" s="28"/>
    </row>
    <row r="394" ht="22.5" customHeight="1">
      <c r="A394" s="76" t="s">
        <v>2150</v>
      </c>
      <c r="B394" s="88" t="s">
        <v>1823</v>
      </c>
      <c r="C394" s="88" t="s">
        <v>2144</v>
      </c>
      <c r="D394" s="88" t="s">
        <v>2145</v>
      </c>
      <c r="E394" s="88" t="s">
        <v>497</v>
      </c>
      <c r="F394" s="88">
        <v>6.4</v>
      </c>
      <c r="G394" s="88">
        <v>340.0</v>
      </c>
      <c r="H394" s="89" t="s">
        <v>2146</v>
      </c>
      <c r="I394" s="28"/>
      <c r="J394" s="28"/>
    </row>
    <row r="395" ht="22.5" customHeight="1">
      <c r="A395" s="76" t="s">
        <v>2151</v>
      </c>
      <c r="B395" s="88" t="s">
        <v>1823</v>
      </c>
      <c r="C395" s="88" t="s">
        <v>2144</v>
      </c>
      <c r="D395" s="88" t="s">
        <v>2145</v>
      </c>
      <c r="E395" s="88" t="s">
        <v>1833</v>
      </c>
      <c r="F395" s="88">
        <v>6.4</v>
      </c>
      <c r="G395" s="88">
        <v>295.0</v>
      </c>
      <c r="H395" s="89" t="s">
        <v>2146</v>
      </c>
      <c r="I395" s="28"/>
      <c r="J395" s="28"/>
    </row>
    <row r="396" ht="22.5" customHeight="1">
      <c r="A396" s="76" t="s">
        <v>2152</v>
      </c>
      <c r="B396" s="88" t="s">
        <v>1823</v>
      </c>
      <c r="C396" s="88" t="s">
        <v>2144</v>
      </c>
      <c r="D396" s="88" t="s">
        <v>2145</v>
      </c>
      <c r="E396" s="88" t="s">
        <v>1844</v>
      </c>
      <c r="F396" s="88">
        <v>6.4</v>
      </c>
      <c r="G396" s="88">
        <v>295.0</v>
      </c>
      <c r="H396" s="89" t="s">
        <v>2146</v>
      </c>
      <c r="I396" s="28"/>
      <c r="J396" s="28"/>
    </row>
    <row r="397" ht="22.5" customHeight="1">
      <c r="A397" s="76" t="s">
        <v>2153</v>
      </c>
      <c r="B397" s="88" t="s">
        <v>1823</v>
      </c>
      <c r="C397" s="88" t="s">
        <v>2154</v>
      </c>
      <c r="D397" s="88" t="s">
        <v>2145</v>
      </c>
      <c r="E397" s="88" t="s">
        <v>105</v>
      </c>
      <c r="F397" s="88">
        <v>6.4</v>
      </c>
      <c r="G397" s="88">
        <v>160.0</v>
      </c>
      <c r="H397" s="89" t="s">
        <v>2155</v>
      </c>
      <c r="I397" s="28"/>
      <c r="J397" s="28"/>
    </row>
    <row r="398" ht="22.5" customHeight="1">
      <c r="A398" s="76" t="s">
        <v>2156</v>
      </c>
      <c r="B398" s="88" t="s">
        <v>1823</v>
      </c>
      <c r="C398" s="88" t="s">
        <v>2154</v>
      </c>
      <c r="D398" s="88" t="s">
        <v>2145</v>
      </c>
      <c r="E398" s="88" t="s">
        <v>103</v>
      </c>
      <c r="F398" s="88">
        <v>6.4</v>
      </c>
      <c r="G398" s="88">
        <v>160.0</v>
      </c>
      <c r="H398" s="89" t="s">
        <v>2155</v>
      </c>
      <c r="I398" s="28"/>
      <c r="J398" s="28"/>
    </row>
    <row r="399" ht="22.5" customHeight="1">
      <c r="A399" s="76" t="s">
        <v>2157</v>
      </c>
      <c r="B399" s="88" t="s">
        <v>1823</v>
      </c>
      <c r="C399" s="88" t="s">
        <v>2154</v>
      </c>
      <c r="D399" s="88" t="s">
        <v>2145</v>
      </c>
      <c r="E399" s="88" t="s">
        <v>1457</v>
      </c>
      <c r="F399" s="88">
        <v>6.4</v>
      </c>
      <c r="G399" s="88">
        <v>170.0</v>
      </c>
      <c r="H399" s="89" t="s">
        <v>2155</v>
      </c>
      <c r="I399" s="28"/>
      <c r="J399" s="28"/>
    </row>
    <row r="400" ht="22.5" customHeight="1">
      <c r="A400" s="76" t="s">
        <v>2158</v>
      </c>
      <c r="B400" s="88" t="s">
        <v>1823</v>
      </c>
      <c r="C400" s="88" t="s">
        <v>2154</v>
      </c>
      <c r="D400" s="88" t="s">
        <v>2145</v>
      </c>
      <c r="E400" s="88" t="s">
        <v>1830</v>
      </c>
      <c r="F400" s="88">
        <v>6.4</v>
      </c>
      <c r="G400" s="88">
        <v>170.0</v>
      </c>
      <c r="H400" s="89" t="s">
        <v>2155</v>
      </c>
      <c r="I400" s="28"/>
      <c r="J400" s="28"/>
    </row>
    <row r="401" ht="22.5" customHeight="1">
      <c r="A401" s="76" t="s">
        <v>2159</v>
      </c>
      <c r="B401" s="88" t="s">
        <v>1823</v>
      </c>
      <c r="C401" s="88" t="s">
        <v>2154</v>
      </c>
      <c r="D401" s="88" t="s">
        <v>2145</v>
      </c>
      <c r="E401" s="88" t="s">
        <v>497</v>
      </c>
      <c r="F401" s="88">
        <v>6.4</v>
      </c>
      <c r="G401" s="88">
        <v>255.0</v>
      </c>
      <c r="H401" s="89" t="s">
        <v>2155</v>
      </c>
      <c r="I401" s="28"/>
      <c r="J401" s="28"/>
    </row>
    <row r="402" ht="22.5" customHeight="1">
      <c r="A402" s="76" t="s">
        <v>2160</v>
      </c>
      <c r="B402" s="88" t="s">
        <v>1823</v>
      </c>
      <c r="C402" s="88" t="s">
        <v>2154</v>
      </c>
      <c r="D402" s="88" t="s">
        <v>2145</v>
      </c>
      <c r="E402" s="88" t="s">
        <v>1833</v>
      </c>
      <c r="F402" s="88">
        <v>6.4</v>
      </c>
      <c r="G402" s="88">
        <v>255.0</v>
      </c>
      <c r="H402" s="89" t="s">
        <v>2155</v>
      </c>
      <c r="I402" s="28"/>
      <c r="J402" s="28"/>
    </row>
    <row r="403" ht="22.5" customHeight="1">
      <c r="A403" s="76" t="s">
        <v>2161</v>
      </c>
      <c r="B403" s="88" t="s">
        <v>1823</v>
      </c>
      <c r="C403" s="88" t="s">
        <v>2154</v>
      </c>
      <c r="D403" s="88" t="s">
        <v>2145</v>
      </c>
      <c r="E403" s="88" t="s">
        <v>1844</v>
      </c>
      <c r="F403" s="88">
        <v>6.4</v>
      </c>
      <c r="G403" s="88">
        <v>255.0</v>
      </c>
      <c r="H403" s="89" t="s">
        <v>2155</v>
      </c>
      <c r="I403" s="28"/>
      <c r="J403" s="28"/>
    </row>
    <row r="404" ht="22.5" customHeight="1">
      <c r="A404" s="76" t="s">
        <v>2162</v>
      </c>
      <c r="B404" s="88" t="s">
        <v>1823</v>
      </c>
      <c r="C404" s="88" t="s">
        <v>2163</v>
      </c>
      <c r="D404" s="88" t="s">
        <v>2145</v>
      </c>
      <c r="E404" s="88" t="s">
        <v>105</v>
      </c>
      <c r="F404" s="88">
        <v>6.4</v>
      </c>
      <c r="G404" s="88">
        <v>160.0</v>
      </c>
      <c r="H404" s="89" t="s">
        <v>2164</v>
      </c>
      <c r="I404" s="28"/>
      <c r="J404" s="28"/>
    </row>
    <row r="405" ht="22.5" customHeight="1">
      <c r="A405" s="76" t="s">
        <v>2165</v>
      </c>
      <c r="B405" s="88" t="s">
        <v>1823</v>
      </c>
      <c r="C405" s="88" t="s">
        <v>2163</v>
      </c>
      <c r="D405" s="88" t="s">
        <v>2145</v>
      </c>
      <c r="E405" s="88" t="s">
        <v>103</v>
      </c>
      <c r="F405" s="88">
        <v>6.4</v>
      </c>
      <c r="G405" s="88">
        <v>160.0</v>
      </c>
      <c r="H405" s="89" t="s">
        <v>2164</v>
      </c>
      <c r="I405" s="28"/>
      <c r="J405" s="28"/>
    </row>
    <row r="406" ht="22.5" customHeight="1">
      <c r="A406" s="76" t="s">
        <v>2166</v>
      </c>
      <c r="B406" s="88" t="s">
        <v>1823</v>
      </c>
      <c r="C406" s="88" t="s">
        <v>2163</v>
      </c>
      <c r="D406" s="88" t="s">
        <v>2145</v>
      </c>
      <c r="E406" s="88" t="s">
        <v>1457</v>
      </c>
      <c r="F406" s="88">
        <v>6.4</v>
      </c>
      <c r="G406" s="88">
        <v>170.0</v>
      </c>
      <c r="H406" s="89" t="s">
        <v>2164</v>
      </c>
      <c r="I406" s="28"/>
      <c r="J406" s="28"/>
    </row>
    <row r="407" ht="22.5" customHeight="1">
      <c r="A407" s="76" t="s">
        <v>2167</v>
      </c>
      <c r="B407" s="88" t="s">
        <v>1823</v>
      </c>
      <c r="C407" s="88" t="s">
        <v>2163</v>
      </c>
      <c r="D407" s="88" t="s">
        <v>2145</v>
      </c>
      <c r="E407" s="88" t="s">
        <v>1830</v>
      </c>
      <c r="F407" s="88">
        <v>6.4</v>
      </c>
      <c r="G407" s="88">
        <v>170.0</v>
      </c>
      <c r="H407" s="89" t="s">
        <v>2164</v>
      </c>
      <c r="I407" s="28"/>
      <c r="J407" s="28"/>
    </row>
    <row r="408" ht="22.5" customHeight="1">
      <c r="A408" s="76" t="s">
        <v>2168</v>
      </c>
      <c r="B408" s="88" t="s">
        <v>1823</v>
      </c>
      <c r="C408" s="88" t="s">
        <v>2163</v>
      </c>
      <c r="D408" s="88" t="s">
        <v>2145</v>
      </c>
      <c r="E408" s="88" t="s">
        <v>497</v>
      </c>
      <c r="F408" s="88">
        <v>6.4</v>
      </c>
      <c r="G408" s="88">
        <v>275.0</v>
      </c>
      <c r="H408" s="89" t="s">
        <v>2164</v>
      </c>
      <c r="I408" s="28"/>
      <c r="J408" s="28"/>
    </row>
    <row r="409" ht="22.5" customHeight="1">
      <c r="A409" s="76" t="s">
        <v>2169</v>
      </c>
      <c r="B409" s="88" t="s">
        <v>1823</v>
      </c>
      <c r="C409" s="88" t="s">
        <v>2163</v>
      </c>
      <c r="D409" s="88" t="s">
        <v>2145</v>
      </c>
      <c r="E409" s="88" t="s">
        <v>1833</v>
      </c>
      <c r="F409" s="88">
        <v>6.4</v>
      </c>
      <c r="G409" s="88">
        <v>255.0</v>
      </c>
      <c r="H409" s="89" t="s">
        <v>2164</v>
      </c>
      <c r="I409" s="28"/>
      <c r="J409" s="28"/>
    </row>
    <row r="410" ht="22.5" customHeight="1">
      <c r="A410" s="76" t="s">
        <v>2170</v>
      </c>
      <c r="B410" s="88" t="s">
        <v>1823</v>
      </c>
      <c r="C410" s="88" t="s">
        <v>2163</v>
      </c>
      <c r="D410" s="88" t="s">
        <v>2145</v>
      </c>
      <c r="E410" s="88" t="s">
        <v>1844</v>
      </c>
      <c r="F410" s="88">
        <v>6.4</v>
      </c>
      <c r="G410" s="88">
        <v>255.0</v>
      </c>
      <c r="H410" s="89" t="s">
        <v>2164</v>
      </c>
      <c r="I410" s="28"/>
      <c r="J410" s="28"/>
    </row>
    <row r="411" ht="22.5" customHeight="1">
      <c r="A411" s="76" t="s">
        <v>2171</v>
      </c>
      <c r="B411" s="88" t="s">
        <v>1823</v>
      </c>
      <c r="C411" s="88" t="s">
        <v>2172</v>
      </c>
      <c r="D411" s="88" t="s">
        <v>2173</v>
      </c>
      <c r="E411" s="88" t="s">
        <v>105</v>
      </c>
      <c r="F411" s="88">
        <v>6.4</v>
      </c>
      <c r="G411" s="91"/>
      <c r="H411" s="89" t="s">
        <v>2174</v>
      </c>
      <c r="I411" s="28"/>
      <c r="J411" s="28"/>
    </row>
    <row r="412" ht="22.5" customHeight="1">
      <c r="A412" s="76" t="s">
        <v>2175</v>
      </c>
      <c r="B412" s="88" t="s">
        <v>1823</v>
      </c>
      <c r="C412" s="88" t="s">
        <v>2172</v>
      </c>
      <c r="D412" s="88" t="s">
        <v>2173</v>
      </c>
      <c r="E412" s="88" t="s">
        <v>103</v>
      </c>
      <c r="F412" s="88">
        <v>6.4</v>
      </c>
      <c r="G412" s="91"/>
      <c r="H412" s="89" t="s">
        <v>2174</v>
      </c>
      <c r="I412" s="28"/>
      <c r="J412" s="28"/>
    </row>
    <row r="413" ht="22.5" customHeight="1">
      <c r="A413" s="76" t="s">
        <v>2176</v>
      </c>
      <c r="B413" s="88" t="s">
        <v>1823</v>
      </c>
      <c r="C413" s="88" t="s">
        <v>2172</v>
      </c>
      <c r="D413" s="88" t="s">
        <v>2173</v>
      </c>
      <c r="E413" s="88" t="s">
        <v>1457</v>
      </c>
      <c r="F413" s="88">
        <v>6.4</v>
      </c>
      <c r="G413" s="91"/>
      <c r="H413" s="89" t="s">
        <v>2174</v>
      </c>
      <c r="I413" s="28"/>
      <c r="J413" s="28"/>
    </row>
    <row r="414" ht="22.5" customHeight="1">
      <c r="A414" s="76" t="s">
        <v>2177</v>
      </c>
      <c r="B414" s="88" t="s">
        <v>1823</v>
      </c>
      <c r="C414" s="88" t="s">
        <v>2172</v>
      </c>
      <c r="D414" s="88" t="s">
        <v>2173</v>
      </c>
      <c r="E414" s="88" t="s">
        <v>1830</v>
      </c>
      <c r="F414" s="88">
        <v>6.4</v>
      </c>
      <c r="G414" s="91"/>
      <c r="H414" s="89" t="s">
        <v>2174</v>
      </c>
      <c r="I414" s="28"/>
      <c r="J414" s="28"/>
    </row>
    <row r="415" ht="22.5" customHeight="1">
      <c r="A415" s="76" t="s">
        <v>2178</v>
      </c>
      <c r="B415" s="88" t="s">
        <v>1823</v>
      </c>
      <c r="C415" s="88" t="s">
        <v>2172</v>
      </c>
      <c r="D415" s="88" t="s">
        <v>2173</v>
      </c>
      <c r="E415" s="88" t="s">
        <v>497</v>
      </c>
      <c r="F415" s="88">
        <v>6.4</v>
      </c>
      <c r="G415" s="91"/>
      <c r="H415" s="89" t="s">
        <v>2174</v>
      </c>
      <c r="I415" s="28"/>
      <c r="J415" s="28"/>
    </row>
    <row r="416" ht="22.5" customHeight="1">
      <c r="A416" s="76" t="s">
        <v>2179</v>
      </c>
      <c r="B416" s="88" t="s">
        <v>1823</v>
      </c>
      <c r="C416" s="88" t="s">
        <v>2172</v>
      </c>
      <c r="D416" s="88" t="s">
        <v>2173</v>
      </c>
      <c r="E416" s="88" t="s">
        <v>1833</v>
      </c>
      <c r="F416" s="88">
        <v>6.4</v>
      </c>
      <c r="G416" s="91"/>
      <c r="H416" s="89" t="s">
        <v>2174</v>
      </c>
      <c r="I416" s="28"/>
      <c r="J416" s="28"/>
    </row>
    <row r="417" ht="22.5" customHeight="1">
      <c r="A417" s="76" t="s">
        <v>2180</v>
      </c>
      <c r="B417" s="88" t="s">
        <v>1823</v>
      </c>
      <c r="C417" s="88" t="s">
        <v>2172</v>
      </c>
      <c r="D417" s="88" t="s">
        <v>2173</v>
      </c>
      <c r="E417" s="88" t="s">
        <v>1844</v>
      </c>
      <c r="F417" s="88">
        <v>6.4</v>
      </c>
      <c r="G417" s="91"/>
      <c r="H417" s="89" t="s">
        <v>2174</v>
      </c>
      <c r="I417" s="28"/>
      <c r="J417" s="28"/>
    </row>
    <row r="418" ht="22.5" customHeight="1">
      <c r="A418" s="76" t="s">
        <v>2181</v>
      </c>
      <c r="B418" s="88" t="s">
        <v>1823</v>
      </c>
      <c r="C418" s="88" t="s">
        <v>2182</v>
      </c>
      <c r="D418" s="88" t="s">
        <v>2183</v>
      </c>
      <c r="E418" s="88" t="s">
        <v>105</v>
      </c>
      <c r="F418" s="88">
        <v>6.4</v>
      </c>
      <c r="G418" s="88">
        <v>540.0</v>
      </c>
      <c r="H418" s="89" t="s">
        <v>2184</v>
      </c>
      <c r="I418" s="28"/>
      <c r="J418" s="28"/>
    </row>
    <row r="419" ht="22.5" customHeight="1">
      <c r="A419" s="76" t="s">
        <v>2185</v>
      </c>
      <c r="B419" s="88" t="s">
        <v>1823</v>
      </c>
      <c r="C419" s="88" t="s">
        <v>2182</v>
      </c>
      <c r="D419" s="88" t="s">
        <v>2183</v>
      </c>
      <c r="E419" s="88" t="s">
        <v>103</v>
      </c>
      <c r="F419" s="88">
        <v>6.4</v>
      </c>
      <c r="G419" s="88">
        <v>540.0</v>
      </c>
      <c r="H419" s="89" t="s">
        <v>2184</v>
      </c>
      <c r="I419" s="28"/>
      <c r="J419" s="28"/>
    </row>
    <row r="420" ht="22.5" customHeight="1">
      <c r="A420" s="76" t="s">
        <v>2186</v>
      </c>
      <c r="B420" s="88" t="s">
        <v>1823</v>
      </c>
      <c r="C420" s="88" t="s">
        <v>2182</v>
      </c>
      <c r="D420" s="88" t="s">
        <v>2183</v>
      </c>
      <c r="E420" s="88" t="s">
        <v>1457</v>
      </c>
      <c r="F420" s="88">
        <v>6.4</v>
      </c>
      <c r="G420" s="88">
        <v>580.0</v>
      </c>
      <c r="H420" s="89" t="s">
        <v>2184</v>
      </c>
      <c r="I420" s="28"/>
      <c r="J420" s="28"/>
    </row>
    <row r="421" ht="22.5" customHeight="1">
      <c r="A421" s="76" t="s">
        <v>2187</v>
      </c>
      <c r="B421" s="88" t="s">
        <v>1823</v>
      </c>
      <c r="C421" s="88" t="s">
        <v>2182</v>
      </c>
      <c r="D421" s="88" t="s">
        <v>2183</v>
      </c>
      <c r="E421" s="88" t="s">
        <v>1830</v>
      </c>
      <c r="F421" s="88">
        <v>6.4</v>
      </c>
      <c r="G421" s="88">
        <v>580.0</v>
      </c>
      <c r="H421" s="89" t="s">
        <v>2184</v>
      </c>
      <c r="I421" s="28"/>
      <c r="J421" s="28"/>
    </row>
    <row r="422" ht="22.5" customHeight="1">
      <c r="A422" s="76" t="s">
        <v>2188</v>
      </c>
      <c r="B422" s="88" t="s">
        <v>1823</v>
      </c>
      <c r="C422" s="88" t="s">
        <v>2182</v>
      </c>
      <c r="D422" s="88" t="s">
        <v>2183</v>
      </c>
      <c r="E422" s="88" t="s">
        <v>497</v>
      </c>
      <c r="F422" s="88">
        <v>6.4</v>
      </c>
      <c r="G422" s="88">
        <v>855.0</v>
      </c>
      <c r="H422" s="89" t="s">
        <v>2184</v>
      </c>
      <c r="I422" s="28"/>
      <c r="J422" s="28"/>
    </row>
    <row r="423" ht="22.5" customHeight="1">
      <c r="A423" s="76" t="s">
        <v>2189</v>
      </c>
      <c r="B423" s="88" t="s">
        <v>1823</v>
      </c>
      <c r="C423" s="88" t="s">
        <v>2182</v>
      </c>
      <c r="D423" s="88" t="s">
        <v>2183</v>
      </c>
      <c r="E423" s="88" t="s">
        <v>1833</v>
      </c>
      <c r="F423" s="88">
        <v>6.4</v>
      </c>
      <c r="G423" s="88">
        <v>855.0</v>
      </c>
      <c r="H423" s="89" t="s">
        <v>2184</v>
      </c>
      <c r="I423" s="28"/>
      <c r="J423" s="28"/>
    </row>
    <row r="424" ht="22.5" customHeight="1">
      <c r="A424" s="76" t="s">
        <v>2190</v>
      </c>
      <c r="B424" s="88" t="s">
        <v>1823</v>
      </c>
      <c r="C424" s="88" t="s">
        <v>2182</v>
      </c>
      <c r="D424" s="88" t="s">
        <v>2183</v>
      </c>
      <c r="E424" s="88" t="s">
        <v>1844</v>
      </c>
      <c r="F424" s="88">
        <v>6.4</v>
      </c>
      <c r="G424" s="88">
        <v>855.0</v>
      </c>
      <c r="H424" s="89" t="s">
        <v>2184</v>
      </c>
      <c r="I424" s="28"/>
      <c r="J424" s="28"/>
    </row>
    <row r="425" ht="22.5" customHeight="1">
      <c r="A425" s="76" t="s">
        <v>2191</v>
      </c>
      <c r="B425" s="88" t="s">
        <v>1823</v>
      </c>
      <c r="C425" s="88" t="s">
        <v>2192</v>
      </c>
      <c r="D425" s="88" t="s">
        <v>2193</v>
      </c>
      <c r="E425" s="88" t="s">
        <v>105</v>
      </c>
      <c r="F425" s="88">
        <v>6.4</v>
      </c>
      <c r="G425" s="88">
        <v>355.0</v>
      </c>
      <c r="H425" s="89" t="s">
        <v>1898</v>
      </c>
      <c r="I425" s="26">
        <v>16.0</v>
      </c>
      <c r="J425" s="28"/>
    </row>
    <row r="426" ht="22.5" customHeight="1">
      <c r="A426" s="76" t="s">
        <v>2194</v>
      </c>
      <c r="B426" s="88" t="s">
        <v>1823</v>
      </c>
      <c r="C426" s="88" t="s">
        <v>2192</v>
      </c>
      <c r="D426" s="88" t="s">
        <v>2193</v>
      </c>
      <c r="E426" s="88" t="s">
        <v>103</v>
      </c>
      <c r="F426" s="88">
        <v>6.4</v>
      </c>
      <c r="G426" s="88">
        <v>355.0</v>
      </c>
      <c r="H426" s="89" t="s">
        <v>1898</v>
      </c>
      <c r="I426" s="26">
        <v>16.0</v>
      </c>
      <c r="J426" s="28"/>
    </row>
    <row r="427" ht="22.5" customHeight="1">
      <c r="A427" s="76" t="s">
        <v>2195</v>
      </c>
      <c r="B427" s="88" t="s">
        <v>1823</v>
      </c>
      <c r="C427" s="88" t="s">
        <v>2192</v>
      </c>
      <c r="D427" s="88" t="s">
        <v>2193</v>
      </c>
      <c r="E427" s="88" t="s">
        <v>1457</v>
      </c>
      <c r="F427" s="88">
        <v>6.4</v>
      </c>
      <c r="G427" s="88">
        <v>380.0</v>
      </c>
      <c r="H427" s="89" t="s">
        <v>1898</v>
      </c>
      <c r="I427" s="26">
        <v>10.0</v>
      </c>
      <c r="J427" s="28"/>
    </row>
    <row r="428" ht="22.5" customHeight="1">
      <c r="A428" s="76" t="s">
        <v>2196</v>
      </c>
      <c r="B428" s="88" t="s">
        <v>1823</v>
      </c>
      <c r="C428" s="88" t="s">
        <v>2192</v>
      </c>
      <c r="D428" s="88" t="s">
        <v>2193</v>
      </c>
      <c r="E428" s="88" t="s">
        <v>1830</v>
      </c>
      <c r="F428" s="88">
        <v>6.4</v>
      </c>
      <c r="G428" s="88">
        <v>380.0</v>
      </c>
      <c r="H428" s="89" t="s">
        <v>1898</v>
      </c>
      <c r="I428" s="28"/>
      <c r="J428" s="28"/>
    </row>
    <row r="429" ht="22.5" customHeight="1">
      <c r="A429" s="76" t="s">
        <v>2197</v>
      </c>
      <c r="B429" s="88" t="s">
        <v>1823</v>
      </c>
      <c r="C429" s="88" t="s">
        <v>2192</v>
      </c>
      <c r="D429" s="88" t="s">
        <v>2193</v>
      </c>
      <c r="E429" s="88" t="s">
        <v>497</v>
      </c>
      <c r="F429" s="88">
        <v>6.4</v>
      </c>
      <c r="G429" s="88">
        <v>560.0</v>
      </c>
      <c r="H429" s="89" t="s">
        <v>1898</v>
      </c>
      <c r="I429" s="28"/>
      <c r="J429" s="28"/>
    </row>
    <row r="430" ht="22.5" customHeight="1">
      <c r="A430" s="76" t="s">
        <v>2198</v>
      </c>
      <c r="B430" s="88" t="s">
        <v>1823</v>
      </c>
      <c r="C430" s="88" t="s">
        <v>2192</v>
      </c>
      <c r="D430" s="88" t="s">
        <v>2193</v>
      </c>
      <c r="E430" s="88" t="s">
        <v>1833</v>
      </c>
      <c r="F430" s="88">
        <v>6.4</v>
      </c>
      <c r="G430" s="88">
        <v>560.0</v>
      </c>
      <c r="H430" s="89" t="s">
        <v>1898</v>
      </c>
      <c r="I430" s="28"/>
      <c r="J430" s="28"/>
    </row>
    <row r="431" ht="22.5" customHeight="1">
      <c r="A431" s="76" t="s">
        <v>2199</v>
      </c>
      <c r="B431" s="88" t="s">
        <v>1823</v>
      </c>
      <c r="C431" s="88" t="s">
        <v>2192</v>
      </c>
      <c r="D431" s="88" t="s">
        <v>2193</v>
      </c>
      <c r="E431" s="88" t="s">
        <v>1844</v>
      </c>
      <c r="F431" s="88">
        <v>6.4</v>
      </c>
      <c r="G431" s="88">
        <v>560.0</v>
      </c>
      <c r="H431" s="89" t="s">
        <v>1898</v>
      </c>
      <c r="I431" s="28"/>
      <c r="J431" s="28"/>
    </row>
    <row r="432" ht="22.5" customHeight="1">
      <c r="A432" s="76" t="s">
        <v>2200</v>
      </c>
      <c r="B432" s="88" t="s">
        <v>1823</v>
      </c>
      <c r="C432" s="88" t="s">
        <v>2201</v>
      </c>
      <c r="D432" s="88" t="s">
        <v>2202</v>
      </c>
      <c r="E432" s="88" t="s">
        <v>105</v>
      </c>
      <c r="F432" s="88">
        <v>6.4</v>
      </c>
      <c r="G432" s="88">
        <v>355.0</v>
      </c>
      <c r="H432" s="89" t="s">
        <v>1938</v>
      </c>
      <c r="I432" s="26">
        <v>6.0</v>
      </c>
      <c r="J432" s="28"/>
    </row>
    <row r="433" ht="22.5" customHeight="1">
      <c r="A433" s="76" t="s">
        <v>2203</v>
      </c>
      <c r="B433" s="88" t="s">
        <v>1823</v>
      </c>
      <c r="C433" s="88" t="s">
        <v>2201</v>
      </c>
      <c r="D433" s="88" t="s">
        <v>2202</v>
      </c>
      <c r="E433" s="88" t="s">
        <v>103</v>
      </c>
      <c r="F433" s="88">
        <v>6.4</v>
      </c>
      <c r="G433" s="88">
        <v>355.0</v>
      </c>
      <c r="H433" s="89" t="s">
        <v>1938</v>
      </c>
      <c r="I433" s="26">
        <v>10.0</v>
      </c>
      <c r="J433" s="28"/>
    </row>
    <row r="434" ht="22.5" customHeight="1">
      <c r="A434" s="76" t="s">
        <v>2204</v>
      </c>
      <c r="B434" s="88" t="s">
        <v>1823</v>
      </c>
      <c r="C434" s="88" t="s">
        <v>2201</v>
      </c>
      <c r="D434" s="88" t="s">
        <v>2202</v>
      </c>
      <c r="E434" s="88" t="s">
        <v>1457</v>
      </c>
      <c r="F434" s="88">
        <v>6.4</v>
      </c>
      <c r="G434" s="88">
        <v>380.0</v>
      </c>
      <c r="H434" s="89" t="s">
        <v>1938</v>
      </c>
      <c r="I434" s="28"/>
      <c r="J434" s="28"/>
    </row>
    <row r="435" ht="22.5" customHeight="1">
      <c r="A435" s="76" t="s">
        <v>2205</v>
      </c>
      <c r="B435" s="88" t="s">
        <v>1823</v>
      </c>
      <c r="C435" s="88" t="s">
        <v>2201</v>
      </c>
      <c r="D435" s="88" t="s">
        <v>2202</v>
      </c>
      <c r="E435" s="88" t="s">
        <v>1830</v>
      </c>
      <c r="F435" s="88">
        <v>6.4</v>
      </c>
      <c r="G435" s="88">
        <v>380.0</v>
      </c>
      <c r="H435" s="89" t="s">
        <v>1938</v>
      </c>
      <c r="I435" s="28"/>
      <c r="J435" s="28"/>
    </row>
    <row r="436" ht="22.5" customHeight="1">
      <c r="A436" s="76" t="s">
        <v>2206</v>
      </c>
      <c r="B436" s="88" t="s">
        <v>1823</v>
      </c>
      <c r="C436" s="88" t="s">
        <v>2201</v>
      </c>
      <c r="D436" s="88" t="s">
        <v>2202</v>
      </c>
      <c r="E436" s="88" t="s">
        <v>497</v>
      </c>
      <c r="F436" s="88">
        <v>6.4</v>
      </c>
      <c r="G436" s="88">
        <v>560.0</v>
      </c>
      <c r="H436" s="89" t="s">
        <v>1938</v>
      </c>
      <c r="I436" s="28"/>
      <c r="J436" s="28"/>
    </row>
    <row r="437" ht="22.5" customHeight="1">
      <c r="A437" s="76" t="s">
        <v>2207</v>
      </c>
      <c r="B437" s="88" t="s">
        <v>1823</v>
      </c>
      <c r="C437" s="88" t="s">
        <v>2201</v>
      </c>
      <c r="D437" s="88" t="s">
        <v>2202</v>
      </c>
      <c r="E437" s="88" t="s">
        <v>1833</v>
      </c>
      <c r="F437" s="88">
        <v>6.4</v>
      </c>
      <c r="G437" s="88">
        <v>560.0</v>
      </c>
      <c r="H437" s="89" t="s">
        <v>1938</v>
      </c>
      <c r="I437" s="28"/>
      <c r="J437" s="28"/>
    </row>
    <row r="438" ht="22.5" customHeight="1">
      <c r="A438" s="76" t="s">
        <v>2208</v>
      </c>
      <c r="B438" s="88" t="s">
        <v>1823</v>
      </c>
      <c r="C438" s="88" t="s">
        <v>2201</v>
      </c>
      <c r="D438" s="88" t="s">
        <v>2202</v>
      </c>
      <c r="E438" s="88" t="s">
        <v>1844</v>
      </c>
      <c r="F438" s="88">
        <v>6.4</v>
      </c>
      <c r="G438" s="88">
        <v>560.0</v>
      </c>
      <c r="H438" s="89" t="s">
        <v>1938</v>
      </c>
      <c r="I438" s="28"/>
      <c r="J438" s="28"/>
    </row>
    <row r="439" ht="22.5" customHeight="1">
      <c r="A439" s="76" t="s">
        <v>2209</v>
      </c>
      <c r="B439" s="88" t="s">
        <v>1823</v>
      </c>
      <c r="C439" s="88">
        <v>10.0</v>
      </c>
      <c r="D439" s="88" t="s">
        <v>2210</v>
      </c>
      <c r="E439" s="88" t="s">
        <v>105</v>
      </c>
      <c r="F439" s="88">
        <v>6.4</v>
      </c>
      <c r="G439" s="90">
        <v>1075.0</v>
      </c>
      <c r="H439" s="89" t="s">
        <v>2211</v>
      </c>
      <c r="I439" s="26">
        <v>10.0</v>
      </c>
      <c r="J439" s="28"/>
    </row>
    <row r="440" ht="22.5" customHeight="1">
      <c r="A440" s="76" t="s">
        <v>2212</v>
      </c>
      <c r="B440" s="88" t="s">
        <v>1823</v>
      </c>
      <c r="C440" s="88" t="s">
        <v>2213</v>
      </c>
      <c r="D440" s="88" t="s">
        <v>2210</v>
      </c>
      <c r="E440" s="88" t="s">
        <v>103</v>
      </c>
      <c r="F440" s="88">
        <v>6.4</v>
      </c>
      <c r="G440" s="90">
        <v>1075.0</v>
      </c>
      <c r="H440" s="89" t="s">
        <v>2211</v>
      </c>
      <c r="I440" s="26">
        <v>10.0</v>
      </c>
      <c r="J440" s="28"/>
    </row>
    <row r="441" ht="22.5" customHeight="1">
      <c r="A441" s="76" t="s">
        <v>2214</v>
      </c>
      <c r="B441" s="88" t="s">
        <v>1823</v>
      </c>
      <c r="C441" s="88" t="s">
        <v>2213</v>
      </c>
      <c r="D441" s="88" t="s">
        <v>2210</v>
      </c>
      <c r="E441" s="88" t="s">
        <v>1457</v>
      </c>
      <c r="F441" s="88">
        <v>6.4</v>
      </c>
      <c r="G441" s="90">
        <v>1150.0</v>
      </c>
      <c r="H441" s="89" t="s">
        <v>2211</v>
      </c>
      <c r="I441" s="26">
        <v>10.0</v>
      </c>
      <c r="J441" s="28"/>
    </row>
    <row r="442" ht="22.5" customHeight="1">
      <c r="A442" s="76" t="s">
        <v>2215</v>
      </c>
      <c r="B442" s="88" t="s">
        <v>1823</v>
      </c>
      <c r="C442" s="88" t="s">
        <v>2213</v>
      </c>
      <c r="D442" s="88" t="s">
        <v>2210</v>
      </c>
      <c r="E442" s="88" t="s">
        <v>1830</v>
      </c>
      <c r="F442" s="88">
        <v>6.4</v>
      </c>
      <c r="G442" s="90">
        <v>1150.0</v>
      </c>
      <c r="H442" s="89" t="s">
        <v>2211</v>
      </c>
      <c r="I442" s="28"/>
      <c r="J442" s="28"/>
    </row>
    <row r="443" ht="22.5" customHeight="1">
      <c r="A443" s="76" t="s">
        <v>2216</v>
      </c>
      <c r="B443" s="88" t="s">
        <v>1823</v>
      </c>
      <c r="C443" s="88" t="s">
        <v>2213</v>
      </c>
      <c r="D443" s="88" t="s">
        <v>2210</v>
      </c>
      <c r="E443" s="88" t="s">
        <v>497</v>
      </c>
      <c r="F443" s="88">
        <v>6.4</v>
      </c>
      <c r="G443" s="90">
        <v>1700.0</v>
      </c>
      <c r="H443" s="89" t="s">
        <v>2211</v>
      </c>
      <c r="I443" s="26">
        <v>16.0</v>
      </c>
      <c r="J443" s="28"/>
    </row>
    <row r="444" ht="22.5" customHeight="1">
      <c r="A444" s="76" t="s">
        <v>2217</v>
      </c>
      <c r="B444" s="88" t="s">
        <v>1823</v>
      </c>
      <c r="C444" s="88" t="s">
        <v>2213</v>
      </c>
      <c r="D444" s="88" t="s">
        <v>2210</v>
      </c>
      <c r="E444" s="88" t="s">
        <v>1833</v>
      </c>
      <c r="F444" s="88">
        <v>6.4</v>
      </c>
      <c r="G444" s="90">
        <v>1700.0</v>
      </c>
      <c r="H444" s="89" t="s">
        <v>2211</v>
      </c>
      <c r="I444" s="28"/>
      <c r="J444" s="28"/>
    </row>
    <row r="445" ht="22.5" customHeight="1">
      <c r="A445" s="76" t="s">
        <v>2218</v>
      </c>
      <c r="B445" s="88" t="s">
        <v>1823</v>
      </c>
      <c r="C445" s="88" t="s">
        <v>2213</v>
      </c>
      <c r="D445" s="88" t="s">
        <v>2210</v>
      </c>
      <c r="E445" s="88" t="s">
        <v>1844</v>
      </c>
      <c r="F445" s="88">
        <v>6.4</v>
      </c>
      <c r="G445" s="90">
        <v>1700.0</v>
      </c>
      <c r="H445" s="89" t="s">
        <v>2211</v>
      </c>
      <c r="I445" s="28"/>
      <c r="J445" s="28"/>
    </row>
    <row r="446" ht="22.5" customHeight="1">
      <c r="A446" s="76" t="s">
        <v>2219</v>
      </c>
      <c r="B446" s="88" t="s">
        <v>1823</v>
      </c>
      <c r="C446" s="88" t="s">
        <v>2220</v>
      </c>
      <c r="D446" s="88" t="s">
        <v>2221</v>
      </c>
      <c r="E446" s="88" t="s">
        <v>105</v>
      </c>
      <c r="F446" s="88">
        <v>6.4</v>
      </c>
      <c r="G446" s="90">
        <v>1345.0</v>
      </c>
      <c r="H446" s="89" t="s">
        <v>2222</v>
      </c>
      <c r="I446" s="28"/>
      <c r="J446" s="28"/>
    </row>
    <row r="447" ht="22.5" customHeight="1">
      <c r="A447" s="76" t="s">
        <v>2223</v>
      </c>
      <c r="B447" s="88" t="s">
        <v>1823</v>
      </c>
      <c r="C447" s="88" t="s">
        <v>2220</v>
      </c>
      <c r="D447" s="88" t="s">
        <v>2221</v>
      </c>
      <c r="E447" s="88" t="s">
        <v>103</v>
      </c>
      <c r="F447" s="88">
        <v>6.4</v>
      </c>
      <c r="G447" s="90">
        <v>1345.0</v>
      </c>
      <c r="H447" s="89" t="s">
        <v>2222</v>
      </c>
      <c r="I447" s="28"/>
      <c r="J447" s="28"/>
    </row>
    <row r="448" ht="22.5" customHeight="1">
      <c r="A448" s="76" t="s">
        <v>2224</v>
      </c>
      <c r="B448" s="88" t="s">
        <v>1823</v>
      </c>
      <c r="C448" s="88" t="s">
        <v>2220</v>
      </c>
      <c r="D448" s="88" t="s">
        <v>2221</v>
      </c>
      <c r="E448" s="88" t="s">
        <v>1457</v>
      </c>
      <c r="F448" s="88">
        <v>6.4</v>
      </c>
      <c r="G448" s="90">
        <v>1440.0</v>
      </c>
      <c r="H448" s="89" t="s">
        <v>2222</v>
      </c>
      <c r="I448" s="28"/>
      <c r="J448" s="28"/>
    </row>
    <row r="449" ht="22.5" customHeight="1">
      <c r="A449" s="76" t="s">
        <v>2225</v>
      </c>
      <c r="B449" s="88" t="s">
        <v>1823</v>
      </c>
      <c r="C449" s="88" t="s">
        <v>2220</v>
      </c>
      <c r="D449" s="88" t="s">
        <v>2221</v>
      </c>
      <c r="E449" s="88" t="s">
        <v>1830</v>
      </c>
      <c r="F449" s="88">
        <v>6.4</v>
      </c>
      <c r="G449" s="90">
        <v>1440.0</v>
      </c>
      <c r="H449" s="89" t="s">
        <v>2222</v>
      </c>
      <c r="I449" s="28"/>
      <c r="J449" s="28"/>
    </row>
    <row r="450" ht="22.5" customHeight="1">
      <c r="A450" s="76" t="s">
        <v>2226</v>
      </c>
      <c r="B450" s="88" t="s">
        <v>1823</v>
      </c>
      <c r="C450" s="88" t="s">
        <v>2220</v>
      </c>
      <c r="D450" s="88" t="s">
        <v>2221</v>
      </c>
      <c r="E450" s="88" t="s">
        <v>497</v>
      </c>
      <c r="F450" s="88">
        <v>6.4</v>
      </c>
      <c r="G450" s="90">
        <v>2130.0</v>
      </c>
      <c r="H450" s="89" t="s">
        <v>2222</v>
      </c>
      <c r="I450" s="28"/>
      <c r="J450" s="28"/>
    </row>
    <row r="451" ht="22.5" customHeight="1">
      <c r="A451" s="76" t="s">
        <v>2227</v>
      </c>
      <c r="B451" s="88" t="s">
        <v>1823</v>
      </c>
      <c r="C451" s="88" t="s">
        <v>2220</v>
      </c>
      <c r="D451" s="88" t="s">
        <v>2221</v>
      </c>
      <c r="E451" s="88" t="s">
        <v>1833</v>
      </c>
      <c r="F451" s="88">
        <v>6.4</v>
      </c>
      <c r="G451" s="90">
        <v>2130.0</v>
      </c>
      <c r="H451" s="89" t="s">
        <v>2222</v>
      </c>
      <c r="I451" s="28"/>
      <c r="J451" s="28"/>
    </row>
    <row r="452" ht="22.5" customHeight="1">
      <c r="A452" s="76" t="s">
        <v>2228</v>
      </c>
      <c r="B452" s="88" t="s">
        <v>1823</v>
      </c>
      <c r="C452" s="88" t="s">
        <v>2220</v>
      </c>
      <c r="D452" s="88" t="s">
        <v>2221</v>
      </c>
      <c r="E452" s="88" t="s">
        <v>1844</v>
      </c>
      <c r="F452" s="88">
        <v>6.4</v>
      </c>
      <c r="G452" s="90">
        <v>2130.0</v>
      </c>
      <c r="H452" s="89" t="s">
        <v>2222</v>
      </c>
      <c r="I452" s="28"/>
      <c r="J452" s="28"/>
    </row>
    <row r="453" ht="22.5" customHeight="1">
      <c r="A453" s="76" t="s">
        <v>2229</v>
      </c>
      <c r="B453" s="88" t="s">
        <v>1823</v>
      </c>
      <c r="C453" s="88" t="s">
        <v>2230</v>
      </c>
      <c r="D453" s="88" t="s">
        <v>2231</v>
      </c>
      <c r="E453" s="88" t="s">
        <v>105</v>
      </c>
      <c r="F453" s="88">
        <v>6.4</v>
      </c>
      <c r="G453" s="91"/>
      <c r="H453" s="98" t="s">
        <v>2232</v>
      </c>
      <c r="I453" s="30"/>
      <c r="J453" s="28"/>
    </row>
    <row r="454" ht="22.5" customHeight="1">
      <c r="A454" s="76" t="s">
        <v>2233</v>
      </c>
      <c r="B454" s="88" t="s">
        <v>1823</v>
      </c>
      <c r="C454" s="88" t="s">
        <v>2230</v>
      </c>
      <c r="D454" s="88" t="s">
        <v>2231</v>
      </c>
      <c r="E454" s="88" t="s">
        <v>103</v>
      </c>
      <c r="F454" s="88">
        <v>6.4</v>
      </c>
      <c r="G454" s="91"/>
      <c r="H454" s="101" t="s">
        <v>2232</v>
      </c>
      <c r="I454" s="26"/>
      <c r="J454" s="28"/>
    </row>
    <row r="455" ht="22.5" customHeight="1">
      <c r="A455" s="76" t="s">
        <v>2234</v>
      </c>
      <c r="B455" s="88" t="s">
        <v>1823</v>
      </c>
      <c r="C455" s="88" t="s">
        <v>2230</v>
      </c>
      <c r="D455" s="88" t="s">
        <v>2231</v>
      </c>
      <c r="E455" s="88" t="s">
        <v>1457</v>
      </c>
      <c r="F455" s="88">
        <v>6.4</v>
      </c>
      <c r="G455" s="91"/>
      <c r="H455" s="102" t="s">
        <v>2232</v>
      </c>
      <c r="I455" s="26"/>
      <c r="J455" s="28"/>
    </row>
    <row r="456" ht="22.5" customHeight="1">
      <c r="A456" s="76" t="s">
        <v>2235</v>
      </c>
      <c r="B456" s="88" t="s">
        <v>1823</v>
      </c>
      <c r="C456" s="88" t="s">
        <v>2230</v>
      </c>
      <c r="D456" s="88" t="s">
        <v>2231</v>
      </c>
      <c r="E456" s="88" t="s">
        <v>1830</v>
      </c>
      <c r="F456" s="88">
        <v>6.4</v>
      </c>
      <c r="G456" s="91"/>
      <c r="H456" s="102" t="s">
        <v>2232</v>
      </c>
      <c r="I456" s="26"/>
      <c r="J456" s="28"/>
    </row>
    <row r="457" ht="22.5" customHeight="1">
      <c r="A457" s="76" t="s">
        <v>2236</v>
      </c>
      <c r="B457" s="88" t="s">
        <v>1823</v>
      </c>
      <c r="C457" s="88" t="s">
        <v>2230</v>
      </c>
      <c r="D457" s="88" t="s">
        <v>2231</v>
      </c>
      <c r="E457" s="88" t="s">
        <v>497</v>
      </c>
      <c r="F457" s="88">
        <v>6.4</v>
      </c>
      <c r="G457" s="91"/>
      <c r="H457" s="102" t="s">
        <v>2232</v>
      </c>
      <c r="I457" s="26"/>
      <c r="J457" s="28"/>
    </row>
    <row r="458" ht="22.5" customHeight="1">
      <c r="A458" s="76" t="s">
        <v>2237</v>
      </c>
      <c r="B458" s="88" t="s">
        <v>1823</v>
      </c>
      <c r="C458" s="88" t="s">
        <v>2230</v>
      </c>
      <c r="D458" s="88" t="s">
        <v>2231</v>
      </c>
      <c r="E458" s="88" t="s">
        <v>1833</v>
      </c>
      <c r="F458" s="88">
        <v>6.4</v>
      </c>
      <c r="G458" s="91"/>
      <c r="H458" s="102" t="s">
        <v>2232</v>
      </c>
      <c r="I458" s="26"/>
      <c r="J458" s="28"/>
    </row>
    <row r="459" ht="22.5" customHeight="1">
      <c r="A459" s="76" t="s">
        <v>2238</v>
      </c>
      <c r="B459" s="88" t="s">
        <v>1823</v>
      </c>
      <c r="C459" s="88" t="s">
        <v>2230</v>
      </c>
      <c r="D459" s="88" t="s">
        <v>2231</v>
      </c>
      <c r="E459" s="88" t="s">
        <v>1844</v>
      </c>
      <c r="F459" s="88">
        <v>6.4</v>
      </c>
      <c r="G459" s="91"/>
      <c r="H459" s="102" t="s">
        <v>2232</v>
      </c>
      <c r="I459" s="26"/>
      <c r="J459" s="28"/>
    </row>
    <row r="460" ht="22.5" customHeight="1">
      <c r="A460" s="76" t="s">
        <v>2239</v>
      </c>
      <c r="B460" s="88" t="s">
        <v>1823</v>
      </c>
      <c r="C460" s="88" t="s">
        <v>2240</v>
      </c>
      <c r="D460" s="88" t="s">
        <v>2241</v>
      </c>
      <c r="E460" s="88" t="s">
        <v>105</v>
      </c>
      <c r="F460" s="88">
        <v>6.4</v>
      </c>
      <c r="G460" s="90">
        <v>1180.0</v>
      </c>
      <c r="H460" s="89" t="s">
        <v>2242</v>
      </c>
      <c r="I460" s="28"/>
      <c r="J460" s="28"/>
    </row>
    <row r="461" ht="22.5" customHeight="1">
      <c r="A461" s="76" t="s">
        <v>2243</v>
      </c>
      <c r="B461" s="88" t="s">
        <v>1823</v>
      </c>
      <c r="C461" s="88" t="s">
        <v>2240</v>
      </c>
      <c r="D461" s="88" t="s">
        <v>2241</v>
      </c>
      <c r="E461" s="88" t="s">
        <v>103</v>
      </c>
      <c r="F461" s="88">
        <v>6.4</v>
      </c>
      <c r="G461" s="90">
        <v>1180.0</v>
      </c>
      <c r="H461" s="89" t="s">
        <v>2242</v>
      </c>
      <c r="I461" s="28"/>
      <c r="J461" s="28"/>
    </row>
    <row r="462" ht="22.5" customHeight="1">
      <c r="A462" s="76" t="s">
        <v>2244</v>
      </c>
      <c r="B462" s="88" t="s">
        <v>1823</v>
      </c>
      <c r="C462" s="88" t="s">
        <v>2240</v>
      </c>
      <c r="D462" s="88" t="s">
        <v>2241</v>
      </c>
      <c r="E462" s="88" t="s">
        <v>1457</v>
      </c>
      <c r="F462" s="88">
        <v>6.4</v>
      </c>
      <c r="G462" s="90">
        <v>1270.0</v>
      </c>
      <c r="H462" s="89" t="s">
        <v>2242</v>
      </c>
      <c r="I462" s="28"/>
      <c r="J462" s="28"/>
    </row>
    <row r="463" ht="22.5" customHeight="1">
      <c r="A463" s="76" t="s">
        <v>2245</v>
      </c>
      <c r="B463" s="88" t="s">
        <v>1823</v>
      </c>
      <c r="C463" s="88" t="s">
        <v>2240</v>
      </c>
      <c r="D463" s="88" t="s">
        <v>2241</v>
      </c>
      <c r="E463" s="88" t="s">
        <v>1830</v>
      </c>
      <c r="F463" s="88">
        <v>6.4</v>
      </c>
      <c r="G463" s="90">
        <v>1270.0</v>
      </c>
      <c r="H463" s="89" t="s">
        <v>2242</v>
      </c>
      <c r="I463" s="28"/>
      <c r="J463" s="28"/>
    </row>
    <row r="464" ht="22.5" customHeight="1">
      <c r="A464" s="76" t="s">
        <v>2246</v>
      </c>
      <c r="B464" s="88" t="s">
        <v>1823</v>
      </c>
      <c r="C464" s="88" t="s">
        <v>2240</v>
      </c>
      <c r="D464" s="88" t="s">
        <v>2241</v>
      </c>
      <c r="E464" s="88" t="s">
        <v>497</v>
      </c>
      <c r="F464" s="88">
        <v>6.4</v>
      </c>
      <c r="G464" s="90">
        <v>1875.0</v>
      </c>
      <c r="H464" s="89" t="s">
        <v>2242</v>
      </c>
      <c r="I464" s="28"/>
      <c r="J464" s="28"/>
    </row>
    <row r="465" ht="22.5" customHeight="1">
      <c r="A465" s="76" t="s">
        <v>2247</v>
      </c>
      <c r="B465" s="88" t="s">
        <v>1823</v>
      </c>
      <c r="C465" s="88" t="s">
        <v>2240</v>
      </c>
      <c r="D465" s="88" t="s">
        <v>2241</v>
      </c>
      <c r="E465" s="88" t="s">
        <v>1833</v>
      </c>
      <c r="F465" s="88">
        <v>6.4</v>
      </c>
      <c r="G465" s="90">
        <v>1875.0</v>
      </c>
      <c r="H465" s="89" t="s">
        <v>2242</v>
      </c>
      <c r="I465" s="28"/>
      <c r="J465" s="28"/>
    </row>
    <row r="466" ht="22.5" customHeight="1">
      <c r="A466" s="76" t="s">
        <v>2248</v>
      </c>
      <c r="B466" s="88" t="s">
        <v>1823</v>
      </c>
      <c r="C466" s="88" t="s">
        <v>2240</v>
      </c>
      <c r="D466" s="88" t="s">
        <v>2241</v>
      </c>
      <c r="E466" s="88" t="s">
        <v>1844</v>
      </c>
      <c r="F466" s="88">
        <v>6.4</v>
      </c>
      <c r="G466" s="90">
        <v>1875.0</v>
      </c>
      <c r="H466" s="89" t="s">
        <v>2242</v>
      </c>
      <c r="I466" s="28"/>
      <c r="J466" s="28"/>
    </row>
    <row r="467" ht="22.5" customHeight="1">
      <c r="A467" s="76" t="s">
        <v>2249</v>
      </c>
      <c r="B467" s="88" t="s">
        <v>1823</v>
      </c>
      <c r="C467" s="88" t="s">
        <v>2250</v>
      </c>
      <c r="D467" s="88" t="s">
        <v>2251</v>
      </c>
      <c r="E467" s="88" t="s">
        <v>105</v>
      </c>
      <c r="F467" s="88">
        <v>6.4</v>
      </c>
      <c r="G467" s="90">
        <v>1505.0</v>
      </c>
      <c r="H467" s="89" t="s">
        <v>2252</v>
      </c>
      <c r="I467" s="28"/>
      <c r="J467" s="28"/>
    </row>
    <row r="468" ht="22.5" customHeight="1">
      <c r="A468" s="76" t="s">
        <v>2253</v>
      </c>
      <c r="B468" s="88" t="s">
        <v>1823</v>
      </c>
      <c r="C468" s="88" t="s">
        <v>2250</v>
      </c>
      <c r="D468" s="88" t="s">
        <v>2251</v>
      </c>
      <c r="E468" s="88" t="s">
        <v>103</v>
      </c>
      <c r="F468" s="88">
        <v>6.4</v>
      </c>
      <c r="G468" s="90">
        <v>1505.0</v>
      </c>
      <c r="H468" s="89" t="s">
        <v>2252</v>
      </c>
      <c r="I468" s="28"/>
      <c r="J468" s="28"/>
    </row>
    <row r="469" ht="22.5" customHeight="1">
      <c r="A469" s="76" t="s">
        <v>2254</v>
      </c>
      <c r="B469" s="88" t="s">
        <v>1823</v>
      </c>
      <c r="C469" s="88" t="s">
        <v>2250</v>
      </c>
      <c r="D469" s="88" t="s">
        <v>2251</v>
      </c>
      <c r="E469" s="88" t="s">
        <v>1457</v>
      </c>
      <c r="F469" s="88">
        <v>6.4</v>
      </c>
      <c r="G469" s="90">
        <v>1615.0</v>
      </c>
      <c r="H469" s="89" t="s">
        <v>2252</v>
      </c>
      <c r="I469" s="28"/>
      <c r="J469" s="28"/>
    </row>
    <row r="470" ht="22.5" customHeight="1">
      <c r="A470" s="76" t="s">
        <v>2255</v>
      </c>
      <c r="B470" s="88" t="s">
        <v>1823</v>
      </c>
      <c r="C470" s="88" t="s">
        <v>2250</v>
      </c>
      <c r="D470" s="88" t="s">
        <v>2251</v>
      </c>
      <c r="E470" s="88" t="s">
        <v>1830</v>
      </c>
      <c r="F470" s="88">
        <v>6.4</v>
      </c>
      <c r="G470" s="90">
        <v>1615.0</v>
      </c>
      <c r="H470" s="89" t="s">
        <v>2252</v>
      </c>
      <c r="I470" s="28"/>
      <c r="J470" s="28"/>
    </row>
    <row r="471" ht="22.5" customHeight="1">
      <c r="A471" s="76" t="s">
        <v>2256</v>
      </c>
      <c r="B471" s="88" t="s">
        <v>1823</v>
      </c>
      <c r="C471" s="88" t="s">
        <v>2250</v>
      </c>
      <c r="D471" s="88" t="s">
        <v>2251</v>
      </c>
      <c r="E471" s="88" t="s">
        <v>497</v>
      </c>
      <c r="F471" s="88">
        <v>6.4</v>
      </c>
      <c r="G471" s="90">
        <v>2385.0</v>
      </c>
      <c r="H471" s="89" t="s">
        <v>2252</v>
      </c>
      <c r="I471" s="28"/>
      <c r="J471" s="28"/>
    </row>
    <row r="472" ht="22.5" customHeight="1">
      <c r="A472" s="76" t="s">
        <v>2257</v>
      </c>
      <c r="B472" s="88" t="s">
        <v>1823</v>
      </c>
      <c r="C472" s="88" t="s">
        <v>2250</v>
      </c>
      <c r="D472" s="88" t="s">
        <v>2251</v>
      </c>
      <c r="E472" s="88" t="s">
        <v>1833</v>
      </c>
      <c r="F472" s="88">
        <v>6.4</v>
      </c>
      <c r="G472" s="90">
        <v>2385.0</v>
      </c>
      <c r="H472" s="89" t="s">
        <v>2252</v>
      </c>
      <c r="I472" s="28"/>
      <c r="J472" s="28"/>
    </row>
    <row r="473" ht="22.5" customHeight="1">
      <c r="A473" s="76" t="s">
        <v>2258</v>
      </c>
      <c r="B473" s="88" t="s">
        <v>1823</v>
      </c>
      <c r="C473" s="88" t="s">
        <v>2250</v>
      </c>
      <c r="D473" s="88" t="s">
        <v>2251</v>
      </c>
      <c r="E473" s="88" t="s">
        <v>1844</v>
      </c>
      <c r="F473" s="88">
        <v>6.4</v>
      </c>
      <c r="G473" s="90">
        <v>2385.0</v>
      </c>
      <c r="H473" s="89" t="s">
        <v>2252</v>
      </c>
      <c r="I473" s="28"/>
      <c r="J473" s="28"/>
    </row>
    <row r="474" ht="22.5" customHeight="1">
      <c r="A474" s="76" t="s">
        <v>2259</v>
      </c>
      <c r="B474" s="88" t="s">
        <v>1823</v>
      </c>
      <c r="C474" s="88" t="s">
        <v>2260</v>
      </c>
      <c r="D474" s="88" t="s">
        <v>2261</v>
      </c>
      <c r="E474" s="88" t="s">
        <v>105</v>
      </c>
      <c r="F474" s="88">
        <v>6.4</v>
      </c>
      <c r="G474" s="90">
        <v>1350.0</v>
      </c>
      <c r="H474" s="89" t="s">
        <v>2262</v>
      </c>
      <c r="I474" s="26">
        <v>6.0</v>
      </c>
      <c r="J474" s="28"/>
    </row>
    <row r="475" ht="22.5" customHeight="1">
      <c r="A475" s="76" t="s">
        <v>2263</v>
      </c>
      <c r="B475" s="88" t="s">
        <v>1823</v>
      </c>
      <c r="C475" s="88" t="s">
        <v>2260</v>
      </c>
      <c r="D475" s="88" t="s">
        <v>2261</v>
      </c>
      <c r="E475" s="88" t="s">
        <v>103</v>
      </c>
      <c r="F475" s="88">
        <v>6.4</v>
      </c>
      <c r="G475" s="90">
        <v>1350.0</v>
      </c>
      <c r="H475" s="89" t="s">
        <v>2262</v>
      </c>
      <c r="I475" s="26">
        <v>6.0</v>
      </c>
      <c r="J475" s="28"/>
    </row>
    <row r="476" ht="22.5" customHeight="1">
      <c r="A476" s="76" t="s">
        <v>2264</v>
      </c>
      <c r="B476" s="88" t="s">
        <v>1823</v>
      </c>
      <c r="C476" s="88" t="s">
        <v>2260</v>
      </c>
      <c r="D476" s="88" t="s">
        <v>2261</v>
      </c>
      <c r="E476" s="88" t="s">
        <v>1457</v>
      </c>
      <c r="F476" s="88">
        <v>6.4</v>
      </c>
      <c r="G476" s="90">
        <v>1450.0</v>
      </c>
      <c r="H476" s="89" t="s">
        <v>2262</v>
      </c>
      <c r="I476" s="28"/>
      <c r="J476" s="28"/>
    </row>
    <row r="477" ht="22.5" customHeight="1">
      <c r="A477" s="76" t="s">
        <v>2265</v>
      </c>
      <c r="B477" s="88" t="s">
        <v>1823</v>
      </c>
      <c r="C477" s="88" t="s">
        <v>2260</v>
      </c>
      <c r="D477" s="88" t="s">
        <v>2261</v>
      </c>
      <c r="E477" s="88" t="s">
        <v>1830</v>
      </c>
      <c r="F477" s="88">
        <v>6.4</v>
      </c>
      <c r="G477" s="90">
        <v>1450.0</v>
      </c>
      <c r="H477" s="89" t="s">
        <v>2262</v>
      </c>
      <c r="I477" s="28"/>
      <c r="J477" s="28"/>
    </row>
    <row r="478" ht="22.5" customHeight="1">
      <c r="A478" s="76" t="s">
        <v>2266</v>
      </c>
      <c r="B478" s="88" t="s">
        <v>1823</v>
      </c>
      <c r="C478" s="88" t="s">
        <v>2260</v>
      </c>
      <c r="D478" s="88" t="s">
        <v>2261</v>
      </c>
      <c r="E478" s="88" t="s">
        <v>497</v>
      </c>
      <c r="F478" s="88">
        <v>6.4</v>
      </c>
      <c r="G478" s="90">
        <v>2140.0</v>
      </c>
      <c r="H478" s="89" t="s">
        <v>2262</v>
      </c>
      <c r="I478" s="28"/>
      <c r="J478" s="28"/>
    </row>
    <row r="479" ht="22.5" customHeight="1">
      <c r="A479" s="76" t="s">
        <v>2267</v>
      </c>
      <c r="B479" s="88" t="s">
        <v>1823</v>
      </c>
      <c r="C479" s="88" t="s">
        <v>2260</v>
      </c>
      <c r="D479" s="88" t="s">
        <v>2261</v>
      </c>
      <c r="E479" s="88" t="s">
        <v>1833</v>
      </c>
      <c r="F479" s="88">
        <v>6.4</v>
      </c>
      <c r="G479" s="90">
        <v>2140.0</v>
      </c>
      <c r="H479" s="89" t="s">
        <v>2262</v>
      </c>
      <c r="I479" s="28"/>
      <c r="J479" s="28"/>
    </row>
    <row r="480" ht="22.5" customHeight="1">
      <c r="A480" s="76" t="s">
        <v>2268</v>
      </c>
      <c r="B480" s="88" t="s">
        <v>1823</v>
      </c>
      <c r="C480" s="88" t="s">
        <v>2260</v>
      </c>
      <c r="D480" s="88" t="s">
        <v>2261</v>
      </c>
      <c r="E480" s="88" t="s">
        <v>1844</v>
      </c>
      <c r="F480" s="88">
        <v>6.4</v>
      </c>
      <c r="G480" s="90">
        <v>2140.0</v>
      </c>
      <c r="H480" s="89" t="s">
        <v>2262</v>
      </c>
      <c r="I480" s="28"/>
      <c r="J480" s="28"/>
    </row>
    <row r="481" ht="22.5" customHeight="1">
      <c r="A481" s="76" t="s">
        <v>2269</v>
      </c>
      <c r="B481" s="88" t="s">
        <v>1823</v>
      </c>
      <c r="C481" s="88" t="s">
        <v>2270</v>
      </c>
      <c r="D481" s="88" t="s">
        <v>2271</v>
      </c>
      <c r="E481" s="88" t="s">
        <v>105</v>
      </c>
      <c r="F481" s="88">
        <v>6.4</v>
      </c>
      <c r="G481" s="90">
        <v>1350.0</v>
      </c>
      <c r="H481" s="89" t="s">
        <v>2272</v>
      </c>
      <c r="I481" s="28"/>
      <c r="J481" s="28"/>
    </row>
    <row r="482" ht="22.5" customHeight="1">
      <c r="A482" s="76" t="s">
        <v>2273</v>
      </c>
      <c r="B482" s="88" t="s">
        <v>1823</v>
      </c>
      <c r="C482" s="88" t="s">
        <v>2270</v>
      </c>
      <c r="D482" s="88" t="s">
        <v>2271</v>
      </c>
      <c r="E482" s="88" t="s">
        <v>103</v>
      </c>
      <c r="F482" s="88">
        <v>6.4</v>
      </c>
      <c r="G482" s="90">
        <v>1350.0</v>
      </c>
      <c r="H482" s="89" t="s">
        <v>2272</v>
      </c>
      <c r="I482" s="28"/>
      <c r="J482" s="28"/>
    </row>
    <row r="483" ht="22.5" customHeight="1">
      <c r="A483" s="76" t="s">
        <v>2274</v>
      </c>
      <c r="B483" s="88" t="s">
        <v>1823</v>
      </c>
      <c r="C483" s="88" t="s">
        <v>2270</v>
      </c>
      <c r="D483" s="88" t="s">
        <v>2271</v>
      </c>
      <c r="E483" s="88" t="s">
        <v>1457</v>
      </c>
      <c r="F483" s="88">
        <v>6.4</v>
      </c>
      <c r="G483" s="90">
        <v>1450.0</v>
      </c>
      <c r="H483" s="89" t="s">
        <v>2272</v>
      </c>
      <c r="I483" s="28"/>
      <c r="J483" s="28"/>
    </row>
    <row r="484" ht="22.5" customHeight="1">
      <c r="A484" s="76" t="s">
        <v>2275</v>
      </c>
      <c r="B484" s="88" t="s">
        <v>1823</v>
      </c>
      <c r="C484" s="88" t="s">
        <v>2270</v>
      </c>
      <c r="D484" s="88" t="s">
        <v>2271</v>
      </c>
      <c r="E484" s="88" t="s">
        <v>1830</v>
      </c>
      <c r="F484" s="88">
        <v>6.4</v>
      </c>
      <c r="G484" s="90">
        <v>1450.0</v>
      </c>
      <c r="H484" s="89" t="s">
        <v>2272</v>
      </c>
      <c r="I484" s="28"/>
      <c r="J484" s="28"/>
    </row>
    <row r="485" ht="22.5" customHeight="1">
      <c r="A485" s="76" t="s">
        <v>2276</v>
      </c>
      <c r="B485" s="88" t="s">
        <v>1823</v>
      </c>
      <c r="C485" s="88" t="s">
        <v>2270</v>
      </c>
      <c r="D485" s="88" t="s">
        <v>2271</v>
      </c>
      <c r="E485" s="88" t="s">
        <v>497</v>
      </c>
      <c r="F485" s="88">
        <v>6.4</v>
      </c>
      <c r="G485" s="90">
        <v>2141.07</v>
      </c>
      <c r="H485" s="89" t="s">
        <v>2272</v>
      </c>
      <c r="I485" s="26">
        <v>12.0</v>
      </c>
      <c r="J485" s="28"/>
    </row>
    <row r="486" ht="22.5" customHeight="1">
      <c r="A486" s="76" t="s">
        <v>2277</v>
      </c>
      <c r="B486" s="88" t="s">
        <v>1823</v>
      </c>
      <c r="C486" s="88" t="s">
        <v>2270</v>
      </c>
      <c r="D486" s="88" t="s">
        <v>2271</v>
      </c>
      <c r="E486" s="88" t="s">
        <v>1833</v>
      </c>
      <c r="F486" s="88">
        <v>6.4</v>
      </c>
      <c r="G486" s="90">
        <v>2140.0</v>
      </c>
      <c r="H486" s="89" t="s">
        <v>2272</v>
      </c>
      <c r="I486" s="28"/>
      <c r="J486" s="28"/>
    </row>
    <row r="487" ht="22.5" customHeight="1">
      <c r="A487" s="76" t="s">
        <v>2278</v>
      </c>
      <c r="B487" s="88" t="s">
        <v>1823</v>
      </c>
      <c r="C487" s="88" t="s">
        <v>2270</v>
      </c>
      <c r="D487" s="88" t="s">
        <v>2271</v>
      </c>
      <c r="E487" s="88" t="s">
        <v>1844</v>
      </c>
      <c r="F487" s="88">
        <v>6.4</v>
      </c>
      <c r="G487" s="90">
        <v>2140.0</v>
      </c>
      <c r="H487" s="89" t="s">
        <v>2272</v>
      </c>
      <c r="I487" s="28"/>
      <c r="J487" s="28"/>
    </row>
    <row r="488" ht="22.5" customHeight="1">
      <c r="A488" s="76" t="s">
        <v>2279</v>
      </c>
      <c r="B488" s="88" t="s">
        <v>1823</v>
      </c>
      <c r="C488" s="88" t="s">
        <v>2280</v>
      </c>
      <c r="D488" s="88" t="s">
        <v>2281</v>
      </c>
      <c r="E488" s="88" t="s">
        <v>105</v>
      </c>
      <c r="F488" s="88">
        <v>6.4</v>
      </c>
      <c r="G488" s="88">
        <v>735.0</v>
      </c>
      <c r="H488" s="89" t="s">
        <v>2282</v>
      </c>
      <c r="I488" s="28"/>
      <c r="J488" s="28"/>
    </row>
    <row r="489" ht="22.5" customHeight="1">
      <c r="A489" s="76" t="s">
        <v>2283</v>
      </c>
      <c r="B489" s="88" t="s">
        <v>1823</v>
      </c>
      <c r="C489" s="88" t="s">
        <v>2280</v>
      </c>
      <c r="D489" s="88" t="s">
        <v>2281</v>
      </c>
      <c r="E489" s="88" t="s">
        <v>103</v>
      </c>
      <c r="F489" s="88">
        <v>6.4</v>
      </c>
      <c r="G489" s="88">
        <v>735.0</v>
      </c>
      <c r="H489" s="89" t="s">
        <v>2282</v>
      </c>
      <c r="I489" s="28"/>
      <c r="J489" s="28"/>
    </row>
    <row r="490" ht="22.5" customHeight="1">
      <c r="A490" s="76" t="s">
        <v>2284</v>
      </c>
      <c r="B490" s="88" t="s">
        <v>1823</v>
      </c>
      <c r="C490" s="88" t="s">
        <v>2280</v>
      </c>
      <c r="D490" s="88" t="s">
        <v>2281</v>
      </c>
      <c r="E490" s="88" t="s">
        <v>1457</v>
      </c>
      <c r="F490" s="88">
        <v>6.4</v>
      </c>
      <c r="G490" s="88">
        <v>790.0</v>
      </c>
      <c r="H490" s="89" t="s">
        <v>2282</v>
      </c>
      <c r="I490" s="28"/>
      <c r="J490" s="28"/>
    </row>
    <row r="491" ht="22.5" customHeight="1">
      <c r="A491" s="76" t="s">
        <v>2285</v>
      </c>
      <c r="B491" s="88" t="s">
        <v>1823</v>
      </c>
      <c r="C491" s="88" t="s">
        <v>2280</v>
      </c>
      <c r="D491" s="88" t="s">
        <v>2281</v>
      </c>
      <c r="E491" s="88" t="s">
        <v>1830</v>
      </c>
      <c r="F491" s="88">
        <v>6.4</v>
      </c>
      <c r="G491" s="88">
        <v>790.0</v>
      </c>
      <c r="H491" s="89" t="s">
        <v>2282</v>
      </c>
      <c r="I491" s="28"/>
      <c r="J491" s="28"/>
    </row>
    <row r="492" ht="22.5" customHeight="1">
      <c r="A492" s="76" t="s">
        <v>2286</v>
      </c>
      <c r="B492" s="88" t="s">
        <v>1823</v>
      </c>
      <c r="C492" s="88" t="s">
        <v>2280</v>
      </c>
      <c r="D492" s="88" t="s">
        <v>2281</v>
      </c>
      <c r="E492" s="88" t="s">
        <v>497</v>
      </c>
      <c r="F492" s="88">
        <v>6.4</v>
      </c>
      <c r="G492" s="90">
        <v>1165.0</v>
      </c>
      <c r="H492" s="89" t="s">
        <v>2282</v>
      </c>
      <c r="I492" s="28"/>
      <c r="J492" s="28"/>
    </row>
    <row r="493" ht="22.5" customHeight="1">
      <c r="A493" s="76" t="s">
        <v>2287</v>
      </c>
      <c r="B493" s="88" t="s">
        <v>1823</v>
      </c>
      <c r="C493" s="88" t="s">
        <v>2280</v>
      </c>
      <c r="D493" s="88" t="s">
        <v>2281</v>
      </c>
      <c r="E493" s="88" t="s">
        <v>1833</v>
      </c>
      <c r="F493" s="88">
        <v>6.4</v>
      </c>
      <c r="G493" s="90">
        <v>1165.0</v>
      </c>
      <c r="H493" s="89" t="s">
        <v>2282</v>
      </c>
      <c r="I493" s="28"/>
      <c r="J493" s="28"/>
    </row>
    <row r="494" ht="22.5" customHeight="1">
      <c r="A494" s="76" t="s">
        <v>2288</v>
      </c>
      <c r="B494" s="88" t="s">
        <v>1823</v>
      </c>
      <c r="C494" s="88" t="s">
        <v>2280</v>
      </c>
      <c r="D494" s="88" t="s">
        <v>2281</v>
      </c>
      <c r="E494" s="88" t="s">
        <v>1844</v>
      </c>
      <c r="F494" s="88">
        <v>6.4</v>
      </c>
      <c r="G494" s="90">
        <v>1165.0</v>
      </c>
      <c r="H494" s="89" t="s">
        <v>2282</v>
      </c>
      <c r="I494" s="28"/>
      <c r="J494" s="28"/>
    </row>
    <row r="495" ht="22.5" customHeight="1">
      <c r="A495" s="76" t="s">
        <v>2289</v>
      </c>
      <c r="B495" s="88" t="s">
        <v>1823</v>
      </c>
      <c r="C495" s="88" t="s">
        <v>2290</v>
      </c>
      <c r="D495" s="88" t="s">
        <v>2291</v>
      </c>
      <c r="E495" s="88" t="s">
        <v>105</v>
      </c>
      <c r="F495" s="88">
        <v>6.4</v>
      </c>
      <c r="G495" s="90">
        <v>1030.0</v>
      </c>
      <c r="H495" s="89" t="s">
        <v>2292</v>
      </c>
      <c r="I495" s="28"/>
      <c r="J495" s="28"/>
    </row>
    <row r="496" ht="22.5" customHeight="1">
      <c r="A496" s="76" t="s">
        <v>2293</v>
      </c>
      <c r="B496" s="88" t="s">
        <v>1823</v>
      </c>
      <c r="C496" s="88" t="s">
        <v>2290</v>
      </c>
      <c r="D496" s="88" t="s">
        <v>2291</v>
      </c>
      <c r="E496" s="88" t="s">
        <v>103</v>
      </c>
      <c r="F496" s="88">
        <v>6.4</v>
      </c>
      <c r="G496" s="90">
        <v>1030.0</v>
      </c>
      <c r="H496" s="89" t="s">
        <v>2292</v>
      </c>
      <c r="I496" s="28"/>
      <c r="J496" s="28"/>
    </row>
    <row r="497" ht="22.5" customHeight="1">
      <c r="A497" s="76" t="s">
        <v>2294</v>
      </c>
      <c r="B497" s="88" t="s">
        <v>1823</v>
      </c>
      <c r="C497" s="88" t="s">
        <v>2290</v>
      </c>
      <c r="D497" s="88" t="s">
        <v>2291</v>
      </c>
      <c r="E497" s="88" t="s">
        <v>1457</v>
      </c>
      <c r="F497" s="88">
        <v>6.4</v>
      </c>
      <c r="G497" s="90">
        <v>1105.0</v>
      </c>
      <c r="H497" s="89" t="s">
        <v>2292</v>
      </c>
      <c r="I497" s="28"/>
      <c r="J497" s="28"/>
    </row>
    <row r="498" ht="22.5" customHeight="1">
      <c r="A498" s="76" t="s">
        <v>2295</v>
      </c>
      <c r="B498" s="88" t="s">
        <v>1823</v>
      </c>
      <c r="C498" s="88" t="s">
        <v>2290</v>
      </c>
      <c r="D498" s="88" t="s">
        <v>2291</v>
      </c>
      <c r="E498" s="88" t="s">
        <v>1830</v>
      </c>
      <c r="F498" s="88">
        <v>6.4</v>
      </c>
      <c r="G498" s="90">
        <v>1105.0</v>
      </c>
      <c r="H498" s="89" t="s">
        <v>2292</v>
      </c>
      <c r="I498" s="28"/>
      <c r="J498" s="28"/>
    </row>
    <row r="499" ht="22.5" customHeight="1">
      <c r="A499" s="76" t="s">
        <v>2296</v>
      </c>
      <c r="B499" s="88" t="s">
        <v>1823</v>
      </c>
      <c r="C499" s="88" t="s">
        <v>2290</v>
      </c>
      <c r="D499" s="88" t="s">
        <v>2291</v>
      </c>
      <c r="E499" s="88" t="s">
        <v>497</v>
      </c>
      <c r="F499" s="88">
        <v>6.4</v>
      </c>
      <c r="G499" s="90">
        <v>1635.0</v>
      </c>
      <c r="H499" s="89" t="s">
        <v>2292</v>
      </c>
      <c r="I499" s="28"/>
      <c r="J499" s="28"/>
    </row>
    <row r="500" ht="22.5" customHeight="1">
      <c r="A500" s="76" t="s">
        <v>2297</v>
      </c>
      <c r="B500" s="88" t="s">
        <v>1823</v>
      </c>
      <c r="C500" s="88" t="s">
        <v>2290</v>
      </c>
      <c r="D500" s="88" t="s">
        <v>2291</v>
      </c>
      <c r="E500" s="88" t="s">
        <v>1833</v>
      </c>
      <c r="F500" s="88">
        <v>6.4</v>
      </c>
      <c r="G500" s="90">
        <v>1635.0</v>
      </c>
      <c r="H500" s="89" t="s">
        <v>2292</v>
      </c>
      <c r="I500" s="28"/>
      <c r="J500" s="28"/>
    </row>
    <row r="501" ht="22.5" customHeight="1">
      <c r="A501" s="76" t="s">
        <v>2298</v>
      </c>
      <c r="B501" s="88" t="s">
        <v>1823</v>
      </c>
      <c r="C501" s="88" t="s">
        <v>2290</v>
      </c>
      <c r="D501" s="88" t="s">
        <v>2291</v>
      </c>
      <c r="E501" s="88" t="s">
        <v>1844</v>
      </c>
      <c r="F501" s="88">
        <v>6.4</v>
      </c>
      <c r="G501" s="90">
        <v>1635.0</v>
      </c>
      <c r="H501" s="89" t="s">
        <v>2292</v>
      </c>
      <c r="I501" s="28"/>
      <c r="J501" s="28"/>
    </row>
    <row r="502" ht="22.5" customHeight="1">
      <c r="A502" s="76" t="s">
        <v>2299</v>
      </c>
      <c r="B502" s="88" t="s">
        <v>1823</v>
      </c>
      <c r="C502" s="88" t="s">
        <v>2300</v>
      </c>
      <c r="D502" s="88" t="s">
        <v>2301</v>
      </c>
      <c r="E502" s="88" t="s">
        <v>105</v>
      </c>
      <c r="F502" s="88">
        <v>6.4</v>
      </c>
      <c r="G502" s="88">
        <v>555.0</v>
      </c>
      <c r="H502" s="89" t="s">
        <v>2302</v>
      </c>
      <c r="I502" s="28"/>
      <c r="J502" s="28"/>
    </row>
    <row r="503" ht="22.5" customHeight="1">
      <c r="A503" s="76" t="s">
        <v>2303</v>
      </c>
      <c r="B503" s="88" t="s">
        <v>1823</v>
      </c>
      <c r="C503" s="88" t="s">
        <v>2300</v>
      </c>
      <c r="D503" s="88" t="s">
        <v>2301</v>
      </c>
      <c r="E503" s="88" t="s">
        <v>103</v>
      </c>
      <c r="F503" s="88">
        <v>6.4</v>
      </c>
      <c r="G503" s="88">
        <v>555.0</v>
      </c>
      <c r="H503" s="89" t="s">
        <v>2302</v>
      </c>
      <c r="I503" s="28"/>
      <c r="J503" s="28"/>
    </row>
    <row r="504" ht="22.5" customHeight="1">
      <c r="A504" s="76" t="s">
        <v>2304</v>
      </c>
      <c r="B504" s="88" t="s">
        <v>1823</v>
      </c>
      <c r="C504" s="88" t="s">
        <v>2300</v>
      </c>
      <c r="D504" s="88" t="s">
        <v>2301</v>
      </c>
      <c r="E504" s="88" t="s">
        <v>1457</v>
      </c>
      <c r="F504" s="88">
        <v>6.4</v>
      </c>
      <c r="G504" s="88">
        <v>600.0</v>
      </c>
      <c r="H504" s="89" t="s">
        <v>2302</v>
      </c>
      <c r="I504" s="28"/>
      <c r="J504" s="28"/>
    </row>
    <row r="505" ht="22.5" customHeight="1">
      <c r="A505" s="76" t="s">
        <v>2305</v>
      </c>
      <c r="B505" s="88" t="s">
        <v>1823</v>
      </c>
      <c r="C505" s="88" t="s">
        <v>2300</v>
      </c>
      <c r="D505" s="88" t="s">
        <v>2301</v>
      </c>
      <c r="E505" s="88" t="s">
        <v>1830</v>
      </c>
      <c r="F505" s="88">
        <v>6.4</v>
      </c>
      <c r="G505" s="88">
        <v>600.0</v>
      </c>
      <c r="H505" s="89" t="s">
        <v>2302</v>
      </c>
      <c r="I505" s="28"/>
      <c r="J505" s="28"/>
    </row>
    <row r="506" ht="22.5" customHeight="1">
      <c r="A506" s="76" t="s">
        <v>2306</v>
      </c>
      <c r="B506" s="88" t="s">
        <v>1823</v>
      </c>
      <c r="C506" s="88" t="s">
        <v>2300</v>
      </c>
      <c r="D506" s="88" t="s">
        <v>2301</v>
      </c>
      <c r="E506" s="88" t="s">
        <v>497</v>
      </c>
      <c r="F506" s="88">
        <v>6.4</v>
      </c>
      <c r="G506" s="88">
        <v>885.0</v>
      </c>
      <c r="H506" s="89" t="s">
        <v>2302</v>
      </c>
      <c r="I506" s="28"/>
      <c r="J506" s="28"/>
    </row>
    <row r="507" ht="22.5" customHeight="1">
      <c r="A507" s="76" t="s">
        <v>2307</v>
      </c>
      <c r="B507" s="88" t="s">
        <v>1823</v>
      </c>
      <c r="C507" s="88" t="s">
        <v>2300</v>
      </c>
      <c r="D507" s="88" t="s">
        <v>2301</v>
      </c>
      <c r="E507" s="88" t="s">
        <v>1833</v>
      </c>
      <c r="F507" s="88">
        <v>6.4</v>
      </c>
      <c r="G507" s="88">
        <v>885.0</v>
      </c>
      <c r="H507" s="89" t="s">
        <v>2302</v>
      </c>
      <c r="I507" s="28"/>
      <c r="J507" s="28"/>
    </row>
    <row r="508" ht="22.5" customHeight="1">
      <c r="A508" s="76" t="s">
        <v>2308</v>
      </c>
      <c r="B508" s="88" t="s">
        <v>1823</v>
      </c>
      <c r="C508" s="88" t="s">
        <v>2300</v>
      </c>
      <c r="D508" s="88" t="s">
        <v>2301</v>
      </c>
      <c r="E508" s="88" t="s">
        <v>1844</v>
      </c>
      <c r="F508" s="88">
        <v>6.4</v>
      </c>
      <c r="G508" s="88">
        <v>885.0</v>
      </c>
      <c r="H508" s="89" t="s">
        <v>2302</v>
      </c>
      <c r="I508" s="28"/>
      <c r="J508" s="28"/>
    </row>
    <row r="509" ht="22.5" customHeight="1">
      <c r="A509" s="76" t="s">
        <v>2309</v>
      </c>
      <c r="B509" s="88" t="s">
        <v>1823</v>
      </c>
      <c r="C509" s="88" t="s">
        <v>2310</v>
      </c>
      <c r="D509" s="88" t="s">
        <v>2311</v>
      </c>
      <c r="E509" s="88" t="s">
        <v>105</v>
      </c>
      <c r="F509" s="88">
        <v>6.4</v>
      </c>
      <c r="G509" s="90">
        <v>1680.0</v>
      </c>
      <c r="H509" s="89" t="s">
        <v>2312</v>
      </c>
      <c r="I509" s="28"/>
      <c r="J509" s="28"/>
    </row>
    <row r="510" ht="22.5" customHeight="1">
      <c r="A510" s="76" t="s">
        <v>2313</v>
      </c>
      <c r="B510" s="88" t="s">
        <v>1823</v>
      </c>
      <c r="C510" s="88" t="s">
        <v>2310</v>
      </c>
      <c r="D510" s="88" t="s">
        <v>2311</v>
      </c>
      <c r="E510" s="88" t="s">
        <v>103</v>
      </c>
      <c r="F510" s="88">
        <v>6.4</v>
      </c>
      <c r="G510" s="90">
        <v>1680.0</v>
      </c>
      <c r="H510" s="89" t="s">
        <v>2312</v>
      </c>
      <c r="I510" s="28"/>
      <c r="J510" s="28"/>
    </row>
    <row r="511" ht="22.5" customHeight="1">
      <c r="A511" s="76" t="s">
        <v>2314</v>
      </c>
      <c r="B511" s="88" t="s">
        <v>1823</v>
      </c>
      <c r="C511" s="88" t="s">
        <v>2310</v>
      </c>
      <c r="D511" s="88" t="s">
        <v>2311</v>
      </c>
      <c r="E511" s="88" t="s">
        <v>1457</v>
      </c>
      <c r="F511" s="88">
        <v>6.4</v>
      </c>
      <c r="G511" s="90">
        <v>1805.0</v>
      </c>
      <c r="H511" s="89" t="s">
        <v>2312</v>
      </c>
      <c r="I511" s="28"/>
      <c r="J511" s="28"/>
    </row>
    <row r="512" ht="22.5" customHeight="1">
      <c r="A512" s="76" t="s">
        <v>2315</v>
      </c>
      <c r="B512" s="88" t="s">
        <v>1823</v>
      </c>
      <c r="C512" s="88" t="s">
        <v>2310</v>
      </c>
      <c r="D512" s="88" t="s">
        <v>2311</v>
      </c>
      <c r="E512" s="88" t="s">
        <v>1830</v>
      </c>
      <c r="F512" s="88">
        <v>6.4</v>
      </c>
      <c r="G512" s="90">
        <v>1805.0</v>
      </c>
      <c r="H512" s="89" t="s">
        <v>2312</v>
      </c>
      <c r="I512" s="28"/>
      <c r="J512" s="28"/>
    </row>
    <row r="513" ht="22.5" customHeight="1">
      <c r="A513" s="76" t="s">
        <v>2316</v>
      </c>
      <c r="B513" s="88" t="s">
        <v>1823</v>
      </c>
      <c r="C513" s="88" t="s">
        <v>2310</v>
      </c>
      <c r="D513" s="88" t="s">
        <v>2311</v>
      </c>
      <c r="E513" s="88" t="s">
        <v>497</v>
      </c>
      <c r="F513" s="88">
        <v>6.4</v>
      </c>
      <c r="G513" s="90">
        <v>2665.0</v>
      </c>
      <c r="H513" s="89" t="s">
        <v>2312</v>
      </c>
      <c r="I513" s="28"/>
      <c r="J513" s="28"/>
    </row>
    <row r="514" ht="22.5" customHeight="1">
      <c r="A514" s="76" t="s">
        <v>2317</v>
      </c>
      <c r="B514" s="88" t="s">
        <v>1823</v>
      </c>
      <c r="C514" s="88" t="s">
        <v>2310</v>
      </c>
      <c r="D514" s="88" t="s">
        <v>2311</v>
      </c>
      <c r="E514" s="88" t="s">
        <v>1833</v>
      </c>
      <c r="F514" s="88">
        <v>6.4</v>
      </c>
      <c r="G514" s="90">
        <v>2665.0</v>
      </c>
      <c r="H514" s="89" t="s">
        <v>2312</v>
      </c>
      <c r="I514" s="28"/>
      <c r="J514" s="28"/>
    </row>
    <row r="515" ht="22.5" customHeight="1">
      <c r="A515" s="76" t="s">
        <v>2318</v>
      </c>
      <c r="B515" s="88" t="s">
        <v>1823</v>
      </c>
      <c r="C515" s="88" t="s">
        <v>2310</v>
      </c>
      <c r="D515" s="88" t="s">
        <v>2311</v>
      </c>
      <c r="E515" s="88" t="s">
        <v>1844</v>
      </c>
      <c r="F515" s="88">
        <v>6.4</v>
      </c>
      <c r="G515" s="90">
        <v>2665.0</v>
      </c>
      <c r="H515" s="89" t="s">
        <v>2312</v>
      </c>
      <c r="I515" s="28"/>
      <c r="J515" s="28"/>
    </row>
    <row r="516" ht="22.5" customHeight="1">
      <c r="A516" s="76" t="s">
        <v>2319</v>
      </c>
      <c r="B516" s="88" t="s">
        <v>1823</v>
      </c>
      <c r="C516" s="88" t="s">
        <v>2320</v>
      </c>
      <c r="D516" s="88" t="s">
        <v>2321</v>
      </c>
      <c r="E516" s="88" t="s">
        <v>105</v>
      </c>
      <c r="F516" s="88">
        <v>6.4</v>
      </c>
      <c r="G516" s="90">
        <v>1780.0</v>
      </c>
      <c r="H516" s="89" t="s">
        <v>2322</v>
      </c>
      <c r="I516" s="28"/>
      <c r="J516" s="28"/>
    </row>
    <row r="517" ht="22.5" customHeight="1">
      <c r="A517" s="76" t="s">
        <v>2323</v>
      </c>
      <c r="B517" s="88" t="s">
        <v>1823</v>
      </c>
      <c r="C517" s="88" t="s">
        <v>2320</v>
      </c>
      <c r="D517" s="88" t="s">
        <v>2321</v>
      </c>
      <c r="E517" s="88" t="s">
        <v>103</v>
      </c>
      <c r="F517" s="88">
        <v>6.4</v>
      </c>
      <c r="G517" s="90">
        <v>1780.0</v>
      </c>
      <c r="H517" s="89" t="s">
        <v>2322</v>
      </c>
      <c r="I517" s="28"/>
      <c r="J517" s="28"/>
    </row>
    <row r="518" ht="22.5" customHeight="1">
      <c r="A518" s="76" t="s">
        <v>2324</v>
      </c>
      <c r="B518" s="88" t="s">
        <v>1823</v>
      </c>
      <c r="C518" s="88" t="s">
        <v>2320</v>
      </c>
      <c r="D518" s="88" t="s">
        <v>2321</v>
      </c>
      <c r="E518" s="88" t="s">
        <v>1457</v>
      </c>
      <c r="F518" s="88">
        <v>6.4</v>
      </c>
      <c r="G518" s="90">
        <v>1915.0</v>
      </c>
      <c r="H518" s="89" t="s">
        <v>2322</v>
      </c>
      <c r="I518" s="28"/>
      <c r="J518" s="28"/>
    </row>
    <row r="519" ht="22.5" customHeight="1">
      <c r="A519" s="76" t="s">
        <v>2325</v>
      </c>
      <c r="B519" s="88" t="s">
        <v>1823</v>
      </c>
      <c r="C519" s="88" t="s">
        <v>2320</v>
      </c>
      <c r="D519" s="88" t="s">
        <v>2321</v>
      </c>
      <c r="E519" s="88" t="s">
        <v>1830</v>
      </c>
      <c r="F519" s="88">
        <v>6.4</v>
      </c>
      <c r="G519" s="90">
        <v>1915.0</v>
      </c>
      <c r="H519" s="89" t="s">
        <v>2322</v>
      </c>
      <c r="I519" s="28"/>
      <c r="J519" s="28"/>
    </row>
    <row r="520" ht="22.5" customHeight="1">
      <c r="A520" s="76" t="s">
        <v>2326</v>
      </c>
      <c r="B520" s="88" t="s">
        <v>1823</v>
      </c>
      <c r="C520" s="88" t="s">
        <v>2320</v>
      </c>
      <c r="D520" s="88" t="s">
        <v>2321</v>
      </c>
      <c r="E520" s="88" t="s">
        <v>497</v>
      </c>
      <c r="F520" s="88">
        <v>6.4</v>
      </c>
      <c r="G520" s="90">
        <v>2825.0</v>
      </c>
      <c r="H520" s="89" t="s">
        <v>2322</v>
      </c>
      <c r="I520" s="28"/>
      <c r="J520" s="28"/>
    </row>
    <row r="521" ht="22.5" customHeight="1">
      <c r="A521" s="76" t="s">
        <v>2327</v>
      </c>
      <c r="B521" s="88" t="s">
        <v>1823</v>
      </c>
      <c r="C521" s="88" t="s">
        <v>2320</v>
      </c>
      <c r="D521" s="88" t="s">
        <v>2321</v>
      </c>
      <c r="E521" s="88" t="s">
        <v>1833</v>
      </c>
      <c r="F521" s="88">
        <v>6.4</v>
      </c>
      <c r="G521" s="90">
        <v>2825.0</v>
      </c>
      <c r="H521" s="89" t="s">
        <v>2322</v>
      </c>
      <c r="I521" s="28"/>
      <c r="J521" s="28"/>
    </row>
    <row r="522" ht="22.5" customHeight="1">
      <c r="A522" s="76" t="s">
        <v>2328</v>
      </c>
      <c r="B522" s="88" t="s">
        <v>1823</v>
      </c>
      <c r="C522" s="88" t="s">
        <v>2320</v>
      </c>
      <c r="D522" s="88" t="s">
        <v>2321</v>
      </c>
      <c r="E522" s="88" t="s">
        <v>1844</v>
      </c>
      <c r="F522" s="88">
        <v>6.4</v>
      </c>
      <c r="G522" s="90">
        <v>2825.0</v>
      </c>
      <c r="H522" s="89" t="s">
        <v>2322</v>
      </c>
      <c r="I522" s="28"/>
      <c r="J522" s="28"/>
    </row>
    <row r="523" ht="22.5" customHeight="1">
      <c r="A523" s="76" t="s">
        <v>2329</v>
      </c>
      <c r="B523" s="88" t="s">
        <v>1823</v>
      </c>
      <c r="C523" s="88" t="s">
        <v>2330</v>
      </c>
      <c r="D523" s="88" t="s">
        <v>2331</v>
      </c>
      <c r="E523" s="88" t="s">
        <v>105</v>
      </c>
      <c r="F523" s="88">
        <v>6.4</v>
      </c>
      <c r="G523" s="90">
        <v>1825.0</v>
      </c>
      <c r="H523" s="89" t="s">
        <v>2332</v>
      </c>
      <c r="I523" s="28"/>
      <c r="J523" s="28"/>
    </row>
    <row r="524" ht="22.5" customHeight="1">
      <c r="A524" s="76" t="s">
        <v>2333</v>
      </c>
      <c r="B524" s="88" t="s">
        <v>1823</v>
      </c>
      <c r="C524" s="88" t="s">
        <v>2330</v>
      </c>
      <c r="D524" s="88" t="s">
        <v>2331</v>
      </c>
      <c r="E524" s="88" t="s">
        <v>103</v>
      </c>
      <c r="F524" s="88">
        <v>6.4</v>
      </c>
      <c r="G524" s="90">
        <v>1825.0</v>
      </c>
      <c r="H524" s="89" t="s">
        <v>2332</v>
      </c>
      <c r="I524" s="28"/>
      <c r="J524" s="28"/>
    </row>
    <row r="525" ht="22.5" customHeight="1">
      <c r="A525" s="76" t="s">
        <v>2334</v>
      </c>
      <c r="B525" s="88" t="s">
        <v>1823</v>
      </c>
      <c r="C525" s="88" t="s">
        <v>2330</v>
      </c>
      <c r="D525" s="88" t="s">
        <v>2331</v>
      </c>
      <c r="E525" s="88" t="s">
        <v>1457</v>
      </c>
      <c r="F525" s="88">
        <v>6.4</v>
      </c>
      <c r="G525" s="90">
        <v>1960.0</v>
      </c>
      <c r="H525" s="89" t="s">
        <v>2332</v>
      </c>
      <c r="I525" s="28"/>
      <c r="J525" s="28"/>
    </row>
    <row r="526" ht="22.5" customHeight="1">
      <c r="A526" s="76" t="s">
        <v>2335</v>
      </c>
      <c r="B526" s="88" t="s">
        <v>1823</v>
      </c>
      <c r="C526" s="88" t="s">
        <v>2330</v>
      </c>
      <c r="D526" s="88" t="s">
        <v>2331</v>
      </c>
      <c r="E526" s="88" t="s">
        <v>1830</v>
      </c>
      <c r="F526" s="88">
        <v>6.4</v>
      </c>
      <c r="G526" s="90">
        <v>1960.0</v>
      </c>
      <c r="H526" s="89" t="s">
        <v>2332</v>
      </c>
      <c r="I526" s="28"/>
      <c r="J526" s="28"/>
    </row>
    <row r="527" ht="22.5" customHeight="1">
      <c r="A527" s="76" t="s">
        <v>2336</v>
      </c>
      <c r="B527" s="88" t="s">
        <v>1823</v>
      </c>
      <c r="C527" s="88" t="s">
        <v>2330</v>
      </c>
      <c r="D527" s="88" t="s">
        <v>2331</v>
      </c>
      <c r="E527" s="88" t="s">
        <v>497</v>
      </c>
      <c r="F527" s="88">
        <v>6.4</v>
      </c>
      <c r="G527" s="90">
        <v>2890.0</v>
      </c>
      <c r="H527" s="89" t="s">
        <v>2332</v>
      </c>
      <c r="I527" s="28"/>
      <c r="J527" s="28"/>
    </row>
    <row r="528" ht="22.5" customHeight="1">
      <c r="A528" s="76" t="s">
        <v>2337</v>
      </c>
      <c r="B528" s="88" t="s">
        <v>1823</v>
      </c>
      <c r="C528" s="88" t="s">
        <v>2330</v>
      </c>
      <c r="D528" s="88" t="s">
        <v>2331</v>
      </c>
      <c r="E528" s="88" t="s">
        <v>1833</v>
      </c>
      <c r="F528" s="88">
        <v>6.4</v>
      </c>
      <c r="G528" s="90">
        <v>2890.0</v>
      </c>
      <c r="H528" s="89" t="s">
        <v>2332</v>
      </c>
      <c r="I528" s="28"/>
      <c r="J528" s="28"/>
    </row>
    <row r="529" ht="22.5" customHeight="1">
      <c r="A529" s="76" t="s">
        <v>2338</v>
      </c>
      <c r="B529" s="88" t="s">
        <v>1823</v>
      </c>
      <c r="C529" s="88" t="s">
        <v>2330</v>
      </c>
      <c r="D529" s="88" t="s">
        <v>2331</v>
      </c>
      <c r="E529" s="88" t="s">
        <v>1844</v>
      </c>
      <c r="F529" s="88">
        <v>6.4</v>
      </c>
      <c r="G529" s="90">
        <v>2890.0</v>
      </c>
      <c r="H529" s="89" t="s">
        <v>2332</v>
      </c>
      <c r="I529" s="28"/>
      <c r="J529" s="28"/>
    </row>
    <row r="530" ht="22.5" customHeight="1">
      <c r="A530" s="76" t="s">
        <v>2339</v>
      </c>
      <c r="B530" s="88" t="s">
        <v>1823</v>
      </c>
      <c r="C530" s="88" t="s">
        <v>2340</v>
      </c>
      <c r="D530" s="88" t="s">
        <v>2341</v>
      </c>
      <c r="E530" s="88" t="s">
        <v>105</v>
      </c>
      <c r="F530" s="88">
        <v>6.4</v>
      </c>
      <c r="G530" s="90">
        <v>1680.0</v>
      </c>
      <c r="H530" s="89" t="s">
        <v>2342</v>
      </c>
      <c r="I530" s="28"/>
      <c r="J530" s="28"/>
    </row>
    <row r="531" ht="22.5" customHeight="1">
      <c r="A531" s="76" t="s">
        <v>2343</v>
      </c>
      <c r="B531" s="88" t="s">
        <v>1823</v>
      </c>
      <c r="C531" s="88" t="s">
        <v>2340</v>
      </c>
      <c r="D531" s="88" t="s">
        <v>2341</v>
      </c>
      <c r="E531" s="88" t="s">
        <v>103</v>
      </c>
      <c r="F531" s="88">
        <v>6.4</v>
      </c>
      <c r="G531" s="90">
        <v>1680.0</v>
      </c>
      <c r="H531" s="89" t="s">
        <v>2342</v>
      </c>
      <c r="I531" s="28"/>
      <c r="J531" s="28"/>
    </row>
    <row r="532" ht="22.5" customHeight="1">
      <c r="A532" s="76" t="s">
        <v>2344</v>
      </c>
      <c r="B532" s="88" t="s">
        <v>1823</v>
      </c>
      <c r="C532" s="88" t="s">
        <v>2340</v>
      </c>
      <c r="D532" s="88" t="s">
        <v>2341</v>
      </c>
      <c r="E532" s="88" t="s">
        <v>1457</v>
      </c>
      <c r="F532" s="88">
        <v>6.4</v>
      </c>
      <c r="G532" s="90">
        <v>1805.0</v>
      </c>
      <c r="H532" s="89" t="s">
        <v>2342</v>
      </c>
      <c r="I532" s="28"/>
      <c r="J532" s="28"/>
    </row>
    <row r="533" ht="22.5" customHeight="1">
      <c r="A533" s="76" t="s">
        <v>2345</v>
      </c>
      <c r="B533" s="88" t="s">
        <v>1823</v>
      </c>
      <c r="C533" s="88" t="s">
        <v>2340</v>
      </c>
      <c r="D533" s="88" t="s">
        <v>2341</v>
      </c>
      <c r="E533" s="88" t="s">
        <v>1830</v>
      </c>
      <c r="F533" s="88">
        <v>6.4</v>
      </c>
      <c r="G533" s="90">
        <v>1805.0</v>
      </c>
      <c r="H533" s="89" t="s">
        <v>2342</v>
      </c>
      <c r="I533" s="28"/>
      <c r="J533" s="28"/>
    </row>
    <row r="534" ht="22.5" customHeight="1">
      <c r="A534" s="76" t="s">
        <v>2346</v>
      </c>
      <c r="B534" s="88" t="s">
        <v>1823</v>
      </c>
      <c r="C534" s="88" t="s">
        <v>2340</v>
      </c>
      <c r="D534" s="88" t="s">
        <v>2341</v>
      </c>
      <c r="E534" s="88" t="s">
        <v>497</v>
      </c>
      <c r="F534" s="88">
        <v>6.4</v>
      </c>
      <c r="G534" s="90">
        <v>2665.0</v>
      </c>
      <c r="H534" s="89" t="s">
        <v>2342</v>
      </c>
      <c r="I534" s="28"/>
      <c r="J534" s="28"/>
    </row>
    <row r="535" ht="22.5" customHeight="1">
      <c r="A535" s="76" t="s">
        <v>2347</v>
      </c>
      <c r="B535" s="88" t="s">
        <v>1823</v>
      </c>
      <c r="C535" s="88" t="s">
        <v>2340</v>
      </c>
      <c r="D535" s="88" t="s">
        <v>2341</v>
      </c>
      <c r="E535" s="88" t="s">
        <v>1833</v>
      </c>
      <c r="F535" s="88">
        <v>6.4</v>
      </c>
      <c r="G535" s="90">
        <v>2665.0</v>
      </c>
      <c r="H535" s="89" t="s">
        <v>2342</v>
      </c>
      <c r="I535" s="28"/>
      <c r="J535" s="28"/>
    </row>
    <row r="536" ht="22.5" customHeight="1">
      <c r="A536" s="76" t="s">
        <v>2348</v>
      </c>
      <c r="B536" s="88" t="s">
        <v>1823</v>
      </c>
      <c r="C536" s="88" t="s">
        <v>2340</v>
      </c>
      <c r="D536" s="88" t="s">
        <v>2341</v>
      </c>
      <c r="E536" s="88" t="s">
        <v>1844</v>
      </c>
      <c r="F536" s="88">
        <v>6.4</v>
      </c>
      <c r="G536" s="90">
        <v>2665.0</v>
      </c>
      <c r="H536" s="89" t="s">
        <v>2342</v>
      </c>
      <c r="I536" s="28"/>
      <c r="J536" s="28"/>
    </row>
    <row r="537" ht="22.5" customHeight="1">
      <c r="A537" s="76" t="s">
        <v>2349</v>
      </c>
      <c r="B537" s="88" t="s">
        <v>1823</v>
      </c>
      <c r="C537" s="88" t="s">
        <v>2350</v>
      </c>
      <c r="D537" s="88" t="s">
        <v>2351</v>
      </c>
      <c r="E537" s="88" t="s">
        <v>105</v>
      </c>
      <c r="F537" s="88">
        <v>6.4</v>
      </c>
      <c r="G537" s="90">
        <v>1320.0</v>
      </c>
      <c r="H537" s="89" t="s">
        <v>2352</v>
      </c>
      <c r="I537" s="28"/>
      <c r="J537" s="28"/>
    </row>
    <row r="538" ht="22.5" customHeight="1">
      <c r="A538" s="76" t="s">
        <v>2353</v>
      </c>
      <c r="B538" s="88" t="s">
        <v>1823</v>
      </c>
      <c r="C538" s="88" t="s">
        <v>2350</v>
      </c>
      <c r="D538" s="88" t="s">
        <v>2351</v>
      </c>
      <c r="E538" s="88" t="s">
        <v>103</v>
      </c>
      <c r="F538" s="88">
        <v>6.4</v>
      </c>
      <c r="G538" s="90">
        <v>1320.0</v>
      </c>
      <c r="H538" s="89" t="s">
        <v>2352</v>
      </c>
      <c r="I538" s="28"/>
      <c r="J538" s="28"/>
    </row>
    <row r="539" ht="22.5" customHeight="1">
      <c r="A539" s="76" t="s">
        <v>2354</v>
      </c>
      <c r="B539" s="88" t="s">
        <v>1823</v>
      </c>
      <c r="C539" s="88" t="s">
        <v>2350</v>
      </c>
      <c r="D539" s="88" t="s">
        <v>2351</v>
      </c>
      <c r="E539" s="88" t="s">
        <v>1457</v>
      </c>
      <c r="F539" s="88">
        <v>6.4</v>
      </c>
      <c r="G539" s="90">
        <v>1420.0</v>
      </c>
      <c r="H539" s="89" t="s">
        <v>2352</v>
      </c>
      <c r="I539" s="28"/>
      <c r="J539" s="28"/>
    </row>
    <row r="540" ht="22.5" customHeight="1">
      <c r="A540" s="76" t="s">
        <v>2355</v>
      </c>
      <c r="B540" s="88" t="s">
        <v>1823</v>
      </c>
      <c r="C540" s="88" t="s">
        <v>2350</v>
      </c>
      <c r="D540" s="88" t="s">
        <v>2351</v>
      </c>
      <c r="E540" s="88" t="s">
        <v>1830</v>
      </c>
      <c r="F540" s="88">
        <v>6.4</v>
      </c>
      <c r="G540" s="90">
        <v>1420.0</v>
      </c>
      <c r="H540" s="89" t="s">
        <v>2352</v>
      </c>
      <c r="I540" s="28"/>
      <c r="J540" s="28"/>
    </row>
    <row r="541" ht="22.5" customHeight="1">
      <c r="A541" s="76" t="s">
        <v>2356</v>
      </c>
      <c r="B541" s="88" t="s">
        <v>1823</v>
      </c>
      <c r="C541" s="88" t="s">
        <v>2350</v>
      </c>
      <c r="D541" s="88" t="s">
        <v>2351</v>
      </c>
      <c r="E541" s="88" t="s">
        <v>497</v>
      </c>
      <c r="F541" s="88">
        <v>6.4</v>
      </c>
      <c r="G541" s="90">
        <v>2095.0</v>
      </c>
      <c r="H541" s="89" t="s">
        <v>2352</v>
      </c>
      <c r="I541" s="28"/>
      <c r="J541" s="28"/>
    </row>
    <row r="542" ht="22.5" customHeight="1">
      <c r="A542" s="76" t="s">
        <v>2357</v>
      </c>
      <c r="B542" s="88" t="s">
        <v>1823</v>
      </c>
      <c r="C542" s="88" t="s">
        <v>2350</v>
      </c>
      <c r="D542" s="88" t="s">
        <v>2351</v>
      </c>
      <c r="E542" s="88" t="s">
        <v>1833</v>
      </c>
      <c r="F542" s="88">
        <v>6.4</v>
      </c>
      <c r="G542" s="90">
        <v>2095.0</v>
      </c>
      <c r="H542" s="89" t="s">
        <v>2352</v>
      </c>
      <c r="I542" s="28"/>
      <c r="J542" s="28"/>
    </row>
    <row r="543" ht="22.5" customHeight="1">
      <c r="A543" s="76" t="s">
        <v>2358</v>
      </c>
      <c r="B543" s="88" t="s">
        <v>1823</v>
      </c>
      <c r="C543" s="88" t="s">
        <v>2350</v>
      </c>
      <c r="D543" s="88" t="s">
        <v>2351</v>
      </c>
      <c r="E543" s="88" t="s">
        <v>1844</v>
      </c>
      <c r="F543" s="88">
        <v>6.4</v>
      </c>
      <c r="G543" s="90">
        <v>2095.0</v>
      </c>
      <c r="H543" s="89" t="s">
        <v>2352</v>
      </c>
      <c r="I543" s="28"/>
      <c r="J543" s="28"/>
    </row>
    <row r="544" ht="22.5" customHeight="1">
      <c r="A544" s="76" t="s">
        <v>2359</v>
      </c>
      <c r="B544" s="88" t="s">
        <v>1823</v>
      </c>
      <c r="C544" s="88" t="s">
        <v>2360</v>
      </c>
      <c r="D544" s="88" t="s">
        <v>2361</v>
      </c>
      <c r="E544" s="88" t="s">
        <v>105</v>
      </c>
      <c r="F544" s="88">
        <v>6.4</v>
      </c>
      <c r="G544" s="88">
        <v>760.0</v>
      </c>
      <c r="H544" s="89" t="s">
        <v>2362</v>
      </c>
      <c r="I544" s="28"/>
      <c r="J544" s="28"/>
    </row>
    <row r="545" ht="22.5" customHeight="1">
      <c r="A545" s="76" t="s">
        <v>2363</v>
      </c>
      <c r="B545" s="88" t="s">
        <v>1823</v>
      </c>
      <c r="C545" s="88" t="s">
        <v>2360</v>
      </c>
      <c r="D545" s="88" t="s">
        <v>2361</v>
      </c>
      <c r="E545" s="88" t="s">
        <v>103</v>
      </c>
      <c r="F545" s="88">
        <v>6.4</v>
      </c>
      <c r="G545" s="88">
        <v>760.0</v>
      </c>
      <c r="H545" s="89" t="s">
        <v>2362</v>
      </c>
      <c r="I545" s="28"/>
      <c r="J545" s="28"/>
    </row>
    <row r="546" ht="22.5" customHeight="1">
      <c r="A546" s="76" t="s">
        <v>2364</v>
      </c>
      <c r="B546" s="88" t="s">
        <v>1823</v>
      </c>
      <c r="C546" s="88" t="s">
        <v>2360</v>
      </c>
      <c r="D546" s="88" t="s">
        <v>2361</v>
      </c>
      <c r="E546" s="88" t="s">
        <v>1457</v>
      </c>
      <c r="F546" s="88">
        <v>6.4</v>
      </c>
      <c r="G546" s="88">
        <v>815.0</v>
      </c>
      <c r="H546" s="89" t="s">
        <v>2362</v>
      </c>
      <c r="I546" s="28"/>
      <c r="J546" s="28"/>
    </row>
    <row r="547" ht="22.5" customHeight="1">
      <c r="A547" s="76" t="s">
        <v>2365</v>
      </c>
      <c r="B547" s="88" t="s">
        <v>1823</v>
      </c>
      <c r="C547" s="88" t="s">
        <v>2360</v>
      </c>
      <c r="D547" s="88" t="s">
        <v>2361</v>
      </c>
      <c r="E547" s="88" t="s">
        <v>1830</v>
      </c>
      <c r="F547" s="88">
        <v>6.4</v>
      </c>
      <c r="G547" s="88">
        <v>815.0</v>
      </c>
      <c r="H547" s="89" t="s">
        <v>2362</v>
      </c>
      <c r="I547" s="28"/>
      <c r="J547" s="28"/>
    </row>
    <row r="548" ht="22.5" customHeight="1">
      <c r="A548" s="76" t="s">
        <v>2366</v>
      </c>
      <c r="B548" s="88" t="s">
        <v>1823</v>
      </c>
      <c r="C548" s="88" t="s">
        <v>2360</v>
      </c>
      <c r="D548" s="88" t="s">
        <v>2361</v>
      </c>
      <c r="E548" s="88" t="s">
        <v>497</v>
      </c>
      <c r="F548" s="88">
        <v>6.4</v>
      </c>
      <c r="G548" s="90">
        <v>1205.0</v>
      </c>
      <c r="H548" s="89" t="s">
        <v>2362</v>
      </c>
      <c r="I548" s="28"/>
      <c r="J548" s="28"/>
    </row>
    <row r="549" ht="22.5" customHeight="1">
      <c r="A549" s="76" t="s">
        <v>2367</v>
      </c>
      <c r="B549" s="88" t="s">
        <v>1823</v>
      </c>
      <c r="C549" s="88" t="s">
        <v>2360</v>
      </c>
      <c r="D549" s="88" t="s">
        <v>2361</v>
      </c>
      <c r="E549" s="88" t="s">
        <v>1833</v>
      </c>
      <c r="F549" s="88">
        <v>6.4</v>
      </c>
      <c r="G549" s="90">
        <v>1205.0</v>
      </c>
      <c r="H549" s="89" t="s">
        <v>2362</v>
      </c>
      <c r="I549" s="28"/>
      <c r="J549" s="28"/>
    </row>
    <row r="550" ht="22.5" customHeight="1">
      <c r="A550" s="76" t="s">
        <v>2368</v>
      </c>
      <c r="B550" s="88" t="s">
        <v>1823</v>
      </c>
      <c r="C550" s="88" t="s">
        <v>2360</v>
      </c>
      <c r="D550" s="88" t="s">
        <v>2361</v>
      </c>
      <c r="E550" s="88" t="s">
        <v>1844</v>
      </c>
      <c r="F550" s="88">
        <v>6.4</v>
      </c>
      <c r="G550" s="90">
        <v>1205.0</v>
      </c>
      <c r="H550" s="89" t="s">
        <v>2362</v>
      </c>
      <c r="I550" s="28"/>
      <c r="J550" s="28"/>
    </row>
    <row r="551" ht="22.5" customHeight="1">
      <c r="A551" s="76" t="s">
        <v>2369</v>
      </c>
      <c r="B551" s="88" t="s">
        <v>1823</v>
      </c>
      <c r="C551" s="88" t="s">
        <v>2370</v>
      </c>
      <c r="D551" s="88" t="s">
        <v>2371</v>
      </c>
      <c r="E551" s="88" t="s">
        <v>105</v>
      </c>
      <c r="F551" s="88">
        <v>6.4</v>
      </c>
      <c r="G551" s="90">
        <v>1335.0</v>
      </c>
      <c r="H551" s="89" t="s">
        <v>2372</v>
      </c>
      <c r="I551" s="28"/>
      <c r="J551" s="28"/>
    </row>
    <row r="552" ht="22.5" customHeight="1">
      <c r="A552" s="76" t="s">
        <v>2373</v>
      </c>
      <c r="B552" s="88" t="s">
        <v>1823</v>
      </c>
      <c r="C552" s="88" t="s">
        <v>2370</v>
      </c>
      <c r="D552" s="88" t="s">
        <v>2371</v>
      </c>
      <c r="E552" s="88" t="s">
        <v>103</v>
      </c>
      <c r="F552" s="88">
        <v>6.4</v>
      </c>
      <c r="G552" s="90">
        <v>1335.0</v>
      </c>
      <c r="H552" s="89" t="s">
        <v>2372</v>
      </c>
      <c r="I552" s="28"/>
      <c r="J552" s="28"/>
    </row>
    <row r="553" ht="22.5" customHeight="1">
      <c r="A553" s="76" t="s">
        <v>2374</v>
      </c>
      <c r="B553" s="88" t="s">
        <v>1823</v>
      </c>
      <c r="C553" s="88" t="s">
        <v>2370</v>
      </c>
      <c r="D553" s="88" t="s">
        <v>2371</v>
      </c>
      <c r="E553" s="88" t="s">
        <v>1457</v>
      </c>
      <c r="F553" s="88">
        <v>6.4</v>
      </c>
      <c r="G553" s="90">
        <v>1430.0</v>
      </c>
      <c r="H553" s="89" t="s">
        <v>2372</v>
      </c>
      <c r="I553" s="28"/>
      <c r="J553" s="28"/>
    </row>
    <row r="554" ht="22.5" customHeight="1">
      <c r="A554" s="76" t="s">
        <v>2375</v>
      </c>
      <c r="B554" s="88" t="s">
        <v>1823</v>
      </c>
      <c r="C554" s="88" t="s">
        <v>2370</v>
      </c>
      <c r="D554" s="88" t="s">
        <v>2371</v>
      </c>
      <c r="E554" s="88" t="s">
        <v>1830</v>
      </c>
      <c r="F554" s="88">
        <v>6.4</v>
      </c>
      <c r="G554" s="90">
        <v>1430.0</v>
      </c>
      <c r="H554" s="89" t="s">
        <v>2372</v>
      </c>
      <c r="I554" s="28"/>
      <c r="J554" s="28"/>
    </row>
    <row r="555" ht="22.5" customHeight="1">
      <c r="A555" s="76" t="s">
        <v>2376</v>
      </c>
      <c r="B555" s="88" t="s">
        <v>1823</v>
      </c>
      <c r="C555" s="88" t="s">
        <v>2370</v>
      </c>
      <c r="D555" s="88" t="s">
        <v>2371</v>
      </c>
      <c r="E555" s="88" t="s">
        <v>497</v>
      </c>
      <c r="F555" s="88">
        <v>6.4</v>
      </c>
      <c r="G555" s="90">
        <v>2115.0</v>
      </c>
      <c r="H555" s="89" t="s">
        <v>2372</v>
      </c>
      <c r="I555" s="28"/>
      <c r="J555" s="28"/>
    </row>
    <row r="556" ht="22.5" customHeight="1">
      <c r="A556" s="76" t="s">
        <v>2377</v>
      </c>
      <c r="B556" s="88" t="s">
        <v>1823</v>
      </c>
      <c r="C556" s="88" t="s">
        <v>2370</v>
      </c>
      <c r="D556" s="88" t="s">
        <v>2371</v>
      </c>
      <c r="E556" s="88" t="s">
        <v>1833</v>
      </c>
      <c r="F556" s="88">
        <v>6.4</v>
      </c>
      <c r="G556" s="90">
        <v>2115.0</v>
      </c>
      <c r="H556" s="89" t="s">
        <v>2372</v>
      </c>
      <c r="I556" s="28"/>
      <c r="J556" s="28"/>
    </row>
    <row r="557" ht="22.5" customHeight="1">
      <c r="A557" s="76" t="s">
        <v>2378</v>
      </c>
      <c r="B557" s="88" t="s">
        <v>1823</v>
      </c>
      <c r="C557" s="88" t="s">
        <v>2370</v>
      </c>
      <c r="D557" s="88" t="s">
        <v>2371</v>
      </c>
      <c r="E557" s="88" t="s">
        <v>1844</v>
      </c>
      <c r="F557" s="88">
        <v>6.4</v>
      </c>
      <c r="G557" s="90">
        <v>2115.0</v>
      </c>
      <c r="H557" s="89" t="s">
        <v>2372</v>
      </c>
      <c r="I557" s="28"/>
      <c r="J557" s="28"/>
    </row>
    <row r="558" ht="22.5" customHeight="1">
      <c r="A558" s="76" t="s">
        <v>2379</v>
      </c>
      <c r="B558" s="88" t="s">
        <v>1823</v>
      </c>
      <c r="C558" s="88" t="s">
        <v>2380</v>
      </c>
      <c r="D558" s="88" t="s">
        <v>2381</v>
      </c>
      <c r="E558" s="88" t="s">
        <v>105</v>
      </c>
      <c r="F558" s="88">
        <v>6.4</v>
      </c>
      <c r="G558" s="88">
        <v>800.0</v>
      </c>
      <c r="H558" s="89" t="s">
        <v>2382</v>
      </c>
      <c r="I558" s="28"/>
      <c r="J558" s="28"/>
    </row>
    <row r="559" ht="22.5" customHeight="1">
      <c r="A559" s="76" t="s">
        <v>2383</v>
      </c>
      <c r="B559" s="88" t="s">
        <v>1823</v>
      </c>
      <c r="C559" s="88" t="s">
        <v>2380</v>
      </c>
      <c r="D559" s="88" t="s">
        <v>2381</v>
      </c>
      <c r="E559" s="88" t="s">
        <v>103</v>
      </c>
      <c r="F559" s="88">
        <v>6.4</v>
      </c>
      <c r="G559" s="88">
        <v>800.0</v>
      </c>
      <c r="H559" s="89" t="s">
        <v>2382</v>
      </c>
      <c r="I559" s="28"/>
      <c r="J559" s="28"/>
    </row>
    <row r="560" ht="22.5" customHeight="1">
      <c r="A560" s="76" t="s">
        <v>2384</v>
      </c>
      <c r="B560" s="88" t="s">
        <v>1823</v>
      </c>
      <c r="C560" s="88" t="s">
        <v>2380</v>
      </c>
      <c r="D560" s="88" t="s">
        <v>2381</v>
      </c>
      <c r="E560" s="88" t="s">
        <v>1457</v>
      </c>
      <c r="F560" s="88">
        <v>6.4</v>
      </c>
      <c r="G560" s="88">
        <v>860.0</v>
      </c>
      <c r="H560" s="89" t="s">
        <v>2382</v>
      </c>
      <c r="I560" s="28"/>
      <c r="J560" s="28"/>
    </row>
    <row r="561" ht="22.5" customHeight="1">
      <c r="A561" s="76" t="s">
        <v>2385</v>
      </c>
      <c r="B561" s="88" t="s">
        <v>1823</v>
      </c>
      <c r="C561" s="88" t="s">
        <v>2380</v>
      </c>
      <c r="D561" s="88" t="s">
        <v>2381</v>
      </c>
      <c r="E561" s="88" t="s">
        <v>1830</v>
      </c>
      <c r="F561" s="88">
        <v>6.4</v>
      </c>
      <c r="G561" s="88">
        <v>860.0</v>
      </c>
      <c r="H561" s="89" t="s">
        <v>2382</v>
      </c>
      <c r="I561" s="28"/>
      <c r="J561" s="28"/>
    </row>
    <row r="562" ht="22.5" customHeight="1">
      <c r="A562" s="76" t="s">
        <v>2386</v>
      </c>
      <c r="B562" s="88" t="s">
        <v>1823</v>
      </c>
      <c r="C562" s="88" t="s">
        <v>2380</v>
      </c>
      <c r="D562" s="88" t="s">
        <v>2381</v>
      </c>
      <c r="E562" s="88" t="s">
        <v>497</v>
      </c>
      <c r="F562" s="88">
        <v>6.4</v>
      </c>
      <c r="G562" s="90">
        <v>1270.0</v>
      </c>
      <c r="H562" s="89" t="s">
        <v>2382</v>
      </c>
      <c r="I562" s="28"/>
      <c r="J562" s="28"/>
    </row>
    <row r="563" ht="22.5" customHeight="1">
      <c r="A563" s="76" t="s">
        <v>2387</v>
      </c>
      <c r="B563" s="88" t="s">
        <v>1823</v>
      </c>
      <c r="C563" s="88" t="s">
        <v>2380</v>
      </c>
      <c r="D563" s="88" t="s">
        <v>2381</v>
      </c>
      <c r="E563" s="88" t="s">
        <v>1833</v>
      </c>
      <c r="F563" s="88">
        <v>6.4</v>
      </c>
      <c r="G563" s="90">
        <v>1270.0</v>
      </c>
      <c r="H563" s="89" t="s">
        <v>2382</v>
      </c>
      <c r="I563" s="28"/>
      <c r="J563" s="28"/>
    </row>
    <row r="564" ht="22.5" customHeight="1">
      <c r="A564" s="76" t="s">
        <v>2388</v>
      </c>
      <c r="B564" s="88" t="s">
        <v>1823</v>
      </c>
      <c r="C564" s="88" t="s">
        <v>2380</v>
      </c>
      <c r="D564" s="88" t="s">
        <v>2381</v>
      </c>
      <c r="E564" s="88" t="s">
        <v>1844</v>
      </c>
      <c r="F564" s="88">
        <v>6.4</v>
      </c>
      <c r="G564" s="90">
        <v>1270.0</v>
      </c>
      <c r="H564" s="89" t="s">
        <v>2382</v>
      </c>
      <c r="I564" s="28"/>
      <c r="J564" s="28"/>
    </row>
    <row r="565" ht="22.5" customHeight="1">
      <c r="A565" s="76" t="s">
        <v>2389</v>
      </c>
      <c r="B565" s="88" t="s">
        <v>1823</v>
      </c>
      <c r="C565" s="88" t="s">
        <v>2390</v>
      </c>
      <c r="D565" s="88" t="s">
        <v>2391</v>
      </c>
      <c r="E565" s="88" t="s">
        <v>105</v>
      </c>
      <c r="F565" s="88">
        <v>6.4</v>
      </c>
      <c r="G565" s="90">
        <v>1370.0</v>
      </c>
      <c r="H565" s="89" t="s">
        <v>2292</v>
      </c>
      <c r="I565" s="26">
        <v>4.0</v>
      </c>
      <c r="J565" s="28"/>
    </row>
    <row r="566" ht="22.5" customHeight="1">
      <c r="A566" s="76" t="s">
        <v>2392</v>
      </c>
      <c r="B566" s="88" t="s">
        <v>1823</v>
      </c>
      <c r="C566" s="88" t="s">
        <v>2390</v>
      </c>
      <c r="D566" s="88" t="s">
        <v>2391</v>
      </c>
      <c r="E566" s="88" t="s">
        <v>103</v>
      </c>
      <c r="F566" s="88">
        <v>6.4</v>
      </c>
      <c r="G566" s="90">
        <v>1370.0</v>
      </c>
      <c r="H566" s="89" t="s">
        <v>2292</v>
      </c>
      <c r="I566" s="28"/>
      <c r="J566" s="28"/>
    </row>
    <row r="567" ht="22.5" customHeight="1">
      <c r="A567" s="76" t="s">
        <v>2393</v>
      </c>
      <c r="B567" s="88" t="s">
        <v>1823</v>
      </c>
      <c r="C567" s="88" t="s">
        <v>2390</v>
      </c>
      <c r="D567" s="88" t="s">
        <v>2391</v>
      </c>
      <c r="E567" s="88" t="s">
        <v>1457</v>
      </c>
      <c r="F567" s="88">
        <v>6.4</v>
      </c>
      <c r="G567" s="90">
        <v>1470.0</v>
      </c>
      <c r="H567" s="89" t="s">
        <v>2292</v>
      </c>
      <c r="I567" s="26">
        <v>10.0</v>
      </c>
      <c r="J567" s="28"/>
    </row>
    <row r="568" ht="22.5" customHeight="1">
      <c r="A568" s="76" t="s">
        <v>2394</v>
      </c>
      <c r="B568" s="88" t="s">
        <v>1823</v>
      </c>
      <c r="C568" s="88" t="s">
        <v>2390</v>
      </c>
      <c r="D568" s="88" t="s">
        <v>2391</v>
      </c>
      <c r="E568" s="88" t="s">
        <v>1830</v>
      </c>
      <c r="F568" s="88">
        <v>6.4</v>
      </c>
      <c r="G568" s="90">
        <v>1470.0</v>
      </c>
      <c r="H568" s="89" t="s">
        <v>2292</v>
      </c>
      <c r="I568" s="28"/>
      <c r="J568" s="28"/>
    </row>
    <row r="569" ht="22.5" customHeight="1">
      <c r="A569" s="76" t="s">
        <v>2395</v>
      </c>
      <c r="B569" s="88" t="s">
        <v>1823</v>
      </c>
      <c r="C569" s="88" t="s">
        <v>2390</v>
      </c>
      <c r="D569" s="88" t="s">
        <v>2391</v>
      </c>
      <c r="E569" s="88" t="s">
        <v>497</v>
      </c>
      <c r="F569" s="88">
        <v>6.4</v>
      </c>
      <c r="G569" s="90">
        <v>2170.0</v>
      </c>
      <c r="H569" s="89" t="s">
        <v>2292</v>
      </c>
      <c r="I569" s="26">
        <v>6.0</v>
      </c>
      <c r="J569" s="28"/>
    </row>
    <row r="570" ht="22.5" customHeight="1">
      <c r="A570" s="76" t="s">
        <v>2396</v>
      </c>
      <c r="B570" s="88" t="s">
        <v>1823</v>
      </c>
      <c r="C570" s="88" t="s">
        <v>2390</v>
      </c>
      <c r="D570" s="88" t="s">
        <v>2391</v>
      </c>
      <c r="E570" s="88" t="s">
        <v>1833</v>
      </c>
      <c r="F570" s="88">
        <v>6.4</v>
      </c>
      <c r="G570" s="90">
        <v>2170.0</v>
      </c>
      <c r="H570" s="89" t="s">
        <v>2292</v>
      </c>
      <c r="I570" s="28"/>
      <c r="J570" s="28"/>
    </row>
    <row r="571" ht="22.5" customHeight="1">
      <c r="A571" s="76" t="s">
        <v>2397</v>
      </c>
      <c r="B571" s="88" t="s">
        <v>1823</v>
      </c>
      <c r="C571" s="88" t="s">
        <v>2390</v>
      </c>
      <c r="D571" s="88" t="s">
        <v>2391</v>
      </c>
      <c r="E571" s="88" t="s">
        <v>1844</v>
      </c>
      <c r="F571" s="88">
        <v>6.4</v>
      </c>
      <c r="G571" s="90">
        <v>2170.0</v>
      </c>
      <c r="H571" s="89" t="s">
        <v>2292</v>
      </c>
      <c r="I571" s="28"/>
      <c r="J571" s="28"/>
    </row>
    <row r="572" ht="22.5" customHeight="1">
      <c r="A572" s="76" t="s">
        <v>2398</v>
      </c>
      <c r="B572" s="88" t="s">
        <v>1823</v>
      </c>
      <c r="C572" s="88" t="s">
        <v>2399</v>
      </c>
      <c r="D572" s="88" t="s">
        <v>2400</v>
      </c>
      <c r="E572" s="88" t="s">
        <v>105</v>
      </c>
      <c r="F572" s="88">
        <v>6.4</v>
      </c>
      <c r="G572" s="88">
        <v>695.0</v>
      </c>
      <c r="H572" s="89" t="s">
        <v>2401</v>
      </c>
      <c r="I572" s="26">
        <v>4.0</v>
      </c>
      <c r="J572" s="28"/>
    </row>
    <row r="573" ht="22.5" customHeight="1">
      <c r="A573" s="76" t="s">
        <v>2402</v>
      </c>
      <c r="B573" s="88" t="s">
        <v>1823</v>
      </c>
      <c r="C573" s="88" t="s">
        <v>2399</v>
      </c>
      <c r="D573" s="88" t="s">
        <v>2400</v>
      </c>
      <c r="E573" s="88" t="s">
        <v>103</v>
      </c>
      <c r="F573" s="88">
        <v>6.4</v>
      </c>
      <c r="G573" s="88">
        <v>695.0</v>
      </c>
      <c r="H573" s="89" t="s">
        <v>2401</v>
      </c>
      <c r="I573" s="26">
        <v>4.0</v>
      </c>
      <c r="J573" s="28"/>
    </row>
    <row r="574" ht="22.5" customHeight="1">
      <c r="A574" s="76" t="s">
        <v>2403</v>
      </c>
      <c r="B574" s="88" t="s">
        <v>1823</v>
      </c>
      <c r="C574" s="88" t="s">
        <v>2399</v>
      </c>
      <c r="D574" s="88" t="s">
        <v>2400</v>
      </c>
      <c r="E574" s="88" t="s">
        <v>1457</v>
      </c>
      <c r="F574" s="88">
        <v>6.4</v>
      </c>
      <c r="G574" s="88">
        <v>745.0</v>
      </c>
      <c r="H574" s="89" t="s">
        <v>2401</v>
      </c>
      <c r="I574" s="28"/>
      <c r="J574" s="28"/>
    </row>
    <row r="575" ht="22.5" customHeight="1">
      <c r="A575" s="76" t="s">
        <v>2404</v>
      </c>
      <c r="B575" s="88" t="s">
        <v>1823</v>
      </c>
      <c r="C575" s="88" t="s">
        <v>2399</v>
      </c>
      <c r="D575" s="88" t="s">
        <v>2400</v>
      </c>
      <c r="E575" s="88" t="s">
        <v>1830</v>
      </c>
      <c r="F575" s="88">
        <v>6.4</v>
      </c>
      <c r="G575" s="88">
        <v>745.0</v>
      </c>
      <c r="H575" s="89" t="s">
        <v>2401</v>
      </c>
      <c r="I575" s="28"/>
      <c r="J575" s="28"/>
    </row>
    <row r="576" ht="22.5" customHeight="1">
      <c r="A576" s="76" t="s">
        <v>2405</v>
      </c>
      <c r="B576" s="88" t="s">
        <v>1823</v>
      </c>
      <c r="C576" s="88" t="s">
        <v>2399</v>
      </c>
      <c r="D576" s="88" t="s">
        <v>2400</v>
      </c>
      <c r="E576" s="88" t="s">
        <v>497</v>
      </c>
      <c r="F576" s="88">
        <v>6.4</v>
      </c>
      <c r="G576" s="90">
        <v>1100.0</v>
      </c>
      <c r="H576" s="89" t="s">
        <v>2401</v>
      </c>
      <c r="I576" s="26">
        <v>16.0</v>
      </c>
      <c r="J576" s="28"/>
    </row>
    <row r="577" ht="22.5" customHeight="1">
      <c r="A577" s="76" t="s">
        <v>2406</v>
      </c>
      <c r="B577" s="88" t="s">
        <v>1823</v>
      </c>
      <c r="C577" s="88" t="s">
        <v>2399</v>
      </c>
      <c r="D577" s="88" t="s">
        <v>2400</v>
      </c>
      <c r="E577" s="88" t="s">
        <v>1833</v>
      </c>
      <c r="F577" s="88">
        <v>6.4</v>
      </c>
      <c r="G577" s="90">
        <v>1100.0</v>
      </c>
      <c r="H577" s="89" t="s">
        <v>2401</v>
      </c>
      <c r="I577" s="28"/>
      <c r="J577" s="28"/>
    </row>
    <row r="578" ht="22.5" customHeight="1">
      <c r="A578" s="76" t="s">
        <v>2407</v>
      </c>
      <c r="B578" s="88" t="s">
        <v>1823</v>
      </c>
      <c r="C578" s="88" t="s">
        <v>2399</v>
      </c>
      <c r="D578" s="88" t="s">
        <v>2400</v>
      </c>
      <c r="E578" s="88" t="s">
        <v>1844</v>
      </c>
      <c r="F578" s="88">
        <v>6.4</v>
      </c>
      <c r="G578" s="90">
        <v>1100.0</v>
      </c>
      <c r="H578" s="89" t="s">
        <v>2401</v>
      </c>
      <c r="I578" s="28"/>
      <c r="J578" s="28"/>
    </row>
    <row r="579" ht="22.5" customHeight="1">
      <c r="A579" s="76" t="s">
        <v>2408</v>
      </c>
      <c r="B579" s="88" t="s">
        <v>1823</v>
      </c>
      <c r="C579" s="88" t="s">
        <v>2409</v>
      </c>
      <c r="D579" s="88" t="s">
        <v>1720</v>
      </c>
      <c r="E579" s="88" t="s">
        <v>105</v>
      </c>
      <c r="F579" s="88">
        <v>6.4</v>
      </c>
      <c r="G579" s="88">
        <v>550.0</v>
      </c>
      <c r="H579" s="92" t="s">
        <v>2410</v>
      </c>
      <c r="I579" s="26">
        <v>10.0</v>
      </c>
      <c r="J579" s="28"/>
    </row>
    <row r="580" ht="22.5" customHeight="1">
      <c r="A580" s="76" t="s">
        <v>2411</v>
      </c>
      <c r="B580" s="88" t="s">
        <v>1823</v>
      </c>
      <c r="C580" s="88" t="s">
        <v>2409</v>
      </c>
      <c r="D580" s="88" t="s">
        <v>1720</v>
      </c>
      <c r="E580" s="88" t="s">
        <v>103</v>
      </c>
      <c r="F580" s="88">
        <v>6.4</v>
      </c>
      <c r="G580" s="88">
        <v>550.0</v>
      </c>
      <c r="H580" s="92" t="s">
        <v>2412</v>
      </c>
      <c r="I580" s="26">
        <v>8.0</v>
      </c>
      <c r="J580" s="28"/>
    </row>
    <row r="581" ht="22.5" customHeight="1">
      <c r="A581" s="76" t="s">
        <v>2413</v>
      </c>
      <c r="B581" s="88" t="s">
        <v>1823</v>
      </c>
      <c r="C581" s="88" t="s">
        <v>2409</v>
      </c>
      <c r="D581" s="88" t="s">
        <v>1720</v>
      </c>
      <c r="E581" s="88" t="s">
        <v>1457</v>
      </c>
      <c r="F581" s="88">
        <v>6.4</v>
      </c>
      <c r="G581" s="88">
        <v>590.0</v>
      </c>
      <c r="H581" s="92" t="s">
        <v>2412</v>
      </c>
      <c r="I581" s="26">
        <v>10.0</v>
      </c>
      <c r="J581" s="28"/>
    </row>
    <row r="582" ht="22.5" customHeight="1">
      <c r="A582" s="76" t="s">
        <v>2414</v>
      </c>
      <c r="B582" s="88" t="s">
        <v>1823</v>
      </c>
      <c r="C582" s="88" t="s">
        <v>2409</v>
      </c>
      <c r="D582" s="88" t="s">
        <v>1720</v>
      </c>
      <c r="E582" s="88" t="s">
        <v>1830</v>
      </c>
      <c r="F582" s="88">
        <v>6.4</v>
      </c>
      <c r="G582" s="88">
        <v>590.0</v>
      </c>
      <c r="H582" s="92" t="s">
        <v>2412</v>
      </c>
      <c r="I582" s="28"/>
      <c r="J582" s="28"/>
    </row>
    <row r="583" ht="22.5" customHeight="1">
      <c r="A583" s="76" t="s">
        <v>2415</v>
      </c>
      <c r="B583" s="88" t="s">
        <v>1823</v>
      </c>
      <c r="C583" s="88" t="s">
        <v>2409</v>
      </c>
      <c r="D583" s="88" t="s">
        <v>1720</v>
      </c>
      <c r="E583" s="88" t="s">
        <v>497</v>
      </c>
      <c r="F583" s="88">
        <v>6.4</v>
      </c>
      <c r="G583" s="88">
        <v>960.89</v>
      </c>
      <c r="H583" s="92" t="s">
        <v>2412</v>
      </c>
      <c r="I583" s="26">
        <v>16.0</v>
      </c>
      <c r="J583" s="28"/>
    </row>
    <row r="584" ht="22.5" customHeight="1">
      <c r="A584" s="76" t="s">
        <v>2416</v>
      </c>
      <c r="B584" s="88" t="s">
        <v>1823</v>
      </c>
      <c r="C584" s="88" t="s">
        <v>2409</v>
      </c>
      <c r="D584" s="88" t="s">
        <v>1720</v>
      </c>
      <c r="E584" s="88" t="s">
        <v>1833</v>
      </c>
      <c r="F584" s="88">
        <v>6.4</v>
      </c>
      <c r="G584" s="88">
        <v>870.0</v>
      </c>
      <c r="H584" s="92" t="s">
        <v>2412</v>
      </c>
      <c r="I584" s="28"/>
      <c r="J584" s="28"/>
    </row>
    <row r="585" ht="22.5" customHeight="1">
      <c r="A585" s="76" t="s">
        <v>2417</v>
      </c>
      <c r="B585" s="88" t="s">
        <v>1823</v>
      </c>
      <c r="C585" s="88" t="s">
        <v>2409</v>
      </c>
      <c r="D585" s="88" t="s">
        <v>1720</v>
      </c>
      <c r="E585" s="88" t="s">
        <v>1844</v>
      </c>
      <c r="F585" s="88">
        <v>6.4</v>
      </c>
      <c r="G585" s="88">
        <v>870.0</v>
      </c>
      <c r="H585" s="92" t="s">
        <v>2412</v>
      </c>
      <c r="I585" s="28"/>
      <c r="J585" s="28"/>
    </row>
    <row r="586" ht="22.5" customHeight="1">
      <c r="A586" s="76" t="s">
        <v>2418</v>
      </c>
      <c r="B586" s="88" t="s">
        <v>1823</v>
      </c>
      <c r="C586" s="88" t="s">
        <v>2419</v>
      </c>
      <c r="D586" s="88" t="s">
        <v>2420</v>
      </c>
      <c r="E586" s="88" t="s">
        <v>105</v>
      </c>
      <c r="F586" s="88">
        <v>6.4</v>
      </c>
      <c r="G586" s="88">
        <v>505.0</v>
      </c>
      <c r="H586" s="92" t="s">
        <v>2421</v>
      </c>
      <c r="I586" s="28"/>
      <c r="J586" s="28"/>
    </row>
    <row r="587" ht="22.5" customHeight="1">
      <c r="A587" s="76" t="s">
        <v>2422</v>
      </c>
      <c r="B587" s="88" t="s">
        <v>1823</v>
      </c>
      <c r="C587" s="88" t="s">
        <v>2419</v>
      </c>
      <c r="D587" s="88" t="s">
        <v>2420</v>
      </c>
      <c r="E587" s="88" t="s">
        <v>103</v>
      </c>
      <c r="F587" s="88">
        <v>6.4</v>
      </c>
      <c r="G587" s="88">
        <v>505.0</v>
      </c>
      <c r="H587" s="92" t="s">
        <v>2421</v>
      </c>
      <c r="I587" s="28"/>
      <c r="J587" s="28"/>
    </row>
    <row r="588" ht="22.5" customHeight="1">
      <c r="A588" s="76" t="s">
        <v>2423</v>
      </c>
      <c r="B588" s="88" t="s">
        <v>1823</v>
      </c>
      <c r="C588" s="88" t="s">
        <v>2419</v>
      </c>
      <c r="D588" s="88" t="s">
        <v>2420</v>
      </c>
      <c r="E588" s="88" t="s">
        <v>1457</v>
      </c>
      <c r="F588" s="88">
        <v>6.4</v>
      </c>
      <c r="G588" s="88">
        <v>540.0</v>
      </c>
      <c r="H588" s="92" t="s">
        <v>2421</v>
      </c>
      <c r="I588" s="28"/>
      <c r="J588" s="28"/>
    </row>
    <row r="589" ht="22.5" customHeight="1">
      <c r="A589" s="76" t="s">
        <v>2424</v>
      </c>
      <c r="B589" s="88" t="s">
        <v>1823</v>
      </c>
      <c r="C589" s="88" t="s">
        <v>2419</v>
      </c>
      <c r="D589" s="88" t="s">
        <v>2420</v>
      </c>
      <c r="E589" s="88" t="s">
        <v>1830</v>
      </c>
      <c r="F589" s="88">
        <v>6.4</v>
      </c>
      <c r="G589" s="88">
        <v>540.0</v>
      </c>
      <c r="H589" s="92" t="s">
        <v>2421</v>
      </c>
      <c r="I589" s="28"/>
      <c r="J589" s="28"/>
    </row>
    <row r="590" ht="22.5" customHeight="1">
      <c r="A590" s="76" t="s">
        <v>2425</v>
      </c>
      <c r="B590" s="88" t="s">
        <v>1823</v>
      </c>
      <c r="C590" s="88" t="s">
        <v>2419</v>
      </c>
      <c r="D590" s="88" t="s">
        <v>2420</v>
      </c>
      <c r="E590" s="88" t="s">
        <v>497</v>
      </c>
      <c r="F590" s="88">
        <v>6.4</v>
      </c>
      <c r="G590" s="88">
        <v>800.0</v>
      </c>
      <c r="H590" s="92" t="s">
        <v>2421</v>
      </c>
      <c r="I590" s="28"/>
      <c r="J590" s="28"/>
    </row>
    <row r="591" ht="22.5" customHeight="1">
      <c r="A591" s="76" t="s">
        <v>2426</v>
      </c>
      <c r="B591" s="88" t="s">
        <v>1823</v>
      </c>
      <c r="C591" s="88" t="s">
        <v>2419</v>
      </c>
      <c r="D591" s="88" t="s">
        <v>2420</v>
      </c>
      <c r="E591" s="88" t="s">
        <v>1833</v>
      </c>
      <c r="F591" s="88">
        <v>6.4</v>
      </c>
      <c r="G591" s="88">
        <v>800.0</v>
      </c>
      <c r="H591" s="92" t="s">
        <v>2421</v>
      </c>
      <c r="I591" s="28"/>
      <c r="J591" s="28"/>
    </row>
    <row r="592" ht="22.5" customHeight="1">
      <c r="A592" s="76" t="s">
        <v>2427</v>
      </c>
      <c r="B592" s="88" t="s">
        <v>1823</v>
      </c>
      <c r="C592" s="88" t="s">
        <v>2419</v>
      </c>
      <c r="D592" s="88" t="s">
        <v>2420</v>
      </c>
      <c r="E592" s="88" t="s">
        <v>1844</v>
      </c>
      <c r="F592" s="88">
        <v>6.4</v>
      </c>
      <c r="G592" s="88">
        <v>800.0</v>
      </c>
      <c r="H592" s="92" t="s">
        <v>2421</v>
      </c>
      <c r="I592" s="28"/>
      <c r="J592" s="28"/>
    </row>
    <row r="593" ht="22.5" customHeight="1">
      <c r="A593" s="76" t="s">
        <v>2428</v>
      </c>
      <c r="B593" s="88" t="s">
        <v>1823</v>
      </c>
      <c r="C593" s="88" t="s">
        <v>2429</v>
      </c>
      <c r="D593" s="88" t="s">
        <v>2430</v>
      </c>
      <c r="E593" s="88" t="s">
        <v>105</v>
      </c>
      <c r="F593" s="88">
        <v>6.4</v>
      </c>
      <c r="G593" s="90">
        <v>1485.0</v>
      </c>
      <c r="H593" s="89" t="s">
        <v>2431</v>
      </c>
      <c r="I593" s="28"/>
      <c r="J593" s="28"/>
    </row>
    <row r="594" ht="22.5" customHeight="1">
      <c r="A594" s="76" t="s">
        <v>2432</v>
      </c>
      <c r="B594" s="88" t="s">
        <v>1823</v>
      </c>
      <c r="C594" s="88" t="s">
        <v>2429</v>
      </c>
      <c r="D594" s="88" t="s">
        <v>2430</v>
      </c>
      <c r="E594" s="88" t="s">
        <v>103</v>
      </c>
      <c r="F594" s="88">
        <v>6.4</v>
      </c>
      <c r="G594" s="90">
        <v>1485.0</v>
      </c>
      <c r="H594" s="89" t="s">
        <v>2431</v>
      </c>
      <c r="I594" s="28"/>
      <c r="J594" s="28"/>
    </row>
    <row r="595" ht="22.5" customHeight="1">
      <c r="A595" s="76" t="s">
        <v>2433</v>
      </c>
      <c r="B595" s="88" t="s">
        <v>1823</v>
      </c>
      <c r="C595" s="88" t="s">
        <v>2429</v>
      </c>
      <c r="D595" s="88" t="s">
        <v>2430</v>
      </c>
      <c r="E595" s="88" t="s">
        <v>1457</v>
      </c>
      <c r="F595" s="88">
        <v>6.4</v>
      </c>
      <c r="G595" s="90">
        <v>1595.0</v>
      </c>
      <c r="H595" s="89" t="s">
        <v>2431</v>
      </c>
      <c r="I595" s="28"/>
      <c r="J595" s="28"/>
    </row>
    <row r="596" ht="22.5" customHeight="1">
      <c r="A596" s="76" t="s">
        <v>2434</v>
      </c>
      <c r="B596" s="88" t="s">
        <v>1823</v>
      </c>
      <c r="C596" s="88" t="s">
        <v>2429</v>
      </c>
      <c r="D596" s="88" t="s">
        <v>2430</v>
      </c>
      <c r="E596" s="88" t="s">
        <v>1830</v>
      </c>
      <c r="F596" s="88">
        <v>6.4</v>
      </c>
      <c r="G596" s="90">
        <v>1595.0</v>
      </c>
      <c r="H596" s="89" t="s">
        <v>2431</v>
      </c>
      <c r="I596" s="28"/>
      <c r="J596" s="28"/>
    </row>
    <row r="597" ht="22.5" customHeight="1">
      <c r="A597" s="76" t="s">
        <v>2435</v>
      </c>
      <c r="B597" s="88" t="s">
        <v>1823</v>
      </c>
      <c r="C597" s="88" t="s">
        <v>2429</v>
      </c>
      <c r="D597" s="88" t="s">
        <v>2430</v>
      </c>
      <c r="E597" s="88" t="s">
        <v>497</v>
      </c>
      <c r="F597" s="88">
        <v>6.4</v>
      </c>
      <c r="G597" s="95">
        <v>2443.05</v>
      </c>
      <c r="H597" s="89" t="s">
        <v>2431</v>
      </c>
      <c r="I597" s="28"/>
      <c r="J597" s="28"/>
    </row>
    <row r="598" ht="22.5" customHeight="1">
      <c r="A598" s="76" t="s">
        <v>2436</v>
      </c>
      <c r="B598" s="88" t="s">
        <v>1823</v>
      </c>
      <c r="C598" s="88" t="s">
        <v>2429</v>
      </c>
      <c r="D598" s="88" t="s">
        <v>2430</v>
      </c>
      <c r="E598" s="88" t="s">
        <v>1833</v>
      </c>
      <c r="F598" s="88">
        <v>6.4</v>
      </c>
      <c r="G598" s="95">
        <v>2355.0</v>
      </c>
      <c r="H598" s="89" t="s">
        <v>2431</v>
      </c>
      <c r="I598" s="28"/>
      <c r="J598" s="28"/>
    </row>
    <row r="599" ht="22.5" customHeight="1">
      <c r="A599" s="76" t="s">
        <v>2437</v>
      </c>
      <c r="B599" s="88" t="s">
        <v>1823</v>
      </c>
      <c r="C599" s="88" t="s">
        <v>2429</v>
      </c>
      <c r="D599" s="88" t="s">
        <v>2430</v>
      </c>
      <c r="E599" s="88" t="s">
        <v>1844</v>
      </c>
      <c r="F599" s="88">
        <v>6.4</v>
      </c>
      <c r="G599" s="95">
        <v>2355.0</v>
      </c>
      <c r="H599" s="89" t="s">
        <v>2431</v>
      </c>
      <c r="I599" s="28"/>
      <c r="J599" s="28"/>
    </row>
    <row r="600" ht="22.5" customHeight="1">
      <c r="A600" s="76" t="s">
        <v>2438</v>
      </c>
      <c r="B600" s="88" t="s">
        <v>1823</v>
      </c>
      <c r="C600" s="88" t="s">
        <v>2439</v>
      </c>
      <c r="D600" s="88" t="s">
        <v>2440</v>
      </c>
      <c r="E600" s="88" t="s">
        <v>105</v>
      </c>
      <c r="F600" s="88">
        <v>6.4</v>
      </c>
      <c r="G600" s="88">
        <v>995.0</v>
      </c>
      <c r="H600" s="89" t="s">
        <v>2441</v>
      </c>
      <c r="I600" s="28"/>
      <c r="J600" s="28"/>
    </row>
    <row r="601" ht="22.5" customHeight="1">
      <c r="A601" s="76" t="s">
        <v>2442</v>
      </c>
      <c r="B601" s="88" t="s">
        <v>1823</v>
      </c>
      <c r="C601" s="88" t="s">
        <v>2439</v>
      </c>
      <c r="D601" s="88" t="s">
        <v>2440</v>
      </c>
      <c r="E601" s="88" t="s">
        <v>103</v>
      </c>
      <c r="F601" s="88">
        <v>6.4</v>
      </c>
      <c r="G601" s="88">
        <v>995.0</v>
      </c>
      <c r="H601" s="89" t="s">
        <v>2441</v>
      </c>
      <c r="I601" s="28"/>
      <c r="J601" s="28"/>
    </row>
    <row r="602" ht="22.5" customHeight="1">
      <c r="A602" s="76" t="s">
        <v>2443</v>
      </c>
      <c r="B602" s="88" t="s">
        <v>1823</v>
      </c>
      <c r="C602" s="88" t="s">
        <v>2439</v>
      </c>
      <c r="D602" s="88" t="s">
        <v>2440</v>
      </c>
      <c r="E602" s="88" t="s">
        <v>1457</v>
      </c>
      <c r="F602" s="88">
        <v>6.4</v>
      </c>
      <c r="G602" s="90">
        <v>1070.0</v>
      </c>
      <c r="H602" s="89" t="s">
        <v>2441</v>
      </c>
      <c r="I602" s="28"/>
      <c r="J602" s="28"/>
    </row>
    <row r="603" ht="22.5" customHeight="1">
      <c r="A603" s="76" t="s">
        <v>2444</v>
      </c>
      <c r="B603" s="88" t="s">
        <v>1823</v>
      </c>
      <c r="C603" s="88" t="s">
        <v>2439</v>
      </c>
      <c r="D603" s="88" t="s">
        <v>2440</v>
      </c>
      <c r="E603" s="88" t="s">
        <v>1830</v>
      </c>
      <c r="F603" s="88">
        <v>6.4</v>
      </c>
      <c r="G603" s="90">
        <v>1070.0</v>
      </c>
      <c r="H603" s="89" t="s">
        <v>2441</v>
      </c>
      <c r="I603" s="28"/>
      <c r="J603" s="28"/>
    </row>
    <row r="604" ht="22.5" customHeight="1">
      <c r="A604" s="76" t="s">
        <v>2445</v>
      </c>
      <c r="B604" s="88" t="s">
        <v>1823</v>
      </c>
      <c r="C604" s="88" t="s">
        <v>2439</v>
      </c>
      <c r="D604" s="88" t="s">
        <v>2440</v>
      </c>
      <c r="E604" s="88" t="s">
        <v>497</v>
      </c>
      <c r="F604" s="88">
        <v>6.4</v>
      </c>
      <c r="G604" s="90">
        <v>1580.0</v>
      </c>
      <c r="H604" s="89" t="s">
        <v>2441</v>
      </c>
      <c r="I604" s="26">
        <v>2.0</v>
      </c>
      <c r="J604" s="28"/>
    </row>
    <row r="605" ht="22.5" customHeight="1">
      <c r="A605" s="76" t="s">
        <v>2446</v>
      </c>
      <c r="B605" s="88" t="s">
        <v>1823</v>
      </c>
      <c r="C605" s="88" t="s">
        <v>2439</v>
      </c>
      <c r="D605" s="88" t="s">
        <v>2440</v>
      </c>
      <c r="E605" s="88" t="s">
        <v>1833</v>
      </c>
      <c r="F605" s="88">
        <v>6.4</v>
      </c>
      <c r="G605" s="90">
        <v>1580.0</v>
      </c>
      <c r="H605" s="89" t="s">
        <v>2441</v>
      </c>
      <c r="I605" s="28"/>
      <c r="J605" s="28"/>
    </row>
    <row r="606" ht="22.5" customHeight="1">
      <c r="A606" s="76" t="s">
        <v>2447</v>
      </c>
      <c r="B606" s="88" t="s">
        <v>1823</v>
      </c>
      <c r="C606" s="88" t="s">
        <v>2439</v>
      </c>
      <c r="D606" s="88" t="s">
        <v>2440</v>
      </c>
      <c r="E606" s="88" t="s">
        <v>1844</v>
      </c>
      <c r="F606" s="88">
        <v>6.4</v>
      </c>
      <c r="G606" s="90">
        <v>1580.0</v>
      </c>
      <c r="H606" s="89" t="s">
        <v>2441</v>
      </c>
      <c r="I606" s="28"/>
      <c r="J606" s="28"/>
    </row>
    <row r="607" ht="22.5" customHeight="1">
      <c r="A607" s="76" t="s">
        <v>2448</v>
      </c>
      <c r="B607" s="88" t="s">
        <v>1823</v>
      </c>
      <c r="C607" s="88" t="s">
        <v>2449</v>
      </c>
      <c r="D607" s="88" t="s">
        <v>2450</v>
      </c>
      <c r="E607" s="88" t="s">
        <v>105</v>
      </c>
      <c r="F607" s="88">
        <v>6.4</v>
      </c>
      <c r="G607" s="88">
        <v>230.0</v>
      </c>
      <c r="H607" s="89" t="s">
        <v>2451</v>
      </c>
      <c r="I607" s="28"/>
      <c r="J607" s="28"/>
    </row>
    <row r="608" ht="22.5" customHeight="1">
      <c r="A608" s="76" t="s">
        <v>2452</v>
      </c>
      <c r="B608" s="88" t="s">
        <v>1823</v>
      </c>
      <c r="C608" s="88" t="s">
        <v>2449</v>
      </c>
      <c r="D608" s="88" t="s">
        <v>2450</v>
      </c>
      <c r="E608" s="88" t="s">
        <v>103</v>
      </c>
      <c r="F608" s="88">
        <v>6.4</v>
      </c>
      <c r="G608" s="88">
        <v>230.0</v>
      </c>
      <c r="H608" s="89" t="s">
        <v>2451</v>
      </c>
      <c r="I608" s="28"/>
      <c r="J608" s="28"/>
    </row>
    <row r="609" ht="22.5" customHeight="1">
      <c r="A609" s="76" t="s">
        <v>2453</v>
      </c>
      <c r="B609" s="88" t="s">
        <v>1823</v>
      </c>
      <c r="C609" s="88" t="s">
        <v>2449</v>
      </c>
      <c r="D609" s="88" t="s">
        <v>2450</v>
      </c>
      <c r="E609" s="88" t="s">
        <v>1457</v>
      </c>
      <c r="F609" s="88">
        <v>6.4</v>
      </c>
      <c r="G609" s="88">
        <v>245.0</v>
      </c>
      <c r="H609" s="89" t="s">
        <v>2451</v>
      </c>
      <c r="I609" s="28"/>
      <c r="J609" s="28"/>
    </row>
    <row r="610" ht="22.5" customHeight="1">
      <c r="A610" s="76" t="s">
        <v>2454</v>
      </c>
      <c r="B610" s="88" t="s">
        <v>1823</v>
      </c>
      <c r="C610" s="88" t="s">
        <v>2449</v>
      </c>
      <c r="D610" s="88" t="s">
        <v>2450</v>
      </c>
      <c r="E610" s="88" t="s">
        <v>1830</v>
      </c>
      <c r="F610" s="88">
        <v>6.4</v>
      </c>
      <c r="G610" s="88">
        <v>245.0</v>
      </c>
      <c r="H610" s="89" t="s">
        <v>2451</v>
      </c>
      <c r="I610" s="28"/>
      <c r="J610" s="28"/>
    </row>
    <row r="611" ht="22.5" customHeight="1">
      <c r="A611" s="76" t="s">
        <v>2455</v>
      </c>
      <c r="B611" s="88" t="s">
        <v>1823</v>
      </c>
      <c r="C611" s="88" t="s">
        <v>2449</v>
      </c>
      <c r="D611" s="88" t="s">
        <v>2450</v>
      </c>
      <c r="E611" s="88" t="s">
        <v>497</v>
      </c>
      <c r="F611" s="88">
        <v>6.4</v>
      </c>
      <c r="G611" s="88">
        <v>365.0</v>
      </c>
      <c r="H611" s="89" t="s">
        <v>2451</v>
      </c>
      <c r="I611" s="28"/>
      <c r="J611" s="28"/>
    </row>
    <row r="612" ht="22.5" customHeight="1">
      <c r="A612" s="76" t="s">
        <v>2456</v>
      </c>
      <c r="B612" s="88" t="s">
        <v>1823</v>
      </c>
      <c r="C612" s="88" t="s">
        <v>2449</v>
      </c>
      <c r="D612" s="88" t="s">
        <v>2450</v>
      </c>
      <c r="E612" s="88" t="s">
        <v>1833</v>
      </c>
      <c r="F612" s="88">
        <v>6.4</v>
      </c>
      <c r="G612" s="88">
        <v>365.0</v>
      </c>
      <c r="H612" s="89" t="s">
        <v>2451</v>
      </c>
      <c r="I612" s="28"/>
      <c r="J612" s="28"/>
    </row>
    <row r="613" ht="22.5" customHeight="1">
      <c r="A613" s="76" t="s">
        <v>2457</v>
      </c>
      <c r="B613" s="88" t="s">
        <v>1823</v>
      </c>
      <c r="C613" s="88" t="s">
        <v>2449</v>
      </c>
      <c r="D613" s="88" t="s">
        <v>2450</v>
      </c>
      <c r="E613" s="88" t="s">
        <v>1844</v>
      </c>
      <c r="F613" s="88">
        <v>6.4</v>
      </c>
      <c r="G613" s="88">
        <v>365.0</v>
      </c>
      <c r="H613" s="89" t="s">
        <v>2451</v>
      </c>
      <c r="I613" s="28"/>
      <c r="J613" s="28"/>
    </row>
    <row r="614" ht="22.5" customHeight="1">
      <c r="A614" s="76" t="s">
        <v>2458</v>
      </c>
      <c r="B614" s="88" t="s">
        <v>1823</v>
      </c>
      <c r="C614" s="88" t="s">
        <v>2459</v>
      </c>
      <c r="D614" s="88" t="s">
        <v>2460</v>
      </c>
      <c r="E614" s="88" t="s">
        <v>105</v>
      </c>
      <c r="F614" s="88">
        <v>6.4</v>
      </c>
      <c r="G614" s="88">
        <v>260.0</v>
      </c>
      <c r="H614" s="89" t="s">
        <v>2461</v>
      </c>
      <c r="I614" s="28"/>
      <c r="J614" s="28"/>
    </row>
    <row r="615" ht="22.5" customHeight="1">
      <c r="A615" s="76" t="s">
        <v>2462</v>
      </c>
      <c r="B615" s="88" t="s">
        <v>1823</v>
      </c>
      <c r="C615" s="88" t="s">
        <v>2459</v>
      </c>
      <c r="D615" s="88" t="s">
        <v>2460</v>
      </c>
      <c r="E615" s="88" t="s">
        <v>103</v>
      </c>
      <c r="F615" s="88">
        <v>6.4</v>
      </c>
      <c r="G615" s="88">
        <v>260.0</v>
      </c>
      <c r="H615" s="89" t="s">
        <v>2461</v>
      </c>
      <c r="I615" s="28"/>
      <c r="J615" s="28"/>
    </row>
    <row r="616" ht="22.5" customHeight="1">
      <c r="A616" s="76" t="s">
        <v>2463</v>
      </c>
      <c r="B616" s="88" t="s">
        <v>1823</v>
      </c>
      <c r="C616" s="88" t="s">
        <v>2459</v>
      </c>
      <c r="D616" s="88" t="s">
        <v>2460</v>
      </c>
      <c r="E616" s="88" t="s">
        <v>1457</v>
      </c>
      <c r="F616" s="88">
        <v>6.4</v>
      </c>
      <c r="G616" s="88">
        <v>280.0</v>
      </c>
      <c r="H616" s="89" t="s">
        <v>2461</v>
      </c>
      <c r="I616" s="28"/>
      <c r="J616" s="28"/>
    </row>
    <row r="617" ht="22.5" customHeight="1">
      <c r="A617" s="76" t="s">
        <v>2464</v>
      </c>
      <c r="B617" s="88" t="s">
        <v>1823</v>
      </c>
      <c r="C617" s="88" t="s">
        <v>2459</v>
      </c>
      <c r="D617" s="88" t="s">
        <v>2460</v>
      </c>
      <c r="E617" s="88" t="s">
        <v>1830</v>
      </c>
      <c r="F617" s="88">
        <v>6.4</v>
      </c>
      <c r="G617" s="88">
        <v>280.0</v>
      </c>
      <c r="H617" s="89" t="s">
        <v>2461</v>
      </c>
      <c r="I617" s="28"/>
      <c r="J617" s="28"/>
    </row>
    <row r="618" ht="22.5" customHeight="1">
      <c r="A618" s="76" t="s">
        <v>2465</v>
      </c>
      <c r="B618" s="88" t="s">
        <v>1823</v>
      </c>
      <c r="C618" s="88" t="s">
        <v>2459</v>
      </c>
      <c r="D618" s="88" t="s">
        <v>2460</v>
      </c>
      <c r="E618" s="88" t="s">
        <v>497</v>
      </c>
      <c r="F618" s="88">
        <v>6.4</v>
      </c>
      <c r="G618" s="88">
        <v>415.0</v>
      </c>
      <c r="H618" s="89" t="s">
        <v>2461</v>
      </c>
      <c r="I618" s="28"/>
      <c r="J618" s="28"/>
    </row>
    <row r="619" ht="22.5" customHeight="1">
      <c r="A619" s="76" t="s">
        <v>2466</v>
      </c>
      <c r="B619" s="88" t="s">
        <v>1823</v>
      </c>
      <c r="C619" s="88" t="s">
        <v>2459</v>
      </c>
      <c r="D619" s="88" t="s">
        <v>2460</v>
      </c>
      <c r="E619" s="88" t="s">
        <v>1833</v>
      </c>
      <c r="F619" s="88">
        <v>6.4</v>
      </c>
      <c r="G619" s="88">
        <v>415.0</v>
      </c>
      <c r="H619" s="89" t="s">
        <v>2461</v>
      </c>
      <c r="I619" s="28"/>
      <c r="J619" s="28"/>
    </row>
    <row r="620" ht="22.5" customHeight="1">
      <c r="A620" s="76" t="s">
        <v>2467</v>
      </c>
      <c r="B620" s="88" t="s">
        <v>1823</v>
      </c>
      <c r="C620" s="88" t="s">
        <v>2459</v>
      </c>
      <c r="D620" s="88" t="s">
        <v>2460</v>
      </c>
      <c r="E620" s="88" t="s">
        <v>1844</v>
      </c>
      <c r="F620" s="88">
        <v>6.4</v>
      </c>
      <c r="G620" s="88">
        <v>415.0</v>
      </c>
      <c r="H620" s="89" t="s">
        <v>2461</v>
      </c>
      <c r="I620" s="28"/>
      <c r="J620" s="28"/>
    </row>
    <row r="621" ht="22.5" customHeight="1">
      <c r="A621" s="76" t="s">
        <v>2468</v>
      </c>
      <c r="B621" s="88" t="s">
        <v>1823</v>
      </c>
      <c r="C621" s="88" t="s">
        <v>2469</v>
      </c>
      <c r="D621" s="88" t="s">
        <v>2470</v>
      </c>
      <c r="E621" s="88" t="s">
        <v>105</v>
      </c>
      <c r="F621" s="88">
        <v>6.4</v>
      </c>
      <c r="G621" s="90">
        <v>3140.0</v>
      </c>
      <c r="H621" s="89" t="s">
        <v>2332</v>
      </c>
      <c r="I621" s="28"/>
      <c r="J621" s="28"/>
    </row>
    <row r="622" ht="22.5" customHeight="1">
      <c r="A622" s="76" t="s">
        <v>2471</v>
      </c>
      <c r="B622" s="88" t="s">
        <v>1823</v>
      </c>
      <c r="C622" s="88" t="s">
        <v>2469</v>
      </c>
      <c r="D622" s="88" t="s">
        <v>2470</v>
      </c>
      <c r="E622" s="88" t="s">
        <v>103</v>
      </c>
      <c r="F622" s="88">
        <v>6.4</v>
      </c>
      <c r="G622" s="90">
        <v>3140.0</v>
      </c>
      <c r="H622" s="89" t="s">
        <v>2332</v>
      </c>
      <c r="I622" s="28"/>
      <c r="J622" s="28"/>
    </row>
    <row r="623" ht="22.5" customHeight="1">
      <c r="A623" s="76" t="s">
        <v>2472</v>
      </c>
      <c r="B623" s="88" t="s">
        <v>1823</v>
      </c>
      <c r="C623" s="88" t="s">
        <v>2469</v>
      </c>
      <c r="D623" s="88" t="s">
        <v>2470</v>
      </c>
      <c r="E623" s="88" t="s">
        <v>1457</v>
      </c>
      <c r="F623" s="88">
        <v>6.4</v>
      </c>
      <c r="G623" s="90">
        <v>3370.0</v>
      </c>
      <c r="H623" s="89" t="s">
        <v>2332</v>
      </c>
      <c r="I623" s="28"/>
      <c r="J623" s="28"/>
    </row>
    <row r="624" ht="22.5" customHeight="1">
      <c r="A624" s="76" t="s">
        <v>2473</v>
      </c>
      <c r="B624" s="88" t="s">
        <v>1823</v>
      </c>
      <c r="C624" s="88" t="s">
        <v>2469</v>
      </c>
      <c r="D624" s="88" t="s">
        <v>2470</v>
      </c>
      <c r="E624" s="88" t="s">
        <v>1830</v>
      </c>
      <c r="F624" s="88">
        <v>6.4</v>
      </c>
      <c r="G624" s="90">
        <v>3370.0</v>
      </c>
      <c r="H624" s="89" t="s">
        <v>2332</v>
      </c>
      <c r="I624" s="28"/>
      <c r="J624" s="28"/>
    </row>
    <row r="625" ht="22.5" customHeight="1">
      <c r="A625" s="76" t="s">
        <v>2474</v>
      </c>
      <c r="B625" s="88" t="s">
        <v>1823</v>
      </c>
      <c r="C625" s="88" t="s">
        <v>2469</v>
      </c>
      <c r="D625" s="88" t="s">
        <v>2470</v>
      </c>
      <c r="E625" s="88" t="s">
        <v>497</v>
      </c>
      <c r="F625" s="88">
        <v>6.4</v>
      </c>
      <c r="G625" s="90">
        <v>4980.0</v>
      </c>
      <c r="H625" s="89" t="s">
        <v>2332</v>
      </c>
      <c r="I625" s="28"/>
      <c r="J625" s="28"/>
    </row>
    <row r="626" ht="22.5" customHeight="1">
      <c r="A626" s="76" t="s">
        <v>2475</v>
      </c>
      <c r="B626" s="88" t="s">
        <v>1823</v>
      </c>
      <c r="C626" s="88" t="s">
        <v>2469</v>
      </c>
      <c r="D626" s="88" t="s">
        <v>2470</v>
      </c>
      <c r="E626" s="88" t="s">
        <v>1833</v>
      </c>
      <c r="F626" s="88">
        <v>6.4</v>
      </c>
      <c r="G626" s="90">
        <v>4980.0</v>
      </c>
      <c r="H626" s="89" t="s">
        <v>2332</v>
      </c>
      <c r="I626" s="28"/>
      <c r="J626" s="28"/>
    </row>
    <row r="627" ht="22.5" customHeight="1">
      <c r="A627" s="76" t="s">
        <v>2476</v>
      </c>
      <c r="B627" s="88" t="s">
        <v>1823</v>
      </c>
      <c r="C627" s="88" t="s">
        <v>2469</v>
      </c>
      <c r="D627" s="88" t="s">
        <v>2470</v>
      </c>
      <c r="E627" s="88" t="s">
        <v>1844</v>
      </c>
      <c r="F627" s="88">
        <v>6.4</v>
      </c>
      <c r="G627" s="90">
        <v>4980.0</v>
      </c>
      <c r="H627" s="89" t="s">
        <v>2332</v>
      </c>
      <c r="I627" s="28"/>
      <c r="J627" s="28"/>
    </row>
    <row r="628" ht="22.5" customHeight="1">
      <c r="A628" s="76" t="s">
        <v>2477</v>
      </c>
      <c r="B628" s="88" t="s">
        <v>1823</v>
      </c>
      <c r="C628" s="88" t="s">
        <v>2478</v>
      </c>
      <c r="D628" s="88" t="s">
        <v>1708</v>
      </c>
      <c r="E628" s="88" t="s">
        <v>105</v>
      </c>
      <c r="F628" s="88">
        <v>6.4</v>
      </c>
      <c r="G628" s="90">
        <v>1730.0</v>
      </c>
      <c r="H628" s="89" t="s">
        <v>1837</v>
      </c>
      <c r="I628" s="28"/>
      <c r="J628" s="28"/>
    </row>
    <row r="629" ht="22.5" customHeight="1">
      <c r="A629" s="76" t="s">
        <v>2479</v>
      </c>
      <c r="B629" s="88" t="s">
        <v>1823</v>
      </c>
      <c r="C629" s="88" t="s">
        <v>2478</v>
      </c>
      <c r="D629" s="88" t="s">
        <v>1708</v>
      </c>
      <c r="E629" s="88" t="s">
        <v>103</v>
      </c>
      <c r="F629" s="88">
        <v>6.4</v>
      </c>
      <c r="G629" s="90">
        <v>1730.0</v>
      </c>
      <c r="H629" s="89" t="s">
        <v>1837</v>
      </c>
      <c r="I629" s="28"/>
      <c r="J629" s="28"/>
    </row>
    <row r="630" ht="22.5" customHeight="1">
      <c r="A630" s="76" t="s">
        <v>2480</v>
      </c>
      <c r="B630" s="88" t="s">
        <v>1823</v>
      </c>
      <c r="C630" s="88" t="s">
        <v>2478</v>
      </c>
      <c r="D630" s="88" t="s">
        <v>1708</v>
      </c>
      <c r="E630" s="88" t="s">
        <v>1457</v>
      </c>
      <c r="F630" s="88">
        <v>6.4</v>
      </c>
      <c r="G630" s="90">
        <v>1860.0</v>
      </c>
      <c r="H630" s="89" t="s">
        <v>1837</v>
      </c>
      <c r="I630" s="28"/>
      <c r="J630" s="28"/>
    </row>
    <row r="631" ht="22.5" customHeight="1">
      <c r="A631" s="76" t="s">
        <v>2481</v>
      </c>
      <c r="B631" s="88" t="s">
        <v>1823</v>
      </c>
      <c r="C631" s="88" t="s">
        <v>2478</v>
      </c>
      <c r="D631" s="88" t="s">
        <v>1708</v>
      </c>
      <c r="E631" s="88" t="s">
        <v>1830</v>
      </c>
      <c r="F631" s="88">
        <v>6.4</v>
      </c>
      <c r="G631" s="90">
        <v>1860.0</v>
      </c>
      <c r="H631" s="89" t="s">
        <v>1837</v>
      </c>
      <c r="I631" s="28"/>
      <c r="J631" s="28"/>
    </row>
    <row r="632" ht="22.5" customHeight="1">
      <c r="A632" s="76" t="s">
        <v>2482</v>
      </c>
      <c r="B632" s="88" t="s">
        <v>1823</v>
      </c>
      <c r="C632" s="88" t="s">
        <v>2478</v>
      </c>
      <c r="D632" s="88" t="s">
        <v>1708</v>
      </c>
      <c r="E632" s="88" t="s">
        <v>497</v>
      </c>
      <c r="F632" s="88">
        <v>6.4</v>
      </c>
      <c r="G632" s="90">
        <v>2745.0</v>
      </c>
      <c r="H632" s="89" t="s">
        <v>1837</v>
      </c>
      <c r="I632" s="28"/>
      <c r="J632" s="28"/>
    </row>
    <row r="633" ht="22.5" customHeight="1">
      <c r="A633" s="76" t="s">
        <v>2483</v>
      </c>
      <c r="B633" s="88" t="s">
        <v>1823</v>
      </c>
      <c r="C633" s="88" t="s">
        <v>2478</v>
      </c>
      <c r="D633" s="88" t="s">
        <v>1708</v>
      </c>
      <c r="E633" s="88" t="s">
        <v>1833</v>
      </c>
      <c r="F633" s="88">
        <v>6.4</v>
      </c>
      <c r="G633" s="90">
        <v>2745.0</v>
      </c>
      <c r="H633" s="89" t="s">
        <v>1837</v>
      </c>
      <c r="I633" s="28"/>
      <c r="J633" s="28"/>
    </row>
    <row r="634" ht="22.5" customHeight="1">
      <c r="A634" s="76" t="s">
        <v>2484</v>
      </c>
      <c r="B634" s="88" t="s">
        <v>1823</v>
      </c>
      <c r="C634" s="88" t="s">
        <v>2478</v>
      </c>
      <c r="D634" s="88" t="s">
        <v>1708</v>
      </c>
      <c r="E634" s="88" t="s">
        <v>1844</v>
      </c>
      <c r="F634" s="88">
        <v>6.4</v>
      </c>
      <c r="G634" s="90">
        <v>2745.0</v>
      </c>
      <c r="H634" s="89" t="s">
        <v>1837</v>
      </c>
      <c r="I634" s="28"/>
      <c r="J634" s="28"/>
    </row>
    <row r="635" ht="22.5" customHeight="1">
      <c r="A635" s="76" t="s">
        <v>2485</v>
      </c>
      <c r="B635" s="88" t="s">
        <v>1823</v>
      </c>
      <c r="C635" s="88" t="s">
        <v>2486</v>
      </c>
      <c r="D635" s="88" t="s">
        <v>1732</v>
      </c>
      <c r="E635" s="88" t="s">
        <v>105</v>
      </c>
      <c r="F635" s="88">
        <v>6.4</v>
      </c>
      <c r="G635" s="90">
        <v>1065.0</v>
      </c>
      <c r="H635" s="89" t="s">
        <v>2487</v>
      </c>
      <c r="I635" s="28"/>
      <c r="J635" s="28"/>
    </row>
    <row r="636" ht="22.5" customHeight="1">
      <c r="A636" s="76" t="s">
        <v>2488</v>
      </c>
      <c r="B636" s="88" t="s">
        <v>1823</v>
      </c>
      <c r="C636" s="88" t="s">
        <v>2486</v>
      </c>
      <c r="D636" s="88" t="s">
        <v>1732</v>
      </c>
      <c r="E636" s="88" t="s">
        <v>103</v>
      </c>
      <c r="F636" s="88">
        <v>6.4</v>
      </c>
      <c r="G636" s="90">
        <v>1065.0</v>
      </c>
      <c r="H636" s="89" t="s">
        <v>2487</v>
      </c>
      <c r="I636" s="28"/>
      <c r="J636" s="28"/>
    </row>
    <row r="637" ht="22.5" customHeight="1">
      <c r="A637" s="76" t="s">
        <v>2489</v>
      </c>
      <c r="B637" s="88" t="s">
        <v>1823</v>
      </c>
      <c r="C637" s="88" t="s">
        <v>2486</v>
      </c>
      <c r="D637" s="88" t="s">
        <v>1732</v>
      </c>
      <c r="E637" s="88" t="s">
        <v>1457</v>
      </c>
      <c r="F637" s="88">
        <v>6.4</v>
      </c>
      <c r="G637" s="90">
        <v>1140.0</v>
      </c>
      <c r="H637" s="89" t="s">
        <v>2487</v>
      </c>
      <c r="I637" s="28"/>
      <c r="J637" s="28"/>
    </row>
    <row r="638" ht="22.5" customHeight="1">
      <c r="A638" s="76" t="s">
        <v>2490</v>
      </c>
      <c r="B638" s="88" t="s">
        <v>1823</v>
      </c>
      <c r="C638" s="88" t="s">
        <v>2486</v>
      </c>
      <c r="D638" s="88" t="s">
        <v>1732</v>
      </c>
      <c r="E638" s="88" t="s">
        <v>1830</v>
      </c>
      <c r="F638" s="88">
        <v>6.4</v>
      </c>
      <c r="G638" s="90">
        <v>1140.0</v>
      </c>
      <c r="H638" s="89" t="s">
        <v>2487</v>
      </c>
      <c r="I638" s="28"/>
      <c r="J638" s="28"/>
    </row>
    <row r="639" ht="22.5" customHeight="1">
      <c r="A639" s="76" t="s">
        <v>2491</v>
      </c>
      <c r="B639" s="88" t="s">
        <v>1823</v>
      </c>
      <c r="C639" s="88" t="s">
        <v>2486</v>
      </c>
      <c r="D639" s="88" t="s">
        <v>1732</v>
      </c>
      <c r="E639" s="88" t="s">
        <v>497</v>
      </c>
      <c r="F639" s="88">
        <v>6.4</v>
      </c>
      <c r="G639" s="90">
        <v>1685.0</v>
      </c>
      <c r="H639" s="89" t="s">
        <v>2487</v>
      </c>
      <c r="I639" s="28"/>
      <c r="J639" s="28"/>
    </row>
    <row r="640" ht="22.5" customHeight="1">
      <c r="A640" s="76" t="s">
        <v>2492</v>
      </c>
      <c r="B640" s="88" t="s">
        <v>1823</v>
      </c>
      <c r="C640" s="88" t="s">
        <v>2486</v>
      </c>
      <c r="D640" s="88" t="s">
        <v>1732</v>
      </c>
      <c r="E640" s="88" t="s">
        <v>1833</v>
      </c>
      <c r="F640" s="88">
        <v>6.4</v>
      </c>
      <c r="G640" s="90">
        <v>1685.0</v>
      </c>
      <c r="H640" s="89" t="s">
        <v>2487</v>
      </c>
      <c r="I640" s="28"/>
      <c r="J640" s="28"/>
    </row>
    <row r="641" ht="22.5" customHeight="1">
      <c r="A641" s="76" t="s">
        <v>2493</v>
      </c>
      <c r="B641" s="88" t="s">
        <v>1823</v>
      </c>
      <c r="C641" s="88" t="s">
        <v>2486</v>
      </c>
      <c r="D641" s="88" t="s">
        <v>1732</v>
      </c>
      <c r="E641" s="88" t="s">
        <v>1844</v>
      </c>
      <c r="F641" s="88">
        <v>6.4</v>
      </c>
      <c r="G641" s="90">
        <v>1685.0</v>
      </c>
      <c r="H641" s="89" t="s">
        <v>2487</v>
      </c>
      <c r="I641" s="28"/>
      <c r="J641" s="28"/>
    </row>
    <row r="642" ht="22.5" customHeight="1">
      <c r="A642" s="76" t="s">
        <v>2494</v>
      </c>
      <c r="B642" s="88" t="s">
        <v>1823</v>
      </c>
      <c r="C642" s="88" t="s">
        <v>2495</v>
      </c>
      <c r="D642" s="88" t="s">
        <v>2496</v>
      </c>
      <c r="E642" s="88" t="s">
        <v>105</v>
      </c>
      <c r="F642" s="88">
        <v>6.4</v>
      </c>
      <c r="G642" s="90">
        <v>1670.0</v>
      </c>
      <c r="H642" s="89" t="s">
        <v>2497</v>
      </c>
      <c r="I642" s="28"/>
      <c r="J642" s="28"/>
    </row>
    <row r="643" ht="22.5" customHeight="1">
      <c r="A643" s="76" t="s">
        <v>2498</v>
      </c>
      <c r="B643" s="88" t="s">
        <v>1823</v>
      </c>
      <c r="C643" s="88" t="s">
        <v>2495</v>
      </c>
      <c r="D643" s="88" t="s">
        <v>2496</v>
      </c>
      <c r="E643" s="88" t="s">
        <v>103</v>
      </c>
      <c r="F643" s="88">
        <v>6.4</v>
      </c>
      <c r="G643" s="90">
        <v>1670.0</v>
      </c>
      <c r="H643" s="89" t="s">
        <v>2497</v>
      </c>
      <c r="I643" s="28"/>
      <c r="J643" s="28"/>
    </row>
    <row r="644" ht="22.5" customHeight="1">
      <c r="A644" s="76" t="s">
        <v>2499</v>
      </c>
      <c r="B644" s="88" t="s">
        <v>1823</v>
      </c>
      <c r="C644" s="88" t="s">
        <v>2495</v>
      </c>
      <c r="D644" s="88" t="s">
        <v>2496</v>
      </c>
      <c r="E644" s="88" t="s">
        <v>1457</v>
      </c>
      <c r="F644" s="88">
        <v>6.4</v>
      </c>
      <c r="G644" s="90">
        <v>1795.0</v>
      </c>
      <c r="H644" s="89" t="s">
        <v>2497</v>
      </c>
      <c r="I644" s="28"/>
      <c r="J644" s="28"/>
    </row>
    <row r="645" ht="22.5" customHeight="1">
      <c r="A645" s="76" t="s">
        <v>2500</v>
      </c>
      <c r="B645" s="88" t="s">
        <v>1823</v>
      </c>
      <c r="C645" s="88" t="s">
        <v>2495</v>
      </c>
      <c r="D645" s="88" t="s">
        <v>2496</v>
      </c>
      <c r="E645" s="88" t="s">
        <v>1830</v>
      </c>
      <c r="F645" s="88">
        <v>6.4</v>
      </c>
      <c r="G645" s="90">
        <v>1795.0</v>
      </c>
      <c r="H645" s="89" t="s">
        <v>2497</v>
      </c>
      <c r="I645" s="28"/>
      <c r="J645" s="28"/>
    </row>
    <row r="646" ht="22.5" customHeight="1">
      <c r="A646" s="76" t="s">
        <v>2501</v>
      </c>
      <c r="B646" s="88" t="s">
        <v>1823</v>
      </c>
      <c r="C646" s="88" t="s">
        <v>2495</v>
      </c>
      <c r="D646" s="88" t="s">
        <v>2496</v>
      </c>
      <c r="E646" s="88" t="s">
        <v>497</v>
      </c>
      <c r="F646" s="88">
        <v>6.4</v>
      </c>
      <c r="G646" s="90">
        <v>2650.0</v>
      </c>
      <c r="H646" s="89" t="s">
        <v>2497</v>
      </c>
      <c r="I646" s="28"/>
      <c r="J646" s="28"/>
    </row>
    <row r="647" ht="22.5" customHeight="1">
      <c r="A647" s="76" t="s">
        <v>2502</v>
      </c>
      <c r="B647" s="88" t="s">
        <v>1823</v>
      </c>
      <c r="C647" s="88" t="s">
        <v>2495</v>
      </c>
      <c r="D647" s="88" t="s">
        <v>2496</v>
      </c>
      <c r="E647" s="88" t="s">
        <v>1833</v>
      </c>
      <c r="F647" s="88">
        <v>6.4</v>
      </c>
      <c r="G647" s="90">
        <v>2650.0</v>
      </c>
      <c r="H647" s="89" t="s">
        <v>2497</v>
      </c>
      <c r="I647" s="28"/>
      <c r="J647" s="28"/>
    </row>
    <row r="648" ht="22.5" customHeight="1">
      <c r="A648" s="76" t="s">
        <v>2503</v>
      </c>
      <c r="B648" s="88" t="s">
        <v>1823</v>
      </c>
      <c r="C648" s="88" t="s">
        <v>2495</v>
      </c>
      <c r="D648" s="88" t="s">
        <v>2496</v>
      </c>
      <c r="E648" s="88" t="s">
        <v>1844</v>
      </c>
      <c r="F648" s="88">
        <v>6.4</v>
      </c>
      <c r="G648" s="90">
        <v>2650.0</v>
      </c>
      <c r="H648" s="89" t="s">
        <v>2497</v>
      </c>
      <c r="I648" s="28"/>
      <c r="J648" s="28"/>
    </row>
    <row r="649" ht="22.5" customHeight="1">
      <c r="A649" s="76" t="s">
        <v>2504</v>
      </c>
      <c r="B649" s="88" t="s">
        <v>1823</v>
      </c>
      <c r="C649" s="88" t="s">
        <v>2154</v>
      </c>
      <c r="D649" s="88" t="s">
        <v>2505</v>
      </c>
      <c r="E649" s="88" t="s">
        <v>105</v>
      </c>
      <c r="F649" s="88">
        <v>6.4</v>
      </c>
      <c r="G649" s="88">
        <v>160.0</v>
      </c>
      <c r="H649" s="89" t="s">
        <v>2155</v>
      </c>
      <c r="I649" s="28"/>
      <c r="J649" s="28"/>
    </row>
    <row r="650" ht="22.5" customHeight="1">
      <c r="A650" s="76" t="s">
        <v>2506</v>
      </c>
      <c r="B650" s="88" t="s">
        <v>1823</v>
      </c>
      <c r="C650" s="88" t="s">
        <v>2154</v>
      </c>
      <c r="D650" s="88" t="s">
        <v>2505</v>
      </c>
      <c r="E650" s="88" t="s">
        <v>103</v>
      </c>
      <c r="F650" s="88">
        <v>6.4</v>
      </c>
      <c r="G650" s="88">
        <v>160.0</v>
      </c>
      <c r="H650" s="89" t="s">
        <v>2155</v>
      </c>
      <c r="I650" s="28"/>
      <c r="J650" s="28"/>
    </row>
    <row r="651" ht="22.5" customHeight="1">
      <c r="A651" s="76" t="s">
        <v>2507</v>
      </c>
      <c r="B651" s="88" t="s">
        <v>1823</v>
      </c>
      <c r="C651" s="88" t="s">
        <v>2154</v>
      </c>
      <c r="D651" s="88" t="s">
        <v>2505</v>
      </c>
      <c r="E651" s="88" t="s">
        <v>1457</v>
      </c>
      <c r="F651" s="88">
        <v>6.4</v>
      </c>
      <c r="G651" s="88">
        <v>170.0</v>
      </c>
      <c r="H651" s="89" t="s">
        <v>2155</v>
      </c>
      <c r="I651" s="28"/>
      <c r="J651" s="28"/>
    </row>
    <row r="652" ht="22.5" customHeight="1">
      <c r="A652" s="76" t="s">
        <v>2508</v>
      </c>
      <c r="B652" s="88" t="s">
        <v>1823</v>
      </c>
      <c r="C652" s="88" t="s">
        <v>2154</v>
      </c>
      <c r="D652" s="88" t="s">
        <v>2505</v>
      </c>
      <c r="E652" s="88" t="s">
        <v>1830</v>
      </c>
      <c r="F652" s="88">
        <v>6.4</v>
      </c>
      <c r="G652" s="88">
        <v>170.0</v>
      </c>
      <c r="H652" s="89" t="s">
        <v>2155</v>
      </c>
      <c r="I652" s="28"/>
      <c r="J652" s="28"/>
    </row>
    <row r="653" ht="22.5" customHeight="1">
      <c r="A653" s="76" t="s">
        <v>2509</v>
      </c>
      <c r="B653" s="88" t="s">
        <v>1823</v>
      </c>
      <c r="C653" s="88" t="s">
        <v>2154</v>
      </c>
      <c r="D653" s="88" t="s">
        <v>2505</v>
      </c>
      <c r="E653" s="88" t="s">
        <v>497</v>
      </c>
      <c r="F653" s="88">
        <v>6.4</v>
      </c>
      <c r="G653" s="88">
        <v>255.0</v>
      </c>
      <c r="H653" s="89" t="s">
        <v>2155</v>
      </c>
      <c r="I653" s="28"/>
      <c r="J653" s="28"/>
    </row>
    <row r="654" ht="22.5" customHeight="1">
      <c r="A654" s="76" t="s">
        <v>2510</v>
      </c>
      <c r="B654" s="88" t="s">
        <v>1823</v>
      </c>
      <c r="C654" s="88" t="s">
        <v>2154</v>
      </c>
      <c r="D654" s="88" t="s">
        <v>2505</v>
      </c>
      <c r="E654" s="88" t="s">
        <v>1833</v>
      </c>
      <c r="F654" s="88">
        <v>6.4</v>
      </c>
      <c r="G654" s="88">
        <v>255.0</v>
      </c>
      <c r="H654" s="89" t="s">
        <v>2155</v>
      </c>
      <c r="I654" s="28"/>
      <c r="J654" s="28"/>
    </row>
    <row r="655" ht="22.5" customHeight="1">
      <c r="A655" s="76" t="s">
        <v>2511</v>
      </c>
      <c r="B655" s="88" t="s">
        <v>1823</v>
      </c>
      <c r="C655" s="88" t="s">
        <v>2154</v>
      </c>
      <c r="D655" s="88" t="s">
        <v>2505</v>
      </c>
      <c r="E655" s="88" t="s">
        <v>1844</v>
      </c>
      <c r="F655" s="88">
        <v>6.4</v>
      </c>
      <c r="G655" s="88">
        <v>255.0</v>
      </c>
      <c r="H655" s="89" t="s">
        <v>2155</v>
      </c>
      <c r="I655" s="28"/>
      <c r="J655" s="28"/>
    </row>
    <row r="656" ht="22.5" customHeight="1">
      <c r="A656" s="76" t="s">
        <v>2512</v>
      </c>
      <c r="B656" s="88" t="s">
        <v>1823</v>
      </c>
      <c r="C656" s="88" t="s">
        <v>2513</v>
      </c>
      <c r="D656" s="88" t="s">
        <v>2514</v>
      </c>
      <c r="E656" s="88" t="s">
        <v>105</v>
      </c>
      <c r="F656" s="88">
        <v>6.4</v>
      </c>
      <c r="G656" s="88">
        <v>390.0</v>
      </c>
      <c r="H656" s="89" t="s">
        <v>2515</v>
      </c>
      <c r="I656" s="28"/>
      <c r="J656" s="28"/>
    </row>
    <row r="657" ht="22.5" customHeight="1">
      <c r="A657" s="76" t="s">
        <v>2516</v>
      </c>
      <c r="B657" s="88" t="s">
        <v>1823</v>
      </c>
      <c r="C657" s="88" t="s">
        <v>2513</v>
      </c>
      <c r="D657" s="88" t="s">
        <v>2514</v>
      </c>
      <c r="E657" s="88" t="s">
        <v>103</v>
      </c>
      <c r="F657" s="88">
        <v>6.4</v>
      </c>
      <c r="G657" s="88">
        <v>390.0</v>
      </c>
      <c r="H657" s="89" t="s">
        <v>2515</v>
      </c>
      <c r="I657" s="28"/>
      <c r="J657" s="28"/>
    </row>
    <row r="658" ht="22.5" customHeight="1">
      <c r="A658" s="76" t="s">
        <v>2517</v>
      </c>
      <c r="B658" s="88" t="s">
        <v>1823</v>
      </c>
      <c r="C658" s="88" t="s">
        <v>2513</v>
      </c>
      <c r="D658" s="88" t="s">
        <v>2514</v>
      </c>
      <c r="E658" s="88" t="s">
        <v>1457</v>
      </c>
      <c r="F658" s="88">
        <v>6.4</v>
      </c>
      <c r="G658" s="88">
        <v>415.0</v>
      </c>
      <c r="H658" s="89" t="s">
        <v>2515</v>
      </c>
      <c r="I658" s="28"/>
      <c r="J658" s="28"/>
    </row>
    <row r="659" ht="22.5" customHeight="1">
      <c r="A659" s="76" t="s">
        <v>2518</v>
      </c>
      <c r="B659" s="88" t="s">
        <v>1823</v>
      </c>
      <c r="C659" s="88" t="s">
        <v>2513</v>
      </c>
      <c r="D659" s="88" t="s">
        <v>2514</v>
      </c>
      <c r="E659" s="88" t="s">
        <v>1830</v>
      </c>
      <c r="F659" s="88">
        <v>6.4</v>
      </c>
      <c r="G659" s="88">
        <v>415.0</v>
      </c>
      <c r="H659" s="89" t="s">
        <v>2515</v>
      </c>
      <c r="I659" s="28"/>
      <c r="J659" s="28"/>
    </row>
    <row r="660" ht="22.5" customHeight="1">
      <c r="A660" s="76" t="s">
        <v>2519</v>
      </c>
      <c r="B660" s="88" t="s">
        <v>1823</v>
      </c>
      <c r="C660" s="88" t="s">
        <v>2513</v>
      </c>
      <c r="D660" s="88" t="s">
        <v>2514</v>
      </c>
      <c r="E660" s="88" t="s">
        <v>497</v>
      </c>
      <c r="F660" s="88">
        <v>6.4</v>
      </c>
      <c r="G660" s="88">
        <v>615.0</v>
      </c>
      <c r="H660" s="89" t="s">
        <v>2515</v>
      </c>
      <c r="I660" s="28"/>
      <c r="J660" s="28"/>
    </row>
    <row r="661" ht="22.5" customHeight="1">
      <c r="A661" s="76" t="s">
        <v>2520</v>
      </c>
      <c r="B661" s="88" t="s">
        <v>1823</v>
      </c>
      <c r="C661" s="88" t="s">
        <v>2513</v>
      </c>
      <c r="D661" s="88" t="s">
        <v>2514</v>
      </c>
      <c r="E661" s="88" t="s">
        <v>1833</v>
      </c>
      <c r="F661" s="88">
        <v>6.4</v>
      </c>
      <c r="G661" s="88">
        <v>615.0</v>
      </c>
      <c r="H661" s="89" t="s">
        <v>2515</v>
      </c>
      <c r="I661" s="28"/>
      <c r="J661" s="28"/>
    </row>
    <row r="662" ht="22.5" customHeight="1">
      <c r="A662" s="76" t="s">
        <v>2521</v>
      </c>
      <c r="B662" s="88" t="s">
        <v>1823</v>
      </c>
      <c r="C662" s="88" t="s">
        <v>2513</v>
      </c>
      <c r="D662" s="88" t="s">
        <v>2514</v>
      </c>
      <c r="E662" s="88" t="s">
        <v>1844</v>
      </c>
      <c r="F662" s="88">
        <v>6.4</v>
      </c>
      <c r="G662" s="88">
        <v>615.0</v>
      </c>
      <c r="H662" s="89" t="s">
        <v>2515</v>
      </c>
      <c r="I662" s="28"/>
      <c r="J662" s="28"/>
    </row>
    <row r="663" ht="22.5" customHeight="1">
      <c r="A663" s="76" t="s">
        <v>2522</v>
      </c>
      <c r="B663" s="88" t="s">
        <v>1823</v>
      </c>
      <c r="C663" s="88" t="s">
        <v>2523</v>
      </c>
      <c r="D663" s="88" t="s">
        <v>2524</v>
      </c>
      <c r="E663" s="88" t="s">
        <v>105</v>
      </c>
      <c r="F663" s="88">
        <v>6.4</v>
      </c>
      <c r="G663" s="88"/>
      <c r="H663" s="89" t="s">
        <v>2525</v>
      </c>
      <c r="I663" s="26">
        <v>10.0</v>
      </c>
      <c r="J663" s="28"/>
    </row>
    <row r="664" ht="22.5" customHeight="1">
      <c r="A664" s="76" t="s">
        <v>2526</v>
      </c>
      <c r="B664" s="88" t="s">
        <v>1823</v>
      </c>
      <c r="C664" s="88" t="s">
        <v>2523</v>
      </c>
      <c r="D664" s="88" t="s">
        <v>2524</v>
      </c>
      <c r="E664" s="88" t="s">
        <v>103</v>
      </c>
      <c r="F664" s="88">
        <v>6.4</v>
      </c>
      <c r="G664" s="88"/>
      <c r="H664" s="89" t="s">
        <v>2525</v>
      </c>
      <c r="I664" s="26">
        <v>2.0</v>
      </c>
      <c r="J664" s="28"/>
    </row>
    <row r="665" ht="22.5" customHeight="1">
      <c r="A665" s="76" t="s">
        <v>2527</v>
      </c>
      <c r="B665" s="88" t="s">
        <v>1823</v>
      </c>
      <c r="C665" s="88" t="s">
        <v>2523</v>
      </c>
      <c r="D665" s="88" t="s">
        <v>2524</v>
      </c>
      <c r="E665" s="88" t="s">
        <v>1457</v>
      </c>
      <c r="F665" s="88">
        <v>6.4</v>
      </c>
      <c r="G665" s="88"/>
      <c r="H665" s="89" t="s">
        <v>2525</v>
      </c>
      <c r="I665" s="26">
        <v>4.0</v>
      </c>
      <c r="J665" s="28"/>
    </row>
    <row r="666" ht="22.5" customHeight="1">
      <c r="A666" s="76" t="s">
        <v>2528</v>
      </c>
      <c r="B666" s="88" t="s">
        <v>1823</v>
      </c>
      <c r="C666" s="88" t="s">
        <v>2523</v>
      </c>
      <c r="D666" s="88" t="s">
        <v>2524</v>
      </c>
      <c r="E666" s="88" t="s">
        <v>1830</v>
      </c>
      <c r="F666" s="88">
        <v>6.4</v>
      </c>
      <c r="G666" s="88"/>
      <c r="H666" s="89" t="s">
        <v>2525</v>
      </c>
      <c r="I666" s="28"/>
      <c r="J666" s="28"/>
    </row>
    <row r="667" ht="22.5" customHeight="1">
      <c r="A667" s="76" t="s">
        <v>2529</v>
      </c>
      <c r="B667" s="88" t="s">
        <v>1823</v>
      </c>
      <c r="C667" s="88" t="s">
        <v>2523</v>
      </c>
      <c r="D667" s="88" t="s">
        <v>2524</v>
      </c>
      <c r="E667" s="88" t="s">
        <v>497</v>
      </c>
      <c r="F667" s="88">
        <v>6.4</v>
      </c>
      <c r="G667" s="88">
        <v>3170.0</v>
      </c>
      <c r="H667" s="89" t="s">
        <v>2525</v>
      </c>
      <c r="I667" s="28"/>
      <c r="J667" s="28"/>
    </row>
    <row r="668" ht="22.5" customHeight="1">
      <c r="A668" s="76" t="s">
        <v>2530</v>
      </c>
      <c r="B668" s="88" t="s">
        <v>1823</v>
      </c>
      <c r="C668" s="88" t="s">
        <v>2523</v>
      </c>
      <c r="D668" s="88" t="s">
        <v>2524</v>
      </c>
      <c r="E668" s="88" t="s">
        <v>1833</v>
      </c>
      <c r="F668" s="88">
        <v>6.4</v>
      </c>
      <c r="G668" s="88"/>
      <c r="H668" s="89" t="s">
        <v>2525</v>
      </c>
      <c r="I668" s="28"/>
      <c r="J668" s="28"/>
    </row>
    <row r="669" ht="22.5" customHeight="1">
      <c r="A669" s="76" t="s">
        <v>2531</v>
      </c>
      <c r="B669" s="88" t="s">
        <v>1823</v>
      </c>
      <c r="C669" s="88" t="s">
        <v>2523</v>
      </c>
      <c r="D669" s="88" t="s">
        <v>2524</v>
      </c>
      <c r="E669" s="88" t="s">
        <v>1844</v>
      </c>
      <c r="F669" s="88">
        <v>6.4</v>
      </c>
      <c r="G669" s="88"/>
      <c r="H669" s="89" t="s">
        <v>2525</v>
      </c>
      <c r="I669" s="28"/>
      <c r="J669" s="28"/>
    </row>
    <row r="670" ht="22.5" customHeight="1">
      <c r="A670" s="76" t="s">
        <v>2532</v>
      </c>
      <c r="B670" s="88" t="s">
        <v>1823</v>
      </c>
      <c r="C670" s="88" t="s">
        <v>2533</v>
      </c>
      <c r="D670" s="88" t="s">
        <v>2145</v>
      </c>
      <c r="E670" s="88" t="s">
        <v>105</v>
      </c>
      <c r="F670" s="88">
        <v>6.4</v>
      </c>
      <c r="G670" s="88"/>
      <c r="H670" s="89" t="s">
        <v>2534</v>
      </c>
      <c r="I670" s="26">
        <v>10.0</v>
      </c>
      <c r="J670" s="28"/>
    </row>
    <row r="671" ht="22.5" customHeight="1">
      <c r="A671" s="76" t="s">
        <v>2535</v>
      </c>
      <c r="B671" s="88" t="s">
        <v>1823</v>
      </c>
      <c r="C671" s="88" t="s">
        <v>2533</v>
      </c>
      <c r="D671" s="88" t="s">
        <v>2145</v>
      </c>
      <c r="E671" s="88" t="s">
        <v>103</v>
      </c>
      <c r="F671" s="88">
        <v>6.4</v>
      </c>
      <c r="G671" s="88"/>
      <c r="H671" s="89" t="s">
        <v>2534</v>
      </c>
      <c r="I671" s="26">
        <v>14.0</v>
      </c>
      <c r="J671" s="28"/>
    </row>
    <row r="672" ht="22.5" customHeight="1">
      <c r="A672" s="76" t="s">
        <v>2536</v>
      </c>
      <c r="B672" s="88" t="s">
        <v>1823</v>
      </c>
      <c r="C672" s="88" t="s">
        <v>2533</v>
      </c>
      <c r="D672" s="88" t="s">
        <v>2145</v>
      </c>
      <c r="E672" s="88" t="s">
        <v>1457</v>
      </c>
      <c r="F672" s="88">
        <v>6.4</v>
      </c>
      <c r="G672" s="88"/>
      <c r="H672" s="89" t="s">
        <v>2534</v>
      </c>
      <c r="I672" s="26">
        <v>2.0</v>
      </c>
      <c r="J672" s="28"/>
    </row>
    <row r="673" ht="22.5" customHeight="1">
      <c r="A673" s="76" t="s">
        <v>2537</v>
      </c>
      <c r="B673" s="88" t="s">
        <v>1823</v>
      </c>
      <c r="C673" s="88" t="s">
        <v>2533</v>
      </c>
      <c r="D673" s="88" t="s">
        <v>2145</v>
      </c>
      <c r="E673" s="88" t="s">
        <v>1830</v>
      </c>
      <c r="F673" s="88">
        <v>6.4</v>
      </c>
      <c r="G673" s="88"/>
      <c r="H673" s="89" t="s">
        <v>2534</v>
      </c>
      <c r="I673" s="28"/>
      <c r="J673" s="28"/>
    </row>
    <row r="674" ht="22.5" customHeight="1">
      <c r="A674" s="76" t="s">
        <v>2538</v>
      </c>
      <c r="B674" s="88" t="s">
        <v>1823</v>
      </c>
      <c r="C674" s="88" t="s">
        <v>2533</v>
      </c>
      <c r="D674" s="88" t="s">
        <v>2145</v>
      </c>
      <c r="E674" s="88" t="s">
        <v>497</v>
      </c>
      <c r="F674" s="88">
        <v>6.4</v>
      </c>
      <c r="G674" s="88">
        <v>570.0</v>
      </c>
      <c r="H674" s="89" t="s">
        <v>2534</v>
      </c>
      <c r="I674" s="28"/>
      <c r="J674" s="28"/>
    </row>
    <row r="675" ht="22.5" customHeight="1">
      <c r="A675" s="76" t="s">
        <v>2539</v>
      </c>
      <c r="B675" s="88" t="s">
        <v>1823</v>
      </c>
      <c r="C675" s="88" t="s">
        <v>2533</v>
      </c>
      <c r="D675" s="88" t="s">
        <v>2145</v>
      </c>
      <c r="E675" s="88" t="s">
        <v>1833</v>
      </c>
      <c r="F675" s="88">
        <v>6.4</v>
      </c>
      <c r="G675" s="88"/>
      <c r="H675" s="89" t="s">
        <v>2534</v>
      </c>
      <c r="I675" s="28"/>
      <c r="J675" s="28"/>
    </row>
    <row r="676" ht="22.5" customHeight="1">
      <c r="A676" s="76" t="s">
        <v>2540</v>
      </c>
      <c r="B676" s="88" t="s">
        <v>1823</v>
      </c>
      <c r="C676" s="88" t="s">
        <v>2533</v>
      </c>
      <c r="D676" s="88" t="s">
        <v>2145</v>
      </c>
      <c r="E676" s="88" t="s">
        <v>1844</v>
      </c>
      <c r="F676" s="88">
        <v>6.4</v>
      </c>
      <c r="G676" s="88"/>
      <c r="H676" s="89" t="s">
        <v>2534</v>
      </c>
      <c r="I676" s="28"/>
      <c r="J676" s="28"/>
    </row>
    <row r="677" ht="22.5" customHeight="1">
      <c r="A677" s="76" t="s">
        <v>2541</v>
      </c>
      <c r="B677" s="88" t="s">
        <v>1823</v>
      </c>
      <c r="C677" s="88" t="s">
        <v>2542</v>
      </c>
      <c r="D677" s="88" t="s">
        <v>2543</v>
      </c>
      <c r="E677" s="88" t="s">
        <v>105</v>
      </c>
      <c r="F677" s="88">
        <v>6.4</v>
      </c>
      <c r="G677" s="88"/>
      <c r="H677" s="89" t="s">
        <v>2544</v>
      </c>
      <c r="I677" s="26">
        <v>2.0</v>
      </c>
      <c r="J677" s="28"/>
    </row>
    <row r="678" ht="22.5" customHeight="1">
      <c r="A678" s="76" t="s">
        <v>2545</v>
      </c>
      <c r="B678" s="88" t="s">
        <v>1823</v>
      </c>
      <c r="C678" s="88" t="s">
        <v>2542</v>
      </c>
      <c r="D678" s="88" t="s">
        <v>2543</v>
      </c>
      <c r="E678" s="88" t="s">
        <v>103</v>
      </c>
      <c r="F678" s="88">
        <v>6.4</v>
      </c>
      <c r="G678" s="88"/>
      <c r="H678" s="89" t="s">
        <v>2544</v>
      </c>
      <c r="I678" s="26">
        <v>2.0</v>
      </c>
      <c r="J678" s="28"/>
    </row>
    <row r="679" ht="22.5" customHeight="1">
      <c r="A679" s="76" t="s">
        <v>2546</v>
      </c>
      <c r="B679" s="88" t="s">
        <v>1823</v>
      </c>
      <c r="C679" s="88" t="s">
        <v>2542</v>
      </c>
      <c r="D679" s="88" t="s">
        <v>2543</v>
      </c>
      <c r="E679" s="88" t="s">
        <v>1457</v>
      </c>
      <c r="F679" s="88">
        <v>6.4</v>
      </c>
      <c r="G679" s="88"/>
      <c r="H679" s="89" t="s">
        <v>2544</v>
      </c>
      <c r="I679" s="26">
        <v>4.0</v>
      </c>
      <c r="J679" s="28"/>
    </row>
    <row r="680" ht="22.5" customHeight="1">
      <c r="A680" s="76" t="s">
        <v>2547</v>
      </c>
      <c r="B680" s="88" t="s">
        <v>1823</v>
      </c>
      <c r="C680" s="88" t="s">
        <v>2542</v>
      </c>
      <c r="D680" s="88" t="s">
        <v>2543</v>
      </c>
      <c r="E680" s="88" t="s">
        <v>1830</v>
      </c>
      <c r="F680" s="88">
        <v>6.4</v>
      </c>
      <c r="G680" s="88"/>
      <c r="H680" s="89" t="s">
        <v>2544</v>
      </c>
      <c r="I680" s="28"/>
      <c r="J680" s="28"/>
    </row>
    <row r="681" ht="22.5" customHeight="1">
      <c r="A681" s="76" t="s">
        <v>2548</v>
      </c>
      <c r="B681" s="88" t="s">
        <v>1823</v>
      </c>
      <c r="C681" s="88" t="s">
        <v>2542</v>
      </c>
      <c r="D681" s="88" t="s">
        <v>2543</v>
      </c>
      <c r="E681" s="88" t="s">
        <v>497</v>
      </c>
      <c r="F681" s="88">
        <v>6.4</v>
      </c>
      <c r="G681" s="88">
        <v>645.0</v>
      </c>
      <c r="H681" s="89" t="s">
        <v>2544</v>
      </c>
      <c r="I681" s="28"/>
      <c r="J681" s="28"/>
    </row>
    <row r="682" ht="22.5" customHeight="1">
      <c r="A682" s="76" t="s">
        <v>2549</v>
      </c>
      <c r="B682" s="88" t="s">
        <v>1823</v>
      </c>
      <c r="C682" s="88" t="s">
        <v>2542</v>
      </c>
      <c r="D682" s="88" t="s">
        <v>2543</v>
      </c>
      <c r="E682" s="88" t="s">
        <v>1833</v>
      </c>
      <c r="F682" s="88">
        <v>6.4</v>
      </c>
      <c r="G682" s="88"/>
      <c r="H682" s="89" t="s">
        <v>2544</v>
      </c>
      <c r="I682" s="28"/>
      <c r="J682" s="28"/>
    </row>
    <row r="683" ht="22.5" customHeight="1">
      <c r="A683" s="76" t="s">
        <v>2550</v>
      </c>
      <c r="B683" s="88" t="s">
        <v>1823</v>
      </c>
      <c r="C683" s="88" t="s">
        <v>2542</v>
      </c>
      <c r="D683" s="88" t="s">
        <v>2543</v>
      </c>
      <c r="E683" s="88" t="s">
        <v>1844</v>
      </c>
      <c r="F683" s="88">
        <v>6.4</v>
      </c>
      <c r="G683" s="88"/>
      <c r="H683" s="89" t="s">
        <v>2544</v>
      </c>
      <c r="I683" s="28"/>
      <c r="J683" s="28"/>
    </row>
    <row r="684" ht="22.5" customHeight="1">
      <c r="A684" s="76" t="s">
        <v>2551</v>
      </c>
      <c r="B684" s="88" t="s">
        <v>1823</v>
      </c>
      <c r="C684" s="88" t="s">
        <v>2552</v>
      </c>
      <c r="D684" s="88" t="s">
        <v>2553</v>
      </c>
      <c r="E684" s="88" t="s">
        <v>105</v>
      </c>
      <c r="F684" s="88">
        <v>6.4</v>
      </c>
      <c r="G684" s="88">
        <v>965.0</v>
      </c>
      <c r="H684" s="89" t="s">
        <v>2554</v>
      </c>
      <c r="I684" s="28"/>
      <c r="J684" s="28"/>
    </row>
    <row r="685" ht="22.5" customHeight="1">
      <c r="A685" s="76" t="s">
        <v>2555</v>
      </c>
      <c r="B685" s="88" t="s">
        <v>1823</v>
      </c>
      <c r="C685" s="88" t="s">
        <v>2552</v>
      </c>
      <c r="D685" s="88" t="s">
        <v>2553</v>
      </c>
      <c r="E685" s="88" t="s">
        <v>103</v>
      </c>
      <c r="F685" s="88">
        <v>6.4</v>
      </c>
      <c r="G685" s="88">
        <v>965.0</v>
      </c>
      <c r="H685" s="89" t="s">
        <v>2554</v>
      </c>
      <c r="I685" s="28"/>
      <c r="J685" s="28"/>
    </row>
    <row r="686" ht="22.5" customHeight="1">
      <c r="A686" s="76" t="s">
        <v>2556</v>
      </c>
      <c r="B686" s="88" t="s">
        <v>1823</v>
      </c>
      <c r="C686" s="88" t="s">
        <v>2552</v>
      </c>
      <c r="D686" s="88" t="s">
        <v>2553</v>
      </c>
      <c r="E686" s="88" t="s">
        <v>1457</v>
      </c>
      <c r="F686" s="88">
        <v>6.4</v>
      </c>
      <c r="G686" s="90">
        <v>1035.0</v>
      </c>
      <c r="H686" s="89" t="s">
        <v>2554</v>
      </c>
      <c r="I686" s="28"/>
      <c r="J686" s="28"/>
    </row>
    <row r="687" ht="22.5" customHeight="1">
      <c r="A687" s="76" t="s">
        <v>2557</v>
      </c>
      <c r="B687" s="88" t="s">
        <v>1823</v>
      </c>
      <c r="C687" s="88" t="s">
        <v>2552</v>
      </c>
      <c r="D687" s="88" t="s">
        <v>2553</v>
      </c>
      <c r="E687" s="88" t="s">
        <v>1830</v>
      </c>
      <c r="F687" s="88">
        <v>6.4</v>
      </c>
      <c r="G687" s="90">
        <v>1035.0</v>
      </c>
      <c r="H687" s="89" t="s">
        <v>2554</v>
      </c>
      <c r="I687" s="28"/>
      <c r="J687" s="28"/>
    </row>
    <row r="688" ht="22.5" customHeight="1">
      <c r="A688" s="76" t="s">
        <v>2558</v>
      </c>
      <c r="B688" s="88" t="s">
        <v>1823</v>
      </c>
      <c r="C688" s="88" t="s">
        <v>2552</v>
      </c>
      <c r="D688" s="88" t="s">
        <v>2553</v>
      </c>
      <c r="E688" s="88" t="s">
        <v>497</v>
      </c>
      <c r="F688" s="88">
        <v>6.4</v>
      </c>
      <c r="G688" s="90">
        <v>1525.0</v>
      </c>
      <c r="H688" s="89" t="s">
        <v>2554</v>
      </c>
      <c r="I688" s="28"/>
      <c r="J688" s="28"/>
    </row>
    <row r="689" ht="22.5" customHeight="1">
      <c r="A689" s="76" t="s">
        <v>2559</v>
      </c>
      <c r="B689" s="88" t="s">
        <v>1823</v>
      </c>
      <c r="C689" s="88" t="s">
        <v>2552</v>
      </c>
      <c r="D689" s="88" t="s">
        <v>2553</v>
      </c>
      <c r="E689" s="88" t="s">
        <v>1833</v>
      </c>
      <c r="F689" s="88">
        <v>6.4</v>
      </c>
      <c r="G689" s="90">
        <v>1525.0</v>
      </c>
      <c r="H689" s="89" t="s">
        <v>2554</v>
      </c>
      <c r="I689" s="28"/>
      <c r="J689" s="28"/>
    </row>
    <row r="690" ht="22.5" customHeight="1">
      <c r="A690" s="76" t="s">
        <v>2560</v>
      </c>
      <c r="B690" s="88" t="s">
        <v>1823</v>
      </c>
      <c r="C690" s="88" t="s">
        <v>2552</v>
      </c>
      <c r="D690" s="88" t="s">
        <v>2553</v>
      </c>
      <c r="E690" s="88" t="s">
        <v>1844</v>
      </c>
      <c r="F690" s="88">
        <v>6.4</v>
      </c>
      <c r="G690" s="90">
        <v>1525.0</v>
      </c>
      <c r="H690" s="89" t="s">
        <v>2554</v>
      </c>
      <c r="I690" s="28"/>
      <c r="J690" s="28"/>
    </row>
    <row r="691" ht="22.5" customHeight="1">
      <c r="A691" s="76" t="s">
        <v>2561</v>
      </c>
      <c r="B691" s="88" t="s">
        <v>1823</v>
      </c>
      <c r="C691" s="88" t="s">
        <v>2562</v>
      </c>
      <c r="D691" s="88" t="s">
        <v>2563</v>
      </c>
      <c r="E691" s="88" t="s">
        <v>105</v>
      </c>
      <c r="F691" s="88">
        <v>6.4</v>
      </c>
      <c r="G691" s="88">
        <v>590.0</v>
      </c>
      <c r="H691" s="89" t="s">
        <v>2564</v>
      </c>
      <c r="I691" s="28"/>
      <c r="J691" s="28"/>
    </row>
    <row r="692" ht="22.5" customHeight="1">
      <c r="A692" s="76" t="s">
        <v>2565</v>
      </c>
      <c r="B692" s="88" t="s">
        <v>1823</v>
      </c>
      <c r="C692" s="88" t="s">
        <v>2562</v>
      </c>
      <c r="D692" s="88" t="s">
        <v>2563</v>
      </c>
      <c r="E692" s="88" t="s">
        <v>103</v>
      </c>
      <c r="F692" s="88">
        <v>6.4</v>
      </c>
      <c r="G692" s="88">
        <v>590.0</v>
      </c>
      <c r="H692" s="89" t="s">
        <v>2564</v>
      </c>
      <c r="I692" s="28"/>
      <c r="J692" s="28"/>
    </row>
    <row r="693" ht="22.5" customHeight="1">
      <c r="A693" s="76" t="s">
        <v>2566</v>
      </c>
      <c r="B693" s="88" t="s">
        <v>1823</v>
      </c>
      <c r="C693" s="88" t="s">
        <v>2562</v>
      </c>
      <c r="D693" s="88" t="s">
        <v>2563</v>
      </c>
      <c r="E693" s="88" t="s">
        <v>1457</v>
      </c>
      <c r="F693" s="88">
        <v>6.4</v>
      </c>
      <c r="G693" s="88">
        <v>635.0</v>
      </c>
      <c r="H693" s="89" t="s">
        <v>2564</v>
      </c>
      <c r="I693" s="28"/>
      <c r="J693" s="28"/>
    </row>
    <row r="694" ht="22.5" customHeight="1">
      <c r="A694" s="76" t="s">
        <v>2567</v>
      </c>
      <c r="B694" s="88" t="s">
        <v>1823</v>
      </c>
      <c r="C694" s="88" t="s">
        <v>2562</v>
      </c>
      <c r="D694" s="88" t="s">
        <v>2563</v>
      </c>
      <c r="E694" s="88" t="s">
        <v>1830</v>
      </c>
      <c r="F694" s="88">
        <v>6.4</v>
      </c>
      <c r="G694" s="88">
        <v>635.0</v>
      </c>
      <c r="H694" s="89" t="s">
        <v>2564</v>
      </c>
      <c r="I694" s="28"/>
      <c r="J694" s="28"/>
    </row>
    <row r="695" ht="22.5" customHeight="1">
      <c r="A695" s="76" t="s">
        <v>2568</v>
      </c>
      <c r="B695" s="88" t="s">
        <v>1823</v>
      </c>
      <c r="C695" s="88" t="s">
        <v>2562</v>
      </c>
      <c r="D695" s="88" t="s">
        <v>2563</v>
      </c>
      <c r="E695" s="88" t="s">
        <v>497</v>
      </c>
      <c r="F695" s="88">
        <v>6.4</v>
      </c>
      <c r="G695" s="88">
        <v>935.0</v>
      </c>
      <c r="H695" s="89" t="s">
        <v>2564</v>
      </c>
      <c r="I695" s="28"/>
      <c r="J695" s="28"/>
    </row>
    <row r="696" ht="22.5" customHeight="1">
      <c r="A696" s="76" t="s">
        <v>2569</v>
      </c>
      <c r="B696" s="88" t="s">
        <v>1823</v>
      </c>
      <c r="C696" s="88" t="s">
        <v>2562</v>
      </c>
      <c r="D696" s="88" t="s">
        <v>2563</v>
      </c>
      <c r="E696" s="88" t="s">
        <v>1833</v>
      </c>
      <c r="F696" s="88">
        <v>6.4</v>
      </c>
      <c r="G696" s="88">
        <v>935.0</v>
      </c>
      <c r="H696" s="89" t="s">
        <v>2564</v>
      </c>
      <c r="I696" s="28"/>
      <c r="J696" s="28"/>
    </row>
    <row r="697" ht="22.5" customHeight="1">
      <c r="A697" s="76" t="s">
        <v>2570</v>
      </c>
      <c r="B697" s="88" t="s">
        <v>1823</v>
      </c>
      <c r="C697" s="88" t="s">
        <v>2562</v>
      </c>
      <c r="D697" s="88" t="s">
        <v>2563</v>
      </c>
      <c r="E697" s="88" t="s">
        <v>1844</v>
      </c>
      <c r="F697" s="88">
        <v>6.4</v>
      </c>
      <c r="G697" s="88">
        <v>935.0</v>
      </c>
      <c r="H697" s="89" t="s">
        <v>2564</v>
      </c>
      <c r="I697" s="28"/>
      <c r="J697" s="28"/>
    </row>
    <row r="698" ht="22.5" customHeight="1">
      <c r="A698" s="76" t="s">
        <v>2571</v>
      </c>
      <c r="B698" s="88" t="s">
        <v>1823</v>
      </c>
      <c r="C698" s="88" t="s">
        <v>2572</v>
      </c>
      <c r="D698" s="88" t="s">
        <v>2573</v>
      </c>
      <c r="E698" s="88" t="s">
        <v>105</v>
      </c>
      <c r="F698" s="88">
        <v>6.4</v>
      </c>
      <c r="G698" s="88">
        <v>505.0</v>
      </c>
      <c r="H698" s="89" t="s">
        <v>2574</v>
      </c>
      <c r="I698" s="28"/>
      <c r="J698" s="28"/>
    </row>
    <row r="699" ht="22.5" customHeight="1">
      <c r="A699" s="76" t="s">
        <v>2575</v>
      </c>
      <c r="B699" s="88" t="s">
        <v>1823</v>
      </c>
      <c r="C699" s="88" t="s">
        <v>2572</v>
      </c>
      <c r="D699" s="88" t="s">
        <v>2573</v>
      </c>
      <c r="E699" s="88" t="s">
        <v>103</v>
      </c>
      <c r="F699" s="88">
        <v>6.4</v>
      </c>
      <c r="G699" s="88">
        <v>505.0</v>
      </c>
      <c r="H699" s="89" t="s">
        <v>2574</v>
      </c>
      <c r="I699" s="28"/>
      <c r="J699" s="28"/>
    </row>
    <row r="700" ht="22.5" customHeight="1">
      <c r="A700" s="76" t="s">
        <v>2576</v>
      </c>
      <c r="B700" s="88" t="s">
        <v>1823</v>
      </c>
      <c r="C700" s="88" t="s">
        <v>2572</v>
      </c>
      <c r="D700" s="88" t="s">
        <v>2573</v>
      </c>
      <c r="E700" s="88" t="s">
        <v>1457</v>
      </c>
      <c r="F700" s="88">
        <v>6.4</v>
      </c>
      <c r="G700" s="88">
        <v>545.0</v>
      </c>
      <c r="H700" s="89" t="s">
        <v>2574</v>
      </c>
      <c r="I700" s="28"/>
      <c r="J700" s="28"/>
    </row>
    <row r="701" ht="22.5" customHeight="1">
      <c r="A701" s="76" t="s">
        <v>2577</v>
      </c>
      <c r="B701" s="88" t="s">
        <v>1823</v>
      </c>
      <c r="C701" s="88" t="s">
        <v>2572</v>
      </c>
      <c r="D701" s="88" t="s">
        <v>2573</v>
      </c>
      <c r="E701" s="88" t="s">
        <v>1830</v>
      </c>
      <c r="F701" s="88">
        <v>6.4</v>
      </c>
      <c r="G701" s="88">
        <v>545.0</v>
      </c>
      <c r="H701" s="89" t="s">
        <v>2574</v>
      </c>
      <c r="I701" s="28"/>
      <c r="J701" s="28"/>
    </row>
    <row r="702" ht="22.5" customHeight="1">
      <c r="A702" s="76" t="s">
        <v>2578</v>
      </c>
      <c r="B702" s="88" t="s">
        <v>1823</v>
      </c>
      <c r="C702" s="88" t="s">
        <v>2572</v>
      </c>
      <c r="D702" s="88" t="s">
        <v>2573</v>
      </c>
      <c r="E702" s="88" t="s">
        <v>497</v>
      </c>
      <c r="F702" s="88">
        <v>6.4</v>
      </c>
      <c r="G702" s="88">
        <v>805.0</v>
      </c>
      <c r="H702" s="89" t="s">
        <v>2574</v>
      </c>
      <c r="I702" s="28"/>
      <c r="J702" s="28"/>
    </row>
    <row r="703" ht="22.5" customHeight="1">
      <c r="A703" s="76" t="s">
        <v>2579</v>
      </c>
      <c r="B703" s="88" t="s">
        <v>1823</v>
      </c>
      <c r="C703" s="88" t="s">
        <v>2572</v>
      </c>
      <c r="D703" s="88" t="s">
        <v>2573</v>
      </c>
      <c r="E703" s="88" t="s">
        <v>1833</v>
      </c>
      <c r="F703" s="88">
        <v>6.4</v>
      </c>
      <c r="G703" s="88">
        <v>805.0</v>
      </c>
      <c r="H703" s="89" t="s">
        <v>2574</v>
      </c>
      <c r="I703" s="28"/>
      <c r="J703" s="28"/>
    </row>
    <row r="704" ht="22.5" customHeight="1">
      <c r="A704" s="76" t="s">
        <v>2580</v>
      </c>
      <c r="B704" s="88" t="s">
        <v>1823</v>
      </c>
      <c r="C704" s="88" t="s">
        <v>2572</v>
      </c>
      <c r="D704" s="88" t="s">
        <v>2573</v>
      </c>
      <c r="E704" s="88" t="s">
        <v>1844</v>
      </c>
      <c r="F704" s="88">
        <v>6.4</v>
      </c>
      <c r="G704" s="88">
        <v>805.0</v>
      </c>
      <c r="H704" s="89" t="s">
        <v>2574</v>
      </c>
      <c r="I704" s="28"/>
      <c r="J704" s="28"/>
    </row>
    <row r="705" ht="22.5" customHeight="1">
      <c r="A705" s="76" t="s">
        <v>2581</v>
      </c>
      <c r="B705" s="88" t="s">
        <v>1823</v>
      </c>
      <c r="C705" s="88" t="s">
        <v>2582</v>
      </c>
      <c r="D705" s="88" t="s">
        <v>2583</v>
      </c>
      <c r="E705" s="88" t="s">
        <v>105</v>
      </c>
      <c r="F705" s="88">
        <v>6.4</v>
      </c>
      <c r="G705" s="90">
        <v>1115.0</v>
      </c>
      <c r="H705" s="89" t="s">
        <v>2584</v>
      </c>
      <c r="I705" s="28"/>
      <c r="J705" s="28"/>
    </row>
    <row r="706" ht="22.5" customHeight="1">
      <c r="A706" s="76" t="s">
        <v>2585</v>
      </c>
      <c r="B706" s="88" t="s">
        <v>1823</v>
      </c>
      <c r="C706" s="88" t="s">
        <v>2582</v>
      </c>
      <c r="D706" s="88" t="s">
        <v>2583</v>
      </c>
      <c r="E706" s="88" t="s">
        <v>103</v>
      </c>
      <c r="F706" s="88">
        <v>6.4</v>
      </c>
      <c r="G706" s="90">
        <v>1115.0</v>
      </c>
      <c r="H706" s="89" t="s">
        <v>2584</v>
      </c>
      <c r="I706" s="28"/>
      <c r="J706" s="28"/>
    </row>
    <row r="707" ht="22.5" customHeight="1">
      <c r="A707" s="76" t="s">
        <v>2586</v>
      </c>
      <c r="B707" s="88" t="s">
        <v>1823</v>
      </c>
      <c r="C707" s="88" t="s">
        <v>2582</v>
      </c>
      <c r="D707" s="88" t="s">
        <v>2583</v>
      </c>
      <c r="E707" s="88" t="s">
        <v>1457</v>
      </c>
      <c r="F707" s="88">
        <v>6.4</v>
      </c>
      <c r="G707" s="90">
        <v>1195.0</v>
      </c>
      <c r="H707" s="89" t="s">
        <v>2584</v>
      </c>
      <c r="I707" s="28"/>
      <c r="J707" s="28"/>
    </row>
    <row r="708" ht="22.5" customHeight="1">
      <c r="A708" s="76" t="s">
        <v>2587</v>
      </c>
      <c r="B708" s="88" t="s">
        <v>1823</v>
      </c>
      <c r="C708" s="88" t="s">
        <v>2582</v>
      </c>
      <c r="D708" s="88" t="s">
        <v>2583</v>
      </c>
      <c r="E708" s="88" t="s">
        <v>1830</v>
      </c>
      <c r="F708" s="88">
        <v>6.4</v>
      </c>
      <c r="G708" s="90">
        <v>1195.0</v>
      </c>
      <c r="H708" s="89" t="s">
        <v>2584</v>
      </c>
      <c r="I708" s="28"/>
      <c r="J708" s="28"/>
    </row>
    <row r="709" ht="22.5" customHeight="1">
      <c r="A709" s="76" t="s">
        <v>2588</v>
      </c>
      <c r="B709" s="88" t="s">
        <v>1823</v>
      </c>
      <c r="C709" s="88" t="s">
        <v>2582</v>
      </c>
      <c r="D709" s="88" t="s">
        <v>2583</v>
      </c>
      <c r="E709" s="88" t="s">
        <v>497</v>
      </c>
      <c r="F709" s="88">
        <v>6.4</v>
      </c>
      <c r="G709" s="90">
        <v>1765.0</v>
      </c>
      <c r="H709" s="89" t="s">
        <v>2584</v>
      </c>
      <c r="I709" s="28"/>
      <c r="J709" s="28"/>
    </row>
    <row r="710" ht="22.5" customHeight="1">
      <c r="A710" s="76" t="s">
        <v>2589</v>
      </c>
      <c r="B710" s="88" t="s">
        <v>1823</v>
      </c>
      <c r="C710" s="88" t="s">
        <v>2582</v>
      </c>
      <c r="D710" s="88" t="s">
        <v>2583</v>
      </c>
      <c r="E710" s="88" t="s">
        <v>1833</v>
      </c>
      <c r="F710" s="88">
        <v>6.4</v>
      </c>
      <c r="G710" s="90">
        <v>1765.0</v>
      </c>
      <c r="H710" s="89" t="s">
        <v>2584</v>
      </c>
      <c r="I710" s="28"/>
      <c r="J710" s="28"/>
    </row>
    <row r="711" ht="22.5" customHeight="1">
      <c r="A711" s="76" t="s">
        <v>2590</v>
      </c>
      <c r="B711" s="88" t="s">
        <v>1823</v>
      </c>
      <c r="C711" s="88" t="s">
        <v>2582</v>
      </c>
      <c r="D711" s="88" t="s">
        <v>2583</v>
      </c>
      <c r="E711" s="88" t="s">
        <v>1844</v>
      </c>
      <c r="F711" s="88">
        <v>6.4</v>
      </c>
      <c r="G711" s="90">
        <v>1765.0</v>
      </c>
      <c r="H711" s="89" t="s">
        <v>2584</v>
      </c>
      <c r="I711" s="28"/>
      <c r="J711" s="28"/>
    </row>
    <row r="712" ht="22.5" customHeight="1">
      <c r="A712" s="76" t="s">
        <v>2591</v>
      </c>
      <c r="B712" s="88" t="s">
        <v>1823</v>
      </c>
      <c r="C712" s="88" t="s">
        <v>2592</v>
      </c>
      <c r="D712" s="88" t="s">
        <v>2593</v>
      </c>
      <c r="E712" s="88" t="s">
        <v>105</v>
      </c>
      <c r="F712" s="88">
        <v>6.4</v>
      </c>
      <c r="G712" s="88">
        <v>930.0</v>
      </c>
      <c r="H712" s="89" t="s">
        <v>2594</v>
      </c>
      <c r="I712" s="28"/>
      <c r="J712" s="28"/>
    </row>
    <row r="713" ht="22.5" customHeight="1">
      <c r="A713" s="76" t="s">
        <v>2595</v>
      </c>
      <c r="B713" s="88" t="s">
        <v>1823</v>
      </c>
      <c r="C713" s="88" t="s">
        <v>2592</v>
      </c>
      <c r="D713" s="88" t="s">
        <v>2593</v>
      </c>
      <c r="E713" s="88" t="s">
        <v>103</v>
      </c>
      <c r="F713" s="88">
        <v>6.4</v>
      </c>
      <c r="G713" s="88">
        <v>930.0</v>
      </c>
      <c r="H713" s="89" t="s">
        <v>2594</v>
      </c>
      <c r="I713" s="28"/>
      <c r="J713" s="28"/>
    </row>
    <row r="714" ht="22.5" customHeight="1">
      <c r="A714" s="76" t="s">
        <v>2596</v>
      </c>
      <c r="B714" s="88" t="s">
        <v>1823</v>
      </c>
      <c r="C714" s="88" t="s">
        <v>2592</v>
      </c>
      <c r="D714" s="88" t="s">
        <v>2593</v>
      </c>
      <c r="E714" s="88" t="s">
        <v>1457</v>
      </c>
      <c r="F714" s="88">
        <v>6.4</v>
      </c>
      <c r="G714" s="88">
        <v>995.0</v>
      </c>
      <c r="H714" s="89" t="s">
        <v>2594</v>
      </c>
      <c r="I714" s="28"/>
      <c r="J714" s="28"/>
    </row>
    <row r="715" ht="22.5" customHeight="1">
      <c r="A715" s="76" t="s">
        <v>2597</v>
      </c>
      <c r="B715" s="88" t="s">
        <v>1823</v>
      </c>
      <c r="C715" s="88" t="s">
        <v>2592</v>
      </c>
      <c r="D715" s="88" t="s">
        <v>2593</v>
      </c>
      <c r="E715" s="88" t="s">
        <v>1830</v>
      </c>
      <c r="F715" s="88">
        <v>6.4</v>
      </c>
      <c r="G715" s="88">
        <v>995.0</v>
      </c>
      <c r="H715" s="89" t="s">
        <v>2594</v>
      </c>
      <c r="I715" s="28"/>
      <c r="J715" s="28"/>
    </row>
    <row r="716" ht="22.5" customHeight="1">
      <c r="A716" s="76" t="s">
        <v>2598</v>
      </c>
      <c r="B716" s="88" t="s">
        <v>1823</v>
      </c>
      <c r="C716" s="88" t="s">
        <v>2592</v>
      </c>
      <c r="D716" s="88" t="s">
        <v>2593</v>
      </c>
      <c r="E716" s="88" t="s">
        <v>497</v>
      </c>
      <c r="F716" s="88">
        <v>6.4</v>
      </c>
      <c r="G716" s="90">
        <v>1475.0</v>
      </c>
      <c r="H716" s="89" t="s">
        <v>2594</v>
      </c>
      <c r="I716" s="28"/>
      <c r="J716" s="28"/>
    </row>
    <row r="717" ht="22.5" customHeight="1">
      <c r="A717" s="76" t="s">
        <v>2599</v>
      </c>
      <c r="B717" s="88" t="s">
        <v>1823</v>
      </c>
      <c r="C717" s="88" t="s">
        <v>2592</v>
      </c>
      <c r="D717" s="88" t="s">
        <v>2593</v>
      </c>
      <c r="E717" s="88" t="s">
        <v>1833</v>
      </c>
      <c r="F717" s="88">
        <v>6.4</v>
      </c>
      <c r="G717" s="90">
        <v>1475.0</v>
      </c>
      <c r="H717" s="89" t="s">
        <v>2594</v>
      </c>
      <c r="I717" s="28"/>
      <c r="J717" s="28"/>
    </row>
    <row r="718" ht="22.5" customHeight="1">
      <c r="A718" s="76" t="s">
        <v>2600</v>
      </c>
      <c r="B718" s="88" t="s">
        <v>1823</v>
      </c>
      <c r="C718" s="88" t="s">
        <v>2592</v>
      </c>
      <c r="D718" s="88" t="s">
        <v>2593</v>
      </c>
      <c r="E718" s="88" t="s">
        <v>1844</v>
      </c>
      <c r="F718" s="88">
        <v>6.4</v>
      </c>
      <c r="G718" s="90">
        <v>1475.0</v>
      </c>
      <c r="H718" s="89" t="s">
        <v>2594</v>
      </c>
      <c r="I718" s="28"/>
      <c r="J718" s="28"/>
    </row>
    <row r="719" ht="22.5" customHeight="1">
      <c r="A719" s="76" t="s">
        <v>2601</v>
      </c>
      <c r="B719" s="88" t="s">
        <v>1823</v>
      </c>
      <c r="C719" s="88" t="s">
        <v>2602</v>
      </c>
      <c r="D719" s="88" t="s">
        <v>2603</v>
      </c>
      <c r="E719" s="88" t="s">
        <v>105</v>
      </c>
      <c r="F719" s="88">
        <v>6.4</v>
      </c>
      <c r="G719" s="88">
        <v>230.0</v>
      </c>
      <c r="H719" s="89" t="s">
        <v>2604</v>
      </c>
      <c r="I719" s="28"/>
      <c r="J719" s="28"/>
    </row>
    <row r="720" ht="22.5" customHeight="1">
      <c r="A720" s="76" t="s">
        <v>2605</v>
      </c>
      <c r="B720" s="88" t="s">
        <v>1823</v>
      </c>
      <c r="C720" s="88" t="s">
        <v>2602</v>
      </c>
      <c r="D720" s="88" t="s">
        <v>2603</v>
      </c>
      <c r="E720" s="88" t="s">
        <v>103</v>
      </c>
      <c r="F720" s="88">
        <v>6.4</v>
      </c>
      <c r="G720" s="88">
        <v>230.0</v>
      </c>
      <c r="H720" s="89" t="s">
        <v>2604</v>
      </c>
      <c r="I720" s="28"/>
      <c r="J720" s="28"/>
    </row>
    <row r="721" ht="22.5" customHeight="1">
      <c r="A721" s="76" t="s">
        <v>2606</v>
      </c>
      <c r="B721" s="88" t="s">
        <v>1823</v>
      </c>
      <c r="C721" s="88" t="s">
        <v>2602</v>
      </c>
      <c r="D721" s="88" t="s">
        <v>2603</v>
      </c>
      <c r="E721" s="88" t="s">
        <v>1457</v>
      </c>
      <c r="F721" s="88">
        <v>6.4</v>
      </c>
      <c r="G721" s="88">
        <v>245.0</v>
      </c>
      <c r="H721" s="89" t="s">
        <v>2604</v>
      </c>
      <c r="I721" s="28"/>
      <c r="J721" s="28"/>
    </row>
    <row r="722" ht="22.5" customHeight="1">
      <c r="A722" s="76" t="s">
        <v>2607</v>
      </c>
      <c r="B722" s="88" t="s">
        <v>1823</v>
      </c>
      <c r="C722" s="88" t="s">
        <v>2602</v>
      </c>
      <c r="D722" s="88" t="s">
        <v>2603</v>
      </c>
      <c r="E722" s="88" t="s">
        <v>1830</v>
      </c>
      <c r="F722" s="88">
        <v>6.4</v>
      </c>
      <c r="G722" s="88">
        <v>245.0</v>
      </c>
      <c r="H722" s="89" t="s">
        <v>2604</v>
      </c>
      <c r="I722" s="28"/>
      <c r="J722" s="28"/>
    </row>
    <row r="723" ht="22.5" customHeight="1">
      <c r="A723" s="76" t="s">
        <v>2608</v>
      </c>
      <c r="B723" s="88" t="s">
        <v>1823</v>
      </c>
      <c r="C723" s="88" t="s">
        <v>2602</v>
      </c>
      <c r="D723" s="88" t="s">
        <v>2603</v>
      </c>
      <c r="E723" s="88" t="s">
        <v>497</v>
      </c>
      <c r="F723" s="88">
        <v>6.4</v>
      </c>
      <c r="G723" s="88">
        <v>360.0</v>
      </c>
      <c r="H723" s="89" t="s">
        <v>2604</v>
      </c>
      <c r="I723" s="28"/>
      <c r="J723" s="28"/>
    </row>
    <row r="724" ht="22.5" customHeight="1">
      <c r="A724" s="76" t="s">
        <v>2609</v>
      </c>
      <c r="B724" s="88" t="s">
        <v>1823</v>
      </c>
      <c r="C724" s="88" t="s">
        <v>2602</v>
      </c>
      <c r="D724" s="88" t="s">
        <v>2603</v>
      </c>
      <c r="E724" s="88" t="s">
        <v>1833</v>
      </c>
      <c r="F724" s="88">
        <v>6.4</v>
      </c>
      <c r="G724" s="88">
        <v>360.0</v>
      </c>
      <c r="H724" s="89" t="s">
        <v>2604</v>
      </c>
      <c r="I724" s="28"/>
      <c r="J724" s="28"/>
    </row>
    <row r="725" ht="22.5" customHeight="1">
      <c r="A725" s="76" t="s">
        <v>2610</v>
      </c>
      <c r="B725" s="88" t="s">
        <v>1823</v>
      </c>
      <c r="C725" s="88" t="s">
        <v>2602</v>
      </c>
      <c r="D725" s="88" t="s">
        <v>2603</v>
      </c>
      <c r="E725" s="88" t="s">
        <v>1844</v>
      </c>
      <c r="F725" s="88">
        <v>6.4</v>
      </c>
      <c r="G725" s="88">
        <v>360.0</v>
      </c>
      <c r="H725" s="89" t="s">
        <v>2604</v>
      </c>
      <c r="I725" s="28"/>
      <c r="J725" s="28"/>
    </row>
    <row r="726" ht="22.5" customHeight="1">
      <c r="A726" s="76" t="s">
        <v>2611</v>
      </c>
      <c r="B726" s="88" t="s">
        <v>1823</v>
      </c>
      <c r="C726" s="88" t="s">
        <v>2612</v>
      </c>
      <c r="D726" s="88" t="s">
        <v>2613</v>
      </c>
      <c r="E726" s="88" t="s">
        <v>105</v>
      </c>
      <c r="F726" s="88">
        <v>6.4</v>
      </c>
      <c r="G726" s="88">
        <v>540.0</v>
      </c>
      <c r="H726" s="89" t="s">
        <v>2614</v>
      </c>
      <c r="I726" s="28"/>
      <c r="J726" s="28"/>
    </row>
    <row r="727" ht="22.5" customHeight="1">
      <c r="A727" s="76" t="s">
        <v>2615</v>
      </c>
      <c r="B727" s="88" t="s">
        <v>1823</v>
      </c>
      <c r="C727" s="88" t="s">
        <v>2612</v>
      </c>
      <c r="D727" s="88" t="s">
        <v>2613</v>
      </c>
      <c r="E727" s="88" t="s">
        <v>103</v>
      </c>
      <c r="F727" s="88">
        <v>6.4</v>
      </c>
      <c r="G727" s="88">
        <v>540.0</v>
      </c>
      <c r="H727" s="89" t="s">
        <v>2614</v>
      </c>
      <c r="I727" s="28"/>
      <c r="J727" s="28"/>
    </row>
    <row r="728" ht="22.5" customHeight="1">
      <c r="A728" s="76" t="s">
        <v>2616</v>
      </c>
      <c r="B728" s="88" t="s">
        <v>1823</v>
      </c>
      <c r="C728" s="88" t="s">
        <v>2612</v>
      </c>
      <c r="D728" s="88" t="s">
        <v>2613</v>
      </c>
      <c r="E728" s="88" t="s">
        <v>1457</v>
      </c>
      <c r="F728" s="88">
        <v>6.4</v>
      </c>
      <c r="G728" s="88">
        <v>580.0</v>
      </c>
      <c r="H728" s="89" t="s">
        <v>2614</v>
      </c>
      <c r="I728" s="28"/>
      <c r="J728" s="28"/>
    </row>
    <row r="729" ht="22.5" customHeight="1">
      <c r="A729" s="76" t="s">
        <v>2617</v>
      </c>
      <c r="B729" s="88" t="s">
        <v>1823</v>
      </c>
      <c r="C729" s="88" t="s">
        <v>2612</v>
      </c>
      <c r="D729" s="88" t="s">
        <v>2613</v>
      </c>
      <c r="E729" s="88" t="s">
        <v>1830</v>
      </c>
      <c r="F729" s="88">
        <v>6.4</v>
      </c>
      <c r="G729" s="88">
        <v>580.0</v>
      </c>
      <c r="H729" s="89" t="s">
        <v>2614</v>
      </c>
      <c r="I729" s="28"/>
      <c r="J729" s="28"/>
    </row>
    <row r="730" ht="22.5" customHeight="1">
      <c r="A730" s="76" t="s">
        <v>2618</v>
      </c>
      <c r="B730" s="88" t="s">
        <v>1823</v>
      </c>
      <c r="C730" s="88" t="s">
        <v>2612</v>
      </c>
      <c r="D730" s="88" t="s">
        <v>2613</v>
      </c>
      <c r="E730" s="88" t="s">
        <v>497</v>
      </c>
      <c r="F730" s="88">
        <v>6.4</v>
      </c>
      <c r="G730" s="88">
        <v>855.0</v>
      </c>
      <c r="H730" s="89" t="s">
        <v>2614</v>
      </c>
      <c r="I730" s="28"/>
      <c r="J730" s="28"/>
    </row>
    <row r="731" ht="22.5" customHeight="1">
      <c r="A731" s="76" t="s">
        <v>2619</v>
      </c>
      <c r="B731" s="88" t="s">
        <v>1823</v>
      </c>
      <c r="C731" s="88" t="s">
        <v>2612</v>
      </c>
      <c r="D731" s="88" t="s">
        <v>2613</v>
      </c>
      <c r="E731" s="88" t="s">
        <v>1833</v>
      </c>
      <c r="F731" s="88">
        <v>6.4</v>
      </c>
      <c r="G731" s="88">
        <v>855.0</v>
      </c>
      <c r="H731" s="89" t="s">
        <v>2614</v>
      </c>
      <c r="I731" s="28"/>
      <c r="J731" s="28"/>
    </row>
    <row r="732" ht="22.5" customHeight="1">
      <c r="A732" s="76" t="s">
        <v>2620</v>
      </c>
      <c r="B732" s="88" t="s">
        <v>1823</v>
      </c>
      <c r="C732" s="88" t="s">
        <v>2612</v>
      </c>
      <c r="D732" s="88" t="s">
        <v>2613</v>
      </c>
      <c r="E732" s="88" t="s">
        <v>1844</v>
      </c>
      <c r="F732" s="88">
        <v>6.4</v>
      </c>
      <c r="G732" s="88">
        <v>855.0</v>
      </c>
      <c r="H732" s="89" t="s">
        <v>2614</v>
      </c>
      <c r="I732" s="28"/>
      <c r="J732" s="28"/>
    </row>
    <row r="733" ht="22.5" customHeight="1">
      <c r="A733" s="76" t="s">
        <v>2621</v>
      </c>
      <c r="B733" s="88" t="s">
        <v>1823</v>
      </c>
      <c r="C733" s="88" t="s">
        <v>2622</v>
      </c>
      <c r="D733" s="88" t="s">
        <v>2623</v>
      </c>
      <c r="E733" s="88" t="s">
        <v>105</v>
      </c>
      <c r="F733" s="88">
        <v>6.4</v>
      </c>
      <c r="G733" s="91"/>
      <c r="H733" s="89" t="s">
        <v>2624</v>
      </c>
      <c r="I733" s="28"/>
      <c r="J733" s="28"/>
    </row>
    <row r="734" ht="22.5" customHeight="1">
      <c r="A734" s="76" t="s">
        <v>2625</v>
      </c>
      <c r="B734" s="88" t="s">
        <v>1823</v>
      </c>
      <c r="C734" s="88" t="s">
        <v>2622</v>
      </c>
      <c r="D734" s="88" t="s">
        <v>2623</v>
      </c>
      <c r="E734" s="88" t="s">
        <v>103</v>
      </c>
      <c r="F734" s="88">
        <v>6.4</v>
      </c>
      <c r="G734" s="91"/>
      <c r="H734" s="89" t="s">
        <v>2624</v>
      </c>
      <c r="I734" s="28"/>
      <c r="J734" s="28"/>
    </row>
    <row r="735" ht="22.5" customHeight="1">
      <c r="A735" s="76" t="s">
        <v>2626</v>
      </c>
      <c r="B735" s="88" t="s">
        <v>1823</v>
      </c>
      <c r="C735" s="88" t="s">
        <v>2622</v>
      </c>
      <c r="D735" s="88" t="s">
        <v>2623</v>
      </c>
      <c r="E735" s="88" t="s">
        <v>1457</v>
      </c>
      <c r="F735" s="88">
        <v>6.4</v>
      </c>
      <c r="G735" s="91"/>
      <c r="H735" s="89" t="s">
        <v>2624</v>
      </c>
      <c r="I735" s="28"/>
      <c r="J735" s="28"/>
    </row>
    <row r="736" ht="22.5" customHeight="1">
      <c r="A736" s="76" t="s">
        <v>2627</v>
      </c>
      <c r="B736" s="88" t="s">
        <v>1823</v>
      </c>
      <c r="C736" s="88" t="s">
        <v>2622</v>
      </c>
      <c r="D736" s="88" t="s">
        <v>2623</v>
      </c>
      <c r="E736" s="88" t="s">
        <v>1830</v>
      </c>
      <c r="F736" s="88">
        <v>6.4</v>
      </c>
      <c r="G736" s="91"/>
      <c r="H736" s="89" t="s">
        <v>2624</v>
      </c>
      <c r="I736" s="28"/>
      <c r="J736" s="28"/>
    </row>
    <row r="737" ht="22.5" customHeight="1">
      <c r="A737" s="76" t="s">
        <v>2628</v>
      </c>
      <c r="B737" s="88" t="s">
        <v>1823</v>
      </c>
      <c r="C737" s="88" t="s">
        <v>2622</v>
      </c>
      <c r="D737" s="88" t="s">
        <v>2623</v>
      </c>
      <c r="E737" s="88" t="s">
        <v>497</v>
      </c>
      <c r="F737" s="88">
        <v>6.4</v>
      </c>
      <c r="G737" s="91"/>
      <c r="H737" s="89" t="s">
        <v>2624</v>
      </c>
      <c r="I737" s="28"/>
      <c r="J737" s="28"/>
    </row>
    <row r="738" ht="22.5" customHeight="1">
      <c r="A738" s="76" t="s">
        <v>2629</v>
      </c>
      <c r="B738" s="88" t="s">
        <v>1823</v>
      </c>
      <c r="C738" s="88" t="s">
        <v>2622</v>
      </c>
      <c r="D738" s="88" t="s">
        <v>2623</v>
      </c>
      <c r="E738" s="88" t="s">
        <v>1833</v>
      </c>
      <c r="F738" s="88">
        <v>6.4</v>
      </c>
      <c r="G738" s="91"/>
      <c r="H738" s="98" t="s">
        <v>2624</v>
      </c>
      <c r="I738" s="28"/>
      <c r="J738" s="28"/>
    </row>
    <row r="739" ht="22.5" customHeight="1">
      <c r="A739" s="76" t="s">
        <v>2630</v>
      </c>
      <c r="B739" s="88" t="s">
        <v>1823</v>
      </c>
      <c r="C739" s="88" t="s">
        <v>2622</v>
      </c>
      <c r="D739" s="88" t="s">
        <v>2623</v>
      </c>
      <c r="E739" s="88" t="s">
        <v>1844</v>
      </c>
      <c r="F739" s="88">
        <v>6.4</v>
      </c>
      <c r="G739" s="91"/>
      <c r="H739" s="89" t="s">
        <v>2624</v>
      </c>
      <c r="I739" s="28"/>
      <c r="J739" s="28"/>
    </row>
    <row r="740" ht="22.5" customHeight="1">
      <c r="A740" s="76" t="s">
        <v>2631</v>
      </c>
      <c r="B740" s="88" t="s">
        <v>2632</v>
      </c>
      <c r="C740" s="91"/>
      <c r="D740" s="88" t="s">
        <v>2633</v>
      </c>
      <c r="E740" s="88" t="s">
        <v>2634</v>
      </c>
      <c r="F740" s="88">
        <v>6.0</v>
      </c>
      <c r="G740" s="93"/>
      <c r="H740" s="92" t="s">
        <v>2635</v>
      </c>
      <c r="I740" s="28"/>
      <c r="J740" s="28"/>
    </row>
    <row r="741" ht="22.5" customHeight="1">
      <c r="A741" s="76" t="s">
        <v>2636</v>
      </c>
      <c r="B741" s="88" t="s">
        <v>2632</v>
      </c>
      <c r="C741" s="91"/>
      <c r="D741" s="88" t="s">
        <v>2633</v>
      </c>
      <c r="E741" s="88" t="s">
        <v>105</v>
      </c>
      <c r="F741" s="88">
        <v>6.0</v>
      </c>
      <c r="G741" s="93"/>
      <c r="H741" s="92" t="s">
        <v>2637</v>
      </c>
      <c r="I741" s="28"/>
      <c r="J741" s="28"/>
    </row>
    <row r="742" ht="22.5" customHeight="1">
      <c r="A742" s="76" t="s">
        <v>2638</v>
      </c>
      <c r="B742" s="88" t="s">
        <v>2632</v>
      </c>
      <c r="C742" s="91"/>
      <c r="D742" s="88" t="s">
        <v>2633</v>
      </c>
      <c r="E742" s="88" t="s">
        <v>103</v>
      </c>
      <c r="F742" s="88">
        <v>6.0</v>
      </c>
      <c r="G742" s="93"/>
      <c r="H742" s="92" t="s">
        <v>2639</v>
      </c>
      <c r="I742" s="26">
        <v>2.0</v>
      </c>
      <c r="J742" s="28"/>
    </row>
    <row r="743" ht="22.5" customHeight="1">
      <c r="A743" s="76" t="s">
        <v>2640</v>
      </c>
      <c r="B743" s="88" t="s">
        <v>2632</v>
      </c>
      <c r="C743" s="91"/>
      <c r="D743" s="88" t="s">
        <v>2633</v>
      </c>
      <c r="E743" s="88" t="s">
        <v>1457</v>
      </c>
      <c r="F743" s="88">
        <v>6.0</v>
      </c>
      <c r="G743" s="93"/>
      <c r="H743" s="92" t="s">
        <v>2641</v>
      </c>
      <c r="I743" s="28"/>
      <c r="J743" s="28"/>
    </row>
    <row r="744" ht="22.5" customHeight="1">
      <c r="A744" s="76" t="s">
        <v>2642</v>
      </c>
      <c r="B744" s="88" t="s">
        <v>2632</v>
      </c>
      <c r="C744" s="91"/>
      <c r="D744" s="88" t="s">
        <v>2633</v>
      </c>
      <c r="E744" s="88" t="s">
        <v>497</v>
      </c>
      <c r="F744" s="88">
        <v>6.0</v>
      </c>
      <c r="G744" s="88">
        <v>1355.4</v>
      </c>
      <c r="H744" s="92" t="s">
        <v>2643</v>
      </c>
      <c r="I744" s="28"/>
      <c r="J744" s="28"/>
    </row>
    <row r="745" ht="22.5" customHeight="1">
      <c r="A745" s="76" t="s">
        <v>2644</v>
      </c>
      <c r="B745" s="88" t="s">
        <v>2632</v>
      </c>
      <c r="C745" s="91"/>
      <c r="D745" s="88" t="s">
        <v>2645</v>
      </c>
      <c r="E745" s="88" t="s">
        <v>2634</v>
      </c>
      <c r="F745" s="88">
        <v>6.0</v>
      </c>
      <c r="G745" s="91"/>
      <c r="H745" s="89" t="s">
        <v>2646</v>
      </c>
      <c r="I745" s="28"/>
      <c r="J745" s="28"/>
    </row>
    <row r="746" ht="22.5" customHeight="1">
      <c r="A746" s="76" t="s">
        <v>2647</v>
      </c>
      <c r="B746" s="88" t="s">
        <v>2632</v>
      </c>
      <c r="C746" s="91"/>
      <c r="D746" s="88" t="s">
        <v>2645</v>
      </c>
      <c r="E746" s="88" t="s">
        <v>105</v>
      </c>
      <c r="F746" s="88">
        <v>6.0</v>
      </c>
      <c r="G746" s="91"/>
      <c r="H746" s="89" t="s">
        <v>2646</v>
      </c>
      <c r="I746" s="28"/>
      <c r="J746" s="28"/>
    </row>
    <row r="747" ht="22.5" customHeight="1">
      <c r="A747" s="76" t="s">
        <v>2648</v>
      </c>
      <c r="B747" s="88" t="s">
        <v>2632</v>
      </c>
      <c r="C747" s="91"/>
      <c r="D747" s="88" t="s">
        <v>2645</v>
      </c>
      <c r="E747" s="88" t="s">
        <v>103</v>
      </c>
      <c r="F747" s="88">
        <v>6.0</v>
      </c>
      <c r="G747" s="91"/>
      <c r="H747" s="89" t="s">
        <v>2646</v>
      </c>
      <c r="I747" s="28"/>
      <c r="J747" s="28"/>
    </row>
    <row r="748" ht="22.5" customHeight="1">
      <c r="A748" s="76" t="s">
        <v>2649</v>
      </c>
      <c r="B748" s="88" t="s">
        <v>2632</v>
      </c>
      <c r="C748" s="91"/>
      <c r="D748" s="88" t="s">
        <v>2645</v>
      </c>
      <c r="E748" s="88" t="s">
        <v>1457</v>
      </c>
      <c r="F748" s="88">
        <v>6.0</v>
      </c>
      <c r="G748" s="91"/>
      <c r="H748" s="89" t="s">
        <v>2646</v>
      </c>
      <c r="I748" s="26">
        <v>52.0</v>
      </c>
      <c r="J748" s="28"/>
    </row>
    <row r="749" ht="22.5" customHeight="1">
      <c r="A749" s="76" t="s">
        <v>2650</v>
      </c>
      <c r="B749" s="88" t="s">
        <v>2632</v>
      </c>
      <c r="C749" s="91"/>
      <c r="D749" s="88" t="s">
        <v>2645</v>
      </c>
      <c r="E749" s="88" t="s">
        <v>1830</v>
      </c>
      <c r="F749" s="88">
        <v>6.0</v>
      </c>
      <c r="G749" s="91"/>
      <c r="H749" s="89" t="s">
        <v>2646</v>
      </c>
      <c r="I749" s="28"/>
      <c r="J749" s="28"/>
    </row>
    <row r="750" ht="22.5" customHeight="1">
      <c r="A750" s="76" t="s">
        <v>2651</v>
      </c>
      <c r="B750" s="88" t="s">
        <v>2632</v>
      </c>
      <c r="C750" s="91"/>
      <c r="D750" s="88" t="s">
        <v>2645</v>
      </c>
      <c r="E750" s="88" t="s">
        <v>497</v>
      </c>
      <c r="F750" s="88">
        <v>6.0</v>
      </c>
      <c r="G750" s="88">
        <v>140.0</v>
      </c>
      <c r="H750" s="89" t="s">
        <v>2646</v>
      </c>
      <c r="I750" s="28"/>
      <c r="J750" s="28"/>
    </row>
    <row r="751" ht="22.5" customHeight="1">
      <c r="A751" s="76" t="s">
        <v>2652</v>
      </c>
      <c r="B751" s="88" t="s">
        <v>2632</v>
      </c>
      <c r="C751" s="91"/>
      <c r="D751" s="88" t="s">
        <v>2645</v>
      </c>
      <c r="E751" s="88" t="s">
        <v>1833</v>
      </c>
      <c r="F751" s="88">
        <v>6.0</v>
      </c>
      <c r="G751" s="91"/>
      <c r="H751" s="89" t="s">
        <v>2646</v>
      </c>
      <c r="I751" s="28"/>
      <c r="J751" s="28"/>
    </row>
    <row r="752" ht="22.5" customHeight="1">
      <c r="A752" s="76" t="s">
        <v>2653</v>
      </c>
      <c r="B752" s="88" t="s">
        <v>2632</v>
      </c>
      <c r="C752" s="91"/>
      <c r="D752" s="88" t="s">
        <v>2645</v>
      </c>
      <c r="E752" s="88" t="s">
        <v>1844</v>
      </c>
      <c r="F752" s="88">
        <v>6.0</v>
      </c>
      <c r="G752" s="91"/>
      <c r="H752" s="89" t="s">
        <v>2646</v>
      </c>
      <c r="I752" s="28"/>
      <c r="J752" s="28"/>
    </row>
    <row r="753" ht="22.5" customHeight="1">
      <c r="A753" s="76" t="s">
        <v>2654</v>
      </c>
      <c r="B753" s="88" t="s">
        <v>2632</v>
      </c>
      <c r="C753" s="91"/>
      <c r="D753" s="88" t="s">
        <v>2645</v>
      </c>
      <c r="E753" s="88" t="s">
        <v>2655</v>
      </c>
      <c r="F753" s="88">
        <v>6.0</v>
      </c>
      <c r="G753" s="91"/>
      <c r="H753" s="89" t="s">
        <v>2646</v>
      </c>
      <c r="I753" s="28"/>
      <c r="J753" s="28"/>
    </row>
    <row r="754" ht="22.5" customHeight="1">
      <c r="A754" s="76" t="s">
        <v>2656</v>
      </c>
      <c r="B754" s="88" t="s">
        <v>2632</v>
      </c>
      <c r="C754" s="91"/>
      <c r="D754" s="88" t="s">
        <v>2657</v>
      </c>
      <c r="E754" s="88" t="s">
        <v>2634</v>
      </c>
      <c r="F754" s="88">
        <v>6.0</v>
      </c>
      <c r="G754" s="91"/>
      <c r="H754" s="89" t="s">
        <v>2658</v>
      </c>
      <c r="I754" s="28"/>
      <c r="J754" s="28"/>
    </row>
    <row r="755" ht="22.5" customHeight="1">
      <c r="A755" s="76" t="s">
        <v>2659</v>
      </c>
      <c r="B755" s="88" t="s">
        <v>2632</v>
      </c>
      <c r="C755" s="91"/>
      <c r="D755" s="88" t="s">
        <v>2657</v>
      </c>
      <c r="E755" s="88" t="s">
        <v>105</v>
      </c>
      <c r="F755" s="88">
        <v>6.0</v>
      </c>
      <c r="G755" s="91"/>
      <c r="H755" s="89" t="s">
        <v>2658</v>
      </c>
      <c r="I755" s="26">
        <v>224.0</v>
      </c>
      <c r="J755" s="28"/>
    </row>
    <row r="756" ht="22.5" customHeight="1">
      <c r="A756" s="76" t="s">
        <v>2660</v>
      </c>
      <c r="B756" s="88" t="s">
        <v>2632</v>
      </c>
      <c r="C756" s="91"/>
      <c r="D756" s="88" t="s">
        <v>2657</v>
      </c>
      <c r="E756" s="88" t="s">
        <v>103</v>
      </c>
      <c r="F756" s="88">
        <v>6.0</v>
      </c>
      <c r="G756" s="91"/>
      <c r="H756" s="89" t="s">
        <v>2658</v>
      </c>
      <c r="I756" s="26">
        <v>163.0</v>
      </c>
      <c r="J756" s="28"/>
    </row>
    <row r="757" ht="22.5" customHeight="1">
      <c r="A757" s="76" t="s">
        <v>2661</v>
      </c>
      <c r="B757" s="88" t="s">
        <v>2632</v>
      </c>
      <c r="C757" s="91"/>
      <c r="D757" s="88" t="s">
        <v>2657</v>
      </c>
      <c r="E757" s="88" t="s">
        <v>1457</v>
      </c>
      <c r="F757" s="88">
        <v>6.0</v>
      </c>
      <c r="G757" s="91"/>
      <c r="H757" s="89" t="s">
        <v>2658</v>
      </c>
      <c r="I757" s="26">
        <v>148.0</v>
      </c>
      <c r="J757" s="28"/>
    </row>
    <row r="758" ht="22.5" customHeight="1">
      <c r="A758" s="76" t="s">
        <v>2662</v>
      </c>
      <c r="B758" s="88" t="s">
        <v>2632</v>
      </c>
      <c r="C758" s="91"/>
      <c r="D758" s="88" t="s">
        <v>2657</v>
      </c>
      <c r="E758" s="88" t="s">
        <v>1830</v>
      </c>
      <c r="F758" s="88">
        <v>6.0</v>
      </c>
      <c r="G758" s="91"/>
      <c r="H758" s="89" t="s">
        <v>2658</v>
      </c>
      <c r="I758" s="28"/>
      <c r="J758" s="28"/>
    </row>
    <row r="759" ht="22.5" customHeight="1">
      <c r="A759" s="76" t="s">
        <v>2663</v>
      </c>
      <c r="B759" s="88" t="s">
        <v>2632</v>
      </c>
      <c r="C759" s="91"/>
      <c r="D759" s="88" t="s">
        <v>2657</v>
      </c>
      <c r="E759" s="88" t="s">
        <v>497</v>
      </c>
      <c r="F759" s="88">
        <v>6.0</v>
      </c>
      <c r="G759" s="91"/>
      <c r="H759" s="89" t="s">
        <v>2658</v>
      </c>
      <c r="I759" s="28"/>
      <c r="J759" s="28"/>
    </row>
    <row r="760" ht="22.5" customHeight="1">
      <c r="A760" s="76" t="s">
        <v>2664</v>
      </c>
      <c r="B760" s="88" t="s">
        <v>2632</v>
      </c>
      <c r="C760" s="91"/>
      <c r="D760" s="88" t="s">
        <v>2657</v>
      </c>
      <c r="E760" s="88" t="s">
        <v>1833</v>
      </c>
      <c r="F760" s="88">
        <v>6.0</v>
      </c>
      <c r="G760" s="91"/>
      <c r="H760" s="89" t="s">
        <v>2658</v>
      </c>
      <c r="I760" s="28"/>
      <c r="J760" s="28"/>
    </row>
    <row r="761" ht="22.5" customHeight="1">
      <c r="A761" s="76" t="s">
        <v>2665</v>
      </c>
      <c r="B761" s="88" t="s">
        <v>2632</v>
      </c>
      <c r="C761" s="91"/>
      <c r="D761" s="88" t="s">
        <v>2657</v>
      </c>
      <c r="E761" s="88" t="s">
        <v>1844</v>
      </c>
      <c r="F761" s="88">
        <v>6.0</v>
      </c>
      <c r="G761" s="91"/>
      <c r="H761" s="89" t="s">
        <v>2658</v>
      </c>
      <c r="I761" s="28"/>
      <c r="J761" s="28"/>
    </row>
    <row r="762" ht="22.5" customHeight="1">
      <c r="A762" s="76" t="s">
        <v>2666</v>
      </c>
      <c r="B762" s="88" t="s">
        <v>2632</v>
      </c>
      <c r="C762" s="91"/>
      <c r="D762" s="88" t="s">
        <v>2657</v>
      </c>
      <c r="E762" s="88" t="s">
        <v>2655</v>
      </c>
      <c r="F762" s="88">
        <v>6.0</v>
      </c>
      <c r="G762" s="91"/>
      <c r="H762" s="89" t="s">
        <v>2658</v>
      </c>
      <c r="I762" s="28"/>
      <c r="J762" s="28"/>
    </row>
    <row r="763" ht="22.5" customHeight="1">
      <c r="A763" s="76" t="s">
        <v>2667</v>
      </c>
      <c r="B763" s="88" t="s">
        <v>2632</v>
      </c>
      <c r="C763" s="91"/>
      <c r="D763" s="88" t="s">
        <v>2668</v>
      </c>
      <c r="E763" s="88" t="s">
        <v>2634</v>
      </c>
      <c r="F763" s="88">
        <v>6.0</v>
      </c>
      <c r="G763" s="91"/>
      <c r="H763" s="89" t="s">
        <v>2669</v>
      </c>
      <c r="I763" s="28"/>
      <c r="J763" s="28"/>
    </row>
    <row r="764" ht="22.5" customHeight="1">
      <c r="A764" s="76" t="s">
        <v>2670</v>
      </c>
      <c r="B764" s="88" t="s">
        <v>2632</v>
      </c>
      <c r="C764" s="91"/>
      <c r="D764" s="88" t="s">
        <v>2668</v>
      </c>
      <c r="E764" s="88" t="s">
        <v>105</v>
      </c>
      <c r="F764" s="88">
        <v>6.0</v>
      </c>
      <c r="G764" s="91"/>
      <c r="H764" s="89" t="s">
        <v>2669</v>
      </c>
      <c r="I764" s="26">
        <v>10.0</v>
      </c>
      <c r="J764" s="28"/>
    </row>
    <row r="765" ht="22.5" customHeight="1">
      <c r="A765" s="76" t="s">
        <v>2671</v>
      </c>
      <c r="B765" s="88" t="s">
        <v>2632</v>
      </c>
      <c r="C765" s="91"/>
      <c r="D765" s="88" t="s">
        <v>2668</v>
      </c>
      <c r="E765" s="88" t="s">
        <v>103</v>
      </c>
      <c r="F765" s="88">
        <v>6.0</v>
      </c>
      <c r="G765" s="91"/>
      <c r="H765" s="89" t="s">
        <v>2669</v>
      </c>
      <c r="I765" s="28"/>
      <c r="J765" s="28"/>
    </row>
    <row r="766" ht="22.5" customHeight="1">
      <c r="A766" s="76" t="s">
        <v>2672</v>
      </c>
      <c r="B766" s="88" t="s">
        <v>2632</v>
      </c>
      <c r="C766" s="91"/>
      <c r="D766" s="88" t="s">
        <v>2668</v>
      </c>
      <c r="E766" s="88" t="s">
        <v>1457</v>
      </c>
      <c r="F766" s="88">
        <v>6.0</v>
      </c>
      <c r="G766" s="91"/>
      <c r="H766" s="89" t="s">
        <v>2669</v>
      </c>
      <c r="I766" s="26">
        <v>28.0</v>
      </c>
      <c r="J766" s="28"/>
    </row>
    <row r="767" ht="22.5" customHeight="1">
      <c r="A767" s="76" t="s">
        <v>2673</v>
      </c>
      <c r="B767" s="88" t="s">
        <v>2632</v>
      </c>
      <c r="C767" s="91"/>
      <c r="D767" s="88" t="s">
        <v>2668</v>
      </c>
      <c r="E767" s="88" t="s">
        <v>1830</v>
      </c>
      <c r="F767" s="88">
        <v>6.0</v>
      </c>
      <c r="G767" s="91"/>
      <c r="H767" s="89" t="s">
        <v>2669</v>
      </c>
      <c r="I767" s="28"/>
      <c r="J767" s="28"/>
    </row>
    <row r="768" ht="22.5" customHeight="1">
      <c r="A768" s="76" t="s">
        <v>2674</v>
      </c>
      <c r="B768" s="88" t="s">
        <v>2632</v>
      </c>
      <c r="C768" s="91"/>
      <c r="D768" s="88" t="s">
        <v>2668</v>
      </c>
      <c r="E768" s="88" t="s">
        <v>497</v>
      </c>
      <c r="F768" s="88">
        <v>6.0</v>
      </c>
      <c r="G768" s="91"/>
      <c r="H768" s="89" t="s">
        <v>2669</v>
      </c>
      <c r="I768" s="28"/>
      <c r="J768" s="28"/>
    </row>
    <row r="769" ht="22.5" customHeight="1">
      <c r="A769" s="76" t="s">
        <v>2675</v>
      </c>
      <c r="B769" s="88" t="s">
        <v>2632</v>
      </c>
      <c r="C769" s="91"/>
      <c r="D769" s="88" t="s">
        <v>2668</v>
      </c>
      <c r="E769" s="88" t="s">
        <v>1833</v>
      </c>
      <c r="F769" s="88">
        <v>6.0</v>
      </c>
      <c r="G769" s="91"/>
      <c r="H769" s="89" t="s">
        <v>2669</v>
      </c>
      <c r="I769" s="28"/>
      <c r="J769" s="28"/>
    </row>
    <row r="770" ht="22.5" customHeight="1">
      <c r="A770" s="76" t="s">
        <v>2676</v>
      </c>
      <c r="B770" s="88" t="s">
        <v>2632</v>
      </c>
      <c r="C770" s="91"/>
      <c r="D770" s="88" t="s">
        <v>2668</v>
      </c>
      <c r="E770" s="88" t="s">
        <v>1844</v>
      </c>
      <c r="F770" s="88">
        <v>6.0</v>
      </c>
      <c r="G770" s="91"/>
      <c r="H770" s="89" t="s">
        <v>2669</v>
      </c>
      <c r="I770" s="28"/>
      <c r="J770" s="28"/>
    </row>
    <row r="771" ht="22.5" customHeight="1">
      <c r="A771" s="76" t="s">
        <v>2677</v>
      </c>
      <c r="B771" s="88" t="s">
        <v>2632</v>
      </c>
      <c r="C771" s="91"/>
      <c r="D771" s="88" t="s">
        <v>2668</v>
      </c>
      <c r="E771" s="88" t="s">
        <v>2655</v>
      </c>
      <c r="F771" s="88">
        <v>6.0</v>
      </c>
      <c r="G771" s="91"/>
      <c r="H771" s="89" t="s">
        <v>2669</v>
      </c>
      <c r="I771" s="28"/>
      <c r="J771" s="28"/>
    </row>
    <row r="772" ht="22.5" customHeight="1">
      <c r="A772" s="76" t="s">
        <v>2678</v>
      </c>
      <c r="B772" s="88" t="s">
        <v>2632</v>
      </c>
      <c r="C772" s="91"/>
      <c r="D772" s="88" t="s">
        <v>2679</v>
      </c>
      <c r="E772" s="88" t="s">
        <v>2634</v>
      </c>
      <c r="F772" s="88">
        <v>6.0</v>
      </c>
      <c r="G772" s="91"/>
      <c r="H772" s="98" t="s">
        <v>2680</v>
      </c>
      <c r="I772" s="28"/>
      <c r="J772" s="28"/>
    </row>
    <row r="773" ht="22.5" customHeight="1">
      <c r="A773" s="76" t="s">
        <v>2681</v>
      </c>
      <c r="B773" s="88" t="s">
        <v>2632</v>
      </c>
      <c r="C773" s="91"/>
      <c r="D773" s="88" t="s">
        <v>2679</v>
      </c>
      <c r="E773" s="88" t="s">
        <v>105</v>
      </c>
      <c r="F773" s="88">
        <v>6.0</v>
      </c>
      <c r="G773" s="91"/>
      <c r="H773" s="98" t="s">
        <v>2680</v>
      </c>
      <c r="I773" s="26">
        <v>35.0</v>
      </c>
      <c r="J773" s="28"/>
    </row>
    <row r="774" ht="22.5" customHeight="1">
      <c r="A774" s="76" t="s">
        <v>2682</v>
      </c>
      <c r="B774" s="88" t="s">
        <v>2632</v>
      </c>
      <c r="C774" s="91"/>
      <c r="D774" s="88" t="s">
        <v>2679</v>
      </c>
      <c r="E774" s="88" t="s">
        <v>103</v>
      </c>
      <c r="F774" s="88">
        <v>6.0</v>
      </c>
      <c r="G774" s="91"/>
      <c r="H774" s="98" t="s">
        <v>2680</v>
      </c>
      <c r="I774" s="26">
        <v>30.0</v>
      </c>
      <c r="J774" s="28"/>
    </row>
    <row r="775" ht="22.5" customHeight="1">
      <c r="A775" s="76" t="s">
        <v>2683</v>
      </c>
      <c r="B775" s="88" t="s">
        <v>2632</v>
      </c>
      <c r="C775" s="91"/>
      <c r="D775" s="88" t="s">
        <v>2679</v>
      </c>
      <c r="E775" s="88" t="s">
        <v>1457</v>
      </c>
      <c r="F775" s="88">
        <v>6.0</v>
      </c>
      <c r="G775" s="91"/>
      <c r="H775" s="98" t="s">
        <v>2680</v>
      </c>
      <c r="I775" s="26">
        <v>28.0</v>
      </c>
      <c r="J775" s="28"/>
    </row>
    <row r="776" ht="22.5" customHeight="1">
      <c r="A776" s="76" t="s">
        <v>2684</v>
      </c>
      <c r="B776" s="88" t="s">
        <v>2632</v>
      </c>
      <c r="C776" s="91"/>
      <c r="D776" s="88" t="s">
        <v>2679</v>
      </c>
      <c r="E776" s="88" t="s">
        <v>1830</v>
      </c>
      <c r="F776" s="88">
        <v>6.0</v>
      </c>
      <c r="G776" s="91"/>
      <c r="H776" s="98" t="s">
        <v>2680</v>
      </c>
      <c r="I776" s="28"/>
      <c r="J776" s="28"/>
    </row>
    <row r="777" ht="22.5" customHeight="1">
      <c r="A777" s="76" t="s">
        <v>2685</v>
      </c>
      <c r="B777" s="88" t="s">
        <v>2632</v>
      </c>
      <c r="C777" s="91"/>
      <c r="D777" s="88" t="s">
        <v>2679</v>
      </c>
      <c r="E777" s="88" t="s">
        <v>497</v>
      </c>
      <c r="F777" s="88">
        <v>6.0</v>
      </c>
      <c r="G777" s="91"/>
      <c r="H777" s="98" t="s">
        <v>2680</v>
      </c>
      <c r="I777" s="28"/>
      <c r="J777" s="28"/>
    </row>
    <row r="778" ht="22.5" customHeight="1">
      <c r="A778" s="76" t="s">
        <v>2686</v>
      </c>
      <c r="B778" s="88" t="s">
        <v>2632</v>
      </c>
      <c r="C778" s="91"/>
      <c r="D778" s="88" t="s">
        <v>2679</v>
      </c>
      <c r="E778" s="88" t="s">
        <v>1833</v>
      </c>
      <c r="F778" s="88">
        <v>6.0</v>
      </c>
      <c r="G778" s="91"/>
      <c r="H778" s="98" t="s">
        <v>2680</v>
      </c>
      <c r="I778" s="28"/>
      <c r="J778" s="28"/>
    </row>
    <row r="779" ht="22.5" customHeight="1">
      <c r="A779" s="76" t="s">
        <v>2687</v>
      </c>
      <c r="B779" s="88" t="s">
        <v>2632</v>
      </c>
      <c r="C779" s="91"/>
      <c r="D779" s="88" t="s">
        <v>2679</v>
      </c>
      <c r="E779" s="88" t="s">
        <v>1844</v>
      </c>
      <c r="F779" s="88">
        <v>6.0</v>
      </c>
      <c r="G779" s="91"/>
      <c r="H779" s="98" t="s">
        <v>2680</v>
      </c>
      <c r="I779" s="28"/>
      <c r="J779" s="28"/>
    </row>
    <row r="780" ht="22.5" customHeight="1">
      <c r="A780" s="76" t="s">
        <v>2688</v>
      </c>
      <c r="B780" s="88" t="s">
        <v>2632</v>
      </c>
      <c r="C780" s="91"/>
      <c r="D780" s="88" t="s">
        <v>2679</v>
      </c>
      <c r="E780" s="88" t="s">
        <v>2655</v>
      </c>
      <c r="F780" s="88">
        <v>6.0</v>
      </c>
      <c r="G780" s="91"/>
      <c r="H780" s="98" t="s">
        <v>2680</v>
      </c>
      <c r="I780" s="28"/>
      <c r="J780" s="28"/>
    </row>
    <row r="781" ht="22.5" customHeight="1">
      <c r="A781" s="76" t="s">
        <v>2689</v>
      </c>
      <c r="B781" s="88" t="s">
        <v>2632</v>
      </c>
      <c r="C781" s="91"/>
      <c r="D781" s="88" t="s">
        <v>2690</v>
      </c>
      <c r="E781" s="88" t="s">
        <v>2634</v>
      </c>
      <c r="F781" s="88">
        <v>6.0</v>
      </c>
      <c r="G781" s="91"/>
      <c r="H781" s="89" t="s">
        <v>2691</v>
      </c>
      <c r="I781" s="28"/>
      <c r="J781" s="28"/>
    </row>
    <row r="782" ht="22.5" customHeight="1">
      <c r="A782" s="76" t="s">
        <v>2692</v>
      </c>
      <c r="B782" s="88" t="s">
        <v>2632</v>
      </c>
      <c r="C782" s="91"/>
      <c r="D782" s="88" t="s">
        <v>2690</v>
      </c>
      <c r="E782" s="88" t="s">
        <v>105</v>
      </c>
      <c r="F782" s="88">
        <v>6.0</v>
      </c>
      <c r="G782" s="91"/>
      <c r="H782" s="89" t="s">
        <v>2691</v>
      </c>
      <c r="I782" s="28"/>
      <c r="J782" s="28"/>
    </row>
    <row r="783" ht="22.5" customHeight="1">
      <c r="A783" s="76" t="s">
        <v>2693</v>
      </c>
      <c r="B783" s="88" t="s">
        <v>2632</v>
      </c>
      <c r="C783" s="91"/>
      <c r="D783" s="88" t="s">
        <v>2690</v>
      </c>
      <c r="E783" s="88" t="s">
        <v>103</v>
      </c>
      <c r="F783" s="88">
        <v>6.0</v>
      </c>
      <c r="G783" s="91"/>
      <c r="H783" s="89" t="s">
        <v>2691</v>
      </c>
      <c r="I783" s="28"/>
      <c r="J783" s="28"/>
    </row>
    <row r="784" ht="22.5" customHeight="1">
      <c r="A784" s="76" t="s">
        <v>2694</v>
      </c>
      <c r="B784" s="88" t="s">
        <v>2632</v>
      </c>
      <c r="C784" s="91"/>
      <c r="D784" s="88" t="s">
        <v>2690</v>
      </c>
      <c r="E784" s="88" t="s">
        <v>1457</v>
      </c>
      <c r="F784" s="88">
        <v>6.0</v>
      </c>
      <c r="G784" s="91"/>
      <c r="H784" s="89" t="s">
        <v>2691</v>
      </c>
      <c r="I784" s="28"/>
      <c r="J784" s="28"/>
    </row>
    <row r="785" ht="22.5" customHeight="1">
      <c r="A785" s="76" t="s">
        <v>2695</v>
      </c>
      <c r="B785" s="88" t="s">
        <v>2632</v>
      </c>
      <c r="C785" s="91"/>
      <c r="D785" s="88" t="s">
        <v>2690</v>
      </c>
      <c r="E785" s="88" t="s">
        <v>1830</v>
      </c>
      <c r="F785" s="88">
        <v>6.0</v>
      </c>
      <c r="G785" s="91"/>
      <c r="H785" s="89" t="s">
        <v>2691</v>
      </c>
      <c r="I785" s="28"/>
      <c r="J785" s="28"/>
    </row>
    <row r="786" ht="22.5" customHeight="1">
      <c r="A786" s="76" t="s">
        <v>2696</v>
      </c>
      <c r="B786" s="88" t="s">
        <v>2632</v>
      </c>
      <c r="C786" s="91"/>
      <c r="D786" s="88" t="s">
        <v>2690</v>
      </c>
      <c r="E786" s="88" t="s">
        <v>497</v>
      </c>
      <c r="F786" s="88">
        <v>6.0</v>
      </c>
      <c r="G786" s="91"/>
      <c r="H786" s="89" t="s">
        <v>2691</v>
      </c>
      <c r="I786" s="28"/>
      <c r="J786" s="28"/>
    </row>
    <row r="787" ht="22.5" customHeight="1">
      <c r="A787" s="76" t="s">
        <v>2697</v>
      </c>
      <c r="B787" s="88" t="s">
        <v>2632</v>
      </c>
      <c r="C787" s="91"/>
      <c r="D787" s="88" t="s">
        <v>2690</v>
      </c>
      <c r="E787" s="88" t="s">
        <v>1833</v>
      </c>
      <c r="F787" s="88">
        <v>6.0</v>
      </c>
      <c r="G787" s="91"/>
      <c r="H787" s="89" t="s">
        <v>2691</v>
      </c>
      <c r="I787" s="28"/>
      <c r="J787" s="28"/>
    </row>
    <row r="788" ht="22.5" customHeight="1">
      <c r="A788" s="76" t="s">
        <v>2698</v>
      </c>
      <c r="B788" s="88" t="s">
        <v>2632</v>
      </c>
      <c r="C788" s="91"/>
      <c r="D788" s="88" t="s">
        <v>2690</v>
      </c>
      <c r="E788" s="88" t="s">
        <v>1844</v>
      </c>
      <c r="F788" s="88">
        <v>6.0</v>
      </c>
      <c r="G788" s="91"/>
      <c r="H788" s="89" t="s">
        <v>2691</v>
      </c>
      <c r="I788" s="28"/>
      <c r="J788" s="28"/>
    </row>
    <row r="789" ht="22.5" customHeight="1">
      <c r="A789" s="76" t="s">
        <v>2699</v>
      </c>
      <c r="B789" s="88" t="s">
        <v>2632</v>
      </c>
      <c r="C789" s="91"/>
      <c r="D789" s="88" t="s">
        <v>2690</v>
      </c>
      <c r="E789" s="88" t="s">
        <v>2655</v>
      </c>
      <c r="F789" s="88">
        <v>6.0</v>
      </c>
      <c r="G789" s="88">
        <v>105.0</v>
      </c>
      <c r="H789" s="89" t="s">
        <v>2691</v>
      </c>
      <c r="I789" s="28"/>
      <c r="J789" s="28"/>
    </row>
    <row r="790" ht="22.5" customHeight="1">
      <c r="A790" s="76" t="s">
        <v>2700</v>
      </c>
      <c r="B790" s="88" t="s">
        <v>2632</v>
      </c>
      <c r="C790" s="91"/>
      <c r="D790" s="88" t="s">
        <v>2701</v>
      </c>
      <c r="E790" s="88" t="s">
        <v>2634</v>
      </c>
      <c r="F790" s="88">
        <v>6.0</v>
      </c>
      <c r="G790" s="91"/>
      <c r="H790" s="89" t="s">
        <v>2702</v>
      </c>
      <c r="I790" s="28"/>
      <c r="J790" s="28"/>
    </row>
    <row r="791" ht="22.5" customHeight="1">
      <c r="A791" s="76" t="s">
        <v>2703</v>
      </c>
      <c r="B791" s="88" t="s">
        <v>2632</v>
      </c>
      <c r="C791" s="91"/>
      <c r="D791" s="88" t="s">
        <v>2701</v>
      </c>
      <c r="E791" s="88" t="s">
        <v>105</v>
      </c>
      <c r="F791" s="88">
        <v>6.0</v>
      </c>
      <c r="G791" s="91"/>
      <c r="H791" s="89" t="s">
        <v>2702</v>
      </c>
      <c r="I791" s="28"/>
      <c r="J791" s="28"/>
    </row>
    <row r="792" ht="22.5" customHeight="1">
      <c r="A792" s="76" t="s">
        <v>2704</v>
      </c>
      <c r="B792" s="88" t="s">
        <v>2632</v>
      </c>
      <c r="C792" s="91"/>
      <c r="D792" s="88" t="s">
        <v>2701</v>
      </c>
      <c r="E792" s="88" t="s">
        <v>103</v>
      </c>
      <c r="F792" s="88">
        <v>6.0</v>
      </c>
      <c r="G792" s="91"/>
      <c r="H792" s="89" t="s">
        <v>2702</v>
      </c>
      <c r="I792" s="28"/>
      <c r="J792" s="28"/>
    </row>
    <row r="793" ht="22.5" customHeight="1">
      <c r="A793" s="76" t="s">
        <v>2705</v>
      </c>
      <c r="B793" s="88" t="s">
        <v>2632</v>
      </c>
      <c r="C793" s="91"/>
      <c r="D793" s="88" t="s">
        <v>2701</v>
      </c>
      <c r="E793" s="88" t="s">
        <v>1457</v>
      </c>
      <c r="F793" s="88">
        <v>6.0</v>
      </c>
      <c r="G793" s="91"/>
      <c r="H793" s="89" t="s">
        <v>2702</v>
      </c>
      <c r="I793" s="28"/>
      <c r="J793" s="28"/>
    </row>
    <row r="794" ht="22.5" customHeight="1">
      <c r="A794" s="76" t="s">
        <v>2706</v>
      </c>
      <c r="B794" s="88" t="s">
        <v>2632</v>
      </c>
      <c r="C794" s="91"/>
      <c r="D794" s="88" t="s">
        <v>2701</v>
      </c>
      <c r="E794" s="88" t="s">
        <v>1830</v>
      </c>
      <c r="F794" s="88">
        <v>6.0</v>
      </c>
      <c r="G794" s="91"/>
      <c r="H794" s="89" t="s">
        <v>2702</v>
      </c>
      <c r="I794" s="28"/>
      <c r="J794" s="28"/>
    </row>
    <row r="795" ht="22.5" customHeight="1">
      <c r="A795" s="76" t="s">
        <v>2707</v>
      </c>
      <c r="B795" s="88" t="s">
        <v>2632</v>
      </c>
      <c r="C795" s="91"/>
      <c r="D795" s="88" t="s">
        <v>2701</v>
      </c>
      <c r="E795" s="88" t="s">
        <v>497</v>
      </c>
      <c r="F795" s="88">
        <v>6.0</v>
      </c>
      <c r="G795" s="91"/>
      <c r="H795" s="89" t="s">
        <v>2702</v>
      </c>
      <c r="I795" s="28"/>
      <c r="J795" s="28"/>
    </row>
    <row r="796" ht="22.5" customHeight="1">
      <c r="A796" s="76" t="s">
        <v>2708</v>
      </c>
      <c r="B796" s="88" t="s">
        <v>2632</v>
      </c>
      <c r="C796" s="91"/>
      <c r="D796" s="88" t="s">
        <v>2701</v>
      </c>
      <c r="E796" s="88" t="s">
        <v>1833</v>
      </c>
      <c r="F796" s="88">
        <v>6.0</v>
      </c>
      <c r="G796" s="91"/>
      <c r="H796" s="89" t="s">
        <v>2702</v>
      </c>
      <c r="I796" s="28"/>
      <c r="J796" s="28"/>
    </row>
    <row r="797" ht="22.5" customHeight="1">
      <c r="A797" s="76" t="s">
        <v>2709</v>
      </c>
      <c r="B797" s="88" t="s">
        <v>2632</v>
      </c>
      <c r="C797" s="91"/>
      <c r="D797" s="88" t="s">
        <v>2701</v>
      </c>
      <c r="E797" s="88" t="s">
        <v>1844</v>
      </c>
      <c r="F797" s="88">
        <v>6.0</v>
      </c>
      <c r="G797" s="91"/>
      <c r="H797" s="89" t="s">
        <v>2702</v>
      </c>
      <c r="I797" s="28"/>
      <c r="J797" s="28"/>
    </row>
    <row r="798" ht="22.5" customHeight="1">
      <c r="A798" s="76" t="s">
        <v>2710</v>
      </c>
      <c r="B798" s="88" t="s">
        <v>2632</v>
      </c>
      <c r="C798" s="91"/>
      <c r="D798" s="88" t="s">
        <v>2701</v>
      </c>
      <c r="E798" s="88" t="s">
        <v>2655</v>
      </c>
      <c r="F798" s="88">
        <v>6.0</v>
      </c>
      <c r="G798" s="91"/>
      <c r="H798" s="89" t="s">
        <v>2702</v>
      </c>
      <c r="I798" s="28"/>
      <c r="J798" s="28"/>
    </row>
    <row r="799" ht="22.5" customHeight="1">
      <c r="A799" s="76" t="s">
        <v>2711</v>
      </c>
      <c r="B799" s="88" t="s">
        <v>2632</v>
      </c>
      <c r="C799" s="91"/>
      <c r="D799" s="88" t="s">
        <v>2712</v>
      </c>
      <c r="E799" s="88" t="s">
        <v>2634</v>
      </c>
      <c r="F799" s="88">
        <v>6.0</v>
      </c>
      <c r="G799" s="91"/>
      <c r="H799" s="89" t="s">
        <v>2713</v>
      </c>
      <c r="I799" s="28"/>
      <c r="J799" s="28"/>
    </row>
    <row r="800" ht="22.5" customHeight="1">
      <c r="A800" s="76" t="s">
        <v>2714</v>
      </c>
      <c r="B800" s="88" t="s">
        <v>2632</v>
      </c>
      <c r="C800" s="91"/>
      <c r="D800" s="88" t="s">
        <v>2712</v>
      </c>
      <c r="E800" s="88" t="s">
        <v>105</v>
      </c>
      <c r="F800" s="88">
        <v>6.0</v>
      </c>
      <c r="G800" s="91"/>
      <c r="H800" s="89" t="s">
        <v>2713</v>
      </c>
      <c r="I800" s="26">
        <v>65.0</v>
      </c>
      <c r="J800" s="28"/>
    </row>
    <row r="801" ht="22.5" customHeight="1">
      <c r="A801" s="76" t="s">
        <v>2715</v>
      </c>
      <c r="B801" s="88" t="s">
        <v>2632</v>
      </c>
      <c r="C801" s="91"/>
      <c r="D801" s="88" t="s">
        <v>2712</v>
      </c>
      <c r="E801" s="88" t="s">
        <v>103</v>
      </c>
      <c r="F801" s="88">
        <v>6.0</v>
      </c>
      <c r="G801" s="91"/>
      <c r="H801" s="89" t="s">
        <v>2713</v>
      </c>
      <c r="I801" s="26">
        <v>51.0</v>
      </c>
      <c r="J801" s="28"/>
    </row>
    <row r="802" ht="22.5" customHeight="1">
      <c r="A802" s="76" t="s">
        <v>2716</v>
      </c>
      <c r="B802" s="88" t="s">
        <v>2632</v>
      </c>
      <c r="C802" s="91"/>
      <c r="D802" s="88" t="s">
        <v>2712</v>
      </c>
      <c r="E802" s="88" t="s">
        <v>1457</v>
      </c>
      <c r="F802" s="88">
        <v>6.0</v>
      </c>
      <c r="G802" s="91"/>
      <c r="H802" s="89" t="s">
        <v>2713</v>
      </c>
      <c r="I802" s="26">
        <v>24.0</v>
      </c>
      <c r="J802" s="28"/>
    </row>
    <row r="803" ht="22.5" customHeight="1">
      <c r="A803" s="76" t="s">
        <v>2717</v>
      </c>
      <c r="B803" s="88" t="s">
        <v>2632</v>
      </c>
      <c r="C803" s="91"/>
      <c r="D803" s="88" t="s">
        <v>2712</v>
      </c>
      <c r="E803" s="88" t="s">
        <v>1830</v>
      </c>
      <c r="F803" s="88">
        <v>6.0</v>
      </c>
      <c r="G803" s="91"/>
      <c r="H803" s="89" t="s">
        <v>2713</v>
      </c>
      <c r="I803" s="28"/>
      <c r="J803" s="28"/>
    </row>
    <row r="804" ht="22.5" customHeight="1">
      <c r="A804" s="76" t="s">
        <v>2718</v>
      </c>
      <c r="B804" s="88" t="s">
        <v>2632</v>
      </c>
      <c r="C804" s="91"/>
      <c r="D804" s="88" t="s">
        <v>2712</v>
      </c>
      <c r="E804" s="88" t="s">
        <v>497</v>
      </c>
      <c r="F804" s="88">
        <v>6.0</v>
      </c>
      <c r="G804" s="88">
        <v>837.81</v>
      </c>
      <c r="H804" s="89" t="s">
        <v>2713</v>
      </c>
      <c r="I804" s="26">
        <v>18.0</v>
      </c>
      <c r="J804" s="28"/>
    </row>
    <row r="805" ht="22.5" customHeight="1">
      <c r="A805" s="76" t="s">
        <v>2719</v>
      </c>
      <c r="B805" s="88" t="s">
        <v>2632</v>
      </c>
      <c r="C805" s="91"/>
      <c r="D805" s="88" t="s">
        <v>2712</v>
      </c>
      <c r="E805" s="88" t="s">
        <v>1833</v>
      </c>
      <c r="F805" s="88">
        <v>6.0</v>
      </c>
      <c r="G805" s="91"/>
      <c r="H805" s="89" t="s">
        <v>2713</v>
      </c>
      <c r="I805" s="28"/>
      <c r="J805" s="28"/>
    </row>
    <row r="806" ht="22.5" customHeight="1">
      <c r="A806" s="76" t="s">
        <v>2720</v>
      </c>
      <c r="B806" s="88" t="s">
        <v>2632</v>
      </c>
      <c r="C806" s="91"/>
      <c r="D806" s="88" t="s">
        <v>2712</v>
      </c>
      <c r="E806" s="88" t="s">
        <v>1844</v>
      </c>
      <c r="F806" s="88">
        <v>6.0</v>
      </c>
      <c r="G806" s="91"/>
      <c r="H806" s="89" t="s">
        <v>2713</v>
      </c>
      <c r="I806" s="28"/>
      <c r="J806" s="28"/>
    </row>
    <row r="807" ht="22.5" customHeight="1">
      <c r="A807" s="76" t="s">
        <v>2721</v>
      </c>
      <c r="B807" s="88" t="s">
        <v>2632</v>
      </c>
      <c r="C807" s="91"/>
      <c r="D807" s="88" t="s">
        <v>2712</v>
      </c>
      <c r="E807" s="88" t="s">
        <v>2655</v>
      </c>
      <c r="F807" s="88">
        <v>6.0</v>
      </c>
      <c r="G807" s="91"/>
      <c r="H807" s="89" t="s">
        <v>2713</v>
      </c>
      <c r="I807" s="28"/>
      <c r="J807" s="28"/>
    </row>
    <row r="808" ht="22.5" customHeight="1">
      <c r="A808" s="76" t="s">
        <v>2722</v>
      </c>
      <c r="B808" s="88" t="s">
        <v>2632</v>
      </c>
      <c r="C808" s="91"/>
      <c r="D808" s="88" t="s">
        <v>2723</v>
      </c>
      <c r="E808" s="88" t="s">
        <v>2634</v>
      </c>
      <c r="F808" s="88">
        <v>6.0</v>
      </c>
      <c r="G808" s="91"/>
      <c r="H808" s="98" t="s">
        <v>2724</v>
      </c>
      <c r="I808" s="28"/>
      <c r="J808" s="28"/>
    </row>
    <row r="809" ht="22.5" customHeight="1">
      <c r="A809" s="76" t="s">
        <v>2725</v>
      </c>
      <c r="B809" s="88" t="s">
        <v>2632</v>
      </c>
      <c r="C809" s="91"/>
      <c r="D809" s="88" t="s">
        <v>2723</v>
      </c>
      <c r="E809" s="88" t="s">
        <v>105</v>
      </c>
      <c r="F809" s="88">
        <v>6.0</v>
      </c>
      <c r="G809" s="91"/>
      <c r="H809" s="98" t="s">
        <v>2724</v>
      </c>
      <c r="I809" s="26">
        <v>86.0</v>
      </c>
      <c r="J809" s="28"/>
    </row>
    <row r="810" ht="22.5" customHeight="1">
      <c r="A810" s="76" t="s">
        <v>2726</v>
      </c>
      <c r="B810" s="88" t="s">
        <v>2632</v>
      </c>
      <c r="C810" s="91"/>
      <c r="D810" s="88" t="s">
        <v>2723</v>
      </c>
      <c r="E810" s="88" t="s">
        <v>103</v>
      </c>
      <c r="F810" s="88">
        <v>6.0</v>
      </c>
      <c r="G810" s="91"/>
      <c r="H810" s="98" t="s">
        <v>2724</v>
      </c>
      <c r="I810" s="26">
        <v>133.0</v>
      </c>
      <c r="J810" s="28"/>
    </row>
    <row r="811" ht="22.5" customHeight="1">
      <c r="A811" s="76" t="s">
        <v>2727</v>
      </c>
      <c r="B811" s="88" t="s">
        <v>2632</v>
      </c>
      <c r="C811" s="91"/>
      <c r="D811" s="88" t="s">
        <v>2723</v>
      </c>
      <c r="E811" s="88" t="s">
        <v>1457</v>
      </c>
      <c r="F811" s="88">
        <v>6.0</v>
      </c>
      <c r="G811" s="91"/>
      <c r="H811" s="98" t="s">
        <v>2724</v>
      </c>
      <c r="I811" s="26">
        <v>94.0</v>
      </c>
      <c r="J811" s="28"/>
    </row>
    <row r="812" ht="22.5" customHeight="1">
      <c r="A812" s="76" t="s">
        <v>2728</v>
      </c>
      <c r="B812" s="88" t="s">
        <v>2632</v>
      </c>
      <c r="C812" s="91"/>
      <c r="D812" s="88" t="s">
        <v>2723</v>
      </c>
      <c r="E812" s="88" t="s">
        <v>1830</v>
      </c>
      <c r="F812" s="88">
        <v>6.0</v>
      </c>
      <c r="G812" s="91"/>
      <c r="H812" s="98" t="s">
        <v>2724</v>
      </c>
      <c r="I812" s="28"/>
      <c r="J812" s="28"/>
    </row>
    <row r="813" ht="22.5" customHeight="1">
      <c r="A813" s="76" t="s">
        <v>2729</v>
      </c>
      <c r="B813" s="88" t="s">
        <v>2632</v>
      </c>
      <c r="C813" s="91"/>
      <c r="D813" s="88" t="s">
        <v>2723</v>
      </c>
      <c r="E813" s="88" t="s">
        <v>497</v>
      </c>
      <c r="F813" s="88">
        <v>6.0</v>
      </c>
      <c r="G813" s="91"/>
      <c r="H813" s="98" t="s">
        <v>2724</v>
      </c>
      <c r="I813" s="26">
        <v>4.0</v>
      </c>
      <c r="J813" s="28"/>
    </row>
    <row r="814" ht="22.5" customHeight="1">
      <c r="A814" s="76" t="s">
        <v>2730</v>
      </c>
      <c r="B814" s="88" t="s">
        <v>2632</v>
      </c>
      <c r="C814" s="91"/>
      <c r="D814" s="88" t="s">
        <v>2723</v>
      </c>
      <c r="E814" s="88" t="s">
        <v>1833</v>
      </c>
      <c r="F814" s="88">
        <v>6.0</v>
      </c>
      <c r="G814" s="91"/>
      <c r="H814" s="98" t="s">
        <v>2724</v>
      </c>
      <c r="I814" s="28"/>
      <c r="J814" s="28"/>
    </row>
    <row r="815" ht="22.5" customHeight="1">
      <c r="A815" s="76" t="s">
        <v>2731</v>
      </c>
      <c r="B815" s="88" t="s">
        <v>2632</v>
      </c>
      <c r="C815" s="91"/>
      <c r="D815" s="88" t="s">
        <v>2723</v>
      </c>
      <c r="E815" s="88" t="s">
        <v>1844</v>
      </c>
      <c r="F815" s="88">
        <v>6.0</v>
      </c>
      <c r="G815" s="91"/>
      <c r="H815" s="98" t="s">
        <v>2724</v>
      </c>
      <c r="I815" s="28"/>
      <c r="J815" s="28"/>
    </row>
    <row r="816" ht="22.5" customHeight="1">
      <c r="A816" s="76" t="s">
        <v>2732</v>
      </c>
      <c r="B816" s="88" t="s">
        <v>2632</v>
      </c>
      <c r="C816" s="91"/>
      <c r="D816" s="88" t="s">
        <v>2723</v>
      </c>
      <c r="E816" s="88" t="s">
        <v>2655</v>
      </c>
      <c r="F816" s="88">
        <v>6.0</v>
      </c>
      <c r="G816" s="88">
        <v>761.2</v>
      </c>
      <c r="H816" s="98" t="s">
        <v>2724</v>
      </c>
      <c r="I816" s="28"/>
      <c r="J816" s="28"/>
    </row>
    <row r="817" ht="22.5" customHeight="1">
      <c r="A817" s="76" t="s">
        <v>2733</v>
      </c>
      <c r="B817" s="88" t="s">
        <v>2632</v>
      </c>
      <c r="C817" s="91"/>
      <c r="D817" s="88" t="s">
        <v>2734</v>
      </c>
      <c r="E817" s="88" t="s">
        <v>2634</v>
      </c>
      <c r="F817" s="88">
        <v>6.0</v>
      </c>
      <c r="G817" s="91"/>
      <c r="H817" s="89" t="s">
        <v>2735</v>
      </c>
      <c r="I817" s="26">
        <v>50.0</v>
      </c>
      <c r="J817" s="28"/>
    </row>
    <row r="818" ht="22.5" customHeight="1">
      <c r="A818" s="76" t="s">
        <v>2736</v>
      </c>
      <c r="B818" s="88" t="s">
        <v>2632</v>
      </c>
      <c r="C818" s="91"/>
      <c r="D818" s="88" t="s">
        <v>2734</v>
      </c>
      <c r="E818" s="88" t="s">
        <v>105</v>
      </c>
      <c r="F818" s="88">
        <v>6.0</v>
      </c>
      <c r="G818" s="91"/>
      <c r="H818" s="89" t="s">
        <v>2735</v>
      </c>
      <c r="I818" s="26">
        <v>100.0</v>
      </c>
      <c r="J818" s="28"/>
    </row>
    <row r="819" ht="22.5" customHeight="1">
      <c r="A819" s="76" t="s">
        <v>2737</v>
      </c>
      <c r="B819" s="88" t="s">
        <v>2632</v>
      </c>
      <c r="C819" s="91"/>
      <c r="D819" s="88" t="s">
        <v>2734</v>
      </c>
      <c r="E819" s="88" t="s">
        <v>103</v>
      </c>
      <c r="F819" s="88">
        <v>6.0</v>
      </c>
      <c r="G819" s="91"/>
      <c r="H819" s="89" t="s">
        <v>2735</v>
      </c>
      <c r="I819" s="26">
        <v>159.0</v>
      </c>
      <c r="J819" s="28"/>
    </row>
    <row r="820" ht="22.5" customHeight="1">
      <c r="A820" s="76" t="s">
        <v>2738</v>
      </c>
      <c r="B820" s="88" t="s">
        <v>2632</v>
      </c>
      <c r="C820" s="91"/>
      <c r="D820" s="88" t="s">
        <v>2734</v>
      </c>
      <c r="E820" s="88" t="s">
        <v>1457</v>
      </c>
      <c r="F820" s="88">
        <v>6.0</v>
      </c>
      <c r="G820" s="91"/>
      <c r="H820" s="89" t="s">
        <v>2735</v>
      </c>
      <c r="I820" s="26">
        <v>69.0</v>
      </c>
      <c r="J820" s="28"/>
    </row>
    <row r="821" ht="22.5" customHeight="1">
      <c r="A821" s="76" t="s">
        <v>2739</v>
      </c>
      <c r="B821" s="88" t="s">
        <v>2632</v>
      </c>
      <c r="C821" s="91"/>
      <c r="D821" s="88" t="s">
        <v>2734</v>
      </c>
      <c r="E821" s="88" t="s">
        <v>1830</v>
      </c>
      <c r="F821" s="88">
        <v>6.0</v>
      </c>
      <c r="G821" s="91"/>
      <c r="H821" s="89" t="s">
        <v>2735</v>
      </c>
      <c r="I821" s="28"/>
      <c r="J821" s="28"/>
    </row>
    <row r="822" ht="22.5" customHeight="1">
      <c r="A822" s="76" t="s">
        <v>2740</v>
      </c>
      <c r="B822" s="88" t="s">
        <v>2632</v>
      </c>
      <c r="C822" s="91"/>
      <c r="D822" s="88" t="s">
        <v>2734</v>
      </c>
      <c r="E822" s="88" t="s">
        <v>497</v>
      </c>
      <c r="F822" s="88">
        <v>6.0</v>
      </c>
      <c r="G822" s="88">
        <v>1394.0</v>
      </c>
      <c r="H822" s="89" t="s">
        <v>2735</v>
      </c>
      <c r="I822" s="26">
        <v>12.0</v>
      </c>
      <c r="J822" s="28"/>
    </row>
    <row r="823" ht="22.5" customHeight="1">
      <c r="A823" s="76" t="s">
        <v>2741</v>
      </c>
      <c r="B823" s="88" t="s">
        <v>2632</v>
      </c>
      <c r="C823" s="91"/>
      <c r="D823" s="88" t="s">
        <v>2734</v>
      </c>
      <c r="E823" s="88" t="s">
        <v>1833</v>
      </c>
      <c r="F823" s="88">
        <v>6.0</v>
      </c>
      <c r="G823" s="88" t="s">
        <v>2742</v>
      </c>
      <c r="H823" s="89" t="s">
        <v>2735</v>
      </c>
      <c r="I823" s="28"/>
      <c r="J823" s="28"/>
    </row>
    <row r="824" ht="22.5" customHeight="1">
      <c r="A824" s="76" t="s">
        <v>2743</v>
      </c>
      <c r="B824" s="88" t="s">
        <v>2632</v>
      </c>
      <c r="C824" s="91"/>
      <c r="D824" s="88" t="s">
        <v>2734</v>
      </c>
      <c r="E824" s="88" t="s">
        <v>1844</v>
      </c>
      <c r="F824" s="88">
        <v>6.0</v>
      </c>
      <c r="G824" s="91"/>
      <c r="H824" s="89" t="s">
        <v>2735</v>
      </c>
      <c r="I824" s="28"/>
      <c r="J824" s="28"/>
    </row>
    <row r="825" ht="22.5" customHeight="1">
      <c r="A825" s="76" t="s">
        <v>2744</v>
      </c>
      <c r="B825" s="88" t="s">
        <v>2632</v>
      </c>
      <c r="C825" s="91"/>
      <c r="D825" s="88" t="s">
        <v>2734</v>
      </c>
      <c r="E825" s="88" t="s">
        <v>2655</v>
      </c>
      <c r="F825" s="88">
        <v>6.0</v>
      </c>
      <c r="G825" s="88">
        <v>882.3</v>
      </c>
      <c r="H825" s="89" t="s">
        <v>2735</v>
      </c>
      <c r="I825" s="28"/>
      <c r="J825" s="28"/>
    </row>
    <row r="826" ht="22.5" customHeight="1">
      <c r="A826" s="76" t="s">
        <v>2745</v>
      </c>
      <c r="B826" s="88" t="s">
        <v>2632</v>
      </c>
      <c r="C826" s="91"/>
      <c r="D826" s="88" t="s">
        <v>2746</v>
      </c>
      <c r="E826" s="88" t="s">
        <v>2634</v>
      </c>
      <c r="F826" s="88">
        <v>6.0</v>
      </c>
      <c r="G826" s="91"/>
      <c r="H826" s="89" t="s">
        <v>2747</v>
      </c>
      <c r="I826" s="28"/>
      <c r="J826" s="28"/>
    </row>
    <row r="827" ht="22.5" customHeight="1">
      <c r="A827" s="76" t="s">
        <v>2748</v>
      </c>
      <c r="B827" s="88" t="s">
        <v>2632</v>
      </c>
      <c r="C827" s="91"/>
      <c r="D827" s="88" t="s">
        <v>2746</v>
      </c>
      <c r="E827" s="88" t="s">
        <v>105</v>
      </c>
      <c r="F827" s="88">
        <v>6.0</v>
      </c>
      <c r="G827" s="91"/>
      <c r="H827" s="89" t="s">
        <v>2747</v>
      </c>
      <c r="I827" s="28"/>
      <c r="J827" s="28"/>
    </row>
    <row r="828" ht="22.5" customHeight="1">
      <c r="A828" s="76" t="s">
        <v>2749</v>
      </c>
      <c r="B828" s="88" t="s">
        <v>2632</v>
      </c>
      <c r="C828" s="91"/>
      <c r="D828" s="88" t="s">
        <v>2746</v>
      </c>
      <c r="E828" s="88" t="s">
        <v>103</v>
      </c>
      <c r="F828" s="88">
        <v>6.0</v>
      </c>
      <c r="G828" s="91"/>
      <c r="H828" s="89" t="s">
        <v>2747</v>
      </c>
      <c r="I828" s="28"/>
      <c r="J828" s="28"/>
    </row>
    <row r="829" ht="22.5" customHeight="1">
      <c r="A829" s="76" t="s">
        <v>2750</v>
      </c>
      <c r="B829" s="88" t="s">
        <v>2632</v>
      </c>
      <c r="C829" s="91"/>
      <c r="D829" s="88" t="s">
        <v>2746</v>
      </c>
      <c r="E829" s="88" t="s">
        <v>1457</v>
      </c>
      <c r="F829" s="88">
        <v>6.0</v>
      </c>
      <c r="G829" s="91"/>
      <c r="H829" s="89" t="s">
        <v>2747</v>
      </c>
      <c r="I829" s="28"/>
      <c r="J829" s="28"/>
    </row>
    <row r="830" ht="22.5" customHeight="1">
      <c r="A830" s="76" t="s">
        <v>2751</v>
      </c>
      <c r="B830" s="88" t="s">
        <v>2632</v>
      </c>
      <c r="C830" s="91"/>
      <c r="D830" s="88" t="s">
        <v>2746</v>
      </c>
      <c r="E830" s="88" t="s">
        <v>1830</v>
      </c>
      <c r="F830" s="88">
        <v>6.0</v>
      </c>
      <c r="G830" s="91"/>
      <c r="H830" s="89" t="s">
        <v>2747</v>
      </c>
      <c r="I830" s="28"/>
      <c r="J830" s="28"/>
    </row>
    <row r="831" ht="22.5" customHeight="1">
      <c r="A831" s="76" t="s">
        <v>2752</v>
      </c>
      <c r="B831" s="88" t="s">
        <v>2632</v>
      </c>
      <c r="C831" s="91"/>
      <c r="D831" s="88" t="s">
        <v>2746</v>
      </c>
      <c r="E831" s="88" t="s">
        <v>497</v>
      </c>
      <c r="F831" s="88">
        <v>6.0</v>
      </c>
      <c r="G831" s="91"/>
      <c r="H831" s="89" t="s">
        <v>2747</v>
      </c>
      <c r="I831" s="28"/>
      <c r="J831" s="28"/>
    </row>
    <row r="832" ht="22.5" customHeight="1">
      <c r="A832" s="76" t="s">
        <v>2753</v>
      </c>
      <c r="B832" s="88" t="s">
        <v>2632</v>
      </c>
      <c r="C832" s="91"/>
      <c r="D832" s="88" t="s">
        <v>2746</v>
      </c>
      <c r="E832" s="88" t="s">
        <v>1833</v>
      </c>
      <c r="F832" s="88">
        <v>6.0</v>
      </c>
      <c r="G832" s="91"/>
      <c r="H832" s="89" t="s">
        <v>2747</v>
      </c>
      <c r="I832" s="28"/>
      <c r="J832" s="28"/>
    </row>
    <row r="833" ht="22.5" customHeight="1">
      <c r="A833" s="76" t="s">
        <v>2754</v>
      </c>
      <c r="B833" s="88" t="s">
        <v>2632</v>
      </c>
      <c r="C833" s="91"/>
      <c r="D833" s="88" t="s">
        <v>2746</v>
      </c>
      <c r="E833" s="88" t="s">
        <v>1844</v>
      </c>
      <c r="F833" s="88">
        <v>6.0</v>
      </c>
      <c r="G833" s="91"/>
      <c r="H833" s="89" t="s">
        <v>2747</v>
      </c>
      <c r="I833" s="28"/>
      <c r="J833" s="28"/>
    </row>
    <row r="834" ht="22.5" customHeight="1">
      <c r="A834" s="76" t="s">
        <v>2755</v>
      </c>
      <c r="B834" s="88" t="s">
        <v>2632</v>
      </c>
      <c r="C834" s="91"/>
      <c r="D834" s="88" t="s">
        <v>2746</v>
      </c>
      <c r="E834" s="88" t="s">
        <v>2655</v>
      </c>
      <c r="F834" s="88">
        <v>6.0</v>
      </c>
      <c r="G834" s="91"/>
      <c r="H834" s="89" t="s">
        <v>2747</v>
      </c>
      <c r="I834" s="28"/>
      <c r="J834" s="28"/>
    </row>
    <row r="835" ht="22.5" customHeight="1">
      <c r="A835" s="76" t="s">
        <v>2756</v>
      </c>
      <c r="B835" s="88" t="s">
        <v>2632</v>
      </c>
      <c r="C835" s="91"/>
      <c r="D835" s="88" t="s">
        <v>2757</v>
      </c>
      <c r="E835" s="88" t="s">
        <v>2634</v>
      </c>
      <c r="F835" s="88">
        <v>6.0</v>
      </c>
      <c r="G835" s="91"/>
      <c r="H835" s="89" t="s">
        <v>2758</v>
      </c>
      <c r="I835" s="28"/>
      <c r="J835" s="28"/>
    </row>
    <row r="836" ht="22.5" customHeight="1">
      <c r="A836" s="76" t="s">
        <v>2759</v>
      </c>
      <c r="B836" s="88" t="s">
        <v>2632</v>
      </c>
      <c r="C836" s="91"/>
      <c r="D836" s="88" t="s">
        <v>2757</v>
      </c>
      <c r="E836" s="88" t="s">
        <v>105</v>
      </c>
      <c r="F836" s="88">
        <v>6.0</v>
      </c>
      <c r="G836" s="91"/>
      <c r="H836" s="89" t="s">
        <v>2758</v>
      </c>
      <c r="I836" s="28"/>
      <c r="J836" s="28"/>
    </row>
    <row r="837" ht="22.5" customHeight="1">
      <c r="A837" s="76" t="s">
        <v>2760</v>
      </c>
      <c r="B837" s="88" t="s">
        <v>2632</v>
      </c>
      <c r="C837" s="91"/>
      <c r="D837" s="88" t="s">
        <v>2757</v>
      </c>
      <c r="E837" s="88" t="s">
        <v>103</v>
      </c>
      <c r="F837" s="88">
        <v>6.0</v>
      </c>
      <c r="G837" s="91"/>
      <c r="H837" s="89" t="s">
        <v>2758</v>
      </c>
      <c r="I837" s="28"/>
      <c r="J837" s="28"/>
    </row>
    <row r="838" ht="22.5" customHeight="1">
      <c r="A838" s="76" t="s">
        <v>2761</v>
      </c>
      <c r="B838" s="88" t="s">
        <v>2632</v>
      </c>
      <c r="C838" s="91"/>
      <c r="D838" s="88" t="s">
        <v>2757</v>
      </c>
      <c r="E838" s="88" t="s">
        <v>1457</v>
      </c>
      <c r="F838" s="88">
        <v>6.0</v>
      </c>
      <c r="G838" s="91"/>
      <c r="H838" s="89" t="s">
        <v>2758</v>
      </c>
      <c r="I838" s="28"/>
      <c r="J838" s="28"/>
    </row>
    <row r="839" ht="22.5" customHeight="1">
      <c r="A839" s="76" t="s">
        <v>2762</v>
      </c>
      <c r="B839" s="88" t="s">
        <v>2632</v>
      </c>
      <c r="C839" s="91"/>
      <c r="D839" s="88" t="s">
        <v>2757</v>
      </c>
      <c r="E839" s="88" t="s">
        <v>1830</v>
      </c>
      <c r="F839" s="88">
        <v>6.0</v>
      </c>
      <c r="G839" s="91"/>
      <c r="H839" s="89" t="s">
        <v>2758</v>
      </c>
      <c r="I839" s="28"/>
      <c r="J839" s="28"/>
    </row>
    <row r="840" ht="22.5" customHeight="1">
      <c r="A840" s="76" t="s">
        <v>2763</v>
      </c>
      <c r="B840" s="88" t="s">
        <v>2632</v>
      </c>
      <c r="C840" s="91"/>
      <c r="D840" s="88" t="s">
        <v>2757</v>
      </c>
      <c r="E840" s="88" t="s">
        <v>497</v>
      </c>
      <c r="F840" s="88">
        <v>6.0</v>
      </c>
      <c r="G840" s="91"/>
      <c r="H840" s="89" t="s">
        <v>2758</v>
      </c>
      <c r="I840" s="28"/>
      <c r="J840" s="28"/>
    </row>
    <row r="841" ht="22.5" customHeight="1">
      <c r="A841" s="76" t="s">
        <v>2764</v>
      </c>
      <c r="B841" s="88" t="s">
        <v>2632</v>
      </c>
      <c r="C841" s="91"/>
      <c r="D841" s="88" t="s">
        <v>2757</v>
      </c>
      <c r="E841" s="88" t="s">
        <v>1833</v>
      </c>
      <c r="F841" s="88">
        <v>6.0</v>
      </c>
      <c r="G841" s="91"/>
      <c r="H841" s="89" t="s">
        <v>2758</v>
      </c>
      <c r="I841" s="28"/>
      <c r="J841" s="28"/>
    </row>
    <row r="842" ht="22.5" customHeight="1">
      <c r="A842" s="76" t="s">
        <v>2765</v>
      </c>
      <c r="B842" s="88" t="s">
        <v>2632</v>
      </c>
      <c r="C842" s="91"/>
      <c r="D842" s="88" t="s">
        <v>2757</v>
      </c>
      <c r="E842" s="88" t="s">
        <v>1844</v>
      </c>
      <c r="F842" s="88">
        <v>6.0</v>
      </c>
      <c r="G842" s="91"/>
      <c r="H842" s="89" t="s">
        <v>2758</v>
      </c>
      <c r="I842" s="28"/>
      <c r="J842" s="28"/>
    </row>
    <row r="843" ht="22.5" customHeight="1">
      <c r="A843" s="76" t="s">
        <v>2766</v>
      </c>
      <c r="B843" s="88" t="s">
        <v>2632</v>
      </c>
      <c r="C843" s="91"/>
      <c r="D843" s="88" t="s">
        <v>2757</v>
      </c>
      <c r="E843" s="88" t="s">
        <v>2655</v>
      </c>
      <c r="F843" s="88">
        <v>6.0</v>
      </c>
      <c r="G843" s="91"/>
      <c r="H843" s="89" t="s">
        <v>2758</v>
      </c>
      <c r="I843" s="28"/>
      <c r="J843" s="28"/>
    </row>
    <row r="844" ht="22.5" customHeight="1">
      <c r="A844" s="76" t="s">
        <v>2767</v>
      </c>
      <c r="B844" s="88" t="s">
        <v>2632</v>
      </c>
      <c r="C844" s="91"/>
      <c r="D844" s="88" t="s">
        <v>2768</v>
      </c>
      <c r="E844" s="88" t="s">
        <v>2634</v>
      </c>
      <c r="F844" s="88">
        <v>6.0</v>
      </c>
      <c r="G844" s="91"/>
      <c r="H844" s="98" t="s">
        <v>2769</v>
      </c>
      <c r="I844" s="28"/>
      <c r="J844" s="28"/>
    </row>
    <row r="845" ht="22.5" customHeight="1">
      <c r="A845" s="76" t="s">
        <v>2770</v>
      </c>
      <c r="B845" s="88" t="s">
        <v>2632</v>
      </c>
      <c r="C845" s="91"/>
      <c r="D845" s="88" t="s">
        <v>2768</v>
      </c>
      <c r="E845" s="88" t="s">
        <v>105</v>
      </c>
      <c r="F845" s="88">
        <v>6.0</v>
      </c>
      <c r="G845" s="91"/>
      <c r="H845" s="98" t="s">
        <v>2769</v>
      </c>
      <c r="I845" s="28"/>
      <c r="J845" s="28"/>
    </row>
    <row r="846" ht="22.5" customHeight="1">
      <c r="A846" s="76" t="s">
        <v>2771</v>
      </c>
      <c r="B846" s="88" t="s">
        <v>2632</v>
      </c>
      <c r="C846" s="91"/>
      <c r="D846" s="88" t="s">
        <v>2768</v>
      </c>
      <c r="E846" s="88" t="s">
        <v>103</v>
      </c>
      <c r="F846" s="88">
        <v>6.0</v>
      </c>
      <c r="G846" s="91"/>
      <c r="H846" s="98" t="s">
        <v>2769</v>
      </c>
      <c r="I846" s="28"/>
      <c r="J846" s="28"/>
    </row>
    <row r="847" ht="22.5" customHeight="1">
      <c r="A847" s="76" t="s">
        <v>2772</v>
      </c>
      <c r="B847" s="88" t="s">
        <v>2632</v>
      </c>
      <c r="C847" s="91"/>
      <c r="D847" s="88" t="s">
        <v>2768</v>
      </c>
      <c r="E847" s="88" t="s">
        <v>1457</v>
      </c>
      <c r="F847" s="88">
        <v>6.0</v>
      </c>
      <c r="G847" s="91"/>
      <c r="H847" s="98" t="s">
        <v>2769</v>
      </c>
      <c r="I847" s="28"/>
      <c r="J847" s="28"/>
    </row>
    <row r="848" ht="22.5" customHeight="1">
      <c r="A848" s="76" t="s">
        <v>2773</v>
      </c>
      <c r="B848" s="88" t="s">
        <v>2632</v>
      </c>
      <c r="C848" s="91"/>
      <c r="D848" s="88" t="s">
        <v>2768</v>
      </c>
      <c r="E848" s="88" t="s">
        <v>1830</v>
      </c>
      <c r="F848" s="88">
        <v>6.0</v>
      </c>
      <c r="G848" s="91"/>
      <c r="H848" s="98" t="s">
        <v>2769</v>
      </c>
      <c r="I848" s="28"/>
      <c r="J848" s="28"/>
    </row>
    <row r="849" ht="22.5" customHeight="1">
      <c r="A849" s="76" t="s">
        <v>2774</v>
      </c>
      <c r="B849" s="88" t="s">
        <v>2632</v>
      </c>
      <c r="C849" s="91"/>
      <c r="D849" s="88" t="s">
        <v>2768</v>
      </c>
      <c r="E849" s="88" t="s">
        <v>497</v>
      </c>
      <c r="F849" s="88">
        <v>6.0</v>
      </c>
      <c r="G849" s="91"/>
      <c r="H849" s="98" t="s">
        <v>2769</v>
      </c>
      <c r="I849" s="28"/>
      <c r="J849" s="28"/>
    </row>
    <row r="850" ht="22.5" customHeight="1">
      <c r="A850" s="76" t="s">
        <v>2775</v>
      </c>
      <c r="B850" s="88" t="s">
        <v>2632</v>
      </c>
      <c r="C850" s="91"/>
      <c r="D850" s="88" t="s">
        <v>2768</v>
      </c>
      <c r="E850" s="88" t="s">
        <v>1833</v>
      </c>
      <c r="F850" s="88">
        <v>6.0</v>
      </c>
      <c r="G850" s="91"/>
      <c r="H850" s="98" t="s">
        <v>2769</v>
      </c>
      <c r="I850" s="28"/>
      <c r="J850" s="28"/>
    </row>
    <row r="851" ht="22.5" customHeight="1">
      <c r="A851" s="76" t="s">
        <v>2776</v>
      </c>
      <c r="B851" s="88" t="s">
        <v>2632</v>
      </c>
      <c r="C851" s="91"/>
      <c r="D851" s="88" t="s">
        <v>2768</v>
      </c>
      <c r="E851" s="88" t="s">
        <v>1844</v>
      </c>
      <c r="F851" s="88">
        <v>6.0</v>
      </c>
      <c r="G851" s="91"/>
      <c r="H851" s="98" t="s">
        <v>2769</v>
      </c>
      <c r="I851" s="28"/>
      <c r="J851" s="28"/>
    </row>
    <row r="852" ht="22.5" customHeight="1">
      <c r="A852" s="76" t="s">
        <v>2777</v>
      </c>
      <c r="B852" s="88" t="s">
        <v>2632</v>
      </c>
      <c r="C852" s="91"/>
      <c r="D852" s="88" t="s">
        <v>2768</v>
      </c>
      <c r="E852" s="88" t="s">
        <v>2655</v>
      </c>
      <c r="F852" s="88">
        <v>6.0</v>
      </c>
      <c r="G852" s="91"/>
      <c r="H852" s="98" t="s">
        <v>2769</v>
      </c>
      <c r="I852" s="28"/>
      <c r="J852" s="28"/>
    </row>
    <row r="853" ht="22.5" customHeight="1">
      <c r="A853" s="76" t="s">
        <v>2756</v>
      </c>
      <c r="B853" s="88" t="s">
        <v>2632</v>
      </c>
      <c r="C853" s="91"/>
      <c r="D853" s="88" t="s">
        <v>2757</v>
      </c>
      <c r="E853" s="88" t="s">
        <v>2634</v>
      </c>
      <c r="F853" s="88">
        <v>6.0</v>
      </c>
      <c r="G853" s="91"/>
      <c r="H853" s="89" t="s">
        <v>2758</v>
      </c>
      <c r="I853" s="28"/>
      <c r="J853" s="28"/>
    </row>
    <row r="854" ht="22.5" customHeight="1">
      <c r="A854" s="76" t="s">
        <v>2759</v>
      </c>
      <c r="B854" s="88" t="s">
        <v>2632</v>
      </c>
      <c r="C854" s="91"/>
      <c r="D854" s="88" t="s">
        <v>2757</v>
      </c>
      <c r="E854" s="88" t="s">
        <v>105</v>
      </c>
      <c r="F854" s="88">
        <v>6.0</v>
      </c>
      <c r="G854" s="91"/>
      <c r="H854" s="89" t="s">
        <v>2758</v>
      </c>
      <c r="I854" s="28"/>
      <c r="J854" s="28"/>
    </row>
    <row r="855" ht="22.5" customHeight="1">
      <c r="A855" s="76" t="s">
        <v>2760</v>
      </c>
      <c r="B855" s="88" t="s">
        <v>2632</v>
      </c>
      <c r="C855" s="91"/>
      <c r="D855" s="88" t="s">
        <v>2757</v>
      </c>
      <c r="E855" s="88" t="s">
        <v>103</v>
      </c>
      <c r="F855" s="88">
        <v>6.0</v>
      </c>
      <c r="G855" s="91"/>
      <c r="H855" s="89" t="s">
        <v>2758</v>
      </c>
      <c r="I855" s="28"/>
      <c r="J855" s="28"/>
    </row>
    <row r="856" ht="22.5" customHeight="1">
      <c r="A856" s="76" t="s">
        <v>2761</v>
      </c>
      <c r="B856" s="88" t="s">
        <v>2632</v>
      </c>
      <c r="C856" s="91"/>
      <c r="D856" s="88" t="s">
        <v>2757</v>
      </c>
      <c r="E856" s="88" t="s">
        <v>1457</v>
      </c>
      <c r="F856" s="88">
        <v>6.0</v>
      </c>
      <c r="G856" s="91"/>
      <c r="H856" s="89" t="s">
        <v>2758</v>
      </c>
      <c r="I856" s="28"/>
      <c r="J856" s="28"/>
    </row>
    <row r="857" ht="22.5" customHeight="1">
      <c r="A857" s="76" t="s">
        <v>2762</v>
      </c>
      <c r="B857" s="88" t="s">
        <v>2632</v>
      </c>
      <c r="C857" s="91"/>
      <c r="D857" s="88" t="s">
        <v>2757</v>
      </c>
      <c r="E857" s="88" t="s">
        <v>1830</v>
      </c>
      <c r="F857" s="88">
        <v>6.0</v>
      </c>
      <c r="G857" s="91"/>
      <c r="H857" s="89" t="s">
        <v>2758</v>
      </c>
      <c r="I857" s="28"/>
      <c r="J857" s="28"/>
    </row>
    <row r="858" ht="22.5" customHeight="1">
      <c r="A858" s="76" t="s">
        <v>2763</v>
      </c>
      <c r="B858" s="88" t="s">
        <v>2632</v>
      </c>
      <c r="C858" s="91"/>
      <c r="D858" s="88" t="s">
        <v>2757</v>
      </c>
      <c r="E858" s="88" t="s">
        <v>497</v>
      </c>
      <c r="F858" s="88">
        <v>6.0</v>
      </c>
      <c r="G858" s="91"/>
      <c r="H858" s="89" t="s">
        <v>2758</v>
      </c>
      <c r="I858" s="28"/>
      <c r="J858" s="28"/>
    </row>
    <row r="859" ht="22.5" customHeight="1">
      <c r="A859" s="76" t="s">
        <v>2764</v>
      </c>
      <c r="B859" s="88" t="s">
        <v>2632</v>
      </c>
      <c r="C859" s="91"/>
      <c r="D859" s="88" t="s">
        <v>2757</v>
      </c>
      <c r="E859" s="88" t="s">
        <v>1833</v>
      </c>
      <c r="F859" s="88">
        <v>6.0</v>
      </c>
      <c r="G859" s="91"/>
      <c r="H859" s="89" t="s">
        <v>2758</v>
      </c>
      <c r="I859" s="28"/>
      <c r="J859" s="28"/>
    </row>
    <row r="860" ht="22.5" customHeight="1">
      <c r="A860" s="76" t="s">
        <v>2765</v>
      </c>
      <c r="B860" s="88" t="s">
        <v>2632</v>
      </c>
      <c r="C860" s="91"/>
      <c r="D860" s="88" t="s">
        <v>2757</v>
      </c>
      <c r="E860" s="88" t="s">
        <v>1844</v>
      </c>
      <c r="F860" s="88">
        <v>6.0</v>
      </c>
      <c r="G860" s="91"/>
      <c r="H860" s="89" t="s">
        <v>2758</v>
      </c>
      <c r="I860" s="28"/>
      <c r="J860" s="28"/>
    </row>
    <row r="861" ht="22.5" customHeight="1">
      <c r="A861" s="76" t="s">
        <v>2766</v>
      </c>
      <c r="B861" s="88" t="s">
        <v>2632</v>
      </c>
      <c r="C861" s="91"/>
      <c r="D861" s="88" t="s">
        <v>2757</v>
      </c>
      <c r="E861" s="88" t="s">
        <v>2655</v>
      </c>
      <c r="F861" s="88">
        <v>6.0</v>
      </c>
      <c r="G861" s="91"/>
      <c r="H861" s="89" t="s">
        <v>2758</v>
      </c>
      <c r="I861" s="28"/>
      <c r="J861" s="28"/>
    </row>
    <row r="862" ht="22.5" customHeight="1">
      <c r="A862" s="76" t="s">
        <v>2767</v>
      </c>
      <c r="B862" s="88" t="s">
        <v>2632</v>
      </c>
      <c r="C862" s="91"/>
      <c r="D862" s="88" t="s">
        <v>2768</v>
      </c>
      <c r="E862" s="88" t="s">
        <v>2634</v>
      </c>
      <c r="F862" s="88">
        <v>6.0</v>
      </c>
      <c r="G862" s="91"/>
      <c r="H862" s="89" t="s">
        <v>2769</v>
      </c>
      <c r="I862" s="28"/>
      <c r="J862" s="28"/>
    </row>
    <row r="863" ht="22.5" customHeight="1">
      <c r="A863" s="76" t="s">
        <v>2770</v>
      </c>
      <c r="B863" s="88" t="s">
        <v>2632</v>
      </c>
      <c r="C863" s="91"/>
      <c r="D863" s="88" t="s">
        <v>2768</v>
      </c>
      <c r="E863" s="88" t="s">
        <v>105</v>
      </c>
      <c r="F863" s="88">
        <v>6.0</v>
      </c>
      <c r="G863" s="91"/>
      <c r="H863" s="89" t="s">
        <v>2769</v>
      </c>
      <c r="I863" s="26">
        <v>60.0</v>
      </c>
      <c r="J863" s="28"/>
    </row>
    <row r="864" ht="22.5" customHeight="1">
      <c r="A864" s="76" t="s">
        <v>2771</v>
      </c>
      <c r="B864" s="88" t="s">
        <v>2632</v>
      </c>
      <c r="C864" s="91"/>
      <c r="D864" s="88" t="s">
        <v>2768</v>
      </c>
      <c r="E864" s="88" t="s">
        <v>103</v>
      </c>
      <c r="F864" s="88">
        <v>6.0</v>
      </c>
      <c r="G864" s="91"/>
      <c r="H864" s="89" t="s">
        <v>2769</v>
      </c>
      <c r="I864" s="28"/>
      <c r="J864" s="28"/>
    </row>
    <row r="865" ht="22.5" customHeight="1">
      <c r="A865" s="76" t="s">
        <v>2772</v>
      </c>
      <c r="B865" s="88" t="s">
        <v>2632</v>
      </c>
      <c r="C865" s="91"/>
      <c r="D865" s="88" t="s">
        <v>2768</v>
      </c>
      <c r="E865" s="88" t="s">
        <v>1457</v>
      </c>
      <c r="F865" s="88">
        <v>6.0</v>
      </c>
      <c r="G865" s="91"/>
      <c r="H865" s="89" t="s">
        <v>2769</v>
      </c>
      <c r="I865" s="28"/>
      <c r="J865" s="28"/>
    </row>
    <row r="866" ht="22.5" customHeight="1">
      <c r="A866" s="76" t="s">
        <v>2773</v>
      </c>
      <c r="B866" s="88" t="s">
        <v>2632</v>
      </c>
      <c r="C866" s="91"/>
      <c r="D866" s="88" t="s">
        <v>2768</v>
      </c>
      <c r="E866" s="88" t="s">
        <v>1830</v>
      </c>
      <c r="F866" s="88">
        <v>6.0</v>
      </c>
      <c r="G866" s="91"/>
      <c r="H866" s="89" t="s">
        <v>2769</v>
      </c>
      <c r="I866" s="28"/>
      <c r="J866" s="28"/>
    </row>
    <row r="867" ht="22.5" customHeight="1">
      <c r="A867" s="76" t="s">
        <v>2774</v>
      </c>
      <c r="B867" s="88" t="s">
        <v>2632</v>
      </c>
      <c r="C867" s="91"/>
      <c r="D867" s="88" t="s">
        <v>2768</v>
      </c>
      <c r="E867" s="88" t="s">
        <v>497</v>
      </c>
      <c r="F867" s="88">
        <v>6.0</v>
      </c>
      <c r="G867" s="91"/>
      <c r="H867" s="89" t="s">
        <v>2769</v>
      </c>
      <c r="I867" s="28"/>
      <c r="J867" s="28"/>
    </row>
    <row r="868" ht="22.5" customHeight="1">
      <c r="A868" s="76" t="s">
        <v>2775</v>
      </c>
      <c r="B868" s="88" t="s">
        <v>2632</v>
      </c>
      <c r="C868" s="91"/>
      <c r="D868" s="88" t="s">
        <v>2768</v>
      </c>
      <c r="E868" s="88" t="s">
        <v>1833</v>
      </c>
      <c r="F868" s="88">
        <v>6.0</v>
      </c>
      <c r="G868" s="91"/>
      <c r="H868" s="89" t="s">
        <v>2769</v>
      </c>
      <c r="I868" s="28"/>
      <c r="J868" s="28"/>
    </row>
    <row r="869" ht="22.5" customHeight="1">
      <c r="A869" s="76" t="s">
        <v>2776</v>
      </c>
      <c r="B869" s="88" t="s">
        <v>2632</v>
      </c>
      <c r="C869" s="91"/>
      <c r="D869" s="88" t="s">
        <v>2768</v>
      </c>
      <c r="E869" s="88" t="s">
        <v>1844</v>
      </c>
      <c r="F869" s="88">
        <v>6.0</v>
      </c>
      <c r="G869" s="91"/>
      <c r="H869" s="89" t="s">
        <v>2769</v>
      </c>
      <c r="I869" s="28"/>
      <c r="J869" s="28"/>
    </row>
    <row r="870" ht="22.5" customHeight="1">
      <c r="A870" s="76" t="s">
        <v>2777</v>
      </c>
      <c r="B870" s="88" t="s">
        <v>2632</v>
      </c>
      <c r="C870" s="91"/>
      <c r="D870" s="88" t="s">
        <v>2768</v>
      </c>
      <c r="E870" s="88" t="s">
        <v>2655</v>
      </c>
      <c r="F870" s="88">
        <v>6.0</v>
      </c>
      <c r="G870" s="91"/>
      <c r="H870" s="89" t="s">
        <v>2769</v>
      </c>
      <c r="I870" s="28"/>
      <c r="J870" s="28"/>
    </row>
    <row r="871" ht="22.5" customHeight="1">
      <c r="A871" s="76" t="s">
        <v>2778</v>
      </c>
      <c r="B871" s="88" t="s">
        <v>2632</v>
      </c>
      <c r="C871" s="91"/>
      <c r="D871" s="88" t="s">
        <v>2779</v>
      </c>
      <c r="E871" s="88" t="s">
        <v>2634</v>
      </c>
      <c r="F871" s="88">
        <v>6.0</v>
      </c>
      <c r="G871" s="91"/>
      <c r="H871" s="98" t="s">
        <v>2780</v>
      </c>
      <c r="I871" s="28"/>
      <c r="J871" s="28"/>
    </row>
    <row r="872" ht="22.5" customHeight="1">
      <c r="A872" s="76" t="s">
        <v>2781</v>
      </c>
      <c r="B872" s="88" t="s">
        <v>2632</v>
      </c>
      <c r="C872" s="91"/>
      <c r="D872" s="88" t="s">
        <v>2779</v>
      </c>
      <c r="E872" s="88" t="s">
        <v>105</v>
      </c>
      <c r="F872" s="88">
        <v>6.0</v>
      </c>
      <c r="G872" s="91"/>
      <c r="H872" s="98" t="s">
        <v>2780</v>
      </c>
      <c r="I872" s="28"/>
      <c r="J872" s="28"/>
    </row>
    <row r="873" ht="22.5" customHeight="1">
      <c r="A873" s="76" t="s">
        <v>2782</v>
      </c>
      <c r="B873" s="88" t="s">
        <v>2632</v>
      </c>
      <c r="C873" s="91"/>
      <c r="D873" s="88" t="s">
        <v>2779</v>
      </c>
      <c r="E873" s="88" t="s">
        <v>103</v>
      </c>
      <c r="F873" s="88">
        <v>6.0</v>
      </c>
      <c r="G873" s="91"/>
      <c r="H873" s="98" t="s">
        <v>2780</v>
      </c>
      <c r="I873" s="26">
        <v>173.0</v>
      </c>
      <c r="J873" s="28"/>
    </row>
    <row r="874" ht="22.5" customHeight="1">
      <c r="A874" s="76" t="s">
        <v>2783</v>
      </c>
      <c r="B874" s="88" t="s">
        <v>2632</v>
      </c>
      <c r="C874" s="91"/>
      <c r="D874" s="88" t="s">
        <v>2779</v>
      </c>
      <c r="E874" s="88" t="s">
        <v>1457</v>
      </c>
      <c r="F874" s="88">
        <v>6.0</v>
      </c>
      <c r="G874" s="91"/>
      <c r="H874" s="98" t="s">
        <v>2780</v>
      </c>
      <c r="I874" s="26">
        <v>239.0</v>
      </c>
      <c r="J874" s="28"/>
    </row>
    <row r="875" ht="22.5" customHeight="1">
      <c r="A875" s="76" t="s">
        <v>2784</v>
      </c>
      <c r="B875" s="88" t="s">
        <v>2632</v>
      </c>
      <c r="C875" s="91"/>
      <c r="D875" s="88" t="s">
        <v>2779</v>
      </c>
      <c r="E875" s="88" t="s">
        <v>1830</v>
      </c>
      <c r="F875" s="88">
        <v>6.0</v>
      </c>
      <c r="G875" s="91"/>
      <c r="H875" s="98" t="s">
        <v>2780</v>
      </c>
      <c r="I875" s="28"/>
      <c r="J875" s="28"/>
    </row>
    <row r="876" ht="22.5" customHeight="1">
      <c r="A876" s="76" t="s">
        <v>2785</v>
      </c>
      <c r="B876" s="88" t="s">
        <v>2632</v>
      </c>
      <c r="C876" s="91"/>
      <c r="D876" s="88" t="s">
        <v>2779</v>
      </c>
      <c r="E876" s="88" t="s">
        <v>497</v>
      </c>
      <c r="F876" s="88">
        <v>6.0</v>
      </c>
      <c r="G876" s="88">
        <v>683.0</v>
      </c>
      <c r="H876" s="98" t="s">
        <v>2780</v>
      </c>
      <c r="I876" s="26">
        <v>65.0</v>
      </c>
      <c r="J876" s="28"/>
    </row>
    <row r="877" ht="22.5" customHeight="1">
      <c r="A877" s="76" t="s">
        <v>2786</v>
      </c>
      <c r="B877" s="88" t="s">
        <v>2632</v>
      </c>
      <c r="C877" s="91"/>
      <c r="D877" s="88" t="s">
        <v>2779</v>
      </c>
      <c r="E877" s="88" t="s">
        <v>1833</v>
      </c>
      <c r="F877" s="88">
        <v>6.0</v>
      </c>
      <c r="G877" s="91"/>
      <c r="H877" s="98" t="s">
        <v>2780</v>
      </c>
      <c r="I877" s="28"/>
      <c r="J877" s="28"/>
    </row>
    <row r="878" ht="22.5" customHeight="1">
      <c r="A878" s="76" t="s">
        <v>2787</v>
      </c>
      <c r="B878" s="88" t="s">
        <v>2632</v>
      </c>
      <c r="C878" s="91"/>
      <c r="D878" s="88" t="s">
        <v>2779</v>
      </c>
      <c r="E878" s="88" t="s">
        <v>1844</v>
      </c>
      <c r="F878" s="88">
        <v>6.0</v>
      </c>
      <c r="G878" s="91"/>
      <c r="H878" s="98" t="s">
        <v>2780</v>
      </c>
      <c r="I878" s="28"/>
      <c r="J878" s="28"/>
    </row>
    <row r="879" ht="22.5" customHeight="1">
      <c r="A879" s="76" t="s">
        <v>2788</v>
      </c>
      <c r="B879" s="88" t="s">
        <v>2632</v>
      </c>
      <c r="C879" s="91"/>
      <c r="D879" s="88" t="s">
        <v>2779</v>
      </c>
      <c r="E879" s="88" t="s">
        <v>2655</v>
      </c>
      <c r="F879" s="88">
        <v>6.0</v>
      </c>
      <c r="G879" s="88">
        <v>990.0</v>
      </c>
      <c r="H879" s="98" t="s">
        <v>2780</v>
      </c>
      <c r="I879" s="28"/>
      <c r="J879" s="28"/>
    </row>
    <row r="880" ht="22.5" customHeight="1">
      <c r="A880" s="76" t="s">
        <v>2789</v>
      </c>
      <c r="B880" s="88" t="s">
        <v>2632</v>
      </c>
      <c r="C880" s="91"/>
      <c r="D880" s="88" t="s">
        <v>2790</v>
      </c>
      <c r="E880" s="88" t="s">
        <v>2634</v>
      </c>
      <c r="F880" s="88">
        <v>6.0</v>
      </c>
      <c r="G880" s="91"/>
      <c r="H880" s="89" t="s">
        <v>2791</v>
      </c>
      <c r="I880" s="28"/>
      <c r="J880" s="28"/>
    </row>
    <row r="881" ht="22.5" customHeight="1">
      <c r="A881" s="76" t="s">
        <v>2792</v>
      </c>
      <c r="B881" s="88" t="s">
        <v>2632</v>
      </c>
      <c r="C881" s="91"/>
      <c r="D881" s="88" t="s">
        <v>2790</v>
      </c>
      <c r="E881" s="88" t="s">
        <v>105</v>
      </c>
      <c r="F881" s="88">
        <v>6.0</v>
      </c>
      <c r="G881" s="91"/>
      <c r="H881" s="89" t="s">
        <v>2791</v>
      </c>
      <c r="I881" s="26">
        <v>99.0</v>
      </c>
      <c r="J881" s="28"/>
    </row>
    <row r="882" ht="22.5" customHeight="1">
      <c r="A882" s="76" t="s">
        <v>2793</v>
      </c>
      <c r="B882" s="88" t="s">
        <v>2632</v>
      </c>
      <c r="C882" s="91"/>
      <c r="D882" s="88" t="s">
        <v>2790</v>
      </c>
      <c r="E882" s="88" t="s">
        <v>103</v>
      </c>
      <c r="F882" s="88">
        <v>6.0</v>
      </c>
      <c r="G882" s="91"/>
      <c r="H882" s="89" t="s">
        <v>2791</v>
      </c>
      <c r="I882" s="26">
        <v>40.0</v>
      </c>
      <c r="J882" s="28"/>
    </row>
    <row r="883" ht="22.5" customHeight="1">
      <c r="A883" s="76" t="s">
        <v>2794</v>
      </c>
      <c r="B883" s="88" t="s">
        <v>2632</v>
      </c>
      <c r="C883" s="91"/>
      <c r="D883" s="88" t="s">
        <v>2790</v>
      </c>
      <c r="E883" s="88" t="s">
        <v>1457</v>
      </c>
      <c r="F883" s="88">
        <v>6.0</v>
      </c>
      <c r="G883" s="91"/>
      <c r="H883" s="89" t="s">
        <v>2791</v>
      </c>
      <c r="I883" s="28"/>
      <c r="J883" s="28"/>
    </row>
    <row r="884" ht="22.5" customHeight="1">
      <c r="A884" s="76" t="s">
        <v>2795</v>
      </c>
      <c r="B884" s="88" t="s">
        <v>2632</v>
      </c>
      <c r="C884" s="91"/>
      <c r="D884" s="88" t="s">
        <v>2790</v>
      </c>
      <c r="E884" s="88" t="s">
        <v>1830</v>
      </c>
      <c r="F884" s="88">
        <v>6.0</v>
      </c>
      <c r="G884" s="91"/>
      <c r="H884" s="89" t="s">
        <v>2791</v>
      </c>
      <c r="I884" s="28"/>
      <c r="J884" s="28"/>
    </row>
    <row r="885" ht="22.5" customHeight="1">
      <c r="A885" s="76" t="s">
        <v>2796</v>
      </c>
      <c r="B885" s="88" t="s">
        <v>2632</v>
      </c>
      <c r="C885" s="91"/>
      <c r="D885" s="88" t="s">
        <v>2790</v>
      </c>
      <c r="E885" s="88" t="s">
        <v>497</v>
      </c>
      <c r="F885" s="88">
        <v>6.0</v>
      </c>
      <c r="G885" s="88">
        <v>690.0</v>
      </c>
      <c r="H885" s="89" t="s">
        <v>2791</v>
      </c>
      <c r="I885" s="26">
        <v>3.0</v>
      </c>
      <c r="J885" s="28"/>
    </row>
    <row r="886" ht="22.5" customHeight="1">
      <c r="A886" s="76" t="s">
        <v>2797</v>
      </c>
      <c r="B886" s="88" t="s">
        <v>2632</v>
      </c>
      <c r="C886" s="91"/>
      <c r="D886" s="88" t="s">
        <v>2790</v>
      </c>
      <c r="E886" s="88" t="s">
        <v>1833</v>
      </c>
      <c r="F886" s="88">
        <v>6.0</v>
      </c>
      <c r="G886" s="91"/>
      <c r="H886" s="89" t="s">
        <v>2791</v>
      </c>
      <c r="I886" s="28"/>
      <c r="J886" s="28"/>
    </row>
    <row r="887" ht="22.5" customHeight="1">
      <c r="A887" s="76" t="s">
        <v>2798</v>
      </c>
      <c r="B887" s="88" t="s">
        <v>2632</v>
      </c>
      <c r="C887" s="91"/>
      <c r="D887" s="88" t="s">
        <v>2790</v>
      </c>
      <c r="E887" s="88" t="s">
        <v>1844</v>
      </c>
      <c r="F887" s="88">
        <v>6.0</v>
      </c>
      <c r="G887" s="91"/>
      <c r="H887" s="89" t="s">
        <v>2791</v>
      </c>
      <c r="I887" s="28"/>
      <c r="J887" s="28"/>
    </row>
    <row r="888" ht="22.5" customHeight="1">
      <c r="A888" s="76" t="s">
        <v>2799</v>
      </c>
      <c r="B888" s="88" t="s">
        <v>2632</v>
      </c>
      <c r="C888" s="91"/>
      <c r="D888" s="88" t="s">
        <v>2790</v>
      </c>
      <c r="E888" s="88" t="s">
        <v>2655</v>
      </c>
      <c r="F888" s="88">
        <v>6.0</v>
      </c>
      <c r="G888" s="91"/>
      <c r="H888" s="89" t="s">
        <v>2791</v>
      </c>
      <c r="I888" s="28"/>
      <c r="J888" s="28"/>
    </row>
    <row r="889" ht="22.5" customHeight="1">
      <c r="A889" s="76" t="s">
        <v>2800</v>
      </c>
      <c r="B889" s="88" t="s">
        <v>2632</v>
      </c>
      <c r="C889" s="91"/>
      <c r="D889" s="88" t="s">
        <v>2801</v>
      </c>
      <c r="E889" s="88" t="s">
        <v>2634</v>
      </c>
      <c r="F889" s="88">
        <v>6.0</v>
      </c>
      <c r="G889" s="91"/>
      <c r="H889" s="98" t="s">
        <v>2802</v>
      </c>
      <c r="I889" s="28"/>
      <c r="J889" s="28"/>
    </row>
    <row r="890" ht="22.5" customHeight="1">
      <c r="A890" s="76" t="s">
        <v>2803</v>
      </c>
      <c r="B890" s="88" t="s">
        <v>2632</v>
      </c>
      <c r="C890" s="91"/>
      <c r="D890" s="88" t="s">
        <v>2801</v>
      </c>
      <c r="E890" s="88" t="s">
        <v>105</v>
      </c>
      <c r="F890" s="88">
        <v>6.0</v>
      </c>
      <c r="G890" s="91"/>
      <c r="H890" s="98" t="s">
        <v>2802</v>
      </c>
      <c r="I890" s="26">
        <v>45.0</v>
      </c>
      <c r="J890" s="28"/>
    </row>
    <row r="891" ht="22.5" customHeight="1">
      <c r="A891" s="76" t="s">
        <v>2804</v>
      </c>
      <c r="B891" s="88" t="s">
        <v>2632</v>
      </c>
      <c r="C891" s="91"/>
      <c r="D891" s="88" t="s">
        <v>2801</v>
      </c>
      <c r="E891" s="88" t="s">
        <v>103</v>
      </c>
      <c r="F891" s="88">
        <v>6.0</v>
      </c>
      <c r="G891" s="91"/>
      <c r="H891" s="98" t="s">
        <v>2802</v>
      </c>
      <c r="I891" s="28"/>
      <c r="J891" s="28"/>
    </row>
    <row r="892" ht="22.5" customHeight="1">
      <c r="A892" s="76" t="s">
        <v>2805</v>
      </c>
      <c r="B892" s="88" t="s">
        <v>2632</v>
      </c>
      <c r="C892" s="91"/>
      <c r="D892" s="88" t="s">
        <v>2801</v>
      </c>
      <c r="E892" s="88" t="s">
        <v>1457</v>
      </c>
      <c r="F892" s="88">
        <v>6.0</v>
      </c>
      <c r="G892" s="91"/>
      <c r="H892" s="98" t="s">
        <v>2802</v>
      </c>
      <c r="I892" s="28"/>
      <c r="J892" s="28"/>
    </row>
    <row r="893" ht="22.5" customHeight="1">
      <c r="A893" s="76" t="s">
        <v>2806</v>
      </c>
      <c r="B893" s="88" t="s">
        <v>2632</v>
      </c>
      <c r="C893" s="91"/>
      <c r="D893" s="88" t="s">
        <v>2801</v>
      </c>
      <c r="E893" s="88" t="s">
        <v>1830</v>
      </c>
      <c r="F893" s="88">
        <v>6.0</v>
      </c>
      <c r="G893" s="91"/>
      <c r="H893" s="98" t="s">
        <v>2802</v>
      </c>
      <c r="I893" s="28"/>
      <c r="J893" s="26"/>
    </row>
    <row r="894" ht="22.5" customHeight="1">
      <c r="A894" s="76" t="s">
        <v>2807</v>
      </c>
      <c r="B894" s="88" t="s">
        <v>2632</v>
      </c>
      <c r="C894" s="91"/>
      <c r="D894" s="88" t="s">
        <v>2801</v>
      </c>
      <c r="E894" s="88" t="s">
        <v>497</v>
      </c>
      <c r="F894" s="88">
        <v>6.0</v>
      </c>
      <c r="G894" s="91"/>
      <c r="H894" s="98" t="s">
        <v>2802</v>
      </c>
      <c r="I894" s="28"/>
      <c r="J894" s="28"/>
    </row>
    <row r="895" ht="22.5" customHeight="1">
      <c r="A895" s="76" t="s">
        <v>2808</v>
      </c>
      <c r="B895" s="88" t="s">
        <v>2632</v>
      </c>
      <c r="C895" s="91"/>
      <c r="D895" s="88" t="s">
        <v>2801</v>
      </c>
      <c r="E895" s="88" t="s">
        <v>1833</v>
      </c>
      <c r="F895" s="88">
        <v>6.0</v>
      </c>
      <c r="G895" s="91"/>
      <c r="H895" s="98" t="s">
        <v>2802</v>
      </c>
      <c r="I895" s="28"/>
      <c r="J895" s="28"/>
    </row>
    <row r="896" ht="22.5" customHeight="1">
      <c r="A896" s="76" t="s">
        <v>2809</v>
      </c>
      <c r="B896" s="88" t="s">
        <v>2632</v>
      </c>
      <c r="C896" s="91"/>
      <c r="D896" s="88" t="s">
        <v>2801</v>
      </c>
      <c r="E896" s="88" t="s">
        <v>1844</v>
      </c>
      <c r="F896" s="88">
        <v>6.0</v>
      </c>
      <c r="G896" s="91"/>
      <c r="H896" s="98" t="s">
        <v>2802</v>
      </c>
      <c r="I896" s="28"/>
      <c r="J896" s="28"/>
    </row>
    <row r="897" ht="22.5" customHeight="1">
      <c r="A897" s="76" t="s">
        <v>2810</v>
      </c>
      <c r="B897" s="88" t="s">
        <v>2632</v>
      </c>
      <c r="C897" s="91"/>
      <c r="D897" s="88" t="s">
        <v>2801</v>
      </c>
      <c r="E897" s="88" t="s">
        <v>2655</v>
      </c>
      <c r="F897" s="88">
        <v>6.0</v>
      </c>
      <c r="G897" s="91"/>
      <c r="H897" s="98" t="s">
        <v>2802</v>
      </c>
      <c r="I897" s="28"/>
      <c r="J897" s="28"/>
    </row>
    <row r="898" ht="22.5" customHeight="1">
      <c r="A898" s="76" t="s">
        <v>2811</v>
      </c>
      <c r="B898" s="88" t="s">
        <v>2632</v>
      </c>
      <c r="C898" s="91"/>
      <c r="D898" s="88" t="s">
        <v>2812</v>
      </c>
      <c r="E898" s="88" t="s">
        <v>2634</v>
      </c>
      <c r="F898" s="88">
        <v>6.0</v>
      </c>
      <c r="G898" s="91"/>
      <c r="H898" s="98" t="s">
        <v>2813</v>
      </c>
      <c r="I898" s="28"/>
      <c r="J898" s="28"/>
    </row>
    <row r="899" ht="22.5" customHeight="1">
      <c r="A899" s="76" t="s">
        <v>2814</v>
      </c>
      <c r="B899" s="88" t="s">
        <v>2632</v>
      </c>
      <c r="C899" s="91"/>
      <c r="D899" s="88" t="s">
        <v>2812</v>
      </c>
      <c r="E899" s="88" t="s">
        <v>105</v>
      </c>
      <c r="F899" s="88">
        <v>6.0</v>
      </c>
      <c r="G899" s="91"/>
      <c r="H899" s="98" t="s">
        <v>2813</v>
      </c>
      <c r="I899" s="26">
        <v>26.0</v>
      </c>
      <c r="J899" s="28"/>
    </row>
    <row r="900" ht="22.5" customHeight="1">
      <c r="A900" s="76" t="s">
        <v>2815</v>
      </c>
      <c r="B900" s="88" t="s">
        <v>2632</v>
      </c>
      <c r="C900" s="91"/>
      <c r="D900" s="88" t="s">
        <v>2812</v>
      </c>
      <c r="E900" s="88" t="s">
        <v>103</v>
      </c>
      <c r="F900" s="88">
        <v>6.0</v>
      </c>
      <c r="G900" s="91"/>
      <c r="H900" s="98" t="s">
        <v>2813</v>
      </c>
      <c r="I900" s="26">
        <v>18.0</v>
      </c>
      <c r="J900" s="28"/>
    </row>
    <row r="901" ht="22.5" customHeight="1">
      <c r="A901" s="76" t="s">
        <v>2816</v>
      </c>
      <c r="B901" s="88" t="s">
        <v>2632</v>
      </c>
      <c r="C901" s="91"/>
      <c r="D901" s="88" t="s">
        <v>2812</v>
      </c>
      <c r="E901" s="88" t="s">
        <v>1457</v>
      </c>
      <c r="F901" s="88">
        <v>6.0</v>
      </c>
      <c r="G901" s="91"/>
      <c r="H901" s="98" t="s">
        <v>2813</v>
      </c>
      <c r="I901" s="26">
        <v>29.0</v>
      </c>
      <c r="J901" s="28"/>
    </row>
    <row r="902" ht="22.5" customHeight="1">
      <c r="A902" s="76" t="s">
        <v>2817</v>
      </c>
      <c r="B902" s="88" t="s">
        <v>2632</v>
      </c>
      <c r="C902" s="91"/>
      <c r="D902" s="88" t="s">
        <v>2812</v>
      </c>
      <c r="E902" s="88" t="s">
        <v>1830</v>
      </c>
      <c r="F902" s="88">
        <v>6.0</v>
      </c>
      <c r="G902" s="91"/>
      <c r="H902" s="98" t="s">
        <v>2813</v>
      </c>
      <c r="I902" s="28"/>
      <c r="J902" s="28"/>
    </row>
    <row r="903" ht="22.5" customHeight="1">
      <c r="A903" s="76" t="s">
        <v>2818</v>
      </c>
      <c r="B903" s="88" t="s">
        <v>2632</v>
      </c>
      <c r="C903" s="91"/>
      <c r="D903" s="88" t="s">
        <v>2812</v>
      </c>
      <c r="E903" s="88" t="s">
        <v>497</v>
      </c>
      <c r="F903" s="88">
        <v>6.0</v>
      </c>
      <c r="G903" s="91"/>
      <c r="H903" s="98" t="s">
        <v>2813</v>
      </c>
      <c r="I903" s="28"/>
      <c r="J903" s="28"/>
    </row>
    <row r="904" ht="22.5" customHeight="1">
      <c r="A904" s="76" t="s">
        <v>2819</v>
      </c>
      <c r="B904" s="88" t="s">
        <v>2632</v>
      </c>
      <c r="C904" s="91"/>
      <c r="D904" s="88" t="s">
        <v>2812</v>
      </c>
      <c r="E904" s="88" t="s">
        <v>1833</v>
      </c>
      <c r="F904" s="88">
        <v>6.0</v>
      </c>
      <c r="G904" s="91"/>
      <c r="H904" s="98" t="s">
        <v>2813</v>
      </c>
      <c r="I904" s="28"/>
      <c r="J904" s="28"/>
    </row>
    <row r="905" ht="22.5" customHeight="1">
      <c r="A905" s="76" t="s">
        <v>2820</v>
      </c>
      <c r="B905" s="88" t="s">
        <v>2632</v>
      </c>
      <c r="C905" s="91"/>
      <c r="D905" s="88" t="s">
        <v>2812</v>
      </c>
      <c r="E905" s="88" t="s">
        <v>1844</v>
      </c>
      <c r="F905" s="88">
        <v>6.0</v>
      </c>
      <c r="G905" s="91"/>
      <c r="H905" s="98" t="s">
        <v>2813</v>
      </c>
      <c r="I905" s="28"/>
      <c r="J905" s="28"/>
    </row>
    <row r="906" ht="22.5" customHeight="1">
      <c r="A906" s="76" t="s">
        <v>2821</v>
      </c>
      <c r="B906" s="88" t="s">
        <v>2632</v>
      </c>
      <c r="C906" s="91"/>
      <c r="D906" s="88" t="s">
        <v>2812</v>
      </c>
      <c r="E906" s="88" t="s">
        <v>2655</v>
      </c>
      <c r="F906" s="88">
        <v>6.0</v>
      </c>
      <c r="G906" s="91"/>
      <c r="H906" s="98" t="s">
        <v>2813</v>
      </c>
      <c r="I906" s="28"/>
      <c r="J906" s="28"/>
    </row>
    <row r="907" ht="22.5" customHeight="1">
      <c r="A907" s="76" t="s">
        <v>2822</v>
      </c>
      <c r="B907" s="88" t="s">
        <v>2632</v>
      </c>
      <c r="C907" s="91"/>
      <c r="D907" s="88" t="s">
        <v>2823</v>
      </c>
      <c r="E907" s="88" t="s">
        <v>2634</v>
      </c>
      <c r="F907" s="88">
        <v>6.0</v>
      </c>
      <c r="G907" s="91"/>
      <c r="H907" s="98" t="s">
        <v>2824</v>
      </c>
      <c r="I907" s="28"/>
      <c r="J907" s="28"/>
    </row>
    <row r="908" ht="22.5" customHeight="1">
      <c r="A908" s="76" t="s">
        <v>2825</v>
      </c>
      <c r="B908" s="88" t="s">
        <v>2632</v>
      </c>
      <c r="C908" s="91"/>
      <c r="D908" s="88" t="s">
        <v>2823</v>
      </c>
      <c r="E908" s="88" t="s">
        <v>105</v>
      </c>
      <c r="F908" s="88">
        <v>6.0</v>
      </c>
      <c r="G908" s="91"/>
      <c r="H908" s="98" t="s">
        <v>2824</v>
      </c>
      <c r="I908" s="26">
        <v>39.0</v>
      </c>
      <c r="J908" s="28"/>
    </row>
    <row r="909" ht="22.5" customHeight="1">
      <c r="A909" s="76" t="s">
        <v>2826</v>
      </c>
      <c r="B909" s="88" t="s">
        <v>2632</v>
      </c>
      <c r="C909" s="91"/>
      <c r="D909" s="88" t="s">
        <v>2823</v>
      </c>
      <c r="E909" s="88" t="s">
        <v>103</v>
      </c>
      <c r="F909" s="88">
        <v>6.0</v>
      </c>
      <c r="G909" s="91"/>
      <c r="H909" s="98" t="s">
        <v>2824</v>
      </c>
      <c r="I909" s="28"/>
      <c r="J909" s="28"/>
    </row>
    <row r="910" ht="22.5" customHeight="1">
      <c r="A910" s="76" t="s">
        <v>2827</v>
      </c>
      <c r="B910" s="88" t="s">
        <v>2632</v>
      </c>
      <c r="C910" s="91"/>
      <c r="D910" s="88" t="s">
        <v>2823</v>
      </c>
      <c r="E910" s="88" t="s">
        <v>1457</v>
      </c>
      <c r="F910" s="88">
        <v>6.0</v>
      </c>
      <c r="G910" s="91"/>
      <c r="H910" s="98" t="s">
        <v>2824</v>
      </c>
      <c r="I910" s="26">
        <v>27.0</v>
      </c>
      <c r="J910" s="28"/>
    </row>
    <row r="911" ht="22.5" customHeight="1">
      <c r="A911" s="76" t="s">
        <v>2828</v>
      </c>
      <c r="B911" s="88" t="s">
        <v>2632</v>
      </c>
      <c r="C911" s="91"/>
      <c r="D911" s="88" t="s">
        <v>2823</v>
      </c>
      <c r="E911" s="88" t="s">
        <v>1830</v>
      </c>
      <c r="F911" s="88">
        <v>6.0</v>
      </c>
      <c r="G911" s="91"/>
      <c r="H911" s="98" t="s">
        <v>2824</v>
      </c>
      <c r="I911" s="28"/>
      <c r="J911" s="28"/>
    </row>
    <row r="912" ht="22.5" customHeight="1">
      <c r="A912" s="76" t="s">
        <v>2829</v>
      </c>
      <c r="B912" s="88" t="s">
        <v>2632</v>
      </c>
      <c r="C912" s="91"/>
      <c r="D912" s="88" t="s">
        <v>2823</v>
      </c>
      <c r="E912" s="88" t="s">
        <v>497</v>
      </c>
      <c r="F912" s="88">
        <v>6.0</v>
      </c>
      <c r="G912" s="91"/>
      <c r="H912" s="98" t="s">
        <v>2824</v>
      </c>
      <c r="I912" s="26">
        <v>10.0</v>
      </c>
      <c r="J912" s="28"/>
    </row>
    <row r="913" ht="22.5" customHeight="1">
      <c r="A913" s="76" t="s">
        <v>2830</v>
      </c>
      <c r="B913" s="88" t="s">
        <v>2632</v>
      </c>
      <c r="C913" s="91"/>
      <c r="D913" s="88" t="s">
        <v>2823</v>
      </c>
      <c r="E913" s="88" t="s">
        <v>1833</v>
      </c>
      <c r="F913" s="88">
        <v>6.0</v>
      </c>
      <c r="G913" s="91"/>
      <c r="H913" s="98" t="s">
        <v>2824</v>
      </c>
      <c r="I913" s="28"/>
      <c r="J913" s="28"/>
    </row>
    <row r="914" ht="22.5" customHeight="1">
      <c r="A914" s="76" t="s">
        <v>2831</v>
      </c>
      <c r="B914" s="88" t="s">
        <v>2632</v>
      </c>
      <c r="C914" s="91"/>
      <c r="D914" s="88" t="s">
        <v>2823</v>
      </c>
      <c r="E914" s="88" t="s">
        <v>1844</v>
      </c>
      <c r="F914" s="88">
        <v>6.0</v>
      </c>
      <c r="G914" s="91"/>
      <c r="H914" s="98" t="s">
        <v>2824</v>
      </c>
      <c r="I914" s="28"/>
      <c r="J914" s="28"/>
    </row>
    <row r="915" ht="22.5" customHeight="1">
      <c r="A915" s="76" t="s">
        <v>2832</v>
      </c>
      <c r="B915" s="88" t="s">
        <v>2632</v>
      </c>
      <c r="C915" s="91"/>
      <c r="D915" s="88" t="s">
        <v>2823</v>
      </c>
      <c r="E915" s="88" t="s">
        <v>2655</v>
      </c>
      <c r="F915" s="88">
        <v>6.0</v>
      </c>
      <c r="G915" s="91"/>
      <c r="H915" s="98" t="s">
        <v>2824</v>
      </c>
      <c r="I915" s="28"/>
      <c r="J915" s="28"/>
    </row>
    <row r="916" ht="22.5" customHeight="1">
      <c r="A916" s="76" t="s">
        <v>2833</v>
      </c>
      <c r="B916" s="88" t="s">
        <v>2632</v>
      </c>
      <c r="C916" s="91"/>
      <c r="D916" s="88" t="s">
        <v>2834</v>
      </c>
      <c r="E916" s="88" t="s">
        <v>2634</v>
      </c>
      <c r="F916" s="88">
        <v>6.0</v>
      </c>
      <c r="G916" s="93"/>
      <c r="H916" s="92" t="s">
        <v>2835</v>
      </c>
      <c r="I916" s="28"/>
      <c r="J916" s="28"/>
    </row>
    <row r="917" ht="22.5" customHeight="1">
      <c r="A917" s="76" t="s">
        <v>2836</v>
      </c>
      <c r="B917" s="88" t="s">
        <v>2632</v>
      </c>
      <c r="C917" s="91"/>
      <c r="D917" s="88" t="s">
        <v>2834</v>
      </c>
      <c r="E917" s="88" t="s">
        <v>105</v>
      </c>
      <c r="F917" s="88">
        <v>6.0</v>
      </c>
      <c r="G917" s="93"/>
      <c r="H917" s="92" t="s">
        <v>2837</v>
      </c>
      <c r="I917" s="26">
        <v>8.0</v>
      </c>
      <c r="J917" s="28"/>
    </row>
    <row r="918" ht="22.5" customHeight="1">
      <c r="A918" s="76" t="s">
        <v>2838</v>
      </c>
      <c r="B918" s="88" t="s">
        <v>2632</v>
      </c>
      <c r="C918" s="91"/>
      <c r="D918" s="88" t="s">
        <v>2834</v>
      </c>
      <c r="E918" s="88" t="s">
        <v>103</v>
      </c>
      <c r="F918" s="88">
        <v>6.0</v>
      </c>
      <c r="G918" s="93"/>
      <c r="H918" s="92" t="s">
        <v>2839</v>
      </c>
      <c r="I918" s="26">
        <v>4.0</v>
      </c>
      <c r="J918" s="28"/>
    </row>
    <row r="919" ht="22.5" customHeight="1">
      <c r="A919" s="76" t="s">
        <v>2840</v>
      </c>
      <c r="B919" s="88" t="s">
        <v>2632</v>
      </c>
      <c r="C919" s="91"/>
      <c r="D919" s="88" t="s">
        <v>2834</v>
      </c>
      <c r="E919" s="88" t="s">
        <v>1457</v>
      </c>
      <c r="F919" s="88">
        <v>6.0</v>
      </c>
      <c r="G919" s="93"/>
      <c r="H919" s="92" t="s">
        <v>2841</v>
      </c>
      <c r="I919" s="28"/>
      <c r="J919" s="28"/>
    </row>
    <row r="920" ht="22.5" customHeight="1">
      <c r="A920" s="76" t="s">
        <v>2842</v>
      </c>
      <c r="B920" s="88" t="s">
        <v>2632</v>
      </c>
      <c r="C920" s="91"/>
      <c r="D920" s="88" t="s">
        <v>2834</v>
      </c>
      <c r="E920" s="88" t="s">
        <v>1830</v>
      </c>
      <c r="F920" s="88">
        <v>6.0</v>
      </c>
      <c r="G920" s="93"/>
      <c r="H920" s="92" t="s">
        <v>2843</v>
      </c>
      <c r="I920" s="28"/>
      <c r="J920" s="28"/>
    </row>
    <row r="921" ht="22.5" customHeight="1">
      <c r="A921" s="76" t="s">
        <v>2844</v>
      </c>
      <c r="B921" s="88" t="s">
        <v>2632</v>
      </c>
      <c r="C921" s="91"/>
      <c r="D921" s="88" t="s">
        <v>2834</v>
      </c>
      <c r="E921" s="88" t="s">
        <v>497</v>
      </c>
      <c r="F921" s="88">
        <v>6.0</v>
      </c>
      <c r="G921" s="93"/>
      <c r="H921" s="92" t="s">
        <v>2845</v>
      </c>
      <c r="I921" s="28"/>
      <c r="J921" s="28"/>
    </row>
    <row r="922" ht="22.5" customHeight="1">
      <c r="A922" s="76" t="s">
        <v>2846</v>
      </c>
      <c r="B922" s="88" t="s">
        <v>2632</v>
      </c>
      <c r="C922" s="91"/>
      <c r="D922" s="88" t="s">
        <v>2834</v>
      </c>
      <c r="E922" s="88" t="s">
        <v>1833</v>
      </c>
      <c r="F922" s="88">
        <v>6.0</v>
      </c>
      <c r="G922" s="93"/>
      <c r="H922" s="92" t="s">
        <v>2847</v>
      </c>
      <c r="I922" s="28"/>
      <c r="J922" s="28"/>
    </row>
    <row r="923" ht="22.5" customHeight="1">
      <c r="A923" s="76" t="s">
        <v>2848</v>
      </c>
      <c r="B923" s="88" t="s">
        <v>2632</v>
      </c>
      <c r="C923" s="91"/>
      <c r="D923" s="88" t="s">
        <v>2834</v>
      </c>
      <c r="E923" s="88" t="s">
        <v>1844</v>
      </c>
      <c r="F923" s="88">
        <v>6.0</v>
      </c>
      <c r="G923" s="93"/>
      <c r="H923" s="92" t="s">
        <v>2849</v>
      </c>
      <c r="I923" s="28"/>
      <c r="J923" s="28"/>
    </row>
    <row r="924" ht="22.5" customHeight="1">
      <c r="A924" s="76" t="s">
        <v>2850</v>
      </c>
      <c r="B924" s="88" t="s">
        <v>2632</v>
      </c>
      <c r="C924" s="91"/>
      <c r="D924" s="88" t="s">
        <v>2834</v>
      </c>
      <c r="E924" s="88" t="s">
        <v>2655</v>
      </c>
      <c r="F924" s="88">
        <v>6.0</v>
      </c>
      <c r="G924" s="93"/>
      <c r="H924" s="92" t="s">
        <v>2851</v>
      </c>
      <c r="I924" s="28"/>
      <c r="J924" s="28"/>
    </row>
    <row r="925" ht="22.5" customHeight="1">
      <c r="A925" s="76" t="s">
        <v>2852</v>
      </c>
      <c r="B925" s="88" t="s">
        <v>2632</v>
      </c>
      <c r="C925" s="91"/>
      <c r="D925" s="88" t="s">
        <v>2853</v>
      </c>
      <c r="E925" s="88" t="s">
        <v>2634</v>
      </c>
      <c r="F925" s="88">
        <v>6.0</v>
      </c>
      <c r="G925" s="93"/>
      <c r="H925" s="92" t="s">
        <v>2854</v>
      </c>
      <c r="I925" s="28"/>
      <c r="J925" s="28"/>
    </row>
    <row r="926" ht="22.5" customHeight="1">
      <c r="A926" s="76" t="s">
        <v>2855</v>
      </c>
      <c r="B926" s="88" t="s">
        <v>2632</v>
      </c>
      <c r="C926" s="91"/>
      <c r="D926" s="88" t="s">
        <v>2853</v>
      </c>
      <c r="E926" s="88" t="s">
        <v>105</v>
      </c>
      <c r="F926" s="88">
        <v>6.0</v>
      </c>
      <c r="G926" s="91"/>
      <c r="H926" s="89" t="s">
        <v>2856</v>
      </c>
      <c r="I926" s="26">
        <v>33.0</v>
      </c>
      <c r="J926" s="28"/>
    </row>
    <row r="927" ht="22.5" customHeight="1">
      <c r="A927" s="76" t="s">
        <v>2857</v>
      </c>
      <c r="B927" s="88" t="s">
        <v>2632</v>
      </c>
      <c r="C927" s="91"/>
      <c r="D927" s="88" t="s">
        <v>2853</v>
      </c>
      <c r="E927" s="88" t="s">
        <v>103</v>
      </c>
      <c r="F927" s="88">
        <v>6.0</v>
      </c>
      <c r="G927" s="91"/>
      <c r="H927" s="89" t="s">
        <v>2856</v>
      </c>
      <c r="I927" s="28"/>
      <c r="J927" s="28"/>
    </row>
    <row r="928" ht="22.5" customHeight="1">
      <c r="A928" s="76" t="s">
        <v>2858</v>
      </c>
      <c r="B928" s="88" t="s">
        <v>2632</v>
      </c>
      <c r="C928" s="91"/>
      <c r="D928" s="88" t="s">
        <v>2853</v>
      </c>
      <c r="E928" s="88" t="s">
        <v>1457</v>
      </c>
      <c r="F928" s="88">
        <v>6.0</v>
      </c>
      <c r="G928" s="91"/>
      <c r="H928" s="89" t="s">
        <v>2856</v>
      </c>
      <c r="I928" s="28"/>
      <c r="J928" s="28"/>
    </row>
    <row r="929" ht="22.5" customHeight="1">
      <c r="A929" s="76" t="s">
        <v>2859</v>
      </c>
      <c r="B929" s="88" t="s">
        <v>2632</v>
      </c>
      <c r="C929" s="91"/>
      <c r="D929" s="88" t="s">
        <v>2853</v>
      </c>
      <c r="E929" s="88" t="s">
        <v>1830</v>
      </c>
      <c r="F929" s="88">
        <v>6.0</v>
      </c>
      <c r="G929" s="91"/>
      <c r="H929" s="89" t="s">
        <v>2856</v>
      </c>
      <c r="I929" s="28"/>
      <c r="J929" s="28"/>
    </row>
    <row r="930" ht="22.5" customHeight="1">
      <c r="A930" s="76" t="s">
        <v>2860</v>
      </c>
      <c r="B930" s="88" t="s">
        <v>2632</v>
      </c>
      <c r="C930" s="91"/>
      <c r="D930" s="88" t="s">
        <v>2853</v>
      </c>
      <c r="E930" s="88" t="s">
        <v>497</v>
      </c>
      <c r="F930" s="88">
        <v>6.0</v>
      </c>
      <c r="G930" s="91"/>
      <c r="H930" s="89" t="s">
        <v>2856</v>
      </c>
      <c r="I930" s="26">
        <v>10.0</v>
      </c>
      <c r="J930" s="28"/>
    </row>
    <row r="931" ht="22.5" customHeight="1">
      <c r="A931" s="76" t="s">
        <v>2861</v>
      </c>
      <c r="B931" s="88" t="s">
        <v>2632</v>
      </c>
      <c r="C931" s="91"/>
      <c r="D931" s="88" t="s">
        <v>2853</v>
      </c>
      <c r="E931" s="88" t="s">
        <v>1833</v>
      </c>
      <c r="F931" s="88">
        <v>6.0</v>
      </c>
      <c r="G931" s="91"/>
      <c r="H931" s="89" t="s">
        <v>2856</v>
      </c>
      <c r="I931" s="28"/>
      <c r="J931" s="28"/>
    </row>
    <row r="932" ht="22.5" customHeight="1">
      <c r="A932" s="76" t="s">
        <v>2862</v>
      </c>
      <c r="B932" s="88" t="s">
        <v>2632</v>
      </c>
      <c r="C932" s="91"/>
      <c r="D932" s="88" t="s">
        <v>2853</v>
      </c>
      <c r="E932" s="88" t="s">
        <v>1844</v>
      </c>
      <c r="F932" s="88">
        <v>6.0</v>
      </c>
      <c r="G932" s="91"/>
      <c r="H932" s="89" t="s">
        <v>2856</v>
      </c>
      <c r="I932" s="28"/>
      <c r="J932" s="28"/>
    </row>
    <row r="933" ht="22.5" customHeight="1">
      <c r="A933" s="76" t="s">
        <v>2863</v>
      </c>
      <c r="B933" s="88" t="s">
        <v>2632</v>
      </c>
      <c r="C933" s="91"/>
      <c r="D933" s="88" t="s">
        <v>2853</v>
      </c>
      <c r="E933" s="88" t="s">
        <v>2655</v>
      </c>
      <c r="F933" s="88">
        <v>6.0</v>
      </c>
      <c r="G933" s="91"/>
      <c r="H933" s="89" t="s">
        <v>2856</v>
      </c>
      <c r="I933" s="28"/>
      <c r="J933" s="28"/>
    </row>
    <row r="934" ht="22.5" customHeight="1">
      <c r="A934" s="76" t="s">
        <v>2864</v>
      </c>
      <c r="B934" s="88" t="s">
        <v>2632</v>
      </c>
      <c r="C934" s="91"/>
      <c r="D934" s="88" t="s">
        <v>2865</v>
      </c>
      <c r="E934" s="88" t="s">
        <v>2634</v>
      </c>
      <c r="F934" s="88">
        <v>6.0</v>
      </c>
      <c r="G934" s="91"/>
      <c r="H934" s="89" t="s">
        <v>2866</v>
      </c>
      <c r="I934" s="28"/>
      <c r="J934" s="28"/>
    </row>
    <row r="935" ht="22.5" customHeight="1">
      <c r="A935" s="76" t="s">
        <v>2867</v>
      </c>
      <c r="B935" s="88" t="s">
        <v>2632</v>
      </c>
      <c r="C935" s="91"/>
      <c r="D935" s="88" t="s">
        <v>2865</v>
      </c>
      <c r="E935" s="88" t="s">
        <v>105</v>
      </c>
      <c r="F935" s="88">
        <v>6.0</v>
      </c>
      <c r="G935" s="91"/>
      <c r="H935" s="89" t="s">
        <v>2866</v>
      </c>
      <c r="I935" s="26">
        <v>10.0</v>
      </c>
      <c r="J935" s="28"/>
    </row>
    <row r="936" ht="22.5" customHeight="1">
      <c r="A936" s="76" t="s">
        <v>2868</v>
      </c>
      <c r="B936" s="88" t="s">
        <v>2632</v>
      </c>
      <c r="C936" s="91"/>
      <c r="D936" s="88" t="s">
        <v>2865</v>
      </c>
      <c r="E936" s="88" t="s">
        <v>103</v>
      </c>
      <c r="F936" s="88">
        <v>6.0</v>
      </c>
      <c r="G936" s="91"/>
      <c r="H936" s="89" t="s">
        <v>2866</v>
      </c>
      <c r="I936" s="26">
        <v>26.0</v>
      </c>
      <c r="J936" s="28"/>
    </row>
    <row r="937" ht="22.5" customHeight="1">
      <c r="A937" s="76" t="s">
        <v>2869</v>
      </c>
      <c r="B937" s="88" t="s">
        <v>2632</v>
      </c>
      <c r="C937" s="91"/>
      <c r="D937" s="88" t="s">
        <v>2865</v>
      </c>
      <c r="E937" s="88" t="s">
        <v>1457</v>
      </c>
      <c r="F937" s="88">
        <v>6.0</v>
      </c>
      <c r="G937" s="91"/>
      <c r="H937" s="89" t="s">
        <v>2866</v>
      </c>
      <c r="I937" s="28"/>
      <c r="J937" s="28"/>
    </row>
    <row r="938" ht="22.5" customHeight="1">
      <c r="A938" s="76" t="s">
        <v>2870</v>
      </c>
      <c r="B938" s="88" t="s">
        <v>2632</v>
      </c>
      <c r="C938" s="91"/>
      <c r="D938" s="88" t="s">
        <v>2865</v>
      </c>
      <c r="E938" s="88" t="s">
        <v>1830</v>
      </c>
      <c r="F938" s="88">
        <v>6.0</v>
      </c>
      <c r="G938" s="91"/>
      <c r="H938" s="89" t="s">
        <v>2866</v>
      </c>
      <c r="I938" s="28"/>
      <c r="J938" s="28"/>
    </row>
    <row r="939" ht="22.5" customHeight="1">
      <c r="A939" s="76" t="s">
        <v>2871</v>
      </c>
      <c r="B939" s="88" t="s">
        <v>2632</v>
      </c>
      <c r="C939" s="91"/>
      <c r="D939" s="88" t="s">
        <v>2865</v>
      </c>
      <c r="E939" s="88" t="s">
        <v>497</v>
      </c>
      <c r="F939" s="88">
        <v>6.0</v>
      </c>
      <c r="G939" s="91"/>
      <c r="H939" s="89" t="s">
        <v>2866</v>
      </c>
      <c r="I939" s="28"/>
      <c r="J939" s="28"/>
    </row>
    <row r="940" ht="22.5" customHeight="1">
      <c r="A940" s="76" t="s">
        <v>2872</v>
      </c>
      <c r="B940" s="88" t="s">
        <v>2632</v>
      </c>
      <c r="C940" s="91"/>
      <c r="D940" s="88" t="s">
        <v>2865</v>
      </c>
      <c r="E940" s="88" t="s">
        <v>1833</v>
      </c>
      <c r="F940" s="88">
        <v>6.0</v>
      </c>
      <c r="G940" s="91"/>
      <c r="H940" s="89" t="s">
        <v>2866</v>
      </c>
      <c r="I940" s="28"/>
      <c r="J940" s="28"/>
    </row>
    <row r="941" ht="22.5" customHeight="1">
      <c r="A941" s="76" t="s">
        <v>2873</v>
      </c>
      <c r="B941" s="88" t="s">
        <v>2632</v>
      </c>
      <c r="C941" s="91"/>
      <c r="D941" s="88" t="s">
        <v>2865</v>
      </c>
      <c r="E941" s="88" t="s">
        <v>1844</v>
      </c>
      <c r="F941" s="88">
        <v>6.0</v>
      </c>
      <c r="G941" s="91"/>
      <c r="H941" s="89" t="s">
        <v>2866</v>
      </c>
      <c r="I941" s="28"/>
      <c r="J941" s="28"/>
    </row>
    <row r="942" ht="22.5" customHeight="1">
      <c r="A942" s="76" t="s">
        <v>2874</v>
      </c>
      <c r="B942" s="88" t="s">
        <v>2632</v>
      </c>
      <c r="C942" s="91"/>
      <c r="D942" s="88" t="s">
        <v>2865</v>
      </c>
      <c r="E942" s="88" t="s">
        <v>2655</v>
      </c>
      <c r="F942" s="88">
        <v>6.0</v>
      </c>
      <c r="G942" s="91"/>
      <c r="H942" s="89" t="s">
        <v>2866</v>
      </c>
      <c r="I942" s="28"/>
      <c r="J942" s="28"/>
    </row>
    <row r="943" ht="22.5" customHeight="1">
      <c r="A943" s="76" t="s">
        <v>2875</v>
      </c>
      <c r="B943" s="88" t="s">
        <v>2632</v>
      </c>
      <c r="C943" s="91"/>
      <c r="D943" s="88" t="s">
        <v>2876</v>
      </c>
      <c r="E943" s="88" t="s">
        <v>2634</v>
      </c>
      <c r="F943" s="88">
        <v>6.0</v>
      </c>
      <c r="G943" s="93"/>
      <c r="H943" s="92" t="s">
        <v>2877</v>
      </c>
      <c r="I943" s="26">
        <v>30.0</v>
      </c>
      <c r="J943" s="28"/>
    </row>
    <row r="944" ht="22.5" customHeight="1">
      <c r="A944" s="76" t="s">
        <v>2878</v>
      </c>
      <c r="B944" s="88" t="s">
        <v>2632</v>
      </c>
      <c r="C944" s="91"/>
      <c r="D944" s="88" t="s">
        <v>2876</v>
      </c>
      <c r="E944" s="88" t="s">
        <v>105</v>
      </c>
      <c r="F944" s="88">
        <v>6.0</v>
      </c>
      <c r="G944" s="93"/>
      <c r="H944" s="92" t="s">
        <v>2879</v>
      </c>
      <c r="I944" s="26">
        <v>34.0</v>
      </c>
      <c r="J944" s="28"/>
    </row>
    <row r="945" ht="22.5" customHeight="1">
      <c r="A945" s="76" t="s">
        <v>2880</v>
      </c>
      <c r="B945" s="88" t="s">
        <v>2632</v>
      </c>
      <c r="C945" s="91"/>
      <c r="D945" s="88" t="s">
        <v>2876</v>
      </c>
      <c r="E945" s="88" t="s">
        <v>103</v>
      </c>
      <c r="F945" s="88">
        <v>6.0</v>
      </c>
      <c r="G945" s="93"/>
      <c r="H945" s="92" t="s">
        <v>2881</v>
      </c>
      <c r="I945" s="26">
        <v>58.0</v>
      </c>
      <c r="J945" s="28"/>
    </row>
    <row r="946" ht="22.5" customHeight="1">
      <c r="A946" s="76" t="s">
        <v>2882</v>
      </c>
      <c r="B946" s="88" t="s">
        <v>2632</v>
      </c>
      <c r="C946" s="91"/>
      <c r="D946" s="88" t="s">
        <v>2876</v>
      </c>
      <c r="E946" s="88" t="s">
        <v>1457</v>
      </c>
      <c r="F946" s="88">
        <v>6.0</v>
      </c>
      <c r="G946" s="93"/>
      <c r="H946" s="92" t="s">
        <v>2883</v>
      </c>
      <c r="I946" s="26">
        <v>62.0</v>
      </c>
      <c r="J946" s="28"/>
    </row>
    <row r="947" ht="22.5" customHeight="1">
      <c r="A947" s="76" t="s">
        <v>2884</v>
      </c>
      <c r="B947" s="88" t="s">
        <v>2632</v>
      </c>
      <c r="C947" s="91"/>
      <c r="D947" s="88" t="s">
        <v>2876</v>
      </c>
      <c r="E947" s="88" t="s">
        <v>1830</v>
      </c>
      <c r="F947" s="88">
        <v>6.0</v>
      </c>
      <c r="G947" s="93"/>
      <c r="H947" s="92" t="s">
        <v>2885</v>
      </c>
      <c r="I947" s="28"/>
      <c r="J947" s="28"/>
    </row>
    <row r="948" ht="22.5" customHeight="1">
      <c r="A948" s="76" t="s">
        <v>2886</v>
      </c>
      <c r="B948" s="88" t="s">
        <v>2632</v>
      </c>
      <c r="C948" s="91"/>
      <c r="D948" s="88" t="s">
        <v>2876</v>
      </c>
      <c r="E948" s="88" t="s">
        <v>497</v>
      </c>
      <c r="F948" s="88">
        <v>6.0</v>
      </c>
      <c r="G948" s="88">
        <v>3223.35</v>
      </c>
      <c r="H948" s="92" t="s">
        <v>2887</v>
      </c>
      <c r="I948" s="26">
        <v>10.0</v>
      </c>
      <c r="J948" s="28"/>
    </row>
    <row r="949" ht="22.5" customHeight="1">
      <c r="A949" s="76" t="s">
        <v>2888</v>
      </c>
      <c r="B949" s="88" t="s">
        <v>2632</v>
      </c>
      <c r="C949" s="91"/>
      <c r="D949" s="88" t="s">
        <v>2876</v>
      </c>
      <c r="E949" s="88" t="s">
        <v>1833</v>
      </c>
      <c r="F949" s="88">
        <v>6.0</v>
      </c>
      <c r="G949" s="93"/>
      <c r="H949" s="92" t="s">
        <v>2889</v>
      </c>
      <c r="I949" s="28"/>
      <c r="J949" s="28"/>
    </row>
    <row r="950" ht="22.5" customHeight="1">
      <c r="A950" s="76" t="s">
        <v>2890</v>
      </c>
      <c r="B950" s="88" t="s">
        <v>2632</v>
      </c>
      <c r="C950" s="91"/>
      <c r="D950" s="88" t="s">
        <v>2876</v>
      </c>
      <c r="E950" s="88" t="s">
        <v>1844</v>
      </c>
      <c r="F950" s="88">
        <v>6.0</v>
      </c>
      <c r="G950" s="93"/>
      <c r="H950" s="92" t="s">
        <v>2891</v>
      </c>
      <c r="I950" s="28"/>
      <c r="J950" s="28"/>
    </row>
    <row r="951" ht="22.5" customHeight="1">
      <c r="A951" s="76" t="s">
        <v>2892</v>
      </c>
      <c r="B951" s="88" t="s">
        <v>2632</v>
      </c>
      <c r="C951" s="91"/>
      <c r="D951" s="88" t="s">
        <v>2876</v>
      </c>
      <c r="E951" s="88" t="s">
        <v>2655</v>
      </c>
      <c r="F951" s="88">
        <v>6.0</v>
      </c>
      <c r="G951" s="93"/>
      <c r="H951" s="92" t="s">
        <v>2893</v>
      </c>
      <c r="I951" s="28"/>
      <c r="J951" s="28"/>
    </row>
    <row r="952" ht="22.5" customHeight="1">
      <c r="A952" s="76" t="s">
        <v>2894</v>
      </c>
      <c r="B952" s="88" t="s">
        <v>2632</v>
      </c>
      <c r="C952" s="91"/>
      <c r="D952" s="88" t="s">
        <v>2895</v>
      </c>
      <c r="E952" s="88" t="s">
        <v>2634</v>
      </c>
      <c r="F952" s="88">
        <v>6.0</v>
      </c>
      <c r="G952" s="93"/>
      <c r="H952" s="92" t="s">
        <v>2896</v>
      </c>
      <c r="I952" s="28"/>
      <c r="J952" s="28"/>
    </row>
    <row r="953" ht="22.5" customHeight="1">
      <c r="A953" s="76" t="s">
        <v>2897</v>
      </c>
      <c r="B953" s="88" t="s">
        <v>2632</v>
      </c>
      <c r="C953" s="91"/>
      <c r="D953" s="88" t="s">
        <v>2895</v>
      </c>
      <c r="E953" s="88" t="s">
        <v>105</v>
      </c>
      <c r="F953" s="88">
        <v>6.0</v>
      </c>
      <c r="G953" s="91"/>
      <c r="H953" s="92" t="s">
        <v>2896</v>
      </c>
      <c r="I953" s="28"/>
      <c r="J953" s="28"/>
    </row>
    <row r="954" ht="22.5" customHeight="1">
      <c r="A954" s="76" t="s">
        <v>2898</v>
      </c>
      <c r="B954" s="88" t="s">
        <v>2632</v>
      </c>
      <c r="C954" s="91"/>
      <c r="D954" s="88" t="s">
        <v>2895</v>
      </c>
      <c r="E954" s="88" t="s">
        <v>103</v>
      </c>
      <c r="F954" s="88">
        <v>6.0</v>
      </c>
      <c r="G954" s="91"/>
      <c r="H954" s="92" t="s">
        <v>2896</v>
      </c>
      <c r="I954" s="28"/>
      <c r="J954" s="28"/>
    </row>
    <row r="955" ht="22.5" customHeight="1">
      <c r="A955" s="76" t="s">
        <v>2899</v>
      </c>
      <c r="B955" s="88" t="s">
        <v>2632</v>
      </c>
      <c r="C955" s="91"/>
      <c r="D955" s="88" t="s">
        <v>2895</v>
      </c>
      <c r="E955" s="88" t="s">
        <v>1457</v>
      </c>
      <c r="F955" s="88">
        <v>6.0</v>
      </c>
      <c r="G955" s="91"/>
      <c r="H955" s="92" t="s">
        <v>2896</v>
      </c>
      <c r="I955" s="28"/>
      <c r="J955" s="28"/>
    </row>
    <row r="956" ht="22.5" customHeight="1">
      <c r="A956" s="76" t="s">
        <v>2900</v>
      </c>
      <c r="B956" s="88" t="s">
        <v>2632</v>
      </c>
      <c r="C956" s="91"/>
      <c r="D956" s="88" t="s">
        <v>2895</v>
      </c>
      <c r="E956" s="88" t="s">
        <v>1830</v>
      </c>
      <c r="F956" s="88">
        <v>6.0</v>
      </c>
      <c r="G956" s="91"/>
      <c r="H956" s="92" t="s">
        <v>2896</v>
      </c>
      <c r="I956" s="28"/>
      <c r="J956" s="28"/>
    </row>
    <row r="957" ht="22.5" customHeight="1">
      <c r="A957" s="76" t="s">
        <v>2901</v>
      </c>
      <c r="B957" s="88" t="s">
        <v>2632</v>
      </c>
      <c r="C957" s="91"/>
      <c r="D957" s="88" t="s">
        <v>2895</v>
      </c>
      <c r="E957" s="88" t="s">
        <v>497</v>
      </c>
      <c r="F957" s="88">
        <v>6.0</v>
      </c>
      <c r="G957" s="91"/>
      <c r="H957" s="92" t="s">
        <v>2896</v>
      </c>
      <c r="I957" s="28"/>
      <c r="J957" s="28"/>
    </row>
    <row r="958" ht="22.5" customHeight="1">
      <c r="A958" s="76" t="s">
        <v>2902</v>
      </c>
      <c r="B958" s="88" t="s">
        <v>2632</v>
      </c>
      <c r="C958" s="91"/>
      <c r="D958" s="88" t="s">
        <v>2895</v>
      </c>
      <c r="E958" s="88" t="s">
        <v>1833</v>
      </c>
      <c r="F958" s="88">
        <v>6.0</v>
      </c>
      <c r="G958" s="91"/>
      <c r="H958" s="92" t="s">
        <v>2896</v>
      </c>
      <c r="I958" s="28"/>
      <c r="J958" s="28"/>
    </row>
    <row r="959" ht="22.5" customHeight="1">
      <c r="A959" s="76" t="s">
        <v>2903</v>
      </c>
      <c r="B959" s="88" t="s">
        <v>2632</v>
      </c>
      <c r="C959" s="91"/>
      <c r="D959" s="88" t="s">
        <v>2895</v>
      </c>
      <c r="E959" s="88" t="s">
        <v>1844</v>
      </c>
      <c r="F959" s="88">
        <v>6.0</v>
      </c>
      <c r="G959" s="91"/>
      <c r="H959" s="92" t="s">
        <v>2896</v>
      </c>
      <c r="I959" s="28"/>
      <c r="J959" s="28"/>
    </row>
    <row r="960" ht="22.5" customHeight="1">
      <c r="A960" s="76" t="s">
        <v>2904</v>
      </c>
      <c r="B960" s="88" t="s">
        <v>2632</v>
      </c>
      <c r="C960" s="91"/>
      <c r="D960" s="88" t="s">
        <v>2895</v>
      </c>
      <c r="E960" s="88" t="s">
        <v>2655</v>
      </c>
      <c r="F960" s="88">
        <v>6.0</v>
      </c>
      <c r="G960" s="91"/>
      <c r="H960" s="92" t="s">
        <v>2896</v>
      </c>
      <c r="I960" s="28"/>
      <c r="J960" s="28"/>
    </row>
    <row r="961" ht="22.5" customHeight="1">
      <c r="A961" s="76" t="s">
        <v>2905</v>
      </c>
      <c r="B961" s="88" t="s">
        <v>2632</v>
      </c>
      <c r="C961" s="91"/>
      <c r="D961" s="88" t="s">
        <v>2906</v>
      </c>
      <c r="E961" s="88" t="s">
        <v>2634</v>
      </c>
      <c r="F961" s="88">
        <v>6.0</v>
      </c>
      <c r="G961" s="93"/>
      <c r="H961" s="103" t="s">
        <v>2907</v>
      </c>
      <c r="I961" s="28"/>
      <c r="J961" s="28"/>
    </row>
    <row r="962" ht="22.5" customHeight="1">
      <c r="A962" s="76" t="s">
        <v>2908</v>
      </c>
      <c r="B962" s="88" t="s">
        <v>2632</v>
      </c>
      <c r="C962" s="91"/>
      <c r="D962" s="88" t="s">
        <v>2906</v>
      </c>
      <c r="E962" s="88" t="s">
        <v>105</v>
      </c>
      <c r="F962" s="88">
        <v>6.0</v>
      </c>
      <c r="G962" s="93"/>
      <c r="H962" s="92" t="s">
        <v>2907</v>
      </c>
      <c r="I962" s="28"/>
      <c r="J962" s="28"/>
    </row>
    <row r="963" ht="22.5" customHeight="1">
      <c r="A963" s="76" t="s">
        <v>2909</v>
      </c>
      <c r="B963" s="88" t="s">
        <v>2632</v>
      </c>
      <c r="C963" s="91"/>
      <c r="D963" s="88" t="s">
        <v>2906</v>
      </c>
      <c r="E963" s="88" t="s">
        <v>103</v>
      </c>
      <c r="F963" s="88">
        <v>6.0</v>
      </c>
      <c r="G963" s="93"/>
      <c r="H963" s="92" t="s">
        <v>2907</v>
      </c>
      <c r="I963" s="26">
        <v>32.0</v>
      </c>
      <c r="J963" s="28"/>
    </row>
    <row r="964" ht="22.5" customHeight="1">
      <c r="A964" s="76" t="s">
        <v>2910</v>
      </c>
      <c r="B964" s="88" t="s">
        <v>2632</v>
      </c>
      <c r="C964" s="91"/>
      <c r="D964" s="88" t="s">
        <v>2906</v>
      </c>
      <c r="E964" s="88" t="s">
        <v>1457</v>
      </c>
      <c r="F964" s="88">
        <v>6.0</v>
      </c>
      <c r="G964" s="93"/>
      <c r="H964" s="92" t="s">
        <v>2907</v>
      </c>
      <c r="I964" s="26">
        <v>22.0</v>
      </c>
      <c r="J964" s="28"/>
    </row>
    <row r="965" ht="22.5" customHeight="1">
      <c r="A965" s="76" t="s">
        <v>2911</v>
      </c>
      <c r="B965" s="88" t="s">
        <v>2632</v>
      </c>
      <c r="C965" s="91"/>
      <c r="D965" s="88" t="s">
        <v>2906</v>
      </c>
      <c r="E965" s="88" t="s">
        <v>1830</v>
      </c>
      <c r="F965" s="88">
        <v>6.0</v>
      </c>
      <c r="G965" s="93"/>
      <c r="H965" s="92" t="s">
        <v>2907</v>
      </c>
      <c r="I965" s="28"/>
      <c r="J965" s="28"/>
    </row>
    <row r="966" ht="22.5" customHeight="1">
      <c r="A966" s="76" t="s">
        <v>2912</v>
      </c>
      <c r="B966" s="88" t="s">
        <v>2632</v>
      </c>
      <c r="C966" s="91"/>
      <c r="D966" s="88" t="s">
        <v>2906</v>
      </c>
      <c r="E966" s="88" t="s">
        <v>497</v>
      </c>
      <c r="F966" s="88">
        <v>6.0</v>
      </c>
      <c r="G966" s="93"/>
      <c r="H966" s="92" t="s">
        <v>2907</v>
      </c>
      <c r="I966" s="28"/>
      <c r="J966" s="28"/>
    </row>
    <row r="967" ht="22.5" customHeight="1">
      <c r="A967" s="76" t="s">
        <v>2913</v>
      </c>
      <c r="B967" s="88" t="s">
        <v>2632</v>
      </c>
      <c r="C967" s="91"/>
      <c r="D967" s="88" t="s">
        <v>2906</v>
      </c>
      <c r="E967" s="88" t="s">
        <v>1833</v>
      </c>
      <c r="F967" s="88">
        <v>6.0</v>
      </c>
      <c r="G967" s="93"/>
      <c r="H967" s="92" t="s">
        <v>2907</v>
      </c>
      <c r="I967" s="28"/>
      <c r="J967" s="28"/>
    </row>
    <row r="968" ht="22.5" customHeight="1">
      <c r="A968" s="76" t="s">
        <v>2914</v>
      </c>
      <c r="B968" s="88" t="s">
        <v>2632</v>
      </c>
      <c r="C968" s="91"/>
      <c r="D968" s="88" t="s">
        <v>2906</v>
      </c>
      <c r="E968" s="88" t="s">
        <v>1844</v>
      </c>
      <c r="F968" s="88">
        <v>6.0</v>
      </c>
      <c r="G968" s="93"/>
      <c r="H968" s="92" t="s">
        <v>2907</v>
      </c>
      <c r="I968" s="28"/>
      <c r="J968" s="28"/>
    </row>
    <row r="969" ht="22.5" customHeight="1">
      <c r="A969" s="76" t="s">
        <v>2915</v>
      </c>
      <c r="B969" s="88" t="s">
        <v>2632</v>
      </c>
      <c r="C969" s="91"/>
      <c r="D969" s="88" t="s">
        <v>2906</v>
      </c>
      <c r="E969" s="88" t="s">
        <v>2655</v>
      </c>
      <c r="F969" s="88">
        <v>6.0</v>
      </c>
      <c r="G969" s="93"/>
      <c r="H969" s="92" t="s">
        <v>2907</v>
      </c>
      <c r="I969" s="28"/>
      <c r="J969" s="28"/>
    </row>
    <row r="970" ht="22.5" customHeight="1">
      <c r="A970" s="76" t="s">
        <v>2916</v>
      </c>
      <c r="B970" s="88" t="s">
        <v>2632</v>
      </c>
      <c r="C970" s="91"/>
      <c r="D970" s="88" t="s">
        <v>2917</v>
      </c>
      <c r="E970" s="88" t="s">
        <v>2634</v>
      </c>
      <c r="F970" s="88">
        <v>6.0</v>
      </c>
      <c r="G970" s="93"/>
      <c r="H970" s="92" t="s">
        <v>2907</v>
      </c>
      <c r="I970" s="28"/>
      <c r="J970" s="28"/>
    </row>
    <row r="971" ht="22.5" customHeight="1">
      <c r="A971" s="76" t="s">
        <v>2918</v>
      </c>
      <c r="B971" s="88" t="s">
        <v>2632</v>
      </c>
      <c r="C971" s="91"/>
      <c r="D971" s="88" t="s">
        <v>2917</v>
      </c>
      <c r="E971" s="88" t="s">
        <v>105</v>
      </c>
      <c r="F971" s="88">
        <v>6.0</v>
      </c>
      <c r="G971" s="93"/>
      <c r="H971" s="92" t="s">
        <v>2919</v>
      </c>
      <c r="I971" s="26">
        <v>70.0</v>
      </c>
      <c r="J971" s="28"/>
    </row>
    <row r="972" ht="22.5" customHeight="1">
      <c r="A972" s="76" t="s">
        <v>2920</v>
      </c>
      <c r="B972" s="88" t="s">
        <v>2632</v>
      </c>
      <c r="C972" s="91"/>
      <c r="D972" s="88" t="s">
        <v>2917</v>
      </c>
      <c r="E972" s="88" t="s">
        <v>103</v>
      </c>
      <c r="F972" s="88">
        <v>6.0</v>
      </c>
      <c r="G972" s="93"/>
      <c r="H972" s="92" t="s">
        <v>2919</v>
      </c>
      <c r="I972" s="26">
        <v>400.0</v>
      </c>
      <c r="J972" s="28"/>
    </row>
    <row r="973" ht="22.5" customHeight="1">
      <c r="A973" s="76" t="s">
        <v>2921</v>
      </c>
      <c r="B973" s="88" t="s">
        <v>2632</v>
      </c>
      <c r="C973" s="91"/>
      <c r="D973" s="88" t="s">
        <v>2917</v>
      </c>
      <c r="E973" s="88" t="s">
        <v>1457</v>
      </c>
      <c r="F973" s="88">
        <v>6.0</v>
      </c>
      <c r="G973" s="93"/>
      <c r="H973" s="92" t="s">
        <v>2919</v>
      </c>
      <c r="I973" s="26">
        <v>41.0</v>
      </c>
      <c r="J973" s="28"/>
    </row>
    <row r="974" ht="22.5" customHeight="1">
      <c r="A974" s="76" t="s">
        <v>2922</v>
      </c>
      <c r="B974" s="88" t="s">
        <v>2632</v>
      </c>
      <c r="C974" s="91"/>
      <c r="D974" s="88" t="s">
        <v>2917</v>
      </c>
      <c r="E974" s="88" t="s">
        <v>1830</v>
      </c>
      <c r="F974" s="88">
        <v>6.0</v>
      </c>
      <c r="G974" s="93"/>
      <c r="H974" s="92" t="s">
        <v>2919</v>
      </c>
      <c r="I974" s="28"/>
      <c r="J974" s="28"/>
    </row>
    <row r="975" ht="22.5" customHeight="1">
      <c r="A975" s="76" t="s">
        <v>2923</v>
      </c>
      <c r="B975" s="88" t="s">
        <v>2632</v>
      </c>
      <c r="C975" s="91"/>
      <c r="D975" s="88" t="s">
        <v>2917</v>
      </c>
      <c r="E975" s="88" t="s">
        <v>497</v>
      </c>
      <c r="F975" s="88">
        <v>6.0</v>
      </c>
      <c r="G975" s="93"/>
      <c r="H975" s="92" t="s">
        <v>2919</v>
      </c>
      <c r="I975" s="28"/>
      <c r="J975" s="28"/>
    </row>
    <row r="976" ht="22.5" customHeight="1">
      <c r="A976" s="76" t="s">
        <v>2924</v>
      </c>
      <c r="B976" s="88" t="s">
        <v>2632</v>
      </c>
      <c r="C976" s="91"/>
      <c r="D976" s="88" t="s">
        <v>2917</v>
      </c>
      <c r="E976" s="88" t="s">
        <v>1833</v>
      </c>
      <c r="F976" s="88">
        <v>6.0</v>
      </c>
      <c r="G976" s="93"/>
      <c r="H976" s="92" t="s">
        <v>2919</v>
      </c>
      <c r="I976" s="28"/>
      <c r="J976" s="28"/>
    </row>
    <row r="977" ht="22.5" customHeight="1">
      <c r="A977" s="76" t="s">
        <v>2925</v>
      </c>
      <c r="B977" s="88" t="s">
        <v>2632</v>
      </c>
      <c r="C977" s="91"/>
      <c r="D977" s="88" t="s">
        <v>2917</v>
      </c>
      <c r="E977" s="88" t="s">
        <v>1844</v>
      </c>
      <c r="F977" s="88">
        <v>6.0</v>
      </c>
      <c r="G977" s="93"/>
      <c r="H977" s="92" t="s">
        <v>2919</v>
      </c>
      <c r="I977" s="28"/>
      <c r="J977" s="28"/>
    </row>
    <row r="978" ht="22.5" customHeight="1">
      <c r="A978" s="76" t="s">
        <v>2926</v>
      </c>
      <c r="B978" s="88" t="s">
        <v>2632</v>
      </c>
      <c r="C978" s="91"/>
      <c r="D978" s="88" t="s">
        <v>2917</v>
      </c>
      <c r="E978" s="88" t="s">
        <v>2655</v>
      </c>
      <c r="F978" s="88">
        <v>6.0</v>
      </c>
      <c r="G978" s="93"/>
      <c r="H978" s="92" t="s">
        <v>2919</v>
      </c>
      <c r="I978" s="28"/>
      <c r="J978" s="28"/>
    </row>
    <row r="979" ht="22.5" customHeight="1">
      <c r="A979" s="76" t="s">
        <v>2927</v>
      </c>
      <c r="B979" s="88" t="s">
        <v>2632</v>
      </c>
      <c r="C979" s="91"/>
      <c r="D979" s="88" t="s">
        <v>2928</v>
      </c>
      <c r="E979" s="88" t="s">
        <v>2634</v>
      </c>
      <c r="F979" s="88">
        <v>6.0</v>
      </c>
      <c r="G979" s="93"/>
      <c r="H979" s="92" t="s">
        <v>2929</v>
      </c>
      <c r="I979" s="28"/>
      <c r="J979" s="28"/>
    </row>
    <row r="980" ht="22.5" customHeight="1">
      <c r="A980" s="76" t="s">
        <v>2930</v>
      </c>
      <c r="B980" s="88" t="s">
        <v>2632</v>
      </c>
      <c r="C980" s="91"/>
      <c r="D980" s="88" t="s">
        <v>2928</v>
      </c>
      <c r="E980" s="88" t="s">
        <v>105</v>
      </c>
      <c r="F980" s="88">
        <v>6.0</v>
      </c>
      <c r="G980" s="93"/>
      <c r="H980" s="92" t="s">
        <v>2929</v>
      </c>
      <c r="I980" s="26">
        <v>38.0</v>
      </c>
      <c r="J980" s="28"/>
    </row>
    <row r="981" ht="22.5" customHeight="1">
      <c r="A981" s="76" t="s">
        <v>2931</v>
      </c>
      <c r="B981" s="88" t="s">
        <v>2632</v>
      </c>
      <c r="C981" s="91"/>
      <c r="D981" s="88" t="s">
        <v>2928</v>
      </c>
      <c r="E981" s="88" t="s">
        <v>103</v>
      </c>
      <c r="F981" s="88">
        <v>6.0</v>
      </c>
      <c r="G981" s="93"/>
      <c r="H981" s="92" t="s">
        <v>2929</v>
      </c>
      <c r="I981" s="28"/>
      <c r="J981" s="28"/>
    </row>
    <row r="982" ht="22.5" customHeight="1">
      <c r="A982" s="76" t="s">
        <v>2932</v>
      </c>
      <c r="B982" s="88" t="s">
        <v>2632</v>
      </c>
      <c r="C982" s="91"/>
      <c r="D982" s="88" t="s">
        <v>2928</v>
      </c>
      <c r="E982" s="88" t="s">
        <v>1457</v>
      </c>
      <c r="F982" s="88">
        <v>6.0</v>
      </c>
      <c r="G982" s="93"/>
      <c r="H982" s="92" t="s">
        <v>2929</v>
      </c>
      <c r="I982" s="26">
        <v>18.0</v>
      </c>
      <c r="J982" s="28"/>
    </row>
    <row r="983" ht="22.5" customHeight="1">
      <c r="A983" s="76" t="s">
        <v>2933</v>
      </c>
      <c r="B983" s="88" t="s">
        <v>2632</v>
      </c>
      <c r="C983" s="91"/>
      <c r="D983" s="88" t="s">
        <v>2928</v>
      </c>
      <c r="E983" s="88" t="s">
        <v>1830</v>
      </c>
      <c r="F983" s="88">
        <v>6.0</v>
      </c>
      <c r="G983" s="93"/>
      <c r="H983" s="92" t="s">
        <v>2929</v>
      </c>
      <c r="I983" s="28"/>
      <c r="J983" s="28"/>
    </row>
    <row r="984" ht="22.5" customHeight="1">
      <c r="A984" s="76" t="s">
        <v>2934</v>
      </c>
      <c r="B984" s="88" t="s">
        <v>2632</v>
      </c>
      <c r="C984" s="91"/>
      <c r="D984" s="88" t="s">
        <v>2928</v>
      </c>
      <c r="E984" s="88" t="s">
        <v>497</v>
      </c>
      <c r="F984" s="88">
        <v>6.0</v>
      </c>
      <c r="G984" s="88">
        <v>250.0</v>
      </c>
      <c r="H984" s="92" t="s">
        <v>2929</v>
      </c>
      <c r="I984" s="28"/>
      <c r="J984" s="28"/>
    </row>
    <row r="985" ht="22.5" customHeight="1">
      <c r="A985" s="76" t="s">
        <v>2935</v>
      </c>
      <c r="B985" s="88" t="s">
        <v>2632</v>
      </c>
      <c r="C985" s="91"/>
      <c r="D985" s="88" t="s">
        <v>2928</v>
      </c>
      <c r="E985" s="88" t="s">
        <v>1833</v>
      </c>
      <c r="F985" s="88">
        <v>6.0</v>
      </c>
      <c r="G985" s="93"/>
      <c r="H985" s="92" t="s">
        <v>2929</v>
      </c>
      <c r="I985" s="28"/>
      <c r="J985" s="28"/>
    </row>
    <row r="986" ht="22.5" customHeight="1">
      <c r="A986" s="76" t="s">
        <v>2936</v>
      </c>
      <c r="B986" s="88" t="s">
        <v>2632</v>
      </c>
      <c r="C986" s="91"/>
      <c r="D986" s="88" t="s">
        <v>2928</v>
      </c>
      <c r="E986" s="88" t="s">
        <v>1844</v>
      </c>
      <c r="F986" s="88">
        <v>6.0</v>
      </c>
      <c r="G986" s="93"/>
      <c r="H986" s="92" t="s">
        <v>2929</v>
      </c>
      <c r="I986" s="28"/>
      <c r="J986" s="28"/>
    </row>
    <row r="987" ht="22.5" customHeight="1">
      <c r="A987" s="76" t="s">
        <v>2937</v>
      </c>
      <c r="B987" s="88" t="s">
        <v>2632</v>
      </c>
      <c r="C987" s="91"/>
      <c r="D987" s="88" t="s">
        <v>2928</v>
      </c>
      <c r="E987" s="88" t="s">
        <v>2655</v>
      </c>
      <c r="F987" s="88">
        <v>6.0</v>
      </c>
      <c r="G987" s="93"/>
      <c r="H987" s="92" t="s">
        <v>2929</v>
      </c>
      <c r="I987" s="28"/>
      <c r="J987" s="28"/>
    </row>
    <row r="988" ht="22.5" customHeight="1">
      <c r="A988" s="76" t="s">
        <v>2938</v>
      </c>
      <c r="B988" s="88" t="s">
        <v>2632</v>
      </c>
      <c r="C988" s="91"/>
      <c r="D988" s="88" t="s">
        <v>2939</v>
      </c>
      <c r="E988" s="88" t="s">
        <v>2634</v>
      </c>
      <c r="F988" s="88">
        <v>6.0</v>
      </c>
      <c r="G988" s="93"/>
      <c r="H988" s="92" t="s">
        <v>2940</v>
      </c>
      <c r="I988" s="28"/>
      <c r="J988" s="28"/>
    </row>
    <row r="989" ht="22.5" customHeight="1">
      <c r="A989" s="76" t="s">
        <v>2941</v>
      </c>
      <c r="B989" s="88" t="s">
        <v>2632</v>
      </c>
      <c r="C989" s="91"/>
      <c r="D989" s="88" t="s">
        <v>2939</v>
      </c>
      <c r="E989" s="88" t="s">
        <v>105</v>
      </c>
      <c r="F989" s="88">
        <v>6.0</v>
      </c>
      <c r="G989" s="93"/>
      <c r="H989" s="92" t="s">
        <v>2940</v>
      </c>
      <c r="I989" s="26">
        <v>16.0</v>
      </c>
      <c r="J989" s="28"/>
    </row>
    <row r="990" ht="22.5" customHeight="1">
      <c r="A990" s="76" t="s">
        <v>2942</v>
      </c>
      <c r="B990" s="88" t="s">
        <v>2632</v>
      </c>
      <c r="C990" s="91"/>
      <c r="D990" s="88" t="s">
        <v>2939</v>
      </c>
      <c r="E990" s="88" t="s">
        <v>103</v>
      </c>
      <c r="F990" s="88">
        <v>6.0</v>
      </c>
      <c r="G990" s="93"/>
      <c r="H990" s="92" t="s">
        <v>2940</v>
      </c>
      <c r="I990" s="28"/>
      <c r="J990" s="28"/>
    </row>
    <row r="991" ht="22.5" customHeight="1">
      <c r="A991" s="76" t="s">
        <v>2943</v>
      </c>
      <c r="B991" s="88" t="s">
        <v>2632</v>
      </c>
      <c r="C991" s="91"/>
      <c r="D991" s="88" t="s">
        <v>2939</v>
      </c>
      <c r="E991" s="88" t="s">
        <v>1457</v>
      </c>
      <c r="F991" s="88">
        <v>6.0</v>
      </c>
      <c r="G991" s="93"/>
      <c r="H991" s="92" t="s">
        <v>2940</v>
      </c>
      <c r="I991" s="28"/>
      <c r="J991" s="28"/>
    </row>
    <row r="992" ht="22.5" customHeight="1">
      <c r="A992" s="76" t="s">
        <v>2944</v>
      </c>
      <c r="B992" s="88" t="s">
        <v>2632</v>
      </c>
      <c r="C992" s="91"/>
      <c r="D992" s="88" t="s">
        <v>2939</v>
      </c>
      <c r="E992" s="88" t="s">
        <v>1830</v>
      </c>
      <c r="F992" s="88">
        <v>6.0</v>
      </c>
      <c r="G992" s="93"/>
      <c r="H992" s="92" t="s">
        <v>2940</v>
      </c>
      <c r="I992" s="28"/>
      <c r="J992" s="28"/>
    </row>
    <row r="993" ht="22.5" customHeight="1">
      <c r="A993" s="76" t="s">
        <v>2945</v>
      </c>
      <c r="B993" s="88" t="s">
        <v>2632</v>
      </c>
      <c r="C993" s="91"/>
      <c r="D993" s="88" t="s">
        <v>2939</v>
      </c>
      <c r="E993" s="88" t="s">
        <v>497</v>
      </c>
      <c r="F993" s="88">
        <v>6.0</v>
      </c>
      <c r="G993" s="93"/>
      <c r="H993" s="92" t="s">
        <v>2940</v>
      </c>
      <c r="I993" s="28"/>
      <c r="J993" s="28"/>
    </row>
    <row r="994" ht="22.5" customHeight="1">
      <c r="A994" s="76" t="s">
        <v>2946</v>
      </c>
      <c r="B994" s="88" t="s">
        <v>2632</v>
      </c>
      <c r="C994" s="91"/>
      <c r="D994" s="88" t="s">
        <v>2939</v>
      </c>
      <c r="E994" s="88" t="s">
        <v>1833</v>
      </c>
      <c r="F994" s="88">
        <v>6.0</v>
      </c>
      <c r="G994" s="93"/>
      <c r="H994" s="92" t="s">
        <v>2940</v>
      </c>
      <c r="I994" s="28"/>
      <c r="J994" s="28"/>
    </row>
    <row r="995" ht="22.5" customHeight="1">
      <c r="A995" s="76" t="s">
        <v>2947</v>
      </c>
      <c r="B995" s="88" t="s">
        <v>2632</v>
      </c>
      <c r="C995" s="91"/>
      <c r="D995" s="88" t="s">
        <v>2939</v>
      </c>
      <c r="E995" s="88" t="s">
        <v>1844</v>
      </c>
      <c r="F995" s="88">
        <v>6.0</v>
      </c>
      <c r="G995" s="93"/>
      <c r="H995" s="92" t="s">
        <v>2940</v>
      </c>
      <c r="I995" s="28"/>
      <c r="J995" s="28"/>
    </row>
    <row r="996" ht="22.5" customHeight="1">
      <c r="A996" s="76" t="s">
        <v>2948</v>
      </c>
      <c r="B996" s="88" t="s">
        <v>2632</v>
      </c>
      <c r="C996" s="91"/>
      <c r="D996" s="88" t="s">
        <v>2939</v>
      </c>
      <c r="E996" s="88" t="s">
        <v>2655</v>
      </c>
      <c r="F996" s="88">
        <v>6.0</v>
      </c>
      <c r="G996" s="93"/>
      <c r="H996" s="92" t="s">
        <v>2940</v>
      </c>
      <c r="I996" s="28"/>
      <c r="J996" s="28"/>
    </row>
    <row r="997" ht="22.5" customHeight="1">
      <c r="A997" s="76" t="s">
        <v>2949</v>
      </c>
      <c r="B997" s="88" t="s">
        <v>2632</v>
      </c>
      <c r="C997" s="91"/>
      <c r="D997" s="88" t="s">
        <v>2950</v>
      </c>
      <c r="E997" s="88" t="s">
        <v>2634</v>
      </c>
      <c r="F997" s="88">
        <v>6.0</v>
      </c>
      <c r="G997" s="93"/>
      <c r="H997" s="92" t="s">
        <v>2951</v>
      </c>
      <c r="I997" s="28"/>
      <c r="J997" s="28"/>
    </row>
    <row r="998" ht="22.5" customHeight="1">
      <c r="A998" s="76" t="s">
        <v>2952</v>
      </c>
      <c r="B998" s="88" t="s">
        <v>2632</v>
      </c>
      <c r="C998" s="91"/>
      <c r="D998" s="88" t="s">
        <v>2950</v>
      </c>
      <c r="E998" s="88" t="s">
        <v>105</v>
      </c>
      <c r="F998" s="88">
        <v>6.0</v>
      </c>
      <c r="G998" s="93"/>
      <c r="H998" s="92" t="s">
        <v>2951</v>
      </c>
      <c r="I998" s="26">
        <v>20.0</v>
      </c>
      <c r="J998" s="28"/>
    </row>
    <row r="999" ht="22.5" customHeight="1">
      <c r="A999" s="76" t="s">
        <v>2953</v>
      </c>
      <c r="B999" s="88" t="s">
        <v>2632</v>
      </c>
      <c r="C999" s="91"/>
      <c r="D999" s="88" t="s">
        <v>2950</v>
      </c>
      <c r="E999" s="88" t="s">
        <v>103</v>
      </c>
      <c r="F999" s="88">
        <v>6.0</v>
      </c>
      <c r="G999" s="93"/>
      <c r="H999" s="92" t="s">
        <v>2951</v>
      </c>
      <c r="I999" s="28"/>
      <c r="J999" s="28"/>
    </row>
    <row r="1000" ht="22.5" customHeight="1">
      <c r="A1000" s="76" t="s">
        <v>2954</v>
      </c>
      <c r="B1000" s="88" t="s">
        <v>2632</v>
      </c>
      <c r="C1000" s="91"/>
      <c r="D1000" s="88" t="s">
        <v>2950</v>
      </c>
      <c r="E1000" s="88" t="s">
        <v>1457</v>
      </c>
      <c r="F1000" s="88">
        <v>6.0</v>
      </c>
      <c r="G1000" s="93"/>
      <c r="H1000" s="92" t="s">
        <v>2951</v>
      </c>
      <c r="I1000" s="28"/>
      <c r="J1000" s="28"/>
    </row>
    <row r="1001" ht="22.5" customHeight="1">
      <c r="A1001" s="76" t="s">
        <v>2955</v>
      </c>
      <c r="B1001" s="88" t="s">
        <v>2632</v>
      </c>
      <c r="C1001" s="91"/>
      <c r="D1001" s="88" t="s">
        <v>2950</v>
      </c>
      <c r="E1001" s="88" t="s">
        <v>1830</v>
      </c>
      <c r="F1001" s="88">
        <v>6.0</v>
      </c>
      <c r="G1001" s="93"/>
      <c r="H1001" s="92" t="s">
        <v>2951</v>
      </c>
      <c r="I1001" s="28"/>
      <c r="J1001" s="28"/>
    </row>
    <row r="1002" ht="22.5" customHeight="1">
      <c r="A1002" s="76" t="s">
        <v>2956</v>
      </c>
      <c r="B1002" s="88" t="s">
        <v>2632</v>
      </c>
      <c r="C1002" s="91"/>
      <c r="D1002" s="88" t="s">
        <v>2950</v>
      </c>
      <c r="E1002" s="88" t="s">
        <v>497</v>
      </c>
      <c r="F1002" s="88">
        <v>6.0</v>
      </c>
      <c r="G1002" s="93"/>
      <c r="H1002" s="92" t="s">
        <v>2951</v>
      </c>
      <c r="I1002" s="28"/>
      <c r="J1002" s="28"/>
    </row>
    <row r="1003" ht="22.5" customHeight="1">
      <c r="A1003" s="76" t="s">
        <v>2957</v>
      </c>
      <c r="B1003" s="88" t="s">
        <v>2632</v>
      </c>
      <c r="C1003" s="91"/>
      <c r="D1003" s="88" t="s">
        <v>2950</v>
      </c>
      <c r="E1003" s="88" t="s">
        <v>1833</v>
      </c>
      <c r="F1003" s="88">
        <v>6.0</v>
      </c>
      <c r="G1003" s="93"/>
      <c r="H1003" s="92" t="s">
        <v>2951</v>
      </c>
      <c r="I1003" s="28"/>
      <c r="J1003" s="28"/>
    </row>
    <row r="1004" ht="22.5" customHeight="1">
      <c r="A1004" s="76" t="s">
        <v>2958</v>
      </c>
      <c r="B1004" s="88" t="s">
        <v>2632</v>
      </c>
      <c r="C1004" s="91"/>
      <c r="D1004" s="88" t="s">
        <v>2950</v>
      </c>
      <c r="E1004" s="88" t="s">
        <v>1844</v>
      </c>
      <c r="F1004" s="88">
        <v>6.0</v>
      </c>
      <c r="G1004" s="93"/>
      <c r="H1004" s="92" t="s">
        <v>2951</v>
      </c>
      <c r="I1004" s="28"/>
      <c r="J1004" s="28"/>
    </row>
    <row r="1005" ht="22.5" customHeight="1">
      <c r="A1005" s="76" t="s">
        <v>2959</v>
      </c>
      <c r="B1005" s="88" t="s">
        <v>2632</v>
      </c>
      <c r="C1005" s="91"/>
      <c r="D1005" s="88" t="s">
        <v>2950</v>
      </c>
      <c r="E1005" s="88" t="s">
        <v>2655</v>
      </c>
      <c r="F1005" s="88">
        <v>6.0</v>
      </c>
      <c r="G1005" s="93"/>
      <c r="H1005" s="92" t="s">
        <v>2951</v>
      </c>
      <c r="I1005" s="28"/>
      <c r="J1005" s="28"/>
    </row>
    <row r="1006" ht="22.5" customHeight="1">
      <c r="A1006" s="76" t="s">
        <v>2960</v>
      </c>
      <c r="B1006" s="88" t="s">
        <v>2632</v>
      </c>
      <c r="C1006" s="91"/>
      <c r="D1006" s="88" t="s">
        <v>2961</v>
      </c>
      <c r="E1006" s="88" t="s">
        <v>2634</v>
      </c>
      <c r="F1006" s="88">
        <v>6.0</v>
      </c>
      <c r="G1006" s="93"/>
      <c r="H1006" s="92" t="s">
        <v>2962</v>
      </c>
      <c r="I1006" s="28"/>
      <c r="J1006" s="28"/>
    </row>
    <row r="1007" ht="22.5" customHeight="1">
      <c r="A1007" s="76" t="s">
        <v>2963</v>
      </c>
      <c r="B1007" s="88" t="s">
        <v>2632</v>
      </c>
      <c r="C1007" s="91"/>
      <c r="D1007" s="88" t="s">
        <v>2961</v>
      </c>
      <c r="E1007" s="88" t="s">
        <v>105</v>
      </c>
      <c r="F1007" s="88">
        <v>6.0</v>
      </c>
      <c r="G1007" s="93"/>
      <c r="H1007" s="92" t="s">
        <v>2962</v>
      </c>
      <c r="I1007" s="28"/>
      <c r="J1007" s="28"/>
    </row>
    <row r="1008" ht="22.5" customHeight="1">
      <c r="A1008" s="76" t="s">
        <v>2964</v>
      </c>
      <c r="B1008" s="88" t="s">
        <v>2632</v>
      </c>
      <c r="C1008" s="91"/>
      <c r="D1008" s="88" t="s">
        <v>2961</v>
      </c>
      <c r="E1008" s="88" t="s">
        <v>103</v>
      </c>
      <c r="F1008" s="88">
        <v>6.0</v>
      </c>
      <c r="G1008" s="93"/>
      <c r="H1008" s="92" t="s">
        <v>2962</v>
      </c>
      <c r="I1008" s="26">
        <v>16.0</v>
      </c>
      <c r="J1008" s="28"/>
    </row>
    <row r="1009" ht="22.5" customHeight="1">
      <c r="A1009" s="76" t="s">
        <v>2965</v>
      </c>
      <c r="B1009" s="88" t="s">
        <v>2632</v>
      </c>
      <c r="C1009" s="91"/>
      <c r="D1009" s="88" t="s">
        <v>2961</v>
      </c>
      <c r="E1009" s="88" t="s">
        <v>1457</v>
      </c>
      <c r="F1009" s="88">
        <v>6.0</v>
      </c>
      <c r="G1009" s="93"/>
      <c r="H1009" s="92" t="s">
        <v>2962</v>
      </c>
      <c r="I1009" s="28"/>
      <c r="J1009" s="28"/>
    </row>
    <row r="1010" ht="22.5" customHeight="1">
      <c r="A1010" s="76" t="s">
        <v>2966</v>
      </c>
      <c r="B1010" s="88" t="s">
        <v>2632</v>
      </c>
      <c r="C1010" s="91"/>
      <c r="D1010" s="88" t="s">
        <v>2961</v>
      </c>
      <c r="E1010" s="88" t="s">
        <v>1830</v>
      </c>
      <c r="F1010" s="88">
        <v>6.0</v>
      </c>
      <c r="G1010" s="93"/>
      <c r="H1010" s="92" t="s">
        <v>2962</v>
      </c>
      <c r="I1010" s="28"/>
      <c r="J1010" s="28"/>
    </row>
    <row r="1011" ht="22.5" customHeight="1">
      <c r="A1011" s="76" t="s">
        <v>2967</v>
      </c>
      <c r="B1011" s="88" t="s">
        <v>2632</v>
      </c>
      <c r="C1011" s="91"/>
      <c r="D1011" s="88" t="s">
        <v>2961</v>
      </c>
      <c r="E1011" s="88" t="s">
        <v>497</v>
      </c>
      <c r="F1011" s="88">
        <v>6.0</v>
      </c>
      <c r="G1011" s="93"/>
      <c r="H1011" s="92" t="s">
        <v>2962</v>
      </c>
      <c r="I1011" s="28"/>
      <c r="J1011" s="28"/>
    </row>
    <row r="1012" ht="22.5" customHeight="1">
      <c r="A1012" s="76" t="s">
        <v>2968</v>
      </c>
      <c r="B1012" s="88" t="s">
        <v>2632</v>
      </c>
      <c r="C1012" s="91"/>
      <c r="D1012" s="88" t="s">
        <v>2961</v>
      </c>
      <c r="E1012" s="88" t="s">
        <v>1833</v>
      </c>
      <c r="F1012" s="88">
        <v>6.0</v>
      </c>
      <c r="G1012" s="93"/>
      <c r="H1012" s="92" t="s">
        <v>2962</v>
      </c>
      <c r="I1012" s="28"/>
      <c r="J1012" s="28"/>
    </row>
    <row r="1013" ht="22.5" customHeight="1">
      <c r="A1013" s="76" t="s">
        <v>2969</v>
      </c>
      <c r="B1013" s="88" t="s">
        <v>2632</v>
      </c>
      <c r="C1013" s="91"/>
      <c r="D1013" s="88" t="s">
        <v>2961</v>
      </c>
      <c r="E1013" s="88" t="s">
        <v>1844</v>
      </c>
      <c r="F1013" s="88">
        <v>6.0</v>
      </c>
      <c r="G1013" s="93"/>
      <c r="H1013" s="92" t="s">
        <v>2962</v>
      </c>
      <c r="I1013" s="28"/>
      <c r="J1013" s="28"/>
    </row>
    <row r="1014" ht="22.5" customHeight="1">
      <c r="A1014" s="76" t="s">
        <v>2970</v>
      </c>
      <c r="B1014" s="88" t="s">
        <v>2632</v>
      </c>
      <c r="C1014" s="91"/>
      <c r="D1014" s="88" t="s">
        <v>2961</v>
      </c>
      <c r="E1014" s="88" t="s">
        <v>2655</v>
      </c>
      <c r="F1014" s="88">
        <v>6.0</v>
      </c>
      <c r="G1014" s="93"/>
      <c r="H1014" s="92" t="s">
        <v>2962</v>
      </c>
      <c r="I1014" s="28"/>
      <c r="J1014" s="28"/>
    </row>
    <row r="1015" ht="22.5" customHeight="1">
      <c r="A1015" s="76" t="s">
        <v>2971</v>
      </c>
      <c r="B1015" s="88" t="s">
        <v>2632</v>
      </c>
      <c r="C1015" s="91"/>
      <c r="D1015" s="88" t="s">
        <v>2972</v>
      </c>
      <c r="E1015" s="88" t="s">
        <v>2634</v>
      </c>
      <c r="F1015" s="88">
        <v>6.0</v>
      </c>
      <c r="G1015" s="93"/>
      <c r="H1015" s="92" t="s">
        <v>2919</v>
      </c>
      <c r="I1015" s="28"/>
      <c r="J1015" s="28"/>
    </row>
    <row r="1016" ht="22.5" customHeight="1">
      <c r="A1016" s="76" t="s">
        <v>2973</v>
      </c>
      <c r="B1016" s="88" t="s">
        <v>2632</v>
      </c>
      <c r="C1016" s="91"/>
      <c r="D1016" s="88" t="s">
        <v>2972</v>
      </c>
      <c r="E1016" s="88" t="s">
        <v>105</v>
      </c>
      <c r="F1016" s="88">
        <v>6.0</v>
      </c>
      <c r="G1016" s="93"/>
      <c r="H1016" s="92" t="s">
        <v>2919</v>
      </c>
      <c r="I1016" s="26">
        <v>11.0</v>
      </c>
      <c r="J1016" s="28"/>
    </row>
    <row r="1017" ht="22.5" customHeight="1">
      <c r="A1017" s="76" t="s">
        <v>2974</v>
      </c>
      <c r="B1017" s="88" t="s">
        <v>2632</v>
      </c>
      <c r="C1017" s="91"/>
      <c r="D1017" s="88" t="s">
        <v>2972</v>
      </c>
      <c r="E1017" s="88" t="s">
        <v>103</v>
      </c>
      <c r="F1017" s="88">
        <v>6.0</v>
      </c>
      <c r="G1017" s="93"/>
      <c r="H1017" s="71" t="s">
        <v>2919</v>
      </c>
      <c r="I1017" s="26">
        <v>3.0</v>
      </c>
      <c r="J1017" s="28"/>
    </row>
    <row r="1018" ht="22.5" customHeight="1">
      <c r="A1018" s="76" t="s">
        <v>2975</v>
      </c>
      <c r="B1018" s="88" t="s">
        <v>2632</v>
      </c>
      <c r="C1018" s="91"/>
      <c r="D1018" s="88" t="s">
        <v>2972</v>
      </c>
      <c r="E1018" s="88" t="s">
        <v>1457</v>
      </c>
      <c r="F1018" s="88">
        <v>6.0</v>
      </c>
      <c r="G1018" s="93"/>
      <c r="H1018" s="92" t="s">
        <v>2919</v>
      </c>
      <c r="I1018" s="28"/>
      <c r="J1018" s="28"/>
    </row>
    <row r="1019" ht="22.5" customHeight="1">
      <c r="A1019" s="76" t="s">
        <v>2976</v>
      </c>
      <c r="B1019" s="88" t="s">
        <v>2632</v>
      </c>
      <c r="C1019" s="91"/>
      <c r="D1019" s="88" t="s">
        <v>2972</v>
      </c>
      <c r="E1019" s="88" t="s">
        <v>1830</v>
      </c>
      <c r="F1019" s="88">
        <v>6.0</v>
      </c>
      <c r="G1019" s="93"/>
      <c r="H1019" s="92" t="s">
        <v>2919</v>
      </c>
      <c r="I1019" s="28"/>
      <c r="J1019" s="28"/>
    </row>
    <row r="1020" ht="22.5" customHeight="1">
      <c r="A1020" s="76" t="s">
        <v>2977</v>
      </c>
      <c r="B1020" s="88" t="s">
        <v>2632</v>
      </c>
      <c r="C1020" s="91"/>
      <c r="D1020" s="88" t="s">
        <v>2972</v>
      </c>
      <c r="E1020" s="88" t="s">
        <v>497</v>
      </c>
      <c r="F1020" s="88">
        <v>6.0</v>
      </c>
      <c r="G1020" s="93"/>
      <c r="H1020" s="92" t="s">
        <v>2919</v>
      </c>
      <c r="I1020" s="26">
        <v>10.0</v>
      </c>
      <c r="J1020" s="28"/>
    </row>
    <row r="1021" ht="22.5" customHeight="1">
      <c r="A1021" s="76" t="s">
        <v>2978</v>
      </c>
      <c r="B1021" s="88" t="s">
        <v>2632</v>
      </c>
      <c r="C1021" s="91"/>
      <c r="D1021" s="88" t="s">
        <v>2972</v>
      </c>
      <c r="E1021" s="88" t="s">
        <v>1833</v>
      </c>
      <c r="F1021" s="88">
        <v>6.0</v>
      </c>
      <c r="G1021" s="93"/>
      <c r="H1021" s="92" t="s">
        <v>2919</v>
      </c>
      <c r="I1021" s="28"/>
      <c r="J1021" s="28"/>
    </row>
    <row r="1022" ht="22.5" customHeight="1">
      <c r="A1022" s="76" t="s">
        <v>2979</v>
      </c>
      <c r="B1022" s="88" t="s">
        <v>2632</v>
      </c>
      <c r="C1022" s="91"/>
      <c r="D1022" s="88" t="s">
        <v>2972</v>
      </c>
      <c r="E1022" s="88" t="s">
        <v>1844</v>
      </c>
      <c r="F1022" s="88">
        <v>6.0</v>
      </c>
      <c r="G1022" s="93"/>
      <c r="H1022" s="92" t="s">
        <v>2919</v>
      </c>
      <c r="I1022" s="28"/>
      <c r="J1022" s="28"/>
    </row>
    <row r="1023" ht="22.5" customHeight="1">
      <c r="A1023" s="76" t="s">
        <v>2980</v>
      </c>
      <c r="B1023" s="88" t="s">
        <v>2632</v>
      </c>
      <c r="C1023" s="91"/>
      <c r="D1023" s="88" t="s">
        <v>2972</v>
      </c>
      <c r="E1023" s="88" t="s">
        <v>2655</v>
      </c>
      <c r="F1023" s="88">
        <v>6.0</v>
      </c>
      <c r="G1023" s="88">
        <v>280.0</v>
      </c>
      <c r="H1023" s="92" t="s">
        <v>2919</v>
      </c>
      <c r="I1023" s="28"/>
      <c r="J1023" s="28"/>
    </row>
    <row r="1024" ht="22.5" customHeight="1">
      <c r="A1024" s="76" t="s">
        <v>2981</v>
      </c>
      <c r="B1024" s="88" t="s">
        <v>2632</v>
      </c>
      <c r="C1024" s="91"/>
      <c r="D1024" s="88" t="s">
        <v>2982</v>
      </c>
      <c r="E1024" s="88" t="s">
        <v>2634</v>
      </c>
      <c r="F1024" s="88">
        <v>6.0</v>
      </c>
      <c r="G1024" s="93"/>
      <c r="H1024" s="104"/>
      <c r="I1024" s="28"/>
      <c r="J1024" s="28"/>
    </row>
    <row r="1025" ht="22.5" customHeight="1">
      <c r="A1025" s="76" t="s">
        <v>2983</v>
      </c>
      <c r="B1025" s="88" t="s">
        <v>2632</v>
      </c>
      <c r="C1025" s="91"/>
      <c r="D1025" s="88" t="s">
        <v>2982</v>
      </c>
      <c r="E1025" s="88" t="s">
        <v>105</v>
      </c>
      <c r="F1025" s="88">
        <v>6.0</v>
      </c>
      <c r="G1025" s="93"/>
      <c r="H1025" s="104"/>
      <c r="I1025" s="26">
        <v>28.0</v>
      </c>
      <c r="J1025" s="28"/>
    </row>
    <row r="1026" ht="22.5" customHeight="1">
      <c r="A1026" s="76" t="s">
        <v>2984</v>
      </c>
      <c r="B1026" s="88" t="s">
        <v>2632</v>
      </c>
      <c r="C1026" s="91"/>
      <c r="D1026" s="88" t="s">
        <v>2982</v>
      </c>
      <c r="E1026" s="88" t="s">
        <v>103</v>
      </c>
      <c r="F1026" s="88">
        <v>6.0</v>
      </c>
      <c r="G1026" s="93"/>
      <c r="H1026" s="104"/>
      <c r="I1026" s="26">
        <v>18.0</v>
      </c>
      <c r="J1026" s="28"/>
    </row>
    <row r="1027" ht="22.5" customHeight="1">
      <c r="A1027" s="76" t="s">
        <v>2985</v>
      </c>
      <c r="B1027" s="88" t="s">
        <v>2632</v>
      </c>
      <c r="C1027" s="91"/>
      <c r="D1027" s="88" t="s">
        <v>2982</v>
      </c>
      <c r="E1027" s="88" t="s">
        <v>1457</v>
      </c>
      <c r="F1027" s="88">
        <v>6.0</v>
      </c>
      <c r="G1027" s="93"/>
      <c r="H1027" s="104"/>
      <c r="I1027" s="26">
        <v>20.0</v>
      </c>
      <c r="J1027" s="28"/>
    </row>
    <row r="1028" ht="22.5" customHeight="1">
      <c r="A1028" s="76" t="s">
        <v>2986</v>
      </c>
      <c r="B1028" s="88" t="s">
        <v>2632</v>
      </c>
      <c r="C1028" s="91"/>
      <c r="D1028" s="88" t="s">
        <v>2982</v>
      </c>
      <c r="E1028" s="88" t="s">
        <v>1830</v>
      </c>
      <c r="F1028" s="88">
        <v>6.0</v>
      </c>
      <c r="G1028" s="93"/>
      <c r="H1028" s="104"/>
      <c r="I1028" s="28"/>
      <c r="J1028" s="28"/>
    </row>
    <row r="1029" ht="22.5" customHeight="1">
      <c r="A1029" s="76" t="s">
        <v>2987</v>
      </c>
      <c r="B1029" s="88" t="s">
        <v>2632</v>
      </c>
      <c r="C1029" s="91"/>
      <c r="D1029" s="88" t="s">
        <v>2982</v>
      </c>
      <c r="E1029" s="88" t="s">
        <v>497</v>
      </c>
      <c r="F1029" s="88">
        <v>6.0</v>
      </c>
      <c r="G1029" s="93"/>
      <c r="H1029" s="104"/>
      <c r="I1029" s="28"/>
      <c r="J1029" s="28"/>
    </row>
    <row r="1030" ht="22.5" customHeight="1">
      <c r="A1030" s="76" t="s">
        <v>2988</v>
      </c>
      <c r="B1030" s="88" t="s">
        <v>2632</v>
      </c>
      <c r="C1030" s="91"/>
      <c r="D1030" s="88" t="s">
        <v>2982</v>
      </c>
      <c r="E1030" s="88" t="s">
        <v>1833</v>
      </c>
      <c r="F1030" s="88">
        <v>6.0</v>
      </c>
      <c r="G1030" s="93"/>
      <c r="H1030" s="104"/>
      <c r="I1030" s="28"/>
      <c r="J1030" s="28"/>
    </row>
    <row r="1031" ht="22.5" customHeight="1">
      <c r="A1031" s="76" t="s">
        <v>2989</v>
      </c>
      <c r="B1031" s="88" t="s">
        <v>2632</v>
      </c>
      <c r="C1031" s="91"/>
      <c r="D1031" s="88" t="s">
        <v>2982</v>
      </c>
      <c r="E1031" s="88" t="s">
        <v>1844</v>
      </c>
      <c r="F1031" s="88">
        <v>6.0</v>
      </c>
      <c r="G1031" s="93"/>
      <c r="H1031" s="104"/>
      <c r="I1031" s="28"/>
      <c r="J1031" s="28"/>
    </row>
    <row r="1032" ht="22.5" customHeight="1">
      <c r="A1032" s="76" t="s">
        <v>2990</v>
      </c>
      <c r="B1032" s="88" t="s">
        <v>2632</v>
      </c>
      <c r="C1032" s="91"/>
      <c r="D1032" s="88" t="s">
        <v>2982</v>
      </c>
      <c r="E1032" s="88" t="s">
        <v>2655</v>
      </c>
      <c r="F1032" s="88">
        <v>6.0</v>
      </c>
      <c r="G1032" s="93"/>
      <c r="H1032" s="104"/>
      <c r="I1032" s="28"/>
      <c r="J1032" s="28"/>
    </row>
    <row r="1033" ht="22.5" customHeight="1">
      <c r="A1033" s="76" t="s">
        <v>2991</v>
      </c>
      <c r="B1033" s="88" t="s">
        <v>2632</v>
      </c>
      <c r="C1033" s="91"/>
      <c r="D1033" s="88" t="s">
        <v>2992</v>
      </c>
      <c r="E1033" s="88" t="s">
        <v>2634</v>
      </c>
      <c r="F1033" s="88">
        <v>6.0</v>
      </c>
      <c r="G1033" s="93"/>
      <c r="H1033" s="104"/>
      <c r="I1033" s="28"/>
      <c r="J1033" s="28"/>
    </row>
    <row r="1034" ht="22.5" customHeight="1">
      <c r="A1034" s="76" t="s">
        <v>2993</v>
      </c>
      <c r="B1034" s="88" t="s">
        <v>2632</v>
      </c>
      <c r="C1034" s="91"/>
      <c r="D1034" s="88" t="s">
        <v>2992</v>
      </c>
      <c r="E1034" s="88" t="s">
        <v>105</v>
      </c>
      <c r="F1034" s="88">
        <v>6.0</v>
      </c>
      <c r="G1034" s="93"/>
      <c r="H1034" s="104"/>
      <c r="I1034" s="26">
        <v>10.0</v>
      </c>
      <c r="J1034" s="28"/>
    </row>
    <row r="1035" ht="22.5" customHeight="1">
      <c r="A1035" s="76" t="s">
        <v>2994</v>
      </c>
      <c r="B1035" s="88" t="s">
        <v>2632</v>
      </c>
      <c r="C1035" s="91"/>
      <c r="D1035" s="88" t="s">
        <v>2992</v>
      </c>
      <c r="E1035" s="88" t="s">
        <v>103</v>
      </c>
      <c r="F1035" s="88">
        <v>6.0</v>
      </c>
      <c r="G1035" s="93"/>
      <c r="H1035" s="104"/>
      <c r="I1035" s="26">
        <v>19.0</v>
      </c>
      <c r="J1035" s="28"/>
    </row>
    <row r="1036" ht="22.5" customHeight="1">
      <c r="A1036" s="76" t="s">
        <v>2995</v>
      </c>
      <c r="B1036" s="88" t="s">
        <v>2632</v>
      </c>
      <c r="C1036" s="91"/>
      <c r="D1036" s="88" t="s">
        <v>2992</v>
      </c>
      <c r="E1036" s="88" t="s">
        <v>1457</v>
      </c>
      <c r="F1036" s="88">
        <v>6.0</v>
      </c>
      <c r="G1036" s="93"/>
      <c r="H1036" s="104"/>
      <c r="I1036" s="28"/>
      <c r="J1036" s="28"/>
    </row>
    <row r="1037" ht="22.5" customHeight="1">
      <c r="A1037" s="76" t="s">
        <v>2996</v>
      </c>
      <c r="B1037" s="88" t="s">
        <v>2632</v>
      </c>
      <c r="C1037" s="91"/>
      <c r="D1037" s="88" t="s">
        <v>2992</v>
      </c>
      <c r="E1037" s="88" t="s">
        <v>1830</v>
      </c>
      <c r="F1037" s="88">
        <v>6.0</v>
      </c>
      <c r="G1037" s="93"/>
      <c r="H1037" s="104"/>
      <c r="I1037" s="28"/>
      <c r="J1037" s="28"/>
    </row>
    <row r="1038" ht="22.5" customHeight="1">
      <c r="A1038" s="76" t="s">
        <v>2997</v>
      </c>
      <c r="B1038" s="88" t="s">
        <v>2632</v>
      </c>
      <c r="C1038" s="91"/>
      <c r="D1038" s="88" t="s">
        <v>2992</v>
      </c>
      <c r="E1038" s="88" t="s">
        <v>497</v>
      </c>
      <c r="F1038" s="88">
        <v>6.0</v>
      </c>
      <c r="G1038" s="93"/>
      <c r="H1038" s="104"/>
      <c r="I1038" s="28"/>
      <c r="J1038" s="28"/>
    </row>
    <row r="1039" ht="22.5" customHeight="1">
      <c r="A1039" s="76" t="s">
        <v>2998</v>
      </c>
      <c r="B1039" s="88" t="s">
        <v>2632</v>
      </c>
      <c r="C1039" s="91"/>
      <c r="D1039" s="88" t="s">
        <v>2992</v>
      </c>
      <c r="E1039" s="88" t="s">
        <v>1833</v>
      </c>
      <c r="F1039" s="88">
        <v>6.0</v>
      </c>
      <c r="G1039" s="93"/>
      <c r="H1039" s="104"/>
      <c r="I1039" s="28"/>
      <c r="J1039" s="28"/>
    </row>
    <row r="1040" ht="22.5" customHeight="1">
      <c r="A1040" s="76" t="s">
        <v>2999</v>
      </c>
      <c r="B1040" s="88" t="s">
        <v>2632</v>
      </c>
      <c r="C1040" s="91"/>
      <c r="D1040" s="88" t="s">
        <v>2992</v>
      </c>
      <c r="E1040" s="88" t="s">
        <v>1844</v>
      </c>
      <c r="F1040" s="88">
        <v>6.0</v>
      </c>
      <c r="G1040" s="93"/>
      <c r="H1040" s="104"/>
      <c r="I1040" s="28"/>
      <c r="J1040" s="28"/>
    </row>
    <row r="1041" ht="22.5" customHeight="1">
      <c r="A1041" s="76" t="s">
        <v>3000</v>
      </c>
      <c r="B1041" s="88" t="s">
        <v>2632</v>
      </c>
      <c r="C1041" s="91"/>
      <c r="D1041" s="88" t="s">
        <v>2992</v>
      </c>
      <c r="E1041" s="88" t="s">
        <v>2655</v>
      </c>
      <c r="F1041" s="88">
        <v>6.0</v>
      </c>
      <c r="G1041" s="93"/>
      <c r="H1041" s="104"/>
      <c r="I1041" s="28"/>
      <c r="J1041" s="28"/>
    </row>
    <row r="1042" ht="22.5" customHeight="1">
      <c r="A1042" s="76" t="s">
        <v>3001</v>
      </c>
      <c r="B1042" s="88" t="s">
        <v>2632</v>
      </c>
      <c r="C1042" s="91"/>
      <c r="D1042" s="88" t="s">
        <v>3002</v>
      </c>
      <c r="E1042" s="88" t="s">
        <v>2634</v>
      </c>
      <c r="F1042" s="88">
        <v>6.0</v>
      </c>
      <c r="G1042" s="93"/>
      <c r="H1042" s="92" t="s">
        <v>3003</v>
      </c>
      <c r="I1042" s="28"/>
      <c r="J1042" s="28"/>
    </row>
    <row r="1043" ht="22.5" customHeight="1">
      <c r="A1043" s="76" t="s">
        <v>3004</v>
      </c>
      <c r="B1043" s="88" t="s">
        <v>2632</v>
      </c>
      <c r="C1043" s="91"/>
      <c r="D1043" s="88" t="s">
        <v>3002</v>
      </c>
      <c r="E1043" s="88" t="s">
        <v>105</v>
      </c>
      <c r="F1043" s="88">
        <v>6.0</v>
      </c>
      <c r="G1043" s="93"/>
      <c r="H1043" s="92" t="s">
        <v>3003</v>
      </c>
      <c r="I1043" s="26">
        <v>32.0</v>
      </c>
      <c r="J1043" s="28"/>
    </row>
    <row r="1044" ht="22.5" customHeight="1">
      <c r="A1044" s="76" t="s">
        <v>3005</v>
      </c>
      <c r="B1044" s="88" t="s">
        <v>2632</v>
      </c>
      <c r="C1044" s="91"/>
      <c r="D1044" s="88" t="s">
        <v>3002</v>
      </c>
      <c r="E1044" s="88" t="s">
        <v>103</v>
      </c>
      <c r="F1044" s="88">
        <v>6.0</v>
      </c>
      <c r="G1044" s="93"/>
      <c r="H1044" s="92" t="s">
        <v>3003</v>
      </c>
      <c r="I1044" s="26">
        <v>9.0</v>
      </c>
      <c r="J1044" s="28"/>
    </row>
    <row r="1045" ht="22.5" customHeight="1">
      <c r="A1045" s="76" t="s">
        <v>3006</v>
      </c>
      <c r="B1045" s="88" t="s">
        <v>2632</v>
      </c>
      <c r="C1045" s="91"/>
      <c r="D1045" s="88" t="s">
        <v>3002</v>
      </c>
      <c r="E1045" s="88" t="s">
        <v>1457</v>
      </c>
      <c r="F1045" s="88">
        <v>6.0</v>
      </c>
      <c r="G1045" s="93"/>
      <c r="H1045" s="92" t="s">
        <v>3003</v>
      </c>
      <c r="I1045" s="26">
        <v>33.0</v>
      </c>
      <c r="J1045" s="28"/>
    </row>
    <row r="1046" ht="22.5" customHeight="1">
      <c r="A1046" s="76" t="s">
        <v>3007</v>
      </c>
      <c r="B1046" s="88" t="s">
        <v>2632</v>
      </c>
      <c r="C1046" s="91"/>
      <c r="D1046" s="88" t="s">
        <v>3002</v>
      </c>
      <c r="E1046" s="88" t="s">
        <v>1830</v>
      </c>
      <c r="F1046" s="88">
        <v>6.0</v>
      </c>
      <c r="G1046" s="93"/>
      <c r="H1046" s="92" t="s">
        <v>3003</v>
      </c>
      <c r="I1046" s="28"/>
      <c r="J1046" s="28"/>
    </row>
    <row r="1047" ht="22.5" customHeight="1">
      <c r="A1047" s="76" t="s">
        <v>3008</v>
      </c>
      <c r="B1047" s="88" t="s">
        <v>2632</v>
      </c>
      <c r="C1047" s="91"/>
      <c r="D1047" s="88" t="s">
        <v>3002</v>
      </c>
      <c r="E1047" s="88" t="s">
        <v>497</v>
      </c>
      <c r="F1047" s="88">
        <v>6.0</v>
      </c>
      <c r="G1047" s="93"/>
      <c r="H1047" s="92" t="s">
        <v>3003</v>
      </c>
      <c r="I1047" s="28"/>
      <c r="J1047" s="28"/>
    </row>
    <row r="1048" ht="22.5" customHeight="1">
      <c r="A1048" s="76" t="s">
        <v>3009</v>
      </c>
      <c r="B1048" s="88" t="s">
        <v>2632</v>
      </c>
      <c r="C1048" s="91"/>
      <c r="D1048" s="88" t="s">
        <v>3002</v>
      </c>
      <c r="E1048" s="88" t="s">
        <v>1833</v>
      </c>
      <c r="F1048" s="88">
        <v>6.0</v>
      </c>
      <c r="G1048" s="93"/>
      <c r="H1048" s="92" t="s">
        <v>3003</v>
      </c>
      <c r="I1048" s="28"/>
      <c r="J1048" s="28"/>
    </row>
    <row r="1049" ht="22.5" customHeight="1">
      <c r="A1049" s="76" t="s">
        <v>3010</v>
      </c>
      <c r="B1049" s="88" t="s">
        <v>2632</v>
      </c>
      <c r="C1049" s="91"/>
      <c r="D1049" s="88" t="s">
        <v>3002</v>
      </c>
      <c r="E1049" s="88" t="s">
        <v>1844</v>
      </c>
      <c r="F1049" s="88">
        <v>6.0</v>
      </c>
      <c r="G1049" s="93"/>
      <c r="H1049" s="92" t="s">
        <v>3003</v>
      </c>
      <c r="I1049" s="28"/>
      <c r="J1049" s="28"/>
    </row>
    <row r="1050" ht="22.5" customHeight="1">
      <c r="A1050" s="76" t="s">
        <v>3011</v>
      </c>
      <c r="B1050" s="88" t="s">
        <v>2632</v>
      </c>
      <c r="C1050" s="91"/>
      <c r="D1050" s="88" t="s">
        <v>3002</v>
      </c>
      <c r="E1050" s="88" t="s">
        <v>2655</v>
      </c>
      <c r="F1050" s="88">
        <v>6.0</v>
      </c>
      <c r="G1050" s="93"/>
      <c r="H1050" s="92" t="s">
        <v>3003</v>
      </c>
      <c r="I1050" s="28"/>
      <c r="J1050" s="28"/>
    </row>
    <row r="1051" ht="22.5" customHeight="1">
      <c r="A1051" s="76" t="s">
        <v>3012</v>
      </c>
      <c r="B1051" s="88" t="s">
        <v>2632</v>
      </c>
      <c r="C1051" s="91"/>
      <c r="D1051" s="88" t="s">
        <v>3013</v>
      </c>
      <c r="E1051" s="88" t="s">
        <v>2634</v>
      </c>
      <c r="F1051" s="88">
        <v>6.0</v>
      </c>
      <c r="G1051" s="93"/>
      <c r="H1051" s="92" t="s">
        <v>3003</v>
      </c>
      <c r="I1051" s="28"/>
      <c r="J1051" s="28"/>
    </row>
    <row r="1052" ht="22.5" customHeight="1">
      <c r="A1052" s="76" t="s">
        <v>3014</v>
      </c>
      <c r="B1052" s="88" t="s">
        <v>2632</v>
      </c>
      <c r="C1052" s="91"/>
      <c r="D1052" s="88" t="s">
        <v>3013</v>
      </c>
      <c r="E1052" s="88" t="s">
        <v>105</v>
      </c>
      <c r="F1052" s="88">
        <v>6.0</v>
      </c>
      <c r="G1052" s="93"/>
      <c r="H1052" s="92" t="s">
        <v>3003</v>
      </c>
      <c r="I1052" s="28"/>
      <c r="J1052" s="28"/>
    </row>
    <row r="1053" ht="22.5" customHeight="1">
      <c r="A1053" s="76" t="s">
        <v>3015</v>
      </c>
      <c r="B1053" s="88" t="s">
        <v>2632</v>
      </c>
      <c r="C1053" s="91"/>
      <c r="D1053" s="88" t="s">
        <v>3013</v>
      </c>
      <c r="E1053" s="88" t="s">
        <v>103</v>
      </c>
      <c r="F1053" s="88">
        <v>6.0</v>
      </c>
      <c r="G1053" s="93"/>
      <c r="H1053" s="92" t="s">
        <v>3003</v>
      </c>
      <c r="I1053" s="28"/>
      <c r="J1053" s="28"/>
    </row>
    <row r="1054" ht="22.5" customHeight="1">
      <c r="A1054" s="76" t="s">
        <v>3016</v>
      </c>
      <c r="B1054" s="88" t="s">
        <v>2632</v>
      </c>
      <c r="C1054" s="91"/>
      <c r="D1054" s="88" t="s">
        <v>3013</v>
      </c>
      <c r="E1054" s="88" t="s">
        <v>1457</v>
      </c>
      <c r="F1054" s="88">
        <v>6.0</v>
      </c>
      <c r="G1054" s="93"/>
      <c r="H1054" s="92" t="s">
        <v>3003</v>
      </c>
      <c r="I1054" s="26">
        <v>15.0</v>
      </c>
      <c r="J1054" s="28"/>
    </row>
    <row r="1055" ht="22.5" customHeight="1">
      <c r="A1055" s="76" t="s">
        <v>3017</v>
      </c>
      <c r="B1055" s="88" t="s">
        <v>2632</v>
      </c>
      <c r="C1055" s="91"/>
      <c r="D1055" s="88" t="s">
        <v>3013</v>
      </c>
      <c r="E1055" s="88" t="s">
        <v>1830</v>
      </c>
      <c r="F1055" s="88">
        <v>6.0</v>
      </c>
      <c r="G1055" s="93"/>
      <c r="H1055" s="92" t="s">
        <v>3003</v>
      </c>
      <c r="I1055" s="28"/>
      <c r="J1055" s="28"/>
    </row>
    <row r="1056" ht="22.5" customHeight="1">
      <c r="A1056" s="76" t="s">
        <v>3018</v>
      </c>
      <c r="B1056" s="88" t="s">
        <v>2632</v>
      </c>
      <c r="C1056" s="91"/>
      <c r="D1056" s="88" t="s">
        <v>3013</v>
      </c>
      <c r="E1056" s="88" t="s">
        <v>497</v>
      </c>
      <c r="F1056" s="88">
        <v>6.0</v>
      </c>
      <c r="G1056" s="93"/>
      <c r="H1056" s="92" t="s">
        <v>3003</v>
      </c>
      <c r="I1056" s="28"/>
      <c r="J1056" s="28"/>
    </row>
    <row r="1057" ht="22.5" customHeight="1">
      <c r="A1057" s="76" t="s">
        <v>3019</v>
      </c>
      <c r="B1057" s="88" t="s">
        <v>2632</v>
      </c>
      <c r="C1057" s="91"/>
      <c r="D1057" s="88" t="s">
        <v>3013</v>
      </c>
      <c r="E1057" s="88" t="s">
        <v>1833</v>
      </c>
      <c r="F1057" s="88">
        <v>6.0</v>
      </c>
      <c r="G1057" s="93"/>
      <c r="H1057" s="92" t="s">
        <v>3003</v>
      </c>
      <c r="I1057" s="28"/>
      <c r="J1057" s="28"/>
    </row>
    <row r="1058" ht="22.5" customHeight="1">
      <c r="A1058" s="76" t="s">
        <v>3020</v>
      </c>
      <c r="B1058" s="88" t="s">
        <v>2632</v>
      </c>
      <c r="C1058" s="91"/>
      <c r="D1058" s="88" t="s">
        <v>3013</v>
      </c>
      <c r="E1058" s="88" t="s">
        <v>1844</v>
      </c>
      <c r="F1058" s="88">
        <v>6.0</v>
      </c>
      <c r="G1058" s="93"/>
      <c r="H1058" s="92" t="s">
        <v>3003</v>
      </c>
      <c r="I1058" s="28"/>
      <c r="J1058" s="28"/>
    </row>
    <row r="1059" ht="22.5" customHeight="1">
      <c r="A1059" s="76" t="s">
        <v>3021</v>
      </c>
      <c r="B1059" s="88" t="s">
        <v>2632</v>
      </c>
      <c r="C1059" s="91"/>
      <c r="D1059" s="88" t="s">
        <v>3013</v>
      </c>
      <c r="E1059" s="88" t="s">
        <v>2655</v>
      </c>
      <c r="F1059" s="88">
        <v>6.0</v>
      </c>
      <c r="G1059" s="93"/>
      <c r="H1059" s="92" t="s">
        <v>3003</v>
      </c>
      <c r="I1059" s="28"/>
      <c r="J1059" s="28"/>
    </row>
    <row r="1060" ht="22.5" customHeight="1">
      <c r="A1060" s="76" t="s">
        <v>3022</v>
      </c>
      <c r="B1060" s="88" t="s">
        <v>2632</v>
      </c>
      <c r="C1060" s="91"/>
      <c r="D1060" s="88" t="s">
        <v>3023</v>
      </c>
      <c r="E1060" s="88" t="s">
        <v>2634</v>
      </c>
      <c r="F1060" s="88">
        <v>6.0</v>
      </c>
      <c r="G1060" s="93"/>
      <c r="H1060" s="92" t="s">
        <v>3024</v>
      </c>
      <c r="I1060" s="28"/>
      <c r="J1060" s="28"/>
    </row>
    <row r="1061" ht="22.5" customHeight="1">
      <c r="A1061" s="76" t="s">
        <v>3025</v>
      </c>
      <c r="B1061" s="88" t="s">
        <v>2632</v>
      </c>
      <c r="C1061" s="91"/>
      <c r="D1061" s="88" t="s">
        <v>3023</v>
      </c>
      <c r="E1061" s="88" t="s">
        <v>105</v>
      </c>
      <c r="F1061" s="88">
        <v>6.0</v>
      </c>
      <c r="G1061" s="93"/>
      <c r="H1061" s="92" t="s">
        <v>3026</v>
      </c>
      <c r="I1061" s="26">
        <v>12.0</v>
      </c>
      <c r="J1061" s="28"/>
    </row>
    <row r="1062" ht="22.5" customHeight="1">
      <c r="A1062" s="76" t="s">
        <v>3027</v>
      </c>
      <c r="B1062" s="88" t="s">
        <v>2632</v>
      </c>
      <c r="C1062" s="91"/>
      <c r="D1062" s="88" t="s">
        <v>3023</v>
      </c>
      <c r="E1062" s="88" t="s">
        <v>103</v>
      </c>
      <c r="F1062" s="88">
        <v>6.0</v>
      </c>
      <c r="G1062" s="93"/>
      <c r="H1062" s="92" t="s">
        <v>3028</v>
      </c>
      <c r="I1062" s="26">
        <v>4.0</v>
      </c>
      <c r="J1062" s="28"/>
    </row>
    <row r="1063" ht="22.5" customHeight="1">
      <c r="A1063" s="76" t="s">
        <v>3029</v>
      </c>
      <c r="B1063" s="88" t="s">
        <v>2632</v>
      </c>
      <c r="C1063" s="91"/>
      <c r="D1063" s="88" t="s">
        <v>3023</v>
      </c>
      <c r="E1063" s="88" t="s">
        <v>1457</v>
      </c>
      <c r="F1063" s="88">
        <v>6.0</v>
      </c>
      <c r="G1063" s="93"/>
      <c r="H1063" s="92" t="s">
        <v>3030</v>
      </c>
      <c r="I1063" s="26">
        <v>2.0</v>
      </c>
      <c r="J1063" s="28"/>
    </row>
    <row r="1064" ht="22.5" customHeight="1">
      <c r="A1064" s="76" t="s">
        <v>3031</v>
      </c>
      <c r="B1064" s="88" t="s">
        <v>2632</v>
      </c>
      <c r="C1064" s="91"/>
      <c r="D1064" s="88" t="s">
        <v>3023</v>
      </c>
      <c r="E1064" s="88" t="s">
        <v>1830</v>
      </c>
      <c r="F1064" s="88">
        <v>6.0</v>
      </c>
      <c r="G1064" s="93"/>
      <c r="H1064" s="92" t="s">
        <v>3032</v>
      </c>
      <c r="I1064" s="28"/>
      <c r="J1064" s="28"/>
    </row>
    <row r="1065" ht="22.5" customHeight="1">
      <c r="A1065" s="76" t="s">
        <v>3033</v>
      </c>
      <c r="B1065" s="88" t="s">
        <v>2632</v>
      </c>
      <c r="C1065" s="91"/>
      <c r="D1065" s="88" t="s">
        <v>3023</v>
      </c>
      <c r="E1065" s="88" t="s">
        <v>497</v>
      </c>
      <c r="F1065" s="88">
        <v>6.0</v>
      </c>
      <c r="G1065" s="88">
        <v>2416.35</v>
      </c>
      <c r="H1065" s="92" t="s">
        <v>3034</v>
      </c>
      <c r="I1065" s="26">
        <v>50.0</v>
      </c>
      <c r="J1065" s="28"/>
    </row>
    <row r="1066" ht="22.5" customHeight="1">
      <c r="A1066" s="76" t="s">
        <v>3035</v>
      </c>
      <c r="B1066" s="88" t="s">
        <v>2632</v>
      </c>
      <c r="C1066" s="91"/>
      <c r="D1066" s="88" t="s">
        <v>3023</v>
      </c>
      <c r="E1066" s="88" t="s">
        <v>1833</v>
      </c>
      <c r="F1066" s="88">
        <v>6.0</v>
      </c>
      <c r="G1066" s="93"/>
      <c r="H1066" s="92" t="s">
        <v>3036</v>
      </c>
      <c r="I1066" s="28"/>
      <c r="J1066" s="28"/>
    </row>
    <row r="1067" ht="22.5" customHeight="1">
      <c r="A1067" s="76" t="s">
        <v>3037</v>
      </c>
      <c r="B1067" s="88" t="s">
        <v>2632</v>
      </c>
      <c r="C1067" s="91"/>
      <c r="D1067" s="88" t="s">
        <v>3023</v>
      </c>
      <c r="E1067" s="88" t="s">
        <v>1844</v>
      </c>
      <c r="F1067" s="88">
        <v>6.0</v>
      </c>
      <c r="G1067" s="93"/>
      <c r="H1067" s="92" t="s">
        <v>3038</v>
      </c>
      <c r="I1067" s="28"/>
      <c r="J1067" s="28"/>
    </row>
    <row r="1068" ht="22.5" customHeight="1">
      <c r="A1068" s="76" t="s">
        <v>3039</v>
      </c>
      <c r="B1068" s="88" t="s">
        <v>2632</v>
      </c>
      <c r="C1068" s="91"/>
      <c r="D1068" s="88" t="s">
        <v>3023</v>
      </c>
      <c r="E1068" s="88" t="s">
        <v>2655</v>
      </c>
      <c r="F1068" s="88">
        <v>6.0</v>
      </c>
      <c r="G1068" s="93"/>
      <c r="H1068" s="92" t="s">
        <v>3040</v>
      </c>
      <c r="I1068" s="28"/>
      <c r="J1068" s="28"/>
    </row>
    <row r="1069" ht="22.5" customHeight="1">
      <c r="A1069" s="76" t="s">
        <v>3041</v>
      </c>
      <c r="B1069" s="88" t="s">
        <v>2632</v>
      </c>
      <c r="C1069" s="91"/>
      <c r="D1069" s="88" t="s">
        <v>3042</v>
      </c>
      <c r="E1069" s="88" t="s">
        <v>2634</v>
      </c>
      <c r="F1069" s="88">
        <v>6.0</v>
      </c>
      <c r="G1069" s="93"/>
      <c r="H1069" s="103" t="s">
        <v>3043</v>
      </c>
      <c r="I1069" s="28"/>
      <c r="J1069" s="28"/>
    </row>
    <row r="1070" ht="22.5" customHeight="1">
      <c r="A1070" s="76" t="s">
        <v>3044</v>
      </c>
      <c r="B1070" s="88" t="s">
        <v>2632</v>
      </c>
      <c r="C1070" s="91"/>
      <c r="D1070" s="88" t="s">
        <v>3042</v>
      </c>
      <c r="E1070" s="88" t="s">
        <v>105</v>
      </c>
      <c r="F1070" s="88">
        <v>6.0</v>
      </c>
      <c r="G1070" s="93"/>
      <c r="H1070" s="92" t="s">
        <v>3043</v>
      </c>
      <c r="I1070" s="26">
        <v>20.0</v>
      </c>
      <c r="J1070" s="28"/>
    </row>
    <row r="1071" ht="22.5" customHeight="1">
      <c r="A1071" s="76" t="s">
        <v>3045</v>
      </c>
      <c r="B1071" s="88" t="s">
        <v>2632</v>
      </c>
      <c r="C1071" s="91"/>
      <c r="D1071" s="88" t="s">
        <v>3042</v>
      </c>
      <c r="E1071" s="88" t="s">
        <v>103</v>
      </c>
      <c r="F1071" s="88">
        <v>6.0</v>
      </c>
      <c r="G1071" s="93"/>
      <c r="H1071" s="92" t="s">
        <v>3043</v>
      </c>
      <c r="I1071" s="26">
        <v>29.0</v>
      </c>
      <c r="J1071" s="28"/>
    </row>
    <row r="1072" ht="22.5" customHeight="1">
      <c r="A1072" s="76" t="s">
        <v>3046</v>
      </c>
      <c r="B1072" s="88" t="s">
        <v>2632</v>
      </c>
      <c r="C1072" s="91"/>
      <c r="D1072" s="88" t="s">
        <v>3042</v>
      </c>
      <c r="E1072" s="88" t="s">
        <v>1457</v>
      </c>
      <c r="F1072" s="88">
        <v>6.0</v>
      </c>
      <c r="G1072" s="93"/>
      <c r="H1072" s="92" t="s">
        <v>3043</v>
      </c>
      <c r="I1072" s="26">
        <v>30.0</v>
      </c>
      <c r="J1072" s="28"/>
    </row>
    <row r="1073" ht="22.5" customHeight="1">
      <c r="A1073" s="76" t="s">
        <v>3047</v>
      </c>
      <c r="B1073" s="88" t="s">
        <v>2632</v>
      </c>
      <c r="C1073" s="91"/>
      <c r="D1073" s="88" t="s">
        <v>3042</v>
      </c>
      <c r="E1073" s="88" t="s">
        <v>1830</v>
      </c>
      <c r="F1073" s="88">
        <v>6.0</v>
      </c>
      <c r="G1073" s="93"/>
      <c r="H1073" s="92" t="s">
        <v>3043</v>
      </c>
      <c r="I1073" s="28"/>
      <c r="J1073" s="28"/>
    </row>
    <row r="1074" ht="22.5" customHeight="1">
      <c r="A1074" s="76" t="s">
        <v>3048</v>
      </c>
      <c r="B1074" s="88" t="s">
        <v>2632</v>
      </c>
      <c r="C1074" s="91"/>
      <c r="D1074" s="88" t="s">
        <v>3042</v>
      </c>
      <c r="E1074" s="88" t="s">
        <v>497</v>
      </c>
      <c r="F1074" s="88">
        <v>6.0</v>
      </c>
      <c r="G1074" s="93"/>
      <c r="H1074" s="92" t="s">
        <v>3043</v>
      </c>
      <c r="I1074" s="28"/>
      <c r="J1074" s="28"/>
    </row>
    <row r="1075" ht="22.5" customHeight="1">
      <c r="A1075" s="76" t="s">
        <v>3049</v>
      </c>
      <c r="B1075" s="88" t="s">
        <v>2632</v>
      </c>
      <c r="C1075" s="91"/>
      <c r="D1075" s="88" t="s">
        <v>3042</v>
      </c>
      <c r="E1075" s="88" t="s">
        <v>1833</v>
      </c>
      <c r="F1075" s="88">
        <v>6.0</v>
      </c>
      <c r="G1075" s="93"/>
      <c r="H1075" s="92" t="s">
        <v>3043</v>
      </c>
      <c r="I1075" s="28"/>
      <c r="J1075" s="28"/>
    </row>
    <row r="1076" ht="22.5" customHeight="1">
      <c r="A1076" s="76" t="s">
        <v>3050</v>
      </c>
      <c r="B1076" s="88" t="s">
        <v>2632</v>
      </c>
      <c r="C1076" s="91"/>
      <c r="D1076" s="88" t="s">
        <v>3042</v>
      </c>
      <c r="E1076" s="88" t="s">
        <v>1844</v>
      </c>
      <c r="F1076" s="88">
        <v>6.0</v>
      </c>
      <c r="G1076" s="93"/>
      <c r="H1076" s="92" t="s">
        <v>3043</v>
      </c>
      <c r="I1076" s="28"/>
      <c r="J1076" s="28"/>
    </row>
    <row r="1077" ht="22.5" customHeight="1">
      <c r="A1077" s="76" t="s">
        <v>3051</v>
      </c>
      <c r="B1077" s="88" t="s">
        <v>2632</v>
      </c>
      <c r="C1077" s="91"/>
      <c r="D1077" s="88" t="s">
        <v>3042</v>
      </c>
      <c r="E1077" s="88" t="s">
        <v>2655</v>
      </c>
      <c r="F1077" s="88">
        <v>6.0</v>
      </c>
      <c r="G1077" s="93"/>
      <c r="H1077" s="92" t="s">
        <v>3043</v>
      </c>
      <c r="I1077" s="28"/>
      <c r="J1077" s="28"/>
    </row>
    <row r="1078" ht="22.5" customHeight="1">
      <c r="A1078" s="76" t="s">
        <v>3052</v>
      </c>
      <c r="B1078" s="88" t="s">
        <v>2632</v>
      </c>
      <c r="C1078" s="91"/>
      <c r="D1078" s="88" t="s">
        <v>3053</v>
      </c>
      <c r="E1078" s="88" t="s">
        <v>2634</v>
      </c>
      <c r="F1078" s="88">
        <v>6.0</v>
      </c>
      <c r="G1078" s="93"/>
      <c r="H1078" s="92" t="s">
        <v>3054</v>
      </c>
      <c r="I1078" s="28"/>
      <c r="J1078" s="28"/>
    </row>
    <row r="1079" ht="22.5" customHeight="1">
      <c r="A1079" s="76" t="s">
        <v>3055</v>
      </c>
      <c r="B1079" s="88" t="s">
        <v>2632</v>
      </c>
      <c r="C1079" s="91"/>
      <c r="D1079" s="88" t="s">
        <v>3053</v>
      </c>
      <c r="E1079" s="88" t="s">
        <v>105</v>
      </c>
      <c r="F1079" s="88">
        <v>6.0</v>
      </c>
      <c r="G1079" s="93"/>
      <c r="H1079" s="92" t="s">
        <v>3054</v>
      </c>
      <c r="I1079" s="26">
        <v>8.0</v>
      </c>
      <c r="J1079" s="28"/>
    </row>
    <row r="1080" ht="22.5" customHeight="1">
      <c r="A1080" s="76" t="s">
        <v>3056</v>
      </c>
      <c r="B1080" s="88" t="s">
        <v>2632</v>
      </c>
      <c r="C1080" s="91"/>
      <c r="D1080" s="88" t="s">
        <v>3053</v>
      </c>
      <c r="E1080" s="88" t="s">
        <v>103</v>
      </c>
      <c r="F1080" s="88">
        <v>6.0</v>
      </c>
      <c r="G1080" s="93"/>
      <c r="H1080" s="92" t="s">
        <v>3054</v>
      </c>
      <c r="I1080" s="28"/>
      <c r="J1080" s="28"/>
    </row>
    <row r="1081" ht="22.5" customHeight="1">
      <c r="A1081" s="76" t="s">
        <v>3057</v>
      </c>
      <c r="B1081" s="88" t="s">
        <v>2632</v>
      </c>
      <c r="C1081" s="91"/>
      <c r="D1081" s="88" t="s">
        <v>3053</v>
      </c>
      <c r="E1081" s="88" t="s">
        <v>1457</v>
      </c>
      <c r="F1081" s="88">
        <v>6.0</v>
      </c>
      <c r="G1081" s="93"/>
      <c r="H1081" s="92" t="s">
        <v>3054</v>
      </c>
      <c r="I1081" s="28"/>
      <c r="J1081" s="28"/>
    </row>
    <row r="1082" ht="22.5" customHeight="1">
      <c r="A1082" s="76" t="s">
        <v>3058</v>
      </c>
      <c r="B1082" s="88" t="s">
        <v>2632</v>
      </c>
      <c r="C1082" s="91"/>
      <c r="D1082" s="88" t="s">
        <v>3053</v>
      </c>
      <c r="E1082" s="88" t="s">
        <v>1830</v>
      </c>
      <c r="F1082" s="88">
        <v>6.0</v>
      </c>
      <c r="G1082" s="93"/>
      <c r="H1082" s="92" t="s">
        <v>3054</v>
      </c>
      <c r="I1082" s="28"/>
      <c r="J1082" s="28"/>
    </row>
    <row r="1083" ht="22.5" customHeight="1">
      <c r="A1083" s="76" t="s">
        <v>3059</v>
      </c>
      <c r="B1083" s="88" t="s">
        <v>2632</v>
      </c>
      <c r="C1083" s="91"/>
      <c r="D1083" s="88" t="s">
        <v>3053</v>
      </c>
      <c r="E1083" s="88" t="s">
        <v>497</v>
      </c>
      <c r="F1083" s="88">
        <v>6.0</v>
      </c>
      <c r="G1083" s="93"/>
      <c r="H1083" s="92" t="s">
        <v>3054</v>
      </c>
      <c r="I1083" s="28"/>
      <c r="J1083" s="28"/>
    </row>
    <row r="1084" ht="22.5" customHeight="1">
      <c r="A1084" s="76" t="s">
        <v>3060</v>
      </c>
      <c r="B1084" s="88" t="s">
        <v>2632</v>
      </c>
      <c r="C1084" s="91"/>
      <c r="D1084" s="88" t="s">
        <v>3053</v>
      </c>
      <c r="E1084" s="88" t="s">
        <v>1833</v>
      </c>
      <c r="F1084" s="88">
        <v>6.0</v>
      </c>
      <c r="G1084" s="93"/>
      <c r="H1084" s="92" t="s">
        <v>3054</v>
      </c>
      <c r="I1084" s="28"/>
      <c r="J1084" s="28"/>
    </row>
    <row r="1085" ht="22.5" customHeight="1">
      <c r="A1085" s="76" t="s">
        <v>3061</v>
      </c>
      <c r="B1085" s="88" t="s">
        <v>2632</v>
      </c>
      <c r="C1085" s="91"/>
      <c r="D1085" s="88" t="s">
        <v>3053</v>
      </c>
      <c r="E1085" s="88" t="s">
        <v>1844</v>
      </c>
      <c r="F1085" s="88">
        <v>6.0</v>
      </c>
      <c r="G1085" s="93"/>
      <c r="H1085" s="92" t="s">
        <v>3054</v>
      </c>
      <c r="I1085" s="28"/>
      <c r="J1085" s="28"/>
    </row>
    <row r="1086" ht="22.5" customHeight="1">
      <c r="A1086" s="76" t="s">
        <v>3062</v>
      </c>
      <c r="B1086" s="88" t="s">
        <v>2632</v>
      </c>
      <c r="C1086" s="91"/>
      <c r="D1086" s="88" t="s">
        <v>3053</v>
      </c>
      <c r="E1086" s="88" t="s">
        <v>2655</v>
      </c>
      <c r="F1086" s="88">
        <v>6.0</v>
      </c>
      <c r="G1086" s="93"/>
      <c r="H1086" s="92" t="s">
        <v>3054</v>
      </c>
      <c r="I1086" s="28"/>
      <c r="J1086" s="28"/>
    </row>
    <row r="1087" ht="22.5" customHeight="1">
      <c r="A1087" s="76" t="s">
        <v>3063</v>
      </c>
      <c r="B1087" s="88" t="s">
        <v>2632</v>
      </c>
      <c r="C1087" s="91"/>
      <c r="D1087" s="88" t="s">
        <v>3064</v>
      </c>
      <c r="E1087" s="88" t="s">
        <v>2634</v>
      </c>
      <c r="F1087" s="88">
        <v>6.0</v>
      </c>
      <c r="G1087" s="93"/>
      <c r="H1087" s="92" t="s">
        <v>3065</v>
      </c>
      <c r="I1087" s="28"/>
      <c r="J1087" s="28"/>
    </row>
    <row r="1088" ht="22.5" customHeight="1">
      <c r="A1088" s="76" t="s">
        <v>3066</v>
      </c>
      <c r="B1088" s="88" t="s">
        <v>2632</v>
      </c>
      <c r="C1088" s="91"/>
      <c r="D1088" s="88" t="s">
        <v>3064</v>
      </c>
      <c r="E1088" s="88" t="s">
        <v>105</v>
      </c>
      <c r="F1088" s="88">
        <v>6.0</v>
      </c>
      <c r="G1088" s="93"/>
      <c r="H1088" s="92" t="s">
        <v>3067</v>
      </c>
      <c r="I1088" s="28"/>
      <c r="J1088" s="28"/>
    </row>
    <row r="1089" ht="22.5" customHeight="1">
      <c r="A1089" s="76" t="s">
        <v>3068</v>
      </c>
      <c r="B1089" s="88" t="s">
        <v>2632</v>
      </c>
      <c r="C1089" s="91"/>
      <c r="D1089" s="88" t="s">
        <v>3064</v>
      </c>
      <c r="E1089" s="88" t="s">
        <v>103</v>
      </c>
      <c r="F1089" s="88">
        <v>6.0</v>
      </c>
      <c r="G1089" s="93"/>
      <c r="H1089" s="92" t="s">
        <v>3069</v>
      </c>
      <c r="I1089" s="26">
        <v>20.0</v>
      </c>
      <c r="J1089" s="28"/>
    </row>
    <row r="1090" ht="22.5" customHeight="1">
      <c r="A1090" s="76" t="s">
        <v>3070</v>
      </c>
      <c r="B1090" s="88" t="s">
        <v>2632</v>
      </c>
      <c r="C1090" s="91"/>
      <c r="D1090" s="88" t="s">
        <v>3064</v>
      </c>
      <c r="E1090" s="88" t="s">
        <v>1457</v>
      </c>
      <c r="F1090" s="88">
        <v>6.0</v>
      </c>
      <c r="G1090" s="93"/>
      <c r="H1090" s="92" t="s">
        <v>3071</v>
      </c>
      <c r="I1090" s="26">
        <v>40.0</v>
      </c>
      <c r="J1090" s="28"/>
    </row>
    <row r="1091" ht="22.5" customHeight="1">
      <c r="A1091" s="76" t="s">
        <v>3072</v>
      </c>
      <c r="B1091" s="88" t="s">
        <v>2632</v>
      </c>
      <c r="C1091" s="91"/>
      <c r="D1091" s="88" t="s">
        <v>3064</v>
      </c>
      <c r="E1091" s="88" t="s">
        <v>1830</v>
      </c>
      <c r="F1091" s="88">
        <v>6.0</v>
      </c>
      <c r="G1091" s="93"/>
      <c r="H1091" s="92" t="s">
        <v>3073</v>
      </c>
      <c r="I1091" s="28"/>
      <c r="J1091" s="28"/>
    </row>
    <row r="1092" ht="22.5" customHeight="1">
      <c r="A1092" s="76" t="s">
        <v>3074</v>
      </c>
      <c r="B1092" s="88" t="s">
        <v>2632</v>
      </c>
      <c r="C1092" s="91"/>
      <c r="D1092" s="88" t="s">
        <v>3064</v>
      </c>
      <c r="E1092" s="88" t="s">
        <v>497</v>
      </c>
      <c r="F1092" s="88">
        <v>6.0</v>
      </c>
      <c r="G1092" s="93"/>
      <c r="H1092" s="92" t="s">
        <v>3075</v>
      </c>
      <c r="I1092" s="26">
        <v>5.0</v>
      </c>
      <c r="J1092" s="28"/>
    </row>
    <row r="1093" ht="22.5" customHeight="1">
      <c r="A1093" s="76" t="s">
        <v>3076</v>
      </c>
      <c r="B1093" s="88" t="s">
        <v>2632</v>
      </c>
      <c r="C1093" s="91"/>
      <c r="D1093" s="88" t="s">
        <v>3064</v>
      </c>
      <c r="E1093" s="88" t="s">
        <v>1833</v>
      </c>
      <c r="F1093" s="88">
        <v>6.0</v>
      </c>
      <c r="G1093" s="93"/>
      <c r="H1093" s="92" t="s">
        <v>3077</v>
      </c>
      <c r="I1093" s="28"/>
      <c r="J1093" s="28"/>
    </row>
    <row r="1094" ht="22.5" customHeight="1">
      <c r="A1094" s="76" t="s">
        <v>3078</v>
      </c>
      <c r="B1094" s="88" t="s">
        <v>2632</v>
      </c>
      <c r="C1094" s="91"/>
      <c r="D1094" s="88" t="s">
        <v>3064</v>
      </c>
      <c r="E1094" s="88" t="s">
        <v>1844</v>
      </c>
      <c r="F1094" s="88">
        <v>6.0</v>
      </c>
      <c r="G1094" s="93"/>
      <c r="H1094" s="92" t="s">
        <v>3079</v>
      </c>
      <c r="I1094" s="28"/>
      <c r="J1094" s="28"/>
    </row>
    <row r="1095" ht="22.5" customHeight="1">
      <c r="A1095" s="76" t="s">
        <v>3080</v>
      </c>
      <c r="B1095" s="88" t="s">
        <v>2632</v>
      </c>
      <c r="C1095" s="91"/>
      <c r="D1095" s="88" t="s">
        <v>3064</v>
      </c>
      <c r="E1095" s="88" t="s">
        <v>2655</v>
      </c>
      <c r="F1095" s="88">
        <v>6.0</v>
      </c>
      <c r="G1095" s="93"/>
      <c r="H1095" s="92" t="s">
        <v>3081</v>
      </c>
      <c r="I1095" s="28"/>
      <c r="J1095" s="28"/>
    </row>
    <row r="1096" ht="22.5" customHeight="1">
      <c r="A1096" s="76" t="s">
        <v>3082</v>
      </c>
      <c r="B1096" s="88" t="s">
        <v>2632</v>
      </c>
      <c r="C1096" s="91"/>
      <c r="D1096" s="88" t="s">
        <v>3083</v>
      </c>
      <c r="E1096" s="88" t="s">
        <v>2634</v>
      </c>
      <c r="F1096" s="88">
        <v>6.0</v>
      </c>
      <c r="G1096" s="91"/>
      <c r="H1096" s="89" t="s">
        <v>3084</v>
      </c>
      <c r="I1096" s="28"/>
      <c r="J1096" s="28"/>
    </row>
    <row r="1097" ht="22.5" customHeight="1">
      <c r="A1097" s="76" t="s">
        <v>3085</v>
      </c>
      <c r="B1097" s="88" t="s">
        <v>2632</v>
      </c>
      <c r="C1097" s="91"/>
      <c r="D1097" s="88" t="s">
        <v>3083</v>
      </c>
      <c r="E1097" s="88" t="s">
        <v>105</v>
      </c>
      <c r="F1097" s="88">
        <v>6.0</v>
      </c>
      <c r="G1097" s="91"/>
      <c r="H1097" s="89" t="s">
        <v>3084</v>
      </c>
      <c r="I1097" s="26">
        <v>70.0</v>
      </c>
      <c r="J1097" s="28"/>
    </row>
    <row r="1098" ht="22.5" customHeight="1">
      <c r="A1098" s="76" t="s">
        <v>3086</v>
      </c>
      <c r="B1098" s="88" t="s">
        <v>2632</v>
      </c>
      <c r="C1098" s="91"/>
      <c r="D1098" s="88" t="s">
        <v>3083</v>
      </c>
      <c r="E1098" s="88" t="s">
        <v>103</v>
      </c>
      <c r="F1098" s="88">
        <v>6.0</v>
      </c>
      <c r="G1098" s="91"/>
      <c r="H1098" s="89" t="s">
        <v>3084</v>
      </c>
      <c r="I1098" s="26">
        <v>61.0</v>
      </c>
      <c r="J1098" s="28"/>
    </row>
    <row r="1099" ht="22.5" customHeight="1">
      <c r="A1099" s="76" t="s">
        <v>3087</v>
      </c>
      <c r="B1099" s="88" t="s">
        <v>2632</v>
      </c>
      <c r="C1099" s="91"/>
      <c r="D1099" s="88" t="s">
        <v>3083</v>
      </c>
      <c r="E1099" s="88" t="s">
        <v>1457</v>
      </c>
      <c r="F1099" s="88">
        <v>6.0</v>
      </c>
      <c r="G1099" s="91"/>
      <c r="H1099" s="89" t="s">
        <v>3084</v>
      </c>
      <c r="I1099" s="26">
        <v>51.0</v>
      </c>
      <c r="J1099" s="28"/>
    </row>
    <row r="1100" ht="22.5" customHeight="1">
      <c r="A1100" s="76" t="s">
        <v>3088</v>
      </c>
      <c r="B1100" s="88" t="s">
        <v>2632</v>
      </c>
      <c r="C1100" s="91"/>
      <c r="D1100" s="88" t="s">
        <v>3083</v>
      </c>
      <c r="E1100" s="88" t="s">
        <v>497</v>
      </c>
      <c r="F1100" s="88">
        <v>6.0</v>
      </c>
      <c r="G1100" s="91"/>
      <c r="H1100" s="89" t="s">
        <v>3084</v>
      </c>
      <c r="I1100" s="28"/>
      <c r="J1100" s="28"/>
    </row>
    <row r="1101" ht="22.5" customHeight="1">
      <c r="A1101" s="76" t="s">
        <v>3089</v>
      </c>
      <c r="B1101" s="88" t="s">
        <v>2632</v>
      </c>
      <c r="C1101" s="91"/>
      <c r="D1101" s="88" t="s">
        <v>3083</v>
      </c>
      <c r="E1101" s="88" t="s">
        <v>2655</v>
      </c>
      <c r="F1101" s="88">
        <v>6.0</v>
      </c>
      <c r="G1101" s="91"/>
      <c r="H1101" s="89" t="s">
        <v>3084</v>
      </c>
      <c r="I1101" s="28"/>
      <c r="J1101" s="28"/>
    </row>
    <row r="1102" ht="22.5" customHeight="1">
      <c r="A1102" s="76" t="s">
        <v>3090</v>
      </c>
      <c r="B1102" s="88" t="s">
        <v>2632</v>
      </c>
      <c r="C1102" s="91"/>
      <c r="D1102" s="88" t="s">
        <v>3091</v>
      </c>
      <c r="E1102" s="88" t="s">
        <v>2634</v>
      </c>
      <c r="F1102" s="88">
        <v>6.0</v>
      </c>
      <c r="G1102" s="91"/>
      <c r="H1102" s="89" t="s">
        <v>3084</v>
      </c>
      <c r="I1102" s="28"/>
      <c r="J1102" s="28"/>
    </row>
    <row r="1103" ht="22.5" customHeight="1">
      <c r="A1103" s="76" t="s">
        <v>3092</v>
      </c>
      <c r="B1103" s="88" t="s">
        <v>2632</v>
      </c>
      <c r="C1103" s="91"/>
      <c r="D1103" s="88" t="s">
        <v>3093</v>
      </c>
      <c r="E1103" s="88" t="s">
        <v>2634</v>
      </c>
      <c r="F1103" s="88">
        <v>6.0</v>
      </c>
      <c r="G1103" s="93"/>
      <c r="H1103" s="92" t="s">
        <v>3094</v>
      </c>
      <c r="I1103" s="28"/>
      <c r="J1103" s="28"/>
    </row>
    <row r="1104" ht="22.5" customHeight="1">
      <c r="A1104" s="76" t="s">
        <v>3095</v>
      </c>
      <c r="B1104" s="88" t="s">
        <v>2632</v>
      </c>
      <c r="C1104" s="91"/>
      <c r="D1104" s="88" t="s">
        <v>3093</v>
      </c>
      <c r="E1104" s="88" t="s">
        <v>105</v>
      </c>
      <c r="F1104" s="88">
        <v>6.0</v>
      </c>
      <c r="G1104" s="93"/>
      <c r="H1104" s="92" t="s">
        <v>3096</v>
      </c>
      <c r="I1104" s="28"/>
      <c r="J1104" s="28"/>
    </row>
    <row r="1105" ht="22.5" customHeight="1">
      <c r="A1105" s="76" t="s">
        <v>3097</v>
      </c>
      <c r="B1105" s="88" t="s">
        <v>2632</v>
      </c>
      <c r="C1105" s="91"/>
      <c r="D1105" s="88" t="s">
        <v>3093</v>
      </c>
      <c r="E1105" s="88" t="s">
        <v>103</v>
      </c>
      <c r="F1105" s="88">
        <v>6.0</v>
      </c>
      <c r="G1105" s="93"/>
      <c r="H1105" s="92" t="s">
        <v>3098</v>
      </c>
      <c r="I1105" s="28"/>
      <c r="J1105" s="28"/>
    </row>
    <row r="1106" ht="22.5" customHeight="1">
      <c r="A1106" s="76" t="s">
        <v>3099</v>
      </c>
      <c r="B1106" s="88" t="s">
        <v>2632</v>
      </c>
      <c r="C1106" s="91"/>
      <c r="D1106" s="88" t="s">
        <v>3093</v>
      </c>
      <c r="E1106" s="88" t="s">
        <v>1457</v>
      </c>
      <c r="F1106" s="88">
        <v>6.0</v>
      </c>
      <c r="G1106" s="93"/>
      <c r="H1106" s="92" t="s">
        <v>3100</v>
      </c>
      <c r="I1106" s="28"/>
      <c r="J1106" s="28"/>
    </row>
    <row r="1107" ht="22.5" customHeight="1">
      <c r="A1107" s="76" t="s">
        <v>3101</v>
      </c>
      <c r="B1107" s="88" t="s">
        <v>2632</v>
      </c>
      <c r="C1107" s="91"/>
      <c r="D1107" s="88" t="s">
        <v>3093</v>
      </c>
      <c r="E1107" s="88" t="s">
        <v>497</v>
      </c>
      <c r="F1107" s="88">
        <v>6.0</v>
      </c>
      <c r="G1107" s="93"/>
      <c r="H1107" s="92" t="s">
        <v>3102</v>
      </c>
      <c r="I1107" s="28"/>
      <c r="J1107" s="28"/>
    </row>
    <row r="1108" ht="22.5" customHeight="1">
      <c r="A1108" s="76" t="s">
        <v>3103</v>
      </c>
      <c r="B1108" s="88" t="s">
        <v>2632</v>
      </c>
      <c r="C1108" s="91"/>
      <c r="D1108" s="88" t="s">
        <v>3093</v>
      </c>
      <c r="E1108" s="88" t="s">
        <v>2655</v>
      </c>
      <c r="F1108" s="88">
        <v>6.0</v>
      </c>
      <c r="G1108" s="93"/>
      <c r="H1108" s="92" t="s">
        <v>3104</v>
      </c>
      <c r="I1108" s="28"/>
      <c r="J1108" s="28"/>
    </row>
    <row r="1109" ht="22.5" customHeight="1">
      <c r="A1109" s="76" t="s">
        <v>3105</v>
      </c>
      <c r="B1109" s="88" t="s">
        <v>2632</v>
      </c>
      <c r="C1109" s="91"/>
      <c r="D1109" s="88" t="s">
        <v>3106</v>
      </c>
      <c r="E1109" s="88" t="s">
        <v>2634</v>
      </c>
      <c r="F1109" s="88">
        <v>6.0</v>
      </c>
      <c r="G1109" s="93"/>
      <c r="H1109" s="92" t="s">
        <v>3107</v>
      </c>
      <c r="I1109" s="28"/>
      <c r="J1109" s="28"/>
    </row>
    <row r="1110" ht="22.5" customHeight="1">
      <c r="A1110" s="76" t="s">
        <v>3108</v>
      </c>
      <c r="B1110" s="88" t="s">
        <v>2632</v>
      </c>
      <c r="C1110" s="91"/>
      <c r="D1110" s="88" t="s">
        <v>3106</v>
      </c>
      <c r="E1110" s="88" t="s">
        <v>105</v>
      </c>
      <c r="F1110" s="88">
        <v>6.0</v>
      </c>
      <c r="G1110" s="93"/>
      <c r="H1110" s="92" t="s">
        <v>3109</v>
      </c>
      <c r="I1110" s="28"/>
      <c r="J1110" s="28"/>
    </row>
    <row r="1111" ht="22.5" customHeight="1">
      <c r="A1111" s="76" t="s">
        <v>3110</v>
      </c>
      <c r="B1111" s="88" t="s">
        <v>2632</v>
      </c>
      <c r="C1111" s="91"/>
      <c r="D1111" s="88" t="s">
        <v>3106</v>
      </c>
      <c r="E1111" s="88" t="s">
        <v>103</v>
      </c>
      <c r="F1111" s="88">
        <v>6.0</v>
      </c>
      <c r="G1111" s="93"/>
      <c r="H1111" s="92" t="s">
        <v>3111</v>
      </c>
      <c r="I1111" s="28"/>
      <c r="J1111" s="28"/>
    </row>
    <row r="1112" ht="22.5" customHeight="1">
      <c r="A1112" s="76" t="s">
        <v>3112</v>
      </c>
      <c r="B1112" s="88" t="s">
        <v>2632</v>
      </c>
      <c r="C1112" s="91"/>
      <c r="D1112" s="88" t="s">
        <v>3106</v>
      </c>
      <c r="E1112" s="88" t="s">
        <v>1457</v>
      </c>
      <c r="F1112" s="88">
        <v>6.0</v>
      </c>
      <c r="G1112" s="93"/>
      <c r="H1112" s="92" t="s">
        <v>3113</v>
      </c>
      <c r="I1112" s="28"/>
      <c r="J1112" s="28"/>
    </row>
    <row r="1113" ht="22.5" customHeight="1">
      <c r="A1113" s="76" t="s">
        <v>3114</v>
      </c>
      <c r="B1113" s="88" t="s">
        <v>2632</v>
      </c>
      <c r="C1113" s="91"/>
      <c r="D1113" s="88" t="s">
        <v>3106</v>
      </c>
      <c r="E1113" s="88" t="s">
        <v>497</v>
      </c>
      <c r="F1113" s="88">
        <v>6.0</v>
      </c>
      <c r="G1113" s="93"/>
      <c r="H1113" s="92" t="s">
        <v>3115</v>
      </c>
      <c r="I1113" s="28"/>
      <c r="J1113" s="28"/>
    </row>
    <row r="1114" ht="22.5" customHeight="1">
      <c r="A1114" s="76" t="s">
        <v>3116</v>
      </c>
      <c r="B1114" s="88" t="s">
        <v>2632</v>
      </c>
      <c r="C1114" s="91"/>
      <c r="D1114" s="88" t="s">
        <v>3106</v>
      </c>
      <c r="E1114" s="88" t="s">
        <v>2655</v>
      </c>
      <c r="F1114" s="88">
        <v>6.0</v>
      </c>
      <c r="G1114" s="93"/>
      <c r="H1114" s="92" t="s">
        <v>3117</v>
      </c>
      <c r="I1114" s="28"/>
      <c r="J1114" s="28"/>
    </row>
    <row r="1115" ht="22.5" customHeight="1">
      <c r="A1115" s="76" t="s">
        <v>3118</v>
      </c>
      <c r="B1115" s="88" t="s">
        <v>2632</v>
      </c>
      <c r="C1115" s="91"/>
      <c r="D1115" s="88" t="s">
        <v>3119</v>
      </c>
      <c r="E1115" s="88" t="s">
        <v>2634</v>
      </c>
      <c r="F1115" s="88">
        <v>6.0</v>
      </c>
      <c r="G1115" s="93"/>
      <c r="H1115" s="92" t="s">
        <v>3120</v>
      </c>
      <c r="I1115" s="28"/>
      <c r="J1115" s="28"/>
    </row>
    <row r="1116" ht="22.5" customHeight="1">
      <c r="A1116" s="76" t="s">
        <v>3121</v>
      </c>
      <c r="B1116" s="88" t="s">
        <v>2632</v>
      </c>
      <c r="C1116" s="91"/>
      <c r="D1116" s="88" t="s">
        <v>3119</v>
      </c>
      <c r="E1116" s="88" t="s">
        <v>105</v>
      </c>
      <c r="F1116" s="88">
        <v>6.0</v>
      </c>
      <c r="G1116" s="93"/>
      <c r="H1116" s="92" t="s">
        <v>3122</v>
      </c>
      <c r="I1116" s="28"/>
      <c r="J1116" s="28"/>
    </row>
    <row r="1117" ht="22.5" customHeight="1">
      <c r="A1117" s="76" t="s">
        <v>3123</v>
      </c>
      <c r="B1117" s="88" t="s">
        <v>2632</v>
      </c>
      <c r="C1117" s="91"/>
      <c r="D1117" s="88" t="s">
        <v>3119</v>
      </c>
      <c r="E1117" s="88" t="s">
        <v>103</v>
      </c>
      <c r="F1117" s="88">
        <v>6.0</v>
      </c>
      <c r="G1117" s="93"/>
      <c r="H1117" s="92" t="s">
        <v>3124</v>
      </c>
      <c r="I1117" s="28"/>
      <c r="J1117" s="28"/>
    </row>
    <row r="1118" ht="22.5" customHeight="1">
      <c r="A1118" s="76" t="s">
        <v>3125</v>
      </c>
      <c r="B1118" s="88" t="s">
        <v>2632</v>
      </c>
      <c r="C1118" s="91"/>
      <c r="D1118" s="88" t="s">
        <v>3119</v>
      </c>
      <c r="E1118" s="88" t="s">
        <v>1457</v>
      </c>
      <c r="F1118" s="88">
        <v>6.0</v>
      </c>
      <c r="G1118" s="93"/>
      <c r="H1118" s="92" t="s">
        <v>3126</v>
      </c>
      <c r="I1118" s="28"/>
      <c r="J1118" s="28"/>
    </row>
    <row r="1119" ht="22.5" customHeight="1">
      <c r="A1119" s="76" t="s">
        <v>3127</v>
      </c>
      <c r="B1119" s="88" t="s">
        <v>2632</v>
      </c>
      <c r="C1119" s="91"/>
      <c r="D1119" s="88" t="s">
        <v>3119</v>
      </c>
      <c r="E1119" s="88" t="s">
        <v>497</v>
      </c>
      <c r="F1119" s="88">
        <v>6.0</v>
      </c>
      <c r="G1119" s="88">
        <v>1280.0</v>
      </c>
      <c r="H1119" s="92" t="s">
        <v>3128</v>
      </c>
      <c r="I1119" s="28"/>
      <c r="J1119" s="28"/>
    </row>
    <row r="1120" ht="22.5" customHeight="1">
      <c r="A1120" s="76" t="s">
        <v>3129</v>
      </c>
      <c r="B1120" s="88" t="s">
        <v>2632</v>
      </c>
      <c r="C1120" s="91"/>
      <c r="D1120" s="88" t="s">
        <v>3119</v>
      </c>
      <c r="E1120" s="88" t="s">
        <v>2655</v>
      </c>
      <c r="F1120" s="88">
        <v>6.0</v>
      </c>
      <c r="G1120" s="93"/>
      <c r="H1120" s="92" t="s">
        <v>3130</v>
      </c>
      <c r="I1120" s="28"/>
      <c r="J1120" s="28"/>
    </row>
    <row r="1121" ht="22.5" customHeight="1">
      <c r="A1121" s="76" t="s">
        <v>3131</v>
      </c>
      <c r="B1121" s="88" t="s">
        <v>2632</v>
      </c>
      <c r="C1121" s="91"/>
      <c r="D1121" s="88" t="s">
        <v>3132</v>
      </c>
      <c r="E1121" s="88" t="s">
        <v>2634</v>
      </c>
      <c r="F1121" s="88">
        <v>6.0</v>
      </c>
      <c r="G1121" s="93"/>
      <c r="H1121" s="92" t="s">
        <v>3133</v>
      </c>
      <c r="I1121" s="28"/>
      <c r="J1121" s="28"/>
    </row>
    <row r="1122" ht="22.5" customHeight="1">
      <c r="A1122" s="76" t="s">
        <v>3134</v>
      </c>
      <c r="B1122" s="88" t="s">
        <v>2632</v>
      </c>
      <c r="C1122" s="91"/>
      <c r="D1122" s="88" t="s">
        <v>3132</v>
      </c>
      <c r="E1122" s="88" t="s">
        <v>105</v>
      </c>
      <c r="F1122" s="88">
        <v>6.0</v>
      </c>
      <c r="G1122" s="93"/>
      <c r="H1122" s="92" t="s">
        <v>3135</v>
      </c>
      <c r="I1122" s="28"/>
      <c r="J1122" s="28"/>
    </row>
    <row r="1123" ht="22.5" customHeight="1">
      <c r="A1123" s="76" t="s">
        <v>3136</v>
      </c>
      <c r="B1123" s="88" t="s">
        <v>2632</v>
      </c>
      <c r="C1123" s="91"/>
      <c r="D1123" s="88" t="s">
        <v>3132</v>
      </c>
      <c r="E1123" s="88" t="s">
        <v>103</v>
      </c>
      <c r="F1123" s="88">
        <v>6.0</v>
      </c>
      <c r="G1123" s="93"/>
      <c r="H1123" s="92" t="s">
        <v>3137</v>
      </c>
      <c r="I1123" s="26"/>
      <c r="J1123" s="28"/>
    </row>
    <row r="1124" ht="22.5" customHeight="1">
      <c r="A1124" s="76" t="s">
        <v>3138</v>
      </c>
      <c r="B1124" s="88" t="s">
        <v>2632</v>
      </c>
      <c r="C1124" s="91"/>
      <c r="D1124" s="88" t="s">
        <v>3132</v>
      </c>
      <c r="E1124" s="88" t="s">
        <v>1457</v>
      </c>
      <c r="F1124" s="88">
        <v>6.0</v>
      </c>
      <c r="G1124" s="93"/>
      <c r="H1124" s="92" t="s">
        <v>3139</v>
      </c>
      <c r="I1124" s="28"/>
      <c r="J1124" s="28"/>
    </row>
    <row r="1125" ht="22.5" customHeight="1">
      <c r="A1125" s="76" t="s">
        <v>3140</v>
      </c>
      <c r="B1125" s="88" t="s">
        <v>2632</v>
      </c>
      <c r="C1125" s="91"/>
      <c r="D1125" s="88" t="s">
        <v>3132</v>
      </c>
      <c r="E1125" s="88" t="s">
        <v>497</v>
      </c>
      <c r="F1125" s="88">
        <v>6.0</v>
      </c>
      <c r="G1125" s="93"/>
      <c r="H1125" s="92" t="s">
        <v>3141</v>
      </c>
      <c r="I1125" s="28"/>
      <c r="J1125" s="28"/>
    </row>
    <row r="1126" ht="22.5" customHeight="1">
      <c r="A1126" s="76" t="s">
        <v>3142</v>
      </c>
      <c r="B1126" s="88" t="s">
        <v>2632</v>
      </c>
      <c r="C1126" s="91"/>
      <c r="D1126" s="88" t="s">
        <v>3132</v>
      </c>
      <c r="E1126" s="88" t="s">
        <v>2655</v>
      </c>
      <c r="F1126" s="88">
        <v>6.0</v>
      </c>
      <c r="G1126" s="93"/>
      <c r="H1126" s="92" t="s">
        <v>3143</v>
      </c>
      <c r="I1126" s="28"/>
      <c r="J1126" s="28"/>
    </row>
    <row r="1127" ht="22.5" customHeight="1">
      <c r="A1127" s="76" t="s">
        <v>3144</v>
      </c>
      <c r="B1127" s="88" t="s">
        <v>2632</v>
      </c>
      <c r="C1127" s="91"/>
      <c r="D1127" s="88" t="s">
        <v>3145</v>
      </c>
      <c r="E1127" s="88" t="s">
        <v>2634</v>
      </c>
      <c r="F1127" s="88">
        <v>6.0</v>
      </c>
      <c r="G1127" s="93"/>
      <c r="H1127" s="92" t="s">
        <v>3146</v>
      </c>
      <c r="I1127" s="28"/>
      <c r="J1127" s="28"/>
    </row>
    <row r="1128" ht="22.5" customHeight="1">
      <c r="A1128" s="76" t="s">
        <v>3147</v>
      </c>
      <c r="B1128" s="88" t="s">
        <v>2632</v>
      </c>
      <c r="C1128" s="91"/>
      <c r="D1128" s="88" t="s">
        <v>3145</v>
      </c>
      <c r="E1128" s="88" t="s">
        <v>105</v>
      </c>
      <c r="F1128" s="88">
        <v>6.0</v>
      </c>
      <c r="G1128" s="93"/>
      <c r="H1128" s="92" t="s">
        <v>3148</v>
      </c>
      <c r="I1128" s="28"/>
      <c r="J1128" s="28"/>
    </row>
    <row r="1129" ht="22.5" customHeight="1">
      <c r="A1129" s="76" t="s">
        <v>3149</v>
      </c>
      <c r="B1129" s="88" t="s">
        <v>2632</v>
      </c>
      <c r="C1129" s="91"/>
      <c r="D1129" s="88" t="s">
        <v>3145</v>
      </c>
      <c r="E1129" s="88" t="s">
        <v>103</v>
      </c>
      <c r="F1129" s="88">
        <v>6.0</v>
      </c>
      <c r="G1129" s="93"/>
      <c r="H1129" s="92" t="s">
        <v>3150</v>
      </c>
      <c r="I1129" s="28"/>
      <c r="J1129" s="28"/>
    </row>
    <row r="1130" ht="22.5" customHeight="1">
      <c r="A1130" s="76" t="s">
        <v>3151</v>
      </c>
      <c r="B1130" s="88" t="s">
        <v>2632</v>
      </c>
      <c r="C1130" s="91"/>
      <c r="D1130" s="88" t="s">
        <v>3145</v>
      </c>
      <c r="E1130" s="88" t="s">
        <v>1457</v>
      </c>
      <c r="F1130" s="88">
        <v>6.0</v>
      </c>
      <c r="G1130" s="93"/>
      <c r="H1130" s="92" t="s">
        <v>3152</v>
      </c>
      <c r="I1130" s="26">
        <v>5.0</v>
      </c>
      <c r="J1130" s="28"/>
    </row>
    <row r="1131" ht="22.5" customHeight="1">
      <c r="A1131" s="76" t="s">
        <v>3153</v>
      </c>
      <c r="B1131" s="88" t="s">
        <v>2632</v>
      </c>
      <c r="C1131" s="91"/>
      <c r="D1131" s="88" t="s">
        <v>3145</v>
      </c>
      <c r="E1131" s="88" t="s">
        <v>497</v>
      </c>
      <c r="F1131" s="88">
        <v>6.0</v>
      </c>
      <c r="G1131" s="93"/>
      <c r="H1131" s="92" t="s">
        <v>3154</v>
      </c>
      <c r="I1131" s="28"/>
      <c r="J1131" s="28"/>
    </row>
    <row r="1132" ht="22.5" customHeight="1">
      <c r="A1132" s="76" t="s">
        <v>3155</v>
      </c>
      <c r="B1132" s="88" t="s">
        <v>2632</v>
      </c>
      <c r="C1132" s="91"/>
      <c r="D1132" s="88" t="s">
        <v>3145</v>
      </c>
      <c r="E1132" s="88" t="s">
        <v>2655</v>
      </c>
      <c r="F1132" s="88">
        <v>6.0</v>
      </c>
      <c r="G1132" s="93"/>
      <c r="H1132" s="92" t="s">
        <v>3156</v>
      </c>
      <c r="I1132" s="28"/>
      <c r="J1132" s="28"/>
    </row>
    <row r="1133" ht="22.5" customHeight="1">
      <c r="A1133" s="76" t="s">
        <v>3157</v>
      </c>
      <c r="B1133" s="88" t="s">
        <v>2632</v>
      </c>
      <c r="C1133" s="91"/>
      <c r="D1133" s="88" t="s">
        <v>3158</v>
      </c>
      <c r="E1133" s="88" t="s">
        <v>2634</v>
      </c>
      <c r="F1133" s="88">
        <v>6.0</v>
      </c>
      <c r="G1133" s="93"/>
      <c r="H1133" s="92" t="s">
        <v>3159</v>
      </c>
      <c r="I1133" s="28"/>
      <c r="J1133" s="28"/>
    </row>
    <row r="1134" ht="22.5" customHeight="1">
      <c r="A1134" s="76" t="s">
        <v>3160</v>
      </c>
      <c r="B1134" s="88" t="s">
        <v>2632</v>
      </c>
      <c r="C1134" s="91"/>
      <c r="D1134" s="88" t="s">
        <v>3158</v>
      </c>
      <c r="E1134" s="88" t="s">
        <v>105</v>
      </c>
      <c r="F1134" s="88">
        <v>6.0</v>
      </c>
      <c r="G1134" s="93"/>
      <c r="H1134" s="92" t="s">
        <v>3161</v>
      </c>
      <c r="I1134" s="28"/>
      <c r="J1134" s="28"/>
    </row>
    <row r="1135" ht="22.5" customHeight="1">
      <c r="A1135" s="76" t="s">
        <v>3162</v>
      </c>
      <c r="B1135" s="88" t="s">
        <v>2632</v>
      </c>
      <c r="C1135" s="91"/>
      <c r="D1135" s="88" t="s">
        <v>3158</v>
      </c>
      <c r="E1135" s="88" t="s">
        <v>103</v>
      </c>
      <c r="F1135" s="88">
        <v>6.0</v>
      </c>
      <c r="G1135" s="93"/>
      <c r="H1135" s="92" t="s">
        <v>3161</v>
      </c>
      <c r="I1135" s="28"/>
      <c r="J1135" s="28"/>
    </row>
    <row r="1136" ht="22.5" customHeight="1">
      <c r="A1136" s="76" t="s">
        <v>3163</v>
      </c>
      <c r="B1136" s="88" t="s">
        <v>2632</v>
      </c>
      <c r="C1136" s="91"/>
      <c r="D1136" s="88" t="s">
        <v>3158</v>
      </c>
      <c r="E1136" s="88" t="s">
        <v>1457</v>
      </c>
      <c r="F1136" s="88">
        <v>6.0</v>
      </c>
      <c r="G1136" s="93"/>
      <c r="H1136" s="92" t="s">
        <v>3161</v>
      </c>
      <c r="I1136" s="28"/>
      <c r="J1136" s="28"/>
    </row>
    <row r="1137" ht="22.5" customHeight="1">
      <c r="A1137" s="76" t="s">
        <v>3164</v>
      </c>
      <c r="B1137" s="88" t="s">
        <v>2632</v>
      </c>
      <c r="C1137" s="91"/>
      <c r="D1137" s="88" t="s">
        <v>3158</v>
      </c>
      <c r="E1137" s="88" t="s">
        <v>497</v>
      </c>
      <c r="F1137" s="88">
        <v>6.0</v>
      </c>
      <c r="G1137" s="88">
        <v>1135.0</v>
      </c>
      <c r="H1137" s="92" t="s">
        <v>3161</v>
      </c>
      <c r="I1137" s="28"/>
      <c r="J1137" s="28"/>
    </row>
    <row r="1138" ht="22.5" customHeight="1">
      <c r="A1138" s="76" t="s">
        <v>3165</v>
      </c>
      <c r="B1138" s="88" t="s">
        <v>2632</v>
      </c>
      <c r="C1138" s="91"/>
      <c r="D1138" s="88" t="s">
        <v>3158</v>
      </c>
      <c r="E1138" s="88" t="s">
        <v>2655</v>
      </c>
      <c r="F1138" s="88">
        <v>6.0</v>
      </c>
      <c r="G1138" s="93"/>
      <c r="H1138" s="92" t="s">
        <v>3161</v>
      </c>
      <c r="I1138" s="28"/>
      <c r="J1138" s="28"/>
    </row>
    <row r="1139" ht="22.5" customHeight="1">
      <c r="A1139" s="76" t="s">
        <v>3166</v>
      </c>
      <c r="B1139" s="88" t="s">
        <v>2632</v>
      </c>
      <c r="C1139" s="91"/>
      <c r="D1139" s="88" t="s">
        <v>3167</v>
      </c>
      <c r="E1139" s="88" t="s">
        <v>2634</v>
      </c>
      <c r="F1139" s="88">
        <v>6.0</v>
      </c>
      <c r="G1139" s="91"/>
      <c r="H1139" s="92" t="s">
        <v>3168</v>
      </c>
      <c r="I1139" s="28"/>
      <c r="J1139" s="28"/>
    </row>
    <row r="1140" ht="22.5" customHeight="1">
      <c r="A1140" s="76" t="s">
        <v>3169</v>
      </c>
      <c r="B1140" s="88" t="s">
        <v>2632</v>
      </c>
      <c r="C1140" s="91"/>
      <c r="D1140" s="88" t="s">
        <v>3167</v>
      </c>
      <c r="E1140" s="88" t="s">
        <v>105</v>
      </c>
      <c r="F1140" s="88">
        <v>6.0</v>
      </c>
      <c r="G1140" s="91"/>
      <c r="H1140" s="92" t="s">
        <v>3168</v>
      </c>
      <c r="I1140" s="28"/>
      <c r="J1140" s="28"/>
    </row>
    <row r="1141" ht="22.5" customHeight="1">
      <c r="A1141" s="76" t="s">
        <v>3170</v>
      </c>
      <c r="B1141" s="88" t="s">
        <v>2632</v>
      </c>
      <c r="C1141" s="91"/>
      <c r="D1141" s="88" t="s">
        <v>3167</v>
      </c>
      <c r="E1141" s="88" t="s">
        <v>103</v>
      </c>
      <c r="F1141" s="88">
        <v>6.0</v>
      </c>
      <c r="G1141" s="91"/>
      <c r="H1141" s="92" t="s">
        <v>3168</v>
      </c>
      <c r="I1141" s="28"/>
      <c r="J1141" s="28"/>
    </row>
    <row r="1142" ht="22.5" customHeight="1">
      <c r="A1142" s="76" t="s">
        <v>3171</v>
      </c>
      <c r="B1142" s="88" t="s">
        <v>2632</v>
      </c>
      <c r="C1142" s="91"/>
      <c r="D1142" s="88" t="s">
        <v>3167</v>
      </c>
      <c r="E1142" s="88" t="s">
        <v>1457</v>
      </c>
      <c r="F1142" s="88">
        <v>6.0</v>
      </c>
      <c r="G1142" s="91"/>
      <c r="H1142" s="92" t="s">
        <v>3168</v>
      </c>
      <c r="I1142" s="28"/>
      <c r="J1142" s="28"/>
    </row>
    <row r="1143" ht="22.5" customHeight="1">
      <c r="A1143" s="76" t="s">
        <v>3172</v>
      </c>
      <c r="B1143" s="88" t="s">
        <v>2632</v>
      </c>
      <c r="C1143" s="91"/>
      <c r="D1143" s="88" t="s">
        <v>3167</v>
      </c>
      <c r="E1143" s="88" t="s">
        <v>497</v>
      </c>
      <c r="F1143" s="88">
        <v>6.0</v>
      </c>
      <c r="G1143" s="91"/>
      <c r="H1143" s="92" t="s">
        <v>3168</v>
      </c>
      <c r="I1143" s="28"/>
      <c r="J1143" s="28"/>
    </row>
    <row r="1144" ht="22.5" customHeight="1">
      <c r="A1144" s="76" t="s">
        <v>3173</v>
      </c>
      <c r="B1144" s="88" t="s">
        <v>2632</v>
      </c>
      <c r="C1144" s="91"/>
      <c r="D1144" s="88" t="s">
        <v>3167</v>
      </c>
      <c r="E1144" s="88" t="s">
        <v>2655</v>
      </c>
      <c r="F1144" s="88">
        <v>6.0</v>
      </c>
      <c r="G1144" s="91"/>
      <c r="H1144" s="92" t="s">
        <v>3168</v>
      </c>
      <c r="I1144" s="28"/>
      <c r="J1144" s="28"/>
    </row>
    <row r="1145" ht="22.5" customHeight="1">
      <c r="A1145" s="76" t="s">
        <v>3174</v>
      </c>
      <c r="B1145" s="88" t="s">
        <v>2632</v>
      </c>
      <c r="C1145" s="91"/>
      <c r="D1145" s="88" t="s">
        <v>3175</v>
      </c>
      <c r="E1145" s="88" t="s">
        <v>2634</v>
      </c>
      <c r="F1145" s="88">
        <v>6.0</v>
      </c>
      <c r="G1145" s="93"/>
      <c r="H1145" s="92" t="s">
        <v>3176</v>
      </c>
      <c r="I1145" s="28"/>
      <c r="J1145" s="28"/>
    </row>
    <row r="1146" ht="22.5" customHeight="1">
      <c r="A1146" s="76" t="s">
        <v>3177</v>
      </c>
      <c r="B1146" s="88" t="s">
        <v>2632</v>
      </c>
      <c r="C1146" s="91"/>
      <c r="D1146" s="88" t="s">
        <v>3175</v>
      </c>
      <c r="E1146" s="88" t="s">
        <v>105</v>
      </c>
      <c r="F1146" s="88">
        <v>6.0</v>
      </c>
      <c r="G1146" s="93"/>
      <c r="H1146" s="92" t="s">
        <v>3178</v>
      </c>
      <c r="I1146" s="28"/>
      <c r="J1146" s="28"/>
    </row>
    <row r="1147" ht="22.5" customHeight="1">
      <c r="A1147" s="76" t="s">
        <v>3179</v>
      </c>
      <c r="B1147" s="88" t="s">
        <v>2632</v>
      </c>
      <c r="C1147" s="91"/>
      <c r="D1147" s="88" t="s">
        <v>3175</v>
      </c>
      <c r="E1147" s="88" t="s">
        <v>103</v>
      </c>
      <c r="F1147" s="88">
        <v>6.0</v>
      </c>
      <c r="G1147" s="93"/>
      <c r="H1147" s="92" t="s">
        <v>3180</v>
      </c>
      <c r="I1147" s="28"/>
      <c r="J1147" s="28"/>
    </row>
    <row r="1148" ht="22.5" customHeight="1">
      <c r="A1148" s="76" t="s">
        <v>3181</v>
      </c>
      <c r="B1148" s="88" t="s">
        <v>2632</v>
      </c>
      <c r="C1148" s="91"/>
      <c r="D1148" s="88" t="s">
        <v>3175</v>
      </c>
      <c r="E1148" s="88" t="s">
        <v>1457</v>
      </c>
      <c r="F1148" s="88">
        <v>6.0</v>
      </c>
      <c r="G1148" s="93"/>
      <c r="H1148" s="92" t="s">
        <v>3182</v>
      </c>
      <c r="I1148" s="28"/>
      <c r="J1148" s="28"/>
    </row>
    <row r="1149" ht="22.5" customHeight="1">
      <c r="A1149" s="76" t="s">
        <v>3183</v>
      </c>
      <c r="B1149" s="88" t="s">
        <v>2632</v>
      </c>
      <c r="C1149" s="91"/>
      <c r="D1149" s="88" t="s">
        <v>3175</v>
      </c>
      <c r="E1149" s="88" t="s">
        <v>497</v>
      </c>
      <c r="F1149" s="88">
        <v>6.0</v>
      </c>
      <c r="G1149" s="93"/>
      <c r="H1149" s="92" t="s">
        <v>3184</v>
      </c>
      <c r="I1149" s="28"/>
      <c r="J1149" s="28"/>
    </row>
    <row r="1150" ht="22.5" customHeight="1">
      <c r="A1150" s="76" t="s">
        <v>3185</v>
      </c>
      <c r="B1150" s="88" t="s">
        <v>2632</v>
      </c>
      <c r="C1150" s="91"/>
      <c r="D1150" s="88" t="s">
        <v>3175</v>
      </c>
      <c r="E1150" s="88" t="s">
        <v>2655</v>
      </c>
      <c r="F1150" s="88">
        <v>6.0</v>
      </c>
      <c r="G1150" s="93"/>
      <c r="H1150" s="92" t="s">
        <v>3186</v>
      </c>
      <c r="I1150" s="28"/>
      <c r="J1150" s="28"/>
    </row>
    <row r="1151" ht="22.5" customHeight="1">
      <c r="A1151" s="76" t="s">
        <v>3187</v>
      </c>
      <c r="B1151" s="88" t="s">
        <v>2632</v>
      </c>
      <c r="C1151" s="91"/>
      <c r="D1151" s="88" t="s">
        <v>3188</v>
      </c>
      <c r="E1151" s="88" t="s">
        <v>2634</v>
      </c>
      <c r="F1151" s="88">
        <v>6.0</v>
      </c>
      <c r="G1151" s="93"/>
      <c r="H1151" s="92" t="s">
        <v>3189</v>
      </c>
      <c r="I1151" s="28"/>
      <c r="J1151" s="28"/>
    </row>
    <row r="1152" ht="22.5" customHeight="1">
      <c r="A1152" s="76" t="s">
        <v>3190</v>
      </c>
      <c r="B1152" s="88" t="s">
        <v>2632</v>
      </c>
      <c r="C1152" s="91"/>
      <c r="D1152" s="88" t="s">
        <v>3188</v>
      </c>
      <c r="E1152" s="88" t="s">
        <v>105</v>
      </c>
      <c r="F1152" s="88">
        <v>6.0</v>
      </c>
      <c r="G1152" s="93"/>
      <c r="H1152" s="92" t="s">
        <v>3191</v>
      </c>
      <c r="I1152" s="28"/>
      <c r="J1152" s="28"/>
    </row>
    <row r="1153" ht="22.5" customHeight="1">
      <c r="A1153" s="76" t="s">
        <v>3192</v>
      </c>
      <c r="B1153" s="88" t="s">
        <v>2632</v>
      </c>
      <c r="C1153" s="91"/>
      <c r="D1153" s="88" t="s">
        <v>3188</v>
      </c>
      <c r="E1153" s="88" t="s">
        <v>103</v>
      </c>
      <c r="F1153" s="88">
        <v>6.0</v>
      </c>
      <c r="G1153" s="93"/>
      <c r="H1153" s="92" t="s">
        <v>3193</v>
      </c>
      <c r="I1153" s="28"/>
      <c r="J1153" s="28"/>
    </row>
    <row r="1154" ht="22.5" customHeight="1">
      <c r="A1154" s="76" t="s">
        <v>3194</v>
      </c>
      <c r="B1154" s="88" t="s">
        <v>2632</v>
      </c>
      <c r="C1154" s="94"/>
      <c r="D1154" s="88" t="s">
        <v>3188</v>
      </c>
      <c r="E1154" s="88" t="s">
        <v>1457</v>
      </c>
      <c r="F1154" s="88">
        <v>6.0</v>
      </c>
      <c r="G1154" s="105"/>
      <c r="H1154" s="92" t="s">
        <v>3195</v>
      </c>
      <c r="I1154" s="28"/>
      <c r="J1154" s="28"/>
    </row>
    <row r="1155" ht="22.5" customHeight="1">
      <c r="A1155" s="76" t="s">
        <v>3196</v>
      </c>
      <c r="B1155" s="88" t="s">
        <v>2632</v>
      </c>
      <c r="C1155" s="94"/>
      <c r="D1155" s="88" t="s">
        <v>3188</v>
      </c>
      <c r="E1155" s="88" t="s">
        <v>497</v>
      </c>
      <c r="F1155" s="88">
        <v>6.0</v>
      </c>
      <c r="G1155" s="105"/>
      <c r="H1155" s="92" t="s">
        <v>3197</v>
      </c>
      <c r="I1155" s="28"/>
      <c r="J1155" s="28"/>
    </row>
    <row r="1156" ht="22.5" customHeight="1">
      <c r="A1156" s="76" t="s">
        <v>3198</v>
      </c>
      <c r="B1156" s="88" t="s">
        <v>2632</v>
      </c>
      <c r="C1156" s="94"/>
      <c r="D1156" s="88" t="s">
        <v>3188</v>
      </c>
      <c r="E1156" s="88" t="s">
        <v>2655</v>
      </c>
      <c r="F1156" s="88">
        <v>6.0</v>
      </c>
      <c r="G1156" s="105"/>
      <c r="H1156" s="92" t="s">
        <v>3199</v>
      </c>
      <c r="I1156" s="28"/>
      <c r="J1156" s="28"/>
    </row>
    <row r="1157" ht="22.5" customHeight="1">
      <c r="A1157" s="76" t="s">
        <v>3200</v>
      </c>
      <c r="B1157" s="88" t="s">
        <v>3201</v>
      </c>
      <c r="C1157" s="106" t="s">
        <v>3202</v>
      </c>
      <c r="D1157" s="88" t="s">
        <v>3203</v>
      </c>
      <c r="E1157" s="88" t="s">
        <v>2634</v>
      </c>
      <c r="F1157" s="88">
        <v>6.0</v>
      </c>
      <c r="G1157" s="94"/>
      <c r="H1157" s="107" t="s">
        <v>3204</v>
      </c>
      <c r="I1157" s="28"/>
      <c r="J1157" s="28"/>
    </row>
    <row r="1158" ht="22.5" customHeight="1">
      <c r="A1158" s="76" t="s">
        <v>3205</v>
      </c>
      <c r="B1158" s="88" t="s">
        <v>3201</v>
      </c>
      <c r="C1158" s="106" t="s">
        <v>3202</v>
      </c>
      <c r="D1158" s="88" t="s">
        <v>3203</v>
      </c>
      <c r="E1158" s="88" t="s">
        <v>105</v>
      </c>
      <c r="F1158" s="88">
        <v>6.0</v>
      </c>
      <c r="G1158" s="94"/>
      <c r="H1158" s="107" t="s">
        <v>3204</v>
      </c>
      <c r="I1158" s="28"/>
      <c r="J1158" s="28"/>
    </row>
    <row r="1159" ht="22.5" customHeight="1">
      <c r="A1159" s="76" t="s">
        <v>3206</v>
      </c>
      <c r="B1159" s="88" t="s">
        <v>3201</v>
      </c>
      <c r="C1159" s="106" t="s">
        <v>3202</v>
      </c>
      <c r="D1159" s="88" t="s">
        <v>3203</v>
      </c>
      <c r="E1159" s="88" t="s">
        <v>103</v>
      </c>
      <c r="F1159" s="88">
        <v>6.0</v>
      </c>
      <c r="G1159" s="94"/>
      <c r="H1159" s="107" t="s">
        <v>3204</v>
      </c>
      <c r="I1159" s="28"/>
      <c r="J1159" s="28"/>
    </row>
    <row r="1160" ht="22.5" customHeight="1">
      <c r="A1160" s="76" t="s">
        <v>3207</v>
      </c>
      <c r="B1160" s="88" t="s">
        <v>3201</v>
      </c>
      <c r="C1160" s="106" t="s">
        <v>3202</v>
      </c>
      <c r="D1160" s="88" t="s">
        <v>3203</v>
      </c>
      <c r="E1160" s="88" t="s">
        <v>1457</v>
      </c>
      <c r="F1160" s="88">
        <v>6.0</v>
      </c>
      <c r="G1160" s="94"/>
      <c r="H1160" s="107" t="s">
        <v>3204</v>
      </c>
      <c r="I1160" s="28"/>
      <c r="J1160" s="28"/>
    </row>
    <row r="1161" ht="22.5" customHeight="1">
      <c r="A1161" s="76" t="s">
        <v>3208</v>
      </c>
      <c r="B1161" s="88" t="s">
        <v>3201</v>
      </c>
      <c r="C1161" s="106" t="s">
        <v>3209</v>
      </c>
      <c r="D1161" s="88" t="s">
        <v>3210</v>
      </c>
      <c r="E1161" s="88" t="s">
        <v>2634</v>
      </c>
      <c r="F1161" s="88">
        <v>6.0</v>
      </c>
      <c r="G1161" s="94"/>
      <c r="H1161" s="107" t="s">
        <v>3211</v>
      </c>
      <c r="I1161" s="28"/>
      <c r="J1161" s="28"/>
    </row>
    <row r="1162" ht="22.5" customHeight="1">
      <c r="A1162" s="76" t="s">
        <v>3212</v>
      </c>
      <c r="B1162" s="88" t="s">
        <v>3201</v>
      </c>
      <c r="C1162" s="106" t="s">
        <v>3209</v>
      </c>
      <c r="D1162" s="88" t="s">
        <v>3210</v>
      </c>
      <c r="E1162" s="88" t="s">
        <v>105</v>
      </c>
      <c r="F1162" s="88">
        <v>6.0</v>
      </c>
      <c r="G1162" s="94"/>
      <c r="H1162" s="107" t="s">
        <v>3211</v>
      </c>
      <c r="I1162" s="28"/>
      <c r="J1162" s="28"/>
    </row>
    <row r="1163" ht="22.5" customHeight="1">
      <c r="A1163" s="76" t="s">
        <v>3213</v>
      </c>
      <c r="B1163" s="88" t="s">
        <v>3201</v>
      </c>
      <c r="C1163" s="106" t="s">
        <v>3209</v>
      </c>
      <c r="D1163" s="88" t="s">
        <v>3210</v>
      </c>
      <c r="E1163" s="88" t="s">
        <v>103</v>
      </c>
      <c r="F1163" s="88">
        <v>6.0</v>
      </c>
      <c r="G1163" s="94"/>
      <c r="H1163" s="107" t="s">
        <v>3211</v>
      </c>
      <c r="I1163" s="28"/>
      <c r="J1163" s="28"/>
    </row>
    <row r="1164" ht="22.5" customHeight="1">
      <c r="A1164" s="76" t="s">
        <v>3214</v>
      </c>
      <c r="B1164" s="88" t="s">
        <v>3201</v>
      </c>
      <c r="C1164" s="106" t="s">
        <v>3209</v>
      </c>
      <c r="D1164" s="88" t="s">
        <v>3210</v>
      </c>
      <c r="E1164" s="88" t="s">
        <v>1457</v>
      </c>
      <c r="F1164" s="88">
        <v>6.0</v>
      </c>
      <c r="G1164" s="94"/>
      <c r="H1164" s="107" t="s">
        <v>3211</v>
      </c>
      <c r="I1164" s="28"/>
      <c r="J1164" s="28"/>
    </row>
    <row r="1165" ht="22.5" customHeight="1">
      <c r="A1165" s="76" t="s">
        <v>3215</v>
      </c>
      <c r="B1165" s="88" t="s">
        <v>3201</v>
      </c>
      <c r="C1165" s="106" t="s">
        <v>3216</v>
      </c>
      <c r="D1165" s="88" t="s">
        <v>3145</v>
      </c>
      <c r="E1165" s="88" t="s">
        <v>2634</v>
      </c>
      <c r="F1165" s="88">
        <v>6.0</v>
      </c>
      <c r="G1165" s="105"/>
      <c r="H1165" s="92" t="s">
        <v>3217</v>
      </c>
      <c r="I1165" s="28"/>
      <c r="J1165" s="28"/>
    </row>
    <row r="1166" ht="22.5" customHeight="1">
      <c r="A1166" s="76" t="s">
        <v>3218</v>
      </c>
      <c r="B1166" s="88" t="s">
        <v>3201</v>
      </c>
      <c r="C1166" s="106" t="s">
        <v>3216</v>
      </c>
      <c r="D1166" s="88" t="s">
        <v>3145</v>
      </c>
      <c r="E1166" s="88" t="s">
        <v>105</v>
      </c>
      <c r="F1166" s="88">
        <v>6.0</v>
      </c>
      <c r="G1166" s="105"/>
      <c r="H1166" s="92" t="s">
        <v>3219</v>
      </c>
      <c r="I1166" s="28"/>
      <c r="J1166" s="28"/>
    </row>
    <row r="1167" ht="22.5" customHeight="1">
      <c r="A1167" s="76" t="s">
        <v>3220</v>
      </c>
      <c r="B1167" s="88" t="s">
        <v>3201</v>
      </c>
      <c r="C1167" s="106" t="s">
        <v>3216</v>
      </c>
      <c r="D1167" s="88" t="s">
        <v>3145</v>
      </c>
      <c r="E1167" s="88" t="s">
        <v>103</v>
      </c>
      <c r="F1167" s="88">
        <v>6.0</v>
      </c>
      <c r="G1167" s="105"/>
      <c r="H1167" s="92" t="s">
        <v>3221</v>
      </c>
      <c r="I1167" s="28"/>
      <c r="J1167" s="28"/>
    </row>
    <row r="1168" ht="22.5" customHeight="1">
      <c r="A1168" s="76" t="s">
        <v>3222</v>
      </c>
      <c r="B1168" s="88" t="s">
        <v>3201</v>
      </c>
      <c r="C1168" s="106" t="s">
        <v>3216</v>
      </c>
      <c r="D1168" s="88" t="s">
        <v>3145</v>
      </c>
      <c r="E1168" s="88" t="s">
        <v>1457</v>
      </c>
      <c r="F1168" s="88">
        <v>6.0</v>
      </c>
      <c r="G1168" s="105"/>
      <c r="H1168" s="92" t="s">
        <v>3223</v>
      </c>
      <c r="I1168" s="28"/>
      <c r="J1168" s="28"/>
    </row>
    <row r="1169" ht="22.5" customHeight="1">
      <c r="A1169" s="76" t="s">
        <v>3224</v>
      </c>
      <c r="B1169" s="88" t="s">
        <v>3201</v>
      </c>
      <c r="C1169" s="106" t="s">
        <v>3225</v>
      </c>
      <c r="D1169" s="88" t="s">
        <v>3226</v>
      </c>
      <c r="E1169" s="88" t="s">
        <v>2634</v>
      </c>
      <c r="F1169" s="88">
        <v>6.0</v>
      </c>
      <c r="G1169" s="94"/>
      <c r="H1169" s="108" t="s">
        <v>3227</v>
      </c>
      <c r="I1169" s="28"/>
      <c r="J1169" s="28"/>
    </row>
    <row r="1170" ht="22.5" customHeight="1">
      <c r="A1170" s="76" t="s">
        <v>3228</v>
      </c>
      <c r="B1170" s="88" t="s">
        <v>3201</v>
      </c>
      <c r="C1170" s="106" t="s">
        <v>3225</v>
      </c>
      <c r="D1170" s="88" t="s">
        <v>3226</v>
      </c>
      <c r="E1170" s="88" t="s">
        <v>105</v>
      </c>
      <c r="F1170" s="88">
        <v>6.0</v>
      </c>
      <c r="G1170" s="109"/>
      <c r="H1170" s="107" t="s">
        <v>3227</v>
      </c>
      <c r="I1170" s="28"/>
      <c r="J1170" s="28"/>
    </row>
    <row r="1171" ht="22.5" customHeight="1">
      <c r="A1171" s="76" t="s">
        <v>3229</v>
      </c>
      <c r="B1171" s="88" t="s">
        <v>3201</v>
      </c>
      <c r="C1171" s="106" t="s">
        <v>3225</v>
      </c>
      <c r="D1171" s="88" t="s">
        <v>3226</v>
      </c>
      <c r="E1171" s="88" t="s">
        <v>103</v>
      </c>
      <c r="F1171" s="88">
        <v>6.0</v>
      </c>
      <c r="G1171" s="94"/>
      <c r="H1171" s="107" t="s">
        <v>3227</v>
      </c>
      <c r="I1171" s="28"/>
      <c r="J1171" s="28"/>
    </row>
    <row r="1172" ht="22.5" customHeight="1">
      <c r="A1172" s="76" t="s">
        <v>3230</v>
      </c>
      <c r="B1172" s="88" t="s">
        <v>3201</v>
      </c>
      <c r="C1172" s="106" t="s">
        <v>3225</v>
      </c>
      <c r="D1172" s="88" t="s">
        <v>3226</v>
      </c>
      <c r="E1172" s="88" t="s">
        <v>1457</v>
      </c>
      <c r="F1172" s="88">
        <v>6.0</v>
      </c>
      <c r="G1172" s="94"/>
      <c r="H1172" s="107" t="s">
        <v>3227</v>
      </c>
      <c r="I1172" s="28"/>
      <c r="J1172" s="28"/>
    </row>
    <row r="1173" ht="22.5" customHeight="1">
      <c r="A1173" s="76" t="s">
        <v>3231</v>
      </c>
      <c r="B1173" s="88" t="s">
        <v>3201</v>
      </c>
      <c r="C1173" s="106" t="s">
        <v>3232</v>
      </c>
      <c r="D1173" s="88" t="s">
        <v>3233</v>
      </c>
      <c r="E1173" s="88" t="s">
        <v>2634</v>
      </c>
      <c r="F1173" s="88">
        <v>6.0</v>
      </c>
      <c r="G1173" s="94"/>
      <c r="H1173" s="107" t="s">
        <v>3234</v>
      </c>
      <c r="I1173" s="28"/>
      <c r="J1173" s="28"/>
    </row>
    <row r="1174" ht="22.5" customHeight="1">
      <c r="A1174" s="76" t="s">
        <v>3235</v>
      </c>
      <c r="B1174" s="88" t="s">
        <v>3201</v>
      </c>
      <c r="C1174" s="106" t="s">
        <v>3232</v>
      </c>
      <c r="D1174" s="88" t="s">
        <v>3233</v>
      </c>
      <c r="E1174" s="88" t="s">
        <v>105</v>
      </c>
      <c r="F1174" s="88">
        <v>6.0</v>
      </c>
      <c r="G1174" s="94"/>
      <c r="H1174" s="107" t="s">
        <v>3234</v>
      </c>
      <c r="I1174" s="28"/>
      <c r="J1174" s="28"/>
    </row>
    <row r="1175" ht="22.5" customHeight="1">
      <c r="A1175" s="76" t="s">
        <v>3236</v>
      </c>
      <c r="B1175" s="88" t="s">
        <v>3201</v>
      </c>
      <c r="C1175" s="106" t="s">
        <v>3232</v>
      </c>
      <c r="D1175" s="88" t="s">
        <v>3233</v>
      </c>
      <c r="E1175" s="88" t="s">
        <v>103</v>
      </c>
      <c r="F1175" s="88">
        <v>6.0</v>
      </c>
      <c r="G1175" s="94"/>
      <c r="H1175" s="107" t="s">
        <v>3234</v>
      </c>
      <c r="I1175" s="28"/>
      <c r="J1175" s="28"/>
    </row>
    <row r="1176" ht="22.5" customHeight="1">
      <c r="A1176" s="76" t="s">
        <v>3237</v>
      </c>
      <c r="B1176" s="88" t="s">
        <v>3201</v>
      </c>
      <c r="C1176" s="106" t="s">
        <v>3232</v>
      </c>
      <c r="D1176" s="88" t="s">
        <v>3233</v>
      </c>
      <c r="E1176" s="88" t="s">
        <v>1457</v>
      </c>
      <c r="F1176" s="88">
        <v>6.0</v>
      </c>
      <c r="G1176" s="94"/>
      <c r="H1176" s="107" t="s">
        <v>3234</v>
      </c>
      <c r="I1176" s="28"/>
      <c r="J1176" s="28"/>
    </row>
    <row r="1177" ht="22.5" customHeight="1">
      <c r="A1177" s="76" t="s">
        <v>3238</v>
      </c>
      <c r="B1177" s="88" t="s">
        <v>3201</v>
      </c>
      <c r="C1177" s="106" t="s">
        <v>3239</v>
      </c>
      <c r="D1177" s="88" t="s">
        <v>3240</v>
      </c>
      <c r="E1177" s="88" t="s">
        <v>2634</v>
      </c>
      <c r="F1177" s="88">
        <v>6.0</v>
      </c>
      <c r="G1177" s="94"/>
      <c r="H1177" s="107" t="s">
        <v>3241</v>
      </c>
      <c r="I1177" s="28"/>
      <c r="J1177" s="28"/>
    </row>
    <row r="1178" ht="22.5" customHeight="1">
      <c r="A1178" s="76" t="s">
        <v>3242</v>
      </c>
      <c r="B1178" s="88" t="s">
        <v>3201</v>
      </c>
      <c r="C1178" s="106" t="s">
        <v>3239</v>
      </c>
      <c r="D1178" s="88" t="s">
        <v>3240</v>
      </c>
      <c r="E1178" s="88" t="s">
        <v>105</v>
      </c>
      <c r="F1178" s="88">
        <v>6.0</v>
      </c>
      <c r="G1178" s="94"/>
      <c r="H1178" s="107" t="s">
        <v>3241</v>
      </c>
      <c r="I1178" s="28"/>
      <c r="J1178" s="28"/>
    </row>
    <row r="1179" ht="22.5" customHeight="1">
      <c r="A1179" s="76" t="s">
        <v>3243</v>
      </c>
      <c r="B1179" s="88" t="s">
        <v>3201</v>
      </c>
      <c r="C1179" s="106" t="s">
        <v>3239</v>
      </c>
      <c r="D1179" s="88" t="s">
        <v>3240</v>
      </c>
      <c r="E1179" s="88" t="s">
        <v>103</v>
      </c>
      <c r="F1179" s="88">
        <v>6.0</v>
      </c>
      <c r="G1179" s="94"/>
      <c r="H1179" s="107" t="s">
        <v>3241</v>
      </c>
      <c r="I1179" s="28"/>
      <c r="J1179" s="28"/>
    </row>
    <row r="1180" ht="22.5" customHeight="1">
      <c r="A1180" s="76" t="s">
        <v>3244</v>
      </c>
      <c r="B1180" s="88" t="s">
        <v>3201</v>
      </c>
      <c r="C1180" s="106" t="s">
        <v>3239</v>
      </c>
      <c r="D1180" s="88" t="s">
        <v>3240</v>
      </c>
      <c r="E1180" s="88" t="s">
        <v>1457</v>
      </c>
      <c r="F1180" s="88">
        <v>6.0</v>
      </c>
      <c r="G1180" s="94"/>
      <c r="H1180" s="107" t="s">
        <v>3241</v>
      </c>
      <c r="I1180" s="28"/>
      <c r="J1180" s="28"/>
    </row>
    <row r="1181" ht="22.5" customHeight="1">
      <c r="A1181" s="76" t="s">
        <v>3245</v>
      </c>
      <c r="B1181" s="88" t="s">
        <v>3201</v>
      </c>
      <c r="C1181" s="106" t="s">
        <v>3246</v>
      </c>
      <c r="D1181" s="88" t="s">
        <v>3247</v>
      </c>
      <c r="E1181" s="88" t="s">
        <v>2634</v>
      </c>
      <c r="F1181" s="88">
        <v>6.0</v>
      </c>
      <c r="G1181" s="94"/>
      <c r="H1181" s="107" t="s">
        <v>3248</v>
      </c>
      <c r="I1181" s="28"/>
      <c r="J1181" s="28"/>
    </row>
    <row r="1182" ht="22.5" customHeight="1">
      <c r="A1182" s="76" t="s">
        <v>3249</v>
      </c>
      <c r="B1182" s="88" t="s">
        <v>3201</v>
      </c>
      <c r="C1182" s="106" t="s">
        <v>3246</v>
      </c>
      <c r="D1182" s="88" t="s">
        <v>3247</v>
      </c>
      <c r="E1182" s="88" t="s">
        <v>105</v>
      </c>
      <c r="F1182" s="88">
        <v>6.0</v>
      </c>
      <c r="G1182" s="94"/>
      <c r="H1182" s="107" t="s">
        <v>3248</v>
      </c>
      <c r="I1182" s="28"/>
      <c r="J1182" s="28"/>
    </row>
    <row r="1183" ht="22.5" customHeight="1">
      <c r="A1183" s="76" t="s">
        <v>3250</v>
      </c>
      <c r="B1183" s="88" t="s">
        <v>3201</v>
      </c>
      <c r="C1183" s="106" t="s">
        <v>3246</v>
      </c>
      <c r="D1183" s="88" t="s">
        <v>3247</v>
      </c>
      <c r="E1183" s="88" t="s">
        <v>103</v>
      </c>
      <c r="F1183" s="88">
        <v>6.0</v>
      </c>
      <c r="G1183" s="94"/>
      <c r="H1183" s="107" t="s">
        <v>3248</v>
      </c>
      <c r="I1183" s="28"/>
      <c r="J1183" s="28"/>
    </row>
    <row r="1184" ht="22.5" customHeight="1">
      <c r="A1184" s="76" t="s">
        <v>3251</v>
      </c>
      <c r="B1184" s="88" t="s">
        <v>3201</v>
      </c>
      <c r="C1184" s="106" t="s">
        <v>3246</v>
      </c>
      <c r="D1184" s="88" t="s">
        <v>3247</v>
      </c>
      <c r="E1184" s="88" t="s">
        <v>1457</v>
      </c>
      <c r="F1184" s="88">
        <v>6.0</v>
      </c>
      <c r="G1184" s="94"/>
      <c r="H1184" s="107" t="s">
        <v>3248</v>
      </c>
      <c r="I1184" s="28"/>
      <c r="J1184" s="28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H400"/>
    <hyperlink r:id="rId400" ref="H401"/>
    <hyperlink r:id="rId401" ref="H402"/>
    <hyperlink r:id="rId402" ref="H403"/>
    <hyperlink r:id="rId403" ref="H404"/>
    <hyperlink r:id="rId404" ref="H405"/>
    <hyperlink r:id="rId405" ref="H406"/>
    <hyperlink r:id="rId406" ref="H407"/>
    <hyperlink r:id="rId407" ref="H408"/>
    <hyperlink r:id="rId408" ref="H409"/>
    <hyperlink r:id="rId409" ref="H410"/>
    <hyperlink r:id="rId410" ref="H411"/>
    <hyperlink r:id="rId411" ref="H412"/>
    <hyperlink r:id="rId412" ref="H413"/>
    <hyperlink r:id="rId413" ref="H414"/>
    <hyperlink r:id="rId414" ref="H415"/>
    <hyperlink r:id="rId415" ref="H416"/>
    <hyperlink r:id="rId416" ref="H417"/>
    <hyperlink r:id="rId417" ref="H418"/>
    <hyperlink r:id="rId418" ref="H419"/>
    <hyperlink r:id="rId419" ref="H420"/>
    <hyperlink r:id="rId420" ref="H421"/>
    <hyperlink r:id="rId421" ref="H422"/>
    <hyperlink r:id="rId422" ref="H423"/>
    <hyperlink r:id="rId423" ref="H424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H441"/>
    <hyperlink r:id="rId441" ref="H442"/>
    <hyperlink r:id="rId442" ref="H443"/>
    <hyperlink r:id="rId443" ref="H444"/>
    <hyperlink r:id="rId444" ref="H445"/>
    <hyperlink r:id="rId445" ref="H446"/>
    <hyperlink r:id="rId446" ref="H447"/>
    <hyperlink r:id="rId447" ref="H448"/>
    <hyperlink r:id="rId448" ref="H449"/>
    <hyperlink r:id="rId449" ref="H450"/>
    <hyperlink r:id="rId450" ref="H451"/>
    <hyperlink r:id="rId451" ref="H452"/>
    <hyperlink r:id="rId452" ref="H453"/>
    <hyperlink r:id="rId453" ref="H454"/>
    <hyperlink r:id="rId454" ref="H455"/>
    <hyperlink r:id="rId455" ref="H456"/>
    <hyperlink r:id="rId456" ref="H457"/>
    <hyperlink r:id="rId457" ref="H458"/>
    <hyperlink r:id="rId458" ref="H459"/>
    <hyperlink r:id="rId459" ref="H460"/>
    <hyperlink r:id="rId460" ref="H461"/>
    <hyperlink r:id="rId461" ref="H462"/>
    <hyperlink r:id="rId462" ref="H463"/>
    <hyperlink r:id="rId463" ref="H464"/>
    <hyperlink r:id="rId464" ref="H465"/>
    <hyperlink r:id="rId465" ref="H466"/>
    <hyperlink r:id="rId466" ref="H467"/>
    <hyperlink r:id="rId467" ref="H468"/>
    <hyperlink r:id="rId468" ref="H469"/>
    <hyperlink r:id="rId469" ref="H470"/>
    <hyperlink r:id="rId470" ref="H471"/>
    <hyperlink r:id="rId471" ref="H472"/>
    <hyperlink r:id="rId472" ref="H473"/>
    <hyperlink r:id="rId473" ref="H474"/>
    <hyperlink r:id="rId474" ref="H475"/>
    <hyperlink r:id="rId475" ref="H476"/>
    <hyperlink r:id="rId476" ref="H477"/>
    <hyperlink r:id="rId477" ref="H478"/>
    <hyperlink r:id="rId478" ref="H479"/>
    <hyperlink r:id="rId479" ref="H480"/>
    <hyperlink r:id="rId480" ref="H481"/>
    <hyperlink r:id="rId481" ref="H482"/>
    <hyperlink r:id="rId482" ref="H483"/>
    <hyperlink r:id="rId483" ref="H484"/>
    <hyperlink r:id="rId484" ref="H485"/>
    <hyperlink r:id="rId485" ref="H486"/>
    <hyperlink r:id="rId486" ref="H487"/>
    <hyperlink r:id="rId487" ref="H488"/>
    <hyperlink r:id="rId488" ref="H489"/>
    <hyperlink r:id="rId489" ref="H490"/>
    <hyperlink r:id="rId490" ref="H491"/>
    <hyperlink r:id="rId491" ref="H492"/>
    <hyperlink r:id="rId492" ref="H493"/>
    <hyperlink r:id="rId493" ref="H494"/>
    <hyperlink r:id="rId494" ref="H495"/>
    <hyperlink r:id="rId495" ref="H496"/>
    <hyperlink r:id="rId496" ref="H497"/>
    <hyperlink r:id="rId497" ref="H498"/>
    <hyperlink r:id="rId498" ref="H499"/>
    <hyperlink r:id="rId499" ref="H500"/>
    <hyperlink r:id="rId500" ref="H501"/>
    <hyperlink r:id="rId501" ref="H502"/>
    <hyperlink r:id="rId502" ref="H503"/>
    <hyperlink r:id="rId503" ref="H504"/>
    <hyperlink r:id="rId504" ref="H505"/>
    <hyperlink r:id="rId505" ref="H506"/>
    <hyperlink r:id="rId506" ref="H507"/>
    <hyperlink r:id="rId507" ref="H508"/>
    <hyperlink r:id="rId508" ref="H509"/>
    <hyperlink r:id="rId509" ref="H510"/>
    <hyperlink r:id="rId510" ref="H511"/>
    <hyperlink r:id="rId511" ref="H512"/>
    <hyperlink r:id="rId512" ref="H513"/>
    <hyperlink r:id="rId513" ref="H514"/>
    <hyperlink r:id="rId514" ref="H515"/>
    <hyperlink r:id="rId515" ref="H516"/>
    <hyperlink r:id="rId516" ref="H517"/>
    <hyperlink r:id="rId517" ref="H518"/>
    <hyperlink r:id="rId518" ref="H519"/>
    <hyperlink r:id="rId519" ref="H520"/>
    <hyperlink r:id="rId520" ref="H521"/>
    <hyperlink r:id="rId521" ref="H522"/>
    <hyperlink r:id="rId522" ref="H523"/>
    <hyperlink r:id="rId523" ref="H524"/>
    <hyperlink r:id="rId524" ref="H525"/>
    <hyperlink r:id="rId525" ref="H526"/>
    <hyperlink r:id="rId526" ref="H527"/>
    <hyperlink r:id="rId527" ref="H528"/>
    <hyperlink r:id="rId528" ref="H529"/>
    <hyperlink r:id="rId529" ref="H530"/>
    <hyperlink r:id="rId530" ref="H531"/>
    <hyperlink r:id="rId531" ref="H532"/>
    <hyperlink r:id="rId532" ref="H533"/>
    <hyperlink r:id="rId533" ref="H534"/>
    <hyperlink r:id="rId534" ref="H535"/>
    <hyperlink r:id="rId535" ref="H536"/>
    <hyperlink r:id="rId536" ref="H537"/>
    <hyperlink r:id="rId537" ref="H538"/>
    <hyperlink r:id="rId538" ref="H539"/>
    <hyperlink r:id="rId539" ref="H540"/>
    <hyperlink r:id="rId540" ref="H541"/>
    <hyperlink r:id="rId541" ref="H542"/>
    <hyperlink r:id="rId542" ref="H543"/>
    <hyperlink r:id="rId543" ref="H544"/>
    <hyperlink r:id="rId544" ref="H545"/>
    <hyperlink r:id="rId545" ref="H546"/>
    <hyperlink r:id="rId546" ref="H547"/>
    <hyperlink r:id="rId547" ref="H548"/>
    <hyperlink r:id="rId548" ref="H549"/>
    <hyperlink r:id="rId549" ref="H550"/>
    <hyperlink r:id="rId550" ref="H551"/>
    <hyperlink r:id="rId551" ref="H552"/>
    <hyperlink r:id="rId552" ref="H553"/>
    <hyperlink r:id="rId553" ref="H554"/>
    <hyperlink r:id="rId554" ref="H555"/>
    <hyperlink r:id="rId555" ref="H556"/>
    <hyperlink r:id="rId556" ref="H557"/>
    <hyperlink r:id="rId557" ref="H558"/>
    <hyperlink r:id="rId558" ref="H559"/>
    <hyperlink r:id="rId559" ref="H560"/>
    <hyperlink r:id="rId560" ref="H561"/>
    <hyperlink r:id="rId561" ref="H562"/>
    <hyperlink r:id="rId562" ref="H563"/>
    <hyperlink r:id="rId563" ref="H564"/>
    <hyperlink r:id="rId564" ref="H565"/>
    <hyperlink r:id="rId565" ref="H566"/>
    <hyperlink r:id="rId566" ref="H567"/>
    <hyperlink r:id="rId567" ref="H568"/>
    <hyperlink r:id="rId568" ref="H569"/>
    <hyperlink r:id="rId569" ref="H570"/>
    <hyperlink r:id="rId570" ref="H571"/>
    <hyperlink r:id="rId571" ref="H572"/>
    <hyperlink r:id="rId572" ref="H573"/>
    <hyperlink r:id="rId573" ref="H574"/>
    <hyperlink r:id="rId574" ref="H575"/>
    <hyperlink r:id="rId575" ref="H576"/>
    <hyperlink r:id="rId576" ref="H577"/>
    <hyperlink r:id="rId577" ref="H578"/>
    <hyperlink r:id="rId578" ref="H579"/>
    <hyperlink r:id="rId579" ref="H580"/>
    <hyperlink r:id="rId580" ref="H581"/>
    <hyperlink r:id="rId581" ref="H582"/>
    <hyperlink r:id="rId582" ref="H583"/>
    <hyperlink r:id="rId583" ref="H584"/>
    <hyperlink r:id="rId584" ref="H585"/>
    <hyperlink r:id="rId585" ref="H586"/>
    <hyperlink r:id="rId586" ref="H587"/>
    <hyperlink r:id="rId587" ref="H588"/>
    <hyperlink r:id="rId588" ref="H589"/>
    <hyperlink r:id="rId589" ref="H590"/>
    <hyperlink r:id="rId590" ref="H591"/>
    <hyperlink r:id="rId591" ref="H592"/>
    <hyperlink r:id="rId592" ref="H593"/>
    <hyperlink r:id="rId593" ref="H594"/>
    <hyperlink r:id="rId594" ref="H595"/>
    <hyperlink r:id="rId595" ref="H596"/>
    <hyperlink r:id="rId596" ref="H597"/>
    <hyperlink r:id="rId597" ref="H598"/>
    <hyperlink r:id="rId598" ref="H599"/>
    <hyperlink r:id="rId599" ref="H600"/>
    <hyperlink r:id="rId600" ref="H601"/>
    <hyperlink r:id="rId601" ref="H602"/>
    <hyperlink r:id="rId602" ref="H603"/>
    <hyperlink r:id="rId603" ref="H604"/>
    <hyperlink r:id="rId604" ref="H605"/>
    <hyperlink r:id="rId605" ref="H606"/>
    <hyperlink r:id="rId606" ref="H607"/>
    <hyperlink r:id="rId607" ref="H608"/>
    <hyperlink r:id="rId608" ref="H609"/>
    <hyperlink r:id="rId609" ref="H610"/>
    <hyperlink r:id="rId610" ref="H611"/>
    <hyperlink r:id="rId611" ref="H612"/>
    <hyperlink r:id="rId612" ref="H613"/>
    <hyperlink r:id="rId613" ref="H614"/>
    <hyperlink r:id="rId614" ref="H615"/>
    <hyperlink r:id="rId615" ref="H616"/>
    <hyperlink r:id="rId616" ref="H617"/>
    <hyperlink r:id="rId617" ref="H618"/>
    <hyperlink r:id="rId618" ref="H619"/>
    <hyperlink r:id="rId619" ref="H620"/>
    <hyperlink r:id="rId620" ref="H621"/>
    <hyperlink r:id="rId621" ref="H622"/>
    <hyperlink r:id="rId622" ref="H623"/>
    <hyperlink r:id="rId623" ref="H624"/>
    <hyperlink r:id="rId624" ref="H625"/>
    <hyperlink r:id="rId625" ref="H626"/>
    <hyperlink r:id="rId626" ref="H627"/>
    <hyperlink r:id="rId627" ref="H628"/>
    <hyperlink r:id="rId628" ref="H629"/>
    <hyperlink r:id="rId629" ref="H630"/>
    <hyperlink r:id="rId630" ref="H631"/>
    <hyperlink r:id="rId631" ref="H632"/>
    <hyperlink r:id="rId632" ref="H633"/>
    <hyperlink r:id="rId633" ref="H634"/>
    <hyperlink r:id="rId634" ref="H635"/>
    <hyperlink r:id="rId635" ref="H636"/>
    <hyperlink r:id="rId636" ref="H637"/>
    <hyperlink r:id="rId637" ref="H638"/>
    <hyperlink r:id="rId638" ref="H639"/>
    <hyperlink r:id="rId639" ref="H640"/>
    <hyperlink r:id="rId640" ref="H641"/>
    <hyperlink r:id="rId641" ref="H642"/>
    <hyperlink r:id="rId642" ref="H643"/>
    <hyperlink r:id="rId643" ref="H644"/>
    <hyperlink r:id="rId644" ref="H645"/>
    <hyperlink r:id="rId645" ref="H646"/>
    <hyperlink r:id="rId646" ref="H647"/>
    <hyperlink r:id="rId647" ref="H648"/>
    <hyperlink r:id="rId648" ref="H649"/>
    <hyperlink r:id="rId649" ref="H650"/>
    <hyperlink r:id="rId650" ref="H651"/>
    <hyperlink r:id="rId651" ref="H652"/>
    <hyperlink r:id="rId652" ref="H653"/>
    <hyperlink r:id="rId653" ref="H654"/>
    <hyperlink r:id="rId654" ref="H655"/>
    <hyperlink r:id="rId655" ref="H656"/>
    <hyperlink r:id="rId656" ref="H657"/>
    <hyperlink r:id="rId657" ref="H658"/>
    <hyperlink r:id="rId658" ref="H659"/>
    <hyperlink r:id="rId659" ref="H660"/>
    <hyperlink r:id="rId660" ref="H661"/>
    <hyperlink r:id="rId661" ref="H662"/>
    <hyperlink r:id="rId662" ref="H663"/>
    <hyperlink r:id="rId663" ref="H664"/>
    <hyperlink r:id="rId664" ref="H665"/>
    <hyperlink r:id="rId665" ref="H666"/>
    <hyperlink r:id="rId666" ref="H667"/>
    <hyperlink r:id="rId667" ref="H668"/>
    <hyperlink r:id="rId668" ref="H669"/>
    <hyperlink r:id="rId669" ref="H670"/>
    <hyperlink r:id="rId670" ref="H671"/>
    <hyperlink r:id="rId671" ref="H672"/>
    <hyperlink r:id="rId672" ref="H673"/>
    <hyperlink r:id="rId673" ref="H674"/>
    <hyperlink r:id="rId674" ref="H675"/>
    <hyperlink r:id="rId675" ref="H676"/>
    <hyperlink r:id="rId676" ref="H677"/>
    <hyperlink r:id="rId677" ref="H678"/>
    <hyperlink r:id="rId678" ref="H679"/>
    <hyperlink r:id="rId679" ref="H680"/>
    <hyperlink r:id="rId680" ref="H681"/>
    <hyperlink r:id="rId681" ref="H682"/>
    <hyperlink r:id="rId682" ref="H683"/>
    <hyperlink r:id="rId683" ref="H684"/>
    <hyperlink r:id="rId684" ref="H685"/>
    <hyperlink r:id="rId685" ref="H686"/>
    <hyperlink r:id="rId686" ref="H687"/>
    <hyperlink r:id="rId687" ref="H688"/>
    <hyperlink r:id="rId688" ref="H689"/>
    <hyperlink r:id="rId689" ref="H690"/>
    <hyperlink r:id="rId690" ref="H691"/>
    <hyperlink r:id="rId691" ref="H692"/>
    <hyperlink r:id="rId692" ref="H693"/>
    <hyperlink r:id="rId693" ref="H694"/>
    <hyperlink r:id="rId694" ref="H695"/>
    <hyperlink r:id="rId695" ref="H696"/>
    <hyperlink r:id="rId696" ref="H697"/>
    <hyperlink r:id="rId697" ref="H698"/>
    <hyperlink r:id="rId698" ref="H699"/>
    <hyperlink r:id="rId699" ref="H700"/>
    <hyperlink r:id="rId700" ref="H701"/>
    <hyperlink r:id="rId701" ref="H702"/>
    <hyperlink r:id="rId702" ref="H703"/>
    <hyperlink r:id="rId703" ref="H704"/>
    <hyperlink r:id="rId704" ref="H705"/>
    <hyperlink r:id="rId705" ref="H706"/>
    <hyperlink r:id="rId706" ref="H707"/>
    <hyperlink r:id="rId707" ref="H708"/>
    <hyperlink r:id="rId708" ref="H709"/>
    <hyperlink r:id="rId709" ref="H710"/>
    <hyperlink r:id="rId710" ref="H711"/>
    <hyperlink r:id="rId711" ref="H712"/>
    <hyperlink r:id="rId712" ref="H713"/>
    <hyperlink r:id="rId713" ref="H714"/>
    <hyperlink r:id="rId714" ref="H715"/>
    <hyperlink r:id="rId715" ref="H716"/>
    <hyperlink r:id="rId716" ref="H717"/>
    <hyperlink r:id="rId717" ref="H718"/>
    <hyperlink r:id="rId718" ref="H719"/>
    <hyperlink r:id="rId719" ref="H720"/>
    <hyperlink r:id="rId720" ref="H721"/>
    <hyperlink r:id="rId721" ref="H722"/>
    <hyperlink r:id="rId722" ref="H723"/>
    <hyperlink r:id="rId723" ref="H724"/>
    <hyperlink r:id="rId724" ref="H725"/>
    <hyperlink r:id="rId725" ref="H726"/>
    <hyperlink r:id="rId726" ref="H727"/>
    <hyperlink r:id="rId727" ref="H728"/>
    <hyperlink r:id="rId728" ref="H729"/>
    <hyperlink r:id="rId729" ref="H730"/>
    <hyperlink r:id="rId730" ref="H731"/>
    <hyperlink r:id="rId731" ref="H732"/>
    <hyperlink r:id="rId732" ref="H733"/>
    <hyperlink r:id="rId733" ref="H734"/>
    <hyperlink r:id="rId734" ref="H735"/>
    <hyperlink r:id="rId735" ref="H736"/>
    <hyperlink r:id="rId736" ref="H737"/>
    <hyperlink r:id="rId737" ref="H738"/>
    <hyperlink r:id="rId738" ref="H739"/>
    <hyperlink r:id="rId739" ref="H740"/>
    <hyperlink r:id="rId740" ref="H741"/>
    <hyperlink r:id="rId741" ref="H742"/>
    <hyperlink r:id="rId742" ref="H743"/>
    <hyperlink r:id="rId743" ref="H744"/>
    <hyperlink r:id="rId744" ref="H745"/>
    <hyperlink r:id="rId745" ref="H746"/>
    <hyperlink r:id="rId746" ref="H747"/>
    <hyperlink r:id="rId747" ref="H748"/>
    <hyperlink r:id="rId748" ref="H749"/>
    <hyperlink r:id="rId749" ref="H750"/>
    <hyperlink r:id="rId750" ref="H751"/>
    <hyperlink r:id="rId751" ref="H752"/>
    <hyperlink r:id="rId752" ref="H753"/>
    <hyperlink r:id="rId753" ref="H754"/>
    <hyperlink r:id="rId754" ref="H755"/>
    <hyperlink r:id="rId755" ref="H756"/>
    <hyperlink r:id="rId756" ref="H757"/>
    <hyperlink r:id="rId757" ref="H758"/>
    <hyperlink r:id="rId758" ref="H759"/>
    <hyperlink r:id="rId759" ref="H760"/>
    <hyperlink r:id="rId760" ref="H761"/>
    <hyperlink r:id="rId761" ref="H762"/>
    <hyperlink r:id="rId762" ref="H763"/>
    <hyperlink r:id="rId763" ref="H764"/>
    <hyperlink r:id="rId764" ref="H765"/>
    <hyperlink r:id="rId765" ref="H766"/>
    <hyperlink r:id="rId766" ref="H767"/>
    <hyperlink r:id="rId767" ref="H768"/>
    <hyperlink r:id="rId768" ref="H769"/>
    <hyperlink r:id="rId769" ref="H770"/>
    <hyperlink r:id="rId770" ref="H771"/>
    <hyperlink r:id="rId771" ref="H772"/>
    <hyperlink r:id="rId772" ref="H773"/>
    <hyperlink r:id="rId773" ref="H774"/>
    <hyperlink r:id="rId774" ref="H775"/>
    <hyperlink r:id="rId775" ref="H776"/>
    <hyperlink r:id="rId776" ref="H777"/>
    <hyperlink r:id="rId777" ref="H778"/>
    <hyperlink r:id="rId778" ref="H779"/>
    <hyperlink r:id="rId779" ref="H780"/>
    <hyperlink r:id="rId780" ref="H781"/>
    <hyperlink r:id="rId781" ref="H782"/>
    <hyperlink r:id="rId782" ref="H783"/>
    <hyperlink r:id="rId783" ref="H784"/>
    <hyperlink r:id="rId784" ref="H785"/>
    <hyperlink r:id="rId785" ref="H786"/>
    <hyperlink r:id="rId786" ref="H787"/>
    <hyperlink r:id="rId787" ref="H788"/>
    <hyperlink r:id="rId788" ref="H789"/>
    <hyperlink r:id="rId789" ref="H790"/>
    <hyperlink r:id="rId790" ref="H791"/>
    <hyperlink r:id="rId791" ref="H792"/>
    <hyperlink r:id="rId792" ref="H793"/>
    <hyperlink r:id="rId793" ref="H794"/>
    <hyperlink r:id="rId794" ref="H795"/>
    <hyperlink r:id="rId795" ref="H796"/>
    <hyperlink r:id="rId796" ref="H797"/>
    <hyperlink r:id="rId797" ref="H798"/>
    <hyperlink r:id="rId798" ref="H799"/>
    <hyperlink r:id="rId799" ref="H800"/>
    <hyperlink r:id="rId800" ref="H801"/>
    <hyperlink r:id="rId801" ref="H802"/>
    <hyperlink r:id="rId802" ref="H803"/>
    <hyperlink r:id="rId803" ref="H804"/>
    <hyperlink r:id="rId804" ref="H805"/>
    <hyperlink r:id="rId805" ref="H806"/>
    <hyperlink r:id="rId806" ref="H807"/>
    <hyperlink r:id="rId807" ref="H808"/>
    <hyperlink r:id="rId808" ref="H809"/>
    <hyperlink r:id="rId809" ref="H810"/>
    <hyperlink r:id="rId810" ref="H811"/>
    <hyperlink r:id="rId811" ref="H812"/>
    <hyperlink r:id="rId812" ref="H813"/>
    <hyperlink r:id="rId813" ref="H814"/>
    <hyperlink r:id="rId814" ref="H815"/>
    <hyperlink r:id="rId815" ref="H816"/>
    <hyperlink r:id="rId816" ref="H817"/>
    <hyperlink r:id="rId817" ref="H818"/>
    <hyperlink r:id="rId818" ref="H819"/>
    <hyperlink r:id="rId819" ref="H820"/>
    <hyperlink r:id="rId820" ref="H821"/>
    <hyperlink r:id="rId821" ref="H822"/>
    <hyperlink r:id="rId822" ref="H823"/>
    <hyperlink r:id="rId823" ref="H824"/>
    <hyperlink r:id="rId824" ref="H825"/>
    <hyperlink r:id="rId825" ref="H826"/>
    <hyperlink r:id="rId826" ref="H827"/>
    <hyperlink r:id="rId827" ref="H828"/>
    <hyperlink r:id="rId828" ref="H829"/>
    <hyperlink r:id="rId829" ref="H830"/>
    <hyperlink r:id="rId830" ref="H831"/>
    <hyperlink r:id="rId831" ref="H832"/>
    <hyperlink r:id="rId832" ref="H833"/>
    <hyperlink r:id="rId833" ref="H834"/>
    <hyperlink r:id="rId834" ref="H835"/>
    <hyperlink r:id="rId835" ref="H836"/>
    <hyperlink r:id="rId836" ref="H837"/>
    <hyperlink r:id="rId837" ref="H838"/>
    <hyperlink r:id="rId838" ref="H839"/>
    <hyperlink r:id="rId839" ref="H840"/>
    <hyperlink r:id="rId840" ref="H841"/>
    <hyperlink r:id="rId841" ref="H842"/>
    <hyperlink r:id="rId842" ref="H843"/>
    <hyperlink r:id="rId843" ref="H844"/>
    <hyperlink r:id="rId844" ref="H845"/>
    <hyperlink r:id="rId845" ref="H846"/>
    <hyperlink r:id="rId846" ref="H847"/>
    <hyperlink r:id="rId847" ref="H848"/>
    <hyperlink r:id="rId848" ref="H849"/>
    <hyperlink r:id="rId849" ref="H850"/>
    <hyperlink r:id="rId850" ref="H851"/>
    <hyperlink r:id="rId851" ref="H852"/>
    <hyperlink r:id="rId852" ref="H853"/>
    <hyperlink r:id="rId853" ref="H854"/>
    <hyperlink r:id="rId854" ref="H855"/>
    <hyperlink r:id="rId855" ref="H856"/>
    <hyperlink r:id="rId856" ref="H857"/>
    <hyperlink r:id="rId857" ref="H858"/>
    <hyperlink r:id="rId858" ref="H859"/>
    <hyperlink r:id="rId859" ref="H860"/>
    <hyperlink r:id="rId860" ref="H861"/>
    <hyperlink r:id="rId861" ref="H862"/>
    <hyperlink r:id="rId862" ref="H863"/>
    <hyperlink r:id="rId863" ref="H864"/>
    <hyperlink r:id="rId864" ref="H865"/>
    <hyperlink r:id="rId865" ref="H866"/>
    <hyperlink r:id="rId866" ref="H867"/>
    <hyperlink r:id="rId867" ref="H868"/>
    <hyperlink r:id="rId868" ref="H869"/>
    <hyperlink r:id="rId869" ref="H870"/>
    <hyperlink r:id="rId870" ref="H871"/>
    <hyperlink r:id="rId871" ref="H872"/>
    <hyperlink r:id="rId872" ref="H873"/>
    <hyperlink r:id="rId873" ref="H874"/>
    <hyperlink r:id="rId874" ref="H875"/>
    <hyperlink r:id="rId875" ref="H876"/>
    <hyperlink r:id="rId876" ref="H877"/>
    <hyperlink r:id="rId877" ref="H878"/>
    <hyperlink r:id="rId878" ref="H879"/>
    <hyperlink r:id="rId879" ref="H880"/>
    <hyperlink r:id="rId880" ref="H881"/>
    <hyperlink r:id="rId881" ref="H882"/>
    <hyperlink r:id="rId882" ref="H883"/>
    <hyperlink r:id="rId883" ref="H884"/>
    <hyperlink r:id="rId884" ref="H885"/>
    <hyperlink r:id="rId885" ref="H886"/>
    <hyperlink r:id="rId886" ref="H887"/>
    <hyperlink r:id="rId887" ref="H888"/>
    <hyperlink r:id="rId888" ref="H889"/>
    <hyperlink r:id="rId889" ref="H890"/>
    <hyperlink r:id="rId890" ref="H891"/>
    <hyperlink r:id="rId891" ref="H892"/>
    <hyperlink r:id="rId892" ref="H893"/>
    <hyperlink r:id="rId893" ref="H894"/>
    <hyperlink r:id="rId894" ref="H895"/>
    <hyperlink r:id="rId895" ref="H896"/>
    <hyperlink r:id="rId896" ref="H897"/>
    <hyperlink r:id="rId897" ref="H898"/>
    <hyperlink r:id="rId898" ref="H899"/>
    <hyperlink r:id="rId899" ref="H900"/>
    <hyperlink r:id="rId900" ref="H901"/>
    <hyperlink r:id="rId901" ref="H902"/>
    <hyperlink r:id="rId902" ref="H903"/>
    <hyperlink r:id="rId903" ref="H904"/>
    <hyperlink r:id="rId904" ref="H905"/>
    <hyperlink r:id="rId905" ref="H906"/>
    <hyperlink r:id="rId906" ref="H907"/>
    <hyperlink r:id="rId907" ref="H908"/>
    <hyperlink r:id="rId908" ref="H909"/>
    <hyperlink r:id="rId909" ref="H910"/>
    <hyperlink r:id="rId910" ref="H911"/>
    <hyperlink r:id="rId911" ref="H912"/>
    <hyperlink r:id="rId912" ref="H913"/>
    <hyperlink r:id="rId913" ref="H914"/>
    <hyperlink r:id="rId914" ref="H915"/>
    <hyperlink r:id="rId915" ref="H916"/>
    <hyperlink r:id="rId916" ref="H917"/>
    <hyperlink r:id="rId917" ref="H918"/>
    <hyperlink r:id="rId918" ref="H919"/>
    <hyperlink r:id="rId919" ref="H920"/>
    <hyperlink r:id="rId920" ref="H921"/>
    <hyperlink r:id="rId921" ref="H922"/>
    <hyperlink r:id="rId922" ref="H923"/>
    <hyperlink r:id="rId923" ref="H924"/>
    <hyperlink r:id="rId924" ref="H925"/>
    <hyperlink r:id="rId925" ref="H926"/>
    <hyperlink r:id="rId926" ref="H927"/>
    <hyperlink r:id="rId927" ref="H928"/>
    <hyperlink r:id="rId928" ref="H929"/>
    <hyperlink r:id="rId929" ref="H930"/>
    <hyperlink r:id="rId930" ref="H931"/>
    <hyperlink r:id="rId931" ref="H932"/>
    <hyperlink r:id="rId932" ref="H933"/>
    <hyperlink r:id="rId933" ref="H934"/>
    <hyperlink r:id="rId934" ref="H935"/>
    <hyperlink r:id="rId935" ref="H936"/>
    <hyperlink r:id="rId936" ref="H937"/>
    <hyperlink r:id="rId937" ref="H938"/>
    <hyperlink r:id="rId938" ref="H939"/>
    <hyperlink r:id="rId939" ref="H940"/>
    <hyperlink r:id="rId940" ref="H941"/>
    <hyperlink r:id="rId941" ref="H942"/>
    <hyperlink r:id="rId942" ref="H943"/>
    <hyperlink r:id="rId943" ref="H944"/>
    <hyperlink r:id="rId944" ref="H945"/>
    <hyperlink r:id="rId945" ref="H946"/>
    <hyperlink r:id="rId946" ref="H947"/>
    <hyperlink r:id="rId947" ref="H948"/>
    <hyperlink r:id="rId948" ref="H949"/>
    <hyperlink r:id="rId949" ref="H950"/>
    <hyperlink r:id="rId950" ref="H951"/>
    <hyperlink r:id="rId951" ref="H952"/>
    <hyperlink r:id="rId952" ref="H953"/>
    <hyperlink r:id="rId953" ref="H954"/>
    <hyperlink r:id="rId954" ref="H955"/>
    <hyperlink r:id="rId955" ref="H956"/>
    <hyperlink r:id="rId956" ref="H957"/>
    <hyperlink r:id="rId957" ref="H958"/>
    <hyperlink r:id="rId958" ref="H959"/>
    <hyperlink r:id="rId959" ref="H960"/>
    <hyperlink r:id="rId960" ref="H961"/>
    <hyperlink r:id="rId961" ref="H962"/>
    <hyperlink r:id="rId962" ref="H963"/>
    <hyperlink r:id="rId963" ref="H964"/>
    <hyperlink r:id="rId964" ref="H965"/>
    <hyperlink r:id="rId965" ref="H966"/>
    <hyperlink r:id="rId966" ref="H967"/>
    <hyperlink r:id="rId967" ref="H968"/>
    <hyperlink r:id="rId968" ref="H969"/>
    <hyperlink r:id="rId969" ref="H970"/>
    <hyperlink r:id="rId970" ref="H971"/>
    <hyperlink r:id="rId971" ref="H972"/>
    <hyperlink r:id="rId972" ref="H973"/>
    <hyperlink r:id="rId973" ref="H974"/>
    <hyperlink r:id="rId974" ref="H975"/>
    <hyperlink r:id="rId975" ref="H976"/>
    <hyperlink r:id="rId976" ref="H977"/>
    <hyperlink r:id="rId977" ref="H978"/>
    <hyperlink r:id="rId978" ref="H979"/>
    <hyperlink r:id="rId979" ref="H980"/>
    <hyperlink r:id="rId980" ref="H981"/>
    <hyperlink r:id="rId981" ref="H982"/>
    <hyperlink r:id="rId982" ref="H983"/>
    <hyperlink r:id="rId983" ref="H984"/>
    <hyperlink r:id="rId984" ref="H985"/>
    <hyperlink r:id="rId985" ref="H986"/>
    <hyperlink r:id="rId986" ref="H987"/>
    <hyperlink r:id="rId987" ref="H988"/>
    <hyperlink r:id="rId988" ref="H989"/>
    <hyperlink r:id="rId989" ref="H990"/>
    <hyperlink r:id="rId990" ref="H991"/>
    <hyperlink r:id="rId991" ref="H992"/>
    <hyperlink r:id="rId992" ref="H993"/>
    <hyperlink r:id="rId993" ref="H994"/>
    <hyperlink r:id="rId994" ref="H995"/>
    <hyperlink r:id="rId995" ref="H996"/>
    <hyperlink r:id="rId996" ref="H997"/>
    <hyperlink r:id="rId997" ref="H998"/>
    <hyperlink r:id="rId998" ref="H999"/>
    <hyperlink r:id="rId999" ref="H1000"/>
    <hyperlink r:id="rId1000" ref="H1001"/>
    <hyperlink r:id="rId1001" ref="H1002"/>
    <hyperlink r:id="rId1002" ref="H1003"/>
    <hyperlink r:id="rId1003" ref="H1004"/>
    <hyperlink r:id="rId1004" ref="H1005"/>
    <hyperlink r:id="rId1005" ref="H1006"/>
    <hyperlink r:id="rId1006" ref="H1007"/>
    <hyperlink r:id="rId1007" ref="H1008"/>
    <hyperlink r:id="rId1008" ref="H1009"/>
    <hyperlink r:id="rId1009" ref="H1010"/>
    <hyperlink r:id="rId1010" ref="H1011"/>
    <hyperlink r:id="rId1011" ref="H1012"/>
    <hyperlink r:id="rId1012" ref="H1013"/>
    <hyperlink r:id="rId1013" ref="H1014"/>
    <hyperlink r:id="rId1014" ref="H1015"/>
    <hyperlink r:id="rId1015" ref="H1016"/>
    <hyperlink r:id="rId1016" ref="H1017"/>
    <hyperlink r:id="rId1017" ref="H1018"/>
    <hyperlink r:id="rId1018" ref="H1019"/>
    <hyperlink r:id="rId1019" ref="H1020"/>
    <hyperlink r:id="rId1020" ref="H1021"/>
    <hyperlink r:id="rId1021" ref="H1022"/>
    <hyperlink r:id="rId1022" ref="H1023"/>
    <hyperlink r:id="rId1023" ref="H1042"/>
    <hyperlink r:id="rId1024" ref="H1043"/>
    <hyperlink r:id="rId1025" ref="H1044"/>
    <hyperlink r:id="rId1026" ref="H1045"/>
    <hyperlink r:id="rId1027" ref="H1046"/>
    <hyperlink r:id="rId1028" ref="H1047"/>
    <hyperlink r:id="rId1029" ref="H1048"/>
    <hyperlink r:id="rId1030" ref="H1049"/>
    <hyperlink r:id="rId1031" ref="H1050"/>
    <hyperlink r:id="rId1032" ref="H1051"/>
    <hyperlink r:id="rId1033" ref="H1052"/>
    <hyperlink r:id="rId1034" ref="H1053"/>
    <hyperlink r:id="rId1035" ref="H1054"/>
    <hyperlink r:id="rId1036" ref="H1055"/>
    <hyperlink r:id="rId1037" ref="H1056"/>
    <hyperlink r:id="rId1038" ref="H1057"/>
    <hyperlink r:id="rId1039" ref="H1058"/>
    <hyperlink r:id="rId1040" ref="H1059"/>
    <hyperlink r:id="rId1041" ref="H1060"/>
    <hyperlink r:id="rId1042" ref="H1061"/>
    <hyperlink r:id="rId1043" ref="H1062"/>
    <hyperlink r:id="rId1044" ref="H1063"/>
    <hyperlink r:id="rId1045" ref="H1064"/>
    <hyperlink r:id="rId1046" ref="H1065"/>
    <hyperlink r:id="rId1047" ref="H1066"/>
    <hyperlink r:id="rId1048" ref="H1067"/>
    <hyperlink r:id="rId1049" ref="H1068"/>
    <hyperlink r:id="rId1050" ref="H1069"/>
    <hyperlink r:id="rId1051" ref="H1070"/>
    <hyperlink r:id="rId1052" ref="H1071"/>
    <hyperlink r:id="rId1053" ref="H1072"/>
    <hyperlink r:id="rId1054" ref="H1073"/>
    <hyperlink r:id="rId1055" ref="H1074"/>
    <hyperlink r:id="rId1056" ref="H1075"/>
    <hyperlink r:id="rId1057" ref="H1076"/>
    <hyperlink r:id="rId1058" ref="H1077"/>
    <hyperlink r:id="rId1059" ref="H1078"/>
    <hyperlink r:id="rId1060" ref="H1079"/>
    <hyperlink r:id="rId1061" ref="H1080"/>
    <hyperlink r:id="rId1062" ref="H1081"/>
    <hyperlink r:id="rId1063" ref="H1082"/>
    <hyperlink r:id="rId1064" ref="H1083"/>
    <hyperlink r:id="rId1065" ref="H1084"/>
    <hyperlink r:id="rId1066" ref="H1085"/>
    <hyperlink r:id="rId1067" ref="H1086"/>
    <hyperlink r:id="rId1068" ref="H1087"/>
    <hyperlink r:id="rId1069" ref="H1088"/>
    <hyperlink r:id="rId1070" ref="H1089"/>
    <hyperlink r:id="rId1071" ref="H1090"/>
    <hyperlink r:id="rId1072" ref="H1091"/>
    <hyperlink r:id="rId1073" ref="H1092"/>
    <hyperlink r:id="rId1074" ref="H1093"/>
    <hyperlink r:id="rId1075" ref="H1094"/>
    <hyperlink r:id="rId1076" ref="H1095"/>
    <hyperlink r:id="rId1077" ref="H1096"/>
    <hyperlink r:id="rId1078" ref="H1097"/>
    <hyperlink r:id="rId1079" ref="H1098"/>
    <hyperlink r:id="rId1080" ref="H1099"/>
    <hyperlink r:id="rId1081" ref="H1100"/>
    <hyperlink r:id="rId1082" ref="H1101"/>
    <hyperlink r:id="rId1083" ref="H1102"/>
    <hyperlink r:id="rId1084" ref="H1103"/>
    <hyperlink r:id="rId1085" ref="H1104"/>
    <hyperlink r:id="rId1086" ref="H1105"/>
    <hyperlink r:id="rId1087" ref="H1106"/>
    <hyperlink r:id="rId1088" ref="H1107"/>
    <hyperlink r:id="rId1089" ref="H1108"/>
    <hyperlink r:id="rId1090" ref="H1109"/>
    <hyperlink r:id="rId1091" ref="H1110"/>
    <hyperlink r:id="rId1092" ref="H1111"/>
    <hyperlink r:id="rId1093" ref="H1112"/>
    <hyperlink r:id="rId1094" ref="H1113"/>
    <hyperlink r:id="rId1095" ref="H1114"/>
    <hyperlink r:id="rId1096" ref="H1115"/>
    <hyperlink r:id="rId1097" ref="H1116"/>
    <hyperlink r:id="rId1098" ref="H1117"/>
    <hyperlink r:id="rId1099" ref="H1118"/>
    <hyperlink r:id="rId1100" ref="H1119"/>
    <hyperlink r:id="rId1101" ref="H1120"/>
    <hyperlink r:id="rId1102" ref="H1121"/>
    <hyperlink r:id="rId1103" ref="H1122"/>
    <hyperlink r:id="rId1104" ref="H1123"/>
    <hyperlink r:id="rId1105" ref="H1124"/>
    <hyperlink r:id="rId1106" ref="H1125"/>
    <hyperlink r:id="rId1107" ref="H1126"/>
    <hyperlink r:id="rId1108" ref="H1127"/>
    <hyperlink r:id="rId1109" ref="H1128"/>
    <hyperlink r:id="rId1110" ref="H1129"/>
    <hyperlink r:id="rId1111" ref="H1130"/>
    <hyperlink r:id="rId1112" ref="H1131"/>
    <hyperlink r:id="rId1113" ref="H1132"/>
    <hyperlink r:id="rId1114" ref="H1133"/>
    <hyperlink r:id="rId1115" ref="H1134"/>
    <hyperlink r:id="rId1116" ref="H1135"/>
    <hyperlink r:id="rId1117" ref="H1136"/>
    <hyperlink r:id="rId1118" ref="H1137"/>
    <hyperlink r:id="rId1119" ref="H1138"/>
    <hyperlink r:id="rId1120" ref="H1139"/>
    <hyperlink r:id="rId1121" ref="H1140"/>
    <hyperlink r:id="rId1122" ref="H1141"/>
    <hyperlink r:id="rId1123" ref="H1142"/>
    <hyperlink r:id="rId1124" ref="H1143"/>
    <hyperlink r:id="rId1125" ref="H1144"/>
    <hyperlink r:id="rId1126" ref="H1145"/>
    <hyperlink r:id="rId1127" ref="H1146"/>
    <hyperlink r:id="rId1128" ref="H1147"/>
    <hyperlink r:id="rId1129" ref="H1148"/>
    <hyperlink r:id="rId1130" ref="H1149"/>
    <hyperlink r:id="rId1131" ref="H1150"/>
    <hyperlink r:id="rId1132" ref="H1151"/>
    <hyperlink r:id="rId1133" ref="H1152"/>
    <hyperlink r:id="rId1134" ref="H1153"/>
    <hyperlink r:id="rId1135" ref="H1154"/>
    <hyperlink r:id="rId1136" ref="H1155"/>
    <hyperlink r:id="rId1137" ref="H1156"/>
    <hyperlink r:id="rId1138" ref="H1157"/>
    <hyperlink r:id="rId1139" ref="H1158"/>
    <hyperlink r:id="rId1140" ref="H1159"/>
    <hyperlink r:id="rId1141" ref="H1160"/>
    <hyperlink r:id="rId1142" ref="H1161"/>
    <hyperlink r:id="rId1143" ref="H1162"/>
    <hyperlink r:id="rId1144" ref="H1163"/>
    <hyperlink r:id="rId1145" ref="H1164"/>
    <hyperlink r:id="rId1146" ref="H1165"/>
    <hyperlink r:id="rId1147" ref="H1166"/>
    <hyperlink r:id="rId1148" ref="H1167"/>
    <hyperlink r:id="rId1149" ref="H1168"/>
    <hyperlink r:id="rId1150" ref="H1169"/>
    <hyperlink r:id="rId1151" ref="H1170"/>
    <hyperlink r:id="rId1152" ref="H1171"/>
    <hyperlink r:id="rId1153" ref="H1172"/>
    <hyperlink r:id="rId1154" ref="H1173"/>
    <hyperlink r:id="rId1155" ref="H1174"/>
    <hyperlink r:id="rId1156" ref="H1175"/>
    <hyperlink r:id="rId1157" ref="H1176"/>
    <hyperlink r:id="rId1158" ref="H1177"/>
    <hyperlink r:id="rId1159" ref="H1178"/>
    <hyperlink r:id="rId1160" ref="H1179"/>
    <hyperlink r:id="rId1161" ref="H1180"/>
    <hyperlink r:id="rId1162" ref="H1181"/>
    <hyperlink r:id="rId1163" ref="H1182"/>
    <hyperlink r:id="rId1164" ref="H1183"/>
    <hyperlink r:id="rId1165" ref="H118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66"/>
  <tableParts count="1">
    <tablePart r:id="rId116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5"/>
    <col customWidth="1" min="2" max="2" width="17.13"/>
    <col customWidth="1" min="3" max="3" width="12.75"/>
    <col customWidth="1" min="4" max="4" width="18.5"/>
    <col customWidth="1" min="5" max="8" width="18.13"/>
    <col customWidth="1" min="9" max="9" width="14.0"/>
    <col customWidth="1" min="10" max="10" width="13.63"/>
  </cols>
  <sheetData>
    <row r="1" ht="22.5" customHeight="1">
      <c r="A1" s="18" t="s">
        <v>275</v>
      </c>
      <c r="B1" s="42" t="s">
        <v>1448</v>
      </c>
      <c r="C1" s="42" t="s">
        <v>1449</v>
      </c>
      <c r="D1" s="19" t="s">
        <v>6</v>
      </c>
      <c r="E1" s="42" t="s">
        <v>92</v>
      </c>
      <c r="F1" s="19" t="s">
        <v>276</v>
      </c>
      <c r="G1" s="42" t="s">
        <v>93</v>
      </c>
      <c r="H1" s="19" t="s">
        <v>94</v>
      </c>
      <c r="I1" s="19" t="s">
        <v>95</v>
      </c>
      <c r="J1" s="19" t="s">
        <v>96</v>
      </c>
    </row>
    <row r="2" ht="22.5" customHeight="1">
      <c r="A2" s="20" t="str">
        <f t="array" ref="A2:A1063">BYROW(ตาราง1_7[[รหัส]:[สี]], LAMBDA(row, TEXTJOIN("-", TRUE, row)))</f>
        <v>ตัวตบหลังเต่า-มิว</v>
      </c>
      <c r="B2" s="19"/>
      <c r="C2" s="19"/>
      <c r="D2" s="19" t="s">
        <v>3252</v>
      </c>
      <c r="E2" s="88" t="s">
        <v>2634</v>
      </c>
      <c r="F2" s="88">
        <v>6.0</v>
      </c>
      <c r="G2" s="82"/>
      <c r="H2" s="83" t="s">
        <v>3253</v>
      </c>
      <c r="I2" s="21"/>
      <c r="J2" s="21"/>
    </row>
    <row r="3" ht="22.5" customHeight="1">
      <c r="A3" s="20" t="s">
        <v>3254</v>
      </c>
      <c r="B3" s="19"/>
      <c r="C3" s="19"/>
      <c r="D3" s="19" t="s">
        <v>3252</v>
      </c>
      <c r="E3" s="88" t="s">
        <v>105</v>
      </c>
      <c r="F3" s="88">
        <v>6.0</v>
      </c>
      <c r="G3" s="82"/>
      <c r="H3" s="84" t="s">
        <v>3253</v>
      </c>
      <c r="I3" s="21"/>
      <c r="J3" s="21"/>
    </row>
    <row r="4" ht="22.5" customHeight="1">
      <c r="A4" s="20" t="s">
        <v>3255</v>
      </c>
      <c r="B4" s="19"/>
      <c r="C4" s="19"/>
      <c r="D4" s="19" t="s">
        <v>3252</v>
      </c>
      <c r="E4" s="88" t="s">
        <v>103</v>
      </c>
      <c r="F4" s="88">
        <v>6.0</v>
      </c>
      <c r="G4" s="82"/>
      <c r="H4" s="84" t="s">
        <v>3253</v>
      </c>
      <c r="I4" s="21"/>
      <c r="J4" s="21"/>
    </row>
    <row r="5" ht="22.5" customHeight="1">
      <c r="A5" s="18" t="s">
        <v>3256</v>
      </c>
      <c r="B5" s="19"/>
      <c r="C5" s="19"/>
      <c r="D5" s="19" t="s">
        <v>3252</v>
      </c>
      <c r="E5" s="88" t="s">
        <v>1457</v>
      </c>
      <c r="F5" s="88">
        <v>6.0</v>
      </c>
      <c r="G5" s="82"/>
      <c r="H5" s="84" t="s">
        <v>3253</v>
      </c>
      <c r="I5" s="21"/>
      <c r="J5" s="21"/>
    </row>
    <row r="6" ht="22.5" customHeight="1">
      <c r="A6" s="18" t="s">
        <v>3257</v>
      </c>
      <c r="B6" s="19"/>
      <c r="C6" s="19"/>
      <c r="D6" s="19" t="s">
        <v>3252</v>
      </c>
      <c r="E6" s="88" t="s">
        <v>1830</v>
      </c>
      <c r="F6" s="88">
        <v>6.0</v>
      </c>
      <c r="G6" s="86"/>
      <c r="H6" s="84" t="s">
        <v>3253</v>
      </c>
      <c r="I6" s="21"/>
      <c r="J6" s="21"/>
    </row>
    <row r="7" ht="22.5" customHeight="1">
      <c r="A7" s="76" t="s">
        <v>3258</v>
      </c>
      <c r="B7" s="85"/>
      <c r="C7" s="88"/>
      <c r="D7" s="88" t="s">
        <v>3259</v>
      </c>
      <c r="E7" s="88" t="s">
        <v>105</v>
      </c>
      <c r="F7" s="88">
        <v>6.0</v>
      </c>
      <c r="G7" s="90"/>
      <c r="H7" s="110" t="s">
        <v>3260</v>
      </c>
      <c r="I7" s="26">
        <v>10.0</v>
      </c>
      <c r="J7" s="28"/>
    </row>
    <row r="8" ht="22.5" customHeight="1">
      <c r="A8" s="76" t="s">
        <v>3261</v>
      </c>
      <c r="B8" s="85"/>
      <c r="C8" s="88"/>
      <c r="D8" s="88" t="s">
        <v>3259</v>
      </c>
      <c r="E8" s="88" t="s">
        <v>103</v>
      </c>
      <c r="F8" s="88">
        <v>6.0</v>
      </c>
      <c r="G8" s="91"/>
      <c r="H8" s="89" t="s">
        <v>3260</v>
      </c>
      <c r="I8" s="26">
        <v>16.0</v>
      </c>
      <c r="J8" s="28"/>
    </row>
    <row r="9" ht="22.5" customHeight="1">
      <c r="A9" s="76" t="s">
        <v>3262</v>
      </c>
      <c r="B9" s="85"/>
      <c r="C9" s="88"/>
      <c r="D9" s="88" t="s">
        <v>3263</v>
      </c>
      <c r="E9" s="88" t="s">
        <v>105</v>
      </c>
      <c r="F9" s="88">
        <v>6.0</v>
      </c>
      <c r="G9" s="88"/>
      <c r="H9" s="92" t="s">
        <v>3260</v>
      </c>
      <c r="I9" s="26">
        <v>32.0</v>
      </c>
      <c r="J9" s="28"/>
    </row>
    <row r="10" ht="22.5" customHeight="1">
      <c r="A10" s="76" t="s">
        <v>3264</v>
      </c>
      <c r="B10" s="85"/>
      <c r="C10" s="88"/>
      <c r="D10" s="88" t="s">
        <v>3263</v>
      </c>
      <c r="E10" s="88" t="s">
        <v>103</v>
      </c>
      <c r="F10" s="88">
        <v>6.0</v>
      </c>
      <c r="G10" s="88"/>
      <c r="H10" s="103" t="s">
        <v>3260</v>
      </c>
      <c r="I10" s="26">
        <v>12.0</v>
      </c>
      <c r="J10" s="28"/>
    </row>
    <row r="11" ht="22.5" customHeight="1">
      <c r="A11" s="76" t="s">
        <v>1151</v>
      </c>
      <c r="B11" s="85"/>
      <c r="C11" s="88"/>
      <c r="D11" s="88"/>
      <c r="E11" s="88"/>
      <c r="F11" s="88"/>
      <c r="G11" s="88"/>
      <c r="H11" s="104"/>
      <c r="I11" s="28"/>
      <c r="J11" s="28"/>
    </row>
    <row r="12" ht="22.5" customHeight="1">
      <c r="A12" s="76" t="s">
        <v>1151</v>
      </c>
      <c r="B12" s="85"/>
      <c r="C12" s="88"/>
      <c r="D12" s="88"/>
      <c r="E12" s="88"/>
      <c r="F12" s="88"/>
      <c r="G12" s="90"/>
      <c r="H12" s="104"/>
      <c r="I12" s="28"/>
      <c r="J12" s="28"/>
    </row>
    <row r="13" ht="22.5" customHeight="1">
      <c r="A13" s="76" t="s">
        <v>1151</v>
      </c>
      <c r="B13" s="85"/>
      <c r="C13" s="88"/>
      <c r="D13" s="88"/>
      <c r="E13" s="88"/>
      <c r="F13" s="88"/>
      <c r="G13" s="93"/>
      <c r="H13" s="104"/>
      <c r="I13" s="28"/>
      <c r="J13" s="28"/>
    </row>
    <row r="14" ht="22.5" customHeight="1">
      <c r="A14" s="76" t="s">
        <v>1151</v>
      </c>
      <c r="B14" s="85"/>
      <c r="C14" s="88"/>
      <c r="D14" s="88"/>
      <c r="E14" s="88"/>
      <c r="F14" s="88"/>
      <c r="G14" s="90"/>
      <c r="H14" s="111"/>
      <c r="I14" s="28"/>
      <c r="J14" s="28"/>
    </row>
    <row r="15" ht="22.5" customHeight="1">
      <c r="A15" s="76" t="s">
        <v>1151</v>
      </c>
      <c r="B15" s="85"/>
      <c r="C15" s="88"/>
      <c r="D15" s="88"/>
      <c r="E15" s="88"/>
      <c r="F15" s="88"/>
      <c r="G15" s="90"/>
      <c r="H15" s="111"/>
      <c r="I15" s="28"/>
      <c r="J15" s="28"/>
    </row>
    <row r="16" ht="22.5" customHeight="1">
      <c r="A16" s="76" t="s">
        <v>1151</v>
      </c>
      <c r="B16" s="85"/>
      <c r="C16" s="88"/>
      <c r="D16" s="88"/>
      <c r="E16" s="88"/>
      <c r="F16" s="88"/>
      <c r="G16" s="90"/>
      <c r="H16" s="111"/>
      <c r="I16" s="28"/>
      <c r="J16" s="28"/>
    </row>
    <row r="17" ht="22.5" customHeight="1">
      <c r="A17" s="76" t="s">
        <v>1151</v>
      </c>
      <c r="B17" s="85"/>
      <c r="C17" s="88"/>
      <c r="D17" s="88"/>
      <c r="E17" s="88"/>
      <c r="F17" s="88"/>
      <c r="G17" s="90"/>
      <c r="H17" s="111"/>
      <c r="I17" s="28"/>
      <c r="J17" s="28"/>
    </row>
    <row r="18" ht="22.5" customHeight="1">
      <c r="A18" s="76" t="s">
        <v>1151</v>
      </c>
      <c r="B18" s="85"/>
      <c r="C18" s="88"/>
      <c r="D18" s="88"/>
      <c r="E18" s="88"/>
      <c r="F18" s="88"/>
      <c r="G18" s="94"/>
      <c r="H18" s="111"/>
      <c r="I18" s="28"/>
      <c r="J18" s="28"/>
    </row>
    <row r="19" ht="22.5" customHeight="1">
      <c r="A19" s="76" t="s">
        <v>1151</v>
      </c>
      <c r="B19" s="85"/>
      <c r="C19" s="88"/>
      <c r="D19" s="88"/>
      <c r="E19" s="88"/>
      <c r="F19" s="88"/>
      <c r="G19" s="88"/>
      <c r="H19" s="104"/>
      <c r="I19" s="26"/>
      <c r="J19" s="28"/>
    </row>
    <row r="20" ht="22.5" customHeight="1">
      <c r="A20" s="76" t="s">
        <v>1151</v>
      </c>
      <c r="B20" s="85"/>
      <c r="C20" s="88"/>
      <c r="D20" s="88"/>
      <c r="E20" s="88"/>
      <c r="F20" s="88"/>
      <c r="G20" s="88"/>
      <c r="H20" s="104"/>
      <c r="I20" s="26"/>
      <c r="J20" s="28"/>
    </row>
    <row r="21" ht="22.5" customHeight="1">
      <c r="A21" s="76" t="s">
        <v>1151</v>
      </c>
      <c r="B21" s="85"/>
      <c r="C21" s="88"/>
      <c r="D21" s="88"/>
      <c r="E21" s="88"/>
      <c r="F21" s="88"/>
      <c r="G21" s="88"/>
      <c r="H21" s="104"/>
      <c r="I21" s="28"/>
      <c r="J21" s="28"/>
    </row>
    <row r="22" ht="22.5" customHeight="1">
      <c r="A22" s="76" t="s">
        <v>1151</v>
      </c>
      <c r="B22" s="85"/>
      <c r="C22" s="88"/>
      <c r="D22" s="88"/>
      <c r="E22" s="88"/>
      <c r="F22" s="88"/>
      <c r="G22" s="90"/>
      <c r="H22" s="104"/>
      <c r="I22" s="28"/>
      <c r="J22" s="28"/>
    </row>
    <row r="23" ht="22.5" customHeight="1">
      <c r="A23" s="76" t="s">
        <v>1151</v>
      </c>
      <c r="B23" s="85"/>
      <c r="C23" s="88"/>
      <c r="D23" s="88"/>
      <c r="E23" s="88"/>
      <c r="F23" s="88"/>
      <c r="G23" s="93"/>
      <c r="H23" s="104"/>
      <c r="I23" s="28"/>
      <c r="J23" s="28"/>
    </row>
    <row r="24" ht="22.5" customHeight="1">
      <c r="A24" s="76" t="s">
        <v>1151</v>
      </c>
      <c r="B24" s="85"/>
      <c r="C24" s="88"/>
      <c r="D24" s="88"/>
      <c r="E24" s="88"/>
      <c r="F24" s="88"/>
      <c r="G24" s="90"/>
      <c r="H24" s="104"/>
      <c r="I24" s="26"/>
      <c r="J24" s="28"/>
    </row>
    <row r="25" ht="22.5" customHeight="1">
      <c r="A25" s="76" t="s">
        <v>1151</v>
      </c>
      <c r="B25" s="85"/>
      <c r="C25" s="88"/>
      <c r="D25" s="88"/>
      <c r="E25" s="88"/>
      <c r="F25" s="88"/>
      <c r="G25" s="90"/>
      <c r="H25" s="104"/>
      <c r="I25" s="26"/>
      <c r="J25" s="28"/>
    </row>
    <row r="26" ht="22.5" customHeight="1">
      <c r="A26" s="76" t="s">
        <v>1151</v>
      </c>
      <c r="B26" s="85"/>
      <c r="C26" s="88"/>
      <c r="D26" s="88"/>
      <c r="E26" s="88"/>
      <c r="F26" s="88"/>
      <c r="G26" s="90"/>
      <c r="H26" s="104"/>
      <c r="I26" s="28"/>
      <c r="J26" s="28"/>
    </row>
    <row r="27" ht="22.5" customHeight="1">
      <c r="A27" s="76" t="s">
        <v>1151</v>
      </c>
      <c r="B27" s="85"/>
      <c r="C27" s="88"/>
      <c r="D27" s="88"/>
      <c r="E27" s="88"/>
      <c r="F27" s="88"/>
      <c r="G27" s="90"/>
      <c r="H27" s="104"/>
      <c r="I27" s="28"/>
      <c r="J27" s="28"/>
    </row>
    <row r="28" ht="22.5" customHeight="1">
      <c r="A28" s="76" t="s">
        <v>1151</v>
      </c>
      <c r="B28" s="85"/>
      <c r="C28" s="88"/>
      <c r="D28" s="88"/>
      <c r="E28" s="88"/>
      <c r="F28" s="88"/>
      <c r="G28" s="93"/>
      <c r="H28" s="104"/>
      <c r="I28" s="28"/>
      <c r="J28" s="28"/>
    </row>
    <row r="29" ht="22.5" customHeight="1">
      <c r="A29" s="76" t="s">
        <v>1151</v>
      </c>
      <c r="B29" s="85"/>
      <c r="C29" s="88"/>
      <c r="D29" s="88"/>
      <c r="E29" s="88"/>
      <c r="F29" s="88"/>
      <c r="G29" s="88"/>
      <c r="H29" s="104"/>
      <c r="I29" s="26"/>
      <c r="J29" s="28"/>
    </row>
    <row r="30" ht="22.5" customHeight="1">
      <c r="A30" s="76" t="s">
        <v>1151</v>
      </c>
      <c r="B30" s="85"/>
      <c r="C30" s="88"/>
      <c r="D30" s="88"/>
      <c r="E30" s="88"/>
      <c r="F30" s="88"/>
      <c r="G30" s="88"/>
      <c r="H30" s="104"/>
      <c r="I30" s="26"/>
      <c r="J30" s="28"/>
    </row>
    <row r="31" ht="22.5" customHeight="1">
      <c r="A31" s="76" t="s">
        <v>1151</v>
      </c>
      <c r="B31" s="85"/>
      <c r="C31" s="88"/>
      <c r="D31" s="88"/>
      <c r="E31" s="88"/>
      <c r="F31" s="88"/>
      <c r="G31" s="88"/>
      <c r="H31" s="104"/>
      <c r="I31" s="28"/>
      <c r="J31" s="28"/>
    </row>
    <row r="32" ht="22.5" customHeight="1">
      <c r="A32" s="76" t="s">
        <v>1151</v>
      </c>
      <c r="B32" s="85"/>
      <c r="C32" s="88"/>
      <c r="D32" s="88"/>
      <c r="E32" s="88"/>
      <c r="F32" s="88"/>
      <c r="G32" s="88"/>
      <c r="H32" s="104"/>
      <c r="I32" s="28"/>
      <c r="J32" s="28"/>
    </row>
    <row r="33" ht="22.5" customHeight="1">
      <c r="A33" s="76" t="s">
        <v>1151</v>
      </c>
      <c r="B33" s="85"/>
      <c r="C33" s="88"/>
      <c r="D33" s="88"/>
      <c r="E33" s="88"/>
      <c r="F33" s="88"/>
      <c r="G33" s="93"/>
      <c r="H33" s="104"/>
      <c r="I33" s="28"/>
      <c r="J33" s="28"/>
    </row>
    <row r="34" ht="22.5" customHeight="1">
      <c r="A34" s="76" t="s">
        <v>1151</v>
      </c>
      <c r="B34" s="85"/>
      <c r="C34" s="88"/>
      <c r="D34" s="88"/>
      <c r="E34" s="88"/>
      <c r="F34" s="88"/>
      <c r="G34" s="88"/>
      <c r="H34" s="104"/>
      <c r="I34" s="28"/>
      <c r="J34" s="28"/>
    </row>
    <row r="35" ht="22.5" customHeight="1">
      <c r="A35" s="76" t="s">
        <v>1151</v>
      </c>
      <c r="B35" s="85"/>
      <c r="C35" s="88"/>
      <c r="D35" s="88"/>
      <c r="E35" s="88"/>
      <c r="F35" s="88"/>
      <c r="G35" s="88"/>
      <c r="H35" s="104"/>
      <c r="I35" s="28"/>
      <c r="J35" s="28"/>
    </row>
    <row r="36" ht="22.5" customHeight="1">
      <c r="A36" s="76" t="s">
        <v>1151</v>
      </c>
      <c r="B36" s="85"/>
      <c r="C36" s="88"/>
      <c r="D36" s="88"/>
      <c r="E36" s="88"/>
      <c r="F36" s="88"/>
      <c r="G36" s="88"/>
      <c r="H36" s="104"/>
      <c r="I36" s="28"/>
      <c r="J36" s="28"/>
    </row>
    <row r="37" ht="22.5" customHeight="1">
      <c r="A37" s="76" t="s">
        <v>1151</v>
      </c>
      <c r="B37" s="85"/>
      <c r="C37" s="88"/>
      <c r="D37" s="88"/>
      <c r="E37" s="88"/>
      <c r="F37" s="88"/>
      <c r="G37" s="88"/>
      <c r="H37" s="104"/>
      <c r="I37" s="28"/>
      <c r="J37" s="28"/>
    </row>
    <row r="38" ht="22.5" customHeight="1">
      <c r="A38" s="76" t="s">
        <v>1151</v>
      </c>
      <c r="B38" s="85"/>
      <c r="C38" s="88"/>
      <c r="D38" s="88"/>
      <c r="E38" s="88"/>
      <c r="F38" s="88"/>
      <c r="G38" s="93"/>
      <c r="H38" s="104"/>
      <c r="I38" s="28"/>
      <c r="J38" s="28"/>
    </row>
    <row r="39" ht="22.5" customHeight="1">
      <c r="A39" s="76" t="s">
        <v>1151</v>
      </c>
      <c r="B39" s="85"/>
      <c r="C39" s="88"/>
      <c r="D39" s="88"/>
      <c r="E39" s="88"/>
      <c r="F39" s="88"/>
      <c r="G39" s="90"/>
      <c r="H39" s="104"/>
      <c r="I39" s="26"/>
      <c r="J39" s="28"/>
    </row>
    <row r="40" ht="22.5" customHeight="1">
      <c r="A40" s="76" t="s">
        <v>1151</v>
      </c>
      <c r="B40" s="85"/>
      <c r="C40" s="88"/>
      <c r="D40" s="88"/>
      <c r="E40" s="88"/>
      <c r="F40" s="88"/>
      <c r="G40" s="90"/>
      <c r="H40" s="104"/>
      <c r="I40" s="26"/>
      <c r="J40" s="28"/>
    </row>
    <row r="41" ht="22.5" customHeight="1">
      <c r="A41" s="76" t="s">
        <v>1151</v>
      </c>
      <c r="B41" s="85"/>
      <c r="C41" s="88"/>
      <c r="D41" s="88"/>
      <c r="E41" s="88"/>
      <c r="F41" s="88"/>
      <c r="G41" s="90"/>
      <c r="H41" s="104"/>
      <c r="I41" s="28"/>
      <c r="J41" s="28"/>
    </row>
    <row r="42" ht="22.5" customHeight="1">
      <c r="A42" s="76" t="s">
        <v>1151</v>
      </c>
      <c r="B42" s="85"/>
      <c r="C42" s="88"/>
      <c r="D42" s="88"/>
      <c r="E42" s="88"/>
      <c r="F42" s="88"/>
      <c r="G42" s="90"/>
      <c r="H42" s="104"/>
      <c r="I42" s="28"/>
      <c r="J42" s="28"/>
    </row>
    <row r="43" ht="22.5" customHeight="1">
      <c r="A43" s="76" t="s">
        <v>1151</v>
      </c>
      <c r="B43" s="85"/>
      <c r="C43" s="88"/>
      <c r="D43" s="88"/>
      <c r="E43" s="88"/>
      <c r="F43" s="88"/>
      <c r="G43" s="93"/>
      <c r="H43" s="104"/>
      <c r="I43" s="28"/>
      <c r="J43" s="28"/>
    </row>
    <row r="44" ht="22.5" customHeight="1">
      <c r="A44" s="76" t="s">
        <v>1151</v>
      </c>
      <c r="B44" s="85"/>
      <c r="C44" s="88"/>
      <c r="D44" s="88"/>
      <c r="E44" s="88"/>
      <c r="F44" s="88"/>
      <c r="G44" s="88"/>
      <c r="H44" s="104"/>
      <c r="I44" s="28"/>
      <c r="J44" s="28"/>
    </row>
    <row r="45" ht="22.5" customHeight="1">
      <c r="A45" s="76" t="s">
        <v>1151</v>
      </c>
      <c r="B45" s="85"/>
      <c r="C45" s="88"/>
      <c r="D45" s="88"/>
      <c r="E45" s="88"/>
      <c r="F45" s="88"/>
      <c r="G45" s="88"/>
      <c r="H45" s="104"/>
      <c r="I45" s="26"/>
      <c r="J45" s="28"/>
    </row>
    <row r="46" ht="22.5" customHeight="1">
      <c r="A46" s="76" t="s">
        <v>1151</v>
      </c>
      <c r="B46" s="85"/>
      <c r="C46" s="88"/>
      <c r="D46" s="88"/>
      <c r="E46" s="88"/>
      <c r="F46" s="88"/>
      <c r="G46" s="88"/>
      <c r="H46" s="104"/>
      <c r="I46" s="28"/>
      <c r="J46" s="28"/>
    </row>
    <row r="47" ht="22.5" customHeight="1">
      <c r="A47" s="76" t="s">
        <v>1151</v>
      </c>
      <c r="B47" s="85"/>
      <c r="C47" s="88"/>
      <c r="D47" s="88"/>
      <c r="E47" s="88"/>
      <c r="F47" s="88"/>
      <c r="G47" s="88"/>
      <c r="H47" s="104"/>
      <c r="I47" s="28"/>
      <c r="J47" s="28"/>
    </row>
    <row r="48" ht="22.5" customHeight="1">
      <c r="A48" s="76" t="s">
        <v>1151</v>
      </c>
      <c r="B48" s="85"/>
      <c r="C48" s="88"/>
      <c r="D48" s="88"/>
      <c r="E48" s="88"/>
      <c r="F48" s="88"/>
      <c r="G48" s="93"/>
      <c r="H48" s="104"/>
      <c r="I48" s="28"/>
      <c r="J48" s="28"/>
    </row>
    <row r="49" ht="22.5" customHeight="1">
      <c r="A49" s="76" t="s">
        <v>1151</v>
      </c>
      <c r="B49" s="85"/>
      <c r="C49" s="88"/>
      <c r="D49" s="88"/>
      <c r="E49" s="88"/>
      <c r="F49" s="88"/>
      <c r="G49" s="88"/>
      <c r="H49" s="104"/>
      <c r="I49" s="26"/>
      <c r="J49" s="28"/>
    </row>
    <row r="50" ht="22.5" customHeight="1">
      <c r="A50" s="76" t="s">
        <v>1151</v>
      </c>
      <c r="B50" s="85"/>
      <c r="C50" s="88"/>
      <c r="D50" s="88"/>
      <c r="E50" s="88"/>
      <c r="F50" s="88"/>
      <c r="G50" s="88"/>
      <c r="H50" s="104"/>
      <c r="I50" s="26"/>
      <c r="J50" s="28"/>
    </row>
    <row r="51" ht="22.5" customHeight="1">
      <c r="A51" s="76" t="s">
        <v>1151</v>
      </c>
      <c r="B51" s="85"/>
      <c r="C51" s="88"/>
      <c r="D51" s="88"/>
      <c r="E51" s="88"/>
      <c r="F51" s="88"/>
      <c r="G51" s="88"/>
      <c r="H51" s="104"/>
      <c r="I51" s="28"/>
      <c r="J51" s="28"/>
    </row>
    <row r="52" ht="22.5" customHeight="1">
      <c r="A52" s="76" t="s">
        <v>1151</v>
      </c>
      <c r="B52" s="85"/>
      <c r="C52" s="88"/>
      <c r="D52" s="88"/>
      <c r="E52" s="88"/>
      <c r="F52" s="88"/>
      <c r="G52" s="88"/>
      <c r="H52" s="104"/>
      <c r="I52" s="28"/>
      <c r="J52" s="28"/>
    </row>
    <row r="53" ht="22.5" customHeight="1">
      <c r="A53" s="76" t="s">
        <v>1151</v>
      </c>
      <c r="B53" s="85"/>
      <c r="C53" s="88"/>
      <c r="D53" s="88"/>
      <c r="E53" s="88"/>
      <c r="F53" s="88"/>
      <c r="G53" s="93"/>
      <c r="H53" s="104"/>
      <c r="I53" s="28"/>
      <c r="J53" s="28"/>
    </row>
    <row r="54" ht="22.5" customHeight="1">
      <c r="A54" s="76" t="s">
        <v>1151</v>
      </c>
      <c r="B54" s="85"/>
      <c r="C54" s="88"/>
      <c r="D54" s="88"/>
      <c r="E54" s="88"/>
      <c r="F54" s="88"/>
      <c r="G54" s="88"/>
      <c r="H54" s="104"/>
      <c r="I54" s="26"/>
      <c r="J54" s="28"/>
    </row>
    <row r="55" ht="22.5" customHeight="1">
      <c r="A55" s="76" t="s">
        <v>1151</v>
      </c>
      <c r="B55" s="85"/>
      <c r="C55" s="88"/>
      <c r="D55" s="88"/>
      <c r="E55" s="88"/>
      <c r="F55" s="88"/>
      <c r="G55" s="88"/>
      <c r="H55" s="104"/>
      <c r="I55" s="26"/>
      <c r="J55" s="28"/>
    </row>
    <row r="56" ht="22.5" customHeight="1">
      <c r="A56" s="76" t="s">
        <v>1151</v>
      </c>
      <c r="B56" s="85"/>
      <c r="C56" s="88"/>
      <c r="D56" s="88"/>
      <c r="E56" s="88"/>
      <c r="F56" s="88"/>
      <c r="G56" s="88"/>
      <c r="H56" s="104"/>
      <c r="I56" s="28"/>
      <c r="J56" s="28"/>
    </row>
    <row r="57" ht="22.5" customHeight="1">
      <c r="A57" s="76" t="s">
        <v>1151</v>
      </c>
      <c r="B57" s="85"/>
      <c r="C57" s="88"/>
      <c r="D57" s="88"/>
      <c r="E57" s="88"/>
      <c r="F57" s="88"/>
      <c r="G57" s="90"/>
      <c r="H57" s="104"/>
      <c r="I57" s="28"/>
      <c r="J57" s="28"/>
    </row>
    <row r="58" ht="22.5" customHeight="1">
      <c r="A58" s="76" t="s">
        <v>1151</v>
      </c>
      <c r="B58" s="85"/>
      <c r="C58" s="88"/>
      <c r="D58" s="88"/>
      <c r="E58" s="88"/>
      <c r="F58" s="88"/>
      <c r="G58" s="93"/>
      <c r="H58" s="104"/>
      <c r="I58" s="28"/>
      <c r="J58" s="28"/>
    </row>
    <row r="59" ht="22.5" customHeight="1">
      <c r="A59" s="76" t="s">
        <v>1151</v>
      </c>
      <c r="B59" s="85"/>
      <c r="C59" s="88"/>
      <c r="D59" s="88"/>
      <c r="E59" s="88"/>
      <c r="F59" s="88"/>
      <c r="G59" s="88"/>
      <c r="H59" s="104"/>
      <c r="I59" s="26"/>
      <c r="J59" s="28"/>
    </row>
    <row r="60" ht="22.5" customHeight="1">
      <c r="A60" s="76" t="s">
        <v>1151</v>
      </c>
      <c r="B60" s="85"/>
      <c r="C60" s="88"/>
      <c r="D60" s="88"/>
      <c r="E60" s="88"/>
      <c r="F60" s="88"/>
      <c r="G60" s="88"/>
      <c r="H60" s="104"/>
      <c r="I60" s="26"/>
      <c r="J60" s="28"/>
    </row>
    <row r="61" ht="22.5" customHeight="1">
      <c r="A61" s="76" t="s">
        <v>1151</v>
      </c>
      <c r="B61" s="85"/>
      <c r="C61" s="88"/>
      <c r="D61" s="88"/>
      <c r="E61" s="88"/>
      <c r="F61" s="88"/>
      <c r="G61" s="88"/>
      <c r="H61" s="104"/>
      <c r="I61" s="28"/>
      <c r="J61" s="28"/>
    </row>
    <row r="62" ht="22.5" customHeight="1">
      <c r="A62" s="76" t="s">
        <v>1151</v>
      </c>
      <c r="B62" s="85"/>
      <c r="C62" s="88"/>
      <c r="D62" s="88"/>
      <c r="E62" s="88"/>
      <c r="F62" s="88"/>
      <c r="G62" s="88"/>
      <c r="H62" s="104"/>
      <c r="I62" s="28"/>
      <c r="J62" s="28"/>
    </row>
    <row r="63" ht="22.5" customHeight="1">
      <c r="A63" s="76" t="s">
        <v>1151</v>
      </c>
      <c r="B63" s="85"/>
      <c r="C63" s="88"/>
      <c r="D63" s="88"/>
      <c r="E63" s="88"/>
      <c r="F63" s="88"/>
      <c r="G63" s="93"/>
      <c r="H63" s="104"/>
      <c r="I63" s="28"/>
      <c r="J63" s="28"/>
    </row>
    <row r="64" ht="22.5" customHeight="1">
      <c r="A64" s="76" t="s">
        <v>1151</v>
      </c>
      <c r="B64" s="85"/>
      <c r="C64" s="88"/>
      <c r="D64" s="88"/>
      <c r="E64" s="88"/>
      <c r="F64" s="88"/>
      <c r="G64" s="88"/>
      <c r="H64" s="104"/>
      <c r="I64" s="28"/>
      <c r="J64" s="28"/>
    </row>
    <row r="65" ht="22.5" customHeight="1">
      <c r="A65" s="76" t="s">
        <v>1151</v>
      </c>
      <c r="B65" s="85"/>
      <c r="C65" s="88"/>
      <c r="D65" s="88"/>
      <c r="E65" s="88"/>
      <c r="F65" s="88"/>
      <c r="G65" s="88"/>
      <c r="H65" s="104"/>
      <c r="I65" s="28"/>
      <c r="J65" s="28"/>
    </row>
    <row r="66" ht="22.5" customHeight="1">
      <c r="A66" s="76" t="s">
        <v>1151</v>
      </c>
      <c r="B66" s="85"/>
      <c r="C66" s="88"/>
      <c r="D66" s="88"/>
      <c r="E66" s="88"/>
      <c r="F66" s="88"/>
      <c r="G66" s="88"/>
      <c r="H66" s="104"/>
      <c r="I66" s="28"/>
      <c r="J66" s="28"/>
    </row>
    <row r="67" ht="22.5" customHeight="1">
      <c r="A67" s="76" t="s">
        <v>1151</v>
      </c>
      <c r="B67" s="85"/>
      <c r="C67" s="88"/>
      <c r="D67" s="88"/>
      <c r="E67" s="88"/>
      <c r="F67" s="88"/>
      <c r="G67" s="90"/>
      <c r="H67" s="104"/>
      <c r="I67" s="28"/>
      <c r="J67" s="28"/>
    </row>
    <row r="68" ht="22.5" customHeight="1">
      <c r="A68" s="76" t="s">
        <v>1151</v>
      </c>
      <c r="B68" s="85"/>
      <c r="C68" s="88"/>
      <c r="D68" s="88"/>
      <c r="E68" s="88"/>
      <c r="F68" s="88"/>
      <c r="G68" s="93"/>
      <c r="H68" s="104"/>
      <c r="I68" s="28"/>
      <c r="J68" s="28"/>
    </row>
    <row r="69" ht="22.5" customHeight="1">
      <c r="A69" s="76" t="s">
        <v>1151</v>
      </c>
      <c r="B69" s="85"/>
      <c r="C69" s="88"/>
      <c r="D69" s="88"/>
      <c r="E69" s="88"/>
      <c r="F69" s="88"/>
      <c r="G69" s="90"/>
      <c r="H69" s="104"/>
      <c r="I69" s="28"/>
      <c r="J69" s="28"/>
    </row>
    <row r="70" ht="22.5" customHeight="1">
      <c r="A70" s="76" t="s">
        <v>1151</v>
      </c>
      <c r="B70" s="85"/>
      <c r="C70" s="88"/>
      <c r="D70" s="88"/>
      <c r="E70" s="88"/>
      <c r="F70" s="88"/>
      <c r="G70" s="90"/>
      <c r="H70" s="104"/>
      <c r="I70" s="28"/>
      <c r="J70" s="28"/>
    </row>
    <row r="71" ht="22.5" customHeight="1">
      <c r="A71" s="76" t="s">
        <v>1151</v>
      </c>
      <c r="B71" s="85"/>
      <c r="C71" s="88"/>
      <c r="D71" s="88"/>
      <c r="E71" s="88"/>
      <c r="F71" s="88"/>
      <c r="G71" s="90"/>
      <c r="H71" s="104"/>
      <c r="I71" s="28"/>
      <c r="J71" s="28"/>
    </row>
    <row r="72" ht="22.5" customHeight="1">
      <c r="A72" s="76" t="s">
        <v>1151</v>
      </c>
      <c r="B72" s="85"/>
      <c r="C72" s="88"/>
      <c r="D72" s="88"/>
      <c r="E72" s="88"/>
      <c r="F72" s="88"/>
      <c r="G72" s="90"/>
      <c r="H72" s="104"/>
      <c r="I72" s="28"/>
      <c r="J72" s="28"/>
    </row>
    <row r="73" ht="22.5" customHeight="1">
      <c r="A73" s="76" t="s">
        <v>1151</v>
      </c>
      <c r="B73" s="85"/>
      <c r="C73" s="88"/>
      <c r="D73" s="88"/>
      <c r="E73" s="88"/>
      <c r="F73" s="88"/>
      <c r="G73" s="93"/>
      <c r="H73" s="104"/>
      <c r="I73" s="28"/>
      <c r="J73" s="28"/>
    </row>
    <row r="74" ht="22.5" customHeight="1">
      <c r="A74" s="76" t="s">
        <v>1151</v>
      </c>
      <c r="B74" s="85"/>
      <c r="C74" s="88"/>
      <c r="D74" s="88"/>
      <c r="E74" s="88"/>
      <c r="F74" s="88"/>
      <c r="G74" s="90"/>
      <c r="H74" s="104"/>
      <c r="I74" s="26"/>
      <c r="J74" s="28"/>
    </row>
    <row r="75" ht="22.5" customHeight="1">
      <c r="A75" s="76" t="s">
        <v>1151</v>
      </c>
      <c r="B75" s="85"/>
      <c r="C75" s="88"/>
      <c r="D75" s="88"/>
      <c r="E75" s="88"/>
      <c r="F75" s="88"/>
      <c r="G75" s="90"/>
      <c r="H75" s="104"/>
      <c r="I75" s="26"/>
      <c r="J75" s="28"/>
    </row>
    <row r="76" ht="22.5" customHeight="1">
      <c r="A76" s="76" t="s">
        <v>1151</v>
      </c>
      <c r="B76" s="85"/>
      <c r="C76" s="88"/>
      <c r="D76" s="88"/>
      <c r="E76" s="88"/>
      <c r="F76" s="88"/>
      <c r="G76" s="90"/>
      <c r="H76" s="104"/>
      <c r="I76" s="28"/>
      <c r="J76" s="28"/>
    </row>
    <row r="77" ht="22.5" customHeight="1">
      <c r="A77" s="76" t="s">
        <v>1151</v>
      </c>
      <c r="B77" s="85"/>
      <c r="C77" s="88"/>
      <c r="D77" s="88"/>
      <c r="E77" s="88"/>
      <c r="F77" s="88"/>
      <c r="G77" s="90"/>
      <c r="H77" s="104"/>
      <c r="I77" s="28"/>
      <c r="J77" s="28"/>
    </row>
    <row r="78" ht="22.5" customHeight="1">
      <c r="A78" s="76" t="s">
        <v>1151</v>
      </c>
      <c r="B78" s="85"/>
      <c r="C78" s="88"/>
      <c r="D78" s="88"/>
      <c r="E78" s="88"/>
      <c r="F78" s="88"/>
      <c r="G78" s="93"/>
      <c r="H78" s="104"/>
      <c r="I78" s="28"/>
      <c r="J78" s="28"/>
    </row>
    <row r="79" ht="22.5" customHeight="1">
      <c r="A79" s="76" t="s">
        <v>1151</v>
      </c>
      <c r="B79" s="85"/>
      <c r="C79" s="88"/>
      <c r="D79" s="88"/>
      <c r="E79" s="88"/>
      <c r="F79" s="88"/>
      <c r="G79" s="90"/>
      <c r="H79" s="92"/>
      <c r="I79" s="28"/>
      <c r="J79" s="28"/>
    </row>
    <row r="80" ht="22.5" customHeight="1">
      <c r="A80" s="76" t="s">
        <v>1151</v>
      </c>
      <c r="B80" s="85"/>
      <c r="C80" s="88"/>
      <c r="D80" s="88"/>
      <c r="E80" s="88"/>
      <c r="F80" s="88"/>
      <c r="G80" s="90"/>
      <c r="H80" s="92"/>
      <c r="I80" s="28"/>
      <c r="J80" s="28"/>
    </row>
    <row r="81" ht="22.5" customHeight="1">
      <c r="A81" s="76" t="s">
        <v>1151</v>
      </c>
      <c r="B81" s="85"/>
      <c r="C81" s="88"/>
      <c r="D81" s="88"/>
      <c r="E81" s="88"/>
      <c r="F81" s="88"/>
      <c r="G81" s="90"/>
      <c r="H81" s="92"/>
      <c r="I81" s="28"/>
      <c r="J81" s="28"/>
    </row>
    <row r="82" ht="22.5" customHeight="1">
      <c r="A82" s="76" t="s">
        <v>1151</v>
      </c>
      <c r="B82" s="85"/>
      <c r="C82" s="88"/>
      <c r="D82" s="88"/>
      <c r="E82" s="88"/>
      <c r="F82" s="88"/>
      <c r="G82" s="91"/>
      <c r="H82" s="92"/>
      <c r="I82" s="28"/>
      <c r="J82" s="28"/>
    </row>
    <row r="83" ht="22.5" customHeight="1">
      <c r="A83" s="76" t="s">
        <v>1151</v>
      </c>
      <c r="B83" s="85"/>
      <c r="C83" s="88"/>
      <c r="D83" s="88"/>
      <c r="E83" s="88"/>
      <c r="F83" s="88"/>
      <c r="G83" s="91"/>
      <c r="H83" s="92"/>
      <c r="I83" s="28"/>
      <c r="J83" s="28"/>
    </row>
    <row r="84" ht="22.5" customHeight="1">
      <c r="A84" s="76" t="s">
        <v>1151</v>
      </c>
      <c r="B84" s="85"/>
      <c r="C84" s="88"/>
      <c r="D84" s="88"/>
      <c r="E84" s="88"/>
      <c r="F84" s="88"/>
      <c r="G84" s="90"/>
      <c r="H84" s="92"/>
      <c r="I84" s="26"/>
      <c r="J84" s="28"/>
    </row>
    <row r="85" ht="22.5" customHeight="1">
      <c r="A85" s="76" t="s">
        <v>1151</v>
      </c>
      <c r="B85" s="85"/>
      <c r="C85" s="88"/>
      <c r="D85" s="88"/>
      <c r="E85" s="88"/>
      <c r="F85" s="88"/>
      <c r="G85" s="90"/>
      <c r="H85" s="92"/>
      <c r="I85" s="28"/>
      <c r="J85" s="28"/>
    </row>
    <row r="86" ht="22.5" customHeight="1">
      <c r="A86" s="76" t="s">
        <v>1151</v>
      </c>
      <c r="B86" s="85"/>
      <c r="C86" s="88"/>
      <c r="D86" s="88"/>
      <c r="E86" s="88"/>
      <c r="F86" s="88"/>
      <c r="G86" s="90"/>
      <c r="H86" s="92"/>
      <c r="I86" s="28"/>
      <c r="J86" s="28"/>
    </row>
    <row r="87" ht="22.5" customHeight="1">
      <c r="A87" s="76" t="s">
        <v>1151</v>
      </c>
      <c r="B87" s="85"/>
      <c r="C87" s="88"/>
      <c r="D87" s="88"/>
      <c r="E87" s="88"/>
      <c r="F87" s="88"/>
      <c r="G87" s="91"/>
      <c r="H87" s="92"/>
      <c r="I87" s="28"/>
      <c r="J87" s="28"/>
    </row>
    <row r="88" ht="22.5" customHeight="1">
      <c r="A88" s="76" t="s">
        <v>1151</v>
      </c>
      <c r="B88" s="85"/>
      <c r="C88" s="88"/>
      <c r="D88" s="88"/>
      <c r="E88" s="88"/>
      <c r="F88" s="88"/>
      <c r="G88" s="91"/>
      <c r="H88" s="104"/>
      <c r="I88" s="28"/>
      <c r="J88" s="28"/>
    </row>
    <row r="89" ht="22.5" customHeight="1">
      <c r="A89" s="76" t="s">
        <v>1151</v>
      </c>
      <c r="B89" s="85"/>
      <c r="C89" s="88"/>
      <c r="D89" s="88"/>
      <c r="E89" s="88"/>
      <c r="F89" s="88"/>
      <c r="G89" s="88"/>
      <c r="H89" s="104"/>
      <c r="I89" s="28"/>
      <c r="J89" s="28"/>
    </row>
    <row r="90" ht="22.5" customHeight="1">
      <c r="A90" s="76" t="s">
        <v>1151</v>
      </c>
      <c r="B90" s="85"/>
      <c r="C90" s="88"/>
      <c r="D90" s="88"/>
      <c r="E90" s="88"/>
      <c r="F90" s="88"/>
      <c r="G90" s="88"/>
      <c r="H90" s="104"/>
      <c r="I90" s="28"/>
      <c r="J90" s="28"/>
    </row>
    <row r="91" ht="22.5" customHeight="1">
      <c r="A91" s="76" t="s">
        <v>1151</v>
      </c>
      <c r="B91" s="85"/>
      <c r="C91" s="88"/>
      <c r="D91" s="88"/>
      <c r="E91" s="88"/>
      <c r="F91" s="88"/>
      <c r="G91" s="88"/>
      <c r="H91" s="104"/>
      <c r="I91" s="28"/>
      <c r="J91" s="28"/>
    </row>
    <row r="92" ht="22.5" customHeight="1">
      <c r="A92" s="76" t="s">
        <v>1151</v>
      </c>
      <c r="B92" s="85"/>
      <c r="C92" s="88"/>
      <c r="D92" s="88"/>
      <c r="E92" s="88"/>
      <c r="F92" s="88"/>
      <c r="G92" s="88"/>
      <c r="H92" s="104"/>
      <c r="I92" s="28"/>
      <c r="J92" s="28"/>
    </row>
    <row r="93" ht="22.5" customHeight="1">
      <c r="A93" s="76" t="s">
        <v>1151</v>
      </c>
      <c r="B93" s="85"/>
      <c r="C93" s="88"/>
      <c r="D93" s="88"/>
      <c r="E93" s="88"/>
      <c r="F93" s="88"/>
      <c r="G93" s="93"/>
      <c r="H93" s="104"/>
      <c r="I93" s="28"/>
      <c r="J93" s="28"/>
    </row>
    <row r="94" ht="22.5" customHeight="1">
      <c r="A94" s="76" t="s">
        <v>1151</v>
      </c>
      <c r="B94" s="85"/>
      <c r="C94" s="88"/>
      <c r="D94" s="88"/>
      <c r="E94" s="88"/>
      <c r="F94" s="88"/>
      <c r="G94" s="95"/>
      <c r="H94" s="104"/>
      <c r="I94" s="28"/>
      <c r="J94" s="28"/>
    </row>
    <row r="95" ht="22.5" customHeight="1">
      <c r="A95" s="76" t="s">
        <v>1151</v>
      </c>
      <c r="B95" s="85"/>
      <c r="C95" s="88"/>
      <c r="D95" s="88"/>
      <c r="E95" s="88"/>
      <c r="F95" s="88"/>
      <c r="G95" s="95"/>
      <c r="H95" s="104"/>
      <c r="I95" s="28"/>
      <c r="J95" s="28"/>
    </row>
    <row r="96" ht="22.5" customHeight="1">
      <c r="A96" s="76" t="s">
        <v>1151</v>
      </c>
      <c r="B96" s="85"/>
      <c r="C96" s="88"/>
      <c r="D96" s="88"/>
      <c r="E96" s="88"/>
      <c r="F96" s="88"/>
      <c r="G96" s="95"/>
      <c r="H96" s="104"/>
      <c r="I96" s="28"/>
      <c r="J96" s="28"/>
    </row>
    <row r="97" ht="22.5" customHeight="1">
      <c r="A97" s="76" t="s">
        <v>1151</v>
      </c>
      <c r="B97" s="85"/>
      <c r="C97" s="88"/>
      <c r="D97" s="88"/>
      <c r="E97" s="88"/>
      <c r="F97" s="88"/>
      <c r="G97" s="95"/>
      <c r="H97" s="104"/>
      <c r="I97" s="28"/>
      <c r="J97" s="28"/>
    </row>
    <row r="98" ht="22.5" customHeight="1">
      <c r="A98" s="76" t="s">
        <v>1151</v>
      </c>
      <c r="B98" s="85"/>
      <c r="C98" s="88"/>
      <c r="D98" s="88"/>
      <c r="E98" s="88"/>
      <c r="F98" s="88"/>
      <c r="G98" s="93"/>
      <c r="H98" s="104"/>
      <c r="I98" s="28"/>
      <c r="J98" s="28"/>
    </row>
    <row r="99" ht="22.5" customHeight="1">
      <c r="A99" s="76" t="s">
        <v>1151</v>
      </c>
      <c r="B99" s="85"/>
      <c r="C99" s="88"/>
      <c r="D99" s="88"/>
      <c r="E99" s="88"/>
      <c r="F99" s="88"/>
      <c r="G99" s="88"/>
      <c r="H99" s="104"/>
      <c r="I99" s="28"/>
      <c r="J99" s="28"/>
    </row>
    <row r="100" ht="22.5" customHeight="1">
      <c r="A100" s="76" t="s">
        <v>1151</v>
      </c>
      <c r="B100" s="85"/>
      <c r="C100" s="88"/>
      <c r="D100" s="88"/>
      <c r="E100" s="88"/>
      <c r="F100" s="88"/>
      <c r="G100" s="96"/>
      <c r="H100" s="104"/>
      <c r="I100" s="28"/>
      <c r="J100" s="28"/>
    </row>
    <row r="101" ht="22.5" customHeight="1">
      <c r="A101" s="76" t="s">
        <v>1151</v>
      </c>
      <c r="B101" s="85"/>
      <c r="C101" s="88"/>
      <c r="D101" s="88"/>
      <c r="E101" s="88"/>
      <c r="F101" s="88"/>
      <c r="G101" s="88"/>
      <c r="H101" s="104"/>
      <c r="I101" s="28"/>
      <c r="J101" s="28"/>
    </row>
    <row r="102" ht="22.5" customHeight="1">
      <c r="A102" s="76" t="s">
        <v>1151</v>
      </c>
      <c r="B102" s="85"/>
      <c r="C102" s="88"/>
      <c r="D102" s="88"/>
      <c r="E102" s="88"/>
      <c r="F102" s="88"/>
      <c r="G102" s="88"/>
      <c r="H102" s="104"/>
      <c r="I102" s="28"/>
      <c r="J102" s="28"/>
    </row>
    <row r="103" ht="22.5" customHeight="1">
      <c r="A103" s="76" t="s">
        <v>1151</v>
      </c>
      <c r="B103" s="85"/>
      <c r="C103" s="88"/>
      <c r="D103" s="88"/>
      <c r="E103" s="88"/>
      <c r="F103" s="88"/>
      <c r="G103" s="93"/>
      <c r="H103" s="104"/>
      <c r="I103" s="28"/>
      <c r="J103" s="28"/>
    </row>
    <row r="104" ht="22.5" customHeight="1">
      <c r="A104" s="76" t="s">
        <v>1151</v>
      </c>
      <c r="B104" s="85"/>
      <c r="C104" s="88"/>
      <c r="D104" s="88"/>
      <c r="E104" s="88"/>
      <c r="F104" s="88"/>
      <c r="G104" s="90"/>
      <c r="H104" s="104"/>
      <c r="I104" s="28"/>
      <c r="J104" s="28"/>
    </row>
    <row r="105" ht="22.5" customHeight="1">
      <c r="A105" s="76" t="s">
        <v>1151</v>
      </c>
      <c r="B105" s="85"/>
      <c r="C105" s="88"/>
      <c r="D105" s="88"/>
      <c r="E105" s="88"/>
      <c r="F105" s="88"/>
      <c r="G105" s="90"/>
      <c r="H105" s="104"/>
      <c r="I105" s="28"/>
      <c r="J105" s="28"/>
    </row>
    <row r="106" ht="22.5" customHeight="1">
      <c r="A106" s="76" t="s">
        <v>1151</v>
      </c>
      <c r="B106" s="85"/>
      <c r="C106" s="88"/>
      <c r="D106" s="88"/>
      <c r="E106" s="88"/>
      <c r="F106" s="88"/>
      <c r="G106" s="90"/>
      <c r="H106" s="104"/>
      <c r="I106" s="28"/>
      <c r="J106" s="28"/>
    </row>
    <row r="107" ht="22.5" customHeight="1">
      <c r="A107" s="76" t="s">
        <v>1151</v>
      </c>
      <c r="B107" s="85"/>
      <c r="C107" s="88"/>
      <c r="D107" s="88"/>
      <c r="E107" s="88"/>
      <c r="F107" s="88"/>
      <c r="G107" s="90"/>
      <c r="H107" s="104"/>
      <c r="I107" s="28"/>
      <c r="J107" s="28"/>
    </row>
    <row r="108" ht="22.5" customHeight="1">
      <c r="A108" s="76" t="s">
        <v>1151</v>
      </c>
      <c r="B108" s="85"/>
      <c r="C108" s="88"/>
      <c r="D108" s="88"/>
      <c r="E108" s="88"/>
      <c r="F108" s="88"/>
      <c r="G108" s="93"/>
      <c r="H108" s="104"/>
      <c r="I108" s="28"/>
      <c r="J108" s="28"/>
    </row>
    <row r="109" ht="22.5" customHeight="1">
      <c r="A109" s="76" t="s">
        <v>1151</v>
      </c>
      <c r="B109" s="85"/>
      <c r="C109" s="88"/>
      <c r="D109" s="88"/>
      <c r="E109" s="88"/>
      <c r="F109" s="88"/>
      <c r="G109" s="88"/>
      <c r="H109" s="104"/>
      <c r="I109" s="28"/>
      <c r="J109" s="28"/>
    </row>
    <row r="110" ht="22.5" customHeight="1">
      <c r="A110" s="76" t="s">
        <v>1151</v>
      </c>
      <c r="B110" s="85"/>
      <c r="C110" s="88"/>
      <c r="D110" s="88"/>
      <c r="E110" s="88"/>
      <c r="F110" s="88"/>
      <c r="G110" s="88"/>
      <c r="H110" s="104"/>
      <c r="I110" s="28"/>
      <c r="J110" s="28"/>
    </row>
    <row r="111" ht="22.5" customHeight="1">
      <c r="A111" s="76" t="s">
        <v>1151</v>
      </c>
      <c r="B111" s="85"/>
      <c r="C111" s="88"/>
      <c r="D111" s="88"/>
      <c r="E111" s="88"/>
      <c r="F111" s="88"/>
      <c r="G111" s="88"/>
      <c r="H111" s="104"/>
      <c r="I111" s="28"/>
      <c r="J111" s="28"/>
    </row>
    <row r="112" ht="22.5" customHeight="1">
      <c r="A112" s="76" t="s">
        <v>1151</v>
      </c>
      <c r="B112" s="85"/>
      <c r="C112" s="88"/>
      <c r="D112" s="88"/>
      <c r="E112" s="88"/>
      <c r="F112" s="88"/>
      <c r="G112" s="88"/>
      <c r="H112" s="104"/>
      <c r="I112" s="28"/>
      <c r="J112" s="28"/>
    </row>
    <row r="113" ht="22.5" customHeight="1">
      <c r="A113" s="76" t="s">
        <v>1151</v>
      </c>
      <c r="B113" s="85"/>
      <c r="C113" s="88"/>
      <c r="D113" s="88"/>
      <c r="E113" s="88"/>
      <c r="F113" s="88"/>
      <c r="G113" s="93"/>
      <c r="H113" s="104"/>
      <c r="I113" s="28"/>
      <c r="J113" s="28"/>
    </row>
    <row r="114" ht="22.5" customHeight="1">
      <c r="A114" s="76" t="s">
        <v>1151</v>
      </c>
      <c r="B114" s="85"/>
      <c r="C114" s="88"/>
      <c r="D114" s="88"/>
      <c r="E114" s="88"/>
      <c r="F114" s="88"/>
      <c r="G114" s="90"/>
      <c r="H114" s="104"/>
      <c r="I114" s="28"/>
      <c r="J114" s="28"/>
    </row>
    <row r="115" ht="22.5" customHeight="1">
      <c r="A115" s="76" t="s">
        <v>1151</v>
      </c>
      <c r="B115" s="85"/>
      <c r="C115" s="88"/>
      <c r="D115" s="88"/>
      <c r="E115" s="88"/>
      <c r="F115" s="88"/>
      <c r="G115" s="90"/>
      <c r="H115" s="104"/>
      <c r="I115" s="28"/>
      <c r="J115" s="28"/>
    </row>
    <row r="116" ht="22.5" customHeight="1">
      <c r="A116" s="76" t="s">
        <v>1151</v>
      </c>
      <c r="B116" s="85"/>
      <c r="C116" s="88"/>
      <c r="D116" s="88"/>
      <c r="E116" s="88"/>
      <c r="F116" s="88"/>
      <c r="G116" s="90"/>
      <c r="H116" s="104"/>
      <c r="I116" s="28"/>
      <c r="J116" s="28"/>
    </row>
    <row r="117" ht="22.5" customHeight="1">
      <c r="A117" s="76" t="s">
        <v>1151</v>
      </c>
      <c r="B117" s="85"/>
      <c r="C117" s="88"/>
      <c r="D117" s="88"/>
      <c r="E117" s="88"/>
      <c r="F117" s="88"/>
      <c r="G117" s="90"/>
      <c r="H117" s="104"/>
      <c r="I117" s="28"/>
      <c r="J117" s="28"/>
    </row>
    <row r="118" ht="22.5" customHeight="1">
      <c r="A118" s="76" t="s">
        <v>1151</v>
      </c>
      <c r="B118" s="85"/>
      <c r="C118" s="88"/>
      <c r="D118" s="88"/>
      <c r="E118" s="88"/>
      <c r="F118" s="88"/>
      <c r="G118" s="93"/>
      <c r="H118" s="104"/>
      <c r="I118" s="28"/>
      <c r="J118" s="28"/>
    </row>
    <row r="119" ht="22.5" customHeight="1">
      <c r="A119" s="76" t="s">
        <v>1151</v>
      </c>
      <c r="B119" s="85"/>
      <c r="C119" s="88"/>
      <c r="D119" s="88"/>
      <c r="E119" s="88"/>
      <c r="F119" s="88"/>
      <c r="G119" s="88"/>
      <c r="H119" s="104"/>
      <c r="I119" s="28"/>
      <c r="J119" s="28"/>
    </row>
    <row r="120" ht="22.5" customHeight="1">
      <c r="A120" s="76" t="s">
        <v>1151</v>
      </c>
      <c r="B120" s="85"/>
      <c r="C120" s="88"/>
      <c r="D120" s="88"/>
      <c r="E120" s="88"/>
      <c r="F120" s="88"/>
      <c r="G120" s="88"/>
      <c r="H120" s="104"/>
      <c r="I120" s="28"/>
      <c r="J120" s="28"/>
    </row>
    <row r="121" ht="22.5" customHeight="1">
      <c r="A121" s="76" t="s">
        <v>1151</v>
      </c>
      <c r="B121" s="85"/>
      <c r="C121" s="88"/>
      <c r="D121" s="88"/>
      <c r="E121" s="88"/>
      <c r="F121" s="88"/>
      <c r="G121" s="88"/>
      <c r="H121" s="104"/>
      <c r="I121" s="28"/>
      <c r="J121" s="28"/>
    </row>
    <row r="122" ht="22.5" customHeight="1">
      <c r="A122" s="76" t="s">
        <v>1151</v>
      </c>
      <c r="B122" s="85"/>
      <c r="C122" s="88"/>
      <c r="D122" s="88"/>
      <c r="E122" s="88"/>
      <c r="F122" s="88"/>
      <c r="G122" s="88"/>
      <c r="H122" s="104"/>
      <c r="I122" s="28"/>
      <c r="J122" s="28"/>
    </row>
    <row r="123" ht="22.5" customHeight="1">
      <c r="A123" s="76" t="s">
        <v>1151</v>
      </c>
      <c r="B123" s="85"/>
      <c r="C123" s="88"/>
      <c r="D123" s="88"/>
      <c r="E123" s="88"/>
      <c r="F123" s="88"/>
      <c r="G123" s="93"/>
      <c r="H123" s="104"/>
      <c r="I123" s="28"/>
      <c r="J123" s="28"/>
    </row>
    <row r="124" ht="22.5" customHeight="1">
      <c r="A124" s="76" t="s">
        <v>1151</v>
      </c>
      <c r="B124" s="85"/>
      <c r="C124" s="88"/>
      <c r="D124" s="88"/>
      <c r="E124" s="88"/>
      <c r="F124" s="88"/>
      <c r="G124" s="90"/>
      <c r="H124" s="104"/>
      <c r="I124" s="28"/>
      <c r="J124" s="28"/>
    </row>
    <row r="125" ht="22.5" customHeight="1">
      <c r="A125" s="76" t="s">
        <v>1151</v>
      </c>
      <c r="B125" s="85"/>
      <c r="C125" s="88"/>
      <c r="D125" s="88"/>
      <c r="E125" s="88"/>
      <c r="F125" s="88"/>
      <c r="G125" s="90"/>
      <c r="H125" s="104"/>
      <c r="I125" s="28"/>
      <c r="J125" s="28"/>
    </row>
    <row r="126" ht="22.5" customHeight="1">
      <c r="A126" s="76" t="s">
        <v>1151</v>
      </c>
      <c r="B126" s="85"/>
      <c r="C126" s="88"/>
      <c r="D126" s="88"/>
      <c r="E126" s="88"/>
      <c r="F126" s="88"/>
      <c r="G126" s="90"/>
      <c r="H126" s="104"/>
      <c r="I126" s="28"/>
      <c r="J126" s="28"/>
    </row>
    <row r="127" ht="22.5" customHeight="1">
      <c r="A127" s="76" t="s">
        <v>1151</v>
      </c>
      <c r="B127" s="85"/>
      <c r="C127" s="88"/>
      <c r="D127" s="88"/>
      <c r="E127" s="88"/>
      <c r="F127" s="88"/>
      <c r="G127" s="90"/>
      <c r="H127" s="104"/>
      <c r="I127" s="28"/>
      <c r="J127" s="28"/>
    </row>
    <row r="128" ht="22.5" customHeight="1">
      <c r="A128" s="76" t="s">
        <v>1151</v>
      </c>
      <c r="B128" s="85"/>
      <c r="C128" s="88"/>
      <c r="D128" s="88"/>
      <c r="E128" s="88"/>
      <c r="F128" s="88"/>
      <c r="G128" s="93"/>
      <c r="H128" s="104"/>
      <c r="I128" s="28"/>
      <c r="J128" s="28"/>
    </row>
    <row r="129" ht="22.5" customHeight="1">
      <c r="A129" s="76" t="s">
        <v>1151</v>
      </c>
      <c r="B129" s="85"/>
      <c r="C129" s="88"/>
      <c r="D129" s="88"/>
      <c r="E129" s="88"/>
      <c r="F129" s="88"/>
      <c r="G129" s="88"/>
      <c r="H129" s="104"/>
      <c r="I129" s="28"/>
      <c r="J129" s="28"/>
    </row>
    <row r="130" ht="22.5" customHeight="1">
      <c r="A130" s="76" t="s">
        <v>1151</v>
      </c>
      <c r="B130" s="85"/>
      <c r="C130" s="88"/>
      <c r="D130" s="88"/>
      <c r="E130" s="88"/>
      <c r="F130" s="88"/>
      <c r="G130" s="88"/>
      <c r="H130" s="104"/>
      <c r="I130" s="28"/>
      <c r="J130" s="28"/>
    </row>
    <row r="131" ht="22.5" customHeight="1">
      <c r="A131" s="76" t="s">
        <v>1151</v>
      </c>
      <c r="B131" s="85"/>
      <c r="C131" s="88"/>
      <c r="D131" s="88"/>
      <c r="E131" s="88"/>
      <c r="F131" s="88"/>
      <c r="G131" s="88"/>
      <c r="H131" s="104"/>
      <c r="I131" s="28"/>
      <c r="J131" s="28"/>
    </row>
    <row r="132" ht="22.5" customHeight="1">
      <c r="A132" s="76" t="s">
        <v>1151</v>
      </c>
      <c r="B132" s="85"/>
      <c r="C132" s="88"/>
      <c r="D132" s="88"/>
      <c r="E132" s="88"/>
      <c r="F132" s="88"/>
      <c r="G132" s="88"/>
      <c r="H132" s="104"/>
      <c r="I132" s="28"/>
      <c r="J132" s="28"/>
    </row>
    <row r="133" ht="22.5" customHeight="1">
      <c r="A133" s="76" t="s">
        <v>1151</v>
      </c>
      <c r="B133" s="85"/>
      <c r="C133" s="88"/>
      <c r="D133" s="88"/>
      <c r="E133" s="88"/>
      <c r="F133" s="88"/>
      <c r="G133" s="93"/>
      <c r="H133" s="104"/>
      <c r="I133" s="28"/>
      <c r="J133" s="28"/>
    </row>
    <row r="134" ht="22.5" customHeight="1">
      <c r="A134" s="76" t="s">
        <v>1151</v>
      </c>
      <c r="B134" s="85"/>
      <c r="C134" s="88"/>
      <c r="D134" s="88"/>
      <c r="E134" s="88"/>
      <c r="F134" s="88"/>
      <c r="G134" s="88"/>
      <c r="H134" s="104"/>
      <c r="I134" s="28"/>
      <c r="J134" s="28"/>
    </row>
    <row r="135" ht="22.5" customHeight="1">
      <c r="A135" s="76" t="s">
        <v>1151</v>
      </c>
      <c r="B135" s="85"/>
      <c r="C135" s="88"/>
      <c r="D135" s="88"/>
      <c r="E135" s="88"/>
      <c r="F135" s="88"/>
      <c r="G135" s="88"/>
      <c r="H135" s="104"/>
      <c r="I135" s="28"/>
      <c r="J135" s="28"/>
    </row>
    <row r="136" ht="22.5" customHeight="1">
      <c r="A136" s="76" t="s">
        <v>1151</v>
      </c>
      <c r="B136" s="85"/>
      <c r="C136" s="88"/>
      <c r="D136" s="88"/>
      <c r="E136" s="88"/>
      <c r="F136" s="88"/>
      <c r="G136" s="88"/>
      <c r="H136" s="104"/>
      <c r="I136" s="28"/>
      <c r="J136" s="28"/>
    </row>
    <row r="137" ht="22.5" customHeight="1">
      <c r="A137" s="76" t="s">
        <v>1151</v>
      </c>
      <c r="B137" s="85"/>
      <c r="C137" s="88"/>
      <c r="D137" s="88"/>
      <c r="E137" s="88"/>
      <c r="F137" s="88"/>
      <c r="G137" s="88"/>
      <c r="H137" s="104"/>
      <c r="I137" s="28"/>
      <c r="J137" s="28"/>
    </row>
    <row r="138" ht="22.5" customHeight="1">
      <c r="A138" s="76" t="s">
        <v>1151</v>
      </c>
      <c r="B138" s="85"/>
      <c r="C138" s="88"/>
      <c r="D138" s="88"/>
      <c r="E138" s="88"/>
      <c r="F138" s="88"/>
      <c r="G138" s="93"/>
      <c r="H138" s="104"/>
      <c r="I138" s="28"/>
      <c r="J138" s="28"/>
    </row>
    <row r="139" ht="22.5" customHeight="1">
      <c r="A139" s="76" t="s">
        <v>1151</v>
      </c>
      <c r="B139" s="85"/>
      <c r="C139" s="88"/>
      <c r="D139" s="88"/>
      <c r="E139" s="88"/>
      <c r="F139" s="88"/>
      <c r="G139" s="88"/>
      <c r="H139" s="104"/>
      <c r="I139" s="28"/>
      <c r="J139" s="28"/>
    </row>
    <row r="140" ht="22.5" customHeight="1">
      <c r="A140" s="76" t="s">
        <v>1151</v>
      </c>
      <c r="B140" s="85"/>
      <c r="C140" s="88"/>
      <c r="D140" s="88"/>
      <c r="E140" s="88"/>
      <c r="F140" s="88"/>
      <c r="G140" s="88"/>
      <c r="H140" s="104"/>
      <c r="I140" s="28"/>
      <c r="J140" s="28"/>
    </row>
    <row r="141" ht="22.5" customHeight="1">
      <c r="A141" s="76" t="s">
        <v>1151</v>
      </c>
      <c r="B141" s="85"/>
      <c r="C141" s="88"/>
      <c r="D141" s="88"/>
      <c r="E141" s="88"/>
      <c r="F141" s="88"/>
      <c r="G141" s="88"/>
      <c r="H141" s="104"/>
      <c r="I141" s="28"/>
      <c r="J141" s="28"/>
    </row>
    <row r="142" ht="22.5" customHeight="1">
      <c r="A142" s="76" t="s">
        <v>1151</v>
      </c>
      <c r="B142" s="85"/>
      <c r="C142" s="88"/>
      <c r="D142" s="88"/>
      <c r="E142" s="88"/>
      <c r="F142" s="88"/>
      <c r="G142" s="88"/>
      <c r="H142" s="104"/>
      <c r="I142" s="28"/>
      <c r="J142" s="28"/>
    </row>
    <row r="143" ht="22.5" customHeight="1">
      <c r="A143" s="76" t="s">
        <v>1151</v>
      </c>
      <c r="B143" s="85"/>
      <c r="C143" s="88"/>
      <c r="D143" s="88"/>
      <c r="E143" s="88"/>
      <c r="F143" s="88"/>
      <c r="G143" s="93"/>
      <c r="H143" s="104"/>
      <c r="I143" s="28"/>
      <c r="J143" s="28"/>
    </row>
    <row r="144" ht="22.5" customHeight="1">
      <c r="A144" s="76" t="s">
        <v>1151</v>
      </c>
      <c r="B144" s="85"/>
      <c r="C144" s="88"/>
      <c r="D144" s="88"/>
      <c r="E144" s="88"/>
      <c r="F144" s="88"/>
      <c r="G144" s="88"/>
      <c r="H144" s="104"/>
      <c r="I144" s="28"/>
      <c r="J144" s="28"/>
    </row>
    <row r="145" ht="22.5" customHeight="1">
      <c r="A145" s="76" t="s">
        <v>1151</v>
      </c>
      <c r="B145" s="85"/>
      <c r="C145" s="88"/>
      <c r="D145" s="88"/>
      <c r="E145" s="88"/>
      <c r="F145" s="88"/>
      <c r="G145" s="88"/>
      <c r="H145" s="104"/>
      <c r="I145" s="28"/>
      <c r="J145" s="28"/>
    </row>
    <row r="146" ht="22.5" customHeight="1">
      <c r="A146" s="76" t="s">
        <v>1151</v>
      </c>
      <c r="B146" s="85"/>
      <c r="C146" s="88"/>
      <c r="D146" s="88"/>
      <c r="E146" s="88"/>
      <c r="F146" s="88"/>
      <c r="G146" s="88"/>
      <c r="H146" s="104"/>
      <c r="I146" s="28"/>
      <c r="J146" s="28"/>
    </row>
    <row r="147" ht="22.5" customHeight="1">
      <c r="A147" s="76" t="s">
        <v>1151</v>
      </c>
      <c r="B147" s="85"/>
      <c r="C147" s="88"/>
      <c r="D147" s="88"/>
      <c r="E147" s="88"/>
      <c r="F147" s="88"/>
      <c r="G147" s="90"/>
      <c r="H147" s="104"/>
      <c r="I147" s="28"/>
      <c r="J147" s="28"/>
    </row>
    <row r="148" ht="22.5" customHeight="1">
      <c r="A148" s="76" t="s">
        <v>1151</v>
      </c>
      <c r="B148" s="85"/>
      <c r="C148" s="88"/>
      <c r="D148" s="88"/>
      <c r="E148" s="88"/>
      <c r="F148" s="88"/>
      <c r="G148" s="93"/>
      <c r="H148" s="104"/>
      <c r="I148" s="28"/>
      <c r="J148" s="28"/>
    </row>
    <row r="149" ht="22.5" customHeight="1">
      <c r="A149" s="76" t="s">
        <v>1151</v>
      </c>
      <c r="B149" s="85"/>
      <c r="C149" s="88"/>
      <c r="D149" s="88"/>
      <c r="E149" s="88"/>
      <c r="F149" s="88"/>
      <c r="G149" s="88"/>
      <c r="H149" s="111"/>
      <c r="I149" s="26"/>
      <c r="J149" s="28"/>
    </row>
    <row r="150" ht="22.5" customHeight="1">
      <c r="A150" s="76" t="s">
        <v>1151</v>
      </c>
      <c r="B150" s="85"/>
      <c r="C150" s="88"/>
      <c r="D150" s="88"/>
      <c r="E150" s="88"/>
      <c r="F150" s="88"/>
      <c r="G150" s="88"/>
      <c r="H150" s="111"/>
      <c r="I150" s="26"/>
      <c r="J150" s="28"/>
    </row>
    <row r="151" ht="22.5" customHeight="1">
      <c r="A151" s="76" t="s">
        <v>1151</v>
      </c>
      <c r="B151" s="85"/>
      <c r="C151" s="88"/>
      <c r="D151" s="88"/>
      <c r="E151" s="88"/>
      <c r="F151" s="88"/>
      <c r="G151" s="88"/>
      <c r="H151" s="111"/>
      <c r="I151" s="28"/>
      <c r="J151" s="28"/>
    </row>
    <row r="152" ht="22.5" customHeight="1">
      <c r="A152" s="76" t="s">
        <v>1151</v>
      </c>
      <c r="B152" s="85"/>
      <c r="C152" s="88"/>
      <c r="D152" s="88"/>
      <c r="E152" s="88"/>
      <c r="F152" s="88"/>
      <c r="G152" s="90"/>
      <c r="H152" s="111"/>
      <c r="I152" s="28"/>
      <c r="J152" s="28"/>
    </row>
    <row r="153" ht="22.5" customHeight="1">
      <c r="A153" s="76" t="s">
        <v>1151</v>
      </c>
      <c r="B153" s="85"/>
      <c r="C153" s="88"/>
      <c r="D153" s="88"/>
      <c r="E153" s="88"/>
      <c r="F153" s="88"/>
      <c r="G153" s="97"/>
      <c r="H153" s="111"/>
      <c r="I153" s="28"/>
      <c r="J153" s="28"/>
    </row>
    <row r="154" ht="22.5" customHeight="1">
      <c r="A154" s="76" t="s">
        <v>1151</v>
      </c>
      <c r="B154" s="88"/>
      <c r="C154" s="88"/>
      <c r="D154" s="88"/>
      <c r="E154" s="88"/>
      <c r="F154" s="88"/>
      <c r="G154" s="95"/>
      <c r="H154" s="111"/>
      <c r="I154" s="28"/>
      <c r="J154" s="28"/>
    </row>
    <row r="155" ht="22.5" customHeight="1">
      <c r="A155" s="76" t="s">
        <v>1151</v>
      </c>
      <c r="B155" s="88"/>
      <c r="C155" s="88"/>
      <c r="D155" s="88"/>
      <c r="E155" s="88"/>
      <c r="F155" s="88"/>
      <c r="G155" s="95"/>
      <c r="H155" s="111"/>
      <c r="I155" s="28"/>
      <c r="J155" s="28"/>
    </row>
    <row r="156" ht="22.5" customHeight="1">
      <c r="A156" s="76" t="s">
        <v>1151</v>
      </c>
      <c r="B156" s="88"/>
      <c r="C156" s="88"/>
      <c r="D156" s="88"/>
      <c r="E156" s="88"/>
      <c r="F156" s="88"/>
      <c r="G156" s="95"/>
      <c r="H156" s="111"/>
      <c r="I156" s="28"/>
      <c r="J156" s="28"/>
    </row>
    <row r="157" ht="22.5" customHeight="1">
      <c r="A157" s="76" t="s">
        <v>1151</v>
      </c>
      <c r="B157" s="88"/>
      <c r="C157" s="88"/>
      <c r="D157" s="88"/>
      <c r="E157" s="88"/>
      <c r="F157" s="88"/>
      <c r="G157" s="95"/>
      <c r="H157" s="111"/>
      <c r="I157" s="28"/>
      <c r="J157" s="28"/>
    </row>
    <row r="158" ht="22.5" customHeight="1">
      <c r="A158" s="76" t="s">
        <v>1151</v>
      </c>
      <c r="B158" s="88"/>
      <c r="C158" s="88"/>
      <c r="D158" s="88"/>
      <c r="E158" s="88"/>
      <c r="F158" s="88"/>
      <c r="G158" s="95"/>
      <c r="H158" s="111"/>
      <c r="I158" s="28"/>
      <c r="J158" s="28"/>
    </row>
    <row r="159" ht="22.5" customHeight="1">
      <c r="A159" s="76" t="s">
        <v>1151</v>
      </c>
      <c r="B159" s="88"/>
      <c r="C159" s="88"/>
      <c r="D159" s="88"/>
      <c r="E159" s="88"/>
      <c r="F159" s="88"/>
      <c r="G159" s="95"/>
      <c r="H159" s="111"/>
      <c r="I159" s="28"/>
      <c r="J159" s="28"/>
    </row>
    <row r="160" ht="22.5" customHeight="1">
      <c r="A160" s="76" t="s">
        <v>1151</v>
      </c>
      <c r="B160" s="88"/>
      <c r="C160" s="88"/>
      <c r="D160" s="88"/>
      <c r="E160" s="88"/>
      <c r="F160" s="88"/>
      <c r="G160" s="82"/>
      <c r="H160" s="111"/>
      <c r="I160" s="28"/>
      <c r="J160" s="28"/>
    </row>
    <row r="161" ht="22.5" customHeight="1">
      <c r="A161" s="76" t="s">
        <v>1151</v>
      </c>
      <c r="B161" s="88"/>
      <c r="C161" s="88"/>
      <c r="D161" s="88"/>
      <c r="E161" s="88"/>
      <c r="F161" s="88"/>
      <c r="G161" s="90"/>
      <c r="H161" s="111"/>
      <c r="I161" s="28"/>
      <c r="J161" s="28"/>
    </row>
    <row r="162" ht="22.5" customHeight="1">
      <c r="A162" s="76" t="s">
        <v>1151</v>
      </c>
      <c r="B162" s="88"/>
      <c r="C162" s="88"/>
      <c r="D162" s="88"/>
      <c r="E162" s="88"/>
      <c r="F162" s="88"/>
      <c r="G162" s="90"/>
      <c r="H162" s="111"/>
      <c r="I162" s="28"/>
      <c r="J162" s="28"/>
    </row>
    <row r="163" ht="22.5" customHeight="1">
      <c r="A163" s="76" t="s">
        <v>1151</v>
      </c>
      <c r="B163" s="88"/>
      <c r="C163" s="88"/>
      <c r="D163" s="88"/>
      <c r="E163" s="88"/>
      <c r="F163" s="88"/>
      <c r="G163" s="90"/>
      <c r="H163" s="111"/>
      <c r="I163" s="28"/>
      <c r="J163" s="28"/>
    </row>
    <row r="164" ht="22.5" customHeight="1">
      <c r="A164" s="76" t="s">
        <v>1151</v>
      </c>
      <c r="B164" s="88"/>
      <c r="C164" s="88"/>
      <c r="D164" s="88"/>
      <c r="E164" s="88"/>
      <c r="F164" s="88"/>
      <c r="G164" s="90"/>
      <c r="H164" s="111"/>
      <c r="I164" s="28"/>
      <c r="J164" s="28"/>
    </row>
    <row r="165" ht="22.5" customHeight="1">
      <c r="A165" s="76" t="s">
        <v>1151</v>
      </c>
      <c r="B165" s="88"/>
      <c r="C165" s="88"/>
      <c r="D165" s="88"/>
      <c r="E165" s="88"/>
      <c r="F165" s="88"/>
      <c r="G165" s="90"/>
      <c r="H165" s="111"/>
      <c r="I165" s="28"/>
      <c r="J165" s="28"/>
    </row>
    <row r="166" ht="22.5" customHeight="1">
      <c r="A166" s="76" t="s">
        <v>1151</v>
      </c>
      <c r="B166" s="88"/>
      <c r="C166" s="88"/>
      <c r="D166" s="88"/>
      <c r="E166" s="88"/>
      <c r="F166" s="88"/>
      <c r="G166" s="90"/>
      <c r="H166" s="111"/>
      <c r="I166" s="28"/>
      <c r="J166" s="28"/>
    </row>
    <row r="167" ht="22.5" customHeight="1">
      <c r="A167" s="76" t="s">
        <v>1151</v>
      </c>
      <c r="B167" s="88"/>
      <c r="C167" s="88"/>
      <c r="D167" s="88"/>
      <c r="E167" s="88"/>
      <c r="F167" s="88"/>
      <c r="G167" s="90"/>
      <c r="H167" s="111"/>
      <c r="I167" s="28"/>
      <c r="J167" s="28"/>
    </row>
    <row r="168" ht="22.5" customHeight="1">
      <c r="A168" s="76" t="s">
        <v>1151</v>
      </c>
      <c r="B168" s="88"/>
      <c r="C168" s="88"/>
      <c r="D168" s="88"/>
      <c r="E168" s="88"/>
      <c r="F168" s="88"/>
      <c r="G168" s="90"/>
      <c r="H168" s="111"/>
      <c r="I168" s="28"/>
      <c r="J168" s="28"/>
    </row>
    <row r="169" ht="22.5" customHeight="1">
      <c r="A169" s="76" t="s">
        <v>1151</v>
      </c>
      <c r="B169" s="88"/>
      <c r="C169" s="88"/>
      <c r="D169" s="88"/>
      <c r="E169" s="88"/>
      <c r="F169" s="88"/>
      <c r="G169" s="90"/>
      <c r="H169" s="111"/>
      <c r="I169" s="28"/>
      <c r="J169" s="28"/>
    </row>
    <row r="170" ht="22.5" customHeight="1">
      <c r="A170" s="76" t="s">
        <v>1151</v>
      </c>
      <c r="B170" s="88"/>
      <c r="C170" s="88"/>
      <c r="D170" s="88"/>
      <c r="E170" s="88"/>
      <c r="F170" s="88"/>
      <c r="G170" s="90"/>
      <c r="H170" s="111"/>
      <c r="I170" s="28"/>
      <c r="J170" s="28"/>
    </row>
    <row r="171" ht="22.5" customHeight="1">
      <c r="A171" s="76" t="s">
        <v>1151</v>
      </c>
      <c r="B171" s="88"/>
      <c r="C171" s="88"/>
      <c r="D171" s="88"/>
      <c r="E171" s="88"/>
      <c r="F171" s="88"/>
      <c r="G171" s="90"/>
      <c r="H171" s="111"/>
      <c r="I171" s="28"/>
      <c r="J171" s="28"/>
    </row>
    <row r="172" ht="22.5" customHeight="1">
      <c r="A172" s="76" t="s">
        <v>1151</v>
      </c>
      <c r="B172" s="88"/>
      <c r="C172" s="88"/>
      <c r="D172" s="88"/>
      <c r="E172" s="88"/>
      <c r="F172" s="88"/>
      <c r="G172" s="90"/>
      <c r="H172" s="111"/>
      <c r="I172" s="28"/>
      <c r="J172" s="28"/>
    </row>
    <row r="173" ht="22.5" customHeight="1">
      <c r="A173" s="76" t="s">
        <v>1151</v>
      </c>
      <c r="B173" s="88"/>
      <c r="C173" s="88"/>
      <c r="D173" s="88"/>
      <c r="E173" s="88"/>
      <c r="F173" s="88"/>
      <c r="G173" s="90"/>
      <c r="H173" s="111"/>
      <c r="I173" s="28"/>
      <c r="J173" s="28"/>
    </row>
    <row r="174" ht="22.5" customHeight="1">
      <c r="A174" s="76" t="s">
        <v>1151</v>
      </c>
      <c r="B174" s="88"/>
      <c r="C174" s="88"/>
      <c r="D174" s="88"/>
      <c r="E174" s="88"/>
      <c r="F174" s="88"/>
      <c r="G174" s="88"/>
      <c r="H174" s="111"/>
      <c r="I174" s="28"/>
      <c r="J174" s="28"/>
    </row>
    <row r="175" ht="22.5" customHeight="1">
      <c r="A175" s="76" t="s">
        <v>1151</v>
      </c>
      <c r="B175" s="88"/>
      <c r="C175" s="88"/>
      <c r="D175" s="88"/>
      <c r="E175" s="88"/>
      <c r="F175" s="88"/>
      <c r="G175" s="88"/>
      <c r="H175" s="111"/>
      <c r="I175" s="28"/>
      <c r="J175" s="28"/>
    </row>
    <row r="176" ht="22.5" customHeight="1">
      <c r="A176" s="76" t="s">
        <v>1151</v>
      </c>
      <c r="B176" s="88"/>
      <c r="C176" s="88"/>
      <c r="D176" s="88"/>
      <c r="E176" s="88"/>
      <c r="F176" s="88"/>
      <c r="G176" s="90"/>
      <c r="H176" s="111"/>
      <c r="I176" s="28"/>
      <c r="J176" s="28"/>
    </row>
    <row r="177" ht="22.5" customHeight="1">
      <c r="A177" s="76" t="s">
        <v>1151</v>
      </c>
      <c r="B177" s="88"/>
      <c r="C177" s="88"/>
      <c r="D177" s="88"/>
      <c r="E177" s="88"/>
      <c r="F177" s="88"/>
      <c r="G177" s="90"/>
      <c r="H177" s="111"/>
      <c r="I177" s="28"/>
      <c r="J177" s="28"/>
    </row>
    <row r="178" ht="22.5" customHeight="1">
      <c r="A178" s="76" t="s">
        <v>1151</v>
      </c>
      <c r="B178" s="88"/>
      <c r="C178" s="88"/>
      <c r="D178" s="88"/>
      <c r="E178" s="88"/>
      <c r="F178" s="88"/>
      <c r="G178" s="90"/>
      <c r="H178" s="111"/>
      <c r="I178" s="28"/>
      <c r="J178" s="28"/>
    </row>
    <row r="179" ht="22.5" customHeight="1">
      <c r="A179" s="76" t="s">
        <v>1151</v>
      </c>
      <c r="B179" s="88"/>
      <c r="C179" s="88"/>
      <c r="D179" s="88"/>
      <c r="E179" s="88"/>
      <c r="F179" s="88"/>
      <c r="G179" s="90"/>
      <c r="H179" s="111"/>
      <c r="I179" s="28"/>
      <c r="J179" s="28"/>
    </row>
    <row r="180" ht="22.5" customHeight="1">
      <c r="A180" s="76" t="s">
        <v>1151</v>
      </c>
      <c r="B180" s="88"/>
      <c r="C180" s="88"/>
      <c r="D180" s="88"/>
      <c r="E180" s="88"/>
      <c r="F180" s="88"/>
      <c r="G180" s="90"/>
      <c r="H180" s="111"/>
      <c r="I180" s="28"/>
      <c r="J180" s="28"/>
    </row>
    <row r="181" ht="22.5" customHeight="1">
      <c r="A181" s="76" t="s">
        <v>1151</v>
      </c>
      <c r="B181" s="88"/>
      <c r="C181" s="88"/>
      <c r="D181" s="88"/>
      <c r="E181" s="88"/>
      <c r="F181" s="88"/>
      <c r="G181" s="90"/>
      <c r="H181" s="111"/>
      <c r="I181" s="28"/>
      <c r="J181" s="28"/>
    </row>
    <row r="182" ht="22.5" customHeight="1">
      <c r="A182" s="76" t="s">
        <v>1151</v>
      </c>
      <c r="B182" s="88"/>
      <c r="C182" s="88"/>
      <c r="D182" s="88"/>
      <c r="E182" s="88"/>
      <c r="F182" s="88"/>
      <c r="G182" s="90"/>
      <c r="H182" s="111"/>
      <c r="I182" s="28"/>
      <c r="J182" s="28"/>
    </row>
    <row r="183" ht="22.5" customHeight="1">
      <c r="A183" s="76" t="s">
        <v>1151</v>
      </c>
      <c r="B183" s="88"/>
      <c r="C183" s="88"/>
      <c r="D183" s="88"/>
      <c r="E183" s="88"/>
      <c r="F183" s="88"/>
      <c r="G183" s="90"/>
      <c r="H183" s="111"/>
      <c r="I183" s="28"/>
      <c r="J183" s="28"/>
    </row>
    <row r="184" ht="22.5" customHeight="1">
      <c r="A184" s="76" t="s">
        <v>1151</v>
      </c>
      <c r="B184" s="88"/>
      <c r="C184" s="88"/>
      <c r="D184" s="88"/>
      <c r="E184" s="88"/>
      <c r="F184" s="88"/>
      <c r="G184" s="90"/>
      <c r="H184" s="111"/>
      <c r="I184" s="28"/>
      <c r="J184" s="28"/>
    </row>
    <row r="185" ht="22.5" customHeight="1">
      <c r="A185" s="76" t="s">
        <v>1151</v>
      </c>
      <c r="B185" s="88"/>
      <c r="C185" s="88"/>
      <c r="D185" s="88"/>
      <c r="E185" s="88"/>
      <c r="F185" s="88"/>
      <c r="G185" s="90"/>
      <c r="H185" s="111"/>
      <c r="I185" s="28"/>
      <c r="J185" s="28"/>
    </row>
    <row r="186" ht="22.5" customHeight="1">
      <c r="A186" s="76" t="s">
        <v>1151</v>
      </c>
      <c r="B186" s="88"/>
      <c r="C186" s="88"/>
      <c r="D186" s="88"/>
      <c r="E186" s="88"/>
      <c r="F186" s="88"/>
      <c r="G186" s="90"/>
      <c r="H186" s="111"/>
      <c r="I186" s="28"/>
      <c r="J186" s="28"/>
    </row>
    <row r="187" ht="22.5" customHeight="1">
      <c r="A187" s="76" t="s">
        <v>1151</v>
      </c>
      <c r="B187" s="88"/>
      <c r="C187" s="88"/>
      <c r="D187" s="88"/>
      <c r="E187" s="88"/>
      <c r="F187" s="88"/>
      <c r="G187" s="90"/>
      <c r="H187" s="111"/>
      <c r="I187" s="28"/>
      <c r="J187" s="28"/>
    </row>
    <row r="188" ht="22.5" customHeight="1">
      <c r="A188" s="76" t="s">
        <v>1151</v>
      </c>
      <c r="B188" s="88"/>
      <c r="C188" s="88"/>
      <c r="D188" s="88"/>
      <c r="E188" s="88"/>
      <c r="F188" s="88"/>
      <c r="G188" s="88"/>
      <c r="H188" s="111"/>
      <c r="I188" s="28"/>
      <c r="J188" s="28"/>
    </row>
    <row r="189" ht="22.5" customHeight="1">
      <c r="A189" s="76" t="s">
        <v>1151</v>
      </c>
      <c r="B189" s="88"/>
      <c r="C189" s="88"/>
      <c r="D189" s="88"/>
      <c r="E189" s="88"/>
      <c r="F189" s="88"/>
      <c r="G189" s="88"/>
      <c r="H189" s="111"/>
      <c r="I189" s="28"/>
      <c r="J189" s="28"/>
    </row>
    <row r="190" ht="22.5" customHeight="1">
      <c r="A190" s="76" t="s">
        <v>1151</v>
      </c>
      <c r="B190" s="88"/>
      <c r="C190" s="88"/>
      <c r="D190" s="88"/>
      <c r="E190" s="88"/>
      <c r="F190" s="88"/>
      <c r="G190" s="88"/>
      <c r="H190" s="111"/>
      <c r="I190" s="28"/>
      <c r="J190" s="28"/>
    </row>
    <row r="191" ht="22.5" customHeight="1">
      <c r="A191" s="76" t="s">
        <v>1151</v>
      </c>
      <c r="B191" s="88"/>
      <c r="C191" s="88"/>
      <c r="D191" s="88"/>
      <c r="E191" s="88"/>
      <c r="F191" s="88"/>
      <c r="G191" s="88"/>
      <c r="H191" s="111"/>
      <c r="I191" s="28"/>
      <c r="J191" s="28"/>
    </row>
    <row r="192" ht="22.5" customHeight="1">
      <c r="A192" s="76" t="s">
        <v>1151</v>
      </c>
      <c r="B192" s="88"/>
      <c r="C192" s="88"/>
      <c r="D192" s="88"/>
      <c r="E192" s="88"/>
      <c r="F192" s="88"/>
      <c r="G192" s="90"/>
      <c r="H192" s="111"/>
      <c r="I192" s="28"/>
      <c r="J192" s="28"/>
    </row>
    <row r="193" ht="22.5" customHeight="1">
      <c r="A193" s="76" t="s">
        <v>1151</v>
      </c>
      <c r="B193" s="88"/>
      <c r="C193" s="88"/>
      <c r="D193" s="88"/>
      <c r="E193" s="88"/>
      <c r="F193" s="88"/>
      <c r="G193" s="90"/>
      <c r="H193" s="111"/>
      <c r="I193" s="28"/>
      <c r="J193" s="28"/>
    </row>
    <row r="194" ht="22.5" customHeight="1">
      <c r="A194" s="76" t="s">
        <v>1151</v>
      </c>
      <c r="B194" s="88"/>
      <c r="C194" s="88"/>
      <c r="D194" s="88"/>
      <c r="E194" s="88"/>
      <c r="F194" s="88"/>
      <c r="G194" s="90"/>
      <c r="H194" s="111"/>
      <c r="I194" s="28"/>
      <c r="J194" s="28"/>
    </row>
    <row r="195" ht="22.5" customHeight="1">
      <c r="A195" s="76" t="s">
        <v>1151</v>
      </c>
      <c r="B195" s="88"/>
      <c r="C195" s="88"/>
      <c r="D195" s="88"/>
      <c r="E195" s="88"/>
      <c r="F195" s="88"/>
      <c r="G195" s="90"/>
      <c r="H195" s="111"/>
      <c r="I195" s="28"/>
      <c r="J195" s="28"/>
    </row>
    <row r="196" ht="22.5" customHeight="1">
      <c r="A196" s="76" t="s">
        <v>1151</v>
      </c>
      <c r="B196" s="88"/>
      <c r="C196" s="88"/>
      <c r="D196" s="88"/>
      <c r="E196" s="88"/>
      <c r="F196" s="88"/>
      <c r="G196" s="90"/>
      <c r="H196" s="111"/>
      <c r="I196" s="28"/>
      <c r="J196" s="28"/>
    </row>
    <row r="197" ht="22.5" customHeight="1">
      <c r="A197" s="76" t="s">
        <v>1151</v>
      </c>
      <c r="B197" s="88"/>
      <c r="C197" s="88"/>
      <c r="D197" s="88"/>
      <c r="E197" s="88"/>
      <c r="F197" s="88"/>
      <c r="G197" s="90"/>
      <c r="H197" s="111"/>
      <c r="I197" s="28"/>
      <c r="J197" s="28"/>
    </row>
    <row r="198" ht="22.5" customHeight="1">
      <c r="A198" s="76" t="s">
        <v>1151</v>
      </c>
      <c r="B198" s="88"/>
      <c r="C198" s="88"/>
      <c r="D198" s="88"/>
      <c r="E198" s="88"/>
      <c r="F198" s="88"/>
      <c r="G198" s="90"/>
      <c r="H198" s="111"/>
      <c r="I198" s="28"/>
      <c r="J198" s="28"/>
    </row>
    <row r="199" ht="22.5" customHeight="1">
      <c r="A199" s="76" t="s">
        <v>1151</v>
      </c>
      <c r="B199" s="88"/>
      <c r="C199" s="88"/>
      <c r="D199" s="88"/>
      <c r="E199" s="88"/>
      <c r="F199" s="88"/>
      <c r="G199" s="90"/>
      <c r="H199" s="111"/>
      <c r="I199" s="28"/>
      <c r="J199" s="28"/>
    </row>
    <row r="200" ht="22.5" customHeight="1">
      <c r="A200" s="76" t="s">
        <v>1151</v>
      </c>
      <c r="B200" s="88"/>
      <c r="C200" s="88"/>
      <c r="D200" s="88"/>
      <c r="E200" s="88"/>
      <c r="F200" s="88"/>
      <c r="G200" s="90"/>
      <c r="H200" s="111"/>
      <c r="I200" s="28"/>
      <c r="J200" s="28"/>
    </row>
    <row r="201" ht="22.5" customHeight="1">
      <c r="A201" s="76" t="s">
        <v>1151</v>
      </c>
      <c r="B201" s="88"/>
      <c r="C201" s="88"/>
      <c r="D201" s="88"/>
      <c r="E201" s="88"/>
      <c r="F201" s="88"/>
      <c r="G201" s="90"/>
      <c r="H201" s="111"/>
      <c r="I201" s="28"/>
      <c r="J201" s="28"/>
    </row>
    <row r="202" ht="22.5" customHeight="1">
      <c r="A202" s="76" t="s">
        <v>1151</v>
      </c>
      <c r="B202" s="88"/>
      <c r="C202" s="88"/>
      <c r="D202" s="88"/>
      <c r="E202" s="88"/>
      <c r="F202" s="88"/>
      <c r="G202" s="88"/>
      <c r="H202" s="111"/>
      <c r="I202" s="28"/>
      <c r="J202" s="28"/>
    </row>
    <row r="203" ht="22.5" customHeight="1">
      <c r="A203" s="76" t="s">
        <v>1151</v>
      </c>
      <c r="B203" s="88"/>
      <c r="C203" s="88"/>
      <c r="D203" s="88"/>
      <c r="E203" s="88"/>
      <c r="F203" s="88"/>
      <c r="G203" s="88"/>
      <c r="H203" s="111"/>
      <c r="I203" s="28"/>
      <c r="J203" s="28"/>
    </row>
    <row r="204" ht="22.5" customHeight="1">
      <c r="A204" s="76" t="s">
        <v>1151</v>
      </c>
      <c r="B204" s="88"/>
      <c r="C204" s="88"/>
      <c r="D204" s="88"/>
      <c r="E204" s="88"/>
      <c r="F204" s="88"/>
      <c r="G204" s="88"/>
      <c r="H204" s="111"/>
      <c r="I204" s="28"/>
      <c r="J204" s="28"/>
    </row>
    <row r="205" ht="22.5" customHeight="1">
      <c r="A205" s="76" t="s">
        <v>1151</v>
      </c>
      <c r="B205" s="88"/>
      <c r="C205" s="88"/>
      <c r="D205" s="88"/>
      <c r="E205" s="88"/>
      <c r="F205" s="88"/>
      <c r="G205" s="88"/>
      <c r="H205" s="111"/>
      <c r="I205" s="28"/>
      <c r="J205" s="28"/>
    </row>
    <row r="206" ht="22.5" customHeight="1">
      <c r="A206" s="76" t="s">
        <v>1151</v>
      </c>
      <c r="B206" s="88"/>
      <c r="C206" s="88"/>
      <c r="D206" s="88"/>
      <c r="E206" s="88"/>
      <c r="F206" s="88"/>
      <c r="G206" s="90"/>
      <c r="H206" s="111"/>
      <c r="I206" s="28"/>
      <c r="J206" s="28"/>
    </row>
    <row r="207" ht="22.5" customHeight="1">
      <c r="A207" s="76" t="s">
        <v>1151</v>
      </c>
      <c r="B207" s="88"/>
      <c r="C207" s="88"/>
      <c r="D207" s="88"/>
      <c r="E207" s="88"/>
      <c r="F207" s="88"/>
      <c r="G207" s="90"/>
      <c r="H207" s="111"/>
      <c r="I207" s="28"/>
      <c r="J207" s="28"/>
    </row>
    <row r="208" ht="22.5" customHeight="1">
      <c r="A208" s="76" t="s">
        <v>1151</v>
      </c>
      <c r="B208" s="88"/>
      <c r="C208" s="88"/>
      <c r="D208" s="88"/>
      <c r="E208" s="88"/>
      <c r="F208" s="88"/>
      <c r="G208" s="90"/>
      <c r="H208" s="111"/>
      <c r="I208" s="28"/>
      <c r="J208" s="28"/>
    </row>
    <row r="209" ht="22.5" customHeight="1">
      <c r="A209" s="76" t="s">
        <v>1151</v>
      </c>
      <c r="B209" s="88"/>
      <c r="C209" s="88"/>
      <c r="D209" s="88"/>
      <c r="E209" s="88"/>
      <c r="F209" s="88"/>
      <c r="G209" s="88"/>
      <c r="H209" s="111"/>
      <c r="I209" s="28"/>
      <c r="J209" s="28"/>
    </row>
    <row r="210" ht="22.5" customHeight="1">
      <c r="A210" s="76" t="s">
        <v>1151</v>
      </c>
      <c r="B210" s="88"/>
      <c r="C210" s="88"/>
      <c r="D210" s="88"/>
      <c r="E210" s="88"/>
      <c r="F210" s="88"/>
      <c r="G210" s="88"/>
      <c r="H210" s="111"/>
      <c r="I210" s="28"/>
      <c r="J210" s="28"/>
    </row>
    <row r="211" ht="22.5" customHeight="1">
      <c r="A211" s="76" t="s">
        <v>1151</v>
      </c>
      <c r="B211" s="88"/>
      <c r="C211" s="88"/>
      <c r="D211" s="88"/>
      <c r="E211" s="88"/>
      <c r="F211" s="88"/>
      <c r="G211" s="88"/>
      <c r="H211" s="111"/>
      <c r="I211" s="28"/>
      <c r="J211" s="28"/>
    </row>
    <row r="212" ht="22.5" customHeight="1">
      <c r="A212" s="76" t="s">
        <v>1151</v>
      </c>
      <c r="B212" s="88"/>
      <c r="C212" s="88"/>
      <c r="D212" s="88"/>
      <c r="E212" s="88"/>
      <c r="F212" s="88"/>
      <c r="G212" s="88"/>
      <c r="H212" s="111"/>
      <c r="I212" s="28"/>
      <c r="J212" s="28"/>
    </row>
    <row r="213" ht="22.5" customHeight="1">
      <c r="A213" s="76" t="s">
        <v>1151</v>
      </c>
      <c r="B213" s="88"/>
      <c r="C213" s="88"/>
      <c r="D213" s="88"/>
      <c r="E213" s="88"/>
      <c r="F213" s="88"/>
      <c r="G213" s="88"/>
      <c r="H213" s="111"/>
      <c r="I213" s="28"/>
      <c r="J213" s="28"/>
    </row>
    <row r="214" ht="22.5" customHeight="1">
      <c r="A214" s="76" t="s">
        <v>1151</v>
      </c>
      <c r="B214" s="88"/>
      <c r="C214" s="88"/>
      <c r="D214" s="88"/>
      <c r="E214" s="88"/>
      <c r="F214" s="88"/>
      <c r="G214" s="88"/>
      <c r="H214" s="111"/>
      <c r="I214" s="28"/>
      <c r="J214" s="28"/>
    </row>
    <row r="215" ht="22.5" customHeight="1">
      <c r="A215" s="76" t="s">
        <v>1151</v>
      </c>
      <c r="B215" s="88"/>
      <c r="C215" s="88"/>
      <c r="D215" s="88"/>
      <c r="E215" s="88"/>
      <c r="F215" s="88"/>
      <c r="G215" s="88"/>
      <c r="H215" s="111"/>
      <c r="I215" s="28"/>
      <c r="J215" s="28"/>
    </row>
    <row r="216" ht="22.5" customHeight="1">
      <c r="A216" s="76" t="s">
        <v>1151</v>
      </c>
      <c r="B216" s="88"/>
      <c r="C216" s="88"/>
      <c r="D216" s="88"/>
      <c r="E216" s="88"/>
      <c r="F216" s="88"/>
      <c r="G216" s="88"/>
      <c r="H216" s="111"/>
      <c r="I216" s="28"/>
      <c r="J216" s="28"/>
    </row>
    <row r="217" ht="22.5" customHeight="1">
      <c r="A217" s="76" t="s">
        <v>1151</v>
      </c>
      <c r="B217" s="88"/>
      <c r="C217" s="88"/>
      <c r="D217" s="88"/>
      <c r="E217" s="88"/>
      <c r="F217" s="88"/>
      <c r="G217" s="88"/>
      <c r="H217" s="111"/>
      <c r="I217" s="28"/>
      <c r="J217" s="28"/>
    </row>
    <row r="218" ht="22.5" customHeight="1">
      <c r="A218" s="76" t="s">
        <v>1151</v>
      </c>
      <c r="B218" s="88"/>
      <c r="C218" s="88"/>
      <c r="D218" s="88"/>
      <c r="E218" s="88"/>
      <c r="F218" s="88"/>
      <c r="G218" s="88"/>
      <c r="H218" s="111"/>
      <c r="I218" s="28"/>
      <c r="J218" s="28"/>
    </row>
    <row r="219" ht="22.5" customHeight="1">
      <c r="A219" s="76" t="s">
        <v>1151</v>
      </c>
      <c r="B219" s="88"/>
      <c r="C219" s="88"/>
      <c r="D219" s="88"/>
      <c r="E219" s="88"/>
      <c r="F219" s="88"/>
      <c r="G219" s="88"/>
      <c r="H219" s="111"/>
      <c r="I219" s="28"/>
      <c r="J219" s="28"/>
    </row>
    <row r="220" ht="22.5" customHeight="1">
      <c r="A220" s="76" t="s">
        <v>1151</v>
      </c>
      <c r="B220" s="88"/>
      <c r="C220" s="88"/>
      <c r="D220" s="88"/>
      <c r="E220" s="88"/>
      <c r="F220" s="88"/>
      <c r="G220" s="88"/>
      <c r="H220" s="111"/>
      <c r="I220" s="28"/>
      <c r="J220" s="28"/>
    </row>
    <row r="221" ht="22.5" customHeight="1">
      <c r="A221" s="76" t="s">
        <v>1151</v>
      </c>
      <c r="B221" s="88"/>
      <c r="C221" s="88"/>
      <c r="D221" s="88"/>
      <c r="E221" s="88"/>
      <c r="F221" s="88"/>
      <c r="G221" s="88"/>
      <c r="H221" s="111"/>
      <c r="I221" s="28"/>
      <c r="J221" s="28"/>
    </row>
    <row r="222" ht="22.5" customHeight="1">
      <c r="A222" s="76" t="s">
        <v>1151</v>
      </c>
      <c r="B222" s="88"/>
      <c r="C222" s="88"/>
      <c r="D222" s="88"/>
      <c r="E222" s="88"/>
      <c r="F222" s="88"/>
      <c r="G222" s="88"/>
      <c r="H222" s="111"/>
      <c r="I222" s="28"/>
      <c r="J222" s="28"/>
    </row>
    <row r="223" ht="22.5" customHeight="1">
      <c r="A223" s="76" t="s">
        <v>1151</v>
      </c>
      <c r="B223" s="88"/>
      <c r="C223" s="88"/>
      <c r="D223" s="88"/>
      <c r="E223" s="88"/>
      <c r="F223" s="88"/>
      <c r="G223" s="90"/>
      <c r="H223" s="111"/>
      <c r="I223" s="28"/>
      <c r="J223" s="28"/>
    </row>
    <row r="224" ht="22.5" customHeight="1">
      <c r="A224" s="76" t="s">
        <v>1151</v>
      </c>
      <c r="B224" s="88"/>
      <c r="C224" s="88"/>
      <c r="D224" s="88"/>
      <c r="E224" s="88"/>
      <c r="F224" s="88"/>
      <c r="G224" s="90"/>
      <c r="H224" s="111"/>
      <c r="I224" s="28"/>
      <c r="J224" s="28"/>
    </row>
    <row r="225" ht="22.5" customHeight="1">
      <c r="A225" s="76" t="s">
        <v>1151</v>
      </c>
      <c r="B225" s="88"/>
      <c r="C225" s="88"/>
      <c r="D225" s="88"/>
      <c r="E225" s="88"/>
      <c r="F225" s="88"/>
      <c r="G225" s="90"/>
      <c r="H225" s="111"/>
      <c r="I225" s="28"/>
      <c r="J225" s="28"/>
    </row>
    <row r="226" ht="22.5" customHeight="1">
      <c r="A226" s="76" t="s">
        <v>1151</v>
      </c>
      <c r="B226" s="88"/>
      <c r="C226" s="88"/>
      <c r="D226" s="88"/>
      <c r="E226" s="88"/>
      <c r="F226" s="88"/>
      <c r="G226" s="90"/>
      <c r="H226" s="111"/>
      <c r="I226" s="28"/>
      <c r="J226" s="28"/>
    </row>
    <row r="227" ht="22.5" customHeight="1">
      <c r="A227" s="76" t="s">
        <v>1151</v>
      </c>
      <c r="B227" s="88"/>
      <c r="C227" s="88"/>
      <c r="D227" s="88"/>
      <c r="E227" s="88"/>
      <c r="F227" s="88"/>
      <c r="G227" s="90"/>
      <c r="H227" s="111"/>
      <c r="I227" s="28"/>
      <c r="J227" s="28"/>
    </row>
    <row r="228" ht="22.5" customHeight="1">
      <c r="A228" s="76" t="s">
        <v>1151</v>
      </c>
      <c r="B228" s="88"/>
      <c r="C228" s="88"/>
      <c r="D228" s="88"/>
      <c r="E228" s="88"/>
      <c r="F228" s="88"/>
      <c r="G228" s="90"/>
      <c r="H228" s="111"/>
      <c r="I228" s="28"/>
      <c r="J228" s="28"/>
    </row>
    <row r="229" ht="22.5" customHeight="1">
      <c r="A229" s="76" t="s">
        <v>1151</v>
      </c>
      <c r="B229" s="88"/>
      <c r="C229" s="88"/>
      <c r="D229" s="88"/>
      <c r="E229" s="88"/>
      <c r="F229" s="88"/>
      <c r="G229" s="90"/>
      <c r="H229" s="111"/>
      <c r="I229" s="28"/>
      <c r="J229" s="28"/>
    </row>
    <row r="230" ht="22.5" customHeight="1">
      <c r="A230" s="76" t="s">
        <v>1151</v>
      </c>
      <c r="B230" s="88"/>
      <c r="C230" s="88"/>
      <c r="D230" s="88"/>
      <c r="E230" s="88"/>
      <c r="F230" s="88"/>
      <c r="G230" s="90"/>
      <c r="H230" s="111"/>
      <c r="I230" s="28"/>
      <c r="J230" s="28"/>
    </row>
    <row r="231" ht="22.5" customHeight="1">
      <c r="A231" s="76" t="s">
        <v>1151</v>
      </c>
      <c r="B231" s="88"/>
      <c r="C231" s="88"/>
      <c r="D231" s="88"/>
      <c r="E231" s="88"/>
      <c r="F231" s="88"/>
      <c r="G231" s="90"/>
      <c r="H231" s="111"/>
      <c r="I231" s="28"/>
      <c r="J231" s="28"/>
    </row>
    <row r="232" ht="22.5" customHeight="1">
      <c r="A232" s="76" t="s">
        <v>1151</v>
      </c>
      <c r="B232" s="88"/>
      <c r="C232" s="88"/>
      <c r="D232" s="88"/>
      <c r="E232" s="88"/>
      <c r="F232" s="88"/>
      <c r="G232" s="90"/>
      <c r="H232" s="111"/>
      <c r="I232" s="28"/>
      <c r="J232" s="28"/>
    </row>
    <row r="233" ht="22.5" customHeight="1">
      <c r="A233" s="76" t="s">
        <v>1151</v>
      </c>
      <c r="B233" s="88"/>
      <c r="C233" s="88"/>
      <c r="D233" s="88"/>
      <c r="E233" s="88"/>
      <c r="F233" s="88"/>
      <c r="G233" s="90"/>
      <c r="H233" s="111"/>
      <c r="I233" s="28"/>
      <c r="J233" s="28"/>
    </row>
    <row r="234" ht="22.5" customHeight="1">
      <c r="A234" s="76" t="s">
        <v>1151</v>
      </c>
      <c r="B234" s="88"/>
      <c r="C234" s="88"/>
      <c r="D234" s="88"/>
      <c r="E234" s="88"/>
      <c r="F234" s="88"/>
      <c r="G234" s="90"/>
      <c r="H234" s="111"/>
      <c r="I234" s="28"/>
      <c r="J234" s="28"/>
    </row>
    <row r="235" ht="22.5" customHeight="1">
      <c r="A235" s="76" t="s">
        <v>1151</v>
      </c>
      <c r="B235" s="88"/>
      <c r="C235" s="88"/>
      <c r="D235" s="88"/>
      <c r="E235" s="88"/>
      <c r="F235" s="88"/>
      <c r="G235" s="90"/>
      <c r="H235" s="111"/>
      <c r="I235" s="28"/>
      <c r="J235" s="28"/>
    </row>
    <row r="236" ht="22.5" customHeight="1">
      <c r="A236" s="76" t="s">
        <v>1151</v>
      </c>
      <c r="B236" s="88"/>
      <c r="C236" s="88"/>
      <c r="D236" s="88"/>
      <c r="E236" s="88"/>
      <c r="F236" s="88"/>
      <c r="G236" s="90"/>
      <c r="H236" s="111"/>
      <c r="I236" s="28"/>
      <c r="J236" s="28"/>
    </row>
    <row r="237" ht="22.5" customHeight="1">
      <c r="A237" s="76" t="s">
        <v>1151</v>
      </c>
      <c r="B237" s="88"/>
      <c r="C237" s="88"/>
      <c r="D237" s="88"/>
      <c r="E237" s="88"/>
      <c r="F237" s="88"/>
      <c r="G237" s="90"/>
      <c r="H237" s="111"/>
      <c r="I237" s="28"/>
      <c r="J237" s="28"/>
    </row>
    <row r="238" ht="22.5" customHeight="1">
      <c r="A238" s="76" t="s">
        <v>1151</v>
      </c>
      <c r="B238" s="88"/>
      <c r="C238" s="88"/>
      <c r="D238" s="88"/>
      <c r="E238" s="88"/>
      <c r="F238" s="88"/>
      <c r="G238" s="90"/>
      <c r="H238" s="111"/>
      <c r="I238" s="28"/>
      <c r="J238" s="28"/>
    </row>
    <row r="239" ht="22.5" customHeight="1">
      <c r="A239" s="76" t="s">
        <v>1151</v>
      </c>
      <c r="B239" s="88"/>
      <c r="C239" s="88"/>
      <c r="D239" s="88"/>
      <c r="E239" s="88"/>
      <c r="F239" s="88"/>
      <c r="G239" s="90"/>
      <c r="H239" s="111"/>
      <c r="I239" s="28"/>
      <c r="J239" s="28"/>
    </row>
    <row r="240" ht="22.5" customHeight="1">
      <c r="A240" s="76" t="s">
        <v>1151</v>
      </c>
      <c r="B240" s="88"/>
      <c r="C240" s="88"/>
      <c r="D240" s="88"/>
      <c r="E240" s="88"/>
      <c r="F240" s="88"/>
      <c r="G240" s="90"/>
      <c r="H240" s="111"/>
      <c r="I240" s="28"/>
      <c r="J240" s="28"/>
    </row>
    <row r="241" ht="22.5" customHeight="1">
      <c r="A241" s="76" t="s">
        <v>1151</v>
      </c>
      <c r="B241" s="88"/>
      <c r="C241" s="88"/>
      <c r="D241" s="88"/>
      <c r="E241" s="88"/>
      <c r="F241" s="88"/>
      <c r="G241" s="90"/>
      <c r="H241" s="111"/>
      <c r="I241" s="28"/>
      <c r="J241" s="28"/>
    </row>
    <row r="242" ht="22.5" customHeight="1">
      <c r="A242" s="76" t="s">
        <v>1151</v>
      </c>
      <c r="B242" s="88"/>
      <c r="C242" s="88"/>
      <c r="D242" s="88"/>
      <c r="E242" s="88"/>
      <c r="F242" s="88"/>
      <c r="G242" s="90"/>
      <c r="H242" s="111"/>
      <c r="I242" s="28"/>
      <c r="J242" s="28"/>
    </row>
    <row r="243" ht="22.5" customHeight="1">
      <c r="A243" s="76" t="s">
        <v>1151</v>
      </c>
      <c r="B243" s="88"/>
      <c r="C243" s="88"/>
      <c r="D243" s="88"/>
      <c r="E243" s="88"/>
      <c r="F243" s="88"/>
      <c r="G243" s="90"/>
      <c r="H243" s="111"/>
      <c r="I243" s="28"/>
      <c r="J243" s="28"/>
    </row>
    <row r="244" ht="22.5" customHeight="1">
      <c r="A244" s="76" t="s">
        <v>1151</v>
      </c>
      <c r="B244" s="88"/>
      <c r="C244" s="88"/>
      <c r="D244" s="88"/>
      <c r="E244" s="88"/>
      <c r="F244" s="88"/>
      <c r="G244" s="88"/>
      <c r="H244" s="111"/>
      <c r="I244" s="28"/>
      <c r="J244" s="28"/>
    </row>
    <row r="245" ht="22.5" customHeight="1">
      <c r="A245" s="76" t="s">
        <v>1151</v>
      </c>
      <c r="B245" s="88"/>
      <c r="C245" s="88"/>
      <c r="D245" s="88"/>
      <c r="E245" s="88"/>
      <c r="F245" s="88"/>
      <c r="G245" s="88"/>
      <c r="H245" s="111"/>
      <c r="I245" s="28"/>
      <c r="J245" s="28"/>
    </row>
    <row r="246" ht="22.5" customHeight="1">
      <c r="A246" s="76" t="s">
        <v>1151</v>
      </c>
      <c r="B246" s="88"/>
      <c r="C246" s="88"/>
      <c r="D246" s="88"/>
      <c r="E246" s="88"/>
      <c r="F246" s="88"/>
      <c r="G246" s="88"/>
      <c r="H246" s="111"/>
      <c r="I246" s="28"/>
      <c r="J246" s="28"/>
    </row>
    <row r="247" ht="22.5" customHeight="1">
      <c r="A247" s="76" t="s">
        <v>1151</v>
      </c>
      <c r="B247" s="88"/>
      <c r="C247" s="88"/>
      <c r="D247" s="88"/>
      <c r="E247" s="88"/>
      <c r="F247" s="88"/>
      <c r="G247" s="88"/>
      <c r="H247" s="111"/>
      <c r="I247" s="28"/>
      <c r="J247" s="28"/>
    </row>
    <row r="248" ht="22.5" customHeight="1">
      <c r="A248" s="76" t="s">
        <v>1151</v>
      </c>
      <c r="B248" s="88"/>
      <c r="C248" s="88"/>
      <c r="D248" s="88"/>
      <c r="E248" s="88"/>
      <c r="F248" s="88"/>
      <c r="G248" s="88"/>
      <c r="H248" s="111"/>
      <c r="I248" s="28"/>
      <c r="J248" s="28"/>
    </row>
    <row r="249" ht="22.5" customHeight="1">
      <c r="A249" s="76" t="s">
        <v>1151</v>
      </c>
      <c r="B249" s="88"/>
      <c r="C249" s="88"/>
      <c r="D249" s="88"/>
      <c r="E249" s="88"/>
      <c r="F249" s="88"/>
      <c r="G249" s="88"/>
      <c r="H249" s="111"/>
      <c r="I249" s="28"/>
      <c r="J249" s="28"/>
    </row>
    <row r="250" ht="22.5" customHeight="1">
      <c r="A250" s="76" t="s">
        <v>1151</v>
      </c>
      <c r="B250" s="88"/>
      <c r="C250" s="88"/>
      <c r="D250" s="88"/>
      <c r="E250" s="88"/>
      <c r="F250" s="88"/>
      <c r="G250" s="88"/>
      <c r="H250" s="111"/>
      <c r="I250" s="28"/>
      <c r="J250" s="28"/>
    </row>
    <row r="251" ht="22.5" customHeight="1">
      <c r="A251" s="76" t="s">
        <v>1151</v>
      </c>
      <c r="B251" s="88"/>
      <c r="C251" s="88"/>
      <c r="D251" s="88"/>
      <c r="E251" s="88"/>
      <c r="F251" s="88"/>
      <c r="G251" s="88"/>
      <c r="H251" s="111"/>
      <c r="I251" s="28"/>
      <c r="J251" s="28"/>
    </row>
    <row r="252" ht="22.5" customHeight="1">
      <c r="A252" s="76" t="s">
        <v>1151</v>
      </c>
      <c r="B252" s="88"/>
      <c r="C252" s="88"/>
      <c r="D252" s="88"/>
      <c r="E252" s="88"/>
      <c r="F252" s="88"/>
      <c r="G252" s="88"/>
      <c r="H252" s="111"/>
      <c r="I252" s="28"/>
      <c r="J252" s="28"/>
    </row>
    <row r="253" ht="22.5" customHeight="1">
      <c r="A253" s="76" t="s">
        <v>1151</v>
      </c>
      <c r="B253" s="88"/>
      <c r="C253" s="88"/>
      <c r="D253" s="88"/>
      <c r="E253" s="88"/>
      <c r="F253" s="88"/>
      <c r="G253" s="88"/>
      <c r="H253" s="111"/>
      <c r="I253" s="28"/>
      <c r="J253" s="28"/>
    </row>
    <row r="254" ht="22.5" customHeight="1">
      <c r="A254" s="76" t="s">
        <v>1151</v>
      </c>
      <c r="B254" s="88"/>
      <c r="C254" s="88"/>
      <c r="D254" s="88"/>
      <c r="E254" s="88"/>
      <c r="F254" s="88"/>
      <c r="G254" s="88"/>
      <c r="H254" s="111"/>
      <c r="I254" s="28"/>
      <c r="J254" s="28"/>
    </row>
    <row r="255" ht="22.5" customHeight="1">
      <c r="A255" s="76" t="s">
        <v>1151</v>
      </c>
      <c r="B255" s="88"/>
      <c r="C255" s="88"/>
      <c r="D255" s="88"/>
      <c r="E255" s="88"/>
      <c r="F255" s="88"/>
      <c r="G255" s="88"/>
      <c r="H255" s="111"/>
      <c r="I255" s="28"/>
      <c r="J255" s="28"/>
    </row>
    <row r="256" ht="22.5" customHeight="1">
      <c r="A256" s="76" t="s">
        <v>1151</v>
      </c>
      <c r="B256" s="88"/>
      <c r="C256" s="88"/>
      <c r="D256" s="88"/>
      <c r="E256" s="88"/>
      <c r="F256" s="88"/>
      <c r="G256" s="88"/>
      <c r="H256" s="111"/>
      <c r="I256" s="28"/>
      <c r="J256" s="28"/>
    </row>
    <row r="257" ht="22.5" customHeight="1">
      <c r="A257" s="76" t="s">
        <v>1151</v>
      </c>
      <c r="B257" s="88"/>
      <c r="C257" s="88"/>
      <c r="D257" s="88"/>
      <c r="E257" s="88"/>
      <c r="F257" s="88"/>
      <c r="G257" s="88"/>
      <c r="H257" s="111"/>
      <c r="I257" s="28"/>
      <c r="J257" s="28"/>
    </row>
    <row r="258" ht="22.5" customHeight="1">
      <c r="A258" s="76" t="s">
        <v>1151</v>
      </c>
      <c r="B258" s="88"/>
      <c r="C258" s="88"/>
      <c r="D258" s="88"/>
      <c r="E258" s="88"/>
      <c r="F258" s="88"/>
      <c r="G258" s="88"/>
      <c r="H258" s="111"/>
      <c r="I258" s="28"/>
      <c r="J258" s="28"/>
    </row>
    <row r="259" ht="22.5" customHeight="1">
      <c r="A259" s="76" t="s">
        <v>1151</v>
      </c>
      <c r="B259" s="88"/>
      <c r="C259" s="88"/>
      <c r="D259" s="88"/>
      <c r="E259" s="88"/>
      <c r="F259" s="88"/>
      <c r="G259" s="88"/>
      <c r="H259" s="111"/>
      <c r="I259" s="28"/>
      <c r="J259" s="28"/>
    </row>
    <row r="260" ht="22.5" customHeight="1">
      <c r="A260" s="76" t="s">
        <v>1151</v>
      </c>
      <c r="B260" s="88"/>
      <c r="C260" s="88"/>
      <c r="D260" s="88"/>
      <c r="E260" s="88"/>
      <c r="F260" s="88"/>
      <c r="G260" s="88"/>
      <c r="H260" s="111"/>
      <c r="I260" s="28"/>
      <c r="J260" s="28"/>
    </row>
    <row r="261" ht="22.5" customHeight="1">
      <c r="A261" s="76" t="s">
        <v>1151</v>
      </c>
      <c r="B261" s="88"/>
      <c r="C261" s="88"/>
      <c r="D261" s="88"/>
      <c r="E261" s="88"/>
      <c r="F261" s="88"/>
      <c r="G261" s="88"/>
      <c r="H261" s="111"/>
      <c r="I261" s="28"/>
      <c r="J261" s="28"/>
    </row>
    <row r="262" ht="22.5" customHeight="1">
      <c r="A262" s="76" t="s">
        <v>1151</v>
      </c>
      <c r="B262" s="88"/>
      <c r="C262" s="88"/>
      <c r="D262" s="88"/>
      <c r="E262" s="88"/>
      <c r="F262" s="88"/>
      <c r="G262" s="88"/>
      <c r="H262" s="111"/>
      <c r="I262" s="28"/>
      <c r="J262" s="28"/>
    </row>
    <row r="263" ht="22.5" customHeight="1">
      <c r="A263" s="76" t="s">
        <v>1151</v>
      </c>
      <c r="B263" s="88"/>
      <c r="C263" s="88"/>
      <c r="D263" s="88"/>
      <c r="E263" s="88"/>
      <c r="F263" s="88"/>
      <c r="G263" s="88"/>
      <c r="H263" s="111"/>
      <c r="I263" s="28"/>
      <c r="J263" s="28"/>
    </row>
    <row r="264" ht="22.5" customHeight="1">
      <c r="A264" s="76" t="s">
        <v>1151</v>
      </c>
      <c r="B264" s="88"/>
      <c r="C264" s="88"/>
      <c r="D264" s="88"/>
      <c r="E264" s="88"/>
      <c r="F264" s="88"/>
      <c r="G264" s="88"/>
      <c r="H264" s="111"/>
      <c r="I264" s="28"/>
      <c r="J264" s="28"/>
    </row>
    <row r="265" ht="22.5" customHeight="1">
      <c r="A265" s="76" t="s">
        <v>1151</v>
      </c>
      <c r="B265" s="88"/>
      <c r="C265" s="88"/>
      <c r="D265" s="88"/>
      <c r="E265" s="88"/>
      <c r="F265" s="88"/>
      <c r="G265" s="88"/>
      <c r="H265" s="111"/>
      <c r="I265" s="28"/>
      <c r="J265" s="28"/>
    </row>
    <row r="266" ht="22.5" customHeight="1">
      <c r="A266" s="76" t="s">
        <v>1151</v>
      </c>
      <c r="B266" s="88"/>
      <c r="C266" s="88"/>
      <c r="D266" s="88"/>
      <c r="E266" s="88"/>
      <c r="F266" s="88"/>
      <c r="G266" s="88"/>
      <c r="H266" s="111"/>
      <c r="I266" s="28"/>
      <c r="J266" s="28"/>
    </row>
    <row r="267" ht="22.5" customHeight="1">
      <c r="A267" s="76" t="s">
        <v>1151</v>
      </c>
      <c r="B267" s="88"/>
      <c r="C267" s="88"/>
      <c r="D267" s="88"/>
      <c r="E267" s="88"/>
      <c r="F267" s="88"/>
      <c r="G267" s="88"/>
      <c r="H267" s="111"/>
      <c r="I267" s="28"/>
      <c r="J267" s="28"/>
    </row>
    <row r="268" ht="22.5" customHeight="1">
      <c r="A268" s="76" t="s">
        <v>1151</v>
      </c>
      <c r="B268" s="88"/>
      <c r="C268" s="88"/>
      <c r="D268" s="88"/>
      <c r="E268" s="88"/>
      <c r="F268" s="88"/>
      <c r="G268" s="88"/>
      <c r="H268" s="111"/>
      <c r="I268" s="28"/>
      <c r="J268" s="28"/>
    </row>
    <row r="269" ht="22.5" customHeight="1">
      <c r="A269" s="76" t="s">
        <v>1151</v>
      </c>
      <c r="B269" s="88"/>
      <c r="C269" s="88"/>
      <c r="D269" s="88"/>
      <c r="E269" s="88"/>
      <c r="F269" s="88"/>
      <c r="G269" s="88"/>
      <c r="H269" s="111"/>
      <c r="I269" s="28"/>
      <c r="J269" s="28"/>
    </row>
    <row r="270" ht="22.5" customHeight="1">
      <c r="A270" s="76" t="s">
        <v>1151</v>
      </c>
      <c r="B270" s="88"/>
      <c r="C270" s="88"/>
      <c r="D270" s="88"/>
      <c r="E270" s="88"/>
      <c r="F270" s="88"/>
      <c r="G270" s="88"/>
      <c r="H270" s="111"/>
      <c r="I270" s="28"/>
      <c r="J270" s="28"/>
    </row>
    <row r="271" ht="22.5" customHeight="1">
      <c r="A271" s="76" t="s">
        <v>1151</v>
      </c>
      <c r="B271" s="88"/>
      <c r="C271" s="88"/>
      <c r="D271" s="88"/>
      <c r="E271" s="88"/>
      <c r="F271" s="88"/>
      <c r="G271" s="88"/>
      <c r="H271" s="111"/>
      <c r="I271" s="28"/>
      <c r="J271" s="28"/>
    </row>
    <row r="272" ht="22.5" customHeight="1">
      <c r="A272" s="76" t="s">
        <v>1151</v>
      </c>
      <c r="B272" s="88"/>
      <c r="C272" s="88"/>
      <c r="D272" s="88"/>
      <c r="E272" s="88"/>
      <c r="F272" s="88"/>
      <c r="G272" s="88"/>
      <c r="H272" s="111"/>
      <c r="I272" s="28"/>
      <c r="J272" s="28"/>
    </row>
    <row r="273" ht="22.5" customHeight="1">
      <c r="A273" s="76" t="s">
        <v>1151</v>
      </c>
      <c r="B273" s="88"/>
      <c r="C273" s="88"/>
      <c r="D273" s="88"/>
      <c r="E273" s="88"/>
      <c r="F273" s="88"/>
      <c r="G273" s="88"/>
      <c r="H273" s="111"/>
      <c r="I273" s="28"/>
      <c r="J273" s="28"/>
    </row>
    <row r="274" ht="22.5" customHeight="1">
      <c r="A274" s="76" t="s">
        <v>1151</v>
      </c>
      <c r="B274" s="88"/>
      <c r="C274" s="88"/>
      <c r="D274" s="88"/>
      <c r="E274" s="88"/>
      <c r="F274" s="88"/>
      <c r="G274" s="88"/>
      <c r="H274" s="111"/>
      <c r="I274" s="28"/>
      <c r="J274" s="28"/>
    </row>
    <row r="275" ht="22.5" customHeight="1">
      <c r="A275" s="76" t="s">
        <v>1151</v>
      </c>
      <c r="B275" s="88"/>
      <c r="C275" s="88"/>
      <c r="D275" s="88"/>
      <c r="E275" s="88"/>
      <c r="F275" s="88"/>
      <c r="G275" s="88"/>
      <c r="H275" s="111"/>
      <c r="I275" s="28"/>
      <c r="J275" s="28"/>
    </row>
    <row r="276" ht="22.5" customHeight="1">
      <c r="A276" s="76" t="s">
        <v>1151</v>
      </c>
      <c r="B276" s="88"/>
      <c r="C276" s="88"/>
      <c r="D276" s="88"/>
      <c r="E276" s="88"/>
      <c r="F276" s="88"/>
      <c r="G276" s="88"/>
      <c r="H276" s="111"/>
      <c r="I276" s="28"/>
      <c r="J276" s="28"/>
    </row>
    <row r="277" ht="22.5" customHeight="1">
      <c r="A277" s="76" t="s">
        <v>1151</v>
      </c>
      <c r="B277" s="88"/>
      <c r="C277" s="88"/>
      <c r="D277" s="88"/>
      <c r="E277" s="88"/>
      <c r="F277" s="88"/>
      <c r="G277" s="88"/>
      <c r="H277" s="111"/>
      <c r="I277" s="28"/>
      <c r="J277" s="28"/>
    </row>
    <row r="278" ht="22.5" customHeight="1">
      <c r="A278" s="76" t="s">
        <v>1151</v>
      </c>
      <c r="B278" s="88"/>
      <c r="C278" s="88"/>
      <c r="D278" s="88"/>
      <c r="E278" s="88"/>
      <c r="F278" s="88"/>
      <c r="G278" s="88"/>
      <c r="H278" s="111"/>
      <c r="I278" s="28"/>
      <c r="J278" s="28"/>
    </row>
    <row r="279" ht="22.5" customHeight="1">
      <c r="A279" s="76" t="s">
        <v>1151</v>
      </c>
      <c r="B279" s="88"/>
      <c r="C279" s="88"/>
      <c r="D279" s="88"/>
      <c r="E279" s="88"/>
      <c r="F279" s="88"/>
      <c r="G279" s="88"/>
      <c r="H279" s="111"/>
      <c r="I279" s="28"/>
      <c r="J279" s="28"/>
    </row>
    <row r="280" ht="22.5" customHeight="1">
      <c r="A280" s="76" t="s">
        <v>1151</v>
      </c>
      <c r="B280" s="88"/>
      <c r="C280" s="88"/>
      <c r="D280" s="88"/>
      <c r="E280" s="88"/>
      <c r="F280" s="88"/>
      <c r="G280" s="88"/>
      <c r="H280" s="111"/>
      <c r="I280" s="28"/>
      <c r="J280" s="28"/>
    </row>
    <row r="281" ht="22.5" customHeight="1">
      <c r="A281" s="76" t="s">
        <v>1151</v>
      </c>
      <c r="B281" s="88"/>
      <c r="C281" s="88"/>
      <c r="D281" s="88"/>
      <c r="E281" s="88"/>
      <c r="F281" s="88"/>
      <c r="G281" s="88"/>
      <c r="H281" s="111"/>
      <c r="I281" s="28"/>
      <c r="J281" s="28"/>
    </row>
    <row r="282" ht="22.5" customHeight="1">
      <c r="A282" s="76" t="s">
        <v>1151</v>
      </c>
      <c r="B282" s="88"/>
      <c r="C282" s="88"/>
      <c r="D282" s="88"/>
      <c r="E282" s="88"/>
      <c r="F282" s="88"/>
      <c r="G282" s="88"/>
      <c r="H282" s="111"/>
      <c r="I282" s="28"/>
      <c r="J282" s="28"/>
    </row>
    <row r="283" ht="22.5" customHeight="1">
      <c r="A283" s="76" t="s">
        <v>1151</v>
      </c>
      <c r="B283" s="88"/>
      <c r="C283" s="88"/>
      <c r="D283" s="88"/>
      <c r="E283" s="88"/>
      <c r="F283" s="88"/>
      <c r="G283" s="90"/>
      <c r="H283" s="111"/>
      <c r="I283" s="28"/>
      <c r="J283" s="28"/>
    </row>
    <row r="284" ht="22.5" customHeight="1">
      <c r="A284" s="76" t="s">
        <v>1151</v>
      </c>
      <c r="B284" s="88"/>
      <c r="C284" s="88"/>
      <c r="D284" s="88"/>
      <c r="E284" s="88"/>
      <c r="F284" s="88"/>
      <c r="G284" s="90"/>
      <c r="H284" s="111"/>
      <c r="I284" s="28"/>
      <c r="J284" s="28"/>
    </row>
    <row r="285" ht="22.5" customHeight="1">
      <c r="A285" s="76" t="s">
        <v>1151</v>
      </c>
      <c r="B285" s="88"/>
      <c r="C285" s="88"/>
      <c r="D285" s="88"/>
      <c r="E285" s="88"/>
      <c r="F285" s="88"/>
      <c r="G285" s="90"/>
      <c r="H285" s="111"/>
      <c r="I285" s="28"/>
      <c r="J285" s="28"/>
    </row>
    <row r="286" ht="22.5" customHeight="1">
      <c r="A286" s="76" t="s">
        <v>1151</v>
      </c>
      <c r="B286" s="88"/>
      <c r="C286" s="88"/>
      <c r="D286" s="88"/>
      <c r="E286" s="88"/>
      <c r="F286" s="88"/>
      <c r="G286" s="88"/>
      <c r="H286" s="111"/>
      <c r="I286" s="28"/>
      <c r="J286" s="28"/>
    </row>
    <row r="287" ht="22.5" customHeight="1">
      <c r="A287" s="76" t="s">
        <v>1151</v>
      </c>
      <c r="B287" s="88"/>
      <c r="C287" s="88"/>
      <c r="D287" s="88"/>
      <c r="E287" s="88"/>
      <c r="F287" s="88"/>
      <c r="G287" s="88"/>
      <c r="H287" s="111"/>
      <c r="I287" s="28"/>
      <c r="J287" s="28"/>
    </row>
    <row r="288" ht="22.5" customHeight="1">
      <c r="A288" s="76" t="s">
        <v>1151</v>
      </c>
      <c r="B288" s="88"/>
      <c r="C288" s="88"/>
      <c r="D288" s="88"/>
      <c r="E288" s="88"/>
      <c r="F288" s="88"/>
      <c r="G288" s="88"/>
      <c r="H288" s="111"/>
      <c r="I288" s="28"/>
      <c r="J288" s="28"/>
    </row>
    <row r="289" ht="22.5" customHeight="1">
      <c r="A289" s="76" t="s">
        <v>1151</v>
      </c>
      <c r="B289" s="88"/>
      <c r="C289" s="88"/>
      <c r="D289" s="88"/>
      <c r="E289" s="88"/>
      <c r="F289" s="88"/>
      <c r="G289" s="88"/>
      <c r="H289" s="111"/>
      <c r="I289" s="28"/>
      <c r="J289" s="28"/>
    </row>
    <row r="290" ht="22.5" customHeight="1">
      <c r="A290" s="76" t="s">
        <v>1151</v>
      </c>
      <c r="B290" s="88"/>
      <c r="C290" s="88"/>
      <c r="D290" s="88"/>
      <c r="E290" s="88"/>
      <c r="F290" s="88"/>
      <c r="G290" s="90"/>
      <c r="H290" s="111"/>
      <c r="I290" s="28"/>
      <c r="J290" s="28"/>
    </row>
    <row r="291" ht="22.5" customHeight="1">
      <c r="A291" s="76" t="s">
        <v>1151</v>
      </c>
      <c r="B291" s="88"/>
      <c r="C291" s="88"/>
      <c r="D291" s="88"/>
      <c r="E291" s="88"/>
      <c r="F291" s="88"/>
      <c r="G291" s="90"/>
      <c r="H291" s="111"/>
      <c r="I291" s="28"/>
      <c r="J291" s="28"/>
    </row>
    <row r="292" ht="22.5" customHeight="1">
      <c r="A292" s="76" t="s">
        <v>1151</v>
      </c>
      <c r="B292" s="88"/>
      <c r="C292" s="88"/>
      <c r="D292" s="88"/>
      <c r="E292" s="88"/>
      <c r="F292" s="88"/>
      <c r="G292" s="90"/>
      <c r="H292" s="111"/>
      <c r="I292" s="28"/>
      <c r="J292" s="28"/>
    </row>
    <row r="293" ht="22.5" customHeight="1">
      <c r="A293" s="76" t="s">
        <v>1151</v>
      </c>
      <c r="B293" s="88"/>
      <c r="C293" s="88"/>
      <c r="D293" s="88"/>
      <c r="E293" s="88"/>
      <c r="F293" s="88"/>
      <c r="G293" s="88"/>
      <c r="H293" s="111"/>
      <c r="I293" s="28"/>
      <c r="J293" s="28"/>
    </row>
    <row r="294" ht="22.5" customHeight="1">
      <c r="A294" s="76" t="s">
        <v>1151</v>
      </c>
      <c r="B294" s="88"/>
      <c r="C294" s="88"/>
      <c r="D294" s="88"/>
      <c r="E294" s="88"/>
      <c r="F294" s="88"/>
      <c r="G294" s="88"/>
      <c r="H294" s="111"/>
      <c r="I294" s="28"/>
      <c r="J294" s="28"/>
    </row>
    <row r="295" ht="22.5" customHeight="1">
      <c r="A295" s="76" t="s">
        <v>1151</v>
      </c>
      <c r="B295" s="88"/>
      <c r="C295" s="88"/>
      <c r="D295" s="88"/>
      <c r="E295" s="88"/>
      <c r="F295" s="88"/>
      <c r="G295" s="88"/>
      <c r="H295" s="111"/>
      <c r="I295" s="28"/>
      <c r="J295" s="28"/>
    </row>
    <row r="296" ht="22.5" customHeight="1">
      <c r="A296" s="76" t="s">
        <v>1151</v>
      </c>
      <c r="B296" s="88"/>
      <c r="C296" s="88"/>
      <c r="D296" s="88"/>
      <c r="E296" s="88"/>
      <c r="F296" s="88"/>
      <c r="G296" s="88"/>
      <c r="H296" s="111"/>
      <c r="I296" s="28"/>
      <c r="J296" s="28"/>
    </row>
    <row r="297" ht="22.5" customHeight="1">
      <c r="A297" s="76" t="s">
        <v>1151</v>
      </c>
      <c r="B297" s="88"/>
      <c r="C297" s="88"/>
      <c r="D297" s="88"/>
      <c r="E297" s="88"/>
      <c r="F297" s="88"/>
      <c r="G297" s="88"/>
      <c r="H297" s="111"/>
      <c r="I297" s="28"/>
      <c r="J297" s="28"/>
    </row>
    <row r="298" ht="22.5" customHeight="1">
      <c r="A298" s="76" t="s">
        <v>1151</v>
      </c>
      <c r="B298" s="88"/>
      <c r="C298" s="88"/>
      <c r="D298" s="88"/>
      <c r="E298" s="88"/>
      <c r="F298" s="88"/>
      <c r="G298" s="88"/>
      <c r="H298" s="111"/>
      <c r="I298" s="28"/>
      <c r="J298" s="28"/>
    </row>
    <row r="299" ht="22.5" customHeight="1">
      <c r="A299" s="76" t="s">
        <v>1151</v>
      </c>
      <c r="B299" s="88"/>
      <c r="C299" s="88"/>
      <c r="D299" s="88"/>
      <c r="E299" s="88"/>
      <c r="F299" s="88"/>
      <c r="G299" s="88"/>
      <c r="H299" s="111"/>
      <c r="I299" s="28"/>
      <c r="J299" s="28"/>
    </row>
    <row r="300" ht="22.5" customHeight="1">
      <c r="A300" s="76" t="s">
        <v>1151</v>
      </c>
      <c r="B300" s="88"/>
      <c r="C300" s="88"/>
      <c r="D300" s="88"/>
      <c r="E300" s="88"/>
      <c r="F300" s="88"/>
      <c r="G300" s="88"/>
      <c r="H300" s="111"/>
      <c r="I300" s="28"/>
      <c r="J300" s="28"/>
    </row>
    <row r="301" ht="22.5" customHeight="1">
      <c r="A301" s="76" t="s">
        <v>1151</v>
      </c>
      <c r="B301" s="88"/>
      <c r="C301" s="88"/>
      <c r="D301" s="88"/>
      <c r="E301" s="88"/>
      <c r="F301" s="88"/>
      <c r="G301" s="88"/>
      <c r="H301" s="111"/>
      <c r="I301" s="28"/>
      <c r="J301" s="28"/>
    </row>
    <row r="302" ht="22.5" customHeight="1">
      <c r="A302" s="76" t="s">
        <v>1151</v>
      </c>
      <c r="B302" s="88"/>
      <c r="C302" s="88"/>
      <c r="D302" s="88"/>
      <c r="E302" s="88"/>
      <c r="F302" s="88"/>
      <c r="G302" s="88"/>
      <c r="H302" s="111"/>
      <c r="I302" s="28"/>
      <c r="J302" s="28"/>
    </row>
    <row r="303" ht="22.5" customHeight="1">
      <c r="A303" s="76" t="s">
        <v>1151</v>
      </c>
      <c r="B303" s="88"/>
      <c r="C303" s="88"/>
      <c r="D303" s="88"/>
      <c r="E303" s="88"/>
      <c r="F303" s="88"/>
      <c r="G303" s="88"/>
      <c r="H303" s="111"/>
      <c r="I303" s="28"/>
      <c r="J303" s="28"/>
    </row>
    <row r="304" ht="22.5" customHeight="1">
      <c r="A304" s="76" t="s">
        <v>1151</v>
      </c>
      <c r="B304" s="88"/>
      <c r="C304" s="88"/>
      <c r="D304" s="88"/>
      <c r="E304" s="88"/>
      <c r="F304" s="88"/>
      <c r="G304" s="90"/>
      <c r="H304" s="111"/>
      <c r="I304" s="28"/>
      <c r="J304" s="28"/>
    </row>
    <row r="305" ht="22.5" customHeight="1">
      <c r="A305" s="76" t="s">
        <v>1151</v>
      </c>
      <c r="B305" s="88"/>
      <c r="C305" s="88"/>
      <c r="D305" s="88"/>
      <c r="E305" s="88"/>
      <c r="F305" s="88"/>
      <c r="G305" s="90"/>
      <c r="H305" s="111"/>
      <c r="I305" s="28"/>
      <c r="J305" s="28"/>
    </row>
    <row r="306" ht="22.5" customHeight="1">
      <c r="A306" s="76" t="s">
        <v>1151</v>
      </c>
      <c r="B306" s="88"/>
      <c r="C306" s="88"/>
      <c r="D306" s="88"/>
      <c r="E306" s="88"/>
      <c r="F306" s="88"/>
      <c r="G306" s="90"/>
      <c r="H306" s="111"/>
      <c r="I306" s="28"/>
      <c r="J306" s="28"/>
    </row>
    <row r="307" ht="22.5" customHeight="1">
      <c r="A307" s="76" t="s">
        <v>1151</v>
      </c>
      <c r="B307" s="88"/>
      <c r="C307" s="88"/>
      <c r="D307" s="88"/>
      <c r="E307" s="88"/>
      <c r="F307" s="88"/>
      <c r="G307" s="90"/>
      <c r="H307" s="111"/>
      <c r="I307" s="28"/>
      <c r="J307" s="28"/>
    </row>
    <row r="308" ht="22.5" customHeight="1">
      <c r="A308" s="76" t="s">
        <v>1151</v>
      </c>
      <c r="B308" s="88"/>
      <c r="C308" s="88"/>
      <c r="D308" s="88"/>
      <c r="E308" s="88"/>
      <c r="F308" s="88"/>
      <c r="G308" s="90"/>
      <c r="H308" s="111"/>
      <c r="I308" s="28"/>
      <c r="J308" s="28"/>
    </row>
    <row r="309" ht="22.5" customHeight="1">
      <c r="A309" s="76" t="s">
        <v>1151</v>
      </c>
      <c r="B309" s="88"/>
      <c r="C309" s="88"/>
      <c r="D309" s="88"/>
      <c r="E309" s="88"/>
      <c r="F309" s="88"/>
      <c r="G309" s="90"/>
      <c r="H309" s="111"/>
      <c r="I309" s="28"/>
      <c r="J309" s="28"/>
    </row>
    <row r="310" ht="22.5" customHeight="1">
      <c r="A310" s="76" t="s">
        <v>1151</v>
      </c>
      <c r="B310" s="88"/>
      <c r="C310" s="88"/>
      <c r="D310" s="88"/>
      <c r="E310" s="88"/>
      <c r="F310" s="88"/>
      <c r="G310" s="90"/>
      <c r="H310" s="111"/>
      <c r="I310" s="28"/>
      <c r="J310" s="28"/>
    </row>
    <row r="311" ht="22.5" customHeight="1">
      <c r="A311" s="76" t="s">
        <v>1151</v>
      </c>
      <c r="B311" s="88"/>
      <c r="C311" s="88"/>
      <c r="D311" s="88"/>
      <c r="E311" s="88"/>
      <c r="F311" s="88"/>
      <c r="G311" s="90"/>
      <c r="H311" s="111"/>
      <c r="I311" s="28"/>
      <c r="J311" s="28"/>
    </row>
    <row r="312" ht="22.5" customHeight="1">
      <c r="A312" s="76" t="s">
        <v>1151</v>
      </c>
      <c r="B312" s="88"/>
      <c r="C312" s="88"/>
      <c r="D312" s="88"/>
      <c r="E312" s="88"/>
      <c r="F312" s="88"/>
      <c r="G312" s="90"/>
      <c r="H312" s="111"/>
      <c r="I312" s="28"/>
      <c r="J312" s="28"/>
    </row>
    <row r="313" ht="22.5" customHeight="1">
      <c r="A313" s="76" t="s">
        <v>1151</v>
      </c>
      <c r="B313" s="88"/>
      <c r="C313" s="88"/>
      <c r="D313" s="88"/>
      <c r="E313" s="88"/>
      <c r="F313" s="88"/>
      <c r="G313" s="90"/>
      <c r="H313" s="111"/>
      <c r="I313" s="28"/>
      <c r="J313" s="28"/>
    </row>
    <row r="314" ht="22.5" customHeight="1">
      <c r="A314" s="76" t="s">
        <v>1151</v>
      </c>
      <c r="B314" s="88"/>
      <c r="C314" s="88"/>
      <c r="D314" s="88"/>
      <c r="E314" s="88"/>
      <c r="F314" s="88"/>
      <c r="G314" s="88"/>
      <c r="H314" s="112"/>
      <c r="I314" s="99"/>
      <c r="J314" s="99"/>
    </row>
    <row r="315" ht="22.5" customHeight="1">
      <c r="A315" s="76" t="s">
        <v>1151</v>
      </c>
      <c r="B315" s="88"/>
      <c r="C315" s="88"/>
      <c r="D315" s="88"/>
      <c r="E315" s="88"/>
      <c r="F315" s="88"/>
      <c r="G315" s="88"/>
      <c r="H315" s="112"/>
      <c r="I315" s="99"/>
      <c r="J315" s="99"/>
    </row>
    <row r="316" ht="22.5" customHeight="1">
      <c r="A316" s="76" t="s">
        <v>1151</v>
      </c>
      <c r="B316" s="88"/>
      <c r="C316" s="88"/>
      <c r="D316" s="88"/>
      <c r="E316" s="88"/>
      <c r="F316" s="88"/>
      <c r="G316" s="88"/>
      <c r="H316" s="112"/>
      <c r="I316" s="99"/>
      <c r="J316" s="99"/>
    </row>
    <row r="317" ht="22.5" customHeight="1">
      <c r="A317" s="76" t="s">
        <v>1151</v>
      </c>
      <c r="B317" s="88"/>
      <c r="C317" s="88"/>
      <c r="D317" s="88"/>
      <c r="E317" s="88"/>
      <c r="F317" s="88"/>
      <c r="G317" s="88"/>
      <c r="H317" s="112"/>
      <c r="I317" s="99"/>
      <c r="J317" s="99"/>
    </row>
    <row r="318" ht="22.5" customHeight="1">
      <c r="A318" s="76" t="s">
        <v>1151</v>
      </c>
      <c r="B318" s="88"/>
      <c r="C318" s="88"/>
      <c r="D318" s="88"/>
      <c r="E318" s="88"/>
      <c r="F318" s="88"/>
      <c r="G318" s="88"/>
      <c r="H318" s="112"/>
      <c r="I318" s="100"/>
      <c r="J318" s="99"/>
    </row>
    <row r="319" ht="22.5" customHeight="1">
      <c r="A319" s="76" t="s">
        <v>1151</v>
      </c>
      <c r="B319" s="88"/>
      <c r="C319" s="88"/>
      <c r="D319" s="88"/>
      <c r="E319" s="88"/>
      <c r="F319" s="88"/>
      <c r="G319" s="88"/>
      <c r="H319" s="112"/>
      <c r="I319" s="99"/>
      <c r="J319" s="99"/>
    </row>
    <row r="320" ht="22.5" customHeight="1">
      <c r="A320" s="76" t="s">
        <v>1151</v>
      </c>
      <c r="B320" s="88"/>
      <c r="C320" s="88"/>
      <c r="D320" s="88"/>
      <c r="E320" s="88"/>
      <c r="F320" s="88"/>
      <c r="G320" s="88"/>
      <c r="H320" s="112"/>
      <c r="I320" s="99"/>
      <c r="J320" s="99"/>
    </row>
    <row r="321" ht="22.5" customHeight="1">
      <c r="A321" s="76" t="s">
        <v>1151</v>
      </c>
      <c r="B321" s="88"/>
      <c r="C321" s="88"/>
      <c r="D321" s="88"/>
      <c r="E321" s="88"/>
      <c r="F321" s="88"/>
      <c r="G321" s="88"/>
      <c r="H321" s="111"/>
      <c r="I321" s="28"/>
      <c r="J321" s="28"/>
    </row>
    <row r="322" ht="22.5" customHeight="1">
      <c r="A322" s="76" t="s">
        <v>1151</v>
      </c>
      <c r="B322" s="88"/>
      <c r="C322" s="88"/>
      <c r="D322" s="88"/>
      <c r="E322" s="88"/>
      <c r="F322" s="88"/>
      <c r="G322" s="88"/>
      <c r="H322" s="111"/>
      <c r="I322" s="28"/>
      <c r="J322" s="28"/>
    </row>
    <row r="323" ht="22.5" customHeight="1">
      <c r="A323" s="76" t="s">
        <v>1151</v>
      </c>
      <c r="B323" s="88"/>
      <c r="C323" s="88"/>
      <c r="D323" s="88"/>
      <c r="E323" s="88"/>
      <c r="F323" s="88"/>
      <c r="G323" s="88"/>
      <c r="H323" s="111"/>
      <c r="I323" s="28"/>
      <c r="J323" s="28"/>
    </row>
    <row r="324" ht="22.5" customHeight="1">
      <c r="A324" s="76" t="s">
        <v>1151</v>
      </c>
      <c r="B324" s="88"/>
      <c r="C324" s="88"/>
      <c r="D324" s="88"/>
      <c r="E324" s="88"/>
      <c r="F324" s="88"/>
      <c r="G324" s="88"/>
      <c r="H324" s="111"/>
      <c r="I324" s="28"/>
      <c r="J324" s="28"/>
    </row>
    <row r="325" ht="22.5" customHeight="1">
      <c r="A325" s="76" t="s">
        <v>1151</v>
      </c>
      <c r="B325" s="88"/>
      <c r="C325" s="88"/>
      <c r="D325" s="88"/>
      <c r="E325" s="88"/>
      <c r="F325" s="88"/>
      <c r="G325" s="90"/>
      <c r="H325" s="111"/>
      <c r="I325" s="28"/>
      <c r="J325" s="28"/>
    </row>
    <row r="326" ht="22.5" customHeight="1">
      <c r="A326" s="76" t="s">
        <v>1151</v>
      </c>
      <c r="B326" s="88"/>
      <c r="C326" s="88"/>
      <c r="D326" s="88"/>
      <c r="E326" s="88"/>
      <c r="F326" s="88"/>
      <c r="G326" s="90"/>
      <c r="H326" s="111"/>
      <c r="I326" s="28"/>
      <c r="J326" s="28"/>
    </row>
    <row r="327" ht="22.5" customHeight="1">
      <c r="A327" s="76" t="s">
        <v>1151</v>
      </c>
      <c r="B327" s="88"/>
      <c r="C327" s="88"/>
      <c r="D327" s="88"/>
      <c r="E327" s="88"/>
      <c r="F327" s="88"/>
      <c r="G327" s="90"/>
      <c r="H327" s="111"/>
      <c r="I327" s="28"/>
      <c r="J327" s="28"/>
    </row>
    <row r="328" ht="22.5" customHeight="1">
      <c r="A328" s="76" t="s">
        <v>1151</v>
      </c>
      <c r="B328" s="88"/>
      <c r="C328" s="88"/>
      <c r="D328" s="88"/>
      <c r="E328" s="88"/>
      <c r="F328" s="88"/>
      <c r="G328" s="88"/>
      <c r="H328" s="111"/>
      <c r="I328" s="28"/>
      <c r="J328" s="28"/>
    </row>
    <row r="329" ht="22.5" customHeight="1">
      <c r="A329" s="76" t="s">
        <v>1151</v>
      </c>
      <c r="B329" s="88"/>
      <c r="C329" s="88"/>
      <c r="D329" s="88"/>
      <c r="E329" s="88"/>
      <c r="F329" s="88"/>
      <c r="G329" s="88"/>
      <c r="H329" s="111"/>
      <c r="I329" s="28"/>
      <c r="J329" s="28"/>
    </row>
    <row r="330" ht="22.5" customHeight="1">
      <c r="A330" s="76" t="s">
        <v>1151</v>
      </c>
      <c r="B330" s="88"/>
      <c r="C330" s="88"/>
      <c r="D330" s="88"/>
      <c r="E330" s="88"/>
      <c r="F330" s="88"/>
      <c r="G330" s="88"/>
      <c r="H330" s="111"/>
      <c r="I330" s="28"/>
      <c r="J330" s="28"/>
    </row>
    <row r="331" ht="22.5" customHeight="1">
      <c r="A331" s="76" t="s">
        <v>1151</v>
      </c>
      <c r="B331" s="88"/>
      <c r="C331" s="88"/>
      <c r="D331" s="88"/>
      <c r="E331" s="88"/>
      <c r="F331" s="88"/>
      <c r="G331" s="88"/>
      <c r="H331" s="111"/>
      <c r="I331" s="28"/>
      <c r="J331" s="28"/>
    </row>
    <row r="332" ht="22.5" customHeight="1">
      <c r="A332" s="76" t="s">
        <v>1151</v>
      </c>
      <c r="B332" s="88"/>
      <c r="C332" s="88"/>
      <c r="D332" s="88"/>
      <c r="E332" s="88"/>
      <c r="F332" s="88"/>
      <c r="G332" s="90"/>
      <c r="H332" s="111"/>
      <c r="I332" s="28"/>
      <c r="J332" s="28"/>
    </row>
    <row r="333" ht="22.5" customHeight="1">
      <c r="A333" s="76" t="s">
        <v>1151</v>
      </c>
      <c r="B333" s="88"/>
      <c r="C333" s="88"/>
      <c r="D333" s="88"/>
      <c r="E333" s="88"/>
      <c r="F333" s="88"/>
      <c r="G333" s="90"/>
      <c r="H333" s="111"/>
      <c r="I333" s="28"/>
      <c r="J333" s="28"/>
    </row>
    <row r="334" ht="22.5" customHeight="1">
      <c r="A334" s="76" t="s">
        <v>1151</v>
      </c>
      <c r="B334" s="88"/>
      <c r="C334" s="88"/>
      <c r="D334" s="88"/>
      <c r="E334" s="88"/>
      <c r="F334" s="88"/>
      <c r="G334" s="90"/>
      <c r="H334" s="111"/>
      <c r="I334" s="28"/>
      <c r="J334" s="28"/>
    </row>
    <row r="335" ht="22.5" customHeight="1">
      <c r="A335" s="76" t="s">
        <v>1151</v>
      </c>
      <c r="B335" s="88"/>
      <c r="C335" s="88"/>
      <c r="D335" s="88"/>
      <c r="E335" s="88"/>
      <c r="F335" s="88"/>
      <c r="G335" s="88"/>
      <c r="H335" s="111"/>
      <c r="I335" s="28"/>
      <c r="J335" s="28"/>
    </row>
    <row r="336" ht="22.5" customHeight="1">
      <c r="A336" s="76" t="s">
        <v>1151</v>
      </c>
      <c r="B336" s="88"/>
      <c r="C336" s="88"/>
      <c r="D336" s="88"/>
      <c r="E336" s="88"/>
      <c r="F336" s="88"/>
      <c r="G336" s="88"/>
      <c r="H336" s="111"/>
      <c r="I336" s="28"/>
      <c r="J336" s="28"/>
    </row>
    <row r="337" ht="22.5" customHeight="1">
      <c r="A337" s="76" t="s">
        <v>1151</v>
      </c>
      <c r="B337" s="88"/>
      <c r="C337" s="88"/>
      <c r="D337" s="88"/>
      <c r="E337" s="88"/>
      <c r="F337" s="88"/>
      <c r="G337" s="88"/>
      <c r="H337" s="111"/>
      <c r="I337" s="28"/>
      <c r="J337" s="28"/>
    </row>
    <row r="338" ht="22.5" customHeight="1">
      <c r="A338" s="76" t="s">
        <v>1151</v>
      </c>
      <c r="B338" s="88"/>
      <c r="C338" s="88"/>
      <c r="D338" s="88"/>
      <c r="E338" s="88"/>
      <c r="F338" s="88"/>
      <c r="G338" s="88"/>
      <c r="H338" s="111"/>
      <c r="I338" s="28"/>
      <c r="J338" s="28"/>
    </row>
    <row r="339" ht="22.5" customHeight="1">
      <c r="A339" s="76" t="s">
        <v>1151</v>
      </c>
      <c r="B339" s="88"/>
      <c r="C339" s="88"/>
      <c r="D339" s="88"/>
      <c r="E339" s="88"/>
      <c r="F339" s="88"/>
      <c r="G339" s="88"/>
      <c r="H339" s="111"/>
      <c r="I339" s="28"/>
      <c r="J339" s="28"/>
    </row>
    <row r="340" ht="22.5" customHeight="1">
      <c r="A340" s="76" t="s">
        <v>1151</v>
      </c>
      <c r="B340" s="88"/>
      <c r="C340" s="88"/>
      <c r="D340" s="88"/>
      <c r="E340" s="88"/>
      <c r="F340" s="88"/>
      <c r="G340" s="88"/>
      <c r="H340" s="111"/>
      <c r="I340" s="28"/>
      <c r="J340" s="28"/>
    </row>
    <row r="341" ht="22.5" customHeight="1">
      <c r="A341" s="76" t="s">
        <v>1151</v>
      </c>
      <c r="B341" s="88"/>
      <c r="C341" s="88"/>
      <c r="D341" s="88"/>
      <c r="E341" s="88"/>
      <c r="F341" s="88"/>
      <c r="G341" s="88"/>
      <c r="H341" s="111"/>
      <c r="I341" s="28"/>
      <c r="J341" s="28"/>
    </row>
    <row r="342" ht="22.5" customHeight="1">
      <c r="A342" s="76" t="s">
        <v>1151</v>
      </c>
      <c r="B342" s="88"/>
      <c r="C342" s="88"/>
      <c r="D342" s="88"/>
      <c r="E342" s="88"/>
      <c r="F342" s="88"/>
      <c r="G342" s="88"/>
      <c r="H342" s="111"/>
      <c r="I342" s="28"/>
      <c r="J342" s="28"/>
    </row>
    <row r="343" ht="22.5" customHeight="1">
      <c r="A343" s="76" t="s">
        <v>1151</v>
      </c>
      <c r="B343" s="88"/>
      <c r="C343" s="88"/>
      <c r="D343" s="88"/>
      <c r="E343" s="88"/>
      <c r="F343" s="88"/>
      <c r="G343" s="88"/>
      <c r="H343" s="111"/>
      <c r="I343" s="28"/>
      <c r="J343" s="28"/>
    </row>
    <row r="344" ht="22.5" customHeight="1">
      <c r="A344" s="76" t="s">
        <v>1151</v>
      </c>
      <c r="B344" s="88"/>
      <c r="C344" s="88"/>
      <c r="D344" s="88"/>
      <c r="E344" s="88"/>
      <c r="F344" s="88"/>
      <c r="G344" s="88"/>
      <c r="H344" s="111"/>
      <c r="I344" s="28"/>
      <c r="J344" s="28"/>
    </row>
    <row r="345" ht="22.5" customHeight="1">
      <c r="A345" s="76" t="s">
        <v>1151</v>
      </c>
      <c r="B345" s="88"/>
      <c r="C345" s="88"/>
      <c r="D345" s="88"/>
      <c r="E345" s="88"/>
      <c r="F345" s="88"/>
      <c r="G345" s="88"/>
      <c r="H345" s="111"/>
      <c r="I345" s="28"/>
      <c r="J345" s="28"/>
    </row>
    <row r="346" ht="22.5" customHeight="1">
      <c r="A346" s="76" t="s">
        <v>1151</v>
      </c>
      <c r="B346" s="88"/>
      <c r="C346" s="88"/>
      <c r="D346" s="88"/>
      <c r="E346" s="88"/>
      <c r="F346" s="88"/>
      <c r="G346" s="88"/>
      <c r="H346" s="111"/>
      <c r="I346" s="28"/>
      <c r="J346" s="28"/>
    </row>
    <row r="347" ht="22.5" customHeight="1">
      <c r="A347" s="76" t="s">
        <v>1151</v>
      </c>
      <c r="B347" s="88"/>
      <c r="C347" s="88"/>
      <c r="D347" s="88"/>
      <c r="E347" s="88"/>
      <c r="F347" s="88"/>
      <c r="G347" s="88"/>
      <c r="H347" s="111"/>
      <c r="I347" s="28"/>
      <c r="J347" s="28"/>
    </row>
    <row r="348" ht="22.5" customHeight="1">
      <c r="A348" s="76" t="s">
        <v>1151</v>
      </c>
      <c r="B348" s="88"/>
      <c r="C348" s="88"/>
      <c r="D348" s="88"/>
      <c r="E348" s="88"/>
      <c r="F348" s="88"/>
      <c r="G348" s="88"/>
      <c r="H348" s="111"/>
      <c r="I348" s="28"/>
      <c r="J348" s="28"/>
    </row>
    <row r="349" ht="22.5" customHeight="1">
      <c r="A349" s="76" t="s">
        <v>1151</v>
      </c>
      <c r="B349" s="88"/>
      <c r="C349" s="88"/>
      <c r="D349" s="88"/>
      <c r="E349" s="88"/>
      <c r="F349" s="88"/>
      <c r="G349" s="88"/>
      <c r="H349" s="111"/>
      <c r="I349" s="28"/>
      <c r="J349" s="28"/>
    </row>
    <row r="350" ht="22.5" customHeight="1">
      <c r="A350" s="76" t="s">
        <v>1151</v>
      </c>
      <c r="B350" s="88"/>
      <c r="C350" s="88"/>
      <c r="D350" s="88"/>
      <c r="E350" s="88"/>
      <c r="F350" s="88"/>
      <c r="G350" s="88"/>
      <c r="H350" s="111"/>
      <c r="I350" s="28"/>
      <c r="J350" s="28"/>
    </row>
    <row r="351" ht="22.5" customHeight="1">
      <c r="A351" s="76" t="s">
        <v>1151</v>
      </c>
      <c r="B351" s="88"/>
      <c r="C351" s="88"/>
      <c r="D351" s="88"/>
      <c r="E351" s="88"/>
      <c r="F351" s="88"/>
      <c r="G351" s="91"/>
      <c r="H351" s="111"/>
      <c r="I351" s="28"/>
      <c r="J351" s="28"/>
    </row>
    <row r="352" ht="22.5" customHeight="1">
      <c r="A352" s="76" t="s">
        <v>1151</v>
      </c>
      <c r="B352" s="88"/>
      <c r="C352" s="88"/>
      <c r="D352" s="88"/>
      <c r="E352" s="88"/>
      <c r="F352" s="88"/>
      <c r="G352" s="91"/>
      <c r="H352" s="111"/>
      <c r="I352" s="28"/>
      <c r="J352" s="28"/>
    </row>
    <row r="353" ht="22.5" customHeight="1">
      <c r="A353" s="76" t="s">
        <v>1151</v>
      </c>
      <c r="B353" s="88"/>
      <c r="C353" s="88"/>
      <c r="D353" s="88"/>
      <c r="E353" s="88"/>
      <c r="F353" s="88"/>
      <c r="G353" s="91"/>
      <c r="H353" s="111"/>
      <c r="I353" s="28"/>
      <c r="J353" s="28"/>
    </row>
    <row r="354" ht="22.5" customHeight="1">
      <c r="A354" s="76" t="s">
        <v>1151</v>
      </c>
      <c r="B354" s="88"/>
      <c r="C354" s="88"/>
      <c r="D354" s="88"/>
      <c r="E354" s="88"/>
      <c r="F354" s="88"/>
      <c r="G354" s="91"/>
      <c r="H354" s="111"/>
      <c r="I354" s="28"/>
      <c r="J354" s="28"/>
    </row>
    <row r="355" ht="22.5" customHeight="1">
      <c r="A355" s="76" t="s">
        <v>1151</v>
      </c>
      <c r="B355" s="88"/>
      <c r="C355" s="88"/>
      <c r="D355" s="88"/>
      <c r="E355" s="88"/>
      <c r="F355" s="88"/>
      <c r="G355" s="91"/>
      <c r="H355" s="111"/>
      <c r="I355" s="28"/>
      <c r="J355" s="28"/>
    </row>
    <row r="356" ht="22.5" customHeight="1">
      <c r="A356" s="76" t="s">
        <v>1151</v>
      </c>
      <c r="B356" s="88"/>
      <c r="C356" s="88"/>
      <c r="D356" s="88"/>
      <c r="E356" s="88"/>
      <c r="F356" s="88"/>
      <c r="G356" s="91"/>
      <c r="H356" s="111"/>
      <c r="I356" s="88"/>
      <c r="J356" s="28"/>
    </row>
    <row r="357" ht="22.5" customHeight="1">
      <c r="A357" s="76" t="s">
        <v>1151</v>
      </c>
      <c r="B357" s="88"/>
      <c r="C357" s="88"/>
      <c r="D357" s="88"/>
      <c r="E357" s="88"/>
      <c r="F357" s="88"/>
      <c r="G357" s="91"/>
      <c r="H357" s="111"/>
      <c r="I357" s="28"/>
      <c r="J357" s="28"/>
    </row>
    <row r="358" ht="22.5" customHeight="1">
      <c r="A358" s="76" t="s">
        <v>1151</v>
      </c>
      <c r="B358" s="88"/>
      <c r="C358" s="88"/>
      <c r="D358" s="88"/>
      <c r="E358" s="88"/>
      <c r="F358" s="88"/>
      <c r="G358" s="91"/>
      <c r="H358" s="111"/>
      <c r="I358" s="28"/>
      <c r="J358" s="28"/>
    </row>
    <row r="359" ht="22.5" customHeight="1">
      <c r="A359" s="76" t="s">
        <v>1151</v>
      </c>
      <c r="B359" s="88"/>
      <c r="C359" s="88"/>
      <c r="D359" s="88"/>
      <c r="E359" s="88"/>
      <c r="F359" s="88"/>
      <c r="G359" s="91"/>
      <c r="H359" s="111"/>
      <c r="I359" s="28"/>
      <c r="J359" s="28"/>
    </row>
    <row r="360" ht="22.5" customHeight="1">
      <c r="A360" s="76" t="s">
        <v>1151</v>
      </c>
      <c r="B360" s="88"/>
      <c r="C360" s="88"/>
      <c r="D360" s="88"/>
      <c r="E360" s="88"/>
      <c r="F360" s="88"/>
      <c r="G360" s="91"/>
      <c r="H360" s="111"/>
      <c r="I360" s="28"/>
      <c r="J360" s="28"/>
    </row>
    <row r="361" ht="22.5" customHeight="1">
      <c r="A361" s="76" t="s">
        <v>1151</v>
      </c>
      <c r="B361" s="88"/>
      <c r="C361" s="88"/>
      <c r="D361" s="88"/>
      <c r="E361" s="88"/>
      <c r="F361" s="88"/>
      <c r="G361" s="91"/>
      <c r="H361" s="111"/>
      <c r="I361" s="28"/>
      <c r="J361" s="28"/>
    </row>
    <row r="362" ht="22.5" customHeight="1">
      <c r="A362" s="76" t="s">
        <v>1151</v>
      </c>
      <c r="B362" s="88"/>
      <c r="C362" s="88"/>
      <c r="D362" s="88"/>
      <c r="E362" s="88"/>
      <c r="F362" s="88"/>
      <c r="G362" s="91"/>
      <c r="H362" s="111"/>
      <c r="I362" s="28"/>
      <c r="J362" s="28"/>
    </row>
    <row r="363" ht="22.5" customHeight="1">
      <c r="A363" s="76" t="s">
        <v>1151</v>
      </c>
      <c r="B363" s="88"/>
      <c r="C363" s="88"/>
      <c r="D363" s="88"/>
      <c r="E363" s="88"/>
      <c r="F363" s="88"/>
      <c r="G363" s="96"/>
      <c r="H363" s="111"/>
      <c r="I363" s="28"/>
      <c r="J363" s="28"/>
    </row>
    <row r="364" ht="22.5" customHeight="1">
      <c r="A364" s="76" t="s">
        <v>1151</v>
      </c>
      <c r="B364" s="88"/>
      <c r="C364" s="88"/>
      <c r="D364" s="88"/>
      <c r="E364" s="88"/>
      <c r="F364" s="88"/>
      <c r="G364" s="88"/>
      <c r="H364" s="111"/>
      <c r="I364" s="28"/>
      <c r="J364" s="28"/>
    </row>
    <row r="365" ht="22.5" customHeight="1">
      <c r="A365" s="76" t="s">
        <v>1151</v>
      </c>
      <c r="B365" s="88"/>
      <c r="C365" s="88"/>
      <c r="D365" s="88"/>
      <c r="E365" s="88"/>
      <c r="F365" s="88"/>
      <c r="G365" s="88"/>
      <c r="H365" s="111"/>
      <c r="I365" s="28"/>
      <c r="J365" s="28"/>
    </row>
    <row r="366" ht="22.5" customHeight="1">
      <c r="A366" s="76" t="s">
        <v>1151</v>
      </c>
      <c r="B366" s="88"/>
      <c r="C366" s="88"/>
      <c r="D366" s="88"/>
      <c r="E366" s="88"/>
      <c r="F366" s="88"/>
      <c r="G366" s="88"/>
      <c r="H366" s="111"/>
      <c r="I366" s="28"/>
      <c r="J366" s="28"/>
    </row>
    <row r="367" ht="22.5" customHeight="1">
      <c r="A367" s="76" t="s">
        <v>1151</v>
      </c>
      <c r="B367" s="88"/>
      <c r="C367" s="88"/>
      <c r="D367" s="88"/>
      <c r="E367" s="88"/>
      <c r="F367" s="88"/>
      <c r="G367" s="88"/>
      <c r="H367" s="111"/>
      <c r="I367" s="28"/>
      <c r="J367" s="28"/>
    </row>
    <row r="368" ht="22.5" customHeight="1">
      <c r="A368" s="76" t="s">
        <v>1151</v>
      </c>
      <c r="B368" s="88"/>
      <c r="C368" s="88"/>
      <c r="D368" s="88"/>
      <c r="E368" s="88"/>
      <c r="F368" s="88"/>
      <c r="G368" s="88"/>
      <c r="H368" s="111"/>
      <c r="I368" s="28"/>
      <c r="J368" s="28"/>
    </row>
    <row r="369" ht="22.5" customHeight="1">
      <c r="A369" s="76" t="s">
        <v>1151</v>
      </c>
      <c r="B369" s="88"/>
      <c r="C369" s="88"/>
      <c r="D369" s="88"/>
      <c r="E369" s="88"/>
      <c r="F369" s="88"/>
      <c r="G369" s="88"/>
      <c r="H369" s="111"/>
      <c r="I369" s="28"/>
      <c r="J369" s="28"/>
    </row>
    <row r="370" ht="22.5" customHeight="1">
      <c r="A370" s="76" t="s">
        <v>1151</v>
      </c>
      <c r="B370" s="88"/>
      <c r="C370" s="88"/>
      <c r="D370" s="88"/>
      <c r="E370" s="88"/>
      <c r="F370" s="88"/>
      <c r="G370" s="88"/>
      <c r="H370" s="111"/>
      <c r="I370" s="28"/>
      <c r="J370" s="28"/>
    </row>
    <row r="371" ht="22.5" customHeight="1">
      <c r="A371" s="76" t="s">
        <v>1151</v>
      </c>
      <c r="B371" s="88"/>
      <c r="C371" s="88"/>
      <c r="D371" s="88"/>
      <c r="E371" s="88"/>
      <c r="F371" s="88"/>
      <c r="G371" s="88"/>
      <c r="H371" s="98"/>
      <c r="I371" s="28"/>
      <c r="J371" s="28"/>
    </row>
    <row r="372" ht="22.5" customHeight="1">
      <c r="A372" s="76" t="s">
        <v>1151</v>
      </c>
      <c r="B372" s="88"/>
      <c r="C372" s="88"/>
      <c r="D372" s="88"/>
      <c r="E372" s="88"/>
      <c r="F372" s="88"/>
      <c r="G372" s="88"/>
      <c r="H372" s="111"/>
      <c r="I372" s="28"/>
      <c r="J372" s="28"/>
    </row>
    <row r="373" ht="22.5" customHeight="1">
      <c r="A373" s="76" t="s">
        <v>1151</v>
      </c>
      <c r="B373" s="88"/>
      <c r="C373" s="88"/>
      <c r="D373" s="88"/>
      <c r="E373" s="88"/>
      <c r="F373" s="88"/>
      <c r="G373" s="88"/>
      <c r="H373" s="111"/>
      <c r="I373" s="28"/>
      <c r="J373" s="28"/>
    </row>
    <row r="374" ht="22.5" customHeight="1">
      <c r="A374" s="76" t="s">
        <v>1151</v>
      </c>
      <c r="B374" s="88"/>
      <c r="C374" s="88"/>
      <c r="D374" s="88"/>
      <c r="E374" s="88"/>
      <c r="F374" s="88"/>
      <c r="G374" s="88"/>
      <c r="H374" s="111"/>
      <c r="I374" s="28"/>
      <c r="J374" s="28"/>
    </row>
    <row r="375" ht="22.5" customHeight="1">
      <c r="A375" s="76" t="s">
        <v>1151</v>
      </c>
      <c r="B375" s="88"/>
      <c r="C375" s="88"/>
      <c r="D375" s="88"/>
      <c r="E375" s="88"/>
      <c r="F375" s="88"/>
      <c r="G375" s="88"/>
      <c r="H375" s="111"/>
      <c r="I375" s="28"/>
      <c r="J375" s="28"/>
    </row>
    <row r="376" ht="22.5" customHeight="1">
      <c r="A376" s="76" t="s">
        <v>1151</v>
      </c>
      <c r="B376" s="88"/>
      <c r="C376" s="88"/>
      <c r="D376" s="88"/>
      <c r="E376" s="88"/>
      <c r="F376" s="88"/>
      <c r="G376" s="88"/>
      <c r="H376" s="111"/>
      <c r="I376" s="28"/>
      <c r="J376" s="28"/>
    </row>
    <row r="377" ht="22.5" customHeight="1">
      <c r="A377" s="76" t="s">
        <v>1151</v>
      </c>
      <c r="B377" s="88"/>
      <c r="C377" s="88"/>
      <c r="D377" s="88"/>
      <c r="E377" s="88"/>
      <c r="F377" s="88"/>
      <c r="G377" s="88"/>
      <c r="H377" s="111"/>
      <c r="I377" s="28"/>
      <c r="J377" s="28"/>
    </row>
    <row r="378" ht="22.5" customHeight="1">
      <c r="A378" s="76" t="s">
        <v>1151</v>
      </c>
      <c r="B378" s="88"/>
      <c r="C378" s="88"/>
      <c r="D378" s="88"/>
      <c r="E378" s="88"/>
      <c r="F378" s="88"/>
      <c r="G378" s="88"/>
      <c r="H378" s="111"/>
      <c r="I378" s="28"/>
      <c r="J378" s="28"/>
    </row>
    <row r="379" ht="22.5" customHeight="1">
      <c r="A379" s="76" t="s">
        <v>1151</v>
      </c>
      <c r="B379" s="88"/>
      <c r="C379" s="88"/>
      <c r="D379" s="88"/>
      <c r="E379" s="88"/>
      <c r="F379" s="88"/>
      <c r="G379" s="88"/>
      <c r="H379" s="111"/>
      <c r="I379" s="28"/>
      <c r="J379" s="28"/>
    </row>
    <row r="380" ht="22.5" customHeight="1">
      <c r="A380" s="76" t="s">
        <v>1151</v>
      </c>
      <c r="B380" s="88"/>
      <c r="C380" s="88"/>
      <c r="D380" s="88"/>
      <c r="E380" s="88"/>
      <c r="F380" s="88"/>
      <c r="G380" s="88"/>
      <c r="H380" s="111"/>
      <c r="I380" s="28"/>
      <c r="J380" s="28"/>
    </row>
    <row r="381" ht="22.5" customHeight="1">
      <c r="A381" s="76" t="s">
        <v>1151</v>
      </c>
      <c r="B381" s="88"/>
      <c r="C381" s="88"/>
      <c r="D381" s="88"/>
      <c r="E381" s="88"/>
      <c r="F381" s="88"/>
      <c r="G381" s="88"/>
      <c r="H381" s="111"/>
      <c r="I381" s="28"/>
      <c r="J381" s="28"/>
    </row>
    <row r="382" ht="22.5" customHeight="1">
      <c r="A382" s="76" t="s">
        <v>1151</v>
      </c>
      <c r="B382" s="88"/>
      <c r="C382" s="88"/>
      <c r="D382" s="88"/>
      <c r="E382" s="88"/>
      <c r="F382" s="88"/>
      <c r="G382" s="88"/>
      <c r="H382" s="111"/>
      <c r="I382" s="28"/>
      <c r="J382" s="28"/>
    </row>
    <row r="383" ht="22.5" customHeight="1">
      <c r="A383" s="76" t="s">
        <v>1151</v>
      </c>
      <c r="B383" s="88"/>
      <c r="C383" s="88"/>
      <c r="D383" s="88"/>
      <c r="E383" s="88"/>
      <c r="F383" s="88"/>
      <c r="G383" s="88"/>
      <c r="H383" s="111"/>
      <c r="I383" s="28"/>
      <c r="J383" s="28"/>
    </row>
    <row r="384" ht="22.5" customHeight="1">
      <c r="A384" s="76" t="s">
        <v>1151</v>
      </c>
      <c r="B384" s="88"/>
      <c r="C384" s="88"/>
      <c r="D384" s="88"/>
      <c r="E384" s="88"/>
      <c r="F384" s="88"/>
      <c r="G384" s="88"/>
      <c r="H384" s="111"/>
      <c r="I384" s="28"/>
      <c r="J384" s="28"/>
    </row>
    <row r="385" ht="22.5" customHeight="1">
      <c r="A385" s="76" t="s">
        <v>1151</v>
      </c>
      <c r="B385" s="88"/>
      <c r="C385" s="88"/>
      <c r="D385" s="88"/>
      <c r="E385" s="88"/>
      <c r="F385" s="88"/>
      <c r="G385" s="88"/>
      <c r="H385" s="111"/>
      <c r="I385" s="28"/>
      <c r="J385" s="28"/>
    </row>
    <row r="386" ht="22.5" customHeight="1">
      <c r="A386" s="76" t="s">
        <v>1151</v>
      </c>
      <c r="B386" s="88"/>
      <c r="C386" s="88"/>
      <c r="D386" s="88"/>
      <c r="E386" s="88"/>
      <c r="F386" s="88"/>
      <c r="G386" s="88"/>
      <c r="H386" s="111"/>
      <c r="I386" s="28"/>
      <c r="J386" s="28"/>
    </row>
    <row r="387" ht="22.5" customHeight="1">
      <c r="A387" s="76" t="s">
        <v>1151</v>
      </c>
      <c r="B387" s="88"/>
      <c r="C387" s="88"/>
      <c r="D387" s="88"/>
      <c r="E387" s="88"/>
      <c r="F387" s="88"/>
      <c r="G387" s="88"/>
      <c r="H387" s="111"/>
      <c r="I387" s="28"/>
      <c r="J387" s="28"/>
    </row>
    <row r="388" ht="22.5" customHeight="1">
      <c r="A388" s="76" t="s">
        <v>1151</v>
      </c>
      <c r="B388" s="88"/>
      <c r="C388" s="88"/>
      <c r="D388" s="88"/>
      <c r="E388" s="88"/>
      <c r="F388" s="88"/>
      <c r="G388" s="88"/>
      <c r="H388" s="111"/>
      <c r="I388" s="28"/>
      <c r="J388" s="28"/>
    </row>
    <row r="389" ht="22.5" customHeight="1">
      <c r="A389" s="76" t="s">
        <v>1151</v>
      </c>
      <c r="B389" s="88"/>
      <c r="C389" s="88"/>
      <c r="D389" s="88"/>
      <c r="E389" s="88"/>
      <c r="F389" s="88"/>
      <c r="G389" s="88"/>
      <c r="H389" s="111"/>
      <c r="I389" s="28"/>
      <c r="J389" s="28"/>
    </row>
    <row r="390" ht="22.5" customHeight="1">
      <c r="A390" s="76" t="s">
        <v>1151</v>
      </c>
      <c r="B390" s="88"/>
      <c r="C390" s="88"/>
      <c r="D390" s="88"/>
      <c r="E390" s="88"/>
      <c r="F390" s="88"/>
      <c r="G390" s="88"/>
      <c r="H390" s="111"/>
      <c r="I390" s="28"/>
      <c r="J390" s="28"/>
    </row>
    <row r="391" ht="22.5" customHeight="1">
      <c r="A391" s="76" t="s">
        <v>1151</v>
      </c>
      <c r="B391" s="88"/>
      <c r="C391" s="88"/>
      <c r="D391" s="88"/>
      <c r="E391" s="88"/>
      <c r="F391" s="88"/>
      <c r="G391" s="88"/>
      <c r="H391" s="111"/>
      <c r="I391" s="28"/>
      <c r="J391" s="28"/>
    </row>
    <row r="392" ht="22.5" customHeight="1">
      <c r="A392" s="76" t="s">
        <v>1151</v>
      </c>
      <c r="B392" s="88"/>
      <c r="C392" s="88"/>
      <c r="D392" s="88"/>
      <c r="E392" s="88"/>
      <c r="F392" s="88"/>
      <c r="G392" s="88"/>
      <c r="H392" s="111"/>
      <c r="I392" s="28"/>
      <c r="J392" s="28"/>
    </row>
    <row r="393" ht="22.5" customHeight="1">
      <c r="A393" s="76" t="s">
        <v>1151</v>
      </c>
      <c r="B393" s="88"/>
      <c r="C393" s="88"/>
      <c r="D393" s="88"/>
      <c r="E393" s="88"/>
      <c r="F393" s="88"/>
      <c r="G393" s="88"/>
      <c r="H393" s="111"/>
      <c r="I393" s="28"/>
      <c r="J393" s="28"/>
    </row>
    <row r="394" ht="22.5" customHeight="1">
      <c r="A394" s="76" t="s">
        <v>1151</v>
      </c>
      <c r="B394" s="88"/>
      <c r="C394" s="88"/>
      <c r="D394" s="88"/>
      <c r="E394" s="88"/>
      <c r="F394" s="88"/>
      <c r="G394" s="88"/>
      <c r="H394" s="111"/>
      <c r="I394" s="28"/>
      <c r="J394" s="28"/>
    </row>
    <row r="395" ht="22.5" customHeight="1">
      <c r="A395" s="76" t="s">
        <v>1151</v>
      </c>
      <c r="B395" s="88"/>
      <c r="C395" s="88"/>
      <c r="D395" s="88"/>
      <c r="E395" s="88"/>
      <c r="F395" s="88"/>
      <c r="G395" s="88"/>
      <c r="H395" s="111"/>
      <c r="I395" s="28"/>
      <c r="J395" s="28"/>
    </row>
    <row r="396" ht="22.5" customHeight="1">
      <c r="A396" s="76" t="s">
        <v>1151</v>
      </c>
      <c r="B396" s="88"/>
      <c r="C396" s="88"/>
      <c r="D396" s="88"/>
      <c r="E396" s="88"/>
      <c r="F396" s="88"/>
      <c r="G396" s="88"/>
      <c r="H396" s="111"/>
      <c r="I396" s="28"/>
      <c r="J396" s="28"/>
    </row>
    <row r="397" ht="22.5" customHeight="1">
      <c r="A397" s="76" t="s">
        <v>1151</v>
      </c>
      <c r="B397" s="88"/>
      <c r="C397" s="88"/>
      <c r="D397" s="88"/>
      <c r="E397" s="88"/>
      <c r="F397" s="88"/>
      <c r="G397" s="88"/>
      <c r="H397" s="111"/>
      <c r="I397" s="28"/>
      <c r="J397" s="28"/>
    </row>
    <row r="398" ht="22.5" customHeight="1">
      <c r="A398" s="76" t="s">
        <v>1151</v>
      </c>
      <c r="B398" s="88"/>
      <c r="C398" s="88"/>
      <c r="D398" s="88"/>
      <c r="E398" s="88"/>
      <c r="F398" s="88"/>
      <c r="G398" s="91"/>
      <c r="H398" s="111"/>
      <c r="I398" s="28"/>
      <c r="J398" s="28"/>
    </row>
    <row r="399" ht="22.5" customHeight="1">
      <c r="A399" s="76" t="s">
        <v>1151</v>
      </c>
      <c r="B399" s="88"/>
      <c r="C399" s="88"/>
      <c r="D399" s="88"/>
      <c r="E399" s="88"/>
      <c r="F399" s="88"/>
      <c r="G399" s="91"/>
      <c r="H399" s="111"/>
      <c r="I399" s="28"/>
      <c r="J399" s="28"/>
    </row>
    <row r="400" ht="22.5" customHeight="1">
      <c r="A400" s="76" t="s">
        <v>1151</v>
      </c>
      <c r="B400" s="88"/>
      <c r="C400" s="88"/>
      <c r="D400" s="88"/>
      <c r="E400" s="88"/>
      <c r="F400" s="88"/>
      <c r="G400" s="91"/>
      <c r="H400" s="111"/>
      <c r="I400" s="28"/>
      <c r="J400" s="28"/>
    </row>
    <row r="401" ht="22.5" customHeight="1">
      <c r="A401" s="76" t="s">
        <v>1151</v>
      </c>
      <c r="B401" s="88"/>
      <c r="C401" s="88"/>
      <c r="D401" s="88"/>
      <c r="E401" s="88"/>
      <c r="F401" s="88"/>
      <c r="G401" s="91"/>
      <c r="H401" s="111"/>
      <c r="I401" s="28"/>
      <c r="J401" s="28"/>
    </row>
    <row r="402" ht="22.5" customHeight="1">
      <c r="A402" s="76" t="s">
        <v>1151</v>
      </c>
      <c r="B402" s="88"/>
      <c r="C402" s="88"/>
      <c r="D402" s="88"/>
      <c r="E402" s="88"/>
      <c r="F402" s="88"/>
      <c r="G402" s="91"/>
      <c r="H402" s="111"/>
      <c r="I402" s="28"/>
      <c r="J402" s="28"/>
    </row>
    <row r="403" ht="22.5" customHeight="1">
      <c r="A403" s="76" t="s">
        <v>1151</v>
      </c>
      <c r="B403" s="88"/>
      <c r="C403" s="88"/>
      <c r="D403" s="88"/>
      <c r="E403" s="88"/>
      <c r="F403" s="88"/>
      <c r="G403" s="91"/>
      <c r="H403" s="111"/>
      <c r="I403" s="28"/>
      <c r="J403" s="28"/>
    </row>
    <row r="404" ht="22.5" customHeight="1">
      <c r="A404" s="76" t="s">
        <v>1151</v>
      </c>
      <c r="B404" s="88"/>
      <c r="C404" s="88"/>
      <c r="D404" s="88"/>
      <c r="E404" s="88"/>
      <c r="F404" s="88"/>
      <c r="G404" s="91"/>
      <c r="H404" s="111"/>
      <c r="I404" s="28"/>
      <c r="J404" s="28"/>
    </row>
    <row r="405" ht="22.5" customHeight="1">
      <c r="A405" s="76" t="s">
        <v>1151</v>
      </c>
      <c r="B405" s="88"/>
      <c r="C405" s="88"/>
      <c r="D405" s="88"/>
      <c r="E405" s="88"/>
      <c r="F405" s="88"/>
      <c r="G405" s="88"/>
      <c r="H405" s="111"/>
      <c r="I405" s="28"/>
      <c r="J405" s="28"/>
    </row>
    <row r="406" ht="22.5" customHeight="1">
      <c r="A406" s="76" t="s">
        <v>1151</v>
      </c>
      <c r="B406" s="88"/>
      <c r="C406" s="88"/>
      <c r="D406" s="88"/>
      <c r="E406" s="88"/>
      <c r="F406" s="88"/>
      <c r="G406" s="88"/>
      <c r="H406" s="111"/>
      <c r="I406" s="28"/>
      <c r="J406" s="28"/>
    </row>
    <row r="407" ht="22.5" customHeight="1">
      <c r="A407" s="76" t="s">
        <v>1151</v>
      </c>
      <c r="B407" s="88"/>
      <c r="C407" s="88"/>
      <c r="D407" s="88"/>
      <c r="E407" s="88"/>
      <c r="F407" s="88"/>
      <c r="G407" s="88"/>
      <c r="H407" s="111"/>
      <c r="I407" s="28"/>
      <c r="J407" s="28"/>
    </row>
    <row r="408" ht="22.5" customHeight="1">
      <c r="A408" s="76" t="s">
        <v>1151</v>
      </c>
      <c r="B408" s="88"/>
      <c r="C408" s="88"/>
      <c r="D408" s="88"/>
      <c r="E408" s="88"/>
      <c r="F408" s="88"/>
      <c r="G408" s="88"/>
      <c r="H408" s="111"/>
      <c r="I408" s="28"/>
      <c r="J408" s="28"/>
    </row>
    <row r="409" ht="22.5" customHeight="1">
      <c r="A409" s="76" t="s">
        <v>1151</v>
      </c>
      <c r="B409" s="88"/>
      <c r="C409" s="88"/>
      <c r="D409" s="88"/>
      <c r="E409" s="88"/>
      <c r="F409" s="88"/>
      <c r="G409" s="88"/>
      <c r="H409" s="111"/>
      <c r="I409" s="28"/>
      <c r="J409" s="28"/>
    </row>
    <row r="410" ht="22.5" customHeight="1">
      <c r="A410" s="76" t="s">
        <v>1151</v>
      </c>
      <c r="B410" s="88"/>
      <c r="C410" s="88"/>
      <c r="D410" s="88"/>
      <c r="E410" s="88"/>
      <c r="F410" s="88"/>
      <c r="G410" s="88"/>
      <c r="H410" s="111"/>
      <c r="I410" s="28"/>
      <c r="J410" s="28"/>
    </row>
    <row r="411" ht="22.5" customHeight="1">
      <c r="A411" s="76" t="s">
        <v>1151</v>
      </c>
      <c r="B411" s="88"/>
      <c r="C411" s="88"/>
      <c r="D411" s="88"/>
      <c r="E411" s="88"/>
      <c r="F411" s="88"/>
      <c r="G411" s="88"/>
      <c r="H411" s="111"/>
      <c r="I411" s="28"/>
      <c r="J411" s="28"/>
    </row>
    <row r="412" ht="22.5" customHeight="1">
      <c r="A412" s="76" t="s">
        <v>1151</v>
      </c>
      <c r="B412" s="88"/>
      <c r="C412" s="88"/>
      <c r="D412" s="88"/>
      <c r="E412" s="88"/>
      <c r="F412" s="88"/>
      <c r="G412" s="88"/>
      <c r="H412" s="111"/>
      <c r="I412" s="28"/>
      <c r="J412" s="28"/>
    </row>
    <row r="413" ht="22.5" customHeight="1">
      <c r="A413" s="76" t="s">
        <v>1151</v>
      </c>
      <c r="B413" s="88"/>
      <c r="C413" s="88"/>
      <c r="D413" s="88"/>
      <c r="E413" s="88"/>
      <c r="F413" s="88"/>
      <c r="G413" s="88"/>
      <c r="H413" s="111"/>
      <c r="I413" s="28"/>
      <c r="J413" s="28"/>
    </row>
    <row r="414" ht="22.5" customHeight="1">
      <c r="A414" s="76" t="s">
        <v>1151</v>
      </c>
      <c r="B414" s="88"/>
      <c r="C414" s="88"/>
      <c r="D414" s="88"/>
      <c r="E414" s="88"/>
      <c r="F414" s="88"/>
      <c r="G414" s="88"/>
      <c r="H414" s="111"/>
      <c r="I414" s="28"/>
      <c r="J414" s="28"/>
    </row>
    <row r="415" ht="22.5" customHeight="1">
      <c r="A415" s="76" t="s">
        <v>1151</v>
      </c>
      <c r="B415" s="88"/>
      <c r="C415" s="88"/>
      <c r="D415" s="88"/>
      <c r="E415" s="88"/>
      <c r="F415" s="88"/>
      <c r="G415" s="88"/>
      <c r="H415" s="111"/>
      <c r="I415" s="28"/>
      <c r="J415" s="28"/>
    </row>
    <row r="416" ht="22.5" customHeight="1">
      <c r="A416" s="76" t="s">
        <v>1151</v>
      </c>
      <c r="B416" s="88"/>
      <c r="C416" s="88"/>
      <c r="D416" s="88"/>
      <c r="E416" s="88"/>
      <c r="F416" s="88"/>
      <c r="G416" s="88"/>
      <c r="H416" s="111"/>
      <c r="I416" s="28"/>
      <c r="J416" s="28"/>
    </row>
    <row r="417" ht="22.5" customHeight="1">
      <c r="A417" s="76" t="s">
        <v>1151</v>
      </c>
      <c r="B417" s="88"/>
      <c r="C417" s="88"/>
      <c r="D417" s="88"/>
      <c r="E417" s="88"/>
      <c r="F417" s="88"/>
      <c r="G417" s="88"/>
      <c r="H417" s="111"/>
      <c r="I417" s="28"/>
      <c r="J417" s="28"/>
    </row>
    <row r="418" ht="22.5" customHeight="1">
      <c r="A418" s="76" t="s">
        <v>1151</v>
      </c>
      <c r="B418" s="88"/>
      <c r="C418" s="88"/>
      <c r="D418" s="88"/>
      <c r="E418" s="88"/>
      <c r="F418" s="88"/>
      <c r="G418" s="88"/>
      <c r="H418" s="111"/>
      <c r="I418" s="28"/>
      <c r="J418" s="28"/>
    </row>
    <row r="419" ht="22.5" customHeight="1">
      <c r="A419" s="76" t="s">
        <v>1151</v>
      </c>
      <c r="B419" s="88"/>
      <c r="C419" s="88"/>
      <c r="D419" s="88"/>
      <c r="E419" s="88"/>
      <c r="F419" s="88"/>
      <c r="G419" s="88"/>
      <c r="H419" s="111"/>
      <c r="I419" s="28"/>
      <c r="J419" s="28"/>
    </row>
    <row r="420" ht="22.5" customHeight="1">
      <c r="A420" s="76" t="s">
        <v>1151</v>
      </c>
      <c r="B420" s="88"/>
      <c r="C420" s="88"/>
      <c r="D420" s="88"/>
      <c r="E420" s="88"/>
      <c r="F420" s="88"/>
      <c r="G420" s="88"/>
      <c r="H420" s="111"/>
      <c r="I420" s="28"/>
      <c r="J420" s="28"/>
    </row>
    <row r="421" ht="22.5" customHeight="1">
      <c r="A421" s="76" t="s">
        <v>1151</v>
      </c>
      <c r="B421" s="88"/>
      <c r="C421" s="88"/>
      <c r="D421" s="88"/>
      <c r="E421" s="88"/>
      <c r="F421" s="88"/>
      <c r="G421" s="88"/>
      <c r="H421" s="111"/>
      <c r="I421" s="28"/>
      <c r="J421" s="28"/>
    </row>
    <row r="422" ht="22.5" customHeight="1">
      <c r="A422" s="76" t="s">
        <v>1151</v>
      </c>
      <c r="B422" s="88"/>
      <c r="C422" s="88"/>
      <c r="D422" s="88"/>
      <c r="E422" s="88"/>
      <c r="F422" s="88"/>
      <c r="G422" s="88"/>
      <c r="H422" s="111"/>
      <c r="I422" s="28"/>
      <c r="J422" s="28"/>
    </row>
    <row r="423" ht="22.5" customHeight="1">
      <c r="A423" s="76" t="s">
        <v>1151</v>
      </c>
      <c r="B423" s="88"/>
      <c r="C423" s="88"/>
      <c r="D423" s="88"/>
      <c r="E423" s="88"/>
      <c r="F423" s="88"/>
      <c r="G423" s="88"/>
      <c r="H423" s="111"/>
      <c r="I423" s="28"/>
      <c r="J423" s="28"/>
    </row>
    <row r="424" ht="22.5" customHeight="1">
      <c r="A424" s="76" t="s">
        <v>1151</v>
      </c>
      <c r="B424" s="88"/>
      <c r="C424" s="88"/>
      <c r="D424" s="88"/>
      <c r="E424" s="88"/>
      <c r="F424" s="88"/>
      <c r="G424" s="88"/>
      <c r="H424" s="111"/>
      <c r="I424" s="28"/>
      <c r="J424" s="28"/>
    </row>
    <row r="425" ht="22.5" customHeight="1">
      <c r="A425" s="76" t="s">
        <v>1151</v>
      </c>
      <c r="B425" s="88"/>
      <c r="C425" s="88"/>
      <c r="D425" s="88"/>
      <c r="E425" s="88"/>
      <c r="F425" s="88"/>
      <c r="G425" s="88"/>
      <c r="H425" s="111"/>
      <c r="I425" s="28"/>
      <c r="J425" s="28"/>
    </row>
    <row r="426" ht="22.5" customHeight="1">
      <c r="A426" s="76" t="s">
        <v>1151</v>
      </c>
      <c r="B426" s="88"/>
      <c r="C426" s="88"/>
      <c r="D426" s="88"/>
      <c r="E426" s="88"/>
      <c r="F426" s="88"/>
      <c r="G426" s="90"/>
      <c r="H426" s="111"/>
      <c r="I426" s="28"/>
      <c r="J426" s="28"/>
    </row>
    <row r="427" ht="22.5" customHeight="1">
      <c r="A427" s="76" t="s">
        <v>1151</v>
      </c>
      <c r="B427" s="88"/>
      <c r="C427" s="88"/>
      <c r="D427" s="88"/>
      <c r="E427" s="88"/>
      <c r="F427" s="88"/>
      <c r="G427" s="90"/>
      <c r="H427" s="111"/>
      <c r="I427" s="26"/>
      <c r="J427" s="28"/>
    </row>
    <row r="428" ht="22.5" customHeight="1">
      <c r="A428" s="76" t="s">
        <v>1151</v>
      </c>
      <c r="B428" s="88"/>
      <c r="C428" s="88"/>
      <c r="D428" s="88"/>
      <c r="E428" s="88"/>
      <c r="F428" s="88"/>
      <c r="G428" s="90"/>
      <c r="H428" s="111"/>
      <c r="I428" s="26"/>
      <c r="J428" s="28"/>
    </row>
    <row r="429" ht="22.5" customHeight="1">
      <c r="A429" s="76" t="s">
        <v>1151</v>
      </c>
      <c r="B429" s="88"/>
      <c r="C429" s="88"/>
      <c r="D429" s="88"/>
      <c r="E429" s="88"/>
      <c r="F429" s="88"/>
      <c r="G429" s="90"/>
      <c r="H429" s="111"/>
      <c r="I429" s="28"/>
      <c r="J429" s="28"/>
    </row>
    <row r="430" ht="22.5" customHeight="1">
      <c r="A430" s="76" t="s">
        <v>1151</v>
      </c>
      <c r="B430" s="88"/>
      <c r="C430" s="88"/>
      <c r="D430" s="88"/>
      <c r="E430" s="88"/>
      <c r="F430" s="88"/>
      <c r="G430" s="90"/>
      <c r="H430" s="111"/>
      <c r="I430" s="26"/>
      <c r="J430" s="28"/>
    </row>
    <row r="431" ht="22.5" customHeight="1">
      <c r="A431" s="76" t="s">
        <v>1151</v>
      </c>
      <c r="B431" s="88"/>
      <c r="C431" s="88"/>
      <c r="D431" s="88"/>
      <c r="E431" s="88"/>
      <c r="F431" s="88"/>
      <c r="G431" s="90"/>
      <c r="H431" s="111"/>
      <c r="I431" s="28"/>
      <c r="J431" s="28"/>
    </row>
    <row r="432" ht="22.5" customHeight="1">
      <c r="A432" s="76" t="s">
        <v>1151</v>
      </c>
      <c r="B432" s="88"/>
      <c r="C432" s="88"/>
      <c r="D432" s="88"/>
      <c r="E432" s="88"/>
      <c r="F432" s="88"/>
      <c r="G432" s="90"/>
      <c r="H432" s="111"/>
      <c r="I432" s="28"/>
      <c r="J432" s="28"/>
    </row>
    <row r="433" ht="22.5" customHeight="1">
      <c r="A433" s="76" t="s">
        <v>1151</v>
      </c>
      <c r="B433" s="88"/>
      <c r="C433" s="88"/>
      <c r="D433" s="88"/>
      <c r="E433" s="88"/>
      <c r="F433" s="88"/>
      <c r="G433" s="90"/>
      <c r="H433" s="111"/>
      <c r="I433" s="28"/>
      <c r="J433" s="28"/>
    </row>
    <row r="434" ht="22.5" customHeight="1">
      <c r="A434" s="76" t="s">
        <v>1151</v>
      </c>
      <c r="B434" s="88"/>
      <c r="C434" s="88"/>
      <c r="D434" s="88"/>
      <c r="E434" s="88"/>
      <c r="F434" s="88"/>
      <c r="G434" s="90"/>
      <c r="H434" s="111"/>
      <c r="I434" s="28"/>
      <c r="J434" s="28"/>
    </row>
    <row r="435" ht="22.5" customHeight="1">
      <c r="A435" s="76" t="s">
        <v>1151</v>
      </c>
      <c r="B435" s="88"/>
      <c r="C435" s="88"/>
      <c r="D435" s="88"/>
      <c r="E435" s="88"/>
      <c r="F435" s="88"/>
      <c r="G435" s="90"/>
      <c r="H435" s="111"/>
      <c r="I435" s="28"/>
      <c r="J435" s="28"/>
    </row>
    <row r="436" ht="22.5" customHeight="1">
      <c r="A436" s="76" t="s">
        <v>1151</v>
      </c>
      <c r="B436" s="88"/>
      <c r="C436" s="88"/>
      <c r="D436" s="88"/>
      <c r="E436" s="88"/>
      <c r="F436" s="88"/>
      <c r="G436" s="90"/>
      <c r="H436" s="111"/>
      <c r="I436" s="28"/>
      <c r="J436" s="28"/>
    </row>
    <row r="437" ht="22.5" customHeight="1">
      <c r="A437" s="76" t="s">
        <v>1151</v>
      </c>
      <c r="B437" s="88"/>
      <c r="C437" s="88"/>
      <c r="D437" s="88"/>
      <c r="E437" s="88"/>
      <c r="F437" s="88"/>
      <c r="G437" s="90"/>
      <c r="H437" s="111"/>
      <c r="I437" s="28"/>
      <c r="J437" s="28"/>
    </row>
    <row r="438" ht="22.5" customHeight="1">
      <c r="A438" s="76" t="s">
        <v>1151</v>
      </c>
      <c r="B438" s="88"/>
      <c r="C438" s="88"/>
      <c r="D438" s="88"/>
      <c r="E438" s="88"/>
      <c r="F438" s="88"/>
      <c r="G438" s="90"/>
      <c r="H438" s="111"/>
      <c r="I438" s="28"/>
      <c r="J438" s="28"/>
    </row>
    <row r="439" ht="22.5" customHeight="1">
      <c r="A439" s="76" t="s">
        <v>1151</v>
      </c>
      <c r="B439" s="88"/>
      <c r="C439" s="88"/>
      <c r="D439" s="88"/>
      <c r="E439" s="88"/>
      <c r="F439" s="88"/>
      <c r="G439" s="90"/>
      <c r="H439" s="111"/>
      <c r="I439" s="28"/>
      <c r="J439" s="28"/>
    </row>
    <row r="440" ht="22.5" customHeight="1">
      <c r="A440" s="76" t="s">
        <v>1151</v>
      </c>
      <c r="B440" s="88"/>
      <c r="C440" s="88"/>
      <c r="D440" s="88"/>
      <c r="E440" s="88"/>
      <c r="F440" s="88"/>
      <c r="G440" s="91"/>
      <c r="H440" s="98"/>
      <c r="I440" s="30"/>
      <c r="J440" s="28"/>
    </row>
    <row r="441" ht="22.5" customHeight="1">
      <c r="A441" s="76" t="s">
        <v>1151</v>
      </c>
      <c r="B441" s="88"/>
      <c r="C441" s="88"/>
      <c r="D441" s="88"/>
      <c r="E441" s="88"/>
      <c r="F441" s="88"/>
      <c r="G441" s="91"/>
      <c r="H441" s="101"/>
      <c r="I441" s="26"/>
      <c r="J441" s="28"/>
    </row>
    <row r="442" ht="22.5" customHeight="1">
      <c r="A442" s="76" t="s">
        <v>1151</v>
      </c>
      <c r="B442" s="88"/>
      <c r="C442" s="88"/>
      <c r="D442" s="88"/>
      <c r="E442" s="88"/>
      <c r="F442" s="88"/>
      <c r="G442" s="91"/>
      <c r="H442" s="100"/>
      <c r="I442" s="26"/>
      <c r="J442" s="28"/>
    </row>
    <row r="443" ht="22.5" customHeight="1">
      <c r="A443" s="76" t="s">
        <v>1151</v>
      </c>
      <c r="B443" s="88"/>
      <c r="C443" s="88"/>
      <c r="D443" s="88"/>
      <c r="E443" s="88"/>
      <c r="F443" s="88"/>
      <c r="G443" s="91"/>
      <c r="H443" s="100"/>
      <c r="I443" s="26"/>
      <c r="J443" s="28"/>
    </row>
    <row r="444" ht="22.5" customHeight="1">
      <c r="A444" s="76" t="s">
        <v>1151</v>
      </c>
      <c r="B444" s="88"/>
      <c r="C444" s="88"/>
      <c r="D444" s="88"/>
      <c r="E444" s="88"/>
      <c r="F444" s="88"/>
      <c r="G444" s="91"/>
      <c r="H444" s="100"/>
      <c r="I444" s="26"/>
      <c r="J444" s="28"/>
    </row>
    <row r="445" ht="22.5" customHeight="1">
      <c r="A445" s="76" t="s">
        <v>1151</v>
      </c>
      <c r="B445" s="88"/>
      <c r="C445" s="88"/>
      <c r="D445" s="88"/>
      <c r="E445" s="88"/>
      <c r="F445" s="88"/>
      <c r="G445" s="91"/>
      <c r="H445" s="100"/>
      <c r="I445" s="26"/>
      <c r="J445" s="28"/>
    </row>
    <row r="446" ht="22.5" customHeight="1">
      <c r="A446" s="76" t="s">
        <v>1151</v>
      </c>
      <c r="B446" s="88"/>
      <c r="C446" s="88"/>
      <c r="D446" s="88"/>
      <c r="E446" s="88"/>
      <c r="F446" s="88"/>
      <c r="G446" s="91"/>
      <c r="H446" s="100"/>
      <c r="I446" s="26"/>
      <c r="J446" s="28"/>
    </row>
    <row r="447" ht="22.5" customHeight="1">
      <c r="A447" s="76" t="s">
        <v>1151</v>
      </c>
      <c r="B447" s="88"/>
      <c r="C447" s="88"/>
      <c r="D447" s="88"/>
      <c r="E447" s="88"/>
      <c r="F447" s="88"/>
      <c r="G447" s="90"/>
      <c r="H447" s="111"/>
      <c r="I447" s="28"/>
      <c r="J447" s="28"/>
    </row>
    <row r="448" ht="22.5" customHeight="1">
      <c r="A448" s="76" t="s">
        <v>1151</v>
      </c>
      <c r="B448" s="88"/>
      <c r="C448" s="88"/>
      <c r="D448" s="88"/>
      <c r="E448" s="88"/>
      <c r="F448" s="88"/>
      <c r="G448" s="90"/>
      <c r="H448" s="111"/>
      <c r="I448" s="28"/>
      <c r="J448" s="28"/>
    </row>
    <row r="449" ht="22.5" customHeight="1">
      <c r="A449" s="76" t="s">
        <v>1151</v>
      </c>
      <c r="B449" s="88"/>
      <c r="C449" s="88"/>
      <c r="D449" s="88"/>
      <c r="E449" s="88"/>
      <c r="F449" s="88"/>
      <c r="G449" s="90"/>
      <c r="H449" s="111"/>
      <c r="I449" s="28"/>
      <c r="J449" s="28"/>
    </row>
    <row r="450" ht="22.5" customHeight="1">
      <c r="A450" s="76" t="s">
        <v>1151</v>
      </c>
      <c r="B450" s="88"/>
      <c r="C450" s="88"/>
      <c r="D450" s="88"/>
      <c r="E450" s="88"/>
      <c r="F450" s="88"/>
      <c r="G450" s="90"/>
      <c r="H450" s="111"/>
      <c r="I450" s="28"/>
      <c r="J450" s="28"/>
    </row>
    <row r="451" ht="22.5" customHeight="1">
      <c r="A451" s="76" t="s">
        <v>1151</v>
      </c>
      <c r="B451" s="88"/>
      <c r="C451" s="88"/>
      <c r="D451" s="88"/>
      <c r="E451" s="88"/>
      <c r="F451" s="88"/>
      <c r="G451" s="90"/>
      <c r="H451" s="111"/>
      <c r="I451" s="28"/>
      <c r="J451" s="28"/>
    </row>
    <row r="452" ht="22.5" customHeight="1">
      <c r="A452" s="76" t="s">
        <v>1151</v>
      </c>
      <c r="B452" s="88"/>
      <c r="C452" s="88"/>
      <c r="D452" s="88"/>
      <c r="E452" s="88"/>
      <c r="F452" s="88"/>
      <c r="G452" s="90"/>
      <c r="H452" s="111"/>
      <c r="I452" s="28"/>
      <c r="J452" s="28"/>
    </row>
    <row r="453" ht="22.5" customHeight="1">
      <c r="A453" s="76" t="s">
        <v>1151</v>
      </c>
      <c r="B453" s="88"/>
      <c r="C453" s="88"/>
      <c r="D453" s="88"/>
      <c r="E453" s="88"/>
      <c r="F453" s="88"/>
      <c r="G453" s="90"/>
      <c r="H453" s="111"/>
      <c r="I453" s="28"/>
      <c r="J453" s="28"/>
    </row>
    <row r="454" ht="22.5" customHeight="1">
      <c r="A454" s="76" t="s">
        <v>1151</v>
      </c>
      <c r="B454" s="88"/>
      <c r="C454" s="88"/>
      <c r="D454" s="88"/>
      <c r="E454" s="88"/>
      <c r="F454" s="88"/>
      <c r="G454" s="90"/>
      <c r="H454" s="111"/>
      <c r="I454" s="28"/>
      <c r="J454" s="28"/>
    </row>
    <row r="455" ht="22.5" customHeight="1">
      <c r="A455" s="76" t="s">
        <v>1151</v>
      </c>
      <c r="B455" s="88"/>
      <c r="C455" s="88"/>
      <c r="D455" s="88"/>
      <c r="E455" s="88"/>
      <c r="F455" s="88"/>
      <c r="G455" s="90"/>
      <c r="H455" s="111"/>
      <c r="I455" s="28"/>
      <c r="J455" s="28"/>
    </row>
    <row r="456" ht="22.5" customHeight="1">
      <c r="A456" s="76" t="s">
        <v>1151</v>
      </c>
      <c r="B456" s="88"/>
      <c r="C456" s="88"/>
      <c r="D456" s="88"/>
      <c r="E456" s="88"/>
      <c r="F456" s="88"/>
      <c r="G456" s="90"/>
      <c r="H456" s="111"/>
      <c r="I456" s="28"/>
      <c r="J456" s="28"/>
    </row>
    <row r="457" ht="22.5" customHeight="1">
      <c r="A457" s="76" t="s">
        <v>1151</v>
      </c>
      <c r="B457" s="88"/>
      <c r="C457" s="88"/>
      <c r="D457" s="88"/>
      <c r="E457" s="88"/>
      <c r="F457" s="88"/>
      <c r="G457" s="90"/>
      <c r="H457" s="111"/>
      <c r="I457" s="28"/>
      <c r="J457" s="28"/>
    </row>
    <row r="458" ht="22.5" customHeight="1">
      <c r="A458" s="76" t="s">
        <v>1151</v>
      </c>
      <c r="B458" s="88"/>
      <c r="C458" s="88"/>
      <c r="D458" s="88"/>
      <c r="E458" s="88"/>
      <c r="F458" s="88"/>
      <c r="G458" s="90"/>
      <c r="H458" s="111"/>
      <c r="I458" s="28"/>
      <c r="J458" s="28"/>
    </row>
    <row r="459" ht="22.5" customHeight="1">
      <c r="A459" s="76" t="s">
        <v>1151</v>
      </c>
      <c r="B459" s="88"/>
      <c r="C459" s="88"/>
      <c r="D459" s="88"/>
      <c r="E459" s="88"/>
      <c r="F459" s="88"/>
      <c r="G459" s="90"/>
      <c r="H459" s="111"/>
      <c r="I459" s="28"/>
      <c r="J459" s="28"/>
    </row>
    <row r="460" ht="22.5" customHeight="1">
      <c r="A460" s="76" t="s">
        <v>1151</v>
      </c>
      <c r="B460" s="88"/>
      <c r="C460" s="88"/>
      <c r="D460" s="88"/>
      <c r="E460" s="88"/>
      <c r="F460" s="88"/>
      <c r="G460" s="90"/>
      <c r="H460" s="111"/>
      <c r="I460" s="28"/>
      <c r="J460" s="28"/>
    </row>
    <row r="461" ht="22.5" customHeight="1">
      <c r="A461" s="76" t="s">
        <v>1151</v>
      </c>
      <c r="B461" s="88"/>
      <c r="C461" s="88"/>
      <c r="D461" s="88"/>
      <c r="E461" s="88"/>
      <c r="F461" s="88"/>
      <c r="G461" s="90"/>
      <c r="H461" s="111"/>
      <c r="I461" s="26"/>
      <c r="J461" s="28"/>
    </row>
    <row r="462" ht="22.5" customHeight="1">
      <c r="A462" s="76" t="s">
        <v>1151</v>
      </c>
      <c r="B462" s="88"/>
      <c r="C462" s="88"/>
      <c r="D462" s="88"/>
      <c r="E462" s="88"/>
      <c r="F462" s="88"/>
      <c r="G462" s="90"/>
      <c r="H462" s="111"/>
      <c r="I462" s="26"/>
      <c r="J462" s="28"/>
    </row>
    <row r="463" ht="22.5" customHeight="1">
      <c r="A463" s="76" t="s">
        <v>1151</v>
      </c>
      <c r="B463" s="88"/>
      <c r="C463" s="88"/>
      <c r="D463" s="88"/>
      <c r="E463" s="88"/>
      <c r="F463" s="88"/>
      <c r="G463" s="90"/>
      <c r="H463" s="111"/>
      <c r="I463" s="28"/>
      <c r="J463" s="28"/>
    </row>
    <row r="464" ht="22.5" customHeight="1">
      <c r="A464" s="76" t="s">
        <v>1151</v>
      </c>
      <c r="B464" s="88"/>
      <c r="C464" s="88"/>
      <c r="D464" s="88"/>
      <c r="E464" s="88"/>
      <c r="F464" s="88"/>
      <c r="G464" s="90"/>
      <c r="H464" s="111"/>
      <c r="I464" s="28"/>
      <c r="J464" s="28"/>
    </row>
    <row r="465" ht="22.5" customHeight="1">
      <c r="A465" s="76" t="s">
        <v>1151</v>
      </c>
      <c r="B465" s="88"/>
      <c r="C465" s="88"/>
      <c r="D465" s="88"/>
      <c r="E465" s="88"/>
      <c r="F465" s="88"/>
      <c r="G465" s="90"/>
      <c r="H465" s="111"/>
      <c r="I465" s="28"/>
      <c r="J465" s="28"/>
    </row>
    <row r="466" ht="22.5" customHeight="1">
      <c r="A466" s="76" t="s">
        <v>1151</v>
      </c>
      <c r="B466" s="88"/>
      <c r="C466" s="88"/>
      <c r="D466" s="88"/>
      <c r="E466" s="88"/>
      <c r="F466" s="88"/>
      <c r="G466" s="90"/>
      <c r="H466" s="111"/>
      <c r="I466" s="28"/>
      <c r="J466" s="28"/>
    </row>
    <row r="467" ht="22.5" customHeight="1">
      <c r="A467" s="76" t="s">
        <v>1151</v>
      </c>
      <c r="B467" s="88"/>
      <c r="C467" s="88"/>
      <c r="D467" s="88"/>
      <c r="E467" s="88"/>
      <c r="F467" s="88"/>
      <c r="G467" s="90"/>
      <c r="H467" s="111"/>
      <c r="I467" s="28"/>
      <c r="J467" s="28"/>
    </row>
    <row r="468" ht="22.5" customHeight="1">
      <c r="A468" s="76" t="s">
        <v>1151</v>
      </c>
      <c r="B468" s="88"/>
      <c r="C468" s="88"/>
      <c r="D468" s="88"/>
      <c r="E468" s="88"/>
      <c r="F468" s="88"/>
      <c r="G468" s="90"/>
      <c r="H468" s="111"/>
      <c r="I468" s="28"/>
      <c r="J468" s="28"/>
    </row>
    <row r="469" ht="22.5" customHeight="1">
      <c r="A469" s="76" t="s">
        <v>1151</v>
      </c>
      <c r="B469" s="88"/>
      <c r="C469" s="88"/>
      <c r="D469" s="88"/>
      <c r="E469" s="88"/>
      <c r="F469" s="88"/>
      <c r="G469" s="90"/>
      <c r="H469" s="111"/>
      <c r="I469" s="28"/>
      <c r="J469" s="28"/>
    </row>
    <row r="470" ht="22.5" customHeight="1">
      <c r="A470" s="76" t="s">
        <v>1151</v>
      </c>
      <c r="B470" s="88"/>
      <c r="C470" s="88"/>
      <c r="D470" s="88"/>
      <c r="E470" s="88"/>
      <c r="F470" s="88"/>
      <c r="G470" s="90"/>
      <c r="H470" s="111"/>
      <c r="I470" s="28"/>
      <c r="J470" s="28"/>
    </row>
    <row r="471" ht="22.5" customHeight="1">
      <c r="A471" s="76" t="s">
        <v>1151</v>
      </c>
      <c r="B471" s="88"/>
      <c r="C471" s="88"/>
      <c r="D471" s="88"/>
      <c r="E471" s="88"/>
      <c r="F471" s="88"/>
      <c r="G471" s="90"/>
      <c r="H471" s="111"/>
      <c r="I471" s="28"/>
      <c r="J471" s="28"/>
    </row>
    <row r="472" ht="22.5" customHeight="1">
      <c r="A472" s="76" t="s">
        <v>1151</v>
      </c>
      <c r="B472" s="88"/>
      <c r="C472" s="88"/>
      <c r="D472" s="88"/>
      <c r="E472" s="88"/>
      <c r="F472" s="88"/>
      <c r="G472" s="90"/>
      <c r="H472" s="111"/>
      <c r="I472" s="26"/>
      <c r="J472" s="28"/>
    </row>
    <row r="473" ht="22.5" customHeight="1">
      <c r="A473" s="76" t="s">
        <v>1151</v>
      </c>
      <c r="B473" s="88"/>
      <c r="C473" s="88"/>
      <c r="D473" s="88"/>
      <c r="E473" s="88"/>
      <c r="F473" s="88"/>
      <c r="G473" s="90"/>
      <c r="H473" s="111"/>
      <c r="I473" s="28"/>
      <c r="J473" s="28"/>
    </row>
    <row r="474" ht="22.5" customHeight="1">
      <c r="A474" s="76" t="s">
        <v>1151</v>
      </c>
      <c r="B474" s="88"/>
      <c r="C474" s="88"/>
      <c r="D474" s="88"/>
      <c r="E474" s="88"/>
      <c r="F474" s="88"/>
      <c r="G474" s="90"/>
      <c r="H474" s="111"/>
      <c r="I474" s="28"/>
      <c r="J474" s="28"/>
    </row>
    <row r="475" ht="22.5" customHeight="1">
      <c r="A475" s="76" t="s">
        <v>1151</v>
      </c>
      <c r="B475" s="88"/>
      <c r="C475" s="88"/>
      <c r="D475" s="88"/>
      <c r="E475" s="88"/>
      <c r="F475" s="88"/>
      <c r="G475" s="88"/>
      <c r="H475" s="111"/>
      <c r="I475" s="28"/>
      <c r="J475" s="28"/>
    </row>
    <row r="476" ht="22.5" customHeight="1">
      <c r="A476" s="76" t="s">
        <v>1151</v>
      </c>
      <c r="B476" s="88"/>
      <c r="C476" s="88"/>
      <c r="D476" s="88"/>
      <c r="E476" s="88"/>
      <c r="F476" s="88"/>
      <c r="G476" s="88"/>
      <c r="H476" s="111"/>
      <c r="I476" s="28"/>
      <c r="J476" s="28"/>
    </row>
    <row r="477" ht="22.5" customHeight="1">
      <c r="A477" s="76" t="s">
        <v>1151</v>
      </c>
      <c r="B477" s="88"/>
      <c r="C477" s="88"/>
      <c r="D477" s="88"/>
      <c r="E477" s="88"/>
      <c r="F477" s="88"/>
      <c r="G477" s="88"/>
      <c r="H477" s="111"/>
      <c r="I477" s="28"/>
      <c r="J477" s="28"/>
    </row>
    <row r="478" ht="22.5" customHeight="1">
      <c r="A478" s="76" t="s">
        <v>1151</v>
      </c>
      <c r="B478" s="88"/>
      <c r="C478" s="88"/>
      <c r="D478" s="88"/>
      <c r="E478" s="88"/>
      <c r="F478" s="88"/>
      <c r="G478" s="88"/>
      <c r="H478" s="111"/>
      <c r="I478" s="28"/>
      <c r="J478" s="28"/>
    </row>
    <row r="479" ht="22.5" customHeight="1">
      <c r="A479" s="76" t="s">
        <v>1151</v>
      </c>
      <c r="B479" s="88"/>
      <c r="C479" s="88"/>
      <c r="D479" s="88"/>
      <c r="E479" s="88"/>
      <c r="F479" s="88"/>
      <c r="G479" s="90"/>
      <c r="H479" s="111"/>
      <c r="I479" s="28"/>
      <c r="J479" s="28"/>
    </row>
    <row r="480" ht="22.5" customHeight="1">
      <c r="A480" s="76" t="s">
        <v>1151</v>
      </c>
      <c r="B480" s="88"/>
      <c r="C480" s="88"/>
      <c r="D480" s="88"/>
      <c r="E480" s="88"/>
      <c r="F480" s="88"/>
      <c r="G480" s="90"/>
      <c r="H480" s="111"/>
      <c r="I480" s="28"/>
      <c r="J480" s="28"/>
    </row>
    <row r="481" ht="22.5" customHeight="1">
      <c r="A481" s="76" t="s">
        <v>1151</v>
      </c>
      <c r="B481" s="88"/>
      <c r="C481" s="88"/>
      <c r="D481" s="88"/>
      <c r="E481" s="88"/>
      <c r="F481" s="88"/>
      <c r="G481" s="90"/>
      <c r="H481" s="111"/>
      <c r="I481" s="28"/>
      <c r="J481" s="28"/>
    </row>
    <row r="482" ht="22.5" customHeight="1">
      <c r="A482" s="76" t="s">
        <v>1151</v>
      </c>
      <c r="B482" s="88"/>
      <c r="C482" s="88"/>
      <c r="D482" s="88"/>
      <c r="E482" s="88"/>
      <c r="F482" s="88"/>
      <c r="G482" s="90"/>
      <c r="H482" s="111"/>
      <c r="I482" s="28"/>
      <c r="J482" s="28"/>
    </row>
    <row r="483" ht="22.5" customHeight="1">
      <c r="A483" s="76" t="s">
        <v>1151</v>
      </c>
      <c r="B483" s="88"/>
      <c r="C483" s="88"/>
      <c r="D483" s="88"/>
      <c r="E483" s="88"/>
      <c r="F483" s="88"/>
      <c r="G483" s="90"/>
      <c r="H483" s="111"/>
      <c r="I483" s="28"/>
      <c r="J483" s="28"/>
    </row>
    <row r="484" ht="22.5" customHeight="1">
      <c r="A484" s="76" t="s">
        <v>1151</v>
      </c>
      <c r="B484" s="88"/>
      <c r="C484" s="88"/>
      <c r="D484" s="88"/>
      <c r="E484" s="88"/>
      <c r="F484" s="88"/>
      <c r="G484" s="90"/>
      <c r="H484" s="111"/>
      <c r="I484" s="28"/>
      <c r="J484" s="28"/>
    </row>
    <row r="485" ht="22.5" customHeight="1">
      <c r="A485" s="76" t="s">
        <v>1151</v>
      </c>
      <c r="B485" s="88"/>
      <c r="C485" s="88"/>
      <c r="D485" s="88"/>
      <c r="E485" s="88"/>
      <c r="F485" s="88"/>
      <c r="G485" s="90"/>
      <c r="H485" s="111"/>
      <c r="I485" s="28"/>
      <c r="J485" s="28"/>
    </row>
    <row r="486" ht="22.5" customHeight="1">
      <c r="A486" s="76" t="s">
        <v>1151</v>
      </c>
      <c r="B486" s="88"/>
      <c r="C486" s="88"/>
      <c r="D486" s="88"/>
      <c r="E486" s="88"/>
      <c r="F486" s="88"/>
      <c r="G486" s="90"/>
      <c r="H486" s="111"/>
      <c r="I486" s="28"/>
      <c r="J486" s="28"/>
    </row>
    <row r="487" ht="22.5" customHeight="1">
      <c r="A487" s="76" t="s">
        <v>1151</v>
      </c>
      <c r="B487" s="88"/>
      <c r="C487" s="88"/>
      <c r="D487" s="88"/>
      <c r="E487" s="88"/>
      <c r="F487" s="88"/>
      <c r="G487" s="90"/>
      <c r="H487" s="111"/>
      <c r="I487" s="28"/>
      <c r="J487" s="28"/>
    </row>
    <row r="488" ht="22.5" customHeight="1">
      <c r="A488" s="76" t="s">
        <v>1151</v>
      </c>
      <c r="B488" s="88"/>
      <c r="C488" s="88"/>
      <c r="D488" s="88"/>
      <c r="E488" s="88"/>
      <c r="F488" s="88"/>
      <c r="G488" s="90"/>
      <c r="H488" s="111"/>
      <c r="I488" s="28"/>
      <c r="J488" s="28"/>
    </row>
    <row r="489" ht="22.5" customHeight="1">
      <c r="A489" s="76" t="s">
        <v>1151</v>
      </c>
      <c r="B489" s="88"/>
      <c r="C489" s="88"/>
      <c r="D489" s="88"/>
      <c r="E489" s="88"/>
      <c r="F489" s="88"/>
      <c r="G489" s="88"/>
      <c r="H489" s="111"/>
      <c r="I489" s="28"/>
      <c r="J489" s="28"/>
    </row>
    <row r="490" ht="22.5" customHeight="1">
      <c r="A490" s="76" t="s">
        <v>1151</v>
      </c>
      <c r="B490" s="88"/>
      <c r="C490" s="88"/>
      <c r="D490" s="88"/>
      <c r="E490" s="88"/>
      <c r="F490" s="88"/>
      <c r="G490" s="88"/>
      <c r="H490" s="111"/>
      <c r="I490" s="28"/>
      <c r="J490" s="28"/>
    </row>
    <row r="491" ht="22.5" customHeight="1">
      <c r="A491" s="76" t="s">
        <v>1151</v>
      </c>
      <c r="B491" s="88"/>
      <c r="C491" s="88"/>
      <c r="D491" s="88"/>
      <c r="E491" s="88"/>
      <c r="F491" s="88"/>
      <c r="G491" s="88"/>
      <c r="H491" s="111"/>
      <c r="I491" s="28"/>
      <c r="J491" s="28"/>
    </row>
    <row r="492" ht="22.5" customHeight="1">
      <c r="A492" s="76" t="s">
        <v>1151</v>
      </c>
      <c r="B492" s="88"/>
      <c r="C492" s="88"/>
      <c r="D492" s="88"/>
      <c r="E492" s="88"/>
      <c r="F492" s="88"/>
      <c r="G492" s="88"/>
      <c r="H492" s="111"/>
      <c r="I492" s="28"/>
      <c r="J492" s="28"/>
    </row>
    <row r="493" ht="22.5" customHeight="1">
      <c r="A493" s="76" t="s">
        <v>1151</v>
      </c>
      <c r="B493" s="88"/>
      <c r="C493" s="88"/>
      <c r="D493" s="88"/>
      <c r="E493" s="88"/>
      <c r="F493" s="88"/>
      <c r="G493" s="88"/>
      <c r="H493" s="111"/>
      <c r="I493" s="28"/>
      <c r="J493" s="28"/>
    </row>
    <row r="494" ht="22.5" customHeight="1">
      <c r="A494" s="76" t="s">
        <v>1151</v>
      </c>
      <c r="B494" s="88"/>
      <c r="C494" s="88"/>
      <c r="D494" s="88"/>
      <c r="E494" s="88"/>
      <c r="F494" s="88"/>
      <c r="G494" s="88"/>
      <c r="H494" s="111"/>
      <c r="I494" s="28"/>
      <c r="J494" s="28"/>
    </row>
    <row r="495" ht="22.5" customHeight="1">
      <c r="A495" s="76" t="s">
        <v>1151</v>
      </c>
      <c r="B495" s="88"/>
      <c r="C495" s="88"/>
      <c r="D495" s="88"/>
      <c r="E495" s="88"/>
      <c r="F495" s="88"/>
      <c r="G495" s="88"/>
      <c r="H495" s="111"/>
      <c r="I495" s="28"/>
      <c r="J495" s="28"/>
    </row>
    <row r="496" ht="22.5" customHeight="1">
      <c r="A496" s="76" t="s">
        <v>1151</v>
      </c>
      <c r="B496" s="88"/>
      <c r="C496" s="88"/>
      <c r="D496" s="88"/>
      <c r="E496" s="88"/>
      <c r="F496" s="88"/>
      <c r="G496" s="90"/>
      <c r="H496" s="111"/>
      <c r="I496" s="28"/>
      <c r="J496" s="28"/>
    </row>
    <row r="497" ht="22.5" customHeight="1">
      <c r="A497" s="76" t="s">
        <v>1151</v>
      </c>
      <c r="B497" s="88"/>
      <c r="C497" s="88"/>
      <c r="D497" s="88"/>
      <c r="E497" s="88"/>
      <c r="F497" s="88"/>
      <c r="G497" s="90"/>
      <c r="H497" s="111"/>
      <c r="I497" s="28"/>
      <c r="J497" s="28"/>
    </row>
    <row r="498" ht="22.5" customHeight="1">
      <c r="A498" s="76" t="s">
        <v>1151</v>
      </c>
      <c r="B498" s="88"/>
      <c r="C498" s="88"/>
      <c r="D498" s="88"/>
      <c r="E498" s="88"/>
      <c r="F498" s="88"/>
      <c r="G498" s="90"/>
      <c r="H498" s="111"/>
      <c r="I498" s="28"/>
      <c r="J498" s="28"/>
    </row>
    <row r="499" ht="22.5" customHeight="1">
      <c r="A499" s="76" t="s">
        <v>1151</v>
      </c>
      <c r="B499" s="88"/>
      <c r="C499" s="88"/>
      <c r="D499" s="88"/>
      <c r="E499" s="88"/>
      <c r="F499" s="88"/>
      <c r="G499" s="90"/>
      <c r="H499" s="111"/>
      <c r="I499" s="28"/>
      <c r="J499" s="28"/>
    </row>
    <row r="500" ht="22.5" customHeight="1">
      <c r="A500" s="76" t="s">
        <v>1151</v>
      </c>
      <c r="B500" s="88"/>
      <c r="C500" s="88"/>
      <c r="D500" s="88"/>
      <c r="E500" s="88"/>
      <c r="F500" s="88"/>
      <c r="G500" s="90"/>
      <c r="H500" s="111"/>
      <c r="I500" s="28"/>
      <c r="J500" s="28"/>
    </row>
    <row r="501" ht="22.5" customHeight="1">
      <c r="A501" s="76" t="s">
        <v>1151</v>
      </c>
      <c r="B501" s="88"/>
      <c r="C501" s="88"/>
      <c r="D501" s="88"/>
      <c r="E501" s="88"/>
      <c r="F501" s="88"/>
      <c r="G501" s="90"/>
      <c r="H501" s="111"/>
      <c r="I501" s="28"/>
      <c r="J501" s="28"/>
    </row>
    <row r="502" ht="22.5" customHeight="1">
      <c r="A502" s="76" t="s">
        <v>1151</v>
      </c>
      <c r="B502" s="88"/>
      <c r="C502" s="88"/>
      <c r="D502" s="88"/>
      <c r="E502" s="88"/>
      <c r="F502" s="88"/>
      <c r="G502" s="90"/>
      <c r="H502" s="111"/>
      <c r="I502" s="28"/>
      <c r="J502" s="28"/>
    </row>
    <row r="503" ht="22.5" customHeight="1">
      <c r="A503" s="76" t="s">
        <v>1151</v>
      </c>
      <c r="B503" s="88"/>
      <c r="C503" s="88"/>
      <c r="D503" s="88"/>
      <c r="E503" s="88"/>
      <c r="F503" s="88"/>
      <c r="G503" s="90"/>
      <c r="H503" s="111"/>
      <c r="I503" s="28"/>
      <c r="J503" s="28"/>
    </row>
    <row r="504" ht="22.5" customHeight="1">
      <c r="A504" s="76" t="s">
        <v>1151</v>
      </c>
      <c r="B504" s="88"/>
      <c r="C504" s="88"/>
      <c r="D504" s="88"/>
      <c r="E504" s="88"/>
      <c r="F504" s="88"/>
      <c r="G504" s="90"/>
      <c r="H504" s="111"/>
      <c r="I504" s="28"/>
      <c r="J504" s="28"/>
    </row>
    <row r="505" ht="22.5" customHeight="1">
      <c r="A505" s="76" t="s">
        <v>1151</v>
      </c>
      <c r="B505" s="88"/>
      <c r="C505" s="88"/>
      <c r="D505" s="88"/>
      <c r="E505" s="88"/>
      <c r="F505" s="88"/>
      <c r="G505" s="90"/>
      <c r="H505" s="111"/>
      <c r="I505" s="28"/>
      <c r="J505" s="28"/>
    </row>
    <row r="506" ht="22.5" customHeight="1">
      <c r="A506" s="76" t="s">
        <v>1151</v>
      </c>
      <c r="B506" s="88"/>
      <c r="C506" s="88"/>
      <c r="D506" s="88"/>
      <c r="E506" s="88"/>
      <c r="F506" s="88"/>
      <c r="G506" s="90"/>
      <c r="H506" s="111"/>
      <c r="I506" s="28"/>
      <c r="J506" s="28"/>
    </row>
    <row r="507" ht="22.5" customHeight="1">
      <c r="A507" s="76" t="s">
        <v>1151</v>
      </c>
      <c r="B507" s="88"/>
      <c r="C507" s="88"/>
      <c r="D507" s="88"/>
      <c r="E507" s="88"/>
      <c r="F507" s="88"/>
      <c r="G507" s="90"/>
      <c r="H507" s="111"/>
      <c r="I507" s="28"/>
      <c r="J507" s="28"/>
    </row>
    <row r="508" ht="22.5" customHeight="1">
      <c r="A508" s="76" t="s">
        <v>1151</v>
      </c>
      <c r="B508" s="88"/>
      <c r="C508" s="88"/>
      <c r="D508" s="88"/>
      <c r="E508" s="88"/>
      <c r="F508" s="88"/>
      <c r="G508" s="90"/>
      <c r="H508" s="111"/>
      <c r="I508" s="28"/>
      <c r="J508" s="28"/>
    </row>
    <row r="509" ht="22.5" customHeight="1">
      <c r="A509" s="76" t="s">
        <v>1151</v>
      </c>
      <c r="B509" s="88"/>
      <c r="C509" s="88"/>
      <c r="D509" s="88"/>
      <c r="E509" s="88"/>
      <c r="F509" s="88"/>
      <c r="G509" s="90"/>
      <c r="H509" s="111"/>
      <c r="I509" s="28"/>
      <c r="J509" s="28"/>
    </row>
    <row r="510" ht="22.5" customHeight="1">
      <c r="A510" s="76" t="s">
        <v>1151</v>
      </c>
      <c r="B510" s="88"/>
      <c r="C510" s="88"/>
      <c r="D510" s="88"/>
      <c r="E510" s="88"/>
      <c r="F510" s="88"/>
      <c r="G510" s="90"/>
      <c r="H510" s="111"/>
      <c r="I510" s="28"/>
      <c r="J510" s="28"/>
    </row>
    <row r="511" ht="22.5" customHeight="1">
      <c r="A511" s="76" t="s">
        <v>1151</v>
      </c>
      <c r="B511" s="88"/>
      <c r="C511" s="88"/>
      <c r="D511" s="88"/>
      <c r="E511" s="88"/>
      <c r="F511" s="88"/>
      <c r="G511" s="90"/>
      <c r="H511" s="111"/>
      <c r="I511" s="28"/>
      <c r="J511" s="28"/>
    </row>
    <row r="512" ht="22.5" customHeight="1">
      <c r="A512" s="76" t="s">
        <v>1151</v>
      </c>
      <c r="B512" s="88"/>
      <c r="C512" s="88"/>
      <c r="D512" s="88"/>
      <c r="E512" s="88"/>
      <c r="F512" s="88"/>
      <c r="G512" s="90"/>
      <c r="H512" s="111"/>
      <c r="I512" s="28"/>
      <c r="J512" s="28"/>
    </row>
    <row r="513" ht="22.5" customHeight="1">
      <c r="A513" s="76" t="s">
        <v>1151</v>
      </c>
      <c r="B513" s="88"/>
      <c r="C513" s="88"/>
      <c r="D513" s="88"/>
      <c r="E513" s="88"/>
      <c r="F513" s="88"/>
      <c r="G513" s="90"/>
      <c r="H513" s="111"/>
      <c r="I513" s="28"/>
      <c r="J513" s="28"/>
    </row>
    <row r="514" ht="22.5" customHeight="1">
      <c r="A514" s="76" t="s">
        <v>1151</v>
      </c>
      <c r="B514" s="88"/>
      <c r="C514" s="88"/>
      <c r="D514" s="88"/>
      <c r="E514" s="88"/>
      <c r="F514" s="88"/>
      <c r="G514" s="90"/>
      <c r="H514" s="111"/>
      <c r="I514" s="28"/>
      <c r="J514" s="28"/>
    </row>
    <row r="515" ht="22.5" customHeight="1">
      <c r="A515" s="76" t="s">
        <v>1151</v>
      </c>
      <c r="B515" s="88"/>
      <c r="C515" s="88"/>
      <c r="D515" s="88"/>
      <c r="E515" s="88"/>
      <c r="F515" s="88"/>
      <c r="G515" s="90"/>
      <c r="H515" s="111"/>
      <c r="I515" s="28"/>
      <c r="J515" s="28"/>
    </row>
    <row r="516" ht="22.5" customHeight="1">
      <c r="A516" s="76" t="s">
        <v>1151</v>
      </c>
      <c r="B516" s="88"/>
      <c r="C516" s="88"/>
      <c r="D516" s="88"/>
      <c r="E516" s="88"/>
      <c r="F516" s="88"/>
      <c r="G516" s="90"/>
      <c r="H516" s="111"/>
      <c r="I516" s="28"/>
      <c r="J516" s="28"/>
    </row>
    <row r="517" ht="22.5" customHeight="1">
      <c r="A517" s="76" t="s">
        <v>1151</v>
      </c>
      <c r="B517" s="88"/>
      <c r="C517" s="88"/>
      <c r="D517" s="88"/>
      <c r="E517" s="88"/>
      <c r="F517" s="88"/>
      <c r="G517" s="90"/>
      <c r="H517" s="111"/>
      <c r="I517" s="28"/>
      <c r="J517" s="28"/>
    </row>
    <row r="518" ht="22.5" customHeight="1">
      <c r="A518" s="76" t="s">
        <v>1151</v>
      </c>
      <c r="B518" s="88"/>
      <c r="C518" s="88"/>
      <c r="D518" s="88"/>
      <c r="E518" s="88"/>
      <c r="F518" s="88"/>
      <c r="G518" s="90"/>
      <c r="H518" s="111"/>
      <c r="I518" s="28"/>
      <c r="J518" s="28"/>
    </row>
    <row r="519" ht="22.5" customHeight="1">
      <c r="A519" s="76" t="s">
        <v>1151</v>
      </c>
      <c r="B519" s="88"/>
      <c r="C519" s="88"/>
      <c r="D519" s="88"/>
      <c r="E519" s="88"/>
      <c r="F519" s="88"/>
      <c r="G519" s="90"/>
      <c r="H519" s="111"/>
      <c r="I519" s="28"/>
      <c r="J519" s="28"/>
    </row>
    <row r="520" ht="22.5" customHeight="1">
      <c r="A520" s="76" t="s">
        <v>1151</v>
      </c>
      <c r="B520" s="88"/>
      <c r="C520" s="88"/>
      <c r="D520" s="88"/>
      <c r="E520" s="88"/>
      <c r="F520" s="88"/>
      <c r="G520" s="90"/>
      <c r="H520" s="111"/>
      <c r="I520" s="28"/>
      <c r="J520" s="28"/>
    </row>
    <row r="521" ht="22.5" customHeight="1">
      <c r="A521" s="76" t="s">
        <v>1151</v>
      </c>
      <c r="B521" s="88"/>
      <c r="C521" s="88"/>
      <c r="D521" s="88"/>
      <c r="E521" s="88"/>
      <c r="F521" s="88"/>
      <c r="G521" s="90"/>
      <c r="H521" s="111"/>
      <c r="I521" s="28"/>
      <c r="J521" s="28"/>
    </row>
    <row r="522" ht="22.5" customHeight="1">
      <c r="A522" s="76" t="s">
        <v>1151</v>
      </c>
      <c r="B522" s="88"/>
      <c r="C522" s="88"/>
      <c r="D522" s="88"/>
      <c r="E522" s="88"/>
      <c r="F522" s="88"/>
      <c r="G522" s="90"/>
      <c r="H522" s="111"/>
      <c r="I522" s="28"/>
      <c r="J522" s="28"/>
    </row>
    <row r="523" ht="22.5" customHeight="1">
      <c r="A523" s="76" t="s">
        <v>1151</v>
      </c>
      <c r="B523" s="88"/>
      <c r="C523" s="88"/>
      <c r="D523" s="88"/>
      <c r="E523" s="88"/>
      <c r="F523" s="88"/>
      <c r="G523" s="90"/>
      <c r="H523" s="111"/>
      <c r="I523" s="28"/>
      <c r="J523" s="28"/>
    </row>
    <row r="524" ht="22.5" customHeight="1">
      <c r="A524" s="76" t="s">
        <v>1151</v>
      </c>
      <c r="B524" s="88"/>
      <c r="C524" s="88"/>
      <c r="D524" s="88"/>
      <c r="E524" s="88"/>
      <c r="F524" s="88"/>
      <c r="G524" s="90"/>
      <c r="H524" s="111"/>
      <c r="I524" s="28"/>
      <c r="J524" s="28"/>
    </row>
    <row r="525" ht="22.5" customHeight="1">
      <c r="A525" s="76" t="s">
        <v>1151</v>
      </c>
      <c r="B525" s="88"/>
      <c r="C525" s="88"/>
      <c r="D525" s="88"/>
      <c r="E525" s="88"/>
      <c r="F525" s="88"/>
      <c r="G525" s="90"/>
      <c r="H525" s="111"/>
      <c r="I525" s="28"/>
      <c r="J525" s="28"/>
    </row>
    <row r="526" ht="22.5" customHeight="1">
      <c r="A526" s="76" t="s">
        <v>1151</v>
      </c>
      <c r="B526" s="88"/>
      <c r="C526" s="88"/>
      <c r="D526" s="88"/>
      <c r="E526" s="88"/>
      <c r="F526" s="88"/>
      <c r="G526" s="90"/>
      <c r="H526" s="111"/>
      <c r="I526" s="28"/>
      <c r="J526" s="28"/>
    </row>
    <row r="527" ht="22.5" customHeight="1">
      <c r="A527" s="76" t="s">
        <v>1151</v>
      </c>
      <c r="B527" s="88"/>
      <c r="C527" s="88"/>
      <c r="D527" s="88"/>
      <c r="E527" s="88"/>
      <c r="F527" s="88"/>
      <c r="G527" s="90"/>
      <c r="H527" s="111"/>
      <c r="I527" s="28"/>
      <c r="J527" s="28"/>
    </row>
    <row r="528" ht="22.5" customHeight="1">
      <c r="A528" s="76" t="s">
        <v>1151</v>
      </c>
      <c r="B528" s="88"/>
      <c r="C528" s="88"/>
      <c r="D528" s="88"/>
      <c r="E528" s="88"/>
      <c r="F528" s="88"/>
      <c r="G528" s="90"/>
      <c r="H528" s="111"/>
      <c r="I528" s="28"/>
      <c r="J528" s="28"/>
    </row>
    <row r="529" ht="22.5" customHeight="1">
      <c r="A529" s="76" t="s">
        <v>1151</v>
      </c>
      <c r="B529" s="88"/>
      <c r="C529" s="88"/>
      <c r="D529" s="88"/>
      <c r="E529" s="88"/>
      <c r="F529" s="88"/>
      <c r="G529" s="90"/>
      <c r="H529" s="111"/>
      <c r="I529" s="28"/>
      <c r="J529" s="28"/>
    </row>
    <row r="530" ht="22.5" customHeight="1">
      <c r="A530" s="76" t="s">
        <v>1151</v>
      </c>
      <c r="B530" s="88"/>
      <c r="C530" s="88"/>
      <c r="D530" s="88"/>
      <c r="E530" s="88"/>
      <c r="F530" s="88"/>
      <c r="G530" s="90"/>
      <c r="H530" s="111"/>
      <c r="I530" s="28"/>
      <c r="J530" s="28"/>
    </row>
    <row r="531" ht="22.5" customHeight="1">
      <c r="A531" s="76" t="s">
        <v>1151</v>
      </c>
      <c r="B531" s="88"/>
      <c r="C531" s="88"/>
      <c r="D531" s="88"/>
      <c r="E531" s="88"/>
      <c r="F531" s="88"/>
      <c r="G531" s="88"/>
      <c r="H531" s="111"/>
      <c r="I531" s="28"/>
      <c r="J531" s="28"/>
    </row>
    <row r="532" ht="22.5" customHeight="1">
      <c r="A532" s="76" t="s">
        <v>1151</v>
      </c>
      <c r="B532" s="88"/>
      <c r="C532" s="88"/>
      <c r="D532" s="88"/>
      <c r="E532" s="88"/>
      <c r="F532" s="88"/>
      <c r="G532" s="88"/>
      <c r="H532" s="111"/>
      <c r="I532" s="28"/>
      <c r="J532" s="28"/>
    </row>
    <row r="533" ht="22.5" customHeight="1">
      <c r="A533" s="76" t="s">
        <v>1151</v>
      </c>
      <c r="B533" s="88"/>
      <c r="C533" s="88"/>
      <c r="D533" s="88"/>
      <c r="E533" s="88"/>
      <c r="F533" s="88"/>
      <c r="G533" s="88"/>
      <c r="H533" s="111"/>
      <c r="I533" s="28"/>
      <c r="J533" s="28"/>
    </row>
    <row r="534" ht="22.5" customHeight="1">
      <c r="A534" s="76" t="s">
        <v>1151</v>
      </c>
      <c r="B534" s="88"/>
      <c r="C534" s="88"/>
      <c r="D534" s="88"/>
      <c r="E534" s="88"/>
      <c r="F534" s="88"/>
      <c r="G534" s="88"/>
      <c r="H534" s="111"/>
      <c r="I534" s="28"/>
      <c r="J534" s="28"/>
    </row>
    <row r="535" ht="22.5" customHeight="1">
      <c r="A535" s="76" t="s">
        <v>1151</v>
      </c>
      <c r="B535" s="88"/>
      <c r="C535" s="88"/>
      <c r="D535" s="88"/>
      <c r="E535" s="88"/>
      <c r="F535" s="88"/>
      <c r="G535" s="90"/>
      <c r="H535" s="111"/>
      <c r="I535" s="28"/>
      <c r="J535" s="28"/>
    </row>
    <row r="536" ht="22.5" customHeight="1">
      <c r="A536" s="76" t="s">
        <v>1151</v>
      </c>
      <c r="B536" s="88"/>
      <c r="C536" s="88"/>
      <c r="D536" s="88"/>
      <c r="E536" s="88"/>
      <c r="F536" s="88"/>
      <c r="G536" s="90"/>
      <c r="H536" s="111"/>
      <c r="I536" s="28"/>
      <c r="J536" s="28"/>
    </row>
    <row r="537" ht="22.5" customHeight="1">
      <c r="A537" s="76" t="s">
        <v>1151</v>
      </c>
      <c r="B537" s="88"/>
      <c r="C537" s="88"/>
      <c r="D537" s="88"/>
      <c r="E537" s="88"/>
      <c r="F537" s="88"/>
      <c r="G537" s="90"/>
      <c r="H537" s="111"/>
      <c r="I537" s="28"/>
      <c r="J537" s="28"/>
    </row>
    <row r="538" ht="22.5" customHeight="1">
      <c r="A538" s="76" t="s">
        <v>1151</v>
      </c>
      <c r="B538" s="88"/>
      <c r="C538" s="88"/>
      <c r="D538" s="88"/>
      <c r="E538" s="88"/>
      <c r="F538" s="88"/>
      <c r="G538" s="90"/>
      <c r="H538" s="111"/>
      <c r="I538" s="28"/>
      <c r="J538" s="28"/>
    </row>
    <row r="539" ht="22.5" customHeight="1">
      <c r="A539" s="76" t="s">
        <v>1151</v>
      </c>
      <c r="B539" s="88"/>
      <c r="C539" s="88"/>
      <c r="D539" s="88"/>
      <c r="E539" s="88"/>
      <c r="F539" s="88"/>
      <c r="G539" s="90"/>
      <c r="H539" s="111"/>
      <c r="I539" s="28"/>
      <c r="J539" s="28"/>
    </row>
    <row r="540" ht="22.5" customHeight="1">
      <c r="A540" s="76" t="s">
        <v>1151</v>
      </c>
      <c r="B540" s="88"/>
      <c r="C540" s="88"/>
      <c r="D540" s="88"/>
      <c r="E540" s="88"/>
      <c r="F540" s="88"/>
      <c r="G540" s="90"/>
      <c r="H540" s="111"/>
      <c r="I540" s="28"/>
      <c r="J540" s="28"/>
    </row>
    <row r="541" ht="22.5" customHeight="1">
      <c r="A541" s="76" t="s">
        <v>1151</v>
      </c>
      <c r="B541" s="88"/>
      <c r="C541" s="88"/>
      <c r="D541" s="88"/>
      <c r="E541" s="88"/>
      <c r="F541" s="88"/>
      <c r="G541" s="90"/>
      <c r="H541" s="111"/>
      <c r="I541" s="28"/>
      <c r="J541" s="28"/>
    </row>
    <row r="542" ht="22.5" customHeight="1">
      <c r="A542" s="76" t="s">
        <v>1151</v>
      </c>
      <c r="B542" s="88"/>
      <c r="C542" s="88"/>
      <c r="D542" s="88"/>
      <c r="E542" s="88"/>
      <c r="F542" s="88"/>
      <c r="G542" s="90"/>
      <c r="H542" s="111"/>
      <c r="I542" s="28"/>
      <c r="J542" s="28"/>
    </row>
    <row r="543" ht="22.5" customHeight="1">
      <c r="A543" s="76" t="s">
        <v>1151</v>
      </c>
      <c r="B543" s="88"/>
      <c r="C543" s="88"/>
      <c r="D543" s="88"/>
      <c r="E543" s="88"/>
      <c r="F543" s="88"/>
      <c r="G543" s="90"/>
      <c r="H543" s="111"/>
      <c r="I543" s="28"/>
      <c r="J543" s="28"/>
    </row>
    <row r="544" ht="22.5" customHeight="1">
      <c r="A544" s="76" t="s">
        <v>1151</v>
      </c>
      <c r="B544" s="88"/>
      <c r="C544" s="88"/>
      <c r="D544" s="88"/>
      <c r="E544" s="88"/>
      <c r="F544" s="88"/>
      <c r="G544" s="90"/>
      <c r="H544" s="111"/>
      <c r="I544" s="28"/>
      <c r="J544" s="28"/>
    </row>
    <row r="545" ht="22.5" customHeight="1">
      <c r="A545" s="76" t="s">
        <v>1151</v>
      </c>
      <c r="B545" s="88"/>
      <c r="C545" s="88"/>
      <c r="D545" s="88"/>
      <c r="E545" s="88"/>
      <c r="F545" s="88"/>
      <c r="G545" s="88"/>
      <c r="H545" s="111"/>
      <c r="I545" s="28"/>
      <c r="J545" s="28"/>
    </row>
    <row r="546" ht="22.5" customHeight="1">
      <c r="A546" s="76" t="s">
        <v>1151</v>
      </c>
      <c r="B546" s="88"/>
      <c r="C546" s="88"/>
      <c r="D546" s="88"/>
      <c r="E546" s="88"/>
      <c r="F546" s="88"/>
      <c r="G546" s="88"/>
      <c r="H546" s="111"/>
      <c r="I546" s="28"/>
      <c r="J546" s="28"/>
    </row>
    <row r="547" ht="22.5" customHeight="1">
      <c r="A547" s="76" t="s">
        <v>1151</v>
      </c>
      <c r="B547" s="88"/>
      <c r="C547" s="88"/>
      <c r="D547" s="88"/>
      <c r="E547" s="88"/>
      <c r="F547" s="88"/>
      <c r="G547" s="88"/>
      <c r="H547" s="111"/>
      <c r="I547" s="28"/>
      <c r="J547" s="28"/>
    </row>
    <row r="548" ht="22.5" customHeight="1">
      <c r="A548" s="76" t="s">
        <v>1151</v>
      </c>
      <c r="B548" s="88"/>
      <c r="C548" s="88"/>
      <c r="D548" s="88"/>
      <c r="E548" s="88"/>
      <c r="F548" s="88"/>
      <c r="G548" s="88"/>
      <c r="H548" s="111"/>
      <c r="I548" s="28"/>
      <c r="J548" s="28"/>
    </row>
    <row r="549" ht="22.5" customHeight="1">
      <c r="A549" s="76" t="s">
        <v>1151</v>
      </c>
      <c r="B549" s="88"/>
      <c r="C549" s="88"/>
      <c r="D549" s="88"/>
      <c r="E549" s="88"/>
      <c r="F549" s="88"/>
      <c r="G549" s="90"/>
      <c r="H549" s="111"/>
      <c r="I549" s="28"/>
      <c r="J549" s="28"/>
    </row>
    <row r="550" ht="22.5" customHeight="1">
      <c r="A550" s="76" t="s">
        <v>1151</v>
      </c>
      <c r="B550" s="88"/>
      <c r="C550" s="88"/>
      <c r="D550" s="88"/>
      <c r="E550" s="88"/>
      <c r="F550" s="88"/>
      <c r="G550" s="90"/>
      <c r="H550" s="111"/>
      <c r="I550" s="28"/>
      <c r="J550" s="28"/>
    </row>
    <row r="551" ht="22.5" customHeight="1">
      <c r="A551" s="76" t="s">
        <v>1151</v>
      </c>
      <c r="B551" s="88"/>
      <c r="C551" s="88"/>
      <c r="D551" s="88"/>
      <c r="E551" s="88"/>
      <c r="F551" s="88"/>
      <c r="G551" s="90"/>
      <c r="H551" s="111"/>
      <c r="I551" s="28"/>
      <c r="J551" s="28"/>
    </row>
    <row r="552" ht="22.5" customHeight="1">
      <c r="A552" s="76" t="s">
        <v>1151</v>
      </c>
      <c r="B552" s="88"/>
      <c r="C552" s="88"/>
      <c r="D552" s="88"/>
      <c r="E552" s="88"/>
      <c r="F552" s="88"/>
      <c r="G552" s="90"/>
      <c r="H552" s="111"/>
      <c r="I552" s="26"/>
      <c r="J552" s="28"/>
    </row>
    <row r="553" ht="22.5" customHeight="1">
      <c r="A553" s="76" t="s">
        <v>1151</v>
      </c>
      <c r="B553" s="88"/>
      <c r="C553" s="88"/>
      <c r="D553" s="88"/>
      <c r="E553" s="88"/>
      <c r="F553" s="88"/>
      <c r="G553" s="90"/>
      <c r="H553" s="111"/>
      <c r="I553" s="28"/>
      <c r="J553" s="28"/>
    </row>
    <row r="554" ht="22.5" customHeight="1">
      <c r="A554" s="76" t="s">
        <v>1151</v>
      </c>
      <c r="B554" s="88"/>
      <c r="C554" s="88"/>
      <c r="D554" s="88"/>
      <c r="E554" s="88"/>
      <c r="F554" s="88"/>
      <c r="G554" s="90"/>
      <c r="H554" s="111"/>
      <c r="I554" s="26"/>
      <c r="J554" s="28"/>
    </row>
    <row r="555" ht="22.5" customHeight="1">
      <c r="A555" s="76" t="s">
        <v>1151</v>
      </c>
      <c r="B555" s="88"/>
      <c r="C555" s="88"/>
      <c r="D555" s="88"/>
      <c r="E555" s="88"/>
      <c r="F555" s="88"/>
      <c r="G555" s="90"/>
      <c r="H555" s="111"/>
      <c r="I555" s="28"/>
      <c r="J555" s="28"/>
    </row>
    <row r="556" ht="22.5" customHeight="1">
      <c r="A556" s="76" t="s">
        <v>1151</v>
      </c>
      <c r="B556" s="88"/>
      <c r="C556" s="88"/>
      <c r="D556" s="88"/>
      <c r="E556" s="88"/>
      <c r="F556" s="88"/>
      <c r="G556" s="90"/>
      <c r="H556" s="111"/>
      <c r="I556" s="26"/>
      <c r="J556" s="28"/>
    </row>
    <row r="557" ht="22.5" customHeight="1">
      <c r="A557" s="76" t="s">
        <v>1151</v>
      </c>
      <c r="B557" s="88"/>
      <c r="C557" s="88"/>
      <c r="D557" s="88"/>
      <c r="E557" s="88"/>
      <c r="F557" s="88"/>
      <c r="G557" s="90"/>
      <c r="H557" s="111"/>
      <c r="I557" s="28"/>
      <c r="J557" s="28"/>
    </row>
    <row r="558" ht="22.5" customHeight="1">
      <c r="A558" s="76" t="s">
        <v>1151</v>
      </c>
      <c r="B558" s="88"/>
      <c r="C558" s="88"/>
      <c r="D558" s="88"/>
      <c r="E558" s="88"/>
      <c r="F558" s="88"/>
      <c r="G558" s="90"/>
      <c r="H558" s="111"/>
      <c r="I558" s="28"/>
      <c r="J558" s="28"/>
    </row>
    <row r="559" ht="22.5" customHeight="1">
      <c r="A559" s="76" t="s">
        <v>1151</v>
      </c>
      <c r="B559" s="88"/>
      <c r="C559" s="88"/>
      <c r="D559" s="88"/>
      <c r="E559" s="88"/>
      <c r="F559" s="88"/>
      <c r="G559" s="88"/>
      <c r="H559" s="111"/>
      <c r="I559" s="26"/>
      <c r="J559" s="28"/>
    </row>
    <row r="560" ht="22.5" customHeight="1">
      <c r="A560" s="76" t="s">
        <v>1151</v>
      </c>
      <c r="B560" s="88"/>
      <c r="C560" s="88"/>
      <c r="D560" s="88"/>
      <c r="E560" s="88"/>
      <c r="F560" s="88"/>
      <c r="G560" s="88"/>
      <c r="H560" s="111"/>
      <c r="I560" s="26"/>
      <c r="J560" s="28"/>
    </row>
    <row r="561" ht="22.5" customHeight="1">
      <c r="A561" s="76" t="s">
        <v>1151</v>
      </c>
      <c r="B561" s="88"/>
      <c r="C561" s="88"/>
      <c r="D561" s="88"/>
      <c r="E561" s="88"/>
      <c r="F561" s="88"/>
      <c r="G561" s="88"/>
      <c r="H561" s="111"/>
      <c r="I561" s="28"/>
      <c r="J561" s="28"/>
    </row>
    <row r="562" ht="22.5" customHeight="1">
      <c r="A562" s="76" t="s">
        <v>1151</v>
      </c>
      <c r="B562" s="88"/>
      <c r="C562" s="88"/>
      <c r="D562" s="88"/>
      <c r="E562" s="88"/>
      <c r="F562" s="88"/>
      <c r="G562" s="88"/>
      <c r="H562" s="111"/>
      <c r="I562" s="28"/>
      <c r="J562" s="28"/>
    </row>
    <row r="563" ht="22.5" customHeight="1">
      <c r="A563" s="76" t="s">
        <v>1151</v>
      </c>
      <c r="B563" s="88"/>
      <c r="C563" s="88"/>
      <c r="D563" s="88"/>
      <c r="E563" s="88"/>
      <c r="F563" s="88"/>
      <c r="G563" s="90"/>
      <c r="H563" s="111"/>
      <c r="I563" s="26"/>
      <c r="J563" s="28"/>
    </row>
    <row r="564" ht="22.5" customHeight="1">
      <c r="A564" s="76" t="s">
        <v>1151</v>
      </c>
      <c r="B564" s="88"/>
      <c r="C564" s="88"/>
      <c r="D564" s="88"/>
      <c r="E564" s="88"/>
      <c r="F564" s="88"/>
      <c r="G564" s="90"/>
      <c r="H564" s="111"/>
      <c r="I564" s="28"/>
      <c r="J564" s="28"/>
    </row>
    <row r="565" ht="22.5" customHeight="1">
      <c r="A565" s="76" t="s">
        <v>1151</v>
      </c>
      <c r="B565" s="88"/>
      <c r="C565" s="88"/>
      <c r="D565" s="88"/>
      <c r="E565" s="88"/>
      <c r="F565" s="88"/>
      <c r="G565" s="90"/>
      <c r="H565" s="111"/>
      <c r="I565" s="28"/>
      <c r="J565" s="28"/>
    </row>
    <row r="566" ht="22.5" customHeight="1">
      <c r="A566" s="76" t="s">
        <v>1151</v>
      </c>
      <c r="B566" s="88"/>
      <c r="C566" s="88"/>
      <c r="D566" s="88"/>
      <c r="E566" s="88"/>
      <c r="F566" s="88"/>
      <c r="G566" s="88"/>
      <c r="H566" s="104"/>
      <c r="I566" s="26"/>
      <c r="J566" s="28"/>
    </row>
    <row r="567" ht="22.5" customHeight="1">
      <c r="A567" s="76" t="s">
        <v>1151</v>
      </c>
      <c r="B567" s="88"/>
      <c r="C567" s="88"/>
      <c r="D567" s="88"/>
      <c r="E567" s="88"/>
      <c r="F567" s="88"/>
      <c r="G567" s="88"/>
      <c r="H567" s="92"/>
      <c r="I567" s="26"/>
      <c r="J567" s="28"/>
    </row>
    <row r="568" ht="22.5" customHeight="1">
      <c r="A568" s="76" t="s">
        <v>1151</v>
      </c>
      <c r="B568" s="88"/>
      <c r="C568" s="88"/>
      <c r="D568" s="88"/>
      <c r="E568" s="88"/>
      <c r="F568" s="88"/>
      <c r="G568" s="88"/>
      <c r="H568" s="92"/>
      <c r="I568" s="26"/>
      <c r="J568" s="28"/>
    </row>
    <row r="569" ht="22.5" customHeight="1">
      <c r="A569" s="76" t="s">
        <v>1151</v>
      </c>
      <c r="B569" s="88"/>
      <c r="C569" s="88"/>
      <c r="D569" s="88"/>
      <c r="E569" s="88"/>
      <c r="F569" s="88"/>
      <c r="G569" s="88"/>
      <c r="H569" s="92"/>
      <c r="I569" s="28"/>
      <c r="J569" s="28"/>
    </row>
    <row r="570" ht="22.5" customHeight="1">
      <c r="A570" s="76" t="s">
        <v>1151</v>
      </c>
      <c r="B570" s="88"/>
      <c r="C570" s="88"/>
      <c r="D570" s="88"/>
      <c r="E570" s="88"/>
      <c r="F570" s="88"/>
      <c r="G570" s="88"/>
      <c r="H570" s="92"/>
      <c r="I570" s="26"/>
      <c r="J570" s="28"/>
    </row>
    <row r="571" ht="22.5" customHeight="1">
      <c r="A571" s="76" t="s">
        <v>1151</v>
      </c>
      <c r="B571" s="88"/>
      <c r="C571" s="88"/>
      <c r="D571" s="88"/>
      <c r="E571" s="88"/>
      <c r="F571" s="88"/>
      <c r="G571" s="88"/>
      <c r="H571" s="92"/>
      <c r="I571" s="28"/>
      <c r="J571" s="28"/>
    </row>
    <row r="572" ht="22.5" customHeight="1">
      <c r="A572" s="76" t="s">
        <v>1151</v>
      </c>
      <c r="B572" s="88"/>
      <c r="C572" s="88"/>
      <c r="D572" s="88"/>
      <c r="E572" s="88"/>
      <c r="F572" s="88"/>
      <c r="G572" s="88"/>
      <c r="H572" s="92"/>
      <c r="I572" s="28"/>
      <c r="J572" s="28"/>
    </row>
    <row r="573" ht="22.5" customHeight="1">
      <c r="A573" s="76" t="s">
        <v>1151</v>
      </c>
      <c r="B573" s="88"/>
      <c r="C573" s="88"/>
      <c r="D573" s="88"/>
      <c r="E573" s="88"/>
      <c r="F573" s="88"/>
      <c r="G573" s="88"/>
      <c r="H573" s="92"/>
      <c r="I573" s="28"/>
      <c r="J573" s="28"/>
    </row>
    <row r="574" ht="22.5" customHeight="1">
      <c r="A574" s="76" t="s">
        <v>1151</v>
      </c>
      <c r="B574" s="88"/>
      <c r="C574" s="88"/>
      <c r="D574" s="88"/>
      <c r="E574" s="88"/>
      <c r="F574" s="88"/>
      <c r="G574" s="88"/>
      <c r="H574" s="92"/>
      <c r="I574" s="28"/>
      <c r="J574" s="28"/>
    </row>
    <row r="575" ht="22.5" customHeight="1">
      <c r="A575" s="76" t="s">
        <v>1151</v>
      </c>
      <c r="B575" s="88"/>
      <c r="C575" s="88"/>
      <c r="D575" s="88"/>
      <c r="E575" s="88"/>
      <c r="F575" s="88"/>
      <c r="G575" s="88"/>
      <c r="H575" s="92"/>
      <c r="I575" s="28"/>
      <c r="J575" s="28"/>
    </row>
    <row r="576" ht="22.5" customHeight="1">
      <c r="A576" s="76" t="s">
        <v>1151</v>
      </c>
      <c r="B576" s="88"/>
      <c r="C576" s="88"/>
      <c r="D576" s="88"/>
      <c r="E576" s="88"/>
      <c r="F576" s="88"/>
      <c r="G576" s="88"/>
      <c r="H576" s="92"/>
      <c r="I576" s="28"/>
      <c r="J576" s="28"/>
    </row>
    <row r="577" ht="22.5" customHeight="1">
      <c r="A577" s="76" t="s">
        <v>1151</v>
      </c>
      <c r="B577" s="88"/>
      <c r="C577" s="88"/>
      <c r="D577" s="88"/>
      <c r="E577" s="88"/>
      <c r="F577" s="88"/>
      <c r="G577" s="88"/>
      <c r="H577" s="92"/>
      <c r="I577" s="28"/>
      <c r="J577" s="28"/>
    </row>
    <row r="578" ht="22.5" customHeight="1">
      <c r="A578" s="76" t="s">
        <v>1151</v>
      </c>
      <c r="B578" s="88"/>
      <c r="C578" s="88"/>
      <c r="D578" s="88"/>
      <c r="E578" s="88"/>
      <c r="F578" s="88"/>
      <c r="G578" s="88"/>
      <c r="H578" s="92"/>
      <c r="I578" s="28"/>
      <c r="J578" s="28"/>
    </row>
    <row r="579" ht="22.5" customHeight="1">
      <c r="A579" s="76" t="s">
        <v>1151</v>
      </c>
      <c r="B579" s="88"/>
      <c r="C579" s="88"/>
      <c r="D579" s="88"/>
      <c r="E579" s="88"/>
      <c r="F579" s="88"/>
      <c r="G579" s="88"/>
      <c r="H579" s="92"/>
      <c r="I579" s="28"/>
      <c r="J579" s="28"/>
    </row>
    <row r="580" ht="22.5" customHeight="1">
      <c r="A580" s="76" t="s">
        <v>1151</v>
      </c>
      <c r="B580" s="88"/>
      <c r="C580" s="88"/>
      <c r="D580" s="88"/>
      <c r="E580" s="88"/>
      <c r="F580" s="88"/>
      <c r="G580" s="90"/>
      <c r="H580" s="111"/>
      <c r="I580" s="28"/>
      <c r="J580" s="28"/>
    </row>
    <row r="581" ht="22.5" customHeight="1">
      <c r="A581" s="76" t="s">
        <v>1151</v>
      </c>
      <c r="B581" s="88"/>
      <c r="C581" s="88"/>
      <c r="D581" s="88"/>
      <c r="E581" s="88"/>
      <c r="F581" s="88"/>
      <c r="G581" s="90"/>
      <c r="H581" s="111"/>
      <c r="I581" s="28"/>
      <c r="J581" s="28"/>
    </row>
    <row r="582" ht="22.5" customHeight="1">
      <c r="A582" s="76" t="s">
        <v>1151</v>
      </c>
      <c r="B582" s="88"/>
      <c r="C582" s="88"/>
      <c r="D582" s="88"/>
      <c r="E582" s="88"/>
      <c r="F582" s="88"/>
      <c r="G582" s="90"/>
      <c r="H582" s="111"/>
      <c r="I582" s="28"/>
      <c r="J582" s="28"/>
    </row>
    <row r="583" ht="22.5" customHeight="1">
      <c r="A583" s="76" t="s">
        <v>1151</v>
      </c>
      <c r="B583" s="88"/>
      <c r="C583" s="88"/>
      <c r="D583" s="88"/>
      <c r="E583" s="88"/>
      <c r="F583" s="88"/>
      <c r="G583" s="90"/>
      <c r="H583" s="111"/>
      <c r="I583" s="28"/>
      <c r="J583" s="28"/>
    </row>
    <row r="584" ht="22.5" customHeight="1">
      <c r="A584" s="76" t="s">
        <v>1151</v>
      </c>
      <c r="B584" s="88"/>
      <c r="C584" s="88"/>
      <c r="D584" s="88"/>
      <c r="E584" s="88"/>
      <c r="F584" s="88"/>
      <c r="G584" s="95"/>
      <c r="H584" s="111"/>
      <c r="I584" s="28"/>
      <c r="J584" s="28"/>
    </row>
    <row r="585" ht="22.5" customHeight="1">
      <c r="A585" s="76" t="s">
        <v>1151</v>
      </c>
      <c r="B585" s="88"/>
      <c r="C585" s="88"/>
      <c r="D585" s="88"/>
      <c r="E585" s="88"/>
      <c r="F585" s="88"/>
      <c r="G585" s="95"/>
      <c r="H585" s="111"/>
      <c r="I585" s="28"/>
      <c r="J585" s="28"/>
    </row>
    <row r="586" ht="22.5" customHeight="1">
      <c r="A586" s="76" t="s">
        <v>1151</v>
      </c>
      <c r="B586" s="88"/>
      <c r="C586" s="88"/>
      <c r="D586" s="88"/>
      <c r="E586" s="88"/>
      <c r="F586" s="88"/>
      <c r="G586" s="95"/>
      <c r="H586" s="111"/>
      <c r="I586" s="28"/>
      <c r="J586" s="28"/>
    </row>
    <row r="587" ht="22.5" customHeight="1">
      <c r="A587" s="76" t="s">
        <v>1151</v>
      </c>
      <c r="B587" s="88"/>
      <c r="C587" s="88"/>
      <c r="D587" s="88"/>
      <c r="E587" s="88"/>
      <c r="F587" s="88"/>
      <c r="G587" s="88"/>
      <c r="H587" s="111"/>
      <c r="I587" s="28"/>
      <c r="J587" s="28"/>
    </row>
    <row r="588" ht="22.5" customHeight="1">
      <c r="A588" s="76" t="s">
        <v>1151</v>
      </c>
      <c r="B588" s="88"/>
      <c r="C588" s="88"/>
      <c r="D588" s="88"/>
      <c r="E588" s="88"/>
      <c r="F588" s="88"/>
      <c r="G588" s="88"/>
      <c r="H588" s="111"/>
      <c r="I588" s="28"/>
      <c r="J588" s="28"/>
    </row>
    <row r="589" ht="22.5" customHeight="1">
      <c r="A589" s="76" t="s">
        <v>1151</v>
      </c>
      <c r="B589" s="88"/>
      <c r="C589" s="88"/>
      <c r="D589" s="88"/>
      <c r="E589" s="88"/>
      <c r="F589" s="88"/>
      <c r="G589" s="90"/>
      <c r="H589" s="111"/>
      <c r="I589" s="28"/>
      <c r="J589" s="28"/>
    </row>
    <row r="590" ht="22.5" customHeight="1">
      <c r="A590" s="76" t="s">
        <v>1151</v>
      </c>
      <c r="B590" s="88"/>
      <c r="C590" s="88"/>
      <c r="D590" s="88"/>
      <c r="E590" s="88"/>
      <c r="F590" s="88"/>
      <c r="G590" s="90"/>
      <c r="H590" s="111"/>
      <c r="I590" s="28"/>
      <c r="J590" s="28"/>
    </row>
    <row r="591" ht="22.5" customHeight="1">
      <c r="A591" s="76" t="s">
        <v>1151</v>
      </c>
      <c r="B591" s="88"/>
      <c r="C591" s="88"/>
      <c r="D591" s="88"/>
      <c r="E591" s="88"/>
      <c r="F591" s="88"/>
      <c r="G591" s="90"/>
      <c r="H591" s="111"/>
      <c r="I591" s="26"/>
      <c r="J591" s="28"/>
    </row>
    <row r="592" ht="22.5" customHeight="1">
      <c r="A592" s="76" t="s">
        <v>1151</v>
      </c>
      <c r="B592" s="88"/>
      <c r="C592" s="88"/>
      <c r="D592" s="88"/>
      <c r="E592" s="88"/>
      <c r="F592" s="88"/>
      <c r="G592" s="90"/>
      <c r="H592" s="111"/>
      <c r="I592" s="28"/>
      <c r="J592" s="28"/>
    </row>
    <row r="593" ht="22.5" customHeight="1">
      <c r="A593" s="76" t="s">
        <v>1151</v>
      </c>
      <c r="B593" s="88"/>
      <c r="C593" s="88"/>
      <c r="D593" s="88"/>
      <c r="E593" s="88"/>
      <c r="F593" s="88"/>
      <c r="G593" s="90"/>
      <c r="H593" s="111"/>
      <c r="I593" s="28"/>
      <c r="J593" s="28"/>
    </row>
    <row r="594" ht="22.5" customHeight="1">
      <c r="A594" s="76" t="s">
        <v>1151</v>
      </c>
      <c r="B594" s="88"/>
      <c r="C594" s="88"/>
      <c r="D594" s="88"/>
      <c r="E594" s="88"/>
      <c r="F594" s="88"/>
      <c r="G594" s="88"/>
      <c r="H594" s="111"/>
      <c r="I594" s="28"/>
      <c r="J594" s="28"/>
    </row>
    <row r="595" ht="22.5" customHeight="1">
      <c r="A595" s="76" t="s">
        <v>1151</v>
      </c>
      <c r="B595" s="88"/>
      <c r="C595" s="88"/>
      <c r="D595" s="88"/>
      <c r="E595" s="88"/>
      <c r="F595" s="88"/>
      <c r="G595" s="88"/>
      <c r="H595" s="111"/>
      <c r="I595" s="28"/>
      <c r="J595" s="28"/>
    </row>
    <row r="596" ht="22.5" customHeight="1">
      <c r="A596" s="76" t="s">
        <v>1151</v>
      </c>
      <c r="B596" s="88"/>
      <c r="C596" s="88"/>
      <c r="D596" s="88"/>
      <c r="E596" s="88"/>
      <c r="F596" s="88"/>
      <c r="G596" s="88"/>
      <c r="H596" s="111"/>
      <c r="I596" s="28"/>
      <c r="J596" s="28"/>
    </row>
    <row r="597" ht="22.5" customHeight="1">
      <c r="A597" s="76" t="s">
        <v>1151</v>
      </c>
      <c r="B597" s="88"/>
      <c r="C597" s="88"/>
      <c r="D597" s="88"/>
      <c r="E597" s="88"/>
      <c r="F597" s="88"/>
      <c r="G597" s="88"/>
      <c r="H597" s="111"/>
      <c r="I597" s="28"/>
      <c r="J597" s="28"/>
    </row>
    <row r="598" ht="22.5" customHeight="1">
      <c r="A598" s="76" t="s">
        <v>1151</v>
      </c>
      <c r="B598" s="88"/>
      <c r="C598" s="88"/>
      <c r="D598" s="88"/>
      <c r="E598" s="88"/>
      <c r="F598" s="88"/>
      <c r="G598" s="88"/>
      <c r="H598" s="111"/>
      <c r="I598" s="28"/>
      <c r="J598" s="28"/>
    </row>
    <row r="599" ht="22.5" customHeight="1">
      <c r="A599" s="76" t="s">
        <v>1151</v>
      </c>
      <c r="B599" s="88"/>
      <c r="C599" s="88"/>
      <c r="D599" s="88"/>
      <c r="E599" s="88"/>
      <c r="F599" s="88"/>
      <c r="G599" s="88"/>
      <c r="H599" s="111"/>
      <c r="I599" s="28"/>
      <c r="J599" s="28"/>
    </row>
    <row r="600" ht="22.5" customHeight="1">
      <c r="A600" s="76" t="s">
        <v>1151</v>
      </c>
      <c r="B600" s="88"/>
      <c r="C600" s="88"/>
      <c r="D600" s="88"/>
      <c r="E600" s="88"/>
      <c r="F600" s="88"/>
      <c r="G600" s="88"/>
      <c r="H600" s="111"/>
      <c r="I600" s="28"/>
      <c r="J600" s="28"/>
    </row>
    <row r="601" ht="22.5" customHeight="1">
      <c r="A601" s="76" t="s">
        <v>1151</v>
      </c>
      <c r="B601" s="88"/>
      <c r="C601" s="88"/>
      <c r="D601" s="88"/>
      <c r="E601" s="88"/>
      <c r="F601" s="88"/>
      <c r="G601" s="88"/>
      <c r="H601" s="111"/>
      <c r="I601" s="28"/>
      <c r="J601" s="28"/>
    </row>
    <row r="602" ht="22.5" customHeight="1">
      <c r="A602" s="76" t="s">
        <v>1151</v>
      </c>
      <c r="B602" s="88"/>
      <c r="C602" s="88"/>
      <c r="D602" s="88"/>
      <c r="E602" s="88"/>
      <c r="F602" s="88"/>
      <c r="G602" s="88"/>
      <c r="H602" s="111"/>
      <c r="I602" s="28"/>
      <c r="J602" s="28"/>
    </row>
    <row r="603" ht="22.5" customHeight="1">
      <c r="A603" s="76" t="s">
        <v>1151</v>
      </c>
      <c r="B603" s="88"/>
      <c r="C603" s="88"/>
      <c r="D603" s="88"/>
      <c r="E603" s="88"/>
      <c r="F603" s="88"/>
      <c r="G603" s="88"/>
      <c r="H603" s="111"/>
      <c r="I603" s="28"/>
      <c r="J603" s="28"/>
    </row>
    <row r="604" ht="22.5" customHeight="1">
      <c r="A604" s="76" t="s">
        <v>1151</v>
      </c>
      <c r="B604" s="88"/>
      <c r="C604" s="88"/>
      <c r="D604" s="88"/>
      <c r="E604" s="88"/>
      <c r="F604" s="88"/>
      <c r="G604" s="88"/>
      <c r="H604" s="111"/>
      <c r="I604" s="28"/>
      <c r="J604" s="28"/>
    </row>
    <row r="605" ht="22.5" customHeight="1">
      <c r="A605" s="76" t="s">
        <v>1151</v>
      </c>
      <c r="B605" s="88"/>
      <c r="C605" s="88"/>
      <c r="D605" s="88"/>
      <c r="E605" s="88"/>
      <c r="F605" s="88"/>
      <c r="G605" s="88"/>
      <c r="H605" s="111"/>
      <c r="I605" s="28"/>
      <c r="J605" s="28"/>
    </row>
    <row r="606" ht="22.5" customHeight="1">
      <c r="A606" s="76" t="s">
        <v>1151</v>
      </c>
      <c r="B606" s="88"/>
      <c r="C606" s="88"/>
      <c r="D606" s="88"/>
      <c r="E606" s="88"/>
      <c r="F606" s="88"/>
      <c r="G606" s="88"/>
      <c r="H606" s="111"/>
      <c r="I606" s="28"/>
      <c r="J606" s="28"/>
    </row>
    <row r="607" ht="22.5" customHeight="1">
      <c r="A607" s="76" t="s">
        <v>1151</v>
      </c>
      <c r="B607" s="88"/>
      <c r="C607" s="88"/>
      <c r="D607" s="88"/>
      <c r="E607" s="88"/>
      <c r="F607" s="88"/>
      <c r="G607" s="88"/>
      <c r="H607" s="111"/>
      <c r="I607" s="28"/>
      <c r="J607" s="28"/>
    </row>
    <row r="608" ht="22.5" customHeight="1">
      <c r="A608" s="76" t="s">
        <v>1151</v>
      </c>
      <c r="B608" s="88"/>
      <c r="C608" s="88"/>
      <c r="D608" s="88"/>
      <c r="E608" s="88"/>
      <c r="F608" s="88"/>
      <c r="G608" s="90"/>
      <c r="H608" s="111"/>
      <c r="I608" s="28"/>
      <c r="J608" s="28"/>
    </row>
    <row r="609" ht="22.5" customHeight="1">
      <c r="A609" s="76" t="s">
        <v>1151</v>
      </c>
      <c r="B609" s="88"/>
      <c r="C609" s="88"/>
      <c r="D609" s="88"/>
      <c r="E609" s="88"/>
      <c r="F609" s="88"/>
      <c r="G609" s="90"/>
      <c r="H609" s="111"/>
      <c r="I609" s="28"/>
      <c r="J609" s="28"/>
    </row>
    <row r="610" ht="22.5" customHeight="1">
      <c r="A610" s="76" t="s">
        <v>1151</v>
      </c>
      <c r="B610" s="88"/>
      <c r="C610" s="88"/>
      <c r="D610" s="88"/>
      <c r="E610" s="88"/>
      <c r="F610" s="88"/>
      <c r="G610" s="90"/>
      <c r="H610" s="111"/>
      <c r="I610" s="28"/>
      <c r="J610" s="28"/>
    </row>
    <row r="611" ht="22.5" customHeight="1">
      <c r="A611" s="76" t="s">
        <v>1151</v>
      </c>
      <c r="B611" s="88"/>
      <c r="C611" s="88"/>
      <c r="D611" s="88"/>
      <c r="E611" s="88"/>
      <c r="F611" s="88"/>
      <c r="G611" s="90"/>
      <c r="H611" s="111"/>
      <c r="I611" s="28"/>
      <c r="J611" s="28"/>
    </row>
    <row r="612" ht="22.5" customHeight="1">
      <c r="A612" s="76" t="s">
        <v>1151</v>
      </c>
      <c r="B612" s="88"/>
      <c r="C612" s="88"/>
      <c r="D612" s="88"/>
      <c r="E612" s="88"/>
      <c r="F612" s="88"/>
      <c r="G612" s="90"/>
      <c r="H612" s="111"/>
      <c r="I612" s="28"/>
      <c r="J612" s="28"/>
    </row>
    <row r="613" ht="22.5" customHeight="1">
      <c r="A613" s="76" t="s">
        <v>1151</v>
      </c>
      <c r="B613" s="88"/>
      <c r="C613" s="88"/>
      <c r="D613" s="88"/>
      <c r="E613" s="88"/>
      <c r="F613" s="88"/>
      <c r="G613" s="90"/>
      <c r="H613" s="111"/>
      <c r="I613" s="28"/>
      <c r="J613" s="28"/>
    </row>
    <row r="614" ht="22.5" customHeight="1">
      <c r="A614" s="76" t="s">
        <v>1151</v>
      </c>
      <c r="B614" s="88"/>
      <c r="C614" s="88"/>
      <c r="D614" s="88"/>
      <c r="E614" s="88"/>
      <c r="F614" s="88"/>
      <c r="G614" s="90"/>
      <c r="H614" s="111"/>
      <c r="I614" s="28"/>
      <c r="J614" s="28"/>
    </row>
    <row r="615" ht="22.5" customHeight="1">
      <c r="A615" s="76" t="s">
        <v>1151</v>
      </c>
      <c r="B615" s="88"/>
      <c r="C615" s="88"/>
      <c r="D615" s="88"/>
      <c r="E615" s="88"/>
      <c r="F615" s="88"/>
      <c r="G615" s="90"/>
      <c r="H615" s="111"/>
      <c r="I615" s="28"/>
      <c r="J615" s="28"/>
    </row>
    <row r="616" ht="22.5" customHeight="1">
      <c r="A616" s="76" t="s">
        <v>1151</v>
      </c>
      <c r="B616" s="88"/>
      <c r="C616" s="88"/>
      <c r="D616" s="88"/>
      <c r="E616" s="88"/>
      <c r="F616" s="88"/>
      <c r="G616" s="90"/>
      <c r="H616" s="111"/>
      <c r="I616" s="28"/>
      <c r="J616" s="28"/>
    </row>
    <row r="617" ht="22.5" customHeight="1">
      <c r="A617" s="76" t="s">
        <v>1151</v>
      </c>
      <c r="B617" s="88"/>
      <c r="C617" s="88"/>
      <c r="D617" s="88"/>
      <c r="E617" s="88"/>
      <c r="F617" s="88"/>
      <c r="G617" s="90"/>
      <c r="H617" s="111"/>
      <c r="I617" s="28"/>
      <c r="J617" s="28"/>
    </row>
    <row r="618" ht="22.5" customHeight="1">
      <c r="A618" s="76" t="s">
        <v>1151</v>
      </c>
      <c r="B618" s="88"/>
      <c r="C618" s="88"/>
      <c r="D618" s="88"/>
      <c r="E618" s="88"/>
      <c r="F618" s="88"/>
      <c r="G618" s="90"/>
      <c r="H618" s="111"/>
      <c r="I618" s="28"/>
      <c r="J618" s="28"/>
    </row>
    <row r="619" ht="22.5" customHeight="1">
      <c r="A619" s="76" t="s">
        <v>1151</v>
      </c>
      <c r="B619" s="88"/>
      <c r="C619" s="88"/>
      <c r="D619" s="88"/>
      <c r="E619" s="88"/>
      <c r="F619" s="88"/>
      <c r="G619" s="90"/>
      <c r="H619" s="111"/>
      <c r="I619" s="28"/>
      <c r="J619" s="28"/>
    </row>
    <row r="620" ht="22.5" customHeight="1">
      <c r="A620" s="76" t="s">
        <v>1151</v>
      </c>
      <c r="B620" s="88"/>
      <c r="C620" s="88"/>
      <c r="D620" s="88"/>
      <c r="E620" s="88"/>
      <c r="F620" s="88"/>
      <c r="G620" s="90"/>
      <c r="H620" s="111"/>
      <c r="I620" s="28"/>
      <c r="J620" s="28"/>
    </row>
    <row r="621" ht="22.5" customHeight="1">
      <c r="A621" s="76" t="s">
        <v>1151</v>
      </c>
      <c r="B621" s="88"/>
      <c r="C621" s="88"/>
      <c r="D621" s="88"/>
      <c r="E621" s="88"/>
      <c r="F621" s="88"/>
      <c r="G621" s="90"/>
      <c r="H621" s="111"/>
      <c r="I621" s="28"/>
      <c r="J621" s="28"/>
    </row>
    <row r="622" ht="22.5" customHeight="1">
      <c r="A622" s="76" t="s">
        <v>1151</v>
      </c>
      <c r="B622" s="88"/>
      <c r="C622" s="88"/>
      <c r="D622" s="88"/>
      <c r="E622" s="88"/>
      <c r="F622" s="88"/>
      <c r="G622" s="90"/>
      <c r="H622" s="111"/>
      <c r="I622" s="28"/>
      <c r="J622" s="28"/>
    </row>
    <row r="623" ht="22.5" customHeight="1">
      <c r="A623" s="76" t="s">
        <v>1151</v>
      </c>
      <c r="B623" s="88"/>
      <c r="C623" s="88"/>
      <c r="D623" s="88"/>
      <c r="E623" s="88"/>
      <c r="F623" s="88"/>
      <c r="G623" s="90"/>
      <c r="H623" s="111"/>
      <c r="I623" s="28"/>
      <c r="J623" s="28"/>
    </row>
    <row r="624" ht="22.5" customHeight="1">
      <c r="A624" s="76" t="s">
        <v>1151</v>
      </c>
      <c r="B624" s="88"/>
      <c r="C624" s="88"/>
      <c r="D624" s="88"/>
      <c r="E624" s="88"/>
      <c r="F624" s="88"/>
      <c r="G624" s="90"/>
      <c r="H624" s="111"/>
      <c r="I624" s="28"/>
      <c r="J624" s="28"/>
    </row>
    <row r="625" ht="22.5" customHeight="1">
      <c r="A625" s="76" t="s">
        <v>1151</v>
      </c>
      <c r="B625" s="88"/>
      <c r="C625" s="88"/>
      <c r="D625" s="88"/>
      <c r="E625" s="88"/>
      <c r="F625" s="88"/>
      <c r="G625" s="90"/>
      <c r="H625" s="111"/>
      <c r="I625" s="28"/>
      <c r="J625" s="28"/>
    </row>
    <row r="626" ht="22.5" customHeight="1">
      <c r="A626" s="76" t="s">
        <v>1151</v>
      </c>
      <c r="B626" s="88"/>
      <c r="C626" s="88"/>
      <c r="D626" s="88"/>
      <c r="E626" s="88"/>
      <c r="F626" s="88"/>
      <c r="G626" s="90"/>
      <c r="H626" s="111"/>
      <c r="I626" s="28"/>
      <c r="J626" s="28"/>
    </row>
    <row r="627" ht="22.5" customHeight="1">
      <c r="A627" s="76" t="s">
        <v>1151</v>
      </c>
      <c r="B627" s="88"/>
      <c r="C627" s="88"/>
      <c r="D627" s="88"/>
      <c r="E627" s="88"/>
      <c r="F627" s="88"/>
      <c r="G627" s="90"/>
      <c r="H627" s="111"/>
      <c r="I627" s="28"/>
      <c r="J627" s="28"/>
    </row>
    <row r="628" ht="22.5" customHeight="1">
      <c r="A628" s="76" t="s">
        <v>1151</v>
      </c>
      <c r="B628" s="88"/>
      <c r="C628" s="88"/>
      <c r="D628" s="88"/>
      <c r="E628" s="88"/>
      <c r="F628" s="88"/>
      <c r="G628" s="90"/>
      <c r="H628" s="111"/>
      <c r="I628" s="28"/>
      <c r="J628" s="28"/>
    </row>
    <row r="629" ht="22.5" customHeight="1">
      <c r="A629" s="76" t="s">
        <v>1151</v>
      </c>
      <c r="B629" s="88"/>
      <c r="C629" s="88"/>
      <c r="D629" s="88"/>
      <c r="E629" s="88"/>
      <c r="F629" s="88"/>
      <c r="G629" s="90"/>
      <c r="H629" s="111"/>
      <c r="I629" s="28"/>
      <c r="J629" s="28"/>
    </row>
    <row r="630" ht="22.5" customHeight="1">
      <c r="A630" s="76" t="s">
        <v>1151</v>
      </c>
      <c r="B630" s="88"/>
      <c r="C630" s="88"/>
      <c r="D630" s="88"/>
      <c r="E630" s="88"/>
      <c r="F630" s="88"/>
      <c r="G630" s="90"/>
      <c r="H630" s="111"/>
      <c r="I630" s="28"/>
      <c r="J630" s="28"/>
    </row>
    <row r="631" ht="22.5" customHeight="1">
      <c r="A631" s="76" t="s">
        <v>1151</v>
      </c>
      <c r="B631" s="88"/>
      <c r="C631" s="88"/>
      <c r="D631" s="88"/>
      <c r="E631" s="88"/>
      <c r="F631" s="88"/>
      <c r="G631" s="90"/>
      <c r="H631" s="111"/>
      <c r="I631" s="28"/>
      <c r="J631" s="28"/>
    </row>
    <row r="632" ht="22.5" customHeight="1">
      <c r="A632" s="76" t="s">
        <v>1151</v>
      </c>
      <c r="B632" s="88"/>
      <c r="C632" s="88"/>
      <c r="D632" s="88"/>
      <c r="E632" s="88"/>
      <c r="F632" s="88"/>
      <c r="G632" s="90"/>
      <c r="H632" s="111"/>
      <c r="I632" s="28"/>
      <c r="J632" s="28"/>
    </row>
    <row r="633" ht="22.5" customHeight="1">
      <c r="A633" s="76" t="s">
        <v>1151</v>
      </c>
      <c r="B633" s="88"/>
      <c r="C633" s="88"/>
      <c r="D633" s="88"/>
      <c r="E633" s="88"/>
      <c r="F633" s="88"/>
      <c r="G633" s="90"/>
      <c r="H633" s="111"/>
      <c r="I633" s="28"/>
      <c r="J633" s="28"/>
    </row>
    <row r="634" ht="22.5" customHeight="1">
      <c r="A634" s="76" t="s">
        <v>1151</v>
      </c>
      <c r="B634" s="88"/>
      <c r="C634" s="88"/>
      <c r="D634" s="88"/>
      <c r="E634" s="88"/>
      <c r="F634" s="88"/>
      <c r="G634" s="90"/>
      <c r="H634" s="111"/>
      <c r="I634" s="28"/>
      <c r="J634" s="28"/>
    </row>
    <row r="635" ht="22.5" customHeight="1">
      <c r="A635" s="76" t="s">
        <v>1151</v>
      </c>
      <c r="B635" s="88"/>
      <c r="C635" s="88"/>
      <c r="D635" s="88"/>
      <c r="E635" s="88"/>
      <c r="F635" s="88"/>
      <c r="G635" s="90"/>
      <c r="H635" s="111"/>
      <c r="I635" s="28"/>
      <c r="J635" s="28"/>
    </row>
    <row r="636" ht="22.5" customHeight="1">
      <c r="A636" s="76" t="s">
        <v>1151</v>
      </c>
      <c r="B636" s="88"/>
      <c r="C636" s="88"/>
      <c r="D636" s="88"/>
      <c r="E636" s="88"/>
      <c r="F636" s="88"/>
      <c r="G636" s="88"/>
      <c r="H636" s="111"/>
      <c r="I636" s="28"/>
      <c r="J636" s="28"/>
    </row>
    <row r="637" ht="22.5" customHeight="1">
      <c r="A637" s="76" t="s">
        <v>1151</v>
      </c>
      <c r="B637" s="88"/>
      <c r="C637" s="88"/>
      <c r="D637" s="88"/>
      <c r="E637" s="88"/>
      <c r="F637" s="88"/>
      <c r="G637" s="88"/>
      <c r="H637" s="111"/>
      <c r="I637" s="28"/>
      <c r="J637" s="28"/>
    </row>
    <row r="638" ht="22.5" customHeight="1">
      <c r="A638" s="76" t="s">
        <v>1151</v>
      </c>
      <c r="B638" s="88"/>
      <c r="C638" s="88"/>
      <c r="D638" s="88"/>
      <c r="E638" s="88"/>
      <c r="F638" s="88"/>
      <c r="G638" s="88"/>
      <c r="H638" s="111"/>
      <c r="I638" s="28"/>
      <c r="J638" s="28"/>
    </row>
    <row r="639" ht="22.5" customHeight="1">
      <c r="A639" s="76" t="s">
        <v>1151</v>
      </c>
      <c r="B639" s="88"/>
      <c r="C639" s="88"/>
      <c r="D639" s="88"/>
      <c r="E639" s="88"/>
      <c r="F639" s="88"/>
      <c r="G639" s="88"/>
      <c r="H639" s="111"/>
      <c r="I639" s="28"/>
      <c r="J639" s="28"/>
    </row>
    <row r="640" ht="22.5" customHeight="1">
      <c r="A640" s="76" t="s">
        <v>1151</v>
      </c>
      <c r="B640" s="88"/>
      <c r="C640" s="88"/>
      <c r="D640" s="88"/>
      <c r="E640" s="88"/>
      <c r="F640" s="88"/>
      <c r="G640" s="88"/>
      <c r="H640" s="111"/>
      <c r="I640" s="28"/>
      <c r="J640" s="28"/>
    </row>
    <row r="641" ht="22.5" customHeight="1">
      <c r="A641" s="76" t="s">
        <v>1151</v>
      </c>
      <c r="B641" s="88"/>
      <c r="C641" s="88"/>
      <c r="D641" s="88"/>
      <c r="E641" s="88"/>
      <c r="F641" s="88"/>
      <c r="G641" s="88"/>
      <c r="H641" s="111"/>
      <c r="I641" s="28"/>
      <c r="J641" s="28"/>
    </row>
    <row r="642" ht="22.5" customHeight="1">
      <c r="A642" s="76" t="s">
        <v>1151</v>
      </c>
      <c r="B642" s="88"/>
      <c r="C642" s="88"/>
      <c r="D642" s="88"/>
      <c r="E642" s="88"/>
      <c r="F642" s="88"/>
      <c r="G642" s="88"/>
      <c r="H642" s="111"/>
      <c r="I642" s="28"/>
      <c r="J642" s="28"/>
    </row>
    <row r="643" ht="22.5" customHeight="1">
      <c r="A643" s="76" t="s">
        <v>1151</v>
      </c>
      <c r="B643" s="88"/>
      <c r="C643" s="88"/>
      <c r="D643" s="88"/>
      <c r="E643" s="88"/>
      <c r="F643" s="88"/>
      <c r="G643" s="88"/>
      <c r="H643" s="111"/>
      <c r="I643" s="28"/>
      <c r="J643" s="28"/>
    </row>
    <row r="644" ht="22.5" customHeight="1">
      <c r="A644" s="76" t="s">
        <v>1151</v>
      </c>
      <c r="B644" s="88"/>
      <c r="C644" s="88"/>
      <c r="D644" s="88"/>
      <c r="E644" s="88"/>
      <c r="F644" s="88"/>
      <c r="G644" s="88"/>
      <c r="H644" s="111"/>
      <c r="I644" s="28"/>
      <c r="J644" s="28"/>
    </row>
    <row r="645" ht="22.5" customHeight="1">
      <c r="A645" s="76" t="s">
        <v>1151</v>
      </c>
      <c r="B645" s="88"/>
      <c r="C645" s="88"/>
      <c r="D645" s="88"/>
      <c r="E645" s="88"/>
      <c r="F645" s="88"/>
      <c r="G645" s="88"/>
      <c r="H645" s="111"/>
      <c r="I645" s="28"/>
      <c r="J645" s="28"/>
    </row>
    <row r="646" ht="22.5" customHeight="1">
      <c r="A646" s="76" t="s">
        <v>1151</v>
      </c>
      <c r="B646" s="88"/>
      <c r="C646" s="88"/>
      <c r="D646" s="88"/>
      <c r="E646" s="88"/>
      <c r="F646" s="88"/>
      <c r="G646" s="88"/>
      <c r="H646" s="111"/>
      <c r="I646" s="28"/>
      <c r="J646" s="28"/>
    </row>
    <row r="647" ht="22.5" customHeight="1">
      <c r="A647" s="76" t="s">
        <v>1151</v>
      </c>
      <c r="B647" s="88"/>
      <c r="C647" s="88"/>
      <c r="D647" s="88"/>
      <c r="E647" s="88"/>
      <c r="F647" s="88"/>
      <c r="G647" s="88"/>
      <c r="H647" s="111"/>
      <c r="I647" s="28"/>
      <c r="J647" s="28"/>
    </row>
    <row r="648" ht="22.5" customHeight="1">
      <c r="A648" s="76" t="s">
        <v>1151</v>
      </c>
      <c r="B648" s="88"/>
      <c r="C648" s="88"/>
      <c r="D648" s="88"/>
      <c r="E648" s="88"/>
      <c r="F648" s="88"/>
      <c r="G648" s="88"/>
      <c r="H648" s="111"/>
      <c r="I648" s="28"/>
      <c r="J648" s="28"/>
    </row>
    <row r="649" ht="22.5" customHeight="1">
      <c r="A649" s="76" t="s">
        <v>1151</v>
      </c>
      <c r="B649" s="88"/>
      <c r="C649" s="88"/>
      <c r="D649" s="88"/>
      <c r="E649" s="88"/>
      <c r="F649" s="88"/>
      <c r="G649" s="88"/>
      <c r="H649" s="111"/>
      <c r="I649" s="28"/>
      <c r="J649" s="28"/>
    </row>
    <row r="650" ht="22.5" customHeight="1">
      <c r="A650" s="76" t="s">
        <v>1151</v>
      </c>
      <c r="B650" s="88"/>
      <c r="C650" s="88"/>
      <c r="D650" s="88"/>
      <c r="E650" s="88"/>
      <c r="F650" s="88"/>
      <c r="G650" s="88"/>
      <c r="H650" s="111"/>
      <c r="I650" s="26"/>
      <c r="J650" s="28"/>
    </row>
    <row r="651" ht="22.5" customHeight="1">
      <c r="A651" s="76" t="s">
        <v>1151</v>
      </c>
      <c r="B651" s="88"/>
      <c r="C651" s="88"/>
      <c r="D651" s="88"/>
      <c r="E651" s="88"/>
      <c r="F651" s="88"/>
      <c r="G651" s="88"/>
      <c r="H651" s="111"/>
      <c r="I651" s="26"/>
      <c r="J651" s="28"/>
    </row>
    <row r="652" ht="22.5" customHeight="1">
      <c r="A652" s="76" t="s">
        <v>1151</v>
      </c>
      <c r="B652" s="88"/>
      <c r="C652" s="88"/>
      <c r="D652" s="88"/>
      <c r="E652" s="88"/>
      <c r="F652" s="88"/>
      <c r="G652" s="88"/>
      <c r="H652" s="111"/>
      <c r="I652" s="26"/>
      <c r="J652" s="28"/>
    </row>
    <row r="653" ht="22.5" customHeight="1">
      <c r="A653" s="76" t="s">
        <v>1151</v>
      </c>
      <c r="B653" s="88"/>
      <c r="C653" s="88"/>
      <c r="D653" s="88"/>
      <c r="E653" s="88"/>
      <c r="F653" s="88"/>
      <c r="G653" s="88"/>
      <c r="H653" s="111"/>
      <c r="I653" s="28"/>
      <c r="J653" s="28"/>
    </row>
    <row r="654" ht="22.5" customHeight="1">
      <c r="A654" s="76" t="s">
        <v>1151</v>
      </c>
      <c r="B654" s="88"/>
      <c r="C654" s="88"/>
      <c r="D654" s="88"/>
      <c r="E654" s="88"/>
      <c r="F654" s="88"/>
      <c r="G654" s="88"/>
      <c r="H654" s="111"/>
      <c r="I654" s="28"/>
      <c r="J654" s="28"/>
    </row>
    <row r="655" ht="22.5" customHeight="1">
      <c r="A655" s="76" t="s">
        <v>1151</v>
      </c>
      <c r="B655" s="88"/>
      <c r="C655" s="88"/>
      <c r="D655" s="88"/>
      <c r="E655" s="88"/>
      <c r="F655" s="88"/>
      <c r="G655" s="88"/>
      <c r="H655" s="111"/>
      <c r="I655" s="28"/>
      <c r="J655" s="28"/>
    </row>
    <row r="656" ht="22.5" customHeight="1">
      <c r="A656" s="76" t="s">
        <v>1151</v>
      </c>
      <c r="B656" s="88"/>
      <c r="C656" s="88"/>
      <c r="D656" s="88"/>
      <c r="E656" s="88"/>
      <c r="F656" s="88"/>
      <c r="G656" s="88"/>
      <c r="H656" s="111"/>
      <c r="I656" s="28"/>
      <c r="J656" s="28"/>
    </row>
    <row r="657" ht="22.5" customHeight="1">
      <c r="A657" s="76" t="s">
        <v>1151</v>
      </c>
      <c r="B657" s="88"/>
      <c r="C657" s="88"/>
      <c r="D657" s="88"/>
      <c r="E657" s="88"/>
      <c r="F657" s="88"/>
      <c r="G657" s="88"/>
      <c r="H657" s="111"/>
      <c r="I657" s="26"/>
      <c r="J657" s="28"/>
    </row>
    <row r="658" ht="22.5" customHeight="1">
      <c r="A658" s="76" t="s">
        <v>1151</v>
      </c>
      <c r="B658" s="88"/>
      <c r="C658" s="88"/>
      <c r="D658" s="88"/>
      <c r="E658" s="88"/>
      <c r="F658" s="88"/>
      <c r="G658" s="88"/>
      <c r="H658" s="111"/>
      <c r="I658" s="26"/>
      <c r="J658" s="28"/>
    </row>
    <row r="659" ht="22.5" customHeight="1">
      <c r="A659" s="76" t="s">
        <v>1151</v>
      </c>
      <c r="B659" s="88"/>
      <c r="C659" s="88"/>
      <c r="D659" s="88"/>
      <c r="E659" s="88"/>
      <c r="F659" s="88"/>
      <c r="G659" s="88"/>
      <c r="H659" s="111"/>
      <c r="I659" s="26"/>
      <c r="J659" s="28"/>
    </row>
    <row r="660" ht="22.5" customHeight="1">
      <c r="A660" s="76" t="s">
        <v>1151</v>
      </c>
      <c r="B660" s="88"/>
      <c r="C660" s="88"/>
      <c r="D660" s="88"/>
      <c r="E660" s="88"/>
      <c r="F660" s="88"/>
      <c r="G660" s="88"/>
      <c r="H660" s="111"/>
      <c r="I660" s="28"/>
      <c r="J660" s="28"/>
    </row>
    <row r="661" ht="22.5" customHeight="1">
      <c r="A661" s="76" t="s">
        <v>1151</v>
      </c>
      <c r="B661" s="88"/>
      <c r="C661" s="88"/>
      <c r="D661" s="88"/>
      <c r="E661" s="88"/>
      <c r="F661" s="88"/>
      <c r="G661" s="88"/>
      <c r="H661" s="111"/>
      <c r="I661" s="28"/>
      <c r="J661" s="28"/>
    </row>
    <row r="662" ht="22.5" customHeight="1">
      <c r="A662" s="76" t="s">
        <v>1151</v>
      </c>
      <c r="B662" s="88"/>
      <c r="C662" s="88"/>
      <c r="D662" s="88"/>
      <c r="E662" s="88"/>
      <c r="F662" s="88"/>
      <c r="G662" s="88"/>
      <c r="H662" s="111"/>
      <c r="I662" s="28"/>
      <c r="J662" s="28"/>
    </row>
    <row r="663" ht="22.5" customHeight="1">
      <c r="A663" s="76" t="s">
        <v>1151</v>
      </c>
      <c r="B663" s="88"/>
      <c r="C663" s="88"/>
      <c r="D663" s="88"/>
      <c r="E663" s="88"/>
      <c r="F663" s="88"/>
      <c r="G663" s="88"/>
      <c r="H663" s="111"/>
      <c r="I663" s="28"/>
      <c r="J663" s="28"/>
    </row>
    <row r="664" ht="22.5" customHeight="1">
      <c r="A664" s="76" t="s">
        <v>1151</v>
      </c>
      <c r="B664" s="88"/>
      <c r="C664" s="88"/>
      <c r="D664" s="88"/>
      <c r="E664" s="88"/>
      <c r="F664" s="88"/>
      <c r="G664" s="88"/>
      <c r="H664" s="111"/>
      <c r="I664" s="26"/>
      <c r="J664" s="28"/>
    </row>
    <row r="665" ht="22.5" customHeight="1">
      <c r="A665" s="76" t="s">
        <v>1151</v>
      </c>
      <c r="B665" s="88"/>
      <c r="C665" s="88"/>
      <c r="D665" s="88"/>
      <c r="E665" s="88"/>
      <c r="F665" s="88"/>
      <c r="G665" s="88"/>
      <c r="H665" s="111"/>
      <c r="I665" s="26"/>
      <c r="J665" s="28"/>
    </row>
    <row r="666" ht="22.5" customHeight="1">
      <c r="A666" s="76" t="s">
        <v>1151</v>
      </c>
      <c r="B666" s="88"/>
      <c r="C666" s="88"/>
      <c r="D666" s="88"/>
      <c r="E666" s="88"/>
      <c r="F666" s="88"/>
      <c r="G666" s="88"/>
      <c r="H666" s="111"/>
      <c r="I666" s="26"/>
      <c r="J666" s="28"/>
    </row>
    <row r="667" ht="22.5" customHeight="1">
      <c r="A667" s="76" t="s">
        <v>1151</v>
      </c>
      <c r="B667" s="88"/>
      <c r="C667" s="88"/>
      <c r="D667" s="88"/>
      <c r="E667" s="88"/>
      <c r="F667" s="88"/>
      <c r="G667" s="88"/>
      <c r="H667" s="111"/>
      <c r="I667" s="28"/>
      <c r="J667" s="28"/>
    </row>
    <row r="668" ht="22.5" customHeight="1">
      <c r="A668" s="76" t="s">
        <v>1151</v>
      </c>
      <c r="B668" s="88"/>
      <c r="C668" s="88"/>
      <c r="D668" s="88"/>
      <c r="E668" s="88"/>
      <c r="F668" s="88"/>
      <c r="G668" s="88"/>
      <c r="H668" s="111"/>
      <c r="I668" s="28"/>
      <c r="J668" s="28"/>
    </row>
    <row r="669" ht="22.5" customHeight="1">
      <c r="A669" s="76" t="s">
        <v>1151</v>
      </c>
      <c r="B669" s="88"/>
      <c r="C669" s="88"/>
      <c r="D669" s="88"/>
      <c r="E669" s="88"/>
      <c r="F669" s="88"/>
      <c r="G669" s="88"/>
      <c r="H669" s="111"/>
      <c r="I669" s="28"/>
      <c r="J669" s="28"/>
    </row>
    <row r="670" ht="22.5" customHeight="1">
      <c r="A670" s="76" t="s">
        <v>1151</v>
      </c>
      <c r="B670" s="88"/>
      <c r="C670" s="88"/>
      <c r="D670" s="88"/>
      <c r="E670" s="88"/>
      <c r="F670" s="88"/>
      <c r="G670" s="88"/>
      <c r="H670" s="111"/>
      <c r="I670" s="28"/>
      <c r="J670" s="28"/>
    </row>
    <row r="671" ht="22.5" customHeight="1">
      <c r="A671" s="76" t="s">
        <v>1151</v>
      </c>
      <c r="B671" s="88"/>
      <c r="C671" s="88"/>
      <c r="D671" s="88"/>
      <c r="E671" s="88"/>
      <c r="F671" s="88"/>
      <c r="G671" s="88"/>
      <c r="H671" s="111"/>
      <c r="I671" s="28"/>
      <c r="J671" s="28"/>
    </row>
    <row r="672" ht="22.5" customHeight="1">
      <c r="A672" s="76" t="s">
        <v>1151</v>
      </c>
      <c r="B672" s="88"/>
      <c r="C672" s="88"/>
      <c r="D672" s="88"/>
      <c r="E672" s="88"/>
      <c r="F672" s="88"/>
      <c r="G672" s="88"/>
      <c r="H672" s="111"/>
      <c r="I672" s="28"/>
      <c r="J672" s="28"/>
    </row>
    <row r="673" ht="22.5" customHeight="1">
      <c r="A673" s="76" t="s">
        <v>1151</v>
      </c>
      <c r="B673" s="88"/>
      <c r="C673" s="88"/>
      <c r="D673" s="88"/>
      <c r="E673" s="88"/>
      <c r="F673" s="88"/>
      <c r="G673" s="90"/>
      <c r="H673" s="111"/>
      <c r="I673" s="28"/>
      <c r="J673" s="28"/>
    </row>
    <row r="674" ht="22.5" customHeight="1">
      <c r="A674" s="76" t="s">
        <v>1151</v>
      </c>
      <c r="B674" s="88"/>
      <c r="C674" s="88"/>
      <c r="D674" s="88"/>
      <c r="E674" s="88"/>
      <c r="F674" s="88"/>
      <c r="G674" s="90"/>
      <c r="H674" s="111"/>
      <c r="I674" s="28"/>
      <c r="J674" s="28"/>
    </row>
    <row r="675" ht="22.5" customHeight="1">
      <c r="A675" s="76" t="s">
        <v>1151</v>
      </c>
      <c r="B675" s="88"/>
      <c r="C675" s="88"/>
      <c r="D675" s="88"/>
      <c r="E675" s="88"/>
      <c r="F675" s="88"/>
      <c r="G675" s="90"/>
      <c r="H675" s="111"/>
      <c r="I675" s="28"/>
      <c r="J675" s="28"/>
    </row>
    <row r="676" ht="22.5" customHeight="1">
      <c r="A676" s="76" t="s">
        <v>1151</v>
      </c>
      <c r="B676" s="88"/>
      <c r="C676" s="88"/>
      <c r="D676" s="88"/>
      <c r="E676" s="88"/>
      <c r="F676" s="88"/>
      <c r="G676" s="90"/>
      <c r="H676" s="111"/>
      <c r="I676" s="28"/>
      <c r="J676" s="28"/>
    </row>
    <row r="677" ht="22.5" customHeight="1">
      <c r="A677" s="76" t="s">
        <v>1151</v>
      </c>
      <c r="B677" s="88"/>
      <c r="C677" s="88"/>
      <c r="D677" s="88"/>
      <c r="E677" s="88"/>
      <c r="F677" s="88"/>
      <c r="G677" s="90"/>
      <c r="H677" s="111"/>
      <c r="I677" s="28"/>
      <c r="J677" s="28"/>
    </row>
    <row r="678" ht="22.5" customHeight="1">
      <c r="A678" s="76" t="s">
        <v>1151</v>
      </c>
      <c r="B678" s="88"/>
      <c r="C678" s="88"/>
      <c r="D678" s="88"/>
      <c r="E678" s="88"/>
      <c r="F678" s="88"/>
      <c r="G678" s="88"/>
      <c r="H678" s="111"/>
      <c r="I678" s="28"/>
      <c r="J678" s="28"/>
    </row>
    <row r="679" ht="22.5" customHeight="1">
      <c r="A679" s="76" t="s">
        <v>1151</v>
      </c>
      <c r="B679" s="88"/>
      <c r="C679" s="88"/>
      <c r="D679" s="88"/>
      <c r="E679" s="88"/>
      <c r="F679" s="88"/>
      <c r="G679" s="88"/>
      <c r="H679" s="111"/>
      <c r="I679" s="28"/>
      <c r="J679" s="28"/>
    </row>
    <row r="680" ht="22.5" customHeight="1">
      <c r="A680" s="76" t="s">
        <v>1151</v>
      </c>
      <c r="B680" s="88"/>
      <c r="C680" s="88"/>
      <c r="D680" s="88"/>
      <c r="E680" s="88"/>
      <c r="F680" s="88"/>
      <c r="G680" s="88"/>
      <c r="H680" s="111"/>
      <c r="I680" s="28"/>
      <c r="J680" s="28"/>
    </row>
    <row r="681" ht="22.5" customHeight="1">
      <c r="A681" s="76" t="s">
        <v>1151</v>
      </c>
      <c r="B681" s="88"/>
      <c r="C681" s="88"/>
      <c r="D681" s="88"/>
      <c r="E681" s="88"/>
      <c r="F681" s="88"/>
      <c r="G681" s="88"/>
      <c r="H681" s="111"/>
      <c r="I681" s="28"/>
      <c r="J681" s="28"/>
    </row>
    <row r="682" ht="22.5" customHeight="1">
      <c r="A682" s="76" t="s">
        <v>1151</v>
      </c>
      <c r="B682" s="88"/>
      <c r="C682" s="88"/>
      <c r="D682" s="88"/>
      <c r="E682" s="88"/>
      <c r="F682" s="88"/>
      <c r="G682" s="88"/>
      <c r="H682" s="111"/>
      <c r="I682" s="28"/>
      <c r="J682" s="28"/>
    </row>
    <row r="683" ht="22.5" customHeight="1">
      <c r="A683" s="76" t="s">
        <v>1151</v>
      </c>
      <c r="B683" s="88"/>
      <c r="C683" s="88"/>
      <c r="D683" s="88"/>
      <c r="E683" s="88"/>
      <c r="F683" s="88"/>
      <c r="G683" s="88"/>
      <c r="H683" s="111"/>
      <c r="I683" s="28"/>
      <c r="J683" s="28"/>
    </row>
    <row r="684" ht="22.5" customHeight="1">
      <c r="A684" s="76" t="s">
        <v>1151</v>
      </c>
      <c r="B684" s="88"/>
      <c r="C684" s="88"/>
      <c r="D684" s="88"/>
      <c r="E684" s="88"/>
      <c r="F684" s="88"/>
      <c r="G684" s="88"/>
      <c r="H684" s="111"/>
      <c r="I684" s="28"/>
      <c r="J684" s="28"/>
    </row>
    <row r="685" ht="22.5" customHeight="1">
      <c r="A685" s="76" t="s">
        <v>1151</v>
      </c>
      <c r="B685" s="88"/>
      <c r="C685" s="88"/>
      <c r="D685" s="88"/>
      <c r="E685" s="88"/>
      <c r="F685" s="88"/>
      <c r="G685" s="88"/>
      <c r="H685" s="111"/>
      <c r="I685" s="28"/>
      <c r="J685" s="28"/>
    </row>
    <row r="686" ht="22.5" customHeight="1">
      <c r="A686" s="76" t="s">
        <v>1151</v>
      </c>
      <c r="B686" s="88"/>
      <c r="C686" s="88"/>
      <c r="D686" s="88"/>
      <c r="E686" s="88"/>
      <c r="F686" s="88"/>
      <c r="G686" s="88"/>
      <c r="H686" s="111"/>
      <c r="I686" s="28"/>
      <c r="J686" s="28"/>
    </row>
    <row r="687" ht="22.5" customHeight="1">
      <c r="A687" s="76" t="s">
        <v>1151</v>
      </c>
      <c r="B687" s="88"/>
      <c r="C687" s="88"/>
      <c r="D687" s="88"/>
      <c r="E687" s="88"/>
      <c r="F687" s="88"/>
      <c r="G687" s="88"/>
      <c r="H687" s="111"/>
      <c r="I687" s="28"/>
      <c r="J687" s="28"/>
    </row>
    <row r="688" ht="22.5" customHeight="1">
      <c r="A688" s="76" t="s">
        <v>1151</v>
      </c>
      <c r="B688" s="88"/>
      <c r="C688" s="88"/>
      <c r="D688" s="88"/>
      <c r="E688" s="88"/>
      <c r="F688" s="88"/>
      <c r="G688" s="88"/>
      <c r="H688" s="111"/>
      <c r="I688" s="28"/>
      <c r="J688" s="28"/>
    </row>
    <row r="689" ht="22.5" customHeight="1">
      <c r="A689" s="76" t="s">
        <v>1151</v>
      </c>
      <c r="B689" s="88"/>
      <c r="C689" s="88"/>
      <c r="D689" s="88"/>
      <c r="E689" s="88"/>
      <c r="F689" s="88"/>
      <c r="G689" s="88"/>
      <c r="H689" s="111"/>
      <c r="I689" s="28"/>
      <c r="J689" s="28"/>
    </row>
    <row r="690" ht="22.5" customHeight="1">
      <c r="A690" s="76" t="s">
        <v>1151</v>
      </c>
      <c r="B690" s="88"/>
      <c r="C690" s="88"/>
      <c r="D690" s="88"/>
      <c r="E690" s="88"/>
      <c r="F690" s="88"/>
      <c r="G690" s="88"/>
      <c r="H690" s="111"/>
      <c r="I690" s="28"/>
      <c r="J690" s="28"/>
    </row>
    <row r="691" ht="22.5" customHeight="1">
      <c r="A691" s="76" t="s">
        <v>1151</v>
      </c>
      <c r="B691" s="88"/>
      <c r="C691" s="88"/>
      <c r="D691" s="88"/>
      <c r="E691" s="88"/>
      <c r="F691" s="88"/>
      <c r="G691" s="88"/>
      <c r="H691" s="111"/>
      <c r="I691" s="28"/>
      <c r="J691" s="28"/>
    </row>
    <row r="692" ht="22.5" customHeight="1">
      <c r="A692" s="76" t="s">
        <v>1151</v>
      </c>
      <c r="B692" s="88"/>
      <c r="C692" s="88"/>
      <c r="D692" s="88"/>
      <c r="E692" s="88"/>
      <c r="F692" s="88"/>
      <c r="G692" s="90"/>
      <c r="H692" s="111"/>
      <c r="I692" s="28"/>
      <c r="J692" s="28"/>
    </row>
    <row r="693" ht="22.5" customHeight="1">
      <c r="A693" s="76" t="s">
        <v>1151</v>
      </c>
      <c r="B693" s="88"/>
      <c r="C693" s="88"/>
      <c r="D693" s="88"/>
      <c r="E693" s="88"/>
      <c r="F693" s="88"/>
      <c r="G693" s="90"/>
      <c r="H693" s="111"/>
      <c r="I693" s="28"/>
      <c r="J693" s="28"/>
    </row>
    <row r="694" ht="22.5" customHeight="1">
      <c r="A694" s="76" t="s">
        <v>1151</v>
      </c>
      <c r="B694" s="88"/>
      <c r="C694" s="88"/>
      <c r="D694" s="88"/>
      <c r="E694" s="88"/>
      <c r="F694" s="88"/>
      <c r="G694" s="90"/>
      <c r="H694" s="111"/>
      <c r="I694" s="28"/>
      <c r="J694" s="28"/>
    </row>
    <row r="695" ht="22.5" customHeight="1">
      <c r="A695" s="76" t="s">
        <v>1151</v>
      </c>
      <c r="B695" s="88"/>
      <c r="C695" s="88"/>
      <c r="D695" s="88"/>
      <c r="E695" s="88"/>
      <c r="F695" s="88"/>
      <c r="G695" s="90"/>
      <c r="H695" s="111"/>
      <c r="I695" s="28"/>
      <c r="J695" s="28"/>
    </row>
    <row r="696" ht="22.5" customHeight="1">
      <c r="A696" s="76" t="s">
        <v>1151</v>
      </c>
      <c r="B696" s="88"/>
      <c r="C696" s="88"/>
      <c r="D696" s="88"/>
      <c r="E696" s="88"/>
      <c r="F696" s="88"/>
      <c r="G696" s="90"/>
      <c r="H696" s="111"/>
      <c r="I696" s="28"/>
      <c r="J696" s="28"/>
    </row>
    <row r="697" ht="22.5" customHeight="1">
      <c r="A697" s="76" t="s">
        <v>1151</v>
      </c>
      <c r="B697" s="88"/>
      <c r="C697" s="88"/>
      <c r="D697" s="88"/>
      <c r="E697" s="88"/>
      <c r="F697" s="88"/>
      <c r="G697" s="90"/>
      <c r="H697" s="111"/>
      <c r="I697" s="28"/>
      <c r="J697" s="28"/>
    </row>
    <row r="698" ht="22.5" customHeight="1">
      <c r="A698" s="76" t="s">
        <v>1151</v>
      </c>
      <c r="B698" s="88"/>
      <c r="C698" s="88"/>
      <c r="D698" s="88"/>
      <c r="E698" s="88"/>
      <c r="F698" s="88"/>
      <c r="G698" s="90"/>
      <c r="H698" s="111"/>
      <c r="I698" s="28"/>
      <c r="J698" s="28"/>
    </row>
    <row r="699" ht="22.5" customHeight="1">
      <c r="A699" s="76" t="s">
        <v>1151</v>
      </c>
      <c r="B699" s="88"/>
      <c r="C699" s="88"/>
      <c r="D699" s="88"/>
      <c r="E699" s="88"/>
      <c r="F699" s="88"/>
      <c r="G699" s="88"/>
      <c r="H699" s="111"/>
      <c r="I699" s="28"/>
      <c r="J699" s="28"/>
    </row>
    <row r="700" ht="22.5" customHeight="1">
      <c r="A700" s="76" t="s">
        <v>1151</v>
      </c>
      <c r="B700" s="88"/>
      <c r="C700" s="88"/>
      <c r="D700" s="88"/>
      <c r="E700" s="88"/>
      <c r="F700" s="88"/>
      <c r="G700" s="88"/>
      <c r="H700" s="111"/>
      <c r="I700" s="28"/>
      <c r="J700" s="28"/>
    </row>
    <row r="701" ht="22.5" customHeight="1">
      <c r="A701" s="76" t="s">
        <v>1151</v>
      </c>
      <c r="B701" s="88"/>
      <c r="C701" s="88"/>
      <c r="D701" s="88"/>
      <c r="E701" s="88"/>
      <c r="F701" s="88"/>
      <c r="G701" s="88"/>
      <c r="H701" s="111"/>
      <c r="I701" s="28"/>
      <c r="J701" s="28"/>
    </row>
    <row r="702" ht="22.5" customHeight="1">
      <c r="A702" s="76" t="s">
        <v>1151</v>
      </c>
      <c r="B702" s="88"/>
      <c r="C702" s="88"/>
      <c r="D702" s="88"/>
      <c r="E702" s="88"/>
      <c r="F702" s="88"/>
      <c r="G702" s="88"/>
      <c r="H702" s="111"/>
      <c r="I702" s="28"/>
      <c r="J702" s="28"/>
    </row>
    <row r="703" ht="22.5" customHeight="1">
      <c r="A703" s="76" t="s">
        <v>1151</v>
      </c>
      <c r="B703" s="88"/>
      <c r="C703" s="88"/>
      <c r="D703" s="88"/>
      <c r="E703" s="88"/>
      <c r="F703" s="88"/>
      <c r="G703" s="90"/>
      <c r="H703" s="111"/>
      <c r="I703" s="28"/>
      <c r="J703" s="28"/>
    </row>
    <row r="704" ht="22.5" customHeight="1">
      <c r="A704" s="76" t="s">
        <v>1151</v>
      </c>
      <c r="B704" s="88"/>
      <c r="C704" s="88"/>
      <c r="D704" s="88"/>
      <c r="E704" s="88"/>
      <c r="F704" s="88"/>
      <c r="G704" s="90"/>
      <c r="H704" s="111"/>
      <c r="I704" s="28"/>
      <c r="J704" s="28"/>
    </row>
    <row r="705" ht="22.5" customHeight="1">
      <c r="A705" s="76" t="s">
        <v>1151</v>
      </c>
      <c r="B705" s="88"/>
      <c r="C705" s="88"/>
      <c r="D705" s="88"/>
      <c r="E705" s="88"/>
      <c r="F705" s="88"/>
      <c r="G705" s="90"/>
      <c r="H705" s="111"/>
      <c r="I705" s="28"/>
      <c r="J705" s="28"/>
    </row>
    <row r="706" ht="22.5" customHeight="1">
      <c r="A706" s="76" t="s">
        <v>1151</v>
      </c>
      <c r="B706" s="88"/>
      <c r="C706" s="88"/>
      <c r="D706" s="88"/>
      <c r="E706" s="88"/>
      <c r="F706" s="88"/>
      <c r="G706" s="88"/>
      <c r="H706" s="111"/>
      <c r="I706" s="28"/>
      <c r="J706" s="28"/>
    </row>
    <row r="707" ht="22.5" customHeight="1">
      <c r="A707" s="76" t="s">
        <v>1151</v>
      </c>
      <c r="B707" s="88"/>
      <c r="C707" s="88"/>
      <c r="D707" s="88"/>
      <c r="E707" s="88"/>
      <c r="F707" s="88"/>
      <c r="G707" s="88"/>
      <c r="H707" s="111"/>
      <c r="I707" s="28"/>
      <c r="J707" s="28"/>
    </row>
    <row r="708" ht="22.5" customHeight="1">
      <c r="A708" s="76" t="s">
        <v>1151</v>
      </c>
      <c r="B708" s="88"/>
      <c r="C708" s="88"/>
      <c r="D708" s="88"/>
      <c r="E708" s="88"/>
      <c r="F708" s="88"/>
      <c r="G708" s="88"/>
      <c r="H708" s="111"/>
      <c r="I708" s="28"/>
      <c r="J708" s="28"/>
    </row>
    <row r="709" ht="22.5" customHeight="1">
      <c r="A709" s="76" t="s">
        <v>1151</v>
      </c>
      <c r="B709" s="88"/>
      <c r="C709" s="88"/>
      <c r="D709" s="88"/>
      <c r="E709" s="88"/>
      <c r="F709" s="88"/>
      <c r="G709" s="88"/>
      <c r="H709" s="111"/>
      <c r="I709" s="28"/>
      <c r="J709" s="28"/>
    </row>
    <row r="710" ht="22.5" customHeight="1">
      <c r="A710" s="76" t="s">
        <v>1151</v>
      </c>
      <c r="B710" s="88"/>
      <c r="C710" s="88"/>
      <c r="D710" s="88"/>
      <c r="E710" s="88"/>
      <c r="F710" s="88"/>
      <c r="G710" s="88"/>
      <c r="H710" s="111"/>
      <c r="I710" s="28"/>
      <c r="J710" s="28"/>
    </row>
    <row r="711" ht="22.5" customHeight="1">
      <c r="A711" s="76" t="s">
        <v>1151</v>
      </c>
      <c r="B711" s="88"/>
      <c r="C711" s="88"/>
      <c r="D711" s="88"/>
      <c r="E711" s="88"/>
      <c r="F711" s="88"/>
      <c r="G711" s="88"/>
      <c r="H711" s="111"/>
      <c r="I711" s="28"/>
      <c r="J711" s="28"/>
    </row>
    <row r="712" ht="22.5" customHeight="1">
      <c r="A712" s="76" t="s">
        <v>1151</v>
      </c>
      <c r="B712" s="88"/>
      <c r="C712" s="88"/>
      <c r="D712" s="88"/>
      <c r="E712" s="88"/>
      <c r="F712" s="88"/>
      <c r="G712" s="88"/>
      <c r="H712" s="111"/>
      <c r="I712" s="28"/>
      <c r="J712" s="28"/>
    </row>
    <row r="713" ht="22.5" customHeight="1">
      <c r="A713" s="76" t="s">
        <v>1151</v>
      </c>
      <c r="B713" s="88"/>
      <c r="C713" s="88"/>
      <c r="D713" s="88"/>
      <c r="E713" s="88"/>
      <c r="F713" s="88"/>
      <c r="G713" s="88"/>
      <c r="H713" s="111"/>
      <c r="I713" s="28"/>
      <c r="J713" s="28"/>
    </row>
    <row r="714" ht="22.5" customHeight="1">
      <c r="A714" s="76" t="s">
        <v>1151</v>
      </c>
      <c r="B714" s="88"/>
      <c r="C714" s="88"/>
      <c r="D714" s="88"/>
      <c r="E714" s="88"/>
      <c r="F714" s="88"/>
      <c r="G714" s="88"/>
      <c r="H714" s="111"/>
      <c r="I714" s="28"/>
      <c r="J714" s="28"/>
    </row>
    <row r="715" ht="22.5" customHeight="1">
      <c r="A715" s="76" t="s">
        <v>1151</v>
      </c>
      <c r="B715" s="88"/>
      <c r="C715" s="88"/>
      <c r="D715" s="88"/>
      <c r="E715" s="88"/>
      <c r="F715" s="88"/>
      <c r="G715" s="88"/>
      <c r="H715" s="111"/>
      <c r="I715" s="28"/>
      <c r="J715" s="28"/>
    </row>
    <row r="716" ht="22.5" customHeight="1">
      <c r="A716" s="76" t="s">
        <v>1151</v>
      </c>
      <c r="B716" s="88"/>
      <c r="C716" s="88"/>
      <c r="D716" s="88"/>
      <c r="E716" s="88"/>
      <c r="F716" s="88"/>
      <c r="G716" s="88"/>
      <c r="H716" s="111"/>
      <c r="I716" s="28"/>
      <c r="J716" s="28"/>
    </row>
    <row r="717" ht="22.5" customHeight="1">
      <c r="A717" s="76" t="s">
        <v>1151</v>
      </c>
      <c r="B717" s="88"/>
      <c r="C717" s="88"/>
      <c r="D717" s="88"/>
      <c r="E717" s="88"/>
      <c r="F717" s="88"/>
      <c r="G717" s="88"/>
      <c r="H717" s="111"/>
      <c r="I717" s="28"/>
      <c r="J717" s="28"/>
    </row>
    <row r="718" ht="22.5" customHeight="1">
      <c r="A718" s="76" t="s">
        <v>1151</v>
      </c>
      <c r="B718" s="88"/>
      <c r="C718" s="88"/>
      <c r="D718" s="88"/>
      <c r="E718" s="88"/>
      <c r="F718" s="88"/>
      <c r="G718" s="88"/>
      <c r="H718" s="111"/>
      <c r="I718" s="28"/>
      <c r="J718" s="28"/>
    </row>
    <row r="719" ht="22.5" customHeight="1">
      <c r="A719" s="76" t="s">
        <v>1151</v>
      </c>
      <c r="B719" s="88"/>
      <c r="C719" s="88"/>
      <c r="D719" s="88"/>
      <c r="E719" s="88"/>
      <c r="F719" s="88"/>
      <c r="G719" s="88"/>
      <c r="H719" s="111"/>
      <c r="I719" s="28"/>
      <c r="J719" s="28"/>
    </row>
    <row r="720" ht="22.5" customHeight="1">
      <c r="A720" s="76" t="s">
        <v>1151</v>
      </c>
      <c r="B720" s="88"/>
      <c r="C720" s="88"/>
      <c r="D720" s="88"/>
      <c r="E720" s="88"/>
      <c r="F720" s="88"/>
      <c r="G720" s="91"/>
      <c r="H720" s="111"/>
      <c r="I720" s="28"/>
      <c r="J720" s="28"/>
    </row>
    <row r="721" ht="22.5" customHeight="1">
      <c r="A721" s="76" t="s">
        <v>1151</v>
      </c>
      <c r="B721" s="88"/>
      <c r="C721" s="88"/>
      <c r="D721" s="88"/>
      <c r="E721" s="88"/>
      <c r="F721" s="88"/>
      <c r="G721" s="91"/>
      <c r="H721" s="111"/>
      <c r="I721" s="28"/>
      <c r="J721" s="28"/>
    </row>
    <row r="722" ht="22.5" customHeight="1">
      <c r="A722" s="76" t="s">
        <v>1151</v>
      </c>
      <c r="B722" s="88"/>
      <c r="C722" s="88"/>
      <c r="D722" s="88"/>
      <c r="E722" s="88"/>
      <c r="F722" s="88"/>
      <c r="G722" s="91"/>
      <c r="H722" s="111"/>
      <c r="I722" s="28"/>
      <c r="J722" s="28"/>
    </row>
    <row r="723" ht="22.5" customHeight="1">
      <c r="A723" s="76" t="s">
        <v>1151</v>
      </c>
      <c r="B723" s="88"/>
      <c r="C723" s="88"/>
      <c r="D723" s="88"/>
      <c r="E723" s="88"/>
      <c r="F723" s="88"/>
      <c r="G723" s="91"/>
      <c r="H723" s="111"/>
      <c r="I723" s="28"/>
      <c r="J723" s="28"/>
    </row>
    <row r="724" ht="22.5" customHeight="1">
      <c r="A724" s="76" t="s">
        <v>1151</v>
      </c>
      <c r="B724" s="88"/>
      <c r="C724" s="88"/>
      <c r="D724" s="88"/>
      <c r="E724" s="88"/>
      <c r="F724" s="88"/>
      <c r="G724" s="91"/>
      <c r="H724" s="111"/>
      <c r="I724" s="28"/>
      <c r="J724" s="28"/>
    </row>
    <row r="725" ht="22.5" customHeight="1">
      <c r="A725" s="76" t="s">
        <v>1151</v>
      </c>
      <c r="B725" s="88"/>
      <c r="C725" s="88"/>
      <c r="D725" s="88"/>
      <c r="E725" s="88"/>
      <c r="F725" s="88"/>
      <c r="G725" s="91"/>
      <c r="H725" s="98"/>
      <c r="I725" s="28"/>
      <c r="J725" s="28"/>
    </row>
    <row r="726" ht="22.5" customHeight="1">
      <c r="A726" s="76" t="s">
        <v>1151</v>
      </c>
      <c r="B726" s="88"/>
      <c r="C726" s="88"/>
      <c r="D726" s="88"/>
      <c r="E726" s="88"/>
      <c r="F726" s="88"/>
      <c r="G726" s="91"/>
      <c r="H726" s="111"/>
      <c r="I726" s="28"/>
      <c r="J726" s="28"/>
    </row>
    <row r="727" ht="22.5" customHeight="1">
      <c r="A727" s="76" t="s">
        <v>1151</v>
      </c>
      <c r="B727" s="88"/>
      <c r="C727" s="91"/>
      <c r="D727" s="88"/>
      <c r="E727" s="88"/>
      <c r="F727" s="88"/>
      <c r="G727" s="93"/>
      <c r="H727" s="104"/>
      <c r="I727" s="28"/>
      <c r="J727" s="28"/>
    </row>
    <row r="728" ht="22.5" customHeight="1">
      <c r="A728" s="76" t="s">
        <v>1151</v>
      </c>
      <c r="B728" s="88"/>
      <c r="C728" s="91"/>
      <c r="D728" s="88"/>
      <c r="E728" s="88"/>
      <c r="F728" s="88"/>
      <c r="G728" s="93"/>
      <c r="H728" s="104"/>
      <c r="I728" s="28"/>
      <c r="J728" s="28"/>
    </row>
    <row r="729" ht="22.5" customHeight="1">
      <c r="A729" s="76" t="s">
        <v>1151</v>
      </c>
      <c r="B729" s="88"/>
      <c r="C729" s="91"/>
      <c r="D729" s="88"/>
      <c r="E729" s="88"/>
      <c r="F729" s="88"/>
      <c r="G729" s="93"/>
      <c r="H729" s="104"/>
      <c r="I729" s="26"/>
      <c r="J729" s="28"/>
    </row>
    <row r="730" ht="22.5" customHeight="1">
      <c r="A730" s="76" t="s">
        <v>1151</v>
      </c>
      <c r="B730" s="88"/>
      <c r="C730" s="91"/>
      <c r="D730" s="88"/>
      <c r="E730" s="88"/>
      <c r="F730" s="88"/>
      <c r="G730" s="93"/>
      <c r="H730" s="104"/>
      <c r="I730" s="28"/>
      <c r="J730" s="28"/>
    </row>
    <row r="731" ht="22.5" customHeight="1">
      <c r="A731" s="76" t="s">
        <v>1151</v>
      </c>
      <c r="B731" s="88"/>
      <c r="C731" s="91"/>
      <c r="D731" s="88"/>
      <c r="E731" s="88"/>
      <c r="F731" s="88"/>
      <c r="G731" s="93"/>
      <c r="H731" s="104"/>
      <c r="I731" s="28"/>
      <c r="J731" s="28"/>
    </row>
    <row r="732" ht="22.5" customHeight="1">
      <c r="A732" s="76" t="s">
        <v>1151</v>
      </c>
      <c r="B732" s="88"/>
      <c r="C732" s="91"/>
      <c r="D732" s="88"/>
      <c r="E732" s="88"/>
      <c r="F732" s="88"/>
      <c r="G732" s="91"/>
      <c r="H732" s="111"/>
      <c r="I732" s="28"/>
      <c r="J732" s="28"/>
    </row>
    <row r="733" ht="22.5" customHeight="1">
      <c r="A733" s="76" t="s">
        <v>1151</v>
      </c>
      <c r="B733" s="88"/>
      <c r="C733" s="91"/>
      <c r="D733" s="88"/>
      <c r="E733" s="88"/>
      <c r="F733" s="88"/>
      <c r="G733" s="91"/>
      <c r="H733" s="111"/>
      <c r="I733" s="28"/>
      <c r="J733" s="28"/>
    </row>
    <row r="734" ht="22.5" customHeight="1">
      <c r="A734" s="76" t="s">
        <v>1151</v>
      </c>
      <c r="B734" s="88"/>
      <c r="C734" s="91"/>
      <c r="D734" s="88"/>
      <c r="E734" s="88"/>
      <c r="F734" s="88"/>
      <c r="G734" s="91"/>
      <c r="H734" s="111"/>
      <c r="I734" s="28"/>
      <c r="J734" s="28"/>
    </row>
    <row r="735" ht="22.5" customHeight="1">
      <c r="A735" s="76" t="s">
        <v>1151</v>
      </c>
      <c r="B735" s="88"/>
      <c r="C735" s="91"/>
      <c r="D735" s="88"/>
      <c r="E735" s="88"/>
      <c r="F735" s="88"/>
      <c r="G735" s="91"/>
      <c r="H735" s="111"/>
      <c r="I735" s="28"/>
      <c r="J735" s="28"/>
    </row>
    <row r="736" ht="22.5" customHeight="1">
      <c r="A736" s="76" t="s">
        <v>1151</v>
      </c>
      <c r="B736" s="88"/>
      <c r="C736" s="91"/>
      <c r="D736" s="88"/>
      <c r="E736" s="88"/>
      <c r="F736" s="88"/>
      <c r="G736" s="91"/>
      <c r="H736" s="111"/>
      <c r="I736" s="28"/>
      <c r="J736" s="28"/>
    </row>
    <row r="737" ht="22.5" customHeight="1">
      <c r="A737" s="76" t="s">
        <v>1151</v>
      </c>
      <c r="B737" s="88"/>
      <c r="C737" s="91"/>
      <c r="D737" s="88"/>
      <c r="E737" s="88"/>
      <c r="F737" s="88"/>
      <c r="G737" s="91"/>
      <c r="H737" s="111"/>
      <c r="I737" s="28"/>
      <c r="J737" s="28"/>
    </row>
    <row r="738" ht="22.5" customHeight="1">
      <c r="A738" s="76" t="s">
        <v>1151</v>
      </c>
      <c r="B738" s="88"/>
      <c r="C738" s="91"/>
      <c r="D738" s="88"/>
      <c r="E738" s="88"/>
      <c r="F738" s="88"/>
      <c r="G738" s="91"/>
      <c r="H738" s="111"/>
      <c r="I738" s="28"/>
      <c r="J738" s="28"/>
    </row>
    <row r="739" ht="22.5" customHeight="1">
      <c r="A739" s="76" t="s">
        <v>1151</v>
      </c>
      <c r="B739" s="88"/>
      <c r="C739" s="91"/>
      <c r="D739" s="88"/>
      <c r="E739" s="88"/>
      <c r="F739" s="88"/>
      <c r="G739" s="91"/>
      <c r="H739" s="111"/>
      <c r="I739" s="28"/>
      <c r="J739" s="28"/>
    </row>
    <row r="740" ht="22.5" customHeight="1">
      <c r="A740" s="76" t="s">
        <v>1151</v>
      </c>
      <c r="B740" s="88"/>
      <c r="C740" s="91"/>
      <c r="D740" s="88"/>
      <c r="E740" s="88"/>
      <c r="F740" s="88"/>
      <c r="G740" s="91"/>
      <c r="H740" s="111"/>
      <c r="I740" s="28"/>
      <c r="J740" s="28"/>
    </row>
    <row r="741" ht="22.5" customHeight="1">
      <c r="A741" s="76" t="s">
        <v>1151</v>
      </c>
      <c r="B741" s="88"/>
      <c r="C741" s="91"/>
      <c r="D741" s="88"/>
      <c r="E741" s="88"/>
      <c r="F741" s="88"/>
      <c r="G741" s="91"/>
      <c r="H741" s="111"/>
      <c r="I741" s="28"/>
      <c r="J741" s="28"/>
    </row>
    <row r="742" ht="22.5" customHeight="1">
      <c r="A742" s="76" t="s">
        <v>1151</v>
      </c>
      <c r="B742" s="88"/>
      <c r="C742" s="91"/>
      <c r="D742" s="88"/>
      <c r="E742" s="88"/>
      <c r="F742" s="88"/>
      <c r="G742" s="91"/>
      <c r="H742" s="111"/>
      <c r="I742" s="28"/>
      <c r="J742" s="28"/>
    </row>
    <row r="743" ht="22.5" customHeight="1">
      <c r="A743" s="76" t="s">
        <v>1151</v>
      </c>
      <c r="B743" s="88"/>
      <c r="C743" s="91"/>
      <c r="D743" s="88"/>
      <c r="E743" s="88"/>
      <c r="F743" s="88"/>
      <c r="G743" s="91"/>
      <c r="H743" s="111"/>
      <c r="I743" s="26"/>
      <c r="J743" s="28"/>
    </row>
    <row r="744" ht="22.5" customHeight="1">
      <c r="A744" s="76" t="s">
        <v>1151</v>
      </c>
      <c r="B744" s="88"/>
      <c r="C744" s="91"/>
      <c r="D744" s="88"/>
      <c r="E744" s="88"/>
      <c r="F744" s="88"/>
      <c r="G744" s="91"/>
      <c r="H744" s="111"/>
      <c r="I744" s="28"/>
      <c r="J744" s="28"/>
    </row>
    <row r="745" ht="22.5" customHeight="1">
      <c r="A745" s="76" t="s">
        <v>1151</v>
      </c>
      <c r="B745" s="88"/>
      <c r="C745" s="91"/>
      <c r="D745" s="88"/>
      <c r="E745" s="88"/>
      <c r="F745" s="88"/>
      <c r="G745" s="91"/>
      <c r="H745" s="111"/>
      <c r="I745" s="28"/>
      <c r="J745" s="28"/>
    </row>
    <row r="746" ht="22.5" customHeight="1">
      <c r="A746" s="76" t="s">
        <v>1151</v>
      </c>
      <c r="B746" s="88"/>
      <c r="C746" s="91"/>
      <c r="D746" s="88"/>
      <c r="E746" s="88"/>
      <c r="F746" s="88"/>
      <c r="G746" s="91"/>
      <c r="H746" s="111"/>
      <c r="I746" s="28"/>
      <c r="J746" s="28"/>
    </row>
    <row r="747" ht="22.5" customHeight="1">
      <c r="A747" s="76" t="s">
        <v>1151</v>
      </c>
      <c r="B747" s="88"/>
      <c r="C747" s="91"/>
      <c r="D747" s="88"/>
      <c r="E747" s="88"/>
      <c r="F747" s="88"/>
      <c r="G747" s="91"/>
      <c r="H747" s="111"/>
      <c r="I747" s="28"/>
      <c r="J747" s="28"/>
    </row>
    <row r="748" ht="22.5" customHeight="1">
      <c r="A748" s="76" t="s">
        <v>1151</v>
      </c>
      <c r="B748" s="88"/>
      <c r="C748" s="91"/>
      <c r="D748" s="88"/>
      <c r="E748" s="88"/>
      <c r="F748" s="88"/>
      <c r="G748" s="91"/>
      <c r="H748" s="111"/>
      <c r="I748" s="28"/>
      <c r="J748" s="28"/>
    </row>
    <row r="749" ht="22.5" customHeight="1">
      <c r="A749" s="76" t="s">
        <v>1151</v>
      </c>
      <c r="B749" s="88"/>
      <c r="C749" s="91"/>
      <c r="D749" s="88"/>
      <c r="E749" s="88"/>
      <c r="F749" s="88"/>
      <c r="G749" s="91"/>
      <c r="H749" s="111"/>
      <c r="I749" s="28"/>
      <c r="J749" s="28"/>
    </row>
    <row r="750" ht="22.5" customHeight="1">
      <c r="A750" s="76" t="s">
        <v>1151</v>
      </c>
      <c r="B750" s="88"/>
      <c r="C750" s="91"/>
      <c r="D750" s="88"/>
      <c r="E750" s="88"/>
      <c r="F750" s="88"/>
      <c r="G750" s="91"/>
      <c r="H750" s="111"/>
      <c r="I750" s="28"/>
      <c r="J750" s="28"/>
    </row>
    <row r="751" ht="22.5" customHeight="1">
      <c r="A751" s="76" t="s">
        <v>1151</v>
      </c>
      <c r="B751" s="88"/>
      <c r="C751" s="91"/>
      <c r="D751" s="88"/>
      <c r="E751" s="88"/>
      <c r="F751" s="88"/>
      <c r="G751" s="91"/>
      <c r="H751" s="111"/>
      <c r="I751" s="28"/>
      <c r="J751" s="28"/>
    </row>
    <row r="752" ht="22.5" customHeight="1">
      <c r="A752" s="76" t="s">
        <v>1151</v>
      </c>
      <c r="B752" s="88"/>
      <c r="C752" s="91"/>
      <c r="D752" s="88"/>
      <c r="E752" s="88"/>
      <c r="F752" s="88"/>
      <c r="G752" s="91"/>
      <c r="H752" s="111"/>
      <c r="I752" s="28"/>
      <c r="J752" s="28"/>
    </row>
    <row r="753" ht="22.5" customHeight="1">
      <c r="A753" s="76" t="s">
        <v>1151</v>
      </c>
      <c r="B753" s="88"/>
      <c r="C753" s="91"/>
      <c r="D753" s="88"/>
      <c r="E753" s="88"/>
      <c r="F753" s="88"/>
      <c r="G753" s="91"/>
      <c r="H753" s="111"/>
      <c r="I753" s="28"/>
      <c r="J753" s="28"/>
    </row>
    <row r="754" ht="22.5" customHeight="1">
      <c r="A754" s="76" t="s">
        <v>1151</v>
      </c>
      <c r="B754" s="88"/>
      <c r="C754" s="91"/>
      <c r="D754" s="88"/>
      <c r="E754" s="88"/>
      <c r="F754" s="88"/>
      <c r="G754" s="91"/>
      <c r="H754" s="111"/>
      <c r="I754" s="28"/>
      <c r="J754" s="28"/>
    </row>
    <row r="755" ht="22.5" customHeight="1">
      <c r="A755" s="76" t="s">
        <v>1151</v>
      </c>
      <c r="B755" s="88"/>
      <c r="C755" s="91"/>
      <c r="D755" s="88"/>
      <c r="E755" s="88"/>
      <c r="F755" s="88"/>
      <c r="G755" s="91"/>
      <c r="H755" s="111"/>
      <c r="I755" s="28"/>
      <c r="J755" s="28"/>
    </row>
    <row r="756" ht="22.5" customHeight="1">
      <c r="A756" s="76" t="s">
        <v>1151</v>
      </c>
      <c r="B756" s="88"/>
      <c r="C756" s="91"/>
      <c r="D756" s="88"/>
      <c r="E756" s="88"/>
      <c r="F756" s="88"/>
      <c r="G756" s="91"/>
      <c r="H756" s="111"/>
      <c r="I756" s="28"/>
      <c r="J756" s="28"/>
    </row>
    <row r="757" ht="22.5" customHeight="1">
      <c r="A757" s="76" t="s">
        <v>1151</v>
      </c>
      <c r="B757" s="88"/>
      <c r="C757" s="91"/>
      <c r="D757" s="88"/>
      <c r="E757" s="88"/>
      <c r="F757" s="88"/>
      <c r="G757" s="91"/>
      <c r="H757" s="111"/>
      <c r="I757" s="28"/>
      <c r="J757" s="28"/>
    </row>
    <row r="758" ht="22.5" customHeight="1">
      <c r="A758" s="76" t="s">
        <v>1151</v>
      </c>
      <c r="B758" s="88"/>
      <c r="C758" s="91"/>
      <c r="D758" s="88"/>
      <c r="E758" s="88"/>
      <c r="F758" s="88"/>
      <c r="G758" s="91"/>
      <c r="H758" s="111"/>
      <c r="I758" s="28"/>
      <c r="J758" s="28"/>
    </row>
    <row r="759" ht="22.5" customHeight="1">
      <c r="A759" s="76" t="s">
        <v>1151</v>
      </c>
      <c r="B759" s="88"/>
      <c r="C759" s="91"/>
      <c r="D759" s="88"/>
      <c r="E759" s="88"/>
      <c r="F759" s="88"/>
      <c r="G759" s="91"/>
      <c r="H759" s="112"/>
      <c r="I759" s="28"/>
      <c r="J759" s="28"/>
    </row>
    <row r="760" ht="22.5" customHeight="1">
      <c r="A760" s="76" t="s">
        <v>1151</v>
      </c>
      <c r="B760" s="88"/>
      <c r="C760" s="91"/>
      <c r="D760" s="88"/>
      <c r="E760" s="88"/>
      <c r="F760" s="88"/>
      <c r="G760" s="91"/>
      <c r="H760" s="112"/>
      <c r="I760" s="28"/>
      <c r="J760" s="28"/>
    </row>
    <row r="761" ht="22.5" customHeight="1">
      <c r="A761" s="76" t="s">
        <v>1151</v>
      </c>
      <c r="B761" s="88"/>
      <c r="C761" s="91"/>
      <c r="D761" s="88"/>
      <c r="E761" s="88"/>
      <c r="F761" s="88"/>
      <c r="G761" s="91"/>
      <c r="H761" s="112"/>
      <c r="I761" s="26"/>
      <c r="J761" s="28"/>
    </row>
    <row r="762" ht="22.5" customHeight="1">
      <c r="A762" s="76" t="s">
        <v>1151</v>
      </c>
      <c r="B762" s="88"/>
      <c r="C762" s="91"/>
      <c r="D762" s="88"/>
      <c r="E762" s="88"/>
      <c r="F762" s="88"/>
      <c r="G762" s="91"/>
      <c r="H762" s="112"/>
      <c r="I762" s="28"/>
      <c r="J762" s="28"/>
    </row>
    <row r="763" ht="22.5" customHeight="1">
      <c r="A763" s="76" t="s">
        <v>1151</v>
      </c>
      <c r="B763" s="88"/>
      <c r="C763" s="91"/>
      <c r="D763" s="88"/>
      <c r="E763" s="88"/>
      <c r="F763" s="88"/>
      <c r="G763" s="91"/>
      <c r="H763" s="112"/>
      <c r="I763" s="28"/>
      <c r="J763" s="28"/>
    </row>
    <row r="764" ht="22.5" customHeight="1">
      <c r="A764" s="76" t="s">
        <v>1151</v>
      </c>
      <c r="B764" s="88"/>
      <c r="C764" s="91"/>
      <c r="D764" s="88"/>
      <c r="E764" s="88"/>
      <c r="F764" s="88"/>
      <c r="G764" s="91"/>
      <c r="H764" s="112"/>
      <c r="I764" s="28"/>
      <c r="J764" s="28"/>
    </row>
    <row r="765" ht="22.5" customHeight="1">
      <c r="A765" s="76" t="s">
        <v>1151</v>
      </c>
      <c r="B765" s="88"/>
      <c r="C765" s="91"/>
      <c r="D765" s="88"/>
      <c r="E765" s="88"/>
      <c r="F765" s="88"/>
      <c r="G765" s="91"/>
      <c r="H765" s="112"/>
      <c r="I765" s="28"/>
      <c r="J765" s="28"/>
    </row>
    <row r="766" ht="22.5" customHeight="1">
      <c r="A766" s="76" t="s">
        <v>1151</v>
      </c>
      <c r="B766" s="88"/>
      <c r="C766" s="91"/>
      <c r="D766" s="88"/>
      <c r="E766" s="88"/>
      <c r="F766" s="88"/>
      <c r="G766" s="91"/>
      <c r="H766" s="112"/>
      <c r="I766" s="28"/>
      <c r="J766" s="28"/>
    </row>
    <row r="767" ht="22.5" customHeight="1">
      <c r="A767" s="76" t="s">
        <v>1151</v>
      </c>
      <c r="B767" s="88"/>
      <c r="C767" s="91"/>
      <c r="D767" s="88"/>
      <c r="E767" s="88"/>
      <c r="F767" s="88"/>
      <c r="G767" s="91"/>
      <c r="H767" s="112"/>
      <c r="I767" s="28"/>
      <c r="J767" s="28"/>
    </row>
    <row r="768" ht="22.5" customHeight="1">
      <c r="A768" s="76" t="s">
        <v>1151</v>
      </c>
      <c r="B768" s="88"/>
      <c r="C768" s="91"/>
      <c r="D768" s="88"/>
      <c r="E768" s="88"/>
      <c r="F768" s="88"/>
      <c r="G768" s="91"/>
      <c r="H768" s="111"/>
      <c r="I768" s="28"/>
      <c r="J768" s="28"/>
    </row>
    <row r="769" ht="22.5" customHeight="1">
      <c r="A769" s="76" t="s">
        <v>1151</v>
      </c>
      <c r="B769" s="88"/>
      <c r="C769" s="91"/>
      <c r="D769" s="88"/>
      <c r="E769" s="88"/>
      <c r="F769" s="88"/>
      <c r="G769" s="91"/>
      <c r="H769" s="111"/>
      <c r="I769" s="28"/>
      <c r="J769" s="28"/>
    </row>
    <row r="770" ht="22.5" customHeight="1">
      <c r="A770" s="76" t="s">
        <v>1151</v>
      </c>
      <c r="B770" s="88"/>
      <c r="C770" s="91"/>
      <c r="D770" s="88"/>
      <c r="E770" s="88"/>
      <c r="F770" s="88"/>
      <c r="G770" s="91"/>
      <c r="H770" s="111"/>
      <c r="I770" s="28"/>
      <c r="J770" s="28"/>
    </row>
    <row r="771" ht="22.5" customHeight="1">
      <c r="A771" s="76" t="s">
        <v>1151</v>
      </c>
      <c r="B771" s="88"/>
      <c r="C771" s="91"/>
      <c r="D771" s="88"/>
      <c r="E771" s="88"/>
      <c r="F771" s="88"/>
      <c r="G771" s="91"/>
      <c r="H771" s="111"/>
      <c r="I771" s="28"/>
      <c r="J771" s="28"/>
    </row>
    <row r="772" ht="22.5" customHeight="1">
      <c r="A772" s="76" t="s">
        <v>1151</v>
      </c>
      <c r="B772" s="88"/>
      <c r="C772" s="91"/>
      <c r="D772" s="88"/>
      <c r="E772" s="88"/>
      <c r="F772" s="88"/>
      <c r="G772" s="91"/>
      <c r="H772" s="111"/>
      <c r="I772" s="28"/>
      <c r="J772" s="28"/>
    </row>
    <row r="773" ht="22.5" customHeight="1">
      <c r="A773" s="76" t="s">
        <v>1151</v>
      </c>
      <c r="B773" s="88"/>
      <c r="C773" s="91"/>
      <c r="D773" s="88"/>
      <c r="E773" s="88"/>
      <c r="F773" s="88"/>
      <c r="G773" s="91"/>
      <c r="H773" s="111"/>
      <c r="I773" s="28"/>
      <c r="J773" s="28"/>
    </row>
    <row r="774" ht="22.5" customHeight="1">
      <c r="A774" s="76" t="s">
        <v>1151</v>
      </c>
      <c r="B774" s="88"/>
      <c r="C774" s="91"/>
      <c r="D774" s="88"/>
      <c r="E774" s="88"/>
      <c r="F774" s="88"/>
      <c r="G774" s="91"/>
      <c r="H774" s="111"/>
      <c r="I774" s="28"/>
      <c r="J774" s="28"/>
    </row>
    <row r="775" ht="22.5" customHeight="1">
      <c r="A775" s="76" t="s">
        <v>1151</v>
      </c>
      <c r="B775" s="88"/>
      <c r="C775" s="91"/>
      <c r="D775" s="88"/>
      <c r="E775" s="88"/>
      <c r="F775" s="88"/>
      <c r="G775" s="91"/>
      <c r="H775" s="111"/>
      <c r="I775" s="28"/>
      <c r="J775" s="28"/>
    </row>
    <row r="776" ht="22.5" customHeight="1">
      <c r="A776" s="76" t="s">
        <v>1151</v>
      </c>
      <c r="B776" s="88"/>
      <c r="C776" s="91"/>
      <c r="D776" s="88"/>
      <c r="E776" s="88"/>
      <c r="F776" s="88"/>
      <c r="G776" s="91"/>
      <c r="H776" s="111"/>
      <c r="I776" s="28"/>
      <c r="J776" s="28"/>
    </row>
    <row r="777" ht="22.5" customHeight="1">
      <c r="A777" s="76" t="s">
        <v>1151</v>
      </c>
      <c r="B777" s="88"/>
      <c r="C777" s="91"/>
      <c r="D777" s="88"/>
      <c r="E777" s="88"/>
      <c r="F777" s="88"/>
      <c r="G777" s="91"/>
      <c r="H777" s="111"/>
      <c r="I777" s="28"/>
      <c r="J777" s="28"/>
    </row>
    <row r="778" ht="22.5" customHeight="1">
      <c r="A778" s="76" t="s">
        <v>1151</v>
      </c>
      <c r="B778" s="88"/>
      <c r="C778" s="91"/>
      <c r="D778" s="88"/>
      <c r="E778" s="88"/>
      <c r="F778" s="88"/>
      <c r="G778" s="91"/>
      <c r="H778" s="111"/>
      <c r="I778" s="28"/>
      <c r="J778" s="28"/>
    </row>
    <row r="779" ht="22.5" customHeight="1">
      <c r="A779" s="76" t="s">
        <v>1151</v>
      </c>
      <c r="B779" s="88"/>
      <c r="C779" s="91"/>
      <c r="D779" s="88"/>
      <c r="E779" s="88"/>
      <c r="F779" s="88"/>
      <c r="G779" s="91"/>
      <c r="H779" s="111"/>
      <c r="I779" s="28"/>
      <c r="J779" s="28"/>
    </row>
    <row r="780" ht="22.5" customHeight="1">
      <c r="A780" s="76" t="s">
        <v>1151</v>
      </c>
      <c r="B780" s="88"/>
      <c r="C780" s="91"/>
      <c r="D780" s="88"/>
      <c r="E780" s="88"/>
      <c r="F780" s="88"/>
      <c r="G780" s="91"/>
      <c r="H780" s="111"/>
      <c r="I780" s="28"/>
      <c r="J780" s="28"/>
    </row>
    <row r="781" ht="22.5" customHeight="1">
      <c r="A781" s="76" t="s">
        <v>1151</v>
      </c>
      <c r="B781" s="88"/>
      <c r="C781" s="91"/>
      <c r="D781" s="88"/>
      <c r="E781" s="88"/>
      <c r="F781" s="88"/>
      <c r="G781" s="91"/>
      <c r="H781" s="111"/>
      <c r="I781" s="28"/>
      <c r="J781" s="28"/>
    </row>
    <row r="782" ht="22.5" customHeight="1">
      <c r="A782" s="76" t="s">
        <v>1151</v>
      </c>
      <c r="B782" s="88"/>
      <c r="C782" s="91"/>
      <c r="D782" s="88"/>
      <c r="E782" s="88"/>
      <c r="F782" s="88"/>
      <c r="G782" s="91"/>
      <c r="H782" s="111"/>
      <c r="I782" s="28"/>
      <c r="J782" s="28"/>
    </row>
    <row r="783" ht="22.5" customHeight="1">
      <c r="A783" s="76" t="s">
        <v>1151</v>
      </c>
      <c r="B783" s="88"/>
      <c r="C783" s="91"/>
      <c r="D783" s="88"/>
      <c r="E783" s="88"/>
      <c r="F783" s="88"/>
      <c r="G783" s="91"/>
      <c r="H783" s="111"/>
      <c r="I783" s="28"/>
      <c r="J783" s="28"/>
    </row>
    <row r="784" ht="22.5" customHeight="1">
      <c r="A784" s="76" t="s">
        <v>1151</v>
      </c>
      <c r="B784" s="88"/>
      <c r="C784" s="91"/>
      <c r="D784" s="88"/>
      <c r="E784" s="88"/>
      <c r="F784" s="88"/>
      <c r="G784" s="91"/>
      <c r="H784" s="111"/>
      <c r="I784" s="28"/>
      <c r="J784" s="28"/>
    </row>
    <row r="785" ht="22.5" customHeight="1">
      <c r="A785" s="76" t="s">
        <v>1151</v>
      </c>
      <c r="B785" s="88"/>
      <c r="C785" s="91"/>
      <c r="D785" s="88"/>
      <c r="E785" s="88"/>
      <c r="F785" s="88"/>
      <c r="G785" s="91"/>
      <c r="H785" s="111"/>
      <c r="I785" s="28"/>
      <c r="J785" s="28"/>
    </row>
    <row r="786" ht="22.5" customHeight="1">
      <c r="A786" s="76" t="s">
        <v>1151</v>
      </c>
      <c r="B786" s="88"/>
      <c r="C786" s="91"/>
      <c r="D786" s="88"/>
      <c r="E786" s="88"/>
      <c r="F786" s="88"/>
      <c r="G786" s="91"/>
      <c r="H786" s="111"/>
      <c r="I786" s="28"/>
      <c r="J786" s="28"/>
    </row>
    <row r="787" ht="22.5" customHeight="1">
      <c r="A787" s="76" t="s">
        <v>1151</v>
      </c>
      <c r="B787" s="88"/>
      <c r="C787" s="91"/>
      <c r="D787" s="88"/>
      <c r="E787" s="88"/>
      <c r="F787" s="88"/>
      <c r="G787" s="91"/>
      <c r="H787" s="111"/>
      <c r="I787" s="28"/>
      <c r="J787" s="28"/>
    </row>
    <row r="788" ht="22.5" customHeight="1">
      <c r="A788" s="76" t="s">
        <v>1151</v>
      </c>
      <c r="B788" s="88"/>
      <c r="C788" s="91"/>
      <c r="D788" s="88"/>
      <c r="E788" s="88"/>
      <c r="F788" s="88"/>
      <c r="G788" s="91"/>
      <c r="H788" s="111"/>
      <c r="I788" s="26"/>
      <c r="J788" s="28"/>
    </row>
    <row r="789" ht="22.5" customHeight="1">
      <c r="A789" s="76" t="s">
        <v>1151</v>
      </c>
      <c r="B789" s="88"/>
      <c r="C789" s="91"/>
      <c r="D789" s="88"/>
      <c r="E789" s="88"/>
      <c r="F789" s="88"/>
      <c r="G789" s="91"/>
      <c r="H789" s="111"/>
      <c r="I789" s="28"/>
      <c r="J789" s="28"/>
    </row>
    <row r="790" ht="22.5" customHeight="1">
      <c r="A790" s="76" t="s">
        <v>1151</v>
      </c>
      <c r="B790" s="88"/>
      <c r="C790" s="91"/>
      <c r="D790" s="88"/>
      <c r="E790" s="88"/>
      <c r="F790" s="88"/>
      <c r="G790" s="91"/>
      <c r="H790" s="111"/>
      <c r="I790" s="28"/>
      <c r="J790" s="28"/>
    </row>
    <row r="791" ht="22.5" customHeight="1">
      <c r="A791" s="76" t="s">
        <v>1151</v>
      </c>
      <c r="B791" s="88"/>
      <c r="C791" s="91"/>
      <c r="D791" s="88"/>
      <c r="E791" s="88"/>
      <c r="F791" s="88"/>
      <c r="G791" s="91"/>
      <c r="H791" s="111"/>
      <c r="I791" s="28"/>
      <c r="J791" s="28"/>
    </row>
    <row r="792" ht="22.5" customHeight="1">
      <c r="A792" s="76" t="s">
        <v>1151</v>
      </c>
      <c r="B792" s="88"/>
      <c r="C792" s="91"/>
      <c r="D792" s="88"/>
      <c r="E792" s="88"/>
      <c r="F792" s="88"/>
      <c r="G792" s="91"/>
      <c r="H792" s="111"/>
      <c r="I792" s="28"/>
      <c r="J792" s="28"/>
    </row>
    <row r="793" ht="22.5" customHeight="1">
      <c r="A793" s="76" t="s">
        <v>1151</v>
      </c>
      <c r="B793" s="88"/>
      <c r="C793" s="91"/>
      <c r="D793" s="88"/>
      <c r="E793" s="88"/>
      <c r="F793" s="88"/>
      <c r="G793" s="91"/>
      <c r="H793" s="111"/>
      <c r="I793" s="28"/>
      <c r="J793" s="28"/>
    </row>
    <row r="794" ht="22.5" customHeight="1">
      <c r="A794" s="76" t="s">
        <v>1151</v>
      </c>
      <c r="B794" s="88"/>
      <c r="C794" s="91"/>
      <c r="D794" s="88"/>
      <c r="E794" s="88"/>
      <c r="F794" s="88"/>
      <c r="G794" s="91"/>
      <c r="H794" s="111"/>
      <c r="I794" s="28"/>
      <c r="J794" s="28"/>
    </row>
    <row r="795" ht="22.5" customHeight="1">
      <c r="A795" s="76" t="s">
        <v>1151</v>
      </c>
      <c r="B795" s="88"/>
      <c r="C795" s="91"/>
      <c r="D795" s="88"/>
      <c r="E795" s="88"/>
      <c r="F795" s="88"/>
      <c r="G795" s="91"/>
      <c r="H795" s="112"/>
      <c r="I795" s="28"/>
      <c r="J795" s="28"/>
    </row>
    <row r="796" ht="22.5" customHeight="1">
      <c r="A796" s="76" t="s">
        <v>1151</v>
      </c>
      <c r="B796" s="88"/>
      <c r="C796" s="91"/>
      <c r="D796" s="88"/>
      <c r="E796" s="88"/>
      <c r="F796" s="88"/>
      <c r="G796" s="91"/>
      <c r="H796" s="112"/>
      <c r="I796" s="28"/>
      <c r="J796" s="28"/>
    </row>
    <row r="797" ht="22.5" customHeight="1">
      <c r="A797" s="76" t="s">
        <v>1151</v>
      </c>
      <c r="B797" s="88"/>
      <c r="C797" s="91"/>
      <c r="D797" s="88"/>
      <c r="E797" s="88"/>
      <c r="F797" s="88"/>
      <c r="G797" s="91"/>
      <c r="H797" s="112"/>
      <c r="I797" s="26"/>
      <c r="J797" s="28"/>
    </row>
    <row r="798" ht="22.5" customHeight="1">
      <c r="A798" s="76" t="s">
        <v>1151</v>
      </c>
      <c r="B798" s="88"/>
      <c r="C798" s="91"/>
      <c r="D798" s="88"/>
      <c r="E798" s="88"/>
      <c r="F798" s="88"/>
      <c r="G798" s="91"/>
      <c r="H798" s="112"/>
      <c r="I798" s="28"/>
      <c r="J798" s="28"/>
    </row>
    <row r="799" ht="22.5" customHeight="1">
      <c r="A799" s="76" t="s">
        <v>1151</v>
      </c>
      <c r="B799" s="88"/>
      <c r="C799" s="91"/>
      <c r="D799" s="88"/>
      <c r="E799" s="88"/>
      <c r="F799" s="88"/>
      <c r="G799" s="91"/>
      <c r="H799" s="112"/>
      <c r="I799" s="28"/>
      <c r="J799" s="28"/>
    </row>
    <row r="800" ht="22.5" customHeight="1">
      <c r="A800" s="76" t="s">
        <v>1151</v>
      </c>
      <c r="B800" s="88"/>
      <c r="C800" s="91"/>
      <c r="D800" s="88"/>
      <c r="E800" s="88"/>
      <c r="F800" s="88"/>
      <c r="G800" s="91"/>
      <c r="H800" s="112"/>
      <c r="I800" s="28"/>
      <c r="J800" s="28"/>
    </row>
    <row r="801" ht="22.5" customHeight="1">
      <c r="A801" s="76" t="s">
        <v>1151</v>
      </c>
      <c r="B801" s="88"/>
      <c r="C801" s="91"/>
      <c r="D801" s="88"/>
      <c r="E801" s="88"/>
      <c r="F801" s="88"/>
      <c r="G801" s="91"/>
      <c r="H801" s="112"/>
      <c r="I801" s="28"/>
      <c r="J801" s="28"/>
    </row>
    <row r="802" ht="22.5" customHeight="1">
      <c r="A802" s="76" t="s">
        <v>1151</v>
      </c>
      <c r="B802" s="88"/>
      <c r="C802" s="91"/>
      <c r="D802" s="88"/>
      <c r="E802" s="88"/>
      <c r="F802" s="88"/>
      <c r="G802" s="91"/>
      <c r="H802" s="112"/>
      <c r="I802" s="28"/>
      <c r="J802" s="28"/>
    </row>
    <row r="803" ht="22.5" customHeight="1">
      <c r="A803" s="76" t="s">
        <v>1151</v>
      </c>
      <c r="B803" s="88"/>
      <c r="C803" s="91"/>
      <c r="D803" s="88"/>
      <c r="E803" s="88"/>
      <c r="F803" s="88"/>
      <c r="G803" s="91"/>
      <c r="H803" s="112"/>
      <c r="I803" s="28"/>
      <c r="J803" s="28"/>
    </row>
    <row r="804" ht="22.5" customHeight="1">
      <c r="A804" s="76" t="s">
        <v>1151</v>
      </c>
      <c r="B804" s="88"/>
      <c r="C804" s="91"/>
      <c r="D804" s="88"/>
      <c r="E804" s="88"/>
      <c r="F804" s="88"/>
      <c r="G804" s="91"/>
      <c r="H804" s="111"/>
      <c r="I804" s="26"/>
      <c r="J804" s="28"/>
    </row>
    <row r="805" ht="22.5" customHeight="1">
      <c r="A805" s="76" t="s">
        <v>1151</v>
      </c>
      <c r="B805" s="88"/>
      <c r="C805" s="91"/>
      <c r="D805" s="88"/>
      <c r="E805" s="88"/>
      <c r="F805" s="88"/>
      <c r="G805" s="91"/>
      <c r="H805" s="111"/>
      <c r="I805" s="28"/>
      <c r="J805" s="28"/>
    </row>
    <row r="806" ht="22.5" customHeight="1">
      <c r="A806" s="76" t="s">
        <v>1151</v>
      </c>
      <c r="B806" s="88"/>
      <c r="C806" s="91"/>
      <c r="D806" s="88"/>
      <c r="E806" s="88"/>
      <c r="F806" s="88"/>
      <c r="G806" s="91"/>
      <c r="H806" s="111"/>
      <c r="I806" s="26"/>
      <c r="J806" s="28"/>
    </row>
    <row r="807" ht="22.5" customHeight="1">
      <c r="A807" s="76" t="s">
        <v>1151</v>
      </c>
      <c r="B807" s="88"/>
      <c r="C807" s="91"/>
      <c r="D807" s="88"/>
      <c r="E807" s="88"/>
      <c r="F807" s="88"/>
      <c r="G807" s="91"/>
      <c r="H807" s="111"/>
      <c r="I807" s="28"/>
      <c r="J807" s="28"/>
    </row>
    <row r="808" ht="22.5" customHeight="1">
      <c r="A808" s="76" t="s">
        <v>1151</v>
      </c>
      <c r="B808" s="88"/>
      <c r="C808" s="91"/>
      <c r="D808" s="88"/>
      <c r="E808" s="88"/>
      <c r="F808" s="88"/>
      <c r="G808" s="91"/>
      <c r="H808" s="111"/>
      <c r="I808" s="28"/>
      <c r="J808" s="28"/>
    </row>
    <row r="809" ht="22.5" customHeight="1">
      <c r="A809" s="76" t="s">
        <v>1151</v>
      </c>
      <c r="B809" s="88"/>
      <c r="C809" s="91"/>
      <c r="D809" s="88"/>
      <c r="E809" s="88"/>
      <c r="F809" s="88"/>
      <c r="G809" s="91"/>
      <c r="H809" s="111"/>
      <c r="I809" s="28"/>
      <c r="J809" s="28"/>
    </row>
    <row r="810" ht="22.5" customHeight="1">
      <c r="A810" s="76" t="s">
        <v>1151</v>
      </c>
      <c r="B810" s="88"/>
      <c r="C810" s="91"/>
      <c r="D810" s="88"/>
      <c r="E810" s="88"/>
      <c r="F810" s="88"/>
      <c r="G810" s="91"/>
      <c r="H810" s="111"/>
      <c r="I810" s="28"/>
      <c r="J810" s="28"/>
    </row>
    <row r="811" ht="22.5" customHeight="1">
      <c r="A811" s="76" t="s">
        <v>1151</v>
      </c>
      <c r="B811" s="88"/>
      <c r="C811" s="91"/>
      <c r="D811" s="88"/>
      <c r="E811" s="88"/>
      <c r="F811" s="88"/>
      <c r="G811" s="91"/>
      <c r="H811" s="111"/>
      <c r="I811" s="28"/>
      <c r="J811" s="28"/>
    </row>
    <row r="812" ht="22.5" customHeight="1">
      <c r="A812" s="76" t="s">
        <v>1151</v>
      </c>
      <c r="B812" s="88"/>
      <c r="C812" s="91"/>
      <c r="D812" s="88"/>
      <c r="E812" s="88"/>
      <c r="F812" s="88"/>
      <c r="G812" s="91"/>
      <c r="H812" s="111"/>
      <c r="I812" s="28"/>
      <c r="J812" s="28"/>
    </row>
    <row r="813" ht="22.5" customHeight="1">
      <c r="A813" s="76" t="s">
        <v>1151</v>
      </c>
      <c r="B813" s="88"/>
      <c r="C813" s="91"/>
      <c r="D813" s="88"/>
      <c r="E813" s="88"/>
      <c r="F813" s="88"/>
      <c r="G813" s="91"/>
      <c r="H813" s="111"/>
      <c r="I813" s="28"/>
      <c r="J813" s="28"/>
    </row>
    <row r="814" ht="22.5" customHeight="1">
      <c r="A814" s="76" t="s">
        <v>1151</v>
      </c>
      <c r="B814" s="88"/>
      <c r="C814" s="91"/>
      <c r="D814" s="88"/>
      <c r="E814" s="88"/>
      <c r="F814" s="88"/>
      <c r="G814" s="91"/>
      <c r="H814" s="111"/>
      <c r="I814" s="28"/>
      <c r="J814" s="28"/>
    </row>
    <row r="815" ht="22.5" customHeight="1">
      <c r="A815" s="76" t="s">
        <v>1151</v>
      </c>
      <c r="B815" s="88"/>
      <c r="C815" s="91"/>
      <c r="D815" s="88"/>
      <c r="E815" s="88"/>
      <c r="F815" s="88"/>
      <c r="G815" s="91"/>
      <c r="H815" s="111"/>
      <c r="I815" s="28"/>
      <c r="J815" s="28"/>
    </row>
    <row r="816" ht="22.5" customHeight="1">
      <c r="A816" s="76" t="s">
        <v>1151</v>
      </c>
      <c r="B816" s="88"/>
      <c r="C816" s="91"/>
      <c r="D816" s="88"/>
      <c r="E816" s="88"/>
      <c r="F816" s="88"/>
      <c r="G816" s="91"/>
      <c r="H816" s="111"/>
      <c r="I816" s="28"/>
      <c r="J816" s="28"/>
    </row>
    <row r="817" ht="22.5" customHeight="1">
      <c r="A817" s="76" t="s">
        <v>1151</v>
      </c>
      <c r="B817" s="88"/>
      <c r="C817" s="91"/>
      <c r="D817" s="88"/>
      <c r="E817" s="88"/>
      <c r="F817" s="88"/>
      <c r="G817" s="91"/>
      <c r="H817" s="111"/>
      <c r="I817" s="28"/>
      <c r="J817" s="28"/>
    </row>
    <row r="818" ht="22.5" customHeight="1">
      <c r="A818" s="76" t="s">
        <v>1151</v>
      </c>
      <c r="B818" s="88"/>
      <c r="C818" s="91"/>
      <c r="D818" s="88"/>
      <c r="E818" s="88"/>
      <c r="F818" s="88"/>
      <c r="G818" s="91"/>
      <c r="H818" s="111"/>
      <c r="I818" s="28"/>
      <c r="J818" s="28"/>
    </row>
    <row r="819" ht="22.5" customHeight="1">
      <c r="A819" s="76" t="s">
        <v>1151</v>
      </c>
      <c r="B819" s="88"/>
      <c r="C819" s="91"/>
      <c r="D819" s="88"/>
      <c r="E819" s="88"/>
      <c r="F819" s="88"/>
      <c r="G819" s="91"/>
      <c r="H819" s="111"/>
      <c r="I819" s="28"/>
      <c r="J819" s="28"/>
    </row>
    <row r="820" ht="22.5" customHeight="1">
      <c r="A820" s="76" t="s">
        <v>1151</v>
      </c>
      <c r="B820" s="88"/>
      <c r="C820" s="91"/>
      <c r="D820" s="88"/>
      <c r="E820" s="88"/>
      <c r="F820" s="88"/>
      <c r="G820" s="91"/>
      <c r="H820" s="111"/>
      <c r="I820" s="28"/>
      <c r="J820" s="28"/>
    </row>
    <row r="821" ht="22.5" customHeight="1">
      <c r="A821" s="76" t="s">
        <v>1151</v>
      </c>
      <c r="B821" s="88"/>
      <c r="C821" s="91"/>
      <c r="D821" s="88"/>
      <c r="E821" s="88"/>
      <c r="F821" s="88"/>
      <c r="G821" s="91"/>
      <c r="H821" s="111"/>
      <c r="I821" s="28"/>
      <c r="J821" s="28"/>
    </row>
    <row r="822" ht="22.5" customHeight="1">
      <c r="A822" s="76" t="s">
        <v>1151</v>
      </c>
      <c r="B822" s="88"/>
      <c r="C822" s="91"/>
      <c r="D822" s="88"/>
      <c r="E822" s="88"/>
      <c r="F822" s="88"/>
      <c r="G822" s="91"/>
      <c r="H822" s="111"/>
      <c r="I822" s="28"/>
      <c r="J822" s="28"/>
    </row>
    <row r="823" ht="22.5" customHeight="1">
      <c r="A823" s="76" t="s">
        <v>1151</v>
      </c>
      <c r="B823" s="88"/>
      <c r="C823" s="91"/>
      <c r="D823" s="88"/>
      <c r="E823" s="88"/>
      <c r="F823" s="88"/>
      <c r="G823" s="91"/>
      <c r="H823" s="111"/>
      <c r="I823" s="28"/>
      <c r="J823" s="28"/>
    </row>
    <row r="824" ht="22.5" customHeight="1">
      <c r="A824" s="76" t="s">
        <v>1151</v>
      </c>
      <c r="B824" s="88"/>
      <c r="C824" s="91"/>
      <c r="D824" s="88"/>
      <c r="E824" s="88"/>
      <c r="F824" s="88"/>
      <c r="G824" s="91"/>
      <c r="H824" s="111"/>
      <c r="I824" s="28"/>
      <c r="J824" s="28"/>
    </row>
    <row r="825" ht="22.5" customHeight="1">
      <c r="A825" s="76" t="s">
        <v>1151</v>
      </c>
      <c r="B825" s="88"/>
      <c r="C825" s="91"/>
      <c r="D825" s="88"/>
      <c r="E825" s="88"/>
      <c r="F825" s="88"/>
      <c r="G825" s="91"/>
      <c r="H825" s="111"/>
      <c r="I825" s="28"/>
      <c r="J825" s="28"/>
    </row>
    <row r="826" ht="22.5" customHeight="1">
      <c r="A826" s="76" t="s">
        <v>1151</v>
      </c>
      <c r="B826" s="88"/>
      <c r="C826" s="91"/>
      <c r="D826" s="88"/>
      <c r="E826" s="88"/>
      <c r="F826" s="88"/>
      <c r="G826" s="91"/>
      <c r="H826" s="111"/>
      <c r="I826" s="28"/>
      <c r="J826" s="28"/>
    </row>
    <row r="827" ht="22.5" customHeight="1">
      <c r="A827" s="76" t="s">
        <v>1151</v>
      </c>
      <c r="B827" s="88"/>
      <c r="C827" s="91"/>
      <c r="D827" s="88"/>
      <c r="E827" s="88"/>
      <c r="F827" s="88"/>
      <c r="G827" s="91"/>
      <c r="H827" s="111"/>
      <c r="I827" s="28"/>
      <c r="J827" s="28"/>
    </row>
    <row r="828" ht="22.5" customHeight="1">
      <c r="A828" s="76" t="s">
        <v>1151</v>
      </c>
      <c r="B828" s="88"/>
      <c r="C828" s="91"/>
      <c r="D828" s="88"/>
      <c r="E828" s="88"/>
      <c r="F828" s="88"/>
      <c r="G828" s="91"/>
      <c r="H828" s="111"/>
      <c r="I828" s="28"/>
      <c r="J828" s="28"/>
    </row>
    <row r="829" ht="22.5" customHeight="1">
      <c r="A829" s="76" t="s">
        <v>1151</v>
      </c>
      <c r="B829" s="88"/>
      <c r="C829" s="91"/>
      <c r="D829" s="88"/>
      <c r="E829" s="88"/>
      <c r="F829" s="88"/>
      <c r="G829" s="91"/>
      <c r="H829" s="111"/>
      <c r="I829" s="28"/>
      <c r="J829" s="28"/>
    </row>
    <row r="830" ht="22.5" customHeight="1">
      <c r="A830" s="76" t="s">
        <v>1151</v>
      </c>
      <c r="B830" s="88"/>
      <c r="C830" s="91"/>
      <c r="D830" s="88"/>
      <c r="E830" s="88"/>
      <c r="F830" s="88"/>
      <c r="G830" s="91"/>
      <c r="H830" s="111"/>
      <c r="I830" s="28"/>
      <c r="J830" s="28"/>
    </row>
    <row r="831" ht="22.5" customHeight="1">
      <c r="A831" s="76" t="s">
        <v>1151</v>
      </c>
      <c r="B831" s="88"/>
      <c r="C831" s="91"/>
      <c r="D831" s="88"/>
      <c r="E831" s="88"/>
      <c r="F831" s="88"/>
      <c r="G831" s="91"/>
      <c r="H831" s="112"/>
      <c r="I831" s="28"/>
      <c r="J831" s="28"/>
    </row>
    <row r="832" ht="22.5" customHeight="1">
      <c r="A832" s="76" t="s">
        <v>1151</v>
      </c>
      <c r="B832" s="88"/>
      <c r="C832" s="91"/>
      <c r="D832" s="88"/>
      <c r="E832" s="88"/>
      <c r="F832" s="88"/>
      <c r="G832" s="91"/>
      <c r="H832" s="112"/>
      <c r="I832" s="28"/>
      <c r="J832" s="28"/>
    </row>
    <row r="833" ht="22.5" customHeight="1">
      <c r="A833" s="76" t="s">
        <v>1151</v>
      </c>
      <c r="B833" s="88"/>
      <c r="C833" s="91"/>
      <c r="D833" s="88"/>
      <c r="E833" s="88"/>
      <c r="F833" s="88"/>
      <c r="G833" s="91"/>
      <c r="H833" s="112"/>
      <c r="I833" s="28"/>
      <c r="J833" s="28"/>
    </row>
    <row r="834" ht="22.5" customHeight="1">
      <c r="A834" s="76" t="s">
        <v>1151</v>
      </c>
      <c r="B834" s="88"/>
      <c r="C834" s="91"/>
      <c r="D834" s="88"/>
      <c r="E834" s="88"/>
      <c r="F834" s="88"/>
      <c r="G834" s="91"/>
      <c r="H834" s="112"/>
      <c r="I834" s="28"/>
      <c r="J834" s="28"/>
    </row>
    <row r="835" ht="22.5" customHeight="1">
      <c r="A835" s="76" t="s">
        <v>1151</v>
      </c>
      <c r="B835" s="88"/>
      <c r="C835" s="91"/>
      <c r="D835" s="88"/>
      <c r="E835" s="88"/>
      <c r="F835" s="88"/>
      <c r="G835" s="91"/>
      <c r="H835" s="112"/>
      <c r="I835" s="28"/>
      <c r="J835" s="28"/>
    </row>
    <row r="836" ht="22.5" customHeight="1">
      <c r="A836" s="76" t="s">
        <v>1151</v>
      </c>
      <c r="B836" s="88"/>
      <c r="C836" s="91"/>
      <c r="D836" s="88"/>
      <c r="E836" s="88"/>
      <c r="F836" s="88"/>
      <c r="G836" s="91"/>
      <c r="H836" s="112"/>
      <c r="I836" s="28"/>
      <c r="J836" s="28"/>
    </row>
    <row r="837" ht="22.5" customHeight="1">
      <c r="A837" s="76" t="s">
        <v>1151</v>
      </c>
      <c r="B837" s="88"/>
      <c r="C837" s="91"/>
      <c r="D837" s="88"/>
      <c r="E837" s="88"/>
      <c r="F837" s="88"/>
      <c r="G837" s="91"/>
      <c r="H837" s="112"/>
      <c r="I837" s="28"/>
      <c r="J837" s="28"/>
    </row>
    <row r="838" ht="22.5" customHeight="1">
      <c r="A838" s="76" t="s">
        <v>1151</v>
      </c>
      <c r="B838" s="88"/>
      <c r="C838" s="91"/>
      <c r="D838" s="88"/>
      <c r="E838" s="88"/>
      <c r="F838" s="88"/>
      <c r="G838" s="91"/>
      <c r="H838" s="112"/>
      <c r="I838" s="28"/>
      <c r="J838" s="28"/>
    </row>
    <row r="839" ht="22.5" customHeight="1">
      <c r="A839" s="76" t="s">
        <v>1151</v>
      </c>
      <c r="B839" s="88"/>
      <c r="C839" s="91"/>
      <c r="D839" s="88"/>
      <c r="E839" s="88"/>
      <c r="F839" s="88"/>
      <c r="G839" s="91"/>
      <c r="H839" s="112"/>
      <c r="I839" s="28"/>
      <c r="J839" s="28"/>
    </row>
    <row r="840" ht="22.5" customHeight="1">
      <c r="A840" s="76" t="s">
        <v>1151</v>
      </c>
      <c r="B840" s="88"/>
      <c r="C840" s="91"/>
      <c r="D840" s="88"/>
      <c r="E840" s="88"/>
      <c r="F840" s="88"/>
      <c r="G840" s="91"/>
      <c r="H840" s="111"/>
      <c r="I840" s="28"/>
      <c r="J840" s="28"/>
    </row>
    <row r="841" ht="22.5" customHeight="1">
      <c r="A841" s="76" t="s">
        <v>1151</v>
      </c>
      <c r="B841" s="88"/>
      <c r="C841" s="91"/>
      <c r="D841" s="88"/>
      <c r="E841" s="88"/>
      <c r="F841" s="88"/>
      <c r="G841" s="91"/>
      <c r="H841" s="111"/>
      <c r="I841" s="28"/>
      <c r="J841" s="28"/>
    </row>
    <row r="842" ht="22.5" customHeight="1">
      <c r="A842" s="76" t="s">
        <v>1151</v>
      </c>
      <c r="B842" s="88"/>
      <c r="C842" s="91"/>
      <c r="D842" s="88"/>
      <c r="E842" s="88"/>
      <c r="F842" s="88"/>
      <c r="G842" s="91"/>
      <c r="H842" s="111"/>
      <c r="I842" s="28"/>
      <c r="J842" s="28"/>
    </row>
    <row r="843" ht="22.5" customHeight="1">
      <c r="A843" s="76" t="s">
        <v>1151</v>
      </c>
      <c r="B843" s="88"/>
      <c r="C843" s="91"/>
      <c r="D843" s="88"/>
      <c r="E843" s="88"/>
      <c r="F843" s="88"/>
      <c r="G843" s="91"/>
      <c r="H843" s="111"/>
      <c r="I843" s="28"/>
      <c r="J843" s="28"/>
    </row>
    <row r="844" ht="22.5" customHeight="1">
      <c r="A844" s="76" t="s">
        <v>1151</v>
      </c>
      <c r="B844" s="88"/>
      <c r="C844" s="91"/>
      <c r="D844" s="88"/>
      <c r="E844" s="88"/>
      <c r="F844" s="88"/>
      <c r="G844" s="91"/>
      <c r="H844" s="111"/>
      <c r="I844" s="28"/>
      <c r="J844" s="28"/>
    </row>
    <row r="845" ht="22.5" customHeight="1">
      <c r="A845" s="76" t="s">
        <v>1151</v>
      </c>
      <c r="B845" s="88"/>
      <c r="C845" s="91"/>
      <c r="D845" s="88"/>
      <c r="E845" s="88"/>
      <c r="F845" s="88"/>
      <c r="G845" s="91"/>
      <c r="H845" s="111"/>
      <c r="I845" s="28"/>
      <c r="J845" s="28"/>
    </row>
    <row r="846" ht="22.5" customHeight="1">
      <c r="A846" s="76" t="s">
        <v>1151</v>
      </c>
      <c r="B846" s="88"/>
      <c r="C846" s="91"/>
      <c r="D846" s="88"/>
      <c r="E846" s="88"/>
      <c r="F846" s="88"/>
      <c r="G846" s="91"/>
      <c r="H846" s="111"/>
      <c r="I846" s="28"/>
      <c r="J846" s="28"/>
    </row>
    <row r="847" ht="22.5" customHeight="1">
      <c r="A847" s="76" t="s">
        <v>1151</v>
      </c>
      <c r="B847" s="88"/>
      <c r="C847" s="91"/>
      <c r="D847" s="88"/>
      <c r="E847" s="88"/>
      <c r="F847" s="88"/>
      <c r="G847" s="91"/>
      <c r="H847" s="111"/>
      <c r="I847" s="28"/>
      <c r="J847" s="28"/>
    </row>
    <row r="848" ht="22.5" customHeight="1">
      <c r="A848" s="76" t="s">
        <v>1151</v>
      </c>
      <c r="B848" s="88"/>
      <c r="C848" s="91"/>
      <c r="D848" s="88"/>
      <c r="E848" s="88"/>
      <c r="F848" s="88"/>
      <c r="G848" s="91"/>
      <c r="H848" s="111"/>
      <c r="I848" s="28"/>
      <c r="J848" s="28"/>
    </row>
    <row r="849" ht="22.5" customHeight="1">
      <c r="A849" s="76" t="s">
        <v>1151</v>
      </c>
      <c r="B849" s="88"/>
      <c r="C849" s="91"/>
      <c r="D849" s="88"/>
      <c r="E849" s="88"/>
      <c r="F849" s="88"/>
      <c r="G849" s="91"/>
      <c r="H849" s="111"/>
      <c r="I849" s="28"/>
      <c r="J849" s="28"/>
    </row>
    <row r="850" ht="22.5" customHeight="1">
      <c r="A850" s="76" t="s">
        <v>1151</v>
      </c>
      <c r="B850" s="88"/>
      <c r="C850" s="91"/>
      <c r="D850" s="88"/>
      <c r="E850" s="88"/>
      <c r="F850" s="88"/>
      <c r="G850" s="91"/>
      <c r="H850" s="111"/>
      <c r="I850" s="28"/>
      <c r="J850" s="28"/>
    </row>
    <row r="851" ht="22.5" customHeight="1">
      <c r="A851" s="76" t="s">
        <v>1151</v>
      </c>
      <c r="B851" s="88"/>
      <c r="C851" s="91"/>
      <c r="D851" s="88"/>
      <c r="E851" s="88"/>
      <c r="F851" s="88"/>
      <c r="G851" s="91"/>
      <c r="H851" s="111"/>
      <c r="I851" s="28"/>
      <c r="J851" s="28"/>
    </row>
    <row r="852" ht="22.5" customHeight="1">
      <c r="A852" s="76" t="s">
        <v>1151</v>
      </c>
      <c r="B852" s="88"/>
      <c r="C852" s="91"/>
      <c r="D852" s="88"/>
      <c r="E852" s="88"/>
      <c r="F852" s="88"/>
      <c r="G852" s="91"/>
      <c r="H852" s="111"/>
      <c r="I852" s="28"/>
      <c r="J852" s="28"/>
    </row>
    <row r="853" ht="22.5" customHeight="1">
      <c r="A853" s="76" t="s">
        <v>1151</v>
      </c>
      <c r="B853" s="88"/>
      <c r="C853" s="91"/>
      <c r="D853" s="88"/>
      <c r="E853" s="88"/>
      <c r="F853" s="88"/>
      <c r="G853" s="91"/>
      <c r="H853" s="111"/>
      <c r="I853" s="28"/>
      <c r="J853" s="28"/>
    </row>
    <row r="854" ht="22.5" customHeight="1">
      <c r="A854" s="76" t="s">
        <v>1151</v>
      </c>
      <c r="B854" s="88"/>
      <c r="C854" s="91"/>
      <c r="D854" s="88"/>
      <c r="E854" s="88"/>
      <c r="F854" s="88"/>
      <c r="G854" s="91"/>
      <c r="H854" s="111"/>
      <c r="I854" s="28"/>
      <c r="J854" s="28"/>
    </row>
    <row r="855" ht="22.5" customHeight="1">
      <c r="A855" s="76" t="s">
        <v>1151</v>
      </c>
      <c r="B855" s="88"/>
      <c r="C855" s="91"/>
      <c r="D855" s="88"/>
      <c r="E855" s="88"/>
      <c r="F855" s="88"/>
      <c r="G855" s="91"/>
      <c r="H855" s="111"/>
      <c r="I855" s="28"/>
      <c r="J855" s="28"/>
    </row>
    <row r="856" ht="22.5" customHeight="1">
      <c r="A856" s="76" t="s">
        <v>1151</v>
      </c>
      <c r="B856" s="88"/>
      <c r="C856" s="91"/>
      <c r="D856" s="88"/>
      <c r="E856" s="88"/>
      <c r="F856" s="88"/>
      <c r="G856" s="91"/>
      <c r="H856" s="111"/>
      <c r="I856" s="28"/>
      <c r="J856" s="28"/>
    </row>
    <row r="857" ht="22.5" customHeight="1">
      <c r="A857" s="76" t="s">
        <v>1151</v>
      </c>
      <c r="B857" s="88"/>
      <c r="C857" s="91"/>
      <c r="D857" s="88"/>
      <c r="E857" s="88"/>
      <c r="F857" s="88"/>
      <c r="G857" s="91"/>
      <c r="H857" s="111"/>
      <c r="I857" s="28"/>
      <c r="J857" s="28"/>
    </row>
    <row r="858" ht="22.5" customHeight="1">
      <c r="A858" s="76" t="s">
        <v>1151</v>
      </c>
      <c r="B858" s="88"/>
      <c r="C858" s="91"/>
      <c r="D858" s="88"/>
      <c r="E858" s="88"/>
      <c r="F858" s="88"/>
      <c r="G858" s="91"/>
      <c r="H858" s="112"/>
      <c r="I858" s="28"/>
      <c r="J858" s="28"/>
    </row>
    <row r="859" ht="22.5" customHeight="1">
      <c r="A859" s="76" t="s">
        <v>1151</v>
      </c>
      <c r="B859" s="88"/>
      <c r="C859" s="91"/>
      <c r="D859" s="88"/>
      <c r="E859" s="88"/>
      <c r="F859" s="88"/>
      <c r="G859" s="91"/>
      <c r="H859" s="112"/>
      <c r="I859" s="28"/>
      <c r="J859" s="28"/>
    </row>
    <row r="860" ht="22.5" customHeight="1">
      <c r="A860" s="76" t="s">
        <v>1151</v>
      </c>
      <c r="B860" s="88"/>
      <c r="C860" s="91"/>
      <c r="D860" s="88"/>
      <c r="E860" s="88"/>
      <c r="F860" s="88"/>
      <c r="G860" s="91"/>
      <c r="H860" s="112"/>
      <c r="I860" s="26"/>
      <c r="J860" s="28"/>
    </row>
    <row r="861" ht="22.5" customHeight="1">
      <c r="A861" s="76" t="s">
        <v>1151</v>
      </c>
      <c r="B861" s="88"/>
      <c r="C861" s="91"/>
      <c r="D861" s="88"/>
      <c r="E861" s="88"/>
      <c r="F861" s="88"/>
      <c r="G861" s="91"/>
      <c r="H861" s="112"/>
      <c r="I861" s="28"/>
      <c r="J861" s="28"/>
    </row>
    <row r="862" ht="22.5" customHeight="1">
      <c r="A862" s="76" t="s">
        <v>1151</v>
      </c>
      <c r="B862" s="88"/>
      <c r="C862" s="91"/>
      <c r="D862" s="88"/>
      <c r="E862" s="88"/>
      <c r="F862" s="88"/>
      <c r="G862" s="91"/>
      <c r="H862" s="112"/>
      <c r="I862" s="28"/>
      <c r="J862" s="28"/>
    </row>
    <row r="863" ht="22.5" customHeight="1">
      <c r="A863" s="76" t="s">
        <v>1151</v>
      </c>
      <c r="B863" s="88"/>
      <c r="C863" s="91"/>
      <c r="D863" s="88"/>
      <c r="E863" s="88"/>
      <c r="F863" s="88"/>
      <c r="G863" s="91"/>
      <c r="H863" s="112"/>
      <c r="I863" s="28"/>
      <c r="J863" s="28"/>
    </row>
    <row r="864" ht="22.5" customHeight="1">
      <c r="A864" s="76" t="s">
        <v>1151</v>
      </c>
      <c r="B864" s="88"/>
      <c r="C864" s="91"/>
      <c r="D864" s="88"/>
      <c r="E864" s="88"/>
      <c r="F864" s="88"/>
      <c r="G864" s="91"/>
      <c r="H864" s="112"/>
      <c r="I864" s="28"/>
      <c r="J864" s="28"/>
    </row>
    <row r="865" ht="22.5" customHeight="1">
      <c r="A865" s="76" t="s">
        <v>1151</v>
      </c>
      <c r="B865" s="88"/>
      <c r="C865" s="91"/>
      <c r="D865" s="88"/>
      <c r="E865" s="88"/>
      <c r="F865" s="88"/>
      <c r="G865" s="91"/>
      <c r="H865" s="112"/>
      <c r="I865" s="28"/>
      <c r="J865" s="28"/>
    </row>
    <row r="866" ht="22.5" customHeight="1">
      <c r="A866" s="76" t="s">
        <v>1151</v>
      </c>
      <c r="B866" s="88"/>
      <c r="C866" s="91"/>
      <c r="D866" s="88"/>
      <c r="E866" s="88"/>
      <c r="F866" s="88"/>
      <c r="G866" s="91"/>
      <c r="H866" s="112"/>
      <c r="I866" s="28"/>
      <c r="J866" s="28"/>
    </row>
    <row r="867" ht="22.5" customHeight="1">
      <c r="A867" s="76" t="s">
        <v>1151</v>
      </c>
      <c r="B867" s="88"/>
      <c r="C867" s="91"/>
      <c r="D867" s="88"/>
      <c r="E867" s="88"/>
      <c r="F867" s="88"/>
      <c r="G867" s="91"/>
      <c r="H867" s="111"/>
      <c r="I867" s="28"/>
      <c r="J867" s="28"/>
    </row>
    <row r="868" ht="22.5" customHeight="1">
      <c r="A868" s="76" t="s">
        <v>1151</v>
      </c>
      <c r="B868" s="88"/>
      <c r="C868" s="91"/>
      <c r="D868" s="88"/>
      <c r="E868" s="88"/>
      <c r="F868" s="88"/>
      <c r="G868" s="91"/>
      <c r="H868" s="111"/>
      <c r="I868" s="28"/>
      <c r="J868" s="28"/>
    </row>
    <row r="869" ht="22.5" customHeight="1">
      <c r="A869" s="76" t="s">
        <v>1151</v>
      </c>
      <c r="B869" s="88"/>
      <c r="C869" s="91"/>
      <c r="D869" s="88"/>
      <c r="E869" s="88"/>
      <c r="F869" s="88"/>
      <c r="G869" s="91"/>
      <c r="H869" s="111"/>
      <c r="I869" s="26"/>
      <c r="J869" s="28"/>
    </row>
    <row r="870" ht="22.5" customHeight="1">
      <c r="A870" s="76" t="s">
        <v>1151</v>
      </c>
      <c r="B870" s="88"/>
      <c r="C870" s="91"/>
      <c r="D870" s="88"/>
      <c r="E870" s="88"/>
      <c r="F870" s="88"/>
      <c r="G870" s="91"/>
      <c r="H870" s="111"/>
      <c r="I870" s="28"/>
      <c r="J870" s="28"/>
    </row>
    <row r="871" ht="22.5" customHeight="1">
      <c r="A871" s="76" t="s">
        <v>1151</v>
      </c>
      <c r="B871" s="88"/>
      <c r="C871" s="91"/>
      <c r="D871" s="88"/>
      <c r="E871" s="88"/>
      <c r="F871" s="88"/>
      <c r="G871" s="91"/>
      <c r="H871" s="111"/>
      <c r="I871" s="28"/>
      <c r="J871" s="28"/>
    </row>
    <row r="872" ht="22.5" customHeight="1">
      <c r="A872" s="76" t="s">
        <v>1151</v>
      </c>
      <c r="B872" s="88"/>
      <c r="C872" s="91"/>
      <c r="D872" s="88"/>
      <c r="E872" s="88"/>
      <c r="F872" s="88"/>
      <c r="G872" s="91"/>
      <c r="H872" s="111"/>
      <c r="I872" s="28"/>
      <c r="J872" s="28"/>
    </row>
    <row r="873" ht="22.5" customHeight="1">
      <c r="A873" s="76" t="s">
        <v>1151</v>
      </c>
      <c r="B873" s="88"/>
      <c r="C873" s="91"/>
      <c r="D873" s="88"/>
      <c r="E873" s="88"/>
      <c r="F873" s="88"/>
      <c r="G873" s="91"/>
      <c r="H873" s="111"/>
      <c r="I873" s="28"/>
      <c r="J873" s="28"/>
    </row>
    <row r="874" ht="22.5" customHeight="1">
      <c r="A874" s="76" t="s">
        <v>1151</v>
      </c>
      <c r="B874" s="88"/>
      <c r="C874" s="91"/>
      <c r="D874" s="88"/>
      <c r="E874" s="88"/>
      <c r="F874" s="88"/>
      <c r="G874" s="91"/>
      <c r="H874" s="111"/>
      <c r="I874" s="28"/>
      <c r="J874" s="28"/>
    </row>
    <row r="875" ht="22.5" customHeight="1">
      <c r="A875" s="76" t="s">
        <v>1151</v>
      </c>
      <c r="B875" s="88"/>
      <c r="C875" s="91"/>
      <c r="D875" s="88"/>
      <c r="E875" s="88"/>
      <c r="F875" s="88"/>
      <c r="G875" s="91"/>
      <c r="H875" s="111"/>
      <c r="I875" s="28"/>
      <c r="J875" s="28"/>
    </row>
    <row r="876" ht="22.5" customHeight="1">
      <c r="A876" s="76" t="s">
        <v>1151</v>
      </c>
      <c r="B876" s="88"/>
      <c r="C876" s="91"/>
      <c r="D876" s="88"/>
      <c r="E876" s="88"/>
      <c r="F876" s="88"/>
      <c r="G876" s="91"/>
      <c r="H876" s="112"/>
      <c r="I876" s="28"/>
      <c r="J876" s="28"/>
    </row>
    <row r="877" ht="22.5" customHeight="1">
      <c r="A877" s="76" t="s">
        <v>1151</v>
      </c>
      <c r="B877" s="88"/>
      <c r="C877" s="91"/>
      <c r="D877" s="88"/>
      <c r="E877" s="88"/>
      <c r="F877" s="88"/>
      <c r="G877" s="91"/>
      <c r="H877" s="112"/>
      <c r="I877" s="28"/>
      <c r="J877" s="28"/>
    </row>
    <row r="878" ht="22.5" customHeight="1">
      <c r="A878" s="76" t="s">
        <v>1151</v>
      </c>
      <c r="B878" s="88"/>
      <c r="C878" s="91"/>
      <c r="D878" s="88"/>
      <c r="E878" s="88"/>
      <c r="F878" s="88"/>
      <c r="G878" s="91"/>
      <c r="H878" s="112"/>
      <c r="I878" s="28"/>
      <c r="J878" s="28"/>
    </row>
    <row r="879" ht="22.5" customHeight="1">
      <c r="A879" s="76" t="s">
        <v>1151</v>
      </c>
      <c r="B879" s="88"/>
      <c r="C879" s="91"/>
      <c r="D879" s="88"/>
      <c r="E879" s="88"/>
      <c r="F879" s="88"/>
      <c r="G879" s="91"/>
      <c r="H879" s="112"/>
      <c r="I879" s="28"/>
      <c r="J879" s="28"/>
    </row>
    <row r="880" ht="22.5" customHeight="1">
      <c r="A880" s="76" t="s">
        <v>1151</v>
      </c>
      <c r="B880" s="88"/>
      <c r="C880" s="91"/>
      <c r="D880" s="88"/>
      <c r="E880" s="88"/>
      <c r="F880" s="88"/>
      <c r="G880" s="91"/>
      <c r="H880" s="112"/>
      <c r="I880" s="28"/>
      <c r="J880" s="26"/>
    </row>
    <row r="881" ht="22.5" customHeight="1">
      <c r="A881" s="76" t="s">
        <v>1151</v>
      </c>
      <c r="B881" s="88"/>
      <c r="C881" s="91"/>
      <c r="D881" s="88"/>
      <c r="E881" s="88"/>
      <c r="F881" s="88"/>
      <c r="G881" s="91"/>
      <c r="H881" s="112"/>
      <c r="I881" s="28"/>
      <c r="J881" s="28"/>
    </row>
    <row r="882" ht="22.5" customHeight="1">
      <c r="A882" s="76" t="s">
        <v>1151</v>
      </c>
      <c r="B882" s="88"/>
      <c r="C882" s="91"/>
      <c r="D882" s="88"/>
      <c r="E882" s="88"/>
      <c r="F882" s="88"/>
      <c r="G882" s="91"/>
      <c r="H882" s="112"/>
      <c r="I882" s="28"/>
      <c r="J882" s="28"/>
    </row>
    <row r="883" ht="22.5" customHeight="1">
      <c r="A883" s="76" t="s">
        <v>1151</v>
      </c>
      <c r="B883" s="88"/>
      <c r="C883" s="91"/>
      <c r="D883" s="88"/>
      <c r="E883" s="88"/>
      <c r="F883" s="88"/>
      <c r="G883" s="91"/>
      <c r="H883" s="112"/>
      <c r="I883" s="28"/>
      <c r="J883" s="28"/>
    </row>
    <row r="884" ht="22.5" customHeight="1">
      <c r="A884" s="76" t="s">
        <v>1151</v>
      </c>
      <c r="B884" s="88"/>
      <c r="C884" s="91"/>
      <c r="D884" s="88"/>
      <c r="E884" s="88"/>
      <c r="F884" s="88"/>
      <c r="G884" s="91"/>
      <c r="H884" s="112"/>
      <c r="I884" s="28"/>
      <c r="J884" s="28"/>
    </row>
    <row r="885" ht="22.5" customHeight="1">
      <c r="A885" s="76" t="s">
        <v>1151</v>
      </c>
      <c r="B885" s="88"/>
      <c r="C885" s="91"/>
      <c r="D885" s="88"/>
      <c r="E885" s="88"/>
      <c r="F885" s="88"/>
      <c r="G885" s="91"/>
      <c r="H885" s="112"/>
      <c r="I885" s="28"/>
      <c r="J885" s="28"/>
    </row>
    <row r="886" ht="22.5" customHeight="1">
      <c r="A886" s="76" t="s">
        <v>1151</v>
      </c>
      <c r="B886" s="88"/>
      <c r="C886" s="91"/>
      <c r="D886" s="88"/>
      <c r="E886" s="88"/>
      <c r="F886" s="88"/>
      <c r="G886" s="91"/>
      <c r="H886" s="112"/>
      <c r="I886" s="28"/>
      <c r="J886" s="28"/>
    </row>
    <row r="887" ht="22.5" customHeight="1">
      <c r="A887" s="76" t="s">
        <v>1151</v>
      </c>
      <c r="B887" s="88"/>
      <c r="C887" s="91"/>
      <c r="D887" s="88"/>
      <c r="E887" s="88"/>
      <c r="F887" s="88"/>
      <c r="G887" s="91"/>
      <c r="H887" s="112"/>
      <c r="I887" s="26"/>
      <c r="J887" s="28"/>
    </row>
    <row r="888" ht="22.5" customHeight="1">
      <c r="A888" s="76" t="s">
        <v>1151</v>
      </c>
      <c r="B888" s="88"/>
      <c r="C888" s="91"/>
      <c r="D888" s="88"/>
      <c r="E888" s="88"/>
      <c r="F888" s="88"/>
      <c r="G888" s="91"/>
      <c r="H888" s="112"/>
      <c r="I888" s="28"/>
      <c r="J888" s="28"/>
    </row>
    <row r="889" ht="22.5" customHeight="1">
      <c r="A889" s="76" t="s">
        <v>1151</v>
      </c>
      <c r="B889" s="88"/>
      <c r="C889" s="91"/>
      <c r="D889" s="88"/>
      <c r="E889" s="88"/>
      <c r="F889" s="88"/>
      <c r="G889" s="91"/>
      <c r="H889" s="112"/>
      <c r="I889" s="28"/>
      <c r="J889" s="28"/>
    </row>
    <row r="890" ht="22.5" customHeight="1">
      <c r="A890" s="76" t="s">
        <v>1151</v>
      </c>
      <c r="B890" s="88"/>
      <c r="C890" s="91"/>
      <c r="D890" s="88"/>
      <c r="E890" s="88"/>
      <c r="F890" s="88"/>
      <c r="G890" s="91"/>
      <c r="H890" s="112"/>
      <c r="I890" s="28"/>
      <c r="J890" s="28"/>
    </row>
    <row r="891" ht="22.5" customHeight="1">
      <c r="A891" s="76" t="s">
        <v>1151</v>
      </c>
      <c r="B891" s="88"/>
      <c r="C891" s="91"/>
      <c r="D891" s="88"/>
      <c r="E891" s="88"/>
      <c r="F891" s="88"/>
      <c r="G891" s="91"/>
      <c r="H891" s="112"/>
      <c r="I891" s="28"/>
      <c r="J891" s="28"/>
    </row>
    <row r="892" ht="22.5" customHeight="1">
      <c r="A892" s="76" t="s">
        <v>1151</v>
      </c>
      <c r="B892" s="88"/>
      <c r="C892" s="91"/>
      <c r="D892" s="88"/>
      <c r="E892" s="88"/>
      <c r="F892" s="88"/>
      <c r="G892" s="91"/>
      <c r="H892" s="112"/>
      <c r="I892" s="28"/>
      <c r="J892" s="28"/>
    </row>
    <row r="893" ht="22.5" customHeight="1">
      <c r="A893" s="76" t="s">
        <v>1151</v>
      </c>
      <c r="B893" s="88"/>
      <c r="C893" s="91"/>
      <c r="D893" s="88"/>
      <c r="E893" s="88"/>
      <c r="F893" s="88"/>
      <c r="G893" s="91"/>
      <c r="H893" s="112"/>
      <c r="I893" s="28"/>
      <c r="J893" s="28"/>
    </row>
    <row r="894" ht="22.5" customHeight="1">
      <c r="A894" s="76" t="s">
        <v>1151</v>
      </c>
      <c r="B894" s="88"/>
      <c r="C894" s="91"/>
      <c r="D894" s="88"/>
      <c r="E894" s="88"/>
      <c r="F894" s="88"/>
      <c r="G894" s="91"/>
      <c r="H894" s="112"/>
      <c r="I894" s="28"/>
      <c r="J894" s="28"/>
    </row>
    <row r="895" ht="22.5" customHeight="1">
      <c r="A895" s="76" t="s">
        <v>1151</v>
      </c>
      <c r="B895" s="88"/>
      <c r="C895" s="91"/>
      <c r="D895" s="88"/>
      <c r="E895" s="88"/>
      <c r="F895" s="88"/>
      <c r="G895" s="91"/>
      <c r="H895" s="112"/>
      <c r="I895" s="28"/>
      <c r="J895" s="28"/>
    </row>
    <row r="896" ht="22.5" customHeight="1">
      <c r="A896" s="76" t="s">
        <v>1151</v>
      </c>
      <c r="B896" s="88"/>
      <c r="C896" s="91"/>
      <c r="D896" s="88"/>
      <c r="E896" s="88"/>
      <c r="F896" s="88"/>
      <c r="G896" s="91"/>
      <c r="H896" s="112"/>
      <c r="I896" s="28"/>
      <c r="J896" s="28"/>
    </row>
    <row r="897" ht="22.5" customHeight="1">
      <c r="A897" s="76" t="s">
        <v>1151</v>
      </c>
      <c r="B897" s="88"/>
      <c r="C897" s="91"/>
      <c r="D897" s="88"/>
      <c r="E897" s="88"/>
      <c r="F897" s="88"/>
      <c r="G897" s="91"/>
      <c r="H897" s="112"/>
      <c r="I897" s="28"/>
      <c r="J897" s="28"/>
    </row>
    <row r="898" ht="22.5" customHeight="1">
      <c r="A898" s="76" t="s">
        <v>1151</v>
      </c>
      <c r="B898" s="88"/>
      <c r="C898" s="91"/>
      <c r="D898" s="88"/>
      <c r="E898" s="88"/>
      <c r="F898" s="88"/>
      <c r="G898" s="91"/>
      <c r="H898" s="112"/>
      <c r="I898" s="28"/>
      <c r="J898" s="28"/>
    </row>
    <row r="899" ht="22.5" customHeight="1">
      <c r="A899" s="76" t="s">
        <v>1151</v>
      </c>
      <c r="B899" s="88"/>
      <c r="C899" s="91"/>
      <c r="D899" s="88"/>
      <c r="E899" s="88"/>
      <c r="F899" s="88"/>
      <c r="G899" s="91"/>
      <c r="H899" s="112"/>
      <c r="I899" s="28"/>
      <c r="J899" s="28"/>
    </row>
    <row r="900" ht="22.5" customHeight="1">
      <c r="A900" s="76" t="s">
        <v>1151</v>
      </c>
      <c r="B900" s="88"/>
      <c r="C900" s="91"/>
      <c r="D900" s="88"/>
      <c r="E900" s="88"/>
      <c r="F900" s="88"/>
      <c r="G900" s="91"/>
      <c r="H900" s="112"/>
      <c r="I900" s="28"/>
      <c r="J900" s="28"/>
    </row>
    <row r="901" ht="22.5" customHeight="1">
      <c r="A901" s="76" t="s">
        <v>1151</v>
      </c>
      <c r="B901" s="88"/>
      <c r="C901" s="91"/>
      <c r="D901" s="88"/>
      <c r="E901" s="88"/>
      <c r="F901" s="88"/>
      <c r="G901" s="91"/>
      <c r="H901" s="112"/>
      <c r="I901" s="28"/>
      <c r="J901" s="28"/>
    </row>
    <row r="902" ht="22.5" customHeight="1">
      <c r="A902" s="76" t="s">
        <v>1151</v>
      </c>
      <c r="B902" s="88"/>
      <c r="C902" s="91"/>
      <c r="D902" s="88"/>
      <c r="E902" s="88"/>
      <c r="F902" s="88"/>
      <c r="G902" s="91"/>
      <c r="H902" s="112"/>
      <c r="I902" s="28"/>
      <c r="J902" s="28"/>
    </row>
    <row r="903" ht="22.5" customHeight="1">
      <c r="A903" s="76" t="s">
        <v>1151</v>
      </c>
      <c r="B903" s="88"/>
      <c r="C903" s="91"/>
      <c r="D903" s="88"/>
      <c r="E903" s="88"/>
      <c r="F903" s="88"/>
      <c r="G903" s="93"/>
      <c r="H903" s="104"/>
      <c r="I903" s="28"/>
      <c r="J903" s="28"/>
    </row>
    <row r="904" ht="22.5" customHeight="1">
      <c r="A904" s="76" t="s">
        <v>1151</v>
      </c>
      <c r="B904" s="88"/>
      <c r="C904" s="91"/>
      <c r="D904" s="88"/>
      <c r="E904" s="88"/>
      <c r="F904" s="88"/>
      <c r="G904" s="93"/>
      <c r="H904" s="104"/>
      <c r="I904" s="28"/>
      <c r="J904" s="28"/>
    </row>
    <row r="905" ht="22.5" customHeight="1">
      <c r="A905" s="76" t="s">
        <v>1151</v>
      </c>
      <c r="B905" s="88"/>
      <c r="C905" s="91"/>
      <c r="D905" s="88"/>
      <c r="E905" s="88"/>
      <c r="F905" s="88"/>
      <c r="G905" s="93"/>
      <c r="H905" s="104"/>
      <c r="I905" s="26"/>
      <c r="J905" s="28"/>
    </row>
    <row r="906" ht="22.5" customHeight="1">
      <c r="A906" s="76" t="s">
        <v>1151</v>
      </c>
      <c r="B906" s="88"/>
      <c r="C906" s="91"/>
      <c r="D906" s="88"/>
      <c r="E906" s="88"/>
      <c r="F906" s="88"/>
      <c r="G906" s="93"/>
      <c r="H906" s="104"/>
      <c r="I906" s="28"/>
      <c r="J906" s="28"/>
    </row>
    <row r="907" ht="22.5" customHeight="1">
      <c r="A907" s="76" t="s">
        <v>1151</v>
      </c>
      <c r="B907" s="88"/>
      <c r="C907" s="91"/>
      <c r="D907" s="88"/>
      <c r="E907" s="88"/>
      <c r="F907" s="88"/>
      <c r="G907" s="93"/>
      <c r="H907" s="104"/>
      <c r="I907" s="28"/>
      <c r="J907" s="28"/>
    </row>
    <row r="908" ht="22.5" customHeight="1">
      <c r="A908" s="76" t="s">
        <v>1151</v>
      </c>
      <c r="B908" s="88"/>
      <c r="C908" s="91"/>
      <c r="D908" s="88"/>
      <c r="E908" s="88"/>
      <c r="F908" s="88"/>
      <c r="G908" s="93"/>
      <c r="H908" s="104"/>
      <c r="I908" s="28"/>
      <c r="J908" s="28"/>
    </row>
    <row r="909" ht="22.5" customHeight="1">
      <c r="A909" s="76" t="s">
        <v>1151</v>
      </c>
      <c r="B909" s="88"/>
      <c r="C909" s="91"/>
      <c r="D909" s="88"/>
      <c r="E909" s="88"/>
      <c r="F909" s="88"/>
      <c r="G909" s="93"/>
      <c r="H909" s="104"/>
      <c r="I909" s="28"/>
      <c r="J909" s="28"/>
    </row>
    <row r="910" ht="22.5" customHeight="1">
      <c r="A910" s="76" t="s">
        <v>1151</v>
      </c>
      <c r="B910" s="88"/>
      <c r="C910" s="91"/>
      <c r="D910" s="88"/>
      <c r="E910" s="88"/>
      <c r="F910" s="88"/>
      <c r="G910" s="93"/>
      <c r="H910" s="104"/>
      <c r="I910" s="28"/>
      <c r="J910" s="28"/>
    </row>
    <row r="911" ht="22.5" customHeight="1">
      <c r="A911" s="76" t="s">
        <v>1151</v>
      </c>
      <c r="B911" s="88"/>
      <c r="C911" s="91"/>
      <c r="D911" s="88"/>
      <c r="E911" s="88"/>
      <c r="F911" s="88"/>
      <c r="G911" s="93"/>
      <c r="H911" s="104"/>
      <c r="I911" s="28"/>
      <c r="J911" s="28"/>
    </row>
    <row r="912" ht="22.5" customHeight="1">
      <c r="A912" s="76" t="s">
        <v>1151</v>
      </c>
      <c r="B912" s="88"/>
      <c r="C912" s="91"/>
      <c r="D912" s="88"/>
      <c r="E912" s="88"/>
      <c r="F912" s="88"/>
      <c r="G912" s="93"/>
      <c r="H912" s="104"/>
      <c r="I912" s="28"/>
      <c r="J912" s="28"/>
    </row>
    <row r="913" ht="22.5" customHeight="1">
      <c r="A913" s="76" t="s">
        <v>1151</v>
      </c>
      <c r="B913" s="88"/>
      <c r="C913" s="91"/>
      <c r="D913" s="88"/>
      <c r="E913" s="88"/>
      <c r="F913" s="88"/>
      <c r="G913" s="91"/>
      <c r="H913" s="111"/>
      <c r="I913" s="28"/>
      <c r="J913" s="28"/>
    </row>
    <row r="914" ht="22.5" customHeight="1">
      <c r="A914" s="76" t="s">
        <v>1151</v>
      </c>
      <c r="B914" s="88"/>
      <c r="C914" s="91"/>
      <c r="D914" s="88"/>
      <c r="E914" s="88"/>
      <c r="F914" s="88"/>
      <c r="G914" s="91"/>
      <c r="H914" s="111"/>
      <c r="I914" s="28"/>
      <c r="J914" s="28"/>
    </row>
    <row r="915" ht="22.5" customHeight="1">
      <c r="A915" s="76" t="s">
        <v>1151</v>
      </c>
      <c r="B915" s="88"/>
      <c r="C915" s="91"/>
      <c r="D915" s="88"/>
      <c r="E915" s="88"/>
      <c r="F915" s="88"/>
      <c r="G915" s="91"/>
      <c r="H915" s="111"/>
      <c r="I915" s="28"/>
      <c r="J915" s="28"/>
    </row>
    <row r="916" ht="22.5" customHeight="1">
      <c r="A916" s="76" t="s">
        <v>1151</v>
      </c>
      <c r="B916" s="88"/>
      <c r="C916" s="91"/>
      <c r="D916" s="88"/>
      <c r="E916" s="88"/>
      <c r="F916" s="88"/>
      <c r="G916" s="91"/>
      <c r="H916" s="111"/>
      <c r="I916" s="28"/>
      <c r="J916" s="28"/>
    </row>
    <row r="917" ht="22.5" customHeight="1">
      <c r="A917" s="76" t="s">
        <v>1151</v>
      </c>
      <c r="B917" s="88"/>
      <c r="C917" s="91"/>
      <c r="D917" s="88"/>
      <c r="E917" s="88"/>
      <c r="F917" s="88"/>
      <c r="G917" s="91"/>
      <c r="H917" s="111"/>
      <c r="I917" s="28"/>
      <c r="J917" s="28"/>
    </row>
    <row r="918" ht="22.5" customHeight="1">
      <c r="A918" s="76" t="s">
        <v>1151</v>
      </c>
      <c r="B918" s="88"/>
      <c r="C918" s="91"/>
      <c r="D918" s="88"/>
      <c r="E918" s="88"/>
      <c r="F918" s="88"/>
      <c r="G918" s="91"/>
      <c r="H918" s="111"/>
      <c r="I918" s="28"/>
      <c r="J918" s="28"/>
    </row>
    <row r="919" ht="22.5" customHeight="1">
      <c r="A919" s="76" t="s">
        <v>1151</v>
      </c>
      <c r="B919" s="88"/>
      <c r="C919" s="91"/>
      <c r="D919" s="88"/>
      <c r="E919" s="88"/>
      <c r="F919" s="88"/>
      <c r="G919" s="91"/>
      <c r="H919" s="111"/>
      <c r="I919" s="28"/>
      <c r="J919" s="28"/>
    </row>
    <row r="920" ht="22.5" customHeight="1">
      <c r="A920" s="76" t="s">
        <v>1151</v>
      </c>
      <c r="B920" s="88"/>
      <c r="C920" s="91"/>
      <c r="D920" s="88"/>
      <c r="E920" s="88"/>
      <c r="F920" s="88"/>
      <c r="G920" s="91"/>
      <c r="H920" s="111"/>
      <c r="I920" s="28"/>
      <c r="J920" s="28"/>
    </row>
    <row r="921" ht="22.5" customHeight="1">
      <c r="A921" s="76" t="s">
        <v>1151</v>
      </c>
      <c r="B921" s="88"/>
      <c r="C921" s="91"/>
      <c r="D921" s="88"/>
      <c r="E921" s="88"/>
      <c r="F921" s="88"/>
      <c r="G921" s="91"/>
      <c r="H921" s="111"/>
      <c r="I921" s="28"/>
      <c r="J921" s="28"/>
    </row>
    <row r="922" ht="22.5" customHeight="1">
      <c r="A922" s="76" t="s">
        <v>1151</v>
      </c>
      <c r="B922" s="88"/>
      <c r="C922" s="91"/>
      <c r="D922" s="88"/>
      <c r="E922" s="88"/>
      <c r="F922" s="88"/>
      <c r="G922" s="91"/>
      <c r="H922" s="111"/>
      <c r="I922" s="28"/>
      <c r="J922" s="28"/>
    </row>
    <row r="923" ht="22.5" customHeight="1">
      <c r="A923" s="76" t="s">
        <v>1151</v>
      </c>
      <c r="B923" s="88"/>
      <c r="C923" s="91"/>
      <c r="D923" s="88"/>
      <c r="E923" s="88"/>
      <c r="F923" s="88"/>
      <c r="G923" s="91"/>
      <c r="H923" s="111"/>
      <c r="I923" s="26"/>
      <c r="J923" s="28"/>
    </row>
    <row r="924" ht="22.5" customHeight="1">
      <c r="A924" s="76" t="s">
        <v>1151</v>
      </c>
      <c r="B924" s="88"/>
      <c r="C924" s="91"/>
      <c r="D924" s="88"/>
      <c r="E924" s="88"/>
      <c r="F924" s="88"/>
      <c r="G924" s="91"/>
      <c r="H924" s="111"/>
      <c r="I924" s="28"/>
      <c r="J924" s="28"/>
    </row>
    <row r="925" ht="22.5" customHeight="1">
      <c r="A925" s="76" t="s">
        <v>1151</v>
      </c>
      <c r="B925" s="88"/>
      <c r="C925" s="91"/>
      <c r="D925" s="88"/>
      <c r="E925" s="88"/>
      <c r="F925" s="88"/>
      <c r="G925" s="91"/>
      <c r="H925" s="111"/>
      <c r="I925" s="28"/>
      <c r="J925" s="28"/>
    </row>
    <row r="926" ht="22.5" customHeight="1">
      <c r="A926" s="76" t="s">
        <v>1151</v>
      </c>
      <c r="B926" s="88"/>
      <c r="C926" s="91"/>
      <c r="D926" s="88"/>
      <c r="E926" s="88"/>
      <c r="F926" s="88"/>
      <c r="G926" s="91"/>
      <c r="H926" s="111"/>
      <c r="I926" s="28"/>
      <c r="J926" s="28"/>
    </row>
    <row r="927" ht="22.5" customHeight="1">
      <c r="A927" s="76" t="s">
        <v>1151</v>
      </c>
      <c r="B927" s="88"/>
      <c r="C927" s="91"/>
      <c r="D927" s="88"/>
      <c r="E927" s="88"/>
      <c r="F927" s="88"/>
      <c r="G927" s="91"/>
      <c r="H927" s="111"/>
      <c r="I927" s="28"/>
      <c r="J927" s="28"/>
    </row>
    <row r="928" ht="22.5" customHeight="1">
      <c r="A928" s="76" t="s">
        <v>1151</v>
      </c>
      <c r="B928" s="88"/>
      <c r="C928" s="91"/>
      <c r="D928" s="88"/>
      <c r="E928" s="88"/>
      <c r="F928" s="88"/>
      <c r="G928" s="91"/>
      <c r="H928" s="111"/>
      <c r="I928" s="28"/>
      <c r="J928" s="28"/>
    </row>
    <row r="929" ht="22.5" customHeight="1">
      <c r="A929" s="76" t="s">
        <v>1151</v>
      </c>
      <c r="B929" s="88"/>
      <c r="C929" s="91"/>
      <c r="D929" s="88"/>
      <c r="E929" s="88"/>
      <c r="F929" s="88"/>
      <c r="G929" s="91"/>
      <c r="H929" s="111"/>
      <c r="I929" s="28"/>
      <c r="J929" s="28"/>
    </row>
    <row r="930" ht="22.5" customHeight="1">
      <c r="A930" s="76" t="s">
        <v>1151</v>
      </c>
      <c r="B930" s="88"/>
      <c r="C930" s="91"/>
      <c r="D930" s="88"/>
      <c r="E930" s="88"/>
      <c r="F930" s="88"/>
      <c r="G930" s="93"/>
      <c r="H930" s="104"/>
      <c r="I930" s="26"/>
      <c r="J930" s="28"/>
    </row>
    <row r="931" ht="22.5" customHeight="1">
      <c r="A931" s="76" t="s">
        <v>1151</v>
      </c>
      <c r="B931" s="88"/>
      <c r="C931" s="91"/>
      <c r="D931" s="88"/>
      <c r="E931" s="88"/>
      <c r="F931" s="88"/>
      <c r="G931" s="93"/>
      <c r="H931" s="104"/>
      <c r="I931" s="28"/>
      <c r="J931" s="28"/>
    </row>
    <row r="932" ht="22.5" customHeight="1">
      <c r="A932" s="76" t="s">
        <v>1151</v>
      </c>
      <c r="B932" s="88"/>
      <c r="C932" s="91"/>
      <c r="D932" s="88"/>
      <c r="E932" s="88"/>
      <c r="F932" s="88"/>
      <c r="G932" s="93"/>
      <c r="H932" s="104"/>
      <c r="I932" s="26"/>
      <c r="J932" s="28"/>
    </row>
    <row r="933" ht="22.5" customHeight="1">
      <c r="A933" s="76" t="s">
        <v>1151</v>
      </c>
      <c r="B933" s="88"/>
      <c r="C933" s="91"/>
      <c r="D933" s="88"/>
      <c r="E933" s="88"/>
      <c r="F933" s="88"/>
      <c r="G933" s="93"/>
      <c r="H933" s="104"/>
      <c r="I933" s="28"/>
      <c r="J933" s="28"/>
    </row>
    <row r="934" ht="22.5" customHeight="1">
      <c r="A934" s="76" t="s">
        <v>1151</v>
      </c>
      <c r="B934" s="88"/>
      <c r="C934" s="91"/>
      <c r="D934" s="88"/>
      <c r="E934" s="88"/>
      <c r="F934" s="88"/>
      <c r="G934" s="93"/>
      <c r="H934" s="104"/>
      <c r="I934" s="28"/>
      <c r="J934" s="28"/>
    </row>
    <row r="935" ht="22.5" customHeight="1">
      <c r="A935" s="76" t="s">
        <v>1151</v>
      </c>
      <c r="B935" s="88"/>
      <c r="C935" s="91"/>
      <c r="D935" s="88"/>
      <c r="E935" s="88"/>
      <c r="F935" s="88"/>
      <c r="G935" s="93"/>
      <c r="H935" s="104"/>
      <c r="I935" s="28"/>
      <c r="J935" s="28"/>
    </row>
    <row r="936" ht="22.5" customHeight="1">
      <c r="A936" s="76" t="s">
        <v>1151</v>
      </c>
      <c r="B936" s="88"/>
      <c r="C936" s="91"/>
      <c r="D936" s="88"/>
      <c r="E936" s="88"/>
      <c r="F936" s="88"/>
      <c r="G936" s="93"/>
      <c r="H936" s="104"/>
      <c r="I936" s="28"/>
      <c r="J936" s="28"/>
    </row>
    <row r="937" ht="22.5" customHeight="1">
      <c r="A937" s="76" t="s">
        <v>1151</v>
      </c>
      <c r="B937" s="88"/>
      <c r="C937" s="91"/>
      <c r="D937" s="88"/>
      <c r="E937" s="88"/>
      <c r="F937" s="88"/>
      <c r="G937" s="93"/>
      <c r="H937" s="104"/>
      <c r="I937" s="28"/>
      <c r="J937" s="28"/>
    </row>
    <row r="938" ht="22.5" customHeight="1">
      <c r="A938" s="76" t="s">
        <v>1151</v>
      </c>
      <c r="B938" s="88"/>
      <c r="C938" s="91"/>
      <c r="D938" s="88"/>
      <c r="E938" s="88"/>
      <c r="F938" s="88"/>
      <c r="G938" s="93"/>
      <c r="H938" s="104"/>
      <c r="I938" s="28"/>
      <c r="J938" s="28"/>
    </row>
    <row r="939" ht="22.5" customHeight="1">
      <c r="A939" s="76" t="s">
        <v>1151</v>
      </c>
      <c r="B939" s="88"/>
      <c r="C939" s="91"/>
      <c r="D939" s="88"/>
      <c r="E939" s="88"/>
      <c r="F939" s="88"/>
      <c r="G939" s="93"/>
      <c r="H939" s="104"/>
      <c r="I939" s="28"/>
      <c r="J939" s="28"/>
    </row>
    <row r="940" ht="22.5" customHeight="1">
      <c r="A940" s="76" t="s">
        <v>1151</v>
      </c>
      <c r="B940" s="88"/>
      <c r="C940" s="91"/>
      <c r="D940" s="88"/>
      <c r="E940" s="88"/>
      <c r="F940" s="88"/>
      <c r="G940" s="91"/>
      <c r="H940" s="104"/>
      <c r="I940" s="28"/>
      <c r="J940" s="28"/>
    </row>
    <row r="941" ht="22.5" customHeight="1">
      <c r="A941" s="76" t="s">
        <v>1151</v>
      </c>
      <c r="B941" s="88"/>
      <c r="C941" s="91"/>
      <c r="D941" s="88"/>
      <c r="E941" s="88"/>
      <c r="F941" s="88"/>
      <c r="G941" s="91"/>
      <c r="H941" s="104"/>
      <c r="I941" s="28"/>
      <c r="J941" s="28"/>
    </row>
    <row r="942" ht="22.5" customHeight="1">
      <c r="A942" s="76" t="s">
        <v>1151</v>
      </c>
      <c r="B942" s="88"/>
      <c r="C942" s="91"/>
      <c r="D942" s="88"/>
      <c r="E942" s="88"/>
      <c r="F942" s="88"/>
      <c r="G942" s="91"/>
      <c r="H942" s="104"/>
      <c r="I942" s="28"/>
      <c r="J942" s="28"/>
    </row>
    <row r="943" ht="22.5" customHeight="1">
      <c r="A943" s="76" t="s">
        <v>1151</v>
      </c>
      <c r="B943" s="88"/>
      <c r="C943" s="91"/>
      <c r="D943" s="88"/>
      <c r="E943" s="88"/>
      <c r="F943" s="88"/>
      <c r="G943" s="91"/>
      <c r="H943" s="104"/>
      <c r="I943" s="28"/>
      <c r="J943" s="28"/>
    </row>
    <row r="944" ht="22.5" customHeight="1">
      <c r="A944" s="76" t="s">
        <v>1151</v>
      </c>
      <c r="B944" s="88"/>
      <c r="C944" s="91"/>
      <c r="D944" s="88"/>
      <c r="E944" s="88"/>
      <c r="F944" s="88"/>
      <c r="G944" s="91"/>
      <c r="H944" s="104"/>
      <c r="I944" s="28"/>
      <c r="J944" s="28"/>
    </row>
    <row r="945" ht="22.5" customHeight="1">
      <c r="A945" s="76" t="s">
        <v>1151</v>
      </c>
      <c r="B945" s="88"/>
      <c r="C945" s="91"/>
      <c r="D945" s="88"/>
      <c r="E945" s="88"/>
      <c r="F945" s="88"/>
      <c r="G945" s="91"/>
      <c r="H945" s="104"/>
      <c r="I945" s="28"/>
      <c r="J945" s="28"/>
    </row>
    <row r="946" ht="22.5" customHeight="1">
      <c r="A946" s="76" t="s">
        <v>1151</v>
      </c>
      <c r="B946" s="88"/>
      <c r="C946" s="91"/>
      <c r="D946" s="88"/>
      <c r="E946" s="88"/>
      <c r="F946" s="88"/>
      <c r="G946" s="91"/>
      <c r="H946" s="104"/>
      <c r="I946" s="28"/>
      <c r="J946" s="28"/>
    </row>
    <row r="947" ht="22.5" customHeight="1">
      <c r="A947" s="76" t="s">
        <v>1151</v>
      </c>
      <c r="B947" s="88"/>
      <c r="C947" s="91"/>
      <c r="D947" s="88"/>
      <c r="E947" s="88"/>
      <c r="F947" s="88"/>
      <c r="G947" s="91"/>
      <c r="H947" s="104"/>
      <c r="I947" s="28"/>
      <c r="J947" s="28"/>
    </row>
    <row r="948" ht="22.5" customHeight="1">
      <c r="A948" s="76" t="s">
        <v>1151</v>
      </c>
      <c r="B948" s="88"/>
      <c r="C948" s="91"/>
      <c r="D948" s="88"/>
      <c r="E948" s="88"/>
      <c r="F948" s="88"/>
      <c r="G948" s="93"/>
      <c r="H948" s="104"/>
      <c r="I948" s="28"/>
      <c r="J948" s="28"/>
    </row>
    <row r="949" ht="22.5" customHeight="1">
      <c r="A949" s="76" t="s">
        <v>1151</v>
      </c>
      <c r="B949" s="88"/>
      <c r="C949" s="91"/>
      <c r="D949" s="88"/>
      <c r="E949" s="88"/>
      <c r="F949" s="88"/>
      <c r="G949" s="93"/>
      <c r="H949" s="104"/>
      <c r="I949" s="28"/>
      <c r="J949" s="28"/>
    </row>
    <row r="950" ht="22.5" customHeight="1">
      <c r="A950" s="76" t="s">
        <v>1151</v>
      </c>
      <c r="B950" s="88"/>
      <c r="C950" s="91"/>
      <c r="D950" s="88"/>
      <c r="E950" s="88"/>
      <c r="F950" s="88"/>
      <c r="G950" s="93"/>
      <c r="H950" s="104"/>
      <c r="I950" s="26"/>
      <c r="J950" s="28"/>
    </row>
    <row r="951" ht="22.5" customHeight="1">
      <c r="A951" s="76" t="s">
        <v>1151</v>
      </c>
      <c r="B951" s="88"/>
      <c r="C951" s="91"/>
      <c r="D951" s="88"/>
      <c r="E951" s="88"/>
      <c r="F951" s="88"/>
      <c r="G951" s="93"/>
      <c r="H951" s="104"/>
      <c r="I951" s="28"/>
      <c r="J951" s="28"/>
    </row>
    <row r="952" ht="22.5" customHeight="1">
      <c r="A952" s="76" t="s">
        <v>1151</v>
      </c>
      <c r="B952" s="88"/>
      <c r="C952" s="91"/>
      <c r="D952" s="88"/>
      <c r="E952" s="88"/>
      <c r="F952" s="88"/>
      <c r="G952" s="93"/>
      <c r="H952" s="104"/>
      <c r="I952" s="28"/>
      <c r="J952" s="28"/>
    </row>
    <row r="953" ht="22.5" customHeight="1">
      <c r="A953" s="76" t="s">
        <v>1151</v>
      </c>
      <c r="B953" s="88"/>
      <c r="C953" s="91"/>
      <c r="D953" s="88"/>
      <c r="E953" s="88"/>
      <c r="F953" s="88"/>
      <c r="G953" s="93"/>
      <c r="H953" s="104"/>
      <c r="I953" s="28"/>
      <c r="J953" s="28"/>
    </row>
    <row r="954" ht="22.5" customHeight="1">
      <c r="A954" s="76" t="s">
        <v>1151</v>
      </c>
      <c r="B954" s="88"/>
      <c r="C954" s="91"/>
      <c r="D954" s="88"/>
      <c r="E954" s="88"/>
      <c r="F954" s="88"/>
      <c r="G954" s="93"/>
      <c r="H954" s="104"/>
      <c r="I954" s="28"/>
      <c r="J954" s="28"/>
    </row>
    <row r="955" ht="22.5" customHeight="1">
      <c r="A955" s="76" t="s">
        <v>1151</v>
      </c>
      <c r="B955" s="88"/>
      <c r="C955" s="91"/>
      <c r="D955" s="88"/>
      <c r="E955" s="88"/>
      <c r="F955" s="88"/>
      <c r="G955" s="93"/>
      <c r="H955" s="104"/>
      <c r="I955" s="28"/>
      <c r="J955" s="28"/>
    </row>
    <row r="956" ht="22.5" customHeight="1">
      <c r="A956" s="76" t="s">
        <v>1151</v>
      </c>
      <c r="B956" s="88"/>
      <c r="C956" s="91"/>
      <c r="D956" s="88"/>
      <c r="E956" s="88"/>
      <c r="F956" s="88"/>
      <c r="G956" s="93"/>
      <c r="H956" s="104"/>
      <c r="I956" s="28"/>
      <c r="J956" s="28"/>
    </row>
    <row r="957" ht="22.5" customHeight="1">
      <c r="A957" s="76" t="s">
        <v>1151</v>
      </c>
      <c r="B957" s="88"/>
      <c r="C957" s="91"/>
      <c r="D957" s="88"/>
      <c r="E957" s="88"/>
      <c r="F957" s="88"/>
      <c r="G957" s="93"/>
      <c r="H957" s="104"/>
      <c r="I957" s="28"/>
      <c r="J957" s="28"/>
    </row>
    <row r="958" ht="22.5" customHeight="1">
      <c r="A958" s="76" t="s">
        <v>1151</v>
      </c>
      <c r="B958" s="88"/>
      <c r="C958" s="91"/>
      <c r="D958" s="88"/>
      <c r="E958" s="88"/>
      <c r="F958" s="88"/>
      <c r="G958" s="93"/>
      <c r="H958" s="104"/>
      <c r="I958" s="26"/>
      <c r="J958" s="28"/>
    </row>
    <row r="959" ht="22.5" customHeight="1">
      <c r="A959" s="76" t="s">
        <v>1151</v>
      </c>
      <c r="B959" s="88"/>
      <c r="C959" s="91"/>
      <c r="D959" s="88"/>
      <c r="E959" s="88"/>
      <c r="F959" s="88"/>
      <c r="G959" s="93"/>
      <c r="H959" s="104"/>
      <c r="I959" s="28"/>
      <c r="J959" s="28"/>
    </row>
    <row r="960" ht="22.5" customHeight="1">
      <c r="A960" s="76" t="s">
        <v>1151</v>
      </c>
      <c r="B960" s="88"/>
      <c r="C960" s="91"/>
      <c r="D960" s="88"/>
      <c r="E960" s="88"/>
      <c r="F960" s="88"/>
      <c r="G960" s="93"/>
      <c r="H960" s="104"/>
      <c r="I960" s="28"/>
      <c r="J960" s="28"/>
    </row>
    <row r="961" ht="22.5" customHeight="1">
      <c r="A961" s="76" t="s">
        <v>1151</v>
      </c>
      <c r="B961" s="88"/>
      <c r="C961" s="91"/>
      <c r="D961" s="88"/>
      <c r="E961" s="88"/>
      <c r="F961" s="88"/>
      <c r="G961" s="93"/>
      <c r="H961" s="104"/>
      <c r="I961" s="28"/>
      <c r="J961" s="28"/>
    </row>
    <row r="962" ht="22.5" customHeight="1">
      <c r="A962" s="76" t="s">
        <v>1151</v>
      </c>
      <c r="B962" s="88"/>
      <c r="C962" s="91"/>
      <c r="D962" s="88"/>
      <c r="E962" s="88"/>
      <c r="F962" s="88"/>
      <c r="G962" s="93"/>
      <c r="H962" s="104"/>
      <c r="I962" s="28"/>
      <c r="J962" s="28"/>
    </row>
    <row r="963" ht="22.5" customHeight="1">
      <c r="A963" s="76" t="s">
        <v>1151</v>
      </c>
      <c r="B963" s="88"/>
      <c r="C963" s="91"/>
      <c r="D963" s="88"/>
      <c r="E963" s="88"/>
      <c r="F963" s="88"/>
      <c r="G963" s="93"/>
      <c r="H963" s="104"/>
      <c r="I963" s="28"/>
      <c r="J963" s="28"/>
    </row>
    <row r="964" ht="22.5" customHeight="1">
      <c r="A964" s="76" t="s">
        <v>1151</v>
      </c>
      <c r="B964" s="88"/>
      <c r="C964" s="91"/>
      <c r="D964" s="88"/>
      <c r="E964" s="88"/>
      <c r="F964" s="88"/>
      <c r="G964" s="93"/>
      <c r="H964" s="104"/>
      <c r="I964" s="28"/>
      <c r="J964" s="28"/>
    </row>
    <row r="965" ht="22.5" customHeight="1">
      <c r="A965" s="76" t="s">
        <v>1151</v>
      </c>
      <c r="B965" s="88"/>
      <c r="C965" s="91"/>
      <c r="D965" s="88"/>
      <c r="E965" s="88"/>
      <c r="F965" s="88"/>
      <c r="G965" s="93"/>
      <c r="H965" s="104"/>
      <c r="I965" s="28"/>
      <c r="J965" s="28"/>
    </row>
    <row r="966" ht="22.5" customHeight="1">
      <c r="A966" s="76" t="s">
        <v>1151</v>
      </c>
      <c r="B966" s="88"/>
      <c r="C966" s="91"/>
      <c r="D966" s="88"/>
      <c r="E966" s="88"/>
      <c r="F966" s="88"/>
      <c r="G966" s="93"/>
      <c r="H966" s="104"/>
      <c r="I966" s="28"/>
      <c r="J966" s="28"/>
    </row>
    <row r="967" ht="22.5" customHeight="1">
      <c r="A967" s="76" t="s">
        <v>1151</v>
      </c>
      <c r="B967" s="88"/>
      <c r="C967" s="91"/>
      <c r="D967" s="88"/>
      <c r="E967" s="88"/>
      <c r="F967" s="88"/>
      <c r="G967" s="93"/>
      <c r="H967" s="104"/>
      <c r="I967" s="28"/>
      <c r="J967" s="28"/>
    </row>
    <row r="968" ht="22.5" customHeight="1">
      <c r="A968" s="76" t="s">
        <v>1151</v>
      </c>
      <c r="B968" s="88"/>
      <c r="C968" s="91"/>
      <c r="D968" s="88"/>
      <c r="E968" s="88"/>
      <c r="F968" s="88"/>
      <c r="G968" s="93"/>
      <c r="H968" s="104"/>
      <c r="I968" s="28"/>
      <c r="J968" s="28"/>
    </row>
    <row r="969" ht="22.5" customHeight="1">
      <c r="A969" s="76" t="s">
        <v>1151</v>
      </c>
      <c r="B969" s="88"/>
      <c r="C969" s="91"/>
      <c r="D969" s="88"/>
      <c r="E969" s="88"/>
      <c r="F969" s="88"/>
      <c r="G969" s="93"/>
      <c r="H969" s="104"/>
      <c r="I969" s="28"/>
      <c r="J969" s="28"/>
    </row>
    <row r="970" ht="22.5" customHeight="1">
      <c r="A970" s="76" t="s">
        <v>1151</v>
      </c>
      <c r="B970" s="88"/>
      <c r="C970" s="91"/>
      <c r="D970" s="88"/>
      <c r="E970" s="88"/>
      <c r="F970" s="88"/>
      <c r="G970" s="93"/>
      <c r="H970" s="104"/>
      <c r="I970" s="28"/>
      <c r="J970" s="28"/>
    </row>
    <row r="971" ht="22.5" customHeight="1">
      <c r="A971" s="76" t="s">
        <v>1151</v>
      </c>
      <c r="B971" s="88"/>
      <c r="C971" s="91"/>
      <c r="D971" s="88"/>
      <c r="E971" s="88"/>
      <c r="F971" s="88"/>
      <c r="G971" s="93"/>
      <c r="H971" s="104"/>
      <c r="I971" s="28"/>
      <c r="J971" s="28"/>
    </row>
    <row r="972" ht="22.5" customHeight="1">
      <c r="A972" s="76" t="s">
        <v>1151</v>
      </c>
      <c r="B972" s="88"/>
      <c r="C972" s="91"/>
      <c r="D972" s="88"/>
      <c r="E972" s="88"/>
      <c r="F972" s="88"/>
      <c r="G972" s="93"/>
      <c r="H972" s="104"/>
      <c r="I972" s="28"/>
      <c r="J972" s="28"/>
    </row>
    <row r="973" ht="22.5" customHeight="1">
      <c r="A973" s="76" t="s">
        <v>1151</v>
      </c>
      <c r="B973" s="88"/>
      <c r="C973" s="91"/>
      <c r="D973" s="88"/>
      <c r="E973" s="88"/>
      <c r="F973" s="88"/>
      <c r="G973" s="93"/>
      <c r="H973" s="104"/>
      <c r="I973" s="28"/>
      <c r="J973" s="28"/>
    </row>
    <row r="974" ht="22.5" customHeight="1">
      <c r="A974" s="76" t="s">
        <v>1151</v>
      </c>
      <c r="B974" s="88"/>
      <c r="C974" s="91"/>
      <c r="D974" s="88"/>
      <c r="E974" s="88"/>
      <c r="F974" s="88"/>
      <c r="G974" s="93"/>
      <c r="H974" s="104"/>
      <c r="I974" s="28"/>
      <c r="J974" s="28"/>
    </row>
    <row r="975" ht="22.5" customHeight="1">
      <c r="A975" s="76" t="s">
        <v>1151</v>
      </c>
      <c r="B975" s="88"/>
      <c r="C975" s="91"/>
      <c r="D975" s="88"/>
      <c r="E975" s="88"/>
      <c r="F975" s="88"/>
      <c r="G975" s="91"/>
      <c r="H975" s="111"/>
      <c r="I975" s="28"/>
      <c r="J975" s="28"/>
    </row>
    <row r="976" ht="22.5" customHeight="1">
      <c r="A976" s="76" t="s">
        <v>1151</v>
      </c>
      <c r="B976" s="88"/>
      <c r="C976" s="91"/>
      <c r="D976" s="88"/>
      <c r="E976" s="88"/>
      <c r="F976" s="88"/>
      <c r="G976" s="91"/>
      <c r="H976" s="111"/>
      <c r="I976" s="28"/>
      <c r="J976" s="28"/>
    </row>
    <row r="977" ht="22.5" customHeight="1">
      <c r="A977" s="76" t="s">
        <v>1151</v>
      </c>
      <c r="B977" s="88"/>
      <c r="C977" s="91"/>
      <c r="D977" s="88"/>
      <c r="E977" s="88"/>
      <c r="F977" s="88"/>
      <c r="G977" s="91"/>
      <c r="H977" s="111"/>
      <c r="I977" s="28"/>
      <c r="J977" s="28"/>
    </row>
    <row r="978" ht="22.5" customHeight="1">
      <c r="A978" s="76" t="s">
        <v>1151</v>
      </c>
      <c r="B978" s="88"/>
      <c r="C978" s="91"/>
      <c r="D978" s="88"/>
      <c r="E978" s="88"/>
      <c r="F978" s="88"/>
      <c r="G978" s="91"/>
      <c r="H978" s="111"/>
      <c r="I978" s="28"/>
      <c r="J978" s="28"/>
    </row>
    <row r="979" ht="22.5" customHeight="1">
      <c r="A979" s="76" t="s">
        <v>1151</v>
      </c>
      <c r="B979" s="88"/>
      <c r="C979" s="91"/>
      <c r="D979" s="88"/>
      <c r="E979" s="88"/>
      <c r="F979" s="88"/>
      <c r="G979" s="91"/>
      <c r="H979" s="111"/>
      <c r="I979" s="28"/>
      <c r="J979" s="28"/>
    </row>
    <row r="980" ht="22.5" customHeight="1">
      <c r="A980" s="76" t="s">
        <v>1151</v>
      </c>
      <c r="B980" s="88"/>
      <c r="C980" s="91"/>
      <c r="D980" s="88"/>
      <c r="E980" s="88"/>
      <c r="F980" s="88"/>
      <c r="G980" s="91"/>
      <c r="H980" s="111"/>
      <c r="I980" s="28"/>
      <c r="J980" s="28"/>
    </row>
    <row r="981" ht="22.5" customHeight="1">
      <c r="A981" s="76" t="s">
        <v>1151</v>
      </c>
      <c r="B981" s="88"/>
      <c r="C981" s="91"/>
      <c r="D981" s="88"/>
      <c r="E981" s="88"/>
      <c r="F981" s="88"/>
      <c r="G981" s="91"/>
      <c r="H981" s="111"/>
      <c r="I981" s="28"/>
      <c r="J981" s="28"/>
    </row>
    <row r="982" ht="22.5" customHeight="1">
      <c r="A982" s="76" t="s">
        <v>1151</v>
      </c>
      <c r="B982" s="88"/>
      <c r="C982" s="91"/>
      <c r="D982" s="88"/>
      <c r="E982" s="88"/>
      <c r="F982" s="88"/>
      <c r="G982" s="93"/>
      <c r="H982" s="104"/>
      <c r="I982" s="28"/>
      <c r="J982" s="28"/>
    </row>
    <row r="983" ht="22.5" customHeight="1">
      <c r="A983" s="76" t="s">
        <v>1151</v>
      </c>
      <c r="B983" s="88"/>
      <c r="C983" s="91"/>
      <c r="D983" s="88"/>
      <c r="E983" s="88"/>
      <c r="F983" s="88"/>
      <c r="G983" s="93"/>
      <c r="H983" s="104"/>
      <c r="I983" s="28"/>
      <c r="J983" s="28"/>
    </row>
    <row r="984" ht="22.5" customHeight="1">
      <c r="A984" s="76" t="s">
        <v>1151</v>
      </c>
      <c r="B984" s="88"/>
      <c r="C984" s="91"/>
      <c r="D984" s="88"/>
      <c r="E984" s="88"/>
      <c r="F984" s="88"/>
      <c r="G984" s="93"/>
      <c r="H984" s="104"/>
      <c r="I984" s="28"/>
      <c r="J984" s="28"/>
    </row>
    <row r="985" ht="22.5" customHeight="1">
      <c r="A985" s="76" t="s">
        <v>1151</v>
      </c>
      <c r="B985" s="88"/>
      <c r="C985" s="91"/>
      <c r="D985" s="88"/>
      <c r="E985" s="88"/>
      <c r="F985" s="88"/>
      <c r="G985" s="93"/>
      <c r="H985" s="104"/>
      <c r="I985" s="28"/>
      <c r="J985" s="28"/>
    </row>
    <row r="986" ht="22.5" customHeight="1">
      <c r="A986" s="76" t="s">
        <v>1151</v>
      </c>
      <c r="B986" s="88"/>
      <c r="C986" s="91"/>
      <c r="D986" s="88"/>
      <c r="E986" s="88"/>
      <c r="F986" s="88"/>
      <c r="G986" s="93"/>
      <c r="H986" s="104"/>
      <c r="I986" s="28"/>
      <c r="J986" s="28"/>
    </row>
    <row r="987" ht="22.5" customHeight="1">
      <c r="A987" s="76" t="s">
        <v>1151</v>
      </c>
      <c r="B987" s="88"/>
      <c r="C987" s="91"/>
      <c r="D987" s="88"/>
      <c r="E987" s="88"/>
      <c r="F987" s="88"/>
      <c r="G987" s="93"/>
      <c r="H987" s="104"/>
      <c r="I987" s="28"/>
      <c r="J987" s="28"/>
    </row>
    <row r="988" ht="22.5" customHeight="1">
      <c r="A988" s="76" t="s">
        <v>1151</v>
      </c>
      <c r="B988" s="88"/>
      <c r="C988" s="91"/>
      <c r="D988" s="88"/>
      <c r="E988" s="88"/>
      <c r="F988" s="88"/>
      <c r="G988" s="93"/>
      <c r="H988" s="104"/>
      <c r="I988" s="28"/>
      <c r="J988" s="28"/>
    </row>
    <row r="989" ht="22.5" customHeight="1">
      <c r="A989" s="76" t="s">
        <v>1151</v>
      </c>
      <c r="B989" s="88"/>
      <c r="C989" s="91"/>
      <c r="D989" s="88"/>
      <c r="E989" s="88"/>
      <c r="F989" s="88"/>
      <c r="G989" s="93"/>
      <c r="H989" s="104"/>
      <c r="I989" s="28"/>
      <c r="J989" s="28"/>
    </row>
    <row r="990" ht="22.5" customHeight="1">
      <c r="A990" s="76" t="s">
        <v>1151</v>
      </c>
      <c r="B990" s="88"/>
      <c r="C990" s="91"/>
      <c r="D990" s="88"/>
      <c r="E990" s="88"/>
      <c r="F990" s="88"/>
      <c r="G990" s="93"/>
      <c r="H990" s="104"/>
      <c r="I990" s="28"/>
      <c r="J990" s="28"/>
    </row>
    <row r="991" ht="22.5" customHeight="1">
      <c r="A991" s="76" t="s">
        <v>1151</v>
      </c>
      <c r="B991" s="88"/>
      <c r="C991" s="91"/>
      <c r="D991" s="88"/>
      <c r="E991" s="88"/>
      <c r="F991" s="88"/>
      <c r="G991" s="93"/>
      <c r="H991" s="104"/>
      <c r="I991" s="28"/>
      <c r="J991" s="28"/>
    </row>
    <row r="992" ht="22.5" customHeight="1">
      <c r="A992" s="76" t="s">
        <v>1151</v>
      </c>
      <c r="B992" s="88"/>
      <c r="C992" s="91"/>
      <c r="D992" s="88"/>
      <c r="E992" s="88"/>
      <c r="F992" s="88"/>
      <c r="G992" s="93"/>
      <c r="H992" s="104"/>
      <c r="I992" s="28"/>
      <c r="J992" s="28"/>
    </row>
    <row r="993" ht="22.5" customHeight="1">
      <c r="A993" s="76" t="s">
        <v>1151</v>
      </c>
      <c r="B993" s="88"/>
      <c r="C993" s="91"/>
      <c r="D993" s="88"/>
      <c r="E993" s="88"/>
      <c r="F993" s="88"/>
      <c r="G993" s="93"/>
      <c r="H993" s="104"/>
      <c r="I993" s="28"/>
      <c r="J993" s="28"/>
    </row>
    <row r="994" ht="22.5" customHeight="1">
      <c r="A994" s="76" t="s">
        <v>1151</v>
      </c>
      <c r="B994" s="88"/>
      <c r="C994" s="91"/>
      <c r="D994" s="88"/>
      <c r="E994" s="88"/>
      <c r="F994" s="88"/>
      <c r="G994" s="93"/>
      <c r="H994" s="104"/>
      <c r="I994" s="28"/>
      <c r="J994" s="28"/>
    </row>
    <row r="995" ht="22.5" customHeight="1">
      <c r="A995" s="76" t="s">
        <v>1151</v>
      </c>
      <c r="B995" s="88"/>
      <c r="C995" s="91"/>
      <c r="D995" s="88"/>
      <c r="E995" s="88"/>
      <c r="F995" s="88"/>
      <c r="G995" s="93"/>
      <c r="H995" s="104"/>
      <c r="I995" s="28"/>
      <c r="J995" s="28"/>
    </row>
    <row r="996" ht="22.5" customHeight="1">
      <c r="A996" s="76" t="s">
        <v>1151</v>
      </c>
      <c r="B996" s="88"/>
      <c r="C996" s="91"/>
      <c r="D996" s="88"/>
      <c r="E996" s="88"/>
      <c r="F996" s="88"/>
      <c r="G996" s="93"/>
      <c r="H996" s="104"/>
      <c r="I996" s="28"/>
      <c r="J996" s="28"/>
    </row>
    <row r="997" ht="22.5" customHeight="1">
      <c r="A997" s="76" t="s">
        <v>1151</v>
      </c>
      <c r="B997" s="88"/>
      <c r="C997" s="91"/>
      <c r="D997" s="88"/>
      <c r="E997" s="88"/>
      <c r="F997" s="88"/>
      <c r="G997" s="93"/>
      <c r="H997" s="104"/>
      <c r="I997" s="28"/>
      <c r="J997" s="28"/>
    </row>
    <row r="998" ht="22.5" customHeight="1">
      <c r="A998" s="76" t="s">
        <v>1151</v>
      </c>
      <c r="B998" s="88"/>
      <c r="C998" s="91"/>
      <c r="D998" s="88"/>
      <c r="E998" s="88"/>
      <c r="F998" s="88"/>
      <c r="G998" s="93"/>
      <c r="H998" s="104"/>
      <c r="I998" s="28"/>
      <c r="J998" s="28"/>
    </row>
    <row r="999" ht="22.5" customHeight="1">
      <c r="A999" s="76" t="s">
        <v>1151</v>
      </c>
      <c r="B999" s="88"/>
      <c r="C999" s="91"/>
      <c r="D999" s="88"/>
      <c r="E999" s="88"/>
      <c r="F999" s="88"/>
      <c r="G999" s="93"/>
      <c r="H999" s="104"/>
      <c r="I999" s="28"/>
      <c r="J999" s="28"/>
    </row>
    <row r="1000" ht="22.5" customHeight="1">
      <c r="A1000" s="76" t="s">
        <v>1151</v>
      </c>
      <c r="B1000" s="88"/>
      <c r="C1000" s="91"/>
      <c r="D1000" s="88"/>
      <c r="E1000" s="88"/>
      <c r="F1000" s="88"/>
      <c r="G1000" s="93"/>
      <c r="H1000" s="104"/>
      <c r="I1000" s="28"/>
      <c r="J1000" s="28"/>
    </row>
    <row r="1001" ht="22.5" customHeight="1">
      <c r="A1001" s="76" t="s">
        <v>1151</v>
      </c>
      <c r="B1001" s="88"/>
      <c r="C1001" s="91"/>
      <c r="D1001" s="88"/>
      <c r="E1001" s="88"/>
      <c r="F1001" s="88"/>
      <c r="G1001" s="93"/>
      <c r="H1001" s="104"/>
      <c r="I1001" s="28"/>
      <c r="J1001" s="28"/>
    </row>
    <row r="1002" ht="22.5" customHeight="1">
      <c r="A1002" s="76" t="s">
        <v>1151</v>
      </c>
      <c r="B1002" s="88"/>
      <c r="C1002" s="91"/>
      <c r="D1002" s="88"/>
      <c r="E1002" s="88"/>
      <c r="F1002" s="88"/>
      <c r="G1002" s="93"/>
      <c r="H1002" s="104"/>
      <c r="I1002" s="26"/>
      <c r="J1002" s="28"/>
    </row>
    <row r="1003" ht="22.5" customHeight="1">
      <c r="A1003" s="76" t="s">
        <v>1151</v>
      </c>
      <c r="B1003" s="88"/>
      <c r="C1003" s="91"/>
      <c r="D1003" s="88"/>
      <c r="E1003" s="88"/>
      <c r="F1003" s="88"/>
      <c r="G1003" s="93"/>
      <c r="H1003" s="104"/>
      <c r="I1003" s="28"/>
      <c r="J1003" s="28"/>
    </row>
    <row r="1004" ht="22.5" customHeight="1">
      <c r="A1004" s="76" t="s">
        <v>1151</v>
      </c>
      <c r="B1004" s="88"/>
      <c r="C1004" s="91"/>
      <c r="D1004" s="88"/>
      <c r="E1004" s="88"/>
      <c r="F1004" s="88"/>
      <c r="G1004" s="93"/>
      <c r="H1004" s="104"/>
      <c r="I1004" s="28"/>
      <c r="J1004" s="28"/>
    </row>
    <row r="1005" ht="22.5" customHeight="1">
      <c r="A1005" s="76" t="s">
        <v>1151</v>
      </c>
      <c r="B1005" s="88"/>
      <c r="C1005" s="91"/>
      <c r="D1005" s="88"/>
      <c r="E1005" s="88"/>
      <c r="F1005" s="88"/>
      <c r="G1005" s="93"/>
      <c r="H1005" s="104"/>
      <c r="I1005" s="28"/>
      <c r="J1005" s="28"/>
    </row>
    <row r="1006" ht="22.5" customHeight="1">
      <c r="A1006" s="76" t="s">
        <v>1151</v>
      </c>
      <c r="B1006" s="88"/>
      <c r="C1006" s="91"/>
      <c r="D1006" s="88"/>
      <c r="E1006" s="88"/>
      <c r="F1006" s="88"/>
      <c r="G1006" s="93"/>
      <c r="H1006" s="104"/>
      <c r="I1006" s="28"/>
      <c r="J1006" s="28"/>
    </row>
    <row r="1007" ht="22.5" customHeight="1">
      <c r="A1007" s="76" t="s">
        <v>1151</v>
      </c>
      <c r="B1007" s="88"/>
      <c r="C1007" s="91"/>
      <c r="D1007" s="88"/>
      <c r="E1007" s="88"/>
      <c r="F1007" s="88"/>
      <c r="G1007" s="93"/>
      <c r="H1007" s="104"/>
      <c r="I1007" s="28"/>
      <c r="J1007" s="28"/>
    </row>
    <row r="1008" ht="22.5" customHeight="1">
      <c r="A1008" s="76" t="s">
        <v>1151</v>
      </c>
      <c r="B1008" s="88"/>
      <c r="C1008" s="91"/>
      <c r="D1008" s="88"/>
      <c r="E1008" s="88"/>
      <c r="F1008" s="88"/>
      <c r="G1008" s="93"/>
      <c r="H1008" s="104"/>
      <c r="I1008" s="28"/>
      <c r="J1008" s="28"/>
    </row>
    <row r="1009" ht="22.5" customHeight="1">
      <c r="A1009" s="76" t="s">
        <v>1151</v>
      </c>
      <c r="B1009" s="88"/>
      <c r="C1009" s="91"/>
      <c r="D1009" s="88"/>
      <c r="E1009" s="88"/>
      <c r="F1009" s="88"/>
      <c r="G1009" s="93"/>
      <c r="H1009" s="104"/>
      <c r="I1009" s="28"/>
      <c r="J1009" s="28"/>
    </row>
    <row r="1010" ht="22.5" customHeight="1">
      <c r="A1010" s="76" t="s">
        <v>1151</v>
      </c>
      <c r="B1010" s="88"/>
      <c r="C1010" s="91"/>
      <c r="D1010" s="88"/>
      <c r="E1010" s="88"/>
      <c r="F1010" s="88"/>
      <c r="G1010" s="93"/>
      <c r="H1010" s="104"/>
      <c r="I1010" s="28"/>
      <c r="J1010" s="28"/>
    </row>
    <row r="1011" ht="22.5" customHeight="1">
      <c r="A1011" s="76" t="s">
        <v>1151</v>
      </c>
      <c r="B1011" s="88"/>
      <c r="C1011" s="91"/>
      <c r="D1011" s="88"/>
      <c r="E1011" s="88"/>
      <c r="F1011" s="88"/>
      <c r="G1011" s="93"/>
      <c r="H1011" s="104"/>
      <c r="I1011" s="28"/>
      <c r="J1011" s="28"/>
    </row>
    <row r="1012" ht="22.5" customHeight="1">
      <c r="A1012" s="76" t="s">
        <v>1151</v>
      </c>
      <c r="B1012" s="88"/>
      <c r="C1012" s="91"/>
      <c r="D1012" s="88"/>
      <c r="E1012" s="88"/>
      <c r="F1012" s="88"/>
      <c r="G1012" s="93"/>
      <c r="H1012" s="104"/>
      <c r="I1012" s="28"/>
      <c r="J1012" s="28"/>
    </row>
    <row r="1013" ht="22.5" customHeight="1">
      <c r="A1013" s="76" t="s">
        <v>1151</v>
      </c>
      <c r="B1013" s="88"/>
      <c r="C1013" s="91"/>
      <c r="D1013" s="88"/>
      <c r="E1013" s="88"/>
      <c r="F1013" s="88"/>
      <c r="G1013" s="93"/>
      <c r="H1013" s="92"/>
      <c r="I1013" s="28"/>
      <c r="J1013" s="28"/>
    </row>
    <row r="1014" ht="22.5" customHeight="1">
      <c r="A1014" s="76" t="s">
        <v>1151</v>
      </c>
      <c r="B1014" s="88"/>
      <c r="C1014" s="91"/>
      <c r="D1014" s="88"/>
      <c r="E1014" s="88"/>
      <c r="F1014" s="88"/>
      <c r="G1014" s="93"/>
      <c r="H1014" s="92"/>
      <c r="I1014" s="28"/>
      <c r="J1014" s="28"/>
    </row>
    <row r="1015" ht="22.5" customHeight="1">
      <c r="A1015" s="76" t="s">
        <v>1151</v>
      </c>
      <c r="B1015" s="88"/>
      <c r="C1015" s="91"/>
      <c r="D1015" s="88"/>
      <c r="E1015" s="88"/>
      <c r="F1015" s="88"/>
      <c r="G1015" s="93"/>
      <c r="H1015" s="92"/>
      <c r="I1015" s="28"/>
      <c r="J1015" s="28"/>
    </row>
    <row r="1016" ht="22.5" customHeight="1">
      <c r="A1016" s="76" t="s">
        <v>1151</v>
      </c>
      <c r="B1016" s="88"/>
      <c r="C1016" s="91"/>
      <c r="D1016" s="88"/>
      <c r="E1016" s="88"/>
      <c r="F1016" s="88"/>
      <c r="G1016" s="93"/>
      <c r="H1016" s="92"/>
      <c r="I1016" s="28"/>
      <c r="J1016" s="28"/>
    </row>
    <row r="1017" ht="22.5" customHeight="1">
      <c r="A1017" s="76" t="s">
        <v>1151</v>
      </c>
      <c r="B1017" s="88"/>
      <c r="C1017" s="91"/>
      <c r="D1017" s="88"/>
      <c r="E1017" s="88"/>
      <c r="F1017" s="88"/>
      <c r="G1017" s="93"/>
      <c r="H1017" s="92"/>
      <c r="I1017" s="28"/>
      <c r="J1017" s="28"/>
    </row>
    <row r="1018" ht="22.5" customHeight="1">
      <c r="A1018" s="76" t="s">
        <v>1151</v>
      </c>
      <c r="B1018" s="88"/>
      <c r="C1018" s="91"/>
      <c r="D1018" s="88"/>
      <c r="E1018" s="88"/>
      <c r="F1018" s="88"/>
      <c r="G1018" s="91"/>
      <c r="H1018" s="92"/>
      <c r="I1018" s="28"/>
      <c r="J1018" s="28"/>
    </row>
    <row r="1019" ht="22.5" customHeight="1">
      <c r="A1019" s="76" t="s">
        <v>1151</v>
      </c>
      <c r="B1019" s="88"/>
      <c r="C1019" s="91"/>
      <c r="D1019" s="88"/>
      <c r="E1019" s="88"/>
      <c r="F1019" s="88"/>
      <c r="G1019" s="91"/>
      <c r="H1019" s="92"/>
      <c r="I1019" s="28"/>
      <c r="J1019" s="28"/>
    </row>
    <row r="1020" ht="22.5" customHeight="1">
      <c r="A1020" s="76" t="s">
        <v>1151</v>
      </c>
      <c r="B1020" s="88"/>
      <c r="C1020" s="91"/>
      <c r="D1020" s="88"/>
      <c r="E1020" s="88"/>
      <c r="F1020" s="88"/>
      <c r="G1020" s="91"/>
      <c r="H1020" s="92"/>
      <c r="I1020" s="28"/>
      <c r="J1020" s="28"/>
    </row>
    <row r="1021" ht="22.5" customHeight="1">
      <c r="A1021" s="76" t="s">
        <v>1151</v>
      </c>
      <c r="B1021" s="88"/>
      <c r="C1021" s="91"/>
      <c r="D1021" s="88"/>
      <c r="E1021" s="88"/>
      <c r="F1021" s="88"/>
      <c r="G1021" s="91"/>
      <c r="H1021" s="92"/>
      <c r="I1021" s="28"/>
      <c r="J1021" s="28"/>
    </row>
    <row r="1022" ht="22.5" customHeight="1">
      <c r="A1022" s="76" t="s">
        <v>1151</v>
      </c>
      <c r="B1022" s="88"/>
      <c r="C1022" s="91"/>
      <c r="D1022" s="88"/>
      <c r="E1022" s="88"/>
      <c r="F1022" s="88"/>
      <c r="G1022" s="91"/>
      <c r="H1022" s="92"/>
      <c r="I1022" s="28"/>
      <c r="J1022" s="28"/>
    </row>
    <row r="1023" ht="22.5" customHeight="1">
      <c r="A1023" s="76" t="s">
        <v>1151</v>
      </c>
      <c r="B1023" s="88"/>
      <c r="C1023" s="91"/>
      <c r="D1023" s="88"/>
      <c r="E1023" s="88"/>
      <c r="F1023" s="88"/>
      <c r="G1023" s="91"/>
      <c r="H1023" s="92"/>
      <c r="I1023" s="28"/>
      <c r="J1023" s="28"/>
    </row>
    <row r="1024" ht="22.5" customHeight="1">
      <c r="A1024" s="76" t="s">
        <v>1151</v>
      </c>
      <c r="B1024" s="88"/>
      <c r="C1024" s="91"/>
      <c r="D1024" s="88"/>
      <c r="E1024" s="88"/>
      <c r="F1024" s="88"/>
      <c r="G1024" s="93"/>
      <c r="H1024" s="104"/>
      <c r="I1024" s="28"/>
      <c r="J1024" s="28"/>
    </row>
    <row r="1025" ht="22.5" customHeight="1">
      <c r="A1025" s="76" t="s">
        <v>1151</v>
      </c>
      <c r="B1025" s="88"/>
      <c r="C1025" s="91"/>
      <c r="D1025" s="88"/>
      <c r="E1025" s="88"/>
      <c r="F1025" s="88"/>
      <c r="G1025" s="93"/>
      <c r="H1025" s="104"/>
      <c r="I1025" s="28"/>
      <c r="J1025" s="28"/>
    </row>
    <row r="1026" ht="22.5" customHeight="1">
      <c r="A1026" s="76" t="s">
        <v>1151</v>
      </c>
      <c r="B1026" s="88"/>
      <c r="C1026" s="91"/>
      <c r="D1026" s="88"/>
      <c r="E1026" s="88"/>
      <c r="F1026" s="88"/>
      <c r="G1026" s="93"/>
      <c r="H1026" s="104"/>
      <c r="I1026" s="28"/>
      <c r="J1026" s="28"/>
    </row>
    <row r="1027" ht="22.5" customHeight="1">
      <c r="A1027" s="76" t="s">
        <v>1151</v>
      </c>
      <c r="B1027" s="88"/>
      <c r="C1027" s="91"/>
      <c r="D1027" s="88"/>
      <c r="E1027" s="88"/>
      <c r="F1027" s="88"/>
      <c r="G1027" s="93"/>
      <c r="H1027" s="104"/>
      <c r="I1027" s="28"/>
      <c r="J1027" s="28"/>
    </row>
    <row r="1028" ht="22.5" customHeight="1">
      <c r="A1028" s="76" t="s">
        <v>1151</v>
      </c>
      <c r="B1028" s="88"/>
      <c r="C1028" s="91"/>
      <c r="D1028" s="88"/>
      <c r="E1028" s="88"/>
      <c r="F1028" s="88"/>
      <c r="G1028" s="93"/>
      <c r="H1028" s="104"/>
      <c r="I1028" s="28"/>
      <c r="J1028" s="28"/>
    </row>
    <row r="1029" ht="22.5" customHeight="1">
      <c r="A1029" s="76" t="s">
        <v>1151</v>
      </c>
      <c r="B1029" s="88"/>
      <c r="C1029" s="91"/>
      <c r="D1029" s="88"/>
      <c r="E1029" s="88"/>
      <c r="F1029" s="88"/>
      <c r="G1029" s="93"/>
      <c r="H1029" s="104"/>
      <c r="I1029" s="28"/>
      <c r="J1029" s="28"/>
    </row>
    <row r="1030" ht="22.5" customHeight="1">
      <c r="A1030" s="76" t="s">
        <v>1151</v>
      </c>
      <c r="B1030" s="88"/>
      <c r="C1030" s="91"/>
      <c r="D1030" s="88"/>
      <c r="E1030" s="88"/>
      <c r="F1030" s="88"/>
      <c r="G1030" s="93"/>
      <c r="H1030" s="104"/>
      <c r="I1030" s="28"/>
      <c r="J1030" s="28"/>
    </row>
    <row r="1031" ht="22.5" customHeight="1">
      <c r="A1031" s="76" t="s">
        <v>1151</v>
      </c>
      <c r="B1031" s="88"/>
      <c r="C1031" s="91"/>
      <c r="D1031" s="88"/>
      <c r="E1031" s="88"/>
      <c r="F1031" s="88"/>
      <c r="G1031" s="93"/>
      <c r="H1031" s="104"/>
      <c r="I1031" s="28"/>
      <c r="J1031" s="28"/>
    </row>
    <row r="1032" ht="22.5" customHeight="1">
      <c r="A1032" s="76" t="s">
        <v>1151</v>
      </c>
      <c r="B1032" s="88"/>
      <c r="C1032" s="91"/>
      <c r="D1032" s="88"/>
      <c r="E1032" s="88"/>
      <c r="F1032" s="88"/>
      <c r="G1032" s="93"/>
      <c r="H1032" s="104"/>
      <c r="I1032" s="28"/>
      <c r="J1032" s="28"/>
    </row>
    <row r="1033" ht="22.5" customHeight="1">
      <c r="A1033" s="76" t="s">
        <v>1151</v>
      </c>
      <c r="B1033" s="88"/>
      <c r="C1033" s="94"/>
      <c r="D1033" s="88"/>
      <c r="E1033" s="88"/>
      <c r="F1033" s="88"/>
      <c r="G1033" s="105"/>
      <c r="H1033" s="104"/>
      <c r="I1033" s="28"/>
      <c r="J1033" s="28"/>
    </row>
    <row r="1034" ht="22.5" customHeight="1">
      <c r="A1034" s="76" t="s">
        <v>1151</v>
      </c>
      <c r="B1034" s="88"/>
      <c r="C1034" s="94"/>
      <c r="D1034" s="88"/>
      <c r="E1034" s="88"/>
      <c r="F1034" s="88"/>
      <c r="G1034" s="105"/>
      <c r="H1034" s="104"/>
      <c r="I1034" s="28"/>
      <c r="J1034" s="28"/>
    </row>
    <row r="1035" ht="22.5" customHeight="1">
      <c r="A1035" s="76" t="s">
        <v>1151</v>
      </c>
      <c r="B1035" s="88"/>
      <c r="C1035" s="94"/>
      <c r="D1035" s="88"/>
      <c r="E1035" s="88"/>
      <c r="F1035" s="88"/>
      <c r="G1035" s="105"/>
      <c r="H1035" s="104"/>
      <c r="I1035" s="28"/>
      <c r="J1035" s="28"/>
    </row>
    <row r="1036" ht="22.5" customHeight="1">
      <c r="A1036" s="76" t="s">
        <v>1151</v>
      </c>
      <c r="B1036" s="88"/>
      <c r="C1036" s="106"/>
      <c r="D1036" s="88"/>
      <c r="E1036" s="88"/>
      <c r="F1036" s="88"/>
      <c r="G1036" s="94"/>
      <c r="H1036" s="113"/>
      <c r="I1036" s="28"/>
      <c r="J1036" s="28"/>
    </row>
    <row r="1037" ht="22.5" customHeight="1">
      <c r="A1037" s="76" t="s">
        <v>1151</v>
      </c>
      <c r="B1037" s="88"/>
      <c r="C1037" s="106"/>
      <c r="D1037" s="88"/>
      <c r="E1037" s="88"/>
      <c r="F1037" s="88"/>
      <c r="G1037" s="94"/>
      <c r="H1037" s="113"/>
      <c r="I1037" s="28"/>
      <c r="J1037" s="28"/>
    </row>
    <row r="1038" ht="22.5" customHeight="1">
      <c r="A1038" s="76" t="s">
        <v>1151</v>
      </c>
      <c r="B1038" s="88"/>
      <c r="C1038" s="106"/>
      <c r="D1038" s="88"/>
      <c r="E1038" s="88"/>
      <c r="F1038" s="88"/>
      <c r="G1038" s="94"/>
      <c r="H1038" s="113"/>
      <c r="I1038" s="28"/>
      <c r="J1038" s="28"/>
    </row>
    <row r="1039" ht="22.5" customHeight="1">
      <c r="A1039" s="76" t="s">
        <v>1151</v>
      </c>
      <c r="B1039" s="88"/>
      <c r="C1039" s="106"/>
      <c r="D1039" s="88"/>
      <c r="E1039" s="88"/>
      <c r="F1039" s="88"/>
      <c r="G1039" s="94"/>
      <c r="H1039" s="113"/>
      <c r="I1039" s="28"/>
      <c r="J1039" s="28"/>
    </row>
    <row r="1040" ht="22.5" customHeight="1">
      <c r="A1040" s="76" t="s">
        <v>1151</v>
      </c>
      <c r="B1040" s="88"/>
      <c r="C1040" s="106"/>
      <c r="D1040" s="88"/>
      <c r="E1040" s="88"/>
      <c r="F1040" s="88"/>
      <c r="G1040" s="94"/>
      <c r="H1040" s="113"/>
      <c r="I1040" s="28"/>
      <c r="J1040" s="28"/>
    </row>
    <row r="1041" ht="22.5" customHeight="1">
      <c r="A1041" s="76" t="s">
        <v>1151</v>
      </c>
      <c r="B1041" s="88"/>
      <c r="C1041" s="106"/>
      <c r="D1041" s="88"/>
      <c r="E1041" s="88"/>
      <c r="F1041" s="88"/>
      <c r="G1041" s="94"/>
      <c r="H1041" s="113"/>
      <c r="I1041" s="28"/>
      <c r="J1041" s="28"/>
    </row>
    <row r="1042" ht="22.5" customHeight="1">
      <c r="A1042" s="76" t="s">
        <v>1151</v>
      </c>
      <c r="B1042" s="88"/>
      <c r="C1042" s="106"/>
      <c r="D1042" s="88"/>
      <c r="E1042" s="88"/>
      <c r="F1042" s="88"/>
      <c r="G1042" s="94"/>
      <c r="H1042" s="113"/>
      <c r="I1042" s="28"/>
      <c r="J1042" s="28"/>
    </row>
    <row r="1043" ht="22.5" customHeight="1">
      <c r="A1043" s="76" t="s">
        <v>1151</v>
      </c>
      <c r="B1043" s="88"/>
      <c r="C1043" s="106"/>
      <c r="D1043" s="88"/>
      <c r="E1043" s="88"/>
      <c r="F1043" s="88"/>
      <c r="G1043" s="94"/>
      <c r="H1043" s="113"/>
      <c r="I1043" s="28"/>
      <c r="J1043" s="28"/>
    </row>
    <row r="1044" ht="22.5" customHeight="1">
      <c r="A1044" s="76" t="s">
        <v>1151</v>
      </c>
      <c r="B1044" s="88"/>
      <c r="C1044" s="106"/>
      <c r="D1044" s="88"/>
      <c r="E1044" s="88"/>
      <c r="F1044" s="88"/>
      <c r="G1044" s="105"/>
      <c r="H1044" s="104"/>
      <c r="I1044" s="28"/>
      <c r="J1044" s="28"/>
    </row>
    <row r="1045" ht="22.5" customHeight="1">
      <c r="A1045" s="76" t="s">
        <v>1151</v>
      </c>
      <c r="B1045" s="88"/>
      <c r="C1045" s="106"/>
      <c r="D1045" s="88"/>
      <c r="E1045" s="88"/>
      <c r="F1045" s="88"/>
      <c r="G1045" s="105"/>
      <c r="H1045" s="104"/>
      <c r="I1045" s="28"/>
      <c r="J1045" s="28"/>
    </row>
    <row r="1046" ht="22.5" customHeight="1">
      <c r="A1046" s="76" t="s">
        <v>1151</v>
      </c>
      <c r="B1046" s="88"/>
      <c r="C1046" s="106"/>
      <c r="D1046" s="88"/>
      <c r="E1046" s="88"/>
      <c r="F1046" s="88"/>
      <c r="G1046" s="105"/>
      <c r="H1046" s="104"/>
      <c r="I1046" s="28"/>
      <c r="J1046" s="28"/>
    </row>
    <row r="1047" ht="22.5" customHeight="1">
      <c r="A1047" s="76" t="s">
        <v>1151</v>
      </c>
      <c r="B1047" s="88"/>
      <c r="C1047" s="106"/>
      <c r="D1047" s="88"/>
      <c r="E1047" s="88"/>
      <c r="F1047" s="88"/>
      <c r="G1047" s="105"/>
      <c r="H1047" s="104"/>
      <c r="I1047" s="28"/>
      <c r="J1047" s="28"/>
    </row>
    <row r="1048" ht="22.5" customHeight="1">
      <c r="A1048" s="76" t="s">
        <v>1151</v>
      </c>
      <c r="B1048" s="88"/>
      <c r="C1048" s="106"/>
      <c r="D1048" s="88"/>
      <c r="E1048" s="88"/>
      <c r="F1048" s="88"/>
      <c r="G1048" s="94"/>
      <c r="H1048" s="114"/>
      <c r="I1048" s="28"/>
      <c r="J1048" s="28"/>
    </row>
    <row r="1049" ht="22.5" customHeight="1">
      <c r="A1049" s="76" t="s">
        <v>1151</v>
      </c>
      <c r="B1049" s="88"/>
      <c r="C1049" s="106"/>
      <c r="D1049" s="88"/>
      <c r="E1049" s="88"/>
      <c r="F1049" s="88"/>
      <c r="G1049" s="109"/>
      <c r="H1049" s="113"/>
      <c r="I1049" s="28"/>
      <c r="J1049" s="28"/>
    </row>
    <row r="1050" ht="22.5" customHeight="1">
      <c r="A1050" s="76" t="s">
        <v>1151</v>
      </c>
      <c r="B1050" s="88"/>
      <c r="C1050" s="106"/>
      <c r="D1050" s="88"/>
      <c r="E1050" s="88"/>
      <c r="F1050" s="88"/>
      <c r="G1050" s="94"/>
      <c r="H1050" s="113"/>
      <c r="I1050" s="28"/>
      <c r="J1050" s="28"/>
    </row>
    <row r="1051" ht="22.5" customHeight="1">
      <c r="A1051" s="76" t="s">
        <v>1151</v>
      </c>
      <c r="B1051" s="88"/>
      <c r="C1051" s="106"/>
      <c r="D1051" s="88"/>
      <c r="E1051" s="88"/>
      <c r="F1051" s="88"/>
      <c r="G1051" s="94"/>
      <c r="H1051" s="113"/>
      <c r="I1051" s="28"/>
      <c r="J1051" s="28"/>
    </row>
    <row r="1052" ht="22.5" customHeight="1">
      <c r="A1052" s="76" t="s">
        <v>1151</v>
      </c>
      <c r="B1052" s="88"/>
      <c r="C1052" s="106"/>
      <c r="D1052" s="88"/>
      <c r="E1052" s="88"/>
      <c r="F1052" s="88"/>
      <c r="G1052" s="94"/>
      <c r="H1052" s="113"/>
      <c r="I1052" s="28"/>
      <c r="J1052" s="28"/>
    </row>
    <row r="1053" ht="22.5" customHeight="1">
      <c r="A1053" s="76" t="s">
        <v>1151</v>
      </c>
      <c r="B1053" s="88"/>
      <c r="C1053" s="106"/>
      <c r="D1053" s="88"/>
      <c r="E1053" s="88"/>
      <c r="F1053" s="88"/>
      <c r="G1053" s="94"/>
      <c r="H1053" s="113"/>
      <c r="I1053" s="28"/>
      <c r="J1053" s="28"/>
    </row>
    <row r="1054" ht="22.5" customHeight="1">
      <c r="A1054" s="76" t="s">
        <v>1151</v>
      </c>
      <c r="B1054" s="88"/>
      <c r="C1054" s="106"/>
      <c r="D1054" s="88"/>
      <c r="E1054" s="88"/>
      <c r="F1054" s="88"/>
      <c r="G1054" s="94"/>
      <c r="H1054" s="113"/>
      <c r="I1054" s="28"/>
      <c r="J1054" s="28"/>
    </row>
    <row r="1055" ht="22.5" customHeight="1">
      <c r="A1055" s="76" t="s">
        <v>1151</v>
      </c>
      <c r="B1055" s="88"/>
      <c r="C1055" s="106"/>
      <c r="D1055" s="88"/>
      <c r="E1055" s="88"/>
      <c r="F1055" s="88"/>
      <c r="G1055" s="94"/>
      <c r="H1055" s="113"/>
      <c r="I1055" s="28"/>
      <c r="J1055" s="28"/>
    </row>
    <row r="1056" ht="22.5" customHeight="1">
      <c r="A1056" s="76" t="s">
        <v>1151</v>
      </c>
      <c r="B1056" s="88"/>
      <c r="C1056" s="106"/>
      <c r="D1056" s="88"/>
      <c r="E1056" s="88"/>
      <c r="F1056" s="88"/>
      <c r="G1056" s="94"/>
      <c r="H1056" s="113"/>
      <c r="I1056" s="28"/>
      <c r="J1056" s="28"/>
    </row>
    <row r="1057" ht="22.5" customHeight="1">
      <c r="A1057" s="76" t="s">
        <v>1151</v>
      </c>
      <c r="B1057" s="88"/>
      <c r="C1057" s="106"/>
      <c r="D1057" s="88"/>
      <c r="E1057" s="88"/>
      <c r="F1057" s="88"/>
      <c r="G1057" s="94"/>
      <c r="H1057" s="113"/>
      <c r="I1057" s="28"/>
      <c r="J1057" s="28"/>
    </row>
    <row r="1058" ht="22.5" customHeight="1">
      <c r="A1058" s="76" t="s">
        <v>1151</v>
      </c>
      <c r="B1058" s="88"/>
      <c r="C1058" s="106"/>
      <c r="D1058" s="88"/>
      <c r="E1058" s="88"/>
      <c r="F1058" s="88"/>
      <c r="G1058" s="94"/>
      <c r="H1058" s="113"/>
      <c r="I1058" s="28"/>
      <c r="J1058" s="28"/>
    </row>
    <row r="1059" ht="22.5" customHeight="1">
      <c r="A1059" s="76" t="s">
        <v>1151</v>
      </c>
      <c r="B1059" s="88"/>
      <c r="C1059" s="106"/>
      <c r="D1059" s="88"/>
      <c r="E1059" s="88"/>
      <c r="F1059" s="88"/>
      <c r="G1059" s="94"/>
      <c r="H1059" s="113"/>
      <c r="I1059" s="28"/>
      <c r="J1059" s="28"/>
    </row>
    <row r="1060" ht="22.5" customHeight="1">
      <c r="A1060" s="76" t="s">
        <v>1151</v>
      </c>
      <c r="B1060" s="88"/>
      <c r="C1060" s="106"/>
      <c r="D1060" s="88"/>
      <c r="E1060" s="88"/>
      <c r="F1060" s="88"/>
      <c r="G1060" s="94"/>
      <c r="H1060" s="113"/>
      <c r="I1060" s="28"/>
      <c r="J1060" s="28"/>
    </row>
    <row r="1061" ht="22.5" customHeight="1">
      <c r="A1061" s="76" t="s">
        <v>1151</v>
      </c>
      <c r="B1061" s="88"/>
      <c r="C1061" s="106"/>
      <c r="D1061" s="88"/>
      <c r="E1061" s="88"/>
      <c r="F1061" s="88"/>
      <c r="G1061" s="94"/>
      <c r="H1061" s="113"/>
      <c r="I1061" s="28"/>
      <c r="J1061" s="28"/>
    </row>
    <row r="1062" ht="22.5" customHeight="1">
      <c r="A1062" s="76" t="s">
        <v>1151</v>
      </c>
      <c r="B1062" s="88"/>
      <c r="C1062" s="106"/>
      <c r="D1062" s="88"/>
      <c r="E1062" s="88"/>
      <c r="F1062" s="88"/>
      <c r="G1062" s="94"/>
      <c r="H1062" s="113"/>
      <c r="I1062" s="28"/>
      <c r="J1062" s="28"/>
    </row>
    <row r="1063" ht="22.5" customHeight="1">
      <c r="A1063" s="76" t="s">
        <v>1151</v>
      </c>
      <c r="B1063" s="88"/>
      <c r="C1063" s="106"/>
      <c r="D1063" s="88"/>
      <c r="E1063" s="88"/>
      <c r="F1063" s="88"/>
      <c r="G1063" s="94"/>
      <c r="H1063" s="113"/>
      <c r="I1063" s="28"/>
      <c r="J1063" s="28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"/>
  <tableParts count="1">
    <tablePart r:id="rId1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2.5"/>
    <col customWidth="1" min="3" max="3" width="12.0"/>
    <col customWidth="1" min="4" max="4" width="8.38"/>
    <col customWidth="1" min="5" max="5" width="22.25"/>
    <col customWidth="1" min="6" max="6" width="61.25"/>
    <col customWidth="1" min="7" max="7" width="7.25"/>
    <col customWidth="1" min="8" max="9" width="25.25"/>
  </cols>
  <sheetData>
    <row r="1">
      <c r="A1" s="115" t="s">
        <v>3265</v>
      </c>
      <c r="B1" s="116" t="s">
        <v>3266</v>
      </c>
      <c r="C1" s="117" t="s">
        <v>2</v>
      </c>
      <c r="D1" s="118" t="s">
        <v>3</v>
      </c>
      <c r="E1" s="119" t="s">
        <v>5</v>
      </c>
      <c r="F1" s="118" t="s">
        <v>6</v>
      </c>
      <c r="G1" s="118" t="s">
        <v>7</v>
      </c>
      <c r="H1" s="120" t="s">
        <v>9</v>
      </c>
      <c r="I1" s="121" t="s">
        <v>10</v>
      </c>
    </row>
    <row r="2">
      <c r="A2" s="122" t="s">
        <v>3267</v>
      </c>
      <c r="B2" s="123"/>
      <c r="C2" s="117" t="str">
        <f>IFERROR(__xludf.DUMMYFUNCTION("IFERROR( FILTER(CHOOSECOLS('รับเข้า-เบิก'!C2:K2112,1,2,4,5,6,8,9),'รับเข้า-เบิก'!$E$2:$E2112=B1))"),"")</f>
        <v/>
      </c>
      <c r="D2" s="124"/>
      <c r="E2" s="124"/>
      <c r="F2" s="124"/>
      <c r="G2" s="124"/>
      <c r="H2" s="124"/>
      <c r="I2" s="124"/>
    </row>
    <row r="3">
      <c r="A3" s="41"/>
      <c r="B3" s="41"/>
      <c r="C3" s="117"/>
      <c r="D3" s="124"/>
      <c r="E3" s="124"/>
      <c r="F3" s="124"/>
      <c r="G3" s="124"/>
      <c r="H3" s="124"/>
      <c r="I3" s="124"/>
    </row>
    <row r="4">
      <c r="A4" s="41"/>
      <c r="B4" s="41"/>
      <c r="C4" s="117"/>
      <c r="D4" s="124"/>
      <c r="E4" s="124"/>
      <c r="F4" s="124"/>
      <c r="G4" s="124"/>
      <c r="H4" s="124"/>
      <c r="I4" s="124"/>
    </row>
    <row r="5">
      <c r="A5" s="41"/>
      <c r="B5" s="41"/>
      <c r="C5" s="117"/>
      <c r="D5" s="124"/>
      <c r="E5" s="124"/>
      <c r="F5" s="124"/>
      <c r="G5" s="124"/>
      <c r="H5" s="124"/>
      <c r="I5" s="124"/>
    </row>
    <row r="6">
      <c r="A6" s="41"/>
      <c r="B6" s="41"/>
      <c r="C6" s="117"/>
      <c r="D6" s="124"/>
      <c r="E6" s="124"/>
      <c r="F6" s="124"/>
      <c r="G6" s="124"/>
      <c r="H6" s="124"/>
      <c r="I6" s="124"/>
    </row>
    <row r="7">
      <c r="A7" s="41"/>
      <c r="B7" s="41"/>
      <c r="C7" s="117"/>
      <c r="D7" s="124"/>
      <c r="E7" s="124"/>
      <c r="F7" s="124"/>
      <c r="G7" s="124"/>
      <c r="H7" s="124"/>
      <c r="I7" s="124"/>
    </row>
    <row r="8">
      <c r="A8" s="41"/>
      <c r="B8" s="41"/>
      <c r="C8" s="117"/>
      <c r="D8" s="124"/>
      <c r="E8" s="124"/>
      <c r="F8" s="124"/>
      <c r="G8" s="124"/>
      <c r="H8" s="124"/>
      <c r="I8" s="124"/>
    </row>
    <row r="9">
      <c r="A9" s="41"/>
      <c r="B9" s="41"/>
      <c r="C9" s="117"/>
      <c r="D9" s="124"/>
      <c r="E9" s="124"/>
      <c r="F9" s="124"/>
      <c r="G9" s="124"/>
      <c r="H9" s="124"/>
      <c r="I9" s="124"/>
    </row>
    <row r="10">
      <c r="A10" s="41"/>
      <c r="B10" s="41"/>
      <c r="C10" s="117"/>
      <c r="D10" s="124"/>
      <c r="E10" s="124"/>
      <c r="F10" s="124"/>
      <c r="G10" s="124"/>
      <c r="H10" s="124"/>
      <c r="I10" s="124"/>
    </row>
    <row r="11">
      <c r="A11" s="41"/>
      <c r="B11" s="41"/>
      <c r="C11" s="117"/>
      <c r="D11" s="124"/>
      <c r="E11" s="124"/>
      <c r="F11" s="124"/>
      <c r="G11" s="124"/>
      <c r="H11" s="124"/>
      <c r="I11" s="124"/>
    </row>
    <row r="12">
      <c r="A12" s="41"/>
      <c r="B12" s="41"/>
      <c r="C12" s="117"/>
      <c r="D12" s="124"/>
      <c r="E12" s="124"/>
      <c r="F12" s="124"/>
      <c r="G12" s="124"/>
      <c r="H12" s="124"/>
      <c r="I12" s="124"/>
    </row>
    <row r="13">
      <c r="A13" s="41"/>
      <c r="B13" s="41"/>
      <c r="C13" s="117"/>
      <c r="D13" s="124"/>
      <c r="E13" s="124"/>
      <c r="F13" s="124"/>
      <c r="G13" s="124"/>
      <c r="H13" s="124"/>
      <c r="I13" s="124"/>
    </row>
    <row r="14">
      <c r="A14" s="41"/>
      <c r="B14" s="41"/>
      <c r="C14" s="117"/>
      <c r="D14" s="124"/>
      <c r="E14" s="124"/>
      <c r="F14" s="124"/>
      <c r="G14" s="124"/>
      <c r="H14" s="124"/>
      <c r="I14" s="124"/>
    </row>
    <row r="15">
      <c r="A15" s="41"/>
      <c r="B15" s="41"/>
      <c r="C15" s="117"/>
      <c r="D15" s="124"/>
      <c r="E15" s="124"/>
      <c r="F15" s="124"/>
      <c r="G15" s="124"/>
      <c r="H15" s="124"/>
      <c r="I15" s="124"/>
    </row>
    <row r="16">
      <c r="A16" s="41"/>
      <c r="B16" s="41"/>
      <c r="C16" s="117"/>
      <c r="D16" s="124"/>
      <c r="E16" s="124"/>
      <c r="F16" s="124"/>
      <c r="G16" s="124"/>
      <c r="H16" s="124"/>
      <c r="I16" s="124"/>
    </row>
    <row r="17">
      <c r="A17" s="41"/>
      <c r="B17" s="41"/>
      <c r="C17" s="117"/>
      <c r="D17" s="124"/>
      <c r="E17" s="124"/>
      <c r="F17" s="124"/>
      <c r="G17" s="124"/>
      <c r="H17" s="124"/>
      <c r="I17" s="124"/>
    </row>
    <row r="18">
      <c r="A18" s="41"/>
      <c r="B18" s="41"/>
      <c r="C18" s="117"/>
      <c r="D18" s="124"/>
      <c r="E18" s="124"/>
      <c r="F18" s="124"/>
      <c r="G18" s="124"/>
      <c r="H18" s="124"/>
      <c r="I18" s="124"/>
    </row>
    <row r="19">
      <c r="A19" s="41"/>
      <c r="B19" s="41"/>
      <c r="C19" s="117"/>
      <c r="D19" s="124"/>
      <c r="E19" s="124"/>
      <c r="F19" s="124"/>
      <c r="G19" s="124"/>
      <c r="H19" s="124"/>
      <c r="I19" s="124"/>
    </row>
    <row r="20">
      <c r="A20" s="41"/>
      <c r="B20" s="41"/>
      <c r="C20" s="117"/>
      <c r="D20" s="124"/>
      <c r="E20" s="124"/>
      <c r="F20" s="124"/>
      <c r="G20" s="124"/>
      <c r="H20" s="124"/>
      <c r="I20" s="124"/>
    </row>
    <row r="21">
      <c r="A21" s="41"/>
      <c r="B21" s="41"/>
      <c r="C21" s="117"/>
      <c r="D21" s="124"/>
      <c r="E21" s="124"/>
      <c r="F21" s="124"/>
      <c r="G21" s="124"/>
      <c r="H21" s="124"/>
      <c r="I21" s="124"/>
    </row>
    <row r="22">
      <c r="A22" s="41"/>
      <c r="B22" s="41"/>
      <c r="C22" s="117"/>
      <c r="D22" s="124"/>
      <c r="E22" s="124"/>
      <c r="F22" s="124"/>
      <c r="G22" s="124"/>
      <c r="H22" s="124"/>
      <c r="I22" s="124"/>
    </row>
    <row r="23">
      <c r="A23" s="41"/>
      <c r="B23" s="41"/>
      <c r="C23" s="117"/>
      <c r="D23" s="124"/>
      <c r="E23" s="124"/>
      <c r="F23" s="124"/>
      <c r="G23" s="124"/>
      <c r="H23" s="124"/>
      <c r="I23" s="124"/>
    </row>
    <row r="24">
      <c r="A24" s="41"/>
      <c r="B24" s="41"/>
      <c r="C24" s="117"/>
      <c r="D24" s="124"/>
      <c r="E24" s="124"/>
      <c r="F24" s="124"/>
      <c r="G24" s="124"/>
      <c r="H24" s="124"/>
      <c r="I24" s="124"/>
    </row>
    <row r="25">
      <c r="A25" s="41"/>
      <c r="B25" s="41"/>
      <c r="C25" s="117"/>
      <c r="D25" s="124"/>
      <c r="E25" s="124"/>
      <c r="F25" s="124"/>
      <c r="G25" s="124"/>
      <c r="H25" s="124"/>
      <c r="I25" s="124"/>
    </row>
    <row r="26">
      <c r="A26" s="41"/>
      <c r="B26" s="41"/>
      <c r="C26" s="117"/>
      <c r="D26" s="124"/>
      <c r="E26" s="124"/>
      <c r="F26" s="124"/>
      <c r="G26" s="124"/>
      <c r="H26" s="124"/>
      <c r="I26" s="124"/>
    </row>
    <row r="27">
      <c r="A27" s="41"/>
      <c r="B27" s="41"/>
      <c r="C27" s="117"/>
      <c r="D27" s="124"/>
      <c r="E27" s="124"/>
      <c r="F27" s="124"/>
      <c r="G27" s="124"/>
      <c r="H27" s="124"/>
      <c r="I27" s="124"/>
    </row>
    <row r="28">
      <c r="A28" s="41"/>
      <c r="B28" s="41"/>
      <c r="C28" s="117"/>
      <c r="D28" s="124"/>
      <c r="E28" s="124"/>
      <c r="F28" s="124"/>
      <c r="G28" s="124"/>
      <c r="H28" s="124"/>
      <c r="I28" s="124"/>
    </row>
    <row r="29">
      <c r="A29" s="41"/>
      <c r="B29" s="41"/>
      <c r="C29" s="117"/>
      <c r="D29" s="124"/>
      <c r="E29" s="124"/>
      <c r="F29" s="124"/>
      <c r="G29" s="124"/>
      <c r="H29" s="124"/>
      <c r="I29" s="124"/>
    </row>
    <row r="30">
      <c r="A30" s="41"/>
      <c r="B30" s="41"/>
      <c r="C30" s="117"/>
      <c r="D30" s="124"/>
      <c r="E30" s="124"/>
      <c r="F30" s="124"/>
      <c r="G30" s="124"/>
      <c r="H30" s="124"/>
      <c r="I30" s="124"/>
    </row>
    <row r="31">
      <c r="A31" s="41"/>
      <c r="B31" s="41"/>
      <c r="C31" s="117"/>
      <c r="D31" s="124"/>
      <c r="E31" s="124"/>
      <c r="F31" s="124"/>
      <c r="G31" s="124"/>
      <c r="H31" s="124"/>
      <c r="I31" s="124"/>
    </row>
    <row r="32">
      <c r="A32" s="41"/>
      <c r="B32" s="41"/>
      <c r="C32" s="117"/>
      <c r="D32" s="124"/>
      <c r="E32" s="124"/>
      <c r="F32" s="124"/>
      <c r="G32" s="124"/>
      <c r="H32" s="124"/>
      <c r="I32" s="124"/>
    </row>
    <row r="33">
      <c r="A33" s="41"/>
      <c r="B33" s="41"/>
      <c r="C33" s="117"/>
      <c r="D33" s="124"/>
      <c r="E33" s="124"/>
      <c r="F33" s="124"/>
      <c r="G33" s="124"/>
      <c r="H33" s="124"/>
      <c r="I33" s="124"/>
    </row>
    <row r="34">
      <c r="A34" s="41"/>
      <c r="B34" s="41"/>
      <c r="C34" s="117"/>
      <c r="D34" s="124"/>
      <c r="E34" s="124"/>
      <c r="F34" s="124"/>
      <c r="G34" s="124"/>
      <c r="H34" s="124"/>
      <c r="I34" s="124"/>
    </row>
    <row r="35">
      <c r="A35" s="41"/>
      <c r="B35" s="41"/>
      <c r="C35" s="117"/>
      <c r="D35" s="124"/>
      <c r="E35" s="124"/>
      <c r="F35" s="124"/>
      <c r="G35" s="124"/>
      <c r="H35" s="124"/>
      <c r="I35" s="124"/>
    </row>
    <row r="36">
      <c r="A36" s="41"/>
      <c r="B36" s="41"/>
      <c r="C36" s="117"/>
      <c r="D36" s="124"/>
      <c r="E36" s="124"/>
      <c r="F36" s="124"/>
      <c r="G36" s="124"/>
      <c r="H36" s="124"/>
      <c r="I36" s="124"/>
    </row>
    <row r="37">
      <c r="A37" s="41"/>
      <c r="B37" s="41"/>
      <c r="C37" s="117"/>
      <c r="D37" s="124"/>
      <c r="E37" s="124"/>
      <c r="F37" s="124"/>
      <c r="G37" s="124"/>
      <c r="H37" s="124"/>
      <c r="I37" s="124"/>
    </row>
    <row r="38">
      <c r="A38" s="41"/>
      <c r="B38" s="41"/>
      <c r="C38" s="117"/>
      <c r="D38" s="124"/>
      <c r="E38" s="124"/>
      <c r="F38" s="124"/>
      <c r="G38" s="124"/>
      <c r="H38" s="124"/>
      <c r="I38" s="124"/>
    </row>
    <row r="39">
      <c r="A39" s="41"/>
      <c r="B39" s="41"/>
      <c r="C39" s="117"/>
      <c r="D39" s="124"/>
      <c r="E39" s="124"/>
      <c r="F39" s="124"/>
      <c r="G39" s="124"/>
      <c r="H39" s="124"/>
      <c r="I39" s="124"/>
    </row>
    <row r="40">
      <c r="A40" s="41"/>
      <c r="B40" s="41"/>
      <c r="C40" s="117"/>
      <c r="D40" s="124"/>
      <c r="E40" s="124"/>
      <c r="F40" s="124"/>
      <c r="G40" s="124"/>
      <c r="H40" s="124"/>
      <c r="I40" s="124"/>
    </row>
    <row r="41">
      <c r="A41" s="41"/>
      <c r="B41" s="41"/>
      <c r="C41" s="117"/>
      <c r="D41" s="124"/>
      <c r="E41" s="124"/>
      <c r="F41" s="124"/>
      <c r="G41" s="124"/>
      <c r="H41" s="124"/>
      <c r="I41" s="124"/>
    </row>
    <row r="42">
      <c r="A42" s="41"/>
      <c r="B42" s="41"/>
      <c r="C42" s="117"/>
      <c r="D42" s="124"/>
      <c r="E42" s="124"/>
      <c r="F42" s="124"/>
      <c r="G42" s="124"/>
      <c r="H42" s="124"/>
      <c r="I42" s="124"/>
    </row>
    <row r="43">
      <c r="A43" s="41"/>
      <c r="B43" s="41"/>
      <c r="C43" s="117"/>
      <c r="D43" s="124"/>
      <c r="E43" s="124"/>
      <c r="F43" s="124"/>
      <c r="G43" s="124"/>
      <c r="H43" s="124"/>
      <c r="I43" s="124"/>
    </row>
    <row r="44">
      <c r="A44" s="41"/>
      <c r="B44" s="41"/>
      <c r="C44" s="117"/>
      <c r="D44" s="124"/>
      <c r="E44" s="124"/>
      <c r="F44" s="124"/>
      <c r="G44" s="124"/>
      <c r="H44" s="124"/>
      <c r="I44" s="124"/>
    </row>
    <row r="45">
      <c r="A45" s="41"/>
      <c r="B45" s="41"/>
      <c r="C45" s="117"/>
      <c r="D45" s="124"/>
      <c r="E45" s="124"/>
      <c r="F45" s="124"/>
      <c r="G45" s="124"/>
      <c r="H45" s="124"/>
      <c r="I45" s="124"/>
    </row>
    <row r="46">
      <c r="A46" s="41"/>
      <c r="B46" s="41"/>
      <c r="C46" s="117"/>
      <c r="D46" s="124"/>
      <c r="E46" s="124"/>
      <c r="F46" s="124"/>
      <c r="G46" s="124"/>
      <c r="H46" s="124"/>
      <c r="I46" s="124"/>
    </row>
    <row r="47">
      <c r="A47" s="41"/>
      <c r="B47" s="41"/>
      <c r="C47" s="117"/>
      <c r="D47" s="124"/>
      <c r="E47" s="124"/>
      <c r="F47" s="124"/>
      <c r="G47" s="124"/>
      <c r="H47" s="124"/>
      <c r="I47" s="124"/>
    </row>
    <row r="48">
      <c r="A48" s="41"/>
      <c r="B48" s="41"/>
      <c r="C48" s="117"/>
      <c r="D48" s="124"/>
      <c r="E48" s="124"/>
      <c r="F48" s="124"/>
      <c r="G48" s="124"/>
      <c r="H48" s="124"/>
      <c r="I48" s="124"/>
    </row>
    <row r="49">
      <c r="A49" s="41"/>
      <c r="B49" s="41"/>
      <c r="C49" s="117"/>
      <c r="D49" s="124"/>
      <c r="E49" s="124"/>
      <c r="F49" s="124"/>
      <c r="G49" s="124"/>
      <c r="H49" s="124"/>
      <c r="I49" s="124"/>
    </row>
    <row r="50">
      <c r="A50" s="41"/>
      <c r="B50" s="41"/>
      <c r="C50" s="117"/>
      <c r="D50" s="124"/>
      <c r="E50" s="124"/>
      <c r="F50" s="124"/>
      <c r="G50" s="124"/>
      <c r="H50" s="124"/>
      <c r="I50" s="124"/>
    </row>
    <row r="51">
      <c r="A51" s="41"/>
      <c r="B51" s="41"/>
      <c r="C51" s="117"/>
      <c r="D51" s="124"/>
      <c r="E51" s="124"/>
      <c r="F51" s="124"/>
      <c r="G51" s="124"/>
      <c r="H51" s="124"/>
      <c r="I51" s="124"/>
    </row>
    <row r="52">
      <c r="A52" s="41"/>
      <c r="B52" s="41"/>
      <c r="C52" s="117"/>
      <c r="D52" s="124"/>
      <c r="E52" s="124"/>
      <c r="F52" s="124"/>
      <c r="G52" s="124"/>
      <c r="H52" s="124"/>
      <c r="I52" s="124"/>
    </row>
    <row r="53">
      <c r="A53" s="41"/>
      <c r="B53" s="41"/>
      <c r="C53" s="117"/>
      <c r="D53" s="124"/>
      <c r="E53" s="124"/>
      <c r="F53" s="124"/>
      <c r="G53" s="124"/>
      <c r="H53" s="124"/>
      <c r="I53" s="124"/>
    </row>
    <row r="54">
      <c r="A54" s="41"/>
      <c r="B54" s="41"/>
      <c r="C54" s="117"/>
      <c r="D54" s="124"/>
      <c r="E54" s="124"/>
      <c r="F54" s="124"/>
      <c r="G54" s="124"/>
      <c r="H54" s="124"/>
      <c r="I54" s="124"/>
    </row>
    <row r="55">
      <c r="A55" s="41"/>
      <c r="B55" s="41"/>
      <c r="C55" s="117"/>
      <c r="D55" s="124"/>
      <c r="E55" s="124"/>
      <c r="F55" s="124"/>
      <c r="G55" s="124"/>
      <c r="H55" s="124"/>
      <c r="I55" s="124"/>
    </row>
    <row r="56">
      <c r="A56" s="41"/>
      <c r="B56" s="41"/>
      <c r="C56" s="117"/>
      <c r="D56" s="124"/>
      <c r="E56" s="124"/>
      <c r="F56" s="124"/>
      <c r="G56" s="124"/>
      <c r="H56" s="124"/>
      <c r="I56" s="124"/>
    </row>
    <row r="57">
      <c r="A57" s="41"/>
      <c r="B57" s="41"/>
      <c r="C57" s="117"/>
      <c r="D57" s="124"/>
      <c r="E57" s="124"/>
      <c r="F57" s="124"/>
      <c r="G57" s="124"/>
      <c r="H57" s="124"/>
      <c r="I57" s="124"/>
    </row>
    <row r="58">
      <c r="A58" s="41"/>
      <c r="B58" s="41"/>
      <c r="C58" s="117"/>
      <c r="D58" s="124"/>
      <c r="E58" s="124"/>
      <c r="F58" s="124"/>
      <c r="G58" s="124"/>
      <c r="H58" s="124"/>
      <c r="I58" s="124"/>
    </row>
    <row r="59">
      <c r="A59" s="41"/>
      <c r="B59" s="41"/>
      <c r="C59" s="117"/>
      <c r="D59" s="124"/>
      <c r="E59" s="124"/>
      <c r="F59" s="124"/>
      <c r="G59" s="124"/>
      <c r="H59" s="124"/>
      <c r="I59" s="124"/>
    </row>
    <row r="60">
      <c r="A60" s="41"/>
      <c r="B60" s="41"/>
      <c r="C60" s="117"/>
      <c r="D60" s="124"/>
      <c r="E60" s="124"/>
      <c r="F60" s="124"/>
      <c r="G60" s="124"/>
      <c r="H60" s="124"/>
      <c r="I60" s="124"/>
    </row>
    <row r="61">
      <c r="A61" s="41"/>
      <c r="B61" s="41"/>
      <c r="C61" s="117"/>
      <c r="D61" s="124"/>
      <c r="E61" s="124"/>
      <c r="F61" s="124"/>
      <c r="G61" s="124"/>
      <c r="H61" s="124"/>
      <c r="I61" s="124"/>
    </row>
    <row r="62">
      <c r="A62" s="41"/>
      <c r="B62" s="41"/>
      <c r="C62" s="117"/>
      <c r="D62" s="124"/>
      <c r="E62" s="124"/>
      <c r="F62" s="124"/>
      <c r="G62" s="124"/>
      <c r="H62" s="124"/>
      <c r="I62" s="124"/>
    </row>
    <row r="63">
      <c r="A63" s="41"/>
      <c r="B63" s="41"/>
      <c r="C63" s="117"/>
      <c r="D63" s="124"/>
      <c r="E63" s="124"/>
      <c r="F63" s="124"/>
      <c r="G63" s="124"/>
      <c r="H63" s="124"/>
      <c r="I63" s="124"/>
    </row>
    <row r="64">
      <c r="A64" s="41"/>
      <c r="B64" s="41"/>
      <c r="C64" s="117"/>
      <c r="D64" s="124"/>
      <c r="E64" s="124"/>
      <c r="F64" s="124"/>
      <c r="G64" s="124"/>
      <c r="H64" s="124"/>
      <c r="I64" s="124"/>
    </row>
    <row r="65">
      <c r="A65" s="41"/>
      <c r="B65" s="41"/>
      <c r="C65" s="117"/>
      <c r="D65" s="124"/>
      <c r="E65" s="124"/>
      <c r="F65" s="124"/>
      <c r="G65" s="124"/>
      <c r="H65" s="124"/>
      <c r="I65" s="124"/>
    </row>
    <row r="66">
      <c r="A66" s="41"/>
      <c r="B66" s="41"/>
      <c r="C66" s="117"/>
      <c r="D66" s="124"/>
      <c r="E66" s="124"/>
      <c r="F66" s="124"/>
      <c r="G66" s="124"/>
      <c r="H66" s="124"/>
      <c r="I66" s="124"/>
    </row>
    <row r="67">
      <c r="A67" s="41"/>
      <c r="B67" s="41"/>
      <c r="C67" s="117"/>
      <c r="D67" s="124"/>
      <c r="E67" s="124"/>
      <c r="F67" s="124"/>
      <c r="G67" s="124"/>
      <c r="H67" s="124"/>
      <c r="I67" s="124"/>
    </row>
    <row r="68">
      <c r="A68" s="41"/>
      <c r="B68" s="41"/>
      <c r="C68" s="117"/>
      <c r="D68" s="124"/>
      <c r="E68" s="124"/>
      <c r="F68" s="124"/>
      <c r="G68" s="124"/>
      <c r="H68" s="124"/>
      <c r="I68" s="124"/>
    </row>
    <row r="69">
      <c r="A69" s="41"/>
      <c r="B69" s="41"/>
      <c r="C69" s="117"/>
      <c r="D69" s="124"/>
      <c r="E69" s="124"/>
      <c r="F69" s="124"/>
      <c r="G69" s="124"/>
      <c r="H69" s="124"/>
      <c r="I69" s="124"/>
    </row>
    <row r="70">
      <c r="A70" s="41"/>
      <c r="B70" s="41"/>
      <c r="C70" s="117"/>
      <c r="D70" s="124"/>
      <c r="E70" s="124"/>
      <c r="F70" s="124"/>
      <c r="G70" s="124"/>
      <c r="H70" s="124"/>
      <c r="I70" s="124"/>
    </row>
    <row r="71">
      <c r="A71" s="41"/>
      <c r="B71" s="41"/>
      <c r="C71" s="117"/>
      <c r="D71" s="124"/>
      <c r="E71" s="124"/>
      <c r="F71" s="124"/>
      <c r="G71" s="124"/>
      <c r="H71" s="124"/>
      <c r="I71" s="124"/>
    </row>
    <row r="72">
      <c r="A72" s="41"/>
      <c r="B72" s="41"/>
      <c r="C72" s="117"/>
      <c r="D72" s="124"/>
      <c r="E72" s="124"/>
      <c r="F72" s="124"/>
      <c r="G72" s="124"/>
      <c r="H72" s="124"/>
      <c r="I72" s="124"/>
    </row>
    <row r="73">
      <c r="A73" s="41"/>
      <c r="B73" s="41"/>
      <c r="C73" s="117"/>
      <c r="D73" s="124"/>
      <c r="E73" s="124"/>
      <c r="F73" s="124"/>
      <c r="G73" s="124"/>
      <c r="H73" s="124"/>
      <c r="I73" s="124"/>
    </row>
    <row r="74">
      <c r="A74" s="41"/>
      <c r="B74" s="41"/>
      <c r="C74" s="117"/>
      <c r="D74" s="124"/>
      <c r="E74" s="124"/>
      <c r="F74" s="124"/>
      <c r="G74" s="124"/>
      <c r="H74" s="124"/>
      <c r="I74" s="124"/>
    </row>
    <row r="75">
      <c r="A75" s="41"/>
      <c r="B75" s="41"/>
      <c r="C75" s="117"/>
      <c r="D75" s="124"/>
      <c r="E75" s="124"/>
      <c r="F75" s="124"/>
      <c r="G75" s="124"/>
      <c r="H75" s="124"/>
      <c r="I75" s="124"/>
    </row>
    <row r="76">
      <c r="A76" s="41"/>
      <c r="B76" s="41"/>
      <c r="C76" s="117"/>
      <c r="D76" s="124"/>
      <c r="E76" s="124"/>
      <c r="F76" s="124"/>
      <c r="G76" s="124"/>
      <c r="H76" s="124"/>
      <c r="I76" s="124"/>
    </row>
    <row r="77">
      <c r="A77" s="41"/>
      <c r="B77" s="41"/>
      <c r="C77" s="117"/>
      <c r="D77" s="124"/>
      <c r="E77" s="124"/>
      <c r="F77" s="124"/>
      <c r="G77" s="124"/>
      <c r="H77" s="124"/>
      <c r="I77" s="124"/>
    </row>
    <row r="78">
      <c r="A78" s="41"/>
      <c r="B78" s="41"/>
      <c r="C78" s="117"/>
      <c r="D78" s="124"/>
      <c r="E78" s="124"/>
      <c r="F78" s="124"/>
      <c r="G78" s="124"/>
      <c r="H78" s="124"/>
      <c r="I78" s="124"/>
    </row>
    <row r="79">
      <c r="A79" s="41"/>
      <c r="B79" s="41"/>
      <c r="C79" s="117"/>
      <c r="D79" s="124"/>
      <c r="E79" s="124"/>
      <c r="F79" s="124"/>
      <c r="G79" s="124"/>
      <c r="H79" s="124"/>
      <c r="I79" s="124"/>
    </row>
    <row r="80">
      <c r="A80" s="41"/>
      <c r="B80" s="41"/>
      <c r="C80" s="117"/>
      <c r="D80" s="124"/>
      <c r="E80" s="124"/>
      <c r="F80" s="124"/>
      <c r="G80" s="124"/>
      <c r="H80" s="124"/>
      <c r="I80" s="124"/>
    </row>
    <row r="81">
      <c r="A81" s="41"/>
      <c r="B81" s="41"/>
      <c r="C81" s="117"/>
      <c r="D81" s="124"/>
      <c r="E81" s="124"/>
      <c r="F81" s="124"/>
      <c r="G81" s="124"/>
      <c r="H81" s="124"/>
      <c r="I81" s="124"/>
    </row>
    <row r="82">
      <c r="A82" s="41"/>
      <c r="B82" s="41"/>
      <c r="C82" s="117"/>
      <c r="D82" s="124"/>
      <c r="E82" s="124"/>
      <c r="F82" s="124"/>
      <c r="G82" s="124"/>
      <c r="H82" s="124"/>
      <c r="I82" s="124"/>
    </row>
    <row r="83">
      <c r="A83" s="41"/>
      <c r="B83" s="41"/>
      <c r="C83" s="117"/>
      <c r="D83" s="124"/>
      <c r="E83" s="124"/>
      <c r="F83" s="124"/>
      <c r="G83" s="124"/>
      <c r="H83" s="124"/>
      <c r="I83" s="124"/>
    </row>
    <row r="84">
      <c r="A84" s="41"/>
      <c r="B84" s="41"/>
      <c r="C84" s="117"/>
      <c r="D84" s="124"/>
      <c r="E84" s="124"/>
      <c r="F84" s="124"/>
      <c r="G84" s="124"/>
      <c r="H84" s="124"/>
      <c r="I84" s="124"/>
    </row>
    <row r="85">
      <c r="A85" s="41"/>
      <c r="B85" s="41"/>
      <c r="C85" s="117"/>
      <c r="D85" s="124"/>
      <c r="E85" s="124"/>
      <c r="F85" s="124"/>
      <c r="G85" s="124"/>
      <c r="H85" s="124"/>
      <c r="I85" s="124"/>
    </row>
    <row r="86">
      <c r="A86" s="41"/>
      <c r="B86" s="41"/>
      <c r="C86" s="117"/>
      <c r="D86" s="124"/>
      <c r="E86" s="124"/>
      <c r="F86" s="124"/>
      <c r="G86" s="124"/>
      <c r="H86" s="124"/>
      <c r="I86" s="124"/>
    </row>
    <row r="87">
      <c r="A87" s="41"/>
      <c r="B87" s="41"/>
      <c r="C87" s="117"/>
      <c r="D87" s="124"/>
      <c r="E87" s="124"/>
      <c r="F87" s="124"/>
      <c r="G87" s="124"/>
      <c r="H87" s="124"/>
      <c r="I87" s="124"/>
    </row>
    <row r="88">
      <c r="A88" s="41"/>
      <c r="B88" s="41"/>
      <c r="C88" s="117"/>
      <c r="D88" s="124"/>
      <c r="E88" s="124"/>
      <c r="F88" s="124"/>
      <c r="G88" s="124"/>
      <c r="H88" s="124"/>
      <c r="I88" s="124"/>
    </row>
    <row r="89">
      <c r="A89" s="41"/>
      <c r="B89" s="41"/>
      <c r="C89" s="117"/>
      <c r="D89" s="124"/>
      <c r="E89" s="124"/>
      <c r="F89" s="124"/>
      <c r="G89" s="124"/>
      <c r="H89" s="124"/>
      <c r="I89" s="124"/>
    </row>
    <row r="90">
      <c r="A90" s="41"/>
      <c r="B90" s="41"/>
      <c r="C90" s="117"/>
      <c r="D90" s="124"/>
      <c r="E90" s="124"/>
      <c r="F90" s="124"/>
      <c r="G90" s="124"/>
      <c r="H90" s="124"/>
      <c r="I90" s="124"/>
    </row>
    <row r="91">
      <c r="A91" s="41"/>
      <c r="B91" s="41"/>
      <c r="C91" s="117"/>
      <c r="D91" s="124"/>
      <c r="E91" s="124"/>
      <c r="F91" s="124"/>
      <c r="G91" s="124"/>
      <c r="H91" s="124"/>
      <c r="I91" s="124"/>
    </row>
    <row r="92">
      <c r="A92" s="41"/>
      <c r="B92" s="41"/>
      <c r="C92" s="117"/>
      <c r="D92" s="124"/>
      <c r="E92" s="124"/>
      <c r="F92" s="124"/>
      <c r="G92" s="124"/>
      <c r="H92" s="124"/>
      <c r="I92" s="124"/>
    </row>
    <row r="93">
      <c r="A93" s="41"/>
      <c r="B93" s="41"/>
      <c r="C93" s="117"/>
      <c r="D93" s="124"/>
      <c r="E93" s="124"/>
      <c r="F93" s="124"/>
      <c r="G93" s="124"/>
      <c r="H93" s="124"/>
      <c r="I93" s="124"/>
    </row>
    <row r="94">
      <c r="A94" s="41"/>
      <c r="B94" s="41"/>
      <c r="C94" s="117"/>
      <c r="D94" s="124"/>
      <c r="E94" s="124"/>
      <c r="F94" s="124"/>
      <c r="G94" s="124"/>
      <c r="H94" s="124"/>
      <c r="I94" s="124"/>
    </row>
    <row r="95">
      <c r="A95" s="41"/>
      <c r="B95" s="41"/>
      <c r="C95" s="117"/>
      <c r="D95" s="124"/>
      <c r="E95" s="124"/>
      <c r="F95" s="124"/>
      <c r="G95" s="124"/>
      <c r="H95" s="124"/>
      <c r="I95" s="124"/>
    </row>
    <row r="96">
      <c r="A96" s="41"/>
      <c r="B96" s="41"/>
      <c r="C96" s="117"/>
      <c r="D96" s="124"/>
      <c r="E96" s="124"/>
      <c r="F96" s="124"/>
      <c r="G96" s="124"/>
      <c r="H96" s="124"/>
      <c r="I96" s="124"/>
    </row>
    <row r="97">
      <c r="A97" s="41"/>
      <c r="B97" s="41"/>
      <c r="C97" s="117"/>
      <c r="D97" s="124"/>
      <c r="E97" s="124"/>
      <c r="F97" s="124"/>
      <c r="G97" s="124"/>
      <c r="H97" s="124"/>
      <c r="I97" s="124"/>
    </row>
    <row r="98">
      <c r="A98" s="41"/>
      <c r="B98" s="41"/>
      <c r="C98" s="117"/>
      <c r="D98" s="124"/>
      <c r="E98" s="124"/>
      <c r="F98" s="124"/>
      <c r="G98" s="124"/>
      <c r="H98" s="124"/>
      <c r="I98" s="124"/>
    </row>
    <row r="99">
      <c r="A99" s="41"/>
      <c r="B99" s="41"/>
      <c r="C99" s="117"/>
      <c r="D99" s="124"/>
      <c r="E99" s="124"/>
      <c r="F99" s="124"/>
      <c r="G99" s="124"/>
      <c r="H99" s="124"/>
      <c r="I99" s="124"/>
    </row>
    <row r="100">
      <c r="A100" s="41"/>
      <c r="B100" s="41"/>
      <c r="C100" s="117"/>
      <c r="D100" s="124"/>
      <c r="E100" s="124"/>
      <c r="F100" s="124"/>
      <c r="G100" s="124"/>
      <c r="H100" s="124"/>
      <c r="I100" s="124"/>
    </row>
    <row r="101">
      <c r="A101" s="41"/>
      <c r="B101" s="41"/>
      <c r="C101" s="117"/>
      <c r="D101" s="124"/>
      <c r="E101" s="124"/>
      <c r="F101" s="124"/>
      <c r="G101" s="124"/>
      <c r="H101" s="124"/>
      <c r="I101" s="124"/>
    </row>
    <row r="102">
      <c r="A102" s="41"/>
      <c r="B102" s="41"/>
      <c r="C102" s="117"/>
      <c r="D102" s="124"/>
      <c r="E102" s="124"/>
      <c r="F102" s="124"/>
      <c r="G102" s="124"/>
      <c r="H102" s="124"/>
      <c r="I102" s="124"/>
    </row>
    <row r="103">
      <c r="A103" s="41"/>
      <c r="B103" s="41"/>
      <c r="C103" s="117"/>
      <c r="D103" s="124"/>
      <c r="E103" s="124"/>
      <c r="F103" s="124"/>
      <c r="G103" s="124"/>
      <c r="H103" s="124"/>
      <c r="I103" s="124"/>
    </row>
    <row r="104">
      <c r="A104" s="41"/>
      <c r="B104" s="41"/>
      <c r="C104" s="117"/>
      <c r="D104" s="124"/>
      <c r="E104" s="124"/>
      <c r="F104" s="124"/>
      <c r="G104" s="124"/>
      <c r="H104" s="124"/>
      <c r="I104" s="124"/>
    </row>
    <row r="105">
      <c r="A105" s="41"/>
      <c r="B105" s="41"/>
      <c r="C105" s="117"/>
      <c r="D105" s="124"/>
      <c r="E105" s="124"/>
      <c r="F105" s="124"/>
      <c r="G105" s="124"/>
      <c r="H105" s="124"/>
      <c r="I105" s="124"/>
    </row>
    <row r="106">
      <c r="A106" s="41"/>
      <c r="B106" s="41"/>
      <c r="C106" s="117"/>
      <c r="D106" s="124"/>
      <c r="E106" s="124"/>
      <c r="F106" s="124"/>
      <c r="G106" s="124"/>
      <c r="H106" s="124"/>
      <c r="I106" s="124"/>
    </row>
    <row r="107">
      <c r="A107" s="41"/>
      <c r="B107" s="41"/>
      <c r="C107" s="117"/>
      <c r="D107" s="124"/>
      <c r="E107" s="124"/>
      <c r="F107" s="124"/>
      <c r="G107" s="124"/>
      <c r="H107" s="124"/>
      <c r="I107" s="124"/>
    </row>
    <row r="108">
      <c r="A108" s="41"/>
      <c r="B108" s="41"/>
      <c r="C108" s="117"/>
      <c r="D108" s="124"/>
      <c r="E108" s="124"/>
      <c r="F108" s="124"/>
      <c r="G108" s="124"/>
      <c r="H108" s="124"/>
      <c r="I108" s="124"/>
    </row>
    <row r="109">
      <c r="A109" s="41"/>
      <c r="B109" s="41"/>
      <c r="C109" s="117"/>
      <c r="D109" s="124"/>
      <c r="E109" s="124"/>
      <c r="F109" s="124"/>
      <c r="G109" s="124"/>
      <c r="H109" s="124"/>
      <c r="I109" s="124"/>
    </row>
    <row r="110">
      <c r="A110" s="41"/>
      <c r="B110" s="41"/>
      <c r="C110" s="117"/>
      <c r="D110" s="124"/>
      <c r="E110" s="124"/>
      <c r="F110" s="124"/>
      <c r="G110" s="124"/>
      <c r="H110" s="124"/>
      <c r="I110" s="124"/>
    </row>
    <row r="111">
      <c r="A111" s="41"/>
      <c r="B111" s="41"/>
      <c r="C111" s="117"/>
      <c r="D111" s="124"/>
      <c r="E111" s="124"/>
      <c r="F111" s="124"/>
      <c r="G111" s="124"/>
      <c r="H111" s="124"/>
      <c r="I111" s="124"/>
    </row>
    <row r="112">
      <c r="A112" s="41"/>
      <c r="B112" s="41"/>
      <c r="C112" s="117"/>
      <c r="D112" s="124"/>
      <c r="E112" s="124"/>
      <c r="F112" s="124"/>
      <c r="G112" s="124"/>
      <c r="H112" s="124"/>
      <c r="I112" s="124"/>
    </row>
    <row r="113">
      <c r="A113" s="41"/>
      <c r="B113" s="41"/>
      <c r="C113" s="117"/>
      <c r="D113" s="124"/>
      <c r="E113" s="124"/>
      <c r="F113" s="124"/>
      <c r="G113" s="124"/>
      <c r="H113" s="124"/>
      <c r="I113" s="124"/>
    </row>
    <row r="114">
      <c r="A114" s="41"/>
      <c r="B114" s="41"/>
      <c r="C114" s="117"/>
      <c r="D114" s="124"/>
      <c r="E114" s="124"/>
      <c r="F114" s="124"/>
      <c r="G114" s="124"/>
      <c r="H114" s="124"/>
      <c r="I114" s="124"/>
    </row>
    <row r="115">
      <c r="A115" s="41"/>
      <c r="B115" s="41"/>
      <c r="C115" s="117"/>
      <c r="D115" s="124"/>
      <c r="E115" s="124"/>
      <c r="F115" s="124"/>
      <c r="G115" s="124"/>
      <c r="H115" s="124"/>
      <c r="I115" s="124"/>
    </row>
    <row r="116">
      <c r="A116" s="41"/>
      <c r="B116" s="41"/>
      <c r="C116" s="117"/>
      <c r="D116" s="124"/>
      <c r="E116" s="124"/>
      <c r="F116" s="124"/>
      <c r="G116" s="124"/>
      <c r="H116" s="124"/>
      <c r="I116" s="124"/>
    </row>
    <row r="117">
      <c r="A117" s="41"/>
      <c r="B117" s="41"/>
      <c r="C117" s="117"/>
      <c r="D117" s="124"/>
      <c r="E117" s="124"/>
      <c r="F117" s="124"/>
      <c r="G117" s="124"/>
      <c r="H117" s="124"/>
      <c r="I117" s="124"/>
    </row>
    <row r="118">
      <c r="A118" s="41"/>
      <c r="B118" s="41"/>
      <c r="C118" s="117"/>
      <c r="D118" s="124"/>
      <c r="E118" s="124"/>
      <c r="F118" s="124"/>
      <c r="G118" s="124"/>
      <c r="H118" s="124"/>
      <c r="I118" s="124"/>
    </row>
    <row r="119">
      <c r="A119" s="41"/>
      <c r="B119" s="41"/>
      <c r="C119" s="117"/>
      <c r="D119" s="124"/>
      <c r="E119" s="124"/>
      <c r="F119" s="124"/>
      <c r="G119" s="124"/>
      <c r="H119" s="124"/>
      <c r="I119" s="124"/>
    </row>
    <row r="120">
      <c r="A120" s="41"/>
      <c r="B120" s="41"/>
      <c r="C120" s="117"/>
      <c r="D120" s="124"/>
      <c r="E120" s="124"/>
      <c r="F120" s="124"/>
      <c r="G120" s="124"/>
      <c r="H120" s="124"/>
      <c r="I120" s="124"/>
    </row>
    <row r="121">
      <c r="A121" s="41"/>
      <c r="B121" s="41"/>
      <c r="C121" s="117"/>
      <c r="D121" s="124"/>
      <c r="E121" s="124"/>
      <c r="F121" s="124"/>
      <c r="G121" s="124"/>
      <c r="H121" s="124"/>
      <c r="I121" s="124"/>
    </row>
    <row r="122">
      <c r="A122" s="41"/>
      <c r="B122" s="41"/>
      <c r="C122" s="117"/>
      <c r="D122" s="124"/>
      <c r="E122" s="124"/>
      <c r="F122" s="124"/>
      <c r="G122" s="124"/>
      <c r="H122" s="124"/>
      <c r="I122" s="124"/>
    </row>
    <row r="123">
      <c r="A123" s="41"/>
      <c r="B123" s="41"/>
      <c r="C123" s="117"/>
      <c r="D123" s="124"/>
      <c r="E123" s="124"/>
      <c r="F123" s="124"/>
      <c r="G123" s="124"/>
      <c r="H123" s="124"/>
      <c r="I123" s="124"/>
    </row>
    <row r="124">
      <c r="A124" s="41"/>
      <c r="B124" s="41"/>
      <c r="C124" s="117"/>
      <c r="D124" s="124"/>
      <c r="E124" s="124"/>
      <c r="F124" s="124"/>
      <c r="G124" s="124"/>
      <c r="H124" s="124"/>
      <c r="I124" s="124"/>
    </row>
    <row r="125">
      <c r="A125" s="41"/>
      <c r="B125" s="41"/>
      <c r="C125" s="117"/>
      <c r="D125" s="124"/>
      <c r="E125" s="124"/>
      <c r="F125" s="124"/>
      <c r="G125" s="124"/>
      <c r="H125" s="124"/>
      <c r="I125" s="124"/>
    </row>
    <row r="126">
      <c r="A126" s="41"/>
      <c r="B126" s="41"/>
      <c r="C126" s="117"/>
      <c r="D126" s="124"/>
      <c r="E126" s="124"/>
      <c r="F126" s="124"/>
      <c r="G126" s="124"/>
      <c r="H126" s="124"/>
      <c r="I126" s="124"/>
    </row>
    <row r="127">
      <c r="A127" s="41"/>
      <c r="B127" s="41"/>
      <c r="C127" s="117"/>
      <c r="D127" s="124"/>
      <c r="E127" s="124"/>
      <c r="F127" s="124"/>
      <c r="G127" s="124"/>
      <c r="H127" s="124"/>
      <c r="I127" s="124"/>
    </row>
    <row r="128">
      <c r="A128" s="41"/>
      <c r="B128" s="41"/>
      <c r="C128" s="117"/>
      <c r="D128" s="124"/>
      <c r="E128" s="124"/>
      <c r="F128" s="124"/>
      <c r="G128" s="124"/>
      <c r="H128" s="124"/>
      <c r="I128" s="124"/>
    </row>
    <row r="129">
      <c r="A129" s="41"/>
      <c r="B129" s="41"/>
      <c r="C129" s="117"/>
      <c r="D129" s="124"/>
      <c r="E129" s="124"/>
      <c r="F129" s="124"/>
      <c r="G129" s="124"/>
      <c r="H129" s="124"/>
      <c r="I129" s="124"/>
    </row>
    <row r="130">
      <c r="A130" s="41"/>
      <c r="B130" s="41"/>
      <c r="C130" s="117"/>
      <c r="D130" s="124"/>
      <c r="E130" s="124"/>
      <c r="F130" s="124"/>
      <c r="G130" s="124"/>
      <c r="H130" s="124"/>
      <c r="I130" s="124"/>
    </row>
    <row r="131">
      <c r="A131" s="41"/>
      <c r="B131" s="41"/>
      <c r="C131" s="117"/>
      <c r="D131" s="124"/>
      <c r="E131" s="124"/>
      <c r="F131" s="124"/>
      <c r="G131" s="124"/>
      <c r="H131" s="124"/>
      <c r="I131" s="124"/>
    </row>
    <row r="132">
      <c r="A132" s="41"/>
      <c r="B132" s="41"/>
      <c r="C132" s="117"/>
      <c r="D132" s="124"/>
      <c r="E132" s="124"/>
      <c r="F132" s="124"/>
      <c r="G132" s="124"/>
      <c r="H132" s="124"/>
      <c r="I132" s="124"/>
    </row>
    <row r="133">
      <c r="A133" s="41"/>
      <c r="B133" s="41"/>
      <c r="C133" s="117"/>
      <c r="D133" s="124"/>
      <c r="E133" s="124"/>
      <c r="F133" s="124"/>
      <c r="G133" s="124"/>
      <c r="H133" s="124"/>
      <c r="I133" s="124"/>
    </row>
    <row r="134">
      <c r="A134" s="41"/>
      <c r="B134" s="41"/>
      <c r="C134" s="117"/>
      <c r="D134" s="124"/>
      <c r="E134" s="124"/>
      <c r="F134" s="124"/>
      <c r="G134" s="124"/>
      <c r="H134" s="124"/>
      <c r="I134" s="124"/>
    </row>
    <row r="135">
      <c r="A135" s="41"/>
      <c r="B135" s="41"/>
      <c r="C135" s="117"/>
      <c r="D135" s="124"/>
      <c r="E135" s="124"/>
      <c r="F135" s="124"/>
      <c r="G135" s="124"/>
      <c r="H135" s="124"/>
      <c r="I135" s="124"/>
    </row>
    <row r="136">
      <c r="A136" s="41"/>
      <c r="B136" s="41"/>
      <c r="C136" s="117"/>
      <c r="D136" s="124"/>
      <c r="E136" s="124"/>
      <c r="F136" s="124"/>
      <c r="G136" s="124"/>
      <c r="H136" s="124"/>
      <c r="I136" s="124"/>
    </row>
    <row r="137">
      <c r="A137" s="41"/>
      <c r="B137" s="41"/>
      <c r="C137" s="117"/>
      <c r="D137" s="124"/>
      <c r="E137" s="124"/>
      <c r="F137" s="124"/>
      <c r="G137" s="124"/>
      <c r="H137" s="124"/>
      <c r="I137" s="124"/>
    </row>
    <row r="138">
      <c r="A138" s="41"/>
      <c r="B138" s="41"/>
      <c r="C138" s="117"/>
      <c r="D138" s="124"/>
      <c r="E138" s="124"/>
      <c r="F138" s="124"/>
      <c r="G138" s="124"/>
      <c r="H138" s="124"/>
      <c r="I138" s="124"/>
    </row>
    <row r="139">
      <c r="A139" s="41"/>
      <c r="B139" s="41"/>
      <c r="C139" s="117"/>
      <c r="D139" s="124"/>
      <c r="E139" s="124"/>
      <c r="F139" s="124"/>
      <c r="G139" s="124"/>
      <c r="H139" s="124"/>
      <c r="I139" s="124"/>
    </row>
    <row r="140">
      <c r="A140" s="41"/>
      <c r="B140" s="41"/>
      <c r="C140" s="117"/>
      <c r="D140" s="124"/>
      <c r="E140" s="124"/>
      <c r="F140" s="124"/>
      <c r="G140" s="124"/>
      <c r="H140" s="124"/>
      <c r="I140" s="124"/>
    </row>
    <row r="141">
      <c r="A141" s="41"/>
      <c r="B141" s="41"/>
      <c r="C141" s="117"/>
      <c r="D141" s="124"/>
      <c r="E141" s="124"/>
      <c r="F141" s="124"/>
      <c r="G141" s="124"/>
      <c r="H141" s="124"/>
      <c r="I141" s="124"/>
    </row>
    <row r="142">
      <c r="A142" s="41"/>
      <c r="B142" s="41"/>
      <c r="C142" s="117"/>
      <c r="D142" s="124"/>
      <c r="E142" s="124"/>
      <c r="F142" s="124"/>
      <c r="G142" s="124"/>
      <c r="H142" s="124"/>
      <c r="I142" s="124"/>
    </row>
    <row r="143">
      <c r="A143" s="41"/>
      <c r="B143" s="41"/>
      <c r="C143" s="117"/>
      <c r="D143" s="124"/>
      <c r="E143" s="124"/>
      <c r="F143" s="124"/>
      <c r="G143" s="124"/>
      <c r="H143" s="124"/>
      <c r="I143" s="124"/>
    </row>
    <row r="144">
      <c r="A144" s="41"/>
      <c r="B144" s="41"/>
      <c r="C144" s="117"/>
      <c r="D144" s="124"/>
      <c r="E144" s="124"/>
      <c r="F144" s="124"/>
      <c r="G144" s="124"/>
      <c r="H144" s="124"/>
      <c r="I144" s="124"/>
    </row>
    <row r="145">
      <c r="A145" s="41"/>
      <c r="B145" s="41"/>
      <c r="C145" s="117"/>
      <c r="D145" s="124"/>
      <c r="E145" s="124"/>
      <c r="F145" s="124"/>
      <c r="G145" s="124"/>
      <c r="H145" s="124"/>
      <c r="I145" s="124"/>
    </row>
    <row r="146">
      <c r="A146" s="41"/>
      <c r="B146" s="41"/>
      <c r="C146" s="117"/>
      <c r="D146" s="124"/>
      <c r="E146" s="124"/>
      <c r="F146" s="124"/>
      <c r="G146" s="124"/>
      <c r="H146" s="124"/>
      <c r="I146" s="124"/>
    </row>
    <row r="147">
      <c r="A147" s="41"/>
      <c r="B147" s="41"/>
      <c r="C147" s="117"/>
      <c r="D147" s="124"/>
      <c r="E147" s="124"/>
      <c r="F147" s="124"/>
      <c r="G147" s="124"/>
      <c r="H147" s="124"/>
      <c r="I147" s="124"/>
    </row>
    <row r="148">
      <c r="A148" s="41"/>
      <c r="B148" s="41"/>
      <c r="C148" s="117"/>
      <c r="D148" s="124"/>
      <c r="E148" s="124"/>
      <c r="F148" s="124"/>
      <c r="G148" s="124"/>
      <c r="H148" s="124"/>
      <c r="I148" s="124"/>
    </row>
    <row r="149">
      <c r="A149" s="41"/>
      <c r="B149" s="41"/>
      <c r="C149" s="117"/>
      <c r="D149" s="124"/>
      <c r="E149" s="124"/>
      <c r="F149" s="124"/>
      <c r="G149" s="124"/>
      <c r="H149" s="124"/>
      <c r="I149" s="124"/>
    </row>
    <row r="150">
      <c r="A150" s="41"/>
      <c r="B150" s="41"/>
      <c r="C150" s="117"/>
      <c r="D150" s="124"/>
      <c r="E150" s="124"/>
      <c r="F150" s="124"/>
      <c r="G150" s="124"/>
      <c r="H150" s="124"/>
      <c r="I150" s="124"/>
    </row>
    <row r="151">
      <c r="A151" s="41"/>
      <c r="B151" s="41"/>
      <c r="C151" s="117"/>
      <c r="D151" s="124"/>
      <c r="E151" s="124"/>
      <c r="F151" s="124"/>
      <c r="G151" s="124"/>
      <c r="H151" s="124"/>
      <c r="I151" s="124"/>
    </row>
    <row r="152">
      <c r="A152" s="41"/>
      <c r="B152" s="41"/>
      <c r="C152" s="117"/>
      <c r="D152" s="124"/>
      <c r="E152" s="124"/>
      <c r="F152" s="124"/>
      <c r="G152" s="124"/>
      <c r="H152" s="124"/>
      <c r="I152" s="124"/>
    </row>
    <row r="153">
      <c r="A153" s="41"/>
      <c r="B153" s="41"/>
      <c r="C153" s="117"/>
      <c r="D153" s="124"/>
      <c r="E153" s="124"/>
      <c r="F153" s="124"/>
      <c r="G153" s="124"/>
      <c r="H153" s="124"/>
      <c r="I153" s="124"/>
    </row>
    <row r="154">
      <c r="A154" s="41"/>
      <c r="B154" s="41"/>
      <c r="C154" s="117"/>
      <c r="D154" s="124"/>
      <c r="E154" s="124"/>
      <c r="F154" s="124"/>
      <c r="G154" s="124"/>
      <c r="H154" s="124"/>
      <c r="I154" s="124"/>
    </row>
    <row r="155">
      <c r="A155" s="41"/>
      <c r="B155" s="41"/>
      <c r="C155" s="117"/>
      <c r="D155" s="124"/>
      <c r="E155" s="124"/>
      <c r="F155" s="124"/>
      <c r="G155" s="124"/>
      <c r="H155" s="124"/>
      <c r="I155" s="124"/>
    </row>
    <row r="156">
      <c r="A156" s="41"/>
      <c r="B156" s="41"/>
      <c r="C156" s="117"/>
      <c r="D156" s="124"/>
      <c r="E156" s="124"/>
      <c r="F156" s="124"/>
      <c r="G156" s="124"/>
      <c r="H156" s="124"/>
      <c r="I156" s="124"/>
    </row>
    <row r="157">
      <c r="A157" s="41"/>
      <c r="B157" s="41"/>
      <c r="C157" s="117"/>
      <c r="D157" s="124"/>
      <c r="E157" s="124"/>
      <c r="F157" s="124"/>
      <c r="G157" s="124"/>
      <c r="H157" s="124"/>
      <c r="I157" s="124"/>
    </row>
    <row r="158">
      <c r="A158" s="41"/>
      <c r="B158" s="41"/>
      <c r="C158" s="117"/>
      <c r="D158" s="124"/>
      <c r="E158" s="124"/>
      <c r="F158" s="124"/>
      <c r="G158" s="124"/>
      <c r="H158" s="124"/>
      <c r="I158" s="124"/>
    </row>
    <row r="159">
      <c r="A159" s="41"/>
      <c r="B159" s="41"/>
      <c r="C159" s="117"/>
      <c r="D159" s="124"/>
      <c r="E159" s="124"/>
      <c r="F159" s="124"/>
      <c r="G159" s="124"/>
      <c r="H159" s="124"/>
      <c r="I159" s="124"/>
    </row>
    <row r="160">
      <c r="A160" s="41"/>
      <c r="B160" s="41"/>
      <c r="C160" s="117"/>
      <c r="D160" s="124"/>
      <c r="E160" s="124"/>
      <c r="F160" s="124"/>
      <c r="G160" s="124"/>
      <c r="H160" s="124"/>
      <c r="I160" s="124"/>
    </row>
    <row r="161">
      <c r="A161" s="41"/>
      <c r="B161" s="41"/>
      <c r="C161" s="117"/>
      <c r="D161" s="124"/>
      <c r="E161" s="124"/>
      <c r="F161" s="124"/>
      <c r="G161" s="124"/>
      <c r="H161" s="124"/>
      <c r="I161" s="124"/>
    </row>
    <row r="162">
      <c r="A162" s="41"/>
      <c r="B162" s="41"/>
      <c r="C162" s="117"/>
      <c r="D162" s="124"/>
      <c r="E162" s="124"/>
      <c r="F162" s="124"/>
      <c r="G162" s="124"/>
      <c r="H162" s="124"/>
      <c r="I162" s="124"/>
    </row>
    <row r="163">
      <c r="A163" s="41"/>
      <c r="B163" s="41"/>
      <c r="C163" s="117"/>
      <c r="D163" s="124"/>
      <c r="E163" s="124"/>
      <c r="F163" s="124"/>
      <c r="G163" s="124"/>
      <c r="H163" s="124"/>
      <c r="I163" s="124"/>
    </row>
    <row r="164">
      <c r="A164" s="41"/>
      <c r="B164" s="41"/>
      <c r="C164" s="117"/>
      <c r="D164" s="124"/>
      <c r="E164" s="124"/>
      <c r="F164" s="124"/>
      <c r="G164" s="124"/>
      <c r="H164" s="124"/>
      <c r="I164" s="124"/>
    </row>
    <row r="165">
      <c r="A165" s="41"/>
      <c r="B165" s="41"/>
      <c r="C165" s="117"/>
      <c r="D165" s="124"/>
      <c r="E165" s="124"/>
      <c r="F165" s="124"/>
      <c r="G165" s="124"/>
      <c r="H165" s="124"/>
      <c r="I165" s="124"/>
    </row>
    <row r="166">
      <c r="A166" s="41"/>
      <c r="B166" s="41"/>
      <c r="C166" s="117"/>
      <c r="D166" s="124"/>
      <c r="E166" s="124"/>
      <c r="F166" s="124"/>
      <c r="G166" s="124"/>
      <c r="H166" s="124"/>
      <c r="I166" s="124"/>
    </row>
    <row r="167">
      <c r="A167" s="41"/>
      <c r="B167" s="41"/>
      <c r="C167" s="117"/>
      <c r="D167" s="124"/>
      <c r="E167" s="124"/>
      <c r="F167" s="124"/>
      <c r="G167" s="124"/>
      <c r="H167" s="124"/>
      <c r="I167" s="124"/>
    </row>
    <row r="168">
      <c r="A168" s="41"/>
      <c r="B168" s="41"/>
      <c r="C168" s="117"/>
      <c r="D168" s="124"/>
      <c r="E168" s="124"/>
      <c r="F168" s="124"/>
      <c r="G168" s="124"/>
      <c r="H168" s="124"/>
      <c r="I168" s="124"/>
    </row>
    <row r="169">
      <c r="A169" s="41"/>
      <c r="B169" s="41"/>
      <c r="C169" s="117"/>
      <c r="D169" s="124"/>
      <c r="E169" s="124"/>
      <c r="F169" s="124"/>
      <c r="G169" s="124"/>
      <c r="H169" s="124"/>
      <c r="I169" s="124"/>
    </row>
    <row r="170">
      <c r="A170" s="41"/>
      <c r="B170" s="41"/>
      <c r="C170" s="117"/>
      <c r="D170" s="124"/>
      <c r="E170" s="124"/>
      <c r="F170" s="124"/>
      <c r="G170" s="124"/>
      <c r="H170" s="124"/>
      <c r="I170" s="124"/>
    </row>
    <row r="171">
      <c r="A171" s="41"/>
      <c r="B171" s="41"/>
      <c r="C171" s="117"/>
      <c r="D171" s="124"/>
      <c r="E171" s="124"/>
      <c r="F171" s="124"/>
      <c r="G171" s="124"/>
      <c r="H171" s="124"/>
      <c r="I171" s="124"/>
    </row>
    <row r="172">
      <c r="A172" s="41"/>
      <c r="B172" s="41"/>
      <c r="C172" s="117"/>
      <c r="D172" s="124"/>
      <c r="E172" s="124"/>
      <c r="F172" s="124"/>
      <c r="G172" s="124"/>
      <c r="H172" s="124"/>
      <c r="I172" s="124"/>
    </row>
    <row r="173">
      <c r="A173" s="41"/>
      <c r="B173" s="41"/>
      <c r="C173" s="117"/>
      <c r="D173" s="124"/>
      <c r="E173" s="124"/>
      <c r="F173" s="124"/>
      <c r="G173" s="124"/>
      <c r="H173" s="124"/>
      <c r="I173" s="124"/>
    </row>
    <row r="174">
      <c r="A174" s="41"/>
      <c r="B174" s="41"/>
      <c r="C174" s="117"/>
      <c r="D174" s="124"/>
      <c r="E174" s="124"/>
      <c r="F174" s="124"/>
      <c r="G174" s="124"/>
      <c r="H174" s="124"/>
      <c r="I174" s="124"/>
    </row>
    <row r="175">
      <c r="A175" s="41"/>
      <c r="B175" s="41"/>
      <c r="C175" s="117"/>
      <c r="D175" s="124"/>
      <c r="E175" s="124"/>
      <c r="F175" s="124"/>
      <c r="G175" s="124"/>
      <c r="H175" s="124"/>
      <c r="I175" s="124"/>
    </row>
    <row r="176">
      <c r="A176" s="41"/>
      <c r="B176" s="41"/>
      <c r="C176" s="117"/>
      <c r="D176" s="124"/>
      <c r="E176" s="124"/>
      <c r="F176" s="124"/>
      <c r="G176" s="124"/>
      <c r="H176" s="124"/>
      <c r="I176" s="124"/>
    </row>
    <row r="177">
      <c r="A177" s="41"/>
      <c r="B177" s="41"/>
      <c r="C177" s="117"/>
      <c r="D177" s="124"/>
      <c r="E177" s="124"/>
      <c r="F177" s="124"/>
      <c r="G177" s="124"/>
      <c r="H177" s="124"/>
      <c r="I177" s="124"/>
    </row>
    <row r="178">
      <c r="A178" s="41"/>
      <c r="B178" s="41"/>
      <c r="C178" s="117"/>
      <c r="D178" s="124"/>
      <c r="E178" s="124"/>
      <c r="F178" s="124"/>
      <c r="G178" s="124"/>
      <c r="H178" s="124"/>
      <c r="I178" s="124"/>
    </row>
    <row r="179">
      <c r="A179" s="41"/>
      <c r="B179" s="41"/>
      <c r="C179" s="117"/>
      <c r="D179" s="124"/>
      <c r="E179" s="124"/>
      <c r="F179" s="124"/>
      <c r="G179" s="124"/>
      <c r="H179" s="124"/>
      <c r="I179" s="124"/>
    </row>
    <row r="180">
      <c r="A180" s="41"/>
      <c r="B180" s="41"/>
      <c r="C180" s="117"/>
      <c r="D180" s="124"/>
      <c r="E180" s="124"/>
      <c r="F180" s="124"/>
      <c r="G180" s="124"/>
      <c r="H180" s="124"/>
      <c r="I180" s="124"/>
    </row>
    <row r="181">
      <c r="A181" s="41"/>
      <c r="B181" s="41"/>
      <c r="C181" s="117"/>
      <c r="D181" s="124"/>
      <c r="E181" s="124"/>
      <c r="F181" s="124"/>
      <c r="G181" s="124"/>
      <c r="H181" s="124"/>
      <c r="I181" s="124"/>
    </row>
    <row r="182">
      <c r="A182" s="41"/>
      <c r="B182" s="41"/>
      <c r="C182" s="117"/>
      <c r="D182" s="124"/>
      <c r="E182" s="124"/>
      <c r="F182" s="124"/>
      <c r="G182" s="124"/>
      <c r="H182" s="124"/>
      <c r="I182" s="124"/>
    </row>
    <row r="183">
      <c r="A183" s="41"/>
      <c r="B183" s="41"/>
      <c r="C183" s="117"/>
      <c r="D183" s="124"/>
      <c r="E183" s="124"/>
      <c r="F183" s="124"/>
      <c r="G183" s="124"/>
      <c r="H183" s="124"/>
      <c r="I183" s="124"/>
    </row>
    <row r="184">
      <c r="A184" s="41"/>
      <c r="B184" s="41"/>
      <c r="C184" s="117"/>
      <c r="D184" s="124"/>
      <c r="E184" s="124"/>
      <c r="F184" s="124"/>
      <c r="G184" s="124"/>
      <c r="H184" s="124"/>
      <c r="I184" s="124"/>
    </row>
    <row r="185">
      <c r="A185" s="41"/>
      <c r="B185" s="41"/>
      <c r="C185" s="117"/>
      <c r="D185" s="124"/>
      <c r="E185" s="124"/>
      <c r="F185" s="124"/>
      <c r="G185" s="124"/>
      <c r="H185" s="124"/>
      <c r="I185" s="124"/>
    </row>
    <row r="186">
      <c r="A186" s="41"/>
      <c r="B186" s="41"/>
      <c r="C186" s="117"/>
      <c r="D186" s="124"/>
      <c r="E186" s="124"/>
      <c r="F186" s="124"/>
      <c r="G186" s="124"/>
      <c r="H186" s="124"/>
      <c r="I186" s="124"/>
    </row>
    <row r="187">
      <c r="A187" s="41"/>
      <c r="B187" s="41"/>
      <c r="C187" s="117"/>
      <c r="D187" s="124"/>
      <c r="E187" s="124"/>
      <c r="F187" s="124"/>
      <c r="G187" s="124"/>
      <c r="H187" s="124"/>
      <c r="I187" s="124"/>
    </row>
    <row r="188">
      <c r="A188" s="41"/>
      <c r="B188" s="41"/>
      <c r="C188" s="117"/>
      <c r="D188" s="124"/>
      <c r="E188" s="124"/>
      <c r="F188" s="124"/>
      <c r="G188" s="124"/>
      <c r="H188" s="124"/>
      <c r="I188" s="124"/>
    </row>
    <row r="189">
      <c r="A189" s="41"/>
      <c r="B189" s="41"/>
      <c r="C189" s="117"/>
      <c r="D189" s="124"/>
      <c r="E189" s="124"/>
      <c r="F189" s="124"/>
      <c r="G189" s="124"/>
      <c r="H189" s="124"/>
      <c r="I189" s="124"/>
    </row>
    <row r="190">
      <c r="A190" s="41"/>
      <c r="B190" s="41"/>
      <c r="C190" s="117"/>
      <c r="D190" s="124"/>
      <c r="E190" s="124"/>
      <c r="F190" s="124"/>
      <c r="G190" s="124"/>
      <c r="H190" s="124"/>
      <c r="I190" s="124"/>
    </row>
    <row r="191">
      <c r="A191" s="41"/>
      <c r="B191" s="41"/>
      <c r="C191" s="117"/>
      <c r="D191" s="124"/>
      <c r="E191" s="124"/>
      <c r="F191" s="124"/>
      <c r="G191" s="124"/>
      <c r="H191" s="124"/>
      <c r="I191" s="124"/>
    </row>
    <row r="192">
      <c r="A192" s="41"/>
      <c r="B192" s="41"/>
      <c r="C192" s="117"/>
      <c r="D192" s="124"/>
      <c r="E192" s="124"/>
      <c r="F192" s="124"/>
      <c r="G192" s="124"/>
      <c r="H192" s="124"/>
      <c r="I192" s="124"/>
    </row>
    <row r="193">
      <c r="A193" s="41"/>
      <c r="B193" s="41"/>
      <c r="C193" s="117"/>
      <c r="D193" s="124"/>
      <c r="E193" s="124"/>
      <c r="F193" s="124"/>
      <c r="G193" s="124"/>
      <c r="H193" s="124"/>
      <c r="I193" s="124"/>
    </row>
    <row r="194">
      <c r="A194" s="41"/>
      <c r="B194" s="41"/>
      <c r="C194" s="117"/>
      <c r="D194" s="124"/>
      <c r="E194" s="124"/>
      <c r="F194" s="124"/>
      <c r="G194" s="124"/>
      <c r="H194" s="124"/>
      <c r="I194" s="124"/>
    </row>
    <row r="195">
      <c r="A195" s="41"/>
      <c r="B195" s="41"/>
      <c r="C195" s="117"/>
      <c r="D195" s="124"/>
      <c r="E195" s="124"/>
      <c r="F195" s="124"/>
      <c r="G195" s="124"/>
      <c r="H195" s="124"/>
      <c r="I195" s="124"/>
    </row>
    <row r="196">
      <c r="A196" s="41"/>
      <c r="B196" s="41"/>
      <c r="C196" s="117"/>
      <c r="D196" s="124"/>
      <c r="E196" s="124"/>
      <c r="F196" s="124"/>
      <c r="G196" s="124"/>
      <c r="H196" s="124"/>
      <c r="I196" s="124"/>
    </row>
    <row r="197">
      <c r="A197" s="41"/>
      <c r="B197" s="41"/>
      <c r="C197" s="117"/>
      <c r="D197" s="124"/>
      <c r="E197" s="124"/>
      <c r="F197" s="124"/>
      <c r="G197" s="124"/>
      <c r="H197" s="124"/>
      <c r="I197" s="124"/>
    </row>
    <row r="198">
      <c r="A198" s="41"/>
      <c r="B198" s="41"/>
      <c r="C198" s="117"/>
      <c r="D198" s="124"/>
      <c r="E198" s="124"/>
      <c r="F198" s="124"/>
      <c r="G198" s="124"/>
      <c r="H198" s="124"/>
      <c r="I198" s="124"/>
    </row>
    <row r="199">
      <c r="A199" s="41"/>
      <c r="B199" s="41"/>
      <c r="C199" s="117"/>
      <c r="D199" s="124"/>
      <c r="E199" s="124"/>
      <c r="F199" s="124"/>
      <c r="G199" s="124"/>
      <c r="H199" s="124"/>
      <c r="I199" s="124"/>
    </row>
    <row r="200">
      <c r="A200" s="41"/>
      <c r="B200" s="41"/>
      <c r="C200" s="117"/>
      <c r="D200" s="124"/>
      <c r="E200" s="124"/>
      <c r="F200" s="124"/>
      <c r="G200" s="124"/>
      <c r="H200" s="124"/>
      <c r="I200" s="124"/>
    </row>
    <row r="201">
      <c r="A201" s="41"/>
      <c r="B201" s="41"/>
      <c r="C201" s="117"/>
      <c r="D201" s="124"/>
      <c r="E201" s="124"/>
      <c r="F201" s="124"/>
      <c r="G201" s="124"/>
      <c r="H201" s="124"/>
      <c r="I201" s="124"/>
    </row>
    <row r="202">
      <c r="A202" s="41"/>
      <c r="B202" s="41"/>
      <c r="C202" s="117"/>
      <c r="D202" s="124"/>
      <c r="E202" s="124"/>
      <c r="F202" s="124"/>
      <c r="G202" s="124"/>
      <c r="H202" s="124"/>
      <c r="I202" s="124"/>
    </row>
    <row r="203">
      <c r="A203" s="41"/>
      <c r="B203" s="41"/>
      <c r="C203" s="117"/>
      <c r="D203" s="124"/>
      <c r="E203" s="124"/>
      <c r="F203" s="124"/>
      <c r="G203" s="124"/>
      <c r="H203" s="124"/>
      <c r="I203" s="124"/>
    </row>
    <row r="204">
      <c r="A204" s="41"/>
      <c r="B204" s="41"/>
      <c r="C204" s="117"/>
      <c r="D204" s="124"/>
      <c r="E204" s="124"/>
      <c r="F204" s="124"/>
      <c r="G204" s="124"/>
      <c r="H204" s="124"/>
      <c r="I204" s="124"/>
    </row>
    <row r="205">
      <c r="A205" s="41"/>
      <c r="B205" s="41"/>
      <c r="C205" s="117"/>
      <c r="D205" s="124"/>
      <c r="E205" s="124"/>
      <c r="F205" s="124"/>
      <c r="G205" s="124"/>
      <c r="H205" s="124"/>
      <c r="I205" s="124"/>
    </row>
    <row r="206">
      <c r="A206" s="41"/>
      <c r="B206" s="41"/>
      <c r="C206" s="117"/>
      <c r="D206" s="124"/>
      <c r="E206" s="124"/>
      <c r="F206" s="124"/>
      <c r="G206" s="124"/>
      <c r="H206" s="124"/>
      <c r="I206" s="124"/>
    </row>
    <row r="207">
      <c r="A207" s="41"/>
      <c r="B207" s="41"/>
      <c r="C207" s="117"/>
      <c r="D207" s="124"/>
      <c r="E207" s="124"/>
      <c r="F207" s="124"/>
      <c r="G207" s="124"/>
      <c r="H207" s="124"/>
      <c r="I207" s="124"/>
    </row>
    <row r="208">
      <c r="A208" s="41"/>
      <c r="B208" s="41"/>
      <c r="C208" s="117"/>
      <c r="D208" s="124"/>
      <c r="E208" s="124"/>
      <c r="F208" s="124"/>
      <c r="G208" s="124"/>
      <c r="H208" s="124"/>
      <c r="I208" s="124"/>
    </row>
    <row r="209">
      <c r="A209" s="41"/>
      <c r="B209" s="41"/>
      <c r="C209" s="117"/>
      <c r="D209" s="124"/>
      <c r="E209" s="124"/>
      <c r="F209" s="124"/>
      <c r="G209" s="124"/>
      <c r="H209" s="124"/>
      <c r="I209" s="124"/>
    </row>
    <row r="210">
      <c r="A210" s="41"/>
      <c r="B210" s="41"/>
      <c r="C210" s="117"/>
      <c r="D210" s="124"/>
      <c r="E210" s="124"/>
      <c r="F210" s="124"/>
      <c r="G210" s="124"/>
      <c r="H210" s="124"/>
      <c r="I210" s="124"/>
    </row>
    <row r="211">
      <c r="A211" s="41"/>
      <c r="B211" s="41"/>
      <c r="C211" s="117"/>
      <c r="D211" s="124"/>
      <c r="E211" s="124"/>
      <c r="F211" s="124"/>
      <c r="G211" s="124"/>
      <c r="H211" s="124"/>
      <c r="I211" s="124"/>
    </row>
    <row r="212">
      <c r="A212" s="41"/>
      <c r="B212" s="41"/>
      <c r="C212" s="117"/>
      <c r="D212" s="124"/>
      <c r="E212" s="124"/>
      <c r="F212" s="124"/>
      <c r="G212" s="124"/>
      <c r="H212" s="124"/>
      <c r="I212" s="124"/>
    </row>
    <row r="213">
      <c r="A213" s="41"/>
      <c r="B213" s="41"/>
      <c r="C213" s="117"/>
      <c r="D213" s="124"/>
      <c r="E213" s="124"/>
      <c r="F213" s="124"/>
      <c r="G213" s="124"/>
      <c r="H213" s="124"/>
      <c r="I213" s="124"/>
    </row>
    <row r="214">
      <c r="A214" s="41"/>
      <c r="B214" s="41"/>
      <c r="C214" s="117"/>
      <c r="D214" s="124"/>
      <c r="E214" s="124"/>
      <c r="F214" s="124"/>
      <c r="G214" s="124"/>
      <c r="H214" s="124"/>
      <c r="I214" s="124"/>
    </row>
    <row r="215">
      <c r="A215" s="41"/>
      <c r="B215" s="41"/>
      <c r="C215" s="117"/>
      <c r="D215" s="124"/>
      <c r="E215" s="124"/>
      <c r="F215" s="124"/>
      <c r="G215" s="124"/>
      <c r="H215" s="124"/>
      <c r="I215" s="124"/>
    </row>
    <row r="216">
      <c r="A216" s="41"/>
      <c r="B216" s="41"/>
      <c r="C216" s="117"/>
      <c r="D216" s="124"/>
      <c r="E216" s="124"/>
      <c r="F216" s="124"/>
      <c r="G216" s="124"/>
      <c r="H216" s="124"/>
      <c r="I216" s="124"/>
    </row>
    <row r="217">
      <c r="A217" s="41"/>
      <c r="B217" s="41"/>
      <c r="C217" s="117"/>
      <c r="D217" s="124"/>
      <c r="E217" s="124"/>
      <c r="F217" s="124"/>
      <c r="G217" s="124"/>
      <c r="H217" s="124"/>
      <c r="I217" s="124"/>
    </row>
    <row r="218">
      <c r="A218" s="41"/>
      <c r="B218" s="41"/>
      <c r="C218" s="117"/>
      <c r="D218" s="124"/>
      <c r="E218" s="124"/>
      <c r="F218" s="124"/>
      <c r="G218" s="124"/>
      <c r="H218" s="124"/>
      <c r="I218" s="124"/>
    </row>
    <row r="219">
      <c r="A219" s="41"/>
      <c r="B219" s="41"/>
      <c r="C219" s="117"/>
      <c r="D219" s="124"/>
      <c r="E219" s="124"/>
      <c r="F219" s="124"/>
      <c r="G219" s="124"/>
      <c r="H219" s="124"/>
      <c r="I219" s="124"/>
    </row>
    <row r="220">
      <c r="A220" s="41"/>
      <c r="B220" s="41"/>
      <c r="C220" s="117"/>
      <c r="D220" s="124"/>
      <c r="E220" s="124"/>
      <c r="F220" s="124"/>
      <c r="G220" s="124"/>
      <c r="H220" s="124"/>
      <c r="I220" s="124"/>
    </row>
    <row r="221">
      <c r="A221" s="41"/>
      <c r="B221" s="41"/>
      <c r="C221" s="117"/>
      <c r="D221" s="124"/>
      <c r="E221" s="124"/>
      <c r="F221" s="124"/>
      <c r="G221" s="124"/>
      <c r="H221" s="124"/>
      <c r="I221" s="124"/>
    </row>
    <row r="222">
      <c r="A222" s="41"/>
      <c r="B222" s="41"/>
      <c r="C222" s="117"/>
      <c r="D222" s="124"/>
      <c r="E222" s="124"/>
      <c r="F222" s="124"/>
      <c r="G222" s="124"/>
      <c r="H222" s="124"/>
      <c r="I222" s="124"/>
    </row>
    <row r="223">
      <c r="A223" s="41"/>
      <c r="B223" s="41"/>
      <c r="C223" s="117"/>
      <c r="D223" s="124"/>
      <c r="E223" s="124"/>
      <c r="F223" s="124"/>
      <c r="G223" s="124"/>
      <c r="H223" s="124"/>
      <c r="I223" s="124"/>
    </row>
    <row r="224">
      <c r="A224" s="41"/>
      <c r="B224" s="41"/>
      <c r="C224" s="117"/>
      <c r="D224" s="124"/>
      <c r="E224" s="124"/>
      <c r="F224" s="124"/>
      <c r="G224" s="124"/>
      <c r="H224" s="124"/>
      <c r="I224" s="124"/>
    </row>
    <row r="225">
      <c r="A225" s="41"/>
      <c r="B225" s="41"/>
      <c r="C225" s="117"/>
      <c r="D225" s="124"/>
      <c r="E225" s="124"/>
      <c r="F225" s="124"/>
      <c r="G225" s="124"/>
      <c r="H225" s="124"/>
      <c r="I225" s="124"/>
    </row>
    <row r="226">
      <c r="A226" s="41"/>
      <c r="B226" s="41"/>
      <c r="C226" s="117"/>
      <c r="D226" s="124"/>
      <c r="E226" s="124"/>
      <c r="F226" s="124"/>
      <c r="G226" s="124"/>
      <c r="H226" s="124"/>
      <c r="I226" s="124"/>
    </row>
    <row r="227">
      <c r="A227" s="41"/>
      <c r="B227" s="41"/>
      <c r="C227" s="117"/>
      <c r="D227" s="124"/>
      <c r="E227" s="124"/>
      <c r="F227" s="124"/>
      <c r="G227" s="124"/>
      <c r="H227" s="124"/>
      <c r="I227" s="124"/>
    </row>
    <row r="228">
      <c r="A228" s="41"/>
      <c r="B228" s="41"/>
      <c r="C228" s="117"/>
      <c r="D228" s="124"/>
      <c r="E228" s="124"/>
      <c r="F228" s="124"/>
      <c r="G228" s="124"/>
      <c r="H228" s="124"/>
      <c r="I228" s="124"/>
    </row>
    <row r="229">
      <c r="A229" s="41"/>
      <c r="B229" s="41"/>
      <c r="C229" s="117"/>
      <c r="D229" s="124"/>
      <c r="E229" s="124"/>
      <c r="F229" s="124"/>
      <c r="G229" s="124"/>
      <c r="H229" s="124"/>
      <c r="I229" s="124"/>
    </row>
    <row r="230">
      <c r="A230" s="41"/>
      <c r="B230" s="41"/>
      <c r="C230" s="117"/>
      <c r="D230" s="124"/>
      <c r="E230" s="124"/>
      <c r="F230" s="124"/>
      <c r="G230" s="124"/>
      <c r="H230" s="124"/>
      <c r="I230" s="124"/>
    </row>
    <row r="231">
      <c r="A231" s="41"/>
      <c r="B231" s="41"/>
      <c r="C231" s="117"/>
      <c r="D231" s="124"/>
      <c r="E231" s="124"/>
      <c r="F231" s="124"/>
      <c r="G231" s="124"/>
      <c r="H231" s="124"/>
      <c r="I231" s="124"/>
    </row>
    <row r="232">
      <c r="A232" s="41"/>
      <c r="B232" s="41"/>
      <c r="C232" s="117"/>
      <c r="D232" s="124"/>
      <c r="E232" s="124"/>
      <c r="F232" s="124"/>
      <c r="G232" s="124"/>
      <c r="H232" s="124"/>
      <c r="I232" s="124"/>
    </row>
    <row r="233">
      <c r="A233" s="41"/>
      <c r="B233" s="41"/>
      <c r="C233" s="117"/>
      <c r="D233" s="124"/>
      <c r="E233" s="124"/>
      <c r="F233" s="124"/>
      <c r="G233" s="124"/>
      <c r="H233" s="124"/>
      <c r="I233" s="124"/>
    </row>
    <row r="234">
      <c r="A234" s="41"/>
      <c r="B234" s="41"/>
      <c r="C234" s="117"/>
      <c r="D234" s="124"/>
      <c r="E234" s="124"/>
      <c r="F234" s="124"/>
      <c r="G234" s="124"/>
      <c r="H234" s="124"/>
      <c r="I234" s="124"/>
    </row>
    <row r="235">
      <c r="A235" s="41"/>
      <c r="B235" s="41"/>
      <c r="C235" s="117"/>
      <c r="D235" s="124"/>
      <c r="E235" s="124"/>
      <c r="F235" s="124"/>
      <c r="G235" s="124"/>
      <c r="H235" s="124"/>
      <c r="I235" s="124"/>
    </row>
    <row r="236">
      <c r="A236" s="41"/>
      <c r="B236" s="41"/>
      <c r="C236" s="117"/>
      <c r="D236" s="124"/>
      <c r="E236" s="124"/>
      <c r="F236" s="124"/>
      <c r="G236" s="124"/>
      <c r="H236" s="124"/>
      <c r="I236" s="124"/>
    </row>
    <row r="237">
      <c r="A237" s="41"/>
      <c r="B237" s="41"/>
      <c r="C237" s="117"/>
      <c r="D237" s="124"/>
      <c r="E237" s="124"/>
      <c r="F237" s="124"/>
      <c r="G237" s="124"/>
      <c r="H237" s="124"/>
      <c r="I237" s="124"/>
    </row>
    <row r="238">
      <c r="A238" s="41"/>
      <c r="B238" s="41"/>
      <c r="C238" s="117"/>
      <c r="D238" s="124"/>
      <c r="E238" s="124"/>
      <c r="F238" s="124"/>
      <c r="G238" s="124"/>
      <c r="H238" s="124"/>
      <c r="I238" s="124"/>
    </row>
    <row r="239">
      <c r="A239" s="41"/>
      <c r="B239" s="41"/>
      <c r="C239" s="117"/>
      <c r="D239" s="124"/>
      <c r="E239" s="124"/>
      <c r="F239" s="124"/>
      <c r="G239" s="124"/>
      <c r="H239" s="124"/>
      <c r="I239" s="124"/>
    </row>
    <row r="240">
      <c r="A240" s="41"/>
      <c r="B240" s="41"/>
      <c r="C240" s="117"/>
      <c r="D240" s="124"/>
      <c r="E240" s="124"/>
      <c r="F240" s="124"/>
      <c r="G240" s="124"/>
      <c r="H240" s="124"/>
      <c r="I240" s="124"/>
    </row>
    <row r="241">
      <c r="A241" s="41"/>
      <c r="B241" s="41"/>
      <c r="C241" s="117"/>
      <c r="D241" s="124"/>
      <c r="E241" s="124"/>
      <c r="F241" s="124"/>
      <c r="G241" s="124"/>
      <c r="H241" s="124"/>
      <c r="I241" s="124"/>
    </row>
    <row r="242">
      <c r="A242" s="41"/>
      <c r="B242" s="41"/>
      <c r="C242" s="117"/>
      <c r="D242" s="124"/>
      <c r="E242" s="124"/>
      <c r="F242" s="124"/>
      <c r="G242" s="124"/>
      <c r="H242" s="124"/>
      <c r="I242" s="124"/>
    </row>
    <row r="243">
      <c r="A243" s="41"/>
      <c r="B243" s="41"/>
      <c r="C243" s="117"/>
      <c r="D243" s="124"/>
      <c r="E243" s="124"/>
      <c r="F243" s="124"/>
      <c r="G243" s="124"/>
      <c r="H243" s="124"/>
      <c r="I243" s="124"/>
    </row>
    <row r="244">
      <c r="A244" s="41"/>
      <c r="B244" s="41"/>
      <c r="C244" s="117"/>
      <c r="D244" s="124"/>
      <c r="E244" s="124"/>
      <c r="F244" s="124"/>
      <c r="G244" s="124"/>
      <c r="H244" s="124"/>
      <c r="I244" s="124"/>
    </row>
    <row r="245">
      <c r="A245" s="41"/>
      <c r="B245" s="41"/>
      <c r="C245" s="117"/>
      <c r="D245" s="124"/>
      <c r="E245" s="124"/>
      <c r="F245" s="124"/>
      <c r="G245" s="124"/>
      <c r="H245" s="124"/>
      <c r="I245" s="124"/>
    </row>
    <row r="246">
      <c r="A246" s="41"/>
      <c r="B246" s="41"/>
      <c r="C246" s="117"/>
      <c r="D246" s="124"/>
      <c r="E246" s="124"/>
      <c r="F246" s="124"/>
      <c r="G246" s="124"/>
      <c r="H246" s="124"/>
      <c r="I246" s="124"/>
    </row>
    <row r="247">
      <c r="A247" s="41"/>
      <c r="B247" s="41"/>
      <c r="C247" s="117"/>
      <c r="D247" s="124"/>
      <c r="E247" s="124"/>
      <c r="F247" s="124"/>
      <c r="G247" s="124"/>
      <c r="H247" s="124"/>
      <c r="I247" s="124"/>
    </row>
    <row r="248">
      <c r="A248" s="41"/>
      <c r="B248" s="41"/>
      <c r="C248" s="117"/>
      <c r="D248" s="124"/>
      <c r="E248" s="124"/>
      <c r="F248" s="124"/>
      <c r="G248" s="124"/>
      <c r="H248" s="124"/>
      <c r="I248" s="124"/>
    </row>
    <row r="249">
      <c r="A249" s="41"/>
      <c r="B249" s="41"/>
      <c r="C249" s="117"/>
      <c r="D249" s="124"/>
      <c r="E249" s="124"/>
      <c r="F249" s="124"/>
      <c r="G249" s="124"/>
      <c r="H249" s="124"/>
      <c r="I249" s="124"/>
    </row>
    <row r="250">
      <c r="A250" s="41"/>
      <c r="B250" s="41"/>
      <c r="C250" s="117"/>
      <c r="D250" s="124"/>
      <c r="E250" s="124"/>
      <c r="F250" s="124"/>
      <c r="G250" s="124"/>
      <c r="H250" s="124"/>
      <c r="I250" s="124"/>
    </row>
    <row r="251">
      <c r="A251" s="41"/>
      <c r="B251" s="41"/>
      <c r="C251" s="117"/>
      <c r="D251" s="124"/>
      <c r="E251" s="124"/>
      <c r="F251" s="124"/>
      <c r="G251" s="124"/>
      <c r="H251" s="124"/>
      <c r="I251" s="124"/>
    </row>
    <row r="252">
      <c r="A252" s="41"/>
      <c r="B252" s="41"/>
      <c r="C252" s="117"/>
      <c r="D252" s="124"/>
      <c r="E252" s="124"/>
      <c r="F252" s="124"/>
      <c r="G252" s="124"/>
      <c r="H252" s="124"/>
      <c r="I252" s="124"/>
    </row>
    <row r="253">
      <c r="A253" s="41"/>
      <c r="B253" s="41"/>
      <c r="C253" s="117"/>
      <c r="D253" s="124"/>
      <c r="E253" s="124"/>
      <c r="F253" s="124"/>
      <c r="G253" s="124"/>
      <c r="H253" s="124"/>
      <c r="I253" s="124"/>
    </row>
    <row r="254">
      <c r="A254" s="41"/>
      <c r="B254" s="41"/>
      <c r="C254" s="117"/>
      <c r="D254" s="124"/>
      <c r="E254" s="124"/>
      <c r="F254" s="124"/>
      <c r="G254" s="124"/>
      <c r="H254" s="124"/>
      <c r="I254" s="124"/>
    </row>
    <row r="255">
      <c r="A255" s="41"/>
      <c r="B255" s="41"/>
      <c r="C255" s="117"/>
      <c r="D255" s="124"/>
      <c r="E255" s="124"/>
      <c r="F255" s="124"/>
      <c r="G255" s="124"/>
      <c r="H255" s="124"/>
      <c r="I255" s="124"/>
    </row>
    <row r="256">
      <c r="A256" s="41"/>
      <c r="B256" s="41"/>
      <c r="C256" s="117"/>
      <c r="D256" s="124"/>
      <c r="E256" s="124"/>
      <c r="F256" s="124"/>
      <c r="G256" s="124"/>
      <c r="H256" s="124"/>
      <c r="I256" s="124"/>
    </row>
    <row r="257">
      <c r="A257" s="41"/>
      <c r="B257" s="41"/>
      <c r="C257" s="117"/>
      <c r="D257" s="124"/>
      <c r="E257" s="124"/>
      <c r="F257" s="124"/>
      <c r="G257" s="124"/>
      <c r="H257" s="124"/>
      <c r="I257" s="124"/>
    </row>
    <row r="258">
      <c r="A258" s="41"/>
      <c r="B258" s="41"/>
      <c r="C258" s="117"/>
      <c r="D258" s="124"/>
      <c r="E258" s="124"/>
      <c r="F258" s="124"/>
      <c r="G258" s="124"/>
      <c r="H258" s="124"/>
      <c r="I258" s="124"/>
    </row>
    <row r="259">
      <c r="A259" s="41"/>
      <c r="B259" s="41"/>
      <c r="C259" s="117"/>
      <c r="D259" s="124"/>
      <c r="E259" s="124"/>
      <c r="F259" s="124"/>
      <c r="G259" s="124"/>
      <c r="H259" s="124"/>
      <c r="I259" s="124"/>
    </row>
    <row r="260">
      <c r="A260" s="41"/>
      <c r="B260" s="41"/>
      <c r="C260" s="117"/>
      <c r="D260" s="124"/>
      <c r="E260" s="124"/>
      <c r="F260" s="124"/>
      <c r="G260" s="124"/>
      <c r="H260" s="124"/>
      <c r="I260" s="124"/>
    </row>
    <row r="261">
      <c r="A261" s="41"/>
      <c r="B261" s="41"/>
      <c r="C261" s="117"/>
      <c r="D261" s="124"/>
      <c r="E261" s="124"/>
      <c r="F261" s="124"/>
      <c r="G261" s="124"/>
      <c r="H261" s="124"/>
      <c r="I261" s="124"/>
    </row>
    <row r="262">
      <c r="A262" s="41"/>
      <c r="B262" s="41"/>
      <c r="C262" s="117"/>
      <c r="D262" s="124"/>
      <c r="E262" s="124"/>
      <c r="F262" s="124"/>
      <c r="G262" s="124"/>
      <c r="H262" s="124"/>
      <c r="I262" s="124"/>
    </row>
    <row r="263">
      <c r="A263" s="41"/>
      <c r="B263" s="41"/>
      <c r="C263" s="117"/>
      <c r="D263" s="124"/>
      <c r="E263" s="124"/>
      <c r="F263" s="124"/>
      <c r="G263" s="124"/>
      <c r="H263" s="124"/>
      <c r="I263" s="124"/>
    </row>
    <row r="264">
      <c r="A264" s="41"/>
      <c r="B264" s="41"/>
      <c r="C264" s="117"/>
      <c r="D264" s="124"/>
      <c r="E264" s="124"/>
      <c r="F264" s="124"/>
      <c r="G264" s="124"/>
      <c r="H264" s="124"/>
      <c r="I264" s="124"/>
    </row>
    <row r="265">
      <c r="A265" s="41"/>
      <c r="B265" s="41"/>
      <c r="C265" s="117"/>
      <c r="D265" s="124"/>
      <c r="E265" s="124"/>
      <c r="F265" s="124"/>
      <c r="G265" s="124"/>
      <c r="H265" s="124"/>
      <c r="I265" s="124"/>
    </row>
    <row r="266">
      <c r="A266" s="41"/>
      <c r="B266" s="41"/>
      <c r="C266" s="117"/>
      <c r="D266" s="124"/>
      <c r="E266" s="124"/>
      <c r="F266" s="124"/>
      <c r="G266" s="124"/>
      <c r="H266" s="124"/>
      <c r="I266" s="124"/>
    </row>
    <row r="267">
      <c r="A267" s="41"/>
      <c r="B267" s="41"/>
      <c r="C267" s="117"/>
      <c r="D267" s="124"/>
      <c r="E267" s="124"/>
      <c r="F267" s="124"/>
      <c r="G267" s="124"/>
      <c r="H267" s="124"/>
      <c r="I267" s="124"/>
    </row>
    <row r="268">
      <c r="A268" s="41"/>
      <c r="B268" s="41"/>
      <c r="C268" s="117"/>
      <c r="D268" s="124"/>
      <c r="E268" s="124"/>
      <c r="F268" s="124"/>
      <c r="G268" s="124"/>
      <c r="H268" s="124"/>
      <c r="I268" s="124"/>
    </row>
    <row r="269">
      <c r="A269" s="41"/>
      <c r="B269" s="41"/>
      <c r="C269" s="117"/>
      <c r="D269" s="124"/>
      <c r="E269" s="124"/>
      <c r="F269" s="124"/>
      <c r="G269" s="124"/>
      <c r="H269" s="124"/>
      <c r="I269" s="124"/>
    </row>
    <row r="270">
      <c r="A270" s="41"/>
      <c r="B270" s="41"/>
      <c r="C270" s="117"/>
      <c r="D270" s="124"/>
      <c r="E270" s="124"/>
      <c r="F270" s="124"/>
      <c r="G270" s="124"/>
      <c r="H270" s="124"/>
      <c r="I270" s="124"/>
    </row>
    <row r="271">
      <c r="A271" s="41"/>
      <c r="B271" s="41"/>
      <c r="C271" s="117"/>
      <c r="D271" s="124"/>
      <c r="E271" s="124"/>
      <c r="F271" s="124"/>
      <c r="G271" s="124"/>
      <c r="H271" s="124"/>
      <c r="I271" s="124"/>
    </row>
    <row r="272">
      <c r="A272" s="41"/>
      <c r="B272" s="41"/>
      <c r="C272" s="117"/>
      <c r="D272" s="124"/>
      <c r="E272" s="124"/>
      <c r="F272" s="124"/>
      <c r="G272" s="124"/>
      <c r="H272" s="124"/>
      <c r="I272" s="124"/>
    </row>
    <row r="273">
      <c r="A273" s="41"/>
      <c r="B273" s="41"/>
      <c r="C273" s="117"/>
      <c r="D273" s="124"/>
      <c r="E273" s="124"/>
      <c r="F273" s="124"/>
      <c r="G273" s="124"/>
      <c r="H273" s="124"/>
      <c r="I273" s="124"/>
    </row>
    <row r="274">
      <c r="A274" s="41"/>
      <c r="B274" s="41"/>
      <c r="C274" s="117"/>
      <c r="D274" s="124"/>
      <c r="E274" s="124"/>
      <c r="F274" s="124"/>
      <c r="G274" s="124"/>
      <c r="H274" s="124"/>
      <c r="I274" s="124"/>
    </row>
    <row r="275">
      <c r="A275" s="41"/>
      <c r="B275" s="41"/>
      <c r="C275" s="117"/>
      <c r="D275" s="124"/>
      <c r="E275" s="124"/>
      <c r="F275" s="124"/>
      <c r="G275" s="124"/>
      <c r="H275" s="124"/>
      <c r="I275" s="124"/>
    </row>
    <row r="276">
      <c r="A276" s="41"/>
      <c r="B276" s="41"/>
      <c r="C276" s="117"/>
      <c r="D276" s="124"/>
      <c r="E276" s="124"/>
      <c r="F276" s="124"/>
      <c r="G276" s="124"/>
      <c r="H276" s="124"/>
      <c r="I276" s="124"/>
    </row>
    <row r="277">
      <c r="A277" s="41"/>
      <c r="B277" s="41"/>
      <c r="C277" s="117"/>
      <c r="D277" s="124"/>
      <c r="E277" s="124"/>
      <c r="F277" s="124"/>
      <c r="G277" s="124"/>
      <c r="H277" s="124"/>
      <c r="I277" s="124"/>
    </row>
    <row r="278">
      <c r="A278" s="41"/>
      <c r="B278" s="41"/>
      <c r="C278" s="117"/>
      <c r="D278" s="124"/>
      <c r="E278" s="124"/>
      <c r="F278" s="124"/>
      <c r="G278" s="124"/>
      <c r="H278" s="124"/>
      <c r="I278" s="124"/>
    </row>
    <row r="279">
      <c r="A279" s="41"/>
      <c r="B279" s="41"/>
      <c r="C279" s="117"/>
      <c r="D279" s="124"/>
      <c r="E279" s="124"/>
      <c r="F279" s="124"/>
      <c r="G279" s="124"/>
      <c r="H279" s="124"/>
      <c r="I279" s="124"/>
    </row>
    <row r="280">
      <c r="A280" s="41"/>
      <c r="B280" s="41"/>
      <c r="C280" s="117"/>
      <c r="D280" s="124"/>
      <c r="E280" s="124"/>
      <c r="F280" s="124"/>
      <c r="G280" s="124"/>
      <c r="H280" s="124"/>
      <c r="I280" s="124"/>
    </row>
    <row r="281">
      <c r="A281" s="41"/>
      <c r="B281" s="41"/>
      <c r="C281" s="117"/>
      <c r="D281" s="124"/>
      <c r="E281" s="124"/>
      <c r="F281" s="124"/>
      <c r="G281" s="124"/>
      <c r="H281" s="124"/>
      <c r="I281" s="124"/>
    </row>
    <row r="282">
      <c r="A282" s="41"/>
      <c r="B282" s="41"/>
      <c r="C282" s="117"/>
      <c r="D282" s="124"/>
      <c r="E282" s="124"/>
      <c r="F282" s="124"/>
      <c r="G282" s="124"/>
      <c r="H282" s="124"/>
      <c r="I282" s="124"/>
    </row>
    <row r="283">
      <c r="A283" s="41"/>
      <c r="B283" s="41"/>
      <c r="C283" s="117"/>
      <c r="D283" s="124"/>
      <c r="E283" s="124"/>
      <c r="F283" s="124"/>
      <c r="G283" s="124"/>
      <c r="H283" s="124"/>
      <c r="I283" s="124"/>
    </row>
    <row r="284">
      <c r="A284" s="41"/>
      <c r="B284" s="41"/>
      <c r="C284" s="117"/>
      <c r="D284" s="124"/>
      <c r="E284" s="124"/>
      <c r="F284" s="124"/>
      <c r="G284" s="124"/>
      <c r="H284" s="124"/>
      <c r="I284" s="124"/>
    </row>
    <row r="285">
      <c r="A285" s="41"/>
      <c r="B285" s="41"/>
      <c r="C285" s="117"/>
      <c r="D285" s="124"/>
      <c r="E285" s="124"/>
      <c r="F285" s="124"/>
      <c r="G285" s="124"/>
      <c r="H285" s="124"/>
      <c r="I285" s="124"/>
    </row>
    <row r="286">
      <c r="A286" s="41"/>
      <c r="B286" s="41"/>
      <c r="C286" s="117"/>
      <c r="D286" s="124"/>
      <c r="E286" s="124"/>
      <c r="F286" s="124"/>
      <c r="G286" s="124"/>
      <c r="H286" s="124"/>
      <c r="I286" s="124"/>
    </row>
    <row r="287">
      <c r="A287" s="41"/>
      <c r="B287" s="41"/>
      <c r="C287" s="117"/>
      <c r="D287" s="124"/>
      <c r="E287" s="124"/>
      <c r="F287" s="124"/>
      <c r="G287" s="124"/>
      <c r="H287" s="124"/>
      <c r="I287" s="124"/>
    </row>
    <row r="288">
      <c r="A288" s="41"/>
      <c r="B288" s="41"/>
      <c r="C288" s="117"/>
      <c r="D288" s="124"/>
      <c r="E288" s="124"/>
      <c r="F288" s="124"/>
      <c r="G288" s="124"/>
      <c r="H288" s="124"/>
      <c r="I288" s="124"/>
    </row>
    <row r="289">
      <c r="A289" s="41"/>
      <c r="B289" s="41"/>
      <c r="C289" s="117"/>
      <c r="D289" s="124"/>
      <c r="E289" s="124"/>
      <c r="F289" s="124"/>
      <c r="G289" s="124"/>
      <c r="H289" s="124"/>
      <c r="I289" s="124"/>
    </row>
    <row r="290">
      <c r="A290" s="41"/>
      <c r="B290" s="41"/>
      <c r="C290" s="117"/>
      <c r="D290" s="124"/>
      <c r="E290" s="124"/>
      <c r="F290" s="124"/>
      <c r="G290" s="124"/>
      <c r="H290" s="124"/>
      <c r="I290" s="124"/>
    </row>
    <row r="291">
      <c r="A291" s="41"/>
      <c r="B291" s="41"/>
      <c r="C291" s="117"/>
      <c r="D291" s="124"/>
      <c r="E291" s="124"/>
      <c r="F291" s="124"/>
      <c r="G291" s="124"/>
      <c r="H291" s="124"/>
      <c r="I291" s="124"/>
    </row>
    <row r="292">
      <c r="A292" s="41"/>
      <c r="B292" s="41"/>
      <c r="C292" s="117"/>
      <c r="D292" s="124"/>
      <c r="E292" s="124"/>
      <c r="F292" s="124"/>
      <c r="G292" s="124"/>
      <c r="H292" s="124"/>
      <c r="I292" s="124"/>
    </row>
    <row r="293">
      <c r="A293" s="41"/>
      <c r="B293" s="41"/>
      <c r="C293" s="117"/>
      <c r="D293" s="124"/>
      <c r="E293" s="124"/>
      <c r="F293" s="124"/>
      <c r="G293" s="124"/>
      <c r="H293" s="124"/>
      <c r="I293" s="124"/>
    </row>
    <row r="294">
      <c r="A294" s="41"/>
      <c r="B294" s="41"/>
      <c r="C294" s="117"/>
      <c r="D294" s="124"/>
      <c r="E294" s="124"/>
      <c r="F294" s="124"/>
      <c r="G294" s="124"/>
      <c r="H294" s="124"/>
      <c r="I294" s="124"/>
    </row>
    <row r="295">
      <c r="A295" s="41"/>
      <c r="B295" s="41"/>
      <c r="C295" s="117"/>
      <c r="D295" s="124"/>
      <c r="E295" s="124"/>
      <c r="F295" s="124"/>
      <c r="G295" s="124"/>
      <c r="H295" s="124"/>
      <c r="I295" s="124"/>
    </row>
    <row r="296">
      <c r="A296" s="41"/>
      <c r="B296" s="41"/>
      <c r="C296" s="117"/>
      <c r="D296" s="124"/>
      <c r="E296" s="124"/>
      <c r="F296" s="124"/>
      <c r="G296" s="124"/>
      <c r="H296" s="124"/>
      <c r="I296" s="124"/>
    </row>
    <row r="297">
      <c r="A297" s="41"/>
      <c r="B297" s="41"/>
      <c r="C297" s="117"/>
      <c r="D297" s="124"/>
      <c r="E297" s="124"/>
      <c r="F297" s="124"/>
      <c r="G297" s="124"/>
      <c r="H297" s="124"/>
      <c r="I297" s="124"/>
    </row>
    <row r="298">
      <c r="A298" s="41"/>
      <c r="B298" s="41"/>
      <c r="C298" s="117"/>
      <c r="D298" s="124"/>
      <c r="E298" s="124"/>
      <c r="F298" s="124"/>
      <c r="G298" s="124"/>
      <c r="H298" s="124"/>
      <c r="I298" s="124"/>
    </row>
    <row r="299">
      <c r="A299" s="41"/>
      <c r="B299" s="41"/>
      <c r="C299" s="117"/>
      <c r="D299" s="124"/>
      <c r="E299" s="124"/>
      <c r="F299" s="124"/>
      <c r="G299" s="124"/>
      <c r="H299" s="124"/>
      <c r="I299" s="124"/>
    </row>
    <row r="300">
      <c r="A300" s="41"/>
      <c r="B300" s="41"/>
      <c r="C300" s="117"/>
      <c r="D300" s="124"/>
      <c r="E300" s="124"/>
      <c r="F300" s="124"/>
      <c r="G300" s="124"/>
      <c r="H300" s="124"/>
      <c r="I300" s="124"/>
    </row>
    <row r="301">
      <c r="A301" s="41"/>
      <c r="B301" s="41"/>
      <c r="C301" s="117"/>
      <c r="D301" s="124"/>
      <c r="E301" s="124"/>
      <c r="F301" s="124"/>
      <c r="G301" s="124"/>
      <c r="H301" s="124"/>
      <c r="I301" s="124"/>
    </row>
    <row r="302">
      <c r="A302" s="41"/>
      <c r="B302" s="41"/>
      <c r="C302" s="117"/>
      <c r="D302" s="124"/>
      <c r="E302" s="124"/>
      <c r="F302" s="124"/>
      <c r="G302" s="124"/>
      <c r="H302" s="124"/>
      <c r="I302" s="124"/>
    </row>
    <row r="303">
      <c r="A303" s="41"/>
      <c r="B303" s="41"/>
      <c r="C303" s="117"/>
      <c r="D303" s="124"/>
      <c r="E303" s="124"/>
      <c r="F303" s="124"/>
      <c r="G303" s="124"/>
      <c r="H303" s="124"/>
      <c r="I303" s="124"/>
    </row>
    <row r="304">
      <c r="A304" s="41"/>
      <c r="B304" s="41"/>
      <c r="C304" s="117"/>
      <c r="D304" s="124"/>
      <c r="E304" s="124"/>
      <c r="F304" s="124"/>
      <c r="G304" s="124"/>
      <c r="H304" s="124"/>
      <c r="I304" s="124"/>
    </row>
    <row r="305">
      <c r="A305" s="41"/>
      <c r="B305" s="41"/>
      <c r="C305" s="117"/>
      <c r="D305" s="124"/>
      <c r="E305" s="124"/>
      <c r="F305" s="124"/>
      <c r="G305" s="124"/>
      <c r="H305" s="124"/>
      <c r="I305" s="124"/>
    </row>
    <row r="306">
      <c r="A306" s="41"/>
      <c r="B306" s="41"/>
      <c r="C306" s="117"/>
      <c r="D306" s="124"/>
      <c r="E306" s="124"/>
      <c r="F306" s="124"/>
      <c r="G306" s="124"/>
      <c r="H306" s="124"/>
      <c r="I306" s="124"/>
    </row>
    <row r="307">
      <c r="A307" s="41"/>
      <c r="B307" s="41"/>
      <c r="C307" s="117"/>
      <c r="D307" s="124"/>
      <c r="E307" s="124"/>
      <c r="F307" s="124"/>
      <c r="G307" s="124"/>
      <c r="H307" s="124"/>
      <c r="I307" s="124"/>
    </row>
    <row r="308">
      <c r="A308" s="41"/>
      <c r="B308" s="41"/>
      <c r="C308" s="117"/>
      <c r="D308" s="124"/>
      <c r="E308" s="124"/>
      <c r="F308" s="124"/>
      <c r="G308" s="124"/>
      <c r="H308" s="124"/>
      <c r="I308" s="124"/>
    </row>
    <row r="309">
      <c r="A309" s="41"/>
      <c r="B309" s="41"/>
      <c r="C309" s="117"/>
      <c r="D309" s="124"/>
      <c r="E309" s="124"/>
      <c r="F309" s="124"/>
      <c r="G309" s="124"/>
      <c r="H309" s="124"/>
      <c r="I309" s="124"/>
    </row>
    <row r="310">
      <c r="A310" s="41"/>
      <c r="B310" s="41"/>
      <c r="C310" s="117"/>
      <c r="D310" s="124"/>
      <c r="E310" s="124"/>
      <c r="F310" s="124"/>
      <c r="G310" s="124"/>
      <c r="H310" s="124"/>
      <c r="I310" s="124"/>
    </row>
    <row r="311">
      <c r="A311" s="41"/>
      <c r="B311" s="41"/>
      <c r="C311" s="117"/>
      <c r="D311" s="124"/>
      <c r="E311" s="124"/>
      <c r="F311" s="124"/>
      <c r="G311" s="124"/>
      <c r="H311" s="124"/>
      <c r="I311" s="124"/>
    </row>
    <row r="312">
      <c r="A312" s="41"/>
      <c r="B312" s="41"/>
      <c r="C312" s="117"/>
      <c r="D312" s="124"/>
      <c r="E312" s="124"/>
      <c r="F312" s="124"/>
      <c r="G312" s="124"/>
      <c r="H312" s="124"/>
      <c r="I312" s="124"/>
    </row>
    <row r="313">
      <c r="A313" s="41"/>
      <c r="B313" s="41"/>
      <c r="C313" s="117"/>
      <c r="D313" s="124"/>
      <c r="E313" s="124"/>
      <c r="F313" s="124"/>
      <c r="G313" s="124"/>
      <c r="H313" s="124"/>
      <c r="I313" s="124"/>
    </row>
    <row r="314">
      <c r="A314" s="41"/>
      <c r="B314" s="41"/>
      <c r="C314" s="117"/>
      <c r="D314" s="124"/>
      <c r="E314" s="124"/>
      <c r="F314" s="124"/>
      <c r="G314" s="124"/>
      <c r="H314" s="124"/>
      <c r="I314" s="124"/>
    </row>
    <row r="315">
      <c r="A315" s="41"/>
      <c r="B315" s="41"/>
      <c r="C315" s="117"/>
      <c r="D315" s="124"/>
      <c r="E315" s="124"/>
      <c r="F315" s="124"/>
      <c r="G315" s="124"/>
      <c r="H315" s="124"/>
      <c r="I315" s="124"/>
    </row>
    <row r="316">
      <c r="A316" s="41"/>
      <c r="B316" s="41"/>
      <c r="C316" s="117"/>
      <c r="D316" s="124"/>
      <c r="E316" s="124"/>
      <c r="F316" s="124"/>
      <c r="G316" s="124"/>
      <c r="H316" s="124"/>
      <c r="I316" s="124"/>
    </row>
    <row r="317">
      <c r="A317" s="41"/>
      <c r="B317" s="41"/>
      <c r="C317" s="117"/>
      <c r="D317" s="124"/>
      <c r="E317" s="124"/>
      <c r="F317" s="124"/>
      <c r="G317" s="124"/>
      <c r="H317" s="124"/>
      <c r="I317" s="124"/>
    </row>
    <row r="318">
      <c r="A318" s="41"/>
      <c r="B318" s="41"/>
      <c r="C318" s="117"/>
      <c r="D318" s="124"/>
      <c r="E318" s="124"/>
      <c r="F318" s="124"/>
      <c r="G318" s="124"/>
      <c r="H318" s="124"/>
      <c r="I318" s="124"/>
    </row>
    <row r="319">
      <c r="A319" s="41"/>
      <c r="B319" s="41"/>
      <c r="C319" s="117"/>
      <c r="D319" s="124"/>
      <c r="E319" s="124"/>
      <c r="F319" s="124"/>
      <c r="G319" s="124"/>
      <c r="H319" s="124"/>
      <c r="I319" s="124"/>
    </row>
    <row r="320">
      <c r="A320" s="41"/>
      <c r="B320" s="41"/>
      <c r="C320" s="117"/>
      <c r="D320" s="124"/>
      <c r="E320" s="124"/>
      <c r="F320" s="124"/>
      <c r="G320" s="124"/>
      <c r="H320" s="124"/>
      <c r="I320" s="124"/>
    </row>
    <row r="321">
      <c r="A321" s="41"/>
      <c r="B321" s="41"/>
      <c r="C321" s="117"/>
      <c r="D321" s="124"/>
      <c r="E321" s="124"/>
      <c r="F321" s="124"/>
      <c r="G321" s="124"/>
      <c r="H321" s="124"/>
      <c r="I321" s="124"/>
    </row>
    <row r="322">
      <c r="A322" s="41"/>
      <c r="B322" s="41"/>
      <c r="C322" s="117"/>
      <c r="D322" s="124"/>
      <c r="E322" s="124"/>
      <c r="F322" s="124"/>
      <c r="G322" s="124"/>
      <c r="H322" s="124"/>
      <c r="I322" s="124"/>
    </row>
    <row r="323">
      <c r="A323" s="41"/>
      <c r="B323" s="41"/>
      <c r="C323" s="117"/>
      <c r="D323" s="124"/>
      <c r="E323" s="124"/>
      <c r="F323" s="124"/>
      <c r="G323" s="124"/>
      <c r="H323" s="124"/>
      <c r="I323" s="124"/>
    </row>
    <row r="324">
      <c r="A324" s="41"/>
      <c r="B324" s="41"/>
      <c r="C324" s="117"/>
      <c r="D324" s="124"/>
      <c r="E324" s="124"/>
      <c r="F324" s="124"/>
      <c r="G324" s="124"/>
      <c r="H324" s="124"/>
      <c r="I324" s="124"/>
    </row>
    <row r="325">
      <c r="A325" s="41"/>
      <c r="B325" s="41"/>
      <c r="C325" s="117"/>
      <c r="D325" s="124"/>
      <c r="E325" s="124"/>
      <c r="F325" s="124"/>
      <c r="G325" s="124"/>
      <c r="H325" s="124"/>
      <c r="I325" s="124"/>
    </row>
    <row r="326">
      <c r="A326" s="41"/>
      <c r="B326" s="41"/>
      <c r="C326" s="117"/>
      <c r="D326" s="124"/>
      <c r="E326" s="124"/>
      <c r="F326" s="124"/>
      <c r="G326" s="124"/>
      <c r="H326" s="124"/>
      <c r="I326" s="124"/>
    </row>
    <row r="327">
      <c r="A327" s="41"/>
      <c r="B327" s="41"/>
      <c r="C327" s="117"/>
      <c r="D327" s="124"/>
      <c r="E327" s="124"/>
      <c r="F327" s="124"/>
      <c r="G327" s="124"/>
      <c r="H327" s="124"/>
      <c r="I327" s="124"/>
    </row>
    <row r="328">
      <c r="A328" s="41"/>
      <c r="B328" s="41"/>
      <c r="C328" s="117"/>
      <c r="D328" s="124"/>
      <c r="E328" s="124"/>
      <c r="F328" s="124"/>
      <c r="G328" s="124"/>
      <c r="H328" s="124"/>
      <c r="I328" s="124"/>
    </row>
    <row r="329">
      <c r="A329" s="41"/>
      <c r="B329" s="41"/>
      <c r="C329" s="117"/>
      <c r="D329" s="124"/>
      <c r="E329" s="124"/>
      <c r="F329" s="124"/>
      <c r="G329" s="124"/>
      <c r="H329" s="124"/>
      <c r="I329" s="124"/>
    </row>
    <row r="330">
      <c r="A330" s="41"/>
      <c r="B330" s="41"/>
      <c r="C330" s="117"/>
      <c r="D330" s="124"/>
      <c r="E330" s="124"/>
      <c r="F330" s="124"/>
      <c r="G330" s="124"/>
      <c r="H330" s="124"/>
      <c r="I330" s="124"/>
    </row>
    <row r="331">
      <c r="A331" s="41"/>
      <c r="B331" s="41"/>
      <c r="C331" s="117"/>
      <c r="D331" s="124"/>
      <c r="E331" s="124"/>
      <c r="F331" s="124"/>
      <c r="G331" s="124"/>
      <c r="H331" s="124"/>
      <c r="I331" s="124"/>
    </row>
    <row r="332">
      <c r="A332" s="41"/>
      <c r="B332" s="41"/>
      <c r="C332" s="117"/>
      <c r="D332" s="124"/>
      <c r="E332" s="124"/>
      <c r="F332" s="124"/>
      <c r="G332" s="124"/>
      <c r="H332" s="124"/>
      <c r="I332" s="124"/>
    </row>
    <row r="333">
      <c r="A333" s="41"/>
      <c r="B333" s="41"/>
      <c r="C333" s="117"/>
      <c r="D333" s="124"/>
      <c r="E333" s="124"/>
      <c r="F333" s="124"/>
      <c r="G333" s="124"/>
      <c r="H333" s="124"/>
      <c r="I333" s="124"/>
    </row>
    <row r="334">
      <c r="A334" s="41"/>
      <c r="B334" s="41"/>
      <c r="C334" s="117"/>
      <c r="D334" s="124"/>
      <c r="E334" s="124"/>
      <c r="F334" s="124"/>
      <c r="G334" s="124"/>
      <c r="H334" s="124"/>
      <c r="I334" s="124"/>
    </row>
    <row r="335">
      <c r="A335" s="41"/>
      <c r="B335" s="41"/>
      <c r="C335" s="117"/>
      <c r="D335" s="124"/>
      <c r="E335" s="124"/>
      <c r="F335" s="124"/>
      <c r="G335" s="124"/>
      <c r="H335" s="124"/>
      <c r="I335" s="124"/>
    </row>
    <row r="336">
      <c r="A336" s="41"/>
      <c r="B336" s="41"/>
      <c r="C336" s="117"/>
      <c r="D336" s="124"/>
      <c r="E336" s="124"/>
      <c r="F336" s="124"/>
      <c r="G336" s="124"/>
      <c r="H336" s="124"/>
      <c r="I336" s="124"/>
    </row>
    <row r="337">
      <c r="A337" s="41"/>
      <c r="B337" s="41"/>
      <c r="C337" s="117"/>
      <c r="D337" s="124"/>
      <c r="E337" s="124"/>
      <c r="F337" s="124"/>
      <c r="G337" s="124"/>
      <c r="H337" s="124"/>
      <c r="I337" s="124"/>
    </row>
    <row r="338">
      <c r="A338" s="41"/>
      <c r="B338" s="41"/>
      <c r="C338" s="117"/>
      <c r="D338" s="124"/>
      <c r="E338" s="124"/>
      <c r="F338" s="124"/>
      <c r="G338" s="124"/>
      <c r="H338" s="124"/>
      <c r="I338" s="124"/>
    </row>
    <row r="339">
      <c r="A339" s="41"/>
      <c r="B339" s="41"/>
      <c r="C339" s="117"/>
      <c r="D339" s="124"/>
      <c r="E339" s="124"/>
      <c r="F339" s="124"/>
      <c r="G339" s="124"/>
      <c r="H339" s="124"/>
      <c r="I339" s="124"/>
    </row>
    <row r="340">
      <c r="A340" s="41"/>
      <c r="B340" s="41"/>
      <c r="C340" s="117"/>
      <c r="D340" s="124"/>
      <c r="E340" s="124"/>
      <c r="F340" s="124"/>
      <c r="G340" s="124"/>
      <c r="H340" s="124"/>
      <c r="I340" s="124"/>
    </row>
    <row r="341">
      <c r="A341" s="41"/>
      <c r="B341" s="41"/>
      <c r="C341" s="117"/>
      <c r="D341" s="124"/>
      <c r="E341" s="124"/>
      <c r="F341" s="124"/>
      <c r="G341" s="124"/>
      <c r="H341" s="124"/>
      <c r="I341" s="124"/>
    </row>
    <row r="342">
      <c r="A342" s="41"/>
      <c r="B342" s="41"/>
      <c r="C342" s="117"/>
      <c r="D342" s="124"/>
      <c r="E342" s="124"/>
      <c r="F342" s="124"/>
      <c r="G342" s="124"/>
      <c r="H342" s="124"/>
      <c r="I342" s="124"/>
    </row>
    <row r="343">
      <c r="A343" s="41"/>
      <c r="B343" s="41"/>
      <c r="C343" s="117"/>
      <c r="D343" s="124"/>
      <c r="E343" s="124"/>
      <c r="F343" s="124"/>
      <c r="G343" s="124"/>
      <c r="H343" s="124"/>
      <c r="I343" s="124"/>
    </row>
    <row r="344">
      <c r="A344" s="41"/>
      <c r="B344" s="41"/>
      <c r="C344" s="117"/>
      <c r="D344" s="124"/>
      <c r="E344" s="124"/>
      <c r="F344" s="124"/>
      <c r="G344" s="124"/>
      <c r="H344" s="124"/>
      <c r="I344" s="124"/>
    </row>
    <row r="345">
      <c r="A345" s="41"/>
      <c r="B345" s="41"/>
      <c r="C345" s="117"/>
      <c r="D345" s="124"/>
      <c r="E345" s="124"/>
      <c r="F345" s="124"/>
      <c r="G345" s="124"/>
      <c r="H345" s="124"/>
      <c r="I345" s="124"/>
    </row>
    <row r="346">
      <c r="A346" s="41"/>
      <c r="B346" s="41"/>
      <c r="C346" s="117"/>
      <c r="D346" s="124"/>
      <c r="E346" s="124"/>
      <c r="F346" s="124"/>
      <c r="G346" s="124"/>
      <c r="H346" s="124"/>
      <c r="I346" s="124"/>
    </row>
    <row r="347">
      <c r="A347" s="41"/>
      <c r="B347" s="41"/>
      <c r="C347" s="117"/>
      <c r="D347" s="124"/>
      <c r="E347" s="124"/>
      <c r="F347" s="124"/>
      <c r="G347" s="124"/>
      <c r="H347" s="124"/>
      <c r="I347" s="124"/>
    </row>
    <row r="348">
      <c r="A348" s="41"/>
      <c r="B348" s="41"/>
      <c r="C348" s="117"/>
      <c r="D348" s="124"/>
      <c r="E348" s="124"/>
      <c r="F348" s="124"/>
      <c r="G348" s="124"/>
      <c r="H348" s="124"/>
      <c r="I348" s="124"/>
    </row>
    <row r="349">
      <c r="A349" s="41"/>
      <c r="B349" s="41"/>
      <c r="C349" s="117"/>
      <c r="D349" s="124"/>
      <c r="E349" s="124"/>
      <c r="F349" s="124"/>
      <c r="G349" s="124"/>
      <c r="H349" s="124"/>
      <c r="I349" s="124"/>
    </row>
    <row r="350">
      <c r="A350" s="41"/>
      <c r="B350" s="41"/>
      <c r="C350" s="117"/>
      <c r="D350" s="124"/>
      <c r="E350" s="124"/>
      <c r="F350" s="124"/>
      <c r="G350" s="124"/>
      <c r="H350" s="124"/>
      <c r="I350" s="124"/>
    </row>
    <row r="351">
      <c r="A351" s="41"/>
      <c r="B351" s="41"/>
      <c r="C351" s="117"/>
      <c r="D351" s="124"/>
      <c r="E351" s="124"/>
      <c r="F351" s="124"/>
      <c r="G351" s="124"/>
      <c r="H351" s="124"/>
      <c r="I351" s="124"/>
    </row>
    <row r="352">
      <c r="A352" s="41"/>
      <c r="B352" s="41"/>
      <c r="C352" s="117"/>
      <c r="D352" s="124"/>
      <c r="E352" s="124"/>
      <c r="F352" s="124"/>
      <c r="G352" s="124"/>
      <c r="H352" s="124"/>
      <c r="I352" s="124"/>
    </row>
    <row r="353">
      <c r="A353" s="41"/>
      <c r="B353" s="41"/>
      <c r="C353" s="117"/>
      <c r="D353" s="124"/>
      <c r="E353" s="124"/>
      <c r="F353" s="124"/>
      <c r="G353" s="124"/>
      <c r="H353" s="124"/>
      <c r="I353" s="124"/>
    </row>
    <row r="354">
      <c r="A354" s="41"/>
      <c r="B354" s="41"/>
      <c r="C354" s="117"/>
      <c r="D354" s="124"/>
      <c r="E354" s="124"/>
      <c r="F354" s="124"/>
      <c r="G354" s="124"/>
      <c r="H354" s="124"/>
      <c r="I354" s="124"/>
    </row>
    <row r="355">
      <c r="A355" s="41"/>
      <c r="B355" s="41"/>
      <c r="C355" s="117"/>
      <c r="D355" s="124"/>
      <c r="E355" s="124"/>
      <c r="F355" s="124"/>
      <c r="G355" s="124"/>
      <c r="H355" s="124"/>
      <c r="I355" s="124"/>
    </row>
    <row r="356">
      <c r="A356" s="41"/>
      <c r="B356" s="41"/>
      <c r="C356" s="117"/>
      <c r="D356" s="124"/>
      <c r="E356" s="124"/>
      <c r="F356" s="124"/>
      <c r="G356" s="124"/>
      <c r="H356" s="124"/>
      <c r="I356" s="124"/>
    </row>
    <row r="357">
      <c r="A357" s="41"/>
      <c r="B357" s="41"/>
      <c r="C357" s="117"/>
      <c r="D357" s="124"/>
      <c r="E357" s="124"/>
      <c r="F357" s="124"/>
      <c r="G357" s="124"/>
      <c r="H357" s="124"/>
      <c r="I357" s="124"/>
    </row>
    <row r="358">
      <c r="A358" s="41"/>
      <c r="B358" s="41"/>
      <c r="C358" s="117"/>
      <c r="D358" s="124"/>
      <c r="E358" s="124"/>
      <c r="F358" s="124"/>
      <c r="G358" s="124"/>
      <c r="H358" s="124"/>
      <c r="I358" s="124"/>
    </row>
    <row r="359">
      <c r="A359" s="41"/>
      <c r="B359" s="41"/>
      <c r="C359" s="117"/>
      <c r="D359" s="124"/>
      <c r="E359" s="124"/>
      <c r="F359" s="124"/>
      <c r="G359" s="124"/>
      <c r="H359" s="124"/>
      <c r="I359" s="124"/>
    </row>
    <row r="360">
      <c r="A360" s="41"/>
      <c r="B360" s="41"/>
      <c r="C360" s="117"/>
      <c r="D360" s="124"/>
      <c r="E360" s="124"/>
      <c r="F360" s="124"/>
      <c r="G360" s="124"/>
      <c r="H360" s="124"/>
      <c r="I360" s="124"/>
    </row>
    <row r="361">
      <c r="A361" s="41"/>
      <c r="B361" s="41"/>
      <c r="C361" s="117"/>
      <c r="D361" s="124"/>
      <c r="E361" s="124"/>
      <c r="F361" s="124"/>
      <c r="G361" s="124"/>
      <c r="H361" s="124"/>
      <c r="I361" s="124"/>
    </row>
    <row r="362">
      <c r="A362" s="41"/>
      <c r="B362" s="41"/>
      <c r="C362" s="117"/>
      <c r="D362" s="124"/>
      <c r="E362" s="124"/>
      <c r="F362" s="124"/>
      <c r="G362" s="124"/>
      <c r="H362" s="124"/>
      <c r="I362" s="124"/>
    </row>
    <row r="363">
      <c r="A363" s="41"/>
      <c r="B363" s="41"/>
      <c r="C363" s="117"/>
      <c r="D363" s="124"/>
      <c r="E363" s="124"/>
      <c r="F363" s="124"/>
      <c r="G363" s="124"/>
      <c r="H363" s="124"/>
      <c r="I363" s="124"/>
    </row>
    <row r="364">
      <c r="A364" s="41"/>
      <c r="B364" s="41"/>
      <c r="C364" s="117"/>
      <c r="D364" s="124"/>
      <c r="E364" s="124"/>
      <c r="F364" s="124"/>
      <c r="G364" s="124"/>
      <c r="H364" s="124"/>
      <c r="I364" s="124"/>
    </row>
    <row r="365">
      <c r="A365" s="41"/>
      <c r="B365" s="41"/>
      <c r="C365" s="117"/>
      <c r="D365" s="124"/>
      <c r="E365" s="124"/>
      <c r="F365" s="124"/>
      <c r="G365" s="124"/>
      <c r="H365" s="124"/>
      <c r="I365" s="124"/>
    </row>
    <row r="366">
      <c r="A366" s="41"/>
      <c r="B366" s="41"/>
      <c r="C366" s="117"/>
      <c r="D366" s="124"/>
      <c r="E366" s="124"/>
      <c r="F366" s="124"/>
      <c r="G366" s="124"/>
      <c r="H366" s="124"/>
      <c r="I366" s="124"/>
    </row>
    <row r="367">
      <c r="A367" s="41"/>
      <c r="B367" s="41"/>
      <c r="C367" s="117"/>
      <c r="D367" s="124"/>
      <c r="E367" s="124"/>
      <c r="F367" s="124"/>
      <c r="G367" s="124"/>
      <c r="H367" s="124"/>
      <c r="I367" s="124"/>
    </row>
    <row r="368">
      <c r="A368" s="41"/>
      <c r="B368" s="41"/>
      <c r="C368" s="117"/>
      <c r="D368" s="124"/>
      <c r="E368" s="124"/>
      <c r="F368" s="124"/>
      <c r="G368" s="124"/>
      <c r="H368" s="124"/>
      <c r="I368" s="124"/>
    </row>
    <row r="369">
      <c r="A369" s="41"/>
      <c r="B369" s="41"/>
      <c r="C369" s="117"/>
      <c r="D369" s="124"/>
      <c r="E369" s="124"/>
      <c r="F369" s="124"/>
      <c r="G369" s="124"/>
      <c r="H369" s="124"/>
      <c r="I369" s="124"/>
    </row>
    <row r="370">
      <c r="A370" s="41"/>
      <c r="B370" s="41"/>
      <c r="C370" s="117"/>
      <c r="D370" s="124"/>
      <c r="E370" s="124"/>
      <c r="F370" s="124"/>
      <c r="G370" s="124"/>
      <c r="H370" s="124"/>
      <c r="I370" s="124"/>
    </row>
    <row r="371">
      <c r="A371" s="41"/>
      <c r="B371" s="41"/>
      <c r="C371" s="117"/>
      <c r="D371" s="124"/>
      <c r="E371" s="124"/>
      <c r="F371" s="124"/>
      <c r="G371" s="124"/>
      <c r="H371" s="124"/>
      <c r="I371" s="124"/>
    </row>
    <row r="372">
      <c r="A372" s="41"/>
      <c r="B372" s="41"/>
      <c r="C372" s="117"/>
      <c r="D372" s="124"/>
      <c r="E372" s="124"/>
      <c r="F372" s="124"/>
      <c r="G372" s="124"/>
      <c r="H372" s="124"/>
      <c r="I372" s="124"/>
    </row>
    <row r="373">
      <c r="A373" s="41"/>
      <c r="B373" s="41"/>
      <c r="C373" s="117"/>
      <c r="D373" s="124"/>
      <c r="E373" s="124"/>
      <c r="F373" s="124"/>
      <c r="G373" s="124"/>
      <c r="H373" s="124"/>
      <c r="I373" s="124"/>
    </row>
    <row r="374">
      <c r="A374" s="41"/>
      <c r="B374" s="41"/>
      <c r="C374" s="117"/>
      <c r="D374" s="124"/>
      <c r="E374" s="124"/>
      <c r="F374" s="124"/>
      <c r="G374" s="124"/>
      <c r="H374" s="124"/>
      <c r="I374" s="124"/>
    </row>
    <row r="375">
      <c r="A375" s="41"/>
      <c r="B375" s="41"/>
      <c r="C375" s="117"/>
      <c r="D375" s="124"/>
      <c r="E375" s="124"/>
      <c r="F375" s="124"/>
      <c r="G375" s="124"/>
      <c r="H375" s="124"/>
      <c r="I375" s="124"/>
    </row>
    <row r="376">
      <c r="A376" s="41"/>
      <c r="B376" s="41"/>
      <c r="C376" s="117"/>
      <c r="D376" s="124"/>
      <c r="E376" s="124"/>
      <c r="F376" s="124"/>
      <c r="G376" s="124"/>
      <c r="H376" s="124"/>
      <c r="I376" s="124"/>
    </row>
    <row r="377">
      <c r="A377" s="41"/>
      <c r="B377" s="41"/>
      <c r="C377" s="117"/>
      <c r="D377" s="124"/>
      <c r="E377" s="124"/>
      <c r="F377" s="124"/>
      <c r="G377" s="124"/>
      <c r="H377" s="124"/>
      <c r="I377" s="124"/>
    </row>
    <row r="378">
      <c r="A378" s="41"/>
      <c r="B378" s="41"/>
      <c r="C378" s="117"/>
      <c r="D378" s="124"/>
      <c r="E378" s="124"/>
      <c r="F378" s="124"/>
      <c r="G378" s="124"/>
      <c r="H378" s="124"/>
      <c r="I378" s="124"/>
    </row>
    <row r="379">
      <c r="A379" s="41"/>
      <c r="B379" s="41"/>
      <c r="C379" s="117"/>
      <c r="D379" s="124"/>
      <c r="E379" s="124"/>
      <c r="F379" s="124"/>
      <c r="G379" s="124"/>
      <c r="H379" s="124"/>
      <c r="I379" s="124"/>
    </row>
    <row r="380">
      <c r="A380" s="41"/>
      <c r="B380" s="41"/>
      <c r="C380" s="117"/>
      <c r="D380" s="124"/>
      <c r="E380" s="124"/>
      <c r="F380" s="124"/>
      <c r="G380" s="124"/>
      <c r="H380" s="124"/>
      <c r="I380" s="124"/>
    </row>
    <row r="381">
      <c r="A381" s="41"/>
      <c r="B381" s="41"/>
      <c r="C381" s="117"/>
      <c r="D381" s="124"/>
      <c r="E381" s="124"/>
      <c r="F381" s="124"/>
      <c r="G381" s="124"/>
      <c r="H381" s="124"/>
      <c r="I381" s="124"/>
    </row>
    <row r="382">
      <c r="A382" s="41"/>
      <c r="B382" s="41"/>
      <c r="C382" s="117"/>
      <c r="D382" s="124"/>
      <c r="E382" s="124"/>
      <c r="F382" s="124"/>
      <c r="G382" s="124"/>
      <c r="H382" s="124"/>
      <c r="I382" s="124"/>
    </row>
    <row r="383">
      <c r="A383" s="41"/>
      <c r="B383" s="41"/>
      <c r="C383" s="117"/>
      <c r="D383" s="124"/>
      <c r="E383" s="124"/>
      <c r="F383" s="124"/>
      <c r="G383" s="124"/>
      <c r="H383" s="124"/>
      <c r="I383" s="124"/>
    </row>
    <row r="384">
      <c r="A384" s="41"/>
      <c r="B384" s="41"/>
      <c r="C384" s="117"/>
      <c r="D384" s="124"/>
      <c r="E384" s="124"/>
      <c r="F384" s="124"/>
      <c r="G384" s="124"/>
      <c r="H384" s="124"/>
      <c r="I384" s="124"/>
    </row>
    <row r="385">
      <c r="A385" s="41"/>
      <c r="B385" s="41"/>
      <c r="C385" s="117"/>
      <c r="D385" s="124"/>
      <c r="E385" s="124"/>
      <c r="F385" s="124"/>
      <c r="G385" s="124"/>
      <c r="H385" s="124"/>
      <c r="I385" s="124"/>
    </row>
    <row r="386">
      <c r="A386" s="41"/>
      <c r="B386" s="41"/>
      <c r="C386" s="117"/>
      <c r="D386" s="124"/>
      <c r="E386" s="124"/>
      <c r="F386" s="124"/>
      <c r="G386" s="124"/>
      <c r="H386" s="124"/>
      <c r="I386" s="124"/>
    </row>
    <row r="387">
      <c r="A387" s="41"/>
      <c r="B387" s="41"/>
      <c r="C387" s="117"/>
      <c r="D387" s="124"/>
      <c r="E387" s="124"/>
      <c r="F387" s="124"/>
      <c r="G387" s="124"/>
      <c r="H387" s="124"/>
      <c r="I387" s="124"/>
    </row>
    <row r="388">
      <c r="A388" s="41"/>
      <c r="B388" s="41"/>
      <c r="C388" s="117"/>
      <c r="D388" s="124"/>
      <c r="E388" s="124"/>
      <c r="F388" s="124"/>
      <c r="G388" s="124"/>
      <c r="H388" s="124"/>
      <c r="I388" s="124"/>
    </row>
    <row r="389">
      <c r="A389" s="41"/>
      <c r="B389" s="41"/>
      <c r="C389" s="117"/>
      <c r="D389" s="124"/>
      <c r="E389" s="124"/>
      <c r="F389" s="124"/>
      <c r="G389" s="124"/>
      <c r="H389" s="124"/>
      <c r="I389" s="124"/>
    </row>
    <row r="390">
      <c r="A390" s="41"/>
      <c r="B390" s="41"/>
      <c r="C390" s="117"/>
      <c r="D390" s="124"/>
      <c r="E390" s="124"/>
      <c r="F390" s="124"/>
      <c r="G390" s="124"/>
      <c r="H390" s="124"/>
      <c r="I390" s="124"/>
    </row>
    <row r="391">
      <c r="A391" s="41"/>
      <c r="B391" s="41"/>
      <c r="C391" s="117"/>
      <c r="D391" s="124"/>
      <c r="E391" s="124"/>
      <c r="F391" s="124"/>
      <c r="G391" s="124"/>
      <c r="H391" s="124"/>
      <c r="I391" s="124"/>
    </row>
    <row r="392">
      <c r="A392" s="41"/>
      <c r="B392" s="41"/>
      <c r="C392" s="117"/>
      <c r="D392" s="124"/>
      <c r="E392" s="124"/>
      <c r="F392" s="124"/>
      <c r="G392" s="124"/>
      <c r="H392" s="124"/>
      <c r="I392" s="124"/>
    </row>
    <row r="393">
      <c r="A393" s="41"/>
      <c r="B393" s="41"/>
      <c r="C393" s="117"/>
      <c r="D393" s="124"/>
      <c r="E393" s="124"/>
      <c r="F393" s="124"/>
      <c r="G393" s="124"/>
      <c r="H393" s="124"/>
      <c r="I393" s="124"/>
    </row>
    <row r="394">
      <c r="A394" s="41"/>
      <c r="B394" s="41"/>
      <c r="C394" s="117"/>
      <c r="D394" s="124"/>
      <c r="E394" s="124"/>
      <c r="F394" s="124"/>
      <c r="G394" s="124"/>
      <c r="H394" s="124"/>
      <c r="I394" s="124"/>
    </row>
    <row r="395">
      <c r="A395" s="41"/>
      <c r="B395" s="41"/>
      <c r="C395" s="117"/>
      <c r="D395" s="124"/>
      <c r="E395" s="124"/>
      <c r="F395" s="124"/>
      <c r="G395" s="124"/>
      <c r="H395" s="124"/>
      <c r="I395" s="124"/>
    </row>
    <row r="396">
      <c r="A396" s="41"/>
      <c r="B396" s="41"/>
      <c r="C396" s="117"/>
      <c r="D396" s="124"/>
      <c r="E396" s="124"/>
      <c r="F396" s="124"/>
      <c r="G396" s="124"/>
      <c r="H396" s="124"/>
      <c r="I396" s="124"/>
    </row>
    <row r="397">
      <c r="A397" s="41"/>
      <c r="B397" s="41"/>
      <c r="C397" s="117"/>
      <c r="D397" s="124"/>
      <c r="E397" s="124"/>
      <c r="F397" s="124"/>
      <c r="G397" s="124"/>
      <c r="H397" s="124"/>
      <c r="I397" s="124"/>
    </row>
    <row r="398">
      <c r="A398" s="41"/>
      <c r="B398" s="41"/>
      <c r="C398" s="117"/>
      <c r="D398" s="124"/>
      <c r="E398" s="124"/>
      <c r="F398" s="124"/>
      <c r="G398" s="124"/>
      <c r="H398" s="124"/>
      <c r="I398" s="124"/>
    </row>
    <row r="399">
      <c r="A399" s="41"/>
      <c r="B399" s="41"/>
      <c r="C399" s="117"/>
      <c r="D399" s="124"/>
      <c r="E399" s="124"/>
      <c r="F399" s="124"/>
      <c r="G399" s="124"/>
      <c r="H399" s="124"/>
      <c r="I399" s="124"/>
    </row>
    <row r="400">
      <c r="A400" s="41"/>
      <c r="B400" s="41"/>
      <c r="C400" s="117"/>
      <c r="D400" s="124"/>
      <c r="E400" s="124"/>
      <c r="F400" s="124"/>
      <c r="G400" s="124"/>
      <c r="H400" s="124"/>
      <c r="I400" s="124"/>
    </row>
    <row r="401">
      <c r="A401" s="41"/>
      <c r="B401" s="41"/>
      <c r="C401" s="117"/>
      <c r="D401" s="124"/>
      <c r="E401" s="124"/>
      <c r="F401" s="124"/>
      <c r="G401" s="124"/>
      <c r="H401" s="124"/>
      <c r="I401" s="124"/>
    </row>
    <row r="402">
      <c r="A402" s="41"/>
      <c r="B402" s="41"/>
      <c r="C402" s="117"/>
      <c r="D402" s="124"/>
      <c r="E402" s="124"/>
      <c r="F402" s="124"/>
      <c r="G402" s="124"/>
      <c r="H402" s="124"/>
      <c r="I402" s="124"/>
    </row>
    <row r="403">
      <c r="A403" s="41"/>
      <c r="B403" s="41"/>
      <c r="C403" s="117"/>
      <c r="D403" s="124"/>
      <c r="E403" s="124"/>
      <c r="F403" s="124"/>
      <c r="G403" s="124"/>
      <c r="H403" s="124"/>
      <c r="I403" s="124"/>
    </row>
    <row r="404">
      <c r="A404" s="41"/>
      <c r="B404" s="41"/>
      <c r="C404" s="117"/>
      <c r="D404" s="124"/>
      <c r="E404" s="124"/>
      <c r="F404" s="124"/>
      <c r="G404" s="124"/>
      <c r="H404" s="124"/>
      <c r="I404" s="124"/>
    </row>
    <row r="405">
      <c r="A405" s="41"/>
      <c r="B405" s="41"/>
      <c r="C405" s="117"/>
      <c r="D405" s="124"/>
      <c r="E405" s="124"/>
      <c r="F405" s="124"/>
      <c r="G405" s="124"/>
      <c r="H405" s="124"/>
      <c r="I405" s="124"/>
    </row>
    <row r="406">
      <c r="A406" s="41"/>
      <c r="B406" s="41"/>
      <c r="C406" s="117"/>
      <c r="D406" s="124"/>
      <c r="E406" s="124"/>
      <c r="F406" s="124"/>
      <c r="G406" s="124"/>
      <c r="H406" s="124"/>
      <c r="I406" s="124"/>
    </row>
    <row r="407">
      <c r="A407" s="41"/>
      <c r="B407" s="41"/>
      <c r="C407" s="117"/>
      <c r="D407" s="124"/>
      <c r="E407" s="124"/>
      <c r="F407" s="124"/>
      <c r="G407" s="124"/>
      <c r="H407" s="124"/>
      <c r="I407" s="124"/>
    </row>
    <row r="408">
      <c r="A408" s="41"/>
      <c r="B408" s="41"/>
      <c r="C408" s="117"/>
      <c r="D408" s="124"/>
      <c r="E408" s="124"/>
      <c r="F408" s="124"/>
      <c r="G408" s="124"/>
      <c r="H408" s="124"/>
      <c r="I408" s="124"/>
    </row>
    <row r="409">
      <c r="A409" s="41"/>
      <c r="B409" s="41"/>
      <c r="C409" s="117"/>
      <c r="D409" s="124"/>
      <c r="E409" s="124"/>
      <c r="F409" s="124"/>
      <c r="G409" s="124"/>
      <c r="H409" s="124"/>
      <c r="I409" s="124"/>
    </row>
    <row r="410">
      <c r="A410" s="41"/>
      <c r="B410" s="41"/>
      <c r="C410" s="117"/>
      <c r="D410" s="124"/>
      <c r="E410" s="124"/>
      <c r="F410" s="124"/>
      <c r="G410" s="124"/>
      <c r="H410" s="124"/>
      <c r="I410" s="124"/>
    </row>
    <row r="411">
      <c r="A411" s="41"/>
      <c r="B411" s="41"/>
      <c r="C411" s="117"/>
      <c r="D411" s="124"/>
      <c r="E411" s="124"/>
      <c r="F411" s="124"/>
      <c r="G411" s="124"/>
      <c r="H411" s="124"/>
      <c r="I411" s="124"/>
    </row>
    <row r="412">
      <c r="A412" s="41"/>
      <c r="B412" s="41"/>
      <c r="C412" s="117"/>
      <c r="D412" s="124"/>
      <c r="E412" s="124"/>
      <c r="F412" s="124"/>
      <c r="G412" s="124"/>
      <c r="H412" s="124"/>
      <c r="I412" s="124"/>
    </row>
    <row r="413">
      <c r="A413" s="41"/>
      <c r="B413" s="41"/>
      <c r="C413" s="117"/>
      <c r="D413" s="124"/>
      <c r="E413" s="124"/>
      <c r="F413" s="124"/>
      <c r="G413" s="124"/>
      <c r="H413" s="124"/>
      <c r="I413" s="124"/>
    </row>
    <row r="414">
      <c r="A414" s="41"/>
      <c r="B414" s="41"/>
      <c r="C414" s="117"/>
      <c r="D414" s="124"/>
      <c r="E414" s="124"/>
      <c r="F414" s="124"/>
      <c r="G414" s="124"/>
      <c r="H414" s="124"/>
      <c r="I414" s="124"/>
    </row>
    <row r="415">
      <c r="A415" s="41"/>
      <c r="B415" s="41"/>
      <c r="C415" s="117"/>
      <c r="D415" s="124"/>
      <c r="E415" s="124"/>
      <c r="F415" s="124"/>
      <c r="G415" s="124"/>
      <c r="H415" s="124"/>
      <c r="I415" s="124"/>
    </row>
    <row r="416">
      <c r="A416" s="41"/>
      <c r="B416" s="41"/>
      <c r="C416" s="117"/>
      <c r="D416" s="124"/>
      <c r="E416" s="124"/>
      <c r="F416" s="124"/>
      <c r="G416" s="124"/>
      <c r="H416" s="124"/>
      <c r="I416" s="124"/>
    </row>
    <row r="417">
      <c r="A417" s="41"/>
      <c r="B417" s="41"/>
      <c r="C417" s="117"/>
      <c r="D417" s="124"/>
      <c r="E417" s="124"/>
      <c r="F417" s="124"/>
      <c r="G417" s="124"/>
      <c r="H417" s="124"/>
      <c r="I417" s="124"/>
    </row>
    <row r="418">
      <c r="A418" s="41"/>
      <c r="B418" s="41"/>
      <c r="C418" s="117"/>
      <c r="D418" s="124"/>
      <c r="E418" s="124"/>
      <c r="F418" s="124"/>
      <c r="G418" s="124"/>
      <c r="H418" s="124"/>
      <c r="I418" s="124"/>
    </row>
    <row r="419">
      <c r="A419" s="41"/>
      <c r="B419" s="41"/>
      <c r="C419" s="117"/>
      <c r="D419" s="124"/>
      <c r="E419" s="124"/>
      <c r="F419" s="124"/>
      <c r="G419" s="124"/>
      <c r="H419" s="124"/>
      <c r="I419" s="124"/>
    </row>
    <row r="420">
      <c r="A420" s="41"/>
      <c r="B420" s="41"/>
      <c r="C420" s="117"/>
      <c r="D420" s="124"/>
      <c r="E420" s="124"/>
      <c r="F420" s="124"/>
      <c r="G420" s="124"/>
      <c r="H420" s="124"/>
      <c r="I420" s="124"/>
    </row>
    <row r="421">
      <c r="A421" s="41"/>
      <c r="B421" s="41"/>
      <c r="C421" s="117"/>
      <c r="D421" s="124"/>
      <c r="E421" s="124"/>
      <c r="F421" s="124"/>
      <c r="G421" s="124"/>
      <c r="H421" s="124"/>
      <c r="I421" s="124"/>
    </row>
    <row r="422">
      <c r="A422" s="41"/>
      <c r="B422" s="41"/>
      <c r="C422" s="117"/>
      <c r="D422" s="124"/>
      <c r="E422" s="124"/>
      <c r="F422" s="124"/>
      <c r="G422" s="124"/>
      <c r="H422" s="124"/>
      <c r="I422" s="124"/>
    </row>
    <row r="423">
      <c r="A423" s="41"/>
      <c r="B423" s="41"/>
      <c r="C423" s="117"/>
      <c r="D423" s="124"/>
      <c r="E423" s="124"/>
      <c r="F423" s="124"/>
      <c r="G423" s="124"/>
      <c r="H423" s="124"/>
      <c r="I423" s="124"/>
    </row>
    <row r="424">
      <c r="A424" s="41"/>
      <c r="B424" s="41"/>
      <c r="C424" s="117"/>
      <c r="D424" s="124"/>
      <c r="E424" s="124"/>
      <c r="F424" s="124"/>
      <c r="G424" s="124"/>
      <c r="H424" s="124"/>
      <c r="I424" s="124"/>
    </row>
    <row r="425">
      <c r="A425" s="41"/>
      <c r="B425" s="41"/>
      <c r="C425" s="117"/>
      <c r="D425" s="124"/>
      <c r="E425" s="124"/>
      <c r="F425" s="124"/>
      <c r="G425" s="124"/>
      <c r="H425" s="124"/>
      <c r="I425" s="124"/>
    </row>
    <row r="426">
      <c r="A426" s="41"/>
      <c r="B426" s="41"/>
      <c r="C426" s="117"/>
      <c r="D426" s="124"/>
      <c r="E426" s="124"/>
      <c r="F426" s="124"/>
      <c r="G426" s="124"/>
      <c r="H426" s="124"/>
      <c r="I426" s="124"/>
    </row>
    <row r="427">
      <c r="A427" s="41"/>
      <c r="B427" s="41"/>
      <c r="C427" s="117"/>
      <c r="D427" s="124"/>
      <c r="E427" s="124"/>
      <c r="F427" s="124"/>
      <c r="G427" s="124"/>
      <c r="H427" s="124"/>
      <c r="I427" s="124"/>
    </row>
    <row r="428">
      <c r="A428" s="41"/>
      <c r="B428" s="41"/>
      <c r="C428" s="117"/>
      <c r="D428" s="124"/>
      <c r="E428" s="124"/>
      <c r="F428" s="124"/>
      <c r="G428" s="124"/>
      <c r="H428" s="124"/>
      <c r="I428" s="124"/>
    </row>
    <row r="429">
      <c r="A429" s="41"/>
      <c r="B429" s="41"/>
      <c r="C429" s="117"/>
      <c r="D429" s="124"/>
      <c r="E429" s="124"/>
      <c r="F429" s="124"/>
      <c r="G429" s="124"/>
      <c r="H429" s="124"/>
      <c r="I429" s="124"/>
    </row>
    <row r="430">
      <c r="A430" s="41"/>
      <c r="B430" s="41"/>
      <c r="C430" s="117"/>
      <c r="D430" s="124"/>
      <c r="E430" s="124"/>
      <c r="F430" s="124"/>
      <c r="G430" s="124"/>
      <c r="H430" s="124"/>
      <c r="I430" s="124"/>
    </row>
    <row r="431">
      <c r="A431" s="41"/>
      <c r="B431" s="41"/>
      <c r="C431" s="117"/>
      <c r="D431" s="124"/>
      <c r="E431" s="124"/>
      <c r="F431" s="124"/>
      <c r="G431" s="124"/>
      <c r="H431" s="124"/>
      <c r="I431" s="124"/>
    </row>
    <row r="432">
      <c r="A432" s="41"/>
      <c r="B432" s="41"/>
      <c r="C432" s="117"/>
      <c r="D432" s="124"/>
      <c r="E432" s="124"/>
      <c r="F432" s="124"/>
      <c r="G432" s="124"/>
      <c r="H432" s="124"/>
      <c r="I432" s="124"/>
    </row>
    <row r="433">
      <c r="A433" s="41"/>
      <c r="B433" s="41"/>
      <c r="C433" s="117"/>
      <c r="D433" s="124"/>
      <c r="E433" s="124"/>
      <c r="F433" s="124"/>
      <c r="G433" s="124"/>
      <c r="H433" s="124"/>
      <c r="I433" s="124"/>
    </row>
    <row r="434">
      <c r="A434" s="41"/>
      <c r="B434" s="41"/>
      <c r="C434" s="117"/>
      <c r="D434" s="124"/>
      <c r="E434" s="124"/>
      <c r="F434" s="124"/>
      <c r="G434" s="124"/>
      <c r="H434" s="124"/>
      <c r="I434" s="124"/>
    </row>
    <row r="435">
      <c r="A435" s="41"/>
      <c r="B435" s="41"/>
      <c r="C435" s="117"/>
      <c r="D435" s="124"/>
      <c r="E435" s="124"/>
      <c r="F435" s="124"/>
      <c r="G435" s="124"/>
      <c r="H435" s="124"/>
      <c r="I435" s="124"/>
    </row>
    <row r="436">
      <c r="A436" s="41"/>
      <c r="B436" s="41"/>
      <c r="C436" s="117"/>
      <c r="D436" s="124"/>
      <c r="E436" s="124"/>
      <c r="F436" s="124"/>
      <c r="G436" s="124"/>
      <c r="H436" s="124"/>
      <c r="I436" s="124"/>
    </row>
    <row r="437">
      <c r="A437" s="41"/>
      <c r="B437" s="41"/>
      <c r="C437" s="117"/>
      <c r="D437" s="124"/>
      <c r="E437" s="124"/>
      <c r="F437" s="124"/>
      <c r="G437" s="124"/>
      <c r="H437" s="124"/>
      <c r="I437" s="124"/>
    </row>
    <row r="438">
      <c r="A438" s="41"/>
      <c r="B438" s="41"/>
      <c r="C438" s="117"/>
      <c r="D438" s="124"/>
      <c r="E438" s="124"/>
      <c r="F438" s="124"/>
      <c r="G438" s="124"/>
      <c r="H438" s="124"/>
      <c r="I438" s="124"/>
    </row>
    <row r="439">
      <c r="A439" s="41"/>
      <c r="B439" s="41"/>
      <c r="C439" s="117"/>
      <c r="D439" s="124"/>
      <c r="E439" s="124"/>
      <c r="F439" s="124"/>
      <c r="G439" s="124"/>
      <c r="H439" s="124"/>
      <c r="I439" s="124"/>
    </row>
    <row r="440">
      <c r="A440" s="41"/>
      <c r="B440" s="41"/>
      <c r="C440" s="117"/>
      <c r="D440" s="124"/>
      <c r="E440" s="124"/>
      <c r="F440" s="124"/>
      <c r="G440" s="124"/>
      <c r="H440" s="124"/>
      <c r="I440" s="124"/>
    </row>
    <row r="441">
      <c r="A441" s="41"/>
      <c r="B441" s="41"/>
      <c r="C441" s="117"/>
      <c r="D441" s="124"/>
      <c r="E441" s="124"/>
      <c r="F441" s="124"/>
      <c r="G441" s="124"/>
      <c r="H441" s="124"/>
      <c r="I441" s="124"/>
    </row>
    <row r="442">
      <c r="A442" s="41"/>
      <c r="B442" s="41"/>
      <c r="C442" s="117"/>
      <c r="D442" s="124"/>
      <c r="E442" s="124"/>
      <c r="F442" s="124"/>
      <c r="G442" s="124"/>
      <c r="H442" s="124"/>
      <c r="I442" s="124"/>
    </row>
    <row r="443">
      <c r="A443" s="41"/>
      <c r="B443" s="41"/>
      <c r="C443" s="117"/>
      <c r="D443" s="124"/>
      <c r="E443" s="124"/>
      <c r="F443" s="124"/>
      <c r="G443" s="124"/>
      <c r="H443" s="124"/>
      <c r="I443" s="124"/>
    </row>
    <row r="444">
      <c r="A444" s="41"/>
      <c r="B444" s="41"/>
      <c r="C444" s="117"/>
      <c r="D444" s="124"/>
      <c r="E444" s="124"/>
      <c r="F444" s="124"/>
      <c r="G444" s="124"/>
      <c r="H444" s="124"/>
      <c r="I444" s="124"/>
    </row>
    <row r="445">
      <c r="A445" s="41"/>
      <c r="B445" s="41"/>
      <c r="C445" s="117"/>
      <c r="D445" s="124"/>
      <c r="E445" s="124"/>
      <c r="F445" s="124"/>
      <c r="G445" s="124"/>
      <c r="H445" s="124"/>
      <c r="I445" s="124"/>
    </row>
    <row r="446">
      <c r="A446" s="41"/>
      <c r="B446" s="41"/>
      <c r="C446" s="117"/>
      <c r="D446" s="124"/>
      <c r="E446" s="124"/>
      <c r="F446" s="124"/>
      <c r="G446" s="124"/>
      <c r="H446" s="124"/>
      <c r="I446" s="124"/>
    </row>
    <row r="447">
      <c r="A447" s="41"/>
      <c r="B447" s="41"/>
      <c r="C447" s="117"/>
      <c r="D447" s="124"/>
      <c r="E447" s="124"/>
      <c r="F447" s="124"/>
      <c r="G447" s="124"/>
      <c r="H447" s="124"/>
      <c r="I447" s="124"/>
    </row>
    <row r="448">
      <c r="A448" s="41"/>
      <c r="B448" s="41"/>
      <c r="C448" s="117"/>
      <c r="D448" s="124"/>
      <c r="E448" s="124"/>
      <c r="F448" s="124"/>
      <c r="G448" s="124"/>
      <c r="H448" s="124"/>
      <c r="I448" s="124"/>
    </row>
    <row r="449">
      <c r="A449" s="41"/>
      <c r="B449" s="41"/>
      <c r="C449" s="117"/>
      <c r="D449" s="124"/>
      <c r="E449" s="124"/>
      <c r="F449" s="124"/>
      <c r="G449" s="124"/>
      <c r="H449" s="124"/>
      <c r="I449" s="124"/>
    </row>
    <row r="450">
      <c r="A450" s="41"/>
      <c r="B450" s="41"/>
      <c r="C450" s="117"/>
      <c r="D450" s="124"/>
      <c r="E450" s="124"/>
      <c r="F450" s="124"/>
      <c r="G450" s="124"/>
      <c r="H450" s="124"/>
      <c r="I450" s="124"/>
    </row>
    <row r="451">
      <c r="A451" s="41"/>
      <c r="B451" s="41"/>
      <c r="C451" s="117"/>
      <c r="D451" s="124"/>
      <c r="E451" s="124"/>
      <c r="F451" s="124"/>
      <c r="G451" s="124"/>
      <c r="H451" s="124"/>
      <c r="I451" s="124"/>
    </row>
    <row r="452">
      <c r="A452" s="41"/>
      <c r="B452" s="41"/>
      <c r="C452" s="117"/>
      <c r="D452" s="124"/>
      <c r="E452" s="124"/>
      <c r="F452" s="124"/>
      <c r="G452" s="124"/>
      <c r="H452" s="124"/>
      <c r="I452" s="124"/>
    </row>
    <row r="453">
      <c r="A453" s="41"/>
      <c r="B453" s="41"/>
      <c r="C453" s="117"/>
      <c r="D453" s="124"/>
      <c r="E453" s="124"/>
      <c r="F453" s="124"/>
      <c r="G453" s="124"/>
      <c r="H453" s="124"/>
      <c r="I453" s="124"/>
    </row>
    <row r="454">
      <c r="A454" s="41"/>
      <c r="B454" s="41"/>
      <c r="C454" s="117"/>
      <c r="D454" s="124"/>
      <c r="E454" s="124"/>
      <c r="F454" s="124"/>
      <c r="G454" s="124"/>
      <c r="H454" s="124"/>
      <c r="I454" s="124"/>
    </row>
    <row r="455">
      <c r="A455" s="41"/>
      <c r="B455" s="41"/>
      <c r="C455" s="117"/>
      <c r="D455" s="124"/>
      <c r="E455" s="124"/>
      <c r="F455" s="124"/>
      <c r="G455" s="124"/>
      <c r="H455" s="124"/>
      <c r="I455" s="124"/>
    </row>
    <row r="456">
      <c r="A456" s="41"/>
      <c r="B456" s="41"/>
      <c r="C456" s="117"/>
      <c r="D456" s="124"/>
      <c r="E456" s="124"/>
      <c r="F456" s="124"/>
      <c r="G456" s="124"/>
      <c r="H456" s="124"/>
      <c r="I456" s="124"/>
    </row>
    <row r="457">
      <c r="A457" s="41"/>
      <c r="B457" s="41"/>
      <c r="C457" s="117"/>
      <c r="D457" s="124"/>
      <c r="E457" s="124"/>
      <c r="F457" s="124"/>
      <c r="G457" s="124"/>
      <c r="H457" s="124"/>
      <c r="I457" s="124"/>
    </row>
    <row r="458">
      <c r="A458" s="41"/>
      <c r="B458" s="41"/>
      <c r="C458" s="117"/>
      <c r="D458" s="124"/>
      <c r="E458" s="124"/>
      <c r="F458" s="124"/>
      <c r="G458" s="124"/>
      <c r="H458" s="124"/>
      <c r="I458" s="124"/>
    </row>
    <row r="459">
      <c r="A459" s="41"/>
      <c r="B459" s="41"/>
      <c r="C459" s="117"/>
      <c r="D459" s="124"/>
      <c r="E459" s="124"/>
      <c r="F459" s="124"/>
      <c r="G459" s="124"/>
      <c r="H459" s="124"/>
      <c r="I459" s="124"/>
    </row>
    <row r="460">
      <c r="A460" s="41"/>
      <c r="B460" s="41"/>
      <c r="C460" s="117"/>
      <c r="D460" s="124"/>
      <c r="E460" s="124"/>
      <c r="F460" s="124"/>
      <c r="G460" s="124"/>
      <c r="H460" s="124"/>
      <c r="I460" s="124"/>
    </row>
    <row r="461">
      <c r="A461" s="41"/>
      <c r="B461" s="41"/>
      <c r="C461" s="117"/>
      <c r="D461" s="124"/>
      <c r="E461" s="124"/>
      <c r="F461" s="124"/>
      <c r="G461" s="124"/>
      <c r="H461" s="124"/>
      <c r="I461" s="124"/>
    </row>
    <row r="462">
      <c r="A462" s="41"/>
      <c r="B462" s="41"/>
      <c r="C462" s="117"/>
      <c r="D462" s="124"/>
      <c r="E462" s="124"/>
      <c r="F462" s="124"/>
      <c r="G462" s="124"/>
      <c r="H462" s="124"/>
      <c r="I462" s="124"/>
    </row>
    <row r="463">
      <c r="A463" s="41"/>
      <c r="B463" s="41"/>
      <c r="C463" s="117"/>
      <c r="D463" s="124"/>
      <c r="E463" s="124"/>
      <c r="F463" s="124"/>
      <c r="G463" s="124"/>
      <c r="H463" s="124"/>
      <c r="I463" s="124"/>
    </row>
    <row r="464">
      <c r="A464" s="41"/>
      <c r="B464" s="41"/>
      <c r="C464" s="117"/>
      <c r="D464" s="124"/>
      <c r="E464" s="124"/>
      <c r="F464" s="124"/>
      <c r="G464" s="124"/>
      <c r="H464" s="124"/>
      <c r="I464" s="124"/>
    </row>
    <row r="465">
      <c r="A465" s="41"/>
      <c r="B465" s="41"/>
      <c r="C465" s="117"/>
      <c r="D465" s="124"/>
      <c r="E465" s="124"/>
      <c r="F465" s="124"/>
      <c r="G465" s="124"/>
      <c r="H465" s="124"/>
      <c r="I465" s="124"/>
    </row>
    <row r="466">
      <c r="A466" s="41"/>
      <c r="B466" s="41"/>
      <c r="C466" s="117"/>
      <c r="D466" s="124"/>
      <c r="E466" s="124"/>
      <c r="F466" s="124"/>
      <c r="G466" s="124"/>
      <c r="H466" s="124"/>
      <c r="I466" s="124"/>
    </row>
    <row r="467">
      <c r="A467" s="41"/>
      <c r="B467" s="41"/>
      <c r="C467" s="117"/>
      <c r="D467" s="124"/>
      <c r="E467" s="124"/>
      <c r="F467" s="124"/>
      <c r="G467" s="124"/>
      <c r="H467" s="124"/>
      <c r="I467" s="124"/>
    </row>
    <row r="468">
      <c r="A468" s="41"/>
      <c r="B468" s="41"/>
      <c r="C468" s="117"/>
      <c r="D468" s="124"/>
      <c r="E468" s="124"/>
      <c r="F468" s="124"/>
      <c r="G468" s="124"/>
      <c r="H468" s="124"/>
      <c r="I468" s="124"/>
    </row>
    <row r="469">
      <c r="A469" s="41"/>
      <c r="B469" s="41"/>
      <c r="C469" s="117"/>
      <c r="D469" s="124"/>
      <c r="E469" s="124"/>
      <c r="F469" s="124"/>
      <c r="G469" s="124"/>
      <c r="H469" s="124"/>
      <c r="I469" s="124"/>
    </row>
    <row r="470">
      <c r="A470" s="41"/>
      <c r="B470" s="41"/>
      <c r="C470" s="117"/>
      <c r="D470" s="124"/>
      <c r="E470" s="124"/>
      <c r="F470" s="124"/>
      <c r="G470" s="124"/>
      <c r="H470" s="124"/>
      <c r="I470" s="124"/>
    </row>
    <row r="471">
      <c r="A471" s="41"/>
      <c r="B471" s="41"/>
      <c r="C471" s="117"/>
      <c r="D471" s="124"/>
      <c r="E471" s="124"/>
      <c r="F471" s="124"/>
      <c r="G471" s="124"/>
      <c r="H471" s="124"/>
      <c r="I471" s="124"/>
    </row>
    <row r="472">
      <c r="A472" s="41"/>
      <c r="B472" s="41"/>
      <c r="C472" s="117"/>
      <c r="D472" s="124"/>
      <c r="E472" s="124"/>
      <c r="F472" s="124"/>
      <c r="G472" s="124"/>
      <c r="H472" s="124"/>
      <c r="I472" s="124"/>
    </row>
    <row r="473">
      <c r="A473" s="41"/>
      <c r="B473" s="41"/>
      <c r="C473" s="117"/>
      <c r="D473" s="124"/>
      <c r="E473" s="124"/>
      <c r="F473" s="124"/>
      <c r="G473" s="124"/>
      <c r="H473" s="124"/>
      <c r="I473" s="124"/>
    </row>
    <row r="474">
      <c r="A474" s="41"/>
      <c r="B474" s="41"/>
      <c r="C474" s="117"/>
      <c r="D474" s="124"/>
      <c r="E474" s="124"/>
      <c r="F474" s="124"/>
      <c r="G474" s="124"/>
      <c r="H474" s="124"/>
      <c r="I474" s="124"/>
    </row>
    <row r="475">
      <c r="A475" s="41"/>
      <c r="B475" s="41"/>
      <c r="C475" s="117"/>
      <c r="D475" s="124"/>
      <c r="E475" s="124"/>
      <c r="F475" s="124"/>
      <c r="G475" s="124"/>
      <c r="H475" s="124"/>
      <c r="I475" s="124"/>
    </row>
    <row r="476">
      <c r="A476" s="41"/>
      <c r="B476" s="41"/>
      <c r="C476" s="117"/>
      <c r="D476" s="124"/>
      <c r="E476" s="124"/>
      <c r="F476" s="124"/>
      <c r="G476" s="124"/>
      <c r="H476" s="124"/>
      <c r="I476" s="124"/>
    </row>
    <row r="477">
      <c r="A477" s="41"/>
      <c r="B477" s="41"/>
      <c r="C477" s="117"/>
      <c r="D477" s="124"/>
      <c r="E477" s="124"/>
      <c r="F477" s="124"/>
      <c r="G477" s="124"/>
      <c r="H477" s="124"/>
      <c r="I477" s="124"/>
    </row>
    <row r="478">
      <c r="A478" s="41"/>
      <c r="B478" s="41"/>
      <c r="C478" s="117"/>
      <c r="D478" s="124"/>
      <c r="E478" s="124"/>
      <c r="F478" s="124"/>
      <c r="G478" s="124"/>
      <c r="H478" s="124"/>
      <c r="I478" s="124"/>
    </row>
    <row r="479">
      <c r="A479" s="41"/>
      <c r="B479" s="41"/>
      <c r="C479" s="117"/>
      <c r="D479" s="124"/>
      <c r="E479" s="124"/>
      <c r="F479" s="124"/>
      <c r="G479" s="124"/>
      <c r="H479" s="124"/>
      <c r="I479" s="124"/>
    </row>
    <row r="480">
      <c r="A480" s="41"/>
      <c r="B480" s="41"/>
      <c r="C480" s="117"/>
      <c r="D480" s="124"/>
      <c r="E480" s="124"/>
      <c r="F480" s="124"/>
      <c r="G480" s="124"/>
      <c r="H480" s="124"/>
      <c r="I480" s="124"/>
    </row>
    <row r="481">
      <c r="A481" s="41"/>
      <c r="B481" s="41"/>
      <c r="C481" s="117"/>
      <c r="D481" s="124"/>
      <c r="E481" s="124"/>
      <c r="F481" s="124"/>
      <c r="G481" s="124"/>
      <c r="H481" s="124"/>
      <c r="I481" s="124"/>
    </row>
    <row r="482">
      <c r="A482" s="41"/>
      <c r="B482" s="41"/>
      <c r="C482" s="117"/>
      <c r="D482" s="124"/>
      <c r="E482" s="124"/>
      <c r="F482" s="124"/>
      <c r="G482" s="124"/>
      <c r="H482" s="124"/>
      <c r="I482" s="124"/>
    </row>
    <row r="483">
      <c r="A483" s="41"/>
      <c r="B483" s="41"/>
      <c r="C483" s="117"/>
      <c r="D483" s="124"/>
      <c r="E483" s="124"/>
      <c r="F483" s="124"/>
      <c r="G483" s="124"/>
      <c r="H483" s="124"/>
      <c r="I483" s="124"/>
    </row>
    <row r="484">
      <c r="A484" s="41"/>
      <c r="B484" s="41"/>
      <c r="C484" s="117"/>
      <c r="D484" s="124"/>
      <c r="E484" s="124"/>
      <c r="F484" s="124"/>
      <c r="G484" s="124"/>
      <c r="H484" s="124"/>
      <c r="I484" s="124"/>
    </row>
    <row r="485">
      <c r="A485" s="41"/>
      <c r="B485" s="41"/>
      <c r="C485" s="117"/>
      <c r="D485" s="124"/>
      <c r="E485" s="124"/>
      <c r="F485" s="124"/>
      <c r="G485" s="124"/>
      <c r="H485" s="124"/>
      <c r="I485" s="124"/>
    </row>
    <row r="486">
      <c r="A486" s="41"/>
      <c r="B486" s="41"/>
      <c r="C486" s="117"/>
      <c r="D486" s="124"/>
      <c r="E486" s="124"/>
      <c r="F486" s="124"/>
      <c r="G486" s="124"/>
      <c r="H486" s="124"/>
      <c r="I486" s="124"/>
    </row>
    <row r="487">
      <c r="A487" s="41"/>
      <c r="B487" s="41"/>
      <c r="C487" s="117"/>
      <c r="D487" s="124"/>
      <c r="E487" s="124"/>
      <c r="F487" s="124"/>
      <c r="G487" s="124"/>
      <c r="H487" s="124"/>
      <c r="I487" s="124"/>
    </row>
    <row r="488">
      <c r="A488" s="41"/>
      <c r="B488" s="41"/>
      <c r="C488" s="117"/>
      <c r="D488" s="124"/>
      <c r="E488" s="124"/>
      <c r="F488" s="124"/>
      <c r="G488" s="124"/>
      <c r="H488" s="124"/>
      <c r="I488" s="124"/>
    </row>
    <row r="489">
      <c r="A489" s="41"/>
      <c r="B489" s="41"/>
      <c r="C489" s="117"/>
      <c r="D489" s="124"/>
      <c r="E489" s="124"/>
      <c r="F489" s="124"/>
      <c r="G489" s="124"/>
      <c r="H489" s="124"/>
      <c r="I489" s="124"/>
    </row>
    <row r="490">
      <c r="A490" s="41"/>
      <c r="B490" s="41"/>
      <c r="C490" s="117"/>
      <c r="D490" s="124"/>
      <c r="E490" s="124"/>
      <c r="F490" s="124"/>
      <c r="G490" s="124"/>
      <c r="H490" s="124"/>
      <c r="I490" s="124"/>
    </row>
    <row r="491">
      <c r="A491" s="41"/>
      <c r="B491" s="41"/>
      <c r="C491" s="117"/>
      <c r="D491" s="124"/>
      <c r="E491" s="124"/>
      <c r="F491" s="124"/>
      <c r="G491" s="124"/>
      <c r="H491" s="124"/>
      <c r="I491" s="124"/>
    </row>
    <row r="492">
      <c r="A492" s="41"/>
      <c r="B492" s="41"/>
      <c r="C492" s="117"/>
      <c r="D492" s="124"/>
      <c r="E492" s="124"/>
      <c r="F492" s="124"/>
      <c r="G492" s="124"/>
      <c r="H492" s="124"/>
      <c r="I492" s="124"/>
    </row>
    <row r="493">
      <c r="A493" s="41"/>
      <c r="B493" s="41"/>
      <c r="C493" s="117"/>
      <c r="D493" s="124"/>
      <c r="E493" s="124"/>
      <c r="F493" s="124"/>
      <c r="G493" s="124"/>
      <c r="H493" s="124"/>
      <c r="I493" s="124"/>
    </row>
    <row r="494">
      <c r="A494" s="41"/>
      <c r="B494" s="41"/>
      <c r="C494" s="117"/>
      <c r="D494" s="124"/>
      <c r="E494" s="124"/>
      <c r="F494" s="124"/>
      <c r="G494" s="124"/>
      <c r="H494" s="124"/>
      <c r="I494" s="124"/>
    </row>
    <row r="495">
      <c r="A495" s="41"/>
      <c r="B495" s="41"/>
      <c r="C495" s="117"/>
      <c r="D495" s="124"/>
      <c r="E495" s="124"/>
      <c r="F495" s="124"/>
      <c r="G495" s="124"/>
      <c r="H495" s="124"/>
      <c r="I495" s="124"/>
    </row>
    <row r="496">
      <c r="A496" s="41"/>
      <c r="B496" s="41"/>
      <c r="C496" s="117"/>
      <c r="D496" s="124"/>
      <c r="E496" s="124"/>
      <c r="F496" s="124"/>
      <c r="G496" s="124"/>
      <c r="H496" s="124"/>
      <c r="I496" s="124"/>
    </row>
    <row r="497">
      <c r="A497" s="41"/>
      <c r="B497" s="41"/>
      <c r="C497" s="117"/>
      <c r="D497" s="124"/>
      <c r="E497" s="124"/>
      <c r="F497" s="124"/>
      <c r="G497" s="124"/>
      <c r="H497" s="124"/>
      <c r="I497" s="124"/>
    </row>
    <row r="498">
      <c r="A498" s="41"/>
      <c r="B498" s="41"/>
      <c r="C498" s="117"/>
      <c r="D498" s="124"/>
      <c r="E498" s="124"/>
      <c r="F498" s="124"/>
      <c r="G498" s="124"/>
      <c r="H498" s="124"/>
      <c r="I498" s="124"/>
    </row>
    <row r="499">
      <c r="A499" s="41"/>
      <c r="B499" s="41"/>
      <c r="C499" s="117"/>
      <c r="D499" s="124"/>
      <c r="E499" s="124"/>
      <c r="F499" s="124"/>
      <c r="G499" s="124"/>
      <c r="H499" s="124"/>
      <c r="I499" s="124"/>
    </row>
    <row r="500">
      <c r="A500" s="41"/>
      <c r="B500" s="41"/>
      <c r="C500" s="117"/>
      <c r="D500" s="124"/>
      <c r="E500" s="124"/>
      <c r="F500" s="124"/>
      <c r="G500" s="124"/>
      <c r="H500" s="124"/>
      <c r="I500" s="124"/>
    </row>
    <row r="501">
      <c r="A501" s="41"/>
      <c r="B501" s="41"/>
      <c r="C501" s="117"/>
      <c r="D501" s="124"/>
      <c r="E501" s="124"/>
      <c r="F501" s="124"/>
      <c r="G501" s="124"/>
      <c r="H501" s="124"/>
      <c r="I501" s="124"/>
    </row>
    <row r="502">
      <c r="A502" s="41"/>
      <c r="B502" s="41"/>
      <c r="C502" s="117"/>
      <c r="D502" s="124"/>
      <c r="E502" s="124"/>
      <c r="F502" s="124"/>
      <c r="G502" s="124"/>
      <c r="H502" s="124"/>
      <c r="I502" s="124"/>
    </row>
    <row r="503">
      <c r="A503" s="41"/>
      <c r="B503" s="41"/>
      <c r="C503" s="117"/>
      <c r="D503" s="124"/>
      <c r="E503" s="124"/>
      <c r="F503" s="124"/>
      <c r="G503" s="124"/>
      <c r="H503" s="124"/>
      <c r="I503" s="124"/>
    </row>
    <row r="504">
      <c r="A504" s="41"/>
      <c r="B504" s="41"/>
      <c r="C504" s="117"/>
      <c r="D504" s="124"/>
      <c r="E504" s="124"/>
      <c r="F504" s="124"/>
      <c r="G504" s="124"/>
      <c r="H504" s="124"/>
      <c r="I504" s="124"/>
    </row>
    <row r="505">
      <c r="A505" s="41"/>
      <c r="B505" s="41"/>
      <c r="C505" s="117"/>
      <c r="D505" s="124"/>
      <c r="E505" s="124"/>
      <c r="F505" s="124"/>
      <c r="G505" s="124"/>
      <c r="H505" s="124"/>
      <c r="I505" s="124"/>
    </row>
    <row r="506">
      <c r="A506" s="41"/>
      <c r="B506" s="41"/>
      <c r="C506" s="117"/>
      <c r="D506" s="124"/>
      <c r="E506" s="124"/>
      <c r="F506" s="124"/>
      <c r="G506" s="124"/>
      <c r="H506" s="124"/>
      <c r="I506" s="124"/>
    </row>
    <row r="507">
      <c r="A507" s="41"/>
      <c r="B507" s="41"/>
      <c r="C507" s="117"/>
      <c r="D507" s="124"/>
      <c r="E507" s="124"/>
      <c r="F507" s="124"/>
      <c r="G507" s="124"/>
      <c r="H507" s="124"/>
      <c r="I507" s="124"/>
    </row>
    <row r="508">
      <c r="A508" s="41"/>
      <c r="B508" s="41"/>
      <c r="C508" s="117"/>
      <c r="D508" s="124"/>
      <c r="E508" s="124"/>
      <c r="F508" s="124"/>
      <c r="G508" s="124"/>
      <c r="H508" s="124"/>
      <c r="I508" s="124"/>
    </row>
    <row r="509">
      <c r="A509" s="41"/>
      <c r="B509" s="41"/>
      <c r="C509" s="117"/>
      <c r="D509" s="124"/>
      <c r="E509" s="124"/>
      <c r="F509" s="124"/>
      <c r="G509" s="124"/>
      <c r="H509" s="124"/>
      <c r="I509" s="124"/>
    </row>
    <row r="510">
      <c r="A510" s="41"/>
      <c r="B510" s="41"/>
      <c r="C510" s="117"/>
      <c r="D510" s="124"/>
      <c r="E510" s="124"/>
      <c r="F510" s="124"/>
      <c r="G510" s="124"/>
      <c r="H510" s="124"/>
      <c r="I510" s="124"/>
    </row>
    <row r="511">
      <c r="A511" s="41"/>
      <c r="B511" s="41"/>
      <c r="C511" s="117"/>
      <c r="D511" s="124"/>
      <c r="E511" s="124"/>
      <c r="F511" s="124"/>
      <c r="G511" s="124"/>
      <c r="H511" s="124"/>
      <c r="I511" s="124"/>
    </row>
    <row r="512">
      <c r="A512" s="41"/>
      <c r="B512" s="41"/>
      <c r="C512" s="117"/>
      <c r="D512" s="124"/>
      <c r="E512" s="124"/>
      <c r="F512" s="124"/>
      <c r="G512" s="124"/>
      <c r="H512" s="124"/>
      <c r="I512" s="124"/>
    </row>
    <row r="513">
      <c r="A513" s="41"/>
      <c r="B513" s="41"/>
      <c r="C513" s="117"/>
      <c r="D513" s="124"/>
      <c r="E513" s="124"/>
      <c r="F513" s="124"/>
      <c r="G513" s="124"/>
      <c r="H513" s="124"/>
      <c r="I513" s="124"/>
    </row>
    <row r="514">
      <c r="A514" s="41"/>
      <c r="B514" s="41"/>
      <c r="C514" s="117"/>
      <c r="D514" s="124"/>
      <c r="E514" s="124"/>
      <c r="F514" s="124"/>
      <c r="G514" s="124"/>
      <c r="H514" s="124"/>
      <c r="I514" s="124"/>
    </row>
    <row r="515">
      <c r="A515" s="41"/>
      <c r="B515" s="41"/>
      <c r="C515" s="117"/>
      <c r="D515" s="124"/>
      <c r="E515" s="124"/>
      <c r="F515" s="124"/>
      <c r="G515" s="124"/>
      <c r="H515" s="124"/>
      <c r="I515" s="124"/>
    </row>
    <row r="516">
      <c r="A516" s="41"/>
      <c r="B516" s="41"/>
      <c r="C516" s="117"/>
      <c r="D516" s="124"/>
      <c r="E516" s="124"/>
      <c r="F516" s="124"/>
      <c r="G516" s="124"/>
      <c r="H516" s="124"/>
      <c r="I516" s="124"/>
    </row>
    <row r="517">
      <c r="A517" s="41"/>
      <c r="B517" s="41"/>
      <c r="C517" s="117"/>
      <c r="D517" s="124"/>
      <c r="E517" s="124"/>
      <c r="F517" s="124"/>
      <c r="G517" s="124"/>
      <c r="H517" s="124"/>
      <c r="I517" s="124"/>
    </row>
    <row r="518">
      <c r="A518" s="41"/>
      <c r="B518" s="41"/>
      <c r="C518" s="117"/>
      <c r="D518" s="124"/>
      <c r="E518" s="124"/>
      <c r="F518" s="124"/>
      <c r="G518" s="124"/>
      <c r="H518" s="124"/>
      <c r="I518" s="124"/>
    </row>
    <row r="519">
      <c r="A519" s="41"/>
      <c r="B519" s="41"/>
      <c r="C519" s="117"/>
      <c r="D519" s="124"/>
      <c r="E519" s="124"/>
      <c r="F519" s="124"/>
      <c r="G519" s="124"/>
      <c r="H519" s="124"/>
      <c r="I519" s="124"/>
    </row>
    <row r="520">
      <c r="A520" s="41"/>
      <c r="B520" s="41"/>
      <c r="C520" s="117"/>
      <c r="D520" s="124"/>
      <c r="E520" s="124"/>
      <c r="F520" s="124"/>
      <c r="G520" s="124"/>
      <c r="H520" s="124"/>
      <c r="I520" s="124"/>
    </row>
    <row r="521">
      <c r="A521" s="41"/>
      <c r="B521" s="41"/>
      <c r="C521" s="117"/>
      <c r="D521" s="124"/>
      <c r="E521" s="124"/>
      <c r="F521" s="124"/>
      <c r="G521" s="124"/>
      <c r="H521" s="124"/>
      <c r="I521" s="124"/>
    </row>
    <row r="522">
      <c r="A522" s="41"/>
      <c r="B522" s="41"/>
      <c r="C522" s="117"/>
      <c r="D522" s="124"/>
      <c r="E522" s="124"/>
      <c r="F522" s="124"/>
      <c r="G522" s="124"/>
      <c r="H522" s="124"/>
      <c r="I522" s="124"/>
    </row>
    <row r="523">
      <c r="A523" s="41"/>
      <c r="B523" s="41"/>
      <c r="C523" s="117"/>
      <c r="D523" s="124"/>
      <c r="E523" s="124"/>
      <c r="F523" s="124"/>
      <c r="G523" s="124"/>
      <c r="H523" s="124"/>
      <c r="I523" s="124"/>
    </row>
    <row r="524">
      <c r="A524" s="41"/>
      <c r="B524" s="41"/>
      <c r="C524" s="117"/>
      <c r="D524" s="124"/>
      <c r="E524" s="124"/>
      <c r="F524" s="124"/>
      <c r="G524" s="124"/>
      <c r="H524" s="124"/>
      <c r="I524" s="124"/>
    </row>
    <row r="525">
      <c r="A525" s="41"/>
      <c r="B525" s="41"/>
      <c r="C525" s="117"/>
      <c r="D525" s="124"/>
      <c r="E525" s="124"/>
      <c r="F525" s="124"/>
      <c r="G525" s="124"/>
      <c r="H525" s="124"/>
      <c r="I525" s="124"/>
    </row>
    <row r="526">
      <c r="A526" s="41"/>
      <c r="B526" s="41"/>
      <c r="C526" s="117"/>
      <c r="D526" s="124"/>
      <c r="E526" s="124"/>
      <c r="F526" s="124"/>
      <c r="G526" s="124"/>
      <c r="H526" s="124"/>
      <c r="I526" s="124"/>
    </row>
    <row r="527">
      <c r="A527" s="41"/>
      <c r="B527" s="41"/>
      <c r="C527" s="117"/>
      <c r="D527" s="124"/>
      <c r="E527" s="124"/>
      <c r="F527" s="124"/>
      <c r="G527" s="124"/>
      <c r="H527" s="124"/>
      <c r="I527" s="124"/>
    </row>
    <row r="528">
      <c r="A528" s="41"/>
      <c r="B528" s="41"/>
      <c r="C528" s="117"/>
      <c r="D528" s="124"/>
      <c r="E528" s="124"/>
      <c r="F528" s="124"/>
      <c r="G528" s="124"/>
      <c r="H528" s="124"/>
      <c r="I528" s="124"/>
    </row>
    <row r="529">
      <c r="A529" s="41"/>
      <c r="B529" s="41"/>
      <c r="C529" s="117"/>
      <c r="D529" s="124"/>
      <c r="E529" s="124"/>
      <c r="F529" s="124"/>
      <c r="G529" s="124"/>
      <c r="H529" s="124"/>
      <c r="I529" s="124"/>
    </row>
    <row r="530">
      <c r="A530" s="41"/>
      <c r="B530" s="41"/>
      <c r="C530" s="117"/>
      <c r="D530" s="124"/>
      <c r="E530" s="124"/>
      <c r="F530" s="124"/>
      <c r="G530" s="124"/>
      <c r="H530" s="124"/>
      <c r="I530" s="124"/>
    </row>
    <row r="531">
      <c r="A531" s="41"/>
      <c r="B531" s="41"/>
      <c r="C531" s="117"/>
      <c r="D531" s="124"/>
      <c r="E531" s="124"/>
      <c r="F531" s="124"/>
      <c r="G531" s="124"/>
      <c r="H531" s="124"/>
      <c r="I531" s="124"/>
    </row>
    <row r="532">
      <c r="A532" s="41"/>
      <c r="B532" s="41"/>
      <c r="C532" s="117"/>
      <c r="D532" s="124"/>
      <c r="E532" s="124"/>
      <c r="F532" s="124"/>
      <c r="G532" s="124"/>
      <c r="H532" s="124"/>
      <c r="I532" s="124"/>
    </row>
    <row r="533">
      <c r="A533" s="41"/>
      <c r="B533" s="41"/>
      <c r="C533" s="117"/>
      <c r="D533" s="124"/>
      <c r="E533" s="124"/>
      <c r="F533" s="124"/>
      <c r="G533" s="124"/>
      <c r="H533" s="124"/>
      <c r="I533" s="124"/>
    </row>
    <row r="534">
      <c r="A534" s="41"/>
      <c r="B534" s="41"/>
      <c r="C534" s="117"/>
      <c r="D534" s="124"/>
      <c r="E534" s="124"/>
      <c r="F534" s="124"/>
      <c r="G534" s="124"/>
      <c r="H534" s="124"/>
      <c r="I534" s="124"/>
    </row>
    <row r="535">
      <c r="A535" s="41"/>
      <c r="B535" s="41"/>
      <c r="C535" s="117"/>
      <c r="D535" s="124"/>
      <c r="E535" s="124"/>
      <c r="F535" s="124"/>
      <c r="G535" s="124"/>
      <c r="H535" s="124"/>
      <c r="I535" s="124"/>
    </row>
    <row r="536">
      <c r="A536" s="41"/>
      <c r="B536" s="41"/>
      <c r="C536" s="117"/>
      <c r="D536" s="124"/>
      <c r="E536" s="124"/>
      <c r="F536" s="124"/>
      <c r="G536" s="124"/>
      <c r="H536" s="124"/>
      <c r="I536" s="124"/>
    </row>
    <row r="537">
      <c r="A537" s="41"/>
      <c r="B537" s="41"/>
      <c r="C537" s="117"/>
      <c r="D537" s="124"/>
      <c r="E537" s="124"/>
      <c r="F537" s="124"/>
      <c r="G537" s="124"/>
      <c r="H537" s="124"/>
      <c r="I537" s="124"/>
    </row>
    <row r="538">
      <c r="A538" s="41"/>
      <c r="B538" s="41"/>
      <c r="C538" s="117"/>
      <c r="D538" s="124"/>
      <c r="E538" s="124"/>
      <c r="F538" s="124"/>
      <c r="G538" s="124"/>
      <c r="H538" s="124"/>
      <c r="I538" s="124"/>
    </row>
    <row r="539">
      <c r="A539" s="41"/>
      <c r="B539" s="41"/>
      <c r="C539" s="117"/>
      <c r="D539" s="124"/>
      <c r="E539" s="124"/>
      <c r="F539" s="124"/>
      <c r="G539" s="124"/>
      <c r="H539" s="124"/>
      <c r="I539" s="124"/>
    </row>
    <row r="540">
      <c r="A540" s="41"/>
      <c r="B540" s="41"/>
      <c r="C540" s="117"/>
      <c r="D540" s="124"/>
      <c r="E540" s="124"/>
      <c r="F540" s="124"/>
      <c r="G540" s="124"/>
      <c r="H540" s="124"/>
      <c r="I540" s="124"/>
    </row>
    <row r="541">
      <c r="A541" s="41"/>
      <c r="B541" s="41"/>
      <c r="C541" s="117"/>
      <c r="D541" s="124"/>
      <c r="E541" s="124"/>
      <c r="F541" s="124"/>
      <c r="G541" s="124"/>
      <c r="H541" s="124"/>
      <c r="I541" s="124"/>
    </row>
    <row r="542">
      <c r="A542" s="41"/>
      <c r="B542" s="41"/>
      <c r="C542" s="117"/>
      <c r="D542" s="124"/>
      <c r="E542" s="124"/>
      <c r="F542" s="124"/>
      <c r="G542" s="124"/>
      <c r="H542" s="124"/>
      <c r="I542" s="124"/>
    </row>
    <row r="543">
      <c r="A543" s="41"/>
      <c r="B543" s="41"/>
      <c r="C543" s="117"/>
      <c r="D543" s="124"/>
      <c r="E543" s="124"/>
      <c r="F543" s="124"/>
      <c r="G543" s="124"/>
      <c r="H543" s="124"/>
      <c r="I543" s="124"/>
    </row>
    <row r="544">
      <c r="A544" s="41"/>
      <c r="B544" s="41"/>
      <c r="C544" s="117"/>
      <c r="D544" s="124"/>
      <c r="E544" s="124"/>
      <c r="F544" s="124"/>
      <c r="G544" s="124"/>
      <c r="H544" s="124"/>
      <c r="I544" s="124"/>
    </row>
    <row r="545">
      <c r="A545" s="41"/>
      <c r="B545" s="41"/>
      <c r="C545" s="117"/>
      <c r="D545" s="124"/>
      <c r="E545" s="124"/>
      <c r="F545" s="124"/>
      <c r="G545" s="124"/>
      <c r="H545" s="124"/>
      <c r="I545" s="124"/>
    </row>
    <row r="546">
      <c r="A546" s="41"/>
      <c r="B546" s="41"/>
      <c r="C546" s="117"/>
      <c r="D546" s="124"/>
      <c r="E546" s="124"/>
      <c r="F546" s="124"/>
      <c r="G546" s="124"/>
      <c r="H546" s="124"/>
      <c r="I546" s="124"/>
    </row>
    <row r="547">
      <c r="A547" s="41"/>
      <c r="B547" s="41"/>
      <c r="C547" s="117"/>
      <c r="D547" s="124"/>
      <c r="E547" s="124"/>
      <c r="F547" s="124"/>
      <c r="G547" s="124"/>
      <c r="H547" s="124"/>
      <c r="I547" s="124"/>
    </row>
    <row r="548">
      <c r="A548" s="41"/>
      <c r="B548" s="41"/>
      <c r="C548" s="117"/>
      <c r="D548" s="124"/>
      <c r="E548" s="124"/>
      <c r="F548" s="124"/>
      <c r="G548" s="124"/>
      <c r="H548" s="124"/>
      <c r="I548" s="124"/>
    </row>
    <row r="549">
      <c r="A549" s="41"/>
      <c r="B549" s="41"/>
      <c r="C549" s="117"/>
      <c r="D549" s="124"/>
      <c r="E549" s="124"/>
      <c r="F549" s="124"/>
      <c r="G549" s="124"/>
      <c r="H549" s="124"/>
      <c r="I549" s="124"/>
    </row>
    <row r="550">
      <c r="A550" s="41"/>
      <c r="B550" s="41"/>
      <c r="C550" s="117"/>
      <c r="D550" s="124"/>
      <c r="E550" s="124"/>
      <c r="F550" s="124"/>
      <c r="G550" s="124"/>
      <c r="H550" s="124"/>
      <c r="I550" s="124"/>
    </row>
    <row r="551">
      <c r="A551" s="41"/>
      <c r="B551" s="41"/>
      <c r="C551" s="117"/>
      <c r="D551" s="124"/>
      <c r="E551" s="124"/>
      <c r="F551" s="124"/>
      <c r="G551" s="124"/>
      <c r="H551" s="124"/>
      <c r="I551" s="124"/>
    </row>
    <row r="552">
      <c r="A552" s="41"/>
      <c r="B552" s="41"/>
      <c r="C552" s="117"/>
      <c r="D552" s="124"/>
      <c r="E552" s="124"/>
      <c r="F552" s="124"/>
      <c r="G552" s="124"/>
      <c r="H552" s="124"/>
      <c r="I552" s="124"/>
    </row>
    <row r="553">
      <c r="A553" s="41"/>
      <c r="B553" s="41"/>
      <c r="C553" s="117"/>
      <c r="D553" s="124"/>
      <c r="E553" s="124"/>
      <c r="F553" s="124"/>
      <c r="G553" s="124"/>
      <c r="H553" s="124"/>
      <c r="I553" s="124"/>
    </row>
    <row r="554">
      <c r="A554" s="41"/>
      <c r="B554" s="41"/>
      <c r="C554" s="117"/>
      <c r="D554" s="124"/>
      <c r="E554" s="124"/>
      <c r="F554" s="124"/>
      <c r="G554" s="124"/>
      <c r="H554" s="124"/>
      <c r="I554" s="124"/>
    </row>
    <row r="555">
      <c r="A555" s="41"/>
      <c r="B555" s="41"/>
      <c r="C555" s="117"/>
      <c r="D555" s="124"/>
      <c r="E555" s="124"/>
      <c r="F555" s="124"/>
      <c r="G555" s="124"/>
      <c r="H555" s="124"/>
      <c r="I555" s="124"/>
    </row>
    <row r="556">
      <c r="A556" s="41"/>
      <c r="B556" s="41"/>
      <c r="C556" s="117"/>
      <c r="D556" s="124"/>
      <c r="E556" s="124"/>
      <c r="F556" s="124"/>
      <c r="G556" s="124"/>
      <c r="H556" s="124"/>
      <c r="I556" s="124"/>
    </row>
    <row r="557">
      <c r="A557" s="41"/>
      <c r="B557" s="41"/>
      <c r="C557" s="117"/>
      <c r="D557" s="124"/>
      <c r="E557" s="124"/>
      <c r="F557" s="124"/>
      <c r="G557" s="124"/>
      <c r="H557" s="124"/>
      <c r="I557" s="124"/>
    </row>
    <row r="558">
      <c r="A558" s="41"/>
      <c r="B558" s="41"/>
      <c r="C558" s="117"/>
      <c r="D558" s="124"/>
      <c r="E558" s="124"/>
      <c r="F558" s="124"/>
      <c r="G558" s="124"/>
      <c r="H558" s="124"/>
      <c r="I558" s="124"/>
    </row>
    <row r="559">
      <c r="A559" s="41"/>
      <c r="B559" s="41"/>
      <c r="C559" s="117"/>
      <c r="D559" s="124"/>
      <c r="E559" s="124"/>
      <c r="F559" s="124"/>
      <c r="G559" s="124"/>
      <c r="H559" s="124"/>
      <c r="I559" s="124"/>
    </row>
    <row r="560">
      <c r="A560" s="41"/>
      <c r="B560" s="41"/>
      <c r="C560" s="117"/>
      <c r="D560" s="124"/>
      <c r="E560" s="124"/>
      <c r="F560" s="124"/>
      <c r="G560" s="124"/>
      <c r="H560" s="124"/>
      <c r="I560" s="124"/>
    </row>
    <row r="561">
      <c r="A561" s="41"/>
      <c r="B561" s="41"/>
      <c r="C561" s="117"/>
      <c r="D561" s="124"/>
      <c r="E561" s="124"/>
      <c r="F561" s="124"/>
      <c r="G561" s="124"/>
      <c r="H561" s="124"/>
      <c r="I561" s="124"/>
    </row>
    <row r="562">
      <c r="A562" s="41"/>
      <c r="B562" s="41"/>
      <c r="C562" s="117"/>
      <c r="D562" s="124"/>
      <c r="E562" s="124"/>
      <c r="F562" s="124"/>
      <c r="G562" s="124"/>
      <c r="H562" s="124"/>
      <c r="I562" s="124"/>
    </row>
    <row r="563">
      <c r="A563" s="41"/>
      <c r="B563" s="41"/>
      <c r="C563" s="117"/>
      <c r="D563" s="124"/>
      <c r="E563" s="124"/>
      <c r="F563" s="124"/>
      <c r="G563" s="124"/>
      <c r="H563" s="124"/>
      <c r="I563" s="124"/>
    </row>
    <row r="564">
      <c r="A564" s="41"/>
      <c r="B564" s="41"/>
      <c r="C564" s="117"/>
      <c r="D564" s="124"/>
      <c r="E564" s="124"/>
      <c r="F564" s="124"/>
      <c r="G564" s="124"/>
      <c r="H564" s="124"/>
      <c r="I564" s="124"/>
    </row>
    <row r="565">
      <c r="A565" s="41"/>
      <c r="B565" s="41"/>
      <c r="C565" s="117"/>
      <c r="D565" s="124"/>
      <c r="E565" s="124"/>
      <c r="F565" s="124"/>
      <c r="G565" s="124"/>
      <c r="H565" s="124"/>
      <c r="I565" s="124"/>
    </row>
    <row r="566">
      <c r="A566" s="41"/>
      <c r="B566" s="41"/>
      <c r="C566" s="117"/>
      <c r="D566" s="124"/>
      <c r="E566" s="124"/>
      <c r="F566" s="124"/>
      <c r="G566" s="124"/>
      <c r="H566" s="124"/>
      <c r="I566" s="124"/>
    </row>
    <row r="567">
      <c r="A567" s="41"/>
      <c r="B567" s="41"/>
      <c r="C567" s="117"/>
      <c r="D567" s="124"/>
      <c r="E567" s="124"/>
      <c r="F567" s="124"/>
      <c r="G567" s="124"/>
      <c r="H567" s="124"/>
      <c r="I567" s="124"/>
    </row>
    <row r="568">
      <c r="A568" s="41"/>
      <c r="B568" s="41"/>
      <c r="C568" s="117"/>
      <c r="D568" s="124"/>
      <c r="E568" s="124"/>
      <c r="F568" s="124"/>
      <c r="G568" s="124"/>
      <c r="H568" s="124"/>
      <c r="I568" s="124"/>
    </row>
    <row r="569">
      <c r="A569" s="41"/>
      <c r="B569" s="41"/>
      <c r="C569" s="117"/>
      <c r="D569" s="124"/>
      <c r="E569" s="124"/>
      <c r="F569" s="124"/>
      <c r="G569" s="124"/>
      <c r="H569" s="124"/>
      <c r="I569" s="124"/>
    </row>
    <row r="570">
      <c r="A570" s="41"/>
      <c r="B570" s="41"/>
      <c r="C570" s="117"/>
      <c r="D570" s="124"/>
      <c r="E570" s="124"/>
      <c r="F570" s="124"/>
      <c r="G570" s="124"/>
      <c r="H570" s="124"/>
      <c r="I570" s="124"/>
    </row>
    <row r="571">
      <c r="A571" s="41"/>
      <c r="B571" s="41"/>
      <c r="C571" s="117"/>
      <c r="D571" s="124"/>
      <c r="E571" s="124"/>
      <c r="F571" s="124"/>
      <c r="G571" s="124"/>
      <c r="H571" s="124"/>
      <c r="I571" s="124"/>
    </row>
    <row r="572">
      <c r="A572" s="41"/>
      <c r="B572" s="41"/>
      <c r="C572" s="117"/>
      <c r="D572" s="124"/>
      <c r="E572" s="124"/>
      <c r="F572" s="124"/>
      <c r="G572" s="124"/>
      <c r="H572" s="124"/>
      <c r="I572" s="124"/>
    </row>
    <row r="573">
      <c r="A573" s="41"/>
      <c r="B573" s="41"/>
      <c r="C573" s="117"/>
      <c r="D573" s="124"/>
      <c r="E573" s="124"/>
      <c r="F573" s="124"/>
      <c r="G573" s="124"/>
      <c r="H573" s="124"/>
      <c r="I573" s="124"/>
    </row>
    <row r="574">
      <c r="A574" s="41"/>
      <c r="B574" s="41"/>
      <c r="C574" s="117"/>
      <c r="D574" s="124"/>
      <c r="E574" s="124"/>
      <c r="F574" s="124"/>
      <c r="G574" s="124"/>
      <c r="H574" s="124"/>
      <c r="I574" s="124"/>
    </row>
    <row r="575">
      <c r="A575" s="41"/>
      <c r="B575" s="41"/>
      <c r="C575" s="117"/>
      <c r="D575" s="124"/>
      <c r="E575" s="124"/>
      <c r="F575" s="124"/>
      <c r="G575" s="124"/>
      <c r="H575" s="124"/>
      <c r="I575" s="124"/>
    </row>
    <row r="576">
      <c r="A576" s="41"/>
      <c r="B576" s="41"/>
      <c r="C576" s="117"/>
      <c r="D576" s="124"/>
      <c r="E576" s="124"/>
      <c r="F576" s="124"/>
      <c r="G576" s="124"/>
      <c r="H576" s="124"/>
      <c r="I576" s="124"/>
    </row>
    <row r="577">
      <c r="A577" s="41"/>
      <c r="B577" s="41"/>
      <c r="C577" s="117"/>
      <c r="D577" s="124"/>
      <c r="E577" s="124"/>
      <c r="F577" s="124"/>
      <c r="G577" s="124"/>
      <c r="H577" s="124"/>
      <c r="I577" s="124"/>
    </row>
    <row r="578">
      <c r="A578" s="41"/>
      <c r="B578" s="41"/>
      <c r="C578" s="117"/>
      <c r="D578" s="124"/>
      <c r="E578" s="124"/>
      <c r="F578" s="124"/>
      <c r="G578" s="124"/>
      <c r="H578" s="124"/>
      <c r="I578" s="124"/>
    </row>
    <row r="579">
      <c r="A579" s="41"/>
      <c r="B579" s="41"/>
      <c r="C579" s="117"/>
      <c r="D579" s="124"/>
      <c r="E579" s="124"/>
      <c r="F579" s="124"/>
      <c r="G579" s="124"/>
      <c r="H579" s="124"/>
      <c r="I579" s="124"/>
    </row>
    <row r="580">
      <c r="A580" s="41"/>
      <c r="B580" s="41"/>
      <c r="C580" s="117"/>
      <c r="D580" s="124"/>
      <c r="E580" s="124"/>
      <c r="F580" s="124"/>
      <c r="G580" s="124"/>
      <c r="H580" s="124"/>
      <c r="I580" s="124"/>
    </row>
    <row r="581">
      <c r="A581" s="41"/>
      <c r="B581" s="41"/>
      <c r="C581" s="117"/>
      <c r="D581" s="124"/>
      <c r="E581" s="124"/>
      <c r="F581" s="124"/>
      <c r="G581" s="124"/>
      <c r="H581" s="124"/>
      <c r="I581" s="124"/>
    </row>
    <row r="582">
      <c r="A582" s="41"/>
      <c r="B582" s="41"/>
      <c r="C582" s="117"/>
      <c r="D582" s="124"/>
      <c r="E582" s="124"/>
      <c r="F582" s="124"/>
      <c r="G582" s="124"/>
      <c r="H582" s="124"/>
      <c r="I582" s="124"/>
    </row>
    <row r="583">
      <c r="A583" s="41"/>
      <c r="B583" s="41"/>
      <c r="C583" s="117"/>
      <c r="D583" s="124"/>
      <c r="E583" s="124"/>
      <c r="F583" s="124"/>
      <c r="G583" s="124"/>
      <c r="H583" s="124"/>
      <c r="I583" s="124"/>
    </row>
    <row r="584">
      <c r="A584" s="41"/>
      <c r="B584" s="41"/>
      <c r="C584" s="117"/>
      <c r="D584" s="124"/>
      <c r="E584" s="124"/>
      <c r="F584" s="124"/>
      <c r="G584" s="124"/>
      <c r="H584" s="124"/>
      <c r="I584" s="124"/>
    </row>
    <row r="585">
      <c r="A585" s="41"/>
      <c r="B585" s="41"/>
      <c r="C585" s="117"/>
      <c r="D585" s="124"/>
      <c r="E585" s="124"/>
      <c r="F585" s="124"/>
      <c r="G585" s="124"/>
      <c r="H585" s="124"/>
      <c r="I585" s="124"/>
    </row>
    <row r="586">
      <c r="A586" s="41"/>
      <c r="B586" s="41"/>
      <c r="C586" s="117"/>
      <c r="D586" s="124"/>
      <c r="E586" s="124"/>
      <c r="F586" s="124"/>
      <c r="G586" s="124"/>
      <c r="H586" s="124"/>
      <c r="I586" s="124"/>
    </row>
    <row r="587">
      <c r="A587" s="41"/>
      <c r="B587" s="41"/>
      <c r="C587" s="117"/>
      <c r="D587" s="124"/>
      <c r="E587" s="124"/>
      <c r="F587" s="124"/>
      <c r="G587" s="124"/>
      <c r="H587" s="124"/>
      <c r="I587" s="124"/>
    </row>
    <row r="588">
      <c r="A588" s="41"/>
      <c r="B588" s="41"/>
      <c r="C588" s="117"/>
      <c r="D588" s="124"/>
      <c r="E588" s="124"/>
      <c r="F588" s="124"/>
      <c r="G588" s="124"/>
      <c r="H588" s="124"/>
      <c r="I588" s="124"/>
    </row>
    <row r="589">
      <c r="A589" s="41"/>
      <c r="B589" s="41"/>
      <c r="C589" s="117"/>
      <c r="D589" s="124"/>
      <c r="E589" s="124"/>
      <c r="F589" s="124"/>
      <c r="G589" s="124"/>
      <c r="H589" s="124"/>
      <c r="I589" s="124"/>
    </row>
    <row r="590">
      <c r="A590" s="41"/>
      <c r="B590" s="41"/>
      <c r="C590" s="117"/>
      <c r="D590" s="124"/>
      <c r="E590" s="124"/>
      <c r="F590" s="124"/>
      <c r="G590" s="124"/>
      <c r="H590" s="124"/>
      <c r="I590" s="124"/>
    </row>
    <row r="591">
      <c r="A591" s="41"/>
      <c r="B591" s="41"/>
      <c r="C591" s="117"/>
      <c r="D591" s="124"/>
      <c r="E591" s="124"/>
      <c r="F591" s="124"/>
      <c r="G591" s="124"/>
      <c r="H591" s="124"/>
      <c r="I591" s="124"/>
    </row>
    <row r="592">
      <c r="A592" s="41"/>
      <c r="B592" s="41"/>
      <c r="C592" s="117"/>
      <c r="D592" s="124"/>
      <c r="E592" s="124"/>
      <c r="F592" s="124"/>
      <c r="G592" s="124"/>
      <c r="H592" s="124"/>
      <c r="I592" s="124"/>
    </row>
    <row r="593">
      <c r="A593" s="41"/>
      <c r="B593" s="41"/>
      <c r="C593" s="117"/>
      <c r="D593" s="124"/>
      <c r="E593" s="124"/>
      <c r="F593" s="124"/>
      <c r="G593" s="124"/>
      <c r="H593" s="124"/>
      <c r="I593" s="124"/>
    </row>
    <row r="594">
      <c r="A594" s="41"/>
      <c r="B594" s="41"/>
      <c r="C594" s="117"/>
      <c r="D594" s="124"/>
      <c r="E594" s="124"/>
      <c r="F594" s="124"/>
      <c r="G594" s="124"/>
      <c r="H594" s="124"/>
      <c r="I594" s="124"/>
    </row>
    <row r="595">
      <c r="A595" s="41"/>
      <c r="B595" s="41"/>
      <c r="C595" s="117"/>
      <c r="D595" s="124"/>
      <c r="E595" s="124"/>
      <c r="F595" s="124"/>
      <c r="G595" s="124"/>
      <c r="H595" s="124"/>
      <c r="I595" s="124"/>
    </row>
    <row r="596">
      <c r="A596" s="41"/>
      <c r="B596" s="41"/>
      <c r="C596" s="117"/>
      <c r="D596" s="124"/>
      <c r="E596" s="124"/>
      <c r="F596" s="124"/>
      <c r="G596" s="124"/>
      <c r="H596" s="124"/>
      <c r="I596" s="124"/>
    </row>
    <row r="597">
      <c r="A597" s="41"/>
      <c r="B597" s="41"/>
      <c r="C597" s="117"/>
      <c r="D597" s="124"/>
      <c r="E597" s="124"/>
      <c r="F597" s="124"/>
      <c r="G597" s="124"/>
      <c r="H597" s="124"/>
      <c r="I597" s="124"/>
    </row>
    <row r="598">
      <c r="A598" s="41"/>
      <c r="B598" s="41"/>
      <c r="C598" s="117"/>
      <c r="D598" s="124"/>
      <c r="E598" s="124"/>
      <c r="F598" s="124"/>
      <c r="G598" s="124"/>
      <c r="H598" s="124"/>
      <c r="I598" s="124"/>
    </row>
    <row r="599">
      <c r="A599" s="41"/>
      <c r="B599" s="41"/>
      <c r="C599" s="117"/>
      <c r="D599" s="124"/>
      <c r="E599" s="124"/>
      <c r="F599" s="124"/>
      <c r="G599" s="124"/>
      <c r="H599" s="124"/>
      <c r="I599" s="124"/>
    </row>
    <row r="600">
      <c r="A600" s="41"/>
      <c r="B600" s="41"/>
      <c r="C600" s="117"/>
      <c r="D600" s="124"/>
      <c r="E600" s="124"/>
      <c r="F600" s="124"/>
      <c r="G600" s="124"/>
      <c r="H600" s="124"/>
      <c r="I600" s="124"/>
    </row>
    <row r="601">
      <c r="A601" s="41"/>
      <c r="B601" s="41"/>
      <c r="C601" s="117"/>
      <c r="D601" s="124"/>
      <c r="E601" s="124"/>
      <c r="F601" s="124"/>
      <c r="G601" s="124"/>
      <c r="H601" s="124"/>
      <c r="I601" s="124"/>
    </row>
    <row r="602">
      <c r="A602" s="41"/>
      <c r="B602" s="41"/>
      <c r="C602" s="117"/>
      <c r="D602" s="124"/>
      <c r="E602" s="124"/>
      <c r="F602" s="124"/>
      <c r="G602" s="124"/>
      <c r="H602" s="124"/>
      <c r="I602" s="124"/>
    </row>
    <row r="603">
      <c r="A603" s="41"/>
      <c r="B603" s="41"/>
      <c r="C603" s="117"/>
      <c r="D603" s="124"/>
      <c r="E603" s="124"/>
      <c r="F603" s="124"/>
      <c r="G603" s="124"/>
      <c r="H603" s="124"/>
      <c r="I603" s="124"/>
    </row>
    <row r="604">
      <c r="A604" s="41"/>
      <c r="B604" s="41"/>
      <c r="C604" s="117"/>
      <c r="D604" s="124"/>
      <c r="E604" s="124"/>
      <c r="F604" s="124"/>
      <c r="G604" s="124"/>
      <c r="H604" s="124"/>
      <c r="I604" s="124"/>
    </row>
    <row r="605">
      <c r="A605" s="41"/>
      <c r="B605" s="41"/>
      <c r="C605" s="117"/>
      <c r="D605" s="124"/>
      <c r="E605" s="124"/>
      <c r="F605" s="124"/>
      <c r="G605" s="124"/>
      <c r="H605" s="124"/>
      <c r="I605" s="124"/>
    </row>
    <row r="606">
      <c r="A606" s="41"/>
      <c r="B606" s="41"/>
      <c r="C606" s="117"/>
      <c r="D606" s="124"/>
      <c r="E606" s="124"/>
      <c r="F606" s="124"/>
      <c r="G606" s="124"/>
      <c r="H606" s="124"/>
      <c r="I606" s="124"/>
    </row>
    <row r="607">
      <c r="A607" s="41"/>
      <c r="B607" s="41"/>
      <c r="C607" s="117"/>
      <c r="D607" s="124"/>
      <c r="E607" s="124"/>
      <c r="F607" s="124"/>
      <c r="G607" s="124"/>
      <c r="H607" s="124"/>
      <c r="I607" s="124"/>
    </row>
    <row r="608">
      <c r="A608" s="41"/>
      <c r="B608" s="41"/>
      <c r="C608" s="117"/>
      <c r="D608" s="124"/>
      <c r="E608" s="124"/>
      <c r="F608" s="124"/>
      <c r="G608" s="124"/>
      <c r="H608" s="124"/>
      <c r="I608" s="124"/>
    </row>
    <row r="609">
      <c r="A609" s="41"/>
      <c r="B609" s="41"/>
      <c r="C609" s="117"/>
      <c r="D609" s="124"/>
      <c r="E609" s="124"/>
      <c r="F609" s="124"/>
      <c r="G609" s="124"/>
      <c r="H609" s="124"/>
      <c r="I609" s="124"/>
    </row>
    <row r="610">
      <c r="A610" s="41"/>
      <c r="B610" s="41"/>
      <c r="C610" s="117"/>
      <c r="D610" s="124"/>
      <c r="E610" s="124"/>
      <c r="F610" s="124"/>
      <c r="G610" s="124"/>
      <c r="H610" s="124"/>
      <c r="I610" s="124"/>
    </row>
    <row r="611">
      <c r="A611" s="41"/>
      <c r="B611" s="41"/>
      <c r="C611" s="117"/>
      <c r="D611" s="124"/>
      <c r="E611" s="124"/>
      <c r="F611" s="124"/>
      <c r="G611" s="124"/>
      <c r="H611" s="124"/>
      <c r="I611" s="124"/>
    </row>
    <row r="612">
      <c r="A612" s="41"/>
      <c r="B612" s="41"/>
      <c r="C612" s="117"/>
      <c r="D612" s="124"/>
      <c r="E612" s="124"/>
      <c r="F612" s="124"/>
      <c r="G612" s="124"/>
      <c r="H612" s="124"/>
      <c r="I612" s="124"/>
    </row>
    <row r="613">
      <c r="A613" s="41"/>
      <c r="B613" s="41"/>
      <c r="C613" s="117"/>
      <c r="D613" s="124"/>
      <c r="E613" s="124"/>
      <c r="F613" s="124"/>
      <c r="G613" s="124"/>
      <c r="H613" s="124"/>
      <c r="I613" s="124"/>
    </row>
    <row r="614">
      <c r="A614" s="41"/>
      <c r="B614" s="41"/>
      <c r="C614" s="117"/>
      <c r="D614" s="124"/>
      <c r="E614" s="124"/>
      <c r="F614" s="124"/>
      <c r="G614" s="124"/>
      <c r="H614" s="124"/>
      <c r="I614" s="124"/>
    </row>
    <row r="615">
      <c r="A615" s="41"/>
      <c r="B615" s="41"/>
      <c r="C615" s="117"/>
      <c r="D615" s="124"/>
      <c r="E615" s="124"/>
      <c r="F615" s="124"/>
      <c r="G615" s="124"/>
      <c r="H615" s="124"/>
      <c r="I615" s="124"/>
    </row>
    <row r="616">
      <c r="A616" s="41"/>
      <c r="B616" s="41"/>
      <c r="C616" s="117"/>
      <c r="D616" s="124"/>
      <c r="E616" s="124"/>
      <c r="F616" s="124"/>
      <c r="G616" s="124"/>
      <c r="H616" s="124"/>
      <c r="I616" s="124"/>
    </row>
    <row r="617">
      <c r="A617" s="41"/>
      <c r="B617" s="41"/>
      <c r="C617" s="117"/>
      <c r="D617" s="124"/>
      <c r="E617" s="124"/>
      <c r="F617" s="124"/>
      <c r="G617" s="124"/>
      <c r="H617" s="124"/>
      <c r="I617" s="124"/>
    </row>
    <row r="618">
      <c r="A618" s="41"/>
      <c r="B618" s="41"/>
      <c r="C618" s="117"/>
      <c r="D618" s="124"/>
      <c r="E618" s="124"/>
      <c r="F618" s="124"/>
      <c r="G618" s="124"/>
      <c r="H618" s="124"/>
      <c r="I618" s="124"/>
    </row>
    <row r="619">
      <c r="A619" s="41"/>
      <c r="B619" s="41"/>
      <c r="C619" s="117"/>
      <c r="D619" s="124"/>
      <c r="E619" s="124"/>
      <c r="F619" s="124"/>
      <c r="G619" s="124"/>
      <c r="H619" s="124"/>
      <c r="I619" s="124"/>
    </row>
    <row r="620">
      <c r="A620" s="41"/>
      <c r="B620" s="41"/>
      <c r="C620" s="117"/>
      <c r="D620" s="124"/>
      <c r="E620" s="124"/>
      <c r="F620" s="124"/>
      <c r="G620" s="124"/>
      <c r="H620" s="124"/>
      <c r="I620" s="124"/>
    </row>
    <row r="621">
      <c r="A621" s="41"/>
      <c r="B621" s="41"/>
      <c r="C621" s="117"/>
      <c r="D621" s="124"/>
      <c r="E621" s="124"/>
      <c r="F621" s="124"/>
      <c r="G621" s="124"/>
      <c r="H621" s="124"/>
      <c r="I621" s="124"/>
    </row>
    <row r="622">
      <c r="A622" s="41"/>
      <c r="B622" s="41"/>
      <c r="C622" s="117"/>
      <c r="D622" s="124"/>
      <c r="E622" s="124"/>
      <c r="F622" s="124"/>
      <c r="G622" s="124"/>
      <c r="H622" s="124"/>
      <c r="I622" s="124"/>
    </row>
    <row r="623">
      <c r="A623" s="41"/>
      <c r="B623" s="41"/>
      <c r="C623" s="117"/>
      <c r="D623" s="124"/>
      <c r="E623" s="124"/>
      <c r="F623" s="124"/>
      <c r="G623" s="124"/>
      <c r="H623" s="124"/>
      <c r="I623" s="124"/>
    </row>
    <row r="624">
      <c r="A624" s="41"/>
      <c r="B624" s="41"/>
      <c r="C624" s="117"/>
      <c r="D624" s="124"/>
      <c r="E624" s="124"/>
      <c r="F624" s="124"/>
      <c r="G624" s="124"/>
      <c r="H624" s="124"/>
      <c r="I624" s="124"/>
    </row>
    <row r="625">
      <c r="A625" s="41"/>
      <c r="B625" s="41"/>
      <c r="C625" s="117"/>
      <c r="D625" s="124"/>
      <c r="E625" s="124"/>
      <c r="F625" s="124"/>
      <c r="G625" s="124"/>
      <c r="H625" s="124"/>
      <c r="I625" s="124"/>
    </row>
    <row r="626">
      <c r="A626" s="41"/>
      <c r="B626" s="41"/>
      <c r="C626" s="117"/>
      <c r="D626" s="124"/>
      <c r="E626" s="124"/>
      <c r="F626" s="124"/>
      <c r="G626" s="124"/>
      <c r="H626" s="124"/>
      <c r="I626" s="124"/>
    </row>
    <row r="627">
      <c r="A627" s="41"/>
      <c r="B627" s="41"/>
      <c r="C627" s="117"/>
      <c r="D627" s="124"/>
      <c r="E627" s="124"/>
      <c r="F627" s="124"/>
      <c r="G627" s="124"/>
      <c r="H627" s="124"/>
      <c r="I627" s="124"/>
    </row>
    <row r="628">
      <c r="A628" s="41"/>
      <c r="B628" s="41"/>
      <c r="C628" s="117"/>
      <c r="D628" s="124"/>
      <c r="E628" s="124"/>
      <c r="F628" s="124"/>
      <c r="G628" s="124"/>
      <c r="H628" s="124"/>
      <c r="I628" s="124"/>
    </row>
    <row r="629">
      <c r="A629" s="41"/>
      <c r="B629" s="41"/>
      <c r="C629" s="117"/>
      <c r="D629" s="124"/>
      <c r="E629" s="124"/>
      <c r="F629" s="124"/>
      <c r="G629" s="124"/>
      <c r="H629" s="124"/>
      <c r="I629" s="124"/>
    </row>
    <row r="630">
      <c r="A630" s="41"/>
      <c r="B630" s="41"/>
      <c r="C630" s="117"/>
      <c r="D630" s="124"/>
      <c r="E630" s="124"/>
      <c r="F630" s="124"/>
      <c r="G630" s="124"/>
      <c r="H630" s="124"/>
      <c r="I630" s="124"/>
    </row>
    <row r="631">
      <c r="A631" s="41"/>
      <c r="B631" s="41"/>
      <c r="C631" s="117"/>
      <c r="D631" s="124"/>
      <c r="E631" s="124"/>
      <c r="F631" s="124"/>
      <c r="G631" s="124"/>
      <c r="H631" s="124"/>
      <c r="I631" s="124"/>
    </row>
    <row r="632">
      <c r="A632" s="41"/>
      <c r="B632" s="41"/>
      <c r="C632" s="117"/>
      <c r="D632" s="124"/>
      <c r="E632" s="124"/>
      <c r="F632" s="124"/>
      <c r="G632" s="124"/>
      <c r="H632" s="124"/>
      <c r="I632" s="124"/>
    </row>
    <row r="633">
      <c r="A633" s="41"/>
      <c r="B633" s="41"/>
      <c r="C633" s="117"/>
      <c r="D633" s="124"/>
      <c r="E633" s="124"/>
      <c r="F633" s="124"/>
      <c r="G633" s="124"/>
      <c r="H633" s="124"/>
      <c r="I633" s="124"/>
    </row>
    <row r="634">
      <c r="A634" s="41"/>
      <c r="B634" s="41"/>
      <c r="C634" s="117"/>
      <c r="D634" s="124"/>
      <c r="E634" s="124"/>
      <c r="F634" s="124"/>
      <c r="G634" s="124"/>
      <c r="H634" s="124"/>
      <c r="I634" s="124"/>
    </row>
    <row r="635">
      <c r="A635" s="41"/>
      <c r="B635" s="41"/>
      <c r="C635" s="117"/>
      <c r="D635" s="124"/>
      <c r="E635" s="124"/>
      <c r="F635" s="124"/>
      <c r="G635" s="124"/>
      <c r="H635" s="124"/>
      <c r="I635" s="124"/>
    </row>
    <row r="636">
      <c r="A636" s="41"/>
      <c r="B636" s="41"/>
      <c r="C636" s="117"/>
      <c r="D636" s="124"/>
      <c r="E636" s="124"/>
      <c r="F636" s="124"/>
      <c r="G636" s="124"/>
      <c r="H636" s="124"/>
      <c r="I636" s="124"/>
    </row>
    <row r="637">
      <c r="A637" s="41"/>
      <c r="B637" s="41"/>
      <c r="C637" s="117"/>
      <c r="D637" s="124"/>
      <c r="E637" s="124"/>
      <c r="F637" s="124"/>
      <c r="G637" s="124"/>
      <c r="H637" s="124"/>
      <c r="I637" s="124"/>
    </row>
    <row r="638">
      <c r="A638" s="41"/>
      <c r="B638" s="41"/>
      <c r="C638" s="117"/>
      <c r="D638" s="124"/>
      <c r="E638" s="124"/>
      <c r="F638" s="124"/>
      <c r="G638" s="124"/>
      <c r="H638" s="124"/>
      <c r="I638" s="124"/>
    </row>
    <row r="639">
      <c r="A639" s="41"/>
      <c r="B639" s="41"/>
      <c r="C639" s="117"/>
      <c r="D639" s="124"/>
      <c r="E639" s="124"/>
      <c r="F639" s="124"/>
      <c r="G639" s="124"/>
      <c r="H639" s="124"/>
      <c r="I639" s="124"/>
    </row>
    <row r="640">
      <c r="A640" s="41"/>
      <c r="B640" s="41"/>
      <c r="C640" s="117"/>
      <c r="D640" s="124"/>
      <c r="E640" s="124"/>
      <c r="F640" s="124"/>
      <c r="G640" s="124"/>
      <c r="H640" s="124"/>
      <c r="I640" s="124"/>
    </row>
    <row r="641">
      <c r="A641" s="41"/>
      <c r="B641" s="41"/>
      <c r="C641" s="117"/>
      <c r="D641" s="124"/>
      <c r="E641" s="124"/>
      <c r="F641" s="124"/>
      <c r="G641" s="124"/>
      <c r="H641" s="124"/>
      <c r="I641" s="124"/>
    </row>
    <row r="642">
      <c r="A642" s="41"/>
      <c r="B642" s="41"/>
      <c r="C642" s="117"/>
      <c r="D642" s="124"/>
      <c r="E642" s="124"/>
      <c r="F642" s="124"/>
      <c r="G642" s="124"/>
      <c r="H642" s="124"/>
      <c r="I642" s="124"/>
    </row>
    <row r="643">
      <c r="A643" s="41"/>
      <c r="B643" s="41"/>
      <c r="C643" s="117"/>
      <c r="D643" s="124"/>
      <c r="E643" s="124"/>
      <c r="F643" s="124"/>
      <c r="G643" s="124"/>
      <c r="H643" s="124"/>
      <c r="I643" s="124"/>
    </row>
    <row r="644">
      <c r="A644" s="41"/>
      <c r="B644" s="41"/>
      <c r="C644" s="117"/>
      <c r="D644" s="124"/>
      <c r="E644" s="124"/>
      <c r="F644" s="124"/>
      <c r="G644" s="124"/>
      <c r="H644" s="124"/>
      <c r="I644" s="124"/>
    </row>
    <row r="645">
      <c r="A645" s="41"/>
      <c r="B645" s="41"/>
      <c r="C645" s="117"/>
      <c r="D645" s="124"/>
      <c r="E645" s="124"/>
      <c r="F645" s="124"/>
      <c r="G645" s="124"/>
      <c r="H645" s="124"/>
      <c r="I645" s="124"/>
    </row>
    <row r="646">
      <c r="A646" s="41"/>
      <c r="B646" s="41"/>
      <c r="C646" s="117"/>
      <c r="D646" s="124"/>
      <c r="E646" s="124"/>
      <c r="F646" s="124"/>
      <c r="G646" s="124"/>
      <c r="H646" s="124"/>
      <c r="I646" s="124"/>
    </row>
    <row r="647">
      <c r="A647" s="41"/>
      <c r="B647" s="41"/>
      <c r="C647" s="117"/>
      <c r="D647" s="124"/>
      <c r="E647" s="124"/>
      <c r="F647" s="124"/>
      <c r="G647" s="124"/>
      <c r="H647" s="124"/>
      <c r="I647" s="124"/>
    </row>
    <row r="648">
      <c r="A648" s="41"/>
      <c r="B648" s="41"/>
      <c r="C648" s="117"/>
      <c r="D648" s="124"/>
      <c r="E648" s="124"/>
      <c r="F648" s="124"/>
      <c r="G648" s="124"/>
      <c r="H648" s="124"/>
      <c r="I648" s="124"/>
    </row>
    <row r="649">
      <c r="A649" s="41"/>
      <c r="B649" s="41"/>
      <c r="C649" s="117"/>
      <c r="D649" s="124"/>
      <c r="E649" s="124"/>
      <c r="F649" s="124"/>
      <c r="G649" s="124"/>
      <c r="H649" s="124"/>
      <c r="I649" s="124"/>
    </row>
    <row r="650">
      <c r="A650" s="41"/>
      <c r="B650" s="41"/>
      <c r="C650" s="117"/>
      <c r="D650" s="124"/>
      <c r="E650" s="124"/>
      <c r="F650" s="124"/>
      <c r="G650" s="124"/>
      <c r="H650" s="124"/>
      <c r="I650" s="124"/>
    </row>
    <row r="651">
      <c r="A651" s="41"/>
      <c r="B651" s="41"/>
      <c r="C651" s="117"/>
      <c r="D651" s="124"/>
      <c r="E651" s="124"/>
      <c r="F651" s="124"/>
      <c r="G651" s="124"/>
      <c r="H651" s="124"/>
      <c r="I651" s="124"/>
    </row>
    <row r="652">
      <c r="A652" s="41"/>
      <c r="B652" s="41"/>
      <c r="C652" s="117"/>
      <c r="D652" s="124"/>
      <c r="E652" s="124"/>
      <c r="F652" s="124"/>
      <c r="G652" s="124"/>
      <c r="H652" s="124"/>
      <c r="I652" s="124"/>
    </row>
    <row r="653">
      <c r="A653" s="41"/>
      <c r="B653" s="41"/>
      <c r="C653" s="117"/>
      <c r="D653" s="124"/>
      <c r="E653" s="124"/>
      <c r="F653" s="124"/>
      <c r="G653" s="124"/>
      <c r="H653" s="124"/>
      <c r="I653" s="124"/>
    </row>
    <row r="654">
      <c r="A654" s="41"/>
      <c r="B654" s="41"/>
      <c r="C654" s="117"/>
      <c r="D654" s="124"/>
      <c r="E654" s="124"/>
      <c r="F654" s="124"/>
      <c r="G654" s="124"/>
      <c r="H654" s="124"/>
      <c r="I654" s="124"/>
    </row>
    <row r="655">
      <c r="A655" s="41"/>
      <c r="B655" s="41"/>
      <c r="C655" s="117"/>
      <c r="D655" s="124"/>
      <c r="E655" s="124"/>
      <c r="F655" s="124"/>
      <c r="G655" s="124"/>
      <c r="H655" s="124"/>
      <c r="I655" s="124"/>
    </row>
    <row r="656">
      <c r="A656" s="41"/>
      <c r="B656" s="41"/>
      <c r="C656" s="117"/>
      <c r="D656" s="124"/>
      <c r="E656" s="124"/>
      <c r="F656" s="124"/>
      <c r="G656" s="124"/>
      <c r="H656" s="124"/>
      <c r="I656" s="124"/>
    </row>
    <row r="657">
      <c r="A657" s="41"/>
      <c r="B657" s="41"/>
      <c r="C657" s="117"/>
      <c r="D657" s="124"/>
      <c r="E657" s="124"/>
      <c r="F657" s="124"/>
      <c r="G657" s="124"/>
      <c r="H657" s="124"/>
      <c r="I657" s="124"/>
    </row>
    <row r="658">
      <c r="A658" s="41"/>
      <c r="B658" s="41"/>
      <c r="C658" s="117"/>
      <c r="D658" s="124"/>
      <c r="E658" s="124"/>
      <c r="F658" s="124"/>
      <c r="G658" s="124"/>
      <c r="H658" s="124"/>
      <c r="I658" s="124"/>
    </row>
    <row r="659">
      <c r="A659" s="41"/>
      <c r="B659" s="41"/>
      <c r="C659" s="117"/>
      <c r="D659" s="124"/>
      <c r="E659" s="124"/>
      <c r="F659" s="124"/>
      <c r="G659" s="124"/>
      <c r="H659" s="124"/>
      <c r="I659" s="124"/>
    </row>
    <row r="660">
      <c r="A660" s="41"/>
      <c r="B660" s="41"/>
      <c r="C660" s="117"/>
      <c r="D660" s="124"/>
      <c r="E660" s="124"/>
      <c r="F660" s="124"/>
      <c r="G660" s="124"/>
      <c r="H660" s="124"/>
      <c r="I660" s="124"/>
    </row>
    <row r="661">
      <c r="A661" s="41"/>
      <c r="B661" s="41"/>
      <c r="C661" s="117"/>
      <c r="D661" s="124"/>
      <c r="E661" s="124"/>
      <c r="F661" s="124"/>
      <c r="G661" s="124"/>
      <c r="H661" s="124"/>
      <c r="I661" s="124"/>
    </row>
    <row r="662">
      <c r="A662" s="41"/>
      <c r="B662" s="41"/>
      <c r="C662" s="117"/>
      <c r="D662" s="124"/>
      <c r="E662" s="124"/>
      <c r="F662" s="124"/>
      <c r="G662" s="124"/>
      <c r="H662" s="124"/>
      <c r="I662" s="124"/>
    </row>
    <row r="663">
      <c r="A663" s="41"/>
      <c r="B663" s="41"/>
      <c r="C663" s="117"/>
      <c r="D663" s="124"/>
      <c r="E663" s="124"/>
      <c r="F663" s="124"/>
      <c r="G663" s="124"/>
      <c r="H663" s="124"/>
      <c r="I663" s="124"/>
    </row>
    <row r="664">
      <c r="A664" s="41"/>
      <c r="B664" s="41"/>
      <c r="C664" s="117"/>
      <c r="D664" s="124"/>
      <c r="E664" s="124"/>
      <c r="F664" s="124"/>
      <c r="G664" s="124"/>
      <c r="H664" s="124"/>
      <c r="I664" s="124"/>
    </row>
    <row r="665">
      <c r="A665" s="41"/>
      <c r="B665" s="41"/>
      <c r="C665" s="117"/>
      <c r="D665" s="124"/>
      <c r="E665" s="124"/>
      <c r="F665" s="124"/>
      <c r="G665" s="124"/>
      <c r="H665" s="124"/>
      <c r="I665" s="124"/>
    </row>
    <row r="666">
      <c r="A666" s="41"/>
      <c r="B666" s="41"/>
      <c r="C666" s="117"/>
      <c r="D666" s="124"/>
      <c r="E666" s="124"/>
      <c r="F666" s="124"/>
      <c r="G666" s="124"/>
      <c r="H666" s="124"/>
      <c r="I666" s="124"/>
    </row>
    <row r="667">
      <c r="A667" s="41"/>
      <c r="B667" s="41"/>
      <c r="C667" s="117"/>
      <c r="D667" s="124"/>
      <c r="E667" s="124"/>
      <c r="F667" s="124"/>
      <c r="G667" s="124"/>
      <c r="H667" s="124"/>
      <c r="I667" s="124"/>
    </row>
    <row r="668">
      <c r="A668" s="41"/>
      <c r="B668" s="41"/>
      <c r="C668" s="117"/>
      <c r="D668" s="124"/>
      <c r="E668" s="124"/>
      <c r="F668" s="124"/>
      <c r="G668" s="124"/>
      <c r="H668" s="124"/>
      <c r="I668" s="124"/>
    </row>
    <row r="669">
      <c r="A669" s="41"/>
      <c r="B669" s="41"/>
      <c r="C669" s="117"/>
      <c r="D669" s="124"/>
      <c r="E669" s="124"/>
      <c r="F669" s="124"/>
      <c r="G669" s="124"/>
      <c r="H669" s="124"/>
      <c r="I669" s="124"/>
    </row>
    <row r="670">
      <c r="A670" s="41"/>
      <c r="B670" s="41"/>
      <c r="C670" s="117"/>
      <c r="D670" s="124"/>
      <c r="E670" s="124"/>
      <c r="F670" s="124"/>
      <c r="G670" s="124"/>
      <c r="H670" s="124"/>
      <c r="I670" s="124"/>
    </row>
    <row r="671">
      <c r="A671" s="41"/>
      <c r="B671" s="41"/>
      <c r="C671" s="117"/>
      <c r="D671" s="124"/>
      <c r="E671" s="124"/>
      <c r="F671" s="124"/>
      <c r="G671" s="124"/>
      <c r="H671" s="124"/>
      <c r="I671" s="124"/>
    </row>
    <row r="672">
      <c r="A672" s="41"/>
      <c r="B672" s="41"/>
      <c r="C672" s="117"/>
      <c r="D672" s="124"/>
      <c r="E672" s="124"/>
      <c r="F672" s="124"/>
      <c r="G672" s="124"/>
      <c r="H672" s="124"/>
      <c r="I672" s="124"/>
    </row>
    <row r="673">
      <c r="A673" s="41"/>
      <c r="B673" s="41"/>
      <c r="C673" s="117"/>
      <c r="D673" s="124"/>
      <c r="E673" s="124"/>
      <c r="F673" s="124"/>
      <c r="G673" s="124"/>
      <c r="H673" s="124"/>
      <c r="I673" s="124"/>
    </row>
    <row r="674">
      <c r="A674" s="41"/>
      <c r="B674" s="41"/>
      <c r="C674" s="117"/>
      <c r="D674" s="124"/>
      <c r="E674" s="124"/>
      <c r="F674" s="124"/>
      <c r="G674" s="124"/>
      <c r="H674" s="124"/>
      <c r="I674" s="124"/>
    </row>
    <row r="675">
      <c r="A675" s="41"/>
      <c r="B675" s="41"/>
      <c r="C675" s="117"/>
      <c r="D675" s="124"/>
      <c r="E675" s="124"/>
      <c r="F675" s="124"/>
      <c r="G675" s="124"/>
      <c r="H675" s="124"/>
      <c r="I675" s="124"/>
    </row>
    <row r="676">
      <c r="A676" s="41"/>
      <c r="B676" s="41"/>
      <c r="C676" s="117"/>
      <c r="D676" s="124"/>
      <c r="E676" s="124"/>
      <c r="F676" s="124"/>
      <c r="G676" s="124"/>
      <c r="H676" s="124"/>
      <c r="I676" s="124"/>
    </row>
    <row r="677">
      <c r="A677" s="41"/>
      <c r="B677" s="41"/>
      <c r="C677" s="117"/>
      <c r="D677" s="124"/>
      <c r="E677" s="124"/>
      <c r="F677" s="124"/>
      <c r="G677" s="124"/>
      <c r="H677" s="124"/>
      <c r="I677" s="124"/>
    </row>
    <row r="678">
      <c r="A678" s="41"/>
      <c r="B678" s="41"/>
      <c r="C678" s="117"/>
      <c r="D678" s="124"/>
      <c r="E678" s="124"/>
      <c r="F678" s="124"/>
      <c r="G678" s="124"/>
      <c r="H678" s="124"/>
      <c r="I678" s="124"/>
    </row>
    <row r="679">
      <c r="A679" s="41"/>
      <c r="B679" s="41"/>
      <c r="C679" s="117"/>
      <c r="D679" s="124"/>
      <c r="E679" s="124"/>
      <c r="F679" s="124"/>
      <c r="G679" s="124"/>
      <c r="H679" s="124"/>
      <c r="I679" s="124"/>
    </row>
    <row r="680">
      <c r="A680" s="41"/>
      <c r="B680" s="41"/>
      <c r="C680" s="117"/>
      <c r="D680" s="124"/>
      <c r="E680" s="124"/>
      <c r="F680" s="124"/>
      <c r="G680" s="124"/>
      <c r="H680" s="124"/>
      <c r="I680" s="124"/>
    </row>
    <row r="681">
      <c r="A681" s="41"/>
      <c r="B681" s="41"/>
      <c r="C681" s="117"/>
      <c r="D681" s="124"/>
      <c r="E681" s="124"/>
      <c r="F681" s="124"/>
      <c r="G681" s="124"/>
      <c r="H681" s="124"/>
      <c r="I681" s="124"/>
    </row>
    <row r="682">
      <c r="A682" s="41"/>
      <c r="B682" s="41"/>
      <c r="C682" s="117"/>
      <c r="D682" s="124"/>
      <c r="E682" s="124"/>
      <c r="F682" s="124"/>
      <c r="G682" s="124"/>
      <c r="H682" s="124"/>
      <c r="I682" s="124"/>
    </row>
    <row r="683">
      <c r="A683" s="41"/>
      <c r="B683" s="41"/>
      <c r="C683" s="117"/>
      <c r="D683" s="124"/>
      <c r="E683" s="124"/>
      <c r="F683" s="124"/>
      <c r="G683" s="124"/>
      <c r="H683" s="124"/>
      <c r="I683" s="124"/>
    </row>
    <row r="684">
      <c r="A684" s="41"/>
      <c r="B684" s="41"/>
      <c r="C684" s="117"/>
      <c r="D684" s="124"/>
      <c r="E684" s="124"/>
      <c r="F684" s="124"/>
      <c r="G684" s="124"/>
      <c r="H684" s="124"/>
      <c r="I684" s="124"/>
    </row>
    <row r="685">
      <c r="A685" s="41"/>
      <c r="B685" s="41"/>
      <c r="C685" s="117"/>
      <c r="D685" s="124"/>
      <c r="E685" s="124"/>
      <c r="F685" s="124"/>
      <c r="G685" s="124"/>
      <c r="H685" s="124"/>
      <c r="I685" s="124"/>
    </row>
    <row r="686">
      <c r="A686" s="41"/>
      <c r="B686" s="41"/>
      <c r="C686" s="117"/>
      <c r="D686" s="124"/>
      <c r="E686" s="124"/>
      <c r="F686" s="124"/>
      <c r="G686" s="124"/>
      <c r="H686" s="124"/>
      <c r="I686" s="124"/>
    </row>
    <row r="687">
      <c r="A687" s="41"/>
      <c r="B687" s="41"/>
      <c r="C687" s="117"/>
      <c r="D687" s="124"/>
      <c r="E687" s="124"/>
      <c r="F687" s="124"/>
      <c r="G687" s="124"/>
      <c r="H687" s="124"/>
      <c r="I687" s="124"/>
    </row>
    <row r="688">
      <c r="A688" s="41"/>
      <c r="B688" s="41"/>
      <c r="C688" s="117"/>
      <c r="D688" s="124"/>
      <c r="E688" s="124"/>
      <c r="F688" s="124"/>
      <c r="G688" s="124"/>
      <c r="H688" s="124"/>
      <c r="I688" s="124"/>
    </row>
    <row r="689">
      <c r="A689" s="41"/>
      <c r="B689" s="41"/>
      <c r="C689" s="117"/>
      <c r="D689" s="124"/>
      <c r="E689" s="124"/>
      <c r="F689" s="124"/>
      <c r="G689" s="124"/>
      <c r="H689" s="124"/>
      <c r="I689" s="124"/>
    </row>
    <row r="690">
      <c r="A690" s="41"/>
      <c r="B690" s="41"/>
      <c r="C690" s="117"/>
      <c r="D690" s="124"/>
      <c r="E690" s="124"/>
      <c r="F690" s="124"/>
      <c r="G690" s="124"/>
      <c r="H690" s="124"/>
      <c r="I690" s="124"/>
    </row>
    <row r="691">
      <c r="A691" s="41"/>
      <c r="B691" s="41"/>
      <c r="C691" s="117"/>
      <c r="D691" s="124"/>
      <c r="E691" s="124"/>
      <c r="F691" s="124"/>
      <c r="G691" s="124"/>
      <c r="H691" s="124"/>
      <c r="I691" s="124"/>
    </row>
    <row r="692">
      <c r="A692" s="41"/>
      <c r="B692" s="41"/>
      <c r="C692" s="117"/>
      <c r="D692" s="124"/>
      <c r="E692" s="124"/>
      <c r="F692" s="124"/>
      <c r="G692" s="124"/>
      <c r="H692" s="124"/>
      <c r="I692" s="124"/>
    </row>
    <row r="693">
      <c r="A693" s="41"/>
      <c r="B693" s="41"/>
      <c r="C693" s="117"/>
      <c r="D693" s="124"/>
      <c r="E693" s="124"/>
      <c r="F693" s="124"/>
      <c r="G693" s="124"/>
      <c r="H693" s="124"/>
      <c r="I693" s="124"/>
    </row>
    <row r="694">
      <c r="A694" s="41"/>
      <c r="B694" s="41"/>
      <c r="C694" s="117"/>
      <c r="D694" s="124"/>
      <c r="E694" s="124"/>
      <c r="F694" s="124"/>
      <c r="G694" s="124"/>
      <c r="H694" s="124"/>
      <c r="I694" s="124"/>
    </row>
    <row r="695">
      <c r="A695" s="41"/>
      <c r="B695" s="41"/>
      <c r="C695" s="117"/>
      <c r="D695" s="124"/>
      <c r="E695" s="124"/>
      <c r="F695" s="124"/>
      <c r="G695" s="124"/>
      <c r="H695" s="124"/>
      <c r="I695" s="124"/>
    </row>
    <row r="696">
      <c r="A696" s="41"/>
      <c r="B696" s="41"/>
      <c r="C696" s="117"/>
      <c r="D696" s="124"/>
      <c r="E696" s="124"/>
      <c r="F696" s="124"/>
      <c r="G696" s="124"/>
      <c r="H696" s="124"/>
      <c r="I696" s="124"/>
    </row>
    <row r="697">
      <c r="A697" s="41"/>
      <c r="B697" s="41"/>
      <c r="C697" s="117"/>
      <c r="D697" s="124"/>
      <c r="E697" s="124"/>
      <c r="F697" s="124"/>
      <c r="G697" s="124"/>
      <c r="H697" s="124"/>
      <c r="I697" s="124"/>
    </row>
    <row r="698">
      <c r="A698" s="41"/>
      <c r="B698" s="41"/>
      <c r="C698" s="117"/>
      <c r="D698" s="124"/>
      <c r="E698" s="124"/>
      <c r="F698" s="124"/>
      <c r="G698" s="124"/>
      <c r="H698" s="124"/>
      <c r="I698" s="124"/>
    </row>
    <row r="699">
      <c r="A699" s="41"/>
      <c r="B699" s="41"/>
      <c r="C699" s="117"/>
      <c r="D699" s="124"/>
      <c r="E699" s="124"/>
      <c r="F699" s="124"/>
      <c r="G699" s="124"/>
      <c r="H699" s="124"/>
      <c r="I699" s="124"/>
    </row>
    <row r="700">
      <c r="A700" s="41"/>
      <c r="B700" s="41"/>
      <c r="C700" s="117"/>
      <c r="D700" s="124"/>
      <c r="E700" s="124"/>
      <c r="F700" s="124"/>
      <c r="G700" s="124"/>
      <c r="H700" s="124"/>
      <c r="I700" s="124"/>
    </row>
    <row r="701">
      <c r="A701" s="41"/>
      <c r="B701" s="41"/>
      <c r="C701" s="117"/>
      <c r="D701" s="124"/>
      <c r="E701" s="124"/>
      <c r="F701" s="124"/>
      <c r="G701" s="124"/>
      <c r="H701" s="124"/>
      <c r="I701" s="124"/>
    </row>
    <row r="702">
      <c r="A702" s="41"/>
      <c r="B702" s="41"/>
      <c r="C702" s="117"/>
      <c r="D702" s="124"/>
      <c r="E702" s="124"/>
      <c r="F702" s="124"/>
      <c r="G702" s="124"/>
      <c r="H702" s="124"/>
      <c r="I702" s="124"/>
    </row>
    <row r="703">
      <c r="A703" s="41"/>
      <c r="B703" s="41"/>
      <c r="C703" s="117"/>
      <c r="D703" s="124"/>
      <c r="E703" s="124"/>
      <c r="F703" s="124"/>
      <c r="G703" s="124"/>
      <c r="H703" s="124"/>
      <c r="I703" s="124"/>
    </row>
    <row r="704">
      <c r="A704" s="41"/>
      <c r="B704" s="41"/>
      <c r="C704" s="117"/>
      <c r="D704" s="124"/>
      <c r="E704" s="124"/>
      <c r="F704" s="124"/>
      <c r="G704" s="124"/>
      <c r="H704" s="124"/>
      <c r="I704" s="124"/>
    </row>
    <row r="705">
      <c r="A705" s="41"/>
      <c r="B705" s="41"/>
      <c r="C705" s="117"/>
      <c r="D705" s="124"/>
      <c r="E705" s="124"/>
      <c r="F705" s="124"/>
      <c r="G705" s="124"/>
      <c r="H705" s="124"/>
      <c r="I705" s="124"/>
    </row>
    <row r="706">
      <c r="A706" s="41"/>
      <c r="B706" s="41"/>
      <c r="C706" s="117"/>
      <c r="D706" s="124"/>
      <c r="E706" s="124"/>
      <c r="F706" s="124"/>
      <c r="G706" s="124"/>
      <c r="H706" s="124"/>
      <c r="I706" s="124"/>
    </row>
    <row r="707">
      <c r="A707" s="41"/>
      <c r="B707" s="41"/>
      <c r="C707" s="117"/>
      <c r="D707" s="124"/>
      <c r="E707" s="124"/>
      <c r="F707" s="124"/>
      <c r="G707" s="124"/>
      <c r="H707" s="124"/>
      <c r="I707" s="124"/>
    </row>
    <row r="708">
      <c r="A708" s="41"/>
      <c r="B708" s="41"/>
      <c r="C708" s="117"/>
      <c r="D708" s="124"/>
      <c r="E708" s="124"/>
      <c r="F708" s="124"/>
      <c r="G708" s="124"/>
      <c r="H708" s="124"/>
      <c r="I708" s="124"/>
    </row>
    <row r="709">
      <c r="A709" s="41"/>
      <c r="B709" s="41"/>
      <c r="C709" s="117"/>
      <c r="D709" s="124"/>
      <c r="E709" s="124"/>
      <c r="F709" s="124"/>
      <c r="G709" s="124"/>
      <c r="H709" s="124"/>
      <c r="I709" s="124"/>
    </row>
    <row r="710">
      <c r="A710" s="41"/>
      <c r="B710" s="41"/>
      <c r="C710" s="117"/>
      <c r="D710" s="124"/>
      <c r="E710" s="124"/>
      <c r="F710" s="124"/>
      <c r="G710" s="124"/>
      <c r="H710" s="124"/>
      <c r="I710" s="124"/>
    </row>
    <row r="711">
      <c r="A711" s="41"/>
      <c r="B711" s="41"/>
      <c r="C711" s="117"/>
      <c r="D711" s="124"/>
      <c r="E711" s="124"/>
      <c r="F711" s="124"/>
      <c r="G711" s="124"/>
      <c r="H711" s="124"/>
      <c r="I711" s="124"/>
    </row>
    <row r="712">
      <c r="A712" s="41"/>
      <c r="B712" s="41"/>
      <c r="C712" s="117"/>
      <c r="D712" s="124"/>
      <c r="E712" s="124"/>
      <c r="F712" s="124"/>
      <c r="G712" s="124"/>
      <c r="H712" s="124"/>
      <c r="I712" s="124"/>
    </row>
    <row r="713">
      <c r="A713" s="41"/>
      <c r="B713" s="41"/>
      <c r="C713" s="117"/>
      <c r="D713" s="124"/>
      <c r="E713" s="124"/>
      <c r="F713" s="124"/>
      <c r="G713" s="124"/>
      <c r="H713" s="124"/>
      <c r="I713" s="124"/>
    </row>
    <row r="714">
      <c r="A714" s="41"/>
      <c r="B714" s="41"/>
      <c r="C714" s="117"/>
      <c r="D714" s="124"/>
      <c r="E714" s="124"/>
      <c r="F714" s="124"/>
      <c r="G714" s="124"/>
      <c r="H714" s="124"/>
      <c r="I714" s="124"/>
    </row>
    <row r="715">
      <c r="A715" s="41"/>
      <c r="B715" s="41"/>
      <c r="C715" s="117"/>
      <c r="D715" s="124"/>
      <c r="E715" s="124"/>
      <c r="F715" s="124"/>
      <c r="G715" s="124"/>
      <c r="H715" s="124"/>
      <c r="I715" s="124"/>
    </row>
    <row r="716">
      <c r="A716" s="41"/>
      <c r="B716" s="41"/>
      <c r="C716" s="117"/>
      <c r="D716" s="124"/>
      <c r="E716" s="124"/>
      <c r="F716" s="124"/>
      <c r="G716" s="124"/>
      <c r="H716" s="124"/>
      <c r="I716" s="124"/>
    </row>
    <row r="717">
      <c r="A717" s="41"/>
      <c r="B717" s="41"/>
      <c r="C717" s="117"/>
      <c r="D717" s="124"/>
      <c r="E717" s="124"/>
      <c r="F717" s="124"/>
      <c r="G717" s="124"/>
      <c r="H717" s="124"/>
      <c r="I717" s="124"/>
    </row>
    <row r="718">
      <c r="A718" s="41"/>
      <c r="B718" s="41"/>
      <c r="C718" s="117"/>
      <c r="D718" s="124"/>
      <c r="E718" s="124"/>
      <c r="F718" s="124"/>
      <c r="G718" s="124"/>
      <c r="H718" s="124"/>
      <c r="I718" s="124"/>
    </row>
    <row r="719">
      <c r="A719" s="41"/>
      <c r="B719" s="41"/>
      <c r="C719" s="117"/>
      <c r="D719" s="124"/>
      <c r="E719" s="124"/>
      <c r="F719" s="124"/>
      <c r="G719" s="124"/>
      <c r="H719" s="124"/>
      <c r="I719" s="124"/>
    </row>
    <row r="720">
      <c r="A720" s="41"/>
      <c r="B720" s="41"/>
      <c r="C720" s="117"/>
      <c r="D720" s="124"/>
      <c r="E720" s="124"/>
      <c r="F720" s="124"/>
      <c r="G720" s="124"/>
      <c r="H720" s="124"/>
      <c r="I720" s="124"/>
    </row>
    <row r="721">
      <c r="A721" s="41"/>
      <c r="B721" s="41"/>
      <c r="C721" s="117"/>
      <c r="D721" s="124"/>
      <c r="E721" s="124"/>
      <c r="F721" s="124"/>
      <c r="G721" s="124"/>
      <c r="H721" s="124"/>
      <c r="I721" s="124"/>
    </row>
    <row r="722">
      <c r="A722" s="41"/>
      <c r="B722" s="41"/>
      <c r="C722" s="117"/>
      <c r="D722" s="124"/>
      <c r="E722" s="124"/>
      <c r="F722" s="124"/>
      <c r="G722" s="124"/>
      <c r="H722" s="124"/>
      <c r="I722" s="124"/>
    </row>
    <row r="723">
      <c r="A723" s="41"/>
      <c r="B723" s="41"/>
      <c r="C723" s="117"/>
      <c r="D723" s="124"/>
      <c r="E723" s="124"/>
      <c r="F723" s="124"/>
      <c r="G723" s="124"/>
      <c r="H723" s="124"/>
      <c r="I723" s="124"/>
    </row>
    <row r="724">
      <c r="A724" s="41"/>
      <c r="B724" s="41"/>
      <c r="C724" s="117"/>
      <c r="D724" s="124"/>
      <c r="E724" s="124"/>
      <c r="F724" s="124"/>
      <c r="G724" s="124"/>
      <c r="H724" s="124"/>
      <c r="I724" s="124"/>
    </row>
    <row r="725">
      <c r="A725" s="41"/>
      <c r="B725" s="41"/>
      <c r="C725" s="117"/>
      <c r="D725" s="124"/>
      <c r="E725" s="124"/>
      <c r="F725" s="124"/>
      <c r="G725" s="124"/>
      <c r="H725" s="124"/>
      <c r="I725" s="124"/>
    </row>
    <row r="726">
      <c r="A726" s="41"/>
      <c r="B726" s="41"/>
      <c r="C726" s="117"/>
      <c r="D726" s="124"/>
      <c r="E726" s="124"/>
      <c r="F726" s="124"/>
      <c r="G726" s="124"/>
      <c r="H726" s="124"/>
      <c r="I726" s="124"/>
    </row>
    <row r="727">
      <c r="A727" s="41"/>
      <c r="B727" s="41"/>
      <c r="C727" s="117"/>
      <c r="D727" s="124"/>
      <c r="E727" s="124"/>
      <c r="F727" s="124"/>
      <c r="G727" s="124"/>
      <c r="H727" s="124"/>
      <c r="I727" s="124"/>
    </row>
    <row r="728">
      <c r="A728" s="41"/>
      <c r="B728" s="41"/>
      <c r="C728" s="117"/>
      <c r="D728" s="124"/>
      <c r="E728" s="124"/>
      <c r="F728" s="124"/>
      <c r="G728" s="124"/>
      <c r="H728" s="124"/>
      <c r="I728" s="124"/>
    </row>
    <row r="729">
      <c r="A729" s="41"/>
      <c r="B729" s="41"/>
      <c r="C729" s="117"/>
      <c r="D729" s="124"/>
      <c r="E729" s="124"/>
      <c r="F729" s="124"/>
      <c r="G729" s="124"/>
      <c r="H729" s="124"/>
      <c r="I729" s="124"/>
    </row>
    <row r="730">
      <c r="A730" s="41"/>
      <c r="B730" s="41"/>
      <c r="C730" s="117"/>
      <c r="D730" s="124"/>
      <c r="E730" s="124"/>
      <c r="F730" s="124"/>
      <c r="G730" s="124"/>
      <c r="H730" s="124"/>
      <c r="I730" s="124"/>
    </row>
    <row r="731">
      <c r="A731" s="41"/>
      <c r="B731" s="41"/>
      <c r="C731" s="117"/>
      <c r="D731" s="124"/>
      <c r="E731" s="124"/>
      <c r="F731" s="124"/>
      <c r="G731" s="124"/>
      <c r="H731" s="124"/>
      <c r="I731" s="124"/>
    </row>
    <row r="732">
      <c r="A732" s="41"/>
      <c r="B732" s="41"/>
      <c r="C732" s="117"/>
      <c r="D732" s="124"/>
      <c r="E732" s="124"/>
      <c r="F732" s="124"/>
      <c r="G732" s="124"/>
      <c r="H732" s="124"/>
      <c r="I732" s="124"/>
    </row>
    <row r="733">
      <c r="A733" s="41"/>
      <c r="B733" s="41"/>
      <c r="C733" s="117"/>
      <c r="D733" s="124"/>
      <c r="E733" s="124"/>
      <c r="F733" s="124"/>
      <c r="G733" s="124"/>
      <c r="H733" s="124"/>
      <c r="I733" s="124"/>
    </row>
    <row r="734">
      <c r="A734" s="41"/>
      <c r="B734" s="41"/>
      <c r="C734" s="117"/>
      <c r="D734" s="124"/>
      <c r="E734" s="124"/>
      <c r="F734" s="124"/>
      <c r="G734" s="124"/>
      <c r="H734" s="124"/>
      <c r="I734" s="124"/>
    </row>
    <row r="735">
      <c r="A735" s="41"/>
      <c r="B735" s="41"/>
      <c r="C735" s="117"/>
      <c r="D735" s="124"/>
      <c r="E735" s="124"/>
      <c r="F735" s="124"/>
      <c r="G735" s="124"/>
      <c r="H735" s="124"/>
      <c r="I735" s="124"/>
    </row>
    <row r="736">
      <c r="A736" s="41"/>
      <c r="B736" s="41"/>
      <c r="C736" s="117"/>
      <c r="D736" s="124"/>
      <c r="E736" s="124"/>
      <c r="F736" s="124"/>
      <c r="G736" s="124"/>
      <c r="H736" s="124"/>
      <c r="I736" s="124"/>
    </row>
    <row r="737">
      <c r="A737" s="41"/>
      <c r="B737" s="41"/>
      <c r="C737" s="117"/>
      <c r="D737" s="124"/>
      <c r="E737" s="124"/>
      <c r="F737" s="124"/>
      <c r="G737" s="124"/>
      <c r="H737" s="124"/>
      <c r="I737" s="124"/>
    </row>
    <row r="738">
      <c r="A738" s="41"/>
      <c r="B738" s="41"/>
      <c r="C738" s="117"/>
      <c r="D738" s="124"/>
      <c r="E738" s="124"/>
      <c r="F738" s="124"/>
      <c r="G738" s="124"/>
      <c r="H738" s="124"/>
      <c r="I738" s="124"/>
    </row>
    <row r="739">
      <c r="A739" s="41"/>
      <c r="B739" s="41"/>
      <c r="C739" s="117"/>
      <c r="D739" s="124"/>
      <c r="E739" s="124"/>
      <c r="F739" s="124"/>
      <c r="G739" s="124"/>
      <c r="H739" s="124"/>
      <c r="I739" s="124"/>
    </row>
    <row r="740">
      <c r="A740" s="41"/>
      <c r="B740" s="41"/>
      <c r="C740" s="117"/>
      <c r="D740" s="124"/>
      <c r="E740" s="124"/>
      <c r="F740" s="124"/>
      <c r="G740" s="124"/>
      <c r="H740" s="124"/>
      <c r="I740" s="124"/>
    </row>
    <row r="741">
      <c r="A741" s="41"/>
      <c r="B741" s="41"/>
      <c r="C741" s="117"/>
      <c r="D741" s="124"/>
      <c r="E741" s="124"/>
      <c r="F741" s="124"/>
      <c r="G741" s="124"/>
      <c r="H741" s="124"/>
      <c r="I741" s="124"/>
    </row>
    <row r="742">
      <c r="A742" s="41"/>
      <c r="B742" s="41"/>
      <c r="C742" s="117"/>
      <c r="D742" s="124"/>
      <c r="E742" s="124"/>
      <c r="F742" s="124"/>
      <c r="G742" s="124"/>
      <c r="H742" s="124"/>
      <c r="I742" s="124"/>
    </row>
    <row r="743">
      <c r="A743" s="41"/>
      <c r="B743" s="41"/>
      <c r="C743" s="117"/>
      <c r="D743" s="124"/>
      <c r="E743" s="124"/>
      <c r="F743" s="124"/>
      <c r="G743" s="124"/>
      <c r="H743" s="124"/>
      <c r="I743" s="124"/>
    </row>
    <row r="744">
      <c r="A744" s="41"/>
      <c r="B744" s="41"/>
      <c r="C744" s="117"/>
      <c r="D744" s="124"/>
      <c r="E744" s="124"/>
      <c r="F744" s="124"/>
      <c r="G744" s="124"/>
      <c r="H744" s="124"/>
      <c r="I744" s="124"/>
    </row>
    <row r="745">
      <c r="A745" s="41"/>
      <c r="B745" s="41"/>
      <c r="C745" s="117"/>
      <c r="D745" s="124"/>
      <c r="E745" s="124"/>
      <c r="F745" s="124"/>
      <c r="G745" s="124"/>
      <c r="H745" s="124"/>
      <c r="I745" s="124"/>
    </row>
    <row r="746">
      <c r="A746" s="41"/>
      <c r="B746" s="41"/>
      <c r="C746" s="117"/>
      <c r="D746" s="124"/>
      <c r="E746" s="124"/>
      <c r="F746" s="124"/>
      <c r="G746" s="124"/>
      <c r="H746" s="124"/>
      <c r="I746" s="124"/>
    </row>
    <row r="747">
      <c r="A747" s="41"/>
      <c r="B747" s="41"/>
      <c r="C747" s="117"/>
      <c r="D747" s="124"/>
      <c r="E747" s="124"/>
      <c r="F747" s="124"/>
      <c r="G747" s="124"/>
      <c r="H747" s="124"/>
      <c r="I747" s="124"/>
    </row>
    <row r="748">
      <c r="A748" s="41"/>
      <c r="B748" s="41"/>
      <c r="C748" s="117"/>
      <c r="D748" s="124"/>
      <c r="E748" s="124"/>
      <c r="F748" s="124"/>
      <c r="G748" s="124"/>
      <c r="H748" s="124"/>
      <c r="I748" s="124"/>
    </row>
    <row r="749">
      <c r="A749" s="41"/>
      <c r="B749" s="41"/>
      <c r="C749" s="117"/>
      <c r="D749" s="124"/>
      <c r="E749" s="124"/>
      <c r="F749" s="124"/>
      <c r="G749" s="124"/>
      <c r="H749" s="124"/>
      <c r="I749" s="124"/>
    </row>
    <row r="750">
      <c r="A750" s="41"/>
      <c r="B750" s="41"/>
      <c r="C750" s="117"/>
      <c r="D750" s="124"/>
      <c r="E750" s="124"/>
      <c r="F750" s="124"/>
      <c r="G750" s="124"/>
      <c r="H750" s="124"/>
      <c r="I750" s="124"/>
    </row>
    <row r="751">
      <c r="A751" s="41"/>
      <c r="B751" s="41"/>
      <c r="C751" s="117"/>
      <c r="D751" s="124"/>
      <c r="E751" s="124"/>
      <c r="F751" s="124"/>
      <c r="G751" s="124"/>
      <c r="H751" s="124"/>
      <c r="I751" s="124"/>
    </row>
    <row r="752">
      <c r="A752" s="41"/>
      <c r="B752" s="41"/>
      <c r="C752" s="117"/>
      <c r="D752" s="124"/>
      <c r="E752" s="124"/>
      <c r="F752" s="124"/>
      <c r="G752" s="124"/>
      <c r="H752" s="124"/>
      <c r="I752" s="124"/>
    </row>
    <row r="753">
      <c r="A753" s="41"/>
      <c r="B753" s="41"/>
      <c r="C753" s="117"/>
      <c r="D753" s="124"/>
      <c r="E753" s="124"/>
      <c r="F753" s="124"/>
      <c r="G753" s="124"/>
      <c r="H753" s="124"/>
      <c r="I753" s="124"/>
    </row>
    <row r="754">
      <c r="A754" s="41"/>
      <c r="B754" s="41"/>
      <c r="C754" s="117"/>
      <c r="D754" s="124"/>
      <c r="E754" s="124"/>
      <c r="F754" s="124"/>
      <c r="G754" s="124"/>
      <c r="H754" s="124"/>
      <c r="I754" s="124"/>
    </row>
    <row r="755">
      <c r="A755" s="41"/>
      <c r="B755" s="41"/>
      <c r="C755" s="117"/>
      <c r="D755" s="124"/>
      <c r="E755" s="124"/>
      <c r="F755" s="124"/>
      <c r="G755" s="124"/>
      <c r="H755" s="124"/>
      <c r="I755" s="124"/>
    </row>
    <row r="756">
      <c r="A756" s="41"/>
      <c r="B756" s="41"/>
      <c r="C756" s="117"/>
      <c r="D756" s="124"/>
      <c r="E756" s="124"/>
      <c r="F756" s="124"/>
      <c r="G756" s="124"/>
      <c r="H756" s="124"/>
      <c r="I756" s="124"/>
    </row>
    <row r="757">
      <c r="A757" s="41"/>
      <c r="B757" s="41"/>
      <c r="C757" s="117"/>
      <c r="D757" s="124"/>
      <c r="E757" s="124"/>
      <c r="F757" s="124"/>
      <c r="G757" s="124"/>
      <c r="H757" s="124"/>
      <c r="I757" s="124"/>
    </row>
    <row r="758">
      <c r="A758" s="41"/>
      <c r="B758" s="41"/>
      <c r="C758" s="117"/>
      <c r="D758" s="124"/>
      <c r="E758" s="124"/>
      <c r="F758" s="124"/>
      <c r="G758" s="124"/>
      <c r="H758" s="124"/>
      <c r="I758" s="124"/>
    </row>
    <row r="759">
      <c r="A759" s="41"/>
      <c r="B759" s="41"/>
      <c r="C759" s="117"/>
      <c r="D759" s="124"/>
      <c r="E759" s="124"/>
      <c r="F759" s="124"/>
      <c r="G759" s="124"/>
      <c r="H759" s="124"/>
      <c r="I759" s="124"/>
    </row>
    <row r="760">
      <c r="A760" s="41"/>
      <c r="B760" s="41"/>
      <c r="C760" s="117"/>
      <c r="D760" s="124"/>
      <c r="E760" s="124"/>
      <c r="F760" s="124"/>
      <c r="G760" s="124"/>
      <c r="H760" s="124"/>
      <c r="I760" s="124"/>
    </row>
    <row r="761">
      <c r="A761" s="41"/>
      <c r="B761" s="41"/>
      <c r="C761" s="117"/>
      <c r="D761" s="124"/>
      <c r="E761" s="124"/>
      <c r="F761" s="124"/>
      <c r="G761" s="124"/>
      <c r="H761" s="124"/>
      <c r="I761" s="124"/>
    </row>
    <row r="762">
      <c r="A762" s="41"/>
      <c r="B762" s="41"/>
      <c r="C762" s="117"/>
      <c r="D762" s="124"/>
      <c r="E762" s="124"/>
      <c r="F762" s="124"/>
      <c r="G762" s="124"/>
      <c r="H762" s="124"/>
      <c r="I762" s="124"/>
    </row>
    <row r="763">
      <c r="A763" s="41"/>
      <c r="B763" s="41"/>
      <c r="C763" s="117"/>
      <c r="D763" s="124"/>
      <c r="E763" s="124"/>
      <c r="F763" s="124"/>
      <c r="G763" s="124"/>
      <c r="H763" s="124"/>
      <c r="I763" s="124"/>
    </row>
    <row r="764">
      <c r="A764" s="41"/>
      <c r="B764" s="41"/>
      <c r="C764" s="117"/>
      <c r="D764" s="124"/>
      <c r="E764" s="124"/>
      <c r="F764" s="124"/>
      <c r="G764" s="124"/>
      <c r="H764" s="124"/>
      <c r="I764" s="124"/>
    </row>
    <row r="765">
      <c r="A765" s="41"/>
      <c r="B765" s="41"/>
      <c r="C765" s="117"/>
      <c r="D765" s="124"/>
      <c r="E765" s="124"/>
      <c r="F765" s="124"/>
      <c r="G765" s="124"/>
      <c r="H765" s="124"/>
      <c r="I765" s="124"/>
    </row>
    <row r="766">
      <c r="A766" s="41"/>
      <c r="B766" s="41"/>
      <c r="C766" s="117"/>
      <c r="D766" s="124"/>
      <c r="E766" s="124"/>
      <c r="F766" s="124"/>
      <c r="G766" s="124"/>
      <c r="H766" s="124"/>
      <c r="I766" s="124"/>
    </row>
    <row r="767">
      <c r="A767" s="41"/>
      <c r="B767" s="41"/>
      <c r="C767" s="117"/>
      <c r="D767" s="124"/>
      <c r="E767" s="124"/>
      <c r="F767" s="124"/>
      <c r="G767" s="124"/>
      <c r="H767" s="124"/>
      <c r="I767" s="124"/>
    </row>
    <row r="768">
      <c r="A768" s="41"/>
      <c r="B768" s="41"/>
      <c r="C768" s="117"/>
      <c r="D768" s="124"/>
      <c r="E768" s="124"/>
      <c r="F768" s="124"/>
      <c r="G768" s="124"/>
      <c r="H768" s="124"/>
      <c r="I768" s="124"/>
    </row>
    <row r="769">
      <c r="A769" s="41"/>
      <c r="B769" s="41"/>
      <c r="C769" s="117"/>
      <c r="D769" s="124"/>
      <c r="E769" s="124"/>
      <c r="F769" s="124"/>
      <c r="G769" s="124"/>
      <c r="H769" s="124"/>
      <c r="I769" s="124"/>
    </row>
    <row r="770">
      <c r="A770" s="41"/>
      <c r="B770" s="41"/>
      <c r="C770" s="117"/>
      <c r="D770" s="124"/>
      <c r="E770" s="124"/>
      <c r="F770" s="124"/>
      <c r="G770" s="124"/>
      <c r="H770" s="124"/>
      <c r="I770" s="124"/>
    </row>
    <row r="771">
      <c r="A771" s="41"/>
      <c r="B771" s="41"/>
      <c r="C771" s="117"/>
      <c r="D771" s="124"/>
      <c r="E771" s="124"/>
      <c r="F771" s="124"/>
      <c r="G771" s="124"/>
      <c r="H771" s="124"/>
      <c r="I771" s="124"/>
    </row>
    <row r="772">
      <c r="A772" s="41"/>
      <c r="B772" s="41"/>
      <c r="C772" s="117"/>
      <c r="D772" s="124"/>
      <c r="E772" s="124"/>
      <c r="F772" s="124"/>
      <c r="G772" s="124"/>
      <c r="H772" s="124"/>
      <c r="I772" s="124"/>
    </row>
    <row r="773">
      <c r="A773" s="41"/>
      <c r="B773" s="41"/>
      <c r="C773" s="117"/>
      <c r="D773" s="124"/>
      <c r="E773" s="124"/>
      <c r="F773" s="124"/>
      <c r="G773" s="124"/>
      <c r="H773" s="124"/>
      <c r="I773" s="124"/>
    </row>
    <row r="774">
      <c r="A774" s="41"/>
      <c r="B774" s="41"/>
      <c r="C774" s="117"/>
      <c r="D774" s="124"/>
      <c r="E774" s="124"/>
      <c r="F774" s="124"/>
      <c r="G774" s="124"/>
      <c r="H774" s="124"/>
      <c r="I774" s="124"/>
    </row>
    <row r="775">
      <c r="A775" s="41"/>
      <c r="B775" s="41"/>
      <c r="C775" s="117"/>
      <c r="D775" s="124"/>
      <c r="E775" s="124"/>
      <c r="F775" s="124"/>
      <c r="G775" s="124"/>
      <c r="H775" s="124"/>
      <c r="I775" s="124"/>
    </row>
    <row r="776">
      <c r="A776" s="41"/>
      <c r="B776" s="41"/>
      <c r="C776" s="117"/>
      <c r="D776" s="124"/>
      <c r="E776" s="124"/>
      <c r="F776" s="124"/>
      <c r="G776" s="124"/>
      <c r="H776" s="124"/>
      <c r="I776" s="124"/>
    </row>
    <row r="777">
      <c r="A777" s="41"/>
      <c r="B777" s="41"/>
      <c r="C777" s="117"/>
      <c r="D777" s="124"/>
      <c r="E777" s="124"/>
      <c r="F777" s="124"/>
      <c r="G777" s="124"/>
      <c r="H777" s="124"/>
      <c r="I777" s="124"/>
    </row>
    <row r="778">
      <c r="A778" s="41"/>
      <c r="B778" s="41"/>
      <c r="C778" s="117"/>
      <c r="D778" s="124"/>
      <c r="E778" s="124"/>
      <c r="F778" s="124"/>
      <c r="G778" s="124"/>
      <c r="H778" s="124"/>
      <c r="I778" s="124"/>
    </row>
    <row r="779">
      <c r="A779" s="41"/>
      <c r="B779" s="41"/>
      <c r="C779" s="117"/>
      <c r="D779" s="124"/>
      <c r="E779" s="124"/>
      <c r="F779" s="124"/>
      <c r="G779" s="124"/>
      <c r="H779" s="124"/>
      <c r="I779" s="124"/>
    </row>
    <row r="780">
      <c r="A780" s="41"/>
      <c r="B780" s="41"/>
      <c r="C780" s="117"/>
      <c r="D780" s="124"/>
      <c r="E780" s="124"/>
      <c r="F780" s="124"/>
      <c r="G780" s="124"/>
      <c r="H780" s="124"/>
      <c r="I780" s="124"/>
    </row>
    <row r="781">
      <c r="A781" s="41"/>
      <c r="B781" s="41"/>
      <c r="C781" s="117"/>
      <c r="D781" s="124"/>
      <c r="E781" s="124"/>
      <c r="F781" s="124"/>
      <c r="G781" s="124"/>
      <c r="H781" s="124"/>
      <c r="I781" s="124"/>
    </row>
    <row r="782">
      <c r="A782" s="41"/>
      <c r="B782" s="41"/>
      <c r="C782" s="117"/>
      <c r="D782" s="124"/>
      <c r="E782" s="124"/>
      <c r="F782" s="124"/>
      <c r="G782" s="124"/>
      <c r="H782" s="124"/>
      <c r="I782" s="124"/>
    </row>
    <row r="783">
      <c r="A783" s="41"/>
      <c r="B783" s="41"/>
      <c r="C783" s="117"/>
      <c r="D783" s="124"/>
      <c r="E783" s="124"/>
      <c r="F783" s="124"/>
      <c r="G783" s="124"/>
      <c r="H783" s="124"/>
      <c r="I783" s="124"/>
    </row>
    <row r="784">
      <c r="A784" s="41"/>
      <c r="B784" s="41"/>
      <c r="C784" s="117"/>
      <c r="D784" s="124"/>
      <c r="E784" s="124"/>
      <c r="F784" s="124"/>
      <c r="G784" s="124"/>
      <c r="H784" s="124"/>
      <c r="I784" s="124"/>
    </row>
    <row r="785">
      <c r="A785" s="41"/>
      <c r="B785" s="41"/>
      <c r="C785" s="117"/>
      <c r="D785" s="124"/>
      <c r="E785" s="124"/>
      <c r="F785" s="124"/>
      <c r="G785" s="124"/>
      <c r="H785" s="124"/>
      <c r="I785" s="124"/>
    </row>
    <row r="786">
      <c r="A786" s="41"/>
      <c r="B786" s="41"/>
      <c r="C786" s="117"/>
      <c r="D786" s="124"/>
      <c r="E786" s="124"/>
      <c r="F786" s="124"/>
      <c r="G786" s="124"/>
      <c r="H786" s="124"/>
      <c r="I786" s="124"/>
    </row>
    <row r="787">
      <c r="A787" s="41"/>
      <c r="B787" s="41"/>
      <c r="C787" s="117"/>
      <c r="D787" s="124"/>
      <c r="E787" s="124"/>
      <c r="F787" s="124"/>
      <c r="G787" s="124"/>
      <c r="H787" s="124"/>
      <c r="I787" s="124"/>
    </row>
    <row r="788">
      <c r="A788" s="41"/>
      <c r="B788" s="41"/>
      <c r="C788" s="117"/>
      <c r="D788" s="124"/>
      <c r="E788" s="124"/>
      <c r="F788" s="124"/>
      <c r="G788" s="124"/>
      <c r="H788" s="124"/>
      <c r="I788" s="124"/>
    </row>
    <row r="789">
      <c r="A789" s="41"/>
      <c r="B789" s="41"/>
      <c r="C789" s="117"/>
      <c r="D789" s="124"/>
      <c r="E789" s="124"/>
      <c r="F789" s="124"/>
      <c r="G789" s="124"/>
      <c r="H789" s="124"/>
      <c r="I789" s="124"/>
    </row>
    <row r="790">
      <c r="A790" s="41"/>
      <c r="B790" s="41"/>
      <c r="C790" s="117"/>
      <c r="D790" s="124"/>
      <c r="E790" s="124"/>
      <c r="F790" s="124"/>
      <c r="G790" s="124"/>
      <c r="H790" s="124"/>
      <c r="I790" s="124"/>
    </row>
    <row r="791">
      <c r="A791" s="41"/>
      <c r="B791" s="41"/>
      <c r="C791" s="117"/>
      <c r="D791" s="124"/>
      <c r="E791" s="124"/>
      <c r="F791" s="124"/>
      <c r="G791" s="124"/>
      <c r="H791" s="124"/>
      <c r="I791" s="124"/>
    </row>
    <row r="792">
      <c r="A792" s="41"/>
      <c r="B792" s="41"/>
      <c r="C792" s="117"/>
      <c r="D792" s="124"/>
      <c r="E792" s="124"/>
      <c r="F792" s="124"/>
      <c r="G792" s="124"/>
      <c r="H792" s="124"/>
      <c r="I792" s="124"/>
    </row>
    <row r="793">
      <c r="A793" s="41"/>
      <c r="B793" s="41"/>
      <c r="C793" s="117"/>
      <c r="D793" s="124"/>
      <c r="E793" s="124"/>
      <c r="F793" s="124"/>
      <c r="G793" s="124"/>
      <c r="H793" s="124"/>
      <c r="I793" s="124"/>
    </row>
    <row r="794">
      <c r="A794" s="41"/>
      <c r="B794" s="41"/>
      <c r="C794" s="117"/>
      <c r="D794" s="124"/>
      <c r="E794" s="124"/>
      <c r="F794" s="124"/>
      <c r="G794" s="124"/>
      <c r="H794" s="124"/>
      <c r="I794" s="124"/>
    </row>
    <row r="795">
      <c r="A795" s="41"/>
      <c r="B795" s="41"/>
      <c r="C795" s="117"/>
      <c r="D795" s="124"/>
      <c r="E795" s="124"/>
      <c r="F795" s="124"/>
      <c r="G795" s="124"/>
      <c r="H795" s="124"/>
      <c r="I795" s="124"/>
    </row>
    <row r="796">
      <c r="A796" s="41"/>
      <c r="B796" s="41"/>
      <c r="C796" s="117"/>
      <c r="D796" s="124"/>
      <c r="E796" s="124"/>
      <c r="F796" s="124"/>
      <c r="G796" s="124"/>
      <c r="H796" s="124"/>
      <c r="I796" s="124"/>
    </row>
    <row r="797">
      <c r="A797" s="41"/>
      <c r="B797" s="41"/>
      <c r="C797" s="117"/>
      <c r="D797" s="124"/>
      <c r="E797" s="124"/>
      <c r="F797" s="124"/>
      <c r="G797" s="124"/>
      <c r="H797" s="124"/>
      <c r="I797" s="124"/>
    </row>
    <row r="798">
      <c r="A798" s="41"/>
      <c r="B798" s="41"/>
      <c r="C798" s="117"/>
      <c r="D798" s="124"/>
      <c r="E798" s="124"/>
      <c r="F798" s="124"/>
      <c r="G798" s="124"/>
      <c r="H798" s="124"/>
      <c r="I798" s="124"/>
    </row>
    <row r="799">
      <c r="A799" s="41"/>
      <c r="B799" s="41"/>
      <c r="C799" s="117"/>
      <c r="D799" s="124"/>
      <c r="E799" s="124"/>
      <c r="F799" s="124"/>
      <c r="G799" s="124"/>
      <c r="H799" s="124"/>
      <c r="I799" s="124"/>
    </row>
    <row r="800">
      <c r="A800" s="41"/>
      <c r="B800" s="41"/>
      <c r="C800" s="117"/>
      <c r="D800" s="124"/>
      <c r="E800" s="124"/>
      <c r="F800" s="124"/>
      <c r="G800" s="124"/>
      <c r="H800" s="124"/>
      <c r="I800" s="124"/>
    </row>
    <row r="801">
      <c r="A801" s="41"/>
      <c r="B801" s="41"/>
      <c r="C801" s="117"/>
      <c r="D801" s="124"/>
      <c r="E801" s="124"/>
      <c r="F801" s="124"/>
      <c r="G801" s="124"/>
      <c r="H801" s="124"/>
      <c r="I801" s="124"/>
    </row>
    <row r="802">
      <c r="A802" s="41"/>
      <c r="B802" s="41"/>
      <c r="C802" s="117"/>
      <c r="D802" s="124"/>
      <c r="E802" s="124"/>
      <c r="F802" s="124"/>
      <c r="G802" s="124"/>
      <c r="H802" s="124"/>
      <c r="I802" s="124"/>
    </row>
    <row r="803">
      <c r="A803" s="41"/>
      <c r="B803" s="41"/>
      <c r="C803" s="117"/>
      <c r="D803" s="124"/>
      <c r="E803" s="124"/>
      <c r="F803" s="124"/>
      <c r="G803" s="124"/>
      <c r="H803" s="124"/>
      <c r="I803" s="124"/>
    </row>
    <row r="804">
      <c r="A804" s="41"/>
      <c r="B804" s="41"/>
      <c r="C804" s="117"/>
      <c r="D804" s="124"/>
      <c r="E804" s="124"/>
      <c r="F804" s="124"/>
      <c r="G804" s="124"/>
      <c r="H804" s="124"/>
      <c r="I804" s="124"/>
    </row>
    <row r="805">
      <c r="A805" s="41"/>
      <c r="B805" s="41"/>
      <c r="C805" s="117"/>
      <c r="D805" s="124"/>
      <c r="E805" s="124"/>
      <c r="F805" s="124"/>
      <c r="G805" s="124"/>
      <c r="H805" s="124"/>
      <c r="I805" s="124"/>
    </row>
    <row r="806">
      <c r="A806" s="41"/>
      <c r="B806" s="41"/>
      <c r="C806" s="117"/>
      <c r="D806" s="124"/>
      <c r="E806" s="124"/>
      <c r="F806" s="124"/>
      <c r="G806" s="124"/>
      <c r="H806" s="124"/>
      <c r="I806" s="124"/>
    </row>
    <row r="807">
      <c r="A807" s="41"/>
      <c r="B807" s="41"/>
      <c r="C807" s="117"/>
      <c r="D807" s="124"/>
      <c r="E807" s="124"/>
      <c r="F807" s="124"/>
      <c r="G807" s="124"/>
      <c r="H807" s="124"/>
      <c r="I807" s="124"/>
    </row>
    <row r="808">
      <c r="A808" s="41"/>
      <c r="B808" s="41"/>
      <c r="C808" s="117"/>
      <c r="D808" s="124"/>
      <c r="E808" s="124"/>
      <c r="F808" s="124"/>
      <c r="G808" s="124"/>
      <c r="H808" s="124"/>
      <c r="I808" s="124"/>
    </row>
    <row r="809">
      <c r="A809" s="41"/>
      <c r="B809" s="41"/>
      <c r="C809" s="117"/>
      <c r="D809" s="124"/>
      <c r="E809" s="124"/>
      <c r="F809" s="124"/>
      <c r="G809" s="124"/>
      <c r="H809" s="124"/>
      <c r="I809" s="124"/>
    </row>
    <row r="810">
      <c r="A810" s="41"/>
      <c r="B810" s="41"/>
      <c r="C810" s="117"/>
      <c r="D810" s="124"/>
      <c r="E810" s="124"/>
      <c r="F810" s="124"/>
      <c r="G810" s="124"/>
      <c r="H810" s="124"/>
      <c r="I810" s="124"/>
    </row>
    <row r="811">
      <c r="A811" s="41"/>
      <c r="B811" s="41"/>
      <c r="C811" s="117"/>
      <c r="D811" s="124"/>
      <c r="E811" s="124"/>
      <c r="F811" s="124"/>
      <c r="G811" s="124"/>
      <c r="H811" s="124"/>
      <c r="I811" s="124"/>
    </row>
    <row r="812">
      <c r="A812" s="41"/>
      <c r="B812" s="41"/>
      <c r="C812" s="117"/>
      <c r="D812" s="124"/>
      <c r="E812" s="124"/>
      <c r="F812" s="124"/>
      <c r="G812" s="124"/>
      <c r="H812" s="124"/>
      <c r="I812" s="124"/>
    </row>
    <row r="813">
      <c r="A813" s="41"/>
      <c r="B813" s="41"/>
      <c r="C813" s="117"/>
      <c r="D813" s="124"/>
      <c r="E813" s="124"/>
      <c r="F813" s="124"/>
      <c r="G813" s="124"/>
      <c r="H813" s="124"/>
      <c r="I813" s="124"/>
    </row>
    <row r="814">
      <c r="A814" s="41"/>
      <c r="B814" s="41"/>
      <c r="C814" s="117"/>
      <c r="D814" s="124"/>
      <c r="E814" s="124"/>
      <c r="F814" s="124"/>
      <c r="G814" s="124"/>
      <c r="H814" s="124"/>
      <c r="I814" s="124"/>
    </row>
    <row r="815">
      <c r="A815" s="41"/>
      <c r="B815" s="41"/>
      <c r="C815" s="117"/>
      <c r="D815" s="124"/>
      <c r="E815" s="124"/>
      <c r="F815" s="124"/>
      <c r="G815" s="124"/>
      <c r="H815" s="124"/>
      <c r="I815" s="124"/>
    </row>
    <row r="816">
      <c r="A816" s="41"/>
      <c r="B816" s="41"/>
      <c r="C816" s="117"/>
      <c r="D816" s="124"/>
      <c r="E816" s="124"/>
      <c r="F816" s="124"/>
      <c r="G816" s="124"/>
      <c r="H816" s="124"/>
      <c r="I816" s="124"/>
    </row>
    <row r="817">
      <c r="A817" s="41"/>
      <c r="B817" s="41"/>
      <c r="C817" s="117"/>
      <c r="D817" s="124"/>
      <c r="E817" s="124"/>
      <c r="F817" s="124"/>
      <c r="G817" s="124"/>
      <c r="H817" s="124"/>
      <c r="I817" s="124"/>
    </row>
    <row r="818">
      <c r="A818" s="41"/>
      <c r="B818" s="41"/>
      <c r="C818" s="117"/>
      <c r="D818" s="124"/>
      <c r="E818" s="124"/>
      <c r="F818" s="124"/>
      <c r="G818" s="124"/>
      <c r="H818" s="124"/>
      <c r="I818" s="124"/>
    </row>
    <row r="819">
      <c r="A819" s="41"/>
      <c r="B819" s="41"/>
      <c r="C819" s="117"/>
      <c r="D819" s="124"/>
      <c r="E819" s="124"/>
      <c r="F819" s="124"/>
      <c r="G819" s="124"/>
      <c r="H819" s="124"/>
      <c r="I819" s="124"/>
    </row>
    <row r="820">
      <c r="A820" s="41"/>
      <c r="B820" s="41"/>
      <c r="C820" s="117"/>
      <c r="D820" s="124"/>
      <c r="E820" s="124"/>
      <c r="F820" s="124"/>
      <c r="G820" s="124"/>
      <c r="H820" s="124"/>
      <c r="I820" s="124"/>
    </row>
    <row r="821">
      <c r="A821" s="41"/>
      <c r="B821" s="41"/>
      <c r="C821" s="117"/>
      <c r="D821" s="124"/>
      <c r="E821" s="124"/>
      <c r="F821" s="124"/>
      <c r="G821" s="124"/>
      <c r="H821" s="124"/>
      <c r="I821" s="124"/>
    </row>
    <row r="822">
      <c r="A822" s="41"/>
      <c r="B822" s="41"/>
      <c r="C822" s="117"/>
      <c r="D822" s="124"/>
      <c r="E822" s="124"/>
      <c r="F822" s="124"/>
      <c r="G822" s="124"/>
      <c r="H822" s="124"/>
      <c r="I822" s="124"/>
    </row>
    <row r="823">
      <c r="A823" s="41"/>
      <c r="B823" s="41"/>
      <c r="C823" s="117"/>
      <c r="D823" s="124"/>
      <c r="E823" s="124"/>
      <c r="F823" s="124"/>
      <c r="G823" s="124"/>
      <c r="H823" s="124"/>
      <c r="I823" s="124"/>
    </row>
    <row r="824">
      <c r="A824" s="41"/>
      <c r="B824" s="41"/>
      <c r="C824" s="117"/>
      <c r="D824" s="124"/>
      <c r="E824" s="124"/>
      <c r="F824" s="124"/>
      <c r="G824" s="124"/>
      <c r="H824" s="124"/>
      <c r="I824" s="124"/>
    </row>
    <row r="825">
      <c r="A825" s="41"/>
      <c r="B825" s="41"/>
      <c r="C825" s="117"/>
      <c r="D825" s="124"/>
      <c r="E825" s="124"/>
      <c r="F825" s="124"/>
      <c r="G825" s="124"/>
      <c r="H825" s="124"/>
      <c r="I825" s="124"/>
    </row>
    <row r="826">
      <c r="A826" s="41"/>
      <c r="B826" s="41"/>
      <c r="C826" s="117"/>
      <c r="D826" s="124"/>
      <c r="E826" s="124"/>
      <c r="F826" s="124"/>
      <c r="G826" s="124"/>
      <c r="H826" s="124"/>
      <c r="I826" s="124"/>
    </row>
    <row r="827">
      <c r="A827" s="41"/>
      <c r="B827" s="41"/>
      <c r="C827" s="117"/>
      <c r="D827" s="124"/>
      <c r="E827" s="124"/>
      <c r="F827" s="124"/>
      <c r="G827" s="124"/>
      <c r="H827" s="124"/>
      <c r="I827" s="124"/>
    </row>
    <row r="828">
      <c r="A828" s="41"/>
      <c r="B828" s="41"/>
      <c r="C828" s="117"/>
      <c r="D828" s="124"/>
      <c r="E828" s="124"/>
      <c r="F828" s="124"/>
      <c r="G828" s="124"/>
      <c r="H828" s="124"/>
      <c r="I828" s="124"/>
    </row>
    <row r="829">
      <c r="A829" s="41"/>
      <c r="B829" s="41"/>
      <c r="C829" s="117"/>
      <c r="D829" s="124"/>
      <c r="E829" s="124"/>
      <c r="F829" s="124"/>
      <c r="G829" s="124"/>
      <c r="H829" s="124"/>
      <c r="I829" s="124"/>
    </row>
    <row r="830">
      <c r="A830" s="41"/>
      <c r="B830" s="41"/>
      <c r="C830" s="117"/>
      <c r="D830" s="124"/>
      <c r="E830" s="124"/>
      <c r="F830" s="124"/>
      <c r="G830" s="124"/>
      <c r="H830" s="124"/>
      <c r="I830" s="124"/>
    </row>
    <row r="831">
      <c r="A831" s="41"/>
      <c r="B831" s="41"/>
      <c r="C831" s="117"/>
      <c r="D831" s="124"/>
      <c r="E831" s="124"/>
      <c r="F831" s="124"/>
      <c r="G831" s="124"/>
      <c r="H831" s="124"/>
      <c r="I831" s="124"/>
    </row>
    <row r="832">
      <c r="A832" s="41"/>
      <c r="B832" s="41"/>
      <c r="C832" s="117"/>
      <c r="D832" s="124"/>
      <c r="E832" s="124"/>
      <c r="F832" s="124"/>
      <c r="G832" s="124"/>
      <c r="H832" s="124"/>
      <c r="I832" s="124"/>
    </row>
    <row r="833">
      <c r="A833" s="41"/>
      <c r="B833" s="41"/>
      <c r="C833" s="117"/>
      <c r="D833" s="124"/>
      <c r="E833" s="124"/>
      <c r="F833" s="124"/>
      <c r="G833" s="124"/>
      <c r="H833" s="124"/>
      <c r="I833" s="124"/>
    </row>
    <row r="834">
      <c r="A834" s="41"/>
      <c r="B834" s="41"/>
      <c r="C834" s="117"/>
      <c r="D834" s="124"/>
      <c r="E834" s="124"/>
      <c r="F834" s="124"/>
      <c r="G834" s="124"/>
      <c r="H834" s="124"/>
      <c r="I834" s="124"/>
    </row>
    <row r="835">
      <c r="A835" s="41"/>
      <c r="B835" s="41"/>
      <c r="C835" s="117"/>
      <c r="D835" s="124"/>
      <c r="E835" s="124"/>
      <c r="F835" s="124"/>
      <c r="G835" s="124"/>
      <c r="H835" s="124"/>
      <c r="I835" s="124"/>
    </row>
    <row r="836">
      <c r="A836" s="41"/>
      <c r="B836" s="41"/>
      <c r="C836" s="117"/>
      <c r="D836" s="124"/>
      <c r="E836" s="124"/>
      <c r="F836" s="124"/>
      <c r="G836" s="124"/>
      <c r="H836" s="124"/>
      <c r="I836" s="124"/>
    </row>
    <row r="837">
      <c r="A837" s="41"/>
      <c r="B837" s="41"/>
      <c r="C837" s="117"/>
      <c r="D837" s="124"/>
      <c r="E837" s="124"/>
      <c r="F837" s="124"/>
      <c r="G837" s="124"/>
      <c r="H837" s="124"/>
      <c r="I837" s="124"/>
    </row>
    <row r="838">
      <c r="A838" s="41"/>
      <c r="B838" s="41"/>
      <c r="C838" s="117"/>
      <c r="D838" s="124"/>
      <c r="E838" s="124"/>
      <c r="F838" s="124"/>
      <c r="G838" s="124"/>
      <c r="H838" s="124"/>
      <c r="I838" s="124"/>
    </row>
    <row r="839">
      <c r="A839" s="41"/>
      <c r="B839" s="41"/>
      <c r="C839" s="117"/>
      <c r="D839" s="124"/>
      <c r="E839" s="124"/>
      <c r="F839" s="124"/>
      <c r="G839" s="124"/>
      <c r="H839" s="124"/>
      <c r="I839" s="124"/>
    </row>
    <row r="840">
      <c r="A840" s="41"/>
      <c r="B840" s="41"/>
      <c r="C840" s="117"/>
      <c r="D840" s="124"/>
      <c r="E840" s="124"/>
      <c r="F840" s="124"/>
      <c r="G840" s="124"/>
      <c r="H840" s="124"/>
      <c r="I840" s="124"/>
    </row>
    <row r="841">
      <c r="A841" s="41"/>
      <c r="B841" s="41"/>
      <c r="C841" s="117"/>
      <c r="D841" s="124"/>
      <c r="E841" s="124"/>
      <c r="F841" s="124"/>
      <c r="G841" s="124"/>
      <c r="H841" s="124"/>
      <c r="I841" s="124"/>
    </row>
    <row r="842">
      <c r="A842" s="41"/>
      <c r="B842" s="41"/>
      <c r="C842" s="117"/>
      <c r="D842" s="124"/>
      <c r="E842" s="124"/>
      <c r="F842" s="124"/>
      <c r="G842" s="124"/>
      <c r="H842" s="124"/>
      <c r="I842" s="124"/>
    </row>
    <row r="843">
      <c r="A843" s="41"/>
      <c r="B843" s="41"/>
      <c r="C843" s="117"/>
      <c r="D843" s="124"/>
      <c r="E843" s="124"/>
      <c r="F843" s="124"/>
      <c r="G843" s="124"/>
      <c r="H843" s="124"/>
      <c r="I843" s="124"/>
    </row>
    <row r="844">
      <c r="A844" s="41"/>
      <c r="B844" s="41"/>
      <c r="C844" s="117"/>
      <c r="D844" s="124"/>
      <c r="E844" s="124"/>
      <c r="F844" s="124"/>
      <c r="G844" s="124"/>
      <c r="H844" s="124"/>
      <c r="I844" s="124"/>
    </row>
    <row r="845">
      <c r="A845" s="41"/>
      <c r="B845" s="41"/>
      <c r="C845" s="117"/>
      <c r="D845" s="124"/>
      <c r="E845" s="124"/>
      <c r="F845" s="124"/>
      <c r="G845" s="124"/>
      <c r="H845" s="124"/>
      <c r="I845" s="124"/>
    </row>
    <row r="846">
      <c r="A846" s="41"/>
      <c r="B846" s="41"/>
      <c r="C846" s="117"/>
      <c r="D846" s="124"/>
      <c r="E846" s="124"/>
      <c r="F846" s="124"/>
      <c r="G846" s="124"/>
      <c r="H846" s="124"/>
      <c r="I846" s="124"/>
    </row>
    <row r="847">
      <c r="A847" s="41"/>
      <c r="B847" s="41"/>
      <c r="C847" s="117"/>
      <c r="D847" s="124"/>
      <c r="E847" s="124"/>
      <c r="F847" s="124"/>
      <c r="G847" s="124"/>
      <c r="H847" s="124"/>
      <c r="I847" s="124"/>
    </row>
    <row r="848">
      <c r="A848" s="41"/>
      <c r="B848" s="41"/>
      <c r="C848" s="117"/>
      <c r="D848" s="124"/>
      <c r="E848" s="124"/>
      <c r="F848" s="124"/>
      <c r="G848" s="124"/>
      <c r="H848" s="124"/>
      <c r="I848" s="124"/>
    </row>
    <row r="849">
      <c r="A849" s="41"/>
      <c r="B849" s="41"/>
      <c r="C849" s="117"/>
      <c r="D849" s="124"/>
      <c r="E849" s="124"/>
      <c r="F849" s="124"/>
      <c r="G849" s="124"/>
      <c r="H849" s="124"/>
      <c r="I849" s="124"/>
    </row>
    <row r="850">
      <c r="A850" s="41"/>
      <c r="B850" s="41"/>
      <c r="C850" s="117"/>
      <c r="D850" s="124"/>
      <c r="E850" s="124"/>
      <c r="F850" s="124"/>
      <c r="G850" s="124"/>
      <c r="H850" s="124"/>
      <c r="I850" s="124"/>
    </row>
    <row r="851">
      <c r="A851" s="41"/>
      <c r="B851" s="41"/>
      <c r="C851" s="117"/>
      <c r="D851" s="124"/>
      <c r="E851" s="124"/>
      <c r="F851" s="124"/>
      <c r="G851" s="124"/>
      <c r="H851" s="124"/>
      <c r="I851" s="124"/>
    </row>
    <row r="852">
      <c r="A852" s="41"/>
      <c r="B852" s="41"/>
      <c r="C852" s="117"/>
      <c r="D852" s="124"/>
      <c r="E852" s="124"/>
      <c r="F852" s="124"/>
      <c r="G852" s="124"/>
      <c r="H852" s="124"/>
      <c r="I852" s="124"/>
    </row>
    <row r="853">
      <c r="A853" s="41"/>
      <c r="B853" s="41"/>
      <c r="C853" s="117"/>
      <c r="D853" s="124"/>
      <c r="E853" s="124"/>
      <c r="F853" s="124"/>
      <c r="G853" s="124"/>
      <c r="H853" s="124"/>
      <c r="I853" s="124"/>
    </row>
    <row r="854">
      <c r="A854" s="41"/>
      <c r="B854" s="41"/>
      <c r="C854" s="117"/>
      <c r="D854" s="124"/>
      <c r="E854" s="124"/>
      <c r="F854" s="124"/>
      <c r="G854" s="124"/>
      <c r="H854" s="124"/>
      <c r="I854" s="124"/>
    </row>
    <row r="855">
      <c r="A855" s="41"/>
      <c r="B855" s="41"/>
      <c r="C855" s="117"/>
      <c r="D855" s="124"/>
      <c r="E855" s="124"/>
      <c r="F855" s="124"/>
      <c r="G855" s="124"/>
      <c r="H855" s="124"/>
      <c r="I855" s="124"/>
    </row>
    <row r="856">
      <c r="A856" s="41"/>
      <c r="B856" s="41"/>
      <c r="C856" s="117"/>
      <c r="D856" s="124"/>
      <c r="E856" s="124"/>
      <c r="F856" s="124"/>
      <c r="G856" s="124"/>
      <c r="H856" s="124"/>
      <c r="I856" s="124"/>
    </row>
    <row r="857">
      <c r="A857" s="41"/>
      <c r="B857" s="41"/>
      <c r="C857" s="117"/>
      <c r="D857" s="124"/>
      <c r="E857" s="124"/>
      <c r="F857" s="124"/>
      <c r="G857" s="124"/>
      <c r="H857" s="124"/>
      <c r="I857" s="124"/>
    </row>
    <row r="858">
      <c r="A858" s="41"/>
      <c r="B858" s="41"/>
      <c r="C858" s="117"/>
      <c r="D858" s="124"/>
      <c r="E858" s="124"/>
      <c r="F858" s="124"/>
      <c r="G858" s="124"/>
      <c r="H858" s="124"/>
      <c r="I858" s="124"/>
    </row>
    <row r="859">
      <c r="A859" s="41"/>
      <c r="B859" s="41"/>
      <c r="C859" s="117"/>
      <c r="D859" s="124"/>
      <c r="E859" s="124"/>
      <c r="F859" s="124"/>
      <c r="G859" s="124"/>
      <c r="H859" s="124"/>
      <c r="I859" s="124"/>
    </row>
    <row r="860">
      <c r="A860" s="41"/>
      <c r="B860" s="41"/>
      <c r="C860" s="117"/>
      <c r="D860" s="124"/>
      <c r="E860" s="124"/>
      <c r="F860" s="124"/>
      <c r="G860" s="124"/>
      <c r="H860" s="124"/>
      <c r="I860" s="124"/>
    </row>
    <row r="861">
      <c r="A861" s="41"/>
      <c r="B861" s="41"/>
      <c r="C861" s="117"/>
      <c r="D861" s="124"/>
      <c r="E861" s="124"/>
      <c r="F861" s="124"/>
      <c r="G861" s="124"/>
      <c r="H861" s="124"/>
      <c r="I861" s="124"/>
    </row>
    <row r="862">
      <c r="A862" s="41"/>
      <c r="B862" s="41"/>
      <c r="C862" s="117"/>
      <c r="D862" s="124"/>
      <c r="E862" s="124"/>
      <c r="F862" s="124"/>
      <c r="G862" s="124"/>
      <c r="H862" s="124"/>
      <c r="I862" s="124"/>
    </row>
    <row r="863">
      <c r="A863" s="41"/>
      <c r="B863" s="41"/>
      <c r="C863" s="117"/>
      <c r="D863" s="124"/>
      <c r="E863" s="124"/>
      <c r="F863" s="124"/>
      <c r="G863" s="124"/>
      <c r="H863" s="124"/>
      <c r="I863" s="124"/>
    </row>
    <row r="864">
      <c r="A864" s="41"/>
      <c r="B864" s="41"/>
      <c r="C864" s="117"/>
      <c r="D864" s="124"/>
      <c r="E864" s="124"/>
      <c r="F864" s="124"/>
      <c r="G864" s="124"/>
      <c r="H864" s="124"/>
      <c r="I864" s="124"/>
    </row>
    <row r="865">
      <c r="A865" s="41"/>
      <c r="B865" s="41"/>
      <c r="C865" s="117"/>
      <c r="D865" s="124"/>
      <c r="E865" s="124"/>
      <c r="F865" s="124"/>
      <c r="G865" s="124"/>
      <c r="H865" s="124"/>
      <c r="I865" s="124"/>
    </row>
    <row r="866">
      <c r="A866" s="41"/>
      <c r="B866" s="41"/>
      <c r="C866" s="117"/>
      <c r="D866" s="124"/>
      <c r="E866" s="124"/>
      <c r="F866" s="124"/>
      <c r="G866" s="124"/>
      <c r="H866" s="124"/>
      <c r="I866" s="124"/>
    </row>
    <row r="867">
      <c r="A867" s="41"/>
      <c r="B867" s="41"/>
      <c r="C867" s="117"/>
      <c r="D867" s="124"/>
      <c r="E867" s="124"/>
      <c r="F867" s="124"/>
      <c r="G867" s="124"/>
      <c r="H867" s="124"/>
      <c r="I867" s="124"/>
    </row>
    <row r="868">
      <c r="A868" s="41"/>
      <c r="B868" s="41"/>
      <c r="C868" s="117"/>
      <c r="D868" s="124"/>
      <c r="E868" s="124"/>
      <c r="F868" s="124"/>
      <c r="G868" s="124"/>
      <c r="H868" s="124"/>
      <c r="I868" s="124"/>
    </row>
    <row r="869">
      <c r="A869" s="41"/>
      <c r="B869" s="41"/>
      <c r="C869" s="117"/>
      <c r="D869" s="124"/>
      <c r="E869" s="124"/>
      <c r="F869" s="124"/>
      <c r="G869" s="124"/>
      <c r="H869" s="124"/>
      <c r="I869" s="124"/>
    </row>
    <row r="870">
      <c r="A870" s="41"/>
      <c r="B870" s="41"/>
      <c r="C870" s="117"/>
      <c r="D870" s="124"/>
      <c r="E870" s="124"/>
      <c r="F870" s="124"/>
      <c r="G870" s="124"/>
      <c r="H870" s="124"/>
      <c r="I870" s="124"/>
    </row>
    <row r="871">
      <c r="A871" s="41"/>
      <c r="B871" s="41"/>
      <c r="C871" s="117"/>
      <c r="D871" s="124"/>
      <c r="E871" s="124"/>
      <c r="F871" s="124"/>
      <c r="G871" s="124"/>
      <c r="H871" s="124"/>
      <c r="I871" s="124"/>
    </row>
    <row r="872">
      <c r="A872" s="41"/>
      <c r="B872" s="41"/>
      <c r="C872" s="117"/>
      <c r="D872" s="124"/>
      <c r="E872" s="124"/>
      <c r="F872" s="124"/>
      <c r="G872" s="124"/>
      <c r="H872" s="124"/>
      <c r="I872" s="124"/>
    </row>
    <row r="873">
      <c r="A873" s="41"/>
      <c r="B873" s="41"/>
      <c r="C873" s="117"/>
      <c r="D873" s="124"/>
      <c r="E873" s="124"/>
      <c r="F873" s="124"/>
      <c r="G873" s="124"/>
      <c r="H873" s="124"/>
      <c r="I873" s="124"/>
    </row>
    <row r="874">
      <c r="A874" s="41"/>
      <c r="B874" s="41"/>
      <c r="C874" s="117"/>
      <c r="D874" s="124"/>
      <c r="E874" s="124"/>
      <c r="F874" s="124"/>
      <c r="G874" s="124"/>
      <c r="H874" s="124"/>
      <c r="I874" s="124"/>
    </row>
    <row r="875">
      <c r="A875" s="41"/>
      <c r="B875" s="41"/>
      <c r="C875" s="117"/>
      <c r="D875" s="124"/>
      <c r="E875" s="124"/>
      <c r="F875" s="124"/>
      <c r="G875" s="124"/>
      <c r="H875" s="124"/>
      <c r="I875" s="124"/>
    </row>
    <row r="876">
      <c r="A876" s="41"/>
      <c r="B876" s="41"/>
      <c r="C876" s="117"/>
      <c r="D876" s="124"/>
      <c r="E876" s="124"/>
      <c r="F876" s="124"/>
      <c r="G876" s="124"/>
      <c r="H876" s="124"/>
      <c r="I876" s="124"/>
    </row>
    <row r="877">
      <c r="A877" s="41"/>
      <c r="B877" s="41"/>
      <c r="C877" s="117"/>
      <c r="D877" s="124"/>
      <c r="E877" s="124"/>
      <c r="F877" s="124"/>
      <c r="G877" s="124"/>
      <c r="H877" s="124"/>
      <c r="I877" s="124"/>
    </row>
    <row r="878">
      <c r="A878" s="41"/>
      <c r="B878" s="41"/>
      <c r="C878" s="117"/>
      <c r="D878" s="124"/>
      <c r="E878" s="124"/>
      <c r="F878" s="124"/>
      <c r="G878" s="124"/>
      <c r="H878" s="124"/>
      <c r="I878" s="124"/>
    </row>
    <row r="879">
      <c r="A879" s="41"/>
      <c r="B879" s="41"/>
      <c r="C879" s="117"/>
      <c r="D879" s="124"/>
      <c r="E879" s="124"/>
      <c r="F879" s="124"/>
      <c r="G879" s="124"/>
      <c r="H879" s="124"/>
      <c r="I879" s="124"/>
    </row>
    <row r="880">
      <c r="A880" s="41"/>
      <c r="B880" s="41"/>
      <c r="C880" s="117"/>
      <c r="D880" s="124"/>
      <c r="E880" s="124"/>
      <c r="F880" s="124"/>
      <c r="G880" s="124"/>
      <c r="H880" s="124"/>
      <c r="I880" s="124"/>
    </row>
    <row r="881">
      <c r="A881" s="41"/>
      <c r="B881" s="41"/>
      <c r="C881" s="117"/>
      <c r="D881" s="124"/>
      <c r="E881" s="124"/>
      <c r="F881" s="124"/>
      <c r="G881" s="124"/>
      <c r="H881" s="124"/>
      <c r="I881" s="124"/>
    </row>
    <row r="882">
      <c r="A882" s="41"/>
      <c r="B882" s="41"/>
      <c r="C882" s="117"/>
      <c r="D882" s="124"/>
      <c r="E882" s="124"/>
      <c r="F882" s="124"/>
      <c r="G882" s="124"/>
      <c r="H882" s="124"/>
      <c r="I882" s="124"/>
    </row>
    <row r="883">
      <c r="A883" s="41"/>
      <c r="B883" s="41"/>
      <c r="C883" s="117"/>
      <c r="D883" s="124"/>
      <c r="E883" s="124"/>
      <c r="F883" s="124"/>
      <c r="G883" s="124"/>
      <c r="H883" s="124"/>
      <c r="I883" s="124"/>
    </row>
    <row r="884">
      <c r="A884" s="41"/>
      <c r="B884" s="41"/>
      <c r="C884" s="117"/>
      <c r="D884" s="124"/>
      <c r="E884" s="124"/>
      <c r="F884" s="124"/>
      <c r="G884" s="124"/>
      <c r="H884" s="124"/>
      <c r="I884" s="124"/>
    </row>
    <row r="885">
      <c r="A885" s="41"/>
      <c r="B885" s="41"/>
      <c r="C885" s="117"/>
      <c r="D885" s="124"/>
      <c r="E885" s="124"/>
      <c r="F885" s="124"/>
      <c r="G885" s="124"/>
      <c r="H885" s="124"/>
      <c r="I885" s="124"/>
    </row>
    <row r="886">
      <c r="A886" s="41"/>
      <c r="B886" s="41"/>
      <c r="C886" s="117"/>
      <c r="D886" s="124"/>
      <c r="E886" s="124"/>
      <c r="F886" s="124"/>
      <c r="G886" s="124"/>
      <c r="H886" s="124"/>
      <c r="I886" s="124"/>
    </row>
    <row r="887">
      <c r="A887" s="41"/>
      <c r="B887" s="41"/>
      <c r="C887" s="117"/>
      <c r="D887" s="124"/>
      <c r="E887" s="124"/>
      <c r="F887" s="124"/>
      <c r="G887" s="124"/>
      <c r="H887" s="124"/>
      <c r="I887" s="124"/>
    </row>
    <row r="888">
      <c r="A888" s="41"/>
      <c r="B888" s="41"/>
      <c r="C888" s="117"/>
      <c r="D888" s="124"/>
      <c r="E888" s="124"/>
      <c r="F888" s="124"/>
      <c r="G888" s="124"/>
      <c r="H888" s="124"/>
      <c r="I888" s="124"/>
    </row>
    <row r="889">
      <c r="A889" s="41"/>
      <c r="B889" s="41"/>
      <c r="C889" s="117"/>
      <c r="D889" s="124"/>
      <c r="E889" s="124"/>
      <c r="F889" s="124"/>
      <c r="G889" s="124"/>
      <c r="H889" s="124"/>
      <c r="I889" s="124"/>
    </row>
    <row r="890">
      <c r="A890" s="41"/>
      <c r="B890" s="41"/>
      <c r="C890" s="117"/>
      <c r="D890" s="124"/>
      <c r="E890" s="124"/>
      <c r="F890" s="124"/>
      <c r="G890" s="124"/>
      <c r="H890" s="124"/>
      <c r="I890" s="124"/>
    </row>
    <row r="891">
      <c r="A891" s="41"/>
      <c r="B891" s="41"/>
      <c r="C891" s="117"/>
      <c r="D891" s="124"/>
      <c r="E891" s="124"/>
      <c r="F891" s="124"/>
      <c r="G891" s="124"/>
      <c r="H891" s="124"/>
      <c r="I891" s="124"/>
    </row>
    <row r="892">
      <c r="A892" s="41"/>
      <c r="B892" s="41"/>
      <c r="C892" s="117"/>
      <c r="D892" s="124"/>
      <c r="E892" s="124"/>
      <c r="F892" s="124"/>
      <c r="G892" s="124"/>
      <c r="H892" s="124"/>
      <c r="I892" s="124"/>
    </row>
    <row r="893">
      <c r="A893" s="41"/>
      <c r="B893" s="41"/>
      <c r="C893" s="117"/>
      <c r="D893" s="124"/>
      <c r="E893" s="124"/>
      <c r="F893" s="124"/>
      <c r="G893" s="124"/>
      <c r="H893" s="124"/>
      <c r="I893" s="124"/>
    </row>
    <row r="894">
      <c r="A894" s="41"/>
      <c r="B894" s="41"/>
      <c r="C894" s="117"/>
      <c r="D894" s="124"/>
      <c r="E894" s="124"/>
      <c r="F894" s="124"/>
      <c r="G894" s="124"/>
      <c r="H894" s="124"/>
      <c r="I894" s="124"/>
    </row>
    <row r="895">
      <c r="A895" s="41"/>
      <c r="B895" s="41"/>
      <c r="C895" s="117"/>
      <c r="D895" s="124"/>
      <c r="E895" s="124"/>
      <c r="F895" s="124"/>
      <c r="G895" s="124"/>
      <c r="H895" s="124"/>
      <c r="I895" s="124"/>
    </row>
    <row r="896">
      <c r="A896" s="41"/>
      <c r="B896" s="41"/>
      <c r="C896" s="117"/>
      <c r="D896" s="124"/>
      <c r="E896" s="124"/>
      <c r="F896" s="124"/>
      <c r="G896" s="124"/>
      <c r="H896" s="124"/>
      <c r="I896" s="124"/>
    </row>
    <row r="897">
      <c r="A897" s="41"/>
      <c r="B897" s="41"/>
      <c r="C897" s="117"/>
      <c r="D897" s="124"/>
      <c r="E897" s="124"/>
      <c r="F897" s="124"/>
      <c r="G897" s="124"/>
      <c r="H897" s="124"/>
      <c r="I897" s="124"/>
    </row>
    <row r="898">
      <c r="A898" s="41"/>
      <c r="B898" s="41"/>
      <c r="C898" s="117"/>
      <c r="D898" s="124"/>
      <c r="E898" s="124"/>
      <c r="F898" s="124"/>
      <c r="G898" s="124"/>
      <c r="H898" s="124"/>
      <c r="I898" s="124"/>
    </row>
    <row r="899">
      <c r="A899" s="41"/>
      <c r="B899" s="41"/>
      <c r="C899" s="117"/>
      <c r="D899" s="124"/>
      <c r="E899" s="124"/>
      <c r="F899" s="124"/>
      <c r="G899" s="124"/>
      <c r="H899" s="124"/>
      <c r="I899" s="124"/>
    </row>
    <row r="900">
      <c r="A900" s="41"/>
      <c r="B900" s="41"/>
      <c r="C900" s="117"/>
      <c r="D900" s="124"/>
      <c r="E900" s="124"/>
      <c r="F900" s="124"/>
      <c r="G900" s="124"/>
      <c r="H900" s="124"/>
      <c r="I900" s="124"/>
    </row>
    <row r="901">
      <c r="A901" s="41"/>
      <c r="B901" s="41"/>
      <c r="C901" s="117"/>
      <c r="D901" s="124"/>
      <c r="E901" s="124"/>
      <c r="F901" s="124"/>
      <c r="G901" s="124"/>
      <c r="H901" s="124"/>
      <c r="I901" s="124"/>
    </row>
    <row r="902">
      <c r="A902" s="41"/>
      <c r="B902" s="41"/>
      <c r="C902" s="117"/>
      <c r="D902" s="124"/>
      <c r="E902" s="124"/>
      <c r="F902" s="124"/>
      <c r="G902" s="124"/>
      <c r="H902" s="124"/>
      <c r="I902" s="124"/>
    </row>
    <row r="903">
      <c r="A903" s="41"/>
      <c r="B903" s="41"/>
      <c r="C903" s="117"/>
      <c r="D903" s="124"/>
      <c r="E903" s="124"/>
      <c r="F903" s="124"/>
      <c r="G903" s="124"/>
      <c r="H903" s="124"/>
      <c r="I903" s="124"/>
    </row>
    <row r="904">
      <c r="A904" s="41"/>
      <c r="B904" s="41"/>
      <c r="C904" s="117"/>
      <c r="D904" s="124"/>
      <c r="E904" s="124"/>
      <c r="F904" s="124"/>
      <c r="G904" s="124"/>
      <c r="H904" s="124"/>
      <c r="I904" s="124"/>
    </row>
    <row r="905">
      <c r="A905" s="41"/>
      <c r="B905" s="41"/>
      <c r="C905" s="117"/>
      <c r="D905" s="124"/>
      <c r="E905" s="124"/>
      <c r="F905" s="124"/>
      <c r="G905" s="124"/>
      <c r="H905" s="124"/>
      <c r="I905" s="124"/>
    </row>
    <row r="906">
      <c r="A906" s="41"/>
      <c r="B906" s="41"/>
      <c r="C906" s="117"/>
      <c r="D906" s="124"/>
      <c r="E906" s="124"/>
      <c r="F906" s="124"/>
      <c r="G906" s="124"/>
      <c r="H906" s="124"/>
      <c r="I906" s="124"/>
    </row>
    <row r="907">
      <c r="A907" s="41"/>
      <c r="B907" s="41"/>
      <c r="C907" s="117"/>
      <c r="D907" s="124"/>
      <c r="E907" s="124"/>
      <c r="F907" s="124"/>
      <c r="G907" s="124"/>
      <c r="H907" s="124"/>
      <c r="I907" s="124"/>
    </row>
    <row r="908">
      <c r="A908" s="41"/>
      <c r="B908" s="41"/>
      <c r="C908" s="117"/>
      <c r="D908" s="124"/>
      <c r="E908" s="124"/>
      <c r="F908" s="124"/>
      <c r="G908" s="124"/>
      <c r="H908" s="124"/>
      <c r="I908" s="124"/>
    </row>
    <row r="909">
      <c r="A909" s="41"/>
      <c r="B909" s="41"/>
      <c r="C909" s="117"/>
      <c r="D909" s="124"/>
      <c r="E909" s="124"/>
      <c r="F909" s="124"/>
      <c r="G909" s="124"/>
      <c r="H909" s="124"/>
      <c r="I909" s="124"/>
    </row>
    <row r="910">
      <c r="A910" s="41"/>
      <c r="B910" s="41"/>
      <c r="C910" s="117"/>
      <c r="D910" s="124"/>
      <c r="E910" s="124"/>
      <c r="F910" s="124"/>
      <c r="G910" s="124"/>
      <c r="H910" s="124"/>
      <c r="I910" s="124"/>
    </row>
    <row r="911">
      <c r="A911" s="41"/>
      <c r="B911" s="41"/>
      <c r="C911" s="117"/>
      <c r="D911" s="124"/>
      <c r="E911" s="124"/>
      <c r="F911" s="124"/>
      <c r="G911" s="124"/>
      <c r="H911" s="124"/>
      <c r="I911" s="124"/>
    </row>
    <row r="912">
      <c r="A912" s="41"/>
      <c r="B912" s="41"/>
      <c r="C912" s="117"/>
      <c r="D912" s="124"/>
      <c r="E912" s="124"/>
      <c r="F912" s="124"/>
      <c r="G912" s="124"/>
      <c r="H912" s="124"/>
      <c r="I912" s="124"/>
    </row>
    <row r="913">
      <c r="A913" s="41"/>
      <c r="B913" s="41"/>
      <c r="C913" s="117"/>
      <c r="D913" s="124"/>
      <c r="E913" s="124"/>
      <c r="F913" s="124"/>
      <c r="G913" s="124"/>
      <c r="H913" s="124"/>
      <c r="I913" s="124"/>
    </row>
    <row r="914">
      <c r="A914" s="41"/>
      <c r="B914" s="41"/>
      <c r="C914" s="117"/>
      <c r="D914" s="124"/>
      <c r="E914" s="124"/>
      <c r="F914" s="124"/>
      <c r="G914" s="124"/>
      <c r="H914" s="124"/>
      <c r="I914" s="124"/>
    </row>
    <row r="915">
      <c r="A915" s="41"/>
      <c r="B915" s="41"/>
      <c r="C915" s="117"/>
      <c r="D915" s="124"/>
      <c r="E915" s="124"/>
      <c r="F915" s="124"/>
      <c r="G915" s="124"/>
      <c r="H915" s="124"/>
      <c r="I915" s="124"/>
    </row>
    <row r="916">
      <c r="A916" s="41"/>
      <c r="B916" s="41"/>
      <c r="C916" s="117"/>
      <c r="D916" s="124"/>
      <c r="E916" s="124"/>
      <c r="F916" s="124"/>
      <c r="G916" s="124"/>
      <c r="H916" s="124"/>
      <c r="I916" s="124"/>
    </row>
    <row r="917">
      <c r="A917" s="41"/>
      <c r="B917" s="41"/>
      <c r="C917" s="117"/>
      <c r="D917" s="124"/>
      <c r="E917" s="124"/>
      <c r="F917" s="124"/>
      <c r="G917" s="124"/>
      <c r="H917" s="124"/>
      <c r="I917" s="124"/>
    </row>
    <row r="918">
      <c r="A918" s="41"/>
      <c r="B918" s="41"/>
      <c r="C918" s="117"/>
      <c r="D918" s="124"/>
      <c r="E918" s="124"/>
      <c r="F918" s="124"/>
      <c r="G918" s="124"/>
      <c r="H918" s="124"/>
      <c r="I918" s="124"/>
    </row>
    <row r="919">
      <c r="A919" s="41"/>
      <c r="B919" s="41"/>
      <c r="C919" s="117"/>
      <c r="D919" s="124"/>
      <c r="E919" s="124"/>
      <c r="F919" s="124"/>
      <c r="G919" s="124"/>
      <c r="H919" s="124"/>
      <c r="I919" s="124"/>
    </row>
    <row r="920">
      <c r="A920" s="41"/>
      <c r="B920" s="41"/>
      <c r="C920" s="117"/>
      <c r="D920" s="124"/>
      <c r="E920" s="124"/>
      <c r="F920" s="124"/>
      <c r="G920" s="124"/>
      <c r="H920" s="124"/>
      <c r="I920" s="124"/>
    </row>
    <row r="921">
      <c r="A921" s="41"/>
      <c r="B921" s="41"/>
      <c r="C921" s="117"/>
      <c r="D921" s="124"/>
      <c r="E921" s="124"/>
      <c r="F921" s="124"/>
      <c r="G921" s="124"/>
      <c r="H921" s="124"/>
      <c r="I921" s="124"/>
    </row>
    <row r="922">
      <c r="A922" s="41"/>
      <c r="B922" s="41"/>
      <c r="C922" s="117"/>
      <c r="D922" s="124"/>
      <c r="E922" s="124"/>
      <c r="F922" s="124"/>
      <c r="G922" s="124"/>
      <c r="H922" s="124"/>
      <c r="I922" s="124"/>
    </row>
    <row r="923">
      <c r="A923" s="41"/>
      <c r="B923" s="41"/>
      <c r="C923" s="117"/>
      <c r="D923" s="124"/>
      <c r="E923" s="124"/>
      <c r="F923" s="124"/>
      <c r="G923" s="124"/>
      <c r="H923" s="124"/>
      <c r="I923" s="124"/>
    </row>
    <row r="924">
      <c r="A924" s="41"/>
      <c r="B924" s="41"/>
      <c r="C924" s="117"/>
      <c r="D924" s="124"/>
      <c r="E924" s="124"/>
      <c r="F924" s="124"/>
      <c r="G924" s="124"/>
      <c r="H924" s="124"/>
      <c r="I924" s="124"/>
    </row>
    <row r="925">
      <c r="A925" s="41"/>
      <c r="B925" s="41"/>
      <c r="C925" s="117"/>
      <c r="D925" s="124"/>
      <c r="E925" s="124"/>
      <c r="F925" s="124"/>
      <c r="G925" s="124"/>
      <c r="H925" s="124"/>
      <c r="I925" s="124"/>
    </row>
    <row r="926">
      <c r="A926" s="41"/>
      <c r="B926" s="41"/>
      <c r="C926" s="117"/>
      <c r="D926" s="124"/>
      <c r="E926" s="124"/>
      <c r="F926" s="124"/>
      <c r="G926" s="124"/>
      <c r="H926" s="124"/>
      <c r="I926" s="124"/>
    </row>
    <row r="927">
      <c r="A927" s="41"/>
      <c r="B927" s="41"/>
      <c r="C927" s="117"/>
      <c r="D927" s="124"/>
      <c r="E927" s="124"/>
      <c r="F927" s="124"/>
      <c r="G927" s="124"/>
      <c r="H927" s="124"/>
      <c r="I927" s="124"/>
    </row>
    <row r="928">
      <c r="A928" s="41"/>
      <c r="B928" s="41"/>
      <c r="C928" s="117"/>
      <c r="D928" s="124"/>
      <c r="E928" s="124"/>
      <c r="F928" s="124"/>
      <c r="G928" s="124"/>
      <c r="H928" s="124"/>
      <c r="I928" s="124"/>
    </row>
    <row r="929">
      <c r="A929" s="41"/>
      <c r="B929" s="41"/>
      <c r="C929" s="117"/>
      <c r="D929" s="124"/>
      <c r="E929" s="124"/>
      <c r="F929" s="124"/>
      <c r="G929" s="124"/>
      <c r="H929" s="124"/>
      <c r="I929" s="124"/>
    </row>
    <row r="930">
      <c r="A930" s="41"/>
      <c r="B930" s="41"/>
      <c r="C930" s="117"/>
      <c r="D930" s="124"/>
      <c r="E930" s="124"/>
      <c r="F930" s="124"/>
      <c r="G930" s="124"/>
      <c r="H930" s="124"/>
      <c r="I930" s="124"/>
    </row>
    <row r="931">
      <c r="A931" s="41"/>
      <c r="B931" s="41"/>
      <c r="C931" s="117"/>
      <c r="D931" s="124"/>
      <c r="E931" s="124"/>
      <c r="F931" s="124"/>
      <c r="G931" s="124"/>
      <c r="H931" s="124"/>
      <c r="I931" s="124"/>
    </row>
    <row r="932">
      <c r="A932" s="41"/>
      <c r="B932" s="41"/>
      <c r="C932" s="117"/>
      <c r="D932" s="124"/>
      <c r="E932" s="124"/>
      <c r="F932" s="124"/>
      <c r="G932" s="124"/>
      <c r="H932" s="124"/>
      <c r="I932" s="124"/>
    </row>
    <row r="933">
      <c r="A933" s="41"/>
      <c r="B933" s="41"/>
      <c r="C933" s="117"/>
      <c r="D933" s="124"/>
      <c r="E933" s="124"/>
      <c r="F933" s="124"/>
      <c r="G933" s="124"/>
      <c r="H933" s="124"/>
      <c r="I933" s="124"/>
    </row>
    <row r="934">
      <c r="A934" s="41"/>
      <c r="B934" s="41"/>
      <c r="C934" s="117"/>
      <c r="D934" s="124"/>
      <c r="E934" s="124"/>
      <c r="F934" s="124"/>
      <c r="G934" s="124"/>
      <c r="H934" s="124"/>
      <c r="I934" s="124"/>
    </row>
    <row r="935">
      <c r="A935" s="41"/>
      <c r="B935" s="41"/>
      <c r="C935" s="117"/>
      <c r="D935" s="124"/>
      <c r="E935" s="124"/>
      <c r="F935" s="124"/>
      <c r="G935" s="124"/>
      <c r="H935" s="124"/>
      <c r="I935" s="124"/>
    </row>
    <row r="936">
      <c r="A936" s="41"/>
      <c r="B936" s="41"/>
      <c r="C936" s="117"/>
      <c r="D936" s="124"/>
      <c r="E936" s="124"/>
      <c r="F936" s="124"/>
      <c r="G936" s="124"/>
      <c r="H936" s="124"/>
      <c r="I936" s="124"/>
    </row>
    <row r="937">
      <c r="A937" s="41"/>
      <c r="B937" s="41"/>
      <c r="C937" s="117"/>
      <c r="D937" s="124"/>
      <c r="E937" s="124"/>
      <c r="F937" s="124"/>
      <c r="G937" s="124"/>
      <c r="H937" s="124"/>
      <c r="I937" s="124"/>
    </row>
    <row r="938">
      <c r="A938" s="41"/>
      <c r="B938" s="41"/>
      <c r="C938" s="117"/>
      <c r="D938" s="124"/>
      <c r="E938" s="124"/>
      <c r="F938" s="124"/>
      <c r="G938" s="124"/>
      <c r="H938" s="124"/>
      <c r="I938" s="124"/>
    </row>
    <row r="939">
      <c r="A939" s="41"/>
      <c r="B939" s="41"/>
      <c r="C939" s="117"/>
      <c r="D939" s="124"/>
      <c r="E939" s="124"/>
      <c r="F939" s="124"/>
      <c r="G939" s="124"/>
      <c r="H939" s="124"/>
      <c r="I939" s="124"/>
    </row>
    <row r="940">
      <c r="A940" s="41"/>
      <c r="B940" s="41"/>
      <c r="C940" s="117"/>
      <c r="D940" s="124"/>
      <c r="E940" s="124"/>
      <c r="F940" s="124"/>
      <c r="G940" s="124"/>
      <c r="H940" s="124"/>
      <c r="I940" s="124"/>
    </row>
    <row r="941">
      <c r="A941" s="41"/>
      <c r="B941" s="41"/>
      <c r="C941" s="117"/>
      <c r="D941" s="124"/>
      <c r="E941" s="124"/>
      <c r="F941" s="124"/>
      <c r="G941" s="124"/>
      <c r="H941" s="124"/>
      <c r="I941" s="124"/>
    </row>
    <row r="942">
      <c r="A942" s="41"/>
      <c r="B942" s="41"/>
      <c r="C942" s="117"/>
      <c r="D942" s="124"/>
      <c r="E942" s="124"/>
      <c r="F942" s="124"/>
      <c r="G942" s="124"/>
      <c r="H942" s="124"/>
      <c r="I942" s="124"/>
    </row>
    <row r="943">
      <c r="A943" s="41"/>
      <c r="B943" s="41"/>
      <c r="C943" s="117"/>
      <c r="D943" s="124"/>
      <c r="E943" s="124"/>
      <c r="F943" s="124"/>
      <c r="G943" s="124"/>
      <c r="H943" s="124"/>
      <c r="I943" s="124"/>
    </row>
    <row r="944">
      <c r="A944" s="41"/>
      <c r="B944" s="41"/>
      <c r="C944" s="117"/>
      <c r="D944" s="124"/>
      <c r="E944" s="124"/>
      <c r="F944" s="124"/>
      <c r="G944" s="124"/>
      <c r="H944" s="124"/>
      <c r="I944" s="124"/>
    </row>
    <row r="945">
      <c r="A945" s="41"/>
      <c r="B945" s="41"/>
      <c r="C945" s="117"/>
      <c r="D945" s="124"/>
      <c r="E945" s="124"/>
      <c r="F945" s="124"/>
      <c r="G945" s="124"/>
      <c r="H945" s="124"/>
      <c r="I945" s="124"/>
    </row>
    <row r="946">
      <c r="A946" s="41"/>
      <c r="B946" s="41"/>
      <c r="C946" s="117"/>
      <c r="D946" s="124"/>
      <c r="E946" s="124"/>
      <c r="F946" s="124"/>
      <c r="G946" s="124"/>
      <c r="H946" s="124"/>
      <c r="I946" s="124"/>
    </row>
    <row r="947">
      <c r="A947" s="41"/>
      <c r="B947" s="41"/>
      <c r="C947" s="117"/>
      <c r="D947" s="124"/>
      <c r="E947" s="124"/>
      <c r="F947" s="124"/>
      <c r="G947" s="124"/>
      <c r="H947" s="124"/>
      <c r="I947" s="124"/>
    </row>
    <row r="948">
      <c r="A948" s="41"/>
      <c r="B948" s="41"/>
      <c r="C948" s="117"/>
      <c r="D948" s="124"/>
      <c r="E948" s="124"/>
      <c r="F948" s="124"/>
      <c r="G948" s="124"/>
      <c r="H948" s="124"/>
      <c r="I948" s="124"/>
    </row>
    <row r="949">
      <c r="A949" s="41"/>
      <c r="B949" s="41"/>
      <c r="C949" s="117"/>
      <c r="D949" s="124"/>
      <c r="E949" s="124"/>
      <c r="F949" s="124"/>
      <c r="G949" s="124"/>
      <c r="H949" s="124"/>
      <c r="I949" s="124"/>
    </row>
    <row r="950">
      <c r="A950" s="41"/>
      <c r="B950" s="41"/>
      <c r="C950" s="117"/>
      <c r="D950" s="124"/>
      <c r="E950" s="124"/>
      <c r="F950" s="124"/>
      <c r="G950" s="124"/>
      <c r="H950" s="124"/>
      <c r="I950" s="124"/>
    </row>
    <row r="951">
      <c r="A951" s="41"/>
      <c r="B951" s="41"/>
      <c r="C951" s="117"/>
      <c r="D951" s="124"/>
      <c r="E951" s="124"/>
      <c r="F951" s="124"/>
      <c r="G951" s="124"/>
      <c r="H951" s="124"/>
      <c r="I951" s="124"/>
    </row>
    <row r="952">
      <c r="A952" s="41"/>
      <c r="B952" s="41"/>
      <c r="C952" s="117"/>
      <c r="D952" s="124"/>
      <c r="E952" s="124"/>
      <c r="F952" s="124"/>
      <c r="G952" s="124"/>
      <c r="H952" s="124"/>
      <c r="I952" s="124"/>
    </row>
    <row r="953">
      <c r="A953" s="41"/>
      <c r="B953" s="41"/>
      <c r="C953" s="117"/>
      <c r="D953" s="124"/>
      <c r="E953" s="124"/>
      <c r="F953" s="124"/>
      <c r="G953" s="124"/>
      <c r="H953" s="124"/>
      <c r="I953" s="124"/>
    </row>
    <row r="954">
      <c r="A954" s="41"/>
      <c r="B954" s="41"/>
      <c r="C954" s="117"/>
      <c r="D954" s="124"/>
      <c r="E954" s="124"/>
      <c r="F954" s="124"/>
      <c r="G954" s="124"/>
      <c r="H954" s="124"/>
      <c r="I954" s="124"/>
    </row>
    <row r="955">
      <c r="A955" s="41"/>
      <c r="B955" s="41"/>
      <c r="C955" s="117"/>
      <c r="D955" s="124"/>
      <c r="E955" s="124"/>
      <c r="F955" s="124"/>
      <c r="G955" s="124"/>
      <c r="H955" s="124"/>
      <c r="I955" s="124"/>
    </row>
    <row r="956">
      <c r="A956" s="41"/>
      <c r="B956" s="41"/>
      <c r="C956" s="117"/>
      <c r="D956" s="124"/>
      <c r="E956" s="124"/>
      <c r="F956" s="124"/>
      <c r="G956" s="124"/>
      <c r="H956" s="124"/>
      <c r="I956" s="124"/>
    </row>
    <row r="957">
      <c r="A957" s="41"/>
      <c r="B957" s="41"/>
      <c r="C957" s="117"/>
      <c r="D957" s="124"/>
      <c r="E957" s="124"/>
      <c r="F957" s="124"/>
      <c r="G957" s="124"/>
      <c r="H957" s="124"/>
      <c r="I957" s="124"/>
    </row>
    <row r="958">
      <c r="A958" s="41"/>
      <c r="B958" s="41"/>
      <c r="C958" s="117"/>
      <c r="D958" s="124"/>
      <c r="E958" s="124"/>
      <c r="F958" s="124"/>
      <c r="G958" s="124"/>
      <c r="H958" s="124"/>
      <c r="I958" s="124"/>
    </row>
    <row r="959">
      <c r="A959" s="41"/>
      <c r="B959" s="41"/>
      <c r="C959" s="117"/>
      <c r="D959" s="124"/>
      <c r="E959" s="124"/>
      <c r="F959" s="124"/>
      <c r="G959" s="124"/>
      <c r="H959" s="124"/>
      <c r="I959" s="124"/>
    </row>
    <row r="960">
      <c r="A960" s="41"/>
      <c r="B960" s="41"/>
      <c r="C960" s="117"/>
      <c r="D960" s="124"/>
      <c r="E960" s="124"/>
      <c r="F960" s="124"/>
      <c r="G960" s="124"/>
      <c r="H960" s="124"/>
      <c r="I960" s="124"/>
    </row>
    <row r="961">
      <c r="A961" s="41"/>
      <c r="B961" s="41"/>
      <c r="C961" s="117"/>
      <c r="D961" s="124"/>
      <c r="E961" s="124"/>
      <c r="F961" s="124"/>
      <c r="G961" s="124"/>
      <c r="H961" s="124"/>
      <c r="I961" s="124"/>
    </row>
    <row r="962">
      <c r="A962" s="41"/>
      <c r="B962" s="41"/>
      <c r="C962" s="117"/>
      <c r="D962" s="124"/>
      <c r="E962" s="124"/>
      <c r="F962" s="124"/>
      <c r="G962" s="124"/>
      <c r="H962" s="124"/>
      <c r="I962" s="124"/>
    </row>
    <row r="963">
      <c r="A963" s="41"/>
      <c r="B963" s="41"/>
      <c r="C963" s="117"/>
      <c r="D963" s="124"/>
      <c r="E963" s="124"/>
      <c r="F963" s="124"/>
      <c r="G963" s="124"/>
      <c r="H963" s="124"/>
      <c r="I963" s="124"/>
    </row>
    <row r="964">
      <c r="A964" s="41"/>
      <c r="B964" s="41"/>
      <c r="C964" s="117"/>
      <c r="D964" s="124"/>
      <c r="E964" s="124"/>
      <c r="F964" s="124"/>
      <c r="G964" s="124"/>
      <c r="H964" s="124"/>
      <c r="I964" s="124"/>
    </row>
    <row r="965">
      <c r="A965" s="41"/>
      <c r="B965" s="41"/>
      <c r="C965" s="117"/>
      <c r="D965" s="124"/>
      <c r="E965" s="124"/>
      <c r="F965" s="124"/>
      <c r="G965" s="124"/>
      <c r="H965" s="124"/>
      <c r="I965" s="124"/>
    </row>
    <row r="966">
      <c r="A966" s="41"/>
      <c r="B966" s="41"/>
      <c r="C966" s="117"/>
      <c r="D966" s="124"/>
      <c r="E966" s="124"/>
      <c r="F966" s="124"/>
      <c r="G966" s="124"/>
      <c r="H966" s="124"/>
      <c r="I966" s="124"/>
    </row>
    <row r="967">
      <c r="A967" s="41"/>
      <c r="B967" s="41"/>
      <c r="C967" s="117"/>
      <c r="D967" s="124"/>
      <c r="E967" s="124"/>
      <c r="F967" s="124"/>
      <c r="G967" s="124"/>
      <c r="H967" s="124"/>
      <c r="I967" s="124"/>
    </row>
    <row r="968">
      <c r="A968" s="41"/>
      <c r="B968" s="41"/>
      <c r="C968" s="117"/>
      <c r="D968" s="124"/>
      <c r="E968" s="124"/>
      <c r="F968" s="124"/>
      <c r="G968" s="124"/>
      <c r="H968" s="124"/>
      <c r="I968" s="124"/>
    </row>
    <row r="969">
      <c r="A969" s="41"/>
      <c r="B969" s="41"/>
      <c r="C969" s="117"/>
      <c r="D969" s="124"/>
      <c r="E969" s="124"/>
      <c r="F969" s="124"/>
      <c r="G969" s="124"/>
      <c r="H969" s="124"/>
      <c r="I969" s="124"/>
    </row>
    <row r="970">
      <c r="A970" s="41"/>
      <c r="B970" s="41"/>
      <c r="C970" s="117"/>
      <c r="D970" s="124"/>
      <c r="E970" s="124"/>
      <c r="F970" s="124"/>
      <c r="G970" s="124"/>
      <c r="H970" s="124"/>
      <c r="I970" s="124"/>
    </row>
    <row r="971">
      <c r="A971" s="41"/>
      <c r="B971" s="41"/>
      <c r="C971" s="117"/>
      <c r="D971" s="124"/>
      <c r="E971" s="124"/>
      <c r="F971" s="124"/>
      <c r="G971" s="124"/>
      <c r="H971" s="124"/>
      <c r="I971" s="124"/>
    </row>
    <row r="972">
      <c r="A972" s="41"/>
      <c r="B972" s="41"/>
      <c r="C972" s="117"/>
      <c r="D972" s="124"/>
      <c r="E972" s="124"/>
      <c r="F972" s="124"/>
      <c r="G972" s="124"/>
      <c r="H972" s="124"/>
      <c r="I972" s="124"/>
    </row>
    <row r="973">
      <c r="A973" s="41"/>
      <c r="B973" s="41"/>
      <c r="C973" s="117"/>
      <c r="D973" s="124"/>
      <c r="E973" s="124"/>
      <c r="F973" s="124"/>
      <c r="G973" s="124"/>
      <c r="H973" s="124"/>
      <c r="I973" s="124"/>
    </row>
    <row r="974">
      <c r="A974" s="41"/>
      <c r="B974" s="41"/>
      <c r="C974" s="117"/>
      <c r="D974" s="124"/>
      <c r="E974" s="124"/>
      <c r="F974" s="124"/>
      <c r="G974" s="124"/>
      <c r="H974" s="124"/>
      <c r="I974" s="124"/>
    </row>
    <row r="975">
      <c r="A975" s="41"/>
      <c r="B975" s="41"/>
      <c r="C975" s="117"/>
      <c r="D975" s="124"/>
      <c r="E975" s="124"/>
      <c r="F975" s="124"/>
      <c r="G975" s="124"/>
      <c r="H975" s="124"/>
      <c r="I975" s="124"/>
    </row>
    <row r="976">
      <c r="A976" s="41"/>
      <c r="B976" s="41"/>
      <c r="C976" s="117"/>
      <c r="D976" s="124"/>
      <c r="E976" s="124"/>
      <c r="F976" s="124"/>
      <c r="G976" s="124"/>
      <c r="H976" s="124"/>
      <c r="I976" s="124"/>
    </row>
    <row r="977">
      <c r="A977" s="41"/>
      <c r="B977" s="41"/>
      <c r="C977" s="117"/>
      <c r="D977" s="124"/>
      <c r="E977" s="124"/>
      <c r="F977" s="124"/>
      <c r="G977" s="124"/>
      <c r="H977" s="124"/>
      <c r="I977" s="124"/>
    </row>
    <row r="978">
      <c r="A978" s="41"/>
      <c r="B978" s="41"/>
      <c r="C978" s="117"/>
      <c r="D978" s="124"/>
      <c r="E978" s="124"/>
      <c r="F978" s="124"/>
      <c r="G978" s="124"/>
      <c r="H978" s="124"/>
      <c r="I978" s="124"/>
    </row>
    <row r="979">
      <c r="A979" s="41"/>
      <c r="B979" s="41"/>
      <c r="C979" s="117"/>
      <c r="D979" s="124"/>
      <c r="E979" s="124"/>
      <c r="F979" s="124"/>
      <c r="G979" s="124"/>
      <c r="H979" s="124"/>
      <c r="I979" s="124"/>
    </row>
    <row r="980">
      <c r="A980" s="41"/>
      <c r="B980" s="41"/>
      <c r="C980" s="117"/>
      <c r="D980" s="124"/>
      <c r="E980" s="124"/>
      <c r="F980" s="124"/>
      <c r="G980" s="124"/>
      <c r="H980" s="124"/>
      <c r="I980" s="124"/>
    </row>
    <row r="981">
      <c r="A981" s="41"/>
      <c r="B981" s="41"/>
      <c r="C981" s="117"/>
      <c r="D981" s="124"/>
      <c r="E981" s="124"/>
      <c r="F981" s="124"/>
      <c r="G981" s="124"/>
      <c r="H981" s="124"/>
      <c r="I981" s="124"/>
    </row>
    <row r="982">
      <c r="A982" s="41"/>
      <c r="B982" s="41"/>
      <c r="C982" s="117"/>
      <c r="D982" s="124"/>
      <c r="E982" s="124"/>
      <c r="F982" s="124"/>
      <c r="G982" s="124"/>
      <c r="H982" s="124"/>
      <c r="I982" s="124"/>
    </row>
    <row r="983">
      <c r="A983" s="41"/>
      <c r="B983" s="41"/>
      <c r="C983" s="117"/>
      <c r="D983" s="124"/>
      <c r="E983" s="124"/>
      <c r="F983" s="124"/>
      <c r="G983" s="124"/>
      <c r="H983" s="124"/>
      <c r="I983" s="124"/>
    </row>
    <row r="984">
      <c r="A984" s="41"/>
      <c r="B984" s="41"/>
      <c r="C984" s="117"/>
      <c r="D984" s="124"/>
      <c r="E984" s="124"/>
      <c r="F984" s="124"/>
      <c r="G984" s="124"/>
      <c r="H984" s="124"/>
      <c r="I984" s="124"/>
    </row>
    <row r="985">
      <c r="A985" s="41"/>
      <c r="B985" s="41"/>
      <c r="C985" s="117"/>
      <c r="D985" s="124"/>
      <c r="E985" s="124"/>
      <c r="F985" s="124"/>
      <c r="G985" s="124"/>
      <c r="H985" s="124"/>
      <c r="I985" s="124"/>
    </row>
    <row r="986">
      <c r="A986" s="41"/>
      <c r="B986" s="41"/>
      <c r="C986" s="117"/>
      <c r="D986" s="124"/>
      <c r="E986" s="124"/>
      <c r="F986" s="124"/>
      <c r="G986" s="124"/>
      <c r="H986" s="124"/>
      <c r="I986" s="124"/>
    </row>
    <row r="987">
      <c r="A987" s="41"/>
      <c r="B987" s="41"/>
      <c r="C987" s="117"/>
      <c r="D987" s="124"/>
      <c r="E987" s="124"/>
      <c r="F987" s="124"/>
      <c r="G987" s="124"/>
      <c r="H987" s="124"/>
      <c r="I987" s="124"/>
    </row>
    <row r="988">
      <c r="A988" s="41"/>
      <c r="B988" s="41"/>
      <c r="C988" s="117"/>
      <c r="D988" s="124"/>
      <c r="E988" s="124"/>
      <c r="F988" s="124"/>
      <c r="G988" s="124"/>
      <c r="H988" s="124"/>
      <c r="I988" s="124"/>
    </row>
    <row r="989">
      <c r="A989" s="41"/>
      <c r="B989" s="41"/>
      <c r="C989" s="117"/>
      <c r="D989" s="124"/>
      <c r="E989" s="124"/>
      <c r="F989" s="124"/>
      <c r="G989" s="124"/>
      <c r="H989" s="124"/>
      <c r="I989" s="124"/>
    </row>
    <row r="990">
      <c r="A990" s="41"/>
      <c r="B990" s="41"/>
      <c r="C990" s="117"/>
      <c r="D990" s="124"/>
      <c r="E990" s="124"/>
      <c r="F990" s="124"/>
      <c r="G990" s="124"/>
      <c r="H990" s="124"/>
      <c r="I990" s="124"/>
    </row>
    <row r="991">
      <c r="A991" s="41"/>
      <c r="B991" s="41"/>
      <c r="C991" s="117"/>
      <c r="D991" s="124"/>
      <c r="E991" s="124"/>
      <c r="F991" s="124"/>
      <c r="G991" s="124"/>
      <c r="H991" s="124"/>
      <c r="I991" s="124"/>
    </row>
    <row r="992">
      <c r="A992" s="41"/>
      <c r="B992" s="41"/>
      <c r="C992" s="117"/>
      <c r="D992" s="124"/>
      <c r="E992" s="124"/>
      <c r="F992" s="124"/>
      <c r="G992" s="124"/>
      <c r="H992" s="124"/>
      <c r="I992" s="124"/>
    </row>
    <row r="993">
      <c r="A993" s="41"/>
      <c r="B993" s="41"/>
      <c r="C993" s="117"/>
      <c r="D993" s="124"/>
      <c r="E993" s="124"/>
      <c r="F993" s="124"/>
      <c r="G993" s="124"/>
      <c r="H993" s="124"/>
      <c r="I993" s="124"/>
    </row>
    <row r="994">
      <c r="A994" s="41"/>
      <c r="B994" s="41"/>
      <c r="C994" s="117"/>
      <c r="D994" s="124"/>
      <c r="E994" s="124"/>
      <c r="F994" s="124"/>
      <c r="G994" s="124"/>
      <c r="H994" s="124"/>
      <c r="I994" s="124"/>
    </row>
    <row r="995">
      <c r="A995" s="41"/>
      <c r="B995" s="41"/>
      <c r="C995" s="117"/>
      <c r="D995" s="124"/>
      <c r="E995" s="124"/>
      <c r="F995" s="124"/>
      <c r="G995" s="124"/>
      <c r="H995" s="124"/>
      <c r="I995" s="124"/>
    </row>
    <row r="996">
      <c r="A996" s="41"/>
      <c r="B996" s="41"/>
      <c r="C996" s="117"/>
      <c r="D996" s="124"/>
      <c r="E996" s="124"/>
      <c r="F996" s="124"/>
      <c r="G996" s="124"/>
      <c r="H996" s="124"/>
      <c r="I996" s="124"/>
    </row>
    <row r="997">
      <c r="A997" s="41"/>
      <c r="B997" s="41"/>
      <c r="C997" s="117"/>
      <c r="D997" s="124"/>
      <c r="E997" s="124"/>
      <c r="F997" s="124"/>
      <c r="G997" s="124"/>
      <c r="H997" s="124"/>
      <c r="I997" s="124"/>
    </row>
    <row r="998">
      <c r="A998" s="41"/>
      <c r="B998" s="41"/>
      <c r="C998" s="117"/>
      <c r="D998" s="124"/>
      <c r="E998" s="124"/>
      <c r="F998" s="124"/>
      <c r="G998" s="124"/>
      <c r="H998" s="124"/>
      <c r="I998" s="124"/>
    </row>
    <row r="999">
      <c r="A999" s="41"/>
      <c r="B999" s="41"/>
      <c r="C999" s="117"/>
      <c r="D999" s="124"/>
      <c r="E999" s="124"/>
      <c r="F999" s="124"/>
      <c r="G999" s="124"/>
      <c r="H999" s="124"/>
      <c r="I999" s="124"/>
    </row>
    <row r="1000">
      <c r="A1000" s="41"/>
      <c r="B1000" s="41"/>
      <c r="C1000" s="117"/>
      <c r="D1000" s="124"/>
      <c r="E1000" s="124"/>
      <c r="F1000" s="124"/>
      <c r="G1000" s="124"/>
      <c r="H1000" s="124"/>
      <c r="I1000" s="124"/>
    </row>
    <row r="1001">
      <c r="A1001" s="41"/>
      <c r="B1001" s="41"/>
      <c r="C1001" s="117"/>
      <c r="D1001" s="124"/>
      <c r="E1001" s="124"/>
      <c r="F1001" s="124"/>
      <c r="G1001" s="124"/>
      <c r="H1001" s="124"/>
      <c r="I1001" s="124"/>
    </row>
    <row r="1002">
      <c r="A1002" s="41"/>
      <c r="B1002" s="41"/>
      <c r="C1002" s="117"/>
      <c r="D1002" s="124"/>
      <c r="E1002" s="124"/>
      <c r="F1002" s="124"/>
      <c r="G1002" s="124"/>
      <c r="H1002" s="124"/>
      <c r="I1002" s="124"/>
    </row>
    <row r="1003">
      <c r="A1003" s="41"/>
      <c r="B1003" s="41"/>
      <c r="C1003" s="117"/>
      <c r="D1003" s="124"/>
      <c r="E1003" s="124"/>
      <c r="F1003" s="124"/>
      <c r="G1003" s="124"/>
      <c r="H1003" s="124"/>
      <c r="I1003" s="124"/>
    </row>
    <row r="1004">
      <c r="A1004" s="41"/>
      <c r="B1004" s="41"/>
      <c r="C1004" s="117"/>
      <c r="D1004" s="124"/>
      <c r="E1004" s="124"/>
      <c r="F1004" s="124"/>
      <c r="G1004" s="124"/>
      <c r="H1004" s="124"/>
      <c r="I1004" s="124"/>
    </row>
    <row r="1005">
      <c r="A1005" s="41"/>
      <c r="B1005" s="41"/>
      <c r="C1005" s="117"/>
      <c r="D1005" s="124"/>
      <c r="E1005" s="124"/>
      <c r="F1005" s="124"/>
      <c r="G1005" s="124"/>
      <c r="H1005" s="124"/>
      <c r="I1005" s="124"/>
    </row>
    <row r="1006">
      <c r="A1006" s="41"/>
      <c r="B1006" s="41"/>
      <c r="C1006" s="117"/>
      <c r="D1006" s="124"/>
      <c r="E1006" s="124"/>
      <c r="F1006" s="124"/>
      <c r="G1006" s="124"/>
      <c r="H1006" s="124"/>
      <c r="I1006" s="124"/>
    </row>
    <row r="1007">
      <c r="A1007" s="41"/>
      <c r="B1007" s="41"/>
      <c r="C1007" s="117"/>
      <c r="D1007" s="124"/>
      <c r="E1007" s="124"/>
      <c r="F1007" s="124"/>
      <c r="G1007" s="124"/>
      <c r="H1007" s="124"/>
      <c r="I1007" s="124"/>
    </row>
    <row r="1008">
      <c r="A1008" s="41"/>
      <c r="B1008" s="41"/>
      <c r="C1008" s="117"/>
      <c r="D1008" s="124"/>
      <c r="E1008" s="124"/>
      <c r="F1008" s="124"/>
      <c r="G1008" s="124"/>
      <c r="H1008" s="124"/>
      <c r="I1008" s="124"/>
    </row>
    <row r="1009">
      <c r="A1009" s="41"/>
      <c r="B1009" s="41"/>
      <c r="C1009" s="117"/>
      <c r="D1009" s="124"/>
      <c r="E1009" s="124"/>
      <c r="F1009" s="124"/>
      <c r="G1009" s="124"/>
      <c r="H1009" s="124"/>
      <c r="I1009" s="124"/>
    </row>
    <row r="1010">
      <c r="A1010" s="41"/>
      <c r="B1010" s="41"/>
      <c r="C1010" s="117"/>
      <c r="D1010" s="124"/>
      <c r="E1010" s="124"/>
      <c r="F1010" s="124"/>
      <c r="G1010" s="124"/>
      <c r="H1010" s="124"/>
      <c r="I1010" s="124"/>
    </row>
    <row r="1011">
      <c r="A1011" s="41"/>
      <c r="B1011" s="41"/>
      <c r="C1011" s="117"/>
      <c r="D1011" s="124"/>
      <c r="E1011" s="124"/>
      <c r="F1011" s="124"/>
      <c r="G1011" s="124"/>
      <c r="H1011" s="124"/>
      <c r="I1011" s="124"/>
    </row>
    <row r="1012">
      <c r="A1012" s="41"/>
      <c r="B1012" s="41"/>
      <c r="C1012" s="117"/>
      <c r="D1012" s="124"/>
      <c r="E1012" s="124"/>
      <c r="F1012" s="124"/>
      <c r="G1012" s="124"/>
      <c r="H1012" s="124"/>
      <c r="I1012" s="124"/>
    </row>
    <row r="1013">
      <c r="A1013" s="41"/>
      <c r="B1013" s="41"/>
      <c r="C1013" s="117"/>
      <c r="D1013" s="124"/>
      <c r="E1013" s="124"/>
      <c r="F1013" s="124"/>
      <c r="G1013" s="124"/>
      <c r="H1013" s="124"/>
      <c r="I1013" s="124"/>
    </row>
    <row r="1014">
      <c r="A1014" s="41"/>
      <c r="B1014" s="41"/>
      <c r="C1014" s="117"/>
      <c r="D1014" s="124"/>
      <c r="E1014" s="124"/>
      <c r="F1014" s="124"/>
      <c r="G1014" s="124"/>
      <c r="H1014" s="124"/>
      <c r="I1014" s="124"/>
    </row>
    <row r="1015">
      <c r="A1015" s="41"/>
      <c r="B1015" s="41"/>
      <c r="C1015" s="117"/>
      <c r="D1015" s="124"/>
      <c r="E1015" s="124"/>
      <c r="F1015" s="124"/>
      <c r="G1015" s="124"/>
      <c r="H1015" s="124"/>
      <c r="I1015" s="124"/>
    </row>
    <row r="1016">
      <c r="A1016" s="41"/>
      <c r="B1016" s="41"/>
      <c r="C1016" s="117"/>
      <c r="D1016" s="124"/>
      <c r="E1016" s="124"/>
      <c r="F1016" s="124"/>
      <c r="G1016" s="124"/>
      <c r="H1016" s="124"/>
      <c r="I1016" s="124"/>
    </row>
    <row r="1017">
      <c r="A1017" s="41"/>
      <c r="B1017" s="41"/>
      <c r="C1017" s="117"/>
      <c r="D1017" s="124"/>
      <c r="E1017" s="124"/>
      <c r="F1017" s="124"/>
      <c r="G1017" s="124"/>
      <c r="H1017" s="124"/>
      <c r="I1017" s="124"/>
    </row>
    <row r="1018">
      <c r="A1018" s="41"/>
      <c r="B1018" s="41"/>
      <c r="C1018" s="117"/>
      <c r="D1018" s="124"/>
      <c r="E1018" s="124"/>
      <c r="F1018" s="124"/>
      <c r="G1018" s="124"/>
      <c r="H1018" s="124"/>
      <c r="I1018" s="124"/>
    </row>
    <row r="1019">
      <c r="A1019" s="41"/>
      <c r="B1019" s="41"/>
      <c r="C1019" s="117"/>
      <c r="D1019" s="124"/>
      <c r="E1019" s="124"/>
      <c r="F1019" s="124"/>
      <c r="G1019" s="124"/>
      <c r="H1019" s="124"/>
      <c r="I1019" s="124"/>
    </row>
    <row r="1020">
      <c r="A1020" s="41"/>
      <c r="B1020" s="41"/>
      <c r="C1020" s="117"/>
      <c r="D1020" s="124"/>
      <c r="E1020" s="124"/>
      <c r="F1020" s="124"/>
      <c r="G1020" s="124"/>
      <c r="H1020" s="124"/>
      <c r="I1020" s="124"/>
    </row>
    <row r="1021">
      <c r="A1021" s="41"/>
      <c r="B1021" s="41"/>
      <c r="C1021" s="117"/>
      <c r="D1021" s="124"/>
      <c r="E1021" s="124"/>
      <c r="F1021" s="124"/>
      <c r="G1021" s="124"/>
      <c r="H1021" s="124"/>
      <c r="I1021" s="124"/>
    </row>
    <row r="1022">
      <c r="A1022" s="41"/>
      <c r="B1022" s="41"/>
      <c r="C1022" s="117"/>
      <c r="D1022" s="124"/>
      <c r="E1022" s="124"/>
      <c r="F1022" s="124"/>
      <c r="G1022" s="124"/>
      <c r="H1022" s="124"/>
      <c r="I1022" s="124"/>
    </row>
    <row r="1023">
      <c r="A1023" s="41"/>
      <c r="B1023" s="41"/>
      <c r="C1023" s="117"/>
      <c r="D1023" s="124"/>
      <c r="E1023" s="124"/>
      <c r="F1023" s="124"/>
      <c r="G1023" s="124"/>
      <c r="H1023" s="124"/>
      <c r="I1023" s="124"/>
    </row>
    <row r="1024">
      <c r="A1024" s="41"/>
      <c r="B1024" s="41"/>
      <c r="C1024" s="117"/>
      <c r="D1024" s="124"/>
      <c r="E1024" s="124"/>
      <c r="F1024" s="124"/>
      <c r="G1024" s="124"/>
      <c r="H1024" s="124"/>
      <c r="I1024" s="124"/>
    </row>
    <row r="1025">
      <c r="A1025" s="41"/>
      <c r="B1025" s="41"/>
      <c r="C1025" s="117"/>
      <c r="D1025" s="124"/>
      <c r="E1025" s="124"/>
      <c r="F1025" s="124"/>
      <c r="G1025" s="124"/>
      <c r="H1025" s="124"/>
      <c r="I1025" s="124"/>
    </row>
    <row r="1026">
      <c r="A1026" s="41"/>
      <c r="B1026" s="41"/>
      <c r="C1026" s="117"/>
      <c r="D1026" s="124"/>
      <c r="E1026" s="124"/>
      <c r="F1026" s="124"/>
      <c r="G1026" s="124"/>
      <c r="H1026" s="124"/>
      <c r="I1026" s="124"/>
    </row>
    <row r="1027">
      <c r="A1027" s="41"/>
      <c r="B1027" s="41"/>
      <c r="C1027" s="117"/>
      <c r="D1027" s="124"/>
      <c r="E1027" s="124"/>
      <c r="F1027" s="124"/>
      <c r="G1027" s="124"/>
      <c r="H1027" s="124"/>
      <c r="I1027" s="124"/>
    </row>
    <row r="1028">
      <c r="A1028" s="41"/>
      <c r="B1028" s="41"/>
      <c r="C1028" s="117"/>
      <c r="D1028" s="124"/>
      <c r="E1028" s="124"/>
      <c r="F1028" s="124"/>
      <c r="G1028" s="124"/>
      <c r="H1028" s="124"/>
      <c r="I1028" s="124"/>
    </row>
    <row r="1029">
      <c r="A1029" s="41"/>
      <c r="B1029" s="41"/>
      <c r="C1029" s="117"/>
      <c r="D1029" s="124"/>
      <c r="E1029" s="124"/>
      <c r="F1029" s="124"/>
      <c r="G1029" s="124"/>
      <c r="H1029" s="124"/>
      <c r="I1029" s="124"/>
    </row>
    <row r="1030">
      <c r="A1030" s="41"/>
      <c r="B1030" s="41"/>
      <c r="C1030" s="117"/>
      <c r="D1030" s="124"/>
      <c r="E1030" s="124"/>
      <c r="F1030" s="124"/>
      <c r="G1030" s="124"/>
      <c r="H1030" s="124"/>
      <c r="I1030" s="124"/>
    </row>
    <row r="1031">
      <c r="A1031" s="41"/>
      <c r="B1031" s="41"/>
      <c r="C1031" s="117"/>
      <c r="D1031" s="124"/>
      <c r="E1031" s="124"/>
      <c r="F1031" s="124"/>
      <c r="G1031" s="124"/>
      <c r="H1031" s="124"/>
      <c r="I1031" s="124"/>
    </row>
    <row r="1032">
      <c r="A1032" s="41"/>
      <c r="B1032" s="41"/>
      <c r="C1032" s="117"/>
      <c r="D1032" s="124"/>
      <c r="E1032" s="124"/>
      <c r="F1032" s="124"/>
      <c r="G1032" s="124"/>
      <c r="H1032" s="124"/>
      <c r="I1032" s="124"/>
    </row>
    <row r="1033">
      <c r="A1033" s="41"/>
      <c r="B1033" s="41"/>
      <c r="C1033" s="117"/>
      <c r="D1033" s="124"/>
      <c r="E1033" s="124"/>
      <c r="F1033" s="124"/>
      <c r="G1033" s="124"/>
      <c r="H1033" s="124"/>
      <c r="I1033" s="124"/>
    </row>
    <row r="1034">
      <c r="A1034" s="41"/>
      <c r="B1034" s="41"/>
      <c r="C1034" s="117"/>
      <c r="D1034" s="124"/>
      <c r="E1034" s="124"/>
      <c r="F1034" s="124"/>
      <c r="G1034" s="124"/>
      <c r="H1034" s="124"/>
      <c r="I1034" s="124"/>
    </row>
    <row r="1035">
      <c r="A1035" s="41"/>
      <c r="B1035" s="41"/>
      <c r="C1035" s="117"/>
      <c r="D1035" s="124"/>
      <c r="E1035" s="124"/>
      <c r="F1035" s="124"/>
      <c r="G1035" s="124"/>
      <c r="H1035" s="124"/>
      <c r="I1035" s="124"/>
    </row>
    <row r="1036">
      <c r="A1036" s="41"/>
      <c r="B1036" s="41"/>
      <c r="C1036" s="117"/>
      <c r="D1036" s="124"/>
      <c r="E1036" s="124"/>
      <c r="F1036" s="124"/>
      <c r="G1036" s="124"/>
      <c r="H1036" s="124"/>
      <c r="I1036" s="124"/>
    </row>
    <row r="1037">
      <c r="A1037" s="41"/>
      <c r="B1037" s="41"/>
      <c r="C1037" s="117"/>
      <c r="D1037" s="124"/>
      <c r="E1037" s="124"/>
      <c r="F1037" s="124"/>
      <c r="G1037" s="124"/>
      <c r="H1037" s="124"/>
      <c r="I1037" s="124"/>
    </row>
    <row r="1038">
      <c r="A1038" s="41"/>
      <c r="B1038" s="41"/>
      <c r="C1038" s="117"/>
      <c r="D1038" s="124"/>
      <c r="E1038" s="124"/>
      <c r="F1038" s="124"/>
      <c r="G1038" s="124"/>
      <c r="H1038" s="124"/>
      <c r="I1038" s="124"/>
    </row>
    <row r="1039">
      <c r="A1039" s="41"/>
      <c r="B1039" s="41"/>
      <c r="C1039" s="117"/>
      <c r="D1039" s="124"/>
      <c r="E1039" s="124"/>
      <c r="F1039" s="124"/>
      <c r="G1039" s="124"/>
      <c r="H1039" s="124"/>
      <c r="I1039" s="124"/>
    </row>
    <row r="1040">
      <c r="A1040" s="41"/>
      <c r="B1040" s="41"/>
      <c r="C1040" s="117"/>
      <c r="D1040" s="124"/>
      <c r="E1040" s="124"/>
      <c r="F1040" s="124"/>
      <c r="G1040" s="124"/>
      <c r="H1040" s="124"/>
      <c r="I1040" s="124"/>
    </row>
    <row r="1041">
      <c r="A1041" s="41"/>
      <c r="B1041" s="41"/>
      <c r="C1041" s="117"/>
      <c r="D1041" s="124"/>
      <c r="E1041" s="124"/>
      <c r="F1041" s="124"/>
      <c r="G1041" s="124"/>
      <c r="H1041" s="124"/>
      <c r="I1041" s="124"/>
    </row>
    <row r="1042">
      <c r="A1042" s="41"/>
      <c r="B1042" s="41"/>
      <c r="C1042" s="117"/>
      <c r="D1042" s="124"/>
      <c r="E1042" s="124"/>
      <c r="F1042" s="124"/>
      <c r="G1042" s="124"/>
      <c r="H1042" s="124"/>
      <c r="I1042" s="124"/>
    </row>
    <row r="1043">
      <c r="A1043" s="41"/>
      <c r="B1043" s="41"/>
      <c r="C1043" s="117"/>
      <c r="D1043" s="124"/>
      <c r="E1043" s="124"/>
      <c r="F1043" s="124"/>
      <c r="G1043" s="124"/>
      <c r="H1043" s="124"/>
      <c r="I1043" s="124"/>
    </row>
    <row r="1044">
      <c r="A1044" s="41"/>
      <c r="B1044" s="41"/>
      <c r="C1044" s="117"/>
      <c r="D1044" s="124"/>
      <c r="E1044" s="124"/>
      <c r="F1044" s="124"/>
      <c r="G1044" s="124"/>
      <c r="H1044" s="124"/>
      <c r="I1044" s="124"/>
    </row>
    <row r="1045">
      <c r="A1045" s="41"/>
      <c r="B1045" s="41"/>
      <c r="C1045" s="117"/>
      <c r="D1045" s="124"/>
      <c r="E1045" s="124"/>
      <c r="F1045" s="124"/>
      <c r="G1045" s="124"/>
      <c r="H1045" s="124"/>
      <c r="I1045" s="124"/>
    </row>
    <row r="1046">
      <c r="A1046" s="41"/>
      <c r="B1046" s="41"/>
      <c r="C1046" s="117"/>
      <c r="D1046" s="124"/>
      <c r="E1046" s="124"/>
      <c r="F1046" s="124"/>
      <c r="G1046" s="124"/>
      <c r="H1046" s="124"/>
      <c r="I1046" s="124"/>
    </row>
    <row r="1047">
      <c r="A1047" s="41"/>
      <c r="B1047" s="41"/>
      <c r="C1047" s="117"/>
      <c r="D1047" s="124"/>
      <c r="E1047" s="124"/>
      <c r="F1047" s="124"/>
      <c r="G1047" s="124"/>
      <c r="H1047" s="124"/>
      <c r="I1047" s="124"/>
    </row>
    <row r="1048">
      <c r="A1048" s="41"/>
      <c r="B1048" s="41"/>
      <c r="C1048" s="117"/>
      <c r="D1048" s="124"/>
      <c r="E1048" s="124"/>
      <c r="F1048" s="124"/>
      <c r="G1048" s="124"/>
      <c r="H1048" s="124"/>
      <c r="I1048" s="124"/>
    </row>
    <row r="1049">
      <c r="A1049" s="41"/>
      <c r="B1049" s="41"/>
      <c r="C1049" s="117"/>
      <c r="D1049" s="124"/>
      <c r="E1049" s="124"/>
      <c r="F1049" s="124"/>
      <c r="G1049" s="124"/>
      <c r="H1049" s="124"/>
      <c r="I1049" s="124"/>
    </row>
    <row r="1050">
      <c r="A1050" s="41"/>
      <c r="B1050" s="41"/>
      <c r="C1050" s="117"/>
      <c r="D1050" s="124"/>
      <c r="E1050" s="124"/>
      <c r="F1050" s="124"/>
      <c r="G1050" s="124"/>
      <c r="H1050" s="124"/>
      <c r="I1050" s="124"/>
    </row>
    <row r="1051">
      <c r="A1051" s="41"/>
      <c r="B1051" s="41"/>
      <c r="C1051" s="117"/>
      <c r="D1051" s="124"/>
      <c r="E1051" s="124"/>
      <c r="F1051" s="124"/>
      <c r="G1051" s="124"/>
      <c r="H1051" s="124"/>
      <c r="I1051" s="124"/>
    </row>
    <row r="1052">
      <c r="A1052" s="41"/>
      <c r="B1052" s="41"/>
      <c r="C1052" s="117"/>
      <c r="D1052" s="124"/>
      <c r="E1052" s="124"/>
      <c r="F1052" s="124"/>
      <c r="G1052" s="124"/>
      <c r="H1052" s="124"/>
      <c r="I1052" s="124"/>
    </row>
    <row r="1053">
      <c r="A1053" s="41"/>
      <c r="B1053" s="41"/>
      <c r="C1053" s="117"/>
      <c r="D1053" s="124"/>
      <c r="E1053" s="124"/>
      <c r="F1053" s="124"/>
      <c r="G1053" s="124"/>
      <c r="H1053" s="124"/>
      <c r="I1053" s="124"/>
    </row>
    <row r="1054">
      <c r="A1054" s="41"/>
      <c r="B1054" s="41"/>
      <c r="C1054" s="117"/>
      <c r="D1054" s="124"/>
      <c r="E1054" s="124"/>
      <c r="F1054" s="124"/>
      <c r="G1054" s="124"/>
      <c r="H1054" s="124"/>
      <c r="I1054" s="124"/>
    </row>
    <row r="1055">
      <c r="A1055" s="41"/>
      <c r="B1055" s="41"/>
      <c r="C1055" s="117"/>
      <c r="D1055" s="124"/>
      <c r="E1055" s="124"/>
      <c r="F1055" s="124"/>
      <c r="G1055" s="124"/>
      <c r="H1055" s="124"/>
      <c r="I1055" s="124"/>
    </row>
    <row r="1056">
      <c r="A1056" s="41"/>
      <c r="B1056" s="41"/>
      <c r="C1056" s="117"/>
      <c r="D1056" s="124"/>
      <c r="E1056" s="124"/>
      <c r="F1056" s="124"/>
      <c r="G1056" s="124"/>
      <c r="H1056" s="124"/>
      <c r="I1056" s="124"/>
    </row>
    <row r="1057">
      <c r="A1057" s="41"/>
      <c r="B1057" s="41"/>
      <c r="C1057" s="117"/>
      <c r="D1057" s="124"/>
      <c r="E1057" s="124"/>
      <c r="F1057" s="124"/>
      <c r="G1057" s="124"/>
      <c r="H1057" s="124"/>
      <c r="I1057" s="124"/>
    </row>
    <row r="1058">
      <c r="A1058" s="41"/>
      <c r="B1058" s="41"/>
      <c r="C1058" s="117"/>
      <c r="D1058" s="124"/>
      <c r="E1058" s="124"/>
      <c r="F1058" s="124"/>
      <c r="G1058" s="124"/>
      <c r="H1058" s="124"/>
      <c r="I1058" s="124"/>
    </row>
    <row r="1059">
      <c r="A1059" s="41"/>
      <c r="B1059" s="41"/>
      <c r="C1059" s="117"/>
      <c r="D1059" s="124"/>
      <c r="E1059" s="124"/>
      <c r="F1059" s="124"/>
      <c r="G1059" s="124"/>
      <c r="H1059" s="124"/>
      <c r="I1059" s="124"/>
    </row>
    <row r="1060">
      <c r="A1060" s="41"/>
      <c r="B1060" s="41"/>
      <c r="C1060" s="117"/>
      <c r="D1060" s="124"/>
      <c r="E1060" s="124"/>
      <c r="F1060" s="124"/>
      <c r="G1060" s="124"/>
      <c r="H1060" s="124"/>
      <c r="I1060" s="124"/>
    </row>
    <row r="1061">
      <c r="A1061" s="41"/>
      <c r="B1061" s="41"/>
      <c r="C1061" s="117"/>
      <c r="D1061" s="124"/>
      <c r="E1061" s="124"/>
      <c r="F1061" s="124"/>
      <c r="G1061" s="124"/>
      <c r="H1061" s="124"/>
      <c r="I1061" s="124"/>
    </row>
    <row r="1062">
      <c r="A1062" s="41"/>
      <c r="B1062" s="41"/>
      <c r="C1062" s="117"/>
      <c r="D1062" s="124"/>
      <c r="E1062" s="124"/>
      <c r="F1062" s="124"/>
      <c r="G1062" s="124"/>
      <c r="H1062" s="124"/>
      <c r="I1062" s="124"/>
    </row>
    <row r="1063">
      <c r="A1063" s="41"/>
      <c r="B1063" s="41"/>
      <c r="C1063" s="117"/>
      <c r="D1063" s="124"/>
      <c r="E1063" s="124"/>
      <c r="F1063" s="124"/>
      <c r="G1063" s="124"/>
      <c r="H1063" s="124"/>
      <c r="I1063" s="124"/>
    </row>
    <row r="1064">
      <c r="A1064" s="41"/>
      <c r="B1064" s="41"/>
      <c r="C1064" s="117"/>
      <c r="D1064" s="124"/>
      <c r="E1064" s="124"/>
      <c r="F1064" s="124"/>
      <c r="G1064" s="124"/>
      <c r="H1064" s="124"/>
      <c r="I1064" s="124"/>
    </row>
    <row r="1065">
      <c r="A1065" s="41"/>
      <c r="B1065" s="41"/>
      <c r="C1065" s="117"/>
      <c r="D1065" s="124"/>
      <c r="E1065" s="124"/>
      <c r="F1065" s="124"/>
      <c r="G1065" s="124"/>
      <c r="H1065" s="124"/>
      <c r="I1065" s="124"/>
    </row>
    <row r="1066">
      <c r="A1066" s="41"/>
      <c r="B1066" s="41"/>
      <c r="C1066" s="117"/>
      <c r="D1066" s="124"/>
      <c r="E1066" s="124"/>
      <c r="F1066" s="124"/>
      <c r="G1066" s="124"/>
      <c r="H1066" s="124"/>
      <c r="I1066" s="124"/>
    </row>
    <row r="1067">
      <c r="A1067" s="41"/>
      <c r="B1067" s="41"/>
      <c r="C1067" s="117"/>
      <c r="D1067" s="124"/>
      <c r="E1067" s="124"/>
      <c r="F1067" s="124"/>
      <c r="G1067" s="124"/>
      <c r="H1067" s="124"/>
      <c r="I1067" s="124"/>
    </row>
    <row r="1068">
      <c r="A1068" s="41"/>
      <c r="B1068" s="41"/>
      <c r="C1068" s="117"/>
      <c r="D1068" s="124"/>
      <c r="E1068" s="124"/>
      <c r="F1068" s="124"/>
      <c r="G1068" s="124"/>
      <c r="H1068" s="124"/>
      <c r="I1068" s="124"/>
    </row>
    <row r="1069">
      <c r="A1069" s="41"/>
      <c r="B1069" s="41"/>
      <c r="C1069" s="117"/>
      <c r="D1069" s="124"/>
      <c r="E1069" s="124"/>
      <c r="F1069" s="124"/>
      <c r="G1069" s="124"/>
      <c r="H1069" s="124"/>
      <c r="I1069" s="124"/>
    </row>
    <row r="1070">
      <c r="A1070" s="41"/>
      <c r="B1070" s="41"/>
      <c r="C1070" s="117"/>
      <c r="D1070" s="124"/>
      <c r="E1070" s="124"/>
      <c r="F1070" s="124"/>
      <c r="G1070" s="124"/>
      <c r="H1070" s="124"/>
      <c r="I1070" s="124"/>
    </row>
    <row r="1071">
      <c r="A1071" s="41"/>
      <c r="B1071" s="41"/>
      <c r="C1071" s="117"/>
      <c r="D1071" s="124"/>
      <c r="E1071" s="124"/>
      <c r="F1071" s="124"/>
      <c r="G1071" s="124"/>
      <c r="H1071" s="124"/>
      <c r="I1071" s="124"/>
    </row>
    <row r="1072">
      <c r="A1072" s="41"/>
      <c r="B1072" s="41"/>
      <c r="C1072" s="117"/>
      <c r="D1072" s="124"/>
      <c r="E1072" s="124"/>
      <c r="F1072" s="124"/>
      <c r="G1072" s="124"/>
      <c r="H1072" s="124"/>
      <c r="I1072" s="124"/>
    </row>
    <row r="1073">
      <c r="A1073" s="41"/>
      <c r="B1073" s="41"/>
      <c r="C1073" s="117"/>
      <c r="D1073" s="124"/>
      <c r="E1073" s="124"/>
      <c r="F1073" s="124"/>
      <c r="G1073" s="124"/>
      <c r="H1073" s="124"/>
      <c r="I1073" s="124"/>
    </row>
    <row r="1074">
      <c r="A1074" s="41"/>
      <c r="B1074" s="41"/>
      <c r="C1074" s="117"/>
      <c r="D1074" s="124"/>
      <c r="E1074" s="124"/>
      <c r="F1074" s="124"/>
      <c r="G1074" s="124"/>
      <c r="H1074" s="124"/>
      <c r="I1074" s="124"/>
    </row>
    <row r="1075">
      <c r="A1075" s="41"/>
      <c r="B1075" s="41"/>
      <c r="C1075" s="117"/>
      <c r="D1075" s="124"/>
      <c r="E1075" s="124"/>
      <c r="F1075" s="124"/>
      <c r="G1075" s="124"/>
      <c r="H1075" s="124"/>
      <c r="I1075" s="124"/>
    </row>
    <row r="1076">
      <c r="A1076" s="41"/>
      <c r="B1076" s="41"/>
      <c r="C1076" s="117"/>
      <c r="D1076" s="124"/>
      <c r="E1076" s="124"/>
      <c r="F1076" s="124"/>
      <c r="G1076" s="124"/>
      <c r="H1076" s="124"/>
      <c r="I1076" s="124"/>
    </row>
    <row r="1077">
      <c r="A1077" s="41"/>
      <c r="B1077" s="41"/>
      <c r="C1077" s="117"/>
      <c r="D1077" s="124"/>
      <c r="E1077" s="124"/>
      <c r="F1077" s="124"/>
      <c r="G1077" s="124"/>
      <c r="H1077" s="124"/>
      <c r="I1077" s="124"/>
    </row>
    <row r="1078">
      <c r="A1078" s="41"/>
      <c r="B1078" s="41"/>
      <c r="C1078" s="117"/>
      <c r="D1078" s="124"/>
      <c r="E1078" s="124"/>
      <c r="F1078" s="124"/>
      <c r="G1078" s="124"/>
      <c r="H1078" s="124"/>
      <c r="I1078" s="124"/>
    </row>
    <row r="1079">
      <c r="A1079" s="41"/>
      <c r="B1079" s="41"/>
      <c r="C1079" s="117"/>
      <c r="D1079" s="124"/>
      <c r="E1079" s="124"/>
      <c r="F1079" s="124"/>
      <c r="G1079" s="124"/>
      <c r="H1079" s="124"/>
      <c r="I1079" s="124"/>
    </row>
    <row r="1080">
      <c r="A1080" s="41"/>
      <c r="B1080" s="41"/>
      <c r="C1080" s="117"/>
      <c r="D1080" s="124"/>
      <c r="E1080" s="124"/>
      <c r="F1080" s="124"/>
      <c r="G1080" s="124"/>
      <c r="H1080" s="124"/>
      <c r="I1080" s="124"/>
    </row>
    <row r="1081">
      <c r="A1081" s="41"/>
      <c r="B1081" s="41"/>
      <c r="C1081" s="117"/>
      <c r="D1081" s="124"/>
      <c r="E1081" s="124"/>
      <c r="F1081" s="124"/>
      <c r="G1081" s="124"/>
      <c r="H1081" s="124"/>
      <c r="I1081" s="124"/>
    </row>
    <row r="1082">
      <c r="A1082" s="41"/>
      <c r="B1082" s="41"/>
      <c r="C1082" s="117"/>
      <c r="D1082" s="124"/>
      <c r="E1082" s="124"/>
      <c r="F1082" s="124"/>
      <c r="G1082" s="124"/>
      <c r="H1082" s="124"/>
      <c r="I1082" s="124"/>
    </row>
    <row r="1083">
      <c r="A1083" s="41"/>
      <c r="B1083" s="41"/>
      <c r="C1083" s="117"/>
      <c r="D1083" s="124"/>
      <c r="E1083" s="124"/>
      <c r="F1083" s="124"/>
      <c r="G1083" s="124"/>
      <c r="H1083" s="124"/>
      <c r="I1083" s="124"/>
    </row>
    <row r="1084">
      <c r="A1084" s="41"/>
      <c r="B1084" s="41"/>
      <c r="C1084" s="117"/>
      <c r="D1084" s="124"/>
      <c r="E1084" s="124"/>
      <c r="F1084" s="124"/>
      <c r="G1084" s="124"/>
      <c r="H1084" s="124"/>
      <c r="I1084" s="124"/>
    </row>
    <row r="1085">
      <c r="A1085" s="41"/>
      <c r="B1085" s="41"/>
      <c r="C1085" s="117"/>
      <c r="D1085" s="124"/>
      <c r="E1085" s="124"/>
      <c r="F1085" s="124"/>
      <c r="G1085" s="124"/>
      <c r="H1085" s="124"/>
      <c r="I1085" s="124"/>
    </row>
    <row r="1086">
      <c r="A1086" s="41"/>
      <c r="B1086" s="41"/>
      <c r="C1086" s="117"/>
      <c r="D1086" s="124"/>
      <c r="E1086" s="124"/>
      <c r="F1086" s="124"/>
      <c r="G1086" s="124"/>
      <c r="H1086" s="124"/>
      <c r="I1086" s="124"/>
    </row>
    <row r="1087">
      <c r="A1087" s="41"/>
      <c r="B1087" s="41"/>
      <c r="C1087" s="117"/>
      <c r="D1087" s="124"/>
      <c r="E1087" s="124"/>
      <c r="F1087" s="124"/>
      <c r="G1087" s="124"/>
      <c r="H1087" s="124"/>
      <c r="I1087" s="124"/>
    </row>
    <row r="1088">
      <c r="A1088" s="41"/>
      <c r="B1088" s="41"/>
      <c r="C1088" s="117"/>
      <c r="D1088" s="124"/>
      <c r="E1088" s="124"/>
      <c r="F1088" s="124"/>
      <c r="G1088" s="124"/>
      <c r="H1088" s="124"/>
      <c r="I1088" s="124"/>
    </row>
    <row r="1089">
      <c r="A1089" s="41"/>
      <c r="B1089" s="41"/>
      <c r="C1089" s="117"/>
      <c r="D1089" s="124"/>
      <c r="E1089" s="124"/>
      <c r="F1089" s="124"/>
      <c r="G1089" s="124"/>
      <c r="H1089" s="124"/>
      <c r="I1089" s="124"/>
    </row>
    <row r="1090">
      <c r="A1090" s="41"/>
      <c r="B1090" s="41"/>
      <c r="C1090" s="117"/>
      <c r="D1090" s="124"/>
      <c r="E1090" s="124"/>
      <c r="F1090" s="124"/>
      <c r="G1090" s="124"/>
      <c r="H1090" s="124"/>
      <c r="I1090" s="124"/>
    </row>
    <row r="1091">
      <c r="A1091" s="41"/>
      <c r="B1091" s="41"/>
      <c r="C1091" s="117"/>
      <c r="D1091" s="124"/>
      <c r="E1091" s="124"/>
      <c r="F1091" s="124"/>
      <c r="G1091" s="124"/>
      <c r="H1091" s="124"/>
      <c r="I1091" s="124"/>
    </row>
    <row r="1092">
      <c r="A1092" s="41"/>
      <c r="B1092" s="41"/>
      <c r="C1092" s="117"/>
      <c r="D1092" s="124"/>
      <c r="E1092" s="124"/>
      <c r="F1092" s="124"/>
      <c r="G1092" s="124"/>
      <c r="H1092" s="124"/>
      <c r="I1092" s="124"/>
    </row>
    <row r="1093">
      <c r="A1093" s="41"/>
      <c r="B1093" s="41"/>
      <c r="C1093" s="117"/>
      <c r="D1093" s="124"/>
      <c r="E1093" s="124"/>
      <c r="F1093" s="124"/>
      <c r="G1093" s="124"/>
      <c r="H1093" s="124"/>
      <c r="I1093" s="124"/>
    </row>
    <row r="1094">
      <c r="A1094" s="41"/>
      <c r="B1094" s="41"/>
      <c r="C1094" s="117"/>
      <c r="D1094" s="124"/>
      <c r="E1094" s="124"/>
      <c r="F1094" s="124"/>
      <c r="G1094" s="124"/>
      <c r="H1094" s="124"/>
      <c r="I1094" s="124"/>
    </row>
    <row r="1095">
      <c r="A1095" s="41"/>
      <c r="B1095" s="41"/>
      <c r="C1095" s="117"/>
      <c r="D1095" s="124"/>
      <c r="E1095" s="124"/>
      <c r="F1095" s="124"/>
      <c r="G1095" s="124"/>
      <c r="H1095" s="124"/>
      <c r="I1095" s="124"/>
    </row>
    <row r="1096">
      <c r="A1096" s="41"/>
      <c r="B1096" s="41"/>
      <c r="C1096" s="117"/>
      <c r="D1096" s="124"/>
      <c r="E1096" s="124"/>
      <c r="F1096" s="124"/>
      <c r="G1096" s="124"/>
      <c r="H1096" s="124"/>
      <c r="I1096" s="124"/>
    </row>
    <row r="1097">
      <c r="A1097" s="41"/>
      <c r="B1097" s="41"/>
      <c r="C1097" s="117"/>
      <c r="D1097" s="124"/>
      <c r="E1097" s="124"/>
      <c r="F1097" s="124"/>
      <c r="G1097" s="124"/>
      <c r="H1097" s="124"/>
      <c r="I1097" s="124"/>
    </row>
    <row r="1098">
      <c r="A1098" s="41"/>
      <c r="B1098" s="41"/>
      <c r="C1098" s="117"/>
      <c r="D1098" s="124"/>
      <c r="E1098" s="124"/>
      <c r="F1098" s="124"/>
      <c r="G1098" s="124"/>
      <c r="H1098" s="124"/>
      <c r="I1098" s="124"/>
    </row>
    <row r="1099">
      <c r="A1099" s="41"/>
      <c r="B1099" s="41"/>
      <c r="C1099" s="117"/>
      <c r="D1099" s="124"/>
      <c r="E1099" s="124"/>
      <c r="F1099" s="124"/>
      <c r="G1099" s="124"/>
      <c r="H1099" s="124"/>
      <c r="I1099" s="124"/>
    </row>
    <row r="1100">
      <c r="A1100" s="41"/>
      <c r="B1100" s="41"/>
      <c r="C1100" s="117"/>
      <c r="D1100" s="124"/>
      <c r="E1100" s="124"/>
      <c r="F1100" s="124"/>
      <c r="G1100" s="124"/>
      <c r="H1100" s="124"/>
      <c r="I1100" s="124"/>
    </row>
    <row r="1101">
      <c r="A1101" s="41"/>
      <c r="B1101" s="41"/>
      <c r="C1101" s="117"/>
      <c r="D1101" s="124"/>
      <c r="E1101" s="124"/>
      <c r="F1101" s="124"/>
      <c r="G1101" s="124"/>
      <c r="H1101" s="124"/>
      <c r="I1101" s="124"/>
    </row>
    <row r="1102">
      <c r="A1102" s="41"/>
      <c r="B1102" s="41"/>
      <c r="C1102" s="117"/>
      <c r="D1102" s="124"/>
      <c r="E1102" s="124"/>
      <c r="F1102" s="124"/>
      <c r="G1102" s="124"/>
      <c r="H1102" s="124"/>
      <c r="I1102" s="124"/>
    </row>
    <row r="1103">
      <c r="A1103" s="41"/>
      <c r="B1103" s="41"/>
      <c r="C1103" s="117"/>
      <c r="D1103" s="124"/>
      <c r="E1103" s="124"/>
      <c r="F1103" s="124"/>
      <c r="G1103" s="124"/>
      <c r="H1103" s="124"/>
      <c r="I1103" s="124"/>
    </row>
    <row r="1104">
      <c r="A1104" s="41"/>
      <c r="B1104" s="41"/>
      <c r="C1104" s="117"/>
      <c r="D1104" s="124"/>
      <c r="E1104" s="124"/>
      <c r="F1104" s="124"/>
      <c r="G1104" s="124"/>
      <c r="H1104" s="124"/>
      <c r="I1104" s="124"/>
    </row>
    <row r="1105">
      <c r="A1105" s="41"/>
      <c r="B1105" s="41"/>
      <c r="C1105" s="117"/>
      <c r="D1105" s="124"/>
      <c r="E1105" s="124"/>
      <c r="F1105" s="124"/>
      <c r="G1105" s="124"/>
      <c r="H1105" s="124"/>
      <c r="I1105" s="124"/>
    </row>
    <row r="1106">
      <c r="A1106" s="41"/>
      <c r="B1106" s="41"/>
      <c r="C1106" s="117"/>
      <c r="D1106" s="124"/>
      <c r="E1106" s="124"/>
      <c r="F1106" s="124"/>
      <c r="G1106" s="124"/>
      <c r="H1106" s="124"/>
      <c r="I1106" s="124"/>
    </row>
    <row r="1107">
      <c r="A1107" s="41"/>
      <c r="B1107" s="41"/>
      <c r="C1107" s="117"/>
      <c r="D1107" s="124"/>
      <c r="E1107" s="124"/>
      <c r="F1107" s="124"/>
      <c r="G1107" s="124"/>
      <c r="H1107" s="124"/>
      <c r="I1107" s="124"/>
    </row>
    <row r="1108">
      <c r="A1108" s="41"/>
      <c r="B1108" s="41"/>
      <c r="C1108" s="117"/>
      <c r="D1108" s="124"/>
      <c r="E1108" s="124"/>
      <c r="F1108" s="124"/>
      <c r="G1108" s="124"/>
      <c r="H1108" s="124"/>
      <c r="I1108" s="124"/>
    </row>
    <row r="1109">
      <c r="A1109" s="41"/>
      <c r="B1109" s="41"/>
      <c r="C1109" s="117"/>
      <c r="D1109" s="124"/>
      <c r="E1109" s="124"/>
      <c r="F1109" s="124"/>
      <c r="G1109" s="124"/>
      <c r="H1109" s="124"/>
      <c r="I1109" s="124"/>
    </row>
    <row r="1110">
      <c r="A1110" s="41"/>
      <c r="B1110" s="41"/>
      <c r="C1110" s="117"/>
      <c r="D1110" s="124"/>
      <c r="E1110" s="124"/>
      <c r="F1110" s="124"/>
      <c r="G1110" s="124"/>
      <c r="H1110" s="124"/>
      <c r="I1110" s="124"/>
    </row>
    <row r="1111">
      <c r="A1111" s="41"/>
      <c r="B1111" s="41"/>
      <c r="C1111" s="117"/>
      <c r="D1111" s="124"/>
      <c r="E1111" s="124"/>
      <c r="F1111" s="124"/>
      <c r="G1111" s="124"/>
      <c r="H1111" s="124"/>
      <c r="I1111" s="124"/>
    </row>
    <row r="1112">
      <c r="A1112" s="41"/>
      <c r="B1112" s="41"/>
      <c r="C1112" s="117"/>
      <c r="D1112" s="124"/>
      <c r="E1112" s="124"/>
      <c r="F1112" s="124"/>
      <c r="G1112" s="124"/>
      <c r="H1112" s="124"/>
      <c r="I1112" s="124"/>
    </row>
    <row r="1113">
      <c r="A1113" s="41"/>
      <c r="B1113" s="41"/>
      <c r="C1113" s="117"/>
      <c r="D1113" s="124"/>
      <c r="E1113" s="124"/>
      <c r="F1113" s="124"/>
      <c r="G1113" s="124"/>
      <c r="H1113" s="124"/>
      <c r="I1113" s="124"/>
    </row>
    <row r="1114">
      <c r="A1114" s="41"/>
      <c r="B1114" s="41"/>
      <c r="C1114" s="117"/>
      <c r="D1114" s="124"/>
      <c r="E1114" s="124"/>
      <c r="F1114" s="124"/>
      <c r="G1114" s="124"/>
      <c r="H1114" s="124"/>
      <c r="I1114" s="124"/>
    </row>
    <row r="1115">
      <c r="A1115" s="41"/>
      <c r="B1115" s="41"/>
      <c r="C1115" s="117"/>
      <c r="D1115" s="124"/>
      <c r="E1115" s="124"/>
      <c r="F1115" s="124"/>
      <c r="G1115" s="124"/>
      <c r="H1115" s="124"/>
      <c r="I1115" s="124"/>
    </row>
    <row r="1116">
      <c r="A1116" s="41"/>
      <c r="B1116" s="41"/>
      <c r="C1116" s="117"/>
      <c r="D1116" s="124"/>
      <c r="E1116" s="124"/>
      <c r="F1116" s="124"/>
      <c r="G1116" s="124"/>
      <c r="H1116" s="124"/>
      <c r="I1116" s="124"/>
    </row>
    <row r="1117">
      <c r="A1117" s="41"/>
      <c r="B1117" s="41"/>
      <c r="C1117" s="117"/>
      <c r="D1117" s="124"/>
      <c r="E1117" s="124"/>
      <c r="F1117" s="124"/>
      <c r="G1117" s="124"/>
      <c r="H1117" s="124"/>
      <c r="I1117" s="124"/>
    </row>
    <row r="1118">
      <c r="A1118" s="41"/>
      <c r="B1118" s="41"/>
      <c r="C1118" s="117"/>
      <c r="D1118" s="124"/>
      <c r="E1118" s="124"/>
      <c r="F1118" s="124"/>
      <c r="G1118" s="124"/>
      <c r="H1118" s="124"/>
      <c r="I1118" s="124"/>
    </row>
    <row r="1119">
      <c r="A1119" s="41"/>
      <c r="B1119" s="41"/>
      <c r="C1119" s="117"/>
      <c r="D1119" s="124"/>
      <c r="E1119" s="124"/>
      <c r="F1119" s="124"/>
      <c r="G1119" s="124"/>
      <c r="H1119" s="124"/>
      <c r="I1119" s="124"/>
    </row>
    <row r="1120">
      <c r="A1120" s="41"/>
      <c r="B1120" s="41"/>
      <c r="C1120" s="117"/>
      <c r="D1120" s="124"/>
      <c r="E1120" s="124"/>
      <c r="F1120" s="124"/>
      <c r="G1120" s="124"/>
      <c r="H1120" s="124"/>
      <c r="I1120" s="124"/>
    </row>
    <row r="1121">
      <c r="A1121" s="41"/>
      <c r="B1121" s="41"/>
      <c r="C1121" s="117"/>
      <c r="D1121" s="124"/>
      <c r="E1121" s="124"/>
      <c r="F1121" s="124"/>
      <c r="G1121" s="124"/>
      <c r="H1121" s="124"/>
      <c r="I1121" s="124"/>
    </row>
    <row r="1122">
      <c r="A1122" s="41"/>
      <c r="B1122" s="41"/>
      <c r="C1122" s="117"/>
      <c r="D1122" s="124"/>
      <c r="E1122" s="124"/>
      <c r="F1122" s="124"/>
      <c r="G1122" s="124"/>
      <c r="H1122" s="124"/>
      <c r="I1122" s="124"/>
    </row>
    <row r="1123">
      <c r="A1123" s="41"/>
      <c r="B1123" s="41"/>
      <c r="C1123" s="117"/>
      <c r="D1123" s="124"/>
      <c r="E1123" s="124"/>
      <c r="F1123" s="124"/>
      <c r="G1123" s="124"/>
      <c r="H1123" s="124"/>
      <c r="I1123" s="124"/>
    </row>
    <row r="1124">
      <c r="A1124" s="41"/>
      <c r="B1124" s="41"/>
      <c r="C1124" s="117"/>
      <c r="D1124" s="124"/>
      <c r="E1124" s="124"/>
      <c r="F1124" s="124"/>
      <c r="G1124" s="124"/>
      <c r="H1124" s="124"/>
      <c r="I1124" s="124"/>
    </row>
    <row r="1125">
      <c r="A1125" s="41"/>
      <c r="B1125" s="41"/>
      <c r="C1125" s="117"/>
      <c r="D1125" s="124"/>
      <c r="E1125" s="124"/>
      <c r="F1125" s="124"/>
      <c r="G1125" s="124"/>
      <c r="H1125" s="124"/>
      <c r="I1125" s="124"/>
    </row>
    <row r="1126">
      <c r="A1126" s="41"/>
      <c r="B1126" s="41"/>
      <c r="C1126" s="117"/>
      <c r="D1126" s="124"/>
      <c r="E1126" s="124"/>
      <c r="F1126" s="124"/>
      <c r="G1126" s="124"/>
      <c r="H1126" s="124"/>
      <c r="I1126" s="124"/>
    </row>
    <row r="1127">
      <c r="A1127" s="41"/>
      <c r="B1127" s="41"/>
      <c r="C1127" s="117"/>
      <c r="D1127" s="124"/>
      <c r="E1127" s="124"/>
      <c r="F1127" s="124"/>
      <c r="G1127" s="124"/>
      <c r="H1127" s="124"/>
      <c r="I1127" s="124"/>
    </row>
    <row r="1128">
      <c r="A1128" s="41"/>
      <c r="B1128" s="41"/>
      <c r="C1128" s="117"/>
      <c r="D1128" s="124"/>
      <c r="E1128" s="124"/>
      <c r="F1128" s="124"/>
      <c r="G1128" s="124"/>
      <c r="H1128" s="124"/>
      <c r="I1128" s="124"/>
    </row>
    <row r="1129">
      <c r="A1129" s="41"/>
      <c r="B1129" s="41"/>
      <c r="C1129" s="117"/>
      <c r="D1129" s="124"/>
      <c r="E1129" s="124"/>
      <c r="F1129" s="124"/>
      <c r="G1129" s="124"/>
      <c r="H1129" s="124"/>
      <c r="I1129" s="124"/>
    </row>
    <row r="1130">
      <c r="A1130" s="41"/>
      <c r="B1130" s="41"/>
      <c r="C1130" s="117"/>
      <c r="D1130" s="124"/>
      <c r="E1130" s="124"/>
      <c r="F1130" s="124"/>
      <c r="G1130" s="124"/>
      <c r="H1130" s="124"/>
      <c r="I1130" s="124"/>
    </row>
    <row r="1131">
      <c r="A1131" s="41"/>
      <c r="B1131" s="41"/>
      <c r="C1131" s="117"/>
      <c r="D1131" s="124"/>
      <c r="E1131" s="124"/>
      <c r="F1131" s="124"/>
      <c r="G1131" s="124"/>
      <c r="H1131" s="124"/>
      <c r="I1131" s="124"/>
    </row>
    <row r="1132">
      <c r="A1132" s="41"/>
      <c r="B1132" s="41"/>
      <c r="C1132" s="117"/>
      <c r="D1132" s="124"/>
      <c r="E1132" s="124"/>
      <c r="F1132" s="124"/>
      <c r="G1132" s="124"/>
      <c r="H1132" s="124"/>
      <c r="I1132" s="124"/>
    </row>
    <row r="1133">
      <c r="A1133" s="41"/>
      <c r="B1133" s="41"/>
      <c r="C1133" s="117"/>
      <c r="D1133" s="124"/>
      <c r="E1133" s="124"/>
      <c r="F1133" s="124"/>
      <c r="G1133" s="124"/>
      <c r="H1133" s="124"/>
      <c r="I1133" s="124"/>
    </row>
    <row r="1134">
      <c r="A1134" s="41"/>
      <c r="B1134" s="41"/>
      <c r="C1134" s="117"/>
      <c r="D1134" s="124"/>
      <c r="E1134" s="124"/>
      <c r="F1134" s="124"/>
      <c r="G1134" s="124"/>
      <c r="H1134" s="124"/>
      <c r="I1134" s="124"/>
    </row>
    <row r="1135">
      <c r="A1135" s="41"/>
      <c r="B1135" s="41"/>
      <c r="C1135" s="117"/>
      <c r="D1135" s="124"/>
      <c r="E1135" s="124"/>
      <c r="F1135" s="124"/>
      <c r="G1135" s="124"/>
      <c r="H1135" s="124"/>
      <c r="I1135" s="124"/>
    </row>
    <row r="1136">
      <c r="A1136" s="41"/>
      <c r="B1136" s="41"/>
      <c r="C1136" s="117"/>
      <c r="D1136" s="124"/>
      <c r="E1136" s="124"/>
      <c r="F1136" s="124"/>
      <c r="G1136" s="124"/>
      <c r="H1136" s="124"/>
      <c r="I1136" s="124"/>
    </row>
    <row r="1137">
      <c r="A1137" s="41"/>
      <c r="B1137" s="41"/>
      <c r="C1137" s="117"/>
      <c r="D1137" s="124"/>
      <c r="E1137" s="124"/>
      <c r="F1137" s="124"/>
      <c r="G1137" s="124"/>
      <c r="H1137" s="124"/>
      <c r="I1137" s="124"/>
    </row>
    <row r="1138">
      <c r="A1138" s="41"/>
      <c r="B1138" s="41"/>
      <c r="C1138" s="117"/>
      <c r="D1138" s="124"/>
      <c r="E1138" s="124"/>
      <c r="F1138" s="124"/>
      <c r="G1138" s="124"/>
      <c r="H1138" s="124"/>
      <c r="I1138" s="124"/>
    </row>
    <row r="1139">
      <c r="A1139" s="41"/>
      <c r="B1139" s="41"/>
      <c r="C1139" s="117"/>
      <c r="D1139" s="124"/>
      <c r="E1139" s="124"/>
      <c r="F1139" s="124"/>
      <c r="G1139" s="124"/>
      <c r="H1139" s="124"/>
      <c r="I1139" s="124"/>
    </row>
    <row r="1140">
      <c r="A1140" s="41"/>
      <c r="B1140" s="41"/>
      <c r="C1140" s="117"/>
      <c r="D1140" s="124"/>
      <c r="E1140" s="124"/>
      <c r="F1140" s="124"/>
      <c r="G1140" s="124"/>
      <c r="H1140" s="124"/>
      <c r="I1140" s="124"/>
    </row>
    <row r="1141">
      <c r="A1141" s="41"/>
      <c r="B1141" s="41"/>
      <c r="C1141" s="117"/>
      <c r="D1141" s="124"/>
      <c r="E1141" s="124"/>
      <c r="F1141" s="124"/>
      <c r="G1141" s="124"/>
      <c r="H1141" s="124"/>
      <c r="I1141" s="124"/>
    </row>
    <row r="1142">
      <c r="A1142" s="41"/>
      <c r="B1142" s="41"/>
      <c r="C1142" s="117"/>
      <c r="D1142" s="124"/>
      <c r="E1142" s="124"/>
      <c r="F1142" s="124"/>
      <c r="G1142" s="124"/>
      <c r="H1142" s="124"/>
      <c r="I1142" s="124"/>
    </row>
    <row r="1143">
      <c r="A1143" s="41"/>
      <c r="B1143" s="41"/>
      <c r="C1143" s="117"/>
      <c r="D1143" s="124"/>
      <c r="E1143" s="124"/>
      <c r="F1143" s="124"/>
      <c r="G1143" s="124"/>
      <c r="H1143" s="124"/>
      <c r="I1143" s="124"/>
    </row>
    <row r="1144">
      <c r="A1144" s="41"/>
      <c r="B1144" s="41"/>
      <c r="C1144" s="117"/>
      <c r="D1144" s="124"/>
      <c r="E1144" s="124"/>
      <c r="F1144" s="124"/>
      <c r="G1144" s="124"/>
      <c r="H1144" s="124"/>
      <c r="I1144" s="124"/>
    </row>
    <row r="1145">
      <c r="A1145" s="41"/>
      <c r="B1145" s="41"/>
      <c r="C1145" s="117"/>
      <c r="D1145" s="124"/>
      <c r="E1145" s="124"/>
      <c r="F1145" s="124"/>
      <c r="G1145" s="124"/>
      <c r="H1145" s="124"/>
      <c r="I1145" s="124"/>
    </row>
    <row r="1146">
      <c r="A1146" s="41"/>
      <c r="B1146" s="41"/>
      <c r="C1146" s="117"/>
      <c r="D1146" s="124"/>
      <c r="E1146" s="124"/>
      <c r="F1146" s="124"/>
      <c r="G1146" s="124"/>
      <c r="H1146" s="124"/>
      <c r="I1146" s="124"/>
    </row>
    <row r="1147">
      <c r="A1147" s="41"/>
      <c r="B1147" s="41"/>
      <c r="C1147" s="117"/>
      <c r="D1147" s="124"/>
      <c r="E1147" s="124"/>
      <c r="F1147" s="124"/>
      <c r="G1147" s="124"/>
      <c r="H1147" s="124"/>
      <c r="I1147" s="124"/>
    </row>
    <row r="1148">
      <c r="A1148" s="41"/>
      <c r="B1148" s="41"/>
      <c r="C1148" s="117"/>
      <c r="D1148" s="124"/>
      <c r="E1148" s="124"/>
      <c r="F1148" s="124"/>
      <c r="G1148" s="124"/>
      <c r="H1148" s="124"/>
      <c r="I1148" s="124"/>
    </row>
    <row r="1149">
      <c r="A1149" s="41"/>
      <c r="B1149" s="41"/>
      <c r="C1149" s="117"/>
      <c r="D1149" s="124"/>
      <c r="E1149" s="124"/>
      <c r="F1149" s="124"/>
      <c r="G1149" s="124"/>
      <c r="H1149" s="124"/>
      <c r="I1149" s="124"/>
    </row>
    <row r="1150">
      <c r="A1150" s="41"/>
      <c r="B1150" s="41"/>
      <c r="C1150" s="117"/>
      <c r="D1150" s="124"/>
      <c r="E1150" s="124"/>
      <c r="F1150" s="124"/>
      <c r="G1150" s="124"/>
      <c r="H1150" s="124"/>
      <c r="I1150" s="124"/>
    </row>
    <row r="1151">
      <c r="A1151" s="41"/>
      <c r="B1151" s="41"/>
      <c r="C1151" s="117"/>
      <c r="D1151" s="124"/>
      <c r="E1151" s="124"/>
      <c r="F1151" s="124"/>
      <c r="G1151" s="124"/>
      <c r="H1151" s="124"/>
      <c r="I1151" s="124"/>
    </row>
    <row r="1152">
      <c r="A1152" s="41"/>
      <c r="B1152" s="41"/>
      <c r="C1152" s="117"/>
      <c r="D1152" s="124"/>
      <c r="E1152" s="124"/>
      <c r="F1152" s="124"/>
      <c r="G1152" s="124"/>
      <c r="H1152" s="124"/>
      <c r="I1152" s="124"/>
    </row>
    <row r="1153">
      <c r="A1153" s="41"/>
      <c r="B1153" s="41"/>
      <c r="C1153" s="117"/>
      <c r="D1153" s="124"/>
      <c r="E1153" s="124"/>
      <c r="F1153" s="124"/>
      <c r="G1153" s="124"/>
      <c r="H1153" s="124"/>
      <c r="I1153" s="124"/>
    </row>
    <row r="1154">
      <c r="A1154" s="41"/>
      <c r="B1154" s="41"/>
      <c r="C1154" s="117"/>
      <c r="D1154" s="124"/>
      <c r="E1154" s="124"/>
      <c r="F1154" s="124"/>
      <c r="G1154" s="124"/>
      <c r="H1154" s="124"/>
      <c r="I1154" s="124"/>
    </row>
    <row r="1155">
      <c r="A1155" s="41"/>
      <c r="B1155" s="41"/>
      <c r="C1155" s="117"/>
      <c r="D1155" s="124"/>
      <c r="E1155" s="124"/>
      <c r="F1155" s="124"/>
      <c r="G1155" s="124"/>
      <c r="H1155" s="124"/>
      <c r="I1155" s="124"/>
    </row>
    <row r="1156">
      <c r="A1156" s="41"/>
      <c r="B1156" s="41"/>
      <c r="C1156" s="117"/>
      <c r="D1156" s="124"/>
      <c r="E1156" s="124"/>
      <c r="F1156" s="124"/>
      <c r="G1156" s="124"/>
      <c r="H1156" s="124"/>
      <c r="I1156" s="124"/>
    </row>
    <row r="1157">
      <c r="A1157" s="41"/>
      <c r="B1157" s="41"/>
      <c r="C1157" s="117"/>
      <c r="D1157" s="124"/>
      <c r="E1157" s="124"/>
      <c r="F1157" s="124"/>
      <c r="G1157" s="124"/>
      <c r="H1157" s="124"/>
      <c r="I1157" s="124"/>
    </row>
    <row r="1158">
      <c r="A1158" s="41"/>
      <c r="B1158" s="41"/>
      <c r="C1158" s="117"/>
      <c r="D1158" s="124"/>
      <c r="E1158" s="124"/>
      <c r="F1158" s="124"/>
      <c r="G1158" s="124"/>
      <c r="H1158" s="124"/>
      <c r="I1158" s="124"/>
    </row>
    <row r="1159">
      <c r="A1159" s="41"/>
      <c r="B1159" s="41"/>
      <c r="C1159" s="117"/>
      <c r="D1159" s="124"/>
      <c r="E1159" s="124"/>
      <c r="F1159" s="124"/>
      <c r="G1159" s="124"/>
      <c r="H1159" s="124"/>
      <c r="I1159" s="124"/>
    </row>
    <row r="1160">
      <c r="A1160" s="41"/>
      <c r="B1160" s="41"/>
      <c r="C1160" s="117"/>
      <c r="D1160" s="124"/>
      <c r="E1160" s="124"/>
      <c r="F1160" s="124"/>
      <c r="G1160" s="124"/>
      <c r="H1160" s="124"/>
      <c r="I1160" s="124"/>
    </row>
    <row r="1161">
      <c r="A1161" s="41"/>
      <c r="B1161" s="41"/>
      <c r="C1161" s="117"/>
      <c r="D1161" s="124"/>
      <c r="E1161" s="124"/>
      <c r="F1161" s="124"/>
      <c r="G1161" s="124"/>
      <c r="H1161" s="124"/>
      <c r="I1161" s="124"/>
    </row>
    <row r="1162">
      <c r="A1162" s="41"/>
      <c r="B1162" s="41"/>
      <c r="C1162" s="117"/>
      <c r="D1162" s="124"/>
      <c r="E1162" s="124"/>
      <c r="F1162" s="124"/>
      <c r="G1162" s="124"/>
      <c r="H1162" s="124"/>
      <c r="I1162" s="124"/>
    </row>
    <row r="1163">
      <c r="A1163" s="41"/>
      <c r="B1163" s="41"/>
      <c r="C1163" s="117"/>
      <c r="D1163" s="124"/>
      <c r="E1163" s="124"/>
      <c r="F1163" s="124"/>
      <c r="G1163" s="124"/>
      <c r="H1163" s="124"/>
      <c r="I1163" s="124"/>
    </row>
    <row r="1164">
      <c r="A1164" s="41"/>
      <c r="B1164" s="41"/>
      <c r="C1164" s="117"/>
      <c r="D1164" s="124"/>
      <c r="E1164" s="124"/>
      <c r="F1164" s="124"/>
      <c r="G1164" s="124"/>
      <c r="H1164" s="124"/>
      <c r="I1164" s="124"/>
    </row>
    <row r="1165">
      <c r="A1165" s="41"/>
      <c r="B1165" s="41"/>
      <c r="C1165" s="117"/>
      <c r="D1165" s="124"/>
      <c r="E1165" s="124"/>
      <c r="F1165" s="124"/>
      <c r="G1165" s="124"/>
      <c r="H1165" s="124"/>
      <c r="I1165" s="124"/>
    </row>
    <row r="1166">
      <c r="A1166" s="41"/>
      <c r="B1166" s="41"/>
      <c r="C1166" s="117"/>
      <c r="D1166" s="124"/>
      <c r="E1166" s="124"/>
      <c r="F1166" s="124"/>
      <c r="G1166" s="124"/>
      <c r="H1166" s="124"/>
      <c r="I1166" s="124"/>
    </row>
    <row r="1167">
      <c r="A1167" s="41"/>
      <c r="B1167" s="41"/>
      <c r="C1167" s="117"/>
      <c r="D1167" s="124"/>
      <c r="E1167" s="124"/>
      <c r="F1167" s="124"/>
      <c r="G1167" s="124"/>
      <c r="H1167" s="124"/>
      <c r="I1167" s="124"/>
    </row>
    <row r="1168">
      <c r="A1168" s="41"/>
      <c r="B1168" s="41"/>
      <c r="C1168" s="117"/>
      <c r="D1168" s="124"/>
      <c r="E1168" s="124"/>
      <c r="F1168" s="124"/>
      <c r="G1168" s="124"/>
      <c r="H1168" s="124"/>
      <c r="I1168" s="124"/>
    </row>
    <row r="1169">
      <c r="A1169" s="41"/>
      <c r="B1169" s="41"/>
      <c r="C1169" s="117"/>
      <c r="D1169" s="124"/>
      <c r="E1169" s="124"/>
      <c r="F1169" s="124"/>
      <c r="G1169" s="124"/>
      <c r="H1169" s="124"/>
      <c r="I1169" s="124"/>
    </row>
    <row r="1170">
      <c r="A1170" s="41"/>
      <c r="B1170" s="41"/>
      <c r="C1170" s="117"/>
      <c r="D1170" s="124"/>
      <c r="E1170" s="124"/>
      <c r="F1170" s="124"/>
      <c r="G1170" s="124"/>
      <c r="H1170" s="124"/>
      <c r="I1170" s="124"/>
    </row>
    <row r="1171">
      <c r="A1171" s="41"/>
      <c r="B1171" s="41"/>
      <c r="C1171" s="117"/>
      <c r="D1171" s="124"/>
      <c r="E1171" s="124"/>
      <c r="F1171" s="124"/>
      <c r="G1171" s="124"/>
      <c r="H1171" s="124"/>
      <c r="I1171" s="124"/>
    </row>
    <row r="1172">
      <c r="A1172" s="41"/>
      <c r="B1172" s="41"/>
      <c r="C1172" s="117"/>
      <c r="D1172" s="124"/>
      <c r="E1172" s="124"/>
      <c r="F1172" s="124"/>
      <c r="G1172" s="124"/>
      <c r="H1172" s="124"/>
      <c r="I1172" s="124"/>
    </row>
    <row r="1173">
      <c r="A1173" s="41"/>
      <c r="B1173" s="41"/>
      <c r="C1173" s="117"/>
      <c r="D1173" s="124"/>
      <c r="E1173" s="124"/>
      <c r="F1173" s="124"/>
      <c r="G1173" s="124"/>
      <c r="H1173" s="124"/>
      <c r="I1173" s="124"/>
    </row>
    <row r="1174">
      <c r="A1174" s="41"/>
      <c r="B1174" s="41"/>
      <c r="C1174" s="117"/>
      <c r="D1174" s="124"/>
      <c r="E1174" s="124"/>
      <c r="F1174" s="124"/>
      <c r="G1174" s="124"/>
      <c r="H1174" s="124"/>
      <c r="I1174" s="124"/>
    </row>
    <row r="1175">
      <c r="A1175" s="41"/>
      <c r="B1175" s="41"/>
      <c r="C1175" s="117"/>
      <c r="D1175" s="124"/>
      <c r="E1175" s="124"/>
      <c r="F1175" s="124"/>
      <c r="G1175" s="124"/>
      <c r="H1175" s="124"/>
      <c r="I1175" s="124"/>
    </row>
    <row r="1176">
      <c r="A1176" s="41"/>
      <c r="B1176" s="41"/>
      <c r="C1176" s="117"/>
      <c r="D1176" s="124"/>
      <c r="E1176" s="124"/>
      <c r="F1176" s="124"/>
      <c r="G1176" s="124"/>
      <c r="H1176" s="124"/>
      <c r="I1176" s="124"/>
    </row>
    <row r="1177">
      <c r="A1177" s="41"/>
      <c r="B1177" s="41"/>
      <c r="C1177" s="117"/>
      <c r="D1177" s="124"/>
      <c r="E1177" s="124"/>
      <c r="F1177" s="124"/>
      <c r="G1177" s="124"/>
      <c r="H1177" s="124"/>
      <c r="I1177" s="124"/>
    </row>
    <row r="1178">
      <c r="A1178" s="41"/>
      <c r="B1178" s="41"/>
      <c r="C1178" s="117"/>
      <c r="D1178" s="124"/>
      <c r="E1178" s="124"/>
      <c r="F1178" s="124"/>
      <c r="G1178" s="124"/>
      <c r="H1178" s="124"/>
      <c r="I1178" s="124"/>
    </row>
    <row r="1179">
      <c r="A1179" s="41"/>
      <c r="B1179" s="41"/>
      <c r="C1179" s="117"/>
      <c r="D1179" s="124"/>
      <c r="E1179" s="124"/>
      <c r="F1179" s="124"/>
      <c r="G1179" s="124"/>
      <c r="H1179" s="124"/>
      <c r="I1179" s="124"/>
    </row>
    <row r="1180">
      <c r="A1180" s="41"/>
      <c r="B1180" s="41"/>
      <c r="C1180" s="117"/>
      <c r="D1180" s="124"/>
      <c r="E1180" s="124"/>
      <c r="F1180" s="124"/>
      <c r="G1180" s="124"/>
      <c r="H1180" s="124"/>
      <c r="I1180" s="124"/>
    </row>
    <row r="1181">
      <c r="A1181" s="41"/>
      <c r="B1181" s="41"/>
      <c r="C1181" s="117"/>
      <c r="D1181" s="124"/>
      <c r="E1181" s="124"/>
      <c r="F1181" s="124"/>
      <c r="G1181" s="124"/>
      <c r="H1181" s="124"/>
      <c r="I1181" s="124"/>
    </row>
    <row r="1182">
      <c r="A1182" s="41"/>
      <c r="B1182" s="41"/>
      <c r="C1182" s="117"/>
      <c r="D1182" s="124"/>
      <c r="E1182" s="124"/>
      <c r="F1182" s="124"/>
      <c r="G1182" s="124"/>
      <c r="H1182" s="124"/>
      <c r="I1182" s="124"/>
    </row>
    <row r="1183">
      <c r="A1183" s="41"/>
      <c r="B1183" s="41"/>
      <c r="C1183" s="117"/>
      <c r="D1183" s="124"/>
      <c r="E1183" s="124"/>
      <c r="F1183" s="124"/>
      <c r="G1183" s="124"/>
      <c r="H1183" s="124"/>
      <c r="I1183" s="124"/>
    </row>
    <row r="1184">
      <c r="A1184" s="41"/>
      <c r="B1184" s="41"/>
      <c r="C1184" s="117"/>
      <c r="D1184" s="124"/>
      <c r="E1184" s="124"/>
      <c r="F1184" s="124"/>
      <c r="G1184" s="124"/>
      <c r="H1184" s="124"/>
      <c r="I1184" s="124"/>
    </row>
    <row r="1185">
      <c r="A1185" s="41"/>
      <c r="B1185" s="41"/>
      <c r="C1185" s="117"/>
      <c r="D1185" s="124"/>
      <c r="E1185" s="124"/>
      <c r="F1185" s="124"/>
      <c r="G1185" s="124"/>
      <c r="H1185" s="124"/>
      <c r="I1185" s="124"/>
    </row>
    <row r="1186">
      <c r="A1186" s="41"/>
      <c r="B1186" s="41"/>
      <c r="C1186" s="117"/>
      <c r="D1186" s="124"/>
      <c r="E1186" s="124"/>
      <c r="F1186" s="124"/>
      <c r="G1186" s="124"/>
      <c r="H1186" s="124"/>
      <c r="I1186" s="124"/>
    </row>
    <row r="1187">
      <c r="A1187" s="41"/>
      <c r="B1187" s="41"/>
      <c r="C1187" s="117"/>
      <c r="D1187" s="124"/>
      <c r="E1187" s="124"/>
      <c r="F1187" s="124"/>
      <c r="G1187" s="124"/>
      <c r="H1187" s="124"/>
      <c r="I1187" s="124"/>
    </row>
    <row r="1188">
      <c r="A1188" s="41"/>
      <c r="B1188" s="41"/>
      <c r="C1188" s="117"/>
      <c r="D1188" s="124"/>
      <c r="E1188" s="124"/>
      <c r="F1188" s="124"/>
      <c r="G1188" s="124"/>
      <c r="H1188" s="124"/>
      <c r="I1188" s="124"/>
    </row>
    <row r="1189">
      <c r="A1189" s="41"/>
      <c r="B1189" s="41"/>
      <c r="C1189" s="117"/>
      <c r="D1189" s="124"/>
      <c r="E1189" s="124"/>
      <c r="F1189" s="124"/>
      <c r="G1189" s="124"/>
      <c r="H1189" s="124"/>
      <c r="I1189" s="124"/>
    </row>
    <row r="1190">
      <c r="A1190" s="41"/>
      <c r="B1190" s="41"/>
      <c r="C1190" s="117"/>
      <c r="D1190" s="124"/>
      <c r="E1190" s="124"/>
      <c r="F1190" s="124"/>
      <c r="G1190" s="124"/>
      <c r="H1190" s="124"/>
      <c r="I1190" s="124"/>
    </row>
    <row r="1191">
      <c r="A1191" s="41"/>
      <c r="B1191" s="41"/>
      <c r="C1191" s="117"/>
      <c r="D1191" s="124"/>
      <c r="E1191" s="124"/>
      <c r="F1191" s="124"/>
      <c r="G1191" s="124"/>
      <c r="H1191" s="124"/>
      <c r="I1191" s="124"/>
    </row>
    <row r="1192">
      <c r="A1192" s="41"/>
      <c r="B1192" s="41"/>
      <c r="C1192" s="117"/>
      <c r="D1192" s="124"/>
      <c r="E1192" s="124"/>
      <c r="F1192" s="124"/>
      <c r="G1192" s="124"/>
      <c r="H1192" s="124"/>
      <c r="I1192" s="124"/>
    </row>
    <row r="1193">
      <c r="A1193" s="41"/>
      <c r="B1193" s="41"/>
      <c r="C1193" s="117"/>
      <c r="D1193" s="124"/>
      <c r="E1193" s="124"/>
      <c r="F1193" s="124"/>
      <c r="G1193" s="124"/>
      <c r="H1193" s="124"/>
      <c r="I1193" s="124"/>
    </row>
    <row r="1194">
      <c r="A1194" s="41"/>
      <c r="B1194" s="41"/>
      <c r="C1194" s="117"/>
      <c r="D1194" s="124"/>
      <c r="E1194" s="124"/>
      <c r="F1194" s="124"/>
      <c r="G1194" s="124"/>
      <c r="H1194" s="124"/>
      <c r="I1194" s="124"/>
    </row>
    <row r="1195">
      <c r="A1195" s="41"/>
      <c r="B1195" s="41"/>
      <c r="C1195" s="117"/>
      <c r="D1195" s="124"/>
      <c r="E1195" s="124"/>
      <c r="F1195" s="124"/>
      <c r="G1195" s="124"/>
      <c r="H1195" s="124"/>
      <c r="I1195" s="124"/>
    </row>
    <row r="1196">
      <c r="A1196" s="41"/>
      <c r="B1196" s="41"/>
      <c r="C1196" s="117"/>
      <c r="D1196" s="124"/>
      <c r="E1196" s="124"/>
      <c r="F1196" s="124"/>
      <c r="G1196" s="124"/>
      <c r="H1196" s="124"/>
      <c r="I1196" s="124"/>
    </row>
    <row r="1197">
      <c r="A1197" s="41"/>
      <c r="B1197" s="41"/>
      <c r="C1197" s="117"/>
      <c r="D1197" s="124"/>
      <c r="E1197" s="124"/>
      <c r="F1197" s="124"/>
      <c r="G1197" s="124"/>
      <c r="H1197" s="124"/>
      <c r="I1197" s="124"/>
    </row>
    <row r="1198">
      <c r="A1198" s="41"/>
      <c r="B1198" s="41"/>
      <c r="C1198" s="117"/>
      <c r="D1198" s="124"/>
      <c r="E1198" s="124"/>
      <c r="F1198" s="124"/>
      <c r="G1198" s="124"/>
      <c r="H1198" s="124"/>
      <c r="I1198" s="124"/>
    </row>
    <row r="1199">
      <c r="A1199" s="41"/>
      <c r="B1199" s="41"/>
      <c r="C1199" s="117"/>
      <c r="D1199" s="124"/>
      <c r="E1199" s="124"/>
      <c r="F1199" s="124"/>
      <c r="G1199" s="124"/>
      <c r="H1199" s="124"/>
      <c r="I1199" s="124"/>
    </row>
    <row r="1200">
      <c r="A1200" s="41"/>
      <c r="B1200" s="41"/>
      <c r="C1200" s="117"/>
      <c r="D1200" s="124"/>
      <c r="E1200" s="124"/>
      <c r="F1200" s="124"/>
      <c r="G1200" s="124"/>
      <c r="H1200" s="124"/>
      <c r="I1200" s="124"/>
    </row>
    <row r="1201">
      <c r="A1201" s="41"/>
      <c r="B1201" s="41"/>
      <c r="C1201" s="117"/>
      <c r="D1201" s="124"/>
      <c r="E1201" s="124"/>
      <c r="F1201" s="124"/>
      <c r="G1201" s="124"/>
      <c r="H1201" s="124"/>
      <c r="I1201" s="124"/>
    </row>
    <row r="1202">
      <c r="A1202" s="41"/>
      <c r="B1202" s="41"/>
      <c r="C1202" s="117"/>
      <c r="D1202" s="124"/>
      <c r="E1202" s="124"/>
      <c r="F1202" s="124"/>
      <c r="G1202" s="124"/>
      <c r="H1202" s="124"/>
      <c r="I1202" s="124"/>
    </row>
    <row r="1203">
      <c r="A1203" s="41"/>
      <c r="B1203" s="41"/>
      <c r="C1203" s="117"/>
      <c r="D1203" s="124"/>
      <c r="E1203" s="124"/>
      <c r="F1203" s="124"/>
      <c r="G1203" s="124"/>
      <c r="H1203" s="124"/>
      <c r="I1203" s="124"/>
    </row>
    <row r="1204">
      <c r="A1204" s="41"/>
      <c r="B1204" s="41"/>
      <c r="C1204" s="117"/>
      <c r="D1204" s="124"/>
      <c r="E1204" s="124"/>
      <c r="F1204" s="124"/>
      <c r="G1204" s="124"/>
      <c r="H1204" s="124"/>
      <c r="I1204" s="124"/>
    </row>
    <row r="1205">
      <c r="A1205" s="41"/>
      <c r="B1205" s="41"/>
      <c r="C1205" s="117"/>
      <c r="D1205" s="124"/>
      <c r="E1205" s="124"/>
      <c r="F1205" s="124"/>
      <c r="G1205" s="124"/>
      <c r="H1205" s="124"/>
      <c r="I1205" s="124"/>
    </row>
    <row r="1206">
      <c r="A1206" s="41"/>
      <c r="B1206" s="41"/>
      <c r="C1206" s="117"/>
      <c r="D1206" s="124"/>
      <c r="E1206" s="124"/>
      <c r="F1206" s="124"/>
      <c r="G1206" s="124"/>
      <c r="H1206" s="124"/>
      <c r="I1206" s="124"/>
    </row>
    <row r="1207">
      <c r="A1207" s="41"/>
      <c r="B1207" s="41"/>
      <c r="C1207" s="117"/>
      <c r="D1207" s="124"/>
      <c r="E1207" s="124"/>
      <c r="F1207" s="124"/>
      <c r="G1207" s="124"/>
      <c r="H1207" s="124"/>
      <c r="I1207" s="124"/>
    </row>
    <row r="1208">
      <c r="A1208" s="41"/>
      <c r="B1208" s="41"/>
      <c r="C1208" s="117"/>
      <c r="D1208" s="124"/>
      <c r="E1208" s="124"/>
      <c r="F1208" s="124"/>
      <c r="G1208" s="124"/>
      <c r="H1208" s="124"/>
      <c r="I1208" s="124"/>
    </row>
    <row r="1209">
      <c r="A1209" s="41"/>
      <c r="B1209" s="41"/>
      <c r="C1209" s="117"/>
      <c r="D1209" s="124"/>
      <c r="E1209" s="124"/>
      <c r="F1209" s="124"/>
      <c r="G1209" s="124"/>
      <c r="H1209" s="124"/>
      <c r="I1209" s="124"/>
    </row>
    <row r="1210">
      <c r="A1210" s="41"/>
      <c r="B1210" s="41"/>
      <c r="C1210" s="117"/>
      <c r="D1210" s="124"/>
      <c r="E1210" s="124"/>
      <c r="F1210" s="124"/>
      <c r="G1210" s="124"/>
      <c r="H1210" s="124"/>
      <c r="I1210" s="124"/>
    </row>
    <row r="1211">
      <c r="A1211" s="41"/>
      <c r="B1211" s="41"/>
      <c r="C1211" s="117"/>
      <c r="D1211" s="124"/>
      <c r="E1211" s="124"/>
      <c r="F1211" s="124"/>
      <c r="G1211" s="124"/>
      <c r="H1211" s="124"/>
      <c r="I1211" s="124"/>
    </row>
    <row r="1212">
      <c r="A1212" s="41"/>
      <c r="B1212" s="41"/>
      <c r="C1212" s="117"/>
      <c r="D1212" s="124"/>
      <c r="E1212" s="124"/>
      <c r="F1212" s="124"/>
      <c r="G1212" s="124"/>
      <c r="H1212" s="124"/>
      <c r="I1212" s="124"/>
    </row>
    <row r="1213">
      <c r="A1213" s="41"/>
      <c r="B1213" s="41"/>
      <c r="C1213" s="117"/>
      <c r="D1213" s="124"/>
      <c r="E1213" s="124"/>
      <c r="F1213" s="124"/>
      <c r="G1213" s="124"/>
      <c r="H1213" s="124"/>
      <c r="I1213" s="124"/>
    </row>
    <row r="1214">
      <c r="A1214" s="41"/>
      <c r="B1214" s="41"/>
      <c r="C1214" s="117"/>
      <c r="D1214" s="124"/>
      <c r="E1214" s="124"/>
      <c r="F1214" s="124"/>
      <c r="G1214" s="124"/>
      <c r="H1214" s="124"/>
      <c r="I1214" s="124"/>
    </row>
    <row r="1215">
      <c r="A1215" s="41"/>
      <c r="B1215" s="41"/>
      <c r="C1215" s="117"/>
      <c r="D1215" s="124"/>
      <c r="E1215" s="124"/>
      <c r="F1215" s="124"/>
      <c r="G1215" s="124"/>
      <c r="H1215" s="124"/>
      <c r="I1215" s="124"/>
    </row>
    <row r="1216">
      <c r="A1216" s="41"/>
      <c r="B1216" s="41"/>
      <c r="C1216" s="117"/>
      <c r="D1216" s="124"/>
      <c r="E1216" s="124"/>
      <c r="F1216" s="124"/>
      <c r="G1216" s="124"/>
      <c r="H1216" s="124"/>
      <c r="I1216" s="124"/>
    </row>
    <row r="1217">
      <c r="A1217" s="41"/>
      <c r="B1217" s="41"/>
      <c r="C1217" s="117"/>
      <c r="D1217" s="124"/>
      <c r="E1217" s="124"/>
      <c r="F1217" s="124"/>
      <c r="G1217" s="124"/>
      <c r="H1217" s="124"/>
      <c r="I1217" s="124"/>
    </row>
    <row r="1218">
      <c r="A1218" s="41"/>
      <c r="B1218" s="41"/>
      <c r="C1218" s="117"/>
      <c r="D1218" s="124"/>
      <c r="E1218" s="124"/>
      <c r="F1218" s="124"/>
      <c r="G1218" s="124"/>
      <c r="H1218" s="124"/>
      <c r="I1218" s="124"/>
    </row>
    <row r="1219">
      <c r="A1219" s="41"/>
      <c r="B1219" s="41"/>
      <c r="C1219" s="117"/>
      <c r="D1219" s="124"/>
      <c r="E1219" s="124"/>
      <c r="F1219" s="124"/>
      <c r="G1219" s="124"/>
      <c r="H1219" s="124"/>
      <c r="I1219" s="124"/>
    </row>
    <row r="1220">
      <c r="A1220" s="41"/>
      <c r="B1220" s="41"/>
      <c r="C1220" s="117"/>
      <c r="D1220" s="124"/>
      <c r="E1220" s="124"/>
      <c r="F1220" s="124"/>
      <c r="G1220" s="124"/>
      <c r="H1220" s="124"/>
      <c r="I1220" s="124"/>
    </row>
    <row r="1221">
      <c r="A1221" s="41"/>
      <c r="B1221" s="41"/>
      <c r="C1221" s="117"/>
      <c r="D1221" s="124"/>
      <c r="E1221" s="124"/>
      <c r="F1221" s="124"/>
      <c r="G1221" s="124"/>
      <c r="H1221" s="124"/>
      <c r="I1221" s="124"/>
    </row>
    <row r="1222">
      <c r="A1222" s="41"/>
      <c r="B1222" s="41"/>
      <c r="C1222" s="117"/>
      <c r="D1222" s="124"/>
      <c r="E1222" s="124"/>
      <c r="F1222" s="124"/>
      <c r="G1222" s="124"/>
      <c r="H1222" s="124"/>
      <c r="I1222" s="124"/>
    </row>
    <row r="1223">
      <c r="A1223" s="41"/>
      <c r="B1223" s="41"/>
      <c r="C1223" s="117"/>
      <c r="D1223" s="124"/>
      <c r="E1223" s="124"/>
      <c r="F1223" s="124"/>
      <c r="G1223" s="124"/>
      <c r="H1223" s="124"/>
      <c r="I1223" s="124"/>
    </row>
    <row r="1224">
      <c r="A1224" s="41"/>
      <c r="B1224" s="41"/>
      <c r="C1224" s="117"/>
      <c r="D1224" s="124"/>
      <c r="E1224" s="124"/>
      <c r="F1224" s="124"/>
      <c r="G1224" s="124"/>
      <c r="H1224" s="124"/>
      <c r="I1224" s="124"/>
    </row>
    <row r="1225">
      <c r="A1225" s="41"/>
      <c r="B1225" s="41"/>
      <c r="C1225" s="117"/>
      <c r="D1225" s="124"/>
      <c r="E1225" s="124"/>
      <c r="F1225" s="124"/>
      <c r="G1225" s="124"/>
      <c r="H1225" s="124"/>
      <c r="I1225" s="124"/>
    </row>
    <row r="1226">
      <c r="A1226" s="41"/>
      <c r="B1226" s="41"/>
      <c r="C1226" s="117"/>
      <c r="D1226" s="124"/>
      <c r="E1226" s="124"/>
      <c r="F1226" s="124"/>
      <c r="G1226" s="124"/>
      <c r="H1226" s="124"/>
      <c r="I1226" s="124"/>
    </row>
    <row r="1227">
      <c r="A1227" s="41"/>
      <c r="B1227" s="41"/>
      <c r="C1227" s="117"/>
      <c r="D1227" s="124"/>
      <c r="E1227" s="124"/>
      <c r="F1227" s="124"/>
      <c r="G1227" s="124"/>
      <c r="H1227" s="124"/>
      <c r="I1227" s="124"/>
    </row>
    <row r="1228">
      <c r="A1228" s="41"/>
      <c r="B1228" s="41"/>
      <c r="C1228" s="117"/>
      <c r="D1228" s="124"/>
      <c r="E1228" s="124"/>
      <c r="F1228" s="124"/>
      <c r="G1228" s="124"/>
      <c r="H1228" s="124"/>
      <c r="I1228" s="124"/>
    </row>
    <row r="1229">
      <c r="A1229" s="41"/>
      <c r="B1229" s="41"/>
      <c r="C1229" s="117"/>
      <c r="D1229" s="124"/>
      <c r="E1229" s="124"/>
      <c r="F1229" s="124"/>
      <c r="G1229" s="124"/>
      <c r="H1229" s="124"/>
      <c r="I1229" s="124"/>
    </row>
    <row r="1230">
      <c r="A1230" s="41"/>
      <c r="B1230" s="41"/>
      <c r="C1230" s="117"/>
      <c r="D1230" s="124"/>
      <c r="E1230" s="124"/>
      <c r="F1230" s="124"/>
      <c r="G1230" s="124"/>
      <c r="H1230" s="124"/>
      <c r="I1230" s="124"/>
    </row>
    <row r="1231">
      <c r="A1231" s="41"/>
      <c r="B1231" s="41"/>
      <c r="C1231" s="117"/>
      <c r="D1231" s="124"/>
      <c r="E1231" s="124"/>
      <c r="F1231" s="124"/>
      <c r="G1231" s="124"/>
      <c r="H1231" s="124"/>
      <c r="I1231" s="124"/>
    </row>
    <row r="1232">
      <c r="A1232" s="41"/>
      <c r="B1232" s="41"/>
      <c r="C1232" s="117"/>
      <c r="D1232" s="124"/>
      <c r="E1232" s="124"/>
      <c r="F1232" s="124"/>
      <c r="G1232" s="124"/>
      <c r="H1232" s="124"/>
      <c r="I1232" s="124"/>
    </row>
    <row r="1233">
      <c r="A1233" s="41"/>
      <c r="B1233" s="41"/>
      <c r="C1233" s="117"/>
      <c r="D1233" s="124"/>
      <c r="E1233" s="124"/>
      <c r="F1233" s="124"/>
      <c r="G1233" s="124"/>
      <c r="H1233" s="124"/>
      <c r="I1233" s="124"/>
    </row>
    <row r="1234">
      <c r="A1234" s="41"/>
      <c r="B1234" s="41"/>
      <c r="C1234" s="117"/>
      <c r="D1234" s="124"/>
      <c r="E1234" s="124"/>
      <c r="F1234" s="124"/>
      <c r="G1234" s="124"/>
      <c r="H1234" s="124"/>
      <c r="I1234" s="124"/>
    </row>
    <row r="1235">
      <c r="A1235" s="41"/>
      <c r="B1235" s="41"/>
      <c r="C1235" s="117"/>
      <c r="D1235" s="124"/>
      <c r="E1235" s="124"/>
      <c r="F1235" s="124"/>
      <c r="G1235" s="124"/>
      <c r="H1235" s="124"/>
      <c r="I1235" s="124"/>
    </row>
    <row r="1236">
      <c r="A1236" s="41"/>
      <c r="B1236" s="41"/>
      <c r="C1236" s="117"/>
      <c r="D1236" s="124"/>
      <c r="E1236" s="124"/>
      <c r="F1236" s="124"/>
      <c r="G1236" s="124"/>
      <c r="H1236" s="124"/>
      <c r="I1236" s="124"/>
    </row>
    <row r="1237">
      <c r="A1237" s="41"/>
      <c r="B1237" s="41"/>
      <c r="C1237" s="117"/>
      <c r="D1237" s="124"/>
      <c r="E1237" s="124"/>
      <c r="F1237" s="124"/>
      <c r="G1237" s="124"/>
      <c r="H1237" s="124"/>
      <c r="I1237" s="124"/>
    </row>
    <row r="1238">
      <c r="A1238" s="41"/>
      <c r="B1238" s="41"/>
      <c r="C1238" s="117"/>
      <c r="D1238" s="124"/>
      <c r="E1238" s="124"/>
      <c r="F1238" s="124"/>
      <c r="G1238" s="124"/>
      <c r="H1238" s="124"/>
      <c r="I1238" s="124"/>
    </row>
    <row r="1239">
      <c r="A1239" s="41"/>
      <c r="B1239" s="41"/>
      <c r="C1239" s="117"/>
      <c r="D1239" s="124"/>
      <c r="E1239" s="124"/>
      <c r="F1239" s="124"/>
      <c r="G1239" s="124"/>
      <c r="H1239" s="124"/>
      <c r="I1239" s="124"/>
    </row>
    <row r="1240">
      <c r="A1240" s="41"/>
      <c r="B1240" s="41"/>
      <c r="C1240" s="117"/>
      <c r="D1240" s="124"/>
      <c r="E1240" s="124"/>
      <c r="F1240" s="124"/>
      <c r="G1240" s="124"/>
      <c r="H1240" s="124"/>
      <c r="I1240" s="124"/>
    </row>
    <row r="1241">
      <c r="A1241" s="41"/>
      <c r="B1241" s="41"/>
      <c r="C1241" s="117"/>
      <c r="D1241" s="124"/>
      <c r="E1241" s="124"/>
      <c r="F1241" s="124"/>
      <c r="G1241" s="124"/>
      <c r="H1241" s="124"/>
      <c r="I1241" s="124"/>
    </row>
    <row r="1242">
      <c r="A1242" s="41"/>
      <c r="B1242" s="41"/>
      <c r="C1242" s="117"/>
      <c r="D1242" s="124"/>
      <c r="E1242" s="124"/>
      <c r="F1242" s="124"/>
      <c r="G1242" s="124"/>
      <c r="H1242" s="124"/>
      <c r="I1242" s="124"/>
    </row>
    <row r="1243">
      <c r="A1243" s="41"/>
      <c r="B1243" s="41"/>
      <c r="C1243" s="117"/>
      <c r="D1243" s="124"/>
      <c r="E1243" s="124"/>
      <c r="F1243" s="124"/>
      <c r="G1243" s="124"/>
      <c r="H1243" s="124"/>
      <c r="I1243" s="124"/>
    </row>
    <row r="1244">
      <c r="A1244" s="41"/>
      <c r="B1244" s="41"/>
      <c r="C1244" s="117"/>
      <c r="D1244" s="124"/>
      <c r="E1244" s="124"/>
      <c r="F1244" s="124"/>
      <c r="G1244" s="124"/>
      <c r="H1244" s="124"/>
      <c r="I1244" s="124"/>
    </row>
    <row r="1245">
      <c r="A1245" s="41"/>
      <c r="B1245" s="41"/>
      <c r="C1245" s="117"/>
      <c r="D1245" s="124"/>
      <c r="E1245" s="124"/>
      <c r="F1245" s="124"/>
      <c r="G1245" s="124"/>
      <c r="H1245" s="124"/>
      <c r="I1245" s="124"/>
    </row>
    <row r="1246">
      <c r="A1246" s="41"/>
      <c r="B1246" s="41"/>
      <c r="C1246" s="117"/>
      <c r="D1246" s="124"/>
      <c r="E1246" s="124"/>
      <c r="F1246" s="124"/>
      <c r="G1246" s="124"/>
      <c r="H1246" s="124"/>
      <c r="I1246" s="124"/>
    </row>
    <row r="1247">
      <c r="A1247" s="41"/>
      <c r="B1247" s="41"/>
      <c r="C1247" s="117"/>
      <c r="D1247" s="124"/>
      <c r="E1247" s="124"/>
      <c r="F1247" s="124"/>
      <c r="G1247" s="124"/>
      <c r="H1247" s="124"/>
      <c r="I1247" s="124"/>
    </row>
    <row r="1248">
      <c r="A1248" s="41"/>
      <c r="B1248" s="41"/>
      <c r="C1248" s="117"/>
      <c r="D1248" s="124"/>
      <c r="E1248" s="124"/>
      <c r="F1248" s="124"/>
      <c r="G1248" s="124"/>
      <c r="H1248" s="124"/>
      <c r="I1248" s="124"/>
    </row>
    <row r="1249">
      <c r="A1249" s="41"/>
      <c r="B1249" s="41"/>
      <c r="C1249" s="117"/>
      <c r="D1249" s="124"/>
      <c r="E1249" s="124"/>
      <c r="F1249" s="124"/>
      <c r="G1249" s="124"/>
      <c r="H1249" s="124"/>
      <c r="I1249" s="124"/>
    </row>
    <row r="1250">
      <c r="A1250" s="41"/>
      <c r="B1250" s="41"/>
      <c r="C1250" s="117"/>
      <c r="D1250" s="124"/>
      <c r="E1250" s="124"/>
      <c r="F1250" s="124"/>
      <c r="G1250" s="124"/>
      <c r="H1250" s="124"/>
      <c r="I1250" s="124"/>
    </row>
    <row r="1251">
      <c r="A1251" s="41"/>
      <c r="B1251" s="41"/>
      <c r="C1251" s="117"/>
      <c r="D1251" s="124"/>
      <c r="E1251" s="124"/>
      <c r="F1251" s="124"/>
      <c r="G1251" s="124"/>
      <c r="H1251" s="124"/>
      <c r="I1251" s="124"/>
    </row>
    <row r="1252">
      <c r="A1252" s="41"/>
      <c r="B1252" s="41"/>
      <c r="C1252" s="117"/>
      <c r="D1252" s="124"/>
      <c r="E1252" s="124"/>
      <c r="F1252" s="124"/>
      <c r="G1252" s="124"/>
      <c r="H1252" s="124"/>
      <c r="I1252" s="124"/>
    </row>
    <row r="1253">
      <c r="A1253" s="41"/>
      <c r="B1253" s="41"/>
      <c r="C1253" s="117"/>
      <c r="D1253" s="124"/>
      <c r="E1253" s="124"/>
      <c r="F1253" s="124"/>
      <c r="G1253" s="124"/>
      <c r="H1253" s="124"/>
      <c r="I1253" s="124"/>
    </row>
    <row r="1254">
      <c r="A1254" s="41"/>
      <c r="B1254" s="41"/>
      <c r="C1254" s="117"/>
      <c r="D1254" s="124"/>
      <c r="E1254" s="124"/>
      <c r="F1254" s="124"/>
      <c r="G1254" s="124"/>
      <c r="H1254" s="124"/>
      <c r="I1254" s="124"/>
    </row>
    <row r="1255">
      <c r="A1255" s="41"/>
      <c r="B1255" s="41"/>
      <c r="C1255" s="117"/>
      <c r="D1255" s="124"/>
      <c r="E1255" s="124"/>
      <c r="F1255" s="124"/>
      <c r="G1255" s="124"/>
      <c r="H1255" s="124"/>
      <c r="I1255" s="124"/>
    </row>
    <row r="1256">
      <c r="A1256" s="41"/>
      <c r="B1256" s="41"/>
      <c r="C1256" s="117"/>
      <c r="D1256" s="124"/>
      <c r="E1256" s="124"/>
      <c r="F1256" s="124"/>
      <c r="G1256" s="124"/>
      <c r="H1256" s="124"/>
      <c r="I1256" s="124"/>
    </row>
    <row r="1257">
      <c r="A1257" s="41"/>
      <c r="B1257" s="41"/>
      <c r="C1257" s="117"/>
      <c r="D1257" s="124"/>
      <c r="E1257" s="124"/>
      <c r="F1257" s="124"/>
      <c r="G1257" s="124"/>
      <c r="H1257" s="124"/>
      <c r="I1257" s="124"/>
    </row>
    <row r="1258">
      <c r="A1258" s="41"/>
      <c r="B1258" s="41"/>
      <c r="C1258" s="117"/>
      <c r="D1258" s="124"/>
      <c r="E1258" s="124"/>
      <c r="F1258" s="124"/>
      <c r="G1258" s="124"/>
      <c r="H1258" s="124"/>
      <c r="I1258" s="124"/>
    </row>
    <row r="1259">
      <c r="A1259" s="41"/>
      <c r="B1259" s="41"/>
      <c r="C1259" s="117"/>
      <c r="D1259" s="124"/>
      <c r="E1259" s="124"/>
      <c r="F1259" s="124"/>
      <c r="G1259" s="124"/>
      <c r="H1259" s="124"/>
      <c r="I1259" s="124"/>
    </row>
    <row r="1260">
      <c r="A1260" s="41"/>
      <c r="B1260" s="41"/>
      <c r="C1260" s="117"/>
      <c r="D1260" s="124"/>
      <c r="E1260" s="124"/>
      <c r="F1260" s="124"/>
      <c r="G1260" s="124"/>
      <c r="H1260" s="124"/>
      <c r="I1260" s="124"/>
    </row>
    <row r="1261">
      <c r="A1261" s="41"/>
      <c r="B1261" s="41"/>
      <c r="C1261" s="117"/>
      <c r="D1261" s="124"/>
      <c r="E1261" s="124"/>
      <c r="F1261" s="124"/>
      <c r="G1261" s="124"/>
      <c r="H1261" s="124"/>
      <c r="I1261" s="124"/>
    </row>
    <row r="1262">
      <c r="A1262" s="41"/>
      <c r="B1262" s="41"/>
      <c r="C1262" s="117"/>
      <c r="D1262" s="124"/>
      <c r="E1262" s="124"/>
      <c r="F1262" s="124"/>
      <c r="G1262" s="124"/>
      <c r="H1262" s="124"/>
      <c r="I1262" s="124"/>
    </row>
    <row r="1263">
      <c r="A1263" s="41"/>
      <c r="B1263" s="41"/>
      <c r="C1263" s="117"/>
      <c r="D1263" s="124"/>
      <c r="E1263" s="124"/>
      <c r="F1263" s="124"/>
      <c r="G1263" s="124"/>
      <c r="H1263" s="124"/>
      <c r="I1263" s="124"/>
    </row>
    <row r="1264">
      <c r="A1264" s="41"/>
      <c r="B1264" s="41"/>
      <c r="C1264" s="117"/>
      <c r="D1264" s="124"/>
      <c r="E1264" s="124"/>
      <c r="F1264" s="124"/>
      <c r="G1264" s="124"/>
      <c r="H1264" s="124"/>
      <c r="I1264" s="124"/>
    </row>
    <row r="1265">
      <c r="A1265" s="41"/>
      <c r="B1265" s="41"/>
      <c r="C1265" s="117"/>
      <c r="D1265" s="124"/>
      <c r="E1265" s="124"/>
      <c r="F1265" s="124"/>
      <c r="G1265" s="124"/>
      <c r="H1265" s="124"/>
      <c r="I1265" s="124"/>
    </row>
    <row r="1266">
      <c r="A1266" s="41"/>
      <c r="B1266" s="41"/>
      <c r="C1266" s="117"/>
      <c r="D1266" s="124"/>
      <c r="E1266" s="124"/>
      <c r="F1266" s="124"/>
      <c r="G1266" s="124"/>
      <c r="H1266" s="124"/>
      <c r="I1266" s="124"/>
    </row>
    <row r="1267">
      <c r="A1267" s="41"/>
      <c r="B1267" s="41"/>
      <c r="C1267" s="117"/>
      <c r="D1267" s="124"/>
      <c r="E1267" s="124"/>
      <c r="F1267" s="124"/>
      <c r="G1267" s="124"/>
      <c r="H1267" s="124"/>
      <c r="I1267" s="124"/>
    </row>
    <row r="1268">
      <c r="A1268" s="41"/>
      <c r="B1268" s="41"/>
      <c r="C1268" s="117"/>
      <c r="D1268" s="124"/>
      <c r="E1268" s="124"/>
      <c r="F1268" s="124"/>
      <c r="G1268" s="124"/>
      <c r="H1268" s="124"/>
      <c r="I1268" s="124"/>
    </row>
    <row r="1269">
      <c r="A1269" s="41"/>
      <c r="B1269" s="41"/>
      <c r="C1269" s="117"/>
      <c r="D1269" s="124"/>
      <c r="E1269" s="124"/>
      <c r="F1269" s="124"/>
      <c r="G1269" s="124"/>
      <c r="H1269" s="124"/>
      <c r="I1269" s="124"/>
    </row>
    <row r="1270">
      <c r="A1270" s="41"/>
      <c r="B1270" s="41"/>
      <c r="C1270" s="117"/>
      <c r="D1270" s="124"/>
      <c r="E1270" s="124"/>
      <c r="F1270" s="124"/>
      <c r="G1270" s="124"/>
      <c r="H1270" s="124"/>
      <c r="I1270" s="124"/>
    </row>
    <row r="1271">
      <c r="A1271" s="41"/>
      <c r="B1271" s="41"/>
      <c r="C1271" s="117"/>
      <c r="D1271" s="124"/>
      <c r="E1271" s="124"/>
      <c r="F1271" s="124"/>
      <c r="G1271" s="124"/>
      <c r="H1271" s="124"/>
      <c r="I1271" s="124"/>
    </row>
    <row r="1272">
      <c r="A1272" s="41"/>
      <c r="B1272" s="41"/>
      <c r="C1272" s="117"/>
      <c r="D1272" s="124"/>
      <c r="E1272" s="124"/>
      <c r="F1272" s="124"/>
      <c r="G1272" s="124"/>
      <c r="H1272" s="124"/>
      <c r="I1272" s="124"/>
    </row>
    <row r="1273">
      <c r="A1273" s="41"/>
      <c r="B1273" s="41"/>
      <c r="C1273" s="117"/>
      <c r="D1273" s="124"/>
      <c r="E1273" s="124"/>
      <c r="F1273" s="124"/>
      <c r="G1273" s="124"/>
      <c r="H1273" s="124"/>
      <c r="I1273" s="124"/>
    </row>
    <row r="1274">
      <c r="A1274" s="41"/>
      <c r="B1274" s="41"/>
      <c r="C1274" s="117"/>
      <c r="D1274" s="124"/>
      <c r="E1274" s="124"/>
      <c r="F1274" s="124"/>
      <c r="G1274" s="124"/>
      <c r="H1274" s="124"/>
      <c r="I1274" s="124"/>
    </row>
    <row r="1275">
      <c r="A1275" s="41"/>
      <c r="B1275" s="41"/>
      <c r="C1275" s="117"/>
      <c r="D1275" s="124"/>
      <c r="E1275" s="124"/>
      <c r="F1275" s="124"/>
      <c r="G1275" s="124"/>
      <c r="H1275" s="124"/>
      <c r="I1275" s="124"/>
    </row>
    <row r="1276">
      <c r="A1276" s="41"/>
      <c r="B1276" s="41"/>
      <c r="C1276" s="117"/>
      <c r="D1276" s="124"/>
      <c r="E1276" s="124"/>
      <c r="F1276" s="124"/>
      <c r="G1276" s="124"/>
      <c r="H1276" s="124"/>
      <c r="I1276" s="124"/>
    </row>
    <row r="1277">
      <c r="A1277" s="41"/>
      <c r="B1277" s="41"/>
      <c r="C1277" s="117"/>
      <c r="D1277" s="124"/>
      <c r="E1277" s="124"/>
      <c r="F1277" s="124"/>
      <c r="G1277" s="124"/>
      <c r="H1277" s="124"/>
      <c r="I1277" s="124"/>
    </row>
    <row r="1278">
      <c r="A1278" s="41"/>
      <c r="B1278" s="41"/>
      <c r="C1278" s="117"/>
      <c r="D1278" s="124"/>
      <c r="E1278" s="124"/>
      <c r="F1278" s="124"/>
      <c r="G1278" s="124"/>
      <c r="H1278" s="124"/>
      <c r="I1278" s="124"/>
    </row>
    <row r="1279">
      <c r="A1279" s="41"/>
      <c r="B1279" s="41"/>
      <c r="C1279" s="117"/>
      <c r="D1279" s="124"/>
      <c r="E1279" s="124"/>
      <c r="F1279" s="124"/>
      <c r="G1279" s="124"/>
      <c r="H1279" s="124"/>
      <c r="I1279" s="124"/>
    </row>
    <row r="1280">
      <c r="A1280" s="41"/>
      <c r="B1280" s="41"/>
      <c r="C1280" s="117"/>
      <c r="D1280" s="124"/>
      <c r="E1280" s="124"/>
      <c r="F1280" s="124"/>
      <c r="G1280" s="124"/>
      <c r="H1280" s="124"/>
      <c r="I1280" s="124"/>
    </row>
    <row r="1281">
      <c r="A1281" s="41"/>
      <c r="B1281" s="41"/>
      <c r="C1281" s="117"/>
      <c r="D1281" s="124"/>
      <c r="E1281" s="124"/>
      <c r="F1281" s="124"/>
      <c r="G1281" s="124"/>
      <c r="H1281" s="124"/>
      <c r="I1281" s="124"/>
    </row>
    <row r="1282">
      <c r="A1282" s="41"/>
      <c r="B1282" s="41"/>
      <c r="C1282" s="117"/>
      <c r="D1282" s="124"/>
      <c r="E1282" s="124"/>
      <c r="F1282" s="124"/>
      <c r="G1282" s="124"/>
      <c r="H1282" s="124"/>
      <c r="I1282" s="124"/>
    </row>
    <row r="1283">
      <c r="A1283" s="41"/>
      <c r="B1283" s="41"/>
      <c r="C1283" s="117"/>
      <c r="D1283" s="124"/>
      <c r="E1283" s="124"/>
      <c r="F1283" s="124"/>
      <c r="G1283" s="124"/>
      <c r="H1283" s="124"/>
      <c r="I1283" s="124"/>
    </row>
    <row r="1284">
      <c r="A1284" s="41"/>
      <c r="B1284" s="41"/>
      <c r="C1284" s="117"/>
      <c r="D1284" s="124"/>
      <c r="E1284" s="124"/>
      <c r="F1284" s="124"/>
      <c r="G1284" s="124"/>
      <c r="H1284" s="124"/>
      <c r="I1284" s="124"/>
    </row>
    <row r="1285">
      <c r="A1285" s="41"/>
      <c r="B1285" s="41"/>
      <c r="C1285" s="117"/>
      <c r="D1285" s="124"/>
      <c r="E1285" s="124"/>
      <c r="F1285" s="124"/>
      <c r="G1285" s="124"/>
      <c r="H1285" s="124"/>
      <c r="I1285" s="124"/>
    </row>
    <row r="1286">
      <c r="A1286" s="41"/>
      <c r="B1286" s="41"/>
      <c r="C1286" s="117"/>
      <c r="D1286" s="124"/>
      <c r="E1286" s="124"/>
      <c r="F1286" s="124"/>
      <c r="G1286" s="124"/>
      <c r="H1286" s="124"/>
      <c r="I1286" s="124"/>
    </row>
    <row r="1287">
      <c r="A1287" s="41"/>
      <c r="B1287" s="41"/>
      <c r="C1287" s="117"/>
      <c r="D1287" s="124"/>
      <c r="E1287" s="124"/>
      <c r="F1287" s="124"/>
      <c r="G1287" s="124"/>
      <c r="H1287" s="124"/>
      <c r="I1287" s="124"/>
    </row>
    <row r="1288">
      <c r="A1288" s="41"/>
      <c r="B1288" s="41"/>
      <c r="C1288" s="117"/>
      <c r="D1288" s="124"/>
      <c r="E1288" s="124"/>
      <c r="F1288" s="124"/>
      <c r="G1288" s="124"/>
      <c r="H1288" s="124"/>
      <c r="I1288" s="124"/>
    </row>
    <row r="1289">
      <c r="A1289" s="41"/>
      <c r="B1289" s="41"/>
      <c r="C1289" s="117"/>
      <c r="D1289" s="124"/>
      <c r="E1289" s="124"/>
      <c r="F1289" s="124"/>
      <c r="G1289" s="124"/>
      <c r="H1289" s="124"/>
      <c r="I1289" s="124"/>
    </row>
    <row r="1290">
      <c r="A1290" s="41"/>
      <c r="B1290" s="41"/>
      <c r="C1290" s="117"/>
      <c r="D1290" s="124"/>
      <c r="E1290" s="124"/>
      <c r="F1290" s="124"/>
      <c r="G1290" s="124"/>
      <c r="H1290" s="124"/>
      <c r="I1290" s="124"/>
    </row>
    <row r="1291">
      <c r="A1291" s="41"/>
      <c r="B1291" s="41"/>
      <c r="C1291" s="117"/>
      <c r="D1291" s="124"/>
      <c r="E1291" s="124"/>
      <c r="F1291" s="124"/>
      <c r="G1291" s="124"/>
      <c r="H1291" s="124"/>
      <c r="I1291" s="124"/>
    </row>
    <row r="1292">
      <c r="A1292" s="41"/>
      <c r="B1292" s="41"/>
      <c r="C1292" s="117"/>
      <c r="D1292" s="124"/>
      <c r="E1292" s="124"/>
      <c r="F1292" s="124"/>
      <c r="G1292" s="124"/>
      <c r="H1292" s="124"/>
      <c r="I1292" s="124"/>
    </row>
    <row r="1293">
      <c r="A1293" s="41"/>
      <c r="B1293" s="41"/>
      <c r="C1293" s="117"/>
      <c r="D1293" s="124"/>
      <c r="E1293" s="124"/>
      <c r="F1293" s="124"/>
      <c r="G1293" s="124"/>
      <c r="H1293" s="124"/>
      <c r="I1293" s="124"/>
    </row>
    <row r="1294">
      <c r="A1294" s="41"/>
      <c r="B1294" s="41"/>
      <c r="C1294" s="117"/>
      <c r="D1294" s="124"/>
      <c r="E1294" s="124"/>
      <c r="F1294" s="124"/>
      <c r="G1294" s="124"/>
      <c r="H1294" s="124"/>
      <c r="I1294" s="124"/>
    </row>
    <row r="1295">
      <c r="A1295" s="41"/>
      <c r="B1295" s="41"/>
      <c r="C1295" s="117"/>
      <c r="D1295" s="124"/>
      <c r="E1295" s="124"/>
      <c r="F1295" s="124"/>
      <c r="G1295" s="124"/>
      <c r="H1295" s="124"/>
      <c r="I1295" s="124"/>
    </row>
    <row r="1296">
      <c r="A1296" s="41"/>
      <c r="B1296" s="41"/>
      <c r="C1296" s="117"/>
      <c r="D1296" s="124"/>
      <c r="E1296" s="124"/>
      <c r="F1296" s="124"/>
      <c r="G1296" s="124"/>
      <c r="H1296" s="124"/>
      <c r="I1296" s="124"/>
    </row>
    <row r="1297">
      <c r="A1297" s="41"/>
      <c r="B1297" s="41"/>
      <c r="C1297" s="117"/>
      <c r="D1297" s="124"/>
      <c r="E1297" s="124"/>
      <c r="F1297" s="124"/>
      <c r="G1297" s="124"/>
      <c r="H1297" s="124"/>
      <c r="I1297" s="124"/>
    </row>
    <row r="1298">
      <c r="A1298" s="41"/>
      <c r="B1298" s="41"/>
      <c r="C1298" s="117"/>
      <c r="D1298" s="124"/>
      <c r="E1298" s="124"/>
      <c r="F1298" s="124"/>
      <c r="G1298" s="124"/>
      <c r="H1298" s="124"/>
      <c r="I1298" s="124"/>
    </row>
    <row r="1299">
      <c r="A1299" s="41"/>
      <c r="B1299" s="41"/>
      <c r="C1299" s="117"/>
      <c r="D1299" s="124"/>
      <c r="E1299" s="124"/>
      <c r="F1299" s="124"/>
      <c r="G1299" s="124"/>
      <c r="H1299" s="124"/>
      <c r="I1299" s="124"/>
    </row>
    <row r="1300">
      <c r="A1300" s="41"/>
      <c r="B1300" s="41"/>
      <c r="C1300" s="117"/>
      <c r="D1300" s="124"/>
      <c r="E1300" s="124"/>
      <c r="F1300" s="124"/>
      <c r="G1300" s="124"/>
      <c r="H1300" s="124"/>
      <c r="I1300" s="124"/>
    </row>
    <row r="1301">
      <c r="A1301" s="41"/>
      <c r="B1301" s="41"/>
      <c r="C1301" s="117"/>
      <c r="D1301" s="124"/>
      <c r="E1301" s="124"/>
      <c r="F1301" s="124"/>
      <c r="G1301" s="124"/>
      <c r="H1301" s="124"/>
      <c r="I1301" s="124"/>
    </row>
    <row r="1302">
      <c r="A1302" s="41"/>
      <c r="B1302" s="41"/>
      <c r="C1302" s="117"/>
      <c r="D1302" s="124"/>
      <c r="E1302" s="124"/>
      <c r="F1302" s="124"/>
      <c r="G1302" s="124"/>
      <c r="H1302" s="124"/>
      <c r="I1302" s="124"/>
    </row>
    <row r="1303">
      <c r="A1303" s="41"/>
      <c r="B1303" s="41"/>
      <c r="C1303" s="117"/>
      <c r="D1303" s="124"/>
      <c r="E1303" s="124"/>
      <c r="F1303" s="124"/>
      <c r="G1303" s="124"/>
      <c r="H1303" s="124"/>
      <c r="I1303" s="124"/>
    </row>
    <row r="1304">
      <c r="A1304" s="41"/>
      <c r="B1304" s="41"/>
      <c r="C1304" s="117"/>
      <c r="D1304" s="124"/>
      <c r="E1304" s="124"/>
      <c r="F1304" s="124"/>
      <c r="G1304" s="124"/>
      <c r="H1304" s="124"/>
      <c r="I1304" s="124"/>
    </row>
    <row r="1305">
      <c r="A1305" s="41"/>
      <c r="B1305" s="41"/>
      <c r="C1305" s="117"/>
      <c r="D1305" s="124"/>
      <c r="E1305" s="124"/>
      <c r="F1305" s="124"/>
      <c r="G1305" s="124"/>
      <c r="H1305" s="124"/>
      <c r="I1305" s="124"/>
    </row>
    <row r="1306">
      <c r="A1306" s="41"/>
      <c r="B1306" s="41"/>
      <c r="C1306" s="117"/>
      <c r="D1306" s="124"/>
      <c r="E1306" s="124"/>
      <c r="F1306" s="124"/>
      <c r="G1306" s="124"/>
      <c r="H1306" s="124"/>
      <c r="I1306" s="124"/>
    </row>
    <row r="1307">
      <c r="A1307" s="41"/>
      <c r="B1307" s="41"/>
      <c r="C1307" s="117"/>
      <c r="D1307" s="124"/>
      <c r="E1307" s="124"/>
      <c r="F1307" s="124"/>
      <c r="G1307" s="124"/>
      <c r="H1307" s="124"/>
      <c r="I1307" s="124"/>
    </row>
    <row r="1308">
      <c r="A1308" s="41"/>
      <c r="B1308" s="41"/>
      <c r="C1308" s="117"/>
      <c r="D1308" s="124"/>
      <c r="E1308" s="124"/>
      <c r="F1308" s="124"/>
      <c r="G1308" s="124"/>
      <c r="H1308" s="124"/>
      <c r="I1308" s="124"/>
    </row>
    <row r="1309">
      <c r="A1309" s="41"/>
      <c r="B1309" s="41"/>
      <c r="C1309" s="117"/>
      <c r="D1309" s="124"/>
      <c r="E1309" s="124"/>
      <c r="F1309" s="124"/>
      <c r="G1309" s="124"/>
      <c r="H1309" s="124"/>
      <c r="I1309" s="124"/>
    </row>
    <row r="1310">
      <c r="A1310" s="41"/>
      <c r="B1310" s="41"/>
      <c r="C1310" s="117"/>
      <c r="D1310" s="124"/>
      <c r="E1310" s="124"/>
      <c r="F1310" s="124"/>
      <c r="G1310" s="124"/>
      <c r="H1310" s="124"/>
      <c r="I1310" s="124"/>
    </row>
    <row r="1311">
      <c r="A1311" s="41"/>
      <c r="B1311" s="41"/>
      <c r="C1311" s="117"/>
      <c r="D1311" s="124"/>
      <c r="E1311" s="124"/>
      <c r="F1311" s="124"/>
      <c r="G1311" s="124"/>
      <c r="H1311" s="124"/>
      <c r="I1311" s="124"/>
    </row>
    <row r="1312">
      <c r="A1312" s="41"/>
      <c r="B1312" s="41"/>
      <c r="C1312" s="117"/>
      <c r="D1312" s="124"/>
      <c r="E1312" s="124"/>
      <c r="F1312" s="124"/>
      <c r="G1312" s="124"/>
      <c r="H1312" s="124"/>
      <c r="I1312" s="124"/>
    </row>
    <row r="1313">
      <c r="A1313" s="41"/>
      <c r="B1313" s="41"/>
      <c r="C1313" s="117"/>
      <c r="D1313" s="124"/>
      <c r="E1313" s="124"/>
      <c r="F1313" s="124"/>
      <c r="G1313" s="124"/>
      <c r="H1313" s="124"/>
      <c r="I1313" s="124"/>
    </row>
    <row r="1314">
      <c r="A1314" s="41"/>
      <c r="B1314" s="41"/>
      <c r="C1314" s="117"/>
      <c r="D1314" s="124"/>
      <c r="E1314" s="124"/>
      <c r="F1314" s="124"/>
      <c r="G1314" s="124"/>
      <c r="H1314" s="124"/>
      <c r="I1314" s="124"/>
    </row>
    <row r="1315">
      <c r="A1315" s="41"/>
      <c r="B1315" s="41"/>
      <c r="C1315" s="117"/>
      <c r="D1315" s="124"/>
      <c r="E1315" s="124"/>
      <c r="F1315" s="124"/>
      <c r="G1315" s="124"/>
      <c r="H1315" s="124"/>
      <c r="I1315" s="124"/>
    </row>
    <row r="1316">
      <c r="A1316" s="41"/>
      <c r="B1316" s="41"/>
      <c r="C1316" s="117"/>
      <c r="D1316" s="124"/>
      <c r="E1316" s="124"/>
      <c r="F1316" s="124"/>
      <c r="G1316" s="124"/>
      <c r="H1316" s="124"/>
      <c r="I1316" s="124"/>
    </row>
    <row r="1317">
      <c r="A1317" s="41"/>
      <c r="B1317" s="41"/>
      <c r="C1317" s="117"/>
      <c r="D1317" s="124"/>
      <c r="E1317" s="124"/>
      <c r="F1317" s="124"/>
      <c r="G1317" s="124"/>
      <c r="H1317" s="124"/>
      <c r="I1317" s="124"/>
    </row>
    <row r="1318">
      <c r="A1318" s="41"/>
      <c r="B1318" s="41"/>
      <c r="C1318" s="117"/>
      <c r="D1318" s="124"/>
      <c r="E1318" s="124"/>
      <c r="F1318" s="124"/>
      <c r="G1318" s="124"/>
      <c r="H1318" s="124"/>
      <c r="I1318" s="124"/>
    </row>
    <row r="1319">
      <c r="A1319" s="41"/>
      <c r="B1319" s="41"/>
      <c r="C1319" s="117"/>
      <c r="D1319" s="124"/>
      <c r="E1319" s="124"/>
      <c r="F1319" s="124"/>
      <c r="G1319" s="124"/>
      <c r="H1319" s="124"/>
      <c r="I1319" s="124"/>
    </row>
    <row r="1320">
      <c r="A1320" s="41"/>
      <c r="B1320" s="41"/>
      <c r="C1320" s="117"/>
      <c r="D1320" s="124"/>
      <c r="E1320" s="124"/>
      <c r="F1320" s="124"/>
      <c r="G1320" s="124"/>
      <c r="H1320" s="124"/>
      <c r="I1320" s="124"/>
    </row>
    <row r="1321">
      <c r="A1321" s="41"/>
      <c r="B1321" s="41"/>
      <c r="C1321" s="117"/>
      <c r="D1321" s="124"/>
      <c r="E1321" s="124"/>
      <c r="F1321" s="124"/>
      <c r="G1321" s="124"/>
      <c r="H1321" s="124"/>
      <c r="I1321" s="124"/>
    </row>
    <row r="1322">
      <c r="A1322" s="41"/>
      <c r="B1322" s="41"/>
      <c r="C1322" s="117"/>
      <c r="D1322" s="124"/>
      <c r="E1322" s="124"/>
      <c r="F1322" s="124"/>
      <c r="G1322" s="124"/>
      <c r="H1322" s="124"/>
      <c r="I1322" s="124"/>
    </row>
    <row r="1323">
      <c r="A1323" s="41"/>
      <c r="B1323" s="41"/>
      <c r="C1323" s="117"/>
      <c r="D1323" s="124"/>
      <c r="E1323" s="124"/>
      <c r="F1323" s="124"/>
      <c r="G1323" s="124"/>
      <c r="H1323" s="124"/>
      <c r="I1323" s="124"/>
    </row>
    <row r="1324">
      <c r="A1324" s="41"/>
      <c r="B1324" s="41"/>
      <c r="C1324" s="117"/>
      <c r="D1324" s="124"/>
      <c r="E1324" s="124"/>
      <c r="F1324" s="124"/>
      <c r="G1324" s="124"/>
      <c r="H1324" s="124"/>
      <c r="I1324" s="124"/>
    </row>
    <row r="1325">
      <c r="A1325" s="41"/>
      <c r="B1325" s="41"/>
      <c r="C1325" s="117"/>
      <c r="D1325" s="124"/>
      <c r="E1325" s="124"/>
      <c r="F1325" s="124"/>
      <c r="G1325" s="124"/>
      <c r="H1325" s="124"/>
      <c r="I1325" s="124"/>
    </row>
    <row r="1326">
      <c r="A1326" s="41"/>
      <c r="B1326" s="41"/>
      <c r="C1326" s="117"/>
      <c r="D1326" s="124"/>
      <c r="E1326" s="124"/>
      <c r="F1326" s="124"/>
      <c r="G1326" s="124"/>
      <c r="H1326" s="124"/>
      <c r="I1326" s="124"/>
    </row>
    <row r="1327">
      <c r="A1327" s="41"/>
      <c r="B1327" s="41"/>
      <c r="C1327" s="117"/>
      <c r="D1327" s="124"/>
      <c r="E1327" s="124"/>
      <c r="F1327" s="124"/>
      <c r="G1327" s="124"/>
      <c r="H1327" s="124"/>
      <c r="I1327" s="124"/>
    </row>
    <row r="1328">
      <c r="A1328" s="41"/>
      <c r="B1328" s="41"/>
      <c r="C1328" s="117"/>
      <c r="D1328" s="124"/>
      <c r="E1328" s="124"/>
      <c r="F1328" s="124"/>
      <c r="G1328" s="124"/>
      <c r="H1328" s="124"/>
      <c r="I1328" s="124"/>
    </row>
    <row r="1329">
      <c r="A1329" s="41"/>
      <c r="B1329" s="41"/>
      <c r="C1329" s="117"/>
      <c r="D1329" s="124"/>
      <c r="E1329" s="124"/>
      <c r="F1329" s="124"/>
      <c r="G1329" s="124"/>
      <c r="H1329" s="124"/>
      <c r="I1329" s="124"/>
    </row>
    <row r="1330">
      <c r="A1330" s="41"/>
      <c r="B1330" s="41"/>
      <c r="C1330" s="117"/>
      <c r="D1330" s="124"/>
      <c r="E1330" s="124"/>
      <c r="F1330" s="124"/>
      <c r="G1330" s="124"/>
      <c r="H1330" s="124"/>
      <c r="I1330" s="124"/>
    </row>
    <row r="1331">
      <c r="A1331" s="41"/>
      <c r="B1331" s="41"/>
      <c r="C1331" s="117"/>
      <c r="D1331" s="124"/>
      <c r="E1331" s="124"/>
      <c r="F1331" s="124"/>
      <c r="G1331" s="124"/>
      <c r="H1331" s="124"/>
      <c r="I1331" s="124"/>
    </row>
    <row r="1332">
      <c r="A1332" s="41"/>
      <c r="B1332" s="41"/>
      <c r="C1332" s="117"/>
      <c r="D1332" s="124"/>
      <c r="E1332" s="124"/>
      <c r="F1332" s="124"/>
      <c r="G1332" s="124"/>
      <c r="H1332" s="124"/>
      <c r="I1332" s="124"/>
    </row>
    <row r="1333">
      <c r="A1333" s="41"/>
      <c r="B1333" s="41"/>
      <c r="C1333" s="117"/>
      <c r="D1333" s="124"/>
      <c r="E1333" s="124"/>
      <c r="F1333" s="124"/>
      <c r="G1333" s="124"/>
      <c r="H1333" s="124"/>
      <c r="I1333" s="124"/>
    </row>
    <row r="1334">
      <c r="A1334" s="41"/>
      <c r="B1334" s="41"/>
      <c r="C1334" s="117"/>
      <c r="D1334" s="124"/>
      <c r="E1334" s="124"/>
      <c r="F1334" s="124"/>
      <c r="G1334" s="124"/>
      <c r="H1334" s="124"/>
      <c r="I1334" s="124"/>
    </row>
    <row r="1335">
      <c r="A1335" s="41"/>
      <c r="B1335" s="41"/>
      <c r="C1335" s="117"/>
      <c r="D1335" s="124"/>
      <c r="E1335" s="124"/>
      <c r="F1335" s="124"/>
      <c r="G1335" s="124"/>
      <c r="H1335" s="124"/>
      <c r="I1335" s="124"/>
    </row>
    <row r="1336">
      <c r="A1336" s="41"/>
      <c r="B1336" s="41"/>
      <c r="C1336" s="117"/>
      <c r="D1336" s="124"/>
      <c r="E1336" s="124"/>
      <c r="F1336" s="124"/>
      <c r="G1336" s="124"/>
      <c r="H1336" s="124"/>
      <c r="I1336" s="124"/>
    </row>
    <row r="1337">
      <c r="A1337" s="41"/>
      <c r="B1337" s="41"/>
      <c r="C1337" s="117"/>
      <c r="D1337" s="124"/>
      <c r="E1337" s="124"/>
      <c r="F1337" s="124"/>
      <c r="G1337" s="124"/>
      <c r="H1337" s="124"/>
      <c r="I1337" s="124"/>
    </row>
    <row r="1338">
      <c r="A1338" s="41"/>
      <c r="B1338" s="41"/>
      <c r="C1338" s="117"/>
      <c r="D1338" s="124"/>
      <c r="E1338" s="124"/>
      <c r="F1338" s="124"/>
      <c r="G1338" s="124"/>
      <c r="H1338" s="124"/>
      <c r="I1338" s="124"/>
    </row>
    <row r="1339">
      <c r="A1339" s="41"/>
      <c r="B1339" s="41"/>
      <c r="C1339" s="117"/>
      <c r="D1339" s="124"/>
      <c r="E1339" s="124"/>
      <c r="F1339" s="124"/>
      <c r="G1339" s="124"/>
      <c r="H1339" s="124"/>
      <c r="I1339" s="124"/>
    </row>
    <row r="1340">
      <c r="A1340" s="41"/>
      <c r="B1340" s="41"/>
      <c r="C1340" s="117"/>
      <c r="D1340" s="124"/>
      <c r="E1340" s="124"/>
      <c r="F1340" s="124"/>
      <c r="G1340" s="124"/>
      <c r="H1340" s="124"/>
      <c r="I1340" s="124"/>
    </row>
    <row r="1341">
      <c r="A1341" s="41"/>
      <c r="B1341" s="41"/>
      <c r="C1341" s="117"/>
      <c r="D1341" s="124"/>
      <c r="E1341" s="124"/>
      <c r="F1341" s="124"/>
      <c r="G1341" s="124"/>
      <c r="H1341" s="124"/>
      <c r="I1341" s="124"/>
    </row>
    <row r="1342">
      <c r="A1342" s="41"/>
      <c r="B1342" s="41"/>
      <c r="C1342" s="117"/>
      <c r="D1342" s="124"/>
      <c r="E1342" s="124"/>
      <c r="F1342" s="124"/>
      <c r="G1342" s="124"/>
      <c r="H1342" s="124"/>
      <c r="I1342" s="124"/>
    </row>
    <row r="1343">
      <c r="A1343" s="41"/>
      <c r="B1343" s="41"/>
      <c r="C1343" s="117"/>
      <c r="D1343" s="124"/>
      <c r="E1343" s="124"/>
      <c r="F1343" s="124"/>
      <c r="G1343" s="124"/>
      <c r="H1343" s="124"/>
      <c r="I1343" s="124"/>
    </row>
    <row r="1344">
      <c r="A1344" s="41"/>
      <c r="B1344" s="41"/>
      <c r="C1344" s="117"/>
      <c r="D1344" s="124"/>
      <c r="E1344" s="124"/>
      <c r="F1344" s="124"/>
      <c r="G1344" s="124"/>
      <c r="H1344" s="124"/>
      <c r="I1344" s="124"/>
    </row>
    <row r="1345">
      <c r="A1345" s="41"/>
      <c r="B1345" s="41"/>
      <c r="C1345" s="117"/>
      <c r="D1345" s="124"/>
      <c r="E1345" s="124"/>
      <c r="F1345" s="124"/>
      <c r="G1345" s="124"/>
      <c r="H1345" s="124"/>
      <c r="I1345" s="124"/>
    </row>
    <row r="1346">
      <c r="A1346" s="41"/>
      <c r="B1346" s="41"/>
      <c r="C1346" s="117"/>
      <c r="D1346" s="124"/>
      <c r="E1346" s="124"/>
      <c r="F1346" s="124"/>
      <c r="G1346" s="124"/>
      <c r="H1346" s="124"/>
      <c r="I1346" s="124"/>
    </row>
    <row r="1347">
      <c r="A1347" s="41"/>
      <c r="B1347" s="41"/>
      <c r="C1347" s="117"/>
      <c r="D1347" s="124"/>
      <c r="E1347" s="124"/>
      <c r="F1347" s="124"/>
      <c r="G1347" s="124"/>
      <c r="H1347" s="124"/>
      <c r="I1347" s="124"/>
    </row>
    <row r="1348">
      <c r="A1348" s="41"/>
      <c r="B1348" s="41"/>
      <c r="C1348" s="117"/>
      <c r="D1348" s="124"/>
      <c r="E1348" s="124"/>
      <c r="F1348" s="124"/>
      <c r="G1348" s="124"/>
      <c r="H1348" s="124"/>
      <c r="I1348" s="124"/>
    </row>
    <row r="1349">
      <c r="A1349" s="41"/>
      <c r="B1349" s="41"/>
      <c r="C1349" s="117"/>
      <c r="D1349" s="124"/>
      <c r="E1349" s="124"/>
      <c r="F1349" s="124"/>
      <c r="G1349" s="124"/>
      <c r="H1349" s="124"/>
      <c r="I1349" s="124"/>
    </row>
    <row r="1350">
      <c r="A1350" s="41"/>
      <c r="B1350" s="41"/>
      <c r="C1350" s="117"/>
      <c r="D1350" s="124"/>
      <c r="E1350" s="124"/>
      <c r="F1350" s="124"/>
      <c r="G1350" s="124"/>
      <c r="H1350" s="124"/>
      <c r="I1350" s="124"/>
    </row>
    <row r="1351">
      <c r="A1351" s="41"/>
      <c r="B1351" s="41"/>
      <c r="C1351" s="117"/>
      <c r="D1351" s="124"/>
      <c r="E1351" s="124"/>
      <c r="F1351" s="124"/>
      <c r="G1351" s="124"/>
      <c r="H1351" s="124"/>
      <c r="I1351" s="124"/>
    </row>
    <row r="1352">
      <c r="A1352" s="41"/>
      <c r="B1352" s="41"/>
      <c r="C1352" s="117"/>
      <c r="D1352" s="124"/>
      <c r="E1352" s="124"/>
      <c r="F1352" s="124"/>
      <c r="G1352" s="124"/>
      <c r="H1352" s="124"/>
      <c r="I1352" s="124"/>
    </row>
    <row r="1353">
      <c r="A1353" s="41"/>
      <c r="B1353" s="41"/>
      <c r="C1353" s="117"/>
      <c r="D1353" s="124"/>
      <c r="E1353" s="124"/>
      <c r="F1353" s="124"/>
      <c r="G1353" s="124"/>
      <c r="H1353" s="124"/>
      <c r="I1353" s="124"/>
    </row>
    <row r="1354">
      <c r="A1354" s="41"/>
      <c r="B1354" s="41"/>
      <c r="C1354" s="117"/>
      <c r="D1354" s="124"/>
      <c r="E1354" s="124"/>
      <c r="F1354" s="124"/>
      <c r="G1354" s="124"/>
      <c r="H1354" s="124"/>
      <c r="I1354" s="124"/>
    </row>
    <row r="1355">
      <c r="A1355" s="41"/>
      <c r="B1355" s="41"/>
      <c r="C1355" s="117"/>
      <c r="D1355" s="124"/>
      <c r="E1355" s="124"/>
      <c r="F1355" s="124"/>
      <c r="G1355" s="124"/>
      <c r="H1355" s="124"/>
      <c r="I1355" s="124"/>
    </row>
    <row r="1356">
      <c r="A1356" s="41"/>
      <c r="B1356" s="41"/>
      <c r="C1356" s="117"/>
      <c r="D1356" s="124"/>
      <c r="E1356" s="124"/>
      <c r="F1356" s="124"/>
      <c r="G1356" s="124"/>
      <c r="H1356" s="124"/>
      <c r="I1356" s="124"/>
    </row>
    <row r="1357">
      <c r="A1357" s="41"/>
      <c r="B1357" s="41"/>
      <c r="C1357" s="117"/>
      <c r="D1357" s="124"/>
      <c r="E1357" s="124"/>
      <c r="F1357" s="124"/>
      <c r="G1357" s="124"/>
      <c r="H1357" s="124"/>
      <c r="I1357" s="124"/>
    </row>
    <row r="1358">
      <c r="A1358" s="41"/>
      <c r="B1358" s="41"/>
      <c r="C1358" s="117"/>
      <c r="D1358" s="124"/>
      <c r="E1358" s="124"/>
      <c r="F1358" s="124"/>
      <c r="G1358" s="124"/>
      <c r="H1358" s="124"/>
      <c r="I1358" s="124"/>
    </row>
    <row r="1359">
      <c r="A1359" s="41"/>
      <c r="B1359" s="41"/>
      <c r="C1359" s="117"/>
      <c r="D1359" s="124"/>
      <c r="E1359" s="124"/>
      <c r="F1359" s="124"/>
      <c r="G1359" s="124"/>
      <c r="H1359" s="124"/>
      <c r="I1359" s="124"/>
    </row>
    <row r="1360">
      <c r="A1360" s="41"/>
      <c r="B1360" s="41"/>
      <c r="C1360" s="117"/>
      <c r="D1360" s="124"/>
      <c r="E1360" s="124"/>
      <c r="F1360" s="124"/>
      <c r="G1360" s="124"/>
      <c r="H1360" s="124"/>
      <c r="I1360" s="124"/>
    </row>
    <row r="1361">
      <c r="A1361" s="41"/>
      <c r="B1361" s="41"/>
      <c r="C1361" s="117"/>
      <c r="D1361" s="124"/>
      <c r="E1361" s="124"/>
      <c r="F1361" s="124"/>
      <c r="G1361" s="124"/>
      <c r="H1361" s="124"/>
      <c r="I1361" s="124"/>
    </row>
    <row r="1362">
      <c r="A1362" s="41"/>
      <c r="B1362" s="41"/>
      <c r="C1362" s="117"/>
      <c r="D1362" s="124"/>
      <c r="E1362" s="124"/>
      <c r="F1362" s="124"/>
      <c r="G1362" s="124"/>
      <c r="H1362" s="124"/>
      <c r="I1362" s="124"/>
    </row>
    <row r="1363">
      <c r="A1363" s="41"/>
      <c r="B1363" s="41"/>
      <c r="C1363" s="117"/>
      <c r="D1363" s="124"/>
      <c r="E1363" s="124"/>
      <c r="F1363" s="124"/>
      <c r="G1363" s="124"/>
      <c r="H1363" s="124"/>
      <c r="I1363" s="124"/>
    </row>
    <row r="1364">
      <c r="A1364" s="41"/>
      <c r="B1364" s="41"/>
      <c r="C1364" s="117"/>
      <c r="D1364" s="124"/>
      <c r="E1364" s="124"/>
      <c r="F1364" s="124"/>
      <c r="G1364" s="124"/>
      <c r="H1364" s="124"/>
      <c r="I1364" s="124"/>
    </row>
    <row r="1365">
      <c r="A1365" s="41"/>
      <c r="B1365" s="41"/>
      <c r="C1365" s="117"/>
      <c r="D1365" s="124"/>
      <c r="E1365" s="124"/>
      <c r="F1365" s="124"/>
      <c r="G1365" s="124"/>
      <c r="H1365" s="124"/>
      <c r="I1365" s="124"/>
    </row>
    <row r="1366">
      <c r="A1366" s="41"/>
      <c r="B1366" s="41"/>
      <c r="C1366" s="117"/>
      <c r="D1366" s="124"/>
      <c r="E1366" s="124"/>
      <c r="F1366" s="124"/>
      <c r="G1366" s="124"/>
      <c r="H1366" s="124"/>
      <c r="I1366" s="124"/>
    </row>
    <row r="1367">
      <c r="A1367" s="41"/>
      <c r="B1367" s="41"/>
      <c r="C1367" s="117"/>
      <c r="D1367" s="124"/>
      <c r="E1367" s="124"/>
      <c r="F1367" s="124"/>
      <c r="G1367" s="124"/>
      <c r="H1367" s="124"/>
      <c r="I1367" s="124"/>
    </row>
    <row r="1368">
      <c r="A1368" s="41"/>
      <c r="B1368" s="41"/>
      <c r="C1368" s="117"/>
      <c r="D1368" s="124"/>
      <c r="E1368" s="124"/>
      <c r="F1368" s="124"/>
      <c r="G1368" s="124"/>
      <c r="H1368" s="124"/>
      <c r="I1368" s="124"/>
    </row>
    <row r="1369">
      <c r="A1369" s="41"/>
      <c r="B1369" s="41"/>
      <c r="C1369" s="117"/>
      <c r="D1369" s="124"/>
      <c r="E1369" s="124"/>
      <c r="F1369" s="124"/>
      <c r="G1369" s="124"/>
      <c r="H1369" s="124"/>
      <c r="I1369" s="124"/>
    </row>
    <row r="1370">
      <c r="A1370" s="41"/>
      <c r="B1370" s="41"/>
      <c r="C1370" s="117"/>
      <c r="D1370" s="124"/>
      <c r="E1370" s="124"/>
      <c r="F1370" s="124"/>
      <c r="G1370" s="124"/>
      <c r="H1370" s="124"/>
      <c r="I1370" s="124"/>
    </row>
    <row r="1371">
      <c r="A1371" s="41"/>
      <c r="B1371" s="41"/>
      <c r="C1371" s="117"/>
      <c r="D1371" s="124"/>
      <c r="E1371" s="124"/>
      <c r="F1371" s="124"/>
      <c r="G1371" s="124"/>
      <c r="H1371" s="124"/>
      <c r="I1371" s="124"/>
    </row>
    <row r="1372">
      <c r="A1372" s="41"/>
      <c r="B1372" s="41"/>
      <c r="C1372" s="117"/>
      <c r="D1372" s="124"/>
      <c r="E1372" s="124"/>
      <c r="F1372" s="124"/>
      <c r="G1372" s="124"/>
      <c r="H1372" s="124"/>
      <c r="I1372" s="124"/>
    </row>
    <row r="1373">
      <c r="A1373" s="41"/>
      <c r="B1373" s="41"/>
      <c r="C1373" s="117"/>
      <c r="D1373" s="124"/>
      <c r="E1373" s="124"/>
      <c r="F1373" s="124"/>
      <c r="G1373" s="124"/>
      <c r="H1373" s="124"/>
      <c r="I1373" s="124"/>
    </row>
    <row r="1374">
      <c r="A1374" s="41"/>
      <c r="B1374" s="41"/>
      <c r="C1374" s="117"/>
      <c r="D1374" s="124"/>
      <c r="E1374" s="124"/>
      <c r="F1374" s="124"/>
      <c r="G1374" s="124"/>
      <c r="H1374" s="124"/>
      <c r="I1374" s="124"/>
    </row>
    <row r="1375">
      <c r="A1375" s="41"/>
      <c r="B1375" s="41"/>
      <c r="C1375" s="117"/>
      <c r="D1375" s="124"/>
      <c r="E1375" s="124"/>
      <c r="F1375" s="124"/>
      <c r="G1375" s="124"/>
      <c r="H1375" s="124"/>
      <c r="I1375" s="124"/>
    </row>
    <row r="1376">
      <c r="A1376" s="41"/>
      <c r="B1376" s="41"/>
      <c r="C1376" s="117"/>
      <c r="D1376" s="124"/>
      <c r="E1376" s="124"/>
      <c r="F1376" s="124"/>
      <c r="G1376" s="124"/>
      <c r="H1376" s="124"/>
      <c r="I1376" s="124"/>
    </row>
    <row r="1377">
      <c r="A1377" s="41"/>
      <c r="B1377" s="41"/>
      <c r="C1377" s="117"/>
      <c r="D1377" s="124"/>
      <c r="E1377" s="124"/>
      <c r="F1377" s="124"/>
      <c r="G1377" s="124"/>
      <c r="H1377" s="124"/>
      <c r="I1377" s="124"/>
    </row>
    <row r="1378">
      <c r="A1378" s="41"/>
      <c r="B1378" s="41"/>
      <c r="C1378" s="117"/>
      <c r="D1378" s="124"/>
      <c r="E1378" s="124"/>
      <c r="F1378" s="124"/>
      <c r="G1378" s="124"/>
      <c r="H1378" s="124"/>
      <c r="I1378" s="124"/>
    </row>
    <row r="1379">
      <c r="A1379" s="41"/>
      <c r="B1379" s="41"/>
      <c r="C1379" s="117"/>
      <c r="D1379" s="124"/>
      <c r="E1379" s="124"/>
      <c r="F1379" s="124"/>
      <c r="G1379" s="124"/>
      <c r="H1379" s="124"/>
      <c r="I1379" s="124"/>
    </row>
    <row r="1380">
      <c r="A1380" s="41"/>
      <c r="B1380" s="41"/>
      <c r="C1380" s="117"/>
      <c r="D1380" s="124"/>
      <c r="E1380" s="124"/>
      <c r="F1380" s="124"/>
      <c r="G1380" s="124"/>
      <c r="H1380" s="124"/>
      <c r="I1380" s="124"/>
    </row>
    <row r="1381">
      <c r="A1381" s="41"/>
      <c r="B1381" s="41"/>
      <c r="C1381" s="117"/>
      <c r="D1381" s="124"/>
      <c r="E1381" s="124"/>
      <c r="F1381" s="124"/>
      <c r="G1381" s="124"/>
      <c r="H1381" s="124"/>
      <c r="I1381" s="124"/>
    </row>
    <row r="1382">
      <c r="A1382" s="41"/>
      <c r="B1382" s="41"/>
      <c r="C1382" s="117"/>
      <c r="D1382" s="124"/>
      <c r="E1382" s="124"/>
      <c r="F1382" s="124"/>
      <c r="G1382" s="124"/>
      <c r="H1382" s="124"/>
      <c r="I1382" s="124"/>
    </row>
    <row r="1383">
      <c r="A1383" s="41"/>
      <c r="B1383" s="41"/>
      <c r="C1383" s="117"/>
      <c r="D1383" s="124"/>
      <c r="E1383" s="124"/>
      <c r="F1383" s="124"/>
      <c r="G1383" s="124"/>
      <c r="H1383" s="124"/>
      <c r="I1383" s="124"/>
    </row>
    <row r="1384">
      <c r="A1384" s="41"/>
      <c r="B1384" s="41"/>
      <c r="C1384" s="117"/>
      <c r="D1384" s="124"/>
      <c r="E1384" s="124"/>
      <c r="F1384" s="124"/>
      <c r="G1384" s="124"/>
      <c r="H1384" s="124"/>
      <c r="I1384" s="124"/>
    </row>
    <row r="1385">
      <c r="A1385" s="41"/>
      <c r="B1385" s="41"/>
      <c r="C1385" s="117"/>
      <c r="D1385" s="124"/>
      <c r="E1385" s="124"/>
      <c r="F1385" s="124"/>
      <c r="G1385" s="124"/>
      <c r="H1385" s="124"/>
      <c r="I1385" s="124"/>
    </row>
    <row r="1386">
      <c r="A1386" s="41"/>
      <c r="B1386" s="41"/>
      <c r="C1386" s="117"/>
      <c r="D1386" s="124"/>
      <c r="E1386" s="124"/>
      <c r="F1386" s="124"/>
      <c r="G1386" s="124"/>
      <c r="H1386" s="124"/>
      <c r="I1386" s="124"/>
    </row>
    <row r="1387">
      <c r="A1387" s="41"/>
      <c r="B1387" s="41"/>
      <c r="C1387" s="117"/>
      <c r="D1387" s="124"/>
      <c r="E1387" s="124"/>
      <c r="F1387" s="124"/>
      <c r="G1387" s="124"/>
      <c r="H1387" s="124"/>
      <c r="I1387" s="124"/>
    </row>
    <row r="1388">
      <c r="A1388" s="41"/>
      <c r="B1388" s="41"/>
      <c r="C1388" s="117"/>
      <c r="D1388" s="124"/>
      <c r="E1388" s="124"/>
      <c r="F1388" s="124"/>
      <c r="G1388" s="124"/>
      <c r="H1388" s="124"/>
      <c r="I1388" s="124"/>
    </row>
    <row r="1389">
      <c r="A1389" s="41"/>
      <c r="B1389" s="41"/>
      <c r="C1389" s="117"/>
      <c r="D1389" s="124"/>
      <c r="E1389" s="124"/>
      <c r="F1389" s="124"/>
      <c r="G1389" s="124"/>
      <c r="H1389" s="124"/>
      <c r="I1389" s="124"/>
    </row>
    <row r="1390">
      <c r="A1390" s="41"/>
      <c r="B1390" s="41"/>
      <c r="C1390" s="117"/>
      <c r="D1390" s="124"/>
      <c r="E1390" s="124"/>
      <c r="F1390" s="124"/>
      <c r="G1390" s="124"/>
      <c r="H1390" s="124"/>
      <c r="I1390" s="124"/>
    </row>
    <row r="1391">
      <c r="A1391" s="41"/>
      <c r="B1391" s="41"/>
      <c r="C1391" s="117"/>
      <c r="D1391" s="124"/>
      <c r="E1391" s="124"/>
      <c r="F1391" s="124"/>
      <c r="G1391" s="124"/>
      <c r="H1391" s="124"/>
      <c r="I1391" s="124"/>
    </row>
    <row r="1392">
      <c r="A1392" s="41"/>
      <c r="B1392" s="41"/>
      <c r="C1392" s="117"/>
      <c r="D1392" s="124"/>
      <c r="E1392" s="124"/>
      <c r="F1392" s="124"/>
      <c r="G1392" s="124"/>
      <c r="H1392" s="124"/>
      <c r="I1392" s="124"/>
    </row>
    <row r="1393">
      <c r="A1393" s="41"/>
      <c r="B1393" s="41"/>
      <c r="C1393" s="117"/>
      <c r="D1393" s="124"/>
      <c r="E1393" s="124"/>
      <c r="F1393" s="124"/>
      <c r="G1393" s="124"/>
      <c r="H1393" s="124"/>
      <c r="I1393" s="124"/>
    </row>
    <row r="1394">
      <c r="A1394" s="41"/>
      <c r="B1394" s="41"/>
      <c r="C1394" s="117"/>
      <c r="D1394" s="124"/>
      <c r="E1394" s="124"/>
      <c r="F1394" s="124"/>
      <c r="G1394" s="124"/>
      <c r="H1394" s="124"/>
      <c r="I1394" s="124"/>
    </row>
    <row r="1395">
      <c r="A1395" s="41"/>
      <c r="B1395" s="41"/>
      <c r="C1395" s="117"/>
      <c r="D1395" s="124"/>
      <c r="E1395" s="124"/>
      <c r="F1395" s="124"/>
      <c r="G1395" s="124"/>
      <c r="H1395" s="124"/>
      <c r="I1395" s="124"/>
    </row>
    <row r="1396">
      <c r="A1396" s="41"/>
      <c r="B1396" s="41"/>
      <c r="C1396" s="117"/>
      <c r="D1396" s="124"/>
      <c r="E1396" s="124"/>
      <c r="F1396" s="124"/>
      <c r="G1396" s="124"/>
      <c r="H1396" s="124"/>
      <c r="I1396" s="124"/>
    </row>
    <row r="1397">
      <c r="A1397" s="41"/>
      <c r="B1397" s="41"/>
      <c r="C1397" s="117"/>
      <c r="D1397" s="124"/>
      <c r="E1397" s="124"/>
      <c r="F1397" s="124"/>
      <c r="G1397" s="124"/>
      <c r="H1397" s="124"/>
      <c r="I1397" s="124"/>
    </row>
    <row r="1398">
      <c r="A1398" s="41"/>
      <c r="B1398" s="41"/>
      <c r="C1398" s="117"/>
      <c r="D1398" s="124"/>
      <c r="E1398" s="124"/>
      <c r="F1398" s="124"/>
      <c r="G1398" s="124"/>
      <c r="H1398" s="124"/>
      <c r="I1398" s="124"/>
    </row>
    <row r="1399">
      <c r="A1399" s="41"/>
      <c r="B1399" s="41"/>
      <c r="C1399" s="117"/>
      <c r="D1399" s="124"/>
      <c r="E1399" s="124"/>
      <c r="F1399" s="124"/>
      <c r="G1399" s="124"/>
      <c r="H1399" s="124"/>
      <c r="I1399" s="124"/>
    </row>
    <row r="1400">
      <c r="A1400" s="41"/>
      <c r="B1400" s="41"/>
      <c r="C1400" s="117"/>
      <c r="D1400" s="124"/>
      <c r="E1400" s="124"/>
      <c r="F1400" s="124"/>
      <c r="G1400" s="124"/>
      <c r="H1400" s="124"/>
      <c r="I1400" s="124"/>
    </row>
    <row r="1401">
      <c r="A1401" s="41"/>
      <c r="B1401" s="41"/>
      <c r="C1401" s="117"/>
      <c r="D1401" s="124"/>
      <c r="E1401" s="124"/>
      <c r="F1401" s="124"/>
      <c r="G1401" s="124"/>
      <c r="H1401" s="124"/>
      <c r="I1401" s="124"/>
    </row>
    <row r="1402">
      <c r="A1402" s="41"/>
      <c r="B1402" s="41"/>
      <c r="C1402" s="117"/>
      <c r="D1402" s="124"/>
      <c r="E1402" s="124"/>
      <c r="F1402" s="124"/>
      <c r="G1402" s="124"/>
      <c r="H1402" s="124"/>
      <c r="I1402" s="124"/>
    </row>
    <row r="1403">
      <c r="A1403" s="41"/>
      <c r="B1403" s="41"/>
      <c r="C1403" s="117"/>
      <c r="D1403" s="124"/>
      <c r="E1403" s="124"/>
      <c r="F1403" s="124"/>
      <c r="G1403" s="124"/>
      <c r="H1403" s="124"/>
      <c r="I1403" s="124"/>
    </row>
    <row r="1404">
      <c r="A1404" s="41"/>
      <c r="B1404" s="41"/>
      <c r="C1404" s="117"/>
      <c r="D1404" s="124"/>
      <c r="E1404" s="124"/>
      <c r="F1404" s="124"/>
      <c r="G1404" s="124"/>
      <c r="H1404" s="124"/>
      <c r="I1404" s="124"/>
    </row>
    <row r="1405">
      <c r="A1405" s="41"/>
      <c r="B1405" s="41"/>
      <c r="C1405" s="117"/>
      <c r="D1405" s="124"/>
      <c r="E1405" s="124"/>
      <c r="F1405" s="124"/>
      <c r="G1405" s="124"/>
      <c r="H1405" s="124"/>
      <c r="I1405" s="124"/>
    </row>
    <row r="1406">
      <c r="A1406" s="41"/>
      <c r="B1406" s="41"/>
      <c r="C1406" s="117"/>
      <c r="D1406" s="124"/>
      <c r="E1406" s="124"/>
      <c r="F1406" s="124"/>
      <c r="G1406" s="124"/>
      <c r="H1406" s="124"/>
      <c r="I1406" s="124"/>
    </row>
    <row r="1407">
      <c r="A1407" s="41"/>
      <c r="B1407" s="41"/>
      <c r="C1407" s="117"/>
      <c r="D1407" s="124"/>
      <c r="E1407" s="124"/>
      <c r="F1407" s="124"/>
      <c r="G1407" s="124"/>
      <c r="H1407" s="124"/>
      <c r="I1407" s="124"/>
    </row>
    <row r="1408">
      <c r="A1408" s="41"/>
      <c r="B1408" s="41"/>
      <c r="C1408" s="117"/>
      <c r="D1408" s="124"/>
      <c r="E1408" s="124"/>
      <c r="F1408" s="124"/>
      <c r="G1408" s="124"/>
      <c r="H1408" s="124"/>
      <c r="I1408" s="124"/>
    </row>
    <row r="1409">
      <c r="A1409" s="41"/>
      <c r="B1409" s="41"/>
      <c r="C1409" s="117"/>
      <c r="D1409" s="124"/>
      <c r="E1409" s="124"/>
      <c r="F1409" s="124"/>
      <c r="G1409" s="124"/>
      <c r="H1409" s="124"/>
      <c r="I1409" s="124"/>
    </row>
    <row r="1410">
      <c r="A1410" s="41"/>
      <c r="B1410" s="41"/>
      <c r="C1410" s="117"/>
      <c r="D1410" s="124"/>
      <c r="E1410" s="124"/>
      <c r="F1410" s="124"/>
      <c r="G1410" s="124"/>
      <c r="H1410" s="124"/>
      <c r="I1410" s="124"/>
    </row>
    <row r="1411">
      <c r="A1411" s="41"/>
      <c r="B1411" s="41"/>
      <c r="C1411" s="117"/>
      <c r="D1411" s="124"/>
      <c r="E1411" s="124"/>
      <c r="F1411" s="124"/>
      <c r="G1411" s="124"/>
      <c r="H1411" s="124"/>
      <c r="I1411" s="124"/>
    </row>
    <row r="1412">
      <c r="A1412" s="41"/>
      <c r="B1412" s="41"/>
      <c r="C1412" s="117"/>
      <c r="D1412" s="124"/>
      <c r="E1412" s="124"/>
      <c r="F1412" s="124"/>
      <c r="G1412" s="124"/>
      <c r="H1412" s="124"/>
      <c r="I1412" s="124"/>
    </row>
    <row r="1413">
      <c r="A1413" s="41"/>
      <c r="B1413" s="41"/>
      <c r="C1413" s="117"/>
      <c r="D1413" s="124"/>
      <c r="E1413" s="124"/>
      <c r="F1413" s="124"/>
      <c r="G1413" s="124"/>
      <c r="H1413" s="124"/>
      <c r="I1413" s="124"/>
    </row>
    <row r="1414">
      <c r="A1414" s="41"/>
      <c r="B1414" s="41"/>
      <c r="C1414" s="117"/>
      <c r="D1414" s="124"/>
      <c r="E1414" s="124"/>
      <c r="F1414" s="124"/>
      <c r="G1414" s="124"/>
      <c r="H1414" s="124"/>
      <c r="I1414" s="124"/>
    </row>
    <row r="1415">
      <c r="A1415" s="41"/>
      <c r="B1415" s="41"/>
      <c r="C1415" s="117"/>
      <c r="D1415" s="124"/>
      <c r="E1415" s="124"/>
      <c r="F1415" s="124"/>
      <c r="G1415" s="124"/>
      <c r="H1415" s="124"/>
      <c r="I1415" s="124"/>
    </row>
    <row r="1416">
      <c r="A1416" s="41"/>
      <c r="B1416" s="41"/>
      <c r="C1416" s="117"/>
      <c r="D1416" s="124"/>
      <c r="E1416" s="124"/>
      <c r="F1416" s="124"/>
      <c r="G1416" s="124"/>
      <c r="H1416" s="124"/>
      <c r="I1416" s="124"/>
    </row>
    <row r="1417">
      <c r="A1417" s="41"/>
      <c r="B1417" s="41"/>
      <c r="C1417" s="117"/>
      <c r="D1417" s="124"/>
      <c r="E1417" s="124"/>
      <c r="F1417" s="124"/>
      <c r="G1417" s="124"/>
      <c r="H1417" s="124"/>
      <c r="I1417" s="124"/>
    </row>
    <row r="1418">
      <c r="A1418" s="41"/>
      <c r="B1418" s="41"/>
      <c r="C1418" s="117"/>
      <c r="D1418" s="124"/>
      <c r="E1418" s="124"/>
      <c r="F1418" s="124"/>
      <c r="G1418" s="124"/>
      <c r="H1418" s="124"/>
      <c r="I1418" s="124"/>
    </row>
    <row r="1419">
      <c r="A1419" s="41"/>
      <c r="B1419" s="41"/>
      <c r="C1419" s="117"/>
      <c r="D1419" s="124"/>
      <c r="E1419" s="124"/>
      <c r="F1419" s="124"/>
      <c r="G1419" s="124"/>
      <c r="H1419" s="124"/>
      <c r="I1419" s="124"/>
    </row>
    <row r="1420">
      <c r="A1420" s="41"/>
      <c r="B1420" s="41"/>
      <c r="C1420" s="117"/>
      <c r="D1420" s="124"/>
      <c r="E1420" s="124"/>
      <c r="F1420" s="124"/>
      <c r="G1420" s="124"/>
      <c r="H1420" s="124"/>
      <c r="I1420" s="124"/>
    </row>
    <row r="1421">
      <c r="A1421" s="41"/>
      <c r="B1421" s="41"/>
      <c r="C1421" s="117"/>
      <c r="D1421" s="124"/>
      <c r="E1421" s="124"/>
      <c r="F1421" s="124"/>
      <c r="G1421" s="124"/>
      <c r="H1421" s="124"/>
      <c r="I1421" s="124"/>
    </row>
    <row r="1422">
      <c r="A1422" s="41"/>
      <c r="B1422" s="41"/>
      <c r="C1422" s="117"/>
      <c r="D1422" s="124"/>
      <c r="E1422" s="124"/>
      <c r="F1422" s="124"/>
      <c r="G1422" s="124"/>
      <c r="H1422" s="124"/>
      <c r="I1422" s="124"/>
    </row>
    <row r="1423">
      <c r="A1423" s="41"/>
      <c r="B1423" s="41"/>
      <c r="C1423" s="117"/>
      <c r="D1423" s="124"/>
      <c r="E1423" s="124"/>
      <c r="F1423" s="124"/>
      <c r="G1423" s="124"/>
      <c r="H1423" s="124"/>
      <c r="I1423" s="124"/>
    </row>
    <row r="1424">
      <c r="A1424" s="41"/>
      <c r="B1424" s="41"/>
      <c r="C1424" s="117"/>
      <c r="D1424" s="124"/>
      <c r="E1424" s="124"/>
      <c r="F1424" s="124"/>
      <c r="G1424" s="124"/>
      <c r="H1424" s="124"/>
      <c r="I1424" s="124"/>
    </row>
    <row r="1425">
      <c r="A1425" s="41"/>
      <c r="B1425" s="41"/>
      <c r="C1425" s="117"/>
      <c r="D1425" s="124"/>
      <c r="E1425" s="124"/>
      <c r="F1425" s="124"/>
      <c r="G1425" s="124"/>
      <c r="H1425" s="124"/>
      <c r="I1425" s="124"/>
    </row>
    <row r="1426">
      <c r="A1426" s="41"/>
      <c r="B1426" s="41"/>
      <c r="C1426" s="117"/>
      <c r="D1426" s="124"/>
      <c r="E1426" s="124"/>
      <c r="F1426" s="124"/>
      <c r="G1426" s="124"/>
      <c r="H1426" s="124"/>
      <c r="I1426" s="124"/>
    </row>
    <row r="1427">
      <c r="A1427" s="41"/>
      <c r="B1427" s="41"/>
      <c r="C1427" s="117"/>
      <c r="D1427" s="124"/>
      <c r="E1427" s="124"/>
      <c r="F1427" s="124"/>
      <c r="G1427" s="124"/>
      <c r="H1427" s="124"/>
      <c r="I1427" s="124"/>
    </row>
    <row r="1428">
      <c r="A1428" s="41"/>
      <c r="B1428" s="41"/>
      <c r="C1428" s="117"/>
      <c r="D1428" s="124"/>
      <c r="E1428" s="124"/>
      <c r="F1428" s="124"/>
      <c r="G1428" s="124"/>
      <c r="H1428" s="124"/>
      <c r="I1428" s="124"/>
    </row>
    <row r="1429">
      <c r="A1429" s="41"/>
      <c r="B1429" s="41"/>
      <c r="C1429" s="117"/>
      <c r="D1429" s="124"/>
      <c r="E1429" s="124"/>
      <c r="F1429" s="124"/>
      <c r="G1429" s="124"/>
      <c r="H1429" s="124"/>
      <c r="I1429" s="124"/>
    </row>
    <row r="1430">
      <c r="A1430" s="41"/>
      <c r="B1430" s="41"/>
      <c r="C1430" s="117"/>
      <c r="D1430" s="124"/>
      <c r="E1430" s="124"/>
      <c r="F1430" s="124"/>
      <c r="G1430" s="124"/>
      <c r="H1430" s="124"/>
      <c r="I1430" s="124"/>
    </row>
    <row r="1431">
      <c r="A1431" s="41"/>
      <c r="B1431" s="41"/>
      <c r="C1431" s="117"/>
      <c r="D1431" s="124"/>
      <c r="E1431" s="124"/>
      <c r="F1431" s="124"/>
      <c r="G1431" s="124"/>
      <c r="H1431" s="124"/>
      <c r="I1431" s="124"/>
    </row>
    <row r="1432">
      <c r="A1432" s="41"/>
      <c r="B1432" s="41"/>
      <c r="C1432" s="117"/>
      <c r="D1432" s="124"/>
      <c r="E1432" s="124"/>
      <c r="F1432" s="124"/>
      <c r="G1432" s="124"/>
      <c r="H1432" s="124"/>
      <c r="I1432" s="124"/>
    </row>
    <row r="1433">
      <c r="A1433" s="41"/>
      <c r="B1433" s="41"/>
      <c r="C1433" s="117"/>
      <c r="D1433" s="124"/>
      <c r="E1433" s="124"/>
      <c r="F1433" s="124"/>
      <c r="G1433" s="124"/>
      <c r="H1433" s="124"/>
      <c r="I1433" s="124"/>
    </row>
    <row r="1434">
      <c r="A1434" s="41"/>
      <c r="B1434" s="41"/>
      <c r="C1434" s="117"/>
      <c r="D1434" s="124"/>
      <c r="E1434" s="124"/>
      <c r="F1434" s="124"/>
      <c r="G1434" s="124"/>
      <c r="H1434" s="124"/>
      <c r="I1434" s="124"/>
    </row>
    <row r="1435">
      <c r="A1435" s="41"/>
      <c r="B1435" s="41"/>
      <c r="C1435" s="117"/>
      <c r="D1435" s="124"/>
      <c r="E1435" s="124"/>
      <c r="F1435" s="124"/>
      <c r="G1435" s="124"/>
      <c r="H1435" s="124"/>
      <c r="I1435" s="124"/>
    </row>
    <row r="1436">
      <c r="A1436" s="41"/>
      <c r="B1436" s="41"/>
      <c r="C1436" s="117"/>
      <c r="D1436" s="124"/>
      <c r="E1436" s="124"/>
      <c r="F1436" s="124"/>
      <c r="G1436" s="124"/>
      <c r="H1436" s="124"/>
      <c r="I1436" s="124"/>
    </row>
    <row r="1437">
      <c r="A1437" s="41"/>
      <c r="B1437" s="41"/>
      <c r="C1437" s="117"/>
      <c r="D1437" s="124"/>
      <c r="E1437" s="124"/>
      <c r="F1437" s="124"/>
      <c r="G1437" s="124"/>
      <c r="H1437" s="124"/>
      <c r="I1437" s="124"/>
    </row>
    <row r="1438">
      <c r="A1438" s="41"/>
      <c r="B1438" s="41"/>
      <c r="C1438" s="117"/>
      <c r="D1438" s="124"/>
      <c r="E1438" s="124"/>
      <c r="F1438" s="124"/>
      <c r="G1438" s="124"/>
      <c r="H1438" s="124"/>
      <c r="I1438" s="124"/>
    </row>
    <row r="1439">
      <c r="A1439" s="41"/>
      <c r="B1439" s="41"/>
      <c r="C1439" s="117"/>
      <c r="D1439" s="124"/>
      <c r="E1439" s="124"/>
      <c r="F1439" s="124"/>
      <c r="G1439" s="124"/>
      <c r="H1439" s="124"/>
      <c r="I1439" s="124"/>
    </row>
    <row r="1440">
      <c r="A1440" s="41"/>
      <c r="B1440" s="41"/>
      <c r="C1440" s="117"/>
      <c r="D1440" s="124"/>
      <c r="E1440" s="124"/>
      <c r="F1440" s="124"/>
      <c r="G1440" s="124"/>
      <c r="H1440" s="124"/>
      <c r="I1440" s="124"/>
    </row>
    <row r="1441">
      <c r="A1441" s="41"/>
      <c r="B1441" s="41"/>
      <c r="C1441" s="117"/>
      <c r="D1441" s="124"/>
      <c r="E1441" s="124"/>
      <c r="F1441" s="124"/>
      <c r="G1441" s="124"/>
      <c r="H1441" s="124"/>
      <c r="I1441" s="124"/>
    </row>
    <row r="1442">
      <c r="A1442" s="41"/>
      <c r="B1442" s="41"/>
      <c r="C1442" s="117"/>
      <c r="D1442" s="124"/>
      <c r="E1442" s="124"/>
      <c r="F1442" s="124"/>
      <c r="G1442" s="124"/>
      <c r="H1442" s="124"/>
      <c r="I1442" s="124"/>
    </row>
    <row r="1443">
      <c r="A1443" s="41"/>
      <c r="B1443" s="41"/>
      <c r="C1443" s="117"/>
      <c r="D1443" s="124"/>
      <c r="E1443" s="124"/>
      <c r="F1443" s="124"/>
      <c r="G1443" s="124"/>
      <c r="H1443" s="124"/>
      <c r="I1443" s="124"/>
    </row>
    <row r="1444">
      <c r="A1444" s="41"/>
      <c r="B1444" s="41"/>
      <c r="C1444" s="117"/>
      <c r="D1444" s="124"/>
      <c r="E1444" s="124"/>
      <c r="F1444" s="124"/>
      <c r="G1444" s="124"/>
      <c r="H1444" s="124"/>
      <c r="I1444" s="124"/>
    </row>
    <row r="1445">
      <c r="A1445" s="41"/>
      <c r="B1445" s="41"/>
      <c r="C1445" s="117"/>
      <c r="D1445" s="124"/>
      <c r="E1445" s="124"/>
      <c r="F1445" s="124"/>
      <c r="G1445" s="124"/>
      <c r="H1445" s="124"/>
      <c r="I1445" s="124"/>
    </row>
    <row r="1446">
      <c r="A1446" s="41"/>
      <c r="B1446" s="41"/>
      <c r="C1446" s="117"/>
      <c r="D1446" s="124"/>
      <c r="E1446" s="124"/>
      <c r="F1446" s="124"/>
      <c r="G1446" s="124"/>
      <c r="H1446" s="124"/>
      <c r="I1446" s="124"/>
    </row>
    <row r="1447">
      <c r="A1447" s="41"/>
      <c r="B1447" s="41"/>
      <c r="C1447" s="117"/>
      <c r="D1447" s="124"/>
      <c r="E1447" s="124"/>
      <c r="F1447" s="124"/>
      <c r="G1447" s="124"/>
      <c r="H1447" s="124"/>
      <c r="I1447" s="124"/>
    </row>
    <row r="1448">
      <c r="A1448" s="41"/>
      <c r="B1448" s="41"/>
      <c r="C1448" s="117"/>
      <c r="D1448" s="124"/>
      <c r="E1448" s="124"/>
      <c r="F1448" s="124"/>
      <c r="G1448" s="124"/>
      <c r="H1448" s="124"/>
      <c r="I1448" s="124"/>
    </row>
    <row r="1449">
      <c r="A1449" s="41"/>
      <c r="B1449" s="41"/>
      <c r="C1449" s="117"/>
      <c r="D1449" s="124"/>
      <c r="E1449" s="124"/>
      <c r="F1449" s="124"/>
      <c r="G1449" s="124"/>
      <c r="H1449" s="124"/>
      <c r="I1449" s="124"/>
    </row>
    <row r="1450">
      <c r="A1450" s="41"/>
      <c r="B1450" s="41"/>
      <c r="C1450" s="117"/>
      <c r="D1450" s="124"/>
      <c r="E1450" s="124"/>
      <c r="F1450" s="124"/>
      <c r="G1450" s="124"/>
      <c r="H1450" s="124"/>
      <c r="I1450" s="124"/>
    </row>
    <row r="1451">
      <c r="A1451" s="41"/>
      <c r="B1451" s="41"/>
      <c r="C1451" s="117"/>
      <c r="D1451" s="124"/>
      <c r="E1451" s="124"/>
      <c r="F1451" s="124"/>
      <c r="G1451" s="124"/>
      <c r="H1451" s="124"/>
      <c r="I1451" s="124"/>
    </row>
    <row r="1452">
      <c r="A1452" s="41"/>
      <c r="B1452" s="41"/>
      <c r="C1452" s="117"/>
      <c r="D1452" s="124"/>
      <c r="E1452" s="124"/>
      <c r="F1452" s="124"/>
      <c r="G1452" s="124"/>
      <c r="H1452" s="124"/>
      <c r="I1452" s="124"/>
    </row>
    <row r="1453">
      <c r="A1453" s="41"/>
      <c r="B1453" s="41"/>
      <c r="C1453" s="117"/>
      <c r="D1453" s="124"/>
      <c r="E1453" s="124"/>
      <c r="F1453" s="124"/>
      <c r="G1453" s="124"/>
      <c r="H1453" s="124"/>
      <c r="I1453" s="124"/>
    </row>
    <row r="1454">
      <c r="A1454" s="41"/>
      <c r="B1454" s="41"/>
      <c r="C1454" s="117"/>
      <c r="D1454" s="124"/>
      <c r="E1454" s="124"/>
      <c r="F1454" s="124"/>
      <c r="G1454" s="124"/>
      <c r="H1454" s="124"/>
      <c r="I1454" s="124"/>
    </row>
    <row r="1455">
      <c r="A1455" s="41"/>
      <c r="B1455" s="41"/>
      <c r="C1455" s="117"/>
      <c r="D1455" s="124"/>
      <c r="E1455" s="124"/>
      <c r="F1455" s="124"/>
      <c r="G1455" s="124"/>
      <c r="H1455" s="124"/>
      <c r="I1455" s="124"/>
    </row>
    <row r="1456">
      <c r="A1456" s="41"/>
      <c r="B1456" s="41"/>
      <c r="C1456" s="117"/>
      <c r="D1456" s="124"/>
      <c r="E1456" s="124"/>
      <c r="F1456" s="124"/>
      <c r="G1456" s="124"/>
      <c r="H1456" s="124"/>
      <c r="I1456" s="124"/>
    </row>
    <row r="1457">
      <c r="A1457" s="41"/>
      <c r="B1457" s="41"/>
      <c r="C1457" s="117"/>
      <c r="D1457" s="124"/>
      <c r="E1457" s="124"/>
      <c r="F1457" s="124"/>
      <c r="G1457" s="124"/>
      <c r="H1457" s="124"/>
      <c r="I1457" s="124"/>
    </row>
    <row r="1458">
      <c r="A1458" s="41"/>
      <c r="B1458" s="41"/>
      <c r="C1458" s="117"/>
      <c r="D1458" s="124"/>
      <c r="E1458" s="124"/>
      <c r="F1458" s="124"/>
      <c r="G1458" s="124"/>
      <c r="H1458" s="124"/>
      <c r="I1458" s="124"/>
    </row>
    <row r="1459">
      <c r="A1459" s="41"/>
      <c r="B1459" s="41"/>
      <c r="C1459" s="117"/>
      <c r="D1459" s="124"/>
      <c r="E1459" s="124"/>
      <c r="F1459" s="124"/>
      <c r="G1459" s="124"/>
      <c r="H1459" s="124"/>
      <c r="I1459" s="124"/>
    </row>
    <row r="1460">
      <c r="A1460" s="41"/>
      <c r="B1460" s="41"/>
      <c r="C1460" s="117"/>
      <c r="D1460" s="124"/>
      <c r="E1460" s="124"/>
      <c r="F1460" s="124"/>
      <c r="G1460" s="124"/>
      <c r="H1460" s="124"/>
      <c r="I1460" s="124"/>
    </row>
    <row r="1461">
      <c r="A1461" s="41"/>
      <c r="B1461" s="41"/>
      <c r="C1461" s="117"/>
      <c r="D1461" s="124"/>
      <c r="E1461" s="124"/>
      <c r="F1461" s="124"/>
      <c r="G1461" s="124"/>
      <c r="H1461" s="124"/>
      <c r="I1461" s="124"/>
    </row>
    <row r="1462">
      <c r="A1462" s="41"/>
      <c r="B1462" s="41"/>
      <c r="C1462" s="117"/>
      <c r="D1462" s="124"/>
      <c r="E1462" s="124"/>
      <c r="F1462" s="124"/>
      <c r="G1462" s="124"/>
      <c r="H1462" s="124"/>
      <c r="I1462" s="124"/>
    </row>
    <row r="1463">
      <c r="A1463" s="41"/>
      <c r="B1463" s="41"/>
      <c r="C1463" s="117"/>
      <c r="D1463" s="124"/>
      <c r="E1463" s="124"/>
      <c r="F1463" s="124"/>
      <c r="G1463" s="124"/>
      <c r="H1463" s="124"/>
      <c r="I1463" s="124"/>
    </row>
    <row r="1464">
      <c r="A1464" s="41"/>
      <c r="B1464" s="41"/>
      <c r="C1464" s="117"/>
      <c r="D1464" s="124"/>
      <c r="E1464" s="124"/>
      <c r="F1464" s="124"/>
      <c r="G1464" s="124"/>
      <c r="H1464" s="124"/>
      <c r="I1464" s="124"/>
    </row>
    <row r="1465">
      <c r="A1465" s="41"/>
      <c r="B1465" s="41"/>
      <c r="C1465" s="117"/>
      <c r="D1465" s="124"/>
      <c r="E1465" s="124"/>
      <c r="F1465" s="124"/>
      <c r="G1465" s="124"/>
      <c r="H1465" s="124"/>
      <c r="I1465" s="124"/>
    </row>
    <row r="1466">
      <c r="A1466" s="41"/>
      <c r="B1466" s="41"/>
      <c r="C1466" s="117"/>
      <c r="D1466" s="124"/>
      <c r="E1466" s="124"/>
      <c r="F1466" s="124"/>
      <c r="G1466" s="124"/>
      <c r="H1466" s="124"/>
      <c r="I1466" s="124"/>
    </row>
    <row r="1467">
      <c r="A1467" s="41"/>
      <c r="B1467" s="41"/>
      <c r="C1467" s="117"/>
      <c r="D1467" s="124"/>
      <c r="E1467" s="124"/>
      <c r="F1467" s="124"/>
      <c r="G1467" s="124"/>
      <c r="H1467" s="124"/>
      <c r="I1467" s="124"/>
    </row>
    <row r="1468">
      <c r="A1468" s="41"/>
      <c r="B1468" s="41"/>
      <c r="C1468" s="117"/>
      <c r="D1468" s="124"/>
      <c r="E1468" s="124"/>
      <c r="F1468" s="124"/>
      <c r="G1468" s="124"/>
      <c r="H1468" s="124"/>
      <c r="I1468" s="124"/>
    </row>
    <row r="1469">
      <c r="A1469" s="41"/>
      <c r="B1469" s="41"/>
      <c r="C1469" s="117"/>
      <c r="D1469" s="124"/>
      <c r="E1469" s="124"/>
      <c r="F1469" s="124"/>
      <c r="G1469" s="124"/>
      <c r="H1469" s="124"/>
      <c r="I1469" s="124"/>
    </row>
    <row r="1470">
      <c r="A1470" s="41"/>
      <c r="B1470" s="41"/>
      <c r="C1470" s="117"/>
      <c r="D1470" s="124"/>
      <c r="E1470" s="124"/>
      <c r="F1470" s="124"/>
      <c r="G1470" s="124"/>
      <c r="H1470" s="124"/>
      <c r="I1470" s="124"/>
    </row>
    <row r="1471">
      <c r="A1471" s="41"/>
      <c r="B1471" s="41"/>
      <c r="C1471" s="117"/>
      <c r="D1471" s="124"/>
      <c r="E1471" s="124"/>
      <c r="F1471" s="124"/>
      <c r="G1471" s="124"/>
      <c r="H1471" s="124"/>
      <c r="I1471" s="124"/>
    </row>
    <row r="1472">
      <c r="A1472" s="41"/>
      <c r="B1472" s="41"/>
      <c r="C1472" s="117"/>
      <c r="D1472" s="124"/>
      <c r="E1472" s="124"/>
      <c r="F1472" s="124"/>
      <c r="G1472" s="124"/>
      <c r="H1472" s="124"/>
      <c r="I1472" s="124"/>
    </row>
    <row r="1473">
      <c r="A1473" s="41"/>
      <c r="B1473" s="41"/>
      <c r="C1473" s="117"/>
      <c r="D1473" s="124"/>
      <c r="E1473" s="124"/>
      <c r="F1473" s="124"/>
      <c r="G1473" s="124"/>
      <c r="H1473" s="124"/>
      <c r="I1473" s="124"/>
    </row>
    <row r="1474">
      <c r="A1474" s="41"/>
      <c r="B1474" s="41"/>
      <c r="C1474" s="117"/>
      <c r="D1474" s="124"/>
      <c r="E1474" s="124"/>
      <c r="F1474" s="124"/>
      <c r="G1474" s="124"/>
      <c r="H1474" s="124"/>
      <c r="I1474" s="124"/>
    </row>
    <row r="1475">
      <c r="A1475" s="41"/>
      <c r="B1475" s="41"/>
      <c r="C1475" s="117"/>
      <c r="D1475" s="124"/>
      <c r="E1475" s="124"/>
      <c r="F1475" s="124"/>
      <c r="G1475" s="124"/>
      <c r="H1475" s="124"/>
      <c r="I1475" s="124"/>
    </row>
    <row r="1476">
      <c r="A1476" s="41"/>
      <c r="B1476" s="41"/>
      <c r="C1476" s="117"/>
      <c r="D1476" s="124"/>
      <c r="E1476" s="124"/>
      <c r="F1476" s="124"/>
      <c r="G1476" s="124"/>
      <c r="H1476" s="124"/>
      <c r="I1476" s="124"/>
    </row>
    <row r="1477">
      <c r="A1477" s="41"/>
      <c r="B1477" s="41"/>
      <c r="C1477" s="117"/>
      <c r="D1477" s="124"/>
      <c r="E1477" s="124"/>
      <c r="F1477" s="124"/>
      <c r="G1477" s="124"/>
      <c r="H1477" s="124"/>
      <c r="I1477" s="124"/>
    </row>
    <row r="1478">
      <c r="A1478" s="41"/>
      <c r="B1478" s="41"/>
      <c r="C1478" s="117"/>
      <c r="D1478" s="124"/>
      <c r="E1478" s="124"/>
      <c r="F1478" s="124"/>
      <c r="G1478" s="124"/>
      <c r="H1478" s="124"/>
      <c r="I1478" s="124"/>
    </row>
    <row r="1479">
      <c r="A1479" s="41"/>
      <c r="B1479" s="41"/>
      <c r="C1479" s="117"/>
      <c r="D1479" s="124"/>
      <c r="E1479" s="124"/>
      <c r="F1479" s="124"/>
      <c r="G1479" s="124"/>
      <c r="H1479" s="124"/>
      <c r="I1479" s="124"/>
    </row>
    <row r="1480">
      <c r="A1480" s="41"/>
      <c r="B1480" s="41"/>
      <c r="C1480" s="117"/>
      <c r="D1480" s="124"/>
      <c r="E1480" s="124"/>
      <c r="F1480" s="124"/>
      <c r="G1480" s="124"/>
      <c r="H1480" s="124"/>
      <c r="I1480" s="124"/>
    </row>
    <row r="1481">
      <c r="A1481" s="41"/>
      <c r="B1481" s="41"/>
      <c r="C1481" s="117"/>
      <c r="D1481" s="124"/>
      <c r="E1481" s="124"/>
      <c r="F1481" s="124"/>
      <c r="G1481" s="124"/>
      <c r="H1481" s="124"/>
      <c r="I1481" s="124"/>
    </row>
    <row r="1482">
      <c r="A1482" s="41"/>
      <c r="B1482" s="41"/>
      <c r="C1482" s="117"/>
      <c r="D1482" s="124"/>
      <c r="E1482" s="124"/>
      <c r="F1482" s="124"/>
      <c r="G1482" s="124"/>
      <c r="H1482" s="124"/>
      <c r="I1482" s="124"/>
    </row>
    <row r="1483">
      <c r="A1483" s="41"/>
      <c r="B1483" s="41"/>
      <c r="C1483" s="117"/>
      <c r="D1483" s="124"/>
      <c r="E1483" s="124"/>
      <c r="F1483" s="124"/>
      <c r="G1483" s="124"/>
      <c r="H1483" s="124"/>
      <c r="I1483" s="124"/>
    </row>
    <row r="1484">
      <c r="A1484" s="41"/>
      <c r="B1484" s="41"/>
      <c r="C1484" s="117"/>
      <c r="D1484" s="124"/>
      <c r="E1484" s="124"/>
      <c r="F1484" s="124"/>
      <c r="G1484" s="124"/>
      <c r="H1484" s="124"/>
      <c r="I1484" s="124"/>
    </row>
    <row r="1485">
      <c r="A1485" s="41"/>
      <c r="B1485" s="41"/>
      <c r="C1485" s="117"/>
      <c r="D1485" s="124"/>
      <c r="E1485" s="124"/>
      <c r="F1485" s="124"/>
      <c r="G1485" s="124"/>
      <c r="H1485" s="124"/>
      <c r="I1485" s="124"/>
    </row>
    <row r="1486">
      <c r="A1486" s="41"/>
      <c r="B1486" s="41"/>
      <c r="C1486" s="117"/>
      <c r="D1486" s="124"/>
      <c r="E1486" s="124"/>
      <c r="F1486" s="124"/>
      <c r="G1486" s="124"/>
      <c r="H1486" s="124"/>
      <c r="I1486" s="124"/>
    </row>
    <row r="1487">
      <c r="A1487" s="41"/>
      <c r="B1487" s="41"/>
      <c r="C1487" s="117"/>
      <c r="D1487" s="124"/>
      <c r="E1487" s="124"/>
      <c r="F1487" s="124"/>
      <c r="G1487" s="124"/>
      <c r="H1487" s="124"/>
      <c r="I1487" s="124"/>
    </row>
    <row r="1488">
      <c r="A1488" s="41"/>
      <c r="B1488" s="41"/>
      <c r="C1488" s="117"/>
      <c r="D1488" s="124"/>
      <c r="E1488" s="124"/>
      <c r="F1488" s="124"/>
      <c r="G1488" s="124"/>
      <c r="H1488" s="124"/>
      <c r="I1488" s="124"/>
    </row>
    <row r="1489">
      <c r="A1489" s="41"/>
      <c r="B1489" s="41"/>
      <c r="C1489" s="117"/>
      <c r="D1489" s="124"/>
      <c r="E1489" s="124"/>
      <c r="F1489" s="124"/>
      <c r="G1489" s="124"/>
      <c r="H1489" s="124"/>
      <c r="I1489" s="124"/>
    </row>
    <row r="1490">
      <c r="A1490" s="41"/>
      <c r="B1490" s="41"/>
      <c r="C1490" s="117"/>
      <c r="D1490" s="124"/>
      <c r="E1490" s="124"/>
      <c r="F1490" s="124"/>
      <c r="G1490" s="124"/>
      <c r="H1490" s="124"/>
      <c r="I1490" s="124"/>
    </row>
    <row r="1491">
      <c r="A1491" s="41"/>
      <c r="B1491" s="41"/>
      <c r="C1491" s="117"/>
      <c r="D1491" s="124"/>
      <c r="E1491" s="124"/>
      <c r="F1491" s="124"/>
      <c r="G1491" s="124"/>
      <c r="H1491" s="124"/>
      <c r="I1491" s="124"/>
    </row>
    <row r="1492">
      <c r="A1492" s="41"/>
      <c r="B1492" s="41"/>
      <c r="C1492" s="117"/>
      <c r="D1492" s="124"/>
      <c r="E1492" s="124"/>
      <c r="F1492" s="124"/>
      <c r="G1492" s="124"/>
      <c r="H1492" s="124"/>
      <c r="I1492" s="124"/>
    </row>
    <row r="1493">
      <c r="A1493" s="41"/>
      <c r="B1493" s="41"/>
      <c r="C1493" s="117"/>
      <c r="D1493" s="124"/>
      <c r="E1493" s="124"/>
      <c r="F1493" s="124"/>
      <c r="G1493" s="124"/>
      <c r="H1493" s="124"/>
      <c r="I1493" s="124"/>
    </row>
    <row r="1494">
      <c r="A1494" s="41"/>
      <c r="B1494" s="41"/>
      <c r="C1494" s="117"/>
      <c r="D1494" s="124"/>
      <c r="E1494" s="124"/>
      <c r="F1494" s="124"/>
      <c r="G1494" s="124"/>
      <c r="H1494" s="124"/>
      <c r="I1494" s="124"/>
    </row>
    <row r="1495">
      <c r="A1495" s="41"/>
      <c r="B1495" s="41"/>
      <c r="C1495" s="117"/>
      <c r="D1495" s="124"/>
      <c r="E1495" s="124"/>
      <c r="F1495" s="124"/>
      <c r="G1495" s="124"/>
      <c r="H1495" s="124"/>
      <c r="I1495" s="124"/>
    </row>
    <row r="1496">
      <c r="A1496" s="41"/>
      <c r="B1496" s="41"/>
      <c r="C1496" s="117"/>
      <c r="D1496" s="124"/>
      <c r="E1496" s="124"/>
      <c r="F1496" s="124"/>
      <c r="G1496" s="124"/>
      <c r="H1496" s="124"/>
      <c r="I1496" s="124"/>
    </row>
    <row r="1497">
      <c r="A1497" s="41"/>
      <c r="B1497" s="41"/>
      <c r="C1497" s="117"/>
      <c r="D1497" s="124"/>
      <c r="E1497" s="124"/>
      <c r="F1497" s="124"/>
      <c r="G1497" s="124"/>
      <c r="H1497" s="124"/>
      <c r="I1497" s="124"/>
    </row>
    <row r="1498">
      <c r="A1498" s="41"/>
      <c r="B1498" s="41"/>
      <c r="C1498" s="117"/>
      <c r="D1498" s="124"/>
      <c r="E1498" s="124"/>
      <c r="F1498" s="124"/>
      <c r="G1498" s="124"/>
      <c r="H1498" s="124"/>
      <c r="I1498" s="124"/>
    </row>
    <row r="1499">
      <c r="A1499" s="41"/>
      <c r="B1499" s="41"/>
      <c r="C1499" s="117"/>
      <c r="D1499" s="124"/>
      <c r="E1499" s="124"/>
      <c r="F1499" s="124"/>
      <c r="G1499" s="124"/>
      <c r="H1499" s="124"/>
      <c r="I1499" s="124"/>
    </row>
    <row r="1500">
      <c r="A1500" s="41"/>
      <c r="B1500" s="41"/>
      <c r="C1500" s="117"/>
      <c r="D1500" s="124"/>
      <c r="E1500" s="124"/>
      <c r="F1500" s="124"/>
      <c r="G1500" s="124"/>
      <c r="H1500" s="124"/>
      <c r="I1500" s="124"/>
    </row>
    <row r="1501">
      <c r="A1501" s="41"/>
      <c r="B1501" s="41"/>
      <c r="C1501" s="117"/>
      <c r="D1501" s="124"/>
      <c r="E1501" s="124"/>
      <c r="F1501" s="124"/>
      <c r="G1501" s="124"/>
      <c r="H1501" s="124"/>
      <c r="I1501" s="124"/>
    </row>
    <row r="1502">
      <c r="A1502" s="41"/>
      <c r="B1502" s="41"/>
      <c r="C1502" s="117"/>
      <c r="D1502" s="124"/>
      <c r="E1502" s="124"/>
      <c r="F1502" s="124"/>
      <c r="G1502" s="124"/>
      <c r="H1502" s="124"/>
      <c r="I1502" s="124"/>
    </row>
    <row r="1503">
      <c r="A1503" s="41"/>
      <c r="B1503" s="41"/>
      <c r="C1503" s="117"/>
      <c r="D1503" s="124"/>
      <c r="E1503" s="124"/>
      <c r="F1503" s="124"/>
      <c r="G1503" s="124"/>
      <c r="H1503" s="124"/>
      <c r="I1503" s="124"/>
    </row>
    <row r="1504">
      <c r="A1504" s="41"/>
      <c r="B1504" s="41"/>
      <c r="C1504" s="117"/>
      <c r="D1504" s="124"/>
      <c r="E1504" s="124"/>
      <c r="F1504" s="124"/>
      <c r="G1504" s="124"/>
      <c r="H1504" s="124"/>
      <c r="I1504" s="124"/>
    </row>
    <row r="1505">
      <c r="A1505" s="41"/>
      <c r="B1505" s="41"/>
      <c r="C1505" s="117"/>
      <c r="D1505" s="124"/>
      <c r="E1505" s="124"/>
      <c r="F1505" s="124"/>
      <c r="G1505" s="124"/>
      <c r="H1505" s="124"/>
      <c r="I1505" s="124"/>
    </row>
    <row r="1506">
      <c r="A1506" s="41"/>
      <c r="B1506" s="41"/>
      <c r="C1506" s="117"/>
      <c r="D1506" s="124"/>
      <c r="E1506" s="124"/>
      <c r="F1506" s="124"/>
      <c r="G1506" s="124"/>
      <c r="H1506" s="124"/>
      <c r="I1506" s="124"/>
    </row>
    <row r="1507">
      <c r="A1507" s="41"/>
      <c r="B1507" s="41"/>
      <c r="C1507" s="117"/>
      <c r="D1507" s="124"/>
      <c r="E1507" s="124"/>
      <c r="F1507" s="124"/>
      <c r="G1507" s="124"/>
      <c r="H1507" s="124"/>
      <c r="I1507" s="124"/>
    </row>
    <row r="1508">
      <c r="A1508" s="41"/>
      <c r="B1508" s="41"/>
      <c r="C1508" s="117"/>
      <c r="D1508" s="124"/>
      <c r="E1508" s="124"/>
      <c r="F1508" s="124"/>
      <c r="G1508" s="124"/>
      <c r="H1508" s="124"/>
      <c r="I1508" s="124"/>
    </row>
    <row r="1509">
      <c r="A1509" s="41"/>
      <c r="B1509" s="41"/>
      <c r="C1509" s="117"/>
      <c r="D1509" s="124"/>
      <c r="E1509" s="124"/>
      <c r="F1509" s="124"/>
      <c r="G1509" s="124"/>
      <c r="H1509" s="124"/>
      <c r="I1509" s="124"/>
    </row>
    <row r="1510">
      <c r="A1510" s="41"/>
      <c r="B1510" s="41"/>
      <c r="C1510" s="117"/>
      <c r="D1510" s="124"/>
      <c r="E1510" s="124"/>
      <c r="F1510" s="124"/>
      <c r="G1510" s="124"/>
      <c r="H1510" s="124"/>
      <c r="I1510" s="124"/>
    </row>
    <row r="1511">
      <c r="A1511" s="41"/>
      <c r="B1511" s="41"/>
      <c r="C1511" s="117"/>
      <c r="D1511" s="124"/>
      <c r="E1511" s="124"/>
      <c r="F1511" s="124"/>
      <c r="G1511" s="124"/>
      <c r="H1511" s="124"/>
      <c r="I1511" s="124"/>
    </row>
    <row r="1512">
      <c r="A1512" s="41"/>
      <c r="B1512" s="41"/>
      <c r="C1512" s="117"/>
      <c r="D1512" s="124"/>
      <c r="E1512" s="124"/>
      <c r="F1512" s="124"/>
      <c r="G1512" s="124"/>
      <c r="H1512" s="124"/>
      <c r="I1512" s="124"/>
    </row>
    <row r="1513">
      <c r="A1513" s="41"/>
      <c r="B1513" s="41"/>
      <c r="C1513" s="117"/>
      <c r="D1513" s="124"/>
      <c r="E1513" s="124"/>
      <c r="F1513" s="124"/>
      <c r="G1513" s="124"/>
      <c r="H1513" s="124"/>
      <c r="I1513" s="124"/>
    </row>
    <row r="1514">
      <c r="A1514" s="41"/>
      <c r="B1514" s="41"/>
      <c r="C1514" s="117"/>
      <c r="D1514" s="124"/>
      <c r="E1514" s="124"/>
      <c r="F1514" s="124"/>
      <c r="G1514" s="124"/>
      <c r="H1514" s="124"/>
      <c r="I1514" s="124"/>
    </row>
    <row r="1515">
      <c r="A1515" s="41"/>
      <c r="B1515" s="41"/>
      <c r="C1515" s="117"/>
      <c r="D1515" s="124"/>
      <c r="E1515" s="124"/>
      <c r="F1515" s="124"/>
      <c r="G1515" s="124"/>
      <c r="H1515" s="124"/>
      <c r="I1515" s="124"/>
    </row>
    <row r="1516">
      <c r="A1516" s="41"/>
      <c r="B1516" s="41"/>
      <c r="C1516" s="117"/>
      <c r="D1516" s="124"/>
      <c r="E1516" s="124"/>
      <c r="F1516" s="124"/>
      <c r="G1516" s="124"/>
      <c r="H1516" s="124"/>
      <c r="I1516" s="124"/>
    </row>
    <row r="1517">
      <c r="A1517" s="41"/>
      <c r="B1517" s="41"/>
      <c r="C1517" s="117"/>
      <c r="D1517" s="124"/>
      <c r="E1517" s="124"/>
      <c r="F1517" s="124"/>
      <c r="G1517" s="124"/>
      <c r="H1517" s="124"/>
      <c r="I1517" s="124"/>
    </row>
    <row r="1518">
      <c r="A1518" s="41"/>
      <c r="B1518" s="41"/>
      <c r="C1518" s="117"/>
      <c r="D1518" s="124"/>
      <c r="E1518" s="124"/>
      <c r="F1518" s="124"/>
      <c r="G1518" s="124"/>
      <c r="H1518" s="124"/>
      <c r="I1518" s="124"/>
    </row>
    <row r="1519">
      <c r="A1519" s="41"/>
      <c r="B1519" s="41"/>
      <c r="C1519" s="117"/>
      <c r="D1519" s="124"/>
      <c r="E1519" s="124"/>
      <c r="F1519" s="124"/>
      <c r="G1519" s="124"/>
      <c r="H1519" s="124"/>
      <c r="I1519" s="124"/>
    </row>
    <row r="1520">
      <c r="A1520" s="41"/>
      <c r="B1520" s="41"/>
      <c r="C1520" s="117"/>
      <c r="D1520" s="124"/>
      <c r="E1520" s="124"/>
      <c r="F1520" s="124"/>
      <c r="G1520" s="124"/>
      <c r="H1520" s="124"/>
      <c r="I1520" s="124"/>
    </row>
    <row r="1521">
      <c r="A1521" s="41"/>
      <c r="B1521" s="41"/>
      <c r="C1521" s="117"/>
      <c r="D1521" s="124"/>
      <c r="E1521" s="124"/>
      <c r="F1521" s="124"/>
      <c r="G1521" s="124"/>
      <c r="H1521" s="124"/>
      <c r="I1521" s="124"/>
    </row>
    <row r="1522">
      <c r="A1522" s="41"/>
      <c r="B1522" s="41"/>
      <c r="C1522" s="117"/>
      <c r="D1522" s="124"/>
      <c r="E1522" s="124"/>
      <c r="F1522" s="124"/>
      <c r="G1522" s="124"/>
      <c r="H1522" s="124"/>
      <c r="I1522" s="124"/>
    </row>
    <row r="1523">
      <c r="A1523" s="41"/>
      <c r="B1523" s="41"/>
      <c r="C1523" s="117"/>
      <c r="D1523" s="124"/>
      <c r="E1523" s="124"/>
      <c r="F1523" s="124"/>
      <c r="G1523" s="124"/>
      <c r="H1523" s="124"/>
      <c r="I1523" s="124"/>
    </row>
    <row r="1524">
      <c r="A1524" s="41"/>
      <c r="B1524" s="41"/>
      <c r="C1524" s="117"/>
      <c r="D1524" s="124"/>
      <c r="E1524" s="124"/>
      <c r="F1524" s="124"/>
      <c r="G1524" s="124"/>
      <c r="H1524" s="124"/>
      <c r="I1524" s="124"/>
    </row>
    <row r="1525">
      <c r="A1525" s="41"/>
      <c r="B1525" s="41"/>
      <c r="C1525" s="117"/>
      <c r="D1525" s="124"/>
      <c r="E1525" s="124"/>
      <c r="F1525" s="124"/>
      <c r="G1525" s="124"/>
      <c r="H1525" s="124"/>
      <c r="I1525" s="124"/>
    </row>
    <row r="1526">
      <c r="A1526" s="41"/>
      <c r="B1526" s="41"/>
      <c r="C1526" s="117"/>
      <c r="D1526" s="124"/>
      <c r="E1526" s="124"/>
      <c r="F1526" s="124"/>
      <c r="G1526" s="124"/>
      <c r="H1526" s="124"/>
      <c r="I1526" s="124"/>
    </row>
    <row r="1527">
      <c r="A1527" s="41"/>
      <c r="B1527" s="41"/>
      <c r="C1527" s="117"/>
      <c r="D1527" s="124"/>
      <c r="E1527" s="124"/>
      <c r="F1527" s="124"/>
      <c r="G1527" s="124"/>
      <c r="H1527" s="124"/>
      <c r="I1527" s="124"/>
    </row>
    <row r="1528">
      <c r="A1528" s="41"/>
      <c r="B1528" s="41"/>
      <c r="C1528" s="117"/>
      <c r="D1528" s="124"/>
      <c r="E1528" s="124"/>
      <c r="F1528" s="124"/>
      <c r="G1528" s="124"/>
      <c r="H1528" s="124"/>
      <c r="I1528" s="124"/>
    </row>
    <row r="1529">
      <c r="A1529" s="41"/>
      <c r="B1529" s="41"/>
      <c r="C1529" s="117"/>
      <c r="D1529" s="124"/>
      <c r="E1529" s="124"/>
      <c r="F1529" s="124"/>
      <c r="G1529" s="124"/>
      <c r="H1529" s="124"/>
      <c r="I1529" s="124"/>
    </row>
    <row r="1530">
      <c r="A1530" s="41"/>
      <c r="B1530" s="41"/>
      <c r="C1530" s="117"/>
      <c r="D1530" s="124"/>
      <c r="E1530" s="124"/>
      <c r="F1530" s="124"/>
      <c r="G1530" s="124"/>
      <c r="H1530" s="124"/>
      <c r="I1530" s="124"/>
    </row>
    <row r="1531">
      <c r="A1531" s="41"/>
      <c r="B1531" s="41"/>
      <c r="C1531" s="117"/>
      <c r="D1531" s="124"/>
      <c r="E1531" s="124"/>
      <c r="F1531" s="124"/>
      <c r="G1531" s="124"/>
      <c r="H1531" s="124"/>
      <c r="I1531" s="124"/>
    </row>
    <row r="1532">
      <c r="A1532" s="41"/>
      <c r="B1532" s="41"/>
      <c r="C1532" s="117"/>
      <c r="D1532" s="124"/>
      <c r="E1532" s="124"/>
      <c r="F1532" s="124"/>
      <c r="G1532" s="124"/>
      <c r="H1532" s="124"/>
      <c r="I1532" s="124"/>
    </row>
    <row r="1533">
      <c r="A1533" s="41"/>
      <c r="B1533" s="41"/>
      <c r="C1533" s="117"/>
      <c r="D1533" s="124"/>
      <c r="E1533" s="124"/>
      <c r="F1533" s="124"/>
      <c r="G1533" s="124"/>
      <c r="H1533" s="124"/>
      <c r="I1533" s="124"/>
    </row>
    <row r="1534">
      <c r="A1534" s="41"/>
      <c r="B1534" s="41"/>
      <c r="C1534" s="117"/>
      <c r="D1534" s="124"/>
      <c r="E1534" s="124"/>
      <c r="F1534" s="124"/>
      <c r="G1534" s="124"/>
      <c r="H1534" s="124"/>
      <c r="I1534" s="124"/>
    </row>
    <row r="1535">
      <c r="A1535" s="41"/>
      <c r="B1535" s="41"/>
      <c r="C1535" s="117"/>
      <c r="D1535" s="124"/>
      <c r="E1535" s="124"/>
      <c r="F1535" s="124"/>
      <c r="G1535" s="124"/>
      <c r="H1535" s="124"/>
      <c r="I1535" s="124"/>
    </row>
    <row r="1536">
      <c r="A1536" s="41"/>
      <c r="B1536" s="41"/>
      <c r="C1536" s="117"/>
      <c r="D1536" s="124"/>
      <c r="E1536" s="124"/>
      <c r="F1536" s="124"/>
      <c r="G1536" s="124"/>
      <c r="H1536" s="124"/>
      <c r="I1536" s="124"/>
    </row>
    <row r="1537">
      <c r="A1537" s="41"/>
      <c r="B1537" s="41"/>
      <c r="C1537" s="117"/>
      <c r="D1537" s="124"/>
      <c r="E1537" s="124"/>
      <c r="F1537" s="124"/>
      <c r="G1537" s="124"/>
      <c r="H1537" s="124"/>
      <c r="I1537" s="124"/>
    </row>
    <row r="1538">
      <c r="A1538" s="41"/>
      <c r="B1538" s="41"/>
      <c r="C1538" s="117"/>
      <c r="D1538" s="124"/>
      <c r="E1538" s="124"/>
      <c r="F1538" s="124"/>
      <c r="G1538" s="124"/>
      <c r="H1538" s="124"/>
      <c r="I1538" s="124"/>
    </row>
    <row r="1539">
      <c r="A1539" s="41"/>
      <c r="B1539" s="41"/>
      <c r="C1539" s="117"/>
      <c r="D1539" s="124"/>
      <c r="E1539" s="124"/>
      <c r="F1539" s="124"/>
      <c r="G1539" s="124"/>
      <c r="H1539" s="124"/>
      <c r="I1539" s="124"/>
    </row>
    <row r="1540">
      <c r="A1540" s="41"/>
      <c r="B1540" s="41"/>
      <c r="C1540" s="117"/>
      <c r="D1540" s="124"/>
      <c r="E1540" s="124"/>
      <c r="F1540" s="124"/>
      <c r="G1540" s="124"/>
      <c r="H1540" s="124"/>
      <c r="I1540" s="124"/>
    </row>
    <row r="1541">
      <c r="A1541" s="41"/>
      <c r="B1541" s="41"/>
      <c r="C1541" s="117"/>
      <c r="D1541" s="124"/>
      <c r="E1541" s="124"/>
      <c r="F1541" s="124"/>
      <c r="G1541" s="124"/>
      <c r="H1541" s="124"/>
      <c r="I1541" s="124"/>
    </row>
    <row r="1542">
      <c r="A1542" s="41"/>
      <c r="B1542" s="41"/>
      <c r="C1542" s="117"/>
      <c r="D1542" s="124"/>
      <c r="E1542" s="124"/>
      <c r="F1542" s="124"/>
      <c r="G1542" s="124"/>
      <c r="H1542" s="124"/>
      <c r="I1542" s="124"/>
    </row>
    <row r="1543">
      <c r="A1543" s="41"/>
      <c r="B1543" s="41"/>
      <c r="C1543" s="117"/>
      <c r="D1543" s="124"/>
      <c r="E1543" s="124"/>
      <c r="F1543" s="124"/>
      <c r="G1543" s="124"/>
      <c r="H1543" s="124"/>
      <c r="I1543" s="124"/>
    </row>
    <row r="1544">
      <c r="A1544" s="41"/>
      <c r="B1544" s="41"/>
      <c r="C1544" s="117"/>
      <c r="D1544" s="124"/>
      <c r="E1544" s="124"/>
      <c r="F1544" s="124"/>
      <c r="G1544" s="124"/>
      <c r="H1544" s="124"/>
      <c r="I1544" s="124"/>
    </row>
    <row r="1545">
      <c r="A1545" s="41"/>
      <c r="B1545" s="41"/>
      <c r="C1545" s="117"/>
      <c r="D1545" s="124"/>
      <c r="E1545" s="124"/>
      <c r="F1545" s="124"/>
      <c r="G1545" s="124"/>
      <c r="H1545" s="124"/>
      <c r="I1545" s="124"/>
    </row>
    <row r="1546">
      <c r="A1546" s="41"/>
      <c r="B1546" s="41"/>
      <c r="C1546" s="117"/>
      <c r="D1546" s="124"/>
      <c r="E1546" s="124"/>
      <c r="F1546" s="124"/>
      <c r="G1546" s="124"/>
      <c r="H1546" s="124"/>
      <c r="I1546" s="124"/>
    </row>
    <row r="1547">
      <c r="A1547" s="41"/>
      <c r="B1547" s="41"/>
      <c r="C1547" s="117"/>
      <c r="D1547" s="124"/>
      <c r="E1547" s="124"/>
      <c r="F1547" s="124"/>
      <c r="G1547" s="124"/>
      <c r="H1547" s="124"/>
      <c r="I1547" s="124"/>
    </row>
    <row r="1548">
      <c r="A1548" s="41"/>
      <c r="B1548" s="41"/>
      <c r="C1548" s="117"/>
      <c r="D1548" s="124"/>
      <c r="E1548" s="124"/>
      <c r="F1548" s="124"/>
      <c r="G1548" s="124"/>
      <c r="H1548" s="124"/>
      <c r="I1548" s="124"/>
    </row>
    <row r="1549">
      <c r="A1549" s="41"/>
      <c r="B1549" s="41"/>
      <c r="C1549" s="117"/>
      <c r="D1549" s="124"/>
      <c r="E1549" s="124"/>
      <c r="F1549" s="124"/>
      <c r="G1549" s="124"/>
      <c r="H1549" s="124"/>
      <c r="I1549" s="124"/>
    </row>
    <row r="1550">
      <c r="A1550" s="41"/>
      <c r="B1550" s="41"/>
      <c r="C1550" s="117"/>
      <c r="D1550" s="124"/>
      <c r="E1550" s="124"/>
      <c r="F1550" s="124"/>
      <c r="G1550" s="124"/>
      <c r="H1550" s="124"/>
      <c r="I1550" s="124"/>
    </row>
    <row r="1551">
      <c r="A1551" s="41"/>
      <c r="B1551" s="41"/>
      <c r="C1551" s="117"/>
      <c r="D1551" s="124"/>
      <c r="E1551" s="124"/>
      <c r="F1551" s="124"/>
      <c r="G1551" s="124"/>
      <c r="H1551" s="124"/>
      <c r="I1551" s="124"/>
    </row>
    <row r="1552">
      <c r="A1552" s="41"/>
      <c r="B1552" s="41"/>
      <c r="C1552" s="117"/>
      <c r="D1552" s="124"/>
      <c r="E1552" s="124"/>
      <c r="F1552" s="124"/>
      <c r="G1552" s="124"/>
      <c r="H1552" s="124"/>
      <c r="I1552" s="124"/>
    </row>
    <row r="1553">
      <c r="A1553" s="41"/>
      <c r="B1553" s="41"/>
      <c r="C1553" s="117"/>
      <c r="D1553" s="124"/>
      <c r="E1553" s="124"/>
      <c r="F1553" s="124"/>
      <c r="G1553" s="124"/>
      <c r="H1553" s="124"/>
      <c r="I1553" s="124"/>
    </row>
    <row r="1554">
      <c r="A1554" s="41"/>
      <c r="B1554" s="41"/>
      <c r="C1554" s="117"/>
      <c r="D1554" s="124"/>
      <c r="E1554" s="124"/>
      <c r="F1554" s="124"/>
      <c r="G1554" s="124"/>
      <c r="H1554" s="124"/>
      <c r="I1554" s="124"/>
    </row>
    <row r="1555">
      <c r="A1555" s="41"/>
      <c r="B1555" s="41"/>
      <c r="C1555" s="117"/>
      <c r="D1555" s="124"/>
      <c r="E1555" s="124"/>
      <c r="F1555" s="124"/>
      <c r="G1555" s="124"/>
      <c r="H1555" s="124"/>
      <c r="I1555" s="124"/>
    </row>
    <row r="1556">
      <c r="A1556" s="41"/>
      <c r="B1556" s="41"/>
      <c r="C1556" s="117"/>
      <c r="D1556" s="124"/>
      <c r="E1556" s="124"/>
      <c r="F1556" s="124"/>
      <c r="G1556" s="124"/>
      <c r="H1556" s="124"/>
      <c r="I1556" s="124"/>
    </row>
    <row r="1557">
      <c r="A1557" s="41"/>
      <c r="B1557" s="41"/>
      <c r="C1557" s="117"/>
      <c r="D1557" s="124"/>
      <c r="E1557" s="124"/>
      <c r="F1557" s="124"/>
      <c r="G1557" s="124"/>
      <c r="H1557" s="124"/>
      <c r="I1557" s="124"/>
    </row>
    <row r="1558">
      <c r="A1558" s="41"/>
      <c r="B1558" s="41"/>
      <c r="C1558" s="117"/>
      <c r="D1558" s="124"/>
      <c r="E1558" s="124"/>
      <c r="F1558" s="124"/>
      <c r="G1558" s="124"/>
      <c r="H1558" s="124"/>
      <c r="I1558" s="124"/>
    </row>
    <row r="1559">
      <c r="A1559" s="41"/>
      <c r="B1559" s="41"/>
      <c r="C1559" s="117"/>
      <c r="D1559" s="124"/>
      <c r="E1559" s="124"/>
      <c r="F1559" s="124"/>
      <c r="G1559" s="124"/>
      <c r="H1559" s="124"/>
      <c r="I1559" s="124"/>
    </row>
    <row r="1560">
      <c r="A1560" s="41"/>
      <c r="B1560" s="41"/>
      <c r="C1560" s="117"/>
      <c r="D1560" s="124"/>
      <c r="E1560" s="124"/>
      <c r="F1560" s="124"/>
      <c r="G1560" s="124"/>
      <c r="H1560" s="124"/>
      <c r="I1560" s="124"/>
    </row>
    <row r="1561">
      <c r="A1561" s="41"/>
      <c r="B1561" s="41"/>
      <c r="C1561" s="117"/>
      <c r="D1561" s="124"/>
      <c r="E1561" s="124"/>
      <c r="F1561" s="124"/>
      <c r="G1561" s="124"/>
      <c r="H1561" s="124"/>
      <c r="I1561" s="124"/>
    </row>
    <row r="1562">
      <c r="A1562" s="41"/>
      <c r="B1562" s="41"/>
      <c r="C1562" s="117"/>
      <c r="D1562" s="124"/>
      <c r="E1562" s="124"/>
      <c r="F1562" s="124"/>
      <c r="G1562" s="124"/>
      <c r="H1562" s="124"/>
      <c r="I1562" s="124"/>
    </row>
    <row r="1563">
      <c r="A1563" s="41"/>
      <c r="B1563" s="41"/>
      <c r="C1563" s="117"/>
      <c r="D1563" s="124"/>
      <c r="E1563" s="124"/>
      <c r="F1563" s="124"/>
      <c r="G1563" s="124"/>
      <c r="H1563" s="124"/>
      <c r="I1563" s="124"/>
    </row>
    <row r="1564">
      <c r="A1564" s="41"/>
      <c r="B1564" s="41"/>
      <c r="C1564" s="117"/>
      <c r="D1564" s="124"/>
      <c r="E1564" s="124"/>
      <c r="F1564" s="124"/>
      <c r="G1564" s="124"/>
      <c r="H1564" s="124"/>
      <c r="I1564" s="124"/>
    </row>
    <row r="1565">
      <c r="A1565" s="41"/>
      <c r="B1565" s="41"/>
      <c r="C1565" s="117"/>
      <c r="D1565" s="124"/>
      <c r="E1565" s="124"/>
      <c r="F1565" s="124"/>
      <c r="G1565" s="124"/>
      <c r="H1565" s="124"/>
      <c r="I1565" s="124"/>
    </row>
    <row r="1566">
      <c r="A1566" s="41"/>
      <c r="B1566" s="41"/>
      <c r="C1566" s="117"/>
      <c r="D1566" s="124"/>
      <c r="E1566" s="124"/>
      <c r="F1566" s="124"/>
      <c r="G1566" s="124"/>
      <c r="H1566" s="124"/>
      <c r="I1566" s="124"/>
    </row>
    <row r="1567">
      <c r="A1567" s="41"/>
      <c r="B1567" s="41"/>
      <c r="C1567" s="117"/>
      <c r="D1567" s="124"/>
      <c r="E1567" s="124"/>
      <c r="F1567" s="124"/>
      <c r="G1567" s="124"/>
      <c r="H1567" s="124"/>
      <c r="I1567" s="124"/>
    </row>
    <row r="1568">
      <c r="A1568" s="41"/>
      <c r="B1568" s="41"/>
      <c r="C1568" s="117"/>
      <c r="D1568" s="124"/>
      <c r="E1568" s="124"/>
      <c r="F1568" s="124"/>
      <c r="G1568" s="124"/>
      <c r="H1568" s="124"/>
      <c r="I1568" s="124"/>
    </row>
    <row r="1569">
      <c r="A1569" s="41"/>
      <c r="B1569" s="41"/>
      <c r="C1569" s="117"/>
      <c r="D1569" s="124"/>
      <c r="E1569" s="124"/>
      <c r="F1569" s="124"/>
      <c r="G1569" s="124"/>
      <c r="H1569" s="124"/>
      <c r="I1569" s="124"/>
    </row>
    <row r="1570">
      <c r="A1570" s="41"/>
      <c r="B1570" s="41"/>
      <c r="C1570" s="117"/>
      <c r="D1570" s="124"/>
      <c r="E1570" s="124"/>
      <c r="F1570" s="124"/>
      <c r="G1570" s="124"/>
      <c r="H1570" s="124"/>
      <c r="I1570" s="124"/>
    </row>
    <row r="1571">
      <c r="A1571" s="41"/>
      <c r="B1571" s="41"/>
      <c r="C1571" s="117"/>
      <c r="D1571" s="124"/>
      <c r="E1571" s="124"/>
      <c r="F1571" s="124"/>
      <c r="G1571" s="124"/>
      <c r="H1571" s="124"/>
      <c r="I1571" s="124"/>
    </row>
    <row r="1572">
      <c r="A1572" s="41"/>
      <c r="B1572" s="41"/>
      <c r="C1572" s="117"/>
      <c r="D1572" s="124"/>
      <c r="E1572" s="124"/>
      <c r="F1572" s="124"/>
      <c r="G1572" s="124"/>
      <c r="H1572" s="124"/>
      <c r="I1572" s="124"/>
    </row>
    <row r="1573">
      <c r="A1573" s="41"/>
      <c r="B1573" s="41"/>
      <c r="C1573" s="117"/>
      <c r="D1573" s="124"/>
      <c r="E1573" s="124"/>
      <c r="F1573" s="124"/>
      <c r="G1573" s="124"/>
      <c r="H1573" s="124"/>
      <c r="I1573" s="124"/>
    </row>
    <row r="1574">
      <c r="A1574" s="41"/>
      <c r="B1574" s="41"/>
      <c r="C1574" s="117"/>
      <c r="D1574" s="124"/>
      <c r="E1574" s="124"/>
      <c r="F1574" s="124"/>
      <c r="G1574" s="124"/>
      <c r="H1574" s="124"/>
      <c r="I1574" s="124"/>
    </row>
    <row r="1575">
      <c r="A1575" s="41"/>
      <c r="B1575" s="41"/>
      <c r="C1575" s="117"/>
      <c r="D1575" s="124"/>
      <c r="E1575" s="124"/>
      <c r="F1575" s="124"/>
      <c r="G1575" s="124"/>
      <c r="H1575" s="124"/>
      <c r="I1575" s="124"/>
    </row>
    <row r="1576">
      <c r="A1576" s="41"/>
      <c r="B1576" s="41"/>
      <c r="C1576" s="117"/>
      <c r="D1576" s="124"/>
      <c r="E1576" s="124"/>
      <c r="F1576" s="124"/>
      <c r="G1576" s="124"/>
      <c r="H1576" s="124"/>
      <c r="I1576" s="124"/>
    </row>
    <row r="1577">
      <c r="A1577" s="41"/>
      <c r="B1577" s="41"/>
      <c r="C1577" s="117"/>
      <c r="D1577" s="124"/>
      <c r="E1577" s="124"/>
      <c r="F1577" s="124"/>
      <c r="G1577" s="124"/>
      <c r="H1577" s="124"/>
      <c r="I1577" s="124"/>
    </row>
    <row r="1578">
      <c r="A1578" s="41"/>
      <c r="B1578" s="41"/>
      <c r="C1578" s="117"/>
      <c r="D1578" s="124"/>
      <c r="E1578" s="124"/>
      <c r="F1578" s="124"/>
      <c r="G1578" s="124"/>
      <c r="H1578" s="124"/>
      <c r="I1578" s="124"/>
    </row>
    <row r="1579">
      <c r="A1579" s="41"/>
      <c r="B1579" s="41"/>
      <c r="C1579" s="117"/>
      <c r="D1579" s="124"/>
      <c r="E1579" s="124"/>
      <c r="F1579" s="124"/>
      <c r="G1579" s="124"/>
      <c r="H1579" s="124"/>
      <c r="I1579" s="124"/>
    </row>
    <row r="1580">
      <c r="A1580" s="41"/>
      <c r="B1580" s="41"/>
      <c r="C1580" s="117"/>
      <c r="D1580" s="124"/>
      <c r="E1580" s="124"/>
      <c r="F1580" s="124"/>
      <c r="G1580" s="124"/>
      <c r="H1580" s="124"/>
      <c r="I1580" s="124"/>
    </row>
    <row r="1581">
      <c r="A1581" s="41"/>
      <c r="B1581" s="41"/>
      <c r="C1581" s="117"/>
      <c r="D1581" s="124"/>
      <c r="E1581" s="124"/>
      <c r="F1581" s="124"/>
      <c r="G1581" s="124"/>
      <c r="H1581" s="124"/>
      <c r="I1581" s="124"/>
    </row>
    <row r="1582">
      <c r="A1582" s="41"/>
      <c r="B1582" s="41"/>
      <c r="C1582" s="117"/>
      <c r="D1582" s="124"/>
      <c r="E1582" s="124"/>
      <c r="F1582" s="124"/>
      <c r="G1582" s="124"/>
      <c r="H1582" s="124"/>
      <c r="I1582" s="124"/>
    </row>
    <row r="1583">
      <c r="A1583" s="41"/>
      <c r="B1583" s="41"/>
      <c r="C1583" s="117"/>
      <c r="D1583" s="124"/>
      <c r="E1583" s="124"/>
      <c r="F1583" s="124"/>
      <c r="G1583" s="124"/>
      <c r="H1583" s="124"/>
      <c r="I1583" s="124"/>
    </row>
    <row r="1584">
      <c r="A1584" s="41"/>
      <c r="B1584" s="41"/>
      <c r="C1584" s="117"/>
      <c r="D1584" s="124"/>
      <c r="E1584" s="124"/>
      <c r="F1584" s="124"/>
      <c r="G1584" s="124"/>
      <c r="H1584" s="124"/>
      <c r="I1584" s="124"/>
    </row>
    <row r="1585">
      <c r="A1585" s="41"/>
      <c r="B1585" s="41"/>
      <c r="C1585" s="117"/>
      <c r="D1585" s="124"/>
      <c r="E1585" s="124"/>
      <c r="F1585" s="124"/>
      <c r="G1585" s="124"/>
      <c r="H1585" s="124"/>
      <c r="I1585" s="124"/>
    </row>
    <row r="1586">
      <c r="A1586" s="41"/>
      <c r="B1586" s="41"/>
      <c r="C1586" s="117"/>
      <c r="D1586" s="124"/>
      <c r="E1586" s="124"/>
      <c r="F1586" s="124"/>
      <c r="G1586" s="124"/>
      <c r="H1586" s="124"/>
      <c r="I1586" s="124"/>
    </row>
    <row r="1587">
      <c r="A1587" s="41"/>
      <c r="B1587" s="41"/>
      <c r="C1587" s="117"/>
      <c r="D1587" s="124"/>
      <c r="E1587" s="124"/>
      <c r="F1587" s="124"/>
      <c r="G1587" s="124"/>
      <c r="H1587" s="124"/>
      <c r="I1587" s="124"/>
    </row>
    <row r="1588">
      <c r="A1588" s="41"/>
      <c r="B1588" s="41"/>
      <c r="C1588" s="117"/>
      <c r="D1588" s="124"/>
      <c r="E1588" s="124"/>
      <c r="F1588" s="124"/>
      <c r="G1588" s="124"/>
      <c r="H1588" s="124"/>
      <c r="I1588" s="124"/>
    </row>
    <row r="1589">
      <c r="A1589" s="41"/>
      <c r="B1589" s="41"/>
      <c r="C1589" s="117"/>
      <c r="D1589" s="124"/>
      <c r="E1589" s="124"/>
      <c r="F1589" s="124"/>
      <c r="G1589" s="124"/>
      <c r="H1589" s="124"/>
      <c r="I1589" s="124"/>
    </row>
    <row r="1590">
      <c r="A1590" s="41"/>
      <c r="B1590" s="41"/>
      <c r="C1590" s="117"/>
      <c r="D1590" s="124"/>
      <c r="E1590" s="124"/>
      <c r="F1590" s="124"/>
      <c r="G1590" s="124"/>
      <c r="H1590" s="124"/>
      <c r="I1590" s="124"/>
    </row>
    <row r="1591">
      <c r="A1591" s="41"/>
      <c r="B1591" s="41"/>
      <c r="C1591" s="117"/>
      <c r="D1591" s="124"/>
      <c r="E1591" s="124"/>
      <c r="F1591" s="124"/>
      <c r="G1591" s="124"/>
      <c r="H1591" s="124"/>
      <c r="I1591" s="124"/>
    </row>
    <row r="1592">
      <c r="A1592" s="41"/>
      <c r="B1592" s="41"/>
      <c r="C1592" s="117"/>
      <c r="D1592" s="124"/>
      <c r="E1592" s="124"/>
      <c r="F1592" s="124"/>
      <c r="G1592" s="124"/>
      <c r="H1592" s="124"/>
      <c r="I1592" s="124"/>
    </row>
    <row r="1593">
      <c r="A1593" s="41"/>
      <c r="B1593" s="41"/>
      <c r="C1593" s="117"/>
      <c r="D1593" s="124"/>
      <c r="E1593" s="124"/>
      <c r="F1593" s="124"/>
      <c r="G1593" s="124"/>
      <c r="H1593" s="124"/>
      <c r="I1593" s="124"/>
    </row>
    <row r="1594">
      <c r="A1594" s="41"/>
      <c r="B1594" s="41"/>
      <c r="C1594" s="117"/>
      <c r="D1594" s="124"/>
      <c r="E1594" s="124"/>
      <c r="F1594" s="124"/>
      <c r="G1594" s="124"/>
      <c r="H1594" s="124"/>
      <c r="I1594" s="124"/>
    </row>
    <row r="1595">
      <c r="A1595" s="41"/>
      <c r="B1595" s="41"/>
      <c r="C1595" s="117"/>
      <c r="D1595" s="124"/>
      <c r="E1595" s="124"/>
      <c r="F1595" s="124"/>
      <c r="G1595" s="124"/>
      <c r="H1595" s="124"/>
      <c r="I1595" s="124"/>
    </row>
    <row r="1596">
      <c r="A1596" s="41"/>
      <c r="B1596" s="41"/>
      <c r="C1596" s="117"/>
      <c r="D1596" s="124"/>
      <c r="E1596" s="124"/>
      <c r="F1596" s="124"/>
      <c r="G1596" s="124"/>
      <c r="H1596" s="124"/>
      <c r="I1596" s="124"/>
    </row>
    <row r="1597">
      <c r="A1597" s="41"/>
      <c r="B1597" s="41"/>
      <c r="C1597" s="117"/>
      <c r="D1597" s="124"/>
      <c r="E1597" s="124"/>
      <c r="F1597" s="124"/>
      <c r="G1597" s="124"/>
      <c r="H1597" s="124"/>
      <c r="I1597" s="124"/>
    </row>
    <row r="1598">
      <c r="A1598" s="41"/>
      <c r="B1598" s="41"/>
      <c r="C1598" s="117"/>
      <c r="D1598" s="124"/>
      <c r="E1598" s="124"/>
      <c r="F1598" s="124"/>
      <c r="G1598" s="124"/>
      <c r="H1598" s="124"/>
      <c r="I1598" s="124"/>
    </row>
    <row r="1599">
      <c r="A1599" s="41"/>
      <c r="B1599" s="41"/>
      <c r="C1599" s="117"/>
      <c r="D1599" s="124"/>
      <c r="E1599" s="124"/>
      <c r="F1599" s="124"/>
      <c r="G1599" s="124"/>
      <c r="H1599" s="124"/>
      <c r="I1599" s="124"/>
    </row>
    <row r="1600">
      <c r="A1600" s="41"/>
      <c r="B1600" s="41"/>
      <c r="C1600" s="117"/>
      <c r="D1600" s="124"/>
      <c r="E1600" s="124"/>
      <c r="F1600" s="124"/>
      <c r="G1600" s="124"/>
      <c r="H1600" s="124"/>
      <c r="I1600" s="124"/>
    </row>
    <row r="1601">
      <c r="A1601" s="41"/>
      <c r="B1601" s="41"/>
      <c r="C1601" s="117"/>
      <c r="D1601" s="124"/>
      <c r="E1601" s="124"/>
      <c r="F1601" s="124"/>
      <c r="G1601" s="124"/>
      <c r="H1601" s="124"/>
      <c r="I1601" s="124"/>
    </row>
    <row r="1602">
      <c r="A1602" s="41"/>
      <c r="B1602" s="41"/>
      <c r="C1602" s="117"/>
      <c r="D1602" s="124"/>
      <c r="E1602" s="124"/>
      <c r="F1602" s="124"/>
      <c r="G1602" s="124"/>
      <c r="H1602" s="124"/>
      <c r="I1602" s="124"/>
    </row>
    <row r="1603">
      <c r="A1603" s="41"/>
      <c r="B1603" s="41"/>
      <c r="C1603" s="117"/>
      <c r="D1603" s="124"/>
      <c r="E1603" s="124"/>
      <c r="F1603" s="124"/>
      <c r="G1603" s="124"/>
      <c r="H1603" s="124"/>
      <c r="I1603" s="124"/>
    </row>
    <row r="1604">
      <c r="A1604" s="41"/>
      <c r="B1604" s="41"/>
      <c r="C1604" s="117"/>
      <c r="D1604" s="124"/>
      <c r="E1604" s="124"/>
      <c r="F1604" s="124"/>
      <c r="G1604" s="124"/>
      <c r="H1604" s="124"/>
      <c r="I1604" s="124"/>
    </row>
    <row r="1605">
      <c r="A1605" s="41"/>
      <c r="B1605" s="41"/>
      <c r="C1605" s="117"/>
      <c r="D1605" s="124"/>
      <c r="E1605" s="124"/>
      <c r="F1605" s="124"/>
      <c r="G1605" s="124"/>
      <c r="H1605" s="124"/>
      <c r="I1605" s="124"/>
    </row>
    <row r="1606">
      <c r="A1606" s="41"/>
      <c r="B1606" s="41"/>
      <c r="C1606" s="117"/>
      <c r="D1606" s="124"/>
      <c r="E1606" s="124"/>
      <c r="F1606" s="124"/>
      <c r="G1606" s="124"/>
      <c r="H1606" s="124"/>
      <c r="I1606" s="124"/>
    </row>
    <row r="1607">
      <c r="A1607" s="41"/>
      <c r="B1607" s="41"/>
      <c r="C1607" s="117"/>
      <c r="D1607" s="124"/>
      <c r="E1607" s="124"/>
      <c r="F1607" s="124"/>
      <c r="G1607" s="124"/>
      <c r="H1607" s="124"/>
      <c r="I1607" s="124"/>
    </row>
    <row r="1608">
      <c r="A1608" s="41"/>
      <c r="B1608" s="41"/>
      <c r="C1608" s="117"/>
      <c r="D1608" s="124"/>
      <c r="E1608" s="124"/>
      <c r="F1608" s="124"/>
      <c r="G1608" s="124"/>
      <c r="H1608" s="124"/>
      <c r="I1608" s="124"/>
    </row>
    <row r="1609">
      <c r="A1609" s="41"/>
      <c r="B1609" s="41"/>
      <c r="C1609" s="117"/>
      <c r="D1609" s="124"/>
      <c r="E1609" s="124"/>
      <c r="F1609" s="124"/>
      <c r="G1609" s="124"/>
      <c r="H1609" s="124"/>
      <c r="I1609" s="124"/>
    </row>
    <row r="1610">
      <c r="A1610" s="41"/>
      <c r="B1610" s="41"/>
      <c r="C1610" s="117"/>
      <c r="D1610" s="124"/>
      <c r="E1610" s="124"/>
      <c r="F1610" s="124"/>
      <c r="G1610" s="124"/>
      <c r="H1610" s="124"/>
      <c r="I1610" s="124"/>
    </row>
    <row r="1611">
      <c r="A1611" s="41"/>
      <c r="B1611" s="41"/>
      <c r="C1611" s="117"/>
      <c r="D1611" s="124"/>
      <c r="E1611" s="124"/>
      <c r="F1611" s="124"/>
      <c r="G1611" s="124"/>
      <c r="H1611" s="124"/>
      <c r="I1611" s="124"/>
    </row>
    <row r="1612">
      <c r="A1612" s="41"/>
      <c r="B1612" s="41"/>
      <c r="C1612" s="117"/>
      <c r="D1612" s="124"/>
      <c r="E1612" s="124"/>
      <c r="F1612" s="124"/>
      <c r="G1612" s="124"/>
      <c r="H1612" s="124"/>
      <c r="I1612" s="124"/>
    </row>
    <row r="1613">
      <c r="A1613" s="41"/>
      <c r="B1613" s="41"/>
      <c r="C1613" s="117"/>
      <c r="D1613" s="124"/>
      <c r="E1613" s="124"/>
      <c r="F1613" s="124"/>
      <c r="G1613" s="124"/>
      <c r="H1613" s="124"/>
      <c r="I1613" s="124"/>
    </row>
    <row r="1614">
      <c r="A1614" s="41"/>
      <c r="B1614" s="41"/>
      <c r="C1614" s="117"/>
      <c r="D1614" s="124"/>
      <c r="E1614" s="124"/>
      <c r="F1614" s="124"/>
      <c r="G1614" s="124"/>
      <c r="H1614" s="124"/>
      <c r="I1614" s="124"/>
    </row>
    <row r="1615">
      <c r="A1615" s="41"/>
      <c r="B1615" s="41"/>
      <c r="C1615" s="117"/>
      <c r="D1615" s="124"/>
      <c r="E1615" s="124"/>
      <c r="F1615" s="124"/>
      <c r="G1615" s="124"/>
      <c r="H1615" s="124"/>
      <c r="I1615" s="124"/>
    </row>
    <row r="1616">
      <c r="A1616" s="41"/>
      <c r="B1616" s="41"/>
      <c r="C1616" s="117"/>
      <c r="D1616" s="124"/>
      <c r="E1616" s="124"/>
      <c r="F1616" s="124"/>
      <c r="G1616" s="124"/>
      <c r="H1616" s="124"/>
      <c r="I1616" s="124"/>
    </row>
    <row r="1617">
      <c r="A1617" s="41"/>
      <c r="B1617" s="41"/>
      <c r="C1617" s="117"/>
      <c r="D1617" s="124"/>
      <c r="E1617" s="124"/>
      <c r="F1617" s="124"/>
      <c r="G1617" s="124"/>
      <c r="H1617" s="124"/>
      <c r="I1617" s="124"/>
    </row>
    <row r="1618">
      <c r="A1618" s="41"/>
      <c r="B1618" s="41"/>
      <c r="C1618" s="117"/>
      <c r="D1618" s="124"/>
      <c r="E1618" s="124"/>
      <c r="F1618" s="124"/>
      <c r="G1618" s="124"/>
      <c r="H1618" s="124"/>
      <c r="I1618" s="124"/>
    </row>
    <row r="1619">
      <c r="A1619" s="41"/>
      <c r="B1619" s="41"/>
      <c r="C1619" s="117"/>
      <c r="D1619" s="124"/>
      <c r="E1619" s="124"/>
      <c r="F1619" s="124"/>
      <c r="G1619" s="124"/>
      <c r="H1619" s="124"/>
      <c r="I1619" s="124"/>
    </row>
    <row r="1620">
      <c r="A1620" s="41"/>
      <c r="B1620" s="41"/>
      <c r="C1620" s="117"/>
      <c r="D1620" s="124"/>
      <c r="E1620" s="124"/>
      <c r="F1620" s="124"/>
      <c r="G1620" s="124"/>
      <c r="H1620" s="124"/>
      <c r="I1620" s="124"/>
    </row>
    <row r="1621">
      <c r="A1621" s="41"/>
      <c r="B1621" s="41"/>
      <c r="C1621" s="117"/>
      <c r="D1621" s="124"/>
      <c r="E1621" s="124"/>
      <c r="F1621" s="124"/>
      <c r="G1621" s="124"/>
      <c r="H1621" s="124"/>
      <c r="I1621" s="124"/>
    </row>
    <row r="1622">
      <c r="A1622" s="41"/>
      <c r="B1622" s="41"/>
      <c r="C1622" s="117"/>
      <c r="D1622" s="124"/>
      <c r="E1622" s="124"/>
      <c r="F1622" s="124"/>
      <c r="G1622" s="124"/>
      <c r="H1622" s="124"/>
      <c r="I1622" s="124"/>
    </row>
    <row r="1623">
      <c r="A1623" s="41"/>
      <c r="B1623" s="41"/>
      <c r="C1623" s="117"/>
      <c r="D1623" s="124"/>
      <c r="E1623" s="124"/>
      <c r="F1623" s="124"/>
      <c r="G1623" s="124"/>
      <c r="H1623" s="124"/>
      <c r="I1623" s="124"/>
    </row>
    <row r="1624">
      <c r="A1624" s="41"/>
      <c r="B1624" s="41"/>
      <c r="C1624" s="117"/>
      <c r="D1624" s="124"/>
      <c r="E1624" s="124"/>
      <c r="F1624" s="124"/>
      <c r="G1624" s="124"/>
      <c r="H1624" s="124"/>
      <c r="I1624" s="124"/>
    </row>
    <row r="1625">
      <c r="A1625" s="41"/>
      <c r="B1625" s="41"/>
      <c r="C1625" s="117"/>
      <c r="D1625" s="124"/>
      <c r="E1625" s="124"/>
      <c r="F1625" s="124"/>
      <c r="G1625" s="124"/>
      <c r="H1625" s="124"/>
      <c r="I1625" s="124"/>
    </row>
    <row r="1626">
      <c r="A1626" s="41"/>
      <c r="B1626" s="41"/>
      <c r="C1626" s="117"/>
      <c r="D1626" s="124"/>
      <c r="E1626" s="124"/>
      <c r="F1626" s="124"/>
      <c r="G1626" s="124"/>
      <c r="H1626" s="124"/>
      <c r="I1626" s="124"/>
    </row>
    <row r="1627">
      <c r="A1627" s="41"/>
      <c r="B1627" s="41"/>
      <c r="C1627" s="117"/>
      <c r="D1627" s="124"/>
      <c r="E1627" s="124"/>
      <c r="F1627" s="124"/>
      <c r="G1627" s="124"/>
      <c r="H1627" s="124"/>
      <c r="I1627" s="124"/>
    </row>
    <row r="1628">
      <c r="A1628" s="41"/>
      <c r="B1628" s="41"/>
      <c r="C1628" s="117"/>
      <c r="D1628" s="124"/>
      <c r="E1628" s="124"/>
      <c r="F1628" s="124"/>
      <c r="G1628" s="124"/>
      <c r="H1628" s="124"/>
      <c r="I1628" s="124"/>
    </row>
    <row r="1629">
      <c r="A1629" s="41"/>
      <c r="B1629" s="41"/>
      <c r="C1629" s="117"/>
      <c r="D1629" s="124"/>
      <c r="E1629" s="124"/>
      <c r="F1629" s="124"/>
      <c r="G1629" s="124"/>
      <c r="H1629" s="124"/>
      <c r="I1629" s="124"/>
    </row>
    <row r="1630">
      <c r="A1630" s="41"/>
      <c r="B1630" s="41"/>
      <c r="C1630" s="117"/>
      <c r="D1630" s="124"/>
      <c r="E1630" s="124"/>
      <c r="F1630" s="124"/>
      <c r="G1630" s="124"/>
      <c r="H1630" s="124"/>
      <c r="I1630" s="124"/>
    </row>
    <row r="1631">
      <c r="A1631" s="41"/>
      <c r="B1631" s="41"/>
      <c r="C1631" s="117"/>
      <c r="D1631" s="124"/>
      <c r="E1631" s="124"/>
      <c r="F1631" s="124"/>
      <c r="G1631" s="124"/>
      <c r="H1631" s="124"/>
      <c r="I1631" s="124"/>
    </row>
    <row r="1632">
      <c r="A1632" s="41"/>
      <c r="B1632" s="41"/>
      <c r="C1632" s="117"/>
      <c r="D1632" s="124"/>
      <c r="E1632" s="124"/>
      <c r="F1632" s="124"/>
      <c r="G1632" s="124"/>
      <c r="H1632" s="124"/>
      <c r="I1632" s="124"/>
    </row>
    <row r="1633">
      <c r="A1633" s="41"/>
      <c r="B1633" s="41"/>
      <c r="C1633" s="117"/>
      <c r="D1633" s="124"/>
      <c r="E1633" s="124"/>
      <c r="F1633" s="124"/>
      <c r="G1633" s="124"/>
      <c r="H1633" s="124"/>
      <c r="I1633" s="124"/>
    </row>
    <row r="1634">
      <c r="A1634" s="41"/>
      <c r="B1634" s="41"/>
      <c r="C1634" s="117"/>
      <c r="D1634" s="124"/>
      <c r="E1634" s="124"/>
      <c r="F1634" s="124"/>
      <c r="G1634" s="124"/>
      <c r="H1634" s="124"/>
      <c r="I1634" s="124"/>
    </row>
    <row r="1635">
      <c r="A1635" s="41"/>
      <c r="B1635" s="41"/>
      <c r="C1635" s="117"/>
      <c r="D1635" s="124"/>
      <c r="E1635" s="124"/>
      <c r="F1635" s="124"/>
      <c r="G1635" s="124"/>
      <c r="H1635" s="124"/>
      <c r="I1635" s="124"/>
    </row>
    <row r="1636">
      <c r="A1636" s="41"/>
      <c r="B1636" s="41"/>
      <c r="C1636" s="117"/>
      <c r="D1636" s="124"/>
      <c r="E1636" s="124"/>
      <c r="F1636" s="124"/>
      <c r="G1636" s="124"/>
      <c r="H1636" s="124"/>
      <c r="I1636" s="124"/>
    </row>
    <row r="1637">
      <c r="A1637" s="41"/>
      <c r="B1637" s="41"/>
      <c r="C1637" s="117"/>
      <c r="D1637" s="124"/>
      <c r="E1637" s="124"/>
      <c r="F1637" s="124"/>
      <c r="G1637" s="124"/>
      <c r="H1637" s="124"/>
      <c r="I1637" s="124"/>
    </row>
    <row r="1638">
      <c r="A1638" s="41"/>
      <c r="B1638" s="41"/>
      <c r="C1638" s="117"/>
      <c r="D1638" s="124"/>
      <c r="E1638" s="124"/>
      <c r="F1638" s="124"/>
      <c r="G1638" s="124"/>
      <c r="H1638" s="124"/>
      <c r="I1638" s="124"/>
    </row>
    <row r="1639">
      <c r="A1639" s="41"/>
      <c r="B1639" s="41"/>
      <c r="C1639" s="117"/>
      <c r="D1639" s="124"/>
      <c r="E1639" s="124"/>
      <c r="F1639" s="124"/>
      <c r="G1639" s="124"/>
      <c r="H1639" s="124"/>
      <c r="I1639" s="124"/>
    </row>
    <row r="1640">
      <c r="A1640" s="41"/>
      <c r="B1640" s="41"/>
      <c r="C1640" s="117"/>
      <c r="D1640" s="124"/>
      <c r="E1640" s="124"/>
      <c r="F1640" s="124"/>
      <c r="G1640" s="124"/>
      <c r="H1640" s="124"/>
      <c r="I1640" s="124"/>
    </row>
    <row r="1641">
      <c r="A1641" s="41"/>
      <c r="B1641" s="41"/>
      <c r="C1641" s="117"/>
      <c r="D1641" s="124"/>
      <c r="E1641" s="124"/>
      <c r="F1641" s="124"/>
      <c r="G1641" s="124"/>
      <c r="H1641" s="124"/>
      <c r="I1641" s="124"/>
    </row>
    <row r="1642">
      <c r="A1642" s="41"/>
      <c r="B1642" s="41"/>
      <c r="C1642" s="117"/>
      <c r="D1642" s="124"/>
      <c r="E1642" s="124"/>
      <c r="F1642" s="124"/>
      <c r="G1642" s="124"/>
      <c r="H1642" s="124"/>
      <c r="I1642" s="124"/>
    </row>
    <row r="1643">
      <c r="A1643" s="41"/>
      <c r="B1643" s="41"/>
      <c r="C1643" s="117"/>
      <c r="D1643" s="124"/>
      <c r="E1643" s="124"/>
      <c r="F1643" s="124"/>
      <c r="G1643" s="124"/>
      <c r="H1643" s="124"/>
      <c r="I1643" s="124"/>
    </row>
    <row r="1644">
      <c r="A1644" s="41"/>
      <c r="B1644" s="41"/>
      <c r="C1644" s="117"/>
      <c r="D1644" s="124"/>
      <c r="E1644" s="124"/>
      <c r="F1644" s="124"/>
      <c r="G1644" s="124"/>
      <c r="H1644" s="124"/>
      <c r="I1644" s="124"/>
    </row>
    <row r="1645">
      <c r="A1645" s="41"/>
      <c r="B1645" s="41"/>
      <c r="C1645" s="117"/>
      <c r="D1645" s="124"/>
      <c r="E1645" s="124"/>
      <c r="F1645" s="124"/>
      <c r="G1645" s="124"/>
      <c r="H1645" s="124"/>
      <c r="I1645" s="124"/>
    </row>
    <row r="1646">
      <c r="A1646" s="41"/>
      <c r="B1646" s="41"/>
      <c r="C1646" s="117"/>
      <c r="D1646" s="124"/>
      <c r="E1646" s="124"/>
      <c r="F1646" s="124"/>
      <c r="G1646" s="124"/>
      <c r="H1646" s="124"/>
      <c r="I1646" s="124"/>
    </row>
    <row r="1647">
      <c r="A1647" s="41"/>
      <c r="B1647" s="41"/>
      <c r="C1647" s="117"/>
      <c r="D1647" s="124"/>
      <c r="E1647" s="124"/>
      <c r="F1647" s="124"/>
      <c r="G1647" s="124"/>
      <c r="H1647" s="124"/>
      <c r="I1647" s="124"/>
    </row>
    <row r="1648">
      <c r="A1648" s="41"/>
      <c r="B1648" s="41"/>
      <c r="C1648" s="117"/>
      <c r="D1648" s="124"/>
      <c r="E1648" s="124"/>
      <c r="F1648" s="124"/>
      <c r="G1648" s="124"/>
      <c r="H1648" s="124"/>
      <c r="I1648" s="124"/>
    </row>
    <row r="1649">
      <c r="A1649" s="41"/>
      <c r="B1649" s="41"/>
      <c r="C1649" s="117"/>
      <c r="D1649" s="124"/>
      <c r="E1649" s="124"/>
      <c r="F1649" s="124"/>
      <c r="G1649" s="124"/>
      <c r="H1649" s="124"/>
      <c r="I1649" s="124"/>
    </row>
    <row r="1650">
      <c r="A1650" s="41"/>
      <c r="B1650" s="41"/>
      <c r="C1650" s="117"/>
      <c r="D1650" s="124"/>
      <c r="E1650" s="124"/>
      <c r="F1650" s="124"/>
      <c r="G1650" s="124"/>
      <c r="H1650" s="124"/>
      <c r="I1650" s="124"/>
    </row>
    <row r="1651">
      <c r="A1651" s="41"/>
      <c r="B1651" s="41"/>
      <c r="C1651" s="117"/>
      <c r="D1651" s="124"/>
      <c r="E1651" s="124"/>
      <c r="F1651" s="124"/>
      <c r="G1651" s="124"/>
      <c r="H1651" s="124"/>
      <c r="I1651" s="124"/>
    </row>
    <row r="1652">
      <c r="A1652" s="41"/>
      <c r="B1652" s="41"/>
      <c r="C1652" s="117"/>
      <c r="D1652" s="124"/>
      <c r="E1652" s="124"/>
      <c r="F1652" s="124"/>
      <c r="G1652" s="124"/>
      <c r="H1652" s="124"/>
      <c r="I1652" s="124"/>
    </row>
    <row r="1653">
      <c r="A1653" s="41"/>
      <c r="B1653" s="41"/>
      <c r="C1653" s="117"/>
      <c r="D1653" s="124"/>
      <c r="E1653" s="124"/>
      <c r="F1653" s="124"/>
      <c r="G1653" s="124"/>
      <c r="H1653" s="124"/>
      <c r="I1653" s="124"/>
    </row>
    <row r="1654">
      <c r="A1654" s="41"/>
      <c r="B1654" s="41"/>
      <c r="C1654" s="117"/>
      <c r="D1654" s="124"/>
      <c r="E1654" s="124"/>
      <c r="F1654" s="124"/>
      <c r="G1654" s="124"/>
      <c r="H1654" s="124"/>
      <c r="I1654" s="124"/>
    </row>
    <row r="1655">
      <c r="A1655" s="41"/>
      <c r="B1655" s="41"/>
      <c r="C1655" s="117"/>
      <c r="D1655" s="124"/>
      <c r="E1655" s="124"/>
      <c r="F1655" s="124"/>
      <c r="G1655" s="124"/>
      <c r="H1655" s="124"/>
      <c r="I1655" s="124"/>
    </row>
    <row r="1656">
      <c r="A1656" s="41"/>
      <c r="B1656" s="41"/>
      <c r="C1656" s="117"/>
      <c r="D1656" s="124"/>
      <c r="E1656" s="124"/>
      <c r="F1656" s="124"/>
      <c r="G1656" s="124"/>
      <c r="H1656" s="124"/>
      <c r="I1656" s="124"/>
    </row>
    <row r="1657">
      <c r="A1657" s="41"/>
      <c r="B1657" s="41"/>
      <c r="C1657" s="117"/>
      <c r="D1657" s="124"/>
      <c r="E1657" s="124"/>
      <c r="F1657" s="124"/>
      <c r="G1657" s="124"/>
      <c r="H1657" s="124"/>
      <c r="I1657" s="124"/>
    </row>
    <row r="1658">
      <c r="A1658" s="41"/>
      <c r="B1658" s="41"/>
      <c r="C1658" s="117"/>
      <c r="D1658" s="124"/>
      <c r="E1658" s="124"/>
      <c r="F1658" s="124"/>
      <c r="G1658" s="124"/>
      <c r="H1658" s="124"/>
      <c r="I1658" s="124"/>
    </row>
    <row r="1659">
      <c r="A1659" s="41"/>
      <c r="B1659" s="41"/>
      <c r="C1659" s="117"/>
      <c r="D1659" s="124"/>
      <c r="E1659" s="124"/>
      <c r="F1659" s="124"/>
      <c r="G1659" s="124"/>
      <c r="H1659" s="124"/>
      <c r="I1659" s="124"/>
    </row>
    <row r="1660">
      <c r="A1660" s="41"/>
      <c r="B1660" s="41"/>
      <c r="C1660" s="117"/>
      <c r="D1660" s="124"/>
      <c r="E1660" s="124"/>
      <c r="F1660" s="124"/>
      <c r="G1660" s="124"/>
      <c r="H1660" s="124"/>
      <c r="I1660" s="124"/>
    </row>
    <row r="1661">
      <c r="A1661" s="41"/>
      <c r="B1661" s="41"/>
      <c r="C1661" s="117"/>
      <c r="D1661" s="124"/>
      <c r="E1661" s="124"/>
      <c r="F1661" s="124"/>
      <c r="G1661" s="124"/>
      <c r="H1661" s="124"/>
      <c r="I1661" s="124"/>
    </row>
    <row r="1662">
      <c r="A1662" s="41"/>
      <c r="B1662" s="41"/>
      <c r="C1662" s="117"/>
      <c r="D1662" s="124"/>
      <c r="E1662" s="124"/>
      <c r="F1662" s="124"/>
      <c r="G1662" s="124"/>
      <c r="H1662" s="124"/>
      <c r="I1662" s="124"/>
    </row>
    <row r="1663">
      <c r="A1663" s="41"/>
      <c r="B1663" s="41"/>
      <c r="C1663" s="117"/>
      <c r="D1663" s="124"/>
      <c r="E1663" s="124"/>
      <c r="F1663" s="124"/>
      <c r="G1663" s="124"/>
      <c r="H1663" s="124"/>
      <c r="I1663" s="124"/>
    </row>
    <row r="1664">
      <c r="A1664" s="41"/>
      <c r="B1664" s="41"/>
      <c r="C1664" s="117"/>
      <c r="D1664" s="124"/>
      <c r="E1664" s="124"/>
      <c r="F1664" s="124"/>
      <c r="G1664" s="124"/>
      <c r="H1664" s="124"/>
      <c r="I1664" s="124"/>
    </row>
    <row r="1665">
      <c r="A1665" s="41"/>
      <c r="B1665" s="41"/>
      <c r="C1665" s="117"/>
      <c r="D1665" s="124"/>
      <c r="E1665" s="124"/>
      <c r="F1665" s="124"/>
      <c r="G1665" s="124"/>
      <c r="H1665" s="124"/>
      <c r="I1665" s="124"/>
    </row>
    <row r="1666">
      <c r="A1666" s="41"/>
      <c r="B1666" s="41"/>
      <c r="C1666" s="117"/>
      <c r="D1666" s="124"/>
      <c r="E1666" s="124"/>
      <c r="F1666" s="124"/>
      <c r="G1666" s="124"/>
      <c r="H1666" s="124"/>
      <c r="I1666" s="124"/>
    </row>
    <row r="1667">
      <c r="A1667" s="41"/>
      <c r="B1667" s="41"/>
      <c r="C1667" s="117"/>
      <c r="D1667" s="124"/>
      <c r="E1667" s="124"/>
      <c r="F1667" s="124"/>
      <c r="G1667" s="124"/>
      <c r="H1667" s="124"/>
      <c r="I1667" s="124"/>
    </row>
    <row r="1668">
      <c r="A1668" s="41"/>
      <c r="B1668" s="41"/>
      <c r="C1668" s="117"/>
      <c r="D1668" s="124"/>
      <c r="E1668" s="124"/>
      <c r="F1668" s="124"/>
      <c r="G1668" s="124"/>
      <c r="H1668" s="124"/>
      <c r="I1668" s="124"/>
    </row>
    <row r="1669">
      <c r="A1669" s="41"/>
      <c r="B1669" s="41"/>
      <c r="C1669" s="117"/>
      <c r="D1669" s="124"/>
      <c r="E1669" s="124"/>
      <c r="F1669" s="124"/>
      <c r="G1669" s="124"/>
      <c r="H1669" s="124"/>
      <c r="I1669" s="124"/>
    </row>
    <row r="1670">
      <c r="A1670" s="41"/>
      <c r="B1670" s="41"/>
      <c r="C1670" s="117"/>
      <c r="D1670" s="124"/>
      <c r="E1670" s="124"/>
      <c r="F1670" s="124"/>
      <c r="G1670" s="124"/>
      <c r="H1670" s="124"/>
      <c r="I1670" s="124"/>
    </row>
    <row r="1671">
      <c r="A1671" s="41"/>
      <c r="B1671" s="41"/>
      <c r="C1671" s="117"/>
      <c r="D1671" s="124"/>
      <c r="E1671" s="124"/>
      <c r="F1671" s="124"/>
      <c r="G1671" s="124"/>
      <c r="H1671" s="124"/>
      <c r="I1671" s="124"/>
    </row>
    <row r="1672">
      <c r="A1672" s="41"/>
      <c r="B1672" s="41"/>
      <c r="C1672" s="117"/>
      <c r="D1672" s="124"/>
      <c r="E1672" s="124"/>
      <c r="F1672" s="124"/>
      <c r="G1672" s="124"/>
      <c r="H1672" s="124"/>
      <c r="I1672" s="124"/>
    </row>
    <row r="1673">
      <c r="A1673" s="41"/>
      <c r="B1673" s="41"/>
      <c r="C1673" s="117"/>
      <c r="D1673" s="124"/>
      <c r="E1673" s="124"/>
      <c r="F1673" s="124"/>
      <c r="G1673" s="124"/>
      <c r="H1673" s="124"/>
      <c r="I1673" s="124"/>
    </row>
    <row r="1674">
      <c r="A1674" s="41"/>
      <c r="B1674" s="41"/>
      <c r="C1674" s="117"/>
      <c r="D1674" s="124"/>
      <c r="E1674" s="124"/>
      <c r="F1674" s="124"/>
      <c r="G1674" s="124"/>
      <c r="H1674" s="124"/>
      <c r="I1674" s="124"/>
    </row>
    <row r="1675">
      <c r="A1675" s="41"/>
      <c r="B1675" s="41"/>
      <c r="C1675" s="117"/>
      <c r="D1675" s="124"/>
      <c r="E1675" s="124"/>
      <c r="F1675" s="124"/>
      <c r="G1675" s="124"/>
      <c r="H1675" s="124"/>
      <c r="I1675" s="124"/>
    </row>
    <row r="1676">
      <c r="A1676" s="41"/>
      <c r="B1676" s="41"/>
      <c r="C1676" s="117"/>
      <c r="D1676" s="124"/>
      <c r="E1676" s="124"/>
      <c r="F1676" s="124"/>
      <c r="G1676" s="124"/>
      <c r="H1676" s="124"/>
      <c r="I1676" s="124"/>
    </row>
    <row r="1677">
      <c r="A1677" s="41"/>
      <c r="B1677" s="41"/>
      <c r="C1677" s="117"/>
      <c r="D1677" s="124"/>
      <c r="E1677" s="124"/>
      <c r="F1677" s="124"/>
      <c r="G1677" s="124"/>
      <c r="H1677" s="124"/>
      <c r="I1677" s="124"/>
    </row>
    <row r="1678">
      <c r="A1678" s="41"/>
      <c r="B1678" s="41"/>
      <c r="C1678" s="117"/>
      <c r="D1678" s="124"/>
      <c r="E1678" s="124"/>
      <c r="F1678" s="124"/>
      <c r="G1678" s="124"/>
      <c r="H1678" s="124"/>
      <c r="I1678" s="124"/>
    </row>
    <row r="1679">
      <c r="A1679" s="41"/>
      <c r="B1679" s="41"/>
      <c r="C1679" s="117"/>
      <c r="D1679" s="124"/>
      <c r="E1679" s="124"/>
      <c r="F1679" s="124"/>
      <c r="G1679" s="124"/>
      <c r="H1679" s="124"/>
      <c r="I1679" s="124"/>
    </row>
    <row r="1680">
      <c r="A1680" s="41"/>
      <c r="B1680" s="41"/>
      <c r="C1680" s="117"/>
      <c r="D1680" s="124"/>
      <c r="E1680" s="124"/>
      <c r="F1680" s="124"/>
      <c r="G1680" s="124"/>
      <c r="H1680" s="124"/>
      <c r="I1680" s="124"/>
    </row>
    <row r="1681">
      <c r="A1681" s="41"/>
      <c r="B1681" s="41"/>
      <c r="C1681" s="117"/>
      <c r="D1681" s="124"/>
      <c r="E1681" s="124"/>
      <c r="F1681" s="124"/>
      <c r="G1681" s="124"/>
      <c r="H1681" s="124"/>
      <c r="I1681" s="124"/>
    </row>
    <row r="1682">
      <c r="A1682" s="41"/>
      <c r="B1682" s="41"/>
      <c r="C1682" s="117"/>
      <c r="D1682" s="124"/>
      <c r="E1682" s="124"/>
      <c r="F1682" s="124"/>
      <c r="G1682" s="124"/>
      <c r="H1682" s="124"/>
      <c r="I1682" s="124"/>
    </row>
    <row r="1683">
      <c r="A1683" s="41"/>
      <c r="B1683" s="41"/>
      <c r="C1683" s="117"/>
      <c r="D1683" s="124"/>
      <c r="E1683" s="124"/>
      <c r="F1683" s="124"/>
      <c r="G1683" s="124"/>
      <c r="H1683" s="124"/>
      <c r="I1683" s="124"/>
    </row>
    <row r="1684">
      <c r="A1684" s="41"/>
      <c r="B1684" s="41"/>
      <c r="C1684" s="117"/>
      <c r="D1684" s="124"/>
      <c r="E1684" s="124"/>
      <c r="F1684" s="124"/>
      <c r="G1684" s="124"/>
      <c r="H1684" s="124"/>
      <c r="I1684" s="124"/>
    </row>
    <row r="1685">
      <c r="A1685" s="41"/>
      <c r="B1685" s="41"/>
      <c r="C1685" s="117"/>
      <c r="D1685" s="124"/>
      <c r="E1685" s="124"/>
      <c r="F1685" s="124"/>
      <c r="G1685" s="124"/>
      <c r="H1685" s="124"/>
      <c r="I1685" s="124"/>
    </row>
    <row r="1686">
      <c r="A1686" s="41"/>
      <c r="B1686" s="41"/>
      <c r="C1686" s="117"/>
      <c r="D1686" s="124"/>
      <c r="E1686" s="124"/>
      <c r="F1686" s="124"/>
      <c r="G1686" s="124"/>
      <c r="H1686" s="124"/>
      <c r="I1686" s="124"/>
    </row>
    <row r="1687">
      <c r="A1687" s="41"/>
      <c r="B1687" s="41"/>
      <c r="C1687" s="117"/>
      <c r="D1687" s="124"/>
      <c r="E1687" s="124"/>
      <c r="F1687" s="124"/>
      <c r="G1687" s="124"/>
      <c r="H1687" s="124"/>
      <c r="I1687" s="124"/>
    </row>
    <row r="1688">
      <c r="A1688" s="41"/>
      <c r="B1688" s="41"/>
      <c r="C1688" s="117"/>
      <c r="D1688" s="124"/>
      <c r="E1688" s="124"/>
      <c r="F1688" s="124"/>
      <c r="G1688" s="124"/>
      <c r="H1688" s="124"/>
      <c r="I1688" s="124"/>
    </row>
    <row r="1689">
      <c r="A1689" s="41"/>
      <c r="B1689" s="41"/>
      <c r="C1689" s="117"/>
      <c r="D1689" s="124"/>
      <c r="E1689" s="124"/>
      <c r="F1689" s="124"/>
      <c r="G1689" s="124"/>
      <c r="H1689" s="124"/>
      <c r="I1689" s="124"/>
    </row>
    <row r="1690">
      <c r="A1690" s="41"/>
      <c r="B1690" s="41"/>
      <c r="C1690" s="117"/>
      <c r="D1690" s="124"/>
      <c r="E1690" s="124"/>
      <c r="F1690" s="124"/>
      <c r="G1690" s="124"/>
      <c r="H1690" s="124"/>
      <c r="I1690" s="124"/>
    </row>
    <row r="1691">
      <c r="A1691" s="41"/>
      <c r="B1691" s="41"/>
      <c r="C1691" s="117"/>
      <c r="D1691" s="124"/>
      <c r="E1691" s="124"/>
      <c r="F1691" s="124"/>
      <c r="G1691" s="124"/>
      <c r="H1691" s="124"/>
      <c r="I1691" s="124"/>
    </row>
    <row r="1692">
      <c r="A1692" s="41"/>
      <c r="B1692" s="41"/>
      <c r="C1692" s="117"/>
      <c r="D1692" s="124"/>
      <c r="E1692" s="124"/>
      <c r="F1692" s="124"/>
      <c r="G1692" s="124"/>
      <c r="H1692" s="124"/>
      <c r="I1692" s="124"/>
    </row>
    <row r="1693">
      <c r="A1693" s="41"/>
      <c r="B1693" s="41"/>
      <c r="C1693" s="117"/>
      <c r="D1693" s="124"/>
      <c r="E1693" s="124"/>
      <c r="F1693" s="124"/>
      <c r="G1693" s="124"/>
      <c r="H1693" s="124"/>
      <c r="I1693" s="124"/>
    </row>
    <row r="1694">
      <c r="A1694" s="41"/>
      <c r="B1694" s="41"/>
      <c r="C1694" s="117"/>
      <c r="D1694" s="124"/>
      <c r="E1694" s="124"/>
      <c r="F1694" s="124"/>
      <c r="G1694" s="124"/>
      <c r="H1694" s="124"/>
      <c r="I1694" s="124"/>
    </row>
    <row r="1695">
      <c r="A1695" s="41"/>
      <c r="B1695" s="41"/>
      <c r="C1695" s="117"/>
      <c r="D1695" s="124"/>
      <c r="E1695" s="124"/>
      <c r="F1695" s="124"/>
      <c r="G1695" s="124"/>
      <c r="H1695" s="124"/>
      <c r="I1695" s="124"/>
    </row>
    <row r="1696">
      <c r="A1696" s="41"/>
      <c r="B1696" s="41"/>
      <c r="C1696" s="117"/>
      <c r="D1696" s="124"/>
      <c r="E1696" s="124"/>
      <c r="F1696" s="124"/>
      <c r="G1696" s="124"/>
      <c r="H1696" s="124"/>
      <c r="I1696" s="124"/>
    </row>
    <row r="1697">
      <c r="A1697" s="41"/>
      <c r="B1697" s="41"/>
      <c r="C1697" s="117"/>
      <c r="D1697" s="124"/>
      <c r="E1697" s="124"/>
      <c r="F1697" s="124"/>
      <c r="G1697" s="124"/>
      <c r="H1697" s="124"/>
      <c r="I1697" s="124"/>
    </row>
    <row r="1698">
      <c r="A1698" s="41"/>
      <c r="B1698" s="41"/>
      <c r="C1698" s="117"/>
      <c r="D1698" s="124"/>
      <c r="E1698" s="124"/>
      <c r="F1698" s="124"/>
      <c r="G1698" s="124"/>
      <c r="H1698" s="124"/>
      <c r="I1698" s="124"/>
    </row>
    <row r="1699">
      <c r="A1699" s="41"/>
      <c r="B1699" s="41"/>
      <c r="C1699" s="117"/>
      <c r="D1699" s="124"/>
      <c r="E1699" s="124"/>
      <c r="F1699" s="124"/>
      <c r="G1699" s="124"/>
      <c r="H1699" s="124"/>
      <c r="I1699" s="124"/>
    </row>
    <row r="1700">
      <c r="A1700" s="41"/>
      <c r="B1700" s="41"/>
      <c r="C1700" s="117"/>
      <c r="D1700" s="124"/>
      <c r="E1700" s="124"/>
      <c r="F1700" s="124"/>
      <c r="G1700" s="124"/>
      <c r="H1700" s="124"/>
      <c r="I1700" s="124"/>
    </row>
    <row r="1701">
      <c r="A1701" s="41"/>
      <c r="B1701" s="41"/>
      <c r="C1701" s="117"/>
      <c r="D1701" s="124"/>
      <c r="E1701" s="124"/>
      <c r="F1701" s="124"/>
      <c r="G1701" s="124"/>
      <c r="H1701" s="124"/>
      <c r="I1701" s="124"/>
    </row>
    <row r="1702">
      <c r="A1702" s="41"/>
      <c r="B1702" s="41"/>
      <c r="C1702" s="117"/>
      <c r="D1702" s="124"/>
      <c r="E1702" s="124"/>
      <c r="F1702" s="124"/>
      <c r="G1702" s="124"/>
      <c r="H1702" s="124"/>
      <c r="I1702" s="124"/>
    </row>
    <row r="1703">
      <c r="A1703" s="41"/>
      <c r="B1703" s="41"/>
      <c r="C1703" s="117"/>
      <c r="D1703" s="124"/>
      <c r="E1703" s="124"/>
      <c r="F1703" s="124"/>
      <c r="G1703" s="124"/>
      <c r="H1703" s="124"/>
      <c r="I1703" s="124"/>
    </row>
    <row r="1704">
      <c r="A1704" s="41"/>
      <c r="B1704" s="41"/>
      <c r="C1704" s="117"/>
      <c r="D1704" s="124"/>
      <c r="E1704" s="124"/>
      <c r="F1704" s="124"/>
      <c r="G1704" s="124"/>
      <c r="H1704" s="124"/>
      <c r="I1704" s="124"/>
    </row>
    <row r="1705">
      <c r="A1705" s="41"/>
      <c r="B1705" s="41"/>
      <c r="C1705" s="117"/>
      <c r="D1705" s="124"/>
      <c r="E1705" s="124"/>
      <c r="F1705" s="124"/>
      <c r="G1705" s="124"/>
      <c r="H1705" s="124"/>
      <c r="I1705" s="124"/>
    </row>
    <row r="1706">
      <c r="A1706" s="41"/>
      <c r="B1706" s="41"/>
      <c r="C1706" s="117"/>
      <c r="D1706" s="124"/>
      <c r="E1706" s="124"/>
      <c r="F1706" s="124"/>
      <c r="G1706" s="124"/>
      <c r="H1706" s="124"/>
      <c r="I1706" s="124"/>
    </row>
    <row r="1707">
      <c r="A1707" s="41"/>
      <c r="B1707" s="41"/>
      <c r="C1707" s="117"/>
      <c r="D1707" s="124"/>
      <c r="E1707" s="124"/>
      <c r="F1707" s="124"/>
      <c r="G1707" s="124"/>
      <c r="H1707" s="124"/>
      <c r="I1707" s="124"/>
    </row>
    <row r="1708">
      <c r="A1708" s="41"/>
      <c r="B1708" s="41"/>
      <c r="C1708" s="117"/>
      <c r="D1708" s="124"/>
      <c r="E1708" s="124"/>
      <c r="F1708" s="124"/>
      <c r="G1708" s="124"/>
      <c r="H1708" s="124"/>
      <c r="I1708" s="124"/>
    </row>
    <row r="1709">
      <c r="A1709" s="41"/>
      <c r="B1709" s="41"/>
      <c r="C1709" s="117"/>
      <c r="D1709" s="124"/>
      <c r="E1709" s="124"/>
      <c r="F1709" s="124"/>
      <c r="G1709" s="124"/>
      <c r="H1709" s="124"/>
      <c r="I1709" s="124"/>
    </row>
    <row r="1710">
      <c r="A1710" s="41"/>
      <c r="B1710" s="41"/>
      <c r="C1710" s="117"/>
      <c r="D1710" s="124"/>
      <c r="E1710" s="124"/>
      <c r="F1710" s="124"/>
      <c r="G1710" s="124"/>
      <c r="H1710" s="124"/>
      <c r="I1710" s="124"/>
    </row>
    <row r="1711">
      <c r="A1711" s="41"/>
      <c r="B1711" s="41"/>
      <c r="C1711" s="117"/>
      <c r="D1711" s="124"/>
      <c r="E1711" s="124"/>
      <c r="F1711" s="124"/>
      <c r="G1711" s="124"/>
      <c r="H1711" s="124"/>
      <c r="I1711" s="124"/>
    </row>
    <row r="1712">
      <c r="A1712" s="41"/>
      <c r="B1712" s="41"/>
      <c r="C1712" s="117"/>
      <c r="D1712" s="124"/>
      <c r="E1712" s="124"/>
      <c r="F1712" s="124"/>
      <c r="G1712" s="124"/>
      <c r="H1712" s="124"/>
      <c r="I1712" s="124"/>
    </row>
    <row r="1713">
      <c r="A1713" s="41"/>
      <c r="B1713" s="41"/>
      <c r="C1713" s="117"/>
      <c r="D1713" s="124"/>
      <c r="E1713" s="124"/>
      <c r="F1713" s="124"/>
      <c r="G1713" s="124"/>
      <c r="H1713" s="124"/>
      <c r="I1713" s="124"/>
    </row>
    <row r="1714">
      <c r="A1714" s="41"/>
      <c r="B1714" s="41"/>
      <c r="C1714" s="117"/>
      <c r="D1714" s="124"/>
      <c r="E1714" s="124"/>
      <c r="F1714" s="124"/>
      <c r="G1714" s="124"/>
      <c r="H1714" s="124"/>
      <c r="I1714" s="124"/>
    </row>
    <row r="1715">
      <c r="A1715" s="41"/>
      <c r="B1715" s="41"/>
      <c r="C1715" s="117"/>
      <c r="D1715" s="124"/>
      <c r="E1715" s="124"/>
      <c r="F1715" s="124"/>
      <c r="G1715" s="124"/>
      <c r="H1715" s="124"/>
      <c r="I1715" s="124"/>
    </row>
    <row r="1716">
      <c r="A1716" s="41"/>
      <c r="B1716" s="41"/>
      <c r="C1716" s="117"/>
      <c r="D1716" s="124"/>
      <c r="E1716" s="124"/>
      <c r="F1716" s="124"/>
      <c r="G1716" s="124"/>
      <c r="H1716" s="124"/>
      <c r="I1716" s="124"/>
    </row>
    <row r="1717">
      <c r="A1717" s="41"/>
      <c r="B1717" s="41"/>
      <c r="C1717" s="117"/>
      <c r="D1717" s="124"/>
      <c r="E1717" s="124"/>
      <c r="F1717" s="124"/>
      <c r="G1717" s="124"/>
      <c r="H1717" s="124"/>
      <c r="I1717" s="124"/>
    </row>
    <row r="1718">
      <c r="A1718" s="41"/>
      <c r="B1718" s="41"/>
      <c r="C1718" s="117"/>
      <c r="D1718" s="124"/>
      <c r="E1718" s="124"/>
      <c r="F1718" s="124"/>
      <c r="G1718" s="124"/>
      <c r="H1718" s="124"/>
      <c r="I1718" s="124"/>
    </row>
    <row r="1719">
      <c r="A1719" s="41"/>
      <c r="B1719" s="41"/>
      <c r="C1719" s="117"/>
      <c r="D1719" s="124"/>
      <c r="E1719" s="124"/>
      <c r="F1719" s="124"/>
      <c r="G1719" s="124"/>
      <c r="H1719" s="124"/>
      <c r="I1719" s="124"/>
    </row>
    <row r="1720">
      <c r="A1720" s="41"/>
      <c r="B1720" s="41"/>
      <c r="C1720" s="117"/>
      <c r="D1720" s="124"/>
      <c r="E1720" s="124"/>
      <c r="F1720" s="124"/>
      <c r="G1720" s="124"/>
      <c r="H1720" s="124"/>
      <c r="I1720" s="124"/>
    </row>
    <row r="1721">
      <c r="A1721" s="41"/>
      <c r="B1721" s="41"/>
      <c r="C1721" s="117"/>
      <c r="D1721" s="124"/>
      <c r="E1721" s="124"/>
      <c r="F1721" s="124"/>
      <c r="G1721" s="124"/>
      <c r="H1721" s="124"/>
      <c r="I1721" s="124"/>
    </row>
    <row r="1722">
      <c r="A1722" s="41"/>
      <c r="B1722" s="41"/>
      <c r="C1722" s="117"/>
      <c r="D1722" s="124"/>
      <c r="E1722" s="124"/>
      <c r="F1722" s="124"/>
      <c r="G1722" s="124"/>
      <c r="H1722" s="124"/>
      <c r="I1722" s="124"/>
    </row>
    <row r="1723">
      <c r="A1723" s="41"/>
      <c r="B1723" s="41"/>
      <c r="C1723" s="117"/>
      <c r="D1723" s="124"/>
      <c r="E1723" s="124"/>
      <c r="F1723" s="124"/>
      <c r="G1723" s="124"/>
      <c r="H1723" s="124"/>
      <c r="I1723" s="124"/>
    </row>
    <row r="1724">
      <c r="A1724" s="41"/>
      <c r="B1724" s="41"/>
      <c r="C1724" s="117"/>
      <c r="D1724" s="124"/>
      <c r="E1724" s="124"/>
      <c r="F1724" s="124"/>
      <c r="G1724" s="124"/>
      <c r="H1724" s="124"/>
      <c r="I1724" s="124"/>
    </row>
    <row r="1725">
      <c r="A1725" s="41"/>
      <c r="B1725" s="41"/>
      <c r="C1725" s="117"/>
      <c r="D1725" s="124"/>
      <c r="E1725" s="124"/>
      <c r="F1725" s="124"/>
      <c r="G1725" s="124"/>
      <c r="H1725" s="124"/>
      <c r="I1725" s="124"/>
    </row>
    <row r="1726">
      <c r="A1726" s="41"/>
      <c r="B1726" s="41"/>
      <c r="C1726" s="117"/>
      <c r="D1726" s="124"/>
      <c r="E1726" s="124"/>
      <c r="F1726" s="124"/>
      <c r="G1726" s="124"/>
      <c r="H1726" s="124"/>
      <c r="I1726" s="124"/>
    </row>
    <row r="1727">
      <c r="A1727" s="41"/>
      <c r="B1727" s="41"/>
      <c r="C1727" s="117"/>
      <c r="D1727" s="124"/>
      <c r="E1727" s="124"/>
      <c r="F1727" s="124"/>
      <c r="G1727" s="124"/>
      <c r="H1727" s="124"/>
      <c r="I1727" s="124"/>
    </row>
    <row r="1728">
      <c r="A1728" s="41"/>
      <c r="B1728" s="41"/>
      <c r="C1728" s="117"/>
      <c r="D1728" s="124"/>
      <c r="E1728" s="124"/>
      <c r="F1728" s="124"/>
      <c r="G1728" s="124"/>
      <c r="H1728" s="124"/>
      <c r="I1728" s="124"/>
    </row>
    <row r="1729">
      <c r="A1729" s="41"/>
      <c r="B1729" s="41"/>
      <c r="C1729" s="117"/>
      <c r="D1729" s="124"/>
      <c r="E1729" s="124"/>
      <c r="F1729" s="124"/>
      <c r="G1729" s="124"/>
      <c r="H1729" s="124"/>
      <c r="I1729" s="124"/>
    </row>
    <row r="1730">
      <c r="A1730" s="41"/>
      <c r="B1730" s="41"/>
      <c r="C1730" s="117"/>
      <c r="D1730" s="124"/>
      <c r="E1730" s="124"/>
      <c r="F1730" s="124"/>
      <c r="G1730" s="124"/>
      <c r="H1730" s="124"/>
      <c r="I1730" s="124"/>
    </row>
    <row r="1731">
      <c r="A1731" s="41"/>
      <c r="B1731" s="41"/>
      <c r="C1731" s="117"/>
      <c r="D1731" s="124"/>
      <c r="E1731" s="124"/>
      <c r="F1731" s="124"/>
      <c r="G1731" s="124"/>
      <c r="H1731" s="124"/>
      <c r="I1731" s="124"/>
    </row>
    <row r="1732">
      <c r="A1732" s="41"/>
      <c r="B1732" s="41"/>
      <c r="C1732" s="117"/>
      <c r="D1732" s="124"/>
      <c r="E1732" s="124"/>
      <c r="F1732" s="124"/>
      <c r="G1732" s="124"/>
      <c r="H1732" s="124"/>
      <c r="I1732" s="124"/>
    </row>
    <row r="1733">
      <c r="A1733" s="41"/>
      <c r="B1733" s="41"/>
      <c r="C1733" s="117"/>
      <c r="D1733" s="124"/>
      <c r="E1733" s="124"/>
      <c r="F1733" s="124"/>
      <c r="G1733" s="124"/>
      <c r="H1733" s="124"/>
      <c r="I1733" s="124"/>
    </row>
    <row r="1734">
      <c r="A1734" s="41"/>
      <c r="B1734" s="41"/>
      <c r="C1734" s="117"/>
      <c r="D1734" s="124"/>
      <c r="E1734" s="124"/>
      <c r="F1734" s="124"/>
      <c r="G1734" s="124"/>
      <c r="H1734" s="124"/>
      <c r="I1734" s="124"/>
    </row>
    <row r="1735">
      <c r="A1735" s="41"/>
      <c r="B1735" s="41"/>
      <c r="C1735" s="117"/>
      <c r="D1735" s="124"/>
      <c r="E1735" s="124"/>
      <c r="F1735" s="124"/>
      <c r="G1735" s="124"/>
      <c r="H1735" s="124"/>
      <c r="I1735" s="124"/>
    </row>
    <row r="1736">
      <c r="A1736" s="41"/>
      <c r="B1736" s="41"/>
      <c r="C1736" s="117"/>
      <c r="D1736" s="124"/>
      <c r="E1736" s="124"/>
      <c r="F1736" s="124"/>
      <c r="G1736" s="124"/>
      <c r="H1736" s="124"/>
      <c r="I1736" s="124"/>
    </row>
    <row r="1737">
      <c r="A1737" s="41"/>
      <c r="B1737" s="41"/>
      <c r="C1737" s="117"/>
      <c r="D1737" s="124"/>
      <c r="E1737" s="124"/>
      <c r="F1737" s="124"/>
      <c r="G1737" s="124"/>
      <c r="H1737" s="124"/>
      <c r="I1737" s="124"/>
    </row>
    <row r="1738">
      <c r="A1738" s="41"/>
      <c r="B1738" s="41"/>
      <c r="C1738" s="117"/>
      <c r="D1738" s="124"/>
      <c r="E1738" s="124"/>
      <c r="F1738" s="124"/>
      <c r="G1738" s="124"/>
      <c r="H1738" s="124"/>
      <c r="I1738" s="124"/>
    </row>
    <row r="1739">
      <c r="A1739" s="41"/>
      <c r="B1739" s="41"/>
      <c r="C1739" s="117"/>
      <c r="D1739" s="124"/>
      <c r="E1739" s="124"/>
      <c r="F1739" s="124"/>
      <c r="G1739" s="124"/>
      <c r="H1739" s="124"/>
      <c r="I1739" s="124"/>
    </row>
    <row r="1740">
      <c r="A1740" s="41"/>
      <c r="B1740" s="41"/>
      <c r="C1740" s="117"/>
      <c r="D1740" s="124"/>
      <c r="E1740" s="124"/>
      <c r="F1740" s="124"/>
      <c r="G1740" s="124"/>
      <c r="H1740" s="124"/>
      <c r="I1740" s="124"/>
    </row>
    <row r="1741">
      <c r="A1741" s="41"/>
      <c r="B1741" s="41"/>
      <c r="C1741" s="117"/>
      <c r="D1741" s="124"/>
      <c r="E1741" s="124"/>
      <c r="F1741" s="124"/>
      <c r="G1741" s="124"/>
      <c r="H1741" s="124"/>
      <c r="I1741" s="124"/>
    </row>
    <row r="1742">
      <c r="A1742" s="41"/>
      <c r="B1742" s="41"/>
      <c r="C1742" s="117"/>
      <c r="D1742" s="124"/>
      <c r="E1742" s="124"/>
      <c r="F1742" s="124"/>
      <c r="G1742" s="124"/>
      <c r="H1742" s="124"/>
      <c r="I1742" s="124"/>
    </row>
    <row r="1743">
      <c r="A1743" s="41"/>
      <c r="B1743" s="41"/>
      <c r="C1743" s="117"/>
      <c r="D1743" s="124"/>
      <c r="E1743" s="124"/>
      <c r="F1743" s="124"/>
      <c r="G1743" s="124"/>
      <c r="H1743" s="124"/>
      <c r="I1743" s="124"/>
    </row>
    <row r="1744">
      <c r="A1744" s="41"/>
      <c r="B1744" s="41"/>
      <c r="C1744" s="117"/>
      <c r="D1744" s="124"/>
      <c r="E1744" s="124"/>
      <c r="F1744" s="124"/>
      <c r="G1744" s="124"/>
      <c r="H1744" s="124"/>
      <c r="I1744" s="124"/>
    </row>
    <row r="1745">
      <c r="A1745" s="41"/>
      <c r="B1745" s="41"/>
      <c r="C1745" s="117"/>
      <c r="D1745" s="124"/>
      <c r="E1745" s="124"/>
      <c r="F1745" s="124"/>
      <c r="G1745" s="124"/>
      <c r="H1745" s="124"/>
      <c r="I1745" s="124"/>
    </row>
    <row r="1746">
      <c r="A1746" s="41"/>
      <c r="B1746" s="41"/>
      <c r="C1746" s="117"/>
      <c r="D1746" s="124"/>
      <c r="E1746" s="124"/>
      <c r="F1746" s="124"/>
      <c r="G1746" s="124"/>
      <c r="H1746" s="124"/>
      <c r="I1746" s="124"/>
    </row>
    <row r="1747">
      <c r="A1747" s="41"/>
      <c r="B1747" s="41"/>
      <c r="C1747" s="117"/>
      <c r="D1747" s="124"/>
      <c r="E1747" s="124"/>
      <c r="F1747" s="124"/>
      <c r="G1747" s="124"/>
      <c r="H1747" s="124"/>
      <c r="I1747" s="124"/>
    </row>
    <row r="1748">
      <c r="A1748" s="41"/>
      <c r="B1748" s="41"/>
      <c r="C1748" s="117"/>
      <c r="D1748" s="124"/>
      <c r="E1748" s="124"/>
      <c r="F1748" s="124"/>
      <c r="G1748" s="124"/>
      <c r="H1748" s="124"/>
      <c r="I1748" s="124"/>
    </row>
    <row r="1749">
      <c r="A1749" s="41"/>
      <c r="B1749" s="41"/>
      <c r="C1749" s="117"/>
      <c r="D1749" s="124"/>
      <c r="E1749" s="124"/>
      <c r="F1749" s="124"/>
      <c r="G1749" s="124"/>
      <c r="H1749" s="124"/>
      <c r="I1749" s="124"/>
    </row>
    <row r="1750">
      <c r="A1750" s="41"/>
      <c r="B1750" s="41"/>
      <c r="C1750" s="117"/>
      <c r="D1750" s="124"/>
      <c r="E1750" s="124"/>
      <c r="F1750" s="124"/>
      <c r="G1750" s="124"/>
      <c r="H1750" s="124"/>
      <c r="I1750" s="124"/>
    </row>
    <row r="1751">
      <c r="A1751" s="41"/>
      <c r="B1751" s="41"/>
      <c r="C1751" s="117"/>
      <c r="D1751" s="124"/>
      <c r="E1751" s="124"/>
      <c r="F1751" s="124"/>
      <c r="G1751" s="124"/>
      <c r="H1751" s="124"/>
      <c r="I1751" s="124"/>
    </row>
    <row r="1752">
      <c r="A1752" s="41"/>
      <c r="B1752" s="41"/>
      <c r="C1752" s="117"/>
      <c r="D1752" s="124"/>
      <c r="E1752" s="124"/>
      <c r="F1752" s="124"/>
      <c r="G1752" s="124"/>
      <c r="H1752" s="124"/>
      <c r="I1752" s="124"/>
    </row>
    <row r="1753">
      <c r="A1753" s="41"/>
      <c r="B1753" s="41"/>
      <c r="C1753" s="117"/>
      <c r="D1753" s="124"/>
      <c r="E1753" s="124"/>
      <c r="F1753" s="124"/>
      <c r="G1753" s="124"/>
      <c r="H1753" s="124"/>
      <c r="I1753" s="124"/>
    </row>
    <row r="1754">
      <c r="A1754" s="41"/>
      <c r="B1754" s="41"/>
      <c r="C1754" s="117"/>
      <c r="D1754" s="124"/>
      <c r="E1754" s="124"/>
      <c r="F1754" s="124"/>
      <c r="G1754" s="124"/>
      <c r="H1754" s="124"/>
      <c r="I1754" s="124"/>
    </row>
    <row r="1755">
      <c r="A1755" s="41"/>
      <c r="B1755" s="41"/>
      <c r="C1755" s="117"/>
      <c r="D1755" s="124"/>
      <c r="E1755" s="124"/>
      <c r="F1755" s="124"/>
      <c r="G1755" s="124"/>
      <c r="H1755" s="124"/>
      <c r="I1755" s="124"/>
    </row>
    <row r="1756">
      <c r="A1756" s="41"/>
      <c r="B1756" s="41"/>
      <c r="C1756" s="117"/>
      <c r="D1756" s="124"/>
      <c r="E1756" s="124"/>
      <c r="F1756" s="124"/>
      <c r="G1756" s="124"/>
      <c r="H1756" s="124"/>
      <c r="I1756" s="124"/>
    </row>
    <row r="1757">
      <c r="A1757" s="41"/>
      <c r="B1757" s="41"/>
      <c r="C1757" s="117"/>
      <c r="D1757" s="124"/>
      <c r="E1757" s="124"/>
      <c r="F1757" s="124"/>
      <c r="G1757" s="124"/>
      <c r="H1757" s="124"/>
      <c r="I1757" s="124"/>
    </row>
    <row r="1758">
      <c r="A1758" s="41"/>
      <c r="B1758" s="41"/>
      <c r="C1758" s="117"/>
      <c r="D1758" s="124"/>
      <c r="E1758" s="124"/>
      <c r="F1758" s="124"/>
      <c r="G1758" s="124"/>
      <c r="H1758" s="124"/>
      <c r="I1758" s="124"/>
    </row>
    <row r="1759">
      <c r="A1759" s="41"/>
      <c r="B1759" s="41"/>
      <c r="C1759" s="117"/>
      <c r="D1759" s="124"/>
      <c r="E1759" s="124"/>
      <c r="F1759" s="124"/>
      <c r="G1759" s="124"/>
      <c r="H1759" s="124"/>
      <c r="I1759" s="124"/>
    </row>
    <row r="1760">
      <c r="A1760" s="41"/>
      <c r="B1760" s="41"/>
      <c r="C1760" s="117"/>
      <c r="D1760" s="124"/>
      <c r="E1760" s="124"/>
      <c r="F1760" s="124"/>
      <c r="G1760" s="124"/>
      <c r="H1760" s="124"/>
      <c r="I1760" s="124"/>
    </row>
    <row r="1761">
      <c r="A1761" s="41"/>
      <c r="B1761" s="41"/>
      <c r="C1761" s="117"/>
      <c r="D1761" s="124"/>
      <c r="E1761" s="124"/>
      <c r="F1761" s="124"/>
      <c r="G1761" s="124"/>
      <c r="H1761" s="124"/>
      <c r="I1761" s="124"/>
    </row>
    <row r="1762">
      <c r="A1762" s="41"/>
      <c r="B1762" s="41"/>
      <c r="C1762" s="117"/>
      <c r="D1762" s="124"/>
      <c r="E1762" s="124"/>
      <c r="F1762" s="124"/>
      <c r="G1762" s="124"/>
      <c r="H1762" s="124"/>
      <c r="I1762" s="124"/>
    </row>
    <row r="1763">
      <c r="A1763" s="41"/>
      <c r="B1763" s="41"/>
      <c r="C1763" s="117"/>
      <c r="D1763" s="124"/>
      <c r="E1763" s="124"/>
      <c r="F1763" s="124"/>
      <c r="G1763" s="124"/>
      <c r="H1763" s="124"/>
      <c r="I1763" s="124"/>
    </row>
    <row r="1764">
      <c r="A1764" s="41"/>
      <c r="B1764" s="41"/>
      <c r="C1764" s="117"/>
      <c r="D1764" s="124"/>
      <c r="E1764" s="124"/>
      <c r="F1764" s="124"/>
      <c r="G1764" s="124"/>
      <c r="H1764" s="124"/>
      <c r="I1764" s="124"/>
    </row>
    <row r="1765">
      <c r="A1765" s="41"/>
      <c r="B1765" s="41"/>
      <c r="C1765" s="117"/>
      <c r="D1765" s="124"/>
      <c r="E1765" s="124"/>
      <c r="F1765" s="124"/>
      <c r="G1765" s="124"/>
      <c r="H1765" s="124"/>
      <c r="I1765" s="124"/>
    </row>
    <row r="1766">
      <c r="A1766" s="41"/>
      <c r="B1766" s="41"/>
      <c r="C1766" s="117"/>
      <c r="D1766" s="124"/>
      <c r="E1766" s="124"/>
      <c r="F1766" s="124"/>
      <c r="G1766" s="124"/>
      <c r="H1766" s="124"/>
      <c r="I1766" s="124"/>
    </row>
    <row r="1767">
      <c r="A1767" s="41"/>
      <c r="B1767" s="41"/>
      <c r="C1767" s="117"/>
      <c r="D1767" s="124"/>
      <c r="E1767" s="124"/>
      <c r="F1767" s="124"/>
      <c r="G1767" s="124"/>
      <c r="H1767" s="124"/>
      <c r="I1767" s="124"/>
    </row>
    <row r="1768">
      <c r="A1768" s="41"/>
      <c r="B1768" s="41"/>
      <c r="C1768" s="117"/>
      <c r="D1768" s="124"/>
      <c r="E1768" s="124"/>
      <c r="F1768" s="124"/>
      <c r="G1768" s="124"/>
      <c r="H1768" s="124"/>
      <c r="I1768" s="124"/>
    </row>
    <row r="1769">
      <c r="A1769" s="41"/>
      <c r="B1769" s="41"/>
      <c r="C1769" s="117"/>
      <c r="D1769" s="124"/>
      <c r="E1769" s="124"/>
      <c r="F1769" s="124"/>
      <c r="G1769" s="124"/>
      <c r="H1769" s="124"/>
      <c r="I1769" s="124"/>
    </row>
    <row r="1770">
      <c r="A1770" s="41"/>
      <c r="B1770" s="41"/>
      <c r="C1770" s="117"/>
      <c r="D1770" s="124"/>
      <c r="E1770" s="124"/>
      <c r="F1770" s="124"/>
      <c r="G1770" s="124"/>
      <c r="H1770" s="124"/>
      <c r="I1770" s="124"/>
    </row>
    <row r="1771">
      <c r="A1771" s="41"/>
      <c r="B1771" s="41"/>
      <c r="C1771" s="117"/>
      <c r="D1771" s="124"/>
      <c r="E1771" s="124"/>
      <c r="F1771" s="124"/>
      <c r="G1771" s="124"/>
      <c r="H1771" s="124"/>
      <c r="I1771" s="124"/>
    </row>
    <row r="1772">
      <c r="A1772" s="41"/>
      <c r="B1772" s="41"/>
      <c r="C1772" s="117"/>
      <c r="D1772" s="124"/>
      <c r="E1772" s="124"/>
      <c r="F1772" s="124"/>
      <c r="G1772" s="124"/>
      <c r="H1772" s="124"/>
      <c r="I1772" s="124"/>
    </row>
    <row r="1773">
      <c r="A1773" s="41"/>
      <c r="B1773" s="41"/>
      <c r="C1773" s="117"/>
      <c r="D1773" s="124"/>
      <c r="E1773" s="124"/>
      <c r="F1773" s="124"/>
      <c r="G1773" s="124"/>
      <c r="H1773" s="124"/>
      <c r="I1773" s="124"/>
    </row>
    <row r="1774">
      <c r="A1774" s="41"/>
      <c r="B1774" s="41"/>
      <c r="C1774" s="117"/>
      <c r="D1774" s="124"/>
      <c r="E1774" s="124"/>
      <c r="F1774" s="124"/>
      <c r="G1774" s="124"/>
      <c r="H1774" s="124"/>
      <c r="I1774" s="124"/>
    </row>
    <row r="1775">
      <c r="A1775" s="41"/>
      <c r="B1775" s="41"/>
      <c r="C1775" s="117"/>
      <c r="D1775" s="124"/>
      <c r="E1775" s="124"/>
      <c r="F1775" s="124"/>
      <c r="G1775" s="124"/>
      <c r="H1775" s="124"/>
      <c r="I1775" s="124"/>
    </row>
    <row r="1776">
      <c r="A1776" s="41"/>
      <c r="B1776" s="41"/>
      <c r="C1776" s="117"/>
      <c r="D1776" s="124"/>
      <c r="E1776" s="124"/>
      <c r="F1776" s="124"/>
      <c r="G1776" s="124"/>
      <c r="H1776" s="124"/>
      <c r="I1776" s="124"/>
    </row>
    <row r="1777">
      <c r="A1777" s="41"/>
      <c r="B1777" s="41"/>
      <c r="C1777" s="117"/>
      <c r="D1777" s="124"/>
      <c r="E1777" s="124"/>
      <c r="F1777" s="124"/>
      <c r="G1777" s="124"/>
      <c r="H1777" s="124"/>
      <c r="I1777" s="124"/>
    </row>
    <row r="1778">
      <c r="A1778" s="41"/>
      <c r="B1778" s="41"/>
      <c r="C1778" s="117"/>
      <c r="D1778" s="124"/>
      <c r="E1778" s="124"/>
      <c r="F1778" s="124"/>
      <c r="G1778" s="124"/>
      <c r="H1778" s="124"/>
      <c r="I1778" s="124"/>
    </row>
    <row r="1779">
      <c r="A1779" s="41"/>
      <c r="B1779" s="41"/>
      <c r="C1779" s="117"/>
      <c r="D1779" s="124"/>
      <c r="E1779" s="124"/>
      <c r="F1779" s="124"/>
      <c r="G1779" s="124"/>
      <c r="H1779" s="124"/>
      <c r="I1779" s="124"/>
    </row>
    <row r="1780">
      <c r="A1780" s="41"/>
      <c r="B1780" s="41"/>
      <c r="C1780" s="117"/>
      <c r="D1780" s="124"/>
      <c r="E1780" s="124"/>
      <c r="F1780" s="124"/>
      <c r="G1780" s="124"/>
      <c r="H1780" s="124"/>
      <c r="I1780" s="124"/>
    </row>
    <row r="1781">
      <c r="A1781" s="41"/>
      <c r="B1781" s="41"/>
      <c r="C1781" s="117"/>
      <c r="D1781" s="124"/>
      <c r="E1781" s="124"/>
      <c r="F1781" s="124"/>
      <c r="G1781" s="124"/>
      <c r="H1781" s="124"/>
      <c r="I1781" s="124"/>
    </row>
    <row r="1782">
      <c r="A1782" s="41"/>
      <c r="B1782" s="41"/>
      <c r="C1782" s="117"/>
      <c r="D1782" s="124"/>
      <c r="E1782" s="124"/>
      <c r="F1782" s="124"/>
      <c r="G1782" s="124"/>
      <c r="H1782" s="124"/>
      <c r="I1782" s="124"/>
    </row>
    <row r="1783">
      <c r="A1783" s="41"/>
      <c r="B1783" s="41"/>
      <c r="C1783" s="117"/>
      <c r="D1783" s="124"/>
      <c r="E1783" s="124"/>
      <c r="F1783" s="124"/>
      <c r="G1783" s="124"/>
      <c r="H1783" s="124"/>
      <c r="I1783" s="124"/>
    </row>
    <row r="1784">
      <c r="A1784" s="41"/>
      <c r="B1784" s="41"/>
      <c r="C1784" s="117"/>
      <c r="D1784" s="124"/>
      <c r="E1784" s="124"/>
      <c r="F1784" s="124"/>
      <c r="G1784" s="124"/>
      <c r="H1784" s="124"/>
      <c r="I1784" s="124"/>
    </row>
    <row r="1785">
      <c r="A1785" s="41"/>
      <c r="B1785" s="41"/>
      <c r="C1785" s="117"/>
      <c r="D1785" s="124"/>
      <c r="E1785" s="124"/>
      <c r="F1785" s="124"/>
      <c r="G1785" s="124"/>
      <c r="H1785" s="124"/>
      <c r="I1785" s="124"/>
    </row>
    <row r="1786">
      <c r="A1786" s="41"/>
      <c r="B1786" s="41"/>
      <c r="C1786" s="117"/>
      <c r="D1786" s="124"/>
      <c r="E1786" s="124"/>
      <c r="F1786" s="124"/>
      <c r="G1786" s="124"/>
      <c r="H1786" s="124"/>
      <c r="I1786" s="124"/>
    </row>
    <row r="1787">
      <c r="A1787" s="41"/>
      <c r="B1787" s="41"/>
      <c r="C1787" s="117"/>
      <c r="D1787" s="124"/>
      <c r="E1787" s="124"/>
      <c r="F1787" s="124"/>
      <c r="G1787" s="124"/>
      <c r="H1787" s="124"/>
      <c r="I1787" s="124"/>
    </row>
    <row r="1788">
      <c r="A1788" s="41"/>
      <c r="B1788" s="41"/>
      <c r="C1788" s="117"/>
      <c r="D1788" s="124"/>
      <c r="E1788" s="124"/>
      <c r="F1788" s="124"/>
      <c r="G1788" s="124"/>
      <c r="H1788" s="124"/>
      <c r="I1788" s="124"/>
    </row>
    <row r="1789">
      <c r="A1789" s="41"/>
      <c r="B1789" s="41"/>
      <c r="C1789" s="117"/>
      <c r="D1789" s="124"/>
      <c r="E1789" s="124"/>
      <c r="F1789" s="124"/>
      <c r="G1789" s="124"/>
      <c r="H1789" s="124"/>
      <c r="I1789" s="124"/>
    </row>
    <row r="1790">
      <c r="A1790" s="41"/>
      <c r="B1790" s="41"/>
      <c r="C1790" s="117"/>
      <c r="D1790" s="124"/>
      <c r="E1790" s="124"/>
      <c r="F1790" s="124"/>
      <c r="G1790" s="124"/>
      <c r="H1790" s="124"/>
      <c r="I1790" s="124"/>
    </row>
    <row r="1791">
      <c r="A1791" s="41"/>
      <c r="B1791" s="41"/>
      <c r="C1791" s="117"/>
      <c r="D1791" s="124"/>
      <c r="E1791" s="124"/>
      <c r="F1791" s="124"/>
      <c r="G1791" s="124"/>
      <c r="H1791" s="124"/>
      <c r="I1791" s="124"/>
    </row>
    <row r="1792">
      <c r="A1792" s="41"/>
      <c r="B1792" s="41"/>
      <c r="C1792" s="117"/>
      <c r="D1792" s="124"/>
      <c r="E1792" s="124"/>
      <c r="F1792" s="124"/>
      <c r="G1792" s="124"/>
      <c r="H1792" s="124"/>
      <c r="I1792" s="124"/>
    </row>
    <row r="1793">
      <c r="A1793" s="41"/>
      <c r="B1793" s="41"/>
      <c r="C1793" s="117"/>
      <c r="D1793" s="124"/>
      <c r="E1793" s="124"/>
      <c r="F1793" s="124"/>
      <c r="G1793" s="124"/>
      <c r="H1793" s="124"/>
      <c r="I1793" s="124"/>
    </row>
    <row r="1794">
      <c r="A1794" s="41"/>
      <c r="B1794" s="41"/>
      <c r="C1794" s="117"/>
      <c r="D1794" s="124"/>
      <c r="E1794" s="124"/>
      <c r="F1794" s="124"/>
      <c r="G1794" s="124"/>
      <c r="H1794" s="124"/>
      <c r="I1794" s="124"/>
    </row>
    <row r="1795">
      <c r="A1795" s="41"/>
      <c r="B1795" s="41"/>
      <c r="C1795" s="117"/>
      <c r="D1795" s="124"/>
      <c r="E1795" s="124"/>
      <c r="F1795" s="124"/>
      <c r="G1795" s="124"/>
      <c r="H1795" s="124"/>
      <c r="I1795" s="124"/>
    </row>
    <row r="1796">
      <c r="A1796" s="41"/>
      <c r="B1796" s="41"/>
      <c r="C1796" s="117"/>
      <c r="D1796" s="124"/>
      <c r="E1796" s="124"/>
      <c r="F1796" s="124"/>
      <c r="G1796" s="124"/>
      <c r="H1796" s="124"/>
      <c r="I1796" s="124"/>
    </row>
    <row r="1797">
      <c r="A1797" s="41"/>
      <c r="B1797" s="41"/>
      <c r="C1797" s="117"/>
      <c r="D1797" s="124"/>
      <c r="E1797" s="124"/>
      <c r="F1797" s="124"/>
      <c r="G1797" s="124"/>
      <c r="H1797" s="124"/>
      <c r="I1797" s="124"/>
    </row>
    <row r="1798">
      <c r="A1798" s="41"/>
      <c r="B1798" s="41"/>
      <c r="C1798" s="117"/>
      <c r="D1798" s="124"/>
      <c r="E1798" s="124"/>
      <c r="F1798" s="124"/>
      <c r="G1798" s="124"/>
      <c r="H1798" s="124"/>
      <c r="I1798" s="124"/>
    </row>
    <row r="1799">
      <c r="A1799" s="41"/>
      <c r="B1799" s="41"/>
      <c r="C1799" s="117"/>
      <c r="D1799" s="124"/>
      <c r="E1799" s="124"/>
      <c r="F1799" s="124"/>
      <c r="G1799" s="124"/>
      <c r="H1799" s="124"/>
      <c r="I1799" s="124"/>
    </row>
    <row r="1800">
      <c r="A1800" s="41"/>
      <c r="B1800" s="41"/>
      <c r="C1800" s="117"/>
      <c r="D1800" s="124"/>
      <c r="E1800" s="124"/>
      <c r="F1800" s="124"/>
      <c r="G1800" s="124"/>
      <c r="H1800" s="124"/>
      <c r="I1800" s="124"/>
    </row>
    <row r="1801">
      <c r="A1801" s="41"/>
      <c r="B1801" s="41"/>
      <c r="C1801" s="117"/>
      <c r="D1801" s="124"/>
      <c r="E1801" s="124"/>
      <c r="F1801" s="124"/>
      <c r="G1801" s="124"/>
      <c r="H1801" s="124"/>
      <c r="I1801" s="124"/>
    </row>
    <row r="1802">
      <c r="A1802" s="41"/>
      <c r="B1802" s="41"/>
      <c r="C1802" s="117"/>
      <c r="D1802" s="124"/>
      <c r="E1802" s="124"/>
      <c r="F1802" s="124"/>
      <c r="G1802" s="124"/>
      <c r="H1802" s="124"/>
      <c r="I1802" s="124"/>
    </row>
    <row r="1803">
      <c r="A1803" s="41"/>
      <c r="B1803" s="41"/>
      <c r="C1803" s="117"/>
      <c r="D1803" s="124"/>
      <c r="E1803" s="124"/>
      <c r="F1803" s="124"/>
      <c r="G1803" s="124"/>
      <c r="H1803" s="124"/>
      <c r="I1803" s="124"/>
    </row>
    <row r="1804">
      <c r="A1804" s="41"/>
      <c r="B1804" s="41"/>
      <c r="C1804" s="117"/>
      <c r="D1804" s="124"/>
      <c r="E1804" s="124"/>
      <c r="F1804" s="124"/>
      <c r="G1804" s="124"/>
      <c r="H1804" s="124"/>
      <c r="I1804" s="124"/>
    </row>
    <row r="1805">
      <c r="A1805" s="41"/>
      <c r="B1805" s="41"/>
      <c r="C1805" s="117"/>
      <c r="D1805" s="124"/>
      <c r="E1805" s="124"/>
      <c r="F1805" s="124"/>
      <c r="G1805" s="124"/>
      <c r="H1805" s="124"/>
      <c r="I1805" s="124"/>
    </row>
    <row r="1806">
      <c r="A1806" s="41"/>
      <c r="B1806" s="41"/>
      <c r="C1806" s="117"/>
      <c r="D1806" s="124"/>
      <c r="E1806" s="124"/>
      <c r="F1806" s="124"/>
      <c r="G1806" s="124"/>
      <c r="H1806" s="124"/>
      <c r="I1806" s="124"/>
    </row>
    <row r="1807">
      <c r="A1807" s="41"/>
      <c r="B1807" s="41"/>
      <c r="C1807" s="117"/>
      <c r="D1807" s="124"/>
      <c r="E1807" s="124"/>
      <c r="F1807" s="124"/>
      <c r="G1807" s="124"/>
      <c r="H1807" s="124"/>
      <c r="I1807" s="124"/>
    </row>
    <row r="1808">
      <c r="A1808" s="41"/>
      <c r="B1808" s="41"/>
      <c r="C1808" s="117"/>
      <c r="D1808" s="124"/>
      <c r="E1808" s="124"/>
      <c r="F1808" s="124"/>
      <c r="G1808" s="124"/>
      <c r="H1808" s="124"/>
      <c r="I1808" s="124"/>
    </row>
    <row r="1809">
      <c r="A1809" s="41"/>
      <c r="B1809" s="41"/>
      <c r="C1809" s="117"/>
      <c r="D1809" s="124"/>
      <c r="E1809" s="124"/>
      <c r="F1809" s="124"/>
      <c r="G1809" s="124"/>
      <c r="H1809" s="124"/>
      <c r="I1809" s="124"/>
    </row>
    <row r="1810">
      <c r="A1810" s="41"/>
      <c r="B1810" s="41"/>
      <c r="C1810" s="117"/>
      <c r="D1810" s="124"/>
      <c r="E1810" s="124"/>
      <c r="F1810" s="124"/>
      <c r="G1810" s="124"/>
      <c r="H1810" s="124"/>
      <c r="I1810" s="124"/>
    </row>
    <row r="1811">
      <c r="A1811" s="41"/>
      <c r="B1811" s="41"/>
      <c r="C1811" s="117"/>
      <c r="D1811" s="124"/>
      <c r="E1811" s="124"/>
      <c r="F1811" s="124"/>
      <c r="G1811" s="124"/>
      <c r="H1811" s="124"/>
      <c r="I1811" s="124"/>
    </row>
    <row r="1812">
      <c r="A1812" s="41"/>
      <c r="B1812" s="41"/>
      <c r="C1812" s="117"/>
      <c r="D1812" s="124"/>
      <c r="E1812" s="124"/>
      <c r="F1812" s="124"/>
      <c r="G1812" s="124"/>
      <c r="H1812" s="124"/>
      <c r="I1812" s="124"/>
    </row>
    <row r="1813">
      <c r="A1813" s="41"/>
      <c r="B1813" s="41"/>
      <c r="C1813" s="117"/>
      <c r="D1813" s="124"/>
      <c r="E1813" s="124"/>
      <c r="F1813" s="124"/>
      <c r="G1813" s="124"/>
      <c r="H1813" s="124"/>
      <c r="I1813" s="124"/>
    </row>
    <row r="1814">
      <c r="A1814" s="41"/>
      <c r="B1814" s="41"/>
      <c r="C1814" s="117"/>
      <c r="D1814" s="124"/>
      <c r="E1814" s="124"/>
      <c r="F1814" s="124"/>
      <c r="G1814" s="124"/>
      <c r="H1814" s="124"/>
      <c r="I1814" s="124"/>
    </row>
    <row r="1815">
      <c r="A1815" s="41"/>
      <c r="B1815" s="41"/>
      <c r="C1815" s="117"/>
      <c r="D1815" s="124"/>
      <c r="E1815" s="124"/>
      <c r="F1815" s="124"/>
      <c r="G1815" s="124"/>
      <c r="H1815" s="124"/>
      <c r="I1815" s="124"/>
    </row>
    <row r="1816">
      <c r="A1816" s="41"/>
      <c r="B1816" s="41"/>
      <c r="C1816" s="117"/>
      <c r="D1816" s="124"/>
      <c r="E1816" s="124"/>
      <c r="F1816" s="124"/>
      <c r="G1816" s="124"/>
      <c r="H1816" s="124"/>
      <c r="I1816" s="124"/>
    </row>
    <row r="1817">
      <c r="A1817" s="41"/>
      <c r="B1817" s="41"/>
      <c r="C1817" s="117"/>
      <c r="D1817" s="124"/>
      <c r="E1817" s="124"/>
      <c r="F1817" s="124"/>
      <c r="G1817" s="124"/>
      <c r="H1817" s="124"/>
      <c r="I1817" s="124"/>
    </row>
    <row r="1818">
      <c r="A1818" s="41"/>
      <c r="B1818" s="41"/>
      <c r="C1818" s="117"/>
      <c r="D1818" s="124"/>
      <c r="E1818" s="124"/>
      <c r="F1818" s="124"/>
      <c r="G1818" s="124"/>
      <c r="H1818" s="124"/>
      <c r="I1818" s="124"/>
    </row>
    <row r="1819">
      <c r="A1819" s="41"/>
      <c r="B1819" s="41"/>
      <c r="C1819" s="117"/>
      <c r="D1819" s="124"/>
      <c r="E1819" s="124"/>
      <c r="F1819" s="124"/>
      <c r="G1819" s="124"/>
      <c r="H1819" s="124"/>
      <c r="I1819" s="124"/>
    </row>
    <row r="1820">
      <c r="A1820" s="41"/>
      <c r="B1820" s="41"/>
      <c r="C1820" s="117"/>
      <c r="D1820" s="124"/>
      <c r="E1820" s="124"/>
      <c r="F1820" s="124"/>
      <c r="G1820" s="124"/>
      <c r="H1820" s="124"/>
      <c r="I1820" s="124"/>
    </row>
    <row r="1821">
      <c r="A1821" s="41"/>
      <c r="B1821" s="41"/>
      <c r="C1821" s="117"/>
      <c r="D1821" s="124"/>
      <c r="E1821" s="124"/>
      <c r="F1821" s="124"/>
      <c r="G1821" s="124"/>
      <c r="H1821" s="124"/>
      <c r="I1821" s="124"/>
    </row>
    <row r="1822">
      <c r="A1822" s="41"/>
      <c r="B1822" s="41"/>
      <c r="C1822" s="117"/>
      <c r="D1822" s="124"/>
      <c r="E1822" s="124"/>
      <c r="F1822" s="124"/>
      <c r="G1822" s="124"/>
      <c r="H1822" s="124"/>
      <c r="I1822" s="124"/>
    </row>
    <row r="1823">
      <c r="A1823" s="41"/>
      <c r="B1823" s="41"/>
      <c r="C1823" s="117"/>
      <c r="D1823" s="124"/>
      <c r="E1823" s="124"/>
      <c r="F1823" s="124"/>
      <c r="G1823" s="124"/>
      <c r="H1823" s="124"/>
      <c r="I1823" s="124"/>
    </row>
    <row r="1824">
      <c r="A1824" s="41"/>
      <c r="B1824" s="41"/>
      <c r="C1824" s="117"/>
      <c r="D1824" s="124"/>
      <c r="E1824" s="124"/>
      <c r="F1824" s="124"/>
      <c r="G1824" s="124"/>
      <c r="H1824" s="124"/>
      <c r="I1824" s="124"/>
    </row>
    <row r="1825">
      <c r="A1825" s="41"/>
      <c r="B1825" s="41"/>
      <c r="C1825" s="117"/>
      <c r="D1825" s="124"/>
      <c r="E1825" s="124"/>
      <c r="F1825" s="124"/>
      <c r="G1825" s="124"/>
      <c r="H1825" s="124"/>
      <c r="I1825" s="124"/>
    </row>
    <row r="1826">
      <c r="A1826" s="41"/>
      <c r="B1826" s="41"/>
      <c r="C1826" s="117"/>
      <c r="D1826" s="124"/>
      <c r="E1826" s="124"/>
      <c r="F1826" s="124"/>
      <c r="G1826" s="124"/>
      <c r="H1826" s="124"/>
      <c r="I1826" s="124"/>
    </row>
    <row r="1827">
      <c r="A1827" s="41"/>
      <c r="B1827" s="41"/>
      <c r="C1827" s="117"/>
      <c r="D1827" s="124"/>
      <c r="E1827" s="124"/>
      <c r="F1827" s="124"/>
      <c r="G1827" s="124"/>
      <c r="H1827" s="124"/>
      <c r="I1827" s="124"/>
    </row>
    <row r="1828">
      <c r="A1828" s="41"/>
      <c r="B1828" s="41"/>
      <c r="C1828" s="117"/>
      <c r="D1828" s="124"/>
      <c r="E1828" s="124"/>
      <c r="F1828" s="124"/>
      <c r="G1828" s="124"/>
      <c r="H1828" s="124"/>
      <c r="I1828" s="124"/>
    </row>
    <row r="1829">
      <c r="A1829" s="41"/>
      <c r="B1829" s="41"/>
      <c r="C1829" s="117"/>
      <c r="D1829" s="124"/>
      <c r="E1829" s="124"/>
      <c r="F1829" s="124"/>
      <c r="G1829" s="124"/>
      <c r="H1829" s="124"/>
      <c r="I1829" s="124"/>
    </row>
    <row r="1830">
      <c r="A1830" s="41"/>
      <c r="B1830" s="41"/>
      <c r="C1830" s="117"/>
      <c r="D1830" s="124"/>
      <c r="E1830" s="124"/>
      <c r="F1830" s="124"/>
      <c r="G1830" s="124"/>
      <c r="H1830" s="124"/>
      <c r="I1830" s="124"/>
    </row>
    <row r="1831">
      <c r="A1831" s="41"/>
      <c r="B1831" s="41"/>
      <c r="C1831" s="117"/>
      <c r="D1831" s="124"/>
      <c r="E1831" s="124"/>
      <c r="F1831" s="124"/>
      <c r="G1831" s="124"/>
      <c r="H1831" s="124"/>
      <c r="I1831" s="124"/>
    </row>
    <row r="1832">
      <c r="A1832" s="41"/>
      <c r="B1832" s="41"/>
      <c r="C1832" s="117"/>
      <c r="D1832" s="124"/>
      <c r="E1832" s="124"/>
      <c r="F1832" s="124"/>
      <c r="G1832" s="124"/>
      <c r="H1832" s="124"/>
      <c r="I1832" s="124"/>
    </row>
    <row r="1833">
      <c r="A1833" s="41"/>
      <c r="B1833" s="41"/>
      <c r="C1833" s="117"/>
      <c r="D1833" s="124"/>
      <c r="E1833" s="124"/>
      <c r="F1833" s="124"/>
      <c r="G1833" s="124"/>
      <c r="H1833" s="124"/>
      <c r="I1833" s="124"/>
    </row>
    <row r="1834">
      <c r="A1834" s="41"/>
      <c r="B1834" s="41"/>
      <c r="C1834" s="117"/>
      <c r="D1834" s="124"/>
      <c r="E1834" s="124"/>
      <c r="F1834" s="124"/>
      <c r="G1834" s="124"/>
      <c r="H1834" s="124"/>
      <c r="I1834" s="124"/>
    </row>
    <row r="1835">
      <c r="A1835" s="41"/>
      <c r="B1835" s="41"/>
      <c r="C1835" s="117"/>
      <c r="D1835" s="124"/>
      <c r="E1835" s="124"/>
      <c r="F1835" s="124"/>
      <c r="G1835" s="124"/>
      <c r="H1835" s="124"/>
      <c r="I1835" s="124"/>
    </row>
    <row r="1836">
      <c r="A1836" s="41"/>
      <c r="B1836" s="41"/>
      <c r="C1836" s="117"/>
      <c r="D1836" s="124"/>
      <c r="E1836" s="124"/>
      <c r="F1836" s="124"/>
      <c r="G1836" s="124"/>
      <c r="H1836" s="124"/>
      <c r="I1836" s="124"/>
    </row>
    <row r="1837">
      <c r="A1837" s="41"/>
      <c r="B1837" s="41"/>
      <c r="C1837" s="117"/>
      <c r="D1837" s="124"/>
      <c r="E1837" s="124"/>
      <c r="F1837" s="124"/>
      <c r="G1837" s="124"/>
      <c r="H1837" s="124"/>
      <c r="I1837" s="124"/>
    </row>
    <row r="1838">
      <c r="A1838" s="41"/>
      <c r="B1838" s="41"/>
      <c r="C1838" s="117"/>
      <c r="D1838" s="124"/>
      <c r="E1838" s="124"/>
      <c r="F1838" s="124"/>
      <c r="G1838" s="124"/>
      <c r="H1838" s="124"/>
      <c r="I1838" s="124"/>
    </row>
    <row r="1839">
      <c r="A1839" s="41"/>
      <c r="B1839" s="41"/>
      <c r="C1839" s="117"/>
      <c r="D1839" s="124"/>
      <c r="E1839" s="124"/>
      <c r="F1839" s="124"/>
      <c r="G1839" s="124"/>
      <c r="H1839" s="124"/>
      <c r="I1839" s="124"/>
    </row>
    <row r="1840">
      <c r="A1840" s="41"/>
      <c r="B1840" s="41"/>
      <c r="C1840" s="117"/>
      <c r="D1840" s="124"/>
      <c r="E1840" s="124"/>
      <c r="F1840" s="124"/>
      <c r="G1840" s="124"/>
      <c r="H1840" s="124"/>
      <c r="I1840" s="124"/>
    </row>
    <row r="1841">
      <c r="A1841" s="41"/>
      <c r="B1841" s="41"/>
      <c r="C1841" s="117"/>
      <c r="D1841" s="124"/>
      <c r="E1841" s="124"/>
      <c r="F1841" s="124"/>
      <c r="G1841" s="124"/>
      <c r="H1841" s="124"/>
      <c r="I1841" s="124"/>
    </row>
    <row r="1842">
      <c r="A1842" s="41"/>
      <c r="B1842" s="41"/>
      <c r="C1842" s="117"/>
      <c r="D1842" s="124"/>
      <c r="E1842" s="124"/>
      <c r="F1842" s="124"/>
      <c r="G1842" s="124"/>
      <c r="H1842" s="124"/>
      <c r="I1842" s="124"/>
    </row>
    <row r="1843">
      <c r="A1843" s="41"/>
      <c r="B1843" s="41"/>
      <c r="C1843" s="117"/>
      <c r="D1843" s="124"/>
      <c r="E1843" s="124"/>
      <c r="F1843" s="124"/>
      <c r="G1843" s="124"/>
      <c r="H1843" s="124"/>
      <c r="I1843" s="124"/>
    </row>
    <row r="1844">
      <c r="A1844" s="41"/>
      <c r="B1844" s="41"/>
      <c r="C1844" s="117"/>
      <c r="D1844" s="124"/>
      <c r="E1844" s="124"/>
      <c r="F1844" s="124"/>
      <c r="G1844" s="124"/>
      <c r="H1844" s="124"/>
      <c r="I1844" s="124"/>
    </row>
    <row r="1845">
      <c r="A1845" s="41"/>
      <c r="B1845" s="41"/>
      <c r="C1845" s="117"/>
      <c r="D1845" s="124"/>
      <c r="E1845" s="124"/>
      <c r="F1845" s="124"/>
      <c r="G1845" s="124"/>
      <c r="H1845" s="124"/>
      <c r="I1845" s="124"/>
    </row>
    <row r="1846">
      <c r="A1846" s="41"/>
      <c r="B1846" s="41"/>
      <c r="C1846" s="117"/>
      <c r="D1846" s="124"/>
      <c r="E1846" s="124"/>
      <c r="F1846" s="124"/>
      <c r="G1846" s="124"/>
      <c r="H1846" s="124"/>
      <c r="I1846" s="124"/>
    </row>
    <row r="1847">
      <c r="A1847" s="41"/>
      <c r="B1847" s="41"/>
      <c r="C1847" s="117"/>
      <c r="D1847" s="124"/>
      <c r="E1847" s="124"/>
      <c r="F1847" s="124"/>
      <c r="G1847" s="124"/>
      <c r="H1847" s="124"/>
      <c r="I1847" s="124"/>
    </row>
    <row r="1848">
      <c r="A1848" s="41"/>
      <c r="B1848" s="41"/>
      <c r="C1848" s="117"/>
      <c r="D1848" s="124"/>
      <c r="E1848" s="124"/>
      <c r="F1848" s="124"/>
      <c r="G1848" s="124"/>
      <c r="H1848" s="124"/>
      <c r="I1848" s="124"/>
    </row>
    <row r="1849">
      <c r="A1849" s="41"/>
      <c r="B1849" s="41"/>
      <c r="C1849" s="117"/>
      <c r="D1849" s="124"/>
      <c r="E1849" s="124"/>
      <c r="F1849" s="124"/>
      <c r="G1849" s="124"/>
      <c r="H1849" s="124"/>
      <c r="I1849" s="124"/>
    </row>
    <row r="1850">
      <c r="A1850" s="41"/>
      <c r="B1850" s="41"/>
      <c r="C1850" s="117"/>
      <c r="D1850" s="124"/>
      <c r="E1850" s="124"/>
      <c r="F1850" s="124"/>
      <c r="G1850" s="124"/>
      <c r="H1850" s="124"/>
      <c r="I1850" s="124"/>
    </row>
    <row r="1851">
      <c r="A1851" s="41"/>
      <c r="B1851" s="41"/>
      <c r="C1851" s="117"/>
      <c r="D1851" s="124"/>
      <c r="E1851" s="124"/>
      <c r="F1851" s="124"/>
      <c r="G1851" s="124"/>
      <c r="H1851" s="124"/>
      <c r="I1851" s="124"/>
    </row>
    <row r="1852">
      <c r="A1852" s="41"/>
      <c r="B1852" s="41"/>
      <c r="C1852" s="117"/>
      <c r="D1852" s="124"/>
      <c r="E1852" s="124"/>
      <c r="F1852" s="124"/>
      <c r="G1852" s="124"/>
      <c r="H1852" s="124"/>
      <c r="I1852" s="124"/>
    </row>
    <row r="1853">
      <c r="A1853" s="41"/>
      <c r="B1853" s="41"/>
      <c r="C1853" s="117"/>
      <c r="D1853" s="124"/>
      <c r="E1853" s="124"/>
      <c r="F1853" s="124"/>
      <c r="G1853" s="124"/>
      <c r="H1853" s="124"/>
      <c r="I1853" s="124"/>
    </row>
    <row r="1854">
      <c r="A1854" s="41"/>
      <c r="B1854" s="41"/>
      <c r="C1854" s="117"/>
      <c r="D1854" s="124"/>
      <c r="E1854" s="124"/>
      <c r="F1854" s="124"/>
      <c r="G1854" s="124"/>
      <c r="H1854" s="124"/>
      <c r="I1854" s="124"/>
    </row>
    <row r="1855">
      <c r="A1855" s="41"/>
      <c r="B1855" s="41"/>
      <c r="C1855" s="117"/>
      <c r="D1855" s="124"/>
      <c r="E1855" s="124"/>
      <c r="F1855" s="124"/>
      <c r="G1855" s="124"/>
      <c r="H1855" s="124"/>
      <c r="I1855" s="124"/>
    </row>
    <row r="1856">
      <c r="A1856" s="41"/>
      <c r="B1856" s="41"/>
      <c r="C1856" s="117"/>
      <c r="D1856" s="124"/>
      <c r="E1856" s="124"/>
      <c r="F1856" s="124"/>
      <c r="G1856" s="124"/>
      <c r="H1856" s="124"/>
      <c r="I1856" s="124"/>
    </row>
    <row r="1857">
      <c r="A1857" s="41"/>
      <c r="B1857" s="41"/>
      <c r="C1857" s="117"/>
      <c r="D1857" s="124"/>
      <c r="E1857" s="124"/>
      <c r="F1857" s="124"/>
      <c r="G1857" s="124"/>
      <c r="H1857" s="124"/>
      <c r="I1857" s="124"/>
    </row>
    <row r="1858">
      <c r="A1858" s="41"/>
      <c r="B1858" s="41"/>
      <c r="C1858" s="117"/>
      <c r="D1858" s="124"/>
      <c r="E1858" s="124"/>
      <c r="F1858" s="124"/>
      <c r="G1858" s="124"/>
      <c r="H1858" s="124"/>
      <c r="I1858" s="124"/>
    </row>
    <row r="1859">
      <c r="A1859" s="41"/>
      <c r="B1859" s="41"/>
      <c r="C1859" s="117"/>
      <c r="D1859" s="124"/>
      <c r="E1859" s="124"/>
      <c r="F1859" s="124"/>
      <c r="G1859" s="124"/>
      <c r="H1859" s="124"/>
      <c r="I1859" s="124"/>
    </row>
    <row r="1860">
      <c r="A1860" s="41"/>
      <c r="B1860" s="41"/>
      <c r="C1860" s="117"/>
      <c r="D1860" s="124"/>
      <c r="E1860" s="124"/>
      <c r="F1860" s="124"/>
      <c r="G1860" s="124"/>
      <c r="H1860" s="124"/>
      <c r="I1860" s="124"/>
    </row>
    <row r="1861">
      <c r="A1861" s="41"/>
      <c r="B1861" s="41"/>
      <c r="C1861" s="117"/>
      <c r="D1861" s="124"/>
      <c r="E1861" s="124"/>
      <c r="F1861" s="124"/>
      <c r="G1861" s="124"/>
      <c r="H1861" s="124"/>
      <c r="I1861" s="124"/>
    </row>
    <row r="1862">
      <c r="A1862" s="41"/>
      <c r="B1862" s="41"/>
      <c r="C1862" s="117"/>
      <c r="D1862" s="124"/>
      <c r="E1862" s="124"/>
      <c r="F1862" s="124"/>
      <c r="G1862" s="124"/>
      <c r="H1862" s="124"/>
      <c r="I1862" s="124"/>
    </row>
    <row r="1863">
      <c r="A1863" s="41"/>
      <c r="B1863" s="41"/>
      <c r="C1863" s="117"/>
      <c r="D1863" s="124"/>
      <c r="E1863" s="124"/>
      <c r="F1863" s="124"/>
      <c r="G1863" s="124"/>
      <c r="H1863" s="124"/>
      <c r="I1863" s="124"/>
    </row>
    <row r="1864">
      <c r="A1864" s="41"/>
      <c r="B1864" s="41"/>
      <c r="C1864" s="117"/>
      <c r="D1864" s="124"/>
      <c r="E1864" s="124"/>
      <c r="F1864" s="124"/>
      <c r="G1864" s="124"/>
      <c r="H1864" s="124"/>
      <c r="I1864" s="124"/>
    </row>
    <row r="1865">
      <c r="A1865" s="41"/>
      <c r="B1865" s="41"/>
      <c r="C1865" s="117"/>
      <c r="D1865" s="124"/>
      <c r="E1865" s="124"/>
      <c r="F1865" s="124"/>
      <c r="G1865" s="124"/>
      <c r="H1865" s="124"/>
      <c r="I1865" s="124"/>
    </row>
    <row r="1866">
      <c r="A1866" s="41"/>
      <c r="B1866" s="41"/>
      <c r="C1866" s="117"/>
      <c r="D1866" s="124"/>
      <c r="E1866" s="124"/>
      <c r="F1866" s="124"/>
      <c r="G1866" s="124"/>
      <c r="H1866" s="124"/>
      <c r="I1866" s="124"/>
    </row>
    <row r="1867">
      <c r="A1867" s="41"/>
      <c r="B1867" s="41"/>
      <c r="C1867" s="117"/>
      <c r="D1867" s="124"/>
      <c r="E1867" s="124"/>
      <c r="F1867" s="124"/>
      <c r="G1867" s="124"/>
      <c r="H1867" s="124"/>
      <c r="I1867" s="124"/>
    </row>
    <row r="1868">
      <c r="A1868" s="41"/>
      <c r="B1868" s="41"/>
      <c r="C1868" s="117"/>
      <c r="D1868" s="124"/>
      <c r="E1868" s="124"/>
      <c r="F1868" s="124"/>
      <c r="G1868" s="124"/>
      <c r="H1868" s="124"/>
      <c r="I1868" s="124"/>
    </row>
    <row r="1869">
      <c r="A1869" s="41"/>
      <c r="B1869" s="41"/>
      <c r="C1869" s="117"/>
      <c r="D1869" s="124"/>
      <c r="E1869" s="124"/>
      <c r="F1869" s="124"/>
      <c r="G1869" s="124"/>
      <c r="H1869" s="124"/>
      <c r="I1869" s="124"/>
    </row>
    <row r="1870">
      <c r="A1870" s="41"/>
      <c r="B1870" s="41"/>
      <c r="C1870" s="117"/>
      <c r="D1870" s="124"/>
      <c r="E1870" s="124"/>
      <c r="F1870" s="124"/>
      <c r="G1870" s="124"/>
      <c r="H1870" s="124"/>
      <c r="I1870" s="124"/>
    </row>
    <row r="1871">
      <c r="A1871" s="41"/>
      <c r="B1871" s="41"/>
      <c r="C1871" s="117"/>
      <c r="D1871" s="124"/>
      <c r="E1871" s="124"/>
      <c r="F1871" s="124"/>
      <c r="G1871" s="124"/>
      <c r="H1871" s="124"/>
      <c r="I1871" s="124"/>
    </row>
    <row r="1872">
      <c r="A1872" s="41"/>
      <c r="B1872" s="41"/>
      <c r="C1872" s="117"/>
      <c r="D1872" s="124"/>
      <c r="E1872" s="124"/>
      <c r="F1872" s="124"/>
      <c r="G1872" s="124"/>
      <c r="H1872" s="124"/>
      <c r="I1872" s="124"/>
    </row>
    <row r="1873">
      <c r="A1873" s="41"/>
      <c r="B1873" s="41"/>
      <c r="C1873" s="117"/>
      <c r="D1873" s="124"/>
      <c r="E1873" s="124"/>
      <c r="F1873" s="124"/>
      <c r="G1873" s="124"/>
      <c r="H1873" s="124"/>
      <c r="I1873" s="124"/>
    </row>
    <row r="1874">
      <c r="A1874" s="41"/>
      <c r="B1874" s="41"/>
      <c r="C1874" s="117"/>
      <c r="D1874" s="124"/>
      <c r="E1874" s="124"/>
      <c r="F1874" s="124"/>
      <c r="G1874" s="124"/>
      <c r="H1874" s="124"/>
      <c r="I1874" s="124"/>
    </row>
    <row r="1875">
      <c r="A1875" s="41"/>
      <c r="B1875" s="41"/>
      <c r="C1875" s="117"/>
      <c r="D1875" s="124"/>
      <c r="E1875" s="124"/>
      <c r="F1875" s="124"/>
      <c r="G1875" s="124"/>
      <c r="H1875" s="124"/>
      <c r="I1875" s="124"/>
    </row>
    <row r="1876">
      <c r="A1876" s="41"/>
      <c r="B1876" s="41"/>
      <c r="C1876" s="117"/>
      <c r="D1876" s="124"/>
      <c r="E1876" s="124"/>
      <c r="F1876" s="124"/>
      <c r="G1876" s="124"/>
      <c r="H1876" s="124"/>
      <c r="I1876" s="124"/>
    </row>
    <row r="1877">
      <c r="A1877" s="41"/>
      <c r="B1877" s="41"/>
      <c r="C1877" s="117"/>
      <c r="D1877" s="124"/>
      <c r="E1877" s="124"/>
      <c r="F1877" s="124"/>
      <c r="G1877" s="124"/>
      <c r="H1877" s="124"/>
      <c r="I1877" s="124"/>
    </row>
    <row r="1878">
      <c r="A1878" s="41"/>
      <c r="B1878" s="41"/>
      <c r="C1878" s="117"/>
      <c r="D1878" s="124"/>
      <c r="E1878" s="124"/>
      <c r="F1878" s="124"/>
      <c r="G1878" s="124"/>
      <c r="H1878" s="124"/>
      <c r="I1878" s="124"/>
    </row>
    <row r="1879">
      <c r="A1879" s="41"/>
      <c r="B1879" s="41"/>
      <c r="C1879" s="117"/>
      <c r="D1879" s="124"/>
      <c r="E1879" s="124"/>
      <c r="F1879" s="124"/>
      <c r="G1879" s="124"/>
      <c r="H1879" s="124"/>
      <c r="I1879" s="124"/>
    </row>
    <row r="1880">
      <c r="A1880" s="41"/>
      <c r="B1880" s="41"/>
      <c r="C1880" s="117"/>
      <c r="D1880" s="124"/>
      <c r="E1880" s="124"/>
      <c r="F1880" s="124"/>
      <c r="G1880" s="124"/>
      <c r="H1880" s="124"/>
      <c r="I1880" s="124"/>
    </row>
    <row r="1881">
      <c r="A1881" s="41"/>
      <c r="B1881" s="41"/>
      <c r="C1881" s="117"/>
      <c r="D1881" s="124"/>
      <c r="E1881" s="124"/>
      <c r="F1881" s="124"/>
      <c r="G1881" s="124"/>
      <c r="H1881" s="124"/>
      <c r="I1881" s="124"/>
    </row>
    <row r="1882">
      <c r="A1882" s="41"/>
      <c r="B1882" s="41"/>
      <c r="C1882" s="117"/>
      <c r="D1882" s="124"/>
      <c r="E1882" s="124"/>
      <c r="F1882" s="124"/>
      <c r="G1882" s="124"/>
      <c r="H1882" s="124"/>
      <c r="I1882" s="124"/>
    </row>
    <row r="1883">
      <c r="A1883" s="41"/>
      <c r="B1883" s="41"/>
      <c r="C1883" s="117"/>
      <c r="D1883" s="124"/>
      <c r="E1883" s="124"/>
      <c r="F1883" s="124"/>
      <c r="G1883" s="124"/>
      <c r="H1883" s="124"/>
      <c r="I1883" s="124"/>
    </row>
    <row r="1884">
      <c r="A1884" s="41"/>
      <c r="B1884" s="41"/>
      <c r="C1884" s="117"/>
      <c r="D1884" s="124"/>
      <c r="E1884" s="124"/>
      <c r="F1884" s="124"/>
      <c r="G1884" s="124"/>
      <c r="H1884" s="124"/>
      <c r="I1884" s="124"/>
    </row>
    <row r="1885">
      <c r="A1885" s="41"/>
      <c r="B1885" s="41"/>
      <c r="C1885" s="117"/>
      <c r="D1885" s="124"/>
      <c r="E1885" s="124"/>
      <c r="F1885" s="124"/>
      <c r="G1885" s="124"/>
      <c r="H1885" s="124"/>
      <c r="I1885" s="124"/>
    </row>
    <row r="1886">
      <c r="A1886" s="41"/>
      <c r="B1886" s="41"/>
      <c r="C1886" s="117"/>
      <c r="D1886" s="124"/>
      <c r="E1886" s="124"/>
      <c r="F1886" s="124"/>
      <c r="G1886" s="124"/>
      <c r="H1886" s="124"/>
      <c r="I1886" s="124"/>
    </row>
    <row r="1887">
      <c r="A1887" s="41"/>
      <c r="B1887" s="41"/>
      <c r="C1887" s="117"/>
      <c r="D1887" s="124"/>
      <c r="E1887" s="124"/>
      <c r="F1887" s="124"/>
      <c r="G1887" s="124"/>
      <c r="H1887" s="124"/>
      <c r="I1887" s="124"/>
    </row>
    <row r="1888">
      <c r="A1888" s="41"/>
      <c r="B1888" s="41"/>
      <c r="C1888" s="117"/>
      <c r="D1888" s="124"/>
      <c r="E1888" s="124"/>
      <c r="F1888" s="124"/>
      <c r="G1888" s="124"/>
      <c r="H1888" s="124"/>
      <c r="I1888" s="124"/>
    </row>
    <row r="1889">
      <c r="A1889" s="41"/>
      <c r="B1889" s="41"/>
      <c r="C1889" s="117"/>
      <c r="D1889" s="124"/>
      <c r="E1889" s="124"/>
      <c r="F1889" s="124"/>
      <c r="G1889" s="124"/>
      <c r="H1889" s="124"/>
      <c r="I1889" s="124"/>
    </row>
    <row r="1890">
      <c r="A1890" s="41"/>
      <c r="B1890" s="41"/>
      <c r="C1890" s="117"/>
      <c r="D1890" s="124"/>
      <c r="E1890" s="124"/>
      <c r="F1890" s="124"/>
      <c r="G1890" s="124"/>
      <c r="H1890" s="124"/>
      <c r="I1890" s="124"/>
    </row>
    <row r="1891">
      <c r="A1891" s="41"/>
      <c r="B1891" s="41"/>
      <c r="C1891" s="117"/>
      <c r="D1891" s="124"/>
      <c r="E1891" s="124"/>
      <c r="F1891" s="124"/>
      <c r="G1891" s="124"/>
      <c r="H1891" s="124"/>
      <c r="I1891" s="124"/>
    </row>
    <row r="1892">
      <c r="A1892" s="41"/>
      <c r="B1892" s="41"/>
      <c r="C1892" s="117"/>
      <c r="D1892" s="124"/>
      <c r="E1892" s="124"/>
      <c r="F1892" s="124"/>
      <c r="G1892" s="124"/>
      <c r="H1892" s="124"/>
      <c r="I1892" s="124"/>
    </row>
    <row r="1893">
      <c r="A1893" s="41"/>
      <c r="B1893" s="41"/>
      <c r="C1893" s="117"/>
      <c r="D1893" s="124"/>
      <c r="E1893" s="124"/>
      <c r="F1893" s="124"/>
      <c r="G1893" s="124"/>
      <c r="H1893" s="124"/>
      <c r="I1893" s="124"/>
    </row>
    <row r="1894">
      <c r="A1894" s="41"/>
      <c r="B1894" s="41"/>
      <c r="C1894" s="117"/>
      <c r="D1894" s="124"/>
      <c r="E1894" s="124"/>
      <c r="F1894" s="124"/>
      <c r="G1894" s="124"/>
      <c r="H1894" s="124"/>
      <c r="I1894" s="124"/>
    </row>
    <row r="1895">
      <c r="A1895" s="41"/>
      <c r="B1895" s="41"/>
      <c r="C1895" s="117"/>
      <c r="D1895" s="124"/>
      <c r="E1895" s="124"/>
      <c r="F1895" s="124"/>
      <c r="G1895" s="124"/>
      <c r="H1895" s="124"/>
      <c r="I1895" s="124"/>
    </row>
    <row r="1896">
      <c r="A1896" s="41"/>
      <c r="B1896" s="41"/>
      <c r="C1896" s="117"/>
      <c r="D1896" s="124"/>
      <c r="E1896" s="124"/>
      <c r="F1896" s="124"/>
      <c r="G1896" s="124"/>
      <c r="H1896" s="124"/>
      <c r="I1896" s="124"/>
    </row>
    <row r="1897">
      <c r="A1897" s="41"/>
      <c r="B1897" s="41"/>
      <c r="C1897" s="117"/>
      <c r="D1897" s="124"/>
      <c r="E1897" s="124"/>
      <c r="F1897" s="124"/>
      <c r="G1897" s="124"/>
      <c r="H1897" s="124"/>
      <c r="I1897" s="124"/>
    </row>
    <row r="1898">
      <c r="A1898" s="41"/>
      <c r="B1898" s="41"/>
      <c r="C1898" s="117"/>
      <c r="D1898" s="124"/>
      <c r="E1898" s="124"/>
      <c r="F1898" s="124"/>
      <c r="G1898" s="124"/>
      <c r="H1898" s="124"/>
      <c r="I1898" s="124"/>
    </row>
    <row r="1899">
      <c r="A1899" s="41"/>
      <c r="B1899" s="41"/>
      <c r="C1899" s="117"/>
      <c r="D1899" s="124"/>
      <c r="E1899" s="124"/>
      <c r="F1899" s="124"/>
      <c r="G1899" s="124"/>
      <c r="H1899" s="124"/>
      <c r="I1899" s="124"/>
    </row>
    <row r="1900">
      <c r="A1900" s="41"/>
      <c r="B1900" s="41"/>
      <c r="C1900" s="117"/>
      <c r="D1900" s="124"/>
      <c r="E1900" s="124"/>
      <c r="F1900" s="124"/>
      <c r="G1900" s="124"/>
      <c r="H1900" s="124"/>
      <c r="I1900" s="124"/>
    </row>
    <row r="1901">
      <c r="A1901" s="41"/>
      <c r="B1901" s="41"/>
      <c r="C1901" s="117"/>
      <c r="D1901" s="124"/>
      <c r="E1901" s="124"/>
      <c r="F1901" s="124"/>
      <c r="G1901" s="124"/>
      <c r="H1901" s="124"/>
      <c r="I1901" s="124"/>
    </row>
    <row r="1902">
      <c r="A1902" s="41"/>
      <c r="B1902" s="41"/>
      <c r="C1902" s="117"/>
      <c r="D1902" s="124"/>
      <c r="E1902" s="124"/>
      <c r="F1902" s="124"/>
      <c r="G1902" s="124"/>
      <c r="H1902" s="124"/>
      <c r="I1902" s="124"/>
    </row>
    <row r="1903">
      <c r="A1903" s="41"/>
      <c r="B1903" s="41"/>
      <c r="C1903" s="117"/>
      <c r="D1903" s="124"/>
      <c r="E1903" s="124"/>
      <c r="F1903" s="124"/>
      <c r="G1903" s="124"/>
      <c r="H1903" s="124"/>
      <c r="I1903" s="124"/>
    </row>
    <row r="1904">
      <c r="A1904" s="41"/>
      <c r="B1904" s="41"/>
      <c r="C1904" s="117"/>
      <c r="D1904" s="124"/>
      <c r="E1904" s="124"/>
      <c r="F1904" s="124"/>
      <c r="G1904" s="124"/>
      <c r="H1904" s="124"/>
      <c r="I1904" s="124"/>
    </row>
    <row r="1905">
      <c r="A1905" s="41"/>
      <c r="B1905" s="41"/>
      <c r="C1905" s="117"/>
      <c r="D1905" s="124"/>
      <c r="E1905" s="124"/>
      <c r="F1905" s="124"/>
      <c r="G1905" s="124"/>
      <c r="H1905" s="124"/>
      <c r="I1905" s="124"/>
    </row>
    <row r="1906">
      <c r="A1906" s="41"/>
      <c r="B1906" s="41"/>
      <c r="C1906" s="117"/>
      <c r="D1906" s="124"/>
      <c r="E1906" s="124"/>
      <c r="F1906" s="124"/>
      <c r="G1906" s="124"/>
      <c r="H1906" s="124"/>
      <c r="I1906" s="124"/>
    </row>
    <row r="1907">
      <c r="A1907" s="41"/>
      <c r="B1907" s="41"/>
      <c r="C1907" s="117"/>
      <c r="D1907" s="124"/>
      <c r="E1907" s="124"/>
      <c r="F1907" s="124"/>
      <c r="G1907" s="124"/>
      <c r="H1907" s="124"/>
      <c r="I1907" s="124"/>
    </row>
    <row r="1908">
      <c r="A1908" s="41"/>
      <c r="B1908" s="41"/>
      <c r="C1908" s="117"/>
      <c r="D1908" s="124"/>
      <c r="E1908" s="124"/>
      <c r="F1908" s="124"/>
      <c r="G1908" s="124"/>
      <c r="H1908" s="124"/>
      <c r="I1908" s="124"/>
    </row>
    <row r="1909">
      <c r="A1909" s="41"/>
      <c r="B1909" s="41"/>
      <c r="C1909" s="117"/>
      <c r="D1909" s="124"/>
      <c r="E1909" s="124"/>
      <c r="F1909" s="124"/>
      <c r="G1909" s="124"/>
      <c r="H1909" s="124"/>
      <c r="I1909" s="124"/>
    </row>
    <row r="1910">
      <c r="A1910" s="41"/>
      <c r="B1910" s="41"/>
      <c r="C1910" s="117"/>
      <c r="D1910" s="124"/>
      <c r="E1910" s="124"/>
      <c r="F1910" s="124"/>
      <c r="G1910" s="124"/>
      <c r="H1910" s="124"/>
      <c r="I1910" s="124"/>
    </row>
    <row r="1911">
      <c r="A1911" s="41"/>
      <c r="B1911" s="41"/>
      <c r="C1911" s="117"/>
      <c r="D1911" s="124"/>
      <c r="E1911" s="124"/>
      <c r="F1911" s="124"/>
      <c r="G1911" s="124"/>
      <c r="H1911" s="124"/>
      <c r="I1911" s="124"/>
    </row>
    <row r="1912">
      <c r="A1912" s="41"/>
      <c r="B1912" s="41"/>
      <c r="C1912" s="117"/>
      <c r="D1912" s="124"/>
      <c r="E1912" s="124"/>
      <c r="F1912" s="124"/>
      <c r="G1912" s="124"/>
      <c r="H1912" s="124"/>
      <c r="I1912" s="124"/>
    </row>
    <row r="1913">
      <c r="A1913" s="41"/>
      <c r="B1913" s="41"/>
      <c r="C1913" s="117"/>
      <c r="D1913" s="124"/>
      <c r="E1913" s="124"/>
      <c r="F1913" s="124"/>
      <c r="G1913" s="124"/>
      <c r="H1913" s="124"/>
      <c r="I1913" s="124"/>
    </row>
    <row r="1914">
      <c r="A1914" s="41"/>
      <c r="B1914" s="41"/>
      <c r="C1914" s="117"/>
      <c r="D1914" s="124"/>
      <c r="E1914" s="124"/>
      <c r="F1914" s="124"/>
      <c r="G1914" s="124"/>
      <c r="H1914" s="124"/>
      <c r="I1914" s="124"/>
    </row>
    <row r="1915">
      <c r="A1915" s="41"/>
      <c r="B1915" s="41"/>
      <c r="C1915" s="117"/>
      <c r="D1915" s="124"/>
      <c r="E1915" s="124"/>
      <c r="F1915" s="124"/>
      <c r="G1915" s="124"/>
      <c r="H1915" s="124"/>
      <c r="I1915" s="124"/>
    </row>
    <row r="1916">
      <c r="A1916" s="41"/>
      <c r="B1916" s="41"/>
      <c r="C1916" s="117"/>
      <c r="D1916" s="124"/>
      <c r="E1916" s="124"/>
      <c r="F1916" s="124"/>
      <c r="G1916" s="124"/>
      <c r="H1916" s="124"/>
      <c r="I1916" s="124"/>
    </row>
    <row r="1917">
      <c r="A1917" s="41"/>
      <c r="B1917" s="41"/>
      <c r="C1917" s="117"/>
      <c r="D1917" s="124"/>
      <c r="E1917" s="124"/>
      <c r="F1917" s="124"/>
      <c r="G1917" s="124"/>
      <c r="H1917" s="124"/>
      <c r="I1917" s="124"/>
    </row>
    <row r="1918">
      <c r="A1918" s="41"/>
      <c r="B1918" s="41"/>
      <c r="C1918" s="117"/>
      <c r="D1918" s="124"/>
      <c r="E1918" s="124"/>
      <c r="F1918" s="124"/>
      <c r="G1918" s="124"/>
      <c r="H1918" s="124"/>
      <c r="I1918" s="124"/>
    </row>
    <row r="1919">
      <c r="A1919" s="41"/>
      <c r="B1919" s="41"/>
      <c r="C1919" s="117"/>
      <c r="D1919" s="124"/>
      <c r="E1919" s="124"/>
      <c r="F1919" s="124"/>
      <c r="G1919" s="124"/>
      <c r="H1919" s="124"/>
      <c r="I1919" s="124"/>
    </row>
    <row r="1920">
      <c r="A1920" s="41"/>
      <c r="B1920" s="41"/>
      <c r="C1920" s="117"/>
      <c r="D1920" s="124"/>
      <c r="E1920" s="124"/>
      <c r="F1920" s="124"/>
      <c r="G1920" s="124"/>
      <c r="H1920" s="124"/>
      <c r="I1920" s="124"/>
    </row>
    <row r="1921">
      <c r="A1921" s="41"/>
      <c r="B1921" s="41"/>
      <c r="C1921" s="117"/>
      <c r="D1921" s="124"/>
      <c r="E1921" s="124"/>
      <c r="F1921" s="124"/>
      <c r="G1921" s="124"/>
      <c r="H1921" s="124"/>
      <c r="I1921" s="124"/>
    </row>
    <row r="1922">
      <c r="A1922" s="41"/>
      <c r="B1922" s="41"/>
      <c r="C1922" s="117"/>
      <c r="D1922" s="124"/>
      <c r="E1922" s="124"/>
      <c r="F1922" s="124"/>
      <c r="G1922" s="124"/>
      <c r="H1922" s="124"/>
      <c r="I1922" s="124"/>
    </row>
    <row r="1923">
      <c r="A1923" s="41"/>
      <c r="B1923" s="41"/>
      <c r="C1923" s="117"/>
      <c r="D1923" s="124"/>
      <c r="E1923" s="124"/>
      <c r="F1923" s="124"/>
      <c r="G1923" s="124"/>
      <c r="H1923" s="124"/>
      <c r="I1923" s="124"/>
    </row>
    <row r="1924">
      <c r="A1924" s="41"/>
      <c r="B1924" s="41"/>
      <c r="C1924" s="117"/>
      <c r="D1924" s="124"/>
      <c r="E1924" s="124"/>
      <c r="F1924" s="124"/>
      <c r="G1924" s="124"/>
      <c r="H1924" s="124"/>
      <c r="I1924" s="124"/>
    </row>
    <row r="1925">
      <c r="A1925" s="41"/>
      <c r="B1925" s="41"/>
      <c r="C1925" s="117"/>
      <c r="D1925" s="124"/>
      <c r="E1925" s="124"/>
      <c r="F1925" s="124"/>
      <c r="G1925" s="124"/>
      <c r="H1925" s="124"/>
      <c r="I1925" s="124"/>
    </row>
    <row r="1926">
      <c r="A1926" s="41"/>
      <c r="B1926" s="41"/>
      <c r="C1926" s="117"/>
      <c r="D1926" s="124"/>
      <c r="E1926" s="124"/>
      <c r="F1926" s="124"/>
      <c r="G1926" s="124"/>
      <c r="H1926" s="124"/>
      <c r="I1926" s="124"/>
    </row>
    <row r="1927">
      <c r="A1927" s="41"/>
      <c r="B1927" s="41"/>
      <c r="C1927" s="117"/>
      <c r="D1927" s="124"/>
      <c r="E1927" s="124"/>
      <c r="F1927" s="124"/>
      <c r="G1927" s="124"/>
      <c r="H1927" s="124"/>
      <c r="I1927" s="124"/>
    </row>
    <row r="1928">
      <c r="A1928" s="41"/>
      <c r="B1928" s="41"/>
      <c r="C1928" s="117"/>
      <c r="D1928" s="124"/>
      <c r="E1928" s="124"/>
      <c r="F1928" s="124"/>
      <c r="G1928" s="124"/>
      <c r="H1928" s="124"/>
      <c r="I1928" s="124"/>
    </row>
    <row r="1929">
      <c r="A1929" s="41"/>
      <c r="B1929" s="41"/>
      <c r="C1929" s="117"/>
      <c r="D1929" s="124"/>
      <c r="E1929" s="124"/>
      <c r="F1929" s="124"/>
      <c r="G1929" s="124"/>
      <c r="H1929" s="124"/>
      <c r="I1929" s="124"/>
    </row>
    <row r="1930">
      <c r="A1930" s="41"/>
      <c r="B1930" s="41"/>
      <c r="C1930" s="117"/>
      <c r="D1930" s="124"/>
      <c r="E1930" s="124"/>
      <c r="F1930" s="124"/>
      <c r="G1930" s="124"/>
      <c r="H1930" s="124"/>
      <c r="I1930" s="124"/>
    </row>
    <row r="1931">
      <c r="A1931" s="41"/>
      <c r="B1931" s="41"/>
      <c r="C1931" s="117"/>
      <c r="D1931" s="124"/>
      <c r="E1931" s="124"/>
      <c r="F1931" s="124"/>
      <c r="G1931" s="124"/>
      <c r="H1931" s="124"/>
      <c r="I1931" s="124"/>
    </row>
    <row r="1932">
      <c r="A1932" s="41"/>
      <c r="B1932" s="41"/>
      <c r="C1932" s="117"/>
      <c r="D1932" s="124"/>
      <c r="E1932" s="124"/>
      <c r="F1932" s="124"/>
      <c r="G1932" s="124"/>
      <c r="H1932" s="124"/>
      <c r="I1932" s="124"/>
    </row>
    <row r="1933">
      <c r="A1933" s="41"/>
      <c r="B1933" s="41"/>
      <c r="C1933" s="117"/>
      <c r="D1933" s="124"/>
      <c r="E1933" s="124"/>
      <c r="F1933" s="124"/>
      <c r="G1933" s="124"/>
      <c r="H1933" s="124"/>
      <c r="I1933" s="124"/>
    </row>
    <row r="1934">
      <c r="A1934" s="41"/>
      <c r="B1934" s="41"/>
      <c r="C1934" s="117"/>
      <c r="D1934" s="124"/>
      <c r="E1934" s="124"/>
      <c r="F1934" s="124"/>
      <c r="G1934" s="124"/>
      <c r="H1934" s="124"/>
      <c r="I1934" s="124"/>
    </row>
    <row r="1935">
      <c r="A1935" s="41"/>
      <c r="B1935" s="41"/>
      <c r="C1935" s="117"/>
      <c r="D1935" s="124"/>
      <c r="E1935" s="124"/>
      <c r="F1935" s="124"/>
      <c r="G1935" s="124"/>
      <c r="H1935" s="124"/>
      <c r="I1935" s="124"/>
    </row>
    <row r="1936">
      <c r="A1936" s="41"/>
      <c r="B1936" s="41"/>
      <c r="C1936" s="117"/>
      <c r="D1936" s="124"/>
      <c r="E1936" s="124"/>
      <c r="F1936" s="124"/>
      <c r="G1936" s="124"/>
      <c r="H1936" s="124"/>
      <c r="I1936" s="124"/>
    </row>
    <row r="1937">
      <c r="A1937" s="41"/>
      <c r="B1937" s="41"/>
      <c r="C1937" s="117"/>
      <c r="D1937" s="124"/>
      <c r="E1937" s="124"/>
      <c r="F1937" s="124"/>
      <c r="G1937" s="124"/>
      <c r="H1937" s="124"/>
      <c r="I1937" s="124"/>
    </row>
    <row r="1938">
      <c r="A1938" s="41"/>
      <c r="B1938" s="41"/>
      <c r="C1938" s="117"/>
      <c r="D1938" s="124"/>
      <c r="E1938" s="124"/>
      <c r="F1938" s="124"/>
      <c r="G1938" s="124"/>
      <c r="H1938" s="124"/>
      <c r="I1938" s="124"/>
    </row>
    <row r="1939">
      <c r="A1939" s="41"/>
      <c r="B1939" s="41"/>
      <c r="C1939" s="117"/>
      <c r="D1939" s="124"/>
      <c r="E1939" s="124"/>
      <c r="F1939" s="124"/>
      <c r="G1939" s="124"/>
      <c r="H1939" s="124"/>
      <c r="I1939" s="124"/>
    </row>
    <row r="1940">
      <c r="A1940" s="41"/>
      <c r="B1940" s="41"/>
      <c r="C1940" s="117"/>
      <c r="D1940" s="124"/>
      <c r="E1940" s="124"/>
      <c r="F1940" s="124"/>
      <c r="G1940" s="124"/>
      <c r="H1940" s="124"/>
      <c r="I1940" s="124"/>
    </row>
    <row r="1941">
      <c r="A1941" s="41"/>
      <c r="B1941" s="41"/>
      <c r="C1941" s="117"/>
      <c r="D1941" s="124"/>
      <c r="E1941" s="124"/>
      <c r="F1941" s="124"/>
      <c r="G1941" s="124"/>
      <c r="H1941" s="124"/>
      <c r="I1941" s="124"/>
    </row>
    <row r="1942">
      <c r="A1942" s="41"/>
      <c r="B1942" s="41"/>
      <c r="C1942" s="117"/>
      <c r="D1942" s="124"/>
      <c r="E1942" s="124"/>
      <c r="F1942" s="124"/>
      <c r="G1942" s="124"/>
      <c r="H1942" s="124"/>
      <c r="I1942" s="124"/>
    </row>
    <row r="1943">
      <c r="A1943" s="41"/>
      <c r="B1943" s="41"/>
      <c r="C1943" s="117"/>
      <c r="D1943" s="124"/>
      <c r="E1943" s="124"/>
      <c r="F1943" s="124"/>
      <c r="G1943" s="124"/>
      <c r="H1943" s="124"/>
      <c r="I1943" s="124"/>
    </row>
    <row r="1944">
      <c r="A1944" s="41"/>
      <c r="B1944" s="41"/>
      <c r="C1944" s="117"/>
      <c r="D1944" s="124"/>
      <c r="E1944" s="124"/>
      <c r="F1944" s="124"/>
      <c r="G1944" s="124"/>
      <c r="H1944" s="124"/>
      <c r="I1944" s="124"/>
    </row>
    <row r="1945">
      <c r="A1945" s="41"/>
      <c r="B1945" s="41"/>
      <c r="C1945" s="117"/>
      <c r="D1945" s="124"/>
      <c r="E1945" s="124"/>
      <c r="F1945" s="124"/>
      <c r="G1945" s="124"/>
      <c r="H1945" s="124"/>
      <c r="I1945" s="124"/>
    </row>
    <row r="1946">
      <c r="A1946" s="41"/>
      <c r="B1946" s="41"/>
      <c r="C1946" s="117"/>
      <c r="D1946" s="124"/>
      <c r="E1946" s="124"/>
      <c r="F1946" s="124"/>
      <c r="G1946" s="124"/>
      <c r="H1946" s="124"/>
      <c r="I1946" s="124"/>
    </row>
    <row r="1947">
      <c r="A1947" s="41"/>
      <c r="B1947" s="41"/>
      <c r="C1947" s="117"/>
      <c r="D1947" s="124"/>
      <c r="E1947" s="124"/>
      <c r="F1947" s="124"/>
      <c r="G1947" s="124"/>
      <c r="H1947" s="124"/>
      <c r="I1947" s="124"/>
    </row>
    <row r="1948">
      <c r="A1948" s="41"/>
      <c r="B1948" s="41"/>
      <c r="C1948" s="117"/>
      <c r="D1948" s="124"/>
      <c r="E1948" s="124"/>
      <c r="F1948" s="124"/>
      <c r="G1948" s="124"/>
      <c r="H1948" s="124"/>
      <c r="I1948" s="124"/>
    </row>
    <row r="1949">
      <c r="A1949" s="41"/>
      <c r="B1949" s="41"/>
      <c r="C1949" s="117"/>
      <c r="D1949" s="124"/>
      <c r="E1949" s="124"/>
      <c r="F1949" s="124"/>
      <c r="G1949" s="124"/>
      <c r="H1949" s="124"/>
      <c r="I1949" s="124"/>
    </row>
    <row r="1950">
      <c r="A1950" s="41"/>
      <c r="B1950" s="41"/>
      <c r="C1950" s="117"/>
      <c r="D1950" s="124"/>
      <c r="E1950" s="124"/>
      <c r="F1950" s="124"/>
      <c r="G1950" s="124"/>
      <c r="H1950" s="124"/>
      <c r="I1950" s="124"/>
    </row>
    <row r="1951">
      <c r="A1951" s="41"/>
      <c r="B1951" s="41"/>
      <c r="C1951" s="117"/>
      <c r="D1951" s="124"/>
      <c r="E1951" s="124"/>
      <c r="F1951" s="124"/>
      <c r="G1951" s="124"/>
      <c r="H1951" s="124"/>
      <c r="I1951" s="124"/>
    </row>
    <row r="1952">
      <c r="A1952" s="41"/>
      <c r="B1952" s="41"/>
      <c r="C1952" s="117"/>
      <c r="D1952" s="124"/>
      <c r="E1952" s="124"/>
      <c r="F1952" s="124"/>
      <c r="G1952" s="124"/>
      <c r="H1952" s="124"/>
      <c r="I1952" s="124"/>
    </row>
    <row r="1953">
      <c r="A1953" s="41"/>
      <c r="B1953" s="41"/>
      <c r="C1953" s="117"/>
      <c r="D1953" s="124"/>
      <c r="E1953" s="124"/>
      <c r="F1953" s="124"/>
      <c r="G1953" s="124"/>
      <c r="H1953" s="124"/>
      <c r="I1953" s="124"/>
    </row>
    <row r="1954">
      <c r="A1954" s="41"/>
      <c r="B1954" s="41"/>
      <c r="C1954" s="117"/>
      <c r="D1954" s="124"/>
      <c r="E1954" s="124"/>
      <c r="F1954" s="124"/>
      <c r="G1954" s="124"/>
      <c r="H1954" s="124"/>
      <c r="I1954" s="124"/>
    </row>
    <row r="1955">
      <c r="A1955" s="41"/>
      <c r="B1955" s="41"/>
      <c r="C1955" s="117"/>
      <c r="D1955" s="124"/>
      <c r="E1955" s="124"/>
      <c r="F1955" s="124"/>
      <c r="G1955" s="124"/>
      <c r="H1955" s="124"/>
      <c r="I1955" s="124"/>
    </row>
    <row r="1956">
      <c r="A1956" s="41"/>
      <c r="B1956" s="41"/>
      <c r="C1956" s="117"/>
      <c r="D1956" s="124"/>
      <c r="E1956" s="124"/>
      <c r="F1956" s="124"/>
      <c r="G1956" s="124"/>
      <c r="H1956" s="124"/>
      <c r="I1956" s="124"/>
    </row>
    <row r="1957">
      <c r="A1957" s="41"/>
      <c r="B1957" s="41"/>
      <c r="C1957" s="117"/>
      <c r="D1957" s="124"/>
      <c r="E1957" s="124"/>
      <c r="F1957" s="124"/>
      <c r="G1957" s="124"/>
      <c r="H1957" s="124"/>
      <c r="I1957" s="124"/>
    </row>
    <row r="1958">
      <c r="A1958" s="41"/>
      <c r="B1958" s="41"/>
      <c r="C1958" s="117"/>
      <c r="D1958" s="124"/>
      <c r="E1958" s="124"/>
      <c r="F1958" s="124"/>
      <c r="G1958" s="124"/>
      <c r="H1958" s="124"/>
      <c r="I1958" s="124"/>
    </row>
    <row r="1959">
      <c r="A1959" s="41"/>
      <c r="B1959" s="41"/>
      <c r="C1959" s="117"/>
      <c r="D1959" s="124"/>
      <c r="E1959" s="124"/>
      <c r="F1959" s="124"/>
      <c r="G1959" s="124"/>
      <c r="H1959" s="124"/>
      <c r="I1959" s="124"/>
    </row>
    <row r="1960">
      <c r="A1960" s="41"/>
      <c r="B1960" s="41"/>
      <c r="C1960" s="117"/>
      <c r="D1960" s="124"/>
      <c r="E1960" s="124"/>
      <c r="F1960" s="124"/>
      <c r="G1960" s="124"/>
      <c r="H1960" s="124"/>
      <c r="I1960" s="124"/>
    </row>
    <row r="1961">
      <c r="A1961" s="41"/>
      <c r="B1961" s="41"/>
      <c r="C1961" s="117"/>
      <c r="D1961" s="124"/>
      <c r="E1961" s="124"/>
      <c r="F1961" s="124"/>
      <c r="G1961" s="124"/>
      <c r="H1961" s="124"/>
      <c r="I1961" s="124"/>
    </row>
    <row r="1962">
      <c r="A1962" s="41"/>
      <c r="B1962" s="41"/>
      <c r="C1962" s="117"/>
      <c r="D1962" s="124"/>
      <c r="E1962" s="124"/>
      <c r="F1962" s="124"/>
      <c r="G1962" s="124"/>
      <c r="H1962" s="124"/>
      <c r="I1962" s="124"/>
    </row>
    <row r="1963">
      <c r="A1963" s="41"/>
      <c r="B1963" s="41"/>
      <c r="C1963" s="117"/>
      <c r="D1963" s="124"/>
      <c r="E1963" s="124"/>
      <c r="F1963" s="124"/>
      <c r="G1963" s="124"/>
      <c r="H1963" s="124"/>
      <c r="I1963" s="124"/>
    </row>
    <row r="1964">
      <c r="A1964" s="41"/>
      <c r="B1964" s="41"/>
      <c r="C1964" s="117"/>
      <c r="D1964" s="124"/>
      <c r="E1964" s="124"/>
      <c r="F1964" s="124"/>
      <c r="G1964" s="124"/>
      <c r="H1964" s="124"/>
      <c r="I1964" s="124"/>
    </row>
    <row r="1965">
      <c r="A1965" s="41"/>
      <c r="B1965" s="41"/>
      <c r="C1965" s="117"/>
      <c r="D1965" s="124"/>
      <c r="E1965" s="124"/>
      <c r="F1965" s="124"/>
      <c r="G1965" s="124"/>
      <c r="H1965" s="124"/>
      <c r="I1965" s="124"/>
    </row>
    <row r="1966">
      <c r="A1966" s="41"/>
      <c r="B1966" s="41"/>
      <c r="C1966" s="117"/>
      <c r="D1966" s="124"/>
      <c r="E1966" s="124"/>
      <c r="F1966" s="124"/>
      <c r="G1966" s="124"/>
      <c r="H1966" s="124"/>
      <c r="I1966" s="124"/>
    </row>
    <row r="1967">
      <c r="A1967" s="41"/>
      <c r="B1967" s="41"/>
      <c r="C1967" s="117"/>
      <c r="D1967" s="124"/>
      <c r="E1967" s="124"/>
      <c r="F1967" s="124"/>
      <c r="G1967" s="124"/>
      <c r="H1967" s="124"/>
      <c r="I1967" s="124"/>
    </row>
    <row r="1968">
      <c r="A1968" s="41"/>
      <c r="B1968" s="41"/>
      <c r="C1968" s="117"/>
      <c r="D1968" s="124"/>
      <c r="E1968" s="124"/>
      <c r="F1968" s="124"/>
      <c r="G1968" s="124"/>
      <c r="H1968" s="124"/>
      <c r="I1968" s="124"/>
    </row>
    <row r="1969">
      <c r="A1969" s="41"/>
      <c r="B1969" s="41"/>
      <c r="C1969" s="117"/>
      <c r="D1969" s="124"/>
      <c r="E1969" s="124"/>
      <c r="F1969" s="124"/>
      <c r="G1969" s="124"/>
      <c r="H1969" s="124"/>
      <c r="I1969" s="124"/>
    </row>
    <row r="1970">
      <c r="A1970" s="41"/>
      <c r="B1970" s="41"/>
      <c r="C1970" s="117"/>
      <c r="D1970" s="124"/>
      <c r="E1970" s="124"/>
      <c r="F1970" s="124"/>
      <c r="G1970" s="124"/>
      <c r="H1970" s="124"/>
      <c r="I1970" s="124"/>
    </row>
    <row r="1971">
      <c r="A1971" s="41"/>
      <c r="B1971" s="41"/>
      <c r="C1971" s="117"/>
      <c r="D1971" s="124"/>
      <c r="E1971" s="124"/>
      <c r="F1971" s="124"/>
      <c r="G1971" s="124"/>
      <c r="H1971" s="124"/>
      <c r="I1971" s="124"/>
    </row>
    <row r="1972">
      <c r="A1972" s="41"/>
      <c r="B1972" s="41"/>
      <c r="C1972" s="117"/>
      <c r="D1972" s="124"/>
      <c r="E1972" s="124"/>
      <c r="F1972" s="124"/>
      <c r="G1972" s="124"/>
      <c r="H1972" s="124"/>
      <c r="I1972" s="124"/>
    </row>
    <row r="1973">
      <c r="A1973" s="41"/>
      <c r="B1973" s="41"/>
      <c r="C1973" s="117"/>
      <c r="D1973" s="124"/>
      <c r="E1973" s="124"/>
      <c r="F1973" s="124"/>
      <c r="G1973" s="124"/>
      <c r="H1973" s="124"/>
      <c r="I1973" s="124"/>
    </row>
    <row r="1974">
      <c r="A1974" s="41"/>
      <c r="B1974" s="41"/>
      <c r="C1974" s="117"/>
      <c r="D1974" s="124"/>
      <c r="E1974" s="124"/>
      <c r="F1974" s="124"/>
      <c r="G1974" s="124"/>
      <c r="H1974" s="124"/>
      <c r="I1974" s="124"/>
    </row>
    <row r="1975">
      <c r="A1975" s="41"/>
      <c r="B1975" s="41"/>
      <c r="C1975" s="117"/>
      <c r="D1975" s="124"/>
      <c r="E1975" s="124"/>
      <c r="F1975" s="124"/>
      <c r="G1975" s="124"/>
      <c r="H1975" s="124"/>
      <c r="I1975" s="124"/>
    </row>
    <row r="1976">
      <c r="A1976" s="41"/>
      <c r="B1976" s="41"/>
      <c r="C1976" s="117"/>
      <c r="D1976" s="124"/>
      <c r="E1976" s="124"/>
      <c r="F1976" s="124"/>
      <c r="G1976" s="124"/>
      <c r="H1976" s="124"/>
      <c r="I1976" s="124"/>
    </row>
    <row r="1977">
      <c r="A1977" s="41"/>
      <c r="B1977" s="41"/>
      <c r="C1977" s="117"/>
      <c r="D1977" s="124"/>
      <c r="E1977" s="124"/>
      <c r="F1977" s="124"/>
      <c r="G1977" s="124"/>
      <c r="H1977" s="124"/>
      <c r="I1977" s="124"/>
    </row>
    <row r="1978">
      <c r="A1978" s="41"/>
      <c r="B1978" s="41"/>
      <c r="C1978" s="117"/>
      <c r="D1978" s="124"/>
      <c r="E1978" s="124"/>
      <c r="F1978" s="124"/>
      <c r="G1978" s="124"/>
      <c r="H1978" s="124"/>
      <c r="I1978" s="124"/>
    </row>
    <row r="1979">
      <c r="A1979" s="41"/>
      <c r="B1979" s="41"/>
      <c r="C1979" s="117"/>
      <c r="D1979" s="124"/>
      <c r="E1979" s="124"/>
      <c r="F1979" s="124"/>
      <c r="G1979" s="124"/>
      <c r="H1979" s="124"/>
      <c r="I1979" s="124"/>
    </row>
    <row r="1980">
      <c r="A1980" s="41"/>
      <c r="B1980" s="41"/>
      <c r="C1980" s="117"/>
      <c r="D1980" s="124"/>
      <c r="E1980" s="124"/>
      <c r="F1980" s="124"/>
      <c r="G1980" s="124"/>
      <c r="H1980" s="124"/>
      <c r="I1980" s="124"/>
    </row>
    <row r="1981">
      <c r="A1981" s="41"/>
      <c r="B1981" s="41"/>
      <c r="C1981" s="117"/>
      <c r="D1981" s="124"/>
      <c r="E1981" s="124"/>
      <c r="F1981" s="124"/>
      <c r="G1981" s="124"/>
      <c r="H1981" s="124"/>
      <c r="I1981" s="124"/>
    </row>
    <row r="1982">
      <c r="A1982" s="41"/>
      <c r="B1982" s="41"/>
      <c r="C1982" s="117"/>
      <c r="D1982" s="124"/>
      <c r="E1982" s="124"/>
      <c r="F1982" s="124"/>
      <c r="G1982" s="124"/>
      <c r="H1982" s="124"/>
      <c r="I1982" s="124"/>
    </row>
    <row r="1983">
      <c r="A1983" s="41"/>
      <c r="B1983" s="41"/>
      <c r="C1983" s="117"/>
      <c r="D1983" s="124"/>
      <c r="E1983" s="124"/>
      <c r="F1983" s="124"/>
      <c r="G1983" s="124"/>
      <c r="H1983" s="124"/>
      <c r="I1983" s="124"/>
    </row>
    <row r="1984">
      <c r="A1984" s="41"/>
      <c r="B1984" s="41"/>
      <c r="C1984" s="117"/>
      <c r="D1984" s="124"/>
      <c r="E1984" s="124"/>
      <c r="F1984" s="124"/>
      <c r="G1984" s="124"/>
      <c r="H1984" s="124"/>
      <c r="I1984" s="124"/>
    </row>
    <row r="1985">
      <c r="A1985" s="41"/>
      <c r="B1985" s="41"/>
      <c r="C1985" s="117"/>
      <c r="D1985" s="124"/>
      <c r="E1985" s="124"/>
      <c r="F1985" s="124"/>
      <c r="G1985" s="124"/>
      <c r="H1985" s="124"/>
      <c r="I1985" s="124"/>
    </row>
    <row r="1986">
      <c r="A1986" s="41"/>
      <c r="B1986" s="41"/>
      <c r="C1986" s="117"/>
      <c r="D1986" s="124"/>
      <c r="E1986" s="124"/>
      <c r="F1986" s="124"/>
      <c r="G1986" s="124"/>
      <c r="H1986" s="124"/>
      <c r="I1986" s="124"/>
    </row>
    <row r="1987">
      <c r="A1987" s="41"/>
      <c r="B1987" s="41"/>
      <c r="C1987" s="117"/>
      <c r="D1987" s="124"/>
      <c r="E1987" s="124"/>
      <c r="F1987" s="124"/>
      <c r="G1987" s="124"/>
      <c r="H1987" s="124"/>
      <c r="I1987" s="124"/>
    </row>
    <row r="1988">
      <c r="A1988" s="41"/>
      <c r="B1988" s="41"/>
      <c r="C1988" s="117"/>
      <c r="D1988" s="124"/>
      <c r="E1988" s="124"/>
      <c r="F1988" s="124"/>
      <c r="G1988" s="124"/>
      <c r="H1988" s="124"/>
      <c r="I1988" s="124"/>
    </row>
    <row r="1989">
      <c r="A1989" s="41"/>
      <c r="B1989" s="41"/>
      <c r="C1989" s="117"/>
      <c r="D1989" s="124"/>
      <c r="E1989" s="124"/>
      <c r="F1989" s="124"/>
      <c r="G1989" s="124"/>
      <c r="H1989" s="124"/>
      <c r="I1989" s="124"/>
    </row>
    <row r="1990">
      <c r="A1990" s="41"/>
      <c r="B1990" s="41"/>
      <c r="C1990" s="117"/>
      <c r="D1990" s="124"/>
      <c r="E1990" s="124"/>
      <c r="F1990" s="124"/>
      <c r="G1990" s="124"/>
      <c r="H1990" s="124"/>
      <c r="I1990" s="124"/>
    </row>
    <row r="1991">
      <c r="A1991" s="41"/>
      <c r="B1991" s="41"/>
      <c r="C1991" s="117"/>
      <c r="D1991" s="124"/>
      <c r="E1991" s="124"/>
      <c r="F1991" s="124"/>
      <c r="G1991" s="124"/>
      <c r="H1991" s="124"/>
      <c r="I1991" s="124"/>
    </row>
    <row r="1992">
      <c r="A1992" s="41"/>
      <c r="B1992" s="41"/>
      <c r="C1992" s="117"/>
      <c r="D1992" s="124"/>
      <c r="E1992" s="124"/>
      <c r="F1992" s="124"/>
      <c r="G1992" s="124"/>
      <c r="H1992" s="124"/>
      <c r="I1992" s="124"/>
    </row>
    <row r="1993">
      <c r="A1993" s="41"/>
      <c r="B1993" s="41"/>
      <c r="C1993" s="117"/>
      <c r="D1993" s="124"/>
      <c r="E1993" s="124"/>
      <c r="F1993" s="124"/>
      <c r="G1993" s="124"/>
      <c r="H1993" s="124"/>
      <c r="I1993" s="124"/>
    </row>
    <row r="1994">
      <c r="A1994" s="41"/>
      <c r="B1994" s="41"/>
      <c r="C1994" s="117"/>
      <c r="D1994" s="124"/>
      <c r="E1994" s="124"/>
      <c r="F1994" s="124"/>
      <c r="G1994" s="124"/>
      <c r="H1994" s="124"/>
      <c r="I1994" s="124"/>
    </row>
    <row r="1995">
      <c r="A1995" s="41"/>
      <c r="B1995" s="41"/>
      <c r="C1995" s="117"/>
      <c r="D1995" s="124"/>
      <c r="E1995" s="124"/>
      <c r="F1995" s="124"/>
      <c r="G1995" s="124"/>
      <c r="H1995" s="124"/>
      <c r="I1995" s="124"/>
    </row>
    <row r="1996">
      <c r="A1996" s="41"/>
      <c r="B1996" s="41"/>
      <c r="C1996" s="117"/>
      <c r="D1996" s="124"/>
      <c r="E1996" s="124"/>
      <c r="F1996" s="124"/>
      <c r="G1996" s="124"/>
      <c r="H1996" s="124"/>
      <c r="I1996" s="124"/>
    </row>
    <row r="1997">
      <c r="A1997" s="41"/>
      <c r="B1997" s="41"/>
      <c r="C1997" s="117"/>
      <c r="D1997" s="124"/>
      <c r="E1997" s="124"/>
      <c r="F1997" s="124"/>
      <c r="G1997" s="124"/>
      <c r="H1997" s="124"/>
      <c r="I1997" s="124"/>
    </row>
    <row r="1998">
      <c r="A1998" s="41"/>
      <c r="B1998" s="41"/>
      <c r="C1998" s="117"/>
      <c r="D1998" s="124"/>
      <c r="E1998" s="124"/>
      <c r="F1998" s="124"/>
      <c r="G1998" s="124"/>
      <c r="H1998" s="124"/>
      <c r="I1998" s="124"/>
    </row>
    <row r="1999">
      <c r="A1999" s="41"/>
      <c r="B1999" s="41"/>
      <c r="C1999" s="117"/>
      <c r="D1999" s="124"/>
      <c r="E1999" s="124"/>
      <c r="F1999" s="124"/>
      <c r="G1999" s="124"/>
      <c r="H1999" s="124"/>
      <c r="I1999" s="124"/>
    </row>
    <row r="2000">
      <c r="A2000" s="41"/>
      <c r="B2000" s="41"/>
      <c r="C2000" s="117"/>
      <c r="D2000" s="124"/>
      <c r="E2000" s="124"/>
      <c r="F2000" s="124"/>
      <c r="G2000" s="124"/>
      <c r="H2000" s="124"/>
      <c r="I2000" s="124"/>
    </row>
    <row r="2001">
      <c r="A2001" s="41"/>
      <c r="B2001" s="41"/>
      <c r="C2001" s="117"/>
      <c r="D2001" s="124"/>
      <c r="E2001" s="124"/>
      <c r="F2001" s="124"/>
      <c r="G2001" s="124"/>
      <c r="H2001" s="124"/>
      <c r="I2001" s="124"/>
    </row>
    <row r="2002">
      <c r="A2002" s="41"/>
      <c r="B2002" s="41"/>
      <c r="C2002" s="117"/>
      <c r="D2002" s="124"/>
      <c r="E2002" s="124"/>
      <c r="F2002" s="124"/>
      <c r="G2002" s="124"/>
      <c r="H2002" s="124"/>
      <c r="I2002" s="124"/>
    </row>
    <row r="2003">
      <c r="A2003" s="41"/>
      <c r="B2003" s="41"/>
      <c r="C2003" s="117"/>
      <c r="D2003" s="124"/>
      <c r="E2003" s="124"/>
      <c r="F2003" s="124"/>
      <c r="G2003" s="124"/>
      <c r="H2003" s="124"/>
      <c r="I2003" s="124"/>
    </row>
    <row r="2004">
      <c r="A2004" s="41"/>
      <c r="B2004" s="41"/>
      <c r="C2004" s="117"/>
      <c r="D2004" s="124"/>
      <c r="E2004" s="124"/>
      <c r="F2004" s="124"/>
      <c r="G2004" s="124"/>
      <c r="H2004" s="124"/>
      <c r="I2004" s="124"/>
    </row>
    <row r="2005">
      <c r="A2005" s="41"/>
      <c r="B2005" s="41"/>
      <c r="C2005" s="117"/>
      <c r="D2005" s="124"/>
      <c r="E2005" s="124"/>
      <c r="F2005" s="124"/>
      <c r="G2005" s="124"/>
      <c r="H2005" s="124"/>
      <c r="I2005" s="124"/>
    </row>
    <row r="2006">
      <c r="A2006" s="41"/>
      <c r="B2006" s="41"/>
      <c r="C2006" s="117"/>
      <c r="D2006" s="124"/>
      <c r="E2006" s="124"/>
      <c r="F2006" s="124"/>
      <c r="G2006" s="124"/>
      <c r="H2006" s="124"/>
      <c r="I2006" s="124"/>
    </row>
    <row r="2007">
      <c r="A2007" s="41"/>
      <c r="B2007" s="41"/>
      <c r="C2007" s="117"/>
      <c r="D2007" s="124"/>
      <c r="E2007" s="124"/>
      <c r="F2007" s="124"/>
      <c r="G2007" s="124"/>
      <c r="H2007" s="124"/>
      <c r="I2007" s="124"/>
    </row>
    <row r="2008">
      <c r="A2008" s="41"/>
      <c r="B2008" s="41"/>
      <c r="C2008" s="117"/>
      <c r="D2008" s="124"/>
      <c r="E2008" s="124"/>
      <c r="F2008" s="124"/>
      <c r="G2008" s="124"/>
      <c r="H2008" s="124"/>
      <c r="I2008" s="124"/>
    </row>
    <row r="2009">
      <c r="A2009" s="41"/>
      <c r="B2009" s="41"/>
      <c r="C2009" s="117"/>
      <c r="D2009" s="124"/>
      <c r="E2009" s="124"/>
      <c r="F2009" s="124"/>
      <c r="G2009" s="124"/>
      <c r="H2009" s="124"/>
      <c r="I2009" s="124"/>
    </row>
    <row r="2010">
      <c r="A2010" s="41"/>
      <c r="B2010" s="41"/>
      <c r="C2010" s="117"/>
      <c r="D2010" s="124"/>
      <c r="E2010" s="124"/>
      <c r="F2010" s="124"/>
      <c r="G2010" s="124"/>
      <c r="H2010" s="124"/>
      <c r="I2010" s="124"/>
    </row>
    <row r="2011">
      <c r="A2011" s="41"/>
      <c r="B2011" s="41"/>
      <c r="C2011" s="117"/>
      <c r="D2011" s="124"/>
      <c r="E2011" s="124"/>
      <c r="F2011" s="124"/>
      <c r="G2011" s="124"/>
      <c r="H2011" s="124"/>
      <c r="I2011" s="124"/>
    </row>
    <row r="2012">
      <c r="A2012" s="41"/>
      <c r="B2012" s="41"/>
      <c r="C2012" s="117"/>
      <c r="D2012" s="124"/>
      <c r="E2012" s="124"/>
      <c r="F2012" s="124"/>
      <c r="G2012" s="124"/>
      <c r="H2012" s="124"/>
      <c r="I2012" s="124"/>
    </row>
    <row r="2013">
      <c r="A2013" s="41"/>
      <c r="B2013" s="41"/>
      <c r="C2013" s="117"/>
      <c r="D2013" s="124"/>
      <c r="E2013" s="124"/>
      <c r="F2013" s="124"/>
      <c r="G2013" s="124"/>
      <c r="H2013" s="124"/>
      <c r="I2013" s="124"/>
    </row>
    <row r="2014">
      <c r="A2014" s="41"/>
      <c r="B2014" s="41"/>
      <c r="C2014" s="117"/>
      <c r="D2014" s="124"/>
      <c r="E2014" s="124"/>
      <c r="F2014" s="124"/>
      <c r="G2014" s="124"/>
      <c r="H2014" s="124"/>
      <c r="I2014" s="124"/>
    </row>
    <row r="2015">
      <c r="A2015" s="41"/>
      <c r="B2015" s="41"/>
      <c r="C2015" s="117"/>
      <c r="D2015" s="124"/>
      <c r="E2015" s="124"/>
      <c r="F2015" s="124"/>
      <c r="G2015" s="124"/>
      <c r="H2015" s="124"/>
      <c r="I2015" s="124"/>
    </row>
    <row r="2016">
      <c r="A2016" s="41"/>
      <c r="B2016" s="41"/>
      <c r="C2016" s="117"/>
      <c r="D2016" s="124"/>
      <c r="E2016" s="124"/>
      <c r="F2016" s="124"/>
      <c r="G2016" s="124"/>
      <c r="H2016" s="124"/>
      <c r="I2016" s="124"/>
    </row>
    <row r="2017">
      <c r="A2017" s="41"/>
      <c r="B2017" s="41"/>
      <c r="C2017" s="117"/>
      <c r="D2017" s="124"/>
      <c r="E2017" s="124"/>
      <c r="F2017" s="124"/>
      <c r="G2017" s="124"/>
      <c r="H2017" s="124"/>
      <c r="I2017" s="124"/>
    </row>
    <row r="2018">
      <c r="A2018" s="41"/>
      <c r="B2018" s="41"/>
      <c r="C2018" s="117"/>
      <c r="D2018" s="124"/>
      <c r="E2018" s="124"/>
      <c r="F2018" s="124"/>
      <c r="G2018" s="124"/>
      <c r="H2018" s="124"/>
      <c r="I2018" s="124"/>
    </row>
    <row r="2019">
      <c r="A2019" s="41"/>
      <c r="B2019" s="41"/>
      <c r="C2019" s="117"/>
      <c r="D2019" s="124"/>
      <c r="E2019" s="124"/>
      <c r="F2019" s="124"/>
      <c r="G2019" s="124"/>
      <c r="H2019" s="124"/>
      <c r="I2019" s="124"/>
    </row>
    <row r="2020">
      <c r="A2020" s="41"/>
      <c r="B2020" s="41"/>
      <c r="C2020" s="117"/>
      <c r="D2020" s="124"/>
      <c r="E2020" s="124"/>
      <c r="F2020" s="124"/>
      <c r="G2020" s="124"/>
      <c r="H2020" s="124"/>
      <c r="I2020" s="124"/>
    </row>
    <row r="2021">
      <c r="A2021" s="41"/>
      <c r="B2021" s="41"/>
      <c r="C2021" s="117"/>
      <c r="D2021" s="124"/>
      <c r="E2021" s="124"/>
      <c r="F2021" s="124"/>
      <c r="G2021" s="124"/>
      <c r="H2021" s="124"/>
      <c r="I2021" s="124"/>
    </row>
    <row r="2022">
      <c r="A2022" s="41"/>
      <c r="B2022" s="41"/>
      <c r="C2022" s="117"/>
      <c r="D2022" s="124"/>
      <c r="E2022" s="124"/>
      <c r="F2022" s="124"/>
      <c r="G2022" s="124"/>
      <c r="H2022" s="124"/>
      <c r="I2022" s="124"/>
    </row>
    <row r="2023">
      <c r="A2023" s="41"/>
      <c r="B2023" s="41"/>
      <c r="C2023" s="117"/>
      <c r="D2023" s="124"/>
      <c r="E2023" s="124"/>
      <c r="F2023" s="124"/>
      <c r="G2023" s="124"/>
      <c r="H2023" s="124"/>
      <c r="I2023" s="124"/>
    </row>
    <row r="2024">
      <c r="A2024" s="41"/>
      <c r="B2024" s="41"/>
      <c r="C2024" s="117"/>
      <c r="D2024" s="124"/>
      <c r="E2024" s="124"/>
      <c r="F2024" s="124"/>
      <c r="G2024" s="124"/>
      <c r="H2024" s="124"/>
      <c r="I2024" s="124"/>
    </row>
    <row r="2025">
      <c r="A2025" s="41"/>
      <c r="B2025" s="41"/>
      <c r="C2025" s="117"/>
      <c r="D2025" s="124"/>
      <c r="E2025" s="124"/>
      <c r="F2025" s="124"/>
      <c r="G2025" s="124"/>
      <c r="H2025" s="124"/>
      <c r="I2025" s="124"/>
    </row>
    <row r="2026">
      <c r="A2026" s="41"/>
      <c r="B2026" s="41"/>
      <c r="C2026" s="117"/>
      <c r="D2026" s="124"/>
      <c r="E2026" s="124"/>
      <c r="F2026" s="124"/>
      <c r="G2026" s="124"/>
      <c r="H2026" s="124"/>
      <c r="I2026" s="124"/>
    </row>
    <row r="2027">
      <c r="A2027" s="41"/>
      <c r="B2027" s="41"/>
      <c r="C2027" s="117"/>
      <c r="D2027" s="124"/>
      <c r="E2027" s="124"/>
      <c r="F2027" s="124"/>
      <c r="G2027" s="124"/>
      <c r="H2027" s="124"/>
      <c r="I2027" s="124"/>
    </row>
    <row r="2028">
      <c r="A2028" s="41"/>
      <c r="B2028" s="41"/>
      <c r="C2028" s="117"/>
      <c r="D2028" s="124"/>
      <c r="E2028" s="124"/>
      <c r="F2028" s="124"/>
      <c r="G2028" s="124"/>
      <c r="H2028" s="124"/>
      <c r="I2028" s="124"/>
    </row>
    <row r="2029">
      <c r="A2029" s="41"/>
      <c r="B2029" s="41"/>
      <c r="C2029" s="117"/>
      <c r="D2029" s="124"/>
      <c r="E2029" s="124"/>
      <c r="F2029" s="124"/>
      <c r="G2029" s="124"/>
      <c r="H2029" s="124"/>
      <c r="I2029" s="124"/>
    </row>
    <row r="2030">
      <c r="A2030" s="41"/>
      <c r="B2030" s="41"/>
      <c r="C2030" s="117"/>
      <c r="D2030" s="124"/>
      <c r="E2030" s="124"/>
      <c r="F2030" s="124"/>
      <c r="G2030" s="124"/>
      <c r="H2030" s="124"/>
      <c r="I2030" s="124"/>
    </row>
    <row r="2031">
      <c r="A2031" s="41"/>
      <c r="B2031" s="41"/>
      <c r="C2031" s="117"/>
      <c r="D2031" s="124"/>
      <c r="E2031" s="124"/>
      <c r="F2031" s="124"/>
      <c r="G2031" s="124"/>
      <c r="H2031" s="124"/>
      <c r="I2031" s="124"/>
    </row>
    <row r="2032">
      <c r="A2032" s="41"/>
      <c r="B2032" s="41"/>
      <c r="C2032" s="117"/>
      <c r="D2032" s="124"/>
      <c r="E2032" s="124"/>
      <c r="F2032" s="124"/>
      <c r="G2032" s="124"/>
      <c r="H2032" s="124"/>
      <c r="I2032" s="124"/>
    </row>
    <row r="2033">
      <c r="A2033" s="41"/>
      <c r="B2033" s="41"/>
      <c r="C2033" s="117"/>
      <c r="D2033" s="124"/>
      <c r="E2033" s="124"/>
      <c r="F2033" s="124"/>
      <c r="G2033" s="124"/>
      <c r="H2033" s="124"/>
      <c r="I2033" s="124"/>
    </row>
    <row r="2034">
      <c r="A2034" s="41"/>
      <c r="B2034" s="41"/>
      <c r="C2034" s="117"/>
      <c r="D2034" s="124"/>
      <c r="E2034" s="124"/>
      <c r="F2034" s="124"/>
      <c r="G2034" s="124"/>
      <c r="H2034" s="124"/>
      <c r="I2034" s="124"/>
    </row>
    <row r="2035">
      <c r="A2035" s="41"/>
      <c r="B2035" s="41"/>
      <c r="C2035" s="117"/>
      <c r="D2035" s="124"/>
      <c r="E2035" s="124"/>
      <c r="F2035" s="124"/>
      <c r="G2035" s="124"/>
      <c r="H2035" s="124"/>
      <c r="I2035" s="124"/>
    </row>
    <row r="2036">
      <c r="A2036" s="41"/>
      <c r="B2036" s="41"/>
      <c r="C2036" s="117"/>
      <c r="D2036" s="124"/>
      <c r="E2036" s="124"/>
      <c r="F2036" s="124"/>
      <c r="G2036" s="124"/>
      <c r="H2036" s="124"/>
      <c r="I2036" s="124"/>
    </row>
    <row r="2037">
      <c r="A2037" s="41"/>
      <c r="B2037" s="41"/>
      <c r="C2037" s="117"/>
      <c r="D2037" s="124"/>
      <c r="E2037" s="124"/>
      <c r="F2037" s="124"/>
      <c r="G2037" s="124"/>
      <c r="H2037" s="124"/>
      <c r="I2037" s="124"/>
    </row>
    <row r="2038">
      <c r="A2038" s="41"/>
      <c r="B2038" s="41"/>
      <c r="C2038" s="117"/>
      <c r="D2038" s="124"/>
      <c r="E2038" s="124"/>
      <c r="F2038" s="124"/>
      <c r="G2038" s="124"/>
      <c r="H2038" s="124"/>
      <c r="I2038" s="124"/>
    </row>
    <row r="2039">
      <c r="A2039" s="41"/>
      <c r="B2039" s="41"/>
      <c r="C2039" s="117"/>
      <c r="D2039" s="124"/>
      <c r="E2039" s="124"/>
      <c r="F2039" s="124"/>
      <c r="G2039" s="124"/>
      <c r="H2039" s="124"/>
      <c r="I2039" s="124"/>
    </row>
    <row r="2040">
      <c r="A2040" s="41"/>
      <c r="B2040" s="41"/>
      <c r="C2040" s="117"/>
      <c r="D2040" s="124"/>
      <c r="E2040" s="124"/>
      <c r="F2040" s="124"/>
      <c r="G2040" s="124"/>
      <c r="H2040" s="124"/>
      <c r="I2040" s="124"/>
    </row>
    <row r="2041">
      <c r="A2041" s="41"/>
      <c r="B2041" s="41"/>
      <c r="C2041" s="117"/>
      <c r="D2041" s="124"/>
      <c r="E2041" s="124"/>
      <c r="F2041" s="124"/>
      <c r="G2041" s="124"/>
      <c r="H2041" s="124"/>
      <c r="I2041" s="124"/>
    </row>
    <row r="2042">
      <c r="A2042" s="41"/>
      <c r="B2042" s="41"/>
      <c r="C2042" s="117"/>
      <c r="D2042" s="124"/>
      <c r="E2042" s="124"/>
      <c r="F2042" s="124"/>
      <c r="G2042" s="124"/>
      <c r="H2042" s="124"/>
      <c r="I2042" s="124"/>
    </row>
    <row r="2043">
      <c r="A2043" s="41"/>
      <c r="B2043" s="41"/>
      <c r="C2043" s="117"/>
      <c r="D2043" s="124"/>
      <c r="E2043" s="124"/>
      <c r="F2043" s="124"/>
      <c r="G2043" s="124"/>
      <c r="H2043" s="124"/>
      <c r="I2043" s="124"/>
    </row>
    <row r="2044">
      <c r="A2044" s="41"/>
      <c r="B2044" s="41"/>
      <c r="C2044" s="117"/>
      <c r="D2044" s="124"/>
      <c r="E2044" s="124"/>
      <c r="F2044" s="124"/>
      <c r="G2044" s="124"/>
      <c r="H2044" s="124"/>
      <c r="I2044" s="124"/>
    </row>
    <row r="2045">
      <c r="A2045" s="41"/>
      <c r="B2045" s="41"/>
      <c r="C2045" s="117"/>
      <c r="D2045" s="124"/>
      <c r="E2045" s="124"/>
      <c r="F2045" s="124"/>
      <c r="G2045" s="124"/>
      <c r="H2045" s="124"/>
      <c r="I2045" s="124"/>
    </row>
    <row r="2046">
      <c r="A2046" s="41"/>
      <c r="B2046" s="41"/>
      <c r="C2046" s="117"/>
      <c r="D2046" s="124"/>
      <c r="E2046" s="124"/>
      <c r="F2046" s="124"/>
      <c r="G2046" s="124"/>
      <c r="H2046" s="124"/>
      <c r="I2046" s="124"/>
    </row>
    <row r="2047">
      <c r="A2047" s="41"/>
      <c r="B2047" s="41"/>
      <c r="C2047" s="117"/>
      <c r="D2047" s="124"/>
      <c r="E2047" s="124"/>
      <c r="F2047" s="124"/>
      <c r="G2047" s="124"/>
      <c r="H2047" s="124"/>
      <c r="I2047" s="124"/>
    </row>
    <row r="2048">
      <c r="A2048" s="41"/>
      <c r="B2048" s="41"/>
      <c r="C2048" s="117"/>
      <c r="D2048" s="124"/>
      <c r="E2048" s="124"/>
      <c r="F2048" s="124"/>
      <c r="G2048" s="124"/>
      <c r="H2048" s="124"/>
      <c r="I2048" s="124"/>
    </row>
    <row r="2049">
      <c r="A2049" s="41"/>
      <c r="B2049" s="41"/>
      <c r="C2049" s="117"/>
      <c r="D2049" s="124"/>
      <c r="E2049" s="124"/>
      <c r="F2049" s="124"/>
      <c r="G2049" s="124"/>
      <c r="H2049" s="124"/>
      <c r="I2049" s="124"/>
    </row>
    <row r="2050">
      <c r="A2050" s="41"/>
      <c r="B2050" s="41"/>
      <c r="C2050" s="117"/>
      <c r="D2050" s="124"/>
      <c r="E2050" s="124"/>
      <c r="F2050" s="124"/>
      <c r="G2050" s="124"/>
      <c r="H2050" s="124"/>
      <c r="I2050" s="124"/>
    </row>
    <row r="2051">
      <c r="A2051" s="41"/>
      <c r="B2051" s="41"/>
      <c r="C2051" s="117"/>
      <c r="D2051" s="124"/>
      <c r="E2051" s="124"/>
      <c r="F2051" s="124"/>
      <c r="G2051" s="124"/>
      <c r="H2051" s="124"/>
      <c r="I2051" s="124"/>
    </row>
    <row r="2052">
      <c r="A2052" s="41"/>
      <c r="B2052" s="41"/>
      <c r="C2052" s="117"/>
      <c r="D2052" s="124"/>
      <c r="E2052" s="124"/>
      <c r="F2052" s="124"/>
      <c r="G2052" s="124"/>
      <c r="H2052" s="124"/>
      <c r="I2052" s="124"/>
    </row>
    <row r="2053">
      <c r="A2053" s="41"/>
      <c r="B2053" s="41"/>
      <c r="C2053" s="117"/>
      <c r="D2053" s="124"/>
      <c r="E2053" s="124"/>
      <c r="F2053" s="124"/>
      <c r="G2053" s="124"/>
      <c r="H2053" s="124"/>
      <c r="I2053" s="124"/>
    </row>
    <row r="2054">
      <c r="A2054" s="41"/>
      <c r="B2054" s="41"/>
      <c r="C2054" s="117"/>
      <c r="D2054" s="124"/>
      <c r="E2054" s="124"/>
      <c r="F2054" s="124"/>
      <c r="G2054" s="124"/>
      <c r="H2054" s="124"/>
      <c r="I2054" s="124"/>
    </row>
    <row r="2055">
      <c r="A2055" s="41"/>
      <c r="B2055" s="41"/>
      <c r="C2055" s="117"/>
      <c r="D2055" s="124"/>
      <c r="E2055" s="124"/>
      <c r="F2055" s="124"/>
      <c r="G2055" s="124"/>
      <c r="H2055" s="124"/>
      <c r="I2055" s="124"/>
    </row>
    <row r="2056">
      <c r="A2056" s="41"/>
      <c r="B2056" s="41"/>
      <c r="C2056" s="117"/>
      <c r="D2056" s="124"/>
      <c r="E2056" s="124"/>
      <c r="F2056" s="124"/>
      <c r="G2056" s="124"/>
      <c r="H2056" s="124"/>
      <c r="I2056" s="124"/>
    </row>
    <row r="2057">
      <c r="A2057" s="41"/>
      <c r="B2057" s="41"/>
      <c r="C2057" s="117"/>
      <c r="D2057" s="124"/>
      <c r="E2057" s="124"/>
      <c r="F2057" s="124"/>
      <c r="G2057" s="124"/>
      <c r="H2057" s="124"/>
      <c r="I2057" s="124"/>
    </row>
    <row r="2058">
      <c r="A2058" s="41"/>
      <c r="B2058" s="41"/>
      <c r="C2058" s="117"/>
      <c r="D2058" s="124"/>
      <c r="E2058" s="124"/>
      <c r="F2058" s="124"/>
      <c r="G2058" s="124"/>
      <c r="H2058" s="124"/>
      <c r="I2058" s="124"/>
    </row>
    <row r="2059">
      <c r="A2059" s="41"/>
      <c r="B2059" s="41"/>
      <c r="C2059" s="117"/>
      <c r="D2059" s="124"/>
      <c r="E2059" s="124"/>
      <c r="F2059" s="124"/>
      <c r="G2059" s="124"/>
      <c r="H2059" s="124"/>
      <c r="I2059" s="124"/>
    </row>
    <row r="2060">
      <c r="A2060" s="41"/>
      <c r="B2060" s="41"/>
      <c r="C2060" s="117"/>
      <c r="D2060" s="124"/>
      <c r="E2060" s="124"/>
      <c r="F2060" s="124"/>
      <c r="G2060" s="124"/>
      <c r="H2060" s="124"/>
      <c r="I2060" s="124"/>
    </row>
    <row r="2061">
      <c r="A2061" s="41"/>
      <c r="B2061" s="41"/>
      <c r="C2061" s="117"/>
      <c r="D2061" s="124"/>
      <c r="E2061" s="124"/>
      <c r="F2061" s="124"/>
      <c r="G2061" s="124"/>
      <c r="H2061" s="124"/>
      <c r="I2061" s="124"/>
    </row>
    <row r="2062">
      <c r="A2062" s="41"/>
      <c r="B2062" s="41"/>
      <c r="C2062" s="117"/>
      <c r="D2062" s="124"/>
      <c r="E2062" s="124"/>
      <c r="F2062" s="124"/>
      <c r="G2062" s="124"/>
      <c r="H2062" s="124"/>
      <c r="I2062" s="124"/>
    </row>
    <row r="2063">
      <c r="A2063" s="41"/>
      <c r="B2063" s="41"/>
      <c r="C2063" s="117"/>
      <c r="D2063" s="124"/>
      <c r="E2063" s="124"/>
      <c r="F2063" s="124"/>
      <c r="G2063" s="124"/>
      <c r="H2063" s="124"/>
      <c r="I2063" s="124"/>
    </row>
    <row r="2064">
      <c r="A2064" s="41"/>
      <c r="B2064" s="41"/>
      <c r="C2064" s="117"/>
      <c r="D2064" s="124"/>
      <c r="E2064" s="124"/>
      <c r="F2064" s="124"/>
      <c r="G2064" s="124"/>
      <c r="H2064" s="124"/>
      <c r="I2064" s="124"/>
    </row>
    <row r="2065">
      <c r="A2065" s="41"/>
      <c r="B2065" s="41"/>
      <c r="C2065" s="117"/>
      <c r="D2065" s="124"/>
      <c r="E2065" s="124"/>
      <c r="F2065" s="124"/>
      <c r="G2065" s="124"/>
      <c r="H2065" s="124"/>
      <c r="I2065" s="124"/>
    </row>
    <row r="2066">
      <c r="A2066" s="41"/>
      <c r="B2066" s="41"/>
      <c r="C2066" s="117"/>
      <c r="D2066" s="124"/>
      <c r="E2066" s="124"/>
      <c r="F2066" s="124"/>
      <c r="G2066" s="124"/>
      <c r="H2066" s="124"/>
      <c r="I2066" s="124"/>
    </row>
    <row r="2067">
      <c r="A2067" s="41"/>
      <c r="B2067" s="41"/>
      <c r="C2067" s="117"/>
      <c r="D2067" s="124"/>
      <c r="E2067" s="124"/>
      <c r="F2067" s="124"/>
      <c r="G2067" s="124"/>
      <c r="H2067" s="124"/>
      <c r="I2067" s="124"/>
    </row>
    <row r="2068">
      <c r="A2068" s="41"/>
      <c r="B2068" s="41"/>
      <c r="C2068" s="117"/>
      <c r="D2068" s="124"/>
      <c r="E2068" s="124"/>
      <c r="F2068" s="124"/>
      <c r="G2068" s="124"/>
      <c r="H2068" s="124"/>
      <c r="I2068" s="124"/>
    </row>
    <row r="2069">
      <c r="A2069" s="41"/>
      <c r="B2069" s="41"/>
      <c r="C2069" s="117"/>
      <c r="D2069" s="124"/>
      <c r="E2069" s="124"/>
      <c r="F2069" s="124"/>
      <c r="G2069" s="124"/>
      <c r="H2069" s="124"/>
      <c r="I2069" s="124"/>
    </row>
    <row r="2070">
      <c r="A2070" s="41"/>
      <c r="B2070" s="41"/>
      <c r="C2070" s="117"/>
      <c r="D2070" s="124"/>
      <c r="E2070" s="124"/>
      <c r="F2070" s="124"/>
      <c r="G2070" s="124"/>
      <c r="H2070" s="124"/>
      <c r="I2070" s="124"/>
    </row>
    <row r="2071">
      <c r="A2071" s="41"/>
      <c r="B2071" s="41"/>
      <c r="C2071" s="117"/>
      <c r="D2071" s="124"/>
      <c r="E2071" s="124"/>
      <c r="F2071" s="124"/>
      <c r="G2071" s="124"/>
      <c r="H2071" s="124"/>
      <c r="I2071" s="124"/>
    </row>
    <row r="2072">
      <c r="A2072" s="41"/>
      <c r="B2072" s="41"/>
      <c r="C2072" s="117"/>
      <c r="D2072" s="124"/>
      <c r="E2072" s="124"/>
      <c r="F2072" s="124"/>
      <c r="G2072" s="124"/>
      <c r="H2072" s="124"/>
      <c r="I2072" s="124"/>
    </row>
    <row r="2073">
      <c r="A2073" s="41"/>
      <c r="B2073" s="41"/>
      <c r="C2073" s="117"/>
      <c r="D2073" s="124"/>
      <c r="E2073" s="124"/>
      <c r="F2073" s="124"/>
      <c r="G2073" s="124"/>
      <c r="H2073" s="124"/>
      <c r="I2073" s="124"/>
    </row>
    <row r="2074">
      <c r="A2074" s="41"/>
      <c r="B2074" s="41"/>
      <c r="C2074" s="117"/>
      <c r="D2074" s="124"/>
      <c r="E2074" s="124"/>
      <c r="F2074" s="124"/>
      <c r="G2074" s="124"/>
      <c r="H2074" s="124"/>
      <c r="I2074" s="124"/>
    </row>
    <row r="2075">
      <c r="A2075" s="41"/>
      <c r="B2075" s="41"/>
      <c r="C2075" s="117"/>
      <c r="D2075" s="124"/>
      <c r="E2075" s="124"/>
      <c r="F2075" s="124"/>
      <c r="G2075" s="124"/>
      <c r="H2075" s="124"/>
      <c r="I2075" s="124"/>
    </row>
    <row r="2076">
      <c r="A2076" s="41"/>
      <c r="B2076" s="41"/>
      <c r="C2076" s="117"/>
      <c r="D2076" s="124"/>
      <c r="E2076" s="124"/>
      <c r="F2076" s="124"/>
      <c r="G2076" s="124"/>
      <c r="H2076" s="124"/>
      <c r="I2076" s="124"/>
    </row>
    <row r="2077">
      <c r="A2077" s="41"/>
      <c r="B2077" s="41"/>
      <c r="C2077" s="117"/>
      <c r="D2077" s="124"/>
      <c r="E2077" s="124"/>
      <c r="F2077" s="124"/>
      <c r="G2077" s="124"/>
      <c r="H2077" s="124"/>
      <c r="I2077" s="124"/>
    </row>
    <row r="2078">
      <c r="A2078" s="41"/>
      <c r="B2078" s="41"/>
      <c r="C2078" s="117"/>
      <c r="D2078" s="124"/>
      <c r="E2078" s="124"/>
      <c r="F2078" s="124"/>
      <c r="G2078" s="124"/>
      <c r="H2078" s="124"/>
      <c r="I2078" s="124"/>
    </row>
    <row r="2079">
      <c r="A2079" s="41"/>
      <c r="B2079" s="41"/>
      <c r="C2079" s="117"/>
      <c r="D2079" s="124"/>
      <c r="E2079" s="124"/>
      <c r="F2079" s="124"/>
      <c r="G2079" s="124"/>
      <c r="H2079" s="124"/>
      <c r="I2079" s="124"/>
    </row>
    <row r="2080">
      <c r="A2080" s="41"/>
      <c r="B2080" s="41"/>
      <c r="C2080" s="117"/>
      <c r="D2080" s="124"/>
      <c r="E2080" s="124"/>
      <c r="F2080" s="124"/>
      <c r="G2080" s="124"/>
      <c r="H2080" s="124"/>
      <c r="I2080" s="124"/>
    </row>
    <row r="2081">
      <c r="A2081" s="41"/>
      <c r="B2081" s="41"/>
      <c r="C2081" s="117"/>
      <c r="D2081" s="124"/>
      <c r="E2081" s="124"/>
      <c r="F2081" s="124"/>
      <c r="G2081" s="124"/>
      <c r="H2081" s="124"/>
      <c r="I2081" s="124"/>
    </row>
    <row r="2082">
      <c r="A2082" s="41"/>
      <c r="B2082" s="41"/>
      <c r="C2082" s="117"/>
      <c r="D2082" s="124"/>
      <c r="E2082" s="124"/>
      <c r="F2082" s="124"/>
      <c r="G2082" s="124"/>
      <c r="H2082" s="124"/>
      <c r="I2082" s="124"/>
    </row>
    <row r="2083">
      <c r="A2083" s="41"/>
      <c r="B2083" s="41"/>
      <c r="C2083" s="117"/>
      <c r="D2083" s="124"/>
      <c r="E2083" s="124"/>
      <c r="F2083" s="124"/>
      <c r="G2083" s="124"/>
      <c r="H2083" s="124"/>
      <c r="I2083" s="124"/>
    </row>
    <row r="2084">
      <c r="A2084" s="41"/>
      <c r="B2084" s="41"/>
      <c r="C2084" s="117"/>
      <c r="D2084" s="124"/>
      <c r="E2084" s="124"/>
      <c r="F2084" s="124"/>
      <c r="G2084" s="124"/>
      <c r="H2084" s="124"/>
      <c r="I2084" s="124"/>
    </row>
    <row r="2085">
      <c r="A2085" s="41"/>
      <c r="B2085" s="41"/>
      <c r="C2085" s="117"/>
      <c r="D2085" s="124"/>
      <c r="E2085" s="124"/>
      <c r="F2085" s="124"/>
      <c r="G2085" s="124"/>
      <c r="H2085" s="124"/>
      <c r="I2085" s="124"/>
    </row>
    <row r="2086">
      <c r="A2086" s="41"/>
      <c r="B2086" s="41"/>
      <c r="C2086" s="117"/>
      <c r="D2086" s="124"/>
      <c r="E2086" s="124"/>
      <c r="F2086" s="124"/>
      <c r="G2086" s="124"/>
      <c r="H2086" s="124"/>
      <c r="I2086" s="124"/>
    </row>
    <row r="2087">
      <c r="A2087" s="41"/>
      <c r="B2087" s="41"/>
      <c r="C2087" s="117"/>
      <c r="D2087" s="124"/>
      <c r="E2087" s="124"/>
      <c r="F2087" s="124"/>
      <c r="G2087" s="124"/>
      <c r="H2087" s="124"/>
      <c r="I2087" s="124"/>
    </row>
    <row r="2088">
      <c r="A2088" s="41"/>
      <c r="B2088" s="41"/>
      <c r="C2088" s="117"/>
      <c r="D2088" s="124"/>
      <c r="E2088" s="124"/>
      <c r="F2088" s="124"/>
      <c r="G2088" s="124"/>
      <c r="H2088" s="124"/>
      <c r="I2088" s="124"/>
    </row>
    <row r="2089">
      <c r="A2089" s="41"/>
      <c r="B2089" s="41"/>
      <c r="C2089" s="117"/>
      <c r="D2089" s="124"/>
      <c r="E2089" s="124"/>
      <c r="F2089" s="124"/>
      <c r="G2089" s="124"/>
      <c r="H2089" s="124"/>
      <c r="I2089" s="124"/>
    </row>
    <row r="2090">
      <c r="A2090" s="41"/>
      <c r="B2090" s="41"/>
      <c r="C2090" s="117"/>
      <c r="D2090" s="124"/>
      <c r="E2090" s="124"/>
      <c r="F2090" s="124"/>
      <c r="G2090" s="124"/>
      <c r="H2090" s="124"/>
      <c r="I2090" s="124"/>
    </row>
    <row r="2091">
      <c r="A2091" s="41"/>
      <c r="B2091" s="41"/>
      <c r="C2091" s="117"/>
      <c r="D2091" s="124"/>
      <c r="E2091" s="124"/>
      <c r="F2091" s="124"/>
      <c r="G2091" s="124"/>
      <c r="H2091" s="124"/>
      <c r="I2091" s="124"/>
    </row>
    <row r="2092">
      <c r="A2092" s="41"/>
      <c r="B2092" s="41"/>
      <c r="C2092" s="117"/>
      <c r="D2092" s="124"/>
      <c r="E2092" s="124"/>
      <c r="F2092" s="124"/>
      <c r="G2092" s="124"/>
      <c r="H2092" s="124"/>
      <c r="I2092" s="124"/>
    </row>
    <row r="2093">
      <c r="A2093" s="41"/>
      <c r="B2093" s="41"/>
      <c r="C2093" s="117"/>
      <c r="D2093" s="124"/>
      <c r="E2093" s="124"/>
      <c r="F2093" s="124"/>
      <c r="G2093" s="124"/>
      <c r="H2093" s="124"/>
      <c r="I2093" s="124"/>
    </row>
    <row r="2094">
      <c r="A2094" s="41"/>
      <c r="B2094" s="41"/>
      <c r="C2094" s="117"/>
      <c r="D2094" s="124"/>
      <c r="E2094" s="124"/>
      <c r="F2094" s="124"/>
      <c r="G2094" s="124"/>
      <c r="H2094" s="124"/>
      <c r="I2094" s="124"/>
    </row>
    <row r="2095">
      <c r="A2095" s="41"/>
      <c r="B2095" s="41"/>
      <c r="C2095" s="117"/>
      <c r="D2095" s="124"/>
      <c r="E2095" s="124"/>
      <c r="F2095" s="124"/>
      <c r="G2095" s="124"/>
      <c r="H2095" s="124"/>
      <c r="I2095" s="124"/>
    </row>
    <row r="2096">
      <c r="A2096" s="41"/>
      <c r="B2096" s="41"/>
      <c r="C2096" s="117"/>
      <c r="D2096" s="124"/>
      <c r="E2096" s="124"/>
      <c r="F2096" s="124"/>
      <c r="G2096" s="124"/>
      <c r="H2096" s="124"/>
      <c r="I2096" s="124"/>
    </row>
    <row r="2097">
      <c r="A2097" s="41"/>
      <c r="B2097" s="41"/>
      <c r="C2097" s="117"/>
      <c r="D2097" s="124"/>
      <c r="E2097" s="124"/>
      <c r="F2097" s="124"/>
      <c r="G2097" s="124"/>
      <c r="H2097" s="124"/>
      <c r="I2097" s="124"/>
    </row>
    <row r="2098">
      <c r="A2098" s="41"/>
      <c r="B2098" s="41"/>
      <c r="C2098" s="117"/>
      <c r="D2098" s="124"/>
      <c r="E2098" s="124"/>
      <c r="F2098" s="124"/>
      <c r="G2098" s="124"/>
      <c r="H2098" s="124"/>
      <c r="I2098" s="124"/>
    </row>
    <row r="2099">
      <c r="A2099" s="41"/>
      <c r="B2099" s="41"/>
      <c r="C2099" s="117"/>
      <c r="D2099" s="124"/>
      <c r="E2099" s="124"/>
      <c r="F2099" s="124"/>
      <c r="G2099" s="124"/>
      <c r="H2099" s="124"/>
      <c r="I2099" s="124"/>
    </row>
    <row r="2100">
      <c r="A2100" s="41"/>
      <c r="B2100" s="41"/>
      <c r="C2100" s="117"/>
      <c r="D2100" s="124"/>
      <c r="E2100" s="124"/>
      <c r="F2100" s="124"/>
      <c r="G2100" s="124"/>
      <c r="H2100" s="124"/>
      <c r="I2100" s="124"/>
    </row>
    <row r="2101">
      <c r="A2101" s="41"/>
      <c r="B2101" s="41"/>
      <c r="C2101" s="117"/>
      <c r="D2101" s="124"/>
      <c r="E2101" s="124"/>
      <c r="F2101" s="124"/>
      <c r="G2101" s="124"/>
      <c r="H2101" s="124"/>
      <c r="I2101" s="124"/>
    </row>
    <row r="2102">
      <c r="A2102" s="41"/>
      <c r="B2102" s="41"/>
      <c r="C2102" s="117"/>
      <c r="D2102" s="124"/>
      <c r="E2102" s="124"/>
      <c r="F2102" s="124"/>
      <c r="G2102" s="124"/>
      <c r="H2102" s="124"/>
      <c r="I2102" s="124"/>
    </row>
    <row r="2103">
      <c r="A2103" s="41"/>
      <c r="B2103" s="41"/>
      <c r="C2103" s="117"/>
      <c r="D2103" s="124"/>
      <c r="E2103" s="124"/>
      <c r="F2103" s="124"/>
      <c r="G2103" s="124"/>
      <c r="H2103" s="124"/>
      <c r="I2103" s="124"/>
    </row>
    <row r="2104">
      <c r="A2104" s="41"/>
      <c r="B2104" s="41"/>
      <c r="C2104" s="117"/>
      <c r="D2104" s="124"/>
      <c r="E2104" s="124"/>
      <c r="F2104" s="124"/>
      <c r="G2104" s="124"/>
      <c r="H2104" s="124"/>
      <c r="I2104" s="124"/>
    </row>
    <row r="2105">
      <c r="A2105" s="41"/>
      <c r="B2105" s="41"/>
      <c r="C2105" s="117"/>
      <c r="D2105" s="124"/>
      <c r="E2105" s="124"/>
      <c r="F2105" s="124"/>
      <c r="G2105" s="124"/>
      <c r="H2105" s="124"/>
      <c r="I2105" s="124"/>
    </row>
    <row r="2106">
      <c r="A2106" s="41"/>
      <c r="B2106" s="41"/>
      <c r="C2106" s="117"/>
      <c r="D2106" s="124"/>
      <c r="E2106" s="124"/>
      <c r="F2106" s="124"/>
      <c r="G2106" s="124"/>
      <c r="H2106" s="124"/>
      <c r="I2106" s="124"/>
    </row>
    <row r="2107">
      <c r="A2107" s="41"/>
      <c r="B2107" s="41"/>
      <c r="C2107" s="117"/>
      <c r="D2107" s="124"/>
      <c r="E2107" s="124"/>
      <c r="F2107" s="124"/>
      <c r="G2107" s="124"/>
      <c r="H2107" s="124"/>
      <c r="I2107" s="124"/>
    </row>
    <row r="2108">
      <c r="A2108" s="41"/>
      <c r="B2108" s="41"/>
      <c r="C2108" s="117"/>
      <c r="D2108" s="124"/>
      <c r="E2108" s="124"/>
      <c r="F2108" s="124"/>
      <c r="G2108" s="124"/>
      <c r="H2108" s="124"/>
      <c r="I2108" s="124"/>
    </row>
    <row r="2109">
      <c r="A2109" s="41"/>
      <c r="B2109" s="41"/>
      <c r="C2109" s="117"/>
      <c r="D2109" s="124"/>
      <c r="E2109" s="124"/>
      <c r="F2109" s="124"/>
      <c r="G2109" s="124"/>
      <c r="H2109" s="124"/>
      <c r="I2109" s="124"/>
    </row>
    <row r="2110">
      <c r="A2110" s="41"/>
      <c r="B2110" s="41"/>
      <c r="C2110" s="117"/>
      <c r="D2110" s="124"/>
      <c r="E2110" s="124"/>
      <c r="F2110" s="124"/>
      <c r="G2110" s="124"/>
      <c r="H2110" s="124"/>
      <c r="I2110" s="124"/>
    </row>
    <row r="2111">
      <c r="A2111" s="41"/>
      <c r="B2111" s="41"/>
      <c r="C2111" s="117"/>
      <c r="D2111" s="124"/>
      <c r="E2111" s="124"/>
      <c r="F2111" s="124"/>
      <c r="G2111" s="124"/>
      <c r="H2111" s="124"/>
      <c r="I2111" s="124"/>
    </row>
    <row r="2112">
      <c r="A2112" s="41"/>
      <c r="B2112" s="41"/>
      <c r="C2112" s="117"/>
      <c r="D2112" s="124"/>
      <c r="E2112" s="124"/>
      <c r="F2112" s="124"/>
      <c r="G2112" s="124"/>
      <c r="H2112" s="124"/>
      <c r="I2112" s="124"/>
    </row>
  </sheetData>
  <dataValidations>
    <dataValidation type="list" allowBlank="1" showErrorMessage="1" sqref="B1">
      <formula1>'รับเข้า-เบิก'!$E$2:$E2112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38"/>
    <col customWidth="1" min="2" max="2" width="12.25"/>
    <col customWidth="1" min="4" max="4" width="61.13"/>
  </cols>
  <sheetData>
    <row r="1"/>
    <row r="2"/>
    <row r="3">
      <c r="A3" s="41"/>
      <c r="B3" s="41"/>
      <c r="C3" s="41"/>
      <c r="D3" s="126"/>
      <c r="E3" s="125"/>
      <c r="F3" s="125"/>
    </row>
    <row r="4">
      <c r="A4" s="41"/>
      <c r="B4" s="41"/>
      <c r="C4" s="41"/>
      <c r="D4" s="126"/>
      <c r="E4" s="125"/>
      <c r="F4" s="125"/>
    </row>
    <row r="5">
      <c r="A5" s="41"/>
      <c r="B5" s="41"/>
      <c r="C5" s="41"/>
      <c r="D5" s="126"/>
      <c r="E5" s="125"/>
      <c r="F5" s="125"/>
    </row>
    <row r="6">
      <c r="A6" s="41"/>
      <c r="B6" s="41"/>
      <c r="C6" s="41"/>
      <c r="D6" s="126"/>
      <c r="E6" s="125"/>
      <c r="F6" s="125"/>
    </row>
    <row r="7">
      <c r="A7" s="41"/>
      <c r="B7" s="41"/>
      <c r="C7" s="41"/>
      <c r="D7" s="126"/>
      <c r="E7" s="125"/>
      <c r="F7" s="125"/>
    </row>
    <row r="8">
      <c r="A8" s="41"/>
      <c r="B8" s="41"/>
      <c r="C8" s="41"/>
      <c r="D8" s="126"/>
      <c r="E8" s="125"/>
      <c r="F8" s="125"/>
    </row>
    <row r="9">
      <c r="A9" s="41"/>
      <c r="B9" s="41"/>
      <c r="C9" s="41"/>
      <c r="D9" s="126"/>
      <c r="E9" s="125"/>
      <c r="F9" s="125"/>
    </row>
    <row r="10">
      <c r="A10" s="41"/>
      <c r="B10" s="41"/>
      <c r="C10" s="41"/>
      <c r="D10" s="126"/>
      <c r="E10" s="125"/>
      <c r="F10" s="125"/>
    </row>
    <row r="11">
      <c r="A11" s="41"/>
      <c r="B11" s="41"/>
      <c r="C11" s="41"/>
      <c r="D11" s="126"/>
      <c r="E11" s="125"/>
      <c r="F11" s="125"/>
    </row>
    <row r="12">
      <c r="A12" s="41"/>
      <c r="B12" s="41"/>
      <c r="C12" s="41"/>
      <c r="D12" s="126"/>
      <c r="E12" s="125"/>
      <c r="F12" s="125"/>
    </row>
    <row r="13">
      <c r="A13" s="41"/>
      <c r="B13" s="41"/>
      <c r="C13" s="41"/>
      <c r="D13" s="126"/>
      <c r="E13" s="125"/>
      <c r="F13" s="125"/>
    </row>
    <row r="14">
      <c r="A14" s="41"/>
      <c r="B14" s="41"/>
      <c r="C14" s="41"/>
      <c r="D14" s="126"/>
      <c r="E14" s="125"/>
      <c r="F14" s="125"/>
    </row>
    <row r="15">
      <c r="A15" s="41"/>
      <c r="B15" s="41"/>
      <c r="C15" s="41"/>
      <c r="D15" s="126"/>
      <c r="E15" s="125"/>
      <c r="F15" s="125"/>
    </row>
    <row r="16">
      <c r="A16" s="41"/>
      <c r="B16" s="41"/>
      <c r="C16" s="41"/>
      <c r="D16" s="126"/>
      <c r="E16" s="125"/>
      <c r="F16" s="125"/>
    </row>
    <row r="17">
      <c r="A17" s="41"/>
      <c r="B17" s="41"/>
      <c r="C17" s="41"/>
      <c r="D17" s="126"/>
      <c r="E17" s="125"/>
      <c r="F17" s="125"/>
    </row>
    <row r="18">
      <c r="A18" s="41"/>
      <c r="B18" s="41"/>
      <c r="C18" s="41"/>
      <c r="D18" s="126"/>
      <c r="E18" s="125"/>
      <c r="F18" s="125"/>
    </row>
    <row r="19">
      <c r="A19" s="41"/>
      <c r="B19" s="41"/>
      <c r="C19" s="41"/>
      <c r="D19" s="126"/>
      <c r="E19" s="125"/>
      <c r="F19" s="125"/>
    </row>
    <row r="20">
      <c r="A20" s="41"/>
      <c r="B20" s="41"/>
      <c r="C20" s="41"/>
      <c r="D20" s="126"/>
      <c r="E20" s="125"/>
      <c r="F20" s="125"/>
    </row>
    <row r="21">
      <c r="A21" s="41"/>
      <c r="B21" s="41"/>
      <c r="C21" s="41"/>
      <c r="D21" s="126"/>
      <c r="E21" s="125"/>
      <c r="F21" s="125"/>
    </row>
    <row r="22">
      <c r="A22" s="41"/>
      <c r="B22" s="41"/>
      <c r="C22" s="41"/>
      <c r="D22" s="126"/>
      <c r="E22" s="125"/>
      <c r="F22" s="125"/>
    </row>
    <row r="23">
      <c r="A23" s="41"/>
      <c r="B23" s="41"/>
      <c r="C23" s="41"/>
      <c r="D23" s="126"/>
      <c r="E23" s="125"/>
      <c r="F23" s="125"/>
    </row>
    <row r="24">
      <c r="A24" s="41"/>
      <c r="B24" s="41"/>
      <c r="C24" s="41"/>
      <c r="D24" s="126"/>
      <c r="E24" s="125"/>
      <c r="F24" s="125"/>
    </row>
    <row r="25">
      <c r="A25" s="41"/>
      <c r="B25" s="41"/>
      <c r="C25" s="41"/>
      <c r="D25" s="126"/>
      <c r="E25" s="125"/>
      <c r="F25" s="125"/>
    </row>
    <row r="26">
      <c r="A26" s="41"/>
      <c r="B26" s="41"/>
      <c r="C26" s="41"/>
      <c r="D26" s="126"/>
      <c r="E26" s="125"/>
      <c r="F26" s="125"/>
    </row>
    <row r="27">
      <c r="A27" s="41"/>
      <c r="B27" s="41"/>
      <c r="C27" s="41"/>
      <c r="D27" s="126"/>
      <c r="E27" s="125"/>
      <c r="F27" s="125"/>
    </row>
    <row r="28">
      <c r="A28" s="41"/>
      <c r="B28" s="41"/>
      <c r="C28" s="41"/>
      <c r="D28" s="126"/>
      <c r="E28" s="125"/>
      <c r="F28" s="125"/>
    </row>
    <row r="29">
      <c r="A29" s="41"/>
      <c r="B29" s="41"/>
      <c r="C29" s="41"/>
      <c r="D29" s="126"/>
      <c r="E29" s="125"/>
      <c r="F29" s="125"/>
    </row>
    <row r="30">
      <c r="A30" s="41"/>
      <c r="B30" s="41"/>
      <c r="C30" s="41"/>
      <c r="D30" s="126"/>
      <c r="E30" s="125"/>
      <c r="F30" s="125"/>
    </row>
    <row r="31">
      <c r="A31" s="41"/>
      <c r="B31" s="41"/>
      <c r="C31" s="41"/>
      <c r="D31" s="126"/>
      <c r="E31" s="125"/>
      <c r="F31" s="125"/>
    </row>
    <row r="32">
      <c r="A32" s="41"/>
      <c r="B32" s="41"/>
      <c r="C32" s="41"/>
      <c r="D32" s="126"/>
      <c r="E32" s="125"/>
      <c r="F32" s="125"/>
    </row>
    <row r="33">
      <c r="A33" s="41"/>
      <c r="B33" s="41"/>
      <c r="C33" s="41"/>
      <c r="D33" s="126"/>
      <c r="E33" s="125"/>
      <c r="F33" s="125"/>
    </row>
    <row r="34">
      <c r="A34" s="41"/>
      <c r="B34" s="41"/>
      <c r="C34" s="41"/>
      <c r="D34" s="126"/>
      <c r="E34" s="125"/>
      <c r="F34" s="125"/>
    </row>
    <row r="35">
      <c r="A35" s="41"/>
      <c r="B35" s="41"/>
      <c r="C35" s="41"/>
      <c r="D35" s="126"/>
      <c r="E35" s="125"/>
      <c r="F35" s="125"/>
    </row>
    <row r="36">
      <c r="A36" s="41"/>
      <c r="B36" s="41"/>
      <c r="C36" s="41"/>
      <c r="D36" s="126"/>
      <c r="E36" s="125"/>
      <c r="F36" s="125"/>
    </row>
    <row r="37">
      <c r="A37" s="41"/>
      <c r="B37" s="41"/>
      <c r="C37" s="41"/>
      <c r="D37" s="126"/>
      <c r="E37" s="125"/>
      <c r="F37" s="125"/>
    </row>
    <row r="38">
      <c r="A38" s="41"/>
      <c r="B38" s="41"/>
      <c r="C38" s="41"/>
      <c r="D38" s="126"/>
      <c r="E38" s="125"/>
      <c r="F38" s="125"/>
    </row>
    <row r="39">
      <c r="A39" s="41"/>
      <c r="B39" s="41"/>
      <c r="C39" s="41"/>
      <c r="D39" s="126"/>
      <c r="E39" s="125"/>
      <c r="F39" s="125"/>
    </row>
    <row r="40">
      <c r="A40" s="41"/>
      <c r="B40" s="41"/>
      <c r="C40" s="41"/>
      <c r="D40" s="126"/>
      <c r="E40" s="125"/>
      <c r="F40" s="125"/>
    </row>
    <row r="41">
      <c r="A41" s="41"/>
      <c r="B41" s="41"/>
      <c r="C41" s="41"/>
      <c r="D41" s="126"/>
      <c r="E41" s="125"/>
      <c r="F41" s="125"/>
    </row>
    <row r="42">
      <c r="A42" s="41"/>
      <c r="B42" s="41"/>
      <c r="C42" s="41"/>
      <c r="D42" s="126"/>
      <c r="E42" s="125"/>
      <c r="F42" s="125"/>
    </row>
    <row r="43">
      <c r="A43" s="41"/>
      <c r="B43" s="41"/>
      <c r="C43" s="41"/>
      <c r="D43" s="126"/>
      <c r="E43" s="125"/>
      <c r="F43" s="125"/>
    </row>
    <row r="44">
      <c r="A44" s="41"/>
      <c r="B44" s="41"/>
      <c r="C44" s="41"/>
      <c r="D44" s="126"/>
      <c r="E44" s="125"/>
      <c r="F44" s="125"/>
    </row>
    <row r="45">
      <c r="A45" s="41"/>
      <c r="B45" s="41"/>
      <c r="C45" s="41"/>
      <c r="D45" s="126"/>
      <c r="E45" s="125"/>
      <c r="F45" s="125"/>
    </row>
    <row r="46">
      <c r="A46" s="41"/>
      <c r="B46" s="41"/>
      <c r="C46" s="41"/>
      <c r="D46" s="126"/>
      <c r="E46" s="125"/>
      <c r="F46" s="125"/>
    </row>
    <row r="47">
      <c r="A47" s="41"/>
      <c r="B47" s="41"/>
      <c r="C47" s="41"/>
      <c r="D47" s="126"/>
      <c r="E47" s="125"/>
      <c r="F47" s="125"/>
    </row>
    <row r="48">
      <c r="A48" s="41"/>
      <c r="B48" s="41"/>
      <c r="C48" s="41"/>
      <c r="D48" s="126"/>
      <c r="E48" s="125"/>
      <c r="F48" s="125"/>
    </row>
    <row r="49">
      <c r="A49" s="41"/>
      <c r="B49" s="41"/>
      <c r="C49" s="41"/>
      <c r="D49" s="126"/>
      <c r="E49" s="125"/>
      <c r="F49" s="125"/>
    </row>
    <row r="50">
      <c r="A50" s="41"/>
      <c r="B50" s="41"/>
      <c r="C50" s="41"/>
      <c r="D50" s="126"/>
      <c r="E50" s="125"/>
      <c r="F50" s="125"/>
    </row>
    <row r="51">
      <c r="A51" s="41"/>
      <c r="B51" s="41"/>
      <c r="C51" s="41"/>
      <c r="D51" s="126"/>
      <c r="E51" s="125"/>
      <c r="F51" s="125"/>
    </row>
    <row r="52">
      <c r="A52" s="41"/>
      <c r="B52" s="41"/>
      <c r="C52" s="41"/>
      <c r="D52" s="126"/>
      <c r="E52" s="125"/>
      <c r="F52" s="125"/>
    </row>
    <row r="53">
      <c r="A53" s="41"/>
      <c r="B53" s="41"/>
      <c r="C53" s="41"/>
      <c r="D53" s="126"/>
      <c r="E53" s="125"/>
      <c r="F53" s="125"/>
    </row>
    <row r="54">
      <c r="A54" s="41"/>
      <c r="B54" s="41"/>
      <c r="C54" s="41"/>
      <c r="D54" s="126"/>
      <c r="E54" s="125"/>
      <c r="F54" s="125"/>
    </row>
    <row r="55">
      <c r="A55" s="41"/>
      <c r="B55" s="41"/>
      <c r="C55" s="41"/>
      <c r="D55" s="126"/>
      <c r="E55" s="125"/>
      <c r="F55" s="125"/>
    </row>
    <row r="56">
      <c r="A56" s="41"/>
      <c r="B56" s="41"/>
      <c r="C56" s="41"/>
      <c r="D56" s="126"/>
      <c r="E56" s="125"/>
      <c r="F56" s="125"/>
    </row>
    <row r="57">
      <c r="A57" s="41"/>
      <c r="B57" s="41"/>
      <c r="C57" s="41"/>
      <c r="D57" s="126"/>
      <c r="E57" s="125"/>
      <c r="F57" s="125"/>
    </row>
    <row r="58">
      <c r="A58" s="41"/>
      <c r="B58" s="41"/>
      <c r="C58" s="41"/>
      <c r="D58" s="126"/>
      <c r="E58" s="125"/>
      <c r="F58" s="125"/>
    </row>
    <row r="59">
      <c r="A59" s="41"/>
      <c r="B59" s="41"/>
      <c r="C59" s="41"/>
      <c r="D59" s="126"/>
      <c r="E59" s="125"/>
      <c r="F59" s="125"/>
    </row>
    <row r="60">
      <c r="A60" s="41"/>
      <c r="B60" s="41"/>
      <c r="C60" s="41"/>
      <c r="D60" s="126"/>
      <c r="E60" s="125"/>
      <c r="F60" s="125"/>
    </row>
    <row r="61">
      <c r="A61" s="41"/>
      <c r="B61" s="41"/>
      <c r="C61" s="41"/>
      <c r="D61" s="126"/>
      <c r="E61" s="125"/>
      <c r="F61" s="125"/>
    </row>
    <row r="62">
      <c r="A62" s="41"/>
      <c r="B62" s="41"/>
      <c r="C62" s="41"/>
      <c r="D62" s="126"/>
      <c r="E62" s="125"/>
      <c r="F62" s="125"/>
    </row>
    <row r="63">
      <c r="A63" s="41"/>
      <c r="B63" s="41"/>
      <c r="C63" s="41"/>
      <c r="D63" s="126"/>
      <c r="E63" s="125"/>
      <c r="F63" s="125"/>
    </row>
    <row r="64">
      <c r="A64" s="41"/>
      <c r="B64" s="41"/>
      <c r="C64" s="41"/>
      <c r="D64" s="126"/>
      <c r="E64" s="125"/>
      <c r="F64" s="125"/>
    </row>
    <row r="65">
      <c r="A65" s="41"/>
      <c r="B65" s="41"/>
      <c r="C65" s="41"/>
      <c r="D65" s="126"/>
      <c r="E65" s="125"/>
      <c r="F65" s="125"/>
    </row>
    <row r="66">
      <c r="A66" s="41"/>
      <c r="B66" s="41"/>
      <c r="C66" s="41"/>
      <c r="D66" s="126"/>
      <c r="E66" s="125"/>
      <c r="F66" s="125"/>
    </row>
    <row r="67">
      <c r="A67" s="41"/>
      <c r="B67" s="41"/>
      <c r="C67" s="41"/>
      <c r="D67" s="126"/>
      <c r="E67" s="125"/>
      <c r="F67" s="125"/>
    </row>
    <row r="68">
      <c r="A68" s="41"/>
      <c r="B68" s="41"/>
      <c r="C68" s="41"/>
      <c r="D68" s="126"/>
      <c r="E68" s="125"/>
      <c r="F68" s="125"/>
    </row>
    <row r="69">
      <c r="A69" s="41"/>
      <c r="B69" s="41"/>
      <c r="C69" s="41"/>
      <c r="D69" s="126"/>
      <c r="E69" s="125"/>
      <c r="F69" s="125"/>
    </row>
    <row r="70">
      <c r="A70" s="41"/>
      <c r="B70" s="41"/>
      <c r="C70" s="41"/>
      <c r="D70" s="126"/>
      <c r="E70" s="125"/>
      <c r="F70" s="125"/>
    </row>
    <row r="71">
      <c r="A71" s="41"/>
      <c r="B71" s="41"/>
      <c r="C71" s="41"/>
      <c r="D71" s="126"/>
      <c r="E71" s="125"/>
      <c r="F71" s="125"/>
    </row>
    <row r="72">
      <c r="A72" s="41"/>
      <c r="B72" s="41"/>
      <c r="C72" s="41"/>
      <c r="D72" s="126"/>
      <c r="E72" s="125"/>
      <c r="F72" s="125"/>
    </row>
    <row r="73">
      <c r="A73" s="41"/>
      <c r="B73" s="41"/>
      <c r="C73" s="41"/>
      <c r="D73" s="126"/>
      <c r="E73" s="125"/>
      <c r="F73" s="125"/>
    </row>
    <row r="74">
      <c r="A74" s="41"/>
      <c r="B74" s="41"/>
      <c r="C74" s="41"/>
      <c r="D74" s="126"/>
      <c r="E74" s="125"/>
      <c r="F74" s="125"/>
    </row>
    <row r="75">
      <c r="A75" s="41"/>
      <c r="B75" s="41"/>
      <c r="C75" s="41"/>
      <c r="D75" s="126"/>
      <c r="E75" s="125"/>
      <c r="F75" s="125"/>
    </row>
    <row r="76">
      <c r="A76" s="41"/>
      <c r="B76" s="41"/>
      <c r="C76" s="41"/>
      <c r="D76" s="126"/>
      <c r="E76" s="125"/>
      <c r="F76" s="125"/>
    </row>
    <row r="77">
      <c r="A77" s="41"/>
      <c r="B77" s="41"/>
      <c r="C77" s="41"/>
      <c r="D77" s="126"/>
      <c r="E77" s="125"/>
      <c r="F77" s="125"/>
    </row>
    <row r="78">
      <c r="A78" s="41"/>
      <c r="B78" s="41"/>
      <c r="C78" s="41"/>
      <c r="D78" s="126"/>
      <c r="E78" s="125"/>
      <c r="F78" s="125"/>
    </row>
    <row r="79">
      <c r="A79" s="41"/>
      <c r="B79" s="41"/>
      <c r="C79" s="41"/>
      <c r="D79" s="126"/>
      <c r="E79" s="125"/>
      <c r="F79" s="125"/>
    </row>
    <row r="80">
      <c r="A80" s="41"/>
      <c r="B80" s="41"/>
      <c r="C80" s="41"/>
      <c r="D80" s="126"/>
      <c r="E80" s="125"/>
      <c r="F80" s="125"/>
    </row>
    <row r="81">
      <c r="A81" s="41"/>
      <c r="B81" s="41"/>
      <c r="C81" s="41"/>
      <c r="D81" s="126"/>
      <c r="E81" s="125"/>
      <c r="F81" s="125"/>
    </row>
    <row r="82">
      <c r="A82" s="41"/>
      <c r="B82" s="41"/>
      <c r="C82" s="41"/>
      <c r="D82" s="126"/>
      <c r="E82" s="125"/>
      <c r="F82" s="125"/>
    </row>
    <row r="83">
      <c r="A83" s="41"/>
      <c r="B83" s="41"/>
      <c r="C83" s="41"/>
      <c r="D83" s="126"/>
      <c r="E83" s="125"/>
      <c r="F83" s="125"/>
    </row>
    <row r="84">
      <c r="A84" s="41"/>
      <c r="B84" s="41"/>
      <c r="C84" s="41"/>
      <c r="D84" s="126"/>
      <c r="E84" s="125"/>
      <c r="F84" s="125"/>
    </row>
    <row r="85">
      <c r="A85" s="41"/>
      <c r="B85" s="41"/>
      <c r="C85" s="41"/>
      <c r="D85" s="126"/>
      <c r="E85" s="125"/>
      <c r="F85" s="125"/>
    </row>
    <row r="86">
      <c r="A86" s="41"/>
      <c r="B86" s="41"/>
      <c r="C86" s="41"/>
      <c r="D86" s="126"/>
      <c r="E86" s="125"/>
      <c r="F86" s="125"/>
    </row>
    <row r="87">
      <c r="A87" s="41"/>
      <c r="B87" s="41"/>
      <c r="C87" s="41"/>
      <c r="D87" s="126"/>
      <c r="E87" s="125"/>
      <c r="F87" s="125"/>
    </row>
    <row r="88">
      <c r="A88" s="41"/>
      <c r="B88" s="41"/>
      <c r="C88" s="41"/>
      <c r="D88" s="126"/>
      <c r="E88" s="125"/>
      <c r="F88" s="125"/>
    </row>
    <row r="89">
      <c r="A89" s="41"/>
      <c r="B89" s="41"/>
      <c r="C89" s="41"/>
      <c r="D89" s="126"/>
      <c r="E89" s="125"/>
      <c r="F89" s="125"/>
    </row>
    <row r="90">
      <c r="A90" s="41"/>
      <c r="B90" s="41"/>
      <c r="C90" s="41"/>
      <c r="D90" s="126"/>
      <c r="E90" s="125"/>
      <c r="F90" s="125"/>
    </row>
    <row r="91">
      <c r="A91" s="41"/>
      <c r="B91" s="41"/>
      <c r="C91" s="41"/>
      <c r="D91" s="126"/>
      <c r="E91" s="125"/>
      <c r="F91" s="125"/>
    </row>
    <row r="92">
      <c r="A92" s="41"/>
      <c r="B92" s="41"/>
      <c r="C92" s="41"/>
      <c r="D92" s="126"/>
      <c r="E92" s="125"/>
      <c r="F92" s="125"/>
    </row>
    <row r="93">
      <c r="A93" s="41"/>
      <c r="B93" s="41"/>
      <c r="C93" s="41"/>
      <c r="D93" s="126"/>
      <c r="E93" s="125"/>
      <c r="F93" s="125"/>
    </row>
    <row r="94">
      <c r="A94" s="41"/>
      <c r="B94" s="41"/>
      <c r="C94" s="41"/>
      <c r="D94" s="126"/>
      <c r="E94" s="125"/>
      <c r="F94" s="125"/>
    </row>
    <row r="95">
      <c r="A95" s="41"/>
      <c r="B95" s="41"/>
      <c r="C95" s="41"/>
      <c r="D95" s="126"/>
      <c r="E95" s="125"/>
      <c r="F95" s="125"/>
    </row>
    <row r="96">
      <c r="A96" s="41"/>
      <c r="B96" s="41"/>
      <c r="C96" s="41"/>
      <c r="D96" s="126"/>
      <c r="E96" s="125"/>
      <c r="F96" s="125"/>
    </row>
    <row r="97">
      <c r="A97" s="41"/>
      <c r="B97" s="41"/>
      <c r="C97" s="41"/>
      <c r="D97" s="126"/>
      <c r="E97" s="125"/>
      <c r="F97" s="125"/>
    </row>
    <row r="98">
      <c r="A98" s="41"/>
      <c r="B98" s="41"/>
      <c r="C98" s="41"/>
      <c r="D98" s="126"/>
      <c r="E98" s="125"/>
      <c r="F98" s="125"/>
    </row>
    <row r="99">
      <c r="A99" s="41"/>
      <c r="B99" s="41"/>
      <c r="C99" s="41"/>
      <c r="D99" s="126"/>
      <c r="E99" s="125"/>
      <c r="F99" s="125"/>
    </row>
    <row r="100">
      <c r="A100" s="41"/>
      <c r="B100" s="41"/>
      <c r="C100" s="41"/>
      <c r="D100" s="126"/>
      <c r="E100" s="125"/>
      <c r="F100" s="125"/>
    </row>
    <row r="101">
      <c r="A101" s="41"/>
      <c r="B101" s="41"/>
      <c r="C101" s="41"/>
      <c r="D101" s="126"/>
      <c r="E101" s="125"/>
      <c r="F101" s="125"/>
    </row>
    <row r="102">
      <c r="A102" s="41"/>
      <c r="B102" s="41"/>
      <c r="C102" s="41"/>
      <c r="D102" s="126"/>
      <c r="E102" s="125"/>
      <c r="F102" s="125"/>
    </row>
    <row r="103">
      <c r="A103" s="41"/>
      <c r="B103" s="41"/>
      <c r="C103" s="41"/>
      <c r="D103" s="126"/>
      <c r="E103" s="125"/>
      <c r="F103" s="125"/>
    </row>
    <row r="104">
      <c r="A104" s="41"/>
      <c r="B104" s="41"/>
      <c r="C104" s="41"/>
      <c r="D104" s="126"/>
      <c r="E104" s="125"/>
      <c r="F104" s="125"/>
    </row>
    <row r="105">
      <c r="A105" s="41"/>
      <c r="B105" s="41"/>
      <c r="C105" s="41"/>
      <c r="D105" s="126"/>
      <c r="E105" s="125"/>
      <c r="F105" s="125"/>
    </row>
    <row r="106">
      <c r="A106" s="41"/>
      <c r="B106" s="41"/>
      <c r="C106" s="41"/>
      <c r="D106" s="126"/>
      <c r="E106" s="125"/>
      <c r="F106" s="125"/>
    </row>
    <row r="107">
      <c r="A107" s="41"/>
      <c r="B107" s="41"/>
      <c r="C107" s="41"/>
      <c r="D107" s="126"/>
      <c r="E107" s="125"/>
      <c r="F107" s="125"/>
    </row>
    <row r="108">
      <c r="A108" s="41"/>
      <c r="B108" s="41"/>
      <c r="C108" s="41"/>
      <c r="D108" s="126"/>
      <c r="E108" s="125"/>
      <c r="F108" s="125"/>
    </row>
    <row r="109">
      <c r="A109" s="41"/>
      <c r="B109" s="41"/>
      <c r="C109" s="41"/>
      <c r="D109" s="126"/>
      <c r="E109" s="125"/>
      <c r="F109" s="125"/>
    </row>
    <row r="110">
      <c r="A110" s="41"/>
      <c r="B110" s="41"/>
      <c r="C110" s="41"/>
      <c r="D110" s="126"/>
      <c r="E110" s="125"/>
      <c r="F110" s="125"/>
    </row>
    <row r="111">
      <c r="A111" s="41"/>
      <c r="B111" s="41"/>
      <c r="C111" s="41"/>
      <c r="D111" s="126"/>
      <c r="E111" s="125"/>
      <c r="F111" s="125"/>
    </row>
    <row r="112">
      <c r="A112" s="41"/>
      <c r="B112" s="41"/>
      <c r="C112" s="41"/>
      <c r="D112" s="126"/>
      <c r="E112" s="125"/>
      <c r="F112" s="125"/>
    </row>
    <row r="113">
      <c r="A113" s="41"/>
      <c r="B113" s="41"/>
      <c r="C113" s="41"/>
      <c r="D113" s="126"/>
      <c r="E113" s="125"/>
      <c r="F113" s="125"/>
    </row>
    <row r="114">
      <c r="A114" s="41"/>
      <c r="B114" s="41"/>
      <c r="C114" s="41"/>
      <c r="D114" s="126"/>
      <c r="E114" s="125"/>
      <c r="F114" s="125"/>
    </row>
    <row r="115">
      <c r="A115" s="41"/>
      <c r="B115" s="41"/>
      <c r="C115" s="41"/>
      <c r="D115" s="126"/>
      <c r="E115" s="125"/>
      <c r="F115" s="125"/>
    </row>
    <row r="116">
      <c r="A116" s="41"/>
      <c r="B116" s="41"/>
      <c r="C116" s="41"/>
      <c r="D116" s="126"/>
      <c r="E116" s="125"/>
      <c r="F116" s="125"/>
    </row>
    <row r="117">
      <c r="A117" s="41"/>
      <c r="B117" s="41"/>
      <c r="C117" s="41"/>
      <c r="D117" s="126"/>
      <c r="E117" s="125"/>
      <c r="F117" s="125"/>
    </row>
    <row r="118">
      <c r="A118" s="41"/>
      <c r="B118" s="41"/>
      <c r="C118" s="41"/>
      <c r="D118" s="126"/>
      <c r="E118" s="125"/>
      <c r="F118" s="125"/>
    </row>
    <row r="119">
      <c r="A119" s="41"/>
      <c r="B119" s="41"/>
      <c r="C119" s="41"/>
      <c r="D119" s="126"/>
      <c r="E119" s="125"/>
      <c r="F119" s="125"/>
    </row>
    <row r="120">
      <c r="A120" s="41"/>
      <c r="B120" s="41"/>
      <c r="C120" s="41"/>
      <c r="D120" s="126"/>
      <c r="E120" s="125"/>
      <c r="F120" s="125"/>
    </row>
    <row r="121">
      <c r="A121" s="41"/>
      <c r="B121" s="41"/>
      <c r="C121" s="41"/>
      <c r="D121" s="126"/>
      <c r="E121" s="125"/>
      <c r="F121" s="125"/>
    </row>
    <row r="122">
      <c r="A122" s="41"/>
      <c r="B122" s="41"/>
      <c r="C122" s="41"/>
      <c r="D122" s="126"/>
      <c r="E122" s="125"/>
      <c r="F122" s="125"/>
    </row>
    <row r="123">
      <c r="A123" s="41"/>
      <c r="B123" s="41"/>
      <c r="C123" s="41"/>
      <c r="D123" s="126"/>
      <c r="E123" s="125"/>
      <c r="F123" s="125"/>
    </row>
    <row r="124">
      <c r="A124" s="41"/>
      <c r="B124" s="41"/>
      <c r="C124" s="41"/>
      <c r="D124" s="126"/>
      <c r="E124" s="125"/>
      <c r="F124" s="125"/>
    </row>
    <row r="125">
      <c r="A125" s="41"/>
      <c r="B125" s="41"/>
      <c r="C125" s="41"/>
      <c r="D125" s="126"/>
      <c r="E125" s="125"/>
      <c r="F125" s="125"/>
    </row>
    <row r="126">
      <c r="A126" s="41"/>
      <c r="B126" s="41"/>
      <c r="C126" s="41"/>
      <c r="D126" s="126"/>
      <c r="E126" s="125"/>
      <c r="F126" s="125"/>
    </row>
    <row r="127">
      <c r="A127" s="41"/>
      <c r="B127" s="41"/>
      <c r="C127" s="41"/>
      <c r="D127" s="126"/>
      <c r="E127" s="125"/>
      <c r="F127" s="125"/>
    </row>
    <row r="128">
      <c r="A128" s="41"/>
      <c r="B128" s="41"/>
      <c r="C128" s="41"/>
      <c r="D128" s="126"/>
      <c r="E128" s="125"/>
      <c r="F128" s="125"/>
    </row>
    <row r="129">
      <c r="A129" s="41"/>
      <c r="B129" s="41"/>
      <c r="C129" s="41"/>
      <c r="D129" s="126"/>
      <c r="E129" s="125"/>
      <c r="F129" s="125"/>
    </row>
    <row r="130">
      <c r="A130" s="41"/>
      <c r="B130" s="41"/>
      <c r="C130" s="41"/>
      <c r="D130" s="126"/>
      <c r="E130" s="125"/>
      <c r="F130" s="125"/>
    </row>
    <row r="131">
      <c r="A131" s="41"/>
      <c r="B131" s="41"/>
      <c r="C131" s="41"/>
      <c r="D131" s="126"/>
      <c r="E131" s="125"/>
      <c r="F131" s="125"/>
    </row>
    <row r="132">
      <c r="A132" s="41"/>
      <c r="B132" s="41"/>
      <c r="C132" s="41"/>
      <c r="D132" s="126"/>
      <c r="E132" s="125"/>
      <c r="F132" s="125"/>
    </row>
    <row r="133">
      <c r="A133" s="41"/>
      <c r="B133" s="41"/>
      <c r="C133" s="41"/>
      <c r="D133" s="126"/>
      <c r="E133" s="125"/>
      <c r="F133" s="125"/>
    </row>
    <row r="134">
      <c r="A134" s="41"/>
      <c r="B134" s="41"/>
      <c r="C134" s="41"/>
      <c r="D134" s="126"/>
      <c r="E134" s="125"/>
      <c r="F134" s="125"/>
    </row>
    <row r="135">
      <c r="A135" s="41"/>
      <c r="B135" s="41"/>
      <c r="C135" s="41"/>
      <c r="D135" s="126"/>
      <c r="E135" s="125"/>
      <c r="F135" s="125"/>
    </row>
    <row r="136">
      <c r="A136" s="41"/>
      <c r="B136" s="41"/>
      <c r="C136" s="41"/>
      <c r="D136" s="126"/>
      <c r="E136" s="125"/>
      <c r="F136" s="125"/>
    </row>
    <row r="137">
      <c r="A137" s="41"/>
      <c r="B137" s="41"/>
      <c r="C137" s="41"/>
      <c r="D137" s="126"/>
      <c r="E137" s="125"/>
      <c r="F137" s="125"/>
    </row>
    <row r="138">
      <c r="A138" s="41"/>
      <c r="B138" s="41"/>
      <c r="C138" s="41"/>
      <c r="D138" s="126"/>
      <c r="E138" s="125"/>
      <c r="F138" s="125"/>
    </row>
    <row r="139">
      <c r="A139" s="41"/>
      <c r="B139" s="41"/>
      <c r="C139" s="41"/>
      <c r="D139" s="126"/>
      <c r="E139" s="125"/>
      <c r="F139" s="125"/>
    </row>
    <row r="140">
      <c r="A140" s="41"/>
      <c r="B140" s="41"/>
      <c r="C140" s="41"/>
      <c r="D140" s="126"/>
      <c r="E140" s="125"/>
      <c r="F140" s="125"/>
    </row>
    <row r="141">
      <c r="A141" s="41"/>
      <c r="B141" s="41"/>
      <c r="C141" s="41"/>
      <c r="D141" s="126"/>
      <c r="E141" s="125"/>
      <c r="F141" s="125"/>
    </row>
    <row r="142">
      <c r="A142" s="41"/>
      <c r="B142" s="41"/>
      <c r="C142" s="41"/>
      <c r="D142" s="126"/>
      <c r="E142" s="125"/>
      <c r="F142" s="125"/>
    </row>
    <row r="143">
      <c r="A143" s="41"/>
      <c r="B143" s="41"/>
      <c r="C143" s="41"/>
      <c r="D143" s="126"/>
      <c r="E143" s="125"/>
      <c r="F143" s="125"/>
    </row>
    <row r="144">
      <c r="A144" s="41"/>
      <c r="B144" s="41"/>
      <c r="C144" s="41"/>
      <c r="D144" s="126"/>
      <c r="E144" s="125"/>
      <c r="F144" s="125"/>
    </row>
    <row r="145">
      <c r="A145" s="41"/>
      <c r="B145" s="41"/>
      <c r="C145" s="41"/>
      <c r="D145" s="126"/>
      <c r="E145" s="125"/>
      <c r="F145" s="125"/>
    </row>
    <row r="146">
      <c r="A146" s="41"/>
      <c r="B146" s="41"/>
      <c r="C146" s="41"/>
      <c r="D146" s="126"/>
      <c r="E146" s="125"/>
      <c r="F146" s="125"/>
    </row>
    <row r="147">
      <c r="A147" s="41"/>
      <c r="B147" s="41"/>
      <c r="C147" s="41"/>
      <c r="D147" s="126"/>
      <c r="E147" s="125"/>
      <c r="F147" s="125"/>
    </row>
    <row r="148">
      <c r="A148" s="41"/>
      <c r="B148" s="41"/>
      <c r="C148" s="41"/>
      <c r="D148" s="126"/>
      <c r="E148" s="125"/>
      <c r="F148" s="125"/>
    </row>
    <row r="149">
      <c r="A149" s="41"/>
      <c r="B149" s="41"/>
      <c r="C149" s="41"/>
      <c r="D149" s="126"/>
      <c r="E149" s="125"/>
      <c r="F149" s="125"/>
    </row>
    <row r="150">
      <c r="A150" s="41"/>
      <c r="B150" s="41"/>
      <c r="C150" s="41"/>
      <c r="D150" s="126"/>
      <c r="E150" s="125"/>
      <c r="F150" s="125"/>
    </row>
    <row r="151">
      <c r="A151" s="41"/>
      <c r="B151" s="41"/>
      <c r="C151" s="41"/>
      <c r="D151" s="126"/>
      <c r="E151" s="125"/>
      <c r="F151" s="125"/>
    </row>
    <row r="152">
      <c r="A152" s="41"/>
      <c r="B152" s="41"/>
      <c r="C152" s="41"/>
      <c r="D152" s="126"/>
      <c r="E152" s="125"/>
      <c r="F152" s="125"/>
    </row>
    <row r="153">
      <c r="A153" s="41"/>
      <c r="B153" s="41"/>
      <c r="C153" s="41"/>
      <c r="D153" s="126"/>
      <c r="E153" s="125"/>
      <c r="F153" s="125"/>
    </row>
    <row r="154">
      <c r="A154" s="41"/>
      <c r="B154" s="41"/>
      <c r="C154" s="41"/>
      <c r="D154" s="126"/>
      <c r="E154" s="125"/>
      <c r="F154" s="125"/>
    </row>
    <row r="155">
      <c r="A155" s="41"/>
      <c r="B155" s="41"/>
      <c r="C155" s="41"/>
      <c r="D155" s="126"/>
      <c r="E155" s="125"/>
      <c r="F155" s="125"/>
    </row>
    <row r="156">
      <c r="A156" s="41"/>
      <c r="B156" s="41"/>
      <c r="C156" s="41"/>
      <c r="D156" s="126"/>
      <c r="E156" s="125"/>
      <c r="F156" s="125"/>
    </row>
    <row r="157">
      <c r="A157" s="41"/>
      <c r="B157" s="41"/>
      <c r="C157" s="41"/>
      <c r="D157" s="126"/>
      <c r="E157" s="125"/>
      <c r="F157" s="125"/>
    </row>
    <row r="158">
      <c r="A158" s="41"/>
      <c r="B158" s="41"/>
      <c r="C158" s="41"/>
      <c r="D158" s="126"/>
      <c r="E158" s="125"/>
      <c r="F158" s="125"/>
    </row>
    <row r="159">
      <c r="A159" s="41"/>
      <c r="B159" s="41"/>
      <c r="C159" s="41"/>
      <c r="D159" s="126"/>
      <c r="E159" s="125"/>
      <c r="F159" s="125"/>
    </row>
    <row r="160">
      <c r="A160" s="41"/>
      <c r="B160" s="41"/>
      <c r="C160" s="41"/>
      <c r="D160" s="126"/>
      <c r="E160" s="125"/>
      <c r="F160" s="125"/>
    </row>
    <row r="161">
      <c r="A161" s="41"/>
      <c r="B161" s="41"/>
      <c r="C161" s="41"/>
      <c r="D161" s="126"/>
      <c r="E161" s="125"/>
      <c r="F161" s="125"/>
    </row>
    <row r="162">
      <c r="A162" s="41"/>
      <c r="B162" s="41"/>
      <c r="C162" s="41"/>
      <c r="D162" s="126"/>
      <c r="E162" s="125"/>
      <c r="F162" s="125"/>
    </row>
    <row r="163">
      <c r="A163" s="41"/>
      <c r="B163" s="41"/>
      <c r="C163" s="41"/>
      <c r="D163" s="126"/>
      <c r="E163" s="125"/>
      <c r="F163" s="125"/>
    </row>
    <row r="164">
      <c r="A164" s="41"/>
      <c r="B164" s="41"/>
      <c r="C164" s="41"/>
      <c r="D164" s="126"/>
      <c r="E164" s="125"/>
      <c r="F164" s="125"/>
    </row>
    <row r="165">
      <c r="A165" s="41"/>
      <c r="B165" s="41"/>
      <c r="C165" s="41"/>
      <c r="D165" s="126"/>
      <c r="E165" s="125"/>
      <c r="F165" s="125"/>
    </row>
    <row r="166">
      <c r="A166" s="41"/>
      <c r="B166" s="41"/>
      <c r="C166" s="41"/>
      <c r="D166" s="126"/>
      <c r="E166" s="125"/>
      <c r="F166" s="125"/>
    </row>
    <row r="167">
      <c r="A167" s="41"/>
      <c r="B167" s="41"/>
      <c r="C167" s="41"/>
      <c r="D167" s="126"/>
      <c r="E167" s="125"/>
      <c r="F167" s="125"/>
    </row>
    <row r="168">
      <c r="A168" s="41"/>
      <c r="B168" s="41"/>
      <c r="C168" s="41"/>
      <c r="D168" s="126"/>
      <c r="E168" s="125"/>
      <c r="F168" s="125"/>
    </row>
    <row r="169">
      <c r="A169" s="41"/>
      <c r="B169" s="41"/>
      <c r="C169" s="41"/>
      <c r="D169" s="126"/>
      <c r="E169" s="125"/>
      <c r="F169" s="125"/>
    </row>
    <row r="170">
      <c r="A170" s="41"/>
      <c r="B170" s="41"/>
      <c r="C170" s="41"/>
      <c r="D170" s="126"/>
      <c r="E170" s="125"/>
      <c r="F170" s="125"/>
    </row>
    <row r="171">
      <c r="A171" s="41"/>
      <c r="B171" s="41"/>
      <c r="C171" s="41"/>
      <c r="D171" s="126"/>
      <c r="E171" s="125"/>
      <c r="F171" s="125"/>
    </row>
    <row r="172">
      <c r="A172" s="41"/>
      <c r="B172" s="41"/>
      <c r="C172" s="41"/>
      <c r="D172" s="126"/>
      <c r="E172" s="125"/>
      <c r="F172" s="125"/>
    </row>
    <row r="173">
      <c r="A173" s="41"/>
      <c r="B173" s="41"/>
      <c r="C173" s="41"/>
      <c r="D173" s="126"/>
      <c r="E173" s="125"/>
      <c r="F173" s="125"/>
    </row>
    <row r="174">
      <c r="A174" s="41"/>
      <c r="B174" s="41"/>
      <c r="C174" s="41"/>
      <c r="D174" s="126"/>
      <c r="E174" s="125"/>
      <c r="F174" s="125"/>
    </row>
    <row r="175">
      <c r="A175" s="41"/>
      <c r="B175" s="41"/>
      <c r="C175" s="41"/>
      <c r="D175" s="126"/>
      <c r="E175" s="125"/>
      <c r="F175" s="125"/>
    </row>
    <row r="176">
      <c r="A176" s="41"/>
      <c r="B176" s="41"/>
      <c r="C176" s="41"/>
      <c r="D176" s="126"/>
      <c r="E176" s="125"/>
      <c r="F176" s="125"/>
    </row>
    <row r="177">
      <c r="A177" s="41"/>
      <c r="B177" s="41"/>
      <c r="C177" s="41"/>
      <c r="D177" s="126"/>
      <c r="E177" s="125"/>
      <c r="F177" s="125"/>
    </row>
    <row r="178">
      <c r="A178" s="41"/>
      <c r="B178" s="41"/>
      <c r="C178" s="41"/>
      <c r="D178" s="126"/>
      <c r="E178" s="125"/>
      <c r="F178" s="125"/>
    </row>
    <row r="179">
      <c r="A179" s="41"/>
      <c r="B179" s="41"/>
      <c r="C179" s="41"/>
      <c r="D179" s="126"/>
      <c r="E179" s="125"/>
      <c r="F179" s="125"/>
    </row>
    <row r="180">
      <c r="A180" s="41"/>
      <c r="B180" s="41"/>
      <c r="C180" s="41"/>
      <c r="D180" s="126"/>
      <c r="E180" s="125"/>
      <c r="F180" s="125"/>
    </row>
    <row r="181">
      <c r="A181" s="41"/>
      <c r="B181" s="41"/>
      <c r="C181" s="41"/>
      <c r="D181" s="126"/>
      <c r="E181" s="125"/>
      <c r="F181" s="125"/>
    </row>
    <row r="182">
      <c r="A182" s="41"/>
      <c r="B182" s="41"/>
      <c r="C182" s="41"/>
      <c r="D182" s="126"/>
      <c r="E182" s="125"/>
      <c r="F182" s="125"/>
    </row>
    <row r="183">
      <c r="A183" s="41"/>
      <c r="B183" s="41"/>
      <c r="C183" s="41"/>
      <c r="D183" s="126"/>
      <c r="E183" s="125"/>
      <c r="F183" s="125"/>
    </row>
    <row r="184">
      <c r="A184" s="41"/>
      <c r="B184" s="41"/>
      <c r="C184" s="41"/>
      <c r="D184" s="126"/>
      <c r="E184" s="125"/>
      <c r="F184" s="125"/>
    </row>
    <row r="185">
      <c r="A185" s="41"/>
      <c r="B185" s="41"/>
      <c r="C185" s="41"/>
      <c r="D185" s="126"/>
      <c r="E185" s="125"/>
      <c r="F185" s="125"/>
    </row>
    <row r="186">
      <c r="A186" s="41"/>
      <c r="B186" s="41"/>
      <c r="C186" s="41"/>
      <c r="D186" s="126"/>
      <c r="E186" s="125"/>
      <c r="F186" s="125"/>
    </row>
    <row r="187">
      <c r="A187" s="41"/>
      <c r="B187" s="41"/>
      <c r="C187" s="41"/>
      <c r="D187" s="126"/>
      <c r="E187" s="125"/>
      <c r="F187" s="125"/>
    </row>
    <row r="188">
      <c r="A188" s="41"/>
      <c r="B188" s="41"/>
      <c r="C188" s="41"/>
      <c r="D188" s="126"/>
      <c r="E188" s="125"/>
      <c r="F188" s="125"/>
    </row>
    <row r="189">
      <c r="A189" s="41"/>
      <c r="B189" s="41"/>
      <c r="C189" s="41"/>
      <c r="D189" s="126"/>
      <c r="E189" s="125"/>
      <c r="F189" s="125"/>
    </row>
    <row r="190">
      <c r="A190" s="41"/>
      <c r="B190" s="41"/>
      <c r="C190" s="41"/>
      <c r="D190" s="126"/>
      <c r="E190" s="125"/>
      <c r="F190" s="125"/>
    </row>
    <row r="191">
      <c r="A191" s="41"/>
      <c r="B191" s="41"/>
      <c r="C191" s="41"/>
      <c r="D191" s="126"/>
      <c r="E191" s="125"/>
      <c r="F191" s="125"/>
    </row>
    <row r="192">
      <c r="A192" s="41"/>
      <c r="B192" s="41"/>
      <c r="C192" s="41"/>
      <c r="D192" s="126"/>
      <c r="E192" s="125"/>
      <c r="F192" s="125"/>
    </row>
    <row r="193">
      <c r="A193" s="41"/>
      <c r="B193" s="41"/>
      <c r="C193" s="41"/>
      <c r="D193" s="126"/>
      <c r="E193" s="125"/>
      <c r="F193" s="125"/>
    </row>
    <row r="194">
      <c r="A194" s="41"/>
      <c r="B194" s="41"/>
      <c r="C194" s="41"/>
      <c r="D194" s="126"/>
      <c r="E194" s="125"/>
      <c r="F194" s="125"/>
    </row>
    <row r="195">
      <c r="A195" s="41"/>
      <c r="B195" s="41"/>
      <c r="C195" s="41"/>
      <c r="D195" s="126"/>
      <c r="E195" s="125"/>
      <c r="F195" s="125"/>
    </row>
    <row r="196">
      <c r="A196" s="41"/>
      <c r="B196" s="41"/>
      <c r="C196" s="41"/>
      <c r="D196" s="126"/>
      <c r="E196" s="125"/>
      <c r="F196" s="125"/>
    </row>
    <row r="197">
      <c r="A197" s="41"/>
      <c r="B197" s="41"/>
      <c r="C197" s="41"/>
      <c r="D197" s="126"/>
      <c r="E197" s="125"/>
      <c r="F197" s="125"/>
    </row>
    <row r="198">
      <c r="A198" s="41"/>
      <c r="B198" s="41"/>
      <c r="C198" s="41"/>
      <c r="D198" s="126"/>
      <c r="E198" s="125"/>
      <c r="F198" s="125"/>
    </row>
    <row r="199">
      <c r="A199" s="41"/>
      <c r="B199" s="41"/>
      <c r="C199" s="41"/>
      <c r="D199" s="126"/>
      <c r="E199" s="125"/>
      <c r="F199" s="125"/>
    </row>
    <row r="200">
      <c r="A200" s="41"/>
      <c r="B200" s="41"/>
      <c r="C200" s="41"/>
      <c r="D200" s="126"/>
      <c r="E200" s="125"/>
      <c r="F200" s="125"/>
    </row>
    <row r="201">
      <c r="A201" s="41"/>
      <c r="B201" s="41"/>
      <c r="C201" s="41"/>
      <c r="D201" s="126"/>
      <c r="E201" s="125"/>
      <c r="F201" s="125"/>
    </row>
    <row r="202">
      <c r="A202" s="41"/>
      <c r="B202" s="41"/>
      <c r="C202" s="41"/>
      <c r="D202" s="126"/>
      <c r="E202" s="125"/>
      <c r="F202" s="125"/>
    </row>
    <row r="203">
      <c r="A203" s="41"/>
      <c r="B203" s="41"/>
      <c r="C203" s="41"/>
      <c r="D203" s="126"/>
      <c r="E203" s="125"/>
      <c r="F203" s="125"/>
    </row>
    <row r="204">
      <c r="A204" s="41"/>
      <c r="B204" s="41"/>
      <c r="C204" s="41"/>
      <c r="D204" s="126"/>
      <c r="E204" s="125"/>
      <c r="F204" s="125"/>
    </row>
    <row r="205">
      <c r="A205" s="41"/>
      <c r="B205" s="41"/>
      <c r="C205" s="41"/>
      <c r="D205" s="126"/>
      <c r="E205" s="125"/>
      <c r="F205" s="125"/>
    </row>
    <row r="206">
      <c r="A206" s="41"/>
      <c r="B206" s="41"/>
      <c r="C206" s="41"/>
      <c r="D206" s="126"/>
      <c r="E206" s="125"/>
      <c r="F206" s="125"/>
    </row>
    <row r="207">
      <c r="A207" s="41"/>
      <c r="B207" s="41"/>
      <c r="C207" s="41"/>
      <c r="D207" s="126"/>
      <c r="E207" s="125"/>
      <c r="F207" s="125"/>
    </row>
    <row r="208">
      <c r="A208" s="41"/>
      <c r="B208" s="41"/>
      <c r="C208" s="41"/>
      <c r="D208" s="126"/>
      <c r="E208" s="125"/>
      <c r="F208" s="125"/>
    </row>
    <row r="209">
      <c r="A209" s="41"/>
      <c r="B209" s="41"/>
      <c r="C209" s="41"/>
      <c r="D209" s="126"/>
      <c r="E209" s="125"/>
      <c r="F209" s="125"/>
    </row>
    <row r="210">
      <c r="A210" s="41"/>
      <c r="B210" s="41"/>
      <c r="C210" s="41"/>
      <c r="D210" s="126"/>
      <c r="E210" s="125"/>
      <c r="F210" s="125"/>
    </row>
    <row r="211">
      <c r="A211" s="41"/>
      <c r="B211" s="41"/>
      <c r="C211" s="41"/>
      <c r="D211" s="126"/>
      <c r="E211" s="125"/>
      <c r="F211" s="125"/>
    </row>
    <row r="212">
      <c r="A212" s="41"/>
      <c r="B212" s="41"/>
      <c r="C212" s="41"/>
      <c r="D212" s="126"/>
      <c r="E212" s="125"/>
      <c r="F212" s="125"/>
    </row>
    <row r="213">
      <c r="A213" s="41"/>
      <c r="B213" s="41"/>
      <c r="C213" s="41"/>
      <c r="D213" s="126"/>
      <c r="E213" s="125"/>
      <c r="F213" s="125"/>
    </row>
    <row r="214">
      <c r="A214" s="41"/>
      <c r="B214" s="41"/>
      <c r="C214" s="41"/>
      <c r="D214" s="126"/>
      <c r="E214" s="125"/>
      <c r="F214" s="125"/>
    </row>
    <row r="215">
      <c r="A215" s="41"/>
      <c r="B215" s="41"/>
      <c r="C215" s="41"/>
      <c r="D215" s="126"/>
      <c r="E215" s="125"/>
      <c r="F215" s="125"/>
    </row>
    <row r="216">
      <c r="A216" s="41"/>
      <c r="B216" s="41"/>
      <c r="C216" s="41"/>
      <c r="D216" s="126"/>
      <c r="E216" s="125"/>
      <c r="F216" s="125"/>
    </row>
    <row r="217">
      <c r="A217" s="41"/>
      <c r="B217" s="41"/>
      <c r="C217" s="41"/>
      <c r="D217" s="126"/>
      <c r="E217" s="125"/>
      <c r="F217" s="125"/>
    </row>
    <row r="218">
      <c r="A218" s="41"/>
      <c r="B218" s="41"/>
      <c r="C218" s="41"/>
      <c r="D218" s="126"/>
      <c r="E218" s="125"/>
      <c r="F218" s="125"/>
    </row>
    <row r="219">
      <c r="A219" s="41"/>
      <c r="B219" s="41"/>
      <c r="C219" s="41"/>
      <c r="D219" s="126"/>
      <c r="E219" s="125"/>
      <c r="F219" s="125"/>
    </row>
    <row r="220">
      <c r="A220" s="41"/>
      <c r="B220" s="41"/>
      <c r="C220" s="41"/>
      <c r="D220" s="126"/>
      <c r="E220" s="125"/>
      <c r="F220" s="125"/>
    </row>
    <row r="221">
      <c r="A221" s="41"/>
      <c r="B221" s="41"/>
      <c r="C221" s="41"/>
      <c r="D221" s="126"/>
      <c r="E221" s="125"/>
      <c r="F221" s="125"/>
    </row>
    <row r="222">
      <c r="A222" s="41"/>
      <c r="B222" s="41"/>
      <c r="C222" s="41"/>
      <c r="D222" s="126"/>
      <c r="E222" s="125"/>
      <c r="F222" s="125"/>
    </row>
    <row r="223">
      <c r="A223" s="41"/>
      <c r="B223" s="41"/>
      <c r="C223" s="41"/>
      <c r="D223" s="126"/>
      <c r="E223" s="125"/>
      <c r="F223" s="125"/>
    </row>
    <row r="224">
      <c r="A224" s="41"/>
      <c r="B224" s="41"/>
      <c r="C224" s="41"/>
      <c r="D224" s="126"/>
      <c r="E224" s="125"/>
      <c r="F224" s="125"/>
    </row>
    <row r="225">
      <c r="A225" s="41"/>
      <c r="B225" s="41"/>
      <c r="C225" s="41"/>
      <c r="D225" s="126"/>
      <c r="E225" s="125"/>
      <c r="F225" s="125"/>
    </row>
    <row r="226">
      <c r="A226" s="41"/>
      <c r="B226" s="41"/>
      <c r="C226" s="41"/>
      <c r="D226" s="126"/>
      <c r="E226" s="125"/>
      <c r="F226" s="125"/>
    </row>
    <row r="227">
      <c r="A227" s="41"/>
      <c r="B227" s="41"/>
      <c r="C227" s="41"/>
      <c r="D227" s="126"/>
      <c r="E227" s="125"/>
      <c r="F227" s="125"/>
    </row>
    <row r="228">
      <c r="A228" s="41"/>
      <c r="B228" s="41"/>
      <c r="C228" s="41"/>
      <c r="D228" s="126"/>
      <c r="E228" s="125"/>
      <c r="F228" s="125"/>
    </row>
    <row r="229">
      <c r="A229" s="41"/>
      <c r="B229" s="41"/>
      <c r="C229" s="41"/>
      <c r="D229" s="126"/>
      <c r="E229" s="125"/>
      <c r="F229" s="125"/>
    </row>
    <row r="230">
      <c r="A230" s="41"/>
      <c r="B230" s="41"/>
      <c r="C230" s="41"/>
      <c r="D230" s="126"/>
      <c r="E230" s="125"/>
      <c r="F230" s="125"/>
    </row>
    <row r="231">
      <c r="A231" s="41"/>
      <c r="B231" s="41"/>
      <c r="C231" s="41"/>
      <c r="D231" s="126"/>
      <c r="E231" s="125"/>
      <c r="F231" s="125"/>
    </row>
    <row r="232">
      <c r="A232" s="41"/>
      <c r="B232" s="41"/>
      <c r="C232" s="41"/>
      <c r="D232" s="126"/>
      <c r="E232" s="125"/>
      <c r="F232" s="125"/>
    </row>
    <row r="233">
      <c r="A233" s="41"/>
      <c r="B233" s="41"/>
      <c r="C233" s="41"/>
      <c r="D233" s="126"/>
      <c r="E233" s="125"/>
      <c r="F233" s="125"/>
    </row>
    <row r="234">
      <c r="A234" s="41"/>
      <c r="B234" s="41"/>
      <c r="C234" s="41"/>
      <c r="D234" s="126"/>
      <c r="E234" s="125"/>
      <c r="F234" s="125"/>
    </row>
    <row r="235">
      <c r="A235" s="41"/>
      <c r="B235" s="41"/>
      <c r="C235" s="41"/>
      <c r="D235" s="126"/>
      <c r="E235" s="125"/>
      <c r="F235" s="125"/>
    </row>
    <row r="236">
      <c r="A236" s="41"/>
      <c r="B236" s="41"/>
      <c r="C236" s="41"/>
      <c r="D236" s="126"/>
      <c r="E236" s="125"/>
      <c r="F236" s="125"/>
    </row>
    <row r="237">
      <c r="A237" s="41"/>
      <c r="B237" s="41"/>
      <c r="C237" s="41"/>
      <c r="D237" s="126"/>
      <c r="E237" s="125"/>
      <c r="F237" s="125"/>
    </row>
    <row r="238">
      <c r="A238" s="41"/>
      <c r="B238" s="41"/>
      <c r="C238" s="41"/>
      <c r="D238" s="126"/>
      <c r="E238" s="125"/>
      <c r="F238" s="125"/>
    </row>
    <row r="239">
      <c r="A239" s="41"/>
      <c r="B239" s="41"/>
      <c r="C239" s="41"/>
      <c r="D239" s="126"/>
      <c r="E239" s="125"/>
      <c r="F239" s="125"/>
    </row>
    <row r="240">
      <c r="A240" s="41"/>
      <c r="B240" s="41"/>
      <c r="C240" s="41"/>
      <c r="D240" s="126"/>
      <c r="E240" s="125"/>
      <c r="F240" s="125"/>
    </row>
    <row r="241">
      <c r="A241" s="41"/>
      <c r="B241" s="41"/>
      <c r="C241" s="41"/>
      <c r="D241" s="126"/>
      <c r="E241" s="125"/>
      <c r="F241" s="125"/>
    </row>
    <row r="242">
      <c r="A242" s="41"/>
      <c r="B242" s="41"/>
      <c r="C242" s="41"/>
      <c r="D242" s="126"/>
      <c r="E242" s="125"/>
      <c r="F242" s="125"/>
    </row>
    <row r="243">
      <c r="A243" s="41"/>
      <c r="B243" s="41"/>
      <c r="C243" s="41"/>
      <c r="D243" s="126"/>
      <c r="E243" s="125"/>
      <c r="F243" s="125"/>
    </row>
    <row r="244">
      <c r="A244" s="41"/>
      <c r="B244" s="41"/>
      <c r="C244" s="41"/>
      <c r="D244" s="126"/>
      <c r="E244" s="125"/>
      <c r="F244" s="125"/>
    </row>
    <row r="245">
      <c r="A245" s="41"/>
      <c r="B245" s="41"/>
      <c r="C245" s="41"/>
      <c r="D245" s="126"/>
      <c r="E245" s="125"/>
      <c r="F245" s="125"/>
    </row>
    <row r="246">
      <c r="A246" s="41"/>
      <c r="B246" s="41"/>
      <c r="C246" s="41"/>
      <c r="D246" s="126"/>
      <c r="E246" s="125"/>
      <c r="F246" s="125"/>
    </row>
    <row r="247">
      <c r="A247" s="41"/>
      <c r="B247" s="41"/>
      <c r="C247" s="41"/>
      <c r="D247" s="126"/>
      <c r="E247" s="125"/>
      <c r="F247" s="125"/>
    </row>
    <row r="248">
      <c r="A248" s="41"/>
      <c r="B248" s="41"/>
      <c r="C248" s="41"/>
      <c r="D248" s="126"/>
      <c r="E248" s="125"/>
      <c r="F248" s="125"/>
    </row>
    <row r="249">
      <c r="A249" s="41"/>
      <c r="B249" s="41"/>
      <c r="C249" s="41"/>
      <c r="D249" s="126"/>
      <c r="E249" s="125"/>
      <c r="F249" s="125"/>
    </row>
    <row r="250">
      <c r="A250" s="41"/>
      <c r="B250" s="41"/>
      <c r="C250" s="41"/>
      <c r="D250" s="126"/>
      <c r="E250" s="125"/>
      <c r="F250" s="125"/>
    </row>
    <row r="251">
      <c r="A251" s="41"/>
      <c r="B251" s="41"/>
      <c r="C251" s="41"/>
      <c r="D251" s="126"/>
      <c r="E251" s="125"/>
      <c r="F251" s="125"/>
    </row>
    <row r="252">
      <c r="A252" s="41"/>
      <c r="B252" s="41"/>
      <c r="C252" s="41"/>
      <c r="D252" s="126"/>
      <c r="E252" s="125"/>
      <c r="F252" s="125"/>
    </row>
    <row r="253">
      <c r="A253" s="41"/>
      <c r="B253" s="41"/>
      <c r="C253" s="41"/>
      <c r="D253" s="126"/>
      <c r="E253" s="125"/>
      <c r="F253" s="125"/>
    </row>
    <row r="254">
      <c r="A254" s="41"/>
      <c r="B254" s="41"/>
      <c r="C254" s="41"/>
      <c r="D254" s="126"/>
      <c r="E254" s="125"/>
      <c r="F254" s="125"/>
    </row>
    <row r="255">
      <c r="A255" s="41"/>
      <c r="B255" s="41"/>
      <c r="C255" s="41"/>
      <c r="D255" s="126"/>
      <c r="E255" s="125"/>
      <c r="F255" s="125"/>
    </row>
    <row r="256">
      <c r="A256" s="41"/>
      <c r="B256" s="41"/>
      <c r="C256" s="41"/>
      <c r="D256" s="126"/>
      <c r="E256" s="125"/>
      <c r="F256" s="125"/>
    </row>
    <row r="257">
      <c r="A257" s="41"/>
      <c r="B257" s="41"/>
      <c r="C257" s="41"/>
      <c r="D257" s="126"/>
      <c r="E257" s="125"/>
      <c r="F257" s="125"/>
    </row>
    <row r="258">
      <c r="A258" s="41"/>
      <c r="B258" s="41"/>
      <c r="C258" s="41"/>
      <c r="D258" s="126"/>
      <c r="E258" s="125"/>
      <c r="F258" s="125"/>
    </row>
    <row r="259">
      <c r="A259" s="41"/>
      <c r="B259" s="41"/>
      <c r="C259" s="41"/>
      <c r="D259" s="126"/>
      <c r="E259" s="125"/>
      <c r="F259" s="125"/>
    </row>
    <row r="260">
      <c r="A260" s="41"/>
      <c r="B260" s="41"/>
      <c r="C260" s="41"/>
      <c r="D260" s="126"/>
      <c r="E260" s="125"/>
      <c r="F260" s="125"/>
    </row>
    <row r="261">
      <c r="A261" s="41"/>
      <c r="B261" s="41"/>
      <c r="C261" s="41"/>
      <c r="D261" s="126"/>
      <c r="E261" s="125"/>
      <c r="F261" s="125"/>
    </row>
    <row r="262">
      <c r="A262" s="41"/>
      <c r="B262" s="41"/>
      <c r="C262" s="41"/>
      <c r="D262" s="126"/>
      <c r="E262" s="125"/>
      <c r="F262" s="125"/>
    </row>
    <row r="263">
      <c r="A263" s="41"/>
      <c r="B263" s="41"/>
      <c r="C263" s="41"/>
      <c r="D263" s="126"/>
      <c r="E263" s="125"/>
      <c r="F263" s="125"/>
    </row>
    <row r="264">
      <c r="A264" s="41"/>
      <c r="B264" s="41"/>
      <c r="C264" s="41"/>
      <c r="D264" s="126"/>
      <c r="E264" s="125"/>
      <c r="F264" s="125"/>
    </row>
    <row r="265">
      <c r="A265" s="41"/>
      <c r="B265" s="41"/>
      <c r="C265" s="41"/>
      <c r="D265" s="126"/>
      <c r="E265" s="125"/>
      <c r="F265" s="125"/>
    </row>
    <row r="266">
      <c r="A266" s="41"/>
      <c r="B266" s="41"/>
      <c r="C266" s="41"/>
      <c r="D266" s="126"/>
      <c r="E266" s="125"/>
      <c r="F266" s="125"/>
    </row>
    <row r="267">
      <c r="A267" s="41"/>
      <c r="B267" s="41"/>
      <c r="C267" s="41"/>
      <c r="D267" s="126"/>
      <c r="E267" s="125"/>
      <c r="F267" s="125"/>
    </row>
    <row r="268">
      <c r="A268" s="41"/>
      <c r="B268" s="41"/>
      <c r="C268" s="41"/>
      <c r="D268" s="126"/>
      <c r="E268" s="125"/>
      <c r="F268" s="125"/>
    </row>
    <row r="269">
      <c r="A269" s="41"/>
      <c r="B269" s="41"/>
      <c r="C269" s="41"/>
      <c r="D269" s="126"/>
      <c r="E269" s="125"/>
      <c r="F269" s="125"/>
    </row>
    <row r="270">
      <c r="A270" s="41"/>
      <c r="B270" s="41"/>
      <c r="C270" s="41"/>
      <c r="D270" s="126"/>
      <c r="E270" s="125"/>
      <c r="F270" s="125"/>
    </row>
    <row r="271">
      <c r="A271" s="41"/>
      <c r="B271" s="41"/>
      <c r="C271" s="41"/>
      <c r="D271" s="126"/>
      <c r="E271" s="125"/>
      <c r="F271" s="125"/>
    </row>
    <row r="272">
      <c r="A272" s="41"/>
      <c r="B272" s="41"/>
      <c r="C272" s="41"/>
      <c r="D272" s="126"/>
      <c r="E272" s="125"/>
      <c r="F272" s="125"/>
    </row>
    <row r="273">
      <c r="A273" s="41"/>
      <c r="B273" s="41"/>
      <c r="C273" s="41"/>
      <c r="D273" s="126"/>
      <c r="E273" s="125"/>
      <c r="F273" s="125"/>
    </row>
    <row r="274">
      <c r="A274" s="41"/>
      <c r="B274" s="41"/>
      <c r="C274" s="41"/>
      <c r="D274" s="126"/>
      <c r="E274" s="125"/>
      <c r="F274" s="125"/>
    </row>
    <row r="275">
      <c r="A275" s="41"/>
      <c r="B275" s="41"/>
      <c r="C275" s="41"/>
      <c r="D275" s="126"/>
      <c r="E275" s="125"/>
      <c r="F275" s="125"/>
    </row>
    <row r="276">
      <c r="A276" s="41"/>
      <c r="B276" s="41"/>
      <c r="C276" s="41"/>
      <c r="D276" s="126"/>
      <c r="E276" s="125"/>
      <c r="F276" s="125"/>
    </row>
    <row r="277">
      <c r="A277" s="41"/>
      <c r="B277" s="41"/>
      <c r="C277" s="41"/>
      <c r="D277" s="126"/>
      <c r="E277" s="125"/>
      <c r="F277" s="125"/>
    </row>
    <row r="278">
      <c r="A278" s="41"/>
      <c r="B278" s="41"/>
      <c r="C278" s="41"/>
      <c r="D278" s="126"/>
      <c r="E278" s="125"/>
      <c r="F278" s="125"/>
    </row>
    <row r="279">
      <c r="A279" s="41"/>
      <c r="B279" s="41"/>
      <c r="C279" s="41"/>
      <c r="D279" s="126"/>
      <c r="E279" s="125"/>
      <c r="F279" s="125"/>
    </row>
    <row r="280">
      <c r="A280" s="41"/>
      <c r="B280" s="41"/>
      <c r="C280" s="41"/>
      <c r="D280" s="126"/>
      <c r="E280" s="125"/>
      <c r="F280" s="125"/>
    </row>
    <row r="281">
      <c r="A281" s="41"/>
      <c r="B281" s="41"/>
      <c r="C281" s="41"/>
      <c r="D281" s="126"/>
      <c r="E281" s="125"/>
      <c r="F281" s="125"/>
    </row>
    <row r="282">
      <c r="A282" s="41"/>
      <c r="B282" s="41"/>
      <c r="C282" s="41"/>
      <c r="D282" s="126"/>
      <c r="E282" s="125"/>
      <c r="F282" s="125"/>
    </row>
    <row r="283">
      <c r="A283" s="41"/>
      <c r="B283" s="41"/>
      <c r="C283" s="41"/>
      <c r="D283" s="126"/>
      <c r="E283" s="125"/>
      <c r="F283" s="125"/>
    </row>
    <row r="284">
      <c r="A284" s="41"/>
      <c r="B284" s="41"/>
      <c r="C284" s="41"/>
      <c r="D284" s="126"/>
      <c r="E284" s="125"/>
      <c r="F284" s="125"/>
    </row>
    <row r="285">
      <c r="A285" s="41"/>
      <c r="B285" s="41"/>
      <c r="C285" s="41"/>
      <c r="D285" s="126"/>
      <c r="E285" s="125"/>
      <c r="F285" s="125"/>
    </row>
    <row r="286">
      <c r="A286" s="41"/>
      <c r="B286" s="41"/>
      <c r="C286" s="41"/>
      <c r="D286" s="126"/>
      <c r="E286" s="125"/>
      <c r="F286" s="125"/>
    </row>
    <row r="287">
      <c r="A287" s="41"/>
      <c r="B287" s="41"/>
      <c r="C287" s="41"/>
      <c r="D287" s="126"/>
      <c r="E287" s="125"/>
      <c r="F287" s="125"/>
    </row>
    <row r="288">
      <c r="A288" s="41"/>
      <c r="B288" s="41"/>
      <c r="C288" s="41"/>
      <c r="D288" s="126"/>
      <c r="E288" s="125"/>
      <c r="F288" s="125"/>
    </row>
    <row r="289">
      <c r="A289" s="41"/>
      <c r="B289" s="41"/>
      <c r="C289" s="41"/>
      <c r="D289" s="126"/>
      <c r="E289" s="125"/>
      <c r="F289" s="125"/>
    </row>
    <row r="290">
      <c r="A290" s="41"/>
      <c r="B290" s="41"/>
      <c r="C290" s="41"/>
      <c r="D290" s="126"/>
      <c r="E290" s="125"/>
      <c r="F290" s="125"/>
    </row>
    <row r="291">
      <c r="A291" s="41"/>
      <c r="B291" s="41"/>
      <c r="C291" s="41"/>
      <c r="D291" s="126"/>
      <c r="E291" s="125"/>
      <c r="F291" s="125"/>
    </row>
    <row r="292">
      <c r="A292" s="41"/>
      <c r="B292" s="41"/>
      <c r="C292" s="41"/>
      <c r="D292" s="126"/>
      <c r="E292" s="125"/>
      <c r="F292" s="125"/>
    </row>
    <row r="293">
      <c r="A293" s="41"/>
      <c r="B293" s="41"/>
      <c r="C293" s="41"/>
      <c r="D293" s="126"/>
      <c r="E293" s="125"/>
      <c r="F293" s="125"/>
    </row>
    <row r="294">
      <c r="A294" s="41"/>
      <c r="B294" s="41"/>
      <c r="C294" s="41"/>
      <c r="D294" s="126"/>
      <c r="E294" s="125"/>
      <c r="F294" s="125"/>
    </row>
    <row r="295">
      <c r="A295" s="41"/>
      <c r="B295" s="41"/>
      <c r="C295" s="41"/>
      <c r="D295" s="126"/>
      <c r="E295" s="125"/>
      <c r="F295" s="125"/>
    </row>
    <row r="296">
      <c r="A296" s="41"/>
      <c r="B296" s="41"/>
      <c r="C296" s="41"/>
      <c r="D296" s="126"/>
      <c r="E296" s="125"/>
      <c r="F296" s="125"/>
    </row>
    <row r="297">
      <c r="A297" s="41"/>
      <c r="B297" s="41"/>
      <c r="C297" s="41"/>
      <c r="D297" s="126"/>
      <c r="E297" s="125"/>
      <c r="F297" s="125"/>
    </row>
    <row r="298">
      <c r="A298" s="41"/>
      <c r="B298" s="41"/>
      <c r="C298" s="41"/>
      <c r="D298" s="126"/>
      <c r="E298" s="125"/>
      <c r="F298" s="125"/>
    </row>
    <row r="299">
      <c r="A299" s="41"/>
      <c r="B299" s="41"/>
      <c r="C299" s="41"/>
      <c r="D299" s="126"/>
      <c r="E299" s="125"/>
      <c r="F299" s="125"/>
    </row>
    <row r="300">
      <c r="A300" s="41"/>
      <c r="B300" s="41"/>
      <c r="C300" s="41"/>
      <c r="D300" s="126"/>
      <c r="E300" s="125"/>
      <c r="F300" s="125"/>
    </row>
    <row r="301">
      <c r="A301" s="41"/>
      <c r="B301" s="41"/>
      <c r="C301" s="41"/>
      <c r="D301" s="126"/>
      <c r="E301" s="125"/>
      <c r="F301" s="125"/>
    </row>
    <row r="302">
      <c r="A302" s="41"/>
      <c r="B302" s="41"/>
      <c r="C302" s="41"/>
      <c r="D302" s="126"/>
      <c r="E302" s="125"/>
      <c r="F302" s="125"/>
    </row>
    <row r="303">
      <c r="A303" s="41"/>
      <c r="B303" s="41"/>
      <c r="C303" s="41"/>
      <c r="D303" s="126"/>
      <c r="E303" s="125"/>
      <c r="F303" s="125"/>
    </row>
    <row r="304">
      <c r="A304" s="41"/>
      <c r="B304" s="41"/>
      <c r="C304" s="41"/>
      <c r="D304" s="126"/>
      <c r="E304" s="125"/>
      <c r="F304" s="125"/>
    </row>
    <row r="305">
      <c r="A305" s="41"/>
      <c r="B305" s="41"/>
      <c r="C305" s="41"/>
      <c r="D305" s="126"/>
      <c r="E305" s="125"/>
      <c r="F305" s="125"/>
    </row>
    <row r="306">
      <c r="A306" s="41"/>
      <c r="B306" s="41"/>
      <c r="C306" s="41"/>
      <c r="D306" s="126"/>
      <c r="E306" s="125"/>
      <c r="F306" s="125"/>
    </row>
    <row r="307">
      <c r="A307" s="41"/>
      <c r="B307" s="41"/>
      <c r="C307" s="41"/>
      <c r="D307" s="126"/>
      <c r="E307" s="125"/>
      <c r="F307" s="125"/>
    </row>
    <row r="308">
      <c r="A308" s="41"/>
      <c r="B308" s="41"/>
      <c r="C308" s="41"/>
      <c r="D308" s="126"/>
      <c r="E308" s="125"/>
      <c r="F308" s="125"/>
    </row>
    <row r="309">
      <c r="A309" s="41"/>
      <c r="B309" s="41"/>
      <c r="C309" s="41"/>
      <c r="D309" s="126"/>
      <c r="E309" s="125"/>
      <c r="F309" s="125"/>
    </row>
    <row r="310">
      <c r="A310" s="41"/>
      <c r="B310" s="41"/>
      <c r="C310" s="41"/>
      <c r="D310" s="126"/>
      <c r="E310" s="125"/>
      <c r="F310" s="125"/>
    </row>
    <row r="311">
      <c r="A311" s="41"/>
      <c r="B311" s="41"/>
      <c r="C311" s="41"/>
      <c r="D311" s="126"/>
      <c r="E311" s="125"/>
      <c r="F311" s="125"/>
    </row>
    <row r="312">
      <c r="A312" s="41"/>
      <c r="B312" s="41"/>
      <c r="C312" s="41"/>
      <c r="D312" s="126"/>
      <c r="E312" s="125"/>
      <c r="F312" s="125"/>
    </row>
    <row r="313">
      <c r="A313" s="41"/>
      <c r="B313" s="41"/>
      <c r="C313" s="41"/>
      <c r="D313" s="126"/>
      <c r="E313" s="125"/>
      <c r="F313" s="125"/>
    </row>
    <row r="314">
      <c r="A314" s="41"/>
      <c r="B314" s="41"/>
      <c r="C314" s="41"/>
      <c r="D314" s="126"/>
      <c r="E314" s="125"/>
      <c r="F314" s="125"/>
    </row>
    <row r="315">
      <c r="A315" s="41"/>
      <c r="B315" s="41"/>
      <c r="C315" s="41"/>
      <c r="D315" s="126"/>
      <c r="E315" s="125"/>
      <c r="F315" s="125"/>
    </row>
    <row r="316">
      <c r="A316" s="41"/>
      <c r="B316" s="41"/>
      <c r="C316" s="41"/>
      <c r="D316" s="126"/>
      <c r="E316" s="125"/>
      <c r="F316" s="125"/>
    </row>
    <row r="317">
      <c r="A317" s="41"/>
      <c r="B317" s="41"/>
      <c r="C317" s="41"/>
      <c r="D317" s="126"/>
      <c r="E317" s="125"/>
      <c r="F317" s="125"/>
    </row>
    <row r="318">
      <c r="A318" s="41"/>
      <c r="B318" s="41"/>
      <c r="C318" s="41"/>
      <c r="D318" s="126"/>
      <c r="E318" s="125"/>
      <c r="F318" s="125"/>
    </row>
    <row r="319">
      <c r="A319" s="41"/>
      <c r="B319" s="41"/>
      <c r="C319" s="41"/>
      <c r="D319" s="126"/>
      <c r="E319" s="125"/>
      <c r="F319" s="125"/>
    </row>
    <row r="320">
      <c r="A320" s="41"/>
      <c r="B320" s="41"/>
      <c r="C320" s="41"/>
      <c r="D320" s="126"/>
      <c r="E320" s="125"/>
      <c r="F320" s="125"/>
    </row>
    <row r="321">
      <c r="A321" s="41"/>
      <c r="B321" s="41"/>
      <c r="C321" s="41"/>
      <c r="D321" s="126"/>
      <c r="E321" s="125"/>
      <c r="F321" s="125"/>
    </row>
    <row r="322">
      <c r="A322" s="41"/>
      <c r="B322" s="41"/>
      <c r="C322" s="41"/>
      <c r="D322" s="126"/>
      <c r="E322" s="125"/>
      <c r="F322" s="125"/>
    </row>
    <row r="323">
      <c r="A323" s="41"/>
      <c r="B323" s="41"/>
      <c r="C323" s="41"/>
      <c r="D323" s="126"/>
      <c r="E323" s="125"/>
      <c r="F323" s="125"/>
    </row>
    <row r="324">
      <c r="A324" s="41"/>
      <c r="B324" s="41"/>
      <c r="C324" s="41"/>
      <c r="D324" s="126"/>
      <c r="E324" s="125"/>
      <c r="F324" s="125"/>
    </row>
    <row r="325">
      <c r="A325" s="41"/>
      <c r="B325" s="41"/>
      <c r="C325" s="41"/>
      <c r="D325" s="126"/>
      <c r="E325" s="125"/>
      <c r="F325" s="125"/>
    </row>
    <row r="326">
      <c r="A326" s="41"/>
      <c r="B326" s="41"/>
      <c r="C326" s="41"/>
      <c r="D326" s="126"/>
      <c r="E326" s="125"/>
      <c r="F326" s="125"/>
    </row>
    <row r="327">
      <c r="A327" s="41"/>
      <c r="B327" s="41"/>
      <c r="C327" s="41"/>
      <c r="D327" s="126"/>
      <c r="E327" s="125"/>
      <c r="F327" s="125"/>
    </row>
    <row r="328">
      <c r="A328" s="41"/>
      <c r="B328" s="41"/>
      <c r="C328" s="41"/>
      <c r="D328" s="126"/>
      <c r="E328" s="125"/>
      <c r="F328" s="125"/>
    </row>
    <row r="329">
      <c r="A329" s="41"/>
      <c r="B329" s="41"/>
      <c r="C329" s="41"/>
      <c r="D329" s="126"/>
      <c r="E329" s="125"/>
      <c r="F329" s="125"/>
    </row>
    <row r="330">
      <c r="A330" s="41"/>
      <c r="B330" s="41"/>
      <c r="C330" s="41"/>
      <c r="D330" s="126"/>
      <c r="E330" s="125"/>
      <c r="F330" s="125"/>
    </row>
    <row r="331">
      <c r="A331" s="41"/>
      <c r="B331" s="41"/>
      <c r="C331" s="41"/>
      <c r="D331" s="126"/>
      <c r="E331" s="125"/>
      <c r="F331" s="125"/>
    </row>
    <row r="332">
      <c r="A332" s="41"/>
      <c r="B332" s="41"/>
      <c r="C332" s="41"/>
      <c r="D332" s="126"/>
      <c r="E332" s="125"/>
      <c r="F332" s="125"/>
    </row>
    <row r="333">
      <c r="A333" s="41"/>
      <c r="B333" s="41"/>
      <c r="C333" s="41"/>
      <c r="D333" s="126"/>
      <c r="E333" s="125"/>
      <c r="F333" s="125"/>
    </row>
    <row r="334">
      <c r="A334" s="41"/>
      <c r="B334" s="41"/>
      <c r="C334" s="41"/>
      <c r="D334" s="126"/>
      <c r="E334" s="125"/>
      <c r="F334" s="125"/>
    </row>
    <row r="335">
      <c r="A335" s="41"/>
      <c r="B335" s="41"/>
      <c r="C335" s="41"/>
      <c r="D335" s="126"/>
      <c r="E335" s="125"/>
      <c r="F335" s="125"/>
    </row>
    <row r="336">
      <c r="A336" s="41"/>
      <c r="B336" s="41"/>
      <c r="C336" s="41"/>
      <c r="D336" s="126"/>
      <c r="E336" s="125"/>
      <c r="F336" s="125"/>
    </row>
    <row r="337">
      <c r="A337" s="41"/>
      <c r="B337" s="41"/>
      <c r="C337" s="41"/>
      <c r="D337" s="126"/>
      <c r="E337" s="125"/>
      <c r="F337" s="125"/>
    </row>
    <row r="338">
      <c r="A338" s="41"/>
      <c r="B338" s="41"/>
      <c r="C338" s="41"/>
      <c r="D338" s="126"/>
      <c r="E338" s="125"/>
      <c r="F338" s="125"/>
    </row>
    <row r="339">
      <c r="A339" s="41"/>
      <c r="B339" s="41"/>
      <c r="C339" s="41"/>
      <c r="D339" s="126"/>
      <c r="E339" s="125"/>
      <c r="F339" s="125"/>
    </row>
    <row r="340">
      <c r="A340" s="41"/>
      <c r="B340" s="41"/>
      <c r="C340" s="41"/>
      <c r="D340" s="126"/>
      <c r="E340" s="125"/>
      <c r="F340" s="125"/>
    </row>
    <row r="341">
      <c r="A341" s="41"/>
      <c r="B341" s="41"/>
      <c r="C341" s="41"/>
      <c r="D341" s="126"/>
      <c r="E341" s="125"/>
      <c r="F341" s="125"/>
    </row>
    <row r="342">
      <c r="A342" s="41"/>
      <c r="B342" s="41"/>
      <c r="C342" s="41"/>
      <c r="D342" s="126"/>
      <c r="E342" s="125"/>
      <c r="F342" s="125"/>
    </row>
    <row r="343">
      <c r="A343" s="41"/>
      <c r="B343" s="41"/>
      <c r="C343" s="41"/>
      <c r="D343" s="126"/>
      <c r="E343" s="125"/>
      <c r="F343" s="125"/>
    </row>
    <row r="344">
      <c r="A344" s="41"/>
      <c r="B344" s="41"/>
      <c r="C344" s="41"/>
      <c r="D344" s="126"/>
      <c r="E344" s="125"/>
      <c r="F344" s="125"/>
    </row>
    <row r="345">
      <c r="A345" s="41"/>
      <c r="B345" s="41"/>
      <c r="C345" s="41"/>
      <c r="D345" s="126"/>
      <c r="E345" s="125"/>
      <c r="F345" s="125"/>
    </row>
    <row r="346">
      <c r="A346" s="41"/>
      <c r="B346" s="41"/>
      <c r="C346" s="41"/>
      <c r="D346" s="126"/>
      <c r="E346" s="125"/>
      <c r="F346" s="125"/>
    </row>
    <row r="347">
      <c r="A347" s="41"/>
      <c r="B347" s="41"/>
      <c r="C347" s="41"/>
      <c r="D347" s="126"/>
      <c r="E347" s="125"/>
      <c r="F347" s="125"/>
    </row>
    <row r="348">
      <c r="A348" s="41"/>
      <c r="B348" s="41"/>
      <c r="C348" s="41"/>
      <c r="D348" s="126"/>
      <c r="E348" s="125"/>
      <c r="F348" s="125"/>
    </row>
    <row r="349">
      <c r="A349" s="41"/>
      <c r="B349" s="41"/>
      <c r="C349" s="41"/>
      <c r="D349" s="126"/>
      <c r="E349" s="125"/>
      <c r="F349" s="125"/>
    </row>
    <row r="350">
      <c r="A350" s="41"/>
      <c r="B350" s="41"/>
      <c r="C350" s="41"/>
      <c r="D350" s="126"/>
      <c r="E350" s="125"/>
      <c r="F350" s="125"/>
    </row>
    <row r="351">
      <c r="A351" s="41"/>
      <c r="B351" s="41"/>
      <c r="C351" s="41"/>
      <c r="D351" s="126"/>
      <c r="E351" s="125"/>
      <c r="F351" s="125"/>
    </row>
    <row r="352">
      <c r="A352" s="41"/>
      <c r="B352" s="41"/>
      <c r="C352" s="41"/>
      <c r="D352" s="126"/>
      <c r="E352" s="125"/>
      <c r="F352" s="125"/>
    </row>
    <row r="353">
      <c r="A353" s="41"/>
      <c r="B353" s="41"/>
      <c r="C353" s="41"/>
      <c r="D353" s="126"/>
      <c r="E353" s="125"/>
      <c r="F353" s="125"/>
    </row>
    <row r="354">
      <c r="A354" s="41"/>
      <c r="B354" s="41"/>
      <c r="C354" s="41"/>
      <c r="D354" s="126"/>
      <c r="E354" s="125"/>
      <c r="F354" s="125"/>
    </row>
    <row r="355">
      <c r="A355" s="41"/>
      <c r="B355" s="41"/>
      <c r="C355" s="41"/>
      <c r="D355" s="126"/>
      <c r="E355" s="125"/>
      <c r="F355" s="125"/>
    </row>
    <row r="356">
      <c r="A356" s="41"/>
      <c r="B356" s="41"/>
      <c r="C356" s="41"/>
      <c r="D356" s="126"/>
      <c r="E356" s="125"/>
      <c r="F356" s="125"/>
    </row>
    <row r="357">
      <c r="A357" s="41"/>
      <c r="B357" s="41"/>
      <c r="C357" s="41"/>
      <c r="D357" s="126"/>
      <c r="E357" s="125"/>
      <c r="F357" s="125"/>
    </row>
    <row r="358">
      <c r="A358" s="41"/>
      <c r="B358" s="41"/>
      <c r="C358" s="41"/>
      <c r="D358" s="126"/>
      <c r="E358" s="125"/>
      <c r="F358" s="125"/>
    </row>
    <row r="359">
      <c r="A359" s="41"/>
      <c r="B359" s="41"/>
      <c r="C359" s="41"/>
      <c r="D359" s="126"/>
      <c r="E359" s="125"/>
      <c r="F359" s="125"/>
    </row>
    <row r="360">
      <c r="A360" s="41"/>
      <c r="B360" s="41"/>
      <c r="C360" s="41"/>
      <c r="D360" s="126"/>
      <c r="E360" s="125"/>
      <c r="F360" s="125"/>
    </row>
    <row r="361">
      <c r="A361" s="41"/>
      <c r="B361" s="41"/>
      <c r="C361" s="41"/>
      <c r="D361" s="126"/>
      <c r="E361" s="125"/>
      <c r="F361" s="125"/>
    </row>
    <row r="362">
      <c r="A362" s="41"/>
      <c r="B362" s="41"/>
      <c r="C362" s="41"/>
      <c r="D362" s="126"/>
      <c r="E362" s="125"/>
      <c r="F362" s="125"/>
    </row>
    <row r="363">
      <c r="A363" s="41"/>
      <c r="B363" s="41"/>
      <c r="C363" s="41"/>
      <c r="D363" s="126"/>
      <c r="E363" s="125"/>
      <c r="F363" s="125"/>
    </row>
    <row r="364">
      <c r="A364" s="41"/>
      <c r="B364" s="41"/>
      <c r="C364" s="41"/>
      <c r="D364" s="126"/>
      <c r="E364" s="125"/>
      <c r="F364" s="125"/>
    </row>
    <row r="365">
      <c r="A365" s="41"/>
      <c r="B365" s="41"/>
      <c r="C365" s="41"/>
      <c r="D365" s="126"/>
      <c r="E365" s="125"/>
      <c r="F365" s="125"/>
    </row>
    <row r="366">
      <c r="A366" s="41"/>
      <c r="B366" s="41"/>
      <c r="C366" s="41"/>
      <c r="D366" s="126"/>
      <c r="E366" s="125"/>
      <c r="F366" s="125"/>
    </row>
    <row r="367">
      <c r="A367" s="41"/>
      <c r="B367" s="41"/>
      <c r="C367" s="41"/>
      <c r="D367" s="126"/>
      <c r="E367" s="125"/>
      <c r="F367" s="125"/>
    </row>
    <row r="368">
      <c r="A368" s="41"/>
      <c r="B368" s="41"/>
      <c r="C368" s="41"/>
      <c r="D368" s="126"/>
      <c r="E368" s="125"/>
      <c r="F368" s="125"/>
    </row>
    <row r="369">
      <c r="A369" s="41"/>
      <c r="B369" s="41"/>
      <c r="C369" s="41"/>
      <c r="D369" s="126"/>
      <c r="E369" s="125"/>
      <c r="F369" s="125"/>
    </row>
    <row r="370">
      <c r="A370" s="41"/>
      <c r="B370" s="41"/>
      <c r="C370" s="41"/>
      <c r="D370" s="126"/>
      <c r="E370" s="125"/>
      <c r="F370" s="125"/>
    </row>
    <row r="371">
      <c r="A371" s="41"/>
      <c r="B371" s="41"/>
      <c r="C371" s="41"/>
      <c r="D371" s="126"/>
      <c r="E371" s="125"/>
      <c r="F371" s="125"/>
    </row>
    <row r="372">
      <c r="A372" s="41"/>
      <c r="B372" s="41"/>
      <c r="C372" s="41"/>
      <c r="D372" s="126"/>
      <c r="E372" s="125"/>
      <c r="F372" s="125"/>
    </row>
    <row r="373">
      <c r="A373" s="41"/>
      <c r="B373" s="41"/>
      <c r="C373" s="41"/>
      <c r="D373" s="126"/>
      <c r="E373" s="125"/>
      <c r="F373" s="125"/>
    </row>
    <row r="374">
      <c r="A374" s="41"/>
      <c r="B374" s="41"/>
      <c r="C374" s="41"/>
      <c r="D374" s="126"/>
      <c r="E374" s="125"/>
      <c r="F374" s="125"/>
    </row>
    <row r="375">
      <c r="A375" s="41"/>
      <c r="B375" s="41"/>
      <c r="C375" s="41"/>
      <c r="D375" s="126"/>
      <c r="E375" s="125"/>
      <c r="F375" s="125"/>
    </row>
    <row r="376">
      <c r="A376" s="41"/>
      <c r="B376" s="41"/>
      <c r="C376" s="41"/>
      <c r="D376" s="126"/>
      <c r="E376" s="125"/>
      <c r="F376" s="125"/>
    </row>
    <row r="377">
      <c r="A377" s="41"/>
      <c r="B377" s="41"/>
      <c r="C377" s="41"/>
      <c r="D377" s="126"/>
      <c r="E377" s="125"/>
      <c r="F377" s="125"/>
    </row>
    <row r="378">
      <c r="A378" s="41"/>
      <c r="B378" s="41"/>
      <c r="C378" s="41"/>
      <c r="D378" s="126"/>
      <c r="E378" s="125"/>
      <c r="F378" s="125"/>
    </row>
    <row r="379">
      <c r="A379" s="41"/>
      <c r="B379" s="41"/>
      <c r="C379" s="41"/>
      <c r="D379" s="126"/>
      <c r="E379" s="125"/>
      <c r="F379" s="125"/>
    </row>
    <row r="380">
      <c r="A380" s="41"/>
      <c r="B380" s="41"/>
      <c r="C380" s="41"/>
      <c r="D380" s="126"/>
      <c r="E380" s="125"/>
      <c r="F380" s="125"/>
    </row>
    <row r="381">
      <c r="A381" s="41"/>
      <c r="B381" s="41"/>
      <c r="C381" s="41"/>
      <c r="D381" s="126"/>
      <c r="E381" s="125"/>
      <c r="F381" s="125"/>
    </row>
    <row r="382">
      <c r="A382" s="41"/>
      <c r="B382" s="41"/>
      <c r="C382" s="41"/>
      <c r="D382" s="126"/>
      <c r="E382" s="125"/>
      <c r="F382" s="125"/>
    </row>
    <row r="383">
      <c r="A383" s="41"/>
      <c r="B383" s="41"/>
      <c r="C383" s="41"/>
      <c r="D383" s="126"/>
      <c r="E383" s="125"/>
      <c r="F383" s="125"/>
    </row>
    <row r="384">
      <c r="A384" s="41"/>
      <c r="B384" s="41"/>
      <c r="C384" s="41"/>
      <c r="D384" s="126"/>
      <c r="E384" s="125"/>
      <c r="F384" s="125"/>
    </row>
    <row r="385">
      <c r="A385" s="41"/>
      <c r="B385" s="41"/>
      <c r="C385" s="41"/>
      <c r="D385" s="126"/>
      <c r="E385" s="125"/>
      <c r="F385" s="125"/>
    </row>
    <row r="386">
      <c r="A386" s="41"/>
      <c r="B386" s="41"/>
      <c r="C386" s="41"/>
      <c r="D386" s="126"/>
      <c r="E386" s="125"/>
      <c r="F386" s="125"/>
    </row>
    <row r="387">
      <c r="A387" s="41"/>
      <c r="B387" s="41"/>
      <c r="C387" s="41"/>
      <c r="D387" s="126"/>
      <c r="E387" s="125"/>
      <c r="F387" s="125"/>
    </row>
    <row r="388">
      <c r="A388" s="41"/>
      <c r="B388" s="41"/>
      <c r="C388" s="41"/>
      <c r="D388" s="126"/>
      <c r="E388" s="125"/>
      <c r="F388" s="125"/>
    </row>
    <row r="389">
      <c r="A389" s="41"/>
      <c r="B389" s="41"/>
      <c r="C389" s="41"/>
      <c r="D389" s="126"/>
      <c r="E389" s="125"/>
      <c r="F389" s="125"/>
    </row>
    <row r="390">
      <c r="A390" s="41"/>
      <c r="B390" s="41"/>
      <c r="C390" s="41"/>
      <c r="D390" s="126"/>
      <c r="E390" s="125"/>
      <c r="F390" s="125"/>
    </row>
    <row r="391">
      <c r="A391" s="41"/>
      <c r="B391" s="41"/>
      <c r="C391" s="41"/>
      <c r="D391" s="126"/>
      <c r="E391" s="125"/>
      <c r="F391" s="125"/>
    </row>
    <row r="392">
      <c r="A392" s="41"/>
      <c r="B392" s="41"/>
      <c r="C392" s="41"/>
      <c r="D392" s="126"/>
      <c r="E392" s="125"/>
      <c r="F392" s="125"/>
    </row>
    <row r="393">
      <c r="A393" s="41"/>
      <c r="B393" s="41"/>
      <c r="C393" s="41"/>
      <c r="D393" s="126"/>
      <c r="E393" s="125"/>
      <c r="F393" s="125"/>
    </row>
    <row r="394">
      <c r="A394" s="41"/>
      <c r="B394" s="41"/>
      <c r="C394" s="41"/>
      <c r="D394" s="126"/>
      <c r="E394" s="125"/>
      <c r="F394" s="125"/>
    </row>
    <row r="395">
      <c r="A395" s="41"/>
      <c r="B395" s="41"/>
      <c r="C395" s="41"/>
      <c r="D395" s="126"/>
      <c r="E395" s="125"/>
      <c r="F395" s="125"/>
    </row>
    <row r="396">
      <c r="A396" s="41"/>
      <c r="B396" s="41"/>
      <c r="C396" s="41"/>
      <c r="D396" s="126"/>
      <c r="E396" s="125"/>
      <c r="F396" s="125"/>
    </row>
    <row r="397">
      <c r="A397" s="41"/>
      <c r="B397" s="41"/>
      <c r="C397" s="41"/>
      <c r="D397" s="126"/>
      <c r="E397" s="125"/>
      <c r="F397" s="125"/>
    </row>
    <row r="398">
      <c r="A398" s="41"/>
      <c r="B398" s="41"/>
      <c r="C398" s="41"/>
      <c r="D398" s="126"/>
      <c r="E398" s="125"/>
      <c r="F398" s="125"/>
    </row>
    <row r="399">
      <c r="A399" s="41"/>
      <c r="B399" s="41"/>
      <c r="C399" s="41"/>
      <c r="D399" s="126"/>
      <c r="E399" s="125"/>
      <c r="F399" s="125"/>
    </row>
    <row r="400">
      <c r="A400" s="41"/>
      <c r="B400" s="41"/>
      <c r="C400" s="41"/>
      <c r="D400" s="126"/>
      <c r="E400" s="125"/>
      <c r="F400" s="125"/>
    </row>
    <row r="401">
      <c r="A401" s="41"/>
      <c r="B401" s="41"/>
      <c r="C401" s="41"/>
      <c r="D401" s="126"/>
      <c r="E401" s="125"/>
      <c r="F401" s="125"/>
    </row>
    <row r="402">
      <c r="A402" s="41"/>
      <c r="B402" s="41"/>
      <c r="C402" s="41"/>
      <c r="D402" s="126"/>
      <c r="E402" s="125"/>
      <c r="F402" s="125"/>
    </row>
    <row r="403">
      <c r="A403" s="41"/>
      <c r="B403" s="41"/>
      <c r="C403" s="41"/>
      <c r="D403" s="126"/>
      <c r="E403" s="125"/>
      <c r="F403" s="125"/>
    </row>
    <row r="404">
      <c r="A404" s="41"/>
      <c r="B404" s="41"/>
      <c r="C404" s="41"/>
      <c r="D404" s="126"/>
      <c r="E404" s="125"/>
      <c r="F404" s="125"/>
    </row>
    <row r="405">
      <c r="A405" s="41"/>
      <c r="B405" s="41"/>
      <c r="C405" s="41"/>
      <c r="D405" s="126"/>
      <c r="E405" s="125"/>
      <c r="F405" s="125"/>
    </row>
    <row r="406">
      <c r="A406" s="41"/>
      <c r="B406" s="41"/>
      <c r="C406" s="41"/>
      <c r="D406" s="126"/>
      <c r="E406" s="125"/>
      <c r="F406" s="125"/>
    </row>
    <row r="407">
      <c r="A407" s="41"/>
      <c r="B407" s="41"/>
      <c r="C407" s="41"/>
      <c r="D407" s="126"/>
      <c r="E407" s="125"/>
      <c r="F407" s="125"/>
    </row>
    <row r="408">
      <c r="A408" s="41"/>
      <c r="B408" s="41"/>
      <c r="C408" s="41"/>
      <c r="D408" s="126"/>
      <c r="E408" s="125"/>
      <c r="F408" s="125"/>
    </row>
    <row r="409">
      <c r="A409" s="41"/>
      <c r="B409" s="41"/>
      <c r="C409" s="41"/>
      <c r="D409" s="126"/>
      <c r="E409" s="125"/>
      <c r="F409" s="125"/>
    </row>
    <row r="410">
      <c r="A410" s="41"/>
      <c r="B410" s="41"/>
      <c r="C410" s="41"/>
      <c r="D410" s="126"/>
      <c r="E410" s="125"/>
      <c r="F410" s="125"/>
    </row>
    <row r="411">
      <c r="A411" s="41"/>
      <c r="B411" s="41"/>
      <c r="C411" s="41"/>
      <c r="D411" s="126"/>
      <c r="E411" s="125"/>
      <c r="F411" s="125"/>
    </row>
    <row r="412">
      <c r="A412" s="41"/>
      <c r="B412" s="41"/>
      <c r="C412" s="41"/>
      <c r="D412" s="126"/>
      <c r="E412" s="125"/>
      <c r="F412" s="125"/>
    </row>
    <row r="413">
      <c r="A413" s="41"/>
      <c r="B413" s="41"/>
      <c r="C413" s="41"/>
      <c r="D413" s="126"/>
      <c r="E413" s="125"/>
      <c r="F413" s="125"/>
    </row>
    <row r="414">
      <c r="A414" s="41"/>
      <c r="B414" s="41"/>
      <c r="C414" s="41"/>
      <c r="D414" s="126"/>
      <c r="E414" s="125"/>
      <c r="F414" s="125"/>
    </row>
    <row r="415">
      <c r="A415" s="41"/>
      <c r="B415" s="41"/>
      <c r="C415" s="41"/>
      <c r="D415" s="126"/>
      <c r="E415" s="125"/>
      <c r="F415" s="125"/>
    </row>
    <row r="416">
      <c r="A416" s="41"/>
      <c r="B416" s="41"/>
      <c r="C416" s="41"/>
      <c r="D416" s="126"/>
      <c r="E416" s="125"/>
      <c r="F416" s="125"/>
    </row>
    <row r="417">
      <c r="A417" s="41"/>
      <c r="B417" s="41"/>
      <c r="C417" s="41"/>
      <c r="D417" s="126"/>
      <c r="E417" s="125"/>
      <c r="F417" s="125"/>
    </row>
    <row r="418">
      <c r="A418" s="41"/>
      <c r="B418" s="41"/>
      <c r="C418" s="41"/>
      <c r="D418" s="126"/>
      <c r="E418" s="125"/>
      <c r="F418" s="125"/>
    </row>
    <row r="419">
      <c r="A419" s="41"/>
      <c r="B419" s="41"/>
      <c r="C419" s="41"/>
      <c r="D419" s="126"/>
      <c r="E419" s="125"/>
      <c r="F419" s="125"/>
    </row>
    <row r="420">
      <c r="A420" s="41"/>
      <c r="B420" s="41"/>
      <c r="C420" s="41"/>
      <c r="D420" s="126"/>
      <c r="E420" s="125"/>
      <c r="F420" s="125"/>
    </row>
    <row r="421">
      <c r="A421" s="41"/>
      <c r="B421" s="41"/>
      <c r="C421" s="41"/>
      <c r="D421" s="126"/>
      <c r="E421" s="125"/>
      <c r="F421" s="125"/>
    </row>
    <row r="422">
      <c r="A422" s="41"/>
      <c r="B422" s="41"/>
      <c r="C422" s="41"/>
      <c r="D422" s="126"/>
      <c r="E422" s="125"/>
      <c r="F422" s="125"/>
    </row>
    <row r="423">
      <c r="A423" s="41"/>
      <c r="B423" s="41"/>
      <c r="C423" s="41"/>
      <c r="D423" s="126"/>
      <c r="E423" s="125"/>
      <c r="F423" s="125"/>
    </row>
    <row r="424">
      <c r="A424" s="41"/>
      <c r="B424" s="41"/>
      <c r="C424" s="41"/>
      <c r="D424" s="126"/>
      <c r="E424" s="125"/>
      <c r="F424" s="125"/>
    </row>
    <row r="425">
      <c r="A425" s="41"/>
      <c r="B425" s="41"/>
      <c r="C425" s="41"/>
      <c r="D425" s="126"/>
      <c r="E425" s="125"/>
      <c r="F425" s="125"/>
    </row>
    <row r="426">
      <c r="A426" s="41"/>
      <c r="B426" s="41"/>
      <c r="C426" s="41"/>
      <c r="D426" s="126"/>
      <c r="E426" s="125"/>
      <c r="F426" s="125"/>
    </row>
    <row r="427">
      <c r="A427" s="41"/>
      <c r="B427" s="41"/>
      <c r="C427" s="41"/>
      <c r="D427" s="126"/>
      <c r="E427" s="125"/>
      <c r="F427" s="125"/>
    </row>
    <row r="428">
      <c r="A428" s="41"/>
      <c r="B428" s="41"/>
      <c r="C428" s="41"/>
      <c r="D428" s="126"/>
      <c r="E428" s="125"/>
      <c r="F428" s="125"/>
    </row>
    <row r="429">
      <c r="A429" s="41"/>
      <c r="B429" s="41"/>
      <c r="C429" s="41"/>
      <c r="D429" s="126"/>
      <c r="E429" s="125"/>
      <c r="F429" s="125"/>
    </row>
    <row r="430">
      <c r="A430" s="41"/>
      <c r="B430" s="41"/>
      <c r="C430" s="41"/>
      <c r="D430" s="126"/>
      <c r="E430" s="125"/>
      <c r="F430" s="125"/>
    </row>
    <row r="431">
      <c r="A431" s="41"/>
      <c r="B431" s="41"/>
      <c r="C431" s="41"/>
      <c r="D431" s="126"/>
      <c r="E431" s="125"/>
      <c r="F431" s="125"/>
    </row>
    <row r="432">
      <c r="A432" s="41"/>
      <c r="B432" s="41"/>
      <c r="C432" s="41"/>
      <c r="D432" s="126"/>
      <c r="E432" s="125"/>
      <c r="F432" s="125"/>
    </row>
    <row r="433">
      <c r="A433" s="41"/>
      <c r="B433" s="41"/>
      <c r="C433" s="41"/>
      <c r="D433" s="126"/>
      <c r="E433" s="125"/>
      <c r="F433" s="125"/>
    </row>
    <row r="434">
      <c r="A434" s="41"/>
      <c r="B434" s="41"/>
      <c r="C434" s="41"/>
      <c r="D434" s="126"/>
      <c r="E434" s="125"/>
      <c r="F434" s="125"/>
    </row>
    <row r="435">
      <c r="A435" s="41"/>
      <c r="B435" s="41"/>
      <c r="C435" s="41"/>
      <c r="D435" s="126"/>
      <c r="E435" s="125"/>
      <c r="F435" s="125"/>
    </row>
    <row r="436">
      <c r="A436" s="41"/>
      <c r="B436" s="41"/>
      <c r="C436" s="41"/>
      <c r="D436" s="126"/>
      <c r="E436" s="125"/>
      <c r="F436" s="125"/>
    </row>
    <row r="437">
      <c r="A437" s="41"/>
      <c r="B437" s="41"/>
      <c r="C437" s="41"/>
      <c r="D437" s="126"/>
      <c r="E437" s="125"/>
      <c r="F437" s="125"/>
    </row>
    <row r="438">
      <c r="A438" s="41"/>
      <c r="B438" s="41"/>
      <c r="C438" s="41"/>
      <c r="D438" s="126"/>
      <c r="E438" s="125"/>
      <c r="F438" s="125"/>
    </row>
    <row r="439">
      <c r="A439" s="41"/>
      <c r="B439" s="41"/>
      <c r="C439" s="41"/>
      <c r="D439" s="126"/>
      <c r="E439" s="125"/>
      <c r="F439" s="125"/>
    </row>
    <row r="440">
      <c r="A440" s="41"/>
      <c r="B440" s="41"/>
      <c r="C440" s="41"/>
      <c r="D440" s="126"/>
      <c r="E440" s="125"/>
      <c r="F440" s="125"/>
    </row>
    <row r="441">
      <c r="A441" s="41"/>
      <c r="B441" s="41"/>
      <c r="C441" s="41"/>
      <c r="D441" s="126"/>
      <c r="E441" s="125"/>
      <c r="F441" s="125"/>
    </row>
    <row r="442">
      <c r="A442" s="41"/>
      <c r="B442" s="41"/>
      <c r="C442" s="41"/>
      <c r="D442" s="126"/>
      <c r="E442" s="125"/>
      <c r="F442" s="125"/>
    </row>
    <row r="443">
      <c r="A443" s="41"/>
      <c r="B443" s="41"/>
      <c r="C443" s="41"/>
      <c r="D443" s="126"/>
      <c r="E443" s="125"/>
      <c r="F443" s="125"/>
    </row>
    <row r="444">
      <c r="A444" s="41"/>
      <c r="B444" s="41"/>
      <c r="C444" s="41"/>
      <c r="D444" s="126"/>
      <c r="E444" s="125"/>
      <c r="F444" s="125"/>
    </row>
    <row r="445">
      <c r="A445" s="41"/>
      <c r="B445" s="41"/>
      <c r="C445" s="41"/>
      <c r="D445" s="126"/>
      <c r="E445" s="125"/>
      <c r="F445" s="125"/>
    </row>
    <row r="446">
      <c r="A446" s="41"/>
      <c r="B446" s="41"/>
      <c r="C446" s="41"/>
      <c r="D446" s="126"/>
      <c r="E446" s="125"/>
      <c r="F446" s="125"/>
    </row>
    <row r="447">
      <c r="A447" s="41"/>
      <c r="B447" s="41"/>
      <c r="C447" s="41"/>
      <c r="D447" s="126"/>
      <c r="E447" s="125"/>
      <c r="F447" s="125"/>
    </row>
    <row r="448">
      <c r="A448" s="41"/>
      <c r="B448" s="41"/>
      <c r="C448" s="41"/>
      <c r="D448" s="126"/>
      <c r="E448" s="125"/>
      <c r="F448" s="125"/>
    </row>
    <row r="449">
      <c r="A449" s="41"/>
      <c r="B449" s="41"/>
      <c r="C449" s="41"/>
      <c r="D449" s="126"/>
      <c r="E449" s="125"/>
      <c r="F449" s="125"/>
    </row>
    <row r="450">
      <c r="A450" s="41"/>
      <c r="B450" s="41"/>
      <c r="C450" s="41"/>
      <c r="D450" s="126"/>
      <c r="E450" s="125"/>
      <c r="F450" s="125"/>
    </row>
    <row r="451">
      <c r="A451" s="41"/>
      <c r="B451" s="41"/>
      <c r="C451" s="41"/>
      <c r="D451" s="126"/>
      <c r="E451" s="125"/>
      <c r="F451" s="125"/>
    </row>
    <row r="452">
      <c r="A452" s="41"/>
      <c r="B452" s="41"/>
      <c r="C452" s="41"/>
      <c r="D452" s="126"/>
      <c r="E452" s="125"/>
      <c r="F452" s="125"/>
    </row>
    <row r="453">
      <c r="A453" s="41"/>
      <c r="B453" s="41"/>
      <c r="C453" s="41"/>
      <c r="D453" s="126"/>
      <c r="E453" s="125"/>
      <c r="F453" s="125"/>
    </row>
    <row r="454">
      <c r="A454" s="41"/>
      <c r="B454" s="41"/>
      <c r="C454" s="41"/>
      <c r="D454" s="126"/>
      <c r="E454" s="125"/>
      <c r="F454" s="125"/>
    </row>
    <row r="455">
      <c r="A455" s="41"/>
      <c r="B455" s="41"/>
      <c r="C455" s="41"/>
      <c r="D455" s="126"/>
      <c r="E455" s="125"/>
      <c r="F455" s="125"/>
    </row>
    <row r="456">
      <c r="A456" s="41"/>
      <c r="B456" s="41"/>
      <c r="C456" s="41"/>
      <c r="D456" s="126"/>
      <c r="E456" s="125"/>
      <c r="F456" s="125"/>
    </row>
    <row r="457">
      <c r="A457" s="41"/>
      <c r="B457" s="41"/>
      <c r="C457" s="41"/>
      <c r="D457" s="126"/>
      <c r="E457" s="125"/>
      <c r="F457" s="125"/>
    </row>
    <row r="458">
      <c r="A458" s="41"/>
      <c r="B458" s="41"/>
      <c r="C458" s="41"/>
      <c r="D458" s="126"/>
      <c r="E458" s="125"/>
      <c r="F458" s="125"/>
    </row>
    <row r="459">
      <c r="A459" s="41"/>
      <c r="B459" s="41"/>
      <c r="C459" s="41"/>
      <c r="D459" s="126"/>
      <c r="E459" s="125"/>
      <c r="F459" s="125"/>
    </row>
    <row r="460">
      <c r="A460" s="41"/>
      <c r="B460" s="41"/>
      <c r="C460" s="41"/>
      <c r="D460" s="126"/>
      <c r="E460" s="125"/>
      <c r="F460" s="125"/>
    </row>
    <row r="461">
      <c r="A461" s="41"/>
      <c r="B461" s="41"/>
      <c r="C461" s="41"/>
      <c r="D461" s="126"/>
      <c r="E461" s="125"/>
      <c r="F461" s="125"/>
    </row>
    <row r="462">
      <c r="A462" s="41"/>
      <c r="B462" s="41"/>
      <c r="C462" s="41"/>
      <c r="D462" s="126"/>
      <c r="E462" s="125"/>
      <c r="F462" s="125"/>
    </row>
    <row r="463">
      <c r="A463" s="41"/>
      <c r="B463" s="41"/>
      <c r="C463" s="41"/>
      <c r="D463" s="126"/>
      <c r="E463" s="125"/>
      <c r="F463" s="125"/>
    </row>
    <row r="464">
      <c r="A464" s="41"/>
      <c r="B464" s="41"/>
      <c r="C464" s="41"/>
      <c r="D464" s="126"/>
      <c r="E464" s="125"/>
      <c r="F464" s="125"/>
    </row>
    <row r="465">
      <c r="A465" s="41"/>
      <c r="B465" s="41"/>
      <c r="C465" s="41"/>
      <c r="D465" s="126"/>
      <c r="E465" s="125"/>
      <c r="F465" s="125"/>
    </row>
    <row r="466">
      <c r="A466" s="41"/>
      <c r="B466" s="41"/>
      <c r="C466" s="41"/>
      <c r="D466" s="126"/>
      <c r="E466" s="125"/>
      <c r="F466" s="125"/>
    </row>
    <row r="467">
      <c r="A467" s="41"/>
      <c r="B467" s="41"/>
      <c r="C467" s="41"/>
      <c r="D467" s="126"/>
      <c r="E467" s="125"/>
      <c r="F467" s="125"/>
    </row>
    <row r="468">
      <c r="A468" s="41"/>
      <c r="B468" s="41"/>
      <c r="C468" s="41"/>
      <c r="D468" s="126"/>
      <c r="E468" s="125"/>
      <c r="F468" s="125"/>
    </row>
    <row r="469">
      <c r="A469" s="41"/>
      <c r="B469" s="41"/>
      <c r="C469" s="41"/>
      <c r="D469" s="126"/>
      <c r="E469" s="125"/>
      <c r="F469" s="125"/>
    </row>
    <row r="470">
      <c r="A470" s="41"/>
      <c r="B470" s="41"/>
      <c r="C470" s="41"/>
      <c r="D470" s="126"/>
      <c r="E470" s="125"/>
      <c r="F470" s="125"/>
    </row>
    <row r="471">
      <c r="A471" s="41"/>
      <c r="B471" s="41"/>
      <c r="C471" s="41"/>
      <c r="D471" s="126"/>
      <c r="E471" s="125"/>
      <c r="F471" s="125"/>
    </row>
    <row r="472">
      <c r="A472" s="41"/>
      <c r="B472" s="41"/>
      <c r="C472" s="41"/>
      <c r="D472" s="126"/>
      <c r="E472" s="125"/>
      <c r="F472" s="125"/>
    </row>
    <row r="473">
      <c r="A473" s="41"/>
      <c r="B473" s="41"/>
      <c r="C473" s="41"/>
      <c r="D473" s="126"/>
      <c r="E473" s="125"/>
      <c r="F473" s="125"/>
    </row>
    <row r="474">
      <c r="A474" s="41"/>
      <c r="B474" s="41"/>
      <c r="C474" s="41"/>
      <c r="D474" s="126"/>
      <c r="E474" s="125"/>
      <c r="F474" s="125"/>
    </row>
    <row r="475">
      <c r="A475" s="41"/>
      <c r="B475" s="41"/>
      <c r="C475" s="41"/>
      <c r="D475" s="126"/>
      <c r="E475" s="125"/>
      <c r="F475" s="125"/>
    </row>
    <row r="476">
      <c r="A476" s="41"/>
      <c r="B476" s="41"/>
      <c r="C476" s="41"/>
      <c r="D476" s="126"/>
      <c r="E476" s="125"/>
      <c r="F476" s="125"/>
    </row>
    <row r="477">
      <c r="A477" s="41"/>
      <c r="B477" s="41"/>
      <c r="C477" s="41"/>
      <c r="D477" s="126"/>
      <c r="E477" s="125"/>
      <c r="F477" s="125"/>
    </row>
    <row r="478">
      <c r="A478" s="41"/>
      <c r="B478" s="41"/>
      <c r="C478" s="41"/>
      <c r="D478" s="126"/>
      <c r="E478" s="125"/>
      <c r="F478" s="125"/>
    </row>
    <row r="479">
      <c r="A479" s="41"/>
      <c r="B479" s="41"/>
      <c r="C479" s="41"/>
      <c r="D479" s="126"/>
      <c r="E479" s="125"/>
      <c r="F479" s="125"/>
    </row>
    <row r="480">
      <c r="A480" s="41"/>
      <c r="B480" s="41"/>
      <c r="C480" s="41"/>
      <c r="D480" s="126"/>
      <c r="E480" s="125"/>
      <c r="F480" s="125"/>
    </row>
    <row r="481">
      <c r="A481" s="41"/>
      <c r="B481" s="41"/>
      <c r="C481" s="41"/>
      <c r="D481" s="126"/>
      <c r="E481" s="125"/>
      <c r="F481" s="125"/>
    </row>
    <row r="482">
      <c r="A482" s="41"/>
      <c r="B482" s="41"/>
      <c r="C482" s="41"/>
      <c r="D482" s="126"/>
      <c r="E482" s="125"/>
      <c r="F482" s="125"/>
    </row>
    <row r="483">
      <c r="A483" s="41"/>
      <c r="B483" s="41"/>
      <c r="C483" s="41"/>
      <c r="D483" s="126"/>
      <c r="E483" s="125"/>
      <c r="F483" s="125"/>
    </row>
    <row r="484">
      <c r="A484" s="41"/>
      <c r="B484" s="41"/>
      <c r="C484" s="41"/>
      <c r="D484" s="126"/>
      <c r="E484" s="125"/>
      <c r="F484" s="125"/>
    </row>
    <row r="485">
      <c r="A485" s="41"/>
      <c r="B485" s="41"/>
      <c r="C485" s="41"/>
      <c r="D485" s="126"/>
      <c r="E485" s="125"/>
      <c r="F485" s="125"/>
    </row>
    <row r="486">
      <c r="A486" s="41"/>
      <c r="B486" s="41"/>
      <c r="C486" s="41"/>
      <c r="D486" s="126"/>
      <c r="E486" s="125"/>
      <c r="F486" s="125"/>
    </row>
    <row r="487">
      <c r="A487" s="41"/>
      <c r="B487" s="41"/>
      <c r="C487" s="41"/>
      <c r="D487" s="126"/>
      <c r="E487" s="125"/>
      <c r="F487" s="125"/>
    </row>
    <row r="488">
      <c r="A488" s="41"/>
      <c r="B488" s="41"/>
      <c r="C488" s="41"/>
      <c r="D488" s="126"/>
      <c r="E488" s="125"/>
      <c r="F488" s="125"/>
    </row>
    <row r="489">
      <c r="A489" s="41"/>
      <c r="B489" s="41"/>
      <c r="C489" s="41"/>
      <c r="D489" s="126"/>
      <c r="E489" s="125"/>
      <c r="F489" s="125"/>
    </row>
    <row r="490">
      <c r="A490" s="41"/>
      <c r="B490" s="41"/>
      <c r="C490" s="41"/>
      <c r="D490" s="126"/>
      <c r="E490" s="125"/>
      <c r="F490" s="125"/>
    </row>
    <row r="491">
      <c r="A491" s="41"/>
      <c r="B491" s="41"/>
      <c r="C491" s="41"/>
      <c r="D491" s="126"/>
      <c r="E491" s="125"/>
      <c r="F491" s="125"/>
    </row>
    <row r="492">
      <c r="A492" s="41"/>
      <c r="B492" s="41"/>
      <c r="C492" s="41"/>
      <c r="D492" s="126"/>
      <c r="E492" s="125"/>
      <c r="F492" s="125"/>
    </row>
    <row r="493">
      <c r="A493" s="41"/>
      <c r="B493" s="41"/>
      <c r="C493" s="41"/>
      <c r="D493" s="126"/>
      <c r="E493" s="125"/>
      <c r="F493" s="125"/>
    </row>
    <row r="494">
      <c r="A494" s="41"/>
      <c r="B494" s="41"/>
      <c r="C494" s="41"/>
      <c r="D494" s="126"/>
      <c r="E494" s="125"/>
      <c r="F494" s="125"/>
    </row>
    <row r="495">
      <c r="A495" s="41"/>
      <c r="B495" s="41"/>
      <c r="C495" s="41"/>
      <c r="D495" s="126"/>
      <c r="E495" s="125"/>
      <c r="F495" s="125"/>
    </row>
    <row r="496">
      <c r="A496" s="41"/>
      <c r="B496" s="41"/>
      <c r="C496" s="41"/>
      <c r="D496" s="126"/>
      <c r="E496" s="125"/>
      <c r="F496" s="125"/>
    </row>
    <row r="497">
      <c r="A497" s="41"/>
      <c r="B497" s="41"/>
      <c r="C497" s="41"/>
      <c r="D497" s="126"/>
      <c r="E497" s="125"/>
      <c r="F497" s="125"/>
    </row>
    <row r="498">
      <c r="A498" s="41"/>
      <c r="B498" s="41"/>
      <c r="C498" s="41"/>
      <c r="D498" s="126"/>
      <c r="E498" s="125"/>
      <c r="F498" s="125"/>
    </row>
    <row r="499">
      <c r="A499" s="41"/>
      <c r="B499" s="41"/>
      <c r="C499" s="41"/>
      <c r="D499" s="126"/>
      <c r="E499" s="125"/>
      <c r="F499" s="125"/>
    </row>
    <row r="500">
      <c r="A500" s="41"/>
      <c r="B500" s="41"/>
      <c r="C500" s="41"/>
      <c r="D500" s="126"/>
      <c r="E500" s="125"/>
      <c r="F500" s="125"/>
    </row>
    <row r="501">
      <c r="A501" s="41"/>
      <c r="B501" s="41"/>
      <c r="C501" s="41"/>
      <c r="D501" s="126"/>
      <c r="E501" s="125"/>
      <c r="F501" s="125"/>
    </row>
    <row r="502">
      <c r="A502" s="41"/>
      <c r="B502" s="41"/>
      <c r="C502" s="41"/>
      <c r="D502" s="126"/>
      <c r="E502" s="125"/>
      <c r="F502" s="125"/>
    </row>
    <row r="503">
      <c r="A503" s="41"/>
      <c r="B503" s="41"/>
      <c r="C503" s="41"/>
      <c r="D503" s="126"/>
      <c r="E503" s="125"/>
      <c r="F503" s="125"/>
    </row>
    <row r="504">
      <c r="A504" s="41"/>
      <c r="B504" s="41"/>
      <c r="C504" s="41"/>
      <c r="D504" s="126"/>
      <c r="E504" s="125"/>
      <c r="F504" s="125"/>
    </row>
    <row r="505">
      <c r="A505" s="41"/>
      <c r="B505" s="41"/>
      <c r="C505" s="41"/>
      <c r="D505" s="126"/>
      <c r="E505" s="125"/>
      <c r="F505" s="125"/>
    </row>
    <row r="506">
      <c r="A506" s="41"/>
      <c r="B506" s="41"/>
      <c r="C506" s="41"/>
      <c r="D506" s="126"/>
      <c r="E506" s="125"/>
      <c r="F506" s="125"/>
    </row>
    <row r="507">
      <c r="A507" s="41"/>
      <c r="B507" s="41"/>
      <c r="C507" s="41"/>
      <c r="D507" s="126"/>
      <c r="E507" s="125"/>
      <c r="F507" s="125"/>
    </row>
    <row r="508">
      <c r="A508" s="41"/>
      <c r="B508" s="41"/>
      <c r="C508" s="41"/>
      <c r="D508" s="126"/>
      <c r="E508" s="125"/>
      <c r="F508" s="125"/>
    </row>
    <row r="509">
      <c r="A509" s="41"/>
      <c r="B509" s="41"/>
      <c r="C509" s="41"/>
      <c r="D509" s="126"/>
      <c r="E509" s="125"/>
      <c r="F509" s="125"/>
    </row>
    <row r="510">
      <c r="A510" s="41"/>
      <c r="B510" s="41"/>
      <c r="C510" s="41"/>
      <c r="D510" s="126"/>
      <c r="E510" s="125"/>
      <c r="F510" s="125"/>
    </row>
    <row r="511">
      <c r="A511" s="41"/>
      <c r="B511" s="41"/>
      <c r="C511" s="41"/>
      <c r="D511" s="126"/>
      <c r="E511" s="125"/>
      <c r="F511" s="125"/>
    </row>
    <row r="512">
      <c r="A512" s="41"/>
      <c r="B512" s="41"/>
      <c r="C512" s="41"/>
      <c r="D512" s="126"/>
      <c r="E512" s="125"/>
      <c r="F512" s="125"/>
    </row>
    <row r="513">
      <c r="A513" s="41"/>
      <c r="B513" s="41"/>
      <c r="C513" s="41"/>
      <c r="D513" s="126"/>
      <c r="E513" s="125"/>
      <c r="F513" s="125"/>
    </row>
    <row r="514">
      <c r="A514" s="41"/>
      <c r="B514" s="41"/>
      <c r="C514" s="41"/>
      <c r="D514" s="126"/>
      <c r="E514" s="125"/>
      <c r="F514" s="125"/>
    </row>
    <row r="515">
      <c r="A515" s="41"/>
      <c r="B515" s="41"/>
      <c r="C515" s="41"/>
      <c r="D515" s="126"/>
      <c r="E515" s="125"/>
      <c r="F515" s="125"/>
    </row>
    <row r="516">
      <c r="A516" s="41"/>
      <c r="B516" s="41"/>
      <c r="C516" s="41"/>
      <c r="D516" s="126"/>
      <c r="E516" s="125"/>
      <c r="F516" s="125"/>
    </row>
    <row r="517">
      <c r="A517" s="41"/>
      <c r="B517" s="41"/>
      <c r="C517" s="41"/>
      <c r="D517" s="126"/>
      <c r="E517" s="125"/>
      <c r="F517" s="125"/>
    </row>
    <row r="518">
      <c r="A518" s="41"/>
      <c r="B518" s="41"/>
      <c r="C518" s="41"/>
      <c r="D518" s="126"/>
      <c r="E518" s="125"/>
      <c r="F518" s="125"/>
    </row>
    <row r="519">
      <c r="A519" s="41"/>
      <c r="B519" s="41"/>
      <c r="C519" s="41"/>
      <c r="D519" s="126"/>
      <c r="E519" s="125"/>
      <c r="F519" s="125"/>
    </row>
    <row r="520">
      <c r="A520" s="41"/>
      <c r="B520" s="41"/>
      <c r="C520" s="41"/>
      <c r="D520" s="126"/>
      <c r="E520" s="125"/>
      <c r="F520" s="125"/>
    </row>
    <row r="521">
      <c r="A521" s="41"/>
      <c r="B521" s="41"/>
      <c r="C521" s="41"/>
      <c r="D521" s="126"/>
      <c r="E521" s="125"/>
      <c r="F521" s="125"/>
    </row>
    <row r="522">
      <c r="A522" s="41"/>
      <c r="B522" s="41"/>
      <c r="C522" s="41"/>
      <c r="D522" s="126"/>
      <c r="E522" s="125"/>
      <c r="F522" s="125"/>
    </row>
    <row r="523">
      <c r="A523" s="41"/>
      <c r="B523" s="41"/>
      <c r="C523" s="41"/>
      <c r="D523" s="126"/>
      <c r="E523" s="125"/>
      <c r="F523" s="125"/>
    </row>
    <row r="524">
      <c r="A524" s="41"/>
      <c r="B524" s="41"/>
      <c r="C524" s="41"/>
      <c r="D524" s="126"/>
      <c r="E524" s="125"/>
      <c r="F524" s="125"/>
    </row>
    <row r="525">
      <c r="A525" s="41"/>
      <c r="B525" s="41"/>
      <c r="C525" s="41"/>
      <c r="D525" s="126"/>
      <c r="E525" s="125"/>
      <c r="F525" s="125"/>
    </row>
    <row r="526">
      <c r="A526" s="41"/>
      <c r="B526" s="41"/>
      <c r="C526" s="41"/>
      <c r="D526" s="126"/>
      <c r="E526" s="125"/>
      <c r="F526" s="125"/>
    </row>
    <row r="527">
      <c r="A527" s="41"/>
      <c r="B527" s="41"/>
      <c r="C527" s="41"/>
      <c r="D527" s="126"/>
      <c r="E527" s="125"/>
      <c r="F527" s="125"/>
    </row>
    <row r="528">
      <c r="A528" s="41"/>
      <c r="B528" s="41"/>
      <c r="C528" s="41"/>
      <c r="D528" s="126"/>
      <c r="E528" s="125"/>
      <c r="F528" s="125"/>
    </row>
    <row r="529">
      <c r="A529" s="41"/>
      <c r="B529" s="41"/>
      <c r="C529" s="41"/>
      <c r="D529" s="126"/>
      <c r="E529" s="125"/>
      <c r="F529" s="125"/>
    </row>
    <row r="530">
      <c r="A530" s="41"/>
      <c r="B530" s="41"/>
      <c r="C530" s="41"/>
      <c r="D530" s="126"/>
      <c r="E530" s="125"/>
      <c r="F530" s="125"/>
    </row>
    <row r="531">
      <c r="A531" s="41"/>
      <c r="B531" s="41"/>
      <c r="C531" s="41"/>
      <c r="D531" s="126"/>
      <c r="E531" s="125"/>
      <c r="F531" s="125"/>
    </row>
    <row r="532">
      <c r="A532" s="41"/>
      <c r="B532" s="41"/>
      <c r="C532" s="41"/>
      <c r="D532" s="126"/>
      <c r="E532" s="125"/>
      <c r="F532" s="125"/>
    </row>
    <row r="533">
      <c r="A533" s="41"/>
      <c r="B533" s="41"/>
      <c r="C533" s="41"/>
      <c r="D533" s="126"/>
      <c r="E533" s="125"/>
      <c r="F533" s="125"/>
    </row>
    <row r="534">
      <c r="A534" s="41"/>
      <c r="B534" s="41"/>
      <c r="C534" s="41"/>
      <c r="D534" s="126"/>
      <c r="E534" s="125"/>
      <c r="F534" s="125"/>
    </row>
    <row r="535">
      <c r="A535" s="41"/>
      <c r="B535" s="41"/>
      <c r="C535" s="41"/>
      <c r="D535" s="126"/>
      <c r="E535" s="125"/>
      <c r="F535" s="125"/>
    </row>
    <row r="536">
      <c r="A536" s="41"/>
      <c r="B536" s="41"/>
      <c r="C536" s="41"/>
      <c r="D536" s="126"/>
      <c r="E536" s="125"/>
      <c r="F536" s="125"/>
    </row>
    <row r="537">
      <c r="A537" s="41"/>
      <c r="B537" s="41"/>
      <c r="C537" s="41"/>
      <c r="D537" s="126"/>
      <c r="E537" s="125"/>
      <c r="F537" s="125"/>
    </row>
    <row r="538">
      <c r="A538" s="41"/>
      <c r="B538" s="41"/>
      <c r="C538" s="41"/>
      <c r="D538" s="126"/>
      <c r="E538" s="125"/>
      <c r="F538" s="125"/>
    </row>
    <row r="539">
      <c r="A539" s="41"/>
      <c r="B539" s="41"/>
      <c r="C539" s="41"/>
      <c r="D539" s="126"/>
      <c r="E539" s="125"/>
      <c r="F539" s="125"/>
    </row>
    <row r="540">
      <c r="A540" s="41"/>
      <c r="B540" s="41"/>
      <c r="C540" s="41"/>
      <c r="D540" s="126"/>
      <c r="E540" s="125"/>
      <c r="F540" s="125"/>
    </row>
    <row r="541">
      <c r="A541" s="41"/>
      <c r="B541" s="41"/>
      <c r="C541" s="41"/>
      <c r="D541" s="126"/>
      <c r="E541" s="125"/>
      <c r="F541" s="125"/>
    </row>
    <row r="542">
      <c r="A542" s="41"/>
      <c r="B542" s="41"/>
      <c r="C542" s="41"/>
      <c r="D542" s="126"/>
      <c r="E542" s="125"/>
      <c r="F542" s="125"/>
    </row>
    <row r="543">
      <c r="A543" s="41"/>
      <c r="B543" s="41"/>
      <c r="C543" s="41"/>
      <c r="D543" s="126"/>
      <c r="E543" s="125"/>
      <c r="F543" s="125"/>
    </row>
    <row r="544">
      <c r="A544" s="41"/>
      <c r="B544" s="41"/>
      <c r="C544" s="41"/>
      <c r="D544" s="126"/>
      <c r="E544" s="125"/>
      <c r="F544" s="125"/>
    </row>
    <row r="545">
      <c r="A545" s="41"/>
      <c r="B545" s="41"/>
      <c r="C545" s="41"/>
      <c r="D545" s="126"/>
      <c r="E545" s="125"/>
      <c r="F545" s="125"/>
    </row>
    <row r="546">
      <c r="A546" s="41"/>
      <c r="B546" s="41"/>
      <c r="C546" s="41"/>
      <c r="D546" s="126"/>
      <c r="E546" s="125"/>
      <c r="F546" s="125"/>
    </row>
    <row r="547">
      <c r="A547" s="41"/>
      <c r="B547" s="41"/>
      <c r="C547" s="41"/>
      <c r="D547" s="126"/>
      <c r="E547" s="125"/>
      <c r="F547" s="125"/>
    </row>
    <row r="548">
      <c r="A548" s="41"/>
      <c r="B548" s="41"/>
      <c r="C548" s="41"/>
      <c r="D548" s="126"/>
      <c r="E548" s="125"/>
      <c r="F548" s="125"/>
    </row>
    <row r="549">
      <c r="A549" s="41"/>
      <c r="B549" s="41"/>
      <c r="C549" s="41"/>
      <c r="D549" s="126"/>
      <c r="E549" s="125"/>
      <c r="F549" s="125"/>
    </row>
    <row r="550">
      <c r="A550" s="41"/>
      <c r="B550" s="41"/>
      <c r="C550" s="41"/>
      <c r="D550" s="126"/>
      <c r="E550" s="125"/>
      <c r="F550" s="125"/>
    </row>
    <row r="551">
      <c r="A551" s="41"/>
      <c r="B551" s="41"/>
      <c r="C551" s="41"/>
      <c r="D551" s="126"/>
      <c r="E551" s="125"/>
      <c r="F551" s="125"/>
    </row>
    <row r="552">
      <c r="A552" s="41"/>
      <c r="B552" s="41"/>
      <c r="C552" s="41"/>
      <c r="D552" s="126"/>
      <c r="E552" s="125"/>
      <c r="F552" s="125"/>
    </row>
    <row r="553">
      <c r="A553" s="41"/>
      <c r="B553" s="41"/>
      <c r="C553" s="41"/>
      <c r="D553" s="126"/>
      <c r="E553" s="125"/>
      <c r="F553" s="125"/>
    </row>
    <row r="554">
      <c r="A554" s="41"/>
      <c r="B554" s="41"/>
      <c r="C554" s="41"/>
      <c r="D554" s="126"/>
      <c r="E554" s="125"/>
      <c r="F554" s="125"/>
    </row>
    <row r="555">
      <c r="A555" s="41"/>
      <c r="B555" s="41"/>
      <c r="C555" s="41"/>
      <c r="D555" s="126"/>
      <c r="E555" s="125"/>
      <c r="F555" s="125"/>
    </row>
    <row r="556">
      <c r="A556" s="41"/>
      <c r="B556" s="41"/>
      <c r="C556" s="41"/>
      <c r="D556" s="126"/>
      <c r="E556" s="125"/>
      <c r="F556" s="125"/>
    </row>
    <row r="557">
      <c r="A557" s="41"/>
      <c r="B557" s="41"/>
      <c r="C557" s="41"/>
      <c r="D557" s="126"/>
      <c r="E557" s="125"/>
      <c r="F557" s="125"/>
    </row>
    <row r="558">
      <c r="A558" s="41"/>
      <c r="B558" s="41"/>
      <c r="C558" s="41"/>
      <c r="D558" s="126"/>
      <c r="E558" s="125"/>
      <c r="F558" s="125"/>
    </row>
    <row r="559">
      <c r="A559" s="41"/>
      <c r="B559" s="41"/>
      <c r="C559" s="41"/>
      <c r="D559" s="126"/>
      <c r="E559" s="125"/>
      <c r="F559" s="125"/>
    </row>
    <row r="560">
      <c r="A560" s="41"/>
      <c r="B560" s="41"/>
      <c r="C560" s="41"/>
      <c r="D560" s="126"/>
      <c r="E560" s="125"/>
      <c r="F560" s="125"/>
    </row>
    <row r="561">
      <c r="A561" s="41"/>
      <c r="B561" s="41"/>
      <c r="C561" s="41"/>
      <c r="D561" s="126"/>
      <c r="E561" s="125"/>
      <c r="F561" s="125"/>
    </row>
    <row r="562">
      <c r="A562" s="41"/>
      <c r="B562" s="41"/>
      <c r="C562" s="41"/>
      <c r="D562" s="126"/>
      <c r="E562" s="125"/>
      <c r="F562" s="125"/>
    </row>
    <row r="563">
      <c r="A563" s="41"/>
      <c r="B563" s="41"/>
      <c r="C563" s="41"/>
      <c r="D563" s="126"/>
      <c r="E563" s="125"/>
      <c r="F563" s="125"/>
    </row>
    <row r="564">
      <c r="A564" s="41"/>
      <c r="B564" s="41"/>
      <c r="C564" s="41"/>
      <c r="D564" s="126"/>
      <c r="E564" s="125"/>
      <c r="F564" s="125"/>
    </row>
    <row r="565">
      <c r="A565" s="41"/>
      <c r="B565" s="41"/>
      <c r="C565" s="41"/>
      <c r="D565" s="126"/>
      <c r="E565" s="125"/>
      <c r="F565" s="125"/>
    </row>
    <row r="566">
      <c r="A566" s="41"/>
      <c r="B566" s="41"/>
      <c r="C566" s="41"/>
      <c r="D566" s="126"/>
      <c r="E566" s="125"/>
      <c r="F566" s="125"/>
    </row>
    <row r="567">
      <c r="A567" s="41"/>
      <c r="B567" s="41"/>
      <c r="C567" s="41"/>
      <c r="D567" s="126"/>
      <c r="E567" s="125"/>
      <c r="F567" s="125"/>
    </row>
    <row r="568">
      <c r="A568" s="41"/>
      <c r="B568" s="41"/>
      <c r="C568" s="41"/>
      <c r="D568" s="126"/>
      <c r="E568" s="125"/>
      <c r="F568" s="125"/>
    </row>
    <row r="569">
      <c r="A569" s="41"/>
      <c r="B569" s="41"/>
      <c r="C569" s="41"/>
      <c r="D569" s="126"/>
      <c r="E569" s="125"/>
      <c r="F569" s="125"/>
    </row>
    <row r="570">
      <c r="A570" s="41"/>
      <c r="B570" s="41"/>
      <c r="C570" s="41"/>
      <c r="D570" s="126"/>
      <c r="E570" s="125"/>
      <c r="F570" s="125"/>
    </row>
    <row r="571">
      <c r="A571" s="41"/>
      <c r="B571" s="41"/>
      <c r="C571" s="41"/>
      <c r="D571" s="126"/>
      <c r="E571" s="125"/>
      <c r="F571" s="125"/>
    </row>
    <row r="572">
      <c r="A572" s="41"/>
      <c r="B572" s="41"/>
      <c r="C572" s="41"/>
      <c r="D572" s="126"/>
      <c r="E572" s="125"/>
      <c r="F572" s="125"/>
    </row>
    <row r="573">
      <c r="A573" s="41"/>
      <c r="B573" s="41"/>
      <c r="C573" s="41"/>
      <c r="D573" s="126"/>
      <c r="E573" s="125"/>
      <c r="F573" s="125"/>
    </row>
    <row r="574">
      <c r="A574" s="41"/>
      <c r="B574" s="41"/>
      <c r="C574" s="41"/>
      <c r="D574" s="126"/>
      <c r="E574" s="125"/>
      <c r="F574" s="125"/>
    </row>
    <row r="575">
      <c r="A575" s="41"/>
      <c r="B575" s="41"/>
      <c r="C575" s="41"/>
      <c r="D575" s="126"/>
      <c r="E575" s="125"/>
      <c r="F575" s="125"/>
    </row>
    <row r="576">
      <c r="A576" s="41"/>
      <c r="B576" s="41"/>
      <c r="C576" s="41"/>
      <c r="D576" s="126"/>
      <c r="E576" s="125"/>
      <c r="F576" s="125"/>
    </row>
    <row r="577">
      <c r="A577" s="41"/>
      <c r="B577" s="41"/>
      <c r="C577" s="41"/>
      <c r="D577" s="126"/>
      <c r="E577" s="125"/>
      <c r="F577" s="125"/>
    </row>
    <row r="578">
      <c r="A578" s="41"/>
      <c r="B578" s="41"/>
      <c r="C578" s="41"/>
      <c r="D578" s="126"/>
      <c r="E578" s="125"/>
      <c r="F578" s="125"/>
    </row>
    <row r="579">
      <c r="A579" s="41"/>
      <c r="B579" s="41"/>
      <c r="C579" s="41"/>
      <c r="D579" s="126"/>
      <c r="E579" s="125"/>
      <c r="F579" s="125"/>
    </row>
    <row r="580">
      <c r="A580" s="41"/>
      <c r="B580" s="41"/>
      <c r="C580" s="41"/>
      <c r="D580" s="126"/>
      <c r="E580" s="125"/>
      <c r="F580" s="125"/>
    </row>
    <row r="581">
      <c r="A581" s="41"/>
      <c r="B581" s="41"/>
      <c r="C581" s="41"/>
      <c r="D581" s="126"/>
      <c r="E581" s="125"/>
      <c r="F581" s="125"/>
    </row>
    <row r="582">
      <c r="A582" s="41"/>
      <c r="B582" s="41"/>
      <c r="C582" s="41"/>
      <c r="D582" s="126"/>
      <c r="E582" s="125"/>
      <c r="F582" s="125"/>
    </row>
    <row r="583">
      <c r="A583" s="41"/>
      <c r="B583" s="41"/>
      <c r="C583" s="41"/>
      <c r="D583" s="126"/>
      <c r="E583" s="125"/>
      <c r="F583" s="125"/>
    </row>
    <row r="584">
      <c r="A584" s="41"/>
      <c r="B584" s="41"/>
      <c r="C584" s="41"/>
      <c r="D584" s="126"/>
      <c r="E584" s="125"/>
      <c r="F584" s="125"/>
    </row>
    <row r="585">
      <c r="A585" s="41"/>
      <c r="B585" s="41"/>
      <c r="C585" s="41"/>
      <c r="D585" s="126"/>
      <c r="E585" s="125"/>
      <c r="F585" s="125"/>
    </row>
    <row r="586">
      <c r="A586" s="41"/>
      <c r="B586" s="41"/>
      <c r="C586" s="41"/>
      <c r="D586" s="126"/>
      <c r="E586" s="125"/>
      <c r="F586" s="125"/>
    </row>
    <row r="587">
      <c r="A587" s="41"/>
      <c r="B587" s="41"/>
      <c r="C587" s="41"/>
      <c r="D587" s="126"/>
      <c r="E587" s="125"/>
      <c r="F587" s="125"/>
    </row>
    <row r="588">
      <c r="A588" s="41"/>
      <c r="B588" s="41"/>
      <c r="C588" s="41"/>
      <c r="D588" s="126"/>
      <c r="E588" s="125"/>
      <c r="F588" s="125"/>
    </row>
    <row r="589">
      <c r="A589" s="41"/>
      <c r="B589" s="41"/>
      <c r="C589" s="41"/>
      <c r="D589" s="126"/>
      <c r="E589" s="125"/>
      <c r="F589" s="125"/>
    </row>
    <row r="590">
      <c r="A590" s="41"/>
      <c r="B590" s="41"/>
      <c r="C590" s="41"/>
      <c r="D590" s="126"/>
      <c r="E590" s="125"/>
      <c r="F590" s="125"/>
    </row>
    <row r="591">
      <c r="A591" s="41"/>
      <c r="B591" s="41"/>
      <c r="C591" s="41"/>
      <c r="D591" s="126"/>
      <c r="E591" s="125"/>
      <c r="F591" s="125"/>
    </row>
    <row r="592">
      <c r="A592" s="41"/>
      <c r="B592" s="41"/>
      <c r="C592" s="41"/>
      <c r="D592" s="126"/>
      <c r="E592" s="125"/>
      <c r="F592" s="125"/>
    </row>
    <row r="593">
      <c r="A593" s="41"/>
      <c r="B593" s="41"/>
      <c r="C593" s="41"/>
      <c r="D593" s="126"/>
      <c r="E593" s="125"/>
      <c r="F593" s="125"/>
    </row>
    <row r="594">
      <c r="A594" s="41"/>
      <c r="B594" s="41"/>
      <c r="C594" s="41"/>
      <c r="D594" s="126"/>
      <c r="E594" s="125"/>
      <c r="F594" s="125"/>
    </row>
    <row r="595">
      <c r="A595" s="41"/>
      <c r="B595" s="41"/>
      <c r="C595" s="41"/>
      <c r="D595" s="126"/>
      <c r="E595" s="125"/>
      <c r="F595" s="125"/>
    </row>
    <row r="596">
      <c r="A596" s="41"/>
      <c r="B596" s="41"/>
      <c r="C596" s="41"/>
      <c r="D596" s="126"/>
      <c r="E596" s="125"/>
      <c r="F596" s="125"/>
    </row>
    <row r="597">
      <c r="A597" s="41"/>
      <c r="B597" s="41"/>
      <c r="C597" s="41"/>
      <c r="D597" s="126"/>
      <c r="E597" s="125"/>
      <c r="F597" s="125"/>
    </row>
    <row r="598">
      <c r="A598" s="41"/>
      <c r="B598" s="41"/>
      <c r="C598" s="41"/>
      <c r="D598" s="126"/>
      <c r="E598" s="125"/>
      <c r="F598" s="125"/>
    </row>
    <row r="599">
      <c r="A599" s="41"/>
      <c r="B599" s="41"/>
      <c r="C599" s="41"/>
      <c r="D599" s="126"/>
      <c r="E599" s="125"/>
      <c r="F599" s="125"/>
    </row>
    <row r="600">
      <c r="A600" s="41"/>
      <c r="B600" s="41"/>
      <c r="C600" s="41"/>
      <c r="D600" s="126"/>
      <c r="E600" s="125"/>
      <c r="F600" s="125"/>
    </row>
    <row r="601">
      <c r="A601" s="41"/>
      <c r="B601" s="41"/>
      <c r="C601" s="41"/>
      <c r="D601" s="126"/>
      <c r="E601" s="125"/>
      <c r="F601" s="125"/>
    </row>
    <row r="602">
      <c r="A602" s="41"/>
      <c r="B602" s="41"/>
      <c r="C602" s="41"/>
      <c r="D602" s="126"/>
      <c r="E602" s="125"/>
      <c r="F602" s="125"/>
    </row>
    <row r="603">
      <c r="A603" s="41"/>
      <c r="B603" s="41"/>
      <c r="C603" s="41"/>
      <c r="D603" s="126"/>
      <c r="E603" s="125"/>
      <c r="F603" s="125"/>
    </row>
    <row r="604">
      <c r="A604" s="41"/>
      <c r="B604" s="41"/>
      <c r="C604" s="41"/>
      <c r="D604" s="126"/>
      <c r="E604" s="125"/>
      <c r="F604" s="125"/>
    </row>
    <row r="605">
      <c r="A605" s="41"/>
      <c r="B605" s="41"/>
      <c r="C605" s="41"/>
      <c r="D605" s="126"/>
      <c r="E605" s="125"/>
      <c r="F605" s="125"/>
    </row>
    <row r="606">
      <c r="A606" s="41"/>
      <c r="B606" s="41"/>
      <c r="C606" s="41"/>
      <c r="D606" s="126"/>
      <c r="E606" s="125"/>
      <c r="F606" s="125"/>
    </row>
    <row r="607">
      <c r="A607" s="41"/>
      <c r="B607" s="41"/>
      <c r="C607" s="41"/>
      <c r="D607" s="126"/>
      <c r="E607" s="125"/>
      <c r="F607" s="125"/>
    </row>
    <row r="608">
      <c r="A608" s="41"/>
      <c r="B608" s="41"/>
      <c r="C608" s="41"/>
      <c r="D608" s="126"/>
      <c r="E608" s="125"/>
      <c r="F608" s="125"/>
    </row>
    <row r="609">
      <c r="A609" s="41"/>
      <c r="B609" s="41"/>
      <c r="C609" s="41"/>
      <c r="D609" s="126"/>
      <c r="E609" s="125"/>
      <c r="F609" s="125"/>
    </row>
    <row r="610">
      <c r="A610" s="41"/>
      <c r="B610" s="41"/>
      <c r="C610" s="41"/>
      <c r="D610" s="126"/>
      <c r="E610" s="125"/>
      <c r="F610" s="125"/>
    </row>
    <row r="611">
      <c r="A611" s="41"/>
      <c r="B611" s="41"/>
      <c r="C611" s="41"/>
      <c r="D611" s="126"/>
      <c r="E611" s="125"/>
      <c r="F611" s="125"/>
    </row>
    <row r="612">
      <c r="A612" s="41"/>
      <c r="B612" s="41"/>
      <c r="C612" s="41"/>
      <c r="D612" s="126"/>
      <c r="E612" s="125"/>
      <c r="F612" s="125"/>
    </row>
    <row r="613">
      <c r="A613" s="41"/>
      <c r="B613" s="41"/>
      <c r="C613" s="41"/>
      <c r="D613" s="126"/>
      <c r="E613" s="125"/>
      <c r="F613" s="125"/>
    </row>
    <row r="614">
      <c r="A614" s="41"/>
      <c r="B614" s="41"/>
      <c r="C614" s="41"/>
      <c r="D614" s="126"/>
      <c r="E614" s="125"/>
      <c r="F614" s="125"/>
    </row>
    <row r="615">
      <c r="A615" s="41"/>
      <c r="B615" s="41"/>
      <c r="C615" s="41"/>
      <c r="D615" s="126"/>
      <c r="E615" s="125"/>
      <c r="F615" s="125"/>
    </row>
    <row r="616">
      <c r="A616" s="41"/>
      <c r="B616" s="41"/>
      <c r="C616" s="41"/>
      <c r="D616" s="126"/>
      <c r="E616" s="125"/>
      <c r="F616" s="125"/>
    </row>
    <row r="617">
      <c r="A617" s="41"/>
      <c r="B617" s="41"/>
      <c r="C617" s="41"/>
      <c r="D617" s="126"/>
      <c r="E617" s="125"/>
      <c r="F617" s="125"/>
    </row>
    <row r="618">
      <c r="A618" s="41"/>
      <c r="B618" s="41"/>
      <c r="C618" s="41"/>
      <c r="D618" s="126"/>
      <c r="E618" s="125"/>
      <c r="F618" s="125"/>
    </row>
    <row r="619">
      <c r="A619" s="41"/>
      <c r="B619" s="41"/>
      <c r="C619" s="41"/>
      <c r="D619" s="126"/>
      <c r="E619" s="125"/>
      <c r="F619" s="125"/>
    </row>
    <row r="620">
      <c r="A620" s="41"/>
      <c r="B620" s="41"/>
      <c r="C620" s="41"/>
      <c r="D620" s="126"/>
      <c r="E620" s="125"/>
      <c r="F620" s="125"/>
    </row>
    <row r="621">
      <c r="A621" s="41"/>
      <c r="B621" s="41"/>
      <c r="C621" s="41"/>
      <c r="D621" s="126"/>
      <c r="E621" s="125"/>
      <c r="F621" s="125"/>
    </row>
    <row r="622">
      <c r="A622" s="41"/>
      <c r="B622" s="41"/>
      <c r="C622" s="41"/>
      <c r="D622" s="126"/>
      <c r="E622" s="125"/>
      <c r="F622" s="125"/>
    </row>
    <row r="623">
      <c r="A623" s="41"/>
      <c r="B623" s="41"/>
      <c r="C623" s="41"/>
      <c r="D623" s="126"/>
      <c r="E623" s="125"/>
      <c r="F623" s="125"/>
    </row>
    <row r="624">
      <c r="A624" s="41"/>
      <c r="B624" s="41"/>
      <c r="C624" s="41"/>
      <c r="D624" s="126"/>
      <c r="E624" s="125"/>
      <c r="F624" s="125"/>
    </row>
    <row r="625">
      <c r="A625" s="41"/>
      <c r="B625" s="41"/>
      <c r="C625" s="41"/>
      <c r="D625" s="126"/>
      <c r="E625" s="125"/>
      <c r="F625" s="125"/>
    </row>
    <row r="626">
      <c r="A626" s="41"/>
      <c r="B626" s="41"/>
      <c r="C626" s="41"/>
      <c r="D626" s="126"/>
      <c r="E626" s="125"/>
      <c r="F626" s="125"/>
    </row>
    <row r="627">
      <c r="A627" s="41"/>
      <c r="B627" s="41"/>
      <c r="C627" s="41"/>
      <c r="D627" s="126"/>
      <c r="E627" s="125"/>
      <c r="F627" s="125"/>
    </row>
    <row r="628">
      <c r="A628" s="41"/>
      <c r="B628" s="41"/>
      <c r="C628" s="41"/>
      <c r="D628" s="126"/>
      <c r="E628" s="125"/>
      <c r="F628" s="125"/>
    </row>
    <row r="629">
      <c r="A629" s="41"/>
      <c r="B629" s="41"/>
      <c r="C629" s="41"/>
      <c r="D629" s="126"/>
      <c r="E629" s="125"/>
      <c r="F629" s="125"/>
    </row>
    <row r="630">
      <c r="A630" s="41"/>
      <c r="B630" s="41"/>
      <c r="C630" s="41"/>
      <c r="D630" s="126"/>
      <c r="E630" s="125"/>
      <c r="F630" s="125"/>
    </row>
    <row r="631">
      <c r="A631" s="41"/>
      <c r="B631" s="41"/>
      <c r="C631" s="41"/>
      <c r="D631" s="126"/>
      <c r="E631" s="125"/>
      <c r="F631" s="125"/>
    </row>
    <row r="632">
      <c r="A632" s="41"/>
      <c r="B632" s="41"/>
      <c r="C632" s="41"/>
      <c r="D632" s="126"/>
      <c r="E632" s="125"/>
      <c r="F632" s="125"/>
    </row>
    <row r="633">
      <c r="A633" s="41"/>
      <c r="B633" s="41"/>
      <c r="C633" s="41"/>
      <c r="D633" s="126"/>
      <c r="E633" s="125"/>
      <c r="F633" s="125"/>
    </row>
    <row r="634">
      <c r="A634" s="41"/>
      <c r="B634" s="41"/>
      <c r="C634" s="41"/>
      <c r="D634" s="126"/>
      <c r="E634" s="125"/>
      <c r="F634" s="125"/>
    </row>
    <row r="635">
      <c r="A635" s="41"/>
      <c r="B635" s="41"/>
      <c r="C635" s="41"/>
      <c r="D635" s="126"/>
      <c r="E635" s="125"/>
      <c r="F635" s="125"/>
    </row>
    <row r="636">
      <c r="A636" s="41"/>
      <c r="B636" s="41"/>
      <c r="C636" s="41"/>
      <c r="D636" s="126"/>
      <c r="E636" s="125"/>
      <c r="F636" s="125"/>
    </row>
    <row r="637">
      <c r="A637" s="41"/>
      <c r="B637" s="41"/>
      <c r="C637" s="41"/>
      <c r="D637" s="126"/>
      <c r="E637" s="125"/>
      <c r="F637" s="125"/>
    </row>
    <row r="638">
      <c r="A638" s="41"/>
      <c r="B638" s="41"/>
      <c r="C638" s="41"/>
      <c r="D638" s="126"/>
      <c r="E638" s="125"/>
      <c r="F638" s="125"/>
    </row>
    <row r="639">
      <c r="A639" s="41"/>
      <c r="B639" s="41"/>
      <c r="C639" s="41"/>
      <c r="D639" s="126"/>
      <c r="E639" s="125"/>
      <c r="F639" s="125"/>
    </row>
    <row r="640">
      <c r="A640" s="41"/>
      <c r="B640" s="41"/>
      <c r="C640" s="41"/>
      <c r="D640" s="126"/>
      <c r="E640" s="125"/>
      <c r="F640" s="125"/>
    </row>
    <row r="641">
      <c r="A641" s="41"/>
      <c r="B641" s="41"/>
      <c r="C641" s="41"/>
      <c r="D641" s="126"/>
      <c r="E641" s="125"/>
      <c r="F641" s="125"/>
    </row>
    <row r="642">
      <c r="A642" s="41"/>
      <c r="B642" s="41"/>
      <c r="C642" s="41"/>
      <c r="D642" s="126"/>
      <c r="E642" s="125"/>
      <c r="F642" s="125"/>
    </row>
    <row r="643">
      <c r="A643" s="41"/>
      <c r="B643" s="41"/>
      <c r="C643" s="41"/>
      <c r="D643" s="126"/>
      <c r="E643" s="125"/>
      <c r="F643" s="125"/>
    </row>
    <row r="644">
      <c r="A644" s="41"/>
      <c r="B644" s="41"/>
      <c r="C644" s="41"/>
      <c r="D644" s="126"/>
      <c r="E644" s="125"/>
      <c r="F644" s="125"/>
    </row>
    <row r="645">
      <c r="A645" s="41"/>
      <c r="B645" s="41"/>
      <c r="C645" s="41"/>
      <c r="D645" s="126"/>
      <c r="E645" s="125"/>
      <c r="F645" s="125"/>
    </row>
    <row r="646">
      <c r="A646" s="41"/>
      <c r="B646" s="41"/>
      <c r="C646" s="41"/>
      <c r="D646" s="126"/>
      <c r="E646" s="125"/>
      <c r="F646" s="125"/>
    </row>
    <row r="647">
      <c r="A647" s="41"/>
      <c r="B647" s="41"/>
      <c r="C647" s="41"/>
      <c r="D647" s="126"/>
      <c r="E647" s="125"/>
      <c r="F647" s="125"/>
    </row>
    <row r="648">
      <c r="A648" s="41"/>
      <c r="B648" s="41"/>
      <c r="C648" s="41"/>
      <c r="D648" s="126"/>
      <c r="E648" s="125"/>
      <c r="F648" s="125"/>
    </row>
    <row r="649">
      <c r="A649" s="41"/>
      <c r="B649" s="41"/>
      <c r="C649" s="41"/>
      <c r="D649" s="126"/>
      <c r="E649" s="125"/>
      <c r="F649" s="125"/>
    </row>
    <row r="650">
      <c r="A650" s="41"/>
      <c r="B650" s="41"/>
      <c r="C650" s="41"/>
      <c r="D650" s="126"/>
      <c r="E650" s="125"/>
      <c r="F650" s="125"/>
    </row>
    <row r="651">
      <c r="A651" s="41"/>
      <c r="B651" s="41"/>
      <c r="C651" s="41"/>
      <c r="D651" s="126"/>
      <c r="E651" s="125"/>
      <c r="F651" s="125"/>
    </row>
    <row r="652">
      <c r="A652" s="41"/>
      <c r="B652" s="41"/>
      <c r="C652" s="41"/>
      <c r="D652" s="126"/>
      <c r="E652" s="125"/>
      <c r="F652" s="125"/>
    </row>
    <row r="653">
      <c r="A653" s="41"/>
      <c r="B653" s="41"/>
      <c r="C653" s="41"/>
      <c r="D653" s="126"/>
      <c r="E653" s="125"/>
      <c r="F653" s="125"/>
    </row>
    <row r="654">
      <c r="A654" s="41"/>
      <c r="B654" s="41"/>
      <c r="C654" s="41"/>
      <c r="D654" s="126"/>
      <c r="E654" s="125"/>
      <c r="F654" s="125"/>
    </row>
    <row r="655">
      <c r="A655" s="41"/>
      <c r="B655" s="41"/>
      <c r="C655" s="41"/>
      <c r="D655" s="126"/>
      <c r="E655" s="125"/>
      <c r="F655" s="125"/>
    </row>
    <row r="656">
      <c r="A656" s="41"/>
      <c r="B656" s="41"/>
      <c r="C656" s="41"/>
      <c r="D656" s="126"/>
      <c r="E656" s="125"/>
      <c r="F656" s="125"/>
    </row>
    <row r="657">
      <c r="A657" s="41"/>
      <c r="B657" s="41"/>
      <c r="C657" s="41"/>
      <c r="D657" s="126"/>
      <c r="E657" s="125"/>
      <c r="F657" s="125"/>
    </row>
    <row r="658">
      <c r="A658" s="41"/>
      <c r="B658" s="41"/>
      <c r="C658" s="41"/>
      <c r="D658" s="126"/>
      <c r="E658" s="125"/>
      <c r="F658" s="125"/>
    </row>
    <row r="659">
      <c r="A659" s="41"/>
      <c r="B659" s="41"/>
      <c r="C659" s="41"/>
      <c r="D659" s="126"/>
      <c r="E659" s="125"/>
      <c r="F659" s="125"/>
    </row>
    <row r="660">
      <c r="A660" s="41"/>
      <c r="B660" s="41"/>
      <c r="C660" s="41"/>
      <c r="D660" s="126"/>
      <c r="E660" s="125"/>
      <c r="F660" s="125"/>
    </row>
    <row r="661">
      <c r="A661" s="41"/>
      <c r="B661" s="41"/>
      <c r="C661" s="41"/>
      <c r="D661" s="126"/>
      <c r="E661" s="125"/>
      <c r="F661" s="125"/>
    </row>
    <row r="662">
      <c r="A662" s="41"/>
      <c r="B662" s="41"/>
      <c r="C662" s="41"/>
      <c r="D662" s="126"/>
      <c r="E662" s="125"/>
      <c r="F662" s="125"/>
    </row>
    <row r="663">
      <c r="A663" s="41"/>
      <c r="B663" s="41"/>
      <c r="C663" s="41"/>
      <c r="D663" s="126"/>
      <c r="E663" s="125"/>
      <c r="F663" s="125"/>
    </row>
    <row r="664">
      <c r="A664" s="41"/>
      <c r="B664" s="41"/>
      <c r="C664" s="41"/>
      <c r="D664" s="126"/>
      <c r="E664" s="125"/>
      <c r="F664" s="125"/>
    </row>
    <row r="665">
      <c r="A665" s="41"/>
      <c r="B665" s="41"/>
      <c r="C665" s="41"/>
      <c r="D665" s="126"/>
      <c r="E665" s="125"/>
      <c r="F665" s="125"/>
    </row>
    <row r="666">
      <c r="A666" s="41"/>
      <c r="B666" s="41"/>
      <c r="C666" s="41"/>
      <c r="D666" s="126"/>
      <c r="E666" s="125"/>
      <c r="F666" s="125"/>
    </row>
    <row r="667">
      <c r="A667" s="41"/>
      <c r="B667" s="41"/>
      <c r="C667" s="41"/>
      <c r="D667" s="126"/>
      <c r="E667" s="125"/>
      <c r="F667" s="125"/>
    </row>
    <row r="668">
      <c r="A668" s="41"/>
      <c r="B668" s="41"/>
      <c r="C668" s="41"/>
      <c r="D668" s="126"/>
      <c r="E668" s="125"/>
      <c r="F668" s="125"/>
    </row>
    <row r="669">
      <c r="A669" s="41"/>
      <c r="B669" s="41"/>
      <c r="C669" s="41"/>
      <c r="D669" s="126"/>
      <c r="E669" s="125"/>
      <c r="F669" s="125"/>
    </row>
    <row r="670">
      <c r="A670" s="41"/>
      <c r="B670" s="41"/>
      <c r="C670" s="41"/>
      <c r="D670" s="126"/>
      <c r="E670" s="125"/>
      <c r="F670" s="125"/>
    </row>
    <row r="671">
      <c r="A671" s="41"/>
      <c r="B671" s="41"/>
      <c r="C671" s="41"/>
      <c r="D671" s="126"/>
      <c r="E671" s="125"/>
      <c r="F671" s="125"/>
    </row>
    <row r="672">
      <c r="A672" s="41"/>
      <c r="B672" s="41"/>
      <c r="C672" s="41"/>
      <c r="D672" s="126"/>
      <c r="E672" s="125"/>
      <c r="F672" s="125"/>
    </row>
    <row r="673">
      <c r="A673" s="41"/>
      <c r="B673" s="41"/>
      <c r="C673" s="41"/>
      <c r="D673" s="126"/>
      <c r="E673" s="125"/>
      <c r="F673" s="125"/>
    </row>
    <row r="674">
      <c r="A674" s="41"/>
      <c r="B674" s="41"/>
      <c r="C674" s="41"/>
      <c r="D674" s="126"/>
      <c r="E674" s="125"/>
      <c r="F674" s="125"/>
    </row>
    <row r="675">
      <c r="A675" s="41"/>
      <c r="B675" s="41"/>
      <c r="C675" s="41"/>
      <c r="D675" s="126"/>
      <c r="E675" s="125"/>
      <c r="F675" s="125"/>
    </row>
    <row r="676">
      <c r="A676" s="41"/>
      <c r="B676" s="41"/>
      <c r="C676" s="41"/>
      <c r="D676" s="126"/>
      <c r="E676" s="125"/>
      <c r="F676" s="125"/>
    </row>
    <row r="677">
      <c r="A677" s="41"/>
      <c r="B677" s="41"/>
      <c r="C677" s="41"/>
      <c r="D677" s="126"/>
      <c r="E677" s="125"/>
      <c r="F677" s="125"/>
    </row>
    <row r="678">
      <c r="A678" s="41"/>
      <c r="B678" s="41"/>
      <c r="C678" s="41"/>
      <c r="D678" s="126"/>
      <c r="E678" s="125"/>
      <c r="F678" s="125"/>
    </row>
    <row r="679">
      <c r="A679" s="41"/>
      <c r="B679" s="41"/>
      <c r="C679" s="41"/>
      <c r="D679" s="126"/>
      <c r="E679" s="125"/>
      <c r="F679" s="125"/>
    </row>
    <row r="680">
      <c r="A680" s="41"/>
      <c r="B680" s="41"/>
      <c r="C680" s="41"/>
      <c r="D680" s="126"/>
      <c r="E680" s="125"/>
      <c r="F680" s="125"/>
    </row>
    <row r="681">
      <c r="A681" s="41"/>
      <c r="B681" s="41"/>
      <c r="C681" s="41"/>
      <c r="D681" s="126"/>
      <c r="E681" s="125"/>
      <c r="F681" s="125"/>
    </row>
    <row r="682">
      <c r="A682" s="41"/>
      <c r="B682" s="41"/>
      <c r="C682" s="41"/>
      <c r="D682" s="126"/>
      <c r="E682" s="125"/>
      <c r="F682" s="125"/>
    </row>
    <row r="683">
      <c r="A683" s="41"/>
      <c r="B683" s="41"/>
      <c r="C683" s="41"/>
      <c r="D683" s="126"/>
      <c r="E683" s="125"/>
      <c r="F683" s="125"/>
    </row>
    <row r="684">
      <c r="A684" s="41"/>
      <c r="B684" s="41"/>
      <c r="C684" s="41"/>
      <c r="D684" s="126"/>
      <c r="E684" s="125"/>
      <c r="F684" s="125"/>
    </row>
    <row r="685">
      <c r="A685" s="41"/>
      <c r="B685" s="41"/>
      <c r="C685" s="41"/>
      <c r="D685" s="126"/>
      <c r="E685" s="125"/>
      <c r="F685" s="125"/>
    </row>
    <row r="686">
      <c r="A686" s="41"/>
      <c r="B686" s="41"/>
      <c r="C686" s="41"/>
      <c r="D686" s="126"/>
      <c r="E686" s="125"/>
      <c r="F686" s="125"/>
    </row>
    <row r="687">
      <c r="A687" s="41"/>
      <c r="B687" s="41"/>
      <c r="C687" s="41"/>
      <c r="D687" s="126"/>
      <c r="E687" s="125"/>
      <c r="F687" s="125"/>
    </row>
    <row r="688">
      <c r="A688" s="41"/>
      <c r="B688" s="41"/>
      <c r="C688" s="41"/>
      <c r="D688" s="126"/>
      <c r="E688" s="125"/>
      <c r="F688" s="125"/>
    </row>
    <row r="689">
      <c r="A689" s="41"/>
      <c r="B689" s="41"/>
      <c r="C689" s="41"/>
      <c r="D689" s="126"/>
      <c r="E689" s="125"/>
      <c r="F689" s="125"/>
    </row>
    <row r="690">
      <c r="A690" s="41"/>
      <c r="B690" s="41"/>
      <c r="C690" s="41"/>
      <c r="D690" s="126"/>
      <c r="E690" s="125"/>
      <c r="F690" s="125"/>
    </row>
    <row r="691">
      <c r="A691" s="41"/>
      <c r="B691" s="41"/>
      <c r="C691" s="41"/>
      <c r="D691" s="126"/>
      <c r="E691" s="125"/>
      <c r="F691" s="125"/>
    </row>
    <row r="692">
      <c r="A692" s="41"/>
      <c r="B692" s="41"/>
      <c r="C692" s="41"/>
      <c r="D692" s="126"/>
      <c r="E692" s="125"/>
      <c r="F692" s="125"/>
    </row>
    <row r="693">
      <c r="A693" s="41"/>
      <c r="B693" s="41"/>
      <c r="C693" s="41"/>
      <c r="D693" s="126"/>
      <c r="E693" s="125"/>
      <c r="F693" s="125"/>
    </row>
    <row r="694">
      <c r="A694" s="41"/>
      <c r="B694" s="41"/>
      <c r="C694" s="41"/>
      <c r="D694" s="126"/>
      <c r="E694" s="125"/>
      <c r="F694" s="125"/>
    </row>
    <row r="695">
      <c r="A695" s="41"/>
      <c r="B695" s="41"/>
      <c r="C695" s="41"/>
      <c r="D695" s="126"/>
      <c r="E695" s="125"/>
      <c r="F695" s="125"/>
    </row>
    <row r="696">
      <c r="A696" s="41"/>
      <c r="B696" s="41"/>
      <c r="C696" s="41"/>
      <c r="D696" s="126"/>
      <c r="E696" s="125"/>
      <c r="F696" s="125"/>
    </row>
    <row r="697">
      <c r="A697" s="41"/>
      <c r="B697" s="41"/>
      <c r="C697" s="41"/>
      <c r="D697" s="126"/>
      <c r="E697" s="125"/>
      <c r="F697" s="125"/>
    </row>
    <row r="698">
      <c r="A698" s="41"/>
      <c r="B698" s="41"/>
      <c r="C698" s="41"/>
      <c r="D698" s="126"/>
      <c r="E698" s="125"/>
      <c r="F698" s="125"/>
    </row>
    <row r="699">
      <c r="A699" s="41"/>
      <c r="B699" s="41"/>
      <c r="C699" s="41"/>
      <c r="D699" s="126"/>
      <c r="E699" s="125"/>
      <c r="F699" s="125"/>
    </row>
    <row r="700">
      <c r="A700" s="41"/>
      <c r="B700" s="41"/>
      <c r="C700" s="41"/>
      <c r="D700" s="126"/>
      <c r="E700" s="125"/>
      <c r="F700" s="125"/>
    </row>
    <row r="701">
      <c r="A701" s="41"/>
      <c r="B701" s="41"/>
      <c r="C701" s="41"/>
      <c r="D701" s="126"/>
      <c r="E701" s="125"/>
      <c r="F701" s="125"/>
    </row>
    <row r="702">
      <c r="A702" s="41"/>
      <c r="B702" s="41"/>
      <c r="C702" s="41"/>
      <c r="D702" s="126"/>
      <c r="E702" s="125"/>
      <c r="F702" s="125"/>
    </row>
    <row r="703">
      <c r="A703" s="41"/>
      <c r="B703" s="41"/>
      <c r="C703" s="41"/>
      <c r="D703" s="126"/>
      <c r="E703" s="125"/>
      <c r="F703" s="125"/>
    </row>
    <row r="704">
      <c r="A704" s="41"/>
      <c r="B704" s="41"/>
      <c r="C704" s="41"/>
      <c r="D704" s="126"/>
      <c r="E704" s="125"/>
      <c r="F704" s="125"/>
    </row>
    <row r="705">
      <c r="A705" s="41"/>
      <c r="B705" s="41"/>
      <c r="C705" s="41"/>
      <c r="D705" s="126"/>
      <c r="E705" s="125"/>
      <c r="F705" s="125"/>
    </row>
    <row r="706">
      <c r="A706" s="41"/>
      <c r="B706" s="41"/>
      <c r="C706" s="41"/>
      <c r="D706" s="126"/>
      <c r="E706" s="125"/>
      <c r="F706" s="125"/>
    </row>
    <row r="707">
      <c r="A707" s="41"/>
      <c r="B707" s="41"/>
      <c r="C707" s="41"/>
      <c r="D707" s="126"/>
      <c r="E707" s="125"/>
      <c r="F707" s="125"/>
    </row>
    <row r="708">
      <c r="A708" s="41"/>
      <c r="B708" s="41"/>
      <c r="C708" s="41"/>
      <c r="D708" s="126"/>
      <c r="E708" s="125"/>
      <c r="F708" s="125"/>
    </row>
    <row r="709">
      <c r="A709" s="41"/>
      <c r="B709" s="41"/>
      <c r="C709" s="41"/>
      <c r="D709" s="126"/>
      <c r="E709" s="125"/>
      <c r="F709" s="125"/>
    </row>
    <row r="710">
      <c r="A710" s="41"/>
      <c r="B710" s="41"/>
      <c r="C710" s="41"/>
      <c r="D710" s="126"/>
      <c r="E710" s="125"/>
      <c r="F710" s="125"/>
    </row>
    <row r="711">
      <c r="A711" s="41"/>
      <c r="B711" s="41"/>
      <c r="C711" s="41"/>
      <c r="D711" s="126"/>
      <c r="E711" s="125"/>
      <c r="F711" s="125"/>
    </row>
    <row r="712">
      <c r="A712" s="41"/>
      <c r="B712" s="41"/>
      <c r="C712" s="41"/>
      <c r="D712" s="126"/>
      <c r="E712" s="125"/>
      <c r="F712" s="125"/>
    </row>
    <row r="713">
      <c r="A713" s="41"/>
      <c r="B713" s="41"/>
      <c r="C713" s="41"/>
      <c r="D713" s="126"/>
      <c r="E713" s="125"/>
      <c r="F713" s="125"/>
    </row>
    <row r="714">
      <c r="A714" s="41"/>
      <c r="B714" s="41"/>
      <c r="C714" s="41"/>
      <c r="D714" s="126"/>
      <c r="E714" s="125"/>
      <c r="F714" s="125"/>
    </row>
    <row r="715">
      <c r="A715" s="41"/>
      <c r="B715" s="41"/>
      <c r="C715" s="41"/>
      <c r="D715" s="126"/>
      <c r="E715" s="125"/>
      <c r="F715" s="125"/>
    </row>
    <row r="716">
      <c r="A716" s="41"/>
      <c r="B716" s="41"/>
      <c r="C716" s="41"/>
      <c r="D716" s="126"/>
      <c r="E716" s="125"/>
      <c r="F716" s="125"/>
    </row>
    <row r="717">
      <c r="A717" s="41"/>
      <c r="B717" s="41"/>
      <c r="C717" s="41"/>
      <c r="D717" s="126"/>
      <c r="E717" s="125"/>
      <c r="F717" s="125"/>
    </row>
    <row r="718">
      <c r="A718" s="41"/>
      <c r="B718" s="41"/>
      <c r="C718" s="41"/>
      <c r="D718" s="126"/>
      <c r="E718" s="125"/>
      <c r="F718" s="125"/>
    </row>
    <row r="719">
      <c r="A719" s="41"/>
      <c r="B719" s="41"/>
      <c r="C719" s="41"/>
      <c r="D719" s="126"/>
      <c r="E719" s="125"/>
      <c r="F719" s="125"/>
    </row>
    <row r="720">
      <c r="A720" s="41"/>
      <c r="B720" s="41"/>
      <c r="C720" s="41"/>
      <c r="D720" s="126"/>
      <c r="E720" s="125"/>
      <c r="F720" s="125"/>
    </row>
    <row r="721">
      <c r="A721" s="41"/>
      <c r="B721" s="41"/>
      <c r="C721" s="41"/>
      <c r="D721" s="126"/>
      <c r="E721" s="125"/>
      <c r="F721" s="125"/>
    </row>
    <row r="722">
      <c r="A722" s="41"/>
      <c r="B722" s="41"/>
      <c r="C722" s="41"/>
      <c r="D722" s="126"/>
      <c r="E722" s="125"/>
      <c r="F722" s="125"/>
    </row>
    <row r="723">
      <c r="A723" s="41"/>
      <c r="B723" s="41"/>
      <c r="C723" s="41"/>
      <c r="D723" s="126"/>
      <c r="E723" s="125"/>
      <c r="F723" s="125"/>
    </row>
    <row r="724">
      <c r="A724" s="41"/>
      <c r="B724" s="41"/>
      <c r="C724" s="41"/>
      <c r="D724" s="126"/>
      <c r="E724" s="125"/>
      <c r="F724" s="125"/>
    </row>
    <row r="725">
      <c r="A725" s="41"/>
      <c r="B725" s="41"/>
      <c r="C725" s="41"/>
      <c r="D725" s="126"/>
      <c r="E725" s="125"/>
      <c r="F725" s="125"/>
    </row>
    <row r="726">
      <c r="A726" s="41"/>
      <c r="B726" s="41"/>
      <c r="C726" s="41"/>
      <c r="D726" s="126"/>
      <c r="E726" s="125"/>
      <c r="F726" s="125"/>
    </row>
    <row r="727">
      <c r="A727" s="41"/>
      <c r="B727" s="41"/>
      <c r="C727" s="41"/>
      <c r="D727" s="126"/>
      <c r="E727" s="125"/>
      <c r="F727" s="125"/>
    </row>
    <row r="728">
      <c r="A728" s="41"/>
      <c r="B728" s="41"/>
      <c r="C728" s="41"/>
      <c r="D728" s="126"/>
      <c r="E728" s="125"/>
      <c r="F728" s="125"/>
    </row>
    <row r="729">
      <c r="A729" s="41"/>
      <c r="B729" s="41"/>
      <c r="C729" s="41"/>
      <c r="D729" s="126"/>
      <c r="E729" s="125"/>
      <c r="F729" s="125"/>
    </row>
    <row r="730">
      <c r="A730" s="41"/>
      <c r="B730" s="41"/>
      <c r="C730" s="41"/>
      <c r="D730" s="126"/>
      <c r="E730" s="125"/>
      <c r="F730" s="125"/>
    </row>
    <row r="731">
      <c r="A731" s="41"/>
      <c r="B731" s="41"/>
      <c r="C731" s="41"/>
      <c r="D731" s="126"/>
      <c r="E731" s="125"/>
      <c r="F731" s="125"/>
    </row>
    <row r="732">
      <c r="A732" s="41"/>
      <c r="B732" s="41"/>
      <c r="C732" s="41"/>
      <c r="D732" s="126"/>
      <c r="E732" s="125"/>
      <c r="F732" s="125"/>
    </row>
    <row r="733">
      <c r="A733" s="41"/>
      <c r="B733" s="41"/>
      <c r="C733" s="41"/>
      <c r="D733" s="126"/>
      <c r="E733" s="125"/>
      <c r="F733" s="125"/>
    </row>
    <row r="734">
      <c r="A734" s="41"/>
      <c r="B734" s="41"/>
      <c r="C734" s="41"/>
      <c r="D734" s="126"/>
      <c r="E734" s="125"/>
      <c r="F734" s="125"/>
    </row>
    <row r="735">
      <c r="A735" s="41"/>
      <c r="B735" s="41"/>
      <c r="C735" s="41"/>
      <c r="D735" s="126"/>
      <c r="E735" s="125"/>
      <c r="F735" s="125"/>
    </row>
    <row r="736">
      <c r="A736" s="41"/>
      <c r="B736" s="41"/>
      <c r="C736" s="41"/>
      <c r="D736" s="126"/>
      <c r="E736" s="125"/>
      <c r="F736" s="125"/>
    </row>
    <row r="737">
      <c r="A737" s="41"/>
      <c r="B737" s="41"/>
      <c r="C737" s="41"/>
      <c r="D737" s="126"/>
      <c r="E737" s="125"/>
      <c r="F737" s="125"/>
    </row>
    <row r="738">
      <c r="A738" s="41"/>
      <c r="B738" s="41"/>
      <c r="C738" s="41"/>
      <c r="D738" s="126"/>
      <c r="E738" s="125"/>
      <c r="F738" s="125"/>
    </row>
    <row r="739">
      <c r="A739" s="41"/>
      <c r="B739" s="41"/>
      <c r="C739" s="41"/>
      <c r="D739" s="126"/>
      <c r="E739" s="125"/>
      <c r="F739" s="125"/>
    </row>
    <row r="740">
      <c r="A740" s="41"/>
      <c r="B740" s="41"/>
      <c r="C740" s="41"/>
      <c r="D740" s="126"/>
      <c r="E740" s="125"/>
      <c r="F740" s="125"/>
    </row>
    <row r="741">
      <c r="A741" s="41"/>
      <c r="B741" s="41"/>
      <c r="C741" s="41"/>
      <c r="D741" s="126"/>
      <c r="E741" s="125"/>
      <c r="F741" s="125"/>
    </row>
    <row r="742">
      <c r="A742" s="41"/>
      <c r="B742" s="41"/>
      <c r="C742" s="41"/>
      <c r="D742" s="126"/>
      <c r="E742" s="125"/>
      <c r="F742" s="125"/>
    </row>
    <row r="743">
      <c r="A743" s="41"/>
      <c r="B743" s="41"/>
      <c r="C743" s="41"/>
      <c r="D743" s="126"/>
      <c r="E743" s="125"/>
      <c r="F743" s="125"/>
    </row>
    <row r="744">
      <c r="A744" s="41"/>
      <c r="B744" s="41"/>
      <c r="C744" s="41"/>
      <c r="D744" s="126"/>
      <c r="E744" s="125"/>
      <c r="F744" s="125"/>
    </row>
    <row r="745">
      <c r="A745" s="41"/>
      <c r="B745" s="41"/>
      <c r="C745" s="41"/>
      <c r="D745" s="126"/>
      <c r="E745" s="125"/>
      <c r="F745" s="125"/>
    </row>
    <row r="746">
      <c r="A746" s="41"/>
      <c r="B746" s="41"/>
      <c r="C746" s="41"/>
      <c r="D746" s="126"/>
      <c r="E746" s="125"/>
      <c r="F746" s="125"/>
    </row>
    <row r="747">
      <c r="A747" s="41"/>
      <c r="B747" s="41"/>
      <c r="C747" s="41"/>
      <c r="D747" s="126"/>
      <c r="E747" s="125"/>
      <c r="F747" s="125"/>
    </row>
    <row r="748">
      <c r="A748" s="41"/>
      <c r="B748" s="41"/>
      <c r="C748" s="41"/>
      <c r="D748" s="126"/>
      <c r="E748" s="125"/>
      <c r="F748" s="125"/>
    </row>
    <row r="749">
      <c r="A749" s="41"/>
      <c r="B749" s="41"/>
      <c r="C749" s="41"/>
      <c r="D749" s="126"/>
      <c r="E749" s="125"/>
      <c r="F749" s="125"/>
    </row>
    <row r="750">
      <c r="A750" s="41"/>
      <c r="B750" s="41"/>
      <c r="C750" s="41"/>
      <c r="D750" s="126"/>
      <c r="E750" s="125"/>
      <c r="F750" s="125"/>
    </row>
    <row r="751">
      <c r="A751" s="41"/>
      <c r="B751" s="41"/>
      <c r="C751" s="41"/>
      <c r="D751" s="126"/>
      <c r="E751" s="125"/>
      <c r="F751" s="125"/>
    </row>
    <row r="752">
      <c r="A752" s="41"/>
      <c r="B752" s="41"/>
      <c r="C752" s="41"/>
      <c r="D752" s="126"/>
      <c r="E752" s="125"/>
      <c r="F752" s="125"/>
    </row>
    <row r="753">
      <c r="A753" s="41"/>
      <c r="B753" s="41"/>
      <c r="C753" s="41"/>
      <c r="D753" s="126"/>
      <c r="E753" s="125"/>
      <c r="F753" s="125"/>
    </row>
    <row r="754">
      <c r="A754" s="41"/>
      <c r="B754" s="41"/>
      <c r="C754" s="41"/>
      <c r="D754" s="126"/>
      <c r="E754" s="125"/>
      <c r="F754" s="125"/>
    </row>
    <row r="755">
      <c r="A755" s="41"/>
      <c r="B755" s="41"/>
      <c r="C755" s="41"/>
      <c r="D755" s="126"/>
      <c r="E755" s="125"/>
      <c r="F755" s="125"/>
    </row>
    <row r="756">
      <c r="A756" s="41"/>
      <c r="B756" s="41"/>
      <c r="C756" s="41"/>
      <c r="D756" s="126"/>
      <c r="E756" s="125"/>
      <c r="F756" s="125"/>
    </row>
    <row r="757">
      <c r="A757" s="41"/>
      <c r="B757" s="41"/>
      <c r="C757" s="41"/>
      <c r="D757" s="126"/>
      <c r="E757" s="125"/>
      <c r="F757" s="125"/>
    </row>
    <row r="758">
      <c r="A758" s="41"/>
      <c r="B758" s="41"/>
      <c r="C758" s="41"/>
      <c r="D758" s="126"/>
      <c r="E758" s="125"/>
      <c r="F758" s="125"/>
    </row>
    <row r="759">
      <c r="A759" s="41"/>
      <c r="B759" s="41"/>
      <c r="C759" s="41"/>
      <c r="D759" s="126"/>
      <c r="E759" s="125"/>
      <c r="F759" s="125"/>
    </row>
    <row r="760">
      <c r="A760" s="41"/>
      <c r="B760" s="41"/>
      <c r="C760" s="41"/>
      <c r="D760" s="126"/>
      <c r="E760" s="125"/>
      <c r="F760" s="125"/>
    </row>
    <row r="761">
      <c r="A761" s="41"/>
      <c r="B761" s="41"/>
      <c r="C761" s="41"/>
      <c r="D761" s="126"/>
      <c r="E761" s="125"/>
      <c r="F761" s="125"/>
    </row>
    <row r="762">
      <c r="A762" s="41"/>
      <c r="B762" s="41"/>
      <c r="C762" s="41"/>
      <c r="D762" s="126"/>
      <c r="E762" s="125"/>
      <c r="F762" s="125"/>
    </row>
    <row r="763">
      <c r="A763" s="41"/>
      <c r="B763" s="41"/>
      <c r="C763" s="41"/>
      <c r="D763" s="126"/>
      <c r="E763" s="125"/>
      <c r="F763" s="125"/>
    </row>
    <row r="764">
      <c r="A764" s="41"/>
      <c r="B764" s="41"/>
      <c r="C764" s="41"/>
      <c r="D764" s="126"/>
      <c r="E764" s="125"/>
      <c r="F764" s="125"/>
    </row>
    <row r="765">
      <c r="A765" s="41"/>
      <c r="B765" s="41"/>
      <c r="C765" s="41"/>
      <c r="D765" s="126"/>
      <c r="E765" s="125"/>
      <c r="F765" s="125"/>
    </row>
    <row r="766">
      <c r="A766" s="41"/>
      <c r="B766" s="41"/>
      <c r="C766" s="41"/>
      <c r="D766" s="126"/>
      <c r="E766" s="125"/>
      <c r="F766" s="125"/>
    </row>
    <row r="767">
      <c r="A767" s="41"/>
      <c r="B767" s="41"/>
      <c r="C767" s="41"/>
      <c r="D767" s="126"/>
      <c r="E767" s="125"/>
      <c r="F767" s="125"/>
    </row>
    <row r="768">
      <c r="A768" s="41"/>
      <c r="B768" s="41"/>
      <c r="C768" s="41"/>
      <c r="D768" s="126"/>
      <c r="E768" s="125"/>
      <c r="F768" s="125"/>
    </row>
    <row r="769">
      <c r="A769" s="41"/>
      <c r="B769" s="41"/>
      <c r="C769" s="41"/>
      <c r="D769" s="126"/>
      <c r="E769" s="125"/>
      <c r="F769" s="125"/>
    </row>
    <row r="770">
      <c r="A770" s="41"/>
      <c r="B770" s="41"/>
      <c r="C770" s="41"/>
      <c r="D770" s="126"/>
      <c r="E770" s="125"/>
      <c r="F770" s="125"/>
    </row>
    <row r="771">
      <c r="A771" s="41"/>
      <c r="B771" s="41"/>
      <c r="C771" s="41"/>
      <c r="D771" s="126"/>
      <c r="E771" s="125"/>
      <c r="F771" s="125"/>
    </row>
    <row r="772">
      <c r="A772" s="41"/>
      <c r="B772" s="41"/>
      <c r="C772" s="41"/>
      <c r="D772" s="126"/>
      <c r="E772" s="125"/>
      <c r="F772" s="125"/>
    </row>
    <row r="773">
      <c r="A773" s="41"/>
      <c r="B773" s="41"/>
      <c r="C773" s="41"/>
      <c r="D773" s="126"/>
      <c r="E773" s="125"/>
      <c r="F773" s="125"/>
    </row>
    <row r="774">
      <c r="A774" s="41"/>
      <c r="B774" s="41"/>
      <c r="C774" s="41"/>
      <c r="D774" s="126"/>
      <c r="E774" s="125"/>
      <c r="F774" s="125"/>
    </row>
    <row r="775">
      <c r="A775" s="41"/>
      <c r="B775" s="41"/>
      <c r="C775" s="41"/>
      <c r="D775" s="126"/>
      <c r="E775" s="125"/>
      <c r="F775" s="125"/>
    </row>
    <row r="776">
      <c r="A776" s="41"/>
      <c r="B776" s="41"/>
      <c r="C776" s="41"/>
      <c r="D776" s="126"/>
      <c r="E776" s="125"/>
      <c r="F776" s="125"/>
    </row>
    <row r="777">
      <c r="A777" s="41"/>
      <c r="B777" s="41"/>
      <c r="C777" s="41"/>
      <c r="D777" s="126"/>
      <c r="E777" s="125"/>
      <c r="F777" s="125"/>
    </row>
    <row r="778">
      <c r="A778" s="41"/>
      <c r="B778" s="41"/>
      <c r="C778" s="41"/>
      <c r="D778" s="126"/>
      <c r="E778" s="125"/>
      <c r="F778" s="125"/>
    </row>
    <row r="779">
      <c r="A779" s="41"/>
      <c r="B779" s="41"/>
      <c r="C779" s="41"/>
      <c r="D779" s="126"/>
      <c r="E779" s="125"/>
      <c r="F779" s="125"/>
    </row>
    <row r="780">
      <c r="A780" s="41"/>
      <c r="B780" s="41"/>
      <c r="C780" s="41"/>
      <c r="D780" s="126"/>
      <c r="E780" s="125"/>
      <c r="F780" s="125"/>
    </row>
    <row r="781">
      <c r="A781" s="41"/>
      <c r="B781" s="41"/>
      <c r="C781" s="41"/>
      <c r="D781" s="126"/>
      <c r="E781" s="125"/>
      <c r="F781" s="125"/>
    </row>
    <row r="782">
      <c r="A782" s="41"/>
      <c r="B782" s="41"/>
      <c r="C782" s="41"/>
      <c r="D782" s="126"/>
      <c r="E782" s="125"/>
      <c r="F782" s="125"/>
    </row>
    <row r="783">
      <c r="A783" s="41"/>
      <c r="B783" s="41"/>
      <c r="C783" s="41"/>
      <c r="D783" s="126"/>
      <c r="E783" s="125"/>
      <c r="F783" s="125"/>
    </row>
    <row r="784">
      <c r="A784" s="41"/>
      <c r="B784" s="41"/>
      <c r="C784" s="41"/>
      <c r="D784" s="126"/>
      <c r="E784" s="125"/>
      <c r="F784" s="125"/>
    </row>
    <row r="785">
      <c r="A785" s="41"/>
      <c r="B785" s="41"/>
      <c r="C785" s="41"/>
      <c r="D785" s="126"/>
      <c r="E785" s="125"/>
      <c r="F785" s="125"/>
    </row>
    <row r="786">
      <c r="A786" s="41"/>
      <c r="B786" s="41"/>
      <c r="C786" s="41"/>
      <c r="D786" s="126"/>
      <c r="E786" s="125"/>
      <c r="F786" s="125"/>
    </row>
    <row r="787">
      <c r="A787" s="41"/>
      <c r="B787" s="41"/>
      <c r="C787" s="41"/>
      <c r="D787" s="126"/>
      <c r="E787" s="125"/>
      <c r="F787" s="125"/>
    </row>
    <row r="788">
      <c r="A788" s="41"/>
      <c r="B788" s="41"/>
      <c r="C788" s="41"/>
      <c r="D788" s="126"/>
      <c r="E788" s="125"/>
      <c r="F788" s="125"/>
    </row>
    <row r="789">
      <c r="A789" s="41"/>
      <c r="B789" s="41"/>
      <c r="C789" s="41"/>
      <c r="D789" s="126"/>
      <c r="E789" s="125"/>
      <c r="F789" s="125"/>
    </row>
    <row r="790">
      <c r="A790" s="41"/>
      <c r="B790" s="41"/>
      <c r="C790" s="41"/>
      <c r="D790" s="126"/>
      <c r="E790" s="125"/>
      <c r="F790" s="125"/>
    </row>
    <row r="791">
      <c r="A791" s="41"/>
      <c r="B791" s="41"/>
      <c r="C791" s="41"/>
      <c r="D791" s="126"/>
      <c r="E791" s="125"/>
      <c r="F791" s="125"/>
    </row>
    <row r="792">
      <c r="A792" s="41"/>
      <c r="B792" s="41"/>
      <c r="C792" s="41"/>
      <c r="D792" s="126"/>
      <c r="E792" s="125"/>
      <c r="F792" s="125"/>
    </row>
    <row r="793">
      <c r="A793" s="41"/>
      <c r="B793" s="41"/>
      <c r="C793" s="41"/>
      <c r="D793" s="126"/>
      <c r="E793" s="125"/>
      <c r="F793" s="125"/>
    </row>
    <row r="794">
      <c r="A794" s="41"/>
      <c r="B794" s="41"/>
      <c r="C794" s="41"/>
      <c r="D794" s="126"/>
      <c r="E794" s="125"/>
      <c r="F794" s="125"/>
    </row>
    <row r="795">
      <c r="A795" s="41"/>
      <c r="B795" s="41"/>
      <c r="C795" s="41"/>
      <c r="D795" s="126"/>
      <c r="E795" s="125"/>
      <c r="F795" s="125"/>
    </row>
    <row r="796">
      <c r="A796" s="41"/>
      <c r="B796" s="41"/>
      <c r="C796" s="41"/>
      <c r="D796" s="126"/>
      <c r="E796" s="125"/>
      <c r="F796" s="125"/>
    </row>
    <row r="797">
      <c r="A797" s="41"/>
      <c r="B797" s="41"/>
      <c r="C797" s="41"/>
      <c r="D797" s="126"/>
      <c r="E797" s="125"/>
      <c r="F797" s="125"/>
    </row>
    <row r="798">
      <c r="A798" s="41"/>
      <c r="B798" s="41"/>
      <c r="C798" s="41"/>
      <c r="D798" s="126"/>
      <c r="E798" s="125"/>
      <c r="F798" s="125"/>
    </row>
    <row r="799">
      <c r="A799" s="41"/>
      <c r="B799" s="41"/>
      <c r="C799" s="41"/>
      <c r="D799" s="126"/>
      <c r="E799" s="125"/>
      <c r="F799" s="125"/>
    </row>
    <row r="800">
      <c r="A800" s="41"/>
      <c r="B800" s="41"/>
      <c r="C800" s="41"/>
      <c r="D800" s="126"/>
      <c r="E800" s="125"/>
      <c r="F800" s="125"/>
    </row>
    <row r="801">
      <c r="A801" s="41"/>
      <c r="B801" s="41"/>
      <c r="C801" s="41"/>
      <c r="D801" s="126"/>
      <c r="E801" s="125"/>
      <c r="F801" s="125"/>
    </row>
    <row r="802">
      <c r="A802" s="41"/>
      <c r="B802" s="41"/>
      <c r="C802" s="41"/>
      <c r="D802" s="126"/>
      <c r="E802" s="125"/>
      <c r="F802" s="125"/>
    </row>
    <row r="803">
      <c r="A803" s="41"/>
      <c r="B803" s="41"/>
      <c r="C803" s="41"/>
      <c r="D803" s="126"/>
      <c r="E803" s="125"/>
      <c r="F803" s="125"/>
    </row>
    <row r="804">
      <c r="A804" s="41"/>
      <c r="B804" s="41"/>
      <c r="C804" s="41"/>
      <c r="D804" s="126"/>
      <c r="E804" s="125"/>
      <c r="F804" s="125"/>
    </row>
    <row r="805">
      <c r="A805" s="41"/>
      <c r="B805" s="41"/>
      <c r="C805" s="41"/>
      <c r="D805" s="126"/>
      <c r="E805" s="125"/>
      <c r="F805" s="125"/>
    </row>
    <row r="806">
      <c r="A806" s="41"/>
      <c r="B806" s="41"/>
      <c r="C806" s="41"/>
      <c r="D806" s="126"/>
      <c r="E806" s="125"/>
      <c r="F806" s="125"/>
    </row>
    <row r="807">
      <c r="A807" s="41"/>
      <c r="B807" s="41"/>
      <c r="C807" s="41"/>
      <c r="D807" s="126"/>
      <c r="E807" s="125"/>
      <c r="F807" s="125"/>
    </row>
    <row r="808">
      <c r="A808" s="41"/>
      <c r="B808" s="41"/>
      <c r="C808" s="41"/>
      <c r="D808" s="126"/>
      <c r="E808" s="125"/>
      <c r="F808" s="125"/>
    </row>
    <row r="809">
      <c r="A809" s="41"/>
      <c r="B809" s="41"/>
      <c r="C809" s="41"/>
      <c r="D809" s="126"/>
      <c r="E809" s="125"/>
      <c r="F809" s="125"/>
    </row>
    <row r="810">
      <c r="A810" s="41"/>
      <c r="B810" s="41"/>
      <c r="C810" s="41"/>
      <c r="D810" s="126"/>
      <c r="E810" s="125"/>
      <c r="F810" s="125"/>
    </row>
    <row r="811">
      <c r="A811" s="41"/>
      <c r="B811" s="41"/>
      <c r="C811" s="41"/>
      <c r="D811" s="126"/>
      <c r="E811" s="125"/>
      <c r="F811" s="125"/>
    </row>
    <row r="812">
      <c r="A812" s="41"/>
      <c r="B812" s="41"/>
      <c r="C812" s="41"/>
      <c r="D812" s="126"/>
      <c r="E812" s="125"/>
      <c r="F812" s="125"/>
    </row>
    <row r="813">
      <c r="A813" s="41"/>
      <c r="B813" s="41"/>
      <c r="C813" s="41"/>
      <c r="D813" s="126"/>
      <c r="E813" s="125"/>
      <c r="F813" s="125"/>
    </row>
    <row r="814">
      <c r="A814" s="41"/>
      <c r="B814" s="41"/>
      <c r="C814" s="41"/>
      <c r="D814" s="126"/>
      <c r="E814" s="125"/>
      <c r="F814" s="125"/>
    </row>
    <row r="815">
      <c r="A815" s="41"/>
      <c r="B815" s="41"/>
      <c r="C815" s="41"/>
      <c r="D815" s="126"/>
      <c r="E815" s="125"/>
      <c r="F815" s="125"/>
    </row>
    <row r="816">
      <c r="A816" s="41"/>
      <c r="B816" s="41"/>
      <c r="C816" s="41"/>
      <c r="D816" s="126"/>
      <c r="E816" s="125"/>
      <c r="F816" s="125"/>
    </row>
    <row r="817">
      <c r="A817" s="41"/>
      <c r="B817" s="41"/>
      <c r="C817" s="41"/>
      <c r="D817" s="126"/>
      <c r="E817" s="125"/>
      <c r="F817" s="125"/>
    </row>
    <row r="818">
      <c r="A818" s="41"/>
      <c r="B818" s="41"/>
      <c r="C818" s="41"/>
      <c r="D818" s="126"/>
      <c r="E818" s="125"/>
      <c r="F818" s="125"/>
    </row>
    <row r="819">
      <c r="A819" s="41"/>
      <c r="B819" s="41"/>
      <c r="C819" s="41"/>
      <c r="D819" s="126"/>
      <c r="E819" s="125"/>
      <c r="F819" s="125"/>
    </row>
    <row r="820">
      <c r="A820" s="41"/>
      <c r="B820" s="41"/>
      <c r="C820" s="41"/>
      <c r="D820" s="126"/>
      <c r="E820" s="125"/>
      <c r="F820" s="125"/>
    </row>
    <row r="821">
      <c r="A821" s="41"/>
      <c r="B821" s="41"/>
      <c r="C821" s="41"/>
      <c r="D821" s="126"/>
      <c r="E821" s="125"/>
      <c r="F821" s="125"/>
    </row>
    <row r="822">
      <c r="A822" s="41"/>
      <c r="B822" s="41"/>
      <c r="C822" s="41"/>
      <c r="D822" s="126"/>
      <c r="E822" s="125"/>
      <c r="F822" s="125"/>
    </row>
    <row r="823">
      <c r="A823" s="41"/>
      <c r="B823" s="41"/>
      <c r="C823" s="41"/>
      <c r="D823" s="126"/>
      <c r="E823" s="125"/>
      <c r="F823" s="125"/>
    </row>
    <row r="824">
      <c r="A824" s="41"/>
      <c r="B824" s="41"/>
      <c r="C824" s="41"/>
      <c r="D824" s="126"/>
      <c r="E824" s="125"/>
      <c r="F824" s="125"/>
    </row>
    <row r="825">
      <c r="A825" s="41"/>
      <c r="B825" s="41"/>
      <c r="C825" s="41"/>
      <c r="D825" s="126"/>
      <c r="E825" s="125"/>
      <c r="F825" s="125"/>
    </row>
    <row r="826">
      <c r="A826" s="41"/>
      <c r="B826" s="41"/>
      <c r="C826" s="41"/>
      <c r="D826" s="126"/>
      <c r="E826" s="125"/>
      <c r="F826" s="125"/>
    </row>
    <row r="827">
      <c r="A827" s="41"/>
      <c r="B827" s="41"/>
      <c r="C827" s="41"/>
      <c r="D827" s="126"/>
      <c r="E827" s="125"/>
      <c r="F827" s="125"/>
    </row>
    <row r="828">
      <c r="A828" s="41"/>
      <c r="B828" s="41"/>
      <c r="C828" s="41"/>
      <c r="D828" s="126"/>
      <c r="E828" s="125"/>
      <c r="F828" s="125"/>
    </row>
    <row r="829">
      <c r="A829" s="41"/>
      <c r="B829" s="41"/>
      <c r="C829" s="41"/>
      <c r="D829" s="126"/>
      <c r="E829" s="125"/>
      <c r="F829" s="125"/>
    </row>
    <row r="830">
      <c r="A830" s="41"/>
      <c r="B830" s="41"/>
      <c r="C830" s="41"/>
      <c r="D830" s="126"/>
      <c r="E830" s="125"/>
      <c r="F830" s="125"/>
    </row>
    <row r="831">
      <c r="A831" s="41"/>
      <c r="B831" s="41"/>
      <c r="C831" s="41"/>
      <c r="D831" s="126"/>
      <c r="E831" s="125"/>
      <c r="F831" s="125"/>
    </row>
    <row r="832">
      <c r="A832" s="41"/>
      <c r="B832" s="41"/>
      <c r="C832" s="41"/>
      <c r="D832" s="126"/>
      <c r="E832" s="125"/>
      <c r="F832" s="125"/>
    </row>
    <row r="833">
      <c r="A833" s="41"/>
      <c r="B833" s="41"/>
      <c r="C833" s="41"/>
      <c r="D833" s="126"/>
      <c r="E833" s="125"/>
      <c r="F833" s="125"/>
    </row>
    <row r="834">
      <c r="A834" s="41"/>
      <c r="B834" s="41"/>
      <c r="C834" s="41"/>
      <c r="D834" s="126"/>
      <c r="E834" s="125"/>
      <c r="F834" s="125"/>
    </row>
    <row r="835">
      <c r="A835" s="41"/>
      <c r="B835" s="41"/>
      <c r="C835" s="41"/>
      <c r="D835" s="126"/>
      <c r="E835" s="125"/>
      <c r="F835" s="125"/>
    </row>
    <row r="836">
      <c r="A836" s="41"/>
      <c r="B836" s="41"/>
      <c r="C836" s="41"/>
      <c r="D836" s="126"/>
      <c r="E836" s="125"/>
      <c r="F836" s="125"/>
    </row>
    <row r="837">
      <c r="A837" s="41"/>
      <c r="B837" s="41"/>
      <c r="C837" s="41"/>
      <c r="D837" s="126"/>
      <c r="E837" s="125"/>
      <c r="F837" s="125"/>
    </row>
    <row r="838">
      <c r="A838" s="41"/>
      <c r="B838" s="41"/>
      <c r="C838" s="41"/>
      <c r="D838" s="126"/>
      <c r="E838" s="125"/>
      <c r="F838" s="125"/>
    </row>
    <row r="839">
      <c r="A839" s="41"/>
      <c r="B839" s="41"/>
      <c r="C839" s="41"/>
      <c r="D839" s="126"/>
      <c r="E839" s="125"/>
      <c r="F839" s="125"/>
    </row>
    <row r="840">
      <c r="A840" s="41"/>
      <c r="B840" s="41"/>
      <c r="C840" s="41"/>
      <c r="D840" s="126"/>
      <c r="E840" s="125"/>
      <c r="F840" s="125"/>
    </row>
    <row r="841">
      <c r="A841" s="41"/>
      <c r="B841" s="41"/>
      <c r="C841" s="41"/>
      <c r="D841" s="126"/>
      <c r="E841" s="125"/>
      <c r="F841" s="125"/>
    </row>
    <row r="842">
      <c r="A842" s="41"/>
      <c r="B842" s="41"/>
      <c r="C842" s="41"/>
      <c r="D842" s="126"/>
      <c r="E842" s="125"/>
      <c r="F842" s="125"/>
    </row>
    <row r="843">
      <c r="A843" s="41"/>
      <c r="B843" s="41"/>
      <c r="C843" s="41"/>
      <c r="D843" s="126"/>
      <c r="E843" s="125"/>
      <c r="F843" s="125"/>
    </row>
    <row r="844">
      <c r="A844" s="41"/>
      <c r="B844" s="41"/>
      <c r="C844" s="41"/>
      <c r="D844" s="126"/>
      <c r="E844" s="125"/>
      <c r="F844" s="125"/>
    </row>
    <row r="845">
      <c r="A845" s="41"/>
      <c r="B845" s="41"/>
      <c r="C845" s="41"/>
      <c r="D845" s="126"/>
      <c r="E845" s="125"/>
      <c r="F845" s="125"/>
    </row>
    <row r="846">
      <c r="A846" s="41"/>
      <c r="B846" s="41"/>
      <c r="C846" s="41"/>
      <c r="D846" s="126"/>
      <c r="E846" s="125"/>
      <c r="F846" s="125"/>
    </row>
    <row r="847">
      <c r="A847" s="41"/>
      <c r="B847" s="41"/>
      <c r="C847" s="41"/>
      <c r="D847" s="126"/>
      <c r="E847" s="125"/>
      <c r="F847" s="125"/>
    </row>
    <row r="848">
      <c r="A848" s="41"/>
      <c r="B848" s="41"/>
      <c r="C848" s="41"/>
      <c r="D848" s="126"/>
      <c r="E848" s="125"/>
      <c r="F848" s="125"/>
    </row>
    <row r="849">
      <c r="A849" s="41"/>
      <c r="B849" s="41"/>
      <c r="C849" s="41"/>
      <c r="D849" s="126"/>
      <c r="E849" s="125"/>
      <c r="F849" s="125"/>
    </row>
    <row r="850">
      <c r="A850" s="41"/>
      <c r="B850" s="41"/>
      <c r="C850" s="41"/>
      <c r="D850" s="126"/>
      <c r="E850" s="125"/>
      <c r="F850" s="125"/>
    </row>
    <row r="851">
      <c r="A851" s="41"/>
      <c r="B851" s="41"/>
      <c r="C851" s="41"/>
      <c r="D851" s="126"/>
      <c r="E851" s="125"/>
      <c r="F851" s="125"/>
    </row>
    <row r="852">
      <c r="A852" s="41"/>
      <c r="B852" s="41"/>
      <c r="C852" s="41"/>
      <c r="D852" s="126"/>
      <c r="E852" s="125"/>
      <c r="F852" s="125"/>
    </row>
    <row r="853">
      <c r="A853" s="41"/>
      <c r="B853" s="41"/>
      <c r="C853" s="41"/>
      <c r="D853" s="126"/>
      <c r="E853" s="125"/>
      <c r="F853" s="125"/>
    </row>
    <row r="854">
      <c r="A854" s="41"/>
      <c r="B854" s="41"/>
      <c r="C854" s="41"/>
      <c r="D854" s="126"/>
      <c r="E854" s="125"/>
      <c r="F854" s="125"/>
    </row>
    <row r="855">
      <c r="A855" s="41"/>
      <c r="B855" s="41"/>
      <c r="C855" s="41"/>
      <c r="D855" s="126"/>
      <c r="E855" s="125"/>
      <c r="F855" s="125"/>
    </row>
    <row r="856">
      <c r="A856" s="41"/>
      <c r="B856" s="41"/>
      <c r="C856" s="41"/>
      <c r="D856" s="126"/>
      <c r="E856" s="125"/>
      <c r="F856" s="125"/>
    </row>
    <row r="857">
      <c r="A857" s="41"/>
      <c r="B857" s="41"/>
      <c r="C857" s="41"/>
      <c r="D857" s="126"/>
      <c r="E857" s="125"/>
      <c r="F857" s="125"/>
    </row>
    <row r="858">
      <c r="A858" s="41"/>
      <c r="B858" s="41"/>
      <c r="C858" s="41"/>
      <c r="D858" s="126"/>
      <c r="E858" s="125"/>
      <c r="F858" s="125"/>
    </row>
    <row r="859">
      <c r="A859" s="41"/>
      <c r="B859" s="41"/>
      <c r="C859" s="41"/>
      <c r="D859" s="126"/>
      <c r="E859" s="125"/>
      <c r="F859" s="125"/>
    </row>
    <row r="860">
      <c r="A860" s="41"/>
      <c r="B860" s="41"/>
      <c r="C860" s="41"/>
      <c r="D860" s="126"/>
      <c r="E860" s="125"/>
      <c r="F860" s="125"/>
    </row>
    <row r="861">
      <c r="A861" s="41"/>
      <c r="B861" s="41"/>
      <c r="C861" s="41"/>
      <c r="D861" s="126"/>
      <c r="E861" s="125"/>
      <c r="F861" s="125"/>
    </row>
    <row r="862">
      <c r="A862" s="41"/>
      <c r="B862" s="41"/>
      <c r="C862" s="41"/>
      <c r="D862" s="126"/>
      <c r="E862" s="125"/>
      <c r="F862" s="125"/>
    </row>
    <row r="863">
      <c r="A863" s="41"/>
      <c r="B863" s="41"/>
      <c r="C863" s="41"/>
      <c r="D863" s="126"/>
      <c r="E863" s="125"/>
      <c r="F863" s="125"/>
    </row>
    <row r="864">
      <c r="A864" s="41"/>
      <c r="B864" s="41"/>
      <c r="C864" s="41"/>
      <c r="D864" s="126"/>
      <c r="E864" s="125"/>
      <c r="F864" s="125"/>
    </row>
    <row r="865">
      <c r="A865" s="41"/>
      <c r="B865" s="41"/>
      <c r="C865" s="41"/>
      <c r="D865" s="126"/>
      <c r="E865" s="125"/>
      <c r="F865" s="125"/>
    </row>
    <row r="866">
      <c r="A866" s="41"/>
      <c r="B866" s="41"/>
      <c r="C866" s="41"/>
      <c r="D866" s="126"/>
      <c r="E866" s="125"/>
      <c r="F866" s="125"/>
    </row>
    <row r="867">
      <c r="A867" s="41"/>
      <c r="B867" s="41"/>
      <c r="C867" s="41"/>
      <c r="D867" s="126"/>
      <c r="E867" s="125"/>
      <c r="F867" s="125"/>
    </row>
    <row r="868">
      <c r="A868" s="41"/>
      <c r="B868" s="41"/>
      <c r="C868" s="41"/>
      <c r="D868" s="126"/>
      <c r="E868" s="125"/>
      <c r="F868" s="125"/>
    </row>
    <row r="869">
      <c r="A869" s="41"/>
      <c r="B869" s="41"/>
      <c r="C869" s="41"/>
      <c r="D869" s="126"/>
      <c r="E869" s="125"/>
      <c r="F869" s="125"/>
    </row>
    <row r="870">
      <c r="A870" s="41"/>
      <c r="B870" s="41"/>
      <c r="C870" s="41"/>
      <c r="D870" s="126"/>
      <c r="E870" s="125"/>
      <c r="F870" s="125"/>
    </row>
    <row r="871">
      <c r="A871" s="41"/>
      <c r="B871" s="41"/>
      <c r="C871" s="41"/>
      <c r="D871" s="126"/>
      <c r="E871" s="125"/>
      <c r="F871" s="125"/>
    </row>
    <row r="872">
      <c r="A872" s="41"/>
      <c r="B872" s="41"/>
      <c r="C872" s="41"/>
      <c r="D872" s="126"/>
      <c r="E872" s="125"/>
      <c r="F872" s="125"/>
    </row>
    <row r="873">
      <c r="A873" s="41"/>
      <c r="B873" s="41"/>
      <c r="C873" s="41"/>
      <c r="D873" s="126"/>
      <c r="E873" s="125"/>
      <c r="F873" s="125"/>
    </row>
    <row r="874">
      <c r="A874" s="41"/>
      <c r="B874" s="41"/>
      <c r="C874" s="41"/>
      <c r="D874" s="126"/>
      <c r="E874" s="125"/>
      <c r="F874" s="125"/>
    </row>
    <row r="875">
      <c r="A875" s="41"/>
      <c r="B875" s="41"/>
      <c r="C875" s="41"/>
      <c r="D875" s="126"/>
      <c r="E875" s="125"/>
      <c r="F875" s="125"/>
    </row>
    <row r="876">
      <c r="A876" s="41"/>
      <c r="B876" s="41"/>
      <c r="C876" s="41"/>
      <c r="D876" s="126"/>
      <c r="E876" s="125"/>
      <c r="F876" s="125"/>
    </row>
    <row r="877">
      <c r="A877" s="41"/>
      <c r="B877" s="41"/>
      <c r="C877" s="41"/>
      <c r="D877" s="126"/>
      <c r="E877" s="125"/>
      <c r="F877" s="125"/>
    </row>
    <row r="878">
      <c r="A878" s="41"/>
      <c r="B878" s="41"/>
      <c r="C878" s="41"/>
      <c r="D878" s="126"/>
      <c r="E878" s="125"/>
      <c r="F878" s="125"/>
    </row>
    <row r="879">
      <c r="A879" s="41"/>
      <c r="B879" s="41"/>
      <c r="C879" s="41"/>
      <c r="D879" s="126"/>
      <c r="E879" s="125"/>
      <c r="F879" s="125"/>
    </row>
    <row r="880">
      <c r="A880" s="41"/>
      <c r="B880" s="41"/>
      <c r="C880" s="41"/>
      <c r="D880" s="126"/>
      <c r="E880" s="125"/>
      <c r="F880" s="125"/>
    </row>
    <row r="881">
      <c r="A881" s="41"/>
      <c r="B881" s="41"/>
      <c r="C881" s="41"/>
      <c r="D881" s="126"/>
      <c r="E881" s="125"/>
      <c r="F881" s="125"/>
    </row>
    <row r="882">
      <c r="A882" s="41"/>
      <c r="B882" s="41"/>
      <c r="C882" s="41"/>
      <c r="D882" s="126"/>
      <c r="E882" s="125"/>
      <c r="F882" s="125"/>
    </row>
    <row r="883">
      <c r="A883" s="41"/>
      <c r="B883" s="41"/>
      <c r="C883" s="41"/>
      <c r="D883" s="126"/>
      <c r="E883" s="125"/>
      <c r="F883" s="125"/>
    </row>
    <row r="884">
      <c r="A884" s="41"/>
      <c r="B884" s="41"/>
      <c r="C884" s="41"/>
      <c r="D884" s="126"/>
      <c r="E884" s="125"/>
      <c r="F884" s="125"/>
    </row>
    <row r="885">
      <c r="A885" s="41"/>
      <c r="B885" s="41"/>
      <c r="C885" s="41"/>
      <c r="D885" s="126"/>
      <c r="E885" s="125"/>
      <c r="F885" s="125"/>
    </row>
    <row r="886">
      <c r="A886" s="41"/>
      <c r="B886" s="41"/>
      <c r="C886" s="41"/>
      <c r="D886" s="126"/>
      <c r="E886" s="125"/>
      <c r="F886" s="125"/>
    </row>
    <row r="887">
      <c r="A887" s="41"/>
      <c r="B887" s="41"/>
      <c r="C887" s="41"/>
      <c r="D887" s="126"/>
      <c r="E887" s="125"/>
      <c r="F887" s="125"/>
    </row>
    <row r="888">
      <c r="A888" s="41"/>
      <c r="B888" s="41"/>
      <c r="C888" s="41"/>
      <c r="D888" s="126"/>
      <c r="E888" s="125"/>
      <c r="F888" s="125"/>
    </row>
    <row r="889">
      <c r="A889" s="41"/>
      <c r="B889" s="41"/>
      <c r="C889" s="41"/>
      <c r="D889" s="126"/>
      <c r="E889" s="125"/>
      <c r="F889" s="125"/>
    </row>
    <row r="890">
      <c r="A890" s="41"/>
      <c r="B890" s="41"/>
      <c r="C890" s="41"/>
      <c r="D890" s="126"/>
      <c r="E890" s="125"/>
      <c r="F890" s="125"/>
    </row>
    <row r="891">
      <c r="A891" s="41"/>
      <c r="B891" s="41"/>
      <c r="C891" s="41"/>
      <c r="D891" s="126"/>
      <c r="E891" s="125"/>
      <c r="F891" s="125"/>
    </row>
    <row r="892">
      <c r="A892" s="41"/>
      <c r="B892" s="41"/>
      <c r="C892" s="41"/>
      <c r="D892" s="126"/>
      <c r="E892" s="125"/>
      <c r="F892" s="125"/>
    </row>
    <row r="893">
      <c r="A893" s="41"/>
      <c r="B893" s="41"/>
      <c r="C893" s="41"/>
      <c r="D893" s="126"/>
      <c r="E893" s="125"/>
      <c r="F893" s="125"/>
    </row>
    <row r="894">
      <c r="A894" s="41"/>
      <c r="B894" s="41"/>
      <c r="C894" s="41"/>
      <c r="D894" s="126"/>
      <c r="E894" s="125"/>
      <c r="F894" s="125"/>
    </row>
    <row r="895">
      <c r="A895" s="41"/>
      <c r="B895" s="41"/>
      <c r="C895" s="41"/>
      <c r="D895" s="126"/>
      <c r="E895" s="125"/>
      <c r="F895" s="125"/>
    </row>
    <row r="896">
      <c r="A896" s="41"/>
      <c r="B896" s="41"/>
      <c r="C896" s="41"/>
      <c r="D896" s="126"/>
      <c r="E896" s="125"/>
      <c r="F896" s="125"/>
    </row>
    <row r="897">
      <c r="A897" s="41"/>
      <c r="B897" s="41"/>
      <c r="C897" s="41"/>
      <c r="D897" s="126"/>
      <c r="E897" s="125"/>
      <c r="F897" s="125"/>
    </row>
    <row r="898">
      <c r="A898" s="41"/>
      <c r="B898" s="41"/>
      <c r="C898" s="41"/>
      <c r="D898" s="126"/>
      <c r="E898" s="125"/>
      <c r="F898" s="125"/>
    </row>
    <row r="899">
      <c r="A899" s="41"/>
      <c r="B899" s="41"/>
      <c r="C899" s="41"/>
      <c r="D899" s="126"/>
      <c r="E899" s="125"/>
      <c r="F899" s="125"/>
    </row>
    <row r="900">
      <c r="A900" s="41"/>
      <c r="B900" s="41"/>
      <c r="C900" s="41"/>
      <c r="D900" s="126"/>
      <c r="E900" s="125"/>
      <c r="F900" s="125"/>
    </row>
    <row r="901">
      <c r="A901" s="41"/>
      <c r="B901" s="41"/>
      <c r="C901" s="41"/>
      <c r="D901" s="126"/>
      <c r="E901" s="125"/>
      <c r="F901" s="125"/>
    </row>
    <row r="902">
      <c r="A902" s="41"/>
      <c r="B902" s="41"/>
      <c r="C902" s="41"/>
      <c r="D902" s="126"/>
      <c r="E902" s="125"/>
      <c r="F902" s="125"/>
    </row>
    <row r="903">
      <c r="A903" s="41"/>
      <c r="B903" s="41"/>
      <c r="C903" s="41"/>
      <c r="D903" s="126"/>
      <c r="E903" s="125"/>
      <c r="F903" s="125"/>
    </row>
    <row r="904">
      <c r="A904" s="41"/>
      <c r="B904" s="41"/>
      <c r="C904" s="41"/>
      <c r="D904" s="126"/>
      <c r="E904" s="125"/>
      <c r="F904" s="125"/>
    </row>
    <row r="905">
      <c r="A905" s="41"/>
      <c r="B905" s="41"/>
      <c r="C905" s="41"/>
      <c r="D905" s="126"/>
      <c r="E905" s="125"/>
      <c r="F905" s="125"/>
    </row>
    <row r="906">
      <c r="A906" s="41"/>
      <c r="B906" s="41"/>
      <c r="C906" s="41"/>
      <c r="D906" s="126"/>
      <c r="E906" s="125"/>
      <c r="F906" s="125"/>
    </row>
    <row r="907">
      <c r="A907" s="41"/>
      <c r="B907" s="41"/>
      <c r="C907" s="41"/>
      <c r="D907" s="126"/>
      <c r="E907" s="125"/>
      <c r="F907" s="125"/>
    </row>
    <row r="908">
      <c r="A908" s="41"/>
      <c r="B908" s="41"/>
      <c r="C908" s="41"/>
      <c r="D908" s="126"/>
      <c r="E908" s="125"/>
      <c r="F908" s="125"/>
    </row>
    <row r="909">
      <c r="A909" s="41"/>
      <c r="B909" s="41"/>
      <c r="C909" s="41"/>
      <c r="D909" s="126"/>
      <c r="E909" s="125"/>
      <c r="F909" s="125"/>
    </row>
    <row r="910">
      <c r="A910" s="41"/>
      <c r="B910" s="41"/>
      <c r="C910" s="41"/>
      <c r="D910" s="126"/>
      <c r="E910" s="125"/>
      <c r="F910" s="125"/>
    </row>
    <row r="911">
      <c r="A911" s="41"/>
      <c r="B911" s="41"/>
      <c r="C911" s="41"/>
      <c r="D911" s="126"/>
      <c r="E911" s="125"/>
      <c r="F911" s="125"/>
    </row>
    <row r="912">
      <c r="A912" s="41"/>
      <c r="B912" s="41"/>
      <c r="C912" s="41"/>
      <c r="D912" s="126"/>
      <c r="E912" s="125"/>
      <c r="F912" s="125"/>
    </row>
    <row r="913">
      <c r="A913" s="41"/>
      <c r="B913" s="41"/>
      <c r="C913" s="41"/>
      <c r="D913" s="126"/>
      <c r="E913" s="125"/>
      <c r="F913" s="125"/>
    </row>
    <row r="914">
      <c r="A914" s="41"/>
      <c r="B914" s="41"/>
      <c r="C914" s="41"/>
      <c r="D914" s="126"/>
      <c r="E914" s="125"/>
      <c r="F914" s="125"/>
    </row>
    <row r="915">
      <c r="A915" s="41"/>
      <c r="B915" s="41"/>
      <c r="C915" s="41"/>
      <c r="D915" s="126"/>
      <c r="E915" s="125"/>
      <c r="F915" s="125"/>
    </row>
    <row r="916">
      <c r="A916" s="41"/>
      <c r="B916" s="41"/>
      <c r="C916" s="41"/>
      <c r="D916" s="126"/>
      <c r="E916" s="125"/>
      <c r="F916" s="125"/>
    </row>
    <row r="917">
      <c r="A917" s="41"/>
      <c r="B917" s="41"/>
      <c r="C917" s="41"/>
      <c r="D917" s="126"/>
      <c r="E917" s="125"/>
      <c r="F917" s="125"/>
    </row>
    <row r="918">
      <c r="A918" s="41"/>
      <c r="B918" s="41"/>
      <c r="C918" s="41"/>
      <c r="D918" s="126"/>
      <c r="E918" s="125"/>
      <c r="F918" s="125"/>
    </row>
    <row r="919">
      <c r="A919" s="41"/>
      <c r="B919" s="41"/>
      <c r="C919" s="41"/>
      <c r="D919" s="126"/>
      <c r="E919" s="125"/>
      <c r="F919" s="125"/>
    </row>
    <row r="920">
      <c r="A920" s="41"/>
      <c r="B920" s="41"/>
      <c r="C920" s="41"/>
      <c r="D920" s="126"/>
      <c r="E920" s="125"/>
      <c r="F920" s="125"/>
    </row>
    <row r="921">
      <c r="A921" s="41"/>
      <c r="B921" s="41"/>
      <c r="C921" s="41"/>
      <c r="D921" s="126"/>
      <c r="E921" s="125"/>
      <c r="F921" s="125"/>
    </row>
    <row r="922">
      <c r="A922" s="41"/>
      <c r="B922" s="41"/>
      <c r="C922" s="41"/>
      <c r="D922" s="126"/>
      <c r="E922" s="125"/>
      <c r="F922" s="125"/>
    </row>
    <row r="923">
      <c r="A923" s="41"/>
      <c r="B923" s="41"/>
      <c r="C923" s="41"/>
      <c r="D923" s="126"/>
      <c r="E923" s="125"/>
      <c r="F923" s="125"/>
    </row>
    <row r="924">
      <c r="A924" s="41"/>
      <c r="B924" s="41"/>
      <c r="C924" s="41"/>
      <c r="D924" s="126"/>
      <c r="E924" s="125"/>
      <c r="F924" s="125"/>
    </row>
    <row r="925">
      <c r="A925" s="41"/>
      <c r="B925" s="41"/>
      <c r="C925" s="41"/>
      <c r="D925" s="126"/>
      <c r="E925" s="125"/>
      <c r="F925" s="125"/>
    </row>
    <row r="926">
      <c r="A926" s="41"/>
      <c r="B926" s="41"/>
      <c r="C926" s="41"/>
      <c r="D926" s="126"/>
      <c r="E926" s="125"/>
      <c r="F926" s="125"/>
    </row>
    <row r="927">
      <c r="A927" s="41"/>
      <c r="B927" s="41"/>
      <c r="C927" s="41"/>
      <c r="D927" s="126"/>
      <c r="E927" s="125"/>
      <c r="F927" s="125"/>
    </row>
    <row r="928">
      <c r="A928" s="41"/>
      <c r="B928" s="41"/>
      <c r="C928" s="41"/>
      <c r="D928" s="126"/>
      <c r="E928" s="125"/>
      <c r="F928" s="125"/>
    </row>
    <row r="929">
      <c r="A929" s="41"/>
      <c r="B929" s="41"/>
      <c r="C929" s="41"/>
      <c r="D929" s="126"/>
      <c r="E929" s="125"/>
      <c r="F929" s="125"/>
    </row>
    <row r="930">
      <c r="A930" s="41"/>
      <c r="B930" s="41"/>
      <c r="C930" s="41"/>
      <c r="D930" s="126"/>
      <c r="E930" s="125"/>
      <c r="F930" s="125"/>
    </row>
    <row r="931">
      <c r="A931" s="41"/>
      <c r="B931" s="41"/>
      <c r="C931" s="41"/>
      <c r="D931" s="126"/>
      <c r="E931" s="125"/>
      <c r="F931" s="125"/>
    </row>
    <row r="932">
      <c r="A932" s="41"/>
      <c r="B932" s="41"/>
      <c r="C932" s="41"/>
      <c r="D932" s="126"/>
      <c r="E932" s="125"/>
      <c r="F932" s="125"/>
    </row>
    <row r="933">
      <c r="A933" s="41"/>
      <c r="B933" s="41"/>
      <c r="C933" s="41"/>
      <c r="D933" s="126"/>
      <c r="E933" s="125"/>
      <c r="F933" s="125"/>
    </row>
    <row r="934">
      <c r="A934" s="41"/>
      <c r="B934" s="41"/>
      <c r="C934" s="41"/>
      <c r="D934" s="126"/>
      <c r="E934" s="125"/>
      <c r="F934" s="125"/>
    </row>
    <row r="935">
      <c r="A935" s="41"/>
      <c r="B935" s="41"/>
      <c r="C935" s="41"/>
      <c r="D935" s="126"/>
      <c r="E935" s="125"/>
      <c r="F935" s="125"/>
    </row>
    <row r="936">
      <c r="A936" s="41"/>
      <c r="B936" s="41"/>
      <c r="C936" s="41"/>
      <c r="D936" s="126"/>
      <c r="E936" s="125"/>
      <c r="F936" s="125"/>
    </row>
    <row r="937">
      <c r="A937" s="41"/>
      <c r="B937" s="41"/>
      <c r="C937" s="41"/>
      <c r="D937" s="126"/>
      <c r="E937" s="125"/>
      <c r="F937" s="125"/>
    </row>
    <row r="938">
      <c r="A938" s="41"/>
      <c r="B938" s="41"/>
      <c r="C938" s="41"/>
      <c r="D938" s="126"/>
      <c r="E938" s="125"/>
      <c r="F938" s="125"/>
    </row>
    <row r="939">
      <c r="A939" s="41"/>
      <c r="B939" s="41"/>
      <c r="C939" s="41"/>
      <c r="D939" s="126"/>
      <c r="E939" s="125"/>
      <c r="F939" s="125"/>
    </row>
    <row r="940">
      <c r="A940" s="41"/>
      <c r="B940" s="41"/>
      <c r="C940" s="41"/>
      <c r="D940" s="126"/>
      <c r="E940" s="125"/>
      <c r="F940" s="125"/>
    </row>
    <row r="941">
      <c r="A941" s="41"/>
      <c r="B941" s="41"/>
      <c r="C941" s="41"/>
      <c r="D941" s="126"/>
      <c r="E941" s="125"/>
      <c r="F941" s="125"/>
    </row>
    <row r="942">
      <c r="A942" s="41"/>
      <c r="B942" s="41"/>
      <c r="C942" s="41"/>
      <c r="D942" s="126"/>
      <c r="E942" s="125"/>
      <c r="F942" s="125"/>
    </row>
    <row r="943">
      <c r="A943" s="41"/>
      <c r="B943" s="41"/>
      <c r="C943" s="41"/>
      <c r="D943" s="126"/>
      <c r="E943" s="125"/>
      <c r="F943" s="125"/>
    </row>
    <row r="944">
      <c r="A944" s="41"/>
      <c r="B944" s="41"/>
      <c r="C944" s="41"/>
      <c r="D944" s="126"/>
      <c r="E944" s="125"/>
      <c r="F944" s="125"/>
    </row>
    <row r="945">
      <c r="A945" s="41"/>
      <c r="B945" s="41"/>
      <c r="C945" s="41"/>
      <c r="D945" s="126"/>
      <c r="E945" s="125"/>
      <c r="F945" s="125"/>
    </row>
    <row r="946">
      <c r="A946" s="41"/>
      <c r="B946" s="41"/>
      <c r="C946" s="41"/>
      <c r="D946" s="126"/>
      <c r="E946" s="125"/>
      <c r="F946" s="125"/>
    </row>
    <row r="947">
      <c r="A947" s="41"/>
      <c r="B947" s="41"/>
      <c r="C947" s="41"/>
      <c r="D947" s="126"/>
      <c r="E947" s="125"/>
      <c r="F947" s="125"/>
    </row>
    <row r="948">
      <c r="A948" s="41"/>
      <c r="B948" s="41"/>
      <c r="C948" s="41"/>
      <c r="D948" s="126"/>
      <c r="E948" s="125"/>
      <c r="F948" s="125"/>
    </row>
    <row r="949">
      <c r="A949" s="41"/>
      <c r="B949" s="41"/>
      <c r="C949" s="41"/>
      <c r="D949" s="126"/>
      <c r="E949" s="125"/>
      <c r="F949" s="125"/>
    </row>
    <row r="950">
      <c r="A950" s="41"/>
      <c r="B950" s="41"/>
      <c r="C950" s="41"/>
      <c r="D950" s="126"/>
      <c r="E950" s="125"/>
      <c r="F950" s="125"/>
    </row>
    <row r="951">
      <c r="A951" s="41"/>
      <c r="B951" s="41"/>
      <c r="C951" s="41"/>
      <c r="D951" s="126"/>
      <c r="E951" s="125"/>
      <c r="F951" s="125"/>
    </row>
    <row r="952">
      <c r="A952" s="41"/>
      <c r="B952" s="41"/>
      <c r="C952" s="41"/>
      <c r="D952" s="126"/>
      <c r="E952" s="125"/>
      <c r="F952" s="125"/>
    </row>
    <row r="953">
      <c r="A953" s="41"/>
      <c r="B953" s="41"/>
      <c r="C953" s="41"/>
      <c r="D953" s="126"/>
      <c r="E953" s="125"/>
      <c r="F953" s="125"/>
    </row>
    <row r="954">
      <c r="A954" s="41"/>
      <c r="B954" s="41"/>
      <c r="C954" s="41"/>
      <c r="D954" s="126"/>
      <c r="E954" s="125"/>
      <c r="F954" s="125"/>
    </row>
    <row r="955">
      <c r="A955" s="41"/>
      <c r="B955" s="41"/>
      <c r="C955" s="41"/>
      <c r="D955" s="126"/>
      <c r="E955" s="125"/>
      <c r="F955" s="125"/>
    </row>
    <row r="956">
      <c r="A956" s="41"/>
      <c r="B956" s="41"/>
      <c r="C956" s="41"/>
      <c r="D956" s="126"/>
      <c r="E956" s="125"/>
      <c r="F956" s="125"/>
    </row>
    <row r="957">
      <c r="A957" s="41"/>
      <c r="B957" s="41"/>
      <c r="C957" s="41"/>
      <c r="D957" s="126"/>
      <c r="E957" s="125"/>
      <c r="F957" s="125"/>
    </row>
    <row r="958">
      <c r="A958" s="41"/>
      <c r="B958" s="41"/>
      <c r="C958" s="41"/>
      <c r="D958" s="126"/>
      <c r="E958" s="125"/>
      <c r="F958" s="125"/>
    </row>
    <row r="959">
      <c r="A959" s="41"/>
      <c r="B959" s="41"/>
      <c r="C959" s="41"/>
      <c r="D959" s="126"/>
      <c r="E959" s="125"/>
      <c r="F959" s="125"/>
    </row>
    <row r="960">
      <c r="A960" s="41"/>
      <c r="B960" s="41"/>
      <c r="C960" s="41"/>
      <c r="D960" s="126"/>
      <c r="E960" s="125"/>
      <c r="F960" s="125"/>
    </row>
    <row r="961">
      <c r="A961" s="41"/>
      <c r="B961" s="41"/>
      <c r="C961" s="41"/>
      <c r="D961" s="126"/>
      <c r="E961" s="125"/>
      <c r="F961" s="125"/>
    </row>
    <row r="962">
      <c r="A962" s="41"/>
      <c r="B962" s="41"/>
      <c r="C962" s="41"/>
      <c r="D962" s="126"/>
      <c r="E962" s="125"/>
      <c r="F962" s="125"/>
    </row>
    <row r="963">
      <c r="A963" s="41"/>
      <c r="B963" s="41"/>
      <c r="C963" s="41"/>
      <c r="D963" s="126"/>
      <c r="E963" s="125"/>
      <c r="F963" s="125"/>
    </row>
    <row r="964">
      <c r="A964" s="41"/>
      <c r="B964" s="41"/>
      <c r="C964" s="41"/>
      <c r="D964" s="126"/>
      <c r="E964" s="125"/>
      <c r="F964" s="125"/>
    </row>
    <row r="965">
      <c r="A965" s="41"/>
      <c r="B965" s="41"/>
      <c r="C965" s="41"/>
      <c r="D965" s="126"/>
      <c r="E965" s="125"/>
      <c r="F965" s="125"/>
    </row>
    <row r="966">
      <c r="A966" s="41"/>
      <c r="B966" s="41"/>
      <c r="C966" s="41"/>
      <c r="D966" s="126"/>
      <c r="E966" s="125"/>
      <c r="F966" s="125"/>
    </row>
    <row r="967">
      <c r="A967" s="41"/>
      <c r="B967" s="41"/>
      <c r="C967" s="41"/>
      <c r="D967" s="126"/>
      <c r="E967" s="125"/>
      <c r="F967" s="125"/>
    </row>
    <row r="968">
      <c r="A968" s="41"/>
      <c r="B968" s="41"/>
      <c r="C968" s="41"/>
      <c r="D968" s="126"/>
      <c r="E968" s="125"/>
      <c r="F968" s="125"/>
    </row>
    <row r="969">
      <c r="A969" s="41"/>
      <c r="B969" s="41"/>
      <c r="C969" s="41"/>
      <c r="D969" s="126"/>
      <c r="E969" s="125"/>
      <c r="F969" s="125"/>
    </row>
    <row r="970">
      <c r="A970" s="41"/>
      <c r="B970" s="41"/>
      <c r="C970" s="41"/>
      <c r="D970" s="126"/>
      <c r="E970" s="125"/>
      <c r="F970" s="125"/>
    </row>
    <row r="971">
      <c r="A971" s="41"/>
      <c r="B971" s="41"/>
      <c r="C971" s="41"/>
      <c r="D971" s="126"/>
      <c r="E971" s="125"/>
      <c r="F971" s="125"/>
    </row>
    <row r="972">
      <c r="A972" s="41"/>
      <c r="B972" s="41"/>
      <c r="C972" s="41"/>
      <c r="D972" s="126"/>
      <c r="E972" s="125"/>
      <c r="F972" s="125"/>
    </row>
    <row r="973">
      <c r="A973" s="41"/>
      <c r="B973" s="41"/>
      <c r="C973" s="41"/>
      <c r="D973" s="126"/>
      <c r="E973" s="125"/>
      <c r="F973" s="125"/>
    </row>
    <row r="974">
      <c r="A974" s="41"/>
      <c r="B974" s="41"/>
      <c r="C974" s="41"/>
      <c r="D974" s="126"/>
      <c r="E974" s="125"/>
      <c r="F974" s="125"/>
    </row>
    <row r="975">
      <c r="A975" s="41"/>
      <c r="B975" s="41"/>
      <c r="C975" s="41"/>
      <c r="D975" s="126"/>
      <c r="E975" s="125"/>
      <c r="F975" s="125"/>
    </row>
    <row r="976">
      <c r="A976" s="41"/>
      <c r="B976" s="41"/>
      <c r="C976" s="41"/>
      <c r="D976" s="126"/>
      <c r="E976" s="125"/>
      <c r="F976" s="125"/>
    </row>
    <row r="977">
      <c r="A977" s="41"/>
      <c r="B977" s="41"/>
      <c r="C977" s="41"/>
      <c r="D977" s="126"/>
      <c r="E977" s="125"/>
      <c r="F977" s="125"/>
    </row>
    <row r="978">
      <c r="A978" s="41"/>
      <c r="B978" s="41"/>
      <c r="C978" s="41"/>
      <c r="D978" s="126"/>
      <c r="E978" s="125"/>
      <c r="F978" s="125"/>
    </row>
    <row r="979">
      <c r="A979" s="41"/>
      <c r="B979" s="41"/>
      <c r="C979" s="41"/>
      <c r="D979" s="126"/>
      <c r="E979" s="125"/>
      <c r="F979" s="125"/>
    </row>
    <row r="980">
      <c r="A980" s="41"/>
      <c r="B980" s="41"/>
      <c r="C980" s="41"/>
      <c r="D980" s="126"/>
      <c r="E980" s="125"/>
      <c r="F980" s="125"/>
    </row>
    <row r="981">
      <c r="A981" s="41"/>
      <c r="B981" s="41"/>
      <c r="C981" s="41"/>
      <c r="D981" s="126"/>
      <c r="E981" s="125"/>
      <c r="F981" s="125"/>
    </row>
    <row r="982">
      <c r="A982" s="41"/>
      <c r="B982" s="41"/>
      <c r="C982" s="41"/>
      <c r="D982" s="126"/>
      <c r="E982" s="125"/>
      <c r="F982" s="125"/>
    </row>
    <row r="983">
      <c r="A983" s="41"/>
      <c r="B983" s="41"/>
      <c r="C983" s="41"/>
      <c r="D983" s="126"/>
      <c r="E983" s="125"/>
      <c r="F983" s="125"/>
    </row>
    <row r="984">
      <c r="A984" s="41"/>
      <c r="B984" s="41"/>
      <c r="C984" s="41"/>
      <c r="D984" s="126"/>
      <c r="E984" s="125"/>
      <c r="F984" s="125"/>
    </row>
    <row r="985">
      <c r="A985" s="41"/>
      <c r="B985" s="41"/>
      <c r="C985" s="41"/>
      <c r="D985" s="126"/>
      <c r="E985" s="125"/>
      <c r="F985" s="125"/>
    </row>
    <row r="986">
      <c r="A986" s="41"/>
      <c r="B986" s="41"/>
      <c r="C986" s="41"/>
      <c r="D986" s="126"/>
      <c r="E986" s="125"/>
      <c r="F986" s="125"/>
    </row>
    <row r="987">
      <c r="A987" s="41"/>
      <c r="B987" s="41"/>
      <c r="C987" s="41"/>
      <c r="D987" s="126"/>
      <c r="E987" s="125"/>
      <c r="F987" s="125"/>
    </row>
    <row r="988">
      <c r="A988" s="41"/>
      <c r="B988" s="41"/>
      <c r="C988" s="41"/>
      <c r="D988" s="126"/>
      <c r="E988" s="125"/>
      <c r="F988" s="125"/>
    </row>
    <row r="989">
      <c r="A989" s="41"/>
      <c r="B989" s="41"/>
      <c r="C989" s="41"/>
      <c r="D989" s="126"/>
      <c r="E989" s="125"/>
      <c r="F989" s="125"/>
    </row>
    <row r="990">
      <c r="A990" s="41"/>
      <c r="B990" s="41"/>
      <c r="C990" s="41"/>
      <c r="D990" s="126"/>
      <c r="E990" s="125"/>
      <c r="F990" s="125"/>
    </row>
    <row r="991">
      <c r="A991" s="41"/>
      <c r="B991" s="41"/>
      <c r="C991" s="41"/>
      <c r="D991" s="126"/>
      <c r="E991" s="125"/>
      <c r="F991" s="125"/>
    </row>
    <row r="992">
      <c r="A992" s="41"/>
      <c r="B992" s="41"/>
      <c r="C992" s="41"/>
      <c r="D992" s="126"/>
      <c r="E992" s="125"/>
      <c r="F992" s="125"/>
    </row>
    <row r="993">
      <c r="A993" s="41"/>
      <c r="B993" s="41"/>
      <c r="C993" s="41"/>
      <c r="D993" s="126"/>
      <c r="E993" s="125"/>
      <c r="F993" s="125"/>
    </row>
    <row r="994">
      <c r="A994" s="41"/>
      <c r="B994" s="41"/>
      <c r="C994" s="41"/>
      <c r="D994" s="126"/>
      <c r="E994" s="125"/>
      <c r="F994" s="125"/>
    </row>
    <row r="995">
      <c r="A995" s="41"/>
      <c r="B995" s="41"/>
      <c r="C995" s="41"/>
      <c r="D995" s="126"/>
      <c r="E995" s="125"/>
      <c r="F995" s="125"/>
    </row>
    <row r="996">
      <c r="A996" s="41"/>
      <c r="B996" s="41"/>
      <c r="C996" s="41"/>
      <c r="D996" s="126"/>
      <c r="E996" s="125"/>
      <c r="F996" s="125"/>
    </row>
    <row r="997">
      <c r="A997" s="41"/>
      <c r="B997" s="41"/>
      <c r="C997" s="41"/>
      <c r="D997" s="126"/>
      <c r="E997" s="125"/>
      <c r="F997" s="125"/>
    </row>
    <row r="998">
      <c r="A998" s="41"/>
      <c r="B998" s="41"/>
      <c r="C998" s="41"/>
      <c r="D998" s="126"/>
      <c r="E998" s="125"/>
      <c r="F998" s="125"/>
    </row>
    <row r="999">
      <c r="A999" s="41"/>
      <c r="B999" s="41"/>
      <c r="C999" s="41"/>
      <c r="D999" s="126"/>
      <c r="E999" s="125"/>
      <c r="F999" s="125"/>
    </row>
    <row r="1000">
      <c r="A1000" s="41"/>
      <c r="B1000" s="41"/>
      <c r="C1000" s="41"/>
      <c r="D1000" s="126"/>
      <c r="E1000" s="125"/>
      <c r="F1000" s="125"/>
    </row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5"/>
  </cols>
  <sheetData>
    <row r="1">
      <c r="A1" s="127" t="s">
        <v>5</v>
      </c>
      <c r="B1" s="127" t="s">
        <v>3269</v>
      </c>
    </row>
    <row r="2">
      <c r="A2" s="128" t="str">
        <f>IFERROR(__xludf.DUMMYFUNCTION("{QUERY({ตาราง1[2];ตาราง1_2[SKU]},""select 'อุปกรณ์', Col1 label 'อุปกรณ์'''"");
QUERY(ตาราง1_3[SKU],""select 'ยาง ลักหลาด', Col1 label 'ยาง ลักหลาด'''"");
QUERY(ตาราง1_4[SKU],""select 'เครื่องมือช่าง', Col1 label 'เครื่องมือช่าง'''"");
QUERY(ตาราง1_5[คอลั"&amp;"มน์ 1],""select 'น็อต', Col1 label 'น็อต'''"");
QUERY(ตาราง1_6[SKU],""select 'อลูมิเนียม', Col1 label 'อลูมิเนียม'''"")}"),"อุปกรณ์")</f>
        <v>อุปกรณ์</v>
      </c>
      <c r="B2" s="128" t="str">
        <f>IFERROR(__xludf.DUMMYFUNCTION("""COMPUTED_VALUE"""),"มือจับประตูบานเลื่อนแขวน ทรงโค้ง HOYA-PS-102-สแตนเลส")</f>
        <v>มือจับประตูบานเลื่อนแขวน ทรงโค้ง HOYA-PS-102-สแตนเลส</v>
      </c>
    </row>
    <row r="3">
      <c r="A3" s="128" t="str">
        <f>IFERROR(__xludf.DUMMYFUNCTION("""COMPUTED_VALUE"""),"อุปกรณ์")</f>
        <v>อุปกรณ์</v>
      </c>
      <c r="B3" s="128" t="str">
        <f>IFERROR(__xludf.DUMMYFUNCTION("""COMPUTED_VALUE"""),"มือจับฝังบานเลื่อน  Hyda  416-Dummy-ดำ")</f>
        <v>มือจับฝังบานเลื่อน  Hyda  416-Dummy-ดำ</v>
      </c>
    </row>
    <row r="4">
      <c r="A4" s="128" t="str">
        <f>IFERROR(__xludf.DUMMYFUNCTION("""COMPUTED_VALUE"""),"อุปกรณ์")</f>
        <v>อุปกรณ์</v>
      </c>
      <c r="B4" s="128" t="str">
        <f>IFERROR(__xludf.DUMMYFUNCTION("""COMPUTED_VALUE"""),"มือจับฝังบานเลื่อน  Hyda  416-Dummy-อบขาว")</f>
        <v>มือจับฝังบานเลื่อน  Hyda  416-Dummy-อบขาว</v>
      </c>
    </row>
    <row r="5">
      <c r="A5" s="128" t="str">
        <f>IFERROR(__xludf.DUMMYFUNCTION("""COMPUTED_VALUE"""),"อุปกรณ์")</f>
        <v>อุปกรณ์</v>
      </c>
      <c r="B5" s="128" t="str">
        <f>IFERROR(__xludf.DUMMYFUNCTION("""COMPUTED_VALUE"""),"มือจับฝังบานเลื่อน  Hyda  416-Lock-ดำ")</f>
        <v>มือจับฝังบานเลื่อน  Hyda  416-Lock-ดำ</v>
      </c>
    </row>
    <row r="6">
      <c r="A6" s="128" t="str">
        <f>IFERROR(__xludf.DUMMYFUNCTION("""COMPUTED_VALUE"""),"อุปกรณ์")</f>
        <v>อุปกรณ์</v>
      </c>
      <c r="B6" s="128" t="str">
        <f>IFERROR(__xludf.DUMMYFUNCTION("""COMPUTED_VALUE"""),"มือจับฝังบานเลื่อน  Hyda  416-Lock-อบขาว")</f>
        <v>มือจับฝังบานเลื่อน  Hyda  416-Lock-อบขาว</v>
      </c>
    </row>
    <row r="7">
      <c r="A7" s="128" t="str">
        <f>IFERROR(__xludf.DUMMYFUNCTION("""COMPUTED_VALUE"""),"อุปกรณ์")</f>
        <v>อุปกรณ์</v>
      </c>
      <c r="B7" s="128" t="str">
        <f>IFERROR(__xludf.DUMMYFUNCTION("""COMPUTED_VALUE"""),"มือจับฝังบานเลื่อน  CMECH-Fixed Recessed Handle-ดำ")</f>
        <v>มือจับฝังบานเลื่อน  CMECH-Fixed Recessed Handle-ดำ</v>
      </c>
    </row>
    <row r="8">
      <c r="A8" s="128" t="str">
        <f>IFERROR(__xludf.DUMMYFUNCTION("""COMPUTED_VALUE"""),"อุปกรณ์")</f>
        <v>อุปกรณ์</v>
      </c>
      <c r="B8" s="128" t="str">
        <f>IFERROR(__xludf.DUMMYFUNCTION("""COMPUTED_VALUE"""),"มือจับฝังบานเลื่อน  CMECH-Fixed Recessed Handle-อบขาว")</f>
        <v>มือจับฝังบานเลื่อน  CMECH-Fixed Recessed Handle-อบขาว</v>
      </c>
    </row>
    <row r="9">
      <c r="A9" s="128" t="str">
        <f>IFERROR(__xludf.DUMMYFUNCTION("""COMPUTED_VALUE"""),"อุปกรณ์")</f>
        <v>อุปกรณ์</v>
      </c>
      <c r="B9" s="128" t="str">
        <f>IFERROR(__xludf.DUMMYFUNCTION("""COMPUTED_VALUE"""),"มือจับฝังบานเลื่อน  CMECH-Multi-Point Lock Recessed Handle-ดำ")</f>
        <v>มือจับฝังบานเลื่อน  CMECH-Multi-Point Lock Recessed Handle-ดำ</v>
      </c>
    </row>
    <row r="10">
      <c r="A10" s="128" t="str">
        <f>IFERROR(__xludf.DUMMYFUNCTION("""COMPUTED_VALUE"""),"อุปกรณ์")</f>
        <v>อุปกรณ์</v>
      </c>
      <c r="B10" s="128" t="str">
        <f>IFERROR(__xludf.DUMMYFUNCTION("""COMPUTED_VALUE"""),"มือจับฝังบานเลื่อน  CMECH-Multi-Point Lock Recessed Handle-อบขาว")</f>
        <v>มือจับฝังบานเลื่อน  CMECH-Multi-Point Lock Recessed Handle-อบขาว</v>
      </c>
    </row>
    <row r="11">
      <c r="A11" s="128" t="str">
        <f>IFERROR(__xludf.DUMMYFUNCTION("""COMPUTED_VALUE"""),"อุปกรณ์")</f>
        <v>อุปกรณ์</v>
      </c>
      <c r="B11" s="128" t="str">
        <f>IFERROR(__xludf.DUMMYFUNCTION("""COMPUTED_VALUE"""),"มือจับฝังบานเลื่อน  CMECH-Multi-Point Lock Recessed  Interior with Key-ดำ")</f>
        <v>มือจับฝังบานเลื่อน  CMECH-Multi-Point Lock Recessed  Interior with Key-ดำ</v>
      </c>
    </row>
    <row r="12">
      <c r="A12" s="128" t="str">
        <f>IFERROR(__xludf.DUMMYFUNCTION("""COMPUTED_VALUE"""),"อุปกรณ์")</f>
        <v>อุปกรณ์</v>
      </c>
      <c r="B12" s="128" t="str">
        <f>IFERROR(__xludf.DUMMYFUNCTION("""COMPUTED_VALUE"""),"มือจับฝังบานเลื่อน  CMECH-Multi-Point Lock Recessed  Interior with Key-อบขาว")</f>
        <v>มือจับฝังบานเลื่อน  CMECH-Multi-Point Lock Recessed  Interior with Key-อบขาว</v>
      </c>
    </row>
    <row r="13">
      <c r="A13" s="128" t="str">
        <f>IFERROR(__xludf.DUMMYFUNCTION("""COMPUTED_VALUE"""),"อุปกรณ์")</f>
        <v>อุปกรณ์</v>
      </c>
      <c r="B13" s="128" t="str">
        <f>IFERROR(__xludf.DUMMYFUNCTION("""COMPUTED_VALUE"""),"มือจับบานเลื่อน  CMECH-Metro Handle_ Dummy-ดำ")</f>
        <v>มือจับบานเลื่อน  CMECH-Metro Handle_ Dummy-ดำ</v>
      </c>
    </row>
    <row r="14">
      <c r="A14" s="128" t="str">
        <f>IFERROR(__xludf.DUMMYFUNCTION("""COMPUTED_VALUE"""),"อุปกรณ์")</f>
        <v>อุปกรณ์</v>
      </c>
      <c r="B14" s="128" t="str">
        <f>IFERROR(__xludf.DUMMYFUNCTION("""COMPUTED_VALUE"""),"มือจับบานเลื่อน  CMECH-Metro Handle_ Dummy-อบขาว")</f>
        <v>มือจับบานเลื่อน  CMECH-Metro Handle_ Dummy-อบขาว</v>
      </c>
    </row>
    <row r="15">
      <c r="A15" s="128" t="str">
        <f>IFERROR(__xludf.DUMMYFUNCTION("""COMPUTED_VALUE"""),"อุปกรณ์")</f>
        <v>อุปกรณ์</v>
      </c>
      <c r="B15" s="128" t="str">
        <f>IFERROR(__xludf.DUMMYFUNCTION("""COMPUTED_VALUE"""),"มือจับบานเลื่อน  CMECH-Metro Handle_ Lock-ดำ")</f>
        <v>มือจับบานเลื่อน  CMECH-Metro Handle_ Lock-ดำ</v>
      </c>
    </row>
    <row r="16">
      <c r="A16" s="128" t="str">
        <f>IFERROR(__xludf.DUMMYFUNCTION("""COMPUTED_VALUE"""),"อุปกรณ์")</f>
        <v>อุปกรณ์</v>
      </c>
      <c r="B16" s="128" t="str">
        <f>IFERROR(__xludf.DUMMYFUNCTION("""COMPUTED_VALUE"""),"มือจับบานเลื่อน  CMECH-Metro Handle_ Lock-อบขาว")</f>
        <v>มือจับบานเลื่อน  CMECH-Metro Handle_ Lock-อบขาว</v>
      </c>
    </row>
    <row r="17">
      <c r="A17" s="128" t="str">
        <f>IFERROR(__xludf.DUMMYFUNCTION("""COMPUTED_VALUE"""),"อุปกรณ์")</f>
        <v>อุปกรณ์</v>
      </c>
      <c r="B17" s="128" t="str">
        <f>IFERROR(__xludf.DUMMYFUNCTION("""COMPUTED_VALUE"""),"มือจับบานเลื่อน  CMECH-Metro Handle_  Key-ดำ")</f>
        <v>มือจับบานเลื่อน  CMECH-Metro Handle_  Key-ดำ</v>
      </c>
    </row>
    <row r="18">
      <c r="A18" s="128" t="str">
        <f>IFERROR(__xludf.DUMMYFUNCTION("""COMPUTED_VALUE"""),"อุปกรณ์")</f>
        <v>อุปกรณ์</v>
      </c>
      <c r="B18" s="128" t="str">
        <f>IFERROR(__xludf.DUMMYFUNCTION("""COMPUTED_VALUE"""),"มือจับบานเลื่อน  CMECH-Metro Handle_  Key-อบขาว")</f>
        <v>มือจับบานเลื่อน  CMECH-Metro Handle_  Key-อบขาว</v>
      </c>
    </row>
    <row r="19">
      <c r="A19" s="128" t="str">
        <f>IFERROR(__xludf.DUMMYFUNCTION("""COMPUTED_VALUE"""),"อุปกรณ์")</f>
        <v>อุปกรณ์</v>
      </c>
      <c r="B19" s="128" t="str">
        <f>IFERROR(__xludf.DUMMYFUNCTION("""COMPUTED_VALUE"""),"มือจับฝังบานเลื่อน Align-Dummy-ดำ")</f>
        <v>มือจับฝังบานเลื่อน Align-Dummy-ดำ</v>
      </c>
    </row>
    <row r="20">
      <c r="A20" s="128" t="str">
        <f>IFERROR(__xludf.DUMMYFUNCTION("""COMPUTED_VALUE"""),"อุปกรณ์")</f>
        <v>อุปกรณ์</v>
      </c>
      <c r="B20" s="128" t="str">
        <f>IFERROR(__xludf.DUMMYFUNCTION("""COMPUTED_VALUE"""),"มือจับฝังบานเลื่อน Align-Dummy-อบขาว")</f>
        <v>มือจับฝังบานเลื่อน Align-Dummy-อบขาว</v>
      </c>
    </row>
    <row r="21">
      <c r="A21" s="128" t="str">
        <f>IFERROR(__xludf.DUMMYFUNCTION("""COMPUTED_VALUE"""),"อุปกรณ์")</f>
        <v>อุปกรณ์</v>
      </c>
      <c r="B21" s="128" t="str">
        <f>IFERROR(__xludf.DUMMYFUNCTION("""COMPUTED_VALUE"""),"มือจับฝังบานเลื่อน Align-Lock-ดำ")</f>
        <v>มือจับฝังบานเลื่อน Align-Lock-ดำ</v>
      </c>
    </row>
    <row r="22">
      <c r="A22" s="128" t="str">
        <f>IFERROR(__xludf.DUMMYFUNCTION("""COMPUTED_VALUE"""),"อุปกรณ์")</f>
        <v>อุปกรณ์</v>
      </c>
      <c r="B22" s="128" t="str">
        <f>IFERROR(__xludf.DUMMYFUNCTION("""COMPUTED_VALUE"""),"มือจับฝังบานเลื่อน Align-Lock-อบขาว")</f>
        <v>มือจับฝังบานเลื่อน Align-Lock-อบขาว</v>
      </c>
    </row>
    <row r="23">
      <c r="A23" s="128" t="str">
        <f>IFERROR(__xludf.DUMMYFUNCTION("""COMPUTED_VALUE"""),"อุปกรณ์")</f>
        <v>อุปกรณ์</v>
      </c>
      <c r="B23" s="128" t="str">
        <f>IFERROR(__xludf.DUMMYFUNCTION("""COMPUTED_VALUE"""),"มือจับฝังบานเลื่อน Align-Key-ดำ")</f>
        <v>มือจับฝังบานเลื่อน Align-Key-ดำ</v>
      </c>
    </row>
    <row r="24">
      <c r="A24" s="128" t="str">
        <f>IFERROR(__xludf.DUMMYFUNCTION("""COMPUTED_VALUE"""),"อุปกรณ์")</f>
        <v>อุปกรณ์</v>
      </c>
      <c r="B24" s="128" t="str">
        <f>IFERROR(__xludf.DUMMYFUNCTION("""COMPUTED_VALUE"""),"มือจับฝังบานเลื่อน Align-Key-อบขาว")</f>
        <v>มือจับฝังบานเลื่อน Align-Key-อบขาว</v>
      </c>
    </row>
    <row r="25">
      <c r="A25" s="128" t="str">
        <f>IFERROR(__xludf.DUMMYFUNCTION("""COMPUTED_VALUE"""),"อุปกรณ์")</f>
        <v>อุปกรณ์</v>
      </c>
      <c r="B25" s="128" t="str">
        <f>IFERROR(__xludf.DUMMYFUNCTION("""COMPUTED_VALUE"""),"มือจับเจาะกระจกประตูบานเลื่อน-แบบกลม-สแตนเลส")</f>
        <v>มือจับเจาะกระจกประตูบานเลื่อน-แบบกลม-สแตนเลส</v>
      </c>
    </row>
    <row r="26">
      <c r="A26" s="128" t="str">
        <f>IFERROR(__xludf.DUMMYFUNCTION("""COMPUTED_VALUE"""),"อุปกรณ์")</f>
        <v>อุปกรณ์</v>
      </c>
      <c r="B26" s="128" t="str">
        <f>IFERROR(__xludf.DUMMYFUNCTION("""COMPUTED_VALUE"""),"มือจับสแตนเลส VVP_HD110-แบบกลม-สแตนเลส")</f>
        <v>มือจับสแตนเลส VVP_HD110-แบบกลม-สแตนเลส</v>
      </c>
    </row>
    <row r="27">
      <c r="A27" s="128" t="str">
        <f>IFERROR(__xludf.DUMMYFUNCTION("""COMPUTED_VALUE"""),"อุปกรณ์")</f>
        <v>อุปกรณ์</v>
      </c>
      <c r="B27" s="128" t="str">
        <f>IFERROR(__xludf.DUMMYFUNCTION("""COMPUTED_VALUE"""),"มือจับสแตนเลส VVP_HD189-แบบเหลี่ยม-สแตนเลส")</f>
        <v>มือจับสแตนเลส VVP_HD189-แบบเหลี่ยม-สแตนเลส</v>
      </c>
    </row>
    <row r="28">
      <c r="A28" s="128" t="str">
        <f>IFERROR(__xludf.DUMMYFUNCTION("""COMPUTED_VALUE"""),"อุปกรณ์")</f>
        <v>อุปกรณ์</v>
      </c>
      <c r="B28" s="128" t="str">
        <f>IFERROR(__xludf.DUMMYFUNCTION("""COMPUTED_VALUE"""),"มือจับสแตนเลส VVP_HD190-แบบเหลี่ยม-สแตนเลส")</f>
        <v>มือจับสแตนเลส VVP_HD190-แบบเหลี่ยม-สแตนเลส</v>
      </c>
    </row>
    <row r="29">
      <c r="A29" s="128" t="str">
        <f>IFERROR(__xludf.DUMMYFUNCTION("""COMPUTED_VALUE"""),"อุปกรณ์")</f>
        <v>อุปกรณ์</v>
      </c>
      <c r="B29" s="128" t="str">
        <f>IFERROR(__xludf.DUMMYFUNCTION("""COMPUTED_VALUE"""),"มือจับบานกระทุ้ง CZ-HD-004-CENZA_ ( L )-อบขาว")</f>
        <v>มือจับบานกระทุ้ง CZ-HD-004-CENZA_ ( L )-อบขาว</v>
      </c>
    </row>
    <row r="30">
      <c r="A30" s="128" t="str">
        <f>IFERROR(__xludf.DUMMYFUNCTION("""COMPUTED_VALUE"""),"อุปกรณ์")</f>
        <v>อุปกรณ์</v>
      </c>
      <c r="B30" s="128" t="str">
        <f>IFERROR(__xludf.DUMMYFUNCTION("""COMPUTED_VALUE"""),"มือจับบานกระทุ้ง CZ-HD-004-CENZA_ ( R )-อบขาว")</f>
        <v>มือจับบานกระทุ้ง CZ-HD-004-CENZA_ ( R )-อบขาว</v>
      </c>
    </row>
    <row r="31">
      <c r="A31" s="128" t="str">
        <f>IFERROR(__xludf.DUMMYFUNCTION("""COMPUTED_VALUE"""),"อุปกรณ์")</f>
        <v>อุปกรณ์</v>
      </c>
      <c r="B31" s="128" t="str">
        <f>IFERROR(__xludf.DUMMYFUNCTION("""COMPUTED_VALUE"""),"มือจับบานกระทุ้ง CZ-HD-004-CENZA_ ( L )-ดำ")</f>
        <v>มือจับบานกระทุ้ง CZ-HD-004-CENZA_ ( L )-ดำ</v>
      </c>
    </row>
    <row r="32">
      <c r="A32" s="128" t="str">
        <f>IFERROR(__xludf.DUMMYFUNCTION("""COMPUTED_VALUE"""),"อุปกรณ์")</f>
        <v>อุปกรณ์</v>
      </c>
      <c r="B32" s="128" t="str">
        <f>IFERROR(__xludf.DUMMYFUNCTION("""COMPUTED_VALUE"""),"มือจับบานกระทุ้ง CZ-HD-004-CENZA_ ( R )-ดำ")</f>
        <v>มือจับบานกระทุ้ง CZ-HD-004-CENZA_ ( R )-ดำ</v>
      </c>
    </row>
    <row r="33">
      <c r="A33" s="128" t="str">
        <f>IFERROR(__xludf.DUMMYFUNCTION("""COMPUTED_VALUE"""),"อุปกรณ์")</f>
        <v>อุปกรณ์</v>
      </c>
      <c r="B33" s="128" t="str">
        <f>IFERROR(__xludf.DUMMYFUNCTION("""COMPUTED_VALUE"""),"มือจับบานกระทุ้งหลบมุ้ง-CMECH_ ( L )-อบขาว")</f>
        <v>มือจับบานกระทุ้งหลบมุ้ง-CMECH_ ( L )-อบขาว</v>
      </c>
    </row>
    <row r="34">
      <c r="A34" s="128" t="str">
        <f>IFERROR(__xludf.DUMMYFUNCTION("""COMPUTED_VALUE"""),"อุปกรณ์")</f>
        <v>อุปกรณ์</v>
      </c>
      <c r="B34" s="128" t="str">
        <f>IFERROR(__xludf.DUMMYFUNCTION("""COMPUTED_VALUE"""),"มือจับบานกระทุ้งหลบมุ้ง-CMECH_ ( R )-อบขาว")</f>
        <v>มือจับบานกระทุ้งหลบมุ้ง-CMECH_ ( R )-อบขาว</v>
      </c>
    </row>
    <row r="35">
      <c r="A35" s="128" t="str">
        <f>IFERROR(__xludf.DUMMYFUNCTION("""COMPUTED_VALUE"""),"อุปกรณ์")</f>
        <v>อุปกรณ์</v>
      </c>
      <c r="B35" s="128" t="str">
        <f>IFERROR(__xludf.DUMMYFUNCTION("""COMPUTED_VALUE"""),"มือจับบานกระทุ้งหลบมุ้ง-CMECH_ ( L )-ดำ")</f>
        <v>มือจับบานกระทุ้งหลบมุ้ง-CMECH_ ( L )-ดำ</v>
      </c>
    </row>
    <row r="36">
      <c r="A36" s="128" t="str">
        <f>IFERROR(__xludf.DUMMYFUNCTION("""COMPUTED_VALUE"""),"อุปกรณ์")</f>
        <v>อุปกรณ์</v>
      </c>
      <c r="B36" s="128" t="str">
        <f>IFERROR(__xludf.DUMMYFUNCTION("""COMPUTED_VALUE"""),"มือจับบานกระทุ้งหลบมุ้ง-CMECH_ ( R )-ดำ")</f>
        <v>มือจับบานกระทุ้งหลบมุ้ง-CMECH_ ( R )-ดำ</v>
      </c>
    </row>
    <row r="37">
      <c r="A37" s="128" t="str">
        <f>IFERROR(__xludf.DUMMYFUNCTION("""COMPUTED_VALUE"""),"อุปกรณ์")</f>
        <v>อุปกรณ์</v>
      </c>
      <c r="B37" s="128" t="str">
        <f>IFERROR(__xludf.DUMMYFUNCTION("""COMPUTED_VALUE"""),"มือจับบานเปิด KINGBO-Dummy-ดำ")</f>
        <v>มือจับบานเปิด KINGBO-Dummy-ดำ</v>
      </c>
    </row>
    <row r="38">
      <c r="A38" s="128" t="str">
        <f>IFERROR(__xludf.DUMMYFUNCTION("""COMPUTED_VALUE"""),"อุปกรณ์")</f>
        <v>อุปกรณ์</v>
      </c>
      <c r="B38" s="128" t="str">
        <f>IFERROR(__xludf.DUMMYFUNCTION("""COMPUTED_VALUE"""),"มือจับบานเปิด KINGBO-Dummy-อบขาว")</f>
        <v>มือจับบานเปิด KINGBO-Dummy-อบขาว</v>
      </c>
    </row>
    <row r="39">
      <c r="A39" s="128" t="str">
        <f>IFERROR(__xludf.DUMMYFUNCTION("""COMPUTED_VALUE"""),"อุปกรณ์")</f>
        <v>อุปกรณ์</v>
      </c>
      <c r="B39" s="128" t="str">
        <f>IFERROR(__xludf.DUMMYFUNCTION("""COMPUTED_VALUE"""),"มือจับบานเปิด KINGBO-Key-ดำ")</f>
        <v>มือจับบานเปิด KINGBO-Key-ดำ</v>
      </c>
    </row>
    <row r="40">
      <c r="A40" s="128" t="str">
        <f>IFERROR(__xludf.DUMMYFUNCTION("""COMPUTED_VALUE"""),"อุปกรณ์")</f>
        <v>อุปกรณ์</v>
      </c>
      <c r="B40" s="128" t="str">
        <f>IFERROR(__xludf.DUMMYFUNCTION("""COMPUTED_VALUE"""),"มือจับบานเปิด KINGBO-Key-อบขาว")</f>
        <v>มือจับบานเปิด KINGBO-Key-อบขาว</v>
      </c>
    </row>
    <row r="41">
      <c r="A41" s="128" t="str">
        <f>IFERROR(__xludf.DUMMYFUNCTION("""COMPUTED_VALUE"""),"อุปกรณ์")</f>
        <v>อุปกรณ์</v>
      </c>
      <c r="B41" s="128" t="str">
        <f>IFERROR(__xludf.DUMMYFUNCTION("""COMPUTED_VALUE"""),"มือจับหลบมุ้ง KINGBO-FH3016 _( L )-ดำ")</f>
        <v>มือจับหลบมุ้ง KINGBO-FH3016 _( L )-ดำ</v>
      </c>
    </row>
    <row r="42">
      <c r="A42" s="128" t="str">
        <f>IFERROR(__xludf.DUMMYFUNCTION("""COMPUTED_VALUE"""),"อุปกรณ์")</f>
        <v>อุปกรณ์</v>
      </c>
      <c r="B42" s="128" t="str">
        <f>IFERROR(__xludf.DUMMYFUNCTION("""COMPUTED_VALUE"""),"มือจับหลบมุ้ง KINGBO-FH3016 _ ( R )-ดำ")</f>
        <v>มือจับหลบมุ้ง KINGBO-FH3016 _ ( R )-ดำ</v>
      </c>
    </row>
    <row r="43">
      <c r="A43" s="128" t="str">
        <f>IFERROR(__xludf.DUMMYFUNCTION("""COMPUTED_VALUE"""),"อุปกรณ์")</f>
        <v>อุปกรณ์</v>
      </c>
      <c r="B43" s="128" t="str">
        <f>IFERROR(__xludf.DUMMYFUNCTION("""COMPUTED_VALUE"""),"มือจับหลบมุ้ง KINGBO-FH3016 _( L )-อบขาว")</f>
        <v>มือจับหลบมุ้ง KINGBO-FH3016 _( L )-อบขาว</v>
      </c>
    </row>
    <row r="44">
      <c r="A44" s="128" t="str">
        <f>IFERROR(__xludf.DUMMYFUNCTION("""COMPUTED_VALUE"""),"อุปกรณ์")</f>
        <v>อุปกรณ์</v>
      </c>
      <c r="B44" s="128" t="str">
        <f>IFERROR(__xludf.DUMMYFUNCTION("""COMPUTED_VALUE"""),"มือจับหลบมุ้ง KINGBO-FH3016 _ ( R )-อบขาว")</f>
        <v>มือจับหลบมุ้ง KINGBO-FH3016 _ ( R )-อบขาว</v>
      </c>
    </row>
    <row r="45">
      <c r="A45" s="128" t="str">
        <f>IFERROR(__xludf.DUMMYFUNCTION("""COMPUTED_VALUE"""),"อุปกรณ์")</f>
        <v>อุปกรณ์</v>
      </c>
      <c r="B45" s="128" t="str">
        <f>IFERROR(__xludf.DUMMYFUNCTION("""COMPUTED_VALUE"""),"มือจับฝัง Align-กุญแจ-ดำ")</f>
        <v>มือจับฝัง Align-กุญแจ-ดำ</v>
      </c>
    </row>
    <row r="46">
      <c r="A46" s="128" t="str">
        <f>IFERROR(__xludf.DUMMYFUNCTION("""COMPUTED_VALUE"""),"อุปกรณ์")</f>
        <v>อุปกรณ์</v>
      </c>
      <c r="B46" s="128" t="str">
        <f>IFERROR(__xludf.DUMMYFUNCTION("""COMPUTED_VALUE"""),"มือจับฝัง Align-ล็อค-ดำ")</f>
        <v>มือจับฝัง Align-ล็อค-ดำ</v>
      </c>
    </row>
    <row r="47">
      <c r="A47" s="128" t="str">
        <f>IFERROR(__xludf.DUMMYFUNCTION("""COMPUTED_VALUE"""),"อุปกรณ์")</f>
        <v>อุปกรณ์</v>
      </c>
      <c r="B47" s="128" t="str">
        <f>IFERROR(__xludf.DUMMYFUNCTION("""COMPUTED_VALUE"""),"มือจับฝัง Align-ดัมมี่-ดำ")</f>
        <v>มือจับฝัง Align-ดัมมี่-ดำ</v>
      </c>
    </row>
    <row r="48">
      <c r="A48" s="128" t="str">
        <f>IFERROR(__xludf.DUMMYFUNCTION("""COMPUTED_VALUE"""),"อุปกรณ์")</f>
        <v>อุปกรณ์</v>
      </c>
      <c r="B48" s="128" t="str">
        <f>IFERROR(__xludf.DUMMYFUNCTION("""COMPUTED_VALUE"""),"มือจับฝัง Align-กุญแจ-อบขาว")</f>
        <v>มือจับฝัง Align-กุญแจ-อบขาว</v>
      </c>
    </row>
    <row r="49">
      <c r="A49" s="128" t="str">
        <f>IFERROR(__xludf.DUMMYFUNCTION("""COMPUTED_VALUE"""),"อุปกรณ์")</f>
        <v>อุปกรณ์</v>
      </c>
      <c r="B49" s="128" t="str">
        <f>IFERROR(__xludf.DUMMYFUNCTION("""COMPUTED_VALUE"""),"มือจับฝัง Align-ล็อค-อบขาว")</f>
        <v>มือจับฝัง Align-ล็อค-อบขาว</v>
      </c>
    </row>
    <row r="50">
      <c r="A50" s="128" t="str">
        <f>IFERROR(__xludf.DUMMYFUNCTION("""COMPUTED_VALUE"""),"อุปกรณ์")</f>
        <v>อุปกรณ์</v>
      </c>
      <c r="B50" s="128" t="str">
        <f>IFERROR(__xludf.DUMMYFUNCTION("""COMPUTED_VALUE"""),"มือจับฝัง Align-ดัมมี่-อบขาว")</f>
        <v>มือจับฝัง Align-ดัมมี่-อบขาว</v>
      </c>
    </row>
    <row r="51">
      <c r="A51" s="128" t="str">
        <f>IFERROR(__xludf.DUMMYFUNCTION("""COMPUTED_VALUE"""),"อุปกรณ์")</f>
        <v>อุปกรณ์</v>
      </c>
      <c r="B51" s="128" t="str">
        <f>IFERROR(__xludf.DUMMYFUNCTION("""COMPUTED_VALUE"""),"มือจับ Husza-กุญแจ-ดำ")</f>
        <v>มือจับ Husza-กุญแจ-ดำ</v>
      </c>
    </row>
    <row r="52">
      <c r="A52" s="128" t="str">
        <f>IFERROR(__xludf.DUMMYFUNCTION("""COMPUTED_VALUE"""),"อุปกรณ์")</f>
        <v>อุปกรณ์</v>
      </c>
      <c r="B52" s="128" t="str">
        <f>IFERROR(__xludf.DUMMYFUNCTION("""COMPUTED_VALUE"""),"มือจับ Husza-ล็อค-ดำ")</f>
        <v>มือจับ Husza-ล็อค-ดำ</v>
      </c>
    </row>
    <row r="53">
      <c r="A53" s="128" t="str">
        <f>IFERROR(__xludf.DUMMYFUNCTION("""COMPUTED_VALUE"""),"อุปกรณ์")</f>
        <v>อุปกรณ์</v>
      </c>
      <c r="B53" s="128" t="str">
        <f>IFERROR(__xludf.DUMMYFUNCTION("""COMPUTED_VALUE"""),"มือจับ Husza-เรียบมีรู-ดำ")</f>
        <v>มือจับ Husza-เรียบมีรู-ดำ</v>
      </c>
    </row>
    <row r="54">
      <c r="A54" s="128" t="str">
        <f>IFERROR(__xludf.DUMMYFUNCTION("""COMPUTED_VALUE"""),"อุปกรณ์")</f>
        <v>อุปกรณ์</v>
      </c>
      <c r="B54" s="128" t="str">
        <f>IFERROR(__xludf.DUMMYFUNCTION("""COMPUTED_VALUE"""),"มือจับ Husza-เรียบไม่มีรู-ดำ")</f>
        <v>มือจับ Husza-เรียบไม่มีรู-ดำ</v>
      </c>
    </row>
    <row r="55">
      <c r="A55" s="128" t="str">
        <f>IFERROR(__xludf.DUMMYFUNCTION("""COMPUTED_VALUE"""),"อุปกรณ์")</f>
        <v>อุปกรณ์</v>
      </c>
      <c r="B55" s="128" t="str">
        <f>IFERROR(__xludf.DUMMYFUNCTION("""COMPUTED_VALUE"""),"มือจับ Husza-กุญแจ-อบขาว")</f>
        <v>มือจับ Husza-กุญแจ-อบขาว</v>
      </c>
    </row>
    <row r="56">
      <c r="A56" s="128" t="str">
        <f>IFERROR(__xludf.DUMMYFUNCTION("""COMPUTED_VALUE"""),"อุปกรณ์")</f>
        <v>อุปกรณ์</v>
      </c>
      <c r="B56" s="128" t="str">
        <f>IFERROR(__xludf.DUMMYFUNCTION("""COMPUTED_VALUE"""),"มือจับ Husza-ล็อค-อบขาว")</f>
        <v>มือจับ Husza-ล็อค-อบขาว</v>
      </c>
    </row>
    <row r="57">
      <c r="A57" s="128" t="str">
        <f>IFERROR(__xludf.DUMMYFUNCTION("""COMPUTED_VALUE"""),"อุปกรณ์")</f>
        <v>อุปกรณ์</v>
      </c>
      <c r="B57" s="128" t="str">
        <f>IFERROR(__xludf.DUMMYFUNCTION("""COMPUTED_VALUE"""),"มือจับ Husza-เรียบมีรู-อบขาว")</f>
        <v>มือจับ Husza-เรียบมีรู-อบขาว</v>
      </c>
    </row>
    <row r="58">
      <c r="A58" s="128" t="str">
        <f>IFERROR(__xludf.DUMMYFUNCTION("""COMPUTED_VALUE"""),"อุปกรณ์")</f>
        <v>อุปกรณ์</v>
      </c>
      <c r="B58" s="128" t="str">
        <f>IFERROR(__xludf.DUMMYFUNCTION("""COMPUTED_VALUE"""),"มือจับ Husza-เรียบไม่มีรู-อบขาว")</f>
        <v>มือจับ Husza-เรียบไม่มีรู-อบขาว</v>
      </c>
    </row>
    <row r="59">
      <c r="A59" s="128" t="str">
        <f>IFERROR(__xludf.DUMMYFUNCTION("""COMPUTED_VALUE"""),"อุปกรณ์")</f>
        <v>อุปกรณ์</v>
      </c>
      <c r="B59" s="128" t="str">
        <f>IFERROR(__xludf.DUMMYFUNCTION("""COMPUTED_VALUE"""),"มือจับ เซ่นซ่า  -ชุดกุญแจ-อบขาว")</f>
        <v>มือจับ เซ่นซ่า  -ชุดกุญแจ-อบขาว</v>
      </c>
    </row>
    <row r="60">
      <c r="A60" s="128" t="str">
        <f>IFERROR(__xludf.DUMMYFUNCTION("""COMPUTED_VALUE"""),"อุปกรณ์")</f>
        <v>อุปกรณ์</v>
      </c>
      <c r="B60" s="128" t="str">
        <f>IFERROR(__xludf.DUMMYFUNCTION("""COMPUTED_VALUE"""),"มือจับ เซ่นซ่า  -ล็อค-อบขาว")</f>
        <v>มือจับ เซ่นซ่า  -ล็อค-อบขาว</v>
      </c>
    </row>
    <row r="61">
      <c r="A61" s="128" t="str">
        <f>IFERROR(__xludf.DUMMYFUNCTION("""COMPUTED_VALUE"""),"อุปกรณ์")</f>
        <v>อุปกรณ์</v>
      </c>
      <c r="B61" s="128" t="str">
        <f>IFERROR(__xludf.DUMMYFUNCTION("""COMPUTED_VALUE"""),"มือจับ เซ่นซ่า  -เรียบมีรู-อบขาว")</f>
        <v>มือจับ เซ่นซ่า  -เรียบมีรู-อบขาว</v>
      </c>
    </row>
    <row r="62">
      <c r="A62" s="128" t="str">
        <f>IFERROR(__xludf.DUMMYFUNCTION("""COMPUTED_VALUE"""),"อุปกรณ์")</f>
        <v>อุปกรณ์</v>
      </c>
      <c r="B62" s="128" t="str">
        <f>IFERROR(__xludf.DUMMYFUNCTION("""COMPUTED_VALUE"""),"มือจับ เซ่นซ่า  -เรียบไม่มีรู-อบขาว")</f>
        <v>มือจับ เซ่นซ่า  -เรียบไม่มีรู-อบขาว</v>
      </c>
    </row>
    <row r="63">
      <c r="A63" s="128" t="str">
        <f>IFERROR(__xludf.DUMMYFUNCTION("""COMPUTED_VALUE"""),"อุปกรณ์")</f>
        <v>อุปกรณ์</v>
      </c>
      <c r="B63" s="128" t="str">
        <f>IFERROR(__xludf.DUMMYFUNCTION("""COMPUTED_VALUE"""),"มือจับ เซ่นซ่า  -ชุดกุญแจ-ดำ")</f>
        <v>มือจับ เซ่นซ่า  -ชุดกุญแจ-ดำ</v>
      </c>
    </row>
    <row r="64">
      <c r="A64" s="128" t="str">
        <f>IFERROR(__xludf.DUMMYFUNCTION("""COMPUTED_VALUE"""),"อุปกรณ์")</f>
        <v>อุปกรณ์</v>
      </c>
      <c r="B64" s="128" t="str">
        <f>IFERROR(__xludf.DUMMYFUNCTION("""COMPUTED_VALUE"""),"มือจับ เซ่นซ่า  -ล็อค-ดำ")</f>
        <v>มือจับ เซ่นซ่า  -ล็อค-ดำ</v>
      </c>
    </row>
    <row r="65">
      <c r="A65" s="128" t="str">
        <f>IFERROR(__xludf.DUMMYFUNCTION("""COMPUTED_VALUE"""),"อุปกรณ์")</f>
        <v>อุปกรณ์</v>
      </c>
      <c r="B65" s="128" t="str">
        <f>IFERROR(__xludf.DUMMYFUNCTION("""COMPUTED_VALUE"""),"มือจับ เซ่นซ่า  -เรียบมีรู-ดำ")</f>
        <v>มือจับ เซ่นซ่า  -เรียบมีรู-ดำ</v>
      </c>
    </row>
    <row r="66">
      <c r="A66" s="128" t="str">
        <f>IFERROR(__xludf.DUMMYFUNCTION("""COMPUTED_VALUE"""),"อุปกรณ์")</f>
        <v>อุปกรณ์</v>
      </c>
      <c r="B66" s="128" t="str">
        <f>IFERROR(__xludf.DUMMYFUNCTION("""COMPUTED_VALUE"""),"มือจับ เซ่นซ่า  -เรียบไม่มีรู-ดำ")</f>
        <v>มือจับ เซ่นซ่า  -เรียบไม่มีรู-ดำ</v>
      </c>
    </row>
    <row r="67">
      <c r="A67" s="128" t="str">
        <f>IFERROR(__xludf.DUMMYFUNCTION("""COMPUTED_VALUE"""),"อุปกรณ์")</f>
        <v>อุปกรณ์</v>
      </c>
      <c r="B67" s="128" t="str">
        <f>IFERROR(__xludf.DUMMYFUNCTION("""COMPUTED_VALUE"""),"มือจับหลบมุ้ง -ข้างซ้าย-ขาว + ดำ")</f>
        <v>มือจับหลบมุ้ง -ข้างซ้าย-ขาว + ดำ</v>
      </c>
    </row>
    <row r="68">
      <c r="A68" s="128" t="str">
        <f>IFERROR(__xludf.DUMMYFUNCTION("""COMPUTED_VALUE"""),"อุปกรณ์")</f>
        <v>อุปกรณ์</v>
      </c>
      <c r="B68" s="128" t="str">
        <f>IFERROR(__xludf.DUMMYFUNCTION("""COMPUTED_VALUE"""),"มือจับหลบมุ้ง -ข้างขวา-ขาว + ดำ")</f>
        <v>มือจับหลบมุ้ง -ข้างขวา-ขาว + ดำ</v>
      </c>
    </row>
    <row r="69">
      <c r="A69" s="128" t="str">
        <f>IFERROR(__xludf.DUMMYFUNCTION("""COMPUTED_VALUE"""),"อุปกรณ์")</f>
        <v>อุปกรณ์</v>
      </c>
      <c r="B69" s="128" t="str">
        <f>IFERROR(__xludf.DUMMYFUNCTION("""COMPUTED_VALUE"""),"มือจับหลบมุ้ง -มือจับซีเมดข้างซ้ายสีดำ-ขาว + ดำ")</f>
        <v>มือจับหลบมุ้ง -มือจับซีเมดข้างซ้ายสีดำ-ขาว + ดำ</v>
      </c>
    </row>
    <row r="70">
      <c r="A70" s="128" t="str">
        <f>IFERROR(__xludf.DUMMYFUNCTION("""COMPUTED_VALUE"""),"อุปกรณ์")</f>
        <v>อุปกรณ์</v>
      </c>
      <c r="B70" s="128" t="str">
        <f>IFERROR(__xludf.DUMMYFUNCTION("""COMPUTED_VALUE"""),"มือจับบานกระทุ้งของจีน-ข้างซ้าย-ขาว + ดำ")</f>
        <v>มือจับบานกระทุ้งของจีน-ข้างซ้าย-ขาว + ดำ</v>
      </c>
    </row>
    <row r="71">
      <c r="A71" s="128" t="str">
        <f>IFERROR(__xludf.DUMMYFUNCTION("""COMPUTED_VALUE"""),"อุปกรณ์")</f>
        <v>อุปกรณ์</v>
      </c>
      <c r="B71" s="128" t="str">
        <f>IFERROR(__xludf.DUMMYFUNCTION("""COMPUTED_VALUE"""),"มือจับบานกระทุ้งของจีน-ข้างขวา-ขาว + ดำ")</f>
        <v>มือจับบานกระทุ้งของจีน-ข้างขวา-ขาว + ดำ</v>
      </c>
    </row>
    <row r="72">
      <c r="A72" s="128" t="str">
        <f>IFERROR(__xludf.DUMMYFUNCTION("""COMPUTED_VALUE"""),"อุปกรณ์")</f>
        <v>อุปกรณ์</v>
      </c>
      <c r="B72" s="128" t="str">
        <f>IFERROR(__xludf.DUMMYFUNCTION("""COMPUTED_VALUE"""),"มือจับบานเลื่อน-สลิม-ขาว + ดำ")</f>
        <v>มือจับบานเลื่อน-สลิม-ขาว + ดำ</v>
      </c>
    </row>
    <row r="73">
      <c r="A73" s="128" t="str">
        <f>IFERROR(__xludf.DUMMYFUNCTION("""COMPUTED_VALUE"""),"อุปกรณ์")</f>
        <v>อุปกรณ์</v>
      </c>
      <c r="B73" s="128" t="str">
        <f>IFERROR(__xludf.DUMMYFUNCTION("""COMPUTED_VALUE"""),"มือจับปากเป็ด CMECH--ขาว + ดำ")</f>
        <v>มือจับปากเป็ด CMECH--ขาว + ดำ</v>
      </c>
    </row>
    <row r="74">
      <c r="A74" s="128" t="str">
        <f>IFERROR(__xludf.DUMMYFUNCTION("""COMPUTED_VALUE"""),"อุปกรณ์")</f>
        <v>อุปกรณ์</v>
      </c>
      <c r="B74" s="128" t="str">
        <f>IFERROR(__xludf.DUMMYFUNCTION("""COMPUTED_VALUE"""),"มือจับปากเป็ด CMECH--เงิน")</f>
        <v>มือจับปากเป็ด CMECH--เงิน</v>
      </c>
    </row>
    <row r="75">
      <c r="A75" s="128" t="str">
        <f>IFERROR(__xludf.DUMMYFUNCTION("""COMPUTED_VALUE"""),"อุปกรณ์")</f>
        <v>อุปกรณ์</v>
      </c>
      <c r="B75" s="128" t="str">
        <f>IFERROR(__xludf.DUMMYFUNCTION("""COMPUTED_VALUE"""),"มือจับปากเป็ด --ขาว + ดำ")</f>
        <v>มือจับปากเป็ด --ขาว + ดำ</v>
      </c>
    </row>
    <row r="76">
      <c r="A76" s="128" t="str">
        <f>IFERROR(__xludf.DUMMYFUNCTION("""COMPUTED_VALUE"""),"อุปกรณ์")</f>
        <v>อุปกรณ์</v>
      </c>
      <c r="B76" s="128" t="str">
        <f>IFERROR(__xludf.DUMMYFUNCTION("""COMPUTED_VALUE"""),"มือจับบานเปิดจีน-ล็อค-ดำ")</f>
        <v>มือจับบานเปิดจีน-ล็อค-ดำ</v>
      </c>
    </row>
    <row r="77">
      <c r="A77" s="128" t="str">
        <f>IFERROR(__xludf.DUMMYFUNCTION("""COMPUTED_VALUE"""),"อุปกรณ์")</f>
        <v>อุปกรณ์</v>
      </c>
      <c r="B77" s="128" t="str">
        <f>IFERROR(__xludf.DUMMYFUNCTION("""COMPUTED_VALUE"""),"มือจับบานเปิดจีน-ดัมมี่-ดำ")</f>
        <v>มือจับบานเปิดจีน-ดัมมี่-ดำ</v>
      </c>
    </row>
    <row r="78">
      <c r="A78" s="128" t="str">
        <f>IFERROR(__xludf.DUMMYFUNCTION("""COMPUTED_VALUE"""),"อุปกรณ์")</f>
        <v>อุปกรณ์</v>
      </c>
      <c r="B78" s="128" t="str">
        <f>IFERROR(__xludf.DUMMYFUNCTION("""COMPUTED_VALUE"""),"มือจับบานเปิดจีน-ล็อค  -อบขาว")</f>
        <v>มือจับบานเปิดจีน-ล็อค  -อบขาว</v>
      </c>
    </row>
    <row r="79">
      <c r="A79" s="128" t="str">
        <f>IFERROR(__xludf.DUMMYFUNCTION("""COMPUTED_VALUE"""),"อุปกรณ์")</f>
        <v>อุปกรณ์</v>
      </c>
      <c r="B79" s="128" t="str">
        <f>IFERROR(__xludf.DUMMYFUNCTION("""COMPUTED_VALUE"""),"มือจับบานเปิดจีน-ดัมมี่-อบขาว")</f>
        <v>มือจับบานเปิดจีน-ดัมมี่-อบขาว</v>
      </c>
    </row>
    <row r="80">
      <c r="A80" s="128" t="str">
        <f>IFERROR(__xludf.DUMMYFUNCTION("""COMPUTED_VALUE"""),"อุปกรณ์")</f>
        <v>อุปกรณ์</v>
      </c>
      <c r="B80" s="128" t="str">
        <f>IFERROR(__xludf.DUMMYFUNCTION("""COMPUTED_VALUE"""),"มือจับบานเปิด-สลิม-อบขาว")</f>
        <v>มือจับบานเปิด-สลิม-อบขาว</v>
      </c>
    </row>
    <row r="81">
      <c r="A81" s="128" t="str">
        <f>IFERROR(__xludf.DUMMYFUNCTION("""COMPUTED_VALUE"""),"อุปกรณ์")</f>
        <v>อุปกรณ์</v>
      </c>
      <c r="B81" s="128" t="str">
        <f>IFERROR(__xludf.DUMMYFUNCTION("""COMPUTED_VALUE"""),"มือจับบานเปิด-สลิม-ดำ")</f>
        <v>มือจับบานเปิด-สลิม-ดำ</v>
      </c>
    </row>
    <row r="82">
      <c r="A82" s="128" t="str">
        <f>IFERROR(__xludf.DUMMYFUNCTION("""COMPUTED_VALUE"""),"อุปกรณ์")</f>
        <v>อุปกรณ์</v>
      </c>
      <c r="B82" s="128" t="str">
        <f>IFERROR(__xludf.DUMMYFUNCTION("""COMPUTED_VALUE"""),"มือจับบานเปิด ไฮด้า-ล็อค-อบขาว")</f>
        <v>มือจับบานเปิด ไฮด้า-ล็อค-อบขาว</v>
      </c>
    </row>
    <row r="83">
      <c r="A83" s="128" t="str">
        <f>IFERROR(__xludf.DUMMYFUNCTION("""COMPUTED_VALUE"""),"อุปกรณ์")</f>
        <v>อุปกรณ์</v>
      </c>
      <c r="B83" s="128" t="str">
        <f>IFERROR(__xludf.DUMMYFUNCTION("""COMPUTED_VALUE"""),"มือจับบานเปิด ไฮด้า-ดัมมี่-อบขาว")</f>
        <v>มือจับบานเปิด ไฮด้า-ดัมมี่-อบขาว</v>
      </c>
    </row>
    <row r="84">
      <c r="A84" s="128" t="str">
        <f>IFERROR(__xludf.DUMMYFUNCTION("""COMPUTED_VALUE"""),"อุปกรณ์")</f>
        <v>อุปกรณ์</v>
      </c>
      <c r="B84" s="128" t="str">
        <f>IFERROR(__xludf.DUMMYFUNCTION("""COMPUTED_VALUE"""),"มือจับบานเปิด ไฮด้า-ดัมมี่-ดำ")</f>
        <v>มือจับบานเปิด ไฮด้า-ดัมมี่-ดำ</v>
      </c>
    </row>
    <row r="85">
      <c r="A85" s="128" t="str">
        <f>IFERROR(__xludf.DUMMYFUNCTION("""COMPUTED_VALUE"""),"อุปกรณ์")</f>
        <v>อุปกรณ์</v>
      </c>
      <c r="B85" s="128" t="str">
        <f>IFERROR(__xludf.DUMMYFUNCTION("""COMPUTED_VALUE"""),"มือจับ เขาควาย-ล็อค-อบขาว")</f>
        <v>มือจับ เขาควาย-ล็อค-อบขาว</v>
      </c>
    </row>
    <row r="86">
      <c r="A86" s="128" t="str">
        <f>IFERROR(__xludf.DUMMYFUNCTION("""COMPUTED_VALUE"""),"อุปกรณ์")</f>
        <v>อุปกรณ์</v>
      </c>
      <c r="B86" s="128" t="str">
        <f>IFERROR(__xludf.DUMMYFUNCTION("""COMPUTED_VALUE"""),"มือจับ เขาควาย-ดัมมี่-ดำ")</f>
        <v>มือจับ เขาควาย-ดัมมี่-ดำ</v>
      </c>
    </row>
    <row r="87">
      <c r="A87" s="128" t="str">
        <f>IFERROR(__xludf.DUMMYFUNCTION("""COMPUTED_VALUE"""),"อุปกรณ์")</f>
        <v>อุปกรณ์</v>
      </c>
      <c r="B87" s="128" t="str">
        <f>IFERROR(__xludf.DUMMYFUNCTION("""COMPUTED_VALUE"""),"มือจับบานเปิดจีน-ล็อค + ดัมมี่-ดำ")</f>
        <v>มือจับบานเปิดจีน-ล็อค + ดัมมี่-ดำ</v>
      </c>
    </row>
    <row r="88">
      <c r="A88" s="128" t="str">
        <f>IFERROR(__xludf.DUMMYFUNCTION("""COMPUTED_VALUE"""),"อุปกรณ์")</f>
        <v>อุปกรณ์</v>
      </c>
      <c r="B88" s="128" t="str">
        <f>IFERROR(__xludf.DUMMYFUNCTION("""COMPUTED_VALUE"""),"มือจับบานเปิดจีน-ล็อค + ดัมมี่-อบขาว")</f>
        <v>มือจับบานเปิดจีน-ล็อค + ดัมมี่-อบขาว</v>
      </c>
    </row>
    <row r="89">
      <c r="A89" s="128" t="str">
        <f>IFERROR(__xludf.DUMMYFUNCTION("""COMPUTED_VALUE"""),"อุปกรณ์")</f>
        <v>อุปกรณ์</v>
      </c>
      <c r="B89" s="128" t="str">
        <f>IFERROR(__xludf.DUMMYFUNCTION("""COMPUTED_VALUE"""),"มือจับบานเปิด ไฮด้า-ล็อค-อบขาว")</f>
        <v>มือจับบานเปิด ไฮด้า-ล็อค-อบขาว</v>
      </c>
    </row>
    <row r="90">
      <c r="A90" s="128" t="str">
        <f>IFERROR(__xludf.DUMMYFUNCTION("""COMPUTED_VALUE"""),"อุปกรณ์")</f>
        <v>อุปกรณ์</v>
      </c>
      <c r="B90" s="128" t="str">
        <f>IFERROR(__xludf.DUMMYFUNCTION("""COMPUTED_VALUE"""),"มือจับบานเปิด ไฮด้า-ดัมมี่-อบขาว")</f>
        <v>มือจับบานเปิด ไฮด้า-ดัมมี่-อบขาว</v>
      </c>
    </row>
    <row r="91">
      <c r="A91" s="128" t="str">
        <f>IFERROR(__xludf.DUMMYFUNCTION("""COMPUTED_VALUE"""),"อุปกรณ์")</f>
        <v>อุปกรณ์</v>
      </c>
      <c r="B91" s="128" t="str">
        <f>IFERROR(__xludf.DUMMYFUNCTION("""COMPUTED_VALUE"""),"มือจับบานเปิด ไฮด้า-ดัมมี่-ดำ")</f>
        <v>มือจับบานเปิด ไฮด้า-ดัมมี่-ดำ</v>
      </c>
    </row>
    <row r="92">
      <c r="A92" s="128" t="str">
        <f>IFERROR(__xludf.DUMMYFUNCTION("""COMPUTED_VALUE"""),"อุปกรณ์")</f>
        <v>อุปกรณ์</v>
      </c>
      <c r="B92" s="128" t="str">
        <f>IFERROR(__xludf.DUMMYFUNCTION("""COMPUTED_VALUE"""),"มือจับบานเปิด-สลิม-อบขาว")</f>
        <v>มือจับบานเปิด-สลิม-อบขาว</v>
      </c>
    </row>
    <row r="93">
      <c r="A93" s="128" t="str">
        <f>IFERROR(__xludf.DUMMYFUNCTION("""COMPUTED_VALUE"""),"อุปกรณ์")</f>
        <v>อุปกรณ์</v>
      </c>
      <c r="B93" s="128" t="str">
        <f>IFERROR(__xludf.DUMMYFUNCTION("""COMPUTED_VALUE"""),"มือจับบานเปิด-สลิม-ดำ")</f>
        <v>มือจับบานเปิด-สลิม-ดำ</v>
      </c>
    </row>
    <row r="94">
      <c r="A94" s="128" t="str">
        <f>IFERROR(__xludf.DUMMYFUNCTION("""COMPUTED_VALUE"""),"อุปกรณ์")</f>
        <v>อุปกรณ์</v>
      </c>
      <c r="B94" s="128" t="str">
        <f>IFERROR(__xludf.DUMMYFUNCTION("""COMPUTED_VALUE"""),"มือจับบานกระทุ้งจีน-ซ้าย + ขวา-ขาว + ดำ")</f>
        <v>มือจับบานกระทุ้งจีน-ซ้าย + ขวา-ขาว + ดำ</v>
      </c>
    </row>
    <row r="95">
      <c r="A95" s="128" t="str">
        <f>IFERROR(__xludf.DUMMYFUNCTION("""COMPUTED_VALUE"""),"อุปกรณ์")</f>
        <v>อุปกรณ์</v>
      </c>
      <c r="B95" s="128" t="str">
        <f>IFERROR(__xludf.DUMMYFUNCTION("""COMPUTED_VALUE"""),"มือจับบานกระทุ้งแม่นํ้า-ซ้าย + ขวา-ขาว + ดำ")</f>
        <v>มือจับบานกระทุ้งแม่นํ้า-ซ้าย + ขวา-ขาว + ดำ</v>
      </c>
    </row>
    <row r="96">
      <c r="A96" s="128" t="str">
        <f>IFERROR(__xludf.DUMMYFUNCTION("""COMPUTED_VALUE"""),"อุปกรณ์")</f>
        <v>อุปกรณ์</v>
      </c>
      <c r="B96" s="128" t="str">
        <f>IFERROR(__xludf.DUMMYFUNCTION("""COMPUTED_VALUE"""),"มือจับบานเลื่อน-สลิม-ขาว")</f>
        <v>มือจับบานเลื่อน-สลิม-ขาว</v>
      </c>
    </row>
    <row r="97">
      <c r="A97" s="128" t="str">
        <f>IFERROR(__xludf.DUMMYFUNCTION("""COMPUTED_VALUE"""),"อุปกรณ์")</f>
        <v>อุปกรณ์</v>
      </c>
      <c r="B97" s="128" t="str">
        <f>IFERROR(__xludf.DUMMYFUNCTION("""COMPUTED_VALUE"""),"มือจับบานเลื่อน-สลิม-ดำ")</f>
        <v>มือจับบานเลื่อน-สลิม-ดำ</v>
      </c>
    </row>
    <row r="98">
      <c r="A98" s="128" t="str">
        <f>IFERROR(__xludf.DUMMYFUNCTION("""COMPUTED_VALUE"""),"อุปกรณ์")</f>
        <v>อุปกรณ์</v>
      </c>
      <c r="B98" s="128" t="str">
        <f>IFERROR(__xludf.DUMMYFUNCTION("""COMPUTED_VALUE"""),"มือบานเลื่อน เมโทร-ชุดกุญแจ-ขาว ")</f>
        <v>มือบานเลื่อน เมโทร-ชุดกุญแจ-ขาว </v>
      </c>
    </row>
    <row r="99">
      <c r="A99" s="128" t="str">
        <f>IFERROR(__xludf.DUMMYFUNCTION("""COMPUTED_VALUE"""),"อุปกรณ์")</f>
        <v>อุปกรณ์</v>
      </c>
      <c r="B99" s="128" t="str">
        <f>IFERROR(__xludf.DUMMYFUNCTION("""COMPUTED_VALUE"""),"มือบานเลื่อน เมโทร-ล็อค-ขาว ")</f>
        <v>มือบานเลื่อน เมโทร-ล็อค-ขาว </v>
      </c>
    </row>
    <row r="100">
      <c r="A100" s="128" t="str">
        <f>IFERROR(__xludf.DUMMYFUNCTION("""COMPUTED_VALUE"""),"อุปกรณ์")</f>
        <v>อุปกรณ์</v>
      </c>
      <c r="B100" s="128" t="str">
        <f>IFERROR(__xludf.DUMMYFUNCTION("""COMPUTED_VALUE"""),"มือบานเลื่อน เมโทร-ดัมมี่-ขาว ")</f>
        <v>มือบานเลื่อน เมโทร-ดัมมี่-ขาว </v>
      </c>
    </row>
    <row r="101">
      <c r="A101" s="128" t="str">
        <f>IFERROR(__xludf.DUMMYFUNCTION("""COMPUTED_VALUE"""),"อุปกรณ์")</f>
        <v>อุปกรณ์</v>
      </c>
      <c r="B101" s="128" t="str">
        <f>IFERROR(__xludf.DUMMYFUNCTION("""COMPUTED_VALUE"""),"มือบานเลื่อน เมโทร-ชุดกุญแจ-ดำ")</f>
        <v>มือบานเลื่อน เมโทร-ชุดกุญแจ-ดำ</v>
      </c>
    </row>
    <row r="102">
      <c r="A102" s="128" t="str">
        <f>IFERROR(__xludf.DUMMYFUNCTION("""COMPUTED_VALUE"""),"อุปกรณ์")</f>
        <v>อุปกรณ์</v>
      </c>
      <c r="B102" s="128" t="str">
        <f>IFERROR(__xludf.DUMMYFUNCTION("""COMPUTED_VALUE"""),"มือบานเลื่อน เมโทร-ล็อค-ดำ")</f>
        <v>มือบานเลื่อน เมโทร-ล็อค-ดำ</v>
      </c>
    </row>
    <row r="103">
      <c r="A103" s="128" t="str">
        <f>IFERROR(__xludf.DUMMYFUNCTION("""COMPUTED_VALUE"""),"อุปกรณ์")</f>
        <v>อุปกรณ์</v>
      </c>
      <c r="B103" s="128" t="str">
        <f>IFERROR(__xludf.DUMMYFUNCTION("""COMPUTED_VALUE"""),"มือบานเลื่อน เมโทร-ดัมมี่-ดำ")</f>
        <v>มือบานเลื่อน เมโทร-ดัมมี่-ดำ</v>
      </c>
    </row>
    <row r="104">
      <c r="A104" s="128" t="str">
        <f>IFERROR(__xludf.DUMMYFUNCTION("""COMPUTED_VALUE"""),"อุปกรณ์")</f>
        <v>อุปกรณ์</v>
      </c>
      <c r="B104" s="128" t="str">
        <f>IFERROR(__xludf.DUMMYFUNCTION("""COMPUTED_VALUE"""),"มือจับบานเลื่อนฝัง Align-กุญแจ-ดำ")</f>
        <v>มือจับบานเลื่อนฝัง Align-กุญแจ-ดำ</v>
      </c>
    </row>
    <row r="105">
      <c r="A105" s="128" t="str">
        <f>IFERROR(__xludf.DUMMYFUNCTION("""COMPUTED_VALUE"""),"อุปกรณ์")</f>
        <v>อุปกรณ์</v>
      </c>
      <c r="B105" s="128" t="str">
        <f>IFERROR(__xludf.DUMMYFUNCTION("""COMPUTED_VALUE"""),"มือจับบานเลื่อนฝัง Align-ล็อค-ดำ")</f>
        <v>มือจับบานเลื่อนฝัง Align-ล็อค-ดำ</v>
      </c>
    </row>
    <row r="106">
      <c r="A106" s="128" t="str">
        <f>IFERROR(__xludf.DUMMYFUNCTION("""COMPUTED_VALUE"""),"อุปกรณ์")</f>
        <v>อุปกรณ์</v>
      </c>
      <c r="B106" s="128" t="str">
        <f>IFERROR(__xludf.DUMMYFUNCTION("""COMPUTED_VALUE"""),"มือจับบานเลื่อนฝัง Align-ดัมมี่-ดำ")</f>
        <v>มือจับบานเลื่อนฝัง Align-ดัมมี่-ดำ</v>
      </c>
    </row>
    <row r="107">
      <c r="A107" s="128" t="str">
        <f>IFERROR(__xludf.DUMMYFUNCTION("""COMPUTED_VALUE"""),"อุปกรณ์")</f>
        <v>อุปกรณ์</v>
      </c>
      <c r="B107" s="128" t="str">
        <f>IFERROR(__xludf.DUMMYFUNCTION("""COMPUTED_VALUE"""),"มือจับบานเลื่อนฝัง Align-กุญแจ-อบขาว")</f>
        <v>มือจับบานเลื่อนฝัง Align-กุญแจ-อบขาว</v>
      </c>
    </row>
    <row r="108">
      <c r="A108" s="128" t="str">
        <f>IFERROR(__xludf.DUMMYFUNCTION("""COMPUTED_VALUE"""),"อุปกรณ์")</f>
        <v>อุปกรณ์</v>
      </c>
      <c r="B108" s="128" t="str">
        <f>IFERROR(__xludf.DUMMYFUNCTION("""COMPUTED_VALUE"""),"มือจับบานเลื่อนฝัง Align-ล็อค-อบขาว")</f>
        <v>มือจับบานเลื่อนฝัง Align-ล็อค-อบขาว</v>
      </c>
    </row>
    <row r="109">
      <c r="A109" s="128" t="str">
        <f>IFERROR(__xludf.DUMMYFUNCTION("""COMPUTED_VALUE"""),"อุปกรณ์")</f>
        <v>อุปกรณ์</v>
      </c>
      <c r="B109" s="128" t="str">
        <f>IFERROR(__xludf.DUMMYFUNCTION("""COMPUTED_VALUE"""),"มือจับบานเลื่อนฝัง Align-ดัมมี่-อบขาว")</f>
        <v>มือจับบานเลื่อนฝัง Align-ดัมมี่-อบขาว</v>
      </c>
    </row>
    <row r="110">
      <c r="A110" s="128" t="str">
        <f>IFERROR(__xludf.DUMMYFUNCTION("""COMPUTED_VALUE"""),"อุปกรณ์")</f>
        <v>อุปกรณ์</v>
      </c>
      <c r="B110" s="128" t="str">
        <f>IFERROR(__xludf.DUMMYFUNCTION("""COMPUTED_VALUE"""),"มือบานเลื่อนฝัง เซ่นซ่า-ชุดกุญแจ-ขาว")</f>
        <v>มือบานเลื่อนฝัง เซ่นซ่า-ชุดกุญแจ-ขาว</v>
      </c>
    </row>
    <row r="111">
      <c r="A111" s="128" t="str">
        <f>IFERROR(__xludf.DUMMYFUNCTION("""COMPUTED_VALUE"""),"อุปกรณ์")</f>
        <v>อุปกรณ์</v>
      </c>
      <c r="B111" s="128" t="str">
        <f>IFERROR(__xludf.DUMMYFUNCTION("""COMPUTED_VALUE"""),"มือบานเลื่อนฝัง เซ่นซ่า-ล็อค-ขาว")</f>
        <v>มือบานเลื่อนฝัง เซ่นซ่า-ล็อค-ขาว</v>
      </c>
    </row>
    <row r="112">
      <c r="A112" s="128" t="str">
        <f>IFERROR(__xludf.DUMMYFUNCTION("""COMPUTED_VALUE"""),"อุปกรณ์")</f>
        <v>อุปกรณ์</v>
      </c>
      <c r="B112" s="128" t="str">
        <f>IFERROR(__xludf.DUMMYFUNCTION("""COMPUTED_VALUE"""),"มือบานเลื่อนฝัง เซ่นซ่า-เรียบมีรู-ขาว")</f>
        <v>มือบานเลื่อนฝัง เซ่นซ่า-เรียบมีรู-ขาว</v>
      </c>
    </row>
    <row r="113">
      <c r="A113" s="128" t="str">
        <f>IFERROR(__xludf.DUMMYFUNCTION("""COMPUTED_VALUE"""),"อุปกรณ์")</f>
        <v>อุปกรณ์</v>
      </c>
      <c r="B113" s="128" t="str">
        <f>IFERROR(__xludf.DUMMYFUNCTION("""COMPUTED_VALUE"""),"มือบานเลื่อนฝัง เซ่นซ่า-เรียบไม่มีรู-ขาว")</f>
        <v>มือบานเลื่อนฝัง เซ่นซ่า-เรียบไม่มีรู-ขาว</v>
      </c>
    </row>
    <row r="114">
      <c r="A114" s="128" t="str">
        <f>IFERROR(__xludf.DUMMYFUNCTION("""COMPUTED_VALUE"""),"อุปกรณ์")</f>
        <v>อุปกรณ์</v>
      </c>
      <c r="B114" s="128" t="str">
        <f>IFERROR(__xludf.DUMMYFUNCTION("""COMPUTED_VALUE"""),"มือบานเลื่อนฝัง เซ่นซ่า-ชุดกุญแจ-ดำ")</f>
        <v>มือบานเลื่อนฝัง เซ่นซ่า-ชุดกุญแจ-ดำ</v>
      </c>
    </row>
    <row r="115">
      <c r="A115" s="128" t="str">
        <f>IFERROR(__xludf.DUMMYFUNCTION("""COMPUTED_VALUE"""),"อุปกรณ์")</f>
        <v>อุปกรณ์</v>
      </c>
      <c r="B115" s="128" t="str">
        <f>IFERROR(__xludf.DUMMYFUNCTION("""COMPUTED_VALUE"""),"มือบานเลื่อนฝัง เซ่นซ่า-ล็อค-ดำ")</f>
        <v>มือบานเลื่อนฝัง เซ่นซ่า-ล็อค-ดำ</v>
      </c>
    </row>
    <row r="116">
      <c r="A116" s="128" t="str">
        <f>IFERROR(__xludf.DUMMYFUNCTION("""COMPUTED_VALUE"""),"อุปกรณ์")</f>
        <v>อุปกรณ์</v>
      </c>
      <c r="B116" s="128" t="str">
        <f>IFERROR(__xludf.DUMMYFUNCTION("""COMPUTED_VALUE"""),"มือบานเลื่อนฝัง เซ่นซ่า-เรียบมีรู-ดำ")</f>
        <v>มือบานเลื่อนฝัง เซ่นซ่า-เรียบมีรู-ดำ</v>
      </c>
    </row>
    <row r="117">
      <c r="A117" s="128" t="str">
        <f>IFERROR(__xludf.DUMMYFUNCTION("""COMPUTED_VALUE"""),"อุปกรณ์")</f>
        <v>อุปกรณ์</v>
      </c>
      <c r="B117" s="128" t="str">
        <f>IFERROR(__xludf.DUMMYFUNCTION("""COMPUTED_VALUE"""),"มือบานเลื่อนฝัง เซ่นซ่า-เรียบไม่มีรู-ดำ")</f>
        <v>มือบานเลื่อนฝัง เซ่นซ่า-เรียบไม่มีรู-ดำ</v>
      </c>
    </row>
    <row r="118">
      <c r="A118" s="128" t="str">
        <f>IFERROR(__xludf.DUMMYFUNCTION("""COMPUTED_VALUE"""),"อุปกรณ์")</f>
        <v>อุปกรณ์</v>
      </c>
      <c r="B118" s="128" t="str">
        <f>IFERROR(__xludf.DUMMYFUNCTION("""COMPUTED_VALUE"""),"มือจับ Husza บานเลื่อนฝัง-กุญแจ-ขาว")</f>
        <v>มือจับ Husza บานเลื่อนฝัง-กุญแจ-ขาว</v>
      </c>
    </row>
    <row r="119">
      <c r="A119" s="128" t="str">
        <f>IFERROR(__xludf.DUMMYFUNCTION("""COMPUTED_VALUE"""),"อุปกรณ์")</f>
        <v>อุปกรณ์</v>
      </c>
      <c r="B119" s="128" t="str">
        <f>IFERROR(__xludf.DUMMYFUNCTION("""COMPUTED_VALUE"""),"มือจับ Husza บานเลื่อนฝัง-ล็อค-ขาว")</f>
        <v>มือจับ Husza บานเลื่อนฝัง-ล็อค-ขาว</v>
      </c>
    </row>
    <row r="120">
      <c r="A120" s="128" t="str">
        <f>IFERROR(__xludf.DUMMYFUNCTION("""COMPUTED_VALUE"""),"อุปกรณ์")</f>
        <v>อุปกรณ์</v>
      </c>
      <c r="B120" s="128" t="str">
        <f>IFERROR(__xludf.DUMMYFUNCTION("""COMPUTED_VALUE"""),"มือจับ Husza บานเลื่อนฝัง-เรียบมีรู-ขาว")</f>
        <v>มือจับ Husza บานเลื่อนฝัง-เรียบมีรู-ขาว</v>
      </c>
    </row>
    <row r="121">
      <c r="A121" s="128" t="str">
        <f>IFERROR(__xludf.DUMMYFUNCTION("""COMPUTED_VALUE"""),"อุปกรณ์")</f>
        <v>อุปกรณ์</v>
      </c>
      <c r="B121" s="128" t="str">
        <f>IFERROR(__xludf.DUMMYFUNCTION("""COMPUTED_VALUE"""),"มือจับ Husza บานเลื่อนฝัง-เรียบไม่มีรู-ขาว")</f>
        <v>มือจับ Husza บานเลื่อนฝัง-เรียบไม่มีรู-ขาว</v>
      </c>
    </row>
    <row r="122">
      <c r="A122" s="128" t="str">
        <f>IFERROR(__xludf.DUMMYFUNCTION("""COMPUTED_VALUE"""),"อุปกรณ์")</f>
        <v>อุปกรณ์</v>
      </c>
      <c r="B122" s="128" t="str">
        <f>IFERROR(__xludf.DUMMYFUNCTION("""COMPUTED_VALUE"""),"มือจับ Husza บานเลื่อนฝัง-กุญแจ-ดำ")</f>
        <v>มือจับ Husza บานเลื่อนฝัง-กุญแจ-ดำ</v>
      </c>
    </row>
    <row r="123">
      <c r="A123" s="128" t="str">
        <f>IFERROR(__xludf.DUMMYFUNCTION("""COMPUTED_VALUE"""),"อุปกรณ์")</f>
        <v>อุปกรณ์</v>
      </c>
      <c r="B123" s="128" t="str">
        <f>IFERROR(__xludf.DUMMYFUNCTION("""COMPUTED_VALUE"""),"มือจับ Husza บานเลื่อนฝัง-ล็อค-ดำ")</f>
        <v>มือจับ Husza บานเลื่อนฝัง-ล็อค-ดำ</v>
      </c>
    </row>
    <row r="124">
      <c r="A124" s="128" t="str">
        <f>IFERROR(__xludf.DUMMYFUNCTION("""COMPUTED_VALUE"""),"อุปกรณ์")</f>
        <v>อุปกรณ์</v>
      </c>
      <c r="B124" s="128" t="str">
        <f>IFERROR(__xludf.DUMMYFUNCTION("""COMPUTED_VALUE"""),"มือจับ Husza บานเลื่อนฝัง-เรียบมีรู-ดำ")</f>
        <v>มือจับ Husza บานเลื่อนฝัง-เรียบมีรู-ดำ</v>
      </c>
    </row>
    <row r="125">
      <c r="A125" s="128" t="str">
        <f>IFERROR(__xludf.DUMMYFUNCTION("""COMPUTED_VALUE"""),"อุปกรณ์")</f>
        <v>อุปกรณ์</v>
      </c>
      <c r="B125" s="128" t="str">
        <f>IFERROR(__xludf.DUMMYFUNCTION("""COMPUTED_VALUE"""),"มือจับ Husza บานเลื่อนฝัง-เรียบไม่มีรู-ดำ")</f>
        <v>มือจับ Husza บานเลื่อนฝัง-เรียบไม่มีรู-ดำ</v>
      </c>
    </row>
    <row r="126">
      <c r="A126" s="128" t="str">
        <f>IFERROR(__xludf.DUMMYFUNCTION("""COMPUTED_VALUE"""),"อุปกรณ์")</f>
        <v>อุปกรณ์</v>
      </c>
      <c r="B126" s="128" t="str">
        <f>IFERROR(__xludf.DUMMYFUNCTION("""COMPUTED_VALUE"""),"มือจับบานเลื่อนฝังไฮด้า -กุญแจสีดำ = 52-ขาว + ดำ")</f>
        <v>มือจับบานเลื่อนฝังไฮด้า -กุญแจสีดำ = 52-ขาว + ดำ</v>
      </c>
    </row>
    <row r="127">
      <c r="A127" s="128" t="str">
        <f>IFERROR(__xludf.DUMMYFUNCTION("""COMPUTED_VALUE"""),"อุปกรณ์")</f>
        <v>อุปกรณ์</v>
      </c>
      <c r="B127" s="128" t="str">
        <f>IFERROR(__xludf.DUMMYFUNCTION("""COMPUTED_VALUE"""),"มือจับบานเลื่อนฝังไฮด้า -กุญแจสีขาว = 70-ขาว + ดำ")</f>
        <v>มือจับบานเลื่อนฝังไฮด้า -กุญแจสีขาว = 70-ขาว + ดำ</v>
      </c>
    </row>
    <row r="128">
      <c r="A128" s="128" t="str">
        <f>IFERROR(__xludf.DUMMYFUNCTION("""COMPUTED_VALUE"""),"อุปกรณ์")</f>
        <v>อุปกรณ์</v>
      </c>
      <c r="B128" s="128" t="str">
        <f>IFERROR(__xludf.DUMMYFUNCTION("""COMPUTED_VALUE"""),"มือจับบานเลื่อนฝังไฮด้า -ล็อคสีดำ = 6 -ขาว + ดำ")</f>
        <v>มือจับบานเลื่อนฝังไฮด้า -ล็อคสีดำ = 6 -ขาว + ดำ</v>
      </c>
    </row>
    <row r="129">
      <c r="A129" s="128" t="str">
        <f>IFERROR(__xludf.DUMMYFUNCTION("""COMPUTED_VALUE"""),"อุปกรณ์")</f>
        <v>อุปกรณ์</v>
      </c>
      <c r="B129" s="128" t="str">
        <f>IFERROR(__xludf.DUMMYFUNCTION("""COMPUTED_VALUE"""),"มือจับบานเลื่อนฝังไฮด้า -ล็อคสีขาว = 6 -ขาว + ดำ")</f>
        <v>มือจับบานเลื่อนฝังไฮด้า -ล็อคสีขาว = 6 -ขาว + ดำ</v>
      </c>
    </row>
    <row r="130">
      <c r="A130" s="128" t="str">
        <f>IFERROR(__xludf.DUMMYFUNCTION("""COMPUTED_VALUE"""),"อุปกรณ์")</f>
        <v>อุปกรณ์</v>
      </c>
      <c r="B130" s="128" t="str">
        <f>IFERROR(__xludf.DUMMYFUNCTION("""COMPUTED_VALUE"""),"มือจับบานเลื่อนฝังไฮด้า -เรียบมีรูสีขาว = 40 ไม่มีรู = 40-ขาว + ดำ")</f>
        <v>มือจับบานเลื่อนฝังไฮด้า -เรียบมีรูสีขาว = 40 ไม่มีรู = 40-ขาว + ดำ</v>
      </c>
    </row>
    <row r="131">
      <c r="A131" s="128" t="str">
        <f>IFERROR(__xludf.DUMMYFUNCTION("""COMPUTED_VALUE"""),"อุปกรณ์")</f>
        <v>อุปกรณ์</v>
      </c>
      <c r="B131" s="128" t="str">
        <f>IFERROR(__xludf.DUMMYFUNCTION("""COMPUTED_VALUE"""),"มือจับบานเลื่อนฝังไฮด้า -เรียบมีรูสีดำ = 30 ไม่มีรู = 21-ขาว + ดำ")</f>
        <v>มือจับบานเลื่อนฝังไฮด้า -เรียบมีรูสีดำ = 30 ไม่มีรู = 21-ขาว + ดำ</v>
      </c>
    </row>
    <row r="132">
      <c r="A132" s="128" t="str">
        <f>IFERROR(__xludf.DUMMYFUNCTION("""COMPUTED_VALUE"""),"อุปกรณ์")</f>
        <v>อุปกรณ์</v>
      </c>
      <c r="B132" s="128" t="str">
        <f>IFERROR(__xludf.DUMMYFUNCTION("""COMPUTED_VALUE"""),"มือจับบานเลื่อน Hoya แขวน ฝัง--อบขาว")</f>
        <v>มือจับบานเลื่อน Hoya แขวน ฝัง--อบขาว</v>
      </c>
    </row>
    <row r="133">
      <c r="A133" s="128" t="str">
        <f>IFERROR(__xludf.DUMMYFUNCTION("""COMPUTED_VALUE"""),"อุปกรณ์")</f>
        <v>อุปกรณ์</v>
      </c>
      <c r="B133" s="128" t="str">
        <f>IFERROR(__xludf.DUMMYFUNCTION("""COMPUTED_VALUE"""),"มือจับบานเลื่อน Hoya แขวน ฝัง--ดำ")</f>
        <v>มือจับบานเลื่อน Hoya แขวน ฝัง--ดำ</v>
      </c>
    </row>
    <row r="134">
      <c r="A134" s="128" t="str">
        <f>IFERROR(__xludf.DUMMYFUNCTION("""COMPUTED_VALUE"""),"อุปกรณ์")</f>
        <v>อุปกรณ์</v>
      </c>
      <c r="B134" s="128" t="str">
        <f>IFERROR(__xludf.DUMMYFUNCTION("""COMPUTED_VALUE"""),"มือจับบานเลื่อน Hoya แขวน ฝัง--เงิน")</f>
        <v>มือจับบานเลื่อน Hoya แขวน ฝัง--เงิน</v>
      </c>
    </row>
    <row r="135">
      <c r="A135" s="128" t="str">
        <f>IFERROR(__xludf.DUMMYFUNCTION("""COMPUTED_VALUE"""),"อุปกรณ์")</f>
        <v>อุปกรณ์</v>
      </c>
      <c r="B135" s="128" t="str">
        <f>IFERROR(__xludf.DUMMYFUNCTION("""COMPUTED_VALUE"""),"มือจับบานเลื่อน Hoya แขวน ฝัง--ชา")</f>
        <v>มือจับบานเลื่อน Hoya แขวน ฝัง--ชา</v>
      </c>
    </row>
    <row r="136">
      <c r="A136" s="128" t="str">
        <f>IFERROR(__xludf.DUMMYFUNCTION("""COMPUTED_VALUE"""),"อุปกรณ์")</f>
        <v>อุปกรณ์</v>
      </c>
      <c r="B136" s="128" t="str">
        <f>IFERROR(__xludf.DUMMYFUNCTION("""COMPUTED_VALUE"""),"มือจับบานกระทุ้ง ไฮด้า -ขวา-ดำ + ขาว")</f>
        <v>มือจับบานกระทุ้ง ไฮด้า -ขวา-ดำ + ขาว</v>
      </c>
    </row>
    <row r="137">
      <c r="A137" s="128" t="str">
        <f>IFERROR(__xludf.DUMMYFUNCTION("""COMPUTED_VALUE"""),"อุปกรณ์")</f>
        <v>อุปกรณ์</v>
      </c>
      <c r="B137" s="128" t="str">
        <f>IFERROR(__xludf.DUMMYFUNCTION("""COMPUTED_VALUE"""),"มือจับบานกระทุ้ง ไฮด้า -ซ้าย-ดำ + ขาว")</f>
        <v>มือจับบานกระทุ้ง ไฮด้า -ซ้าย-ดำ + ขาว</v>
      </c>
    </row>
    <row r="138">
      <c r="A138" s="128" t="str">
        <f>IFERROR(__xludf.DUMMYFUNCTION("""COMPUTED_VALUE"""),"อุปกรณ์")</f>
        <v>อุปกรณ์</v>
      </c>
      <c r="B138" s="128" t="str">
        <f>IFERROR(__xludf.DUMMYFUNCTION("""COMPUTED_VALUE"""),"มือจับเขาควาย-มีรู + ไม่มีรู-อบขาว")</f>
        <v>มือจับเขาควาย-มีรู + ไม่มีรู-อบขาว</v>
      </c>
    </row>
    <row r="139">
      <c r="A139" s="128" t="str">
        <f>IFERROR(__xludf.DUMMYFUNCTION("""COMPUTED_VALUE"""),"อุปกรณ์")</f>
        <v>อุปกรณ์</v>
      </c>
      <c r="B139" s="128" t="str">
        <f>IFERROR(__xludf.DUMMYFUNCTION("""COMPUTED_VALUE"""),"มือจับเขาควาย-มีรู + ไม่มีรู-ดำ")</f>
        <v>มือจับเขาควาย-มีรู + ไม่มีรู-ดำ</v>
      </c>
    </row>
    <row r="140">
      <c r="A140" s="128" t="str">
        <f>IFERROR(__xludf.DUMMYFUNCTION("""COMPUTED_VALUE"""),"อุปกรณ์")</f>
        <v>อุปกรณ์</v>
      </c>
      <c r="B140" s="128" t="str">
        <f>IFERROR(__xludf.DUMMYFUNCTION("""COMPUTED_VALUE"""),"มือจับก้านโยกหลบมุ้ง-ขวา-ดำ + ขาว")</f>
        <v>มือจับก้านโยกหลบมุ้ง-ขวา-ดำ + ขาว</v>
      </c>
    </row>
    <row r="141">
      <c r="A141" s="128" t="str">
        <f>IFERROR(__xludf.DUMMYFUNCTION("""COMPUTED_VALUE"""),"อุปกรณ์")</f>
        <v>อุปกรณ์</v>
      </c>
      <c r="B141" s="128" t="str">
        <f>IFERROR(__xludf.DUMMYFUNCTION("""COMPUTED_VALUE"""),"มือจับก้านโยกหลบมุ้ง-ซ้าย-ดำ + ขาว")</f>
        <v>มือจับก้านโยกหลบมุ้ง-ซ้าย-ดำ + ขาว</v>
      </c>
    </row>
    <row r="142">
      <c r="A142" s="128" t="str">
        <f>IFERROR(__xludf.DUMMYFUNCTION("""COMPUTED_VALUE"""),"อุปกรณ์")</f>
        <v>อุปกรณ์</v>
      </c>
      <c r="B142" s="128" t="str">
        <f>IFERROR(__xludf.DUMMYFUNCTION("""COMPUTED_VALUE"""),"มือจับบานเปิด เซ่นซ่า แม่นํ้า-ล็อค = 1 -ดำ + ขาว")</f>
        <v>มือจับบานเปิด เซ่นซ่า แม่นํ้า-ล็อค = 1 -ดำ + ขาว</v>
      </c>
    </row>
    <row r="143">
      <c r="A143" s="128" t="str">
        <f>IFERROR(__xludf.DUMMYFUNCTION("""COMPUTED_VALUE"""),"อุปกรณ์")</f>
        <v>อุปกรณ์</v>
      </c>
      <c r="B143" s="128" t="str">
        <f>IFERROR(__xludf.DUMMYFUNCTION("""COMPUTED_VALUE"""),"มือจับบานเปิด เซ่นซ่า แม่นํ้า-ดัมมี่ = 5-ดำ + ขาว")</f>
        <v>มือจับบานเปิด เซ่นซ่า แม่นํ้า-ดัมมี่ = 5-ดำ + ขาว</v>
      </c>
    </row>
    <row r="144">
      <c r="A144" s="128" t="str">
        <f>IFERROR(__xludf.DUMMYFUNCTION("""COMPUTED_VALUE"""),"อุปกรณ์")</f>
        <v>อุปกรณ์</v>
      </c>
      <c r="B144" s="128" t="str">
        <f>IFERROR(__xludf.DUMMYFUNCTION("""COMPUTED_VALUE"""),"มือจับปากเป็ด CMECH--เงิน")</f>
        <v>มือจับปากเป็ด CMECH--เงิน</v>
      </c>
    </row>
    <row r="145">
      <c r="A145" s="128" t="str">
        <f>IFERROR(__xludf.DUMMYFUNCTION("""COMPUTED_VALUE"""),"อุปกรณ์")</f>
        <v>อุปกรณ์</v>
      </c>
      <c r="B145" s="128" t="str">
        <f>IFERROR(__xludf.DUMMYFUNCTION("""COMPUTED_VALUE"""),"มือจับปากเป็ด CMECH--ดำ")</f>
        <v>มือจับปากเป็ด CMECH--ดำ</v>
      </c>
    </row>
    <row r="146">
      <c r="A146" s="128" t="str">
        <f>IFERROR(__xludf.DUMMYFUNCTION("""COMPUTED_VALUE"""),"อุปกรณ์")</f>
        <v>อุปกรณ์</v>
      </c>
      <c r="B146" s="128" t="str">
        <f>IFERROR(__xludf.DUMMYFUNCTION("""COMPUTED_VALUE"""),"บานพับคอเสือ -ขวา-ดำ")</f>
        <v>บานพับคอเสือ -ขวา-ดำ</v>
      </c>
    </row>
    <row r="147">
      <c r="A147" s="128" t="str">
        <f>IFERROR(__xludf.DUMMYFUNCTION("""COMPUTED_VALUE"""),"อุปกรณ์")</f>
        <v>อุปกรณ์</v>
      </c>
      <c r="B147" s="128" t="str">
        <f>IFERROR(__xludf.DUMMYFUNCTION("""COMPUTED_VALUE"""),"บานพับคอเสือ -ซ้าย-ดำ")</f>
        <v>บานพับคอเสือ -ซ้าย-ดำ</v>
      </c>
    </row>
    <row r="148">
      <c r="A148" s="128" t="str">
        <f>IFERROR(__xludf.DUMMYFUNCTION("""COMPUTED_VALUE"""),"อุปกรณ์")</f>
        <v>อุปกรณ์</v>
      </c>
      <c r="B148" s="128" t="str">
        <f>IFERROR(__xludf.DUMMYFUNCTION("""COMPUTED_VALUE"""),"--")</f>
        <v>--</v>
      </c>
    </row>
    <row r="149">
      <c r="A149" s="128" t="str">
        <f>IFERROR(__xludf.DUMMYFUNCTION("""COMPUTED_VALUE"""),"อุปกรณ์")</f>
        <v>อุปกรณ์</v>
      </c>
      <c r="B149" s="128" t="str">
        <f>IFERROR(__xludf.DUMMYFUNCTION("""COMPUTED_VALUE"""),"--")</f>
        <v>--</v>
      </c>
    </row>
    <row r="150">
      <c r="A150" s="128" t="str">
        <f>IFERROR(__xludf.DUMMYFUNCTION("""COMPUTED_VALUE"""),"อุปกรณ์")</f>
        <v>อุปกรณ์</v>
      </c>
      <c r="B150" s="128" t="str">
        <f>IFERROR(__xludf.DUMMYFUNCTION("""COMPUTED_VALUE"""),"--")</f>
        <v>--</v>
      </c>
    </row>
    <row r="151">
      <c r="A151" s="128" t="str">
        <f>IFERROR(__xludf.DUMMYFUNCTION("""COMPUTED_VALUE"""),"อุปกรณ์")</f>
        <v>อุปกรณ์</v>
      </c>
      <c r="B151" s="128" t="str">
        <f>IFERROR(__xludf.DUMMYFUNCTION("""COMPUTED_VALUE"""),"--")</f>
        <v>--</v>
      </c>
    </row>
    <row r="152">
      <c r="A152" s="128" t="str">
        <f>IFERROR(__xludf.DUMMYFUNCTION("""COMPUTED_VALUE"""),"อุปกรณ์")</f>
        <v>อุปกรณ์</v>
      </c>
      <c r="B152" s="128" t="str">
        <f>IFERROR(__xludf.DUMMYFUNCTION("""COMPUTED_VALUE"""),"--")</f>
        <v>--</v>
      </c>
    </row>
    <row r="153">
      <c r="A153" s="128" t="str">
        <f>IFERROR(__xludf.DUMMYFUNCTION("""COMPUTED_VALUE"""),"อุปกรณ์")</f>
        <v>อุปกรณ์</v>
      </c>
      <c r="B153" s="128" t="str">
        <f>IFERROR(__xludf.DUMMYFUNCTION("""COMPUTED_VALUE"""),"--")</f>
        <v>--</v>
      </c>
    </row>
    <row r="154">
      <c r="A154" s="128" t="str">
        <f>IFERROR(__xludf.DUMMYFUNCTION("""COMPUTED_VALUE"""),"อุปกรณ์")</f>
        <v>อุปกรณ์</v>
      </c>
      <c r="B154" s="128" t="str">
        <f>IFERROR(__xludf.DUMMYFUNCTION("""COMPUTED_VALUE"""),"--")</f>
        <v>--</v>
      </c>
    </row>
    <row r="155">
      <c r="A155" s="128" t="str">
        <f>IFERROR(__xludf.DUMMYFUNCTION("""COMPUTED_VALUE"""),"อุปกรณ์")</f>
        <v>อุปกรณ์</v>
      </c>
      <c r="B155" s="128" t="str">
        <f>IFERROR(__xludf.DUMMYFUNCTION("""COMPUTED_VALUE"""),"--")</f>
        <v>--</v>
      </c>
    </row>
    <row r="156">
      <c r="A156" s="128" t="str">
        <f>IFERROR(__xludf.DUMMYFUNCTION("""COMPUTED_VALUE"""),"อุปกรณ์")</f>
        <v>อุปกรณ์</v>
      </c>
      <c r="B156" s="128" t="str">
        <f>IFERROR(__xludf.DUMMYFUNCTION("""COMPUTED_VALUE"""),"--")</f>
        <v>--</v>
      </c>
    </row>
    <row r="157">
      <c r="A157" s="128" t="str">
        <f>IFERROR(__xludf.DUMMYFUNCTION("""COMPUTED_VALUE"""),"อุปกรณ์")</f>
        <v>อุปกรณ์</v>
      </c>
      <c r="B157" s="128" t="str">
        <f>IFERROR(__xludf.DUMMYFUNCTION("""COMPUTED_VALUE"""),"--")</f>
        <v>--</v>
      </c>
    </row>
    <row r="158">
      <c r="A158" s="128" t="str">
        <f>IFERROR(__xludf.DUMMYFUNCTION("""COMPUTED_VALUE"""),"อุปกรณ์")</f>
        <v>อุปกรณ์</v>
      </c>
      <c r="B158" s="128" t="str">
        <f>IFERROR(__xludf.DUMMYFUNCTION("""COMPUTED_VALUE"""),"--")</f>
        <v>--</v>
      </c>
    </row>
    <row r="159">
      <c r="A159" s="128" t="str">
        <f>IFERROR(__xludf.DUMMYFUNCTION("""COMPUTED_VALUE"""),"อุปกรณ์")</f>
        <v>อุปกรณ์</v>
      </c>
      <c r="B159" s="128" t="str">
        <f>IFERROR(__xludf.DUMMYFUNCTION("""COMPUTED_VALUE"""),"--")</f>
        <v>--</v>
      </c>
    </row>
    <row r="160">
      <c r="A160" s="128" t="str">
        <f>IFERROR(__xludf.DUMMYFUNCTION("""COMPUTED_VALUE"""),"อุปกรณ์")</f>
        <v>อุปกรณ์</v>
      </c>
      <c r="B160" s="128" t="str">
        <f>IFERROR(__xludf.DUMMYFUNCTION("""COMPUTED_VALUE"""),"--")</f>
        <v>--</v>
      </c>
    </row>
    <row r="161">
      <c r="A161" s="128" t="str">
        <f>IFERROR(__xludf.DUMMYFUNCTION("""COMPUTED_VALUE"""),"อุปกรณ์")</f>
        <v>อุปกรณ์</v>
      </c>
      <c r="B161" s="128" t="str">
        <f>IFERROR(__xludf.DUMMYFUNCTION("""COMPUTED_VALUE"""),"--")</f>
        <v>--</v>
      </c>
    </row>
    <row r="162">
      <c r="A162" s="128" t="str">
        <f>IFERROR(__xludf.DUMMYFUNCTION("""COMPUTED_VALUE"""),"อุปกรณ์")</f>
        <v>อุปกรณ์</v>
      </c>
      <c r="B162" s="128" t="str">
        <f>IFERROR(__xludf.DUMMYFUNCTION("""COMPUTED_VALUE"""),"--")</f>
        <v>--</v>
      </c>
    </row>
    <row r="163">
      <c r="A163" s="128" t="str">
        <f>IFERROR(__xludf.DUMMYFUNCTION("""COMPUTED_VALUE"""),"อุปกรณ์")</f>
        <v>อุปกรณ์</v>
      </c>
      <c r="B163" s="128" t="str">
        <f>IFERROR(__xludf.DUMMYFUNCTION("""COMPUTED_VALUE"""),"--")</f>
        <v>--</v>
      </c>
    </row>
    <row r="164">
      <c r="A164" s="128" t="str">
        <f>IFERROR(__xludf.DUMMYFUNCTION("""COMPUTED_VALUE"""),"อุปกรณ์")</f>
        <v>อุปกรณ์</v>
      </c>
      <c r="B164" s="128" t="str">
        <f>IFERROR(__xludf.DUMMYFUNCTION("""COMPUTED_VALUE"""),"--")</f>
        <v>--</v>
      </c>
    </row>
    <row r="165">
      <c r="A165" s="128" t="str">
        <f>IFERROR(__xludf.DUMMYFUNCTION("""COMPUTED_VALUE"""),"อุปกรณ์")</f>
        <v>อุปกรณ์</v>
      </c>
      <c r="B165" s="128" t="str">
        <f>IFERROR(__xludf.DUMMYFUNCTION("""COMPUTED_VALUE"""),"--")</f>
        <v>--</v>
      </c>
    </row>
    <row r="166">
      <c r="A166" s="128" t="str">
        <f>IFERROR(__xludf.DUMMYFUNCTION("""COMPUTED_VALUE"""),"อุปกรณ์")</f>
        <v>อุปกรณ์</v>
      </c>
      <c r="B166" s="128" t="str">
        <f>IFERROR(__xludf.DUMMYFUNCTION("""COMPUTED_VALUE"""),"STAINLESS STEEL PIPE -สแตนเลส-แป๊ปสแตนเลสเหลี่ยม ")</f>
        <v>STAINLESS STEEL PIPE -สแตนเลส-แป๊ปสแตนเลสเหลี่ยม </v>
      </c>
    </row>
    <row r="167">
      <c r="A167" s="128" t="str">
        <f>IFERROR(__xludf.DUMMYFUNCTION("""COMPUTED_VALUE"""),"อุปกรณ์")</f>
        <v>อุปกรณ์</v>
      </c>
      <c r="B167" s="128" t="str">
        <f>IFERROR(__xludf.DUMMYFUNCTION("""COMPUTED_VALUE"""),"STAINLESS STEEL BAR-สแตนเลส-แป๊ปสแตนเลสกลม")</f>
        <v>STAINLESS STEEL BAR-สแตนเลส-แป๊ปสแตนเลสกลม</v>
      </c>
    </row>
    <row r="168">
      <c r="A168" s="128" t="str">
        <f>IFERROR(__xludf.DUMMYFUNCTION("""COMPUTED_VALUE"""),"อุปกรณ์")</f>
        <v>อุปกรณ์</v>
      </c>
      <c r="B168" s="128" t="str">
        <f>IFERROR(__xludf.DUMMYFUNCTION("""COMPUTED_VALUE"""),"บานพับ Shower VVP_SW303-สแตนเลส")</f>
        <v>บานพับ Shower VVP_SW303-สแตนเลส</v>
      </c>
    </row>
    <row r="169">
      <c r="A169" s="128" t="str">
        <f>IFERROR(__xludf.DUMMYFUNCTION("""COMPUTED_VALUE"""),"อุปกรณ์")</f>
        <v>อุปกรณ์</v>
      </c>
      <c r="B169" s="128" t="str">
        <f>IFERROR(__xludf.DUMMYFUNCTION("""COMPUTED_VALUE"""),"บานพับ Shower VVP_SW3049 (90 ํ)-สแตนเลส")</f>
        <v>บานพับ Shower VVP_SW3049 (90 ํ)-สแตนเลส</v>
      </c>
    </row>
    <row r="170">
      <c r="A170" s="128" t="str">
        <f>IFERROR(__xludf.DUMMYFUNCTION("""COMPUTED_VALUE"""),"อุปกรณ์")</f>
        <v>อุปกรณ์</v>
      </c>
      <c r="B170" s="128" t="str">
        <f>IFERROR(__xludf.DUMMYFUNCTION("""COMPUTED_VALUE"""),"บานพับ Shower VVP_SW3041 (135 ํ)-สแตนเลส")</f>
        <v>บานพับ Shower VVP_SW3041 (135 ํ)-สแตนเลส</v>
      </c>
    </row>
    <row r="171">
      <c r="A171" s="128" t="str">
        <f>IFERROR(__xludf.DUMMYFUNCTION("""COMPUTED_VALUE"""),"อุปกรณ์")</f>
        <v>อุปกรณ์</v>
      </c>
      <c r="B171" s="128" t="str">
        <f>IFERROR(__xludf.DUMMYFUNCTION("""COMPUTED_VALUE"""),"บานพับ Shower VVP_SW304 (180 ํ)-สแตนเลส")</f>
        <v>บานพับ Shower VVP_SW304 (180 ํ)-สแตนเลส</v>
      </c>
    </row>
    <row r="172">
      <c r="A172" s="128" t="str">
        <f>IFERROR(__xludf.DUMMYFUNCTION("""COMPUTED_VALUE"""),"อุปกรณ์")</f>
        <v>อุปกรณ์</v>
      </c>
      <c r="B172" s="128" t="str">
        <f>IFERROR(__xludf.DUMMYFUNCTION("""COMPUTED_VALUE"""),"ชุดอุปกรณ์บานเลื่อนห้องน้ำ Shower Room-สแตนเลส")</f>
        <v>ชุดอุปกรณ์บานเลื่อนห้องน้ำ Shower Room-สแตนเลส</v>
      </c>
    </row>
    <row r="173">
      <c r="A173" s="128" t="str">
        <f>IFERROR(__xludf.DUMMYFUNCTION("""COMPUTED_VALUE"""),"อุปกรณ์")</f>
        <v>อุปกรณ์</v>
      </c>
      <c r="B173" s="128" t="str">
        <f>IFERROR(__xludf.DUMMYFUNCTION("""COMPUTED_VALUE"""),"ตัวหนีบกระจก shower VVP_GC506-สแตนเลส")</f>
        <v>ตัวหนีบกระจก shower VVP_GC506-สแตนเลส</v>
      </c>
    </row>
    <row r="174">
      <c r="A174" s="128" t="str">
        <f>IFERROR(__xludf.DUMMYFUNCTION("""COMPUTED_VALUE"""),"อุปกรณ์")</f>
        <v>อุปกรณ์</v>
      </c>
      <c r="B174" s="128" t="str">
        <f>IFERROR(__xludf.DUMMYFUNCTION("""COMPUTED_VALUE"""),"ตัวยึดร้อยผ่านแป๊ปสแตนเลสกลม VVP_SB900-สแตนเลส")</f>
        <v>ตัวยึดร้อยผ่านแป๊ปสแตนเลสกลม VVP_SB900-สแตนเลส</v>
      </c>
    </row>
    <row r="175">
      <c r="A175" s="128" t="str">
        <f>IFERROR(__xludf.DUMMYFUNCTION("""COMPUTED_VALUE"""),"อุปกรณ์")</f>
        <v>อุปกรณ์</v>
      </c>
      <c r="B175" s="128" t="str">
        <f>IFERROR(__xludf.DUMMYFUNCTION("""COMPUTED_VALUE"""),"ตัวยึดกระจกห้องน้ำกันแกว่งกลม VVP_SB902-สแตนเลส")</f>
        <v>ตัวยึดกระจกห้องน้ำกันแกว่งกลม VVP_SB902-สแตนเลส</v>
      </c>
    </row>
    <row r="176">
      <c r="A176" s="128" t="str">
        <f>IFERROR(__xludf.DUMMYFUNCTION("""COMPUTED_VALUE"""),"อุปกรณ์")</f>
        <v>อุปกรณ์</v>
      </c>
      <c r="B176" s="128" t="str">
        <f>IFERROR(__xludf.DUMMYFUNCTION("""COMPUTED_VALUE"""),"ตัวยึดร้อยผ่านแป๊ปสแตนเลสกลม VVP_SBF906-สแตนเลส-ข้องอปรับได้ ")</f>
        <v>ตัวยึดร้อยผ่านแป๊ปสแตนเลสกลม VVP_SBF906-สแตนเลส-ข้องอปรับได้ </v>
      </c>
    </row>
    <row r="177">
      <c r="A177" s="128" t="str">
        <f>IFERROR(__xludf.DUMMYFUNCTION("""COMPUTED_VALUE"""),"อุปกรณ์")</f>
        <v>อุปกรณ์</v>
      </c>
      <c r="B177" s="128" t="str">
        <f>IFERROR(__xludf.DUMMYFUNCTION("""COMPUTED_VALUE"""),"ตัวยึดร้อยผ่านแป๊ปสแตนเลสเหลี่ยม VVP_SBQ800-สแตนเลส")</f>
        <v>ตัวยึดร้อยผ่านแป๊ปสแตนเลสเหลี่ยม VVP_SBQ800-สแตนเลส</v>
      </c>
    </row>
    <row r="178">
      <c r="A178" s="128" t="str">
        <f>IFERROR(__xludf.DUMMYFUNCTION("""COMPUTED_VALUE"""),"อุปกรณ์")</f>
        <v>อุปกรณ์</v>
      </c>
      <c r="B178" s="128" t="str">
        <f>IFERROR(__xludf.DUMMYFUNCTION("""COMPUTED_VALUE"""),"ตัวยึดกระจกห้องน้ำกันแกว่งเหลี่ยม VVP_SBQ802-สแตนเลส")</f>
        <v>ตัวยึดกระจกห้องน้ำกันแกว่งเหลี่ยม VVP_SBQ802-สแตนเลส</v>
      </c>
    </row>
    <row r="179">
      <c r="A179" s="128" t="str">
        <f>IFERROR(__xludf.DUMMYFUNCTION("""COMPUTED_VALUE"""),"อุปกรณ์")</f>
        <v>อุปกรณ์</v>
      </c>
      <c r="B179" s="128" t="str">
        <f>IFERROR(__xludf.DUMMYFUNCTION("""COMPUTED_VALUE"""),"ตัวยึดร้อยผ่านแป๊ปสแตนเลสเหลี่ยม VVP_SBQ806-สแตนเลส-ข้องอปรับได้ ")</f>
        <v>ตัวยึดร้อยผ่านแป๊ปสแตนเลสเหลี่ยม VVP_SBQ806-สแตนเลส-ข้องอปรับได้ </v>
      </c>
    </row>
    <row r="180">
      <c r="A180" s="128" t="str">
        <f>IFERROR(__xludf.DUMMYFUNCTION("""COMPUTED_VALUE"""),"อุปกรณ์")</f>
        <v>อุปกรณ์</v>
      </c>
      <c r="B180" s="128" t="str">
        <f>IFERROR(__xludf.DUMMYFUNCTION("""COMPUTED_VALUE"""),"ตัวหนีบกระจกล่าง VVP_ FT10 -สแตนเลส-5.5X17X3.5 cm.")</f>
        <v>ตัวหนีบกระจกล่าง VVP_ FT10 -สแตนเลส-5.5X17X3.5 cm.</v>
      </c>
    </row>
    <row r="181">
      <c r="A181" s="128" t="str">
        <f>IFERROR(__xludf.DUMMYFUNCTION("""COMPUTED_VALUE"""),"อุปกรณ์")</f>
        <v>อุปกรณ์</v>
      </c>
      <c r="B181" s="128" t="str">
        <f>IFERROR(__xludf.DUMMYFUNCTION("""COMPUTED_VALUE"""),"ตัวหนีบกระจกบน VVP_ FT20-สแตนเลส-5.5X17X3.5 cm.")</f>
        <v>ตัวหนีบกระจกบน VVP_ FT20-สแตนเลส-5.5X17X3.5 cm.</v>
      </c>
    </row>
    <row r="182">
      <c r="A182" s="128" t="str">
        <f>IFERROR(__xludf.DUMMYFUNCTION("""COMPUTED_VALUE"""),"อุปกรณ์")</f>
        <v>อุปกรณ์</v>
      </c>
      <c r="B182" s="128" t="str">
        <f>IFERROR(__xludf.DUMMYFUNCTION("""COMPUTED_VALUE"""),"ตัวหนีบกระจกบน VVP_ FT30-สแตนเลส-5.5X17X3.5 cm.")</f>
        <v>ตัวหนีบกระจกบน VVP_ FT30-สแตนเลส-5.5X17X3.5 cm.</v>
      </c>
    </row>
    <row r="183">
      <c r="A183" s="128" t="str">
        <f>IFERROR(__xludf.DUMMYFUNCTION("""COMPUTED_VALUE"""),"อุปกรณ์")</f>
        <v>อุปกรณ์</v>
      </c>
      <c r="B183" s="128" t="str">
        <f>IFERROR(__xludf.DUMMYFUNCTION("""COMPUTED_VALUE"""),"กุญแจล็อคประตูกับพื้น VVP_ FT50-สแตนเลส-7.2X17.3X8.2 cm.")</f>
        <v>กุญแจล็อคประตูกับพื้น VVP_ FT50-สแตนเลส-7.2X17.3X8.2 cm.</v>
      </c>
    </row>
    <row r="184">
      <c r="A184" s="128" t="str">
        <f>IFERROR(__xludf.DUMMYFUNCTION("""COMPUTED_VALUE"""),"อุปกรณ์")</f>
        <v>อุปกรณ์</v>
      </c>
      <c r="B184" s="128" t="str">
        <f>IFERROR(__xludf.DUMMYFUNCTION("""COMPUTED_VALUE"""),"กุญแจล็อคประตูกับพื้น VVP_ FL50-สแตนเลส-7.2X17.3X8.2 cm.")</f>
        <v>กุญแจล็อคประตูกับพื้น VVP_ FL50-สแตนเลส-7.2X17.3X8.2 cm.</v>
      </c>
    </row>
    <row r="185">
      <c r="A185" s="128" t="str">
        <f>IFERROR(__xludf.DUMMYFUNCTION("""COMPUTED_VALUE"""),"อุปกรณ์")</f>
        <v>อุปกรณ์</v>
      </c>
      <c r="B185" s="128" t="str">
        <f>IFERROR(__xludf.DUMMYFUNCTION("""COMPUTED_VALUE"""),"กุญแจล็อคล็อคกลางบาน VVP_ FL52-สแตนเลส-7.5X17X6 cm.")</f>
        <v>กุญแจล็อคล็อคกลางบาน VVP_ FL52-สแตนเลส-7.5X17X6 cm.</v>
      </c>
    </row>
    <row r="186">
      <c r="A186" s="128" t="str">
        <f>IFERROR(__xludf.DUMMYFUNCTION("""COMPUTED_VALUE"""),"อุปกรณ์")</f>
        <v>อุปกรณ์</v>
      </c>
      <c r="B186" s="128" t="str">
        <f>IFERROR(__xludf.DUMMYFUNCTION("""COMPUTED_VALUE"""),"โช้คประตูบานสวิง Diamond-800mm")</f>
        <v>โช้คประตูบานสวิง Diamond-800mm</v>
      </c>
    </row>
    <row r="187">
      <c r="A187" s="128" t="str">
        <f>IFERROR(__xludf.DUMMYFUNCTION("""COMPUTED_VALUE"""),"อุปกรณ์")</f>
        <v>อุปกรณ์</v>
      </c>
      <c r="B187" s="128" t="str">
        <f>IFERROR(__xludf.DUMMYFUNCTION("""COMPUTED_VALUE"""),"โช้คประตูบานสวิง Diamond-1000mm")</f>
        <v>โช้คประตูบานสวิง Diamond-1000mm</v>
      </c>
    </row>
    <row r="188">
      <c r="A188" s="128" t="str">
        <f>IFERROR(__xludf.DUMMYFUNCTION("""COMPUTED_VALUE"""),"อุปกรณ์")</f>
        <v>อุปกรณ์</v>
      </c>
      <c r="B188" s="128" t="str">
        <f>IFERROR(__xludf.DUMMYFUNCTION("""COMPUTED_VALUE"""),"โช้คประตูบานสวิง Diamond-1200mm")</f>
        <v>โช้คประตูบานสวิง Diamond-1200mm</v>
      </c>
    </row>
    <row r="189">
      <c r="A189" s="128" t="str">
        <f>IFERROR(__xludf.DUMMYFUNCTION("""COMPUTED_VALUE"""),"อุปกรณ์")</f>
        <v>อุปกรณ์</v>
      </c>
      <c r="B189" s="128" t="str">
        <f>IFERROR(__xludf.DUMMYFUNCTION("""COMPUTED_VALUE"""),"โช้คประตูตั้งค้าง VVP_DC98  -สแตนเลส-27X8.5X8.5 cm.")</f>
        <v>โช้คประตูตั้งค้าง VVP_DC98  -สแตนเลส-27X8.5X8.5 cm.</v>
      </c>
    </row>
    <row r="190">
      <c r="A190" s="128" t="str">
        <f>IFERROR(__xludf.DUMMYFUNCTION("""COMPUTED_VALUE"""),"อุปกรณ์")</f>
        <v>อุปกรณ์</v>
      </c>
      <c r="B190" s="128" t="str">
        <f>IFERROR(__xludf.DUMMYFUNCTION("""COMPUTED_VALUE"""),"โช้คประตูไม่ตั้งค้าง VVP_DC98-สแตนเลส-27X8.5X8.5 cm.")</f>
        <v>โช้คประตูไม่ตั้งค้าง VVP_DC98-สแตนเลส-27X8.5X8.5 cm.</v>
      </c>
    </row>
    <row r="191">
      <c r="A191" s="128" t="str">
        <f>IFERROR(__xludf.DUMMYFUNCTION("""COMPUTED_VALUE"""),"อุปกรณ์")</f>
        <v>อุปกรณ์</v>
      </c>
      <c r="B191" s="128" t="str">
        <f>IFERROR(__xludf.DUMMYFUNCTION("""COMPUTED_VALUE"""),"โช้คประตูตั้งค้าง VVP_DC98  -ดำ-27X8.5X8.5 cm.")</f>
        <v>โช้คประตูตั้งค้าง VVP_DC98  -ดำ-27X8.5X8.5 cm.</v>
      </c>
    </row>
    <row r="192">
      <c r="A192" s="128" t="str">
        <f>IFERROR(__xludf.DUMMYFUNCTION("""COMPUTED_VALUE"""),"อุปกรณ์")</f>
        <v>อุปกรณ์</v>
      </c>
      <c r="B192" s="128" t="str">
        <f>IFERROR(__xludf.DUMMYFUNCTION("""COMPUTED_VALUE"""),"โช้คประตูไม่ตั้งค้าง VVP_DC98-ดำ-27X8.5X8.5 cm.")</f>
        <v>โช้คประตูไม่ตั้งค้าง VVP_DC98-ดำ-27X8.5X8.5 cm.</v>
      </c>
    </row>
    <row r="193">
      <c r="A193" s="128" t="str">
        <f>IFERROR(__xludf.DUMMYFUNCTION("""COMPUTED_VALUE"""),"อุปกรณ์")</f>
        <v>อุปกรณ์</v>
      </c>
      <c r="B193" s="128" t="str">
        <f>IFERROR(__xludf.DUMMYFUNCTION("""COMPUTED_VALUE"""),"โช้คประตูตั้งค้าง VVP_DC100-สแตนเลส-31X10X9.5 cm.")</f>
        <v>โช้คประตูตั้งค้าง VVP_DC100-สแตนเลส-31X10X9.5 cm.</v>
      </c>
    </row>
    <row r="194">
      <c r="A194" s="128" t="str">
        <f>IFERROR(__xludf.DUMMYFUNCTION("""COMPUTED_VALUE"""),"อุปกรณ์")</f>
        <v>อุปกรณ์</v>
      </c>
      <c r="B194" s="128" t="str">
        <f>IFERROR(__xludf.DUMMYFUNCTION("""COMPUTED_VALUE"""),"โช้คประตูไม่ตั้งค้าง VVP_DC100-สแตนเลส-31X10X9.5 cm.")</f>
        <v>โช้คประตูไม่ตั้งค้าง VVP_DC100-สแตนเลส-31X10X9.5 cm.</v>
      </c>
    </row>
    <row r="195">
      <c r="A195" s="128" t="str">
        <f>IFERROR(__xludf.DUMMYFUNCTION("""COMPUTED_VALUE"""),"อุปกรณ์")</f>
        <v>อุปกรณ์</v>
      </c>
      <c r="B195" s="128" t="str">
        <f>IFERROR(__xludf.DUMMYFUNCTION("""COMPUTED_VALUE"""),"โช้คประตูตั้งค้าง VVP_DC100-ดำ-31X10X9.5 cm.")</f>
        <v>โช้คประตูตั้งค้าง VVP_DC100-ดำ-31X10X9.5 cm.</v>
      </c>
    </row>
    <row r="196">
      <c r="A196" s="128" t="str">
        <f>IFERROR(__xludf.DUMMYFUNCTION("""COMPUTED_VALUE"""),"อุปกรณ์")</f>
        <v>อุปกรณ์</v>
      </c>
      <c r="B196" s="128" t="str">
        <f>IFERROR(__xludf.DUMMYFUNCTION("""COMPUTED_VALUE"""),"โช้คประตูไม่ตั้งค้าง VVP_DC100-ดำ-31X10X9.5 cm.")</f>
        <v>โช้คประตูไม่ตั้งค้าง VVP_DC100-ดำ-31X10X9.5 cm.</v>
      </c>
    </row>
    <row r="197">
      <c r="A197" s="128" t="str">
        <f>IFERROR(__xludf.DUMMYFUNCTION("""COMPUTED_VALUE"""),"อุปกรณ์")</f>
        <v>อุปกรณ์</v>
      </c>
      <c r="B197" s="128" t="str">
        <f>IFERROR(__xludf.DUMMYFUNCTION("""COMPUTED_VALUE"""),"กันชนประตูแม่เหล็กแท่ง SOLO-สแตนเลส")</f>
        <v>กันชนประตูแม่เหล็กแท่ง SOLO-สแตนเลส</v>
      </c>
    </row>
    <row r="198">
      <c r="A198" s="128" t="str">
        <f>IFERROR(__xludf.DUMMYFUNCTION("""COMPUTED_VALUE"""),"อุปกรณ์")</f>
        <v>อุปกรณ์</v>
      </c>
      <c r="B198" s="128" t="str">
        <f>IFERROR(__xludf.DUMMYFUNCTION("""COMPUTED_VALUE"""),"กันชนประตูโดมติดพื้น solex-สแตนเลส")</f>
        <v>กันชนประตูโดมติดพื้น solex-สแตนเลส</v>
      </c>
    </row>
    <row r="199">
      <c r="A199" s="128" t="str">
        <f>IFERROR(__xludf.DUMMYFUNCTION("""COMPUTED_VALUE"""),"อุปกรณ์")</f>
        <v>อุปกรณ์</v>
      </c>
      <c r="B199" s="128" t="str">
        <f>IFERROR(__xludf.DUMMYFUNCTION("""COMPUTED_VALUE"""),"กันชนประตูแม่เหล็กติดพื้น-สแตนเลส")</f>
        <v>กันชนประตูแม่เหล็กติดพื้น-สแตนเลส</v>
      </c>
    </row>
    <row r="200">
      <c r="A200" s="128" t="str">
        <f>IFERROR(__xludf.DUMMYFUNCTION("""COMPUTED_VALUE"""),"อุปกรณ์")</f>
        <v>อุปกรณ์</v>
      </c>
      <c r="B200" s="128" t="str">
        <f>IFERROR(__xludf.DUMMYFUNCTION("""COMPUTED_VALUE"""),"กันชนประตูแม่เหล็กติดพื้น-ดำ")</f>
        <v>กันชนประตูแม่เหล็กติดพื้น-ดำ</v>
      </c>
    </row>
    <row r="201">
      <c r="A201" s="128" t="str">
        <f>IFERROR(__xludf.DUMMYFUNCTION("""COMPUTED_VALUE"""),"อุปกรณ์")</f>
        <v>อุปกรณ์</v>
      </c>
      <c r="B201" s="128" t="str">
        <f>IFERROR(__xludf.DUMMYFUNCTION("""COMPUTED_VALUE"""),"ยางกันชนเหลี่ยม-อบขาว")</f>
        <v>ยางกันชนเหลี่ยม-อบขาว</v>
      </c>
    </row>
    <row r="202">
      <c r="A202" s="128" t="str">
        <f>IFERROR(__xludf.DUMMYFUNCTION("""COMPUTED_VALUE"""),"อุปกรณ์")</f>
        <v>อุปกรณ์</v>
      </c>
      <c r="B202" s="128" t="str">
        <f>IFERROR(__xludf.DUMMYFUNCTION("""COMPUTED_VALUE"""),"ยางกันชนเหลี่ยม-ดำ")</f>
        <v>ยางกันชนเหลี่ยม-ดำ</v>
      </c>
    </row>
    <row r="203">
      <c r="A203" s="128" t="str">
        <f>IFERROR(__xludf.DUMMYFUNCTION("""COMPUTED_VALUE"""),"อุปกรณ์")</f>
        <v>อุปกรณ์</v>
      </c>
      <c r="B203" s="128" t="str">
        <f>IFERROR(__xludf.DUMMYFUNCTION("""COMPUTED_VALUE"""),"ยางกันชนกลมเล็ก-ดำ")</f>
        <v>ยางกันชนกลมเล็ก-ดำ</v>
      </c>
    </row>
    <row r="204">
      <c r="A204" s="128" t="str">
        <f>IFERROR(__xludf.DUMMYFUNCTION("""COMPUTED_VALUE"""),"อุปกรณ์")</f>
        <v>อุปกรณ์</v>
      </c>
      <c r="B204" s="128" t="str">
        <f>IFERROR(__xludf.DUMMYFUNCTION("""COMPUTED_VALUE"""),"ล็อคกลางบานเลื่อน ( ล็อคก้นหอย )_ L-อบขาว")</f>
        <v>ล็อคกลางบานเลื่อน ( ล็อคก้นหอย )_ L-อบขาว</v>
      </c>
    </row>
    <row r="205">
      <c r="A205" s="128" t="str">
        <f>IFERROR(__xludf.DUMMYFUNCTION("""COMPUTED_VALUE"""),"อุปกรณ์")</f>
        <v>อุปกรณ์</v>
      </c>
      <c r="B205" s="128" t="str">
        <f>IFERROR(__xludf.DUMMYFUNCTION("""COMPUTED_VALUE"""),"ล็อคกลางบานเลื่อน ( ล็อคก้นหอย )_ R-อบขาว")</f>
        <v>ล็อคกลางบานเลื่อน ( ล็อคก้นหอย )_ R-อบขาว</v>
      </c>
    </row>
    <row r="206">
      <c r="A206" s="128" t="str">
        <f>IFERROR(__xludf.DUMMYFUNCTION("""COMPUTED_VALUE"""),"อุปกรณ์")</f>
        <v>อุปกรณ์</v>
      </c>
      <c r="B206" s="128" t="str">
        <f>IFERROR(__xludf.DUMMYFUNCTION("""COMPUTED_VALUE"""),"ล็อคกลางบานเลื่อน ( ล็อคก้นหอย )_ L-ดำ")</f>
        <v>ล็อคกลางบานเลื่อน ( ล็อคก้นหอย )_ L-ดำ</v>
      </c>
    </row>
    <row r="207">
      <c r="A207" s="128" t="str">
        <f>IFERROR(__xludf.DUMMYFUNCTION("""COMPUTED_VALUE"""),"อุปกรณ์")</f>
        <v>อุปกรณ์</v>
      </c>
      <c r="B207" s="128" t="str">
        <f>IFERROR(__xludf.DUMMYFUNCTION("""COMPUTED_VALUE"""),"ล็อคกลางบานเลื่อน ( ล็อคก้นหอย )_ R-ดำ")</f>
        <v>ล็อคกลางบานเลื่อน ( ล็อคก้นหอย )_ R-ดำ</v>
      </c>
    </row>
    <row r="208">
      <c r="A208" s="128" t="str">
        <f>IFERROR(__xludf.DUMMYFUNCTION("""COMPUTED_VALUE"""),"อุปกรณ์")</f>
        <v>อุปกรณ์</v>
      </c>
      <c r="B208" s="128" t="str">
        <f>IFERROR(__xludf.DUMMYFUNCTION("""COMPUTED_VALUE"""),"พลาสติกปิดหัวน็อต-อบขาว")</f>
        <v>พลาสติกปิดหัวน็อต-อบขาว</v>
      </c>
    </row>
    <row r="209">
      <c r="A209" s="128" t="str">
        <f>IFERROR(__xludf.DUMMYFUNCTION("""COMPUTED_VALUE"""),"อุปกรณ์")</f>
        <v>อุปกรณ์</v>
      </c>
      <c r="B209" s="128" t="str">
        <f>IFERROR(__xludf.DUMMYFUNCTION("""COMPUTED_VALUE"""),"พลาสติกปิดหัวน็อต-ดำ")</f>
        <v>พลาสติกปิดหัวน็อต-ดำ</v>
      </c>
    </row>
    <row r="210">
      <c r="A210" s="128" t="str">
        <f>IFERROR(__xludf.DUMMYFUNCTION("""COMPUTED_VALUE"""),"อุปกรณ์")</f>
        <v>อุปกรณ์</v>
      </c>
      <c r="B210" s="128" t="str">
        <f>IFERROR(__xludf.DUMMYFUNCTION("""COMPUTED_VALUE"""),"ยางอุด 3 หุน-อบขาว")</f>
        <v>ยางอุด 3 หุน-อบขาว</v>
      </c>
    </row>
    <row r="211">
      <c r="A211" s="128" t="str">
        <f>IFERROR(__xludf.DUMMYFUNCTION("""COMPUTED_VALUE"""),"อุปกรณ์")</f>
        <v>อุปกรณ์</v>
      </c>
      <c r="B211" s="128" t="str">
        <f>IFERROR(__xludf.DUMMYFUNCTION("""COMPUTED_VALUE"""),"ยางอุด 3 หุน-ดำ")</f>
        <v>ยางอุด 3 หุน-ดำ</v>
      </c>
    </row>
    <row r="212">
      <c r="A212" s="128" t="str">
        <f>IFERROR(__xludf.DUMMYFUNCTION("""COMPUTED_VALUE"""),"อุปกรณ์")</f>
        <v>อุปกรณ์</v>
      </c>
      <c r="B212" s="128" t="str">
        <f>IFERROR(__xludf.DUMMYFUNCTION("""COMPUTED_VALUE"""),"พลาสติกฝาครอบน็อต หกเหลี่ยม-ดำ")</f>
        <v>พลาสติกฝาครอบน็อต หกเหลี่ยม-ดำ</v>
      </c>
    </row>
    <row r="213">
      <c r="A213" s="128" t="str">
        <f>IFERROR(__xludf.DUMMYFUNCTION("""COMPUTED_VALUE"""),"อุปกรณ์")</f>
        <v>อุปกรณ์</v>
      </c>
      <c r="B213" s="128" t="str">
        <f>IFERROR(__xludf.DUMMYFUNCTION("""COMPUTED_VALUE"""),"ตลับกุญแจ CDQ20-สแตนเลส")</f>
        <v>ตลับกุญแจ CDQ20-สแตนเลส</v>
      </c>
    </row>
    <row r="214">
      <c r="A214" s="128" t="str">
        <f>IFERROR(__xludf.DUMMYFUNCTION("""COMPUTED_VALUE"""),"อุปกรณ์")</f>
        <v>อุปกรณ์</v>
      </c>
      <c r="B214" s="128" t="str">
        <f>IFERROR(__xludf.DUMMYFUNCTION("""COMPUTED_VALUE"""),"ตลับกุญแจ CDQ20-ดำ")</f>
        <v>ตลับกุญแจ CDQ20-ดำ</v>
      </c>
    </row>
    <row r="215">
      <c r="A215" s="128" t="str">
        <f>IFERROR(__xludf.DUMMYFUNCTION("""COMPUTED_VALUE"""),"อุปกรณ์")</f>
        <v>อุปกรณ์</v>
      </c>
      <c r="B215" s="128" t="str">
        <f>IFERROR(__xludf.DUMMYFUNCTION("""COMPUTED_VALUE"""),"ตลับกุญแจ Colt-สแตนเลส-35x85")</f>
        <v>ตลับกุญแจ Colt-สแตนเลส-35x85</v>
      </c>
    </row>
    <row r="216">
      <c r="A216" s="128" t="str">
        <f>IFERROR(__xludf.DUMMYFUNCTION("""COMPUTED_VALUE"""),"อุปกรณ์")</f>
        <v>อุปกรณ์</v>
      </c>
      <c r="B216" s="128" t="str">
        <f>IFERROR(__xludf.DUMMYFUNCTION("""COMPUTED_VALUE"""),"ตลับกุญแจ Hyda HD851 -สแตนเลส")</f>
        <v>ตลับกุญแจ Hyda HD851 -สแตนเลส</v>
      </c>
    </row>
    <row r="217">
      <c r="A217" s="128" t="str">
        <f>IFERROR(__xludf.DUMMYFUNCTION("""COMPUTED_VALUE"""),"อุปกรณ์")</f>
        <v>อุปกรณ์</v>
      </c>
      <c r="B217" s="128" t="str">
        <f>IFERROR(__xludf.DUMMYFUNCTION("""COMPUTED_VALUE"""),"ไส้กุญแจ Colt-สแตนเลส-35x35")</f>
        <v>ไส้กุญแจ Colt-สแตนเลส-35x35</v>
      </c>
    </row>
    <row r="218">
      <c r="A218" s="128" t="str">
        <f>IFERROR(__xludf.DUMMYFUNCTION("""COMPUTED_VALUE"""),"อุปกรณ์")</f>
        <v>อุปกรณ์</v>
      </c>
      <c r="B218" s="128" t="str">
        <f>IFERROR(__xludf.DUMMYFUNCTION("""COMPUTED_VALUE"""),"ไส้กุญแจ Colt-สแตนเลส-40x40")</f>
        <v>ไส้กุญแจ Colt-สแตนเลส-40x40</v>
      </c>
    </row>
    <row r="219">
      <c r="A219" s="128" t="str">
        <f>IFERROR(__xludf.DUMMYFUNCTION("""COMPUTED_VALUE"""),"อุปกรณ์")</f>
        <v>อุปกรณ์</v>
      </c>
      <c r="B219" s="128" t="str">
        <f>IFERROR(__xludf.DUMMYFUNCTION("""COMPUTED_VALUE"""),"บานพับบานเปิด PBM-อบขาว")</f>
        <v>บานพับบานเปิด PBM-อบขาว</v>
      </c>
    </row>
    <row r="220">
      <c r="A220" s="128" t="str">
        <f>IFERROR(__xludf.DUMMYFUNCTION("""COMPUTED_VALUE"""),"อุปกรณ์")</f>
        <v>อุปกรณ์</v>
      </c>
      <c r="B220" s="128" t="str">
        <f>IFERROR(__xludf.DUMMYFUNCTION("""COMPUTED_VALUE"""),"บานพับบานเปิด PBM-ดำ")</f>
        <v>บานพับบานเปิด PBM-ดำ</v>
      </c>
    </row>
    <row r="221">
      <c r="A221" s="128" t="str">
        <f>IFERROR(__xludf.DUMMYFUNCTION("""COMPUTED_VALUE"""),"อุปกรณ์")</f>
        <v>อุปกรณ์</v>
      </c>
      <c r="B221" s="128" t="str">
        <f>IFERROR(__xludf.DUMMYFUNCTION("""COMPUTED_VALUE"""),"บานพับบานเปิด แบบหลบติ่ง PBM-อบขาว")</f>
        <v>บานพับบานเปิด แบบหลบติ่ง PBM-อบขาว</v>
      </c>
    </row>
    <row r="222">
      <c r="A222" s="128" t="str">
        <f>IFERROR(__xludf.DUMMYFUNCTION("""COMPUTED_VALUE"""),"อุปกรณ์")</f>
        <v>อุปกรณ์</v>
      </c>
      <c r="B222" s="128" t="str">
        <f>IFERROR(__xludf.DUMMYFUNCTION("""COMPUTED_VALUE"""),"บานพับบานเปิด แบบหลบติ่ง PBM-ดำ")</f>
        <v>บานพับบานเปิด แบบหลบติ่ง PBM-ดำ</v>
      </c>
    </row>
    <row r="223">
      <c r="A223" s="128" t="str">
        <f>IFERROR(__xludf.DUMMYFUNCTION("""COMPUTED_VALUE"""),"อุปกรณ์")</f>
        <v>อุปกรณ์</v>
      </c>
      <c r="B223" s="128" t="str">
        <f>IFERROR(__xludf.DUMMYFUNCTION("""COMPUTED_VALUE"""),"แป้นรับล็อคบานเลื่อน HD1104-เงิน")</f>
        <v>แป้นรับล็อคบานเลื่อน HD1104-เงิน</v>
      </c>
    </row>
    <row r="224">
      <c r="A224" s="128" t="str">
        <f>IFERROR(__xludf.DUMMYFUNCTION("""COMPUTED_VALUE"""),"อุปกรณ์")</f>
        <v>อุปกรณ์</v>
      </c>
      <c r="B224" s="128" t="str">
        <f>IFERROR(__xludf.DUMMYFUNCTION("""COMPUTED_VALUE"""),"แป้นรับล็อคบานเลื่อน HD1105-ดำ")</f>
        <v>แป้นรับล็อคบานเลื่อน HD1105-ดำ</v>
      </c>
    </row>
    <row r="225">
      <c r="A225" s="128" t="str">
        <f>IFERROR(__xludf.DUMMYFUNCTION("""COMPUTED_VALUE"""),"อุปกรณ์")</f>
        <v>อุปกรณ์</v>
      </c>
      <c r="B225" s="128" t="str">
        <f>IFERROR(__xludf.DUMMYFUNCTION("""COMPUTED_VALUE"""),"แป้นรับล็อคบานเลื่อน  HD1125-เงิน")</f>
        <v>แป้นรับล็อคบานเลื่อน  HD1125-เงิน</v>
      </c>
    </row>
    <row r="226">
      <c r="A226" s="128" t="str">
        <f>IFERROR(__xludf.DUMMYFUNCTION("""COMPUTED_VALUE"""),"อุปกรณ์")</f>
        <v>อุปกรณ์</v>
      </c>
      <c r="B226" s="128" t="str">
        <f>IFERROR(__xludf.DUMMYFUNCTION("""COMPUTED_VALUE"""),"ก้าน Connection Rod HD-1176A-ดำ")</f>
        <v>ก้าน Connection Rod HD-1176A-ดำ</v>
      </c>
    </row>
    <row r="227">
      <c r="A227" s="128" t="str">
        <f>IFERROR(__xludf.DUMMYFUNCTION("""COMPUTED_VALUE"""),"อุปกรณ์")</f>
        <v>อุปกรณ์</v>
      </c>
      <c r="B227" s="128" t="str">
        <f>IFERROR(__xludf.DUMMYFUNCTION("""COMPUTED_VALUE"""),"ก้าน Connection Rod HD-1176B-ดำ")</f>
        <v>ก้าน Connection Rod HD-1176B-ดำ</v>
      </c>
    </row>
    <row r="228">
      <c r="A228" s="128" t="str">
        <f>IFERROR(__xludf.DUMMYFUNCTION("""COMPUTED_VALUE"""),"อุปกรณ์")</f>
        <v>อุปกรณ์</v>
      </c>
      <c r="B228" s="128" t="str">
        <f>IFERROR(__xludf.DUMMYFUNCTION("""COMPUTED_VALUE"""),"มุมสแตนเลส")</f>
        <v>มุมสแตนเลส</v>
      </c>
    </row>
    <row r="229">
      <c r="A229" s="128" t="str">
        <f>IFERROR(__xludf.DUMMYFUNCTION("""COMPUTED_VALUE"""),"อุปกรณ์")</f>
        <v>อุปกรณ์</v>
      </c>
      <c r="B229" s="128" t="str">
        <f>IFERROR(__xludf.DUMMYFUNCTION("""COMPUTED_VALUE"""),"ตัวรับล็อค")</f>
        <v>ตัวรับล็อค</v>
      </c>
    </row>
    <row r="230">
      <c r="A230" s="128" t="str">
        <f>IFERROR(__xludf.DUMMYFUNCTION("""COMPUTED_VALUE"""),"อุปกรณ์")</f>
        <v>อุปกรณ์</v>
      </c>
      <c r="B230" s="128" t="str">
        <f>IFERROR(__xludf.DUMMYFUNCTION("""COMPUTED_VALUE"""),"มุมอลูมิเนียมสปิก๊อต Hyda 214-Hyda 214")</f>
        <v>มุมอลูมิเนียมสปิก๊อต Hyda 214-Hyda 214</v>
      </c>
    </row>
    <row r="231">
      <c r="A231" s="128" t="str">
        <f>IFERROR(__xludf.DUMMYFUNCTION("""COMPUTED_VALUE"""),"อุปกรณ์")</f>
        <v>อุปกรณ์</v>
      </c>
      <c r="B231" s="128" t="str">
        <f>IFERROR(__xludf.DUMMYFUNCTION("""COMPUTED_VALUE"""),"แป้นรับล็อค")</f>
        <v>แป้นรับล็อค</v>
      </c>
    </row>
    <row r="232">
      <c r="A232" s="128" t="str">
        <f>IFERROR(__xludf.DUMMYFUNCTION("""COMPUTED_VALUE"""),"อุปกรณ์")</f>
        <v>อุปกรณ์</v>
      </c>
      <c r="B232" s="128" t="str">
        <f>IFERROR(__xludf.DUMMYFUNCTION("""COMPUTED_VALUE"""),"แป้นรับล็อค T")</f>
        <v>แป้นรับล็อค T</v>
      </c>
    </row>
    <row r="233">
      <c r="A233" s="128" t="str">
        <f>IFERROR(__xludf.DUMMYFUNCTION("""COMPUTED_VALUE"""),"อุปกรณ์")</f>
        <v>อุปกรณ์</v>
      </c>
      <c r="B233" s="128" t="str">
        <f>IFERROR(__xludf.DUMMYFUNCTION("""COMPUTED_VALUE"""),"ฝาปิดรูน้ำเข้า ฝาปิดรูน้ำออก-ดำ")</f>
        <v>ฝาปิดรูน้ำเข้า ฝาปิดรูน้ำออก-ดำ</v>
      </c>
    </row>
    <row r="234">
      <c r="A234" s="128" t="str">
        <f>IFERROR(__xludf.DUMMYFUNCTION("""COMPUTED_VALUE"""),"อุปกรณ์")</f>
        <v>อุปกรณ์</v>
      </c>
      <c r="B234" s="128" t="str">
        <f>IFERROR(__xludf.DUMMYFUNCTION("""COMPUTED_VALUE"""),"ฝาปิดรูน้ำเข้า ฝาปิดรูน้ำออก-ดำ")</f>
        <v>ฝาปิดรูน้ำเข้า ฝาปิดรูน้ำออก-ดำ</v>
      </c>
    </row>
    <row r="235">
      <c r="A235" s="128" t="str">
        <f>IFERROR(__xludf.DUMMYFUNCTION("""COMPUTED_VALUE"""),"อุปกรณ์")</f>
        <v>อุปกรณ์</v>
      </c>
      <c r="B235" s="128" t="str">
        <f>IFERROR(__xludf.DUMMYFUNCTION("""COMPUTED_VALUE"""),"ปุ่มเสริมก้านมิเนียมบานเปิด 6.5 มม.")</f>
        <v>ปุ่มเสริมก้านมิเนียมบานเปิด 6.5 มม.</v>
      </c>
    </row>
    <row r="236">
      <c r="A236" s="128" t="str">
        <f>IFERROR(__xludf.DUMMYFUNCTION("""COMPUTED_VALUE"""),"อุปกรณ์")</f>
        <v>อุปกรณ์</v>
      </c>
      <c r="B236" s="128" t="str">
        <f>IFERROR(__xludf.DUMMYFUNCTION("""COMPUTED_VALUE"""),"ตัวรับบาน KIN LONG")</f>
        <v>ตัวรับบาน KIN LONG</v>
      </c>
    </row>
    <row r="237">
      <c r="A237" s="128" t="str">
        <f>IFERROR(__xludf.DUMMYFUNCTION("""COMPUTED_VALUE"""),"อุปกรณ์")</f>
        <v>อุปกรณ์</v>
      </c>
      <c r="B237" s="128" t="str">
        <f>IFERROR(__xludf.DUMMYFUNCTION("""COMPUTED_VALUE"""),"บานพับไฮด้า H-D631-ดำ")</f>
        <v>บานพับไฮด้า H-D631-ดำ</v>
      </c>
    </row>
    <row r="238">
      <c r="A238" s="128" t="str">
        <f>IFERROR(__xludf.DUMMYFUNCTION("""COMPUTED_VALUE"""),"อุปกรณ์")</f>
        <v>อุปกรณ์</v>
      </c>
      <c r="B238" s="128" t="str">
        <f>IFERROR(__xludf.DUMMYFUNCTION("""COMPUTED_VALUE"""),"บานพับไฮด้า H-D631-อบขาว")</f>
        <v>บานพับไฮด้า H-D631-อบขาว</v>
      </c>
    </row>
    <row r="239">
      <c r="A239" s="128" t="str">
        <f>IFERROR(__xludf.DUMMYFUNCTION("""COMPUTED_VALUE"""),"อุปกรณ์")</f>
        <v>อุปกรณ์</v>
      </c>
      <c r="B239" s="128" t="str">
        <f>IFERROR(__xludf.DUMMYFUNCTION("""COMPUTED_VALUE"""),"บานพับบานเปิดยูโร HD-631-ดำ")</f>
        <v>บานพับบานเปิดยูโร HD-631-ดำ</v>
      </c>
    </row>
    <row r="240">
      <c r="A240" s="128" t="str">
        <f>IFERROR(__xludf.DUMMYFUNCTION("""COMPUTED_VALUE"""),"อุปกรณ์")</f>
        <v>อุปกรณ์</v>
      </c>
      <c r="B240" s="128" t="str">
        <f>IFERROR(__xludf.DUMMYFUNCTION("""COMPUTED_VALUE"""),"บานพับบานเปิดยูโร HD-631-อบขาว")</f>
        <v>บานพับบานเปิดยูโร HD-631-อบขาว</v>
      </c>
    </row>
    <row r="241">
      <c r="A241" s="128" t="str">
        <f>IFERROR(__xludf.DUMMYFUNCTION("""COMPUTED_VALUE"""),"อุปกรณ์")</f>
        <v>อุปกรณ์</v>
      </c>
      <c r="B241" s="128" t="str">
        <f>IFERROR(__xludf.DUMMYFUNCTION("""COMPUTED_VALUE"""),"ไส้กุญแจ Colt-สแตนเลส-50x50")</f>
        <v>ไส้กุญแจ Colt-สแตนเลส-50x50</v>
      </c>
    </row>
    <row r="242">
      <c r="A242" s="128" t="str">
        <f>IFERROR(__xludf.DUMMYFUNCTION("""COMPUTED_VALUE"""),"อุปกรณ์")</f>
        <v>อุปกรณ์</v>
      </c>
      <c r="B242" s="128" t="str">
        <f>IFERROR(__xludf.DUMMYFUNCTION("""COMPUTED_VALUE"""),"ล้อสปริงกันแกว่ง มีน็อต")</f>
        <v>ล้อสปริงกันแกว่ง มีน็อต</v>
      </c>
    </row>
    <row r="243">
      <c r="A243" s="128" t="str">
        <f>IFERROR(__xludf.DUMMYFUNCTION("""COMPUTED_VALUE"""),"อุปกรณ์")</f>
        <v>อุปกรณ์</v>
      </c>
      <c r="B243" s="128" t="str">
        <f>IFERROR(__xludf.DUMMYFUNCTION("""COMPUTED_VALUE"""),"โช้คฝังพื้น  FC34- 20NM ")</f>
        <v>โช้คฝังพื้น  FC34- 20NM </v>
      </c>
    </row>
    <row r="244">
      <c r="A244" s="128" t="str">
        <f>IFERROR(__xludf.DUMMYFUNCTION("""COMPUTED_VALUE"""),"อุปกรณ์")</f>
        <v>อุปกรณ์</v>
      </c>
      <c r="B244" s="128" t="str">
        <f>IFERROR(__xludf.DUMMYFUNCTION("""COMPUTED_VALUE"""),"โช้คฝังพื้น  FC34- 25NM ")</f>
        <v>โช้คฝังพื้น  FC34- 25NM </v>
      </c>
    </row>
    <row r="245">
      <c r="A245" s="128" t="str">
        <f>IFERROR(__xludf.DUMMYFUNCTION("""COMPUTED_VALUE"""),"อุปกรณ์")</f>
        <v>อุปกรณ์</v>
      </c>
      <c r="B245" s="128" t="str">
        <f>IFERROR(__xludf.DUMMYFUNCTION("""COMPUTED_VALUE"""),"กันลมสแตนเลส-12KC")</f>
        <v>กันลมสแตนเลส-12KC</v>
      </c>
    </row>
    <row r="246">
      <c r="A246" s="128" t="str">
        <f>IFERROR(__xludf.DUMMYFUNCTION("""COMPUTED_VALUE"""),"อุปกรณ์")</f>
        <v>อุปกรณ์</v>
      </c>
      <c r="B246" s="128" t="str">
        <f>IFERROR(__xludf.DUMMYFUNCTION("""COMPUTED_VALUE"""),"ไส้กุญแจ CH-ดำ-35x45")</f>
        <v>ไส้กุญแจ CH-ดำ-35x45</v>
      </c>
    </row>
    <row r="247">
      <c r="A247" s="128" t="str">
        <f>IFERROR(__xludf.DUMMYFUNCTION("""COMPUTED_VALUE"""),"อุปกรณ์")</f>
        <v>อุปกรณ์</v>
      </c>
      <c r="B247" s="128" t="str">
        <f>IFERROR(__xludf.DUMMYFUNCTION("""COMPUTED_VALUE"""),"ไส้กุญแจ CH-สแตนเลส-35x45")</f>
        <v>ไส้กุญแจ CH-สแตนเลส-35x45</v>
      </c>
    </row>
    <row r="248">
      <c r="A248" s="128" t="str">
        <f>IFERROR(__xludf.DUMMYFUNCTION("""COMPUTED_VALUE"""),"อุปกรณ์")</f>
        <v>อุปกรณ์</v>
      </c>
      <c r="B248" s="128" t="str">
        <f>IFERROR(__xludf.DUMMYFUNCTION("""COMPUTED_VALUE"""),"ไส้กุญแจ CH-สแตนเลส-45x35")</f>
        <v>ไส้กุญแจ CH-สแตนเลส-45x35</v>
      </c>
    </row>
    <row r="249">
      <c r="A249" s="128" t="str">
        <f>IFERROR(__xludf.DUMMYFUNCTION("""COMPUTED_VALUE"""),"อุปกรณ์")</f>
        <v>อุปกรณ์</v>
      </c>
      <c r="B249" s="128" t="str">
        <f>IFERROR(__xludf.DUMMYFUNCTION("""COMPUTED_VALUE"""),"ยางกันชนกลมเล็ก-ใส")</f>
        <v>ยางกันชนกลมเล็ก-ใส</v>
      </c>
    </row>
    <row r="250">
      <c r="A250" s="128" t="str">
        <f>IFERROR(__xludf.DUMMYFUNCTION("""COMPUTED_VALUE"""),"อุปกรณ์")</f>
        <v>อุปกรณ์</v>
      </c>
      <c r="B250" s="128" t="str">
        <f>IFERROR(__xludf.DUMMYFUNCTION("""COMPUTED_VALUE"""),"PU-791")</f>
        <v>PU-791</v>
      </c>
    </row>
    <row r="251">
      <c r="A251" s="128" t="str">
        <f>IFERROR(__xludf.DUMMYFUNCTION("""COMPUTED_VALUE"""),"อุปกรณ์")</f>
        <v>อุปกรณ์</v>
      </c>
      <c r="B251" s="128" t="str">
        <f>IFERROR(__xludf.DUMMYFUNCTION("""COMPUTED_VALUE"""),"PU-ขาว")</f>
        <v>PU-ขาว</v>
      </c>
    </row>
    <row r="252">
      <c r="A252" s="128" t="str">
        <f>IFERROR(__xludf.DUMMYFUNCTION("""COMPUTED_VALUE"""),"อุปกรณ์")</f>
        <v>อุปกรณ์</v>
      </c>
      <c r="B252" s="128" t="str">
        <f>IFERROR(__xludf.DUMMYFUNCTION("""COMPUTED_VALUE"""),"ซิลิโคน-ใส")</f>
        <v>ซิลิโคน-ใส</v>
      </c>
    </row>
    <row r="253">
      <c r="A253" s="128" t="str">
        <f>IFERROR(__xludf.DUMMYFUNCTION("""COMPUTED_VALUE"""),"อุปกรณ์")</f>
        <v>อุปกรณ์</v>
      </c>
      <c r="B253" s="128" t="str">
        <f>IFERROR(__xludf.DUMMYFUNCTION("""COMPUTED_VALUE"""),"ซิลิโคน ไร้กรด-ขาว")</f>
        <v>ซิลิโคน ไร้กรด-ขาว</v>
      </c>
    </row>
    <row r="254">
      <c r="A254" s="128" t="str">
        <f>IFERROR(__xludf.DUMMYFUNCTION("""COMPUTED_VALUE"""),"อุปกรณ์")</f>
        <v>อุปกรณ์</v>
      </c>
      <c r="B254" s="128" t="str">
        <f>IFERROR(__xludf.DUMMYFUNCTION("""COMPUTED_VALUE"""),"ซิลิโคน 1601-ลายไม้มะฮอกนี")</f>
        <v>ซิลิโคน 1601-ลายไม้มะฮอกนี</v>
      </c>
    </row>
    <row r="255">
      <c r="A255" s="128" t="str">
        <f>IFERROR(__xludf.DUMMYFUNCTION("""COMPUTED_VALUE"""),"อุปกรณ์")</f>
        <v>อุปกรณ์</v>
      </c>
      <c r="B255" s="128" t="str">
        <f>IFERROR(__xludf.DUMMYFUNCTION("""COMPUTED_VALUE"""),"ซิลิโคน 1602-ลายไม้สักทอง")</f>
        <v>ซิลิโคน 1602-ลายไม้สักทอง</v>
      </c>
    </row>
    <row r="256">
      <c r="A256" s="128" t="str">
        <f>IFERROR(__xludf.DUMMYFUNCTION("""COMPUTED_VALUE"""),"อุปกรณ์")</f>
        <v>อุปกรณ์</v>
      </c>
      <c r="B256" s="128" t="str">
        <f>IFERROR(__xludf.DUMMYFUNCTION("""COMPUTED_VALUE"""),"ซิลิโคน 1301")</f>
        <v>ซิลิโคน 1301</v>
      </c>
    </row>
    <row r="257">
      <c r="A257" s="128" t="str">
        <f>IFERROR(__xludf.DUMMYFUNCTION("""COMPUTED_VALUE"""),"อุปกรณ์")</f>
        <v>อุปกรณ์</v>
      </c>
      <c r="B257" s="128" t="str">
        <f>IFERROR(__xludf.DUMMYFUNCTION("""COMPUTED_VALUE"""),"ซิลิโคน-ลายไม้หลอดฟ้า")</f>
        <v>ซิลิโคน-ลายไม้หลอดฟ้า</v>
      </c>
    </row>
    <row r="258">
      <c r="A258" s="128" t="str">
        <f>IFERROR(__xludf.DUMMYFUNCTION("""COMPUTED_VALUE"""),"อุปกรณ์")</f>
        <v>อุปกรณ์</v>
      </c>
      <c r="B258" s="128" t="str">
        <f>IFERROR(__xludf.DUMMYFUNCTION("""COMPUTED_VALUE"""),"สเปรย์โฟม")</f>
        <v>สเปรย์โฟม</v>
      </c>
    </row>
    <row r="259">
      <c r="A259" s="128" t="str">
        <f>IFERROR(__xludf.DUMMYFUNCTION("""COMPUTED_VALUE"""),"อุปกรณ์")</f>
        <v>อุปกรณ์</v>
      </c>
      <c r="B259" s="128" t="str">
        <f>IFERROR(__xludf.DUMMYFUNCTION("""COMPUTED_VALUE"""),"แด้บหลอดแดง")</f>
        <v>แด้บหลอดแดง</v>
      </c>
    </row>
    <row r="260">
      <c r="A260" s="128" t="str">
        <f>IFERROR(__xludf.DUMMYFUNCTION("""COMPUTED_VALUE"""),"อุปกรณ์")</f>
        <v>อุปกรณ์</v>
      </c>
      <c r="B260" s="128" t="str">
        <f>IFERROR(__xludf.DUMMYFUNCTION("""COMPUTED_VALUE"""),"PU-สีพิเศษ")</f>
        <v>PU-สีพิเศษ</v>
      </c>
    </row>
    <row r="261">
      <c r="A261" s="128" t="str">
        <f>IFERROR(__xludf.DUMMYFUNCTION("""COMPUTED_VALUE"""),"อุปกรณ์")</f>
        <v>อุปกรณ์</v>
      </c>
      <c r="B261" s="128" t="str">
        <f>IFERROR(__xludf.DUMMYFUNCTION("""COMPUTED_VALUE"""),"PU-สีทอง")</f>
        <v>PU-สีทอง</v>
      </c>
    </row>
    <row r="262">
      <c r="A262" s="128" t="str">
        <f>IFERROR(__xludf.DUMMYFUNCTION("""COMPUTED_VALUE"""),"อุปกรณ์")</f>
        <v>อุปกรณ์</v>
      </c>
      <c r="B262" s="128" t="str">
        <f>IFERROR(__xludf.DUMMYFUNCTION("""COMPUTED_VALUE"""),"นํ้ายาเช็ดคราบซิลิโคน")</f>
        <v>นํ้ายาเช็ดคราบซิลิโคน</v>
      </c>
    </row>
    <row r="263">
      <c r="A263" s="128" t="str">
        <f>IFERROR(__xludf.DUMMYFUNCTION("""COMPUTED_VALUE"""),"อุปกรณ์")</f>
        <v>อุปกรณ์</v>
      </c>
      <c r="B263" s="128" t="str">
        <f>IFERROR(__xludf.DUMMYFUNCTION("""COMPUTED_VALUE"""),"น้ำยาเช็ดเทปกาว")</f>
        <v>น้ำยาเช็ดเทปกาว</v>
      </c>
    </row>
    <row r="264">
      <c r="A264" s="128" t="str">
        <f>IFERROR(__xludf.DUMMYFUNCTION("""COMPUTED_VALUE"""),"อุปกรณ์")</f>
        <v>อุปกรณ์</v>
      </c>
      <c r="B264" s="128" t="str">
        <f>IFERROR(__xludf.DUMMYFUNCTION("""COMPUTED_VALUE"""),"นํ้ํ้าเช็ดกระจก")</f>
        <v>นํ้ํ้าเช็ดกระจก</v>
      </c>
    </row>
    <row r="265">
      <c r="A265" s="128" t="str">
        <f>IFERROR(__xludf.DUMMYFUNCTION("""COMPUTED_VALUE"""),"อุปกรณ์")</f>
        <v>อุปกรณ์</v>
      </c>
      <c r="B265" s="128" t="str">
        <f>IFERROR(__xludf.DUMMYFUNCTION("""COMPUTED_VALUE"""),"นํ้ายาถูพื้น")</f>
        <v>นํ้ายาถูพื้น</v>
      </c>
    </row>
    <row r="266">
      <c r="A266" s="128" t="str">
        <f>IFERROR(__xludf.DUMMYFUNCTION("""COMPUTED_VALUE"""),"อุปกรณ์")</f>
        <v>อุปกรณ์</v>
      </c>
      <c r="B266" s="128" t="str">
        <f>IFERROR(__xludf.DUMMYFUNCTION("""COMPUTED_VALUE"""),"นํ้ายาล้างห้องนํ้า")</f>
        <v>นํ้ายาล้างห้องนํ้า</v>
      </c>
    </row>
    <row r="267">
      <c r="A267" s="128" t="str">
        <f>IFERROR(__xludf.DUMMYFUNCTION("""COMPUTED_VALUE"""),"อุปกรณ์")</f>
        <v>อุปกรณ์</v>
      </c>
      <c r="B267" s="128" t="str">
        <f>IFERROR(__xludf.DUMMYFUNCTION("""COMPUTED_VALUE"""),"นํ้ายาล้้างจาน")</f>
        <v>นํ้ายาล้้างจาน</v>
      </c>
    </row>
    <row r="268">
      <c r="A268" s="128" t="str">
        <f>IFERROR(__xludf.DUMMYFUNCTION("""COMPUTED_VALUE"""),"อุปกรณ์")</f>
        <v>อุปกรณ์</v>
      </c>
      <c r="B268" s="128" t="str">
        <f>IFERROR(__xludf.DUMMYFUNCTION("""COMPUTED_VALUE"""),"นํ้ามันสน")</f>
        <v>นํ้ามันสน</v>
      </c>
    </row>
    <row r="269">
      <c r="A269" s="128" t="str">
        <f>IFERROR(__xludf.DUMMYFUNCTION("""COMPUTED_VALUE"""),"อุปกรณ์")</f>
        <v>อุปกรณ์</v>
      </c>
      <c r="B269" s="128" t="str">
        <f>IFERROR(__xludf.DUMMYFUNCTION("""COMPUTED_VALUE"""),"เทปกาว2หน้า บาง")</f>
        <v>เทปกาว2หน้า บาง</v>
      </c>
    </row>
    <row r="270">
      <c r="A270" s="128" t="str">
        <f>IFERROR(__xludf.DUMMYFUNCTION("""COMPUTED_VALUE"""),"อุปกรณ์")</f>
        <v>อุปกรณ์</v>
      </c>
      <c r="B270" s="128" t="str">
        <f>IFERROR(__xludf.DUMMYFUNCTION("""COMPUTED_VALUE"""),"เทปกาว2หน้า หนา-สีดำ")</f>
        <v>เทปกาว2หน้า หนา-สีดำ</v>
      </c>
    </row>
    <row r="271">
      <c r="A271" s="128" t="str">
        <f>IFERROR(__xludf.DUMMYFUNCTION("""COMPUTED_VALUE"""),"อุปกรณ์")</f>
        <v>อุปกรณ์</v>
      </c>
      <c r="B271" s="128" t="str">
        <f>IFERROR(__xludf.DUMMYFUNCTION("""COMPUTED_VALUE"""),"เทปกาว2หน้า หนา-สีขาว")</f>
        <v>เทปกาว2หน้า หนา-สีขาว</v>
      </c>
    </row>
    <row r="272">
      <c r="A272" s="128" t="str">
        <f>IFERROR(__xludf.DUMMYFUNCTION("""COMPUTED_VALUE"""),"อุปกรณ์")</f>
        <v>อุปกรณ์</v>
      </c>
      <c r="B272" s="128" t="str">
        <f>IFERROR(__xludf.DUMMYFUNCTION("""COMPUTED_VALUE"""),"เทปกระดาษ")</f>
        <v>เทปกระดาษ</v>
      </c>
    </row>
    <row r="273">
      <c r="A273" s="128" t="str">
        <f>IFERROR(__xludf.DUMMYFUNCTION("""COMPUTED_VALUE"""),"อุปกรณ์")</f>
        <v>อุปกรณ์</v>
      </c>
      <c r="B273" s="128" t="str">
        <f>IFERROR(__xludf.DUMMYFUNCTION("""COMPUTED_VALUE"""),"เทปใส่ม้วนใหญ่")</f>
        <v>เทปใส่ม้วนใหญ่</v>
      </c>
    </row>
    <row r="274">
      <c r="A274" s="128" t="str">
        <f>IFERROR(__xludf.DUMMYFUNCTION("""COMPUTED_VALUE"""),"อุปกรณ์")</f>
        <v>อุปกรณ์</v>
      </c>
      <c r="B274" s="128" t="str">
        <f>IFERROR(__xludf.DUMMYFUNCTION("""COMPUTED_VALUE"""),"เทปขุ่น")</f>
        <v>เทปขุ่น</v>
      </c>
    </row>
    <row r="275">
      <c r="A275" s="128" t="str">
        <f>IFERROR(__xludf.DUMMYFUNCTION("""COMPUTED_VALUE"""),"อุปกรณ์")</f>
        <v>อุปกรณ์</v>
      </c>
      <c r="B275" s="128" t="str">
        <f>IFERROR(__xludf.DUMMYFUNCTION("""COMPUTED_VALUE"""),"เทปพันอลูมิเนียม")</f>
        <v>เทปพันอลูมิเนียม</v>
      </c>
    </row>
    <row r="276">
      <c r="A276" s="128" t="str">
        <f>IFERROR(__xludf.DUMMYFUNCTION("""COMPUTED_VALUE"""),"อุปกรณ์")</f>
        <v>อุปกรณ์</v>
      </c>
      <c r="B276" s="128" t="str">
        <f>IFERROR(__xludf.DUMMYFUNCTION("""COMPUTED_VALUE"""),"แร็ปผิวเรียบ-สีทอง")</f>
        <v>แร็ปผิวเรียบ-สีทอง</v>
      </c>
    </row>
    <row r="277">
      <c r="A277" s="128" t="str">
        <f>IFERROR(__xludf.DUMMYFUNCTION("""COMPUTED_VALUE"""),"อุปกรณ์")</f>
        <v>อุปกรณ์</v>
      </c>
      <c r="B277" s="128" t="str">
        <f>IFERROR(__xludf.DUMMYFUNCTION("""COMPUTED_VALUE"""),"แร็ปผิวซาฮาร่า")</f>
        <v>แร็ปผิวซาฮาร่า</v>
      </c>
    </row>
    <row r="278">
      <c r="A278" s="128" t="str">
        <f>IFERROR(__xludf.DUMMYFUNCTION("""COMPUTED_VALUE"""),"อุปกรณ์")</f>
        <v>อุปกรณ์</v>
      </c>
      <c r="B278" s="128" t="str">
        <f>IFERROR(__xludf.DUMMYFUNCTION("""COMPUTED_VALUE"""),"เทปใส่ม้วนเล็ก")</f>
        <v>เทปใส่ม้วนเล็ก</v>
      </c>
    </row>
    <row r="279">
      <c r="A279" s="128" t="str">
        <f>IFERROR(__xludf.DUMMYFUNCTION("""COMPUTED_VALUE"""),"อุปกรณ์")</f>
        <v>อุปกรณ์</v>
      </c>
      <c r="B279" s="128" t="str">
        <f>IFERROR(__xludf.DUMMYFUNCTION("""COMPUTED_VALUE"""),"เทปพันสายไฟ-สีดำ")</f>
        <v>เทปพันสายไฟ-สีดำ</v>
      </c>
    </row>
    <row r="280">
      <c r="A280" s="128" t="str">
        <f>IFERROR(__xludf.DUMMYFUNCTION("""COMPUTED_VALUE"""),"อุปกรณ์")</f>
        <v>อุปกรณ์</v>
      </c>
      <c r="B280" s="128" t="str">
        <f>IFERROR(__xludf.DUMMYFUNCTION("""COMPUTED_VALUE"""),"เทปนอตัน ตัวหนา-สีฟ้า")</f>
        <v>เทปนอตัน ตัวหนา-สีฟ้า</v>
      </c>
    </row>
    <row r="281">
      <c r="A281" s="128" t="str">
        <f>IFERROR(__xludf.DUMMYFUNCTION("""COMPUTED_VALUE"""),"อุปกรณ์")</f>
        <v>อุปกรณ์</v>
      </c>
      <c r="B281" s="128" t="str">
        <f>IFERROR(__xludf.DUMMYFUNCTION("""COMPUTED_VALUE"""),"เทปนอตัน ตัวบาง-สีฟ้า")</f>
        <v>เทปนอตัน ตัวบาง-สีฟ้า</v>
      </c>
    </row>
    <row r="282">
      <c r="A282" s="128" t="str">
        <f>IFERROR(__xludf.DUMMYFUNCTION("""COMPUTED_VALUE"""),"อุปกรณ์")</f>
        <v>อุปกรณ์</v>
      </c>
      <c r="B282" s="128" t="str">
        <f>IFERROR(__xludf.DUMMYFUNCTION("""COMPUTED_VALUE"""),"เทปนอตัน-สีขาว")</f>
        <v>เทปนอตัน-สีขาว</v>
      </c>
    </row>
    <row r="283">
      <c r="A283" s="128" t="str">
        <f>IFERROR(__xludf.DUMMYFUNCTION("""COMPUTED_VALUE"""),"อุปกรณ์")</f>
        <v>อุปกรณ์</v>
      </c>
      <c r="B283" s="128" t="str">
        <f>IFERROR(__xludf.DUMMYFUNCTION("""COMPUTED_VALUE"""),"เทปกาว 3M กันจิ้งจก")</f>
        <v>เทปกาว 3M กันจิ้งจก</v>
      </c>
    </row>
    <row r="284">
      <c r="A284" s="128" t="str">
        <f>IFERROR(__xludf.DUMMYFUNCTION("""COMPUTED_VALUE"""),"อุปกรณ์")</f>
        <v>อุปกรณ์</v>
      </c>
      <c r="B284" s="128" t="str">
        <f>IFERROR(__xludf.DUMMYFUNCTION("""COMPUTED_VALUE"""),"โพเทคส์พลาสติก")</f>
        <v>โพเทคส์พลาสติก</v>
      </c>
    </row>
    <row r="285">
      <c r="A285" s="128" t="str">
        <f>IFERROR(__xludf.DUMMYFUNCTION("""COMPUTED_VALUE"""),"อุปกรณ์")</f>
        <v>อุปกรณ์</v>
      </c>
      <c r="B285" s="128" t="str">
        <f>IFERROR(__xludf.DUMMYFUNCTION("""COMPUTED_VALUE"""),"แร็ป-สีฟ้า")</f>
        <v>แร็ป-สีฟ้า</v>
      </c>
    </row>
    <row r="286">
      <c r="A286" s="128" t="str">
        <f>IFERROR(__xludf.DUMMYFUNCTION("""COMPUTED_VALUE"""),"อุปกรณ์")</f>
        <v>อุปกรณ์</v>
      </c>
      <c r="B286" s="128" t="str">
        <f>IFERROR(__xludf.DUMMYFUNCTION("""COMPUTED_VALUE"""),"สเปรย์ 212-ดำด้าน")</f>
        <v>สเปรย์ 212-ดำด้าน</v>
      </c>
    </row>
    <row r="287">
      <c r="A287" s="128" t="str">
        <f>IFERROR(__xludf.DUMMYFUNCTION("""COMPUTED_VALUE"""),"อุปกรณ์")</f>
        <v>อุปกรณ์</v>
      </c>
      <c r="B287" s="128" t="str">
        <f>IFERROR(__xludf.DUMMYFUNCTION("""COMPUTED_VALUE"""),"สเปรย์ 210-ดำเงา")</f>
        <v>สเปรย์ 210-ดำเงา</v>
      </c>
    </row>
    <row r="288">
      <c r="A288" s="128" t="str">
        <f>IFERROR(__xludf.DUMMYFUNCTION("""COMPUTED_VALUE"""),"อุปกรณ์")</f>
        <v>อุปกรณ์</v>
      </c>
      <c r="B288" s="128" t="str">
        <f>IFERROR(__xludf.DUMMYFUNCTION("""COMPUTED_VALUE"""),"สเปรย์ 1002825-สีขาวซาฮาร่า")</f>
        <v>สเปรย์ 1002825-สีขาวซาฮาร่า</v>
      </c>
    </row>
    <row r="289">
      <c r="A289" s="128" t="str">
        <f>IFERROR(__xludf.DUMMYFUNCTION("""COMPUTED_VALUE"""),"อุปกรณ์")</f>
        <v>อุปกรณ์</v>
      </c>
      <c r="B289" s="128" t="str">
        <f>IFERROR(__xludf.DUMMYFUNCTION("""COMPUTED_VALUE"""),"สเปรย์ 1002823-สีดำซาฮาร่า")</f>
        <v>สเปรย์ 1002823-สีดำซาฮาร่า</v>
      </c>
    </row>
    <row r="290">
      <c r="A290" s="128" t="str">
        <f>IFERROR(__xludf.DUMMYFUNCTION("""COMPUTED_VALUE"""),"อุปกรณ์")</f>
        <v>อุปกรณ์</v>
      </c>
      <c r="B290" s="128" t="str">
        <f>IFERROR(__xludf.DUMMYFUNCTION("""COMPUTED_VALUE"""),"สเปรย์ 1002831-สีเทาซาฮาร่า")</f>
        <v>สเปรย์ 1002831-สีเทาซาฮาร่า</v>
      </c>
    </row>
    <row r="291">
      <c r="A291" s="128" t="str">
        <f>IFERROR(__xludf.DUMMYFUNCTION("""COMPUTED_VALUE"""),"อุปกรณ์")</f>
        <v>อุปกรณ์</v>
      </c>
      <c r="B291" s="128" t="str">
        <f>IFERROR(__xludf.DUMMYFUNCTION("""COMPUTED_VALUE"""),"สเปรย์ 132-สีชา")</f>
        <v>สเปรย์ 132-สีชา</v>
      </c>
    </row>
    <row r="292">
      <c r="A292" s="128" t="str">
        <f>IFERROR(__xludf.DUMMYFUNCTION("""COMPUTED_VALUE"""),"อุปกรณ์")</f>
        <v>อุปกรณ์</v>
      </c>
      <c r="B292" s="128" t="str">
        <f>IFERROR(__xludf.DUMMYFUNCTION("""COMPUTED_VALUE"""),"สเปรย์ขาว-สีชาว")</f>
        <v>สเปรย์ขาว-สีชาว</v>
      </c>
    </row>
    <row r="293">
      <c r="A293" s="128" t="str">
        <f>IFERROR(__xludf.DUMMYFUNCTION("""COMPUTED_VALUE"""),"อุปกรณ์")</f>
        <v>อุปกรณ์</v>
      </c>
      <c r="B293" s="128" t="str">
        <f>IFERROR(__xludf.DUMMYFUNCTION("""COMPUTED_VALUE"""),"HAFELE อุปกรณ์บานเลื่อน รับน้ำหนัก 100 กก.")</f>
        <v>HAFELE อุปกรณ์บานเลื่อน รับน้ำหนัก 100 กก.</v>
      </c>
    </row>
    <row r="294">
      <c r="A294" s="128" t="str">
        <f>IFERROR(__xludf.DUMMYFUNCTION("""COMPUTED_VALUE"""),"อุปกรณ์")</f>
        <v>อุปกรณ์</v>
      </c>
      <c r="B294" s="128" t="str">
        <f>IFERROR(__xludf.DUMMYFUNCTION("""COMPUTED_VALUE"""),"ISONAX")</f>
        <v>ISONAX</v>
      </c>
    </row>
    <row r="295">
      <c r="A295" s="128" t="str">
        <f>IFERROR(__xludf.DUMMYFUNCTION("""COMPUTED_VALUE"""),"อุปกรณ์")</f>
        <v>อุปกรณ์</v>
      </c>
      <c r="B295" s="128" t="str">
        <f>IFERROR(__xludf.DUMMYFUNCTION("""COMPUTED_VALUE"""),"ตัวดูดจับกระจก 3ขา")</f>
        <v>ตัวดูดจับกระจก 3ขา</v>
      </c>
    </row>
    <row r="296">
      <c r="A296" s="128" t="str">
        <f>IFERROR(__xludf.DUMMYFUNCTION("""COMPUTED_VALUE"""),"อุปกรณ์")</f>
        <v>อุปกรณ์</v>
      </c>
      <c r="B296" s="128" t="str">
        <f>IFERROR(__xludf.DUMMYFUNCTION("""COMPUTED_VALUE""")," ไม้รีดน้ํากระจก ")</f>
        <v> ไม้รีดน้ํากระจก </v>
      </c>
    </row>
    <row r="297">
      <c r="A297" s="128" t="str">
        <f>IFERROR(__xludf.DUMMYFUNCTION("""COMPUTED_VALUE"""),"อุปกรณ์")</f>
        <v>อุปกรณ์</v>
      </c>
      <c r="B297" s="128" t="str">
        <f>IFERROR(__xludf.DUMMYFUNCTION("""COMPUTED_VALUE"""),"Tool Room ตัวปรับความสูงของกระเบื้อง")</f>
        <v>Tool Room ตัวปรับความสูงของกระเบื้อง</v>
      </c>
    </row>
    <row r="298">
      <c r="A298" s="128" t="str">
        <f>IFERROR(__xludf.DUMMYFUNCTION("""COMPUTED_VALUE"""),"อุปกรณ์")</f>
        <v>อุปกรณ์</v>
      </c>
      <c r="B298" s="128" t="str">
        <f>IFERROR(__xludf.DUMMYFUNCTION("""COMPUTED_VALUE"""),"ก้านเหล็กปั่นเหล็ก")</f>
        <v>ก้านเหล็กปั่นเหล็ก</v>
      </c>
    </row>
    <row r="299">
      <c r="A299" s="128" t="str">
        <f>IFERROR(__xludf.DUMMYFUNCTION("""COMPUTED_VALUE"""),"อุปกรณ์")</f>
        <v>อุปกรณ์</v>
      </c>
      <c r="B299" s="128" t="str">
        <f>IFERROR(__xludf.DUMMYFUNCTION("""COMPUTED_VALUE"""),"ลูกกลิ้งทาสี  7 นิ้ว")</f>
        <v>ลูกกลิ้งทาสี  7 นิ้ว</v>
      </c>
    </row>
    <row r="300">
      <c r="A300" s="128" t="str">
        <f>IFERROR(__xludf.DUMMYFUNCTION("""COMPUTED_VALUE"""),"อุปกรณ์")</f>
        <v>อุปกรณ์</v>
      </c>
      <c r="B300" s="128" t="str">
        <f>IFERROR(__xludf.DUMMYFUNCTION("""COMPUTED_VALUE"""),"ตลับกุญแจ HD 840 L30")</f>
        <v>ตลับกุญแจ HD 840 L30</v>
      </c>
    </row>
    <row r="301">
      <c r="A301" s="128" t="str">
        <f>IFERROR(__xludf.DUMMYFUNCTION("""COMPUTED_VALUE"""),"อุปกรณ์")</f>
        <v>อุปกรณ์</v>
      </c>
      <c r="B301" s="128" t="str">
        <f>IFERROR(__xludf.DUMMYFUNCTION("""COMPUTED_VALUE"""),"ตลับกุญแจ Colt")</f>
        <v>ตลับกุญแจ Colt</v>
      </c>
    </row>
    <row r="302">
      <c r="A302" s="128" t="str">
        <f>IFERROR(__xludf.DUMMYFUNCTION("""COMPUTED_VALUE"""),"อุปกรณ์")</f>
        <v>อุปกรณ์</v>
      </c>
      <c r="B302" s="128" t="str">
        <f>IFERROR(__xludf.DUMMYFUNCTION("""COMPUTED_VALUE"""),"ตลับกุญแจ มัลติพ้อย HD 851 L30")</f>
        <v>ตลับกุญแจ มัลติพ้อย HD 851 L30</v>
      </c>
    </row>
    <row r="303">
      <c r="A303" s="128" t="str">
        <f>IFERROR(__xludf.DUMMYFUNCTION("""COMPUTED_VALUE"""),"อุปกรณ์")</f>
        <v>อุปกรณ์</v>
      </c>
      <c r="B303" s="128" t="str">
        <f>IFERROR(__xludf.DUMMYFUNCTION("""COMPUTED_VALUE"""),"ตลับกุญแจ-3""")</f>
        <v>ตลับกุญแจ-3"</v>
      </c>
    </row>
    <row r="304">
      <c r="A304" s="128" t="str">
        <f>IFERROR(__xludf.DUMMYFUNCTION("""COMPUTED_VALUE"""),"อุปกรณ์")</f>
        <v>อุปกรณ์</v>
      </c>
      <c r="B304" s="128" t="str">
        <f>IFERROR(__xludf.DUMMYFUNCTION("""COMPUTED_VALUE"""),"เข้ามุมจีน")</f>
        <v>เข้ามุมจีน</v>
      </c>
    </row>
    <row r="305">
      <c r="A305" s="128" t="str">
        <f>IFERROR(__xludf.DUMMYFUNCTION("""COMPUTED_VALUE"""),"อุปกรณ์")</f>
        <v>อุปกรณ์</v>
      </c>
      <c r="B305" s="128" t="str">
        <f>IFERROR(__xludf.DUMMYFUNCTION("""COMPUTED_VALUE"""),"เข้ามุมตัว (ญ)")</f>
        <v>เข้ามุมตัว (ญ)</v>
      </c>
    </row>
    <row r="306">
      <c r="A306" s="128" t="str">
        <f>IFERROR(__xludf.DUMMYFUNCTION("""COMPUTED_VALUE"""),"อุปกรณ์")</f>
        <v>อุปกรณ์</v>
      </c>
      <c r="B306" s="128" t="str">
        <f>IFERROR(__xludf.DUMMYFUNCTION("""COMPUTED_VALUE"""),"เข้ามุมเล็ก")</f>
        <v>เข้ามุมเล็ก</v>
      </c>
    </row>
    <row r="307">
      <c r="A307" s="128" t="str">
        <f>IFERROR(__xludf.DUMMYFUNCTION("""COMPUTED_VALUE"""),"อุปกรณ์")</f>
        <v>อุปกรณ์</v>
      </c>
      <c r="B307" s="128" t="str">
        <f>IFERROR(__xludf.DUMMYFUNCTION("""COMPUTED_VALUE"""),"ไกด์รางแขวน-ดำ")</f>
        <v>ไกด์รางแขวน-ดำ</v>
      </c>
    </row>
    <row r="308">
      <c r="A308" s="128" t="str">
        <f>IFERROR(__xludf.DUMMYFUNCTION("""COMPUTED_VALUE"""),"อุปกรณ์")</f>
        <v>อุปกรณ์</v>
      </c>
      <c r="B308" s="128" t="str">
        <f>IFERROR(__xludf.DUMMYFUNCTION("""COMPUTED_VALUE"""),"SC-304P/บานพับ - ใหญ่ IA")</f>
        <v>SC-304P/บานพับ - ใหญ่ IA</v>
      </c>
    </row>
    <row r="309">
      <c r="A309" s="128" t="str">
        <f>IFERROR(__xludf.DUMMYFUNCTION("""COMPUTED_VALUE"""),"อุปกรณ์")</f>
        <v>อุปกรณ์</v>
      </c>
      <c r="B309" s="128" t="str">
        <f>IFERROR(__xludf.DUMMYFUNCTION("""COMPUTED_VALUE"""),"บานพับจีน -สีดำ")</f>
        <v>บานพับจีน -สีดำ</v>
      </c>
    </row>
    <row r="310">
      <c r="A310" s="128" t="str">
        <f>IFERROR(__xludf.DUMMYFUNCTION("""COMPUTED_VALUE"""),"อุปกรณ์")</f>
        <v>อุปกรณ์</v>
      </c>
      <c r="B310" s="128" t="str">
        <f>IFERROR(__xludf.DUMMYFUNCTION("""COMPUTED_VALUE"""),"บานพับจีน -สีขาว")</f>
        <v>บานพับจีน -สีขาว</v>
      </c>
    </row>
    <row r="311">
      <c r="A311" s="128" t="str">
        <f>IFERROR(__xludf.DUMMYFUNCTION("""COMPUTED_VALUE"""),"อุปกรณ์")</f>
        <v>อุปกรณ์</v>
      </c>
      <c r="B311" s="128" t="str">
        <f>IFERROR(__xludf.DUMMYFUNCTION("""COMPUTED_VALUE"""),"แผ่นรับล็อคมือจับของไฮด้า")</f>
        <v>แผ่นรับล็อคมือจับของไฮด้า</v>
      </c>
    </row>
    <row r="312">
      <c r="A312" s="128" t="str">
        <f>IFERROR(__xludf.DUMMYFUNCTION("""COMPUTED_VALUE"""),"อุปกรณ์")</f>
        <v>อุปกรณ์</v>
      </c>
      <c r="B312" s="128" t="str">
        <f>IFERROR(__xludf.DUMMYFUNCTION("""COMPUTED_VALUE"""),"CDQ ชุดบานเฟี้ยม CMECH")</f>
        <v>CDQ ชุดบานเฟี้ยม CMECH</v>
      </c>
    </row>
    <row r="313">
      <c r="A313" s="128" t="str">
        <f>IFERROR(__xludf.DUMMYFUNCTION("""COMPUTED_VALUE"""),"อุปกรณ์")</f>
        <v>อุปกรณ์</v>
      </c>
      <c r="B313" s="128" t="str">
        <f>IFERROR(__xludf.DUMMYFUNCTION("""COMPUTED_VALUE"""),"CDQ ของจีน")</f>
        <v>CDQ ของจีน</v>
      </c>
    </row>
    <row r="314">
      <c r="A314" s="128" t="str">
        <f>IFERROR(__xludf.DUMMYFUNCTION("""COMPUTED_VALUE"""),"อุปกรณ์")</f>
        <v>อุปกรณ์</v>
      </c>
      <c r="B314" s="128" t="str">
        <f>IFERROR(__xludf.DUMMYFUNCTION("""COMPUTED_VALUE"""),"CDQ ชุดบานกระทุ้ง-ดำ")</f>
        <v>CDQ ชุดบานกระทุ้ง-ดำ</v>
      </c>
    </row>
    <row r="315">
      <c r="A315" s="128" t="str">
        <f>IFERROR(__xludf.DUMMYFUNCTION("""COMPUTED_VALUE"""),"อุปกรณ์")</f>
        <v>อุปกรณ์</v>
      </c>
      <c r="B315" s="128" t="str">
        <f>IFERROR(__xludf.DUMMYFUNCTION("""COMPUTED_VALUE"""),"CDQ ชุดบานกระทุ้ง-เงิน")</f>
        <v>CDQ ชุดบานกระทุ้ง-เงิน</v>
      </c>
    </row>
    <row r="316">
      <c r="A316" s="128" t="str">
        <f>IFERROR(__xludf.DUMMYFUNCTION("""COMPUTED_VALUE"""),"อุปกรณ์")</f>
        <v>อุปกรณ์</v>
      </c>
      <c r="B316" s="128" t="str">
        <f>IFERROR(__xludf.DUMMYFUNCTION("""COMPUTED_VALUE"""),"สต๊อปเปอร์หัวบานของบานเปิด")</f>
        <v>สต๊อปเปอร์หัวบานของบานเปิด</v>
      </c>
    </row>
    <row r="317">
      <c r="A317" s="128" t="str">
        <f>IFERROR(__xludf.DUMMYFUNCTION("""COMPUTED_VALUE"""),"อุปกรณ์")</f>
        <v>อุปกรณ์</v>
      </c>
      <c r="B317" s="128" t="str">
        <f>IFERROR(__xludf.DUMMYFUNCTION("""COMPUTED_VALUE"""),"สต๊อปเปอร์ SUS304")</f>
        <v>สต๊อปเปอร์ SUS304</v>
      </c>
    </row>
    <row r="318">
      <c r="A318" s="128" t="str">
        <f>IFERROR(__xludf.DUMMYFUNCTION("""COMPUTED_VALUE"""),"อุปกรณ์")</f>
        <v>อุปกรณ์</v>
      </c>
      <c r="B318" s="128" t="str">
        <f>IFERROR(__xludf.DUMMYFUNCTION("""COMPUTED_VALUE"""),"สต๊อปเปอร์แปะพื้น")</f>
        <v>สต๊อปเปอร์แปะพื้น</v>
      </c>
    </row>
    <row r="319">
      <c r="A319" s="128" t="str">
        <f>IFERROR(__xludf.DUMMYFUNCTION("""COMPUTED_VALUE"""),"อุปกรณ์")</f>
        <v>อุปกรณ์</v>
      </c>
      <c r="B319" s="128" t="str">
        <f>IFERROR(__xludf.DUMMYFUNCTION("""COMPUTED_VALUE"""),"สต๊อปเปอร์ดัดแปลง")</f>
        <v>สต๊อปเปอร์ดัดแปลง</v>
      </c>
    </row>
    <row r="320">
      <c r="A320" s="128" t="str">
        <f>IFERROR(__xludf.DUMMYFUNCTION("""COMPUTED_VALUE"""),"อุปกรณ์")</f>
        <v>อุปกรณ์</v>
      </c>
      <c r="B320" s="128" t="str">
        <f>IFERROR(__xludf.DUMMYFUNCTION("""COMPUTED_VALUE"""),"สต๊อปเปอร์ครึ่งวงกลม")</f>
        <v>สต๊อปเปอร์ครึ่งวงกลม</v>
      </c>
    </row>
    <row r="321">
      <c r="A321" s="128" t="str">
        <f>IFERROR(__xludf.DUMMYFUNCTION("""COMPUTED_VALUE"""),"อุปกรณ์")</f>
        <v>อุปกรณ์</v>
      </c>
      <c r="B321" s="128" t="str">
        <f>IFERROR(__xludf.DUMMYFUNCTION("""COMPUTED_VALUE"""),"ล้ออะไหล่จีน CA-991782-003")</f>
        <v>ล้ออะไหล่จีน CA-991782-003</v>
      </c>
    </row>
    <row r="322">
      <c r="A322" s="128" t="str">
        <f>IFERROR(__xludf.DUMMYFUNCTION("""COMPUTED_VALUE"""),"อุปกรณ์")</f>
        <v>อุปกรณ์</v>
      </c>
      <c r="B322" s="128" t="str">
        <f>IFERROR(__xludf.DUMMYFUNCTION("""COMPUTED_VALUE"""),"อะไหล่บานเลือนสลิม CA-42000-002 (ยาว)")</f>
        <v>อะไหล่บานเลือนสลิม CA-42000-002 (ยาว)</v>
      </c>
    </row>
    <row r="323">
      <c r="A323" s="128" t="str">
        <f>IFERROR(__xludf.DUMMYFUNCTION("""COMPUTED_VALUE"""),"อุปกรณ์")</f>
        <v>อุปกรณ์</v>
      </c>
      <c r="B323" s="128" t="str">
        <f>IFERROR(__xludf.DUMMYFUNCTION("""COMPUTED_VALUE"""),"อะไหล่บานเลือนสลิม CA-420009-039 (ขวา)")</f>
        <v>อะไหล่บานเลือนสลิม CA-420009-039 (ขวา)</v>
      </c>
    </row>
    <row r="324">
      <c r="A324" s="128" t="str">
        <f>IFERROR(__xludf.DUMMYFUNCTION("""COMPUTED_VALUE"""),"อุปกรณ์")</f>
        <v>อุปกรณ์</v>
      </c>
      <c r="B324" s="128" t="str">
        <f>IFERROR(__xludf.DUMMYFUNCTION("""COMPUTED_VALUE"""),"อะไหล่บานเลือนสลิม CA-420009-040 (ซ้าย)")</f>
        <v>อะไหล่บานเลือนสลิม CA-420009-040 (ซ้าย)</v>
      </c>
    </row>
    <row r="325">
      <c r="A325" s="128" t="str">
        <f>IFERROR(__xludf.DUMMYFUNCTION("""COMPUTED_VALUE"""),"อุปกรณ์")</f>
        <v>อุปกรณ์</v>
      </c>
      <c r="B325" s="128" t="str">
        <f>IFERROR(__xludf.DUMMYFUNCTION("""COMPUTED_VALUE"""),"ล้อบานเลื่อน-16x27x190")</f>
        <v>ล้อบานเลื่อน-16x27x190</v>
      </c>
    </row>
    <row r="326">
      <c r="A326" s="128" t="str">
        <f>IFERROR(__xludf.DUMMYFUNCTION("""COMPUTED_VALUE"""),"อุปกรณ์")</f>
        <v>อุปกรณ์</v>
      </c>
      <c r="B326" s="128" t="str">
        <f>IFERROR(__xludf.DUMMYFUNCTION("""COMPUTED_VALUE"""),"ล้อ-15x20x230")</f>
        <v>ล้อ-15x20x230</v>
      </c>
    </row>
    <row r="327">
      <c r="A327" s="128" t="str">
        <f>IFERROR(__xludf.DUMMYFUNCTION("""COMPUTED_VALUE"""),"อุปกรณ์")</f>
        <v>อุปกรณ์</v>
      </c>
      <c r="B327" s="128" t="str">
        <f>IFERROR(__xludf.DUMMYFUNCTION("""COMPUTED_VALUE"""),"ล้อ (27 ตัวใหญ่)-16x27x255")</f>
        <v>ล้อ (27 ตัวใหญ่)-16x27x255</v>
      </c>
    </row>
    <row r="328">
      <c r="A328" s="128" t="str">
        <f>IFERROR(__xludf.DUMMYFUNCTION("""COMPUTED_VALUE"""),"อุปกรณ์")</f>
        <v>อุปกรณ์</v>
      </c>
      <c r="B328" s="128" t="str">
        <f>IFERROR(__xludf.DUMMYFUNCTION("""COMPUTED_VALUE"""),"ล้อเดียว-สีเขียว")</f>
        <v>ล้อเดียว-สีเขียว</v>
      </c>
    </row>
    <row r="329">
      <c r="A329" s="128" t="str">
        <f>IFERROR(__xludf.DUMMYFUNCTION("""COMPUTED_VALUE"""),"อุปกรณ์")</f>
        <v>อุปกรณ์</v>
      </c>
      <c r="B329" s="128" t="str">
        <f>IFERROR(__xludf.DUMMYFUNCTION("""COMPUTED_VALUE"""),"ล้อเดียว-สีแดง")</f>
        <v>ล้อเดียว-สีแดง</v>
      </c>
    </row>
    <row r="330">
      <c r="A330" s="128" t="str">
        <f>IFERROR(__xludf.DUMMYFUNCTION("""COMPUTED_VALUE"""),"อุปกรณ์")</f>
        <v>อุปกรณ์</v>
      </c>
      <c r="B330" s="128" t="str">
        <f>IFERROR(__xludf.DUMMYFUNCTION("""COMPUTED_VALUE"""),"ล้อแฝด")</f>
        <v>ล้อแฝด</v>
      </c>
    </row>
    <row r="331">
      <c r="A331" s="128" t="str">
        <f>IFERROR(__xludf.DUMMYFUNCTION("""COMPUTED_VALUE"""),"อุปกรณ์")</f>
        <v>อุปกรณ์</v>
      </c>
      <c r="B331" s="128" t="str">
        <f>IFERROR(__xludf.DUMMYFUNCTION("""COMPUTED_VALUE"""),"ล้อบานเลื่อนแขวน 240 กก.")</f>
        <v>ล้อบานเลื่อนแขวน 240 กก.</v>
      </c>
    </row>
    <row r="332">
      <c r="A332" s="128" t="str">
        <f>IFERROR(__xludf.DUMMYFUNCTION("""COMPUTED_VALUE"""),"อุปกรณ์")</f>
        <v>อุปกรณ์</v>
      </c>
      <c r="B332" s="128" t="str">
        <f>IFERROR(__xludf.DUMMYFUNCTION("""COMPUTED_VALUE"""),"ล้อเดี่ยว-15x18 - 83")</f>
        <v>ล้อเดี่ยว-15x18 - 83</v>
      </c>
    </row>
    <row r="333">
      <c r="A333" s="128" t="str">
        <f>IFERROR(__xludf.DUMMYFUNCTION("""COMPUTED_VALUE"""),"อุปกรณ์")</f>
        <v>อุปกรณ์</v>
      </c>
      <c r="B333" s="128" t="str">
        <f>IFERROR(__xludf.DUMMYFUNCTION("""COMPUTED_VALUE"""),"ล้อ-15x18 - 140")</f>
        <v>ล้อ-15x18 - 140</v>
      </c>
    </row>
    <row r="334">
      <c r="A334" s="128" t="str">
        <f>IFERROR(__xludf.DUMMYFUNCTION("""COMPUTED_VALUE"""),"อุปกรณ์")</f>
        <v>อุปกรณ์</v>
      </c>
      <c r="B334" s="128" t="str">
        <f>IFERROR(__xludf.DUMMYFUNCTION("""COMPUTED_VALUE"""),"ล้อ-15x20 - 150")</f>
        <v>ล้อ-15x20 - 150</v>
      </c>
    </row>
    <row r="335">
      <c r="A335" s="128" t="str">
        <f>IFERROR(__xludf.DUMMYFUNCTION("""COMPUTED_VALUE"""),"อุปกรณ์")</f>
        <v>อุปกรณ์</v>
      </c>
      <c r="B335" s="128" t="str">
        <f>IFERROR(__xludf.DUMMYFUNCTION("""COMPUTED_VALUE"""),"ล้อ-15x24 - 155")</f>
        <v>ล้อ-15x24 - 155</v>
      </c>
    </row>
    <row r="336">
      <c r="A336" s="128" t="str">
        <f>IFERROR(__xludf.DUMMYFUNCTION("""COMPUTED_VALUE"""),"อุปกรณ์")</f>
        <v>อุปกรณ์</v>
      </c>
      <c r="B336" s="128" t="str">
        <f>IFERROR(__xludf.DUMMYFUNCTION("""COMPUTED_VALUE"""),"ล้อกันกระดก")</f>
        <v>ล้อกันกระดก</v>
      </c>
    </row>
    <row r="337">
      <c r="A337" s="128" t="str">
        <f>IFERROR(__xludf.DUMMYFUNCTION("""COMPUTED_VALUE"""),"อุปกรณ์")</f>
        <v>อุปกรณ์</v>
      </c>
      <c r="B337" s="128" t="str">
        <f>IFERROR(__xludf.DUMMYFUNCTION("""COMPUTED_VALUE"""),"ล้อ hafele -100/A")</f>
        <v>ล้อ hafele -100/A</v>
      </c>
    </row>
    <row r="338">
      <c r="A338" s="128" t="str">
        <f>IFERROR(__xludf.DUMMYFUNCTION("""COMPUTED_VALUE"""),"อุปกรณ์")</f>
        <v>อุปกรณ์</v>
      </c>
      <c r="B338" s="128" t="str">
        <f>IFERROR(__xludf.DUMMYFUNCTION("""COMPUTED_VALUE"""),"รูระบายน้ำตัวกลม")</f>
        <v>รูระบายน้ำตัวกลม</v>
      </c>
    </row>
    <row r="339">
      <c r="A339" s="128" t="str">
        <f>IFERROR(__xludf.DUMMYFUNCTION("""COMPUTED_VALUE"""),"อุปกรณ์")</f>
        <v>อุปกรณ์</v>
      </c>
      <c r="B339" s="128" t="str">
        <f>IFERROR(__xludf.DUMMYFUNCTION("""COMPUTED_VALUE"""),"รูระบายน้ำตัวยาว")</f>
        <v>รูระบายน้ำตัวยาว</v>
      </c>
    </row>
    <row r="340">
      <c r="A340" s="128" t="str">
        <f>IFERROR(__xludf.DUMMYFUNCTION("""COMPUTED_VALUE"""),"อุปกรณ์")</f>
        <v>อุปกรณ์</v>
      </c>
      <c r="B340" s="128" t="str">
        <f>IFERROR(__xludf.DUMMYFUNCTION("""COMPUTED_VALUE"""),"ก้ามปูบานเลื่อน")</f>
        <v>ก้ามปูบานเลื่อน</v>
      </c>
    </row>
    <row r="341">
      <c r="A341" s="128" t="str">
        <f>IFERROR(__xludf.DUMMYFUNCTION("""COMPUTED_VALUE"""),"อุปกรณ์")</f>
        <v>อุปกรณ์</v>
      </c>
      <c r="B341" s="128" t="str">
        <f>IFERROR(__xludf.DUMMYFUNCTION("""COMPUTED_VALUE"""),"สปริงก๊อต")</f>
        <v>สปริงก๊อต</v>
      </c>
    </row>
    <row r="342">
      <c r="A342" s="128" t="str">
        <f>IFERROR(__xludf.DUMMYFUNCTION("""COMPUTED_VALUE"""),"อุปกรณ์")</f>
        <v>อุปกรณ์</v>
      </c>
      <c r="B342" s="128" t="str">
        <f>IFERROR(__xludf.DUMMYFUNCTION("""COMPUTED_VALUE"""),"ลูกบิดมุ้ง-ดำ")</f>
        <v>ลูกบิดมุ้ง-ดำ</v>
      </c>
    </row>
    <row r="343">
      <c r="A343" s="128" t="str">
        <f>IFERROR(__xludf.DUMMYFUNCTION("""COMPUTED_VALUE"""),"อุปกรณ์")</f>
        <v>อุปกรณ์</v>
      </c>
      <c r="B343" s="128" t="str">
        <f>IFERROR(__xludf.DUMMYFUNCTION("""COMPUTED_VALUE"""),"ลูกบิดมุ้ง-ชาว")</f>
        <v>ลูกบิดมุ้ง-ชาว</v>
      </c>
    </row>
    <row r="344">
      <c r="A344" s="128" t="str">
        <f>IFERROR(__xludf.DUMMYFUNCTION("""COMPUTED_VALUE"""),"อุปกรณ์")</f>
        <v>อุปกรณ์</v>
      </c>
      <c r="B344" s="128" t="str">
        <f>IFERROR(__xludf.DUMMYFUNCTION("""COMPUTED_VALUE"""),"ลูกบิดมุ้ง-ใส")</f>
        <v>ลูกบิดมุ้ง-ใส</v>
      </c>
    </row>
    <row r="345">
      <c r="A345" s="128" t="str">
        <f>IFERROR(__xludf.DUMMYFUNCTION("""COMPUTED_VALUE"""),"อุปกรณ์")</f>
        <v>อุปกรณ์</v>
      </c>
      <c r="B345" s="128" t="str">
        <f>IFERROR(__xludf.DUMMYFUNCTION("""COMPUTED_VALUE"""),"กลอนซ่อน")</f>
        <v>กลอนซ่อน</v>
      </c>
    </row>
    <row r="346">
      <c r="A346" s="128" t="str">
        <f>IFERROR(__xludf.DUMMYFUNCTION("""COMPUTED_VALUE"""),"อุปกรณ์")</f>
        <v>อุปกรณ์</v>
      </c>
      <c r="B346" s="128" t="str">
        <f>IFERROR(__xludf.DUMMYFUNCTION("""COMPUTED_VALUE"""),"ปิดร่องเฟรมบน บานเฟียม")</f>
        <v>ปิดร่องเฟรมบน บานเฟียม</v>
      </c>
    </row>
    <row r="347">
      <c r="A347" s="128" t="str">
        <f>IFERROR(__xludf.DUMMYFUNCTION("""COMPUTED_VALUE"""),"อุปกรณ์")</f>
        <v>อุปกรณ์</v>
      </c>
      <c r="B347" s="128" t="str">
        <f>IFERROR(__xludf.DUMMYFUNCTION("""COMPUTED_VALUE"""),"ลูกปืนทอง (ปลายกลอน)")</f>
        <v>ลูกปืนทอง (ปลายกลอน)</v>
      </c>
    </row>
    <row r="348">
      <c r="A348" s="128" t="str">
        <f>IFERROR(__xludf.DUMMYFUNCTION("""COMPUTED_VALUE"""),"อุปกรณ์")</f>
        <v>อุปกรณ์</v>
      </c>
      <c r="B348" s="128" t="str">
        <f>IFERROR(__xludf.DUMMYFUNCTION("""COMPUTED_VALUE"""),"แผ่นรับล็อคบานเลื่อนยูโร")</f>
        <v>แผ่นรับล็อคบานเลื่อนยูโร</v>
      </c>
    </row>
    <row r="349">
      <c r="A349" s="128" t="str">
        <f>IFERROR(__xludf.DUMMYFUNCTION("""COMPUTED_VALUE"""),"อุปกรณ์")</f>
        <v>อุปกรณ์</v>
      </c>
      <c r="B349" s="128" t="str">
        <f>IFERROR(__xludf.DUMMYFUNCTION("""COMPUTED_VALUE"""),"ฝาปิดตบเกี่ยวยูโร")</f>
        <v>ฝาปิดตบเกี่ยวยูโร</v>
      </c>
    </row>
    <row r="350">
      <c r="A350" s="128" t="str">
        <f>IFERROR(__xludf.DUMMYFUNCTION("""COMPUTED_VALUE"""),"อุปกรณ์")</f>
        <v>อุปกรณ์</v>
      </c>
      <c r="B350" s="128" t="str">
        <f>IFERROR(__xludf.DUMMYFUNCTION("""COMPUTED_VALUE"""),"ฝาปิดรูกลอนประตู")</f>
        <v>ฝาปิดรูกลอนประตู</v>
      </c>
    </row>
    <row r="351">
      <c r="A351" s="128" t="str">
        <f>IFERROR(__xludf.DUMMYFUNCTION("""COMPUTED_VALUE"""),"อุปกรณ์")</f>
        <v>อุปกรณ์</v>
      </c>
      <c r="B351" s="128" t="str">
        <f>IFERROR(__xludf.DUMMYFUNCTION("""COMPUTED_VALUE"""),"อุปกรณ์ชุดบานเฟี้ยม-สีดำ-05-004-BL")</f>
        <v>อุปกรณ์ชุดบานเฟี้ยม-สีดำ-05-004-BL</v>
      </c>
    </row>
    <row r="352">
      <c r="A352" s="128" t="str">
        <f>IFERROR(__xludf.DUMMYFUNCTION("""COMPUTED_VALUE"""),"อุปกรณ์")</f>
        <v>อุปกรณ์</v>
      </c>
      <c r="B352" s="128" t="str">
        <f>IFERROR(__xludf.DUMMYFUNCTION("""COMPUTED_VALUE"""),"อุปกรณ์ชุดบานเฟี้ยม-สีดำ-05-005-BL")</f>
        <v>อุปกรณ์ชุดบานเฟี้ยม-สีดำ-05-005-BL</v>
      </c>
    </row>
    <row r="353">
      <c r="A353" s="128" t="str">
        <f>IFERROR(__xludf.DUMMYFUNCTION("""COMPUTED_VALUE"""),"อุปกรณ์")</f>
        <v>อุปกรณ์</v>
      </c>
      <c r="B353" s="128" t="str">
        <f>IFERROR(__xludf.DUMMYFUNCTION("""COMPUTED_VALUE"""),"อุปกรณ์ชุดบานเฟี้ยม-สีดำ-05-006-BL")</f>
        <v>อุปกรณ์ชุดบานเฟี้ยม-สีดำ-05-006-BL</v>
      </c>
    </row>
    <row r="354">
      <c r="A354" s="128" t="str">
        <f>IFERROR(__xludf.DUMMYFUNCTION("""COMPUTED_VALUE"""),"อุปกรณ์")</f>
        <v>อุปกรณ์</v>
      </c>
      <c r="B354" s="128" t="str">
        <f>IFERROR(__xludf.DUMMYFUNCTION("""COMPUTED_VALUE"""),"อุปกรณ์ชุดบานเฟี้ยม-สีดำ-05-007-BL")</f>
        <v>อุปกรณ์ชุดบานเฟี้ยม-สีดำ-05-007-BL</v>
      </c>
    </row>
    <row r="355">
      <c r="A355" s="128" t="str">
        <f>IFERROR(__xludf.DUMMYFUNCTION("""COMPUTED_VALUE"""),"อุปกรณ์")</f>
        <v>อุปกรณ์</v>
      </c>
      <c r="B355" s="128" t="str">
        <f>IFERROR(__xludf.DUMMYFUNCTION("""COMPUTED_VALUE"""),"อุปกรณ์ชุดบานเฟี้ยม-สีดำ-05-008-BL")</f>
        <v>อุปกรณ์ชุดบานเฟี้ยม-สีดำ-05-008-BL</v>
      </c>
    </row>
    <row r="356">
      <c r="A356" s="128" t="str">
        <f>IFERROR(__xludf.DUMMYFUNCTION("""COMPUTED_VALUE"""),"อุปกรณ์")</f>
        <v>อุปกรณ์</v>
      </c>
      <c r="B356" s="128" t="str">
        <f>IFERROR(__xludf.DUMMYFUNCTION("""COMPUTED_VALUE"""),"อุปกรณ์ชุดบานเฟี้ยม-สีดำ-05-009-BL")</f>
        <v>อุปกรณ์ชุดบานเฟี้ยม-สีดำ-05-009-BL</v>
      </c>
    </row>
    <row r="357">
      <c r="A357" s="128" t="str">
        <f>IFERROR(__xludf.DUMMYFUNCTION("""COMPUTED_VALUE"""),"อุปกรณ์")</f>
        <v>อุปกรณ์</v>
      </c>
      <c r="B357" s="128" t="str">
        <f>IFERROR(__xludf.DUMMYFUNCTION("""COMPUTED_VALUE"""),"อุปกรณ์ชุดบานเฟี้ยม-สีดำ-05-010-BL")</f>
        <v>อุปกรณ์ชุดบานเฟี้ยม-สีดำ-05-010-BL</v>
      </c>
    </row>
    <row r="358">
      <c r="A358" s="128" t="str">
        <f>IFERROR(__xludf.DUMMYFUNCTION("""COMPUTED_VALUE"""),"อุปกรณ์")</f>
        <v>อุปกรณ์</v>
      </c>
      <c r="B358" s="128" t="str">
        <f>IFERROR(__xludf.DUMMYFUNCTION("""COMPUTED_VALUE"""),"อุปกรณ์ชุดบานเฟี้ยม-สีดำ-05-011-BL")</f>
        <v>อุปกรณ์ชุดบานเฟี้ยม-สีดำ-05-011-BL</v>
      </c>
    </row>
    <row r="359">
      <c r="A359" s="128" t="str">
        <f>IFERROR(__xludf.DUMMYFUNCTION("""COMPUTED_VALUE"""),"อุปกรณ์")</f>
        <v>อุปกรณ์</v>
      </c>
      <c r="B359" s="128" t="str">
        <f>IFERROR(__xludf.DUMMYFUNCTION("""COMPUTED_VALUE"""),"อุปกรณ์ชุดบานเฟี้ยม-สีเงิน-05-004-SL")</f>
        <v>อุปกรณ์ชุดบานเฟี้ยม-สีเงิน-05-004-SL</v>
      </c>
    </row>
    <row r="360">
      <c r="A360" s="128" t="str">
        <f>IFERROR(__xludf.DUMMYFUNCTION("""COMPUTED_VALUE"""),"อุปกรณ์")</f>
        <v>อุปกรณ์</v>
      </c>
      <c r="B360" s="128" t="str">
        <f>IFERROR(__xludf.DUMMYFUNCTION("""COMPUTED_VALUE"""),"อุปกรณ์ชุดบานเฟี้ยม-สีเงิน-05-005-SL")</f>
        <v>อุปกรณ์ชุดบานเฟี้ยม-สีเงิน-05-005-SL</v>
      </c>
    </row>
    <row r="361">
      <c r="A361" s="128" t="str">
        <f>IFERROR(__xludf.DUMMYFUNCTION("""COMPUTED_VALUE"""),"อุปกรณ์")</f>
        <v>อุปกรณ์</v>
      </c>
      <c r="B361" s="128" t="str">
        <f>IFERROR(__xludf.DUMMYFUNCTION("""COMPUTED_VALUE"""),"อุปกรณ์ชุดบานเฟี้ยม-สีเงิน-05-006-SL")</f>
        <v>อุปกรณ์ชุดบานเฟี้ยม-สีเงิน-05-006-SL</v>
      </c>
    </row>
    <row r="362">
      <c r="A362" s="128" t="str">
        <f>IFERROR(__xludf.DUMMYFUNCTION("""COMPUTED_VALUE"""),"อุปกรณ์")</f>
        <v>อุปกรณ์</v>
      </c>
      <c r="B362" s="128" t="str">
        <f>IFERROR(__xludf.DUMMYFUNCTION("""COMPUTED_VALUE"""),"อุปกรณ์ชุดบานเฟี้ยม-สีเงิน-05-007-SL")</f>
        <v>อุปกรณ์ชุดบานเฟี้ยม-สีเงิน-05-007-SL</v>
      </c>
    </row>
    <row r="363">
      <c r="A363" s="128" t="str">
        <f>IFERROR(__xludf.DUMMYFUNCTION("""COMPUTED_VALUE"""),"อุปกรณ์")</f>
        <v>อุปกรณ์</v>
      </c>
      <c r="B363" s="128" t="str">
        <f>IFERROR(__xludf.DUMMYFUNCTION("""COMPUTED_VALUE"""),"อุปกรณ์ชุดบานเฟี้ยม-สีเงิน-05-008-SL")</f>
        <v>อุปกรณ์ชุดบานเฟี้ยม-สีเงิน-05-008-SL</v>
      </c>
    </row>
    <row r="364">
      <c r="A364" s="128" t="str">
        <f>IFERROR(__xludf.DUMMYFUNCTION("""COMPUTED_VALUE"""),"อุปกรณ์")</f>
        <v>อุปกรณ์</v>
      </c>
      <c r="B364" s="128" t="str">
        <f>IFERROR(__xludf.DUMMYFUNCTION("""COMPUTED_VALUE"""),"อุปกรณ์ชุดบานเฟี้ยม-สีเงิน-05-009-SL")</f>
        <v>อุปกรณ์ชุดบานเฟี้ยม-สีเงิน-05-009-SL</v>
      </c>
    </row>
    <row r="365">
      <c r="A365" s="128" t="str">
        <f>IFERROR(__xludf.DUMMYFUNCTION("""COMPUTED_VALUE"""),"อุปกรณ์")</f>
        <v>อุปกรณ์</v>
      </c>
      <c r="B365" s="128" t="str">
        <f>IFERROR(__xludf.DUMMYFUNCTION("""COMPUTED_VALUE"""),"อุปกรณ์ชุดบานเฟี้ยม-สีเงิน-05-010-SL")</f>
        <v>อุปกรณ์ชุดบานเฟี้ยม-สีเงิน-05-010-SL</v>
      </c>
    </row>
    <row r="366">
      <c r="A366" s="128" t="str">
        <f>IFERROR(__xludf.DUMMYFUNCTION("""COMPUTED_VALUE"""),"อุปกรณ์")</f>
        <v>อุปกรณ์</v>
      </c>
      <c r="B366" s="128" t="str">
        <f>IFERROR(__xludf.DUMMYFUNCTION("""COMPUTED_VALUE"""),"อุปกรณ์ชุดบานเฟี้ยม-สีเงิน-05-011-SL")</f>
        <v>อุปกรณ์ชุดบานเฟี้ยม-สีเงิน-05-011-SL</v>
      </c>
    </row>
    <row r="367">
      <c r="A367" s="128" t="str">
        <f>IFERROR(__xludf.DUMMYFUNCTION("""COMPUTED_VALUE"""),"อุปกรณ์")</f>
        <v>อุปกรณ์</v>
      </c>
      <c r="B367" s="128" t="str">
        <f>IFERROR(__xludf.DUMMYFUNCTION("""COMPUTED_VALUE"""),"ล้อ-15x18 - 140")</f>
        <v>ล้อ-15x18 - 140</v>
      </c>
    </row>
    <row r="368">
      <c r="A368" s="128" t="str">
        <f>IFERROR(__xludf.DUMMYFUNCTION("""COMPUTED_VALUE"""),"อุปกรณ์")</f>
        <v>อุปกรณ์</v>
      </c>
      <c r="B368" s="128" t="str">
        <f>IFERROR(__xludf.DUMMYFUNCTION("""COMPUTED_VALUE"""),"ล้อ-15x20 - 150")</f>
        <v>ล้อ-15x20 - 150</v>
      </c>
    </row>
    <row r="369">
      <c r="A369" s="128" t="str">
        <f>IFERROR(__xludf.DUMMYFUNCTION("""COMPUTED_VALUE"""),"อุปกรณ์")</f>
        <v>อุปกรณ์</v>
      </c>
      <c r="B369" s="128" t="str">
        <f>IFERROR(__xludf.DUMMYFUNCTION("""COMPUTED_VALUE"""),"ล้อ-15x24 - 155")</f>
        <v>ล้อ-15x24 - 155</v>
      </c>
    </row>
    <row r="370">
      <c r="A370" s="128" t="str">
        <f>IFERROR(__xludf.DUMMYFUNCTION("""COMPUTED_VALUE"""),"อุปกรณ์")</f>
        <v>อุปกรณ์</v>
      </c>
      <c r="B370" s="128" t="str">
        <f>IFERROR(__xludf.DUMMYFUNCTION("""COMPUTED_VALUE"""),"คอม้าเหล็กสแตนเลส")</f>
        <v>คอม้าเหล็กสแตนเลส</v>
      </c>
    </row>
    <row r="371">
      <c r="A371" s="128" t="str">
        <f>IFERROR(__xludf.DUMMYFUNCTION("""COMPUTED_VALUE"""),"อุปกรณ์")</f>
        <v>อุปกรณ์</v>
      </c>
      <c r="B371" s="128" t="str">
        <f>IFERROR(__xludf.DUMMYFUNCTION("""COMPUTED_VALUE"""),"คอม้าบานสวิง-สีอบขาว")</f>
        <v>คอม้าบานสวิง-สีอบขาว</v>
      </c>
    </row>
    <row r="372">
      <c r="A372" s="128" t="str">
        <f>IFERROR(__xludf.DUMMYFUNCTION("""COMPUTED_VALUE"""),"อุปกรณ์")</f>
        <v>อุปกรณ์</v>
      </c>
      <c r="B372" s="128" t="str">
        <f>IFERROR(__xludf.DUMMYFUNCTION("""COMPUTED_VALUE"""),"คอม้าบานสวิง-ดำ")</f>
        <v>คอม้าบานสวิง-ดำ</v>
      </c>
    </row>
    <row r="373">
      <c r="A373" s="128" t="str">
        <f>IFERROR(__xludf.DUMMYFUNCTION("""COMPUTED_VALUE"""),"อุปกรณ์")</f>
        <v>อุปกรณ์</v>
      </c>
      <c r="B373" s="128" t="str">
        <f>IFERROR(__xludf.DUMMYFUNCTION("""COMPUTED_VALUE"""),"คอม้าบานสวิง-ชา")</f>
        <v>คอม้าบานสวิง-ชา</v>
      </c>
    </row>
    <row r="374">
      <c r="A374" s="128" t="str">
        <f>IFERROR(__xludf.DUMMYFUNCTION("""COMPUTED_VALUE"""),"อุปกรณ์")</f>
        <v>อุปกรณ์</v>
      </c>
      <c r="B374" s="128" t="str">
        <f>IFERROR(__xludf.DUMMYFUNCTION("""COMPUTED_VALUE"""),"คอม้าบานสวิง-บรอนซ์")</f>
        <v>คอม้าบานสวิง-บรอนซ์</v>
      </c>
    </row>
    <row r="375">
      <c r="A375" s="128" t="str">
        <f>IFERROR(__xludf.DUMMYFUNCTION("""COMPUTED_VALUE"""),"อุปกรณ์")</f>
        <v>อุปกรณ์</v>
      </c>
      <c r="B375" s="128" t="str">
        <f>IFERROR(__xludf.DUMMYFUNCTION("""COMPUTED_VALUE"""),"คอม้าบานเลื่อน-สีอบขาว")</f>
        <v>คอม้าบานเลื่อน-สีอบขาว</v>
      </c>
    </row>
    <row r="376">
      <c r="A376" s="128" t="str">
        <f>IFERROR(__xludf.DUMMYFUNCTION("""COMPUTED_VALUE"""),"อุปกรณ์")</f>
        <v>อุปกรณ์</v>
      </c>
      <c r="B376" s="128" t="str">
        <f>IFERROR(__xludf.DUMMYFUNCTION("""COMPUTED_VALUE"""),"คอม้าบานเลื่อน-ดำ")</f>
        <v>คอม้าบานเลื่อน-ดำ</v>
      </c>
    </row>
    <row r="377">
      <c r="A377" s="128" t="str">
        <f>IFERROR(__xludf.DUMMYFUNCTION("""COMPUTED_VALUE"""),"อุปกรณ์")</f>
        <v>อุปกรณ์</v>
      </c>
      <c r="B377" s="128" t="str">
        <f>IFERROR(__xludf.DUMMYFUNCTION("""COMPUTED_VALUE"""),"คอม้าบานเลื่อน-ชา")</f>
        <v>คอม้าบานเลื่อน-ชา</v>
      </c>
    </row>
    <row r="378">
      <c r="A378" s="128" t="str">
        <f>IFERROR(__xludf.DUMMYFUNCTION("""COMPUTED_VALUE"""),"อุปกรณ์")</f>
        <v>อุปกรณ์</v>
      </c>
      <c r="B378" s="128" t="str">
        <f>IFERROR(__xludf.DUMMYFUNCTION("""COMPUTED_VALUE"""),"คอม้าบานเลื่อน-บรอนซ์")</f>
        <v>คอม้าบานเลื่อน-บรอนซ์</v>
      </c>
    </row>
    <row r="379">
      <c r="A379" s="128" t="str">
        <f>IFERROR(__xludf.DUMMYFUNCTION("""COMPUTED_VALUE"""),"อุปกรณ์")</f>
        <v>อุปกรณ์</v>
      </c>
      <c r="B379" s="128" t="str">
        <f>IFERROR(__xludf.DUMMYFUNCTION("""COMPUTED_VALUE"""),"กลอนบานสวิงกล่องสีส้ม-ดำ")</f>
        <v>กลอนบานสวิงกล่องสีส้ม-ดำ</v>
      </c>
    </row>
    <row r="380">
      <c r="A380" s="128" t="str">
        <f>IFERROR(__xludf.DUMMYFUNCTION("""COMPUTED_VALUE"""),"อุปกรณ์")</f>
        <v>อุปกรณ์</v>
      </c>
      <c r="B380" s="128" t="str">
        <f>IFERROR(__xludf.DUMMYFUNCTION("""COMPUTED_VALUE"""),"กลอนบานสวิงกล่องสีส้ม-ขาว")</f>
        <v>กลอนบานสวิงกล่องสีส้ม-ขาว</v>
      </c>
    </row>
    <row r="381">
      <c r="A381" s="128" t="str">
        <f>IFERROR(__xludf.DUMMYFUNCTION("""COMPUTED_VALUE"""),"อุปกรณ์")</f>
        <v>อุปกรณ์</v>
      </c>
      <c r="B381" s="128" t="str">
        <f>IFERROR(__xludf.DUMMYFUNCTION("""COMPUTED_VALUE"""),"กลอนบานสวิงกล่องสีส้ม-สีชา")</f>
        <v>กลอนบานสวิงกล่องสีส้ม-สีชา</v>
      </c>
    </row>
    <row r="382">
      <c r="A382" s="128" t="str">
        <f>IFERROR(__xludf.DUMMYFUNCTION("""COMPUTED_VALUE"""),"อุปกรณ์")</f>
        <v>อุปกรณ์</v>
      </c>
      <c r="B382" s="128" t="str">
        <f>IFERROR(__xludf.DUMMYFUNCTION("""COMPUTED_VALUE"""),"กลอนบานสวิงกล่องสีส้ม-อบขาว")</f>
        <v>กลอนบานสวิงกล่องสีส้ม-อบขาว</v>
      </c>
    </row>
    <row r="383">
      <c r="A383" s="128" t="str">
        <f>IFERROR(__xludf.DUMMYFUNCTION("""COMPUTED_VALUE"""),"อุปกรณ์")</f>
        <v>อุปกรณ์</v>
      </c>
      <c r="B383" s="128" t="str">
        <f>IFERROR(__xludf.DUMMYFUNCTION("""COMPUTED_VALUE"""),"ท่อนํ้าทิ้ง-2½""")</f>
        <v>ท่อนํ้าทิ้ง-2½"</v>
      </c>
    </row>
    <row r="384">
      <c r="A384" s="128" t="str">
        <f>IFERROR(__xludf.DUMMYFUNCTION("""COMPUTED_VALUE"""),"อุปกรณ์")</f>
        <v>อุปกรณ์</v>
      </c>
      <c r="B384" s="128" t="str">
        <f>IFERROR(__xludf.DUMMYFUNCTION("""COMPUTED_VALUE"""),"ข้อต่อตรง-2½""")</f>
        <v>ข้อต่อตรง-2½"</v>
      </c>
    </row>
    <row r="385">
      <c r="A385" s="128" t="str">
        <f>IFERROR(__xludf.DUMMYFUNCTION("""COMPUTED_VALUE"""),"อุปกรณ์")</f>
        <v>อุปกรณ์</v>
      </c>
      <c r="B385" s="128" t="str">
        <f>IFERROR(__xludf.DUMMYFUNCTION("""COMPUTED_VALUE"""),"ข้องอ90-2½""")</f>
        <v>ข้องอ90-2½"</v>
      </c>
    </row>
    <row r="386">
      <c r="A386" s="128" t="str">
        <f>IFERROR(__xludf.DUMMYFUNCTION("""COMPUTED_VALUE"""),"อุปกรณ์")</f>
        <v>อุปกรณ์</v>
      </c>
      <c r="B386" s="128" t="str">
        <f>IFERROR(__xludf.DUMMYFUNCTION("""COMPUTED_VALUE"""),"ข้องอ45-2½""")</f>
        <v>ข้องอ45-2½"</v>
      </c>
    </row>
    <row r="387">
      <c r="A387" s="128" t="str">
        <f>IFERROR(__xludf.DUMMYFUNCTION("""COMPUTED_VALUE"""),"อุปกรณ์")</f>
        <v>อุปกรณ์</v>
      </c>
      <c r="B387" s="128" t="str">
        <f>IFERROR(__xludf.DUMMYFUNCTION("""COMPUTED_VALUE"""),"ต่อ 3 ทาง-2½""")</f>
        <v>ต่อ 3 ทาง-2½"</v>
      </c>
    </row>
    <row r="388">
      <c r="A388" s="128" t="str">
        <f>IFERROR(__xludf.DUMMYFUNCTION("""COMPUTED_VALUE"""),"อุปกรณ์")</f>
        <v>อุปกรณ์</v>
      </c>
      <c r="B388" s="128" t="str">
        <f>IFERROR(__xludf.DUMMYFUNCTION("""COMPUTED_VALUE"""),"ต่อ 3 ทาง y-2½""")</f>
        <v>ต่อ 3 ทาง y-2½"</v>
      </c>
    </row>
    <row r="389">
      <c r="A389" s="128" t="str">
        <f>IFERROR(__xludf.DUMMYFUNCTION("""COMPUTED_VALUE"""),"อุปกรณ์")</f>
        <v>อุปกรณ์</v>
      </c>
      <c r="B389" s="128" t="str">
        <f>IFERROR(__xludf.DUMMYFUNCTION("""COMPUTED_VALUE"""),"กรวยรางนํ้าสแตนเลส-2½""")</f>
        <v>กรวยรางนํ้าสแตนเลส-2½"</v>
      </c>
    </row>
    <row r="390">
      <c r="A390" s="128" t="str">
        <f>IFERROR(__xludf.DUMMYFUNCTION("""COMPUTED_VALUE"""),"อุปกรณ์")</f>
        <v>อุปกรณ์</v>
      </c>
      <c r="B390" s="128" t="str">
        <f>IFERROR(__xludf.DUMMYFUNCTION("""COMPUTED_VALUE"""),"ท่อนํ้าทิ้ง-2""")</f>
        <v>ท่อนํ้าทิ้ง-2"</v>
      </c>
    </row>
    <row r="391">
      <c r="A391" s="128" t="str">
        <f>IFERROR(__xludf.DUMMYFUNCTION("""COMPUTED_VALUE"""),"อุปกรณ์")</f>
        <v>อุปกรณ์</v>
      </c>
      <c r="B391" s="128" t="str">
        <f>IFERROR(__xludf.DUMMYFUNCTION("""COMPUTED_VALUE"""),"ข้องอ 90-2""")</f>
        <v>ข้องอ 90-2"</v>
      </c>
    </row>
    <row r="392">
      <c r="A392" s="128" t="str">
        <f>IFERROR(__xludf.DUMMYFUNCTION("""COMPUTED_VALUE"""),"อุปกรณ์")</f>
        <v>อุปกรณ์</v>
      </c>
      <c r="B392" s="128" t="str">
        <f>IFERROR(__xludf.DUMMYFUNCTION("""COMPUTED_VALUE"""),"ข้องอ 45-2""")</f>
        <v>ข้องอ 45-2"</v>
      </c>
    </row>
    <row r="393">
      <c r="A393" s="128" t="str">
        <f>IFERROR(__xludf.DUMMYFUNCTION("""COMPUTED_VALUE"""),"อุปกรณ์")</f>
        <v>อุปกรณ์</v>
      </c>
      <c r="B393" s="128" t="str">
        <f>IFERROR(__xludf.DUMMYFUNCTION("""COMPUTED_VALUE"""),"กรวยรางนํ้าสแตนเลส-2""")</f>
        <v>กรวยรางนํ้าสแตนเลส-2"</v>
      </c>
    </row>
    <row r="394">
      <c r="A394" s="128" t="str">
        <f>IFERROR(__xludf.DUMMYFUNCTION("""COMPUTED_VALUE"""),"อุปกรณ์")</f>
        <v>อุปกรณ์</v>
      </c>
      <c r="B394" s="128" t="str">
        <f>IFERROR(__xludf.DUMMYFUNCTION("""COMPUTED_VALUE"""),"กาวทาท่อนํ้า")</f>
        <v>กาวทาท่อนํ้า</v>
      </c>
    </row>
    <row r="395">
      <c r="A395" s="128" t="str">
        <f>IFERROR(__xludf.DUMMYFUNCTION("""COMPUTED_VALUE"""),"อุปกรณ์")</f>
        <v>อุปกรณ์</v>
      </c>
      <c r="B395" s="128" t="str">
        <f>IFERROR(__xludf.DUMMYFUNCTION("""COMPUTED_VALUE"""),"เทปพันท่อนํ้า -สีขาว")</f>
        <v>เทปพันท่อนํ้า -สีขาว</v>
      </c>
    </row>
    <row r="396">
      <c r="A396" s="128" t="str">
        <f>IFERROR(__xludf.DUMMYFUNCTION("""COMPUTED_VALUE"""),"อุปกรณ์")</f>
        <v>อุปกรณ์</v>
      </c>
      <c r="B396" s="128" t="str">
        <f>IFERROR(__xludf.DUMMYFUNCTION("""COMPUTED_VALUE"""),"โช่รางนํ้าโลตัส-สีขาว")</f>
        <v>โช่รางนํ้าโลตัส-สีขาว</v>
      </c>
    </row>
    <row r="397">
      <c r="A397" s="128" t="str">
        <f>IFERROR(__xludf.DUMMYFUNCTION("""COMPUTED_VALUE"""),"อุปกรณ์")</f>
        <v>อุปกรณ์</v>
      </c>
      <c r="B397" s="128" t="str">
        <f>IFERROR(__xludf.DUMMYFUNCTION("""COMPUTED_VALUE"""),"โช่รางนํ้าโลตัส-สีนํ้าตาล")</f>
        <v>โช่รางนํ้าโลตัส-สีนํ้าตาล</v>
      </c>
    </row>
    <row r="398">
      <c r="A398" s="128" t="str">
        <f>IFERROR(__xludf.DUMMYFUNCTION("""COMPUTED_VALUE"""),"อุปกรณ์")</f>
        <v>อุปกรณ์</v>
      </c>
      <c r="B398" s="128" t="str">
        <f>IFERROR(__xludf.DUMMYFUNCTION("""COMPUTED_VALUE"""),"โช่รางนํ้า ทิวลิป-สีขาว")</f>
        <v>โช่รางนํ้า ทิวลิป-สีขาว</v>
      </c>
    </row>
    <row r="399">
      <c r="A399" s="128" t="str">
        <f>IFERROR(__xludf.DUMMYFUNCTION("""COMPUTED_VALUE"""),"อุปกรณ์")</f>
        <v>อุปกรณ์</v>
      </c>
      <c r="B399" s="128" t="str">
        <f>IFERROR(__xludf.DUMMYFUNCTION("""COMPUTED_VALUE"""),"โช่รางนํ้า ทิวลิป-สีนํ้าตาล")</f>
        <v>โช่รางนํ้า ทิวลิป-สีนํ้าตาล</v>
      </c>
    </row>
    <row r="400">
      <c r="A400" s="128" t="str">
        <f>IFERROR(__xludf.DUMMYFUNCTION("""COMPUTED_VALUE"""),"อุปกรณ์")</f>
        <v>อุปกรณ์</v>
      </c>
      <c r="B400" s="128" t="str">
        <f>IFERROR(__xludf.DUMMYFUNCTION("""COMPUTED_VALUE"""),"พัดลมดูดอากาศ-สีขาว-8""")</f>
        <v>พัดลมดูดอากาศ-สีขาว-8"</v>
      </c>
    </row>
    <row r="401">
      <c r="A401" s="128" t="str">
        <f>IFERROR(__xludf.DUMMYFUNCTION("""COMPUTED_VALUE"""),"อุปกรณ์")</f>
        <v>อุปกรณ์</v>
      </c>
      <c r="B401" s="128" t="str">
        <f>IFERROR(__xludf.DUMMYFUNCTION("""COMPUTED_VALUE"""),"พัดลมดูดอากาศ-สีนํ้าตาล-8""")</f>
        <v>พัดลมดูดอากาศ-สีนํ้าตาล-8"</v>
      </c>
    </row>
    <row r="402">
      <c r="A402" s="128" t="str">
        <f>IFERROR(__xludf.DUMMYFUNCTION("""COMPUTED_VALUE"""),"อุปกรณ์")</f>
        <v>อุปกรณ์</v>
      </c>
      <c r="B402" s="128" t="str">
        <f>IFERROR(__xludf.DUMMYFUNCTION("""COMPUTED_VALUE"""),"หน้ากากระบายอากาศ-สีขาว-8""")</f>
        <v>หน้ากากระบายอากาศ-สีขาว-8"</v>
      </c>
    </row>
    <row r="403">
      <c r="A403" s="128" t="str">
        <f>IFERROR(__xludf.DUMMYFUNCTION("""COMPUTED_VALUE"""),"อุปกรณ์")</f>
        <v>อุปกรณ์</v>
      </c>
      <c r="B403" s="128" t="str">
        <f>IFERROR(__xludf.DUMMYFUNCTION("""COMPUTED_VALUE"""),"พัดลมดูดอากาศ-สีขาว-10""")</f>
        <v>พัดลมดูดอากาศ-สีขาว-10"</v>
      </c>
    </row>
    <row r="404">
      <c r="A404" s="128" t="str">
        <f>IFERROR(__xludf.DUMMYFUNCTION("""COMPUTED_VALUE"""),"อุปกรณ์")</f>
        <v>อุปกรณ์</v>
      </c>
      <c r="B404" s="128" t="str">
        <f>IFERROR(__xludf.DUMMYFUNCTION("""COMPUTED_VALUE"""),"หน้ากากระบายอากาศ-สีขาว-10""")</f>
        <v>หน้ากากระบายอากาศ-สีขาว-10"</v>
      </c>
    </row>
    <row r="405">
      <c r="A405" s="128" t="str">
        <f>IFERROR(__xludf.DUMMYFUNCTION("""COMPUTED_VALUE"""),"อุปกรณ์")</f>
        <v>อุปกรณ์</v>
      </c>
      <c r="B405" s="128" t="str">
        <f>IFERROR(__xludf.DUMMYFUNCTION("""COMPUTED_VALUE"""),"สายไฟ 1.5-ฟ้า")</f>
        <v>สายไฟ 1.5-ฟ้า</v>
      </c>
    </row>
    <row r="406">
      <c r="A406" s="128" t="str">
        <f>IFERROR(__xludf.DUMMYFUNCTION("""COMPUTED_VALUE"""),"อุปกรณ์")</f>
        <v>อุปกรณ์</v>
      </c>
      <c r="B406" s="128" t="str">
        <f>IFERROR(__xludf.DUMMYFUNCTION("""COMPUTED_VALUE"""),"สายไฟ 1.5-แดง")</f>
        <v>สายไฟ 1.5-แดง</v>
      </c>
    </row>
    <row r="407">
      <c r="A407" s="128" t="str">
        <f>IFERROR(__xludf.DUMMYFUNCTION("""COMPUTED_VALUE"""),"อุปกรณ์")</f>
        <v>อุปกรณ์</v>
      </c>
      <c r="B407" s="128" t="str">
        <f>IFERROR(__xludf.DUMMYFUNCTION("""COMPUTED_VALUE"""),"สายไฟ 1.5-น้ำตาล")</f>
        <v>สายไฟ 1.5-น้ำตาล</v>
      </c>
    </row>
    <row r="408">
      <c r="A408" s="128" t="str">
        <f>IFERROR(__xludf.DUMMYFUNCTION("""COMPUTED_VALUE"""),"อุปกรณ์")</f>
        <v>อุปกรณ์</v>
      </c>
      <c r="B408" s="128" t="str">
        <f>IFERROR(__xludf.DUMMYFUNCTION("""COMPUTED_VALUE"""),"สายไฟ 1.5-เขียว")</f>
        <v>สายไฟ 1.5-เขียว</v>
      </c>
    </row>
    <row r="409">
      <c r="A409" s="128" t="str">
        <f>IFERROR(__xludf.DUMMYFUNCTION("""COMPUTED_VALUE"""),"อุปกรณ์")</f>
        <v>อุปกรณ์</v>
      </c>
      <c r="B409" s="128" t="str">
        <f>IFERROR(__xludf.DUMMYFUNCTION("""COMPUTED_VALUE"""),"สายไฟ 2.5-ฟ้า")</f>
        <v>สายไฟ 2.5-ฟ้า</v>
      </c>
    </row>
    <row r="410">
      <c r="A410" s="128" t="str">
        <f>IFERROR(__xludf.DUMMYFUNCTION("""COMPUTED_VALUE"""),"อุปกรณ์")</f>
        <v>อุปกรณ์</v>
      </c>
      <c r="B410" s="128" t="str">
        <f>IFERROR(__xludf.DUMMYFUNCTION("""COMPUTED_VALUE"""),"สายไฟ 2.5-น้ำตาล")</f>
        <v>สายไฟ 2.5-น้ำตาล</v>
      </c>
    </row>
    <row r="411">
      <c r="A411" s="128" t="str">
        <f>IFERROR(__xludf.DUMMYFUNCTION("""COMPUTED_VALUE"""),"อุปกรณ์")</f>
        <v>อุปกรณ์</v>
      </c>
      <c r="B411" s="128" t="str">
        <f>IFERROR(__xludf.DUMMYFUNCTION("""COMPUTED_VALUE"""),"สายไฟ 2.5-เขียว")</f>
        <v>สายไฟ 2.5-เขียว</v>
      </c>
    </row>
    <row r="412">
      <c r="A412" s="128" t="str">
        <f>IFERROR(__xludf.DUMMYFUNCTION("""COMPUTED_VALUE"""),"อุปกรณ์")</f>
        <v>อุปกรณ์</v>
      </c>
      <c r="B412" s="128" t="str">
        <f>IFERROR(__xludf.DUMMYFUNCTION("""COMPUTED_VALUE"""),"ท่อไฟ T3")</f>
        <v>ท่อไฟ T3</v>
      </c>
    </row>
    <row r="413">
      <c r="A413" s="128" t="str">
        <f>IFERROR(__xludf.DUMMYFUNCTION("""COMPUTED_VALUE"""),"อุปกรณ์")</f>
        <v>อุปกรณ์</v>
      </c>
      <c r="B413" s="128" t="str">
        <f>IFERROR(__xludf.DUMMYFUNCTION("""COMPUTED_VALUE"""),"รางไฟ T3")</f>
        <v>รางไฟ T3</v>
      </c>
    </row>
    <row r="414">
      <c r="A414" s="128" t="str">
        <f>IFERROR(__xludf.DUMMYFUNCTION("""COMPUTED_VALUE"""),"อุปกรณ์")</f>
        <v>อุปกรณ์</v>
      </c>
      <c r="B414" s="128" t="str">
        <f>IFERROR(__xludf.DUMMYFUNCTION("""COMPUTED_VALUE"""),"รางไฟ T2")</f>
        <v>รางไฟ T2</v>
      </c>
    </row>
    <row r="415">
      <c r="A415" s="128" t="str">
        <f>IFERROR(__xludf.DUMMYFUNCTION("""COMPUTED_VALUE"""),"อุปกรณ์")</f>
        <v>อุปกรณ์</v>
      </c>
      <c r="B415" s="128" t="str">
        <f>IFERROR(__xludf.DUMMYFUNCTION("""COMPUTED_VALUE"""),"ปลั๊กกราวด์คู่")</f>
        <v>ปลั๊กกราวด์คู่</v>
      </c>
    </row>
    <row r="416">
      <c r="A416" s="128" t="str">
        <f>IFERROR(__xludf.DUMMYFUNCTION("""COMPUTED_VALUE"""),"อุปกรณ์")</f>
        <v>อุปกรณ์</v>
      </c>
      <c r="B416" s="128" t="str">
        <f>IFERROR(__xludf.DUMMYFUNCTION("""COMPUTED_VALUE"""),"ปลั๊กกราวด์เดี่ยว")</f>
        <v>ปลั๊กกราวด์เดี่ยว</v>
      </c>
    </row>
    <row r="417">
      <c r="A417" s="128" t="str">
        <f>IFERROR(__xludf.DUMMYFUNCTION("""COMPUTED_VALUE"""),"อุปกรณ์")</f>
        <v>อุปกรณ์</v>
      </c>
      <c r="B417" s="128" t="str">
        <f>IFERROR(__xludf.DUMMYFUNCTION("""COMPUTED_VALUE"""),"สวิทช์ไฟ")</f>
        <v>สวิทช์ไฟ</v>
      </c>
    </row>
    <row r="418">
      <c r="A418" s="128" t="str">
        <f>IFERROR(__xludf.DUMMYFUNCTION("""COMPUTED_VALUE"""),"อุปกรณ์")</f>
        <v>อุปกรณ์</v>
      </c>
      <c r="B418" s="128" t="str">
        <f>IFERROR(__xludf.DUMMYFUNCTION("""COMPUTED_VALUE"""),"ปลั๊กตัวผู้")</f>
        <v>ปลั๊กตัวผู้</v>
      </c>
    </row>
    <row r="419">
      <c r="A419" s="128" t="str">
        <f>IFERROR(__xludf.DUMMYFUNCTION("""COMPUTED_VALUE"""),"อุปกรณ์")</f>
        <v>อุปกรณ์</v>
      </c>
      <c r="B419" s="128" t="str">
        <f>IFERROR(__xludf.DUMMYFUNCTION("""COMPUTED_VALUE"""),"หน้ากาก 1 ช่อง-2x4")</f>
        <v>หน้ากาก 1 ช่อง-2x4</v>
      </c>
    </row>
    <row r="420">
      <c r="A420" s="128" t="str">
        <f>IFERROR(__xludf.DUMMYFUNCTION("""COMPUTED_VALUE"""),"อุปกรณ์")</f>
        <v>อุปกรณ์</v>
      </c>
      <c r="B420" s="128" t="str">
        <f>IFERROR(__xludf.DUMMYFUNCTION("""COMPUTED_VALUE"""),"หน้ากาก 3 ช่อง-4x4")</f>
        <v>หน้ากาก 3 ช่อง-4x4</v>
      </c>
    </row>
    <row r="421">
      <c r="A421" s="128" t="str">
        <f>IFERROR(__xludf.DUMMYFUNCTION("""COMPUTED_VALUE"""),"อุปกรณ์")</f>
        <v>อุปกรณ์</v>
      </c>
      <c r="B421" s="128" t="str">
        <f>IFERROR(__xludf.DUMMYFUNCTION("""COMPUTED_VALUE"""),"หน้ากาก 2 ช่อง-2x4")</f>
        <v>หน้ากาก 2 ช่อง-2x4</v>
      </c>
    </row>
    <row r="422">
      <c r="A422" s="128" t="str">
        <f>IFERROR(__xludf.DUMMYFUNCTION("""COMPUTED_VALUE"""),"อุปกรณ์")</f>
        <v>อุปกรณ์</v>
      </c>
      <c r="B422" s="128" t="str">
        <f>IFERROR(__xludf.DUMMYFUNCTION("""COMPUTED_VALUE"""),"หน้ากาก 4 ช่อง-4x4")</f>
        <v>หน้ากาก 4 ช่อง-4x4</v>
      </c>
    </row>
    <row r="423">
      <c r="A423" s="128" t="str">
        <f>IFERROR(__xludf.DUMMYFUNCTION("""COMPUTED_VALUE"""),"อุปกรณ์")</f>
        <v>อุปกรณ์</v>
      </c>
      <c r="B423" s="128" t="str">
        <f>IFERROR(__xludf.DUMMYFUNCTION("""COMPUTED_VALUE"""),"กล่องลอย-2x4")</f>
        <v>กล่องลอย-2x4</v>
      </c>
    </row>
    <row r="424">
      <c r="A424" s="128" t="str">
        <f>IFERROR(__xludf.DUMMYFUNCTION("""COMPUTED_VALUE"""),"อุปกรณ์")</f>
        <v>อุปกรณ์</v>
      </c>
      <c r="B424" s="128" t="str">
        <f>IFERROR(__xludf.DUMMYFUNCTION("""COMPUTED_VALUE"""),"กล่องลอย-4x4")</f>
        <v>กล่องลอย-4x4</v>
      </c>
    </row>
    <row r="425">
      <c r="A425" s="128" t="str">
        <f>IFERROR(__xludf.DUMMYFUNCTION("""COMPUTED_VALUE"""),"อุปกรณ์")</f>
        <v>อุปกรณ์</v>
      </c>
      <c r="B425" s="128" t="str">
        <f>IFERROR(__xludf.DUMMYFUNCTION("""COMPUTED_VALUE"""),"กล่องกันนํ้า-2x4")</f>
        <v>กล่องกันนํ้า-2x4</v>
      </c>
    </row>
    <row r="426">
      <c r="A426" s="128" t="str">
        <f>IFERROR(__xludf.DUMMYFUNCTION("""COMPUTED_VALUE"""),"อุปกรณ์")</f>
        <v>อุปกรณ์</v>
      </c>
      <c r="B426" s="128" t="str">
        <f>IFERROR(__xludf.DUMMYFUNCTION("""COMPUTED_VALUE"""),"กล่องกันนํ้า-4x4")</f>
        <v>กล่องกันนํ้า-4x4</v>
      </c>
    </row>
    <row r="427">
      <c r="A427" s="128" t="str">
        <f>IFERROR(__xludf.DUMMYFUNCTION("""COMPUTED_VALUE"""),"อุปกรณ์")</f>
        <v>อุปกรณ์</v>
      </c>
      <c r="B427" s="128" t="str">
        <f>IFERROR(__xludf.DUMMYFUNCTION("""COMPUTED_VALUE"""),"หลอดไฟกลม")</f>
        <v>หลอดไฟกลม</v>
      </c>
    </row>
    <row r="428">
      <c r="A428" s="128" t="str">
        <f>IFERROR(__xludf.DUMMYFUNCTION("""COMPUTED_VALUE"""),"อุปกรณ์")</f>
        <v>อุปกรณ์</v>
      </c>
      <c r="B428" s="128" t="str">
        <f>IFERROR(__xludf.DUMMYFUNCTION("""COMPUTED_VALUE"""),"โคมไฟกระบอก-ขาว")</f>
        <v>โคมไฟกระบอก-ขาว</v>
      </c>
    </row>
    <row r="429">
      <c r="A429" s="128" t="str">
        <f>IFERROR(__xludf.DUMMYFUNCTION("""COMPUTED_VALUE"""),"อุปกรณ์")</f>
        <v>อุปกรณ์</v>
      </c>
      <c r="B429" s="128" t="str">
        <f>IFERROR(__xludf.DUMMYFUNCTION("""COMPUTED_VALUE"""),"โคมไฟกระบอก-ดำ")</f>
        <v>โคมไฟกระบอก-ดำ</v>
      </c>
    </row>
    <row r="430">
      <c r="A430" s="128" t="str">
        <f>IFERROR(__xludf.DUMMYFUNCTION("""COMPUTED_VALUE"""),"อุปกรณ์")</f>
        <v>อุปกรณ์</v>
      </c>
      <c r="B430" s="128" t="str">
        <f>IFERROR(__xludf.DUMMYFUNCTION("""COMPUTED_VALUE"""),"ไฟแบนฝังฝ้า")</f>
        <v>ไฟแบนฝังฝ้า</v>
      </c>
    </row>
    <row r="431">
      <c r="A431" s="128" t="str">
        <f>IFERROR(__xludf.DUMMYFUNCTION("""COMPUTED_VALUE"""),"อุปกรณ์")</f>
        <v>อุปกรณ์</v>
      </c>
      <c r="B431" s="128" t="str">
        <f>IFERROR(__xludf.DUMMYFUNCTION("""COMPUTED_VALUE"""),"ไฟแบนติดฝ้า-ดำ")</f>
        <v>ไฟแบนติดฝ้า-ดำ</v>
      </c>
    </row>
    <row r="432">
      <c r="A432" s="128" t="str">
        <f>IFERROR(__xludf.DUMMYFUNCTION("""COMPUTED_VALUE"""),"อุปกรณ์")</f>
        <v>อุปกรณ์</v>
      </c>
      <c r="B432" s="128" t="str">
        <f>IFERROR(__xludf.DUMMYFUNCTION("""COMPUTED_VALUE"""),"ไฟแบนติดฝ้า-ขาว")</f>
        <v>ไฟแบนติดฝ้า-ขาว</v>
      </c>
    </row>
    <row r="433">
      <c r="A433" s="128" t="str">
        <f>IFERROR(__xludf.DUMMYFUNCTION("""COMPUTED_VALUE"""),"อุปกรณ์")</f>
        <v>อุปกรณ์</v>
      </c>
      <c r="B433" s="128" t="str">
        <f>IFERROR(__xludf.DUMMYFUNCTION("""COMPUTED_VALUE"""),"คอนเน็กเตอร์")</f>
        <v>คอนเน็กเตอร์</v>
      </c>
    </row>
    <row r="434">
      <c r="A434" s="128" t="str">
        <f>IFERROR(__xludf.DUMMYFUNCTION("""COMPUTED_VALUE"""),"อุปกรณ์")</f>
        <v>อุปกรณ์</v>
      </c>
      <c r="B434" s="128" t="str">
        <f>IFERROR(__xludf.DUMMYFUNCTION("""COMPUTED_VALUE"""),"ต่อตรง")</f>
        <v>ต่อตรง</v>
      </c>
    </row>
    <row r="435">
      <c r="A435" s="128" t="str">
        <f>IFERROR(__xludf.DUMMYFUNCTION("""COMPUTED_VALUE"""),"อุปกรณ์")</f>
        <v>อุปกรณ์</v>
      </c>
      <c r="B435" s="128" t="str">
        <f>IFERROR(__xludf.DUMMYFUNCTION("""COMPUTED_VALUE"""),"ข้องอ-16mm")</f>
        <v>ข้องอ-16mm</v>
      </c>
    </row>
    <row r="436">
      <c r="A436" s="128" t="str">
        <f>IFERROR(__xludf.DUMMYFUNCTION("""COMPUTED_VALUE"""),"อุปกรณ์")</f>
        <v>อุปกรณ์</v>
      </c>
      <c r="B436" s="128" t="str">
        <f>IFERROR(__xludf.DUMMYFUNCTION("""COMPUTED_VALUE"""),"ข้องอ 9 โค้ง")</f>
        <v>ข้องอ 9 โค้ง</v>
      </c>
    </row>
    <row r="437">
      <c r="A437" s="128" t="str">
        <f>IFERROR(__xludf.DUMMYFUNCTION("""COMPUTED_VALUE"""),"อุปกรณ์")</f>
        <v>อุปกรณ์</v>
      </c>
      <c r="B437" s="128" t="str">
        <f>IFERROR(__xludf.DUMMYFUNCTION("""COMPUTED_VALUE"""),"ข้อต่อ 3 ทาง")</f>
        <v>ข้อต่อ 3 ทาง</v>
      </c>
    </row>
    <row r="438">
      <c r="A438" s="128" t="str">
        <f>IFERROR(__xludf.DUMMYFUNCTION("""COMPUTED_VALUE"""),"อุปกรณ์")</f>
        <v>อุปกรณ์</v>
      </c>
      <c r="B438" s="128" t="str">
        <f>IFERROR(__xludf.DUMMYFUNCTION("""COMPUTED_VALUE"""),"ข้อต่อ 3 ตัวใหญ่แบบฝาปิด")</f>
        <v>ข้อต่อ 3 ตัวใหญ่แบบฝาปิด</v>
      </c>
    </row>
    <row r="439">
      <c r="A439" s="128" t="str">
        <f>IFERROR(__xludf.DUMMYFUNCTION("""COMPUTED_VALUE"""),"อุปกรณ์")</f>
        <v>อุปกรณ์</v>
      </c>
      <c r="B439" s="128" t="str">
        <f>IFERROR(__xludf.DUMMYFUNCTION("""COMPUTED_VALUE"""),"เฟล็ก งานไฟ")</f>
        <v>เฟล็ก งานไฟ</v>
      </c>
    </row>
    <row r="440">
      <c r="A440" s="128" t="str">
        <f>IFERROR(__xludf.DUMMYFUNCTION("""COMPUTED_VALUE"""),"อุปกรณ์")</f>
        <v>อุปกรณ์</v>
      </c>
      <c r="B440" s="128" t="str">
        <f>IFERROR(__xludf.DUMMYFUNCTION("""COMPUTED_VALUE"""),"ดอกเจาะปูน-6.5X160 MM")</f>
        <v>ดอกเจาะปูน-6.5X160 MM</v>
      </c>
    </row>
    <row r="441">
      <c r="A441" s="128" t="str">
        <f>IFERROR(__xludf.DUMMYFUNCTION("""COMPUTED_VALUE"""),"อุปกรณ์")</f>
        <v>อุปกรณ์</v>
      </c>
      <c r="B441" s="128" t="str">
        <f>IFERROR(__xludf.DUMMYFUNCTION("""COMPUTED_VALUE"""),"ดอกเจาะปูน-8X160 MM")</f>
        <v>ดอกเจาะปูน-8X160 MM</v>
      </c>
    </row>
    <row r="442">
      <c r="A442" s="128" t="str">
        <f>IFERROR(__xludf.DUMMYFUNCTION("""COMPUTED_VALUE"""),"อุปกรณ์")</f>
        <v>อุปกรณ์</v>
      </c>
      <c r="B442" s="128" t="str">
        <f>IFERROR(__xludf.DUMMYFUNCTION("""COMPUTED_VALUE"""),"ดอกเจาะปูน-10")</f>
        <v>ดอกเจาะปูน-10</v>
      </c>
    </row>
    <row r="443">
      <c r="A443" s="128" t="str">
        <f>IFERROR(__xludf.DUMMYFUNCTION("""COMPUTED_VALUE"""),"อุปกรณ์")</f>
        <v>อุปกรณ์</v>
      </c>
      <c r="B443" s="128" t="str">
        <f>IFERROR(__xludf.DUMMYFUNCTION("""COMPUTED_VALUE"""),"ดอกเจาะปูน-12")</f>
        <v>ดอกเจาะปูน-12</v>
      </c>
    </row>
    <row r="444">
      <c r="A444" s="128" t="str">
        <f>IFERROR(__xludf.DUMMYFUNCTION("""COMPUTED_VALUE"""),"อุปกรณ์")</f>
        <v>อุปกรณ์</v>
      </c>
      <c r="B444" s="128" t="str">
        <f>IFERROR(__xludf.DUMMYFUNCTION("""COMPUTED_VALUE"""),"ดอกเจาะปูน-13")</f>
        <v>ดอกเจาะปูน-13</v>
      </c>
    </row>
    <row r="445">
      <c r="A445" s="128" t="str">
        <f>IFERROR(__xludf.DUMMYFUNCTION("""COMPUTED_VALUE"""),"อุปกรณ์")</f>
        <v>อุปกรณ์</v>
      </c>
      <c r="B445" s="128" t="str">
        <f>IFERROR(__xludf.DUMMYFUNCTION("""COMPUTED_VALUE"""),"ดอกเจาะปูน-19")</f>
        <v>ดอกเจาะปูน-19</v>
      </c>
    </row>
    <row r="446">
      <c r="A446" s="128" t="str">
        <f>IFERROR(__xludf.DUMMYFUNCTION("""COMPUTED_VALUE"""),"อุปกรณ์")</f>
        <v>อุปกรณ์</v>
      </c>
      <c r="B446" s="128" t="str">
        <f>IFERROR(__xludf.DUMMYFUNCTION("""COMPUTED_VALUE"""),"ดอกสะกัด หัวแบน-14X250")</f>
        <v>ดอกสะกัด หัวแบน-14X250</v>
      </c>
    </row>
    <row r="447">
      <c r="A447" s="128" t="str">
        <f>IFERROR(__xludf.DUMMYFUNCTION("""COMPUTED_VALUE"""),"อุปกรณ์")</f>
        <v>อุปกรณ์</v>
      </c>
      <c r="B447" s="128" t="str">
        <f>IFERROR(__xludf.DUMMYFUNCTION("""COMPUTED_VALUE"""),"ดอกสะกัด หัวแหลก-140X250")</f>
        <v>ดอกสะกัด หัวแหลก-140X250</v>
      </c>
    </row>
    <row r="448">
      <c r="A448" s="128" t="str">
        <f>IFERROR(__xludf.DUMMYFUNCTION("""COMPUTED_VALUE"""),"อุปกรณ์")</f>
        <v>อุปกรณ์</v>
      </c>
      <c r="B448" s="128" t="str">
        <f>IFERROR(__xludf.DUMMYFUNCTION("""COMPUTED_VALUE"""),"ลูกกลิ้งเล็ก")</f>
        <v>ลูกกลิ้งเล็ก</v>
      </c>
    </row>
    <row r="449">
      <c r="A449" s="128" t="str">
        <f>IFERROR(__xludf.DUMMYFUNCTION("""COMPUTED_VALUE"""),"อุปกรณ์")</f>
        <v>อุปกรณ์</v>
      </c>
      <c r="B449" s="128" t="str">
        <f>IFERROR(__xludf.DUMMYFUNCTION("""COMPUTED_VALUE"""),"แปรงทาสีอันเล็ก อันกลาง อันใหญ่ พู่กัน")</f>
        <v>แปรงทาสีอันเล็ก อันกลาง อันใหญ่ พู่กัน</v>
      </c>
    </row>
    <row r="450">
      <c r="A450" s="128" t="str">
        <f>IFERROR(__xludf.DUMMYFUNCTION("""COMPUTED_VALUE"""),"อุปกรณ์")</f>
        <v>อุปกรณ์</v>
      </c>
      <c r="B450" s="128" t="str">
        <f>IFERROR(__xludf.DUMMYFUNCTION("""COMPUTED_VALUE"""),"ดอกสว่านเจาะ-01/8"" = ดอกเล็ก")</f>
        <v>ดอกสว่านเจาะ-01/8" = ดอกเล็ก</v>
      </c>
    </row>
    <row r="451">
      <c r="A451" s="128" t="str">
        <f>IFERROR(__xludf.DUMMYFUNCTION("""COMPUTED_VALUE"""),"อุปกรณ์")</f>
        <v>อุปกรณ์</v>
      </c>
      <c r="B451" s="128" t="str">
        <f>IFERROR(__xludf.DUMMYFUNCTION("""COMPUTED_VALUE"""),"ดอกสว่านเจาะ-03/16"" = ดอก1½")</f>
        <v>ดอกสว่านเจาะ-03/16" = ดอก1½</v>
      </c>
    </row>
    <row r="452">
      <c r="A452" s="128" t="str">
        <f>IFERROR(__xludf.DUMMYFUNCTION("""COMPUTED_VALUE"""),"อุปกรณ์")</f>
        <v>อุปกรณ์</v>
      </c>
      <c r="B452" s="128" t="str">
        <f>IFERROR(__xludf.DUMMYFUNCTION("""COMPUTED_VALUE"""),"ดอกสว่านเจาะ-01/4"" = ดอก 2")</f>
        <v>ดอกสว่านเจาะ-01/4" = ดอก 2</v>
      </c>
    </row>
    <row r="453">
      <c r="A453" s="128" t="str">
        <f>IFERROR(__xludf.DUMMYFUNCTION("""COMPUTED_VALUE"""),"อุปกรณ์")</f>
        <v>อุปกรณ์</v>
      </c>
      <c r="B453" s="128" t="str">
        <f>IFERROR(__xludf.DUMMYFUNCTION("""COMPUTED_VALUE"""),"ดอกสว่านเจาะ-05/16"" = ดอก 2½")</f>
        <v>ดอกสว่านเจาะ-05/16" = ดอก 2½</v>
      </c>
    </row>
    <row r="454">
      <c r="A454" s="128" t="str">
        <f>IFERROR(__xludf.DUMMYFUNCTION("""COMPUTED_VALUE"""),"อุปกรณ์")</f>
        <v>อุปกรณ์</v>
      </c>
      <c r="B454" s="128" t="str">
        <f>IFERROR(__xludf.DUMMYFUNCTION("""COMPUTED_VALUE"""),"ดอกสว่านเจาะ-03/8"" = ดอก 3")</f>
        <v>ดอกสว่านเจาะ-03/8" = ดอก 3</v>
      </c>
    </row>
    <row r="455">
      <c r="A455" s="128" t="str">
        <f>IFERROR(__xludf.DUMMYFUNCTION("""COMPUTED_VALUE"""),"อุปกรณ์")</f>
        <v>อุปกรณ์</v>
      </c>
      <c r="B455" s="128" t="str">
        <f>IFERROR(__xludf.DUMMYFUNCTION("""COMPUTED_VALUE"""),"ดอกสว่านเจาะ-07/16"" = ดอก3½")</f>
        <v>ดอกสว่านเจาะ-07/16" = ดอก3½</v>
      </c>
    </row>
    <row r="456">
      <c r="A456" s="128" t="str">
        <f>IFERROR(__xludf.DUMMYFUNCTION("""COMPUTED_VALUE"""),"อุปกรณ์")</f>
        <v>อุปกรณ์</v>
      </c>
      <c r="B456" s="128" t="str">
        <f>IFERROR(__xludf.DUMMYFUNCTION("""COMPUTED_VALUE"""),"ดอกสว่านเจาะ-01/2"" = ดอก 4")</f>
        <v>ดอกสว่านเจาะ-01/2" = ดอก 4</v>
      </c>
    </row>
    <row r="457">
      <c r="A457" s="128" t="str">
        <f>IFERROR(__xludf.DUMMYFUNCTION("""COMPUTED_VALUE"""),"อุปกรณ์")</f>
        <v>อุปกรณ์</v>
      </c>
      <c r="B457" s="128" t="str">
        <f>IFERROR(__xludf.DUMMYFUNCTION("""COMPUTED_VALUE"""),"หัวขัน-65 mm")</f>
        <v>หัวขัน-65 mm</v>
      </c>
    </row>
    <row r="458">
      <c r="A458" s="128" t="str">
        <f>IFERROR(__xludf.DUMMYFUNCTION("""COMPUTED_VALUE"""),"อุปกรณ์")</f>
        <v>อุปกรณ์</v>
      </c>
      <c r="B458" s="128" t="str">
        <f>IFERROR(__xludf.DUMMYFUNCTION("""COMPUTED_VALUE"""),"หัขัน-65")</f>
        <v>หัขัน-65</v>
      </c>
    </row>
    <row r="459">
      <c r="A459" s="128" t="str">
        <f>IFERROR(__xludf.DUMMYFUNCTION("""COMPUTED_VALUE"""),"อุปกรณ์")</f>
        <v>อุปกรณ์</v>
      </c>
      <c r="B459" s="128" t="str">
        <f>IFERROR(__xludf.DUMMYFUNCTION("""COMPUTED_VALUE"""),"หัวขัน-100 mm")</f>
        <v>หัวขัน-100 mm</v>
      </c>
    </row>
    <row r="460">
      <c r="A460" s="128" t="str">
        <f>IFERROR(__xludf.DUMMYFUNCTION("""COMPUTED_VALUE"""),"อุปกรณ์")</f>
        <v>อุปกรณ์</v>
      </c>
      <c r="B460" s="128" t="str">
        <f>IFERROR(__xludf.DUMMYFUNCTION("""COMPUTED_VALUE"""),"หัวขันแม่เหล็ก-150 mm")</f>
        <v>หัวขันแม่เหล็ก-150 mm</v>
      </c>
    </row>
    <row r="461">
      <c r="A461" s="128" t="str">
        <f>IFERROR(__xludf.DUMMYFUNCTION("""COMPUTED_VALUE"""),"อุปกรณ์")</f>
        <v>อุปกรณ์</v>
      </c>
      <c r="B461" s="128" t="str">
        <f>IFERROR(__xludf.DUMMYFUNCTION("""COMPUTED_VALUE"""),"โฮลซอเจาะเหล็ก -75 mm")</f>
        <v>โฮลซอเจาะเหล็ก -75 mm</v>
      </c>
    </row>
    <row r="462">
      <c r="A462" s="128" t="str">
        <f>IFERROR(__xludf.DUMMYFUNCTION("""COMPUTED_VALUE"""),"อุปกรณ์")</f>
        <v>อุปกรณ์</v>
      </c>
      <c r="B462" s="128" t="str">
        <f>IFERROR(__xludf.DUMMYFUNCTION("""COMPUTED_VALUE"""),"โฮลซอเจาะเหล็ก-16 mm")</f>
        <v>โฮลซอเจาะเหล็ก-16 mm</v>
      </c>
    </row>
    <row r="463">
      <c r="A463" s="128" t="str">
        <f>IFERROR(__xludf.DUMMYFUNCTION("""COMPUTED_VALUE"""),"อุปกรณ์")</f>
        <v>อุปกรณ์</v>
      </c>
      <c r="B463" s="128" t="str">
        <f>IFERROR(__xludf.DUMMYFUNCTION("""COMPUTED_VALUE"""),"โฮลซอเจาะเหล็ก-18.5 mm")</f>
        <v>โฮลซอเจาะเหล็ก-18.5 mm</v>
      </c>
    </row>
    <row r="464">
      <c r="A464" s="128" t="str">
        <f>IFERROR(__xludf.DUMMYFUNCTION("""COMPUTED_VALUE"""),"อุปกรณ์")</f>
        <v>อุปกรณ์</v>
      </c>
      <c r="B464" s="128" t="str">
        <f>IFERROR(__xludf.DUMMYFUNCTION("""COMPUTED_VALUE"""),"โฮลซอเจาะเหล็ก-20 mm")</f>
        <v>โฮลซอเจาะเหล็ก-20 mm</v>
      </c>
    </row>
    <row r="465">
      <c r="A465" s="128" t="str">
        <f>IFERROR(__xludf.DUMMYFUNCTION("""COMPUTED_VALUE"""),"อุปกรณ์")</f>
        <v>อุปกรณ์</v>
      </c>
      <c r="B465" s="128" t="str">
        <f>IFERROR(__xludf.DUMMYFUNCTION("""COMPUTED_VALUE"""),"โฮลซอเจาะเหล็ก-25 mm")</f>
        <v>โฮลซอเจาะเหล็ก-25 mm</v>
      </c>
    </row>
    <row r="466">
      <c r="A466" s="128" t="str">
        <f>IFERROR(__xludf.DUMMYFUNCTION("""COMPUTED_VALUE"""),"อุปกรณ์")</f>
        <v>อุปกรณ์</v>
      </c>
      <c r="B466" s="128" t="str">
        <f>IFERROR(__xludf.DUMMYFUNCTION("""COMPUTED_VALUE"""),"โฮลซอเจาะเหล็ก-30 mm")</f>
        <v>โฮลซอเจาะเหล็ก-30 mm</v>
      </c>
    </row>
    <row r="467">
      <c r="A467" s="128" t="str">
        <f>IFERROR(__xludf.DUMMYFUNCTION("""COMPUTED_VALUE"""),"อุปกรณ์")</f>
        <v>อุปกรณ์</v>
      </c>
      <c r="B467" s="128" t="str">
        <f>IFERROR(__xludf.DUMMYFUNCTION("""COMPUTED_VALUE"""),"ดอกหัวเพชร-6")</f>
        <v>ดอกหัวเพชร-6</v>
      </c>
    </row>
    <row r="468">
      <c r="A468" s="128" t="str">
        <f>IFERROR(__xludf.DUMMYFUNCTION("""COMPUTED_VALUE"""),"อุปกรณ์")</f>
        <v>อุปกรณ์</v>
      </c>
      <c r="B468" s="128" t="str">
        <f>IFERROR(__xludf.DUMMYFUNCTION("""COMPUTED_VALUE"""),"ดอกหัวเพชร-8")</f>
        <v>ดอกหัวเพชร-8</v>
      </c>
    </row>
    <row r="469">
      <c r="A469" s="128" t="str">
        <f>IFERROR(__xludf.DUMMYFUNCTION("""COMPUTED_VALUE"""),"อุปกรณ์")</f>
        <v>อุปกรณ์</v>
      </c>
      <c r="B469" s="128" t="str">
        <f>IFERROR(__xludf.DUMMYFUNCTION("""COMPUTED_VALUE"""),"ดอกหัวเพชร-10")</f>
        <v>ดอกหัวเพชร-10</v>
      </c>
    </row>
    <row r="470">
      <c r="A470" s="128" t="str">
        <f>IFERROR(__xludf.DUMMYFUNCTION("""COMPUTED_VALUE"""),"อุปกรณ์")</f>
        <v>อุปกรณ์</v>
      </c>
      <c r="B470" s="128" t="str">
        <f>IFERROR(__xludf.DUMMYFUNCTION("""COMPUTED_VALUE"""),"ดอกหัวเพชร-12")</f>
        <v>ดอกหัวเพชร-12</v>
      </c>
    </row>
    <row r="471">
      <c r="A471" s="128" t="str">
        <f>IFERROR(__xludf.DUMMYFUNCTION("""COMPUTED_VALUE"""),"อุปกรณ์")</f>
        <v>อุปกรณ์</v>
      </c>
      <c r="B471" s="128" t="str">
        <f>IFERROR(__xludf.DUMMYFUNCTION("""COMPUTED_VALUE"""),"ดอกหัวเพชร-14")</f>
        <v>ดอกหัวเพชร-14</v>
      </c>
    </row>
    <row r="472">
      <c r="A472" s="128" t="str">
        <f>IFERROR(__xludf.DUMMYFUNCTION("""COMPUTED_VALUE"""),"อุปกรณ์")</f>
        <v>อุปกรณ์</v>
      </c>
      <c r="B472" s="128" t="str">
        <f>IFERROR(__xludf.DUMMYFUNCTION("""COMPUTED_VALUE"""),"ดอกหัวเพชร-16")</f>
        <v>ดอกหัวเพชร-16</v>
      </c>
    </row>
    <row r="473">
      <c r="A473" s="128" t="str">
        <f>IFERROR(__xludf.DUMMYFUNCTION("""COMPUTED_VALUE"""),"อุปกรณ์")</f>
        <v>อุปกรณ์</v>
      </c>
      <c r="B473" s="128" t="str">
        <f>IFERROR(__xludf.DUMMYFUNCTION("""COMPUTED_VALUE"""),"ดอกหัวเพชร-18")</f>
        <v>ดอกหัวเพชร-18</v>
      </c>
    </row>
    <row r="474">
      <c r="A474" s="128" t="str">
        <f>IFERROR(__xludf.DUMMYFUNCTION("""COMPUTED_VALUE"""),"อุปกรณ์")</f>
        <v>อุปกรณ์</v>
      </c>
      <c r="B474" s="128" t="str">
        <f>IFERROR(__xludf.DUMMYFUNCTION("""COMPUTED_VALUE"""),"ดอกหัวเพชร-22")</f>
        <v>ดอกหัวเพชร-22</v>
      </c>
    </row>
    <row r="475">
      <c r="A475" s="128" t="str">
        <f>IFERROR(__xludf.DUMMYFUNCTION("""COMPUTED_VALUE"""),"อุปกรณ์")</f>
        <v>อุปกรณ์</v>
      </c>
      <c r="B475" s="128" t="str">
        <f>IFERROR(__xludf.DUMMYFUNCTION("""COMPUTED_VALUE"""),"มีดคัตเตอร์ ")</f>
        <v>มีดคัตเตอร์ </v>
      </c>
    </row>
    <row r="476">
      <c r="A476" s="128" t="str">
        <f>IFERROR(__xludf.DUMMYFUNCTION("""COMPUTED_VALUE"""),"อุปกรณ์")</f>
        <v>อุปกรณ์</v>
      </c>
      <c r="B476" s="128" t="str">
        <f>IFERROR(__xludf.DUMMYFUNCTION("""COMPUTED_VALUE"""),"ใบมีดคัตเตอร์")</f>
        <v>ใบมีดคัตเตอร์</v>
      </c>
    </row>
    <row r="477">
      <c r="A477" s="128" t="str">
        <f>IFERROR(__xludf.DUMMYFUNCTION("""COMPUTED_VALUE"""),"อุปกรณ์")</f>
        <v>อุปกรณ์</v>
      </c>
      <c r="B477" s="128" t="str">
        <f>IFERROR(__xludf.DUMMYFUNCTION("""COMPUTED_VALUE"""),"ยางกันชนสี่เหลี่ยม สีขาว + สีดำ")</f>
        <v>ยางกันชนสี่เหลี่ยม สีขาว + สีดำ</v>
      </c>
    </row>
    <row r="478">
      <c r="A478" s="128" t="str">
        <f>IFERROR(__xludf.DUMMYFUNCTION("""COMPUTED_VALUE"""),"อุปกรณ์")</f>
        <v>อุปกรณ์</v>
      </c>
      <c r="B478" s="128" t="str">
        <f>IFERROR(__xludf.DUMMYFUNCTION("""COMPUTED_VALUE"""),"ยางกันชน 3 หุน สีดำ + สีใส กลม")</f>
        <v>ยางกันชน 3 หุน สีดำ + สีใส กลม</v>
      </c>
    </row>
    <row r="479">
      <c r="A479" s="128" t="str">
        <f>IFERROR(__xludf.DUMMYFUNCTION("""COMPUTED_VALUE"""),"อุปกรณ์")</f>
        <v>อุปกรณ์</v>
      </c>
      <c r="B479" s="128" t="str">
        <f>IFERROR(__xludf.DUMMYFUNCTION("""COMPUTED_VALUE"""),"ยางกันชนกลมตัวใหญ่ สีดำ + สีขาว + สีเทา")</f>
        <v>ยางกันชนกลมตัวใหญ่ สีดำ + สีขาว + สีเทา</v>
      </c>
    </row>
    <row r="480">
      <c r="A480" s="128" t="str">
        <f>IFERROR(__xludf.DUMMYFUNCTION("""COMPUTED_VALUE"""),"อุปกรณ์")</f>
        <v>อุปกรณ์</v>
      </c>
      <c r="B480" s="128" t="str">
        <f>IFERROR(__xludf.DUMMYFUNCTION("""COMPUTED_VALUE"""),"ยางกันชนรถถัง")</f>
        <v>ยางกันชนรถถัง</v>
      </c>
    </row>
    <row r="481">
      <c r="A481" s="128" t="str">
        <f>IFERROR(__xludf.DUMMYFUNCTION("""COMPUTED_VALUE"""),"อุปกรณ์")</f>
        <v>อุปกรณ์</v>
      </c>
      <c r="B481" s="128" t="str">
        <f>IFERROR(__xludf.DUMMYFUNCTION("""COMPUTED_VALUE"""),"ตัวอุด 3 หุน สีดำ + สีขาว")</f>
        <v>ตัวอุด 3 หุน สีดำ + สีขาว</v>
      </c>
    </row>
    <row r="482">
      <c r="A482" s="128" t="str">
        <f>IFERROR(__xludf.DUMMYFUNCTION("""COMPUTED_VALUE"""),"อุปกรณ์")</f>
        <v>อุปกรณ์</v>
      </c>
      <c r="B482" s="128" t="str">
        <f>IFERROR(__xludf.DUMMYFUNCTION("""COMPUTED_VALUE"""),"ตัวปิดหัวน๊อต สีขาว + สีดำ")</f>
        <v>ตัวปิดหัวน๊อต สีขาว + สีดำ</v>
      </c>
    </row>
    <row r="483">
      <c r="A483" s="128" t="str">
        <f>IFERROR(__xludf.DUMMYFUNCTION("""COMPUTED_VALUE"""),"อุปกรณ์")</f>
        <v>อุปกรณ์</v>
      </c>
      <c r="B483" s="128" t="str">
        <f>IFERROR(__xludf.DUMMYFUNCTION("""COMPUTED_VALUE"""),"แว่นดำ + แว่นใส")</f>
        <v>แว่นดำ + แว่นใส</v>
      </c>
    </row>
    <row r="484">
      <c r="A484" s="128" t="str">
        <f>IFERROR(__xludf.DUMMYFUNCTION("""COMPUTED_VALUE"""),"อุปกรณ์")</f>
        <v>อุปกรณ์</v>
      </c>
      <c r="B484" s="128" t="str">
        <f>IFERROR(__xludf.DUMMYFUNCTION("""COMPUTED_VALUE"""),"แว่นตากันสเก็ต-ตัวใหญ่")</f>
        <v>แว่นตากันสเก็ต-ตัวใหญ่</v>
      </c>
    </row>
    <row r="485">
      <c r="A485" s="128" t="str">
        <f>IFERROR(__xludf.DUMMYFUNCTION("""COMPUTED_VALUE"""),"อุปกรณ์")</f>
        <v>อุปกรณ์</v>
      </c>
      <c r="B485" s="128" t="str">
        <f>IFERROR(__xludf.DUMMYFUNCTION("""COMPUTED_VALUE"""),"ครีมขัดอลูมิเนียม")</f>
        <v>ครีมขัดอลูมิเนียม</v>
      </c>
    </row>
    <row r="486">
      <c r="A486" s="128" t="str">
        <f>IFERROR(__xludf.DUMMYFUNCTION("""COMPUTED_VALUE"""),"อุปกรณ์")</f>
        <v>อุปกรณ์</v>
      </c>
      <c r="B486" s="128" t="str">
        <f>IFERROR(__xludf.DUMMYFUNCTION("""COMPUTED_VALUE"""),"ใบเจียร-4""")</f>
        <v>ใบเจียร-4"</v>
      </c>
    </row>
    <row r="487">
      <c r="A487" s="128" t="str">
        <f>IFERROR(__xludf.DUMMYFUNCTION("""COMPUTED_VALUE"""),"อุปกรณ์")</f>
        <v>อุปกรณ์</v>
      </c>
      <c r="B487" s="128" t="str">
        <f>IFERROR(__xludf.DUMMYFUNCTION("""COMPUTED_VALUE"""),"ใบเจียร-14""")</f>
        <v>ใบเจียร-14"</v>
      </c>
    </row>
    <row r="488">
      <c r="A488" s="128" t="str">
        <f>IFERROR(__xludf.DUMMYFUNCTION("""COMPUTED_VALUE"""),"อุปกรณ์")</f>
        <v>อุปกรณ์</v>
      </c>
      <c r="B488" s="128" t="str">
        <f>IFERROR(__xludf.DUMMYFUNCTION("""COMPUTED_VALUE"""),"ใบตัดบาง-4""")</f>
        <v>ใบตัดบาง-4"</v>
      </c>
    </row>
    <row r="489">
      <c r="A489" s="128" t="str">
        <f>IFERROR(__xludf.DUMMYFUNCTION("""COMPUTED_VALUE"""),"อุปกรณ์")</f>
        <v>อุปกรณ์</v>
      </c>
      <c r="B489" s="128" t="str">
        <f>IFERROR(__xludf.DUMMYFUNCTION("""COMPUTED_VALUE"""),"ใบตัดกระเบื้อง-4""X1นิ้ว")</f>
        <v>ใบตัดกระเบื้อง-4"X1นิ้ว</v>
      </c>
    </row>
    <row r="490">
      <c r="A490" s="128" t="str">
        <f>IFERROR(__xludf.DUMMYFUNCTION("""COMPUTED_VALUE"""),"อุปกรณ์")</f>
        <v>อุปกรณ์</v>
      </c>
      <c r="B490" s="128" t="str">
        <f>IFERROR(__xludf.DUMMYFUNCTION("""COMPUTED_VALUE"""),"ใบตัดปูนคอนกรีต-4""X1นิ้ว")</f>
        <v>ใบตัดปูนคอนกรีต-4"X1นิ้ว</v>
      </c>
    </row>
    <row r="491">
      <c r="A491" s="128" t="str">
        <f>IFERROR(__xludf.DUMMYFUNCTION("""COMPUTED_VALUE"""),"อุปกรณ์")</f>
        <v>อุปกรณ์</v>
      </c>
      <c r="B491" s="128" t="str">
        <f>IFERROR(__xludf.DUMMYFUNCTION("""COMPUTED_VALUE"""),"ใบตัดอลูมิเนียม-10""")</f>
        <v>ใบตัดอลูมิเนียม-10"</v>
      </c>
    </row>
    <row r="492">
      <c r="A492" s="128" t="str">
        <f>IFERROR(__xludf.DUMMYFUNCTION("""COMPUTED_VALUE"""),"อุปกรณ์")</f>
        <v>อุปกรณ์</v>
      </c>
      <c r="B492" s="128" t="str">
        <f>IFERROR(__xludf.DUMMYFUNCTION("""COMPUTED_VALUE"""),"ใบเลื่อยตัดเหล็ก")</f>
        <v>ใบเลื่อยตัดเหล็ก</v>
      </c>
    </row>
    <row r="493">
      <c r="A493" s="128" t="str">
        <f>IFERROR(__xludf.DUMMYFUNCTION("""COMPUTED_VALUE"""),"อุปกรณ์")</f>
        <v>อุปกรณ์</v>
      </c>
      <c r="B493" s="128" t="str">
        <f>IFERROR(__xludf.DUMMYFUNCTION("""COMPUTED_VALUE"""),"ใบเลื่อย")</f>
        <v>ใบเลื่อย</v>
      </c>
    </row>
    <row r="494">
      <c r="A494" s="128" t="str">
        <f>IFERROR(__xludf.DUMMYFUNCTION("""COMPUTED_VALUE"""),"อุปกรณ์")</f>
        <v>อุปกรณ์</v>
      </c>
      <c r="B494" s="128" t="str">
        <f>IFERROR(__xludf.DUMMYFUNCTION("""COMPUTED_VALUE"""),"ดอกเชื่อม")</f>
        <v>ดอกเชื่อม</v>
      </c>
    </row>
    <row r="495">
      <c r="A495" s="128" t="str">
        <f>IFERROR(__xludf.DUMMYFUNCTION("""COMPUTED_VALUE"""),"อุปกรณ์")</f>
        <v>อุปกรณ์</v>
      </c>
      <c r="B495" s="128" t="str">
        <f>IFERROR(__xludf.DUMMYFUNCTION("""COMPUTED_VALUE"""),"ครีมจับลวดเชื่อมไฟฟ้า")</f>
        <v>ครีมจับลวดเชื่อมไฟฟ้า</v>
      </c>
    </row>
    <row r="496">
      <c r="A496" s="128" t="str">
        <f>IFERROR(__xludf.DUMMYFUNCTION("""COMPUTED_VALUE"""),"อุปกรณ์")</f>
        <v>อุปกรณ์</v>
      </c>
      <c r="B496" s="128" t="str">
        <f>IFERROR(__xludf.DUMMYFUNCTION("""COMPUTED_VALUE"""),"ใบขัดกระจก-4""")</f>
        <v>ใบขัดกระจก-4"</v>
      </c>
    </row>
    <row r="497">
      <c r="A497" s="128" t="str">
        <f>IFERROR(__xludf.DUMMYFUNCTION("""COMPUTED_VALUE"""),"อุปกรณ์")</f>
        <v>อุปกรณ์</v>
      </c>
      <c r="B497" s="128" t="str">
        <f>IFERROR(__xludf.DUMMYFUNCTION("""COMPUTED_VALUE"""),"กดกระเด้ง")</f>
        <v>กดกระเด้ง</v>
      </c>
    </row>
    <row r="498">
      <c r="A498" s="128" t="str">
        <f>IFERROR(__xludf.DUMMYFUNCTION("""COMPUTED_VALUE"""),"อุปกรณ์")</f>
        <v>อุปกรณ์</v>
      </c>
      <c r="B498" s="128" t="str">
        <f>IFERROR(__xludf.DUMMYFUNCTION("""COMPUTED_VALUE"""),"คีมล็อค")</f>
        <v>คีมล็อค</v>
      </c>
    </row>
    <row r="499">
      <c r="A499" s="128" t="str">
        <f>IFERROR(__xludf.DUMMYFUNCTION("""COMPUTED_VALUE"""),"อุปกรณ์")</f>
        <v>อุปกรณ์</v>
      </c>
      <c r="B499" s="128" t="str">
        <f>IFERROR(__xludf.DUMMYFUNCTION("""COMPUTED_VALUE"""),"สิ่วเซาะร่องไม้")</f>
        <v>สิ่วเซาะร่องไม้</v>
      </c>
    </row>
    <row r="500">
      <c r="A500" s="128" t="str">
        <f>IFERROR(__xludf.DUMMYFUNCTION("""COMPUTED_VALUE"""),"อุปกรณ์")</f>
        <v>อุปกรณ์</v>
      </c>
      <c r="B500" s="128" t="str">
        <f>IFERROR(__xludf.DUMMYFUNCTION("""COMPUTED_VALUE"""),"หกเหลี่ยม")</f>
        <v>หกเหลี่ยม</v>
      </c>
    </row>
    <row r="501">
      <c r="A501" s="128" t="str">
        <f>IFERROR(__xludf.DUMMYFUNCTION("""COMPUTED_VALUE"""),"อุปกรณ์")</f>
        <v>อุปกรณ์</v>
      </c>
      <c r="B501" s="128" t="str">
        <f>IFERROR(__xludf.DUMMYFUNCTION("""COMPUTED_VALUE"""),"ฉากไม้")</f>
        <v>ฉากไม้</v>
      </c>
    </row>
    <row r="502">
      <c r="A502" s="128" t="str">
        <f>IFERROR(__xludf.DUMMYFUNCTION("""COMPUTED_VALUE"""),"อุปกรณ์")</f>
        <v>อุปกรณ์</v>
      </c>
      <c r="B502" s="128" t="str">
        <f>IFERROR(__xludf.DUMMYFUNCTION("""COMPUTED_VALUE"""),"กรรไกรตัดอลู")</f>
        <v>กรรไกรตัดอลู</v>
      </c>
    </row>
    <row r="503">
      <c r="A503" s="128" t="str">
        <f>IFERROR(__xludf.DUMMYFUNCTION("""COMPUTED_VALUE"""),"อุปกรณ์")</f>
        <v>อุปกรณ์</v>
      </c>
      <c r="B503" s="128" t="str">
        <f>IFERROR(__xludf.DUMMYFUNCTION("""COMPUTED_VALUE"""),"ตลับเมตร-180")</f>
        <v>ตลับเมตร-180</v>
      </c>
    </row>
    <row r="504">
      <c r="A504" s="128" t="str">
        <f>IFERROR(__xludf.DUMMYFUNCTION("""COMPUTED_VALUE"""),"อุปกรณ์")</f>
        <v>อุปกรณ์</v>
      </c>
      <c r="B504" s="128" t="str">
        <f>IFERROR(__xludf.DUMMYFUNCTION("""COMPUTED_VALUE"""),"กระดาษทราย")</f>
        <v>กระดาษทราย</v>
      </c>
    </row>
    <row r="505">
      <c r="A505" s="128" t="str">
        <f>IFERROR(__xludf.DUMMYFUNCTION("""COMPUTED_VALUE"""),"อุปกรณ์")</f>
        <v>อุปกรณ์</v>
      </c>
      <c r="B505" s="128" t="str">
        <f>IFERROR(__xludf.DUMMYFUNCTION("""COMPUTED_VALUE"""),"ถุงขยะดำ")</f>
        <v>ถุงขยะดำ</v>
      </c>
    </row>
    <row r="506">
      <c r="A506" s="128" t="str">
        <f>IFERROR(__xludf.DUMMYFUNCTION("""COMPUTED_VALUE"""),"อุปกรณ์")</f>
        <v>อุปกรณ์</v>
      </c>
      <c r="B506" s="128" t="str">
        <f>IFERROR(__xludf.DUMMYFUNCTION("""COMPUTED_VALUE"""),"กระดาษทิชชู่-แบบแผ่น")</f>
        <v>กระดาษทิชชู่-แบบแผ่น</v>
      </c>
    </row>
    <row r="507">
      <c r="A507" s="128" t="str">
        <f>IFERROR(__xludf.DUMMYFUNCTION("""COMPUTED_VALUE"""),"อุปกรณ์")</f>
        <v>อุปกรณ์</v>
      </c>
      <c r="B507" s="128" t="str">
        <f>IFERROR(__xludf.DUMMYFUNCTION("""COMPUTED_VALUE"""),"กระดาษทิชชู่-แบบม้วน")</f>
        <v>กระดาษทิชชู่-แบบม้วน</v>
      </c>
    </row>
    <row r="508">
      <c r="A508" s="128" t="str">
        <f>IFERROR(__xludf.DUMMYFUNCTION("""COMPUTED_VALUE"""),"อุปกรณ์")</f>
        <v>อุปกรณ์</v>
      </c>
      <c r="B508" s="128" t="str">
        <f>IFERROR(__xludf.DUMMYFUNCTION("""COMPUTED_VALUE"""),"ไม้กวาด")</f>
        <v>ไม้กวาด</v>
      </c>
    </row>
    <row r="509">
      <c r="A509" s="128" t="str">
        <f>IFERROR(__xludf.DUMMYFUNCTION("""COMPUTED_VALUE"""),"อุปกรณ์")</f>
        <v>อุปกรณ์</v>
      </c>
      <c r="B509" s="128" t="str">
        <f>IFERROR(__xludf.DUMMYFUNCTION("""COMPUTED_VALUE"""),"ที่โกยขยะ")</f>
        <v>ที่โกยขยะ</v>
      </c>
    </row>
    <row r="510">
      <c r="A510" s="128" t="str">
        <f>IFERROR(__xludf.DUMMYFUNCTION("""COMPUTED_VALUE"""),"อุปกรณ์")</f>
        <v>อุปกรณ์</v>
      </c>
      <c r="B510" s="128" t="str">
        <f>IFERROR(__xludf.DUMMYFUNCTION("""COMPUTED_VALUE"""),"กาวร้อน")</f>
        <v>กาวร้อน</v>
      </c>
    </row>
    <row r="511">
      <c r="A511" s="128" t="str">
        <f>IFERROR(__xludf.DUMMYFUNCTION("""COMPUTED_VALUE"""),"อุปกรณ์")</f>
        <v>อุปกรณ์</v>
      </c>
      <c r="B511" s="128" t="str">
        <f>IFERROR(__xludf.DUMMYFUNCTION("""COMPUTED_VALUE"""),"6 เหลี่ยม ")</f>
        <v>6 เหลี่ยม </v>
      </c>
    </row>
    <row r="512">
      <c r="A512" s="128" t="str">
        <f>IFERROR(__xludf.DUMMYFUNCTION("""COMPUTED_VALUE"""),"อุปกรณ์")</f>
        <v>อุปกรณ์</v>
      </c>
      <c r="B512" s="128" t="str">
        <f>IFERROR(__xludf.DUMMYFUNCTION("""COMPUTED_VALUE"""),"รับลูกเบี้ยว+ลูกเบี้ยว")</f>
        <v>รับลูกเบี้ยว+ลูกเบี้ยว</v>
      </c>
    </row>
    <row r="513">
      <c r="A513" s="128" t="str">
        <f>IFERROR(__xludf.DUMMYFUNCTION("""COMPUTED_VALUE"""),"อุปกรณ์")</f>
        <v>อุปกรณ์</v>
      </c>
      <c r="B513" s="128" t="str">
        <f>IFERROR(__xludf.DUMMYFUNCTION("""COMPUTED_VALUE"""),"โช๊ค-600")</f>
        <v>โช๊ค-600</v>
      </c>
    </row>
    <row r="514">
      <c r="A514" s="128" t="str">
        <f>IFERROR(__xludf.DUMMYFUNCTION("""COMPUTED_VALUE"""),"อุปกรณ์")</f>
        <v>อุปกรณ์</v>
      </c>
      <c r="B514" s="128" t="str">
        <f>IFERROR(__xludf.DUMMYFUNCTION("""COMPUTED_VALUE"""),"โช๊ค-800")</f>
        <v>โช๊ค-800</v>
      </c>
    </row>
    <row r="515">
      <c r="A515" s="128" t="str">
        <f>IFERROR(__xludf.DUMMYFUNCTION("""COMPUTED_VALUE"""),"อุปกรณ์")</f>
        <v>อุปกรณ์</v>
      </c>
      <c r="B515" s="128" t="str">
        <f>IFERROR(__xludf.DUMMYFUNCTION("""COMPUTED_VALUE"""),"โช๊ค-1000")</f>
        <v>โช๊ค-1000</v>
      </c>
    </row>
    <row r="516">
      <c r="A516" s="128" t="str">
        <f>IFERROR(__xludf.DUMMYFUNCTION("""COMPUTED_VALUE"""),"อุปกรณ์")</f>
        <v>อุปกรณ์</v>
      </c>
      <c r="B516" s="128" t="str">
        <f>IFERROR(__xludf.DUMMYFUNCTION("""COMPUTED_VALUE"""),"โช๊ค-1200")</f>
        <v>โช๊ค-1200</v>
      </c>
    </row>
    <row r="517">
      <c r="A517" s="128" t="str">
        <f>IFERROR(__xludf.DUMMYFUNCTION("""COMPUTED_VALUE"""),"อุปกรณ์")</f>
        <v>อุปกรณ์</v>
      </c>
      <c r="B517" s="128" t="str">
        <f>IFERROR(__xludf.DUMMYFUNCTION("""COMPUTED_VALUE"""),"โช๊ค VVP98-ดำ")</f>
        <v>โช๊ค VVP98-ดำ</v>
      </c>
    </row>
    <row r="518">
      <c r="A518" s="128" t="str">
        <f>IFERROR(__xludf.DUMMYFUNCTION("""COMPUTED_VALUE"""),"อุปกรณ์")</f>
        <v>อุปกรณ์</v>
      </c>
      <c r="B518" s="128" t="str">
        <f>IFERROR(__xludf.DUMMYFUNCTION("""COMPUTED_VALUE"""),"โช๊ค VVP100-ดำ")</f>
        <v>โช๊ค VVP100-ดำ</v>
      </c>
    </row>
    <row r="519">
      <c r="A519" s="128" t="str">
        <f>IFERROR(__xludf.DUMMYFUNCTION("""COMPUTED_VALUE"""),"อุปกรณ์")</f>
        <v>อุปกรณ์</v>
      </c>
      <c r="B519" s="128"/>
    </row>
    <row r="520">
      <c r="A520" s="128" t="str">
        <f>IFERROR(__xludf.DUMMYFUNCTION("""COMPUTED_VALUE"""),"อุปกรณ์")</f>
        <v>อุปกรณ์</v>
      </c>
      <c r="B520" s="128"/>
    </row>
    <row r="521">
      <c r="A521" s="128" t="str">
        <f>IFERROR(__xludf.DUMMYFUNCTION("""COMPUTED_VALUE"""),"อุปกรณ์")</f>
        <v>อุปกรณ์</v>
      </c>
      <c r="B521" s="128"/>
    </row>
    <row r="522">
      <c r="A522" s="128" t="str">
        <f>IFERROR(__xludf.DUMMYFUNCTION("""COMPUTED_VALUE"""),"อุปกรณ์")</f>
        <v>อุปกรณ์</v>
      </c>
      <c r="B522" s="128"/>
    </row>
    <row r="523">
      <c r="A523" s="128" t="str">
        <f>IFERROR(__xludf.DUMMYFUNCTION("""COMPUTED_VALUE"""),"อุปกรณ์")</f>
        <v>อุปกรณ์</v>
      </c>
      <c r="B523" s="128"/>
    </row>
    <row r="524">
      <c r="A524" s="128" t="str">
        <f>IFERROR(__xludf.DUMMYFUNCTION("""COMPUTED_VALUE"""),"อุปกรณ์")</f>
        <v>อุปกรณ์</v>
      </c>
      <c r="B524" s="128"/>
    </row>
    <row r="525">
      <c r="A525" s="128" t="str">
        <f>IFERROR(__xludf.DUMMYFUNCTION("""COMPUTED_VALUE"""),"อุปกรณ์")</f>
        <v>อุปกรณ์</v>
      </c>
      <c r="B525" s="128"/>
    </row>
    <row r="526">
      <c r="A526" s="128" t="str">
        <f>IFERROR(__xludf.DUMMYFUNCTION("""COMPUTED_VALUE"""),"อุปกรณ์")</f>
        <v>อุปกรณ์</v>
      </c>
      <c r="B526" s="128"/>
    </row>
    <row r="527">
      <c r="A527" s="128" t="str">
        <f>IFERROR(__xludf.DUMMYFUNCTION("""COMPUTED_VALUE"""),"อุปกรณ์")</f>
        <v>อุปกรณ์</v>
      </c>
      <c r="B527" s="128"/>
    </row>
    <row r="528">
      <c r="A528" s="128" t="str">
        <f>IFERROR(__xludf.DUMMYFUNCTION("""COMPUTED_VALUE"""),"อุปกรณ์")</f>
        <v>อุปกรณ์</v>
      </c>
      <c r="B528" s="128"/>
    </row>
    <row r="529">
      <c r="A529" s="128" t="str">
        <f>IFERROR(__xludf.DUMMYFUNCTION("""COMPUTED_VALUE"""),"อุปกรณ์")</f>
        <v>อุปกรณ์</v>
      </c>
      <c r="B529" s="128"/>
    </row>
    <row r="530">
      <c r="A530" s="128" t="str">
        <f>IFERROR(__xludf.DUMMYFUNCTION("""COMPUTED_VALUE"""),"อุปกรณ์")</f>
        <v>อุปกรณ์</v>
      </c>
      <c r="B530" s="128"/>
    </row>
    <row r="531">
      <c r="A531" s="128" t="str">
        <f>IFERROR(__xludf.DUMMYFUNCTION("""COMPUTED_VALUE"""),"อุปกรณ์")</f>
        <v>อุปกรณ์</v>
      </c>
      <c r="B531" s="128"/>
    </row>
    <row r="532">
      <c r="A532" s="128" t="str">
        <f>IFERROR(__xludf.DUMMYFUNCTION("""COMPUTED_VALUE"""),"อุปกรณ์")</f>
        <v>อุปกรณ์</v>
      </c>
      <c r="B532" s="128"/>
    </row>
    <row r="533">
      <c r="A533" s="128" t="str">
        <f>IFERROR(__xludf.DUMMYFUNCTION("""COMPUTED_VALUE"""),"อุปกรณ์")</f>
        <v>อุปกรณ์</v>
      </c>
      <c r="B533" s="128"/>
    </row>
    <row r="534">
      <c r="A534" s="128" t="str">
        <f>IFERROR(__xludf.DUMMYFUNCTION("""COMPUTED_VALUE"""),"อุปกรณ์")</f>
        <v>อุปกรณ์</v>
      </c>
      <c r="B534" s="128"/>
    </row>
    <row r="535">
      <c r="A535" s="128" t="str">
        <f>IFERROR(__xludf.DUMMYFUNCTION("""COMPUTED_VALUE"""),"อุปกรณ์")</f>
        <v>อุปกรณ์</v>
      </c>
      <c r="B535" s="128"/>
    </row>
    <row r="536">
      <c r="A536" s="128" t="str">
        <f>IFERROR(__xludf.DUMMYFUNCTION("""COMPUTED_VALUE"""),"อุปกรณ์")</f>
        <v>อุปกรณ์</v>
      </c>
      <c r="B536" s="128"/>
    </row>
    <row r="537">
      <c r="A537" s="128" t="str">
        <f>IFERROR(__xludf.DUMMYFUNCTION("""COMPUTED_VALUE"""),"อุปกรณ์")</f>
        <v>อุปกรณ์</v>
      </c>
      <c r="B537" s="128"/>
    </row>
    <row r="538">
      <c r="A538" s="128" t="str">
        <f>IFERROR(__xludf.DUMMYFUNCTION("""COMPUTED_VALUE"""),"อุปกรณ์")</f>
        <v>อุปกรณ์</v>
      </c>
      <c r="B538" s="128"/>
    </row>
    <row r="539">
      <c r="A539" s="128" t="str">
        <f>IFERROR(__xludf.DUMMYFUNCTION("""COMPUTED_VALUE"""),"อุปกรณ์")</f>
        <v>อุปกรณ์</v>
      </c>
      <c r="B539" s="128"/>
    </row>
    <row r="540">
      <c r="A540" s="128" t="str">
        <f>IFERROR(__xludf.DUMMYFUNCTION("""COMPUTED_VALUE"""),"อุปกรณ์")</f>
        <v>อุปกรณ์</v>
      </c>
      <c r="B540" s="128"/>
    </row>
    <row r="541">
      <c r="A541" s="128" t="str">
        <f>IFERROR(__xludf.DUMMYFUNCTION("""COMPUTED_VALUE"""),"อุปกรณ์")</f>
        <v>อุปกรณ์</v>
      </c>
      <c r="B541" s="128"/>
    </row>
    <row r="542">
      <c r="A542" s="128" t="str">
        <f>IFERROR(__xludf.DUMMYFUNCTION("""COMPUTED_VALUE"""),"อุปกรณ์")</f>
        <v>อุปกรณ์</v>
      </c>
      <c r="B542" s="128"/>
    </row>
    <row r="543">
      <c r="A543" s="128" t="str">
        <f>IFERROR(__xludf.DUMMYFUNCTION("""COMPUTED_VALUE"""),"ยาง ลักหลาด")</f>
        <v>ยาง ลักหลาด</v>
      </c>
      <c r="B543" s="128" t="str">
        <f>IFERROR(__xludf.DUMMYFUNCTION("""COMPUTED_VALUE"""),"ยาง 044-40")</f>
        <v>ยาง 044-40</v>
      </c>
    </row>
    <row r="544">
      <c r="A544" s="128" t="str">
        <f>IFERROR(__xludf.DUMMYFUNCTION("""COMPUTED_VALUE"""),"ยาง ลักหลาด")</f>
        <v>ยาง ลักหลาด</v>
      </c>
      <c r="B544" s="128" t="str">
        <f>IFERROR(__xludf.DUMMYFUNCTION("""COMPUTED_VALUE"""),"ยาง 045")</f>
        <v>ยาง 045</v>
      </c>
    </row>
    <row r="545">
      <c r="A545" s="128" t="str">
        <f>IFERROR(__xludf.DUMMYFUNCTION("""COMPUTED_VALUE"""),"ยาง ลักหลาด")</f>
        <v>ยาง ลักหลาด</v>
      </c>
      <c r="B545" s="128" t="str">
        <f>IFERROR(__xludf.DUMMYFUNCTION("""COMPUTED_VALUE"""),"ยางรองกระจก  EPK-737")</f>
        <v>ยางรองกระจก  EPK-737</v>
      </c>
    </row>
    <row r="546">
      <c r="A546" s="128" t="str">
        <f>IFERROR(__xludf.DUMMYFUNCTION("""COMPUTED_VALUE"""),"ยาง ลักหลาด")</f>
        <v>ยาง ลักหลาด</v>
      </c>
      <c r="B546" s="128" t="str">
        <f>IFERROR(__xludf.DUMMYFUNCTION("""COMPUTED_VALUE"""),"ยาง epdm sponge EFK77-4.7")</f>
        <v>ยาง epdm sponge EFK77-4.7</v>
      </c>
    </row>
    <row r="547">
      <c r="A547" s="128" t="str">
        <f>IFERROR(__xludf.DUMMYFUNCTION("""COMPUTED_VALUE"""),"ยาง ลักหลาด")</f>
        <v>ยาง ลักหลาด</v>
      </c>
      <c r="B547" s="128" t="str">
        <f>IFERROR(__xludf.DUMMYFUNCTION("""COMPUTED_VALUE"""),"ยาง epdm sponge แบน EFK9-4")</f>
        <v>ยาง epdm sponge แบน EFK9-4</v>
      </c>
    </row>
    <row r="548">
      <c r="A548" s="128" t="str">
        <f>IFERROR(__xludf.DUMMYFUNCTION("""COMPUTED_VALUE"""),"ยาง ลักหลาด")</f>
        <v>ยาง ลักหลาด</v>
      </c>
      <c r="B548" s="128" t="str">
        <f>IFERROR(__xludf.DUMMYFUNCTION("""COMPUTED_VALUE"""),"ยางรองหลังคา EPJ-230")</f>
        <v>ยางรองหลังคา EPJ-230</v>
      </c>
    </row>
    <row r="549">
      <c r="A549" s="128" t="str">
        <f>IFERROR(__xludf.DUMMYFUNCTION("""COMPUTED_VALUE"""),"ยาง ลักหลาด")</f>
        <v>ยาง ลักหลาด</v>
      </c>
      <c r="B549" s="128" t="str">
        <f>IFERROR(__xludf.DUMMYFUNCTION("""COMPUTED_VALUE"""),"ยางชินโคไลท์ EPT-409-5.8")</f>
        <v>ยางชินโคไลท์ EPT-409-5.8</v>
      </c>
    </row>
    <row r="550">
      <c r="A550" s="128" t="str">
        <f>IFERROR(__xludf.DUMMYFUNCTION("""COMPUTED_VALUE"""),"ยาง ลักหลาด")</f>
        <v>ยาง ลักหลาด</v>
      </c>
      <c r="B550" s="128" t="str">
        <f>IFERROR(__xludf.DUMMYFUNCTION("""COMPUTED_VALUE"""),"สักหลาดจีน 5*3")</f>
        <v>สักหลาดจีน 5*3</v>
      </c>
    </row>
    <row r="551">
      <c r="A551" s="128" t="str">
        <f>IFERROR(__xludf.DUMMYFUNCTION("""COMPUTED_VALUE"""),"ยาง ลักหลาด")</f>
        <v>ยาง ลักหลาด</v>
      </c>
      <c r="B551" s="128" t="str">
        <f>IFERROR(__xludf.DUMMYFUNCTION("""COMPUTED_VALUE"""),"สักหลาดจีน 5*4")</f>
        <v>สักหลาดจีน 5*4</v>
      </c>
    </row>
    <row r="552">
      <c r="A552" s="128" t="str">
        <f>IFERROR(__xludf.DUMMYFUNCTION("""COMPUTED_VALUE"""),"ยาง ลักหลาด")</f>
        <v>ยาง ลักหลาด</v>
      </c>
      <c r="B552" s="128" t="str">
        <f>IFERROR(__xludf.DUMMYFUNCTION("""COMPUTED_VALUE"""),"สักหลาดจีน 3.5*4.8")</f>
        <v>สักหลาดจีน 3.5*4.8</v>
      </c>
    </row>
    <row r="553">
      <c r="A553" s="128" t="str">
        <f>IFERROR(__xludf.DUMMYFUNCTION("""COMPUTED_VALUE"""),"ยาง ลักหลาด")</f>
        <v>ยาง ลักหลาด</v>
      </c>
      <c r="B553" s="128" t="str">
        <f>IFERROR(__xludf.DUMMYFUNCTION("""COMPUTED_VALUE"""),"สักหลาดแถบกาว Hyda")</f>
        <v>สักหลาดแถบกาว Hyda</v>
      </c>
    </row>
    <row r="554">
      <c r="A554" s="128" t="str">
        <f>IFERROR(__xludf.DUMMYFUNCTION("""COMPUTED_VALUE"""),"ยาง ลักหลาด")</f>
        <v>ยาง ลักหลาด</v>
      </c>
      <c r="B554" s="128" t="str">
        <f>IFERROR(__xludf.DUMMYFUNCTION("""COMPUTED_VALUE"""),"ยางกันน้ำ Shower VVP_PS11")</f>
        <v>ยางกันน้ำ Shower VVP_PS11</v>
      </c>
    </row>
    <row r="555">
      <c r="A555" s="128" t="str">
        <f>IFERROR(__xludf.DUMMYFUNCTION("""COMPUTED_VALUE"""),"ยาง ลักหลาด")</f>
        <v>ยาง ลักหลาด</v>
      </c>
      <c r="B555" s="128" t="str">
        <f>IFERROR(__xludf.DUMMYFUNCTION("""COMPUTED_VALUE"""),"ยางกันน้ำ Shower VVP_PS12A")</f>
        <v>ยางกันน้ำ Shower VVP_PS12A</v>
      </c>
    </row>
    <row r="556">
      <c r="A556" s="128" t="str">
        <f>IFERROR(__xludf.DUMMYFUNCTION("""COMPUTED_VALUE"""),"ยาง ลักหลาด")</f>
        <v>ยาง ลักหลาด</v>
      </c>
      <c r="B556" s="128" t="str">
        <f>IFERROR(__xludf.DUMMYFUNCTION("""COMPUTED_VALUE"""),"ยางกันน้ำ Shower VVP_PS14")</f>
        <v>ยางกันน้ำ Shower VVP_PS14</v>
      </c>
    </row>
    <row r="557">
      <c r="A557" s="128" t="str">
        <f>IFERROR(__xludf.DUMMYFUNCTION("""COMPUTED_VALUE"""),"ยาง ลักหลาด")</f>
        <v>ยาง ลักหลาด</v>
      </c>
      <c r="B557" s="128" t="str">
        <f>IFERROR(__xludf.DUMMYFUNCTION("""COMPUTED_VALUE"""),"ยางอัดตัวเล็ก 044")</f>
        <v>ยางอัดตัวเล็ก 044</v>
      </c>
    </row>
    <row r="558">
      <c r="A558" s="128" t="str">
        <f>IFERROR(__xludf.DUMMYFUNCTION("""COMPUTED_VALUE"""),"ยาง ลักหลาด")</f>
        <v>ยาง ลักหลาด</v>
      </c>
      <c r="B558" s="128" t="str">
        <f>IFERROR(__xludf.DUMMYFUNCTION("""COMPUTED_VALUE"""),"ยางอัดตัวใหญ่ 044")</f>
        <v>ยางอัดตัวใหญ่ 044</v>
      </c>
    </row>
    <row r="559">
      <c r="A559" s="128" t="str">
        <f>IFERROR(__xludf.DUMMYFUNCTION("""COMPUTED_VALUE"""),"ยาง ลักหลาด")</f>
        <v>ยาง ลักหลาด</v>
      </c>
      <c r="B559" s="128" t="str">
        <f>IFERROR(__xludf.DUMMYFUNCTION("""COMPUTED_VALUE"""),"ยางอัด-5")</f>
        <v>ยางอัด-5</v>
      </c>
    </row>
    <row r="560">
      <c r="A560" s="128" t="str">
        <f>IFERROR(__xludf.DUMMYFUNCTION("""COMPUTED_VALUE"""),"ยาง ลักหลาด")</f>
        <v>ยาง ลักหลาด</v>
      </c>
      <c r="B560" s="128" t="str">
        <f>IFERROR(__xludf.DUMMYFUNCTION("""COMPUTED_VALUE"""),"ยางอัด-6")</f>
        <v>ยางอัด-6</v>
      </c>
    </row>
    <row r="561">
      <c r="A561" s="128" t="str">
        <f>IFERROR(__xludf.DUMMYFUNCTION("""COMPUTED_VALUE"""),"ยาง ลักหลาด")</f>
        <v>ยาง ลักหลาด</v>
      </c>
      <c r="B561" s="128" t="str">
        <f>IFERROR(__xludf.DUMMYFUNCTION("""COMPUTED_VALUE"""),"ยางอัด-13")</f>
        <v>ยางอัด-13</v>
      </c>
    </row>
    <row r="562">
      <c r="A562" s="128" t="str">
        <f>IFERROR(__xludf.DUMMYFUNCTION("""COMPUTED_VALUE"""),"ยาง ลักหลาด")</f>
        <v>ยาง ลักหลาด</v>
      </c>
      <c r="B562" s="128" t="str">
        <f>IFERROR(__xludf.DUMMYFUNCTION("""COMPUTED_VALUE"""),"ยางอัด-15")</f>
        <v>ยางอัด-15</v>
      </c>
    </row>
    <row r="563">
      <c r="A563" s="128" t="str">
        <f>IFERROR(__xludf.DUMMYFUNCTION("""COMPUTED_VALUE"""),"ยาง ลักหลาด")</f>
        <v>ยาง ลักหลาด</v>
      </c>
      <c r="B563" s="128" t="str">
        <f>IFERROR(__xludf.DUMMYFUNCTION("""COMPUTED_VALUE"""),"ยางเดิน-4")</f>
        <v>ยางเดิน-4</v>
      </c>
    </row>
    <row r="564">
      <c r="A564" s="128" t="str">
        <f>IFERROR(__xludf.DUMMYFUNCTION("""COMPUTED_VALUE"""),"ยาง ลักหลาด")</f>
        <v>ยาง ลักหลาด</v>
      </c>
      <c r="B564" s="128" t="str">
        <f>IFERROR(__xludf.DUMMYFUNCTION("""COMPUTED_VALUE"""),"ยางหุ้ม 6mm-1")</f>
        <v>ยางหุ้ม 6mm-1</v>
      </c>
    </row>
    <row r="565">
      <c r="A565" s="128" t="str">
        <f>IFERROR(__xludf.DUMMYFUNCTION("""COMPUTED_VALUE"""),"ยาง ลักหลาด")</f>
        <v>ยาง ลักหลาด</v>
      </c>
      <c r="B565" s="128" t="str">
        <f>IFERROR(__xludf.DUMMYFUNCTION("""COMPUTED_VALUE"""),"ยางหุ้ม 5mm-2")</f>
        <v>ยางหุ้ม 5mm-2</v>
      </c>
    </row>
    <row r="566">
      <c r="A566" s="128" t="str">
        <f>IFERROR(__xludf.DUMMYFUNCTION("""COMPUTED_VALUE"""),"ยาง ลักหลาด")</f>
        <v>ยาง ลักหลาด</v>
      </c>
      <c r="B566" s="128" t="str">
        <f>IFERROR(__xludf.DUMMYFUNCTION("""COMPUTED_VALUE"""),"ยางบานเปิดตัวเตี้ย")</f>
        <v>ยางบานเปิดตัวเตี้ย</v>
      </c>
    </row>
    <row r="567">
      <c r="A567" s="128" t="str">
        <f>IFERROR(__xludf.DUMMYFUNCTION("""COMPUTED_VALUE"""),"ยาง ลักหลาด")</f>
        <v>ยาง ลักหลาด</v>
      </c>
      <c r="B567" s="128" t="str">
        <f>IFERROR(__xludf.DUMMYFUNCTION("""COMPUTED_VALUE"""),"ยางแบนหลังคา")</f>
        <v>ยางแบนหลังคา</v>
      </c>
    </row>
    <row r="568">
      <c r="A568" s="128" t="str">
        <f>IFERROR(__xludf.DUMMYFUNCTION("""COMPUTED_VALUE"""),"ยาง ลักหลาด")</f>
        <v>ยาง ลักหลาด</v>
      </c>
      <c r="B568" s="128" t="str">
        <f>IFERROR(__xludf.DUMMYFUNCTION("""COMPUTED_VALUE"""),"ยางโพลีคาร์บอเนต")</f>
        <v>ยางโพลีคาร์บอเนต</v>
      </c>
    </row>
    <row r="569">
      <c r="A569" s="128" t="str">
        <f>IFERROR(__xludf.DUMMYFUNCTION("""COMPUTED_VALUE"""),"ยาง ลักหลาด")</f>
        <v>ยาง ลักหลาด</v>
      </c>
      <c r="B569" s="128" t="str">
        <f>IFERROR(__xludf.DUMMYFUNCTION("""COMPUTED_VALUE"""),"สักหลาดคุณจรูญ")</f>
        <v>สักหลาดคุณจรูญ</v>
      </c>
    </row>
    <row r="570">
      <c r="A570" s="128" t="str">
        <f>IFERROR(__xludf.DUMMYFUNCTION("""COMPUTED_VALUE"""),"ยาง ลักหลาด")</f>
        <v>ยาง ลักหลาด</v>
      </c>
      <c r="B570" s="128" t="str">
        <f>IFERROR(__xludf.DUMMYFUNCTION("""COMPUTED_VALUE"""),"สักหลาด สีดำ-5X3")</f>
        <v>สักหลาด สีดำ-5X3</v>
      </c>
    </row>
    <row r="571">
      <c r="A571" s="128" t="str">
        <f>IFERROR(__xludf.DUMMYFUNCTION("""COMPUTED_VALUE"""),"ยาง ลักหลาด")</f>
        <v>ยาง ลักหลาด</v>
      </c>
      <c r="B571" s="128" t="str">
        <f>IFERROR(__xludf.DUMMYFUNCTION("""COMPUTED_VALUE"""),"สักหลาด สีดำ + สีเทา-5X4")</f>
        <v>สักหลาด สีดำ + สีเทา-5X4</v>
      </c>
    </row>
    <row r="572">
      <c r="A572" s="128" t="str">
        <f>IFERROR(__xludf.DUMMYFUNCTION("""COMPUTED_VALUE"""),"ยาง ลักหลาด")</f>
        <v>ยาง ลักหลาด</v>
      </c>
      <c r="B572" s="128" t="str">
        <f>IFERROR(__xludf.DUMMYFUNCTION("""COMPUTED_VALUE"""),"สักหลาด สีเทา-5X5")</f>
        <v>สักหลาด สีเทา-5X5</v>
      </c>
    </row>
    <row r="573">
      <c r="A573" s="128" t="str">
        <f>IFERROR(__xludf.DUMMYFUNCTION("""COMPUTED_VALUE"""),"ยาง ลักหลาด")</f>
        <v>ยาง ลักหลาด</v>
      </c>
      <c r="B573" s="128" t="str">
        <f>IFERROR(__xludf.DUMMYFUNCTION("""COMPUTED_VALUE"""),"สักหลาด สีเทา-5X6")</f>
        <v>สักหลาด สีเทา-5X6</v>
      </c>
    </row>
    <row r="574">
      <c r="A574" s="128" t="str">
        <f>IFERROR(__xludf.DUMMYFUNCTION("""COMPUTED_VALUE"""),"ยาง ลักหลาด")</f>
        <v>ยาง ลักหลาด</v>
      </c>
      <c r="B574" s="128" t="str">
        <f>IFERROR(__xludf.DUMMYFUNCTION("""COMPUTED_VALUE"""),"สักหลาด สีเทา-5X7")</f>
        <v>สักหลาด สีเทา-5X7</v>
      </c>
    </row>
    <row r="575">
      <c r="A575" s="128" t="str">
        <f>IFERROR(__xludf.DUMMYFUNCTION("""COMPUTED_VALUE"""),"ยาง ลักหลาด")</f>
        <v>ยาง ลักหลาด</v>
      </c>
      <c r="B575" s="128" t="str">
        <f>IFERROR(__xludf.DUMMYFUNCTION("""COMPUTED_VALUE"""),"สักหลาด สีเทา-5X12")</f>
        <v>สักหลาด สีเทา-5X12</v>
      </c>
    </row>
    <row r="576">
      <c r="A576" s="128" t="str">
        <f>IFERROR(__xludf.DUMMYFUNCTION("""COMPUTED_VALUE"""),"ยาง ลักหลาด")</f>
        <v>ยาง ลักหลาด</v>
      </c>
      <c r="B576" s="128" t="str">
        <f>IFERROR(__xludf.DUMMYFUNCTION("""COMPUTED_VALUE"""),"สักหลาด แบบกาว")</f>
        <v>สักหลาด แบบกาว</v>
      </c>
    </row>
    <row r="577">
      <c r="A577" s="128" t="str">
        <f>IFERROR(__xludf.DUMMYFUNCTION("""COMPUTED_VALUE"""),"ยาง ลักหลาด")</f>
        <v>ยาง ลักหลาด</v>
      </c>
      <c r="B577" s="128" t="str">
        <f>IFERROR(__xludf.DUMMYFUNCTION("""COMPUTED_VALUE"""),"สักหลาด บานเลื่อน สลิม จีน")</f>
        <v>สักหลาด บานเลื่อน สลิม จีน</v>
      </c>
    </row>
    <row r="578">
      <c r="A578" s="128" t="str">
        <f>IFERROR(__xludf.DUMMYFUNCTION("""COMPUTED_VALUE"""),"ยาง ลักหลาด")</f>
        <v>ยาง ลักหลาด</v>
      </c>
      <c r="B578" s="128" t="str">
        <f>IFERROR(__xludf.DUMMYFUNCTION("""COMPUTED_VALUE"""),"กาว 2 หน้า 3M กันจิ้งจก")</f>
        <v>กาว 2 หน้า 3M กันจิ้งจก</v>
      </c>
    </row>
    <row r="579">
      <c r="A579" s="128" t="str">
        <f>IFERROR(__xludf.DUMMYFUNCTION("""COMPUTED_VALUE"""),"ยาง ลักหลาด")</f>
        <v>ยาง ลักหลาด</v>
      </c>
      <c r="B579" s="128" t="str">
        <f>IFERROR(__xludf.DUMMYFUNCTION("""COMPUTED_VALUE"""),"ยางกันจิ้งจก")</f>
        <v>ยางกันจิ้งจก</v>
      </c>
    </row>
    <row r="580">
      <c r="A580" s="128" t="str">
        <f>IFERROR(__xludf.DUMMYFUNCTION("""COMPUTED_VALUE"""),"ยาง ลักหลาด")</f>
        <v>ยาง ลักหลาด</v>
      </c>
      <c r="B580" s="128" t="str">
        <f>IFERROR(__xludf.DUMMYFUNCTION("""COMPUTED_VALUE"""),"ยางบานเฟี้ยมตัวใหญ่")</f>
        <v>ยางบานเฟี้ยมตัวใหญ่</v>
      </c>
    </row>
    <row r="581">
      <c r="A581" s="128" t="str">
        <f>IFERROR(__xludf.DUMMYFUNCTION("""COMPUTED_VALUE"""),"ยาง ลักหลาด")</f>
        <v>ยาง ลักหลาด</v>
      </c>
      <c r="B581" s="128" t="str">
        <f>IFERROR(__xludf.DUMMYFUNCTION("""COMPUTED_VALUE"""),"ยางบานเฟี้ยมตัวเล็ก")</f>
        <v>ยางบานเฟี้ยมตัวเล็ก</v>
      </c>
    </row>
    <row r="582">
      <c r="A582" s="128" t="str">
        <f>IFERROR(__xludf.DUMMYFUNCTION("""COMPUTED_VALUE"""),"ยาง ลักหลาด")</f>
        <v>ยาง ลักหลาด</v>
      </c>
      <c r="B582" s="128"/>
    </row>
    <row r="583">
      <c r="A583" s="128" t="str">
        <f>IFERROR(__xludf.DUMMYFUNCTION("""COMPUTED_VALUE"""),"ยาง ลักหลาด")</f>
        <v>ยาง ลักหลาด</v>
      </c>
      <c r="B583" s="128"/>
    </row>
    <row r="584">
      <c r="A584" s="128" t="str">
        <f>IFERROR(__xludf.DUMMYFUNCTION("""COMPUTED_VALUE"""),"ยาง ลักหลาด")</f>
        <v>ยาง ลักหลาด</v>
      </c>
      <c r="B584" s="128"/>
    </row>
    <row r="585">
      <c r="A585" s="128" t="str">
        <f>IFERROR(__xludf.DUMMYFUNCTION("""COMPUTED_VALUE"""),"ยาง ลักหลาด")</f>
        <v>ยาง ลักหลาด</v>
      </c>
      <c r="B585" s="128"/>
    </row>
    <row r="586">
      <c r="A586" s="128" t="str">
        <f>IFERROR(__xludf.DUMMYFUNCTION("""COMPUTED_VALUE"""),"ยาง ลักหลาด")</f>
        <v>ยาง ลักหลาด</v>
      </c>
      <c r="B586" s="128"/>
    </row>
    <row r="587">
      <c r="A587" s="128" t="str">
        <f>IFERROR(__xludf.DUMMYFUNCTION("""COMPUTED_VALUE"""),"ยาง ลักหลาด")</f>
        <v>ยาง ลักหลาด</v>
      </c>
      <c r="B587" s="128"/>
    </row>
    <row r="588">
      <c r="A588" s="128" t="str">
        <f>IFERROR(__xludf.DUMMYFUNCTION("""COMPUTED_VALUE"""),"ยาง ลักหลาด")</f>
        <v>ยาง ลักหลาด</v>
      </c>
      <c r="B588" s="128"/>
    </row>
    <row r="589">
      <c r="A589" s="128" t="str">
        <f>IFERROR(__xludf.DUMMYFUNCTION("""COMPUTED_VALUE"""),"ยาง ลักหลาด")</f>
        <v>ยาง ลักหลาด</v>
      </c>
      <c r="B589" s="128"/>
    </row>
    <row r="590">
      <c r="A590" s="128" t="str">
        <f>IFERROR(__xludf.DUMMYFUNCTION("""COMPUTED_VALUE"""),"ยาง ลักหลาด")</f>
        <v>ยาง ลักหลาด</v>
      </c>
      <c r="B590" s="128"/>
    </row>
    <row r="591">
      <c r="A591" s="128" t="str">
        <f>IFERROR(__xludf.DUMMYFUNCTION("""COMPUTED_VALUE"""),"ยาง ลักหลาด")</f>
        <v>ยาง ลักหลาด</v>
      </c>
      <c r="B591" s="128"/>
    </row>
    <row r="592">
      <c r="A592" s="128" t="str">
        <f>IFERROR(__xludf.DUMMYFUNCTION("""COMPUTED_VALUE"""),"ยาง ลักหลาด")</f>
        <v>ยาง ลักหลาด</v>
      </c>
      <c r="B592" s="128"/>
    </row>
    <row r="593">
      <c r="A593" s="128" t="str">
        <f>IFERROR(__xludf.DUMMYFUNCTION("""COMPUTED_VALUE"""),"ยาง ลักหลาด")</f>
        <v>ยาง ลักหลาด</v>
      </c>
      <c r="B593" s="128"/>
    </row>
    <row r="594">
      <c r="A594" s="128" t="str">
        <f>IFERROR(__xludf.DUMMYFUNCTION("""COMPUTED_VALUE"""),"ยาง ลักหลาด")</f>
        <v>ยาง ลักหลาด</v>
      </c>
      <c r="B594" s="128"/>
    </row>
    <row r="595">
      <c r="A595" s="128" t="str">
        <f>IFERROR(__xludf.DUMMYFUNCTION("""COMPUTED_VALUE"""),"ยาง ลักหลาด")</f>
        <v>ยาง ลักหลาด</v>
      </c>
      <c r="B595" s="128"/>
    </row>
    <row r="596">
      <c r="A596" s="128" t="str">
        <f>IFERROR(__xludf.DUMMYFUNCTION("""COMPUTED_VALUE"""),"ยาง ลักหลาด")</f>
        <v>ยาง ลักหลาด</v>
      </c>
      <c r="B596" s="128"/>
    </row>
    <row r="597">
      <c r="A597" s="128" t="str">
        <f>IFERROR(__xludf.DUMMYFUNCTION("""COMPUTED_VALUE"""),"ยาง ลักหลาด")</f>
        <v>ยาง ลักหลาด</v>
      </c>
      <c r="B597" s="128"/>
    </row>
    <row r="598">
      <c r="A598" s="128" t="str">
        <f>IFERROR(__xludf.DUMMYFUNCTION("""COMPUTED_VALUE"""),"ยาง ลักหลาด")</f>
        <v>ยาง ลักหลาด</v>
      </c>
      <c r="B598" s="128"/>
    </row>
    <row r="599">
      <c r="A599" s="128" t="str">
        <f>IFERROR(__xludf.DUMMYFUNCTION("""COMPUTED_VALUE"""),"ยาง ลักหลาด")</f>
        <v>ยาง ลักหลาด</v>
      </c>
      <c r="B599" s="128"/>
    </row>
    <row r="600">
      <c r="A600" s="128" t="str">
        <f>IFERROR(__xludf.DUMMYFUNCTION("""COMPUTED_VALUE"""),"ยาง ลักหลาด")</f>
        <v>ยาง ลักหลาด</v>
      </c>
      <c r="B600" s="128"/>
    </row>
    <row r="601">
      <c r="A601" s="128" t="str">
        <f>IFERROR(__xludf.DUMMYFUNCTION("""COMPUTED_VALUE"""),"ยาง ลักหลาด")</f>
        <v>ยาง ลักหลาด</v>
      </c>
      <c r="B601" s="128"/>
    </row>
    <row r="602">
      <c r="A602" s="128" t="str">
        <f>IFERROR(__xludf.DUMMYFUNCTION("""COMPUTED_VALUE"""),"ยาง ลักหลาด")</f>
        <v>ยาง ลักหลาด</v>
      </c>
      <c r="B602" s="128"/>
    </row>
    <row r="603">
      <c r="A603" s="128" t="str">
        <f>IFERROR(__xludf.DUMMYFUNCTION("""COMPUTED_VALUE"""),"ยาง ลักหลาด")</f>
        <v>ยาง ลักหลาด</v>
      </c>
      <c r="B603" s="128"/>
    </row>
    <row r="604">
      <c r="A604" s="128" t="str">
        <f>IFERROR(__xludf.DUMMYFUNCTION("""COMPUTED_VALUE"""),"ยาง ลักหลาด")</f>
        <v>ยาง ลักหลาด</v>
      </c>
      <c r="B604" s="128"/>
    </row>
    <row r="605">
      <c r="A605" s="128" t="str">
        <f>IFERROR(__xludf.DUMMYFUNCTION("""COMPUTED_VALUE"""),"ยาง ลักหลาด")</f>
        <v>ยาง ลักหลาด</v>
      </c>
      <c r="B605" s="128"/>
    </row>
    <row r="606">
      <c r="A606" s="128" t="str">
        <f>IFERROR(__xludf.DUMMYFUNCTION("""COMPUTED_VALUE"""),"ยาง ลักหลาด")</f>
        <v>ยาง ลักหลาด</v>
      </c>
      <c r="B606" s="128"/>
    </row>
    <row r="607">
      <c r="A607" s="128" t="str">
        <f>IFERROR(__xludf.DUMMYFUNCTION("""COMPUTED_VALUE"""),"ยาง ลักหลาด")</f>
        <v>ยาง ลักหลาด</v>
      </c>
      <c r="B607" s="128"/>
    </row>
    <row r="608">
      <c r="A608" s="128" t="str">
        <f>IFERROR(__xludf.DUMMYFUNCTION("""COMPUTED_VALUE"""),"ยาง ลักหลาด")</f>
        <v>ยาง ลักหลาด</v>
      </c>
      <c r="B608" s="128"/>
    </row>
    <row r="609">
      <c r="A609" s="128" t="str">
        <f>IFERROR(__xludf.DUMMYFUNCTION("""COMPUTED_VALUE"""),"ยาง ลักหลาด")</f>
        <v>ยาง ลักหลาด</v>
      </c>
      <c r="B609" s="128"/>
    </row>
    <row r="610">
      <c r="A610" s="128" t="str">
        <f>IFERROR(__xludf.DUMMYFUNCTION("""COMPUTED_VALUE"""),"ยาง ลักหลาด")</f>
        <v>ยาง ลักหลาด</v>
      </c>
      <c r="B610" s="128"/>
    </row>
    <row r="611">
      <c r="A611" s="128" t="str">
        <f>IFERROR(__xludf.DUMMYFUNCTION("""COMPUTED_VALUE"""),"ยาง ลักหลาด")</f>
        <v>ยาง ลักหลาด</v>
      </c>
      <c r="B611" s="128"/>
    </row>
    <row r="612">
      <c r="A612" s="128" t="str">
        <f>IFERROR(__xludf.DUMMYFUNCTION("""COMPUTED_VALUE"""),"ยาง ลักหลาด")</f>
        <v>ยาง ลักหลาด</v>
      </c>
      <c r="B612" s="128"/>
    </row>
    <row r="613">
      <c r="A613" s="128" t="str">
        <f>IFERROR(__xludf.DUMMYFUNCTION("""COMPUTED_VALUE"""),"ยาง ลักหลาด")</f>
        <v>ยาง ลักหลาด</v>
      </c>
      <c r="B613" s="128"/>
    </row>
    <row r="614">
      <c r="A614" s="128" t="str">
        <f>IFERROR(__xludf.DUMMYFUNCTION("""COMPUTED_VALUE"""),"ยาง ลักหลาด")</f>
        <v>ยาง ลักหลาด</v>
      </c>
      <c r="B614" s="128"/>
    </row>
    <row r="615">
      <c r="A615" s="128" t="str">
        <f>IFERROR(__xludf.DUMMYFUNCTION("""COMPUTED_VALUE"""),"ยาง ลักหลาด")</f>
        <v>ยาง ลักหลาด</v>
      </c>
      <c r="B615" s="128"/>
    </row>
    <row r="616">
      <c r="A616" s="128" t="str">
        <f>IFERROR(__xludf.DUMMYFUNCTION("""COMPUTED_VALUE"""),"ยาง ลักหลาด")</f>
        <v>ยาง ลักหลาด</v>
      </c>
      <c r="B616" s="128"/>
    </row>
    <row r="617">
      <c r="A617" s="128" t="str">
        <f>IFERROR(__xludf.DUMMYFUNCTION("""COMPUTED_VALUE"""),"ยาง ลักหลาด")</f>
        <v>ยาง ลักหลาด</v>
      </c>
      <c r="B617" s="128"/>
    </row>
    <row r="618">
      <c r="A618" s="128" t="str">
        <f>IFERROR(__xludf.DUMMYFUNCTION("""COMPUTED_VALUE"""),"ยาง ลักหลาด")</f>
        <v>ยาง ลักหลาด</v>
      </c>
      <c r="B618" s="128"/>
    </row>
    <row r="619">
      <c r="A619" s="128" t="str">
        <f>IFERROR(__xludf.DUMMYFUNCTION("""COMPUTED_VALUE"""),"ยาง ลักหลาด")</f>
        <v>ยาง ลักหลาด</v>
      </c>
      <c r="B619" s="128"/>
    </row>
    <row r="620">
      <c r="A620" s="128" t="str">
        <f>IFERROR(__xludf.DUMMYFUNCTION("""COMPUTED_VALUE"""),"ยาง ลักหลาด")</f>
        <v>ยาง ลักหลาด</v>
      </c>
      <c r="B620" s="128"/>
    </row>
    <row r="621">
      <c r="A621" s="128" t="str">
        <f>IFERROR(__xludf.DUMMYFUNCTION("""COMPUTED_VALUE"""),"ยาง ลักหลาด")</f>
        <v>ยาง ลักหลาด</v>
      </c>
      <c r="B621" s="128"/>
    </row>
    <row r="622">
      <c r="A622" s="128" t="str">
        <f>IFERROR(__xludf.DUMMYFUNCTION("""COMPUTED_VALUE"""),"ยาง ลักหลาด")</f>
        <v>ยาง ลักหลาด</v>
      </c>
      <c r="B622" s="128"/>
    </row>
    <row r="623">
      <c r="A623" s="128" t="str">
        <f>IFERROR(__xludf.DUMMYFUNCTION("""COMPUTED_VALUE"""),"ยาง ลักหลาด")</f>
        <v>ยาง ลักหลาด</v>
      </c>
      <c r="B623" s="128"/>
    </row>
    <row r="624">
      <c r="A624" s="128" t="str">
        <f>IFERROR(__xludf.DUMMYFUNCTION("""COMPUTED_VALUE"""),"ยาง ลักหลาด")</f>
        <v>ยาง ลักหลาด</v>
      </c>
      <c r="B624" s="128"/>
    </row>
    <row r="625">
      <c r="A625" s="128" t="str">
        <f>IFERROR(__xludf.DUMMYFUNCTION("""COMPUTED_VALUE"""),"ยาง ลักหลาด")</f>
        <v>ยาง ลักหลาด</v>
      </c>
      <c r="B625" s="128"/>
    </row>
    <row r="626">
      <c r="A626" s="128" t="str">
        <f>IFERROR(__xludf.DUMMYFUNCTION("""COMPUTED_VALUE"""),"ยาง ลักหลาด")</f>
        <v>ยาง ลักหลาด</v>
      </c>
      <c r="B626" s="128"/>
    </row>
    <row r="627">
      <c r="A627" s="128" t="str">
        <f>IFERROR(__xludf.DUMMYFUNCTION("""COMPUTED_VALUE"""),"ยาง ลักหลาด")</f>
        <v>ยาง ลักหลาด</v>
      </c>
      <c r="B627" s="128"/>
    </row>
    <row r="628">
      <c r="A628" s="128" t="str">
        <f>IFERROR(__xludf.DUMMYFUNCTION("""COMPUTED_VALUE"""),"ยาง ลักหลาด")</f>
        <v>ยาง ลักหลาด</v>
      </c>
      <c r="B628" s="128"/>
    </row>
    <row r="629">
      <c r="A629" s="128" t="str">
        <f>IFERROR(__xludf.DUMMYFUNCTION("""COMPUTED_VALUE"""),"ยาง ลักหลาด")</f>
        <v>ยาง ลักหลาด</v>
      </c>
      <c r="B629" s="128"/>
    </row>
    <row r="630">
      <c r="A630" s="128" t="str">
        <f>IFERROR(__xludf.DUMMYFUNCTION("""COMPUTED_VALUE"""),"ยาง ลักหลาด")</f>
        <v>ยาง ลักหลาด</v>
      </c>
      <c r="B630" s="128"/>
    </row>
    <row r="631">
      <c r="A631" s="128" t="str">
        <f>IFERROR(__xludf.DUMMYFUNCTION("""COMPUTED_VALUE"""),"ยาง ลักหลาด")</f>
        <v>ยาง ลักหลาด</v>
      </c>
      <c r="B631" s="128"/>
    </row>
    <row r="632">
      <c r="A632" s="128" t="str">
        <f>IFERROR(__xludf.DUMMYFUNCTION("""COMPUTED_VALUE"""),"ยาง ลักหลาด")</f>
        <v>ยาง ลักหลาด</v>
      </c>
      <c r="B632" s="128"/>
    </row>
    <row r="633">
      <c r="A633" s="128" t="str">
        <f>IFERROR(__xludf.DUMMYFUNCTION("""COMPUTED_VALUE"""),"ยาง ลักหลาด")</f>
        <v>ยาง ลักหลาด</v>
      </c>
      <c r="B633" s="128"/>
    </row>
    <row r="634">
      <c r="A634" s="128" t="str">
        <f>IFERROR(__xludf.DUMMYFUNCTION("""COMPUTED_VALUE"""),"ยาง ลักหลาด")</f>
        <v>ยาง ลักหลาด</v>
      </c>
      <c r="B634" s="128"/>
    </row>
    <row r="635">
      <c r="A635" s="128" t="str">
        <f>IFERROR(__xludf.DUMMYFUNCTION("""COMPUTED_VALUE"""),"ยาง ลักหลาด")</f>
        <v>ยาง ลักหลาด</v>
      </c>
      <c r="B635" s="128"/>
    </row>
    <row r="636">
      <c r="A636" s="128" t="str">
        <f>IFERROR(__xludf.DUMMYFUNCTION("""COMPUTED_VALUE"""),"ยาง ลักหลาด")</f>
        <v>ยาง ลักหลาด</v>
      </c>
      <c r="B636" s="128"/>
    </row>
    <row r="637">
      <c r="A637" s="128" t="str">
        <f>IFERROR(__xludf.DUMMYFUNCTION("""COMPUTED_VALUE"""),"ยาง ลักหลาด")</f>
        <v>ยาง ลักหลาด</v>
      </c>
      <c r="B637" s="128"/>
    </row>
    <row r="638">
      <c r="A638" s="128" t="str">
        <f>IFERROR(__xludf.DUMMYFUNCTION("""COMPUTED_VALUE"""),"ยาง ลักหลาด")</f>
        <v>ยาง ลักหลาด</v>
      </c>
      <c r="B638" s="128"/>
    </row>
    <row r="639">
      <c r="A639" s="128" t="str">
        <f>IFERROR(__xludf.DUMMYFUNCTION("""COMPUTED_VALUE"""),"ยาง ลักหลาด")</f>
        <v>ยาง ลักหลาด</v>
      </c>
      <c r="B639" s="128"/>
    </row>
    <row r="640">
      <c r="A640" s="128" t="str">
        <f>IFERROR(__xludf.DUMMYFUNCTION("""COMPUTED_VALUE"""),"ยาง ลักหลาด")</f>
        <v>ยาง ลักหลาด</v>
      </c>
      <c r="B640" s="128"/>
    </row>
    <row r="641">
      <c r="A641" s="128" t="str">
        <f>IFERROR(__xludf.DUMMYFUNCTION("""COMPUTED_VALUE"""),"ยาง ลักหลาด")</f>
        <v>ยาง ลักหลาด</v>
      </c>
      <c r="B641" s="128"/>
    </row>
    <row r="642">
      <c r="A642" s="128" t="str">
        <f>IFERROR(__xludf.DUMMYFUNCTION("""COMPUTED_VALUE"""),"ยาง ลักหลาด")</f>
        <v>ยาง ลักหลาด</v>
      </c>
      <c r="B642" s="128"/>
    </row>
    <row r="643">
      <c r="A643" s="128" t="str">
        <f>IFERROR(__xludf.DUMMYFUNCTION("""COMPUTED_VALUE"""),"ยาง ลักหลาด")</f>
        <v>ยาง ลักหลาด</v>
      </c>
      <c r="B643" s="128"/>
    </row>
    <row r="644">
      <c r="A644" s="128" t="str">
        <f>IFERROR(__xludf.DUMMYFUNCTION("""COMPUTED_VALUE"""),"เครื่องมือช่าง")</f>
        <v>เครื่องมือช่าง</v>
      </c>
      <c r="B644" s="128" t="str">
        <f>IFERROR(__xludf.DUMMYFUNCTION("""COMPUTED_VALUE"""),"เครื่องวัดระดับ เลเซอร์ 5 เส้น")</f>
        <v>เครื่องวัดระดับ เลเซอร์ 5 เส้น</v>
      </c>
    </row>
    <row r="645">
      <c r="A645" s="128" t="str">
        <f>IFERROR(__xludf.DUMMYFUNCTION("""COMPUTED_VALUE"""),"เครื่องมือช่าง")</f>
        <v>เครื่องมือช่าง</v>
      </c>
      <c r="B645" s="128" t="str">
        <f>IFERROR(__xludf.DUMMYFUNCTION("""COMPUTED_VALUE"""),"สว่านโรตารี่ สว่านเจาะปูน 3 ระบบ")</f>
        <v>สว่านโรตารี่ สว่านเจาะปูน 3 ระบบ</v>
      </c>
    </row>
    <row r="646">
      <c r="A646" s="128" t="str">
        <f>IFERROR(__xludf.DUMMYFUNCTION("""COMPUTED_VALUE"""),"เครื่องมือช่าง")</f>
        <v>เครื่องมือช่าง</v>
      </c>
      <c r="B646" s="128" t="str">
        <f>IFERROR(__xludf.DUMMYFUNCTION("""COMPUTED_VALUE"""),"เครื่องเจียร 4""  MAKITA")</f>
        <v>เครื่องเจียร 4"  MAKITA</v>
      </c>
    </row>
    <row r="647">
      <c r="A647" s="128" t="str">
        <f>IFERROR(__xludf.DUMMYFUNCTION("""COMPUTED_VALUE"""),"เครื่องมือช่าง")</f>
        <v>เครื่องมือช่าง</v>
      </c>
      <c r="B647" s="128" t="str">
        <f>IFERROR(__xludf.DUMMYFUNCTION("""COMPUTED_VALUE"""),"เครื่องเจียร 7""  MAKITA")</f>
        <v>เครื่องเจียร 7"  MAKITA</v>
      </c>
    </row>
    <row r="648">
      <c r="A648" s="128" t="str">
        <f>IFERROR(__xludf.DUMMYFUNCTION("""COMPUTED_VALUE"""),"เครื่องมือช่าง")</f>
        <v>เครื่องมือช่าง</v>
      </c>
      <c r="B648" s="128" t="str">
        <f>IFERROR(__xludf.DUMMYFUNCTION("""COMPUTED_VALUE"""),"ชุดเครื่องเจียรไฟฟ้า 4 นิ้ว 750W INGCO")</f>
        <v>ชุดเครื่องเจียรไฟฟ้า 4 นิ้ว 750W INGCO</v>
      </c>
    </row>
    <row r="649">
      <c r="A649" s="128" t="str">
        <f>IFERROR(__xludf.DUMMYFUNCTION("""COMPUTED_VALUE"""),"เครื่องมือช่าง")</f>
        <v>เครื่องมือช่าง</v>
      </c>
      <c r="B649" s="128" t="str">
        <f>IFERROR(__xludf.DUMMYFUNCTION("""COMPUTED_VALUE"""),"ชุดเครื่องเจียรไฟฟ้า 4 นิ้ว 960W INGCO")</f>
        <v>ชุดเครื่องเจียรไฟฟ้า 4 นิ้ว 960W INGCO</v>
      </c>
    </row>
    <row r="650">
      <c r="A650" s="128" t="str">
        <f>IFERROR(__xludf.DUMMYFUNCTION("""COMPUTED_VALUE"""),"เครื่องมือช่าง")</f>
        <v>เครื่องมือช่าง</v>
      </c>
      <c r="B650" s="128" t="str">
        <f>IFERROR(__xludf.DUMMYFUNCTION("""COMPUTED_VALUE"""),"เครื่องเจียร ไร้สาย แบตเตอรี่ MAKITA")</f>
        <v>เครื่องเจียร ไร้สาย แบตเตอรี่ MAKITA</v>
      </c>
    </row>
    <row r="651">
      <c r="A651" s="128" t="str">
        <f>IFERROR(__xludf.DUMMYFUNCTION("""COMPUTED_VALUE"""),"เครื่องมือช่าง")</f>
        <v>เครื่องมือช่าง</v>
      </c>
      <c r="B651" s="128" t="str">
        <f>IFERROR(__xludf.DUMMYFUNCTION("""COMPUTED_VALUE"""),"ชุดเครื่องเจียรไร้สาย INGCO")</f>
        <v>ชุดเครื่องเจียรไร้สาย INGCO</v>
      </c>
    </row>
    <row r="652">
      <c r="A652" s="128" t="str">
        <f>IFERROR(__xludf.DUMMYFUNCTION("""COMPUTED_VALUE"""),"เครื่องมือช่าง")</f>
        <v>เครื่องมือช่าง</v>
      </c>
      <c r="B652" s="128" t="str">
        <f>IFERROR(__xludf.DUMMYFUNCTION("""COMPUTED_VALUE"""),"สว่านแบต INGCO")</f>
        <v>สว่านแบต INGCO</v>
      </c>
    </row>
    <row r="653">
      <c r="A653" s="128" t="str">
        <f>IFERROR(__xludf.DUMMYFUNCTION("""COMPUTED_VALUE"""),"เครื่องมือช่าง")</f>
        <v>เครื่องมือช่าง</v>
      </c>
      <c r="B653" s="128" t="str">
        <f>IFERROR(__xludf.DUMMYFUNCTION("""COMPUTED_VALUE"""),"สว่านสายไฟฟ้า MAKITA")</f>
        <v>สว่านสายไฟฟ้า MAKITA</v>
      </c>
    </row>
    <row r="654">
      <c r="A654" s="128" t="str">
        <f>IFERROR(__xludf.DUMMYFUNCTION("""COMPUTED_VALUE"""),"เครื่องมือช่าง")</f>
        <v>เครื่องมือช่าง</v>
      </c>
      <c r="B654" s="128" t="str">
        <f>IFERROR(__xludf.DUMMYFUNCTION("""COMPUTED_VALUE"""),"ฐานชาร์จแบต + แบตก้อน")</f>
        <v>ฐานชาร์จแบต + แบตก้อน</v>
      </c>
    </row>
    <row r="655">
      <c r="A655" s="128" t="str">
        <f>IFERROR(__xludf.DUMMYFUNCTION("""COMPUTED_VALUE"""),"เครื่องมือช่าง")</f>
        <v>เครื่องมือช่าง</v>
      </c>
      <c r="B655" s="128" t="str">
        <f>IFERROR(__xludf.DUMMYFUNCTION("""COMPUTED_VALUE"""),"เร้าเตอร์ INGCO")</f>
        <v>เร้าเตอร์ INGCO</v>
      </c>
    </row>
    <row r="656">
      <c r="A656" s="128" t="str">
        <f>IFERROR(__xludf.DUMMYFUNCTION("""COMPUTED_VALUE"""),"เครื่องมือช่าง")</f>
        <v>เครื่องมือช่าง</v>
      </c>
      <c r="B656" s="128" t="str">
        <f>IFERROR(__xludf.DUMMYFUNCTION("""COMPUTED_VALUE"""),"เครื่องเป่าลม")</f>
        <v>เครื่องเป่าลม</v>
      </c>
    </row>
    <row r="657">
      <c r="A657" s="128" t="str">
        <f>IFERROR(__xludf.DUMMYFUNCTION("""COMPUTED_VALUE"""),"เครื่องมือช่าง")</f>
        <v>เครื่องมือช่าง</v>
      </c>
      <c r="B657" s="128" t="str">
        <f>IFERROR(__xludf.DUMMYFUNCTION("""COMPUTED_VALUE"""),"เครื่องเป่าลมร้อน")</f>
        <v>เครื่องเป่าลมร้อน</v>
      </c>
    </row>
    <row r="658">
      <c r="A658" s="128" t="str">
        <f>IFERROR(__xludf.DUMMYFUNCTION("""COMPUTED_VALUE"""),"เครื่องมือช่าง")</f>
        <v>เครื่องมือช่าง</v>
      </c>
      <c r="B658" s="128" t="str">
        <f>IFERROR(__xludf.DUMMYFUNCTION("""COMPUTED_VALUE"""),"เครื่องเจาะผนัง 5 นิ้ว")</f>
        <v>เครื่องเจาะผนัง 5 นิ้ว</v>
      </c>
    </row>
    <row r="659">
      <c r="A659" s="128" t="str">
        <f>IFERROR(__xludf.DUMMYFUNCTION("""COMPUTED_VALUE"""),"เครื่องมือช่าง")</f>
        <v>เครื่องมือช่าง</v>
      </c>
      <c r="B659" s="128" t="str">
        <f>IFERROR(__xludf.DUMMYFUNCTION("""COMPUTED_VALUE"""),"เครืองตัดไม้ MAKITA รุ่น DTM51Z")</f>
        <v>เครืองตัดไม้ MAKITA รุ่น DTM51Z</v>
      </c>
    </row>
    <row r="660">
      <c r="A660" s="128" t="str">
        <f>IFERROR(__xludf.DUMMYFUNCTION("""COMPUTED_VALUE"""),"เครื่องมือช่าง")</f>
        <v>เครื่องมือช่าง</v>
      </c>
      <c r="B660" s="128" t="str">
        <f>IFERROR(__xludf.DUMMYFUNCTION("""COMPUTED_VALUE"""),"เลื่อยโซ่ไฟฟ้า ")</f>
        <v>เลื่อยโซ่ไฟฟ้า </v>
      </c>
    </row>
    <row r="661">
      <c r="A661" s="128" t="str">
        <f>IFERROR(__xludf.DUMMYFUNCTION("""COMPUTED_VALUE"""),"เครื่องมือช่าง")</f>
        <v>เครื่องมือช่าง</v>
      </c>
      <c r="B661" s="128" t="str">
        <f>IFERROR(__xludf.DUMMYFUNCTION("""COMPUTED_VALUE"""),"เครื่องจิ๊กซอว์ไฟฟ้า")</f>
        <v>เครื่องจิ๊กซอว์ไฟฟ้า</v>
      </c>
    </row>
    <row r="662">
      <c r="A662" s="128" t="str">
        <f>IFERROR(__xludf.DUMMYFUNCTION("""COMPUTED_VALUE"""),"เครื่องมือช่าง")</f>
        <v>เครื่องมือช่าง</v>
      </c>
      <c r="B662" s="128" t="str">
        <f>IFERROR(__xludf.DUMMYFUNCTION("""COMPUTED_VALUE"""),"เลื่อยวงเดือน MAKITA  7 นิ้ว")</f>
        <v>เลื่อยวงเดือน MAKITA  7 นิ้ว</v>
      </c>
    </row>
    <row r="663">
      <c r="A663" s="128" t="str">
        <f>IFERROR(__xludf.DUMMYFUNCTION("""COMPUTED_VALUE"""),"เครื่องมือช่าง")</f>
        <v>เครื่องมือช่าง</v>
      </c>
      <c r="B663" s="128" t="str">
        <f>IFERROR(__xludf.DUMMYFUNCTION("""COMPUTED_VALUE"""),"เครื่องสกัดคอนกรีต MAKITA")</f>
        <v>เครื่องสกัดคอนกรีต MAKITA</v>
      </c>
    </row>
    <row r="664">
      <c r="A664" s="128" t="str">
        <f>IFERROR(__xludf.DUMMYFUNCTION("""COMPUTED_VALUE"""),"เครื่องมือช่าง")</f>
        <v>เครื่องมือช่าง</v>
      </c>
      <c r="B664" s="128" t="str">
        <f>IFERROR(__xludf.DUMMYFUNCTION("""COMPUTED_VALUE"""),"ปืนยิงตะปูแม็กลมแม็กลมขาเดียว")</f>
        <v>ปืนยิงตะปูแม็กลมแม็กลมขาเดียว</v>
      </c>
    </row>
    <row r="665">
      <c r="A665" s="128" t="str">
        <f>IFERROR(__xludf.DUMMYFUNCTION("""COMPUTED_VALUE"""),"เครื่องมือช่าง")</f>
        <v>เครื่องมือช่าง</v>
      </c>
      <c r="B665" s="128" t="str">
        <f>IFERROR(__xludf.DUMMYFUNCTION("""COMPUTED_VALUE"""),"ปืนยิงซิลิโคน")</f>
        <v>ปืนยิงซิลิโคน</v>
      </c>
    </row>
    <row r="666">
      <c r="A666" s="128" t="str">
        <f>IFERROR(__xludf.DUMMYFUNCTION("""COMPUTED_VALUE"""),"เครื่องมือช่าง")</f>
        <v>เครื่องมือช่าง</v>
      </c>
      <c r="B666" s="128" t="str">
        <f>IFERROR(__xludf.DUMMYFUNCTION("""COMPUTED_VALUE"""),"ปืนยิงกาว PU")</f>
        <v>ปืนยิงกาว PU</v>
      </c>
    </row>
    <row r="667">
      <c r="A667" s="128" t="str">
        <f>IFERROR(__xludf.DUMMYFUNCTION("""COMPUTED_VALUE"""),"เครื่องมือช่าง")</f>
        <v>เครื่องมือช่าง</v>
      </c>
      <c r="B667" s="128" t="str">
        <f>IFERROR(__xludf.DUMMYFUNCTION("""COMPUTED_VALUE"""),"ตู้เชื่อมอาร์กอน")</f>
        <v>ตู้เชื่อมอาร์กอน</v>
      </c>
    </row>
    <row r="668">
      <c r="A668" s="128" t="str">
        <f>IFERROR(__xludf.DUMMYFUNCTION("""COMPUTED_VALUE"""),"เครื่องมือช่าง")</f>
        <v>เครื่องมือช่าง</v>
      </c>
      <c r="B668" s="128" t="str">
        <f>IFERROR(__xludf.DUMMYFUNCTION("""COMPUTED_VALUE"""),"เครื่องดูดฝุ่น เล็ก")</f>
        <v>เครื่องดูดฝุ่น เล็ก</v>
      </c>
    </row>
    <row r="669">
      <c r="A669" s="128" t="str">
        <f>IFERROR(__xludf.DUMMYFUNCTION("""COMPUTED_VALUE"""),"เครื่องมือช่าง")</f>
        <v>เครื่องมือช่าง</v>
      </c>
      <c r="B669" s="128" t="str">
        <f>IFERROR(__xludf.DUMMYFUNCTION("""COMPUTED_VALUE"""),"เครื่องดูดฝุ่น ใหญ่")</f>
        <v>เครื่องดูดฝุ่น ใหญ่</v>
      </c>
    </row>
    <row r="670">
      <c r="A670" s="128" t="str">
        <f>IFERROR(__xludf.DUMMYFUNCTION("""COMPUTED_VALUE"""),"เครื่องมือช่าง")</f>
        <v>เครื่องมือช่าง</v>
      </c>
      <c r="B670" s="128" t="str">
        <f>IFERROR(__xludf.DUMMYFUNCTION("""COMPUTED_VALUE"""),"คีมย้ำรีเวท")</f>
        <v>คีมย้ำรีเวท</v>
      </c>
    </row>
    <row r="671">
      <c r="A671" s="128" t="str">
        <f>IFERROR(__xludf.DUMMYFUNCTION("""COMPUTED_VALUE"""),"เครื่องมือช่าง")</f>
        <v>เครื่องมือช่าง</v>
      </c>
      <c r="B671" s="128" t="str">
        <f>IFERROR(__xludf.DUMMYFUNCTION("""COMPUTED_VALUE"""),"กล่องเครื่องมือช่าง 2 ชั้น")</f>
        <v>กล่องเครื่องมือช่าง 2 ชั้น</v>
      </c>
    </row>
    <row r="672">
      <c r="A672" s="128" t="str">
        <f>IFERROR(__xludf.DUMMYFUNCTION("""COMPUTED_VALUE"""),"เครื่องมือช่าง")</f>
        <v>เครื่องมือช่าง</v>
      </c>
      <c r="B672" s="128" t="str">
        <f>IFERROR(__xludf.DUMMYFUNCTION("""COMPUTED_VALUE"""),"เครื่องอ๊อกเหล็ก")</f>
        <v>เครื่องอ๊อกเหล็ก</v>
      </c>
    </row>
    <row r="673">
      <c r="A673" s="128" t="str">
        <f>IFERROR(__xludf.DUMMYFUNCTION("""COMPUTED_VALUE"""),"เครื่องมือช่าง")</f>
        <v>เครื่องมือช่าง</v>
      </c>
      <c r="B673" s="128" t="str">
        <f>IFERROR(__xludf.DUMMYFUNCTION("""COMPUTED_VALUE"""),"มือจับกระจก")</f>
        <v>มือจับกระจก</v>
      </c>
    </row>
    <row r="674">
      <c r="A674" s="128" t="str">
        <f>IFERROR(__xludf.DUMMYFUNCTION("""COMPUTED_VALUE"""),"เครื่องมือช่าง")</f>
        <v>เครื่องมือช่าง</v>
      </c>
      <c r="B674" s="128" t="str">
        <f>IFERROR(__xludf.DUMMYFUNCTION("""COMPUTED_VALUE"""),"ไม้กรีดน้ำบนกระจก")</f>
        <v>ไม้กรีดน้ำบนกระจก</v>
      </c>
    </row>
    <row r="675">
      <c r="A675" s="128" t="str">
        <f>IFERROR(__xludf.DUMMYFUNCTION("""COMPUTED_VALUE"""),"เครื่องมือช่าง")</f>
        <v>เครื่องมือช่าง</v>
      </c>
      <c r="B675" s="128" t="str">
        <f>IFERROR(__xludf.DUMMYFUNCTION("""COMPUTED_VALUE"""),"ไม้กรีดน้ำบนกระจกแบบฟองน้ำ")</f>
        <v>ไม้กรีดน้ำบนกระจกแบบฟองน้ำ</v>
      </c>
    </row>
    <row r="676">
      <c r="A676" s="128" t="str">
        <f>IFERROR(__xludf.DUMMYFUNCTION("""COMPUTED_VALUE"""),"เครื่องมือช่าง")</f>
        <v>เครื่องมือช่าง</v>
      </c>
      <c r="B676" s="128" t="str">
        <f>IFERROR(__xludf.DUMMYFUNCTION("""COMPUTED_VALUE"""),"ก้านเหล็กปั่นปูน")</f>
        <v>ก้านเหล็กปั่นปูน</v>
      </c>
    </row>
    <row r="677">
      <c r="A677" s="128" t="str">
        <f>IFERROR(__xludf.DUMMYFUNCTION("""COMPUTED_VALUE"""),"เครื่องมือช่าง")</f>
        <v>เครื่องมือช่าง</v>
      </c>
      <c r="B677" s="128" t="str">
        <f>IFERROR(__xludf.DUMMYFUNCTION("""COMPUTED_VALUE"""),"ลูกกลิ้ง 7""")</f>
        <v>ลูกกลิ้ง 7"</v>
      </c>
    </row>
    <row r="678">
      <c r="A678" s="128" t="str">
        <f>IFERROR(__xludf.DUMMYFUNCTION("""COMPUTED_VALUE"""),"เครื่องมือช่าง")</f>
        <v>เครื่องมือช่าง</v>
      </c>
      <c r="B678" s="128" t="str">
        <f>IFERROR(__xludf.DUMMYFUNCTION("""COMPUTED_VALUE"""),"ลูกกลิ้ง 10""")</f>
        <v>ลูกกลิ้ง 10"</v>
      </c>
    </row>
    <row r="679">
      <c r="A679" s="128" t="str">
        <f>IFERROR(__xludf.DUMMYFUNCTION("""COMPUTED_VALUE"""),"เครื่องมือช่าง")</f>
        <v>เครื่องมือช่าง</v>
      </c>
      <c r="B679" s="128" t="str">
        <f>IFERROR(__xludf.DUMMYFUNCTION("""COMPUTED_VALUE"""),"เหล็กจับอลูมิเนียม")</f>
        <v>เหล็กจับอลูมิเนียม</v>
      </c>
    </row>
    <row r="680">
      <c r="A680" s="128" t="str">
        <f>IFERROR(__xludf.DUMMYFUNCTION("""COMPUTED_VALUE"""),"เครื่องมือช่าง")</f>
        <v>เครื่องมือช่าง</v>
      </c>
      <c r="B680" s="128" t="str">
        <f>IFERROR(__xludf.DUMMYFUNCTION("""COMPUTED_VALUE"""),"เครื่องเลเซอร์")</f>
        <v>เครื่องเลเซอร์</v>
      </c>
    </row>
    <row r="681">
      <c r="A681" s="128" t="str">
        <f>IFERROR(__xludf.DUMMYFUNCTION("""COMPUTED_VALUE"""),"เครื่องมือช่าง")</f>
        <v>เครื่องมือช่าง</v>
      </c>
      <c r="B681" s="128" t="str">
        <f>IFERROR(__xludf.DUMMYFUNCTION("""COMPUTED_VALUE"""),"สว่านเจาะปูน 3 ระบบ")</f>
        <v>สว่านเจาะปูน 3 ระบบ</v>
      </c>
    </row>
    <row r="682">
      <c r="A682" s="128" t="str">
        <f>IFERROR(__xludf.DUMMYFUNCTION("""COMPUTED_VALUE"""),"เครื่องมือช่าง")</f>
        <v>เครื่องมือช่าง</v>
      </c>
      <c r="B682" s="128" t="str">
        <f>IFERROR(__xludf.DUMMYFUNCTION("""COMPUTED_VALUE"""),"ปืนยิงลูกรีเวท")</f>
        <v>ปืนยิงลูกรีเวท</v>
      </c>
    </row>
    <row r="683">
      <c r="A683" s="128" t="str">
        <f>IFERROR(__xludf.DUMMYFUNCTION("""COMPUTED_VALUE"""),"เครื่องมือช่าง")</f>
        <v>เครื่องมือช่าง</v>
      </c>
      <c r="B683" s="128" t="str">
        <f>IFERROR(__xludf.DUMMYFUNCTION("""COMPUTED_VALUE"""),"หัวสว่านแบต")</f>
        <v>หัวสว่านแบต</v>
      </c>
    </row>
    <row r="684">
      <c r="A684" s="128" t="str">
        <f>IFERROR(__xludf.DUMMYFUNCTION("""COMPUTED_VALUE"""),"เครื่องมือช่าง")</f>
        <v>เครื่องมือช่าง</v>
      </c>
      <c r="B684" s="128" t="str">
        <f>IFERROR(__xludf.DUMMYFUNCTION("""COMPUTED_VALUE"""),"หัวสว่านเจาะปูน")</f>
        <v>หัวสว่านเจาะปูน</v>
      </c>
    </row>
    <row r="685">
      <c r="A685" s="128" t="str">
        <f>IFERROR(__xludf.DUMMYFUNCTION("""COMPUTED_VALUE"""),"เครื่องมือช่าง")</f>
        <v>เครื่องมือช่าง</v>
      </c>
      <c r="B685" s="128" t="str">
        <f>IFERROR(__xludf.DUMMYFUNCTION("""COMPUTED_VALUE"""),"เครื่องขัดฝ้าขัดผนังพร้อมดูดฝุ่น")</f>
        <v>เครื่องขัดฝ้าขัดผนังพร้อมดูดฝุ่น</v>
      </c>
    </row>
    <row r="686">
      <c r="A686" s="128" t="str">
        <f>IFERROR(__xludf.DUMMYFUNCTION("""COMPUTED_VALUE"""),"เครื่องมือช่าง")</f>
        <v>เครื่องมือช่าง</v>
      </c>
      <c r="B686" s="128" t="str">
        <f>IFERROR(__xludf.DUMMYFUNCTION("""COMPUTED_VALUE"""),"ปลัีกไฟพ่วง")</f>
        <v>ปลัีกไฟพ่วง</v>
      </c>
    </row>
    <row r="687">
      <c r="A687" s="128" t="str">
        <f>IFERROR(__xludf.DUMMYFUNCTION("""COMPUTED_VALUE"""),"เครื่องมือช่าง")</f>
        <v>เครื่องมือช่าง</v>
      </c>
      <c r="B687" s="128"/>
    </row>
    <row r="688">
      <c r="A688" s="128" t="str">
        <f>IFERROR(__xludf.DUMMYFUNCTION("""COMPUTED_VALUE"""),"เครื่องมือช่าง")</f>
        <v>เครื่องมือช่าง</v>
      </c>
      <c r="B688" s="128"/>
    </row>
    <row r="689">
      <c r="A689" s="128" t="str">
        <f>IFERROR(__xludf.DUMMYFUNCTION("""COMPUTED_VALUE"""),"เครื่องมือช่าง")</f>
        <v>เครื่องมือช่าง</v>
      </c>
      <c r="B689" s="128"/>
    </row>
    <row r="690">
      <c r="A690" s="128" t="str">
        <f>IFERROR(__xludf.DUMMYFUNCTION("""COMPUTED_VALUE"""),"เครื่องมือช่าง")</f>
        <v>เครื่องมือช่าง</v>
      </c>
      <c r="B690" s="128"/>
    </row>
    <row r="691">
      <c r="A691" s="128" t="str">
        <f>IFERROR(__xludf.DUMMYFUNCTION("""COMPUTED_VALUE"""),"เครื่องมือช่าง")</f>
        <v>เครื่องมือช่าง</v>
      </c>
      <c r="B691" s="128"/>
    </row>
    <row r="692">
      <c r="A692" s="128" t="str">
        <f>IFERROR(__xludf.DUMMYFUNCTION("""COMPUTED_VALUE"""),"เครื่องมือช่าง")</f>
        <v>เครื่องมือช่าง</v>
      </c>
      <c r="B692" s="128"/>
    </row>
    <row r="693">
      <c r="A693" s="128" t="str">
        <f>IFERROR(__xludf.DUMMYFUNCTION("""COMPUTED_VALUE"""),"น็อต")</f>
        <v>น็อต</v>
      </c>
      <c r="B693" s="128" t="str">
        <f>IFERROR(__xludf.DUMMYFUNCTION("""COMPUTED_VALUE"""),"LB หัวเอฟ สีรุ้ง ปลายสว่าน-#8*3/4""(19mm)")</f>
        <v>LB หัวเอฟ สีรุ้ง ปลายสว่าน-#8*3/4"(19mm)</v>
      </c>
    </row>
    <row r="694">
      <c r="A694" s="128" t="str">
        <f>IFERROR(__xludf.DUMMYFUNCTION("""COMPUTED_VALUE"""),"น็อต")</f>
        <v>น็อต</v>
      </c>
      <c r="B694" s="128" t="str">
        <f>IFERROR(__xludf.DUMMYFUNCTION("""COMPUTED_VALUE"""),"YJ ผนังเบา สีทอง ปลายแหลมไม่ผ่า-#6*3/4""(19mm)")</f>
        <v>YJ ผนังเบา สีทอง ปลายแหลมไม่ผ่า-#6*3/4"(19mm)</v>
      </c>
    </row>
    <row r="695">
      <c r="A695" s="128" t="str">
        <f>IFERROR(__xludf.DUMMYFUNCTION("""COMPUTED_VALUE"""),"น็อต")</f>
        <v>น็อต</v>
      </c>
      <c r="B695" s="128" t="str">
        <f>IFERROR(__xludf.DUMMYFUNCTION("""COMPUTED_VALUE"""),"FSD SUS410 ปลายสว่านF สแตนเลส-#8x25(1"")")</f>
        <v>FSD SUS410 ปลายสว่านF สแตนเลส-#8x25(1")</v>
      </c>
    </row>
    <row r="696">
      <c r="A696" s="128" t="str">
        <f>IFERROR(__xludf.DUMMYFUNCTION("""COMPUTED_VALUE"""),"น็อต")</f>
        <v>น็อต</v>
      </c>
      <c r="B696" s="128" t="str">
        <f>IFERROR(__xludf.DUMMYFUNCTION("""COMPUTED_VALUE"""),"สกรูเกลียวปล่อย เตเปอร์-#8X1""")</f>
        <v>สกรูเกลียวปล่อย เตเปอร์-#8X1"</v>
      </c>
    </row>
    <row r="697">
      <c r="A697" s="128" t="str">
        <f>IFERROR(__xludf.DUMMYFUNCTION("""COMPUTED_VALUE"""),"น็อต")</f>
        <v>น็อต</v>
      </c>
      <c r="B697" s="128" t="str">
        <f>IFERROR(__xludf.DUMMYFUNCTION("""COMPUTED_VALUE"""),"สกรูเกลียวปล่อย เตเปอร์-#8X1-1/2""")</f>
        <v>สกรูเกลียวปล่อย เตเปอร์-#8X1-1/2"</v>
      </c>
    </row>
    <row r="698">
      <c r="A698" s="128" t="str">
        <f>IFERROR(__xludf.DUMMYFUNCTION("""COMPUTED_VALUE"""),"น็อต")</f>
        <v>น็อต</v>
      </c>
      <c r="B698" s="128" t="str">
        <f>IFERROR(__xludf.DUMMYFUNCTION("""COMPUTED_VALUE"""),"สกรูเกลียวปล่อย เตเปอร์-#8X2""")</f>
        <v>สกรูเกลียวปล่อย เตเปอร์-#8X2"</v>
      </c>
    </row>
    <row r="699">
      <c r="A699" s="128" t="str">
        <f>IFERROR(__xludf.DUMMYFUNCTION("""COMPUTED_VALUE"""),"น็อต")</f>
        <v>น็อต</v>
      </c>
      <c r="B699" s="128" t="str">
        <f>IFERROR(__xludf.DUMMYFUNCTION("""COMPUTED_VALUE"""),"สกรูเกลียวปล่อย เตเปอร์-#8X3""")</f>
        <v>สกรูเกลียวปล่อย เตเปอร์-#8X3"</v>
      </c>
    </row>
    <row r="700">
      <c r="A700" s="128" t="str">
        <f>IFERROR(__xludf.DUMMYFUNCTION("""COMPUTED_VALUE"""),"น็อต")</f>
        <v>น็อต</v>
      </c>
      <c r="B700" s="128" t="str">
        <f>IFERROR(__xludf.DUMMYFUNCTION("""COMPUTED_VALUE"""),"Phillip Pan Self Tapping Screws - AB-#7X5/8""")</f>
        <v>Phillip Pan Self Tapping Screws - AB-#7X5/8"</v>
      </c>
    </row>
    <row r="701">
      <c r="A701" s="128" t="str">
        <f>IFERROR(__xludf.DUMMYFUNCTION("""COMPUTED_VALUE"""),"น็อต")</f>
        <v>น็อต</v>
      </c>
      <c r="B701" s="128" t="str">
        <f>IFERROR(__xludf.DUMMYFUNCTION("""COMPUTED_VALUE"""),"DW07 สกรูไดร์วอลว์ ดำ-#6*1""(25mm)")</f>
        <v>DW07 สกรูไดร์วอลว์ ดำ-#6*1"(25mm)</v>
      </c>
    </row>
    <row r="702">
      <c r="A702" s="128" t="str">
        <f>IFERROR(__xludf.DUMMYFUNCTION("""COMPUTED_VALUE"""),"น็อต")</f>
        <v>น็อต</v>
      </c>
      <c r="B702" s="128" t="str">
        <f>IFERROR(__xludf.DUMMYFUNCTION("""COMPUTED_VALUE"""),"LB หัวเอฟ สีรุ้ง ปลายสว่าน-#8*3/4""(19mm)")</f>
        <v>LB หัวเอฟ สีรุ้ง ปลายสว่าน-#8*3/4"(19mm)</v>
      </c>
    </row>
    <row r="703">
      <c r="A703" s="128" t="str">
        <f>IFERROR(__xludf.DUMMYFUNCTION("""COMPUTED_VALUE"""),"น็อต")</f>
        <v>น็อต</v>
      </c>
      <c r="B703" s="128" t="str">
        <f>IFERROR(__xludf.DUMMYFUNCTION("""COMPUTED_VALUE"""),"Phillip Flat CSK Self Drilling Screws -#8x3.1/2""")</f>
        <v>Phillip Flat CSK Self Drilling Screws -#8x3.1/2"</v>
      </c>
    </row>
    <row r="704">
      <c r="A704" s="128" t="str">
        <f>IFERROR(__xludf.DUMMYFUNCTION("""COMPUTED_VALUE"""),"น็อต")</f>
        <v>น็อต</v>
      </c>
      <c r="B704" s="128" t="str">
        <f>IFERROR(__xludf.DUMMYFUNCTION("""COMPUTED_VALUE"""),"Phillip Flat CSK Self Drilling Screws -#8x4""")</f>
        <v>Phillip Flat CSK Self Drilling Screws -#8x4"</v>
      </c>
    </row>
    <row r="705">
      <c r="A705" s="128" t="str">
        <f>IFERROR(__xludf.DUMMYFUNCTION("""COMPUTED_VALUE"""),"น็อต")</f>
        <v>น็อต</v>
      </c>
      <c r="B705" s="128" t="str">
        <f>IFERROR(__xludf.DUMMYFUNCTION("""COMPUTED_VALUE"""),"Phillip Pan Self Tapping Screws - AB-#8x5/8""")</f>
        <v>Phillip Pan Self Tapping Screws - AB-#8x5/8"</v>
      </c>
    </row>
    <row r="706">
      <c r="A706" s="128" t="str">
        <f>IFERROR(__xludf.DUMMYFUNCTION("""COMPUTED_VALUE"""),"น็อต")</f>
        <v>น็อต</v>
      </c>
      <c r="B706" s="128" t="str">
        <f>IFERROR(__xludf.DUMMYFUNCTION("""COMPUTED_VALUE"""),"LB หัวเอฟ สีรุ้ง ปลายสว่าน-#8*1-1/2""(38mm)")</f>
        <v>LB หัวเอฟ สีรุ้ง ปลายสว่าน-#8*1-1/2"(38mm)</v>
      </c>
    </row>
    <row r="707">
      <c r="A707" s="128" t="str">
        <f>IFERROR(__xludf.DUMMYFUNCTION("""COMPUTED_VALUE"""),"น็อต")</f>
        <v>น็อต</v>
      </c>
      <c r="B707" s="128" t="str">
        <f>IFERROR(__xludf.DUMMYFUNCTION("""COMPUTED_VALUE"""),"Hex Head Self Drilling Screws-#10-16x1""(25mm.)")</f>
        <v>Hex Head Self Drilling Screws-#10-16x1"(25mm.)</v>
      </c>
    </row>
    <row r="708">
      <c r="A708" s="128" t="str">
        <f>IFERROR(__xludf.DUMMYFUNCTION("""COMPUTED_VALUE"""),"น็อต")</f>
        <v>น็อต</v>
      </c>
      <c r="B708" s="128" t="str">
        <f>IFERROR(__xludf.DUMMYFUNCTION("""COMPUTED_VALUE"""),"Phillip Flat CSK Self Drilling Screws -#8x2""")</f>
        <v>Phillip Flat CSK Self Drilling Screws -#8x2"</v>
      </c>
    </row>
    <row r="709">
      <c r="A709" s="128" t="str">
        <f>IFERROR(__xludf.DUMMYFUNCTION("""COMPUTED_VALUE"""),"น็อต")</f>
        <v>น็อต</v>
      </c>
      <c r="B709" s="128" t="str">
        <f>IFERROR(__xludf.DUMMYFUNCTION("""COMPUTED_VALUE"""),"LB หัวเอฟ สีรุ้ง ปลายสว่าน-#8*3""(75mm)")</f>
        <v>LB หัวเอฟ สีรุ้ง ปลายสว่าน-#8*3"(75mm)</v>
      </c>
    </row>
    <row r="710">
      <c r="A710" s="128" t="str">
        <f>IFERROR(__xludf.DUMMYFUNCTION("""COMPUTED_VALUE"""),"น็อต")</f>
        <v>น็อต</v>
      </c>
      <c r="B710" s="128" t="str">
        <f>IFERROR(__xludf.DUMMYFUNCTION("""COMPUTED_VALUE"""),"LB หัวเอฟ สีรุ้ง ปลายสว่าน-#8*1""(25mm)")</f>
        <v>LB หัวเอฟ สีรุ้ง ปลายสว่าน-#8*1"(25mm)</v>
      </c>
    </row>
    <row r="711">
      <c r="A711" s="128" t="str">
        <f>IFERROR(__xludf.DUMMYFUNCTION("""COMPUTED_VALUE"""),"น็อต")</f>
        <v>น็อต</v>
      </c>
      <c r="B711" s="128" t="str">
        <f>IFERROR(__xludf.DUMMYFUNCTION("""COMPUTED_VALUE"""),"YT หัวเวเฟอร์ ปลายสว่าน สีขาว-#8*3/4""(19mm)")</f>
        <v>YT หัวเวเฟอร์ ปลายสว่าน สีขาว-#8*3/4"(19mm)</v>
      </c>
    </row>
    <row r="712">
      <c r="A712" s="128" t="str">
        <f>IFERROR(__xludf.DUMMYFUNCTION("""COMPUTED_VALUE"""),"น็อต")</f>
        <v>น็อต</v>
      </c>
      <c r="B712" s="128" t="str">
        <f>IFERROR(__xludf.DUMMYFUNCTION("""COMPUTED_VALUE"""),"SK สกรูไดวอล์ล-#6x1 ½ ")</f>
        <v>SK สกรูไดวอล์ล-#6x1 ½ </v>
      </c>
    </row>
    <row r="713">
      <c r="A713" s="128" t="str">
        <f>IFERROR(__xludf.DUMMYFUNCTION("""COMPUTED_VALUE"""),"น็อต")</f>
        <v>น็อต</v>
      </c>
      <c r="B713" s="128" t="str">
        <f>IFERROR(__xludf.DUMMYFUNCTION("""COMPUTED_VALUE"""),"สกรููยิงฝ้า HPP-#6x3/4""")</f>
        <v>สกรููยิงฝ้า HPP-#6x3/4"</v>
      </c>
    </row>
    <row r="714">
      <c r="A714" s="128" t="str">
        <f>IFERROR(__xludf.DUMMYFUNCTION("""COMPUTED_VALUE"""),"น็อต")</f>
        <v>น็อต</v>
      </c>
      <c r="B714" s="128" t="str">
        <f>IFERROR(__xludf.DUMMYFUNCTION("""COMPUTED_VALUE"""),"Phillilp Pan Self Drilling Screws-#8x1.1/2""")</f>
        <v>Phillilp Pan Self Drilling Screws-#8x1.1/2"</v>
      </c>
    </row>
    <row r="715">
      <c r="A715" s="128" t="str">
        <f>IFERROR(__xludf.DUMMYFUNCTION("""COMPUTED_VALUE"""),"น็อต")</f>
        <v>น็อต</v>
      </c>
      <c r="B715" s="128" t="str">
        <f>IFERROR(__xludf.DUMMYFUNCTION("""COMPUTED_VALUE"""),"Phillip Pan Self Drilling Screws-#6x3/8""")</f>
        <v>Phillip Pan Self Drilling Screws-#6x3/8"</v>
      </c>
    </row>
    <row r="716">
      <c r="A716" s="128" t="str">
        <f>IFERROR(__xludf.DUMMYFUNCTION("""COMPUTED_VALUE"""),"น็อต")</f>
        <v>น็อต</v>
      </c>
      <c r="B716" s="128" t="str">
        <f>IFERROR(__xludf.DUMMYFUNCTION("""COMPUTED_VALUE"""),"SK D.W. Screws-6x1""")</f>
        <v>SK D.W. Screws-6x1"</v>
      </c>
    </row>
    <row r="717">
      <c r="A717" s="128" t="str">
        <f>IFERROR(__xludf.DUMMYFUNCTION("""COMPUTED_VALUE"""),"น็อต")</f>
        <v>น็อต</v>
      </c>
      <c r="B717" s="128" t="str">
        <f>IFERROR(__xludf.DUMMYFUNCTION("""COMPUTED_VALUE"""),"สกรูปลายสว่าน SUS410-4.2X19")</f>
        <v>สกรูปลายสว่าน SUS410-4.2X19</v>
      </c>
    </row>
    <row r="718">
      <c r="A718" s="128" t="str">
        <f>IFERROR(__xludf.DUMMYFUNCTION("""COMPUTED_VALUE"""),"น็อต")</f>
        <v>น็อต</v>
      </c>
      <c r="B718" s="128" t="str">
        <f>IFERROR(__xludf.DUMMYFUNCTION("""COMPUTED_VALUE"""),"ZW ลอนคูู่ ปลายสว่าน สีรุ้ง ยางดำ-#10X2(50mm)")</f>
        <v>ZW ลอนคูู่ ปลายสว่าน สีรุ้ง ยางดำ-#10X2(50mm)</v>
      </c>
    </row>
    <row r="719">
      <c r="A719" s="128" t="str">
        <f>IFERROR(__xludf.DUMMYFUNCTION("""COMPUTED_VALUE"""),"น็อต")</f>
        <v>น็อต</v>
      </c>
      <c r="B719" s="128" t="str">
        <f>IFERROR(__xludf.DUMMYFUNCTION("""COMPUTED_VALUE"""),"ZW ลอนคู่ ปลายสว่าน สีรุ้ง ยางดำ-#10X3(75mm)")</f>
        <v>ZW ลอนคู่ ปลายสว่าน สีรุ้ง ยางดำ-#10X3(75mm)</v>
      </c>
    </row>
    <row r="720">
      <c r="A720" s="128" t="str">
        <f>IFERROR(__xludf.DUMMYFUNCTION("""COMPUTED_VALUE"""),"น็อต")</f>
        <v>น็อต</v>
      </c>
      <c r="B720" s="128" t="str">
        <f>IFERROR(__xludf.DUMMYFUNCTION("""COMPUTED_VALUE"""),"ZW ลอนคูู่ ปลายสว่าน สีรุ้ง ยางดำ-#10X4(100mm)")</f>
        <v>ZW ลอนคูู่ ปลายสว่าน สีรุ้ง ยางดำ-#10X4(100mm)</v>
      </c>
    </row>
    <row r="721">
      <c r="A721" s="128" t="str">
        <f>IFERROR(__xludf.DUMMYFUNCTION("""COMPUTED_VALUE"""),"น็อต")</f>
        <v>น็อต</v>
      </c>
      <c r="B721" s="128" t="str">
        <f>IFERROR(__xludf.DUMMYFUNCTION("""COMPUTED_VALUE"""),"น๊อตเกลียวปล่อย เตเปอร์-1 ½ ")</f>
        <v>น๊อตเกลียวปล่อย เตเปอร์-1 ½ </v>
      </c>
    </row>
    <row r="722">
      <c r="A722" s="128" t="str">
        <f>IFERROR(__xludf.DUMMYFUNCTION("""COMPUTED_VALUE"""),"น็อต")</f>
        <v>น็อต</v>
      </c>
      <c r="B722" s="128" t="str">
        <f>IFERROR(__xludf.DUMMYFUNCTION("""COMPUTED_VALUE"""),"น๊อตเกลียวปล่อย เตเปอร์-2""")</f>
        <v>น๊อตเกลียวปล่อย เตเปอร์-2"</v>
      </c>
    </row>
    <row r="723">
      <c r="A723" s="128" t="str">
        <f>IFERROR(__xludf.DUMMYFUNCTION("""COMPUTED_VALUE"""),"น็อต")</f>
        <v>น็อต</v>
      </c>
      <c r="B723" s="128" t="str">
        <f>IFERROR(__xludf.DUMMYFUNCTION("""COMPUTED_VALUE"""),"น๊อตเกลียวปล่อย เตเปอร์-3""")</f>
        <v>น๊อตเกลียวปล่อย เตเปอร์-3"</v>
      </c>
    </row>
    <row r="724">
      <c r="A724" s="128" t="str">
        <f>IFERROR(__xludf.DUMMYFUNCTION("""COMPUTED_VALUE"""),"น็อต")</f>
        <v>น็อต</v>
      </c>
      <c r="B724" s="128" t="str">
        <f>IFERROR(__xludf.DUMMYFUNCTION("""COMPUTED_VALUE"""),"น๊อตหัวกลม เกลียวปล่อย-7X5/8""")</f>
        <v>น๊อตหัวกลม เกลียวปล่อย-7X5/8"</v>
      </c>
    </row>
    <row r="725">
      <c r="A725" s="128" t="str">
        <f>IFERROR(__xludf.DUMMYFUNCTION("""COMPUTED_VALUE"""),"น็อต")</f>
        <v>น็อต</v>
      </c>
      <c r="B725" s="128" t="str">
        <f>IFERROR(__xludf.DUMMYFUNCTION("""COMPUTED_VALUE"""),"น๊อตหัวกลม เกลียวปล่อย-8X5/8""")</f>
        <v>น๊อตหัวกลม เกลียวปล่อย-8X5/8"</v>
      </c>
    </row>
    <row r="726">
      <c r="A726" s="128" t="str">
        <f>IFERROR(__xludf.DUMMYFUNCTION("""COMPUTED_VALUE"""),"น็อต")</f>
        <v>น็อต</v>
      </c>
      <c r="B726" s="128" t="str">
        <f>IFERROR(__xludf.DUMMYFUNCTION("""COMPUTED_VALUE"""),"น๊อตหัวกลม ปลายสว่าน-6x5/8")</f>
        <v>น๊อตหัวกลม ปลายสว่าน-6x5/8</v>
      </c>
    </row>
    <row r="727">
      <c r="A727" s="128" t="str">
        <f>IFERROR(__xludf.DUMMYFUNCTION("""COMPUTED_VALUE"""),"น็อต")</f>
        <v>น็อต</v>
      </c>
      <c r="B727" s="128" t="str">
        <f>IFERROR(__xludf.DUMMYFUNCTION("""COMPUTED_VALUE"""),"น๊อตหัวกลม เกลียวปล่อย-8x25/1""")</f>
        <v>น๊อตหัวกลม เกลียวปล่อย-8x25/1"</v>
      </c>
    </row>
    <row r="728">
      <c r="A728" s="128" t="str">
        <f>IFERROR(__xludf.DUMMYFUNCTION("""COMPUTED_VALUE"""),"น็อต")</f>
        <v>น็อต</v>
      </c>
      <c r="B728" s="128" t="str">
        <f>IFERROR(__xludf.DUMMYFUNCTION("""COMPUTED_VALUE"""),"น๊อตหัวกลม ปลายสว่าน-6X3/8""")</f>
        <v>น๊อตหัวกลม ปลายสว่าน-6X3/8"</v>
      </c>
    </row>
    <row r="729">
      <c r="A729" s="128" t="str">
        <f>IFERROR(__xludf.DUMMYFUNCTION("""COMPUTED_VALUE"""),"น็อต")</f>
        <v>น็อต</v>
      </c>
      <c r="B729" s="128" t="str">
        <f>IFERROR(__xludf.DUMMYFUNCTION("""COMPUTED_VALUE"""),"น๊อตหัวกลม ปลายสว่าน-8X1½""")</f>
        <v>น๊อตหัวกลม ปลายสว่าน-8X1½"</v>
      </c>
    </row>
    <row r="730">
      <c r="A730" s="128" t="str">
        <f>IFERROR(__xludf.DUMMYFUNCTION("""COMPUTED_VALUE"""),"น็อต")</f>
        <v>น็อต</v>
      </c>
      <c r="B730" s="128" t="str">
        <f>IFERROR(__xludf.DUMMYFUNCTION("""COMPUTED_VALUE"""),"น๊อตสแตนเลส หัวกลม-M4-1.4X19(8X3/4)")</f>
        <v>น๊อตสแตนเลส หัวกลม-M4-1.4X19(8X3/4)</v>
      </c>
    </row>
    <row r="731">
      <c r="A731" s="128" t="str">
        <f>IFERROR(__xludf.DUMMYFUNCTION("""COMPUTED_VALUE"""),"น็อต")</f>
        <v>น็อต</v>
      </c>
      <c r="B731" s="128" t="str">
        <f>IFERROR(__xludf.DUMMYFUNCTION("""COMPUTED_VALUE"""),"น๊อตสแตนเลสเลส เตเปอร์ ปลายสว่าน-4.2x19")</f>
        <v>น๊อตสแตนเลสเลส เตเปอร์ ปลายสว่าน-4.2x19</v>
      </c>
    </row>
    <row r="732">
      <c r="A732" s="128" t="str">
        <f>IFERROR(__xludf.DUMMYFUNCTION("""COMPUTED_VALUE"""),"น็อต")</f>
        <v>น็อต</v>
      </c>
      <c r="B732" s="128" t="str">
        <f>IFERROR(__xludf.DUMMYFUNCTION("""COMPUTED_VALUE"""),"น๊อตสแตนเลสยางก้ามปู-8X25(1"")")</f>
        <v>น๊อตสแตนเลสยางก้ามปู-8X25(1")</v>
      </c>
    </row>
    <row r="733">
      <c r="A733" s="128" t="str">
        <f>IFERROR(__xludf.DUMMYFUNCTION("""COMPUTED_VALUE"""),"น็อต")</f>
        <v>น็อต</v>
      </c>
      <c r="B733" s="128" t="str">
        <f>IFERROR(__xludf.DUMMYFUNCTION("""COMPUTED_VALUE"""),"พุกเหล็ก-46237")</f>
        <v>พุกเหล็ก-46237</v>
      </c>
    </row>
    <row r="734">
      <c r="A734" s="128" t="str">
        <f>IFERROR(__xludf.DUMMYFUNCTION("""COMPUTED_VALUE"""),"น็อต")</f>
        <v>น็อต</v>
      </c>
      <c r="B734" s="128" t="str">
        <f>IFERROR(__xludf.DUMMYFUNCTION("""COMPUTED_VALUE"""),"พุกเหล็ก-46113")</f>
        <v>พุกเหล็ก-46113</v>
      </c>
    </row>
    <row r="735">
      <c r="A735" s="128" t="str">
        <f>IFERROR(__xludf.DUMMYFUNCTION("""COMPUTED_VALUE"""),"น็อต")</f>
        <v>น็อต</v>
      </c>
      <c r="B735" s="128" t="str">
        <f>IFERROR(__xludf.DUMMYFUNCTION("""COMPUTED_VALUE"""),"พุกตะปู M10-")</f>
        <v>พุกตะปู M10-</v>
      </c>
    </row>
    <row r="736">
      <c r="A736" s="128" t="str">
        <f>IFERROR(__xludf.DUMMYFUNCTION("""COMPUTED_VALUE"""),"น็อต")</f>
        <v>น็อต</v>
      </c>
      <c r="B736" s="128" t="str">
        <f>IFERROR(__xludf.DUMMYFUNCTION("""COMPUTED_VALUE"""),"พุกตะปู M8-")</f>
        <v>พุกตะปู M8-</v>
      </c>
    </row>
    <row r="737">
      <c r="A737" s="128" t="str">
        <f>IFERROR(__xludf.DUMMYFUNCTION("""COMPUTED_VALUE"""),"น็อต")</f>
        <v>น็อต</v>
      </c>
      <c r="B737" s="128" t="str">
        <f>IFERROR(__xludf.DUMMYFUNCTION("""COMPUTED_VALUE"""),"พุกตะกั่ว-46113")</f>
        <v>พุกตะกั่ว-46113</v>
      </c>
    </row>
    <row r="738">
      <c r="A738" s="128" t="str">
        <f>IFERROR(__xludf.DUMMYFUNCTION("""COMPUTED_VALUE"""),"น็อต")</f>
        <v>น็อต</v>
      </c>
      <c r="B738" s="128" t="str">
        <f>IFERROR(__xludf.DUMMYFUNCTION("""COMPUTED_VALUE"""),"พุกตะกั่ว-46237")</f>
        <v>พุกตะกั่ว-46237</v>
      </c>
    </row>
    <row r="739">
      <c r="A739" s="128" t="str">
        <f>IFERROR(__xludf.DUMMYFUNCTION("""COMPUTED_VALUE"""),"น็อต")</f>
        <v>น็อต</v>
      </c>
      <c r="B739" s="128" t="str">
        <f>IFERROR(__xludf.DUMMYFUNCTION("""COMPUTED_VALUE"""),"พุกเคมี M8-")</f>
        <v>พุกเคมี M8-</v>
      </c>
    </row>
    <row r="740">
      <c r="A740" s="128" t="str">
        <f>IFERROR(__xludf.DUMMYFUNCTION("""COMPUTED_VALUE"""),"น็อต")</f>
        <v>น็อต</v>
      </c>
      <c r="B740" s="128" t="str">
        <f>IFERROR(__xludf.DUMMYFUNCTION("""COMPUTED_VALUE"""),"พุกเคมี M10-")</f>
        <v>พุกเคมี M10-</v>
      </c>
    </row>
    <row r="741">
      <c r="A741" s="128" t="str">
        <f>IFERROR(__xludf.DUMMYFUNCTION("""COMPUTED_VALUE"""),"น็อต")</f>
        <v>น็อต</v>
      </c>
      <c r="B741" s="128" t="str">
        <f>IFERROR(__xludf.DUMMYFUNCTION("""COMPUTED_VALUE"""),"พุกผีเสื้อ ยิบซั่ม พุกร่ม-")</f>
        <v>พุกผีเสื้อ ยิบซั่ม พุกร่ม-</v>
      </c>
    </row>
    <row r="742">
      <c r="A742" s="128" t="str">
        <f>IFERROR(__xludf.DUMMYFUNCTION("""COMPUTED_VALUE"""),"น็อต")</f>
        <v>น็อต</v>
      </c>
      <c r="B742" s="128" t="str">
        <f>IFERROR(__xludf.DUMMYFUNCTION("""COMPUTED_VALUE"""),"พุกพลาสติก-")</f>
        <v>พุกพลาสติก-</v>
      </c>
    </row>
    <row r="743">
      <c r="A743" s="128" t="str">
        <f>IFERROR(__xludf.DUMMYFUNCTION("""COMPUTED_VALUE"""),"น็อต")</f>
        <v>น็อต</v>
      </c>
      <c r="B743" s="128" t="str">
        <f>IFERROR(__xludf.DUMMYFUNCTION("""COMPUTED_VALUE"""),"น๊อตยิงฝ้า สีดำ-6X1""")</f>
        <v>น๊อตยิงฝ้า สีดำ-6X1"</v>
      </c>
    </row>
    <row r="744">
      <c r="A744" s="128" t="str">
        <f>IFERROR(__xludf.DUMMYFUNCTION("""COMPUTED_VALUE"""),"น็อต")</f>
        <v>น็อต</v>
      </c>
      <c r="B744" s="128" t="str">
        <f>IFERROR(__xludf.DUMMYFUNCTION("""COMPUTED_VALUE"""),"น๊อตยิงฝ้า สีดำ-6X1½""")</f>
        <v>น๊อตยิงฝ้า สีดำ-6X1½"</v>
      </c>
    </row>
    <row r="745">
      <c r="A745" s="128" t="str">
        <f>IFERROR(__xludf.DUMMYFUNCTION("""COMPUTED_VALUE"""),"น็อต")</f>
        <v>น็อต</v>
      </c>
      <c r="B745" s="128" t="str">
        <f>IFERROR(__xludf.DUMMYFUNCTION("""COMPUTED_VALUE"""),"น๊อตยิงฝ้า สีดำ-6X2""")</f>
        <v>น๊อตยิงฝ้า สีดำ-6X2"</v>
      </c>
    </row>
    <row r="746">
      <c r="A746" s="128" t="str">
        <f>IFERROR(__xludf.DUMMYFUNCTION("""COMPUTED_VALUE"""),"น็อต")</f>
        <v>น็อต</v>
      </c>
      <c r="B746" s="128" t="str">
        <f>IFERROR(__xludf.DUMMYFUNCTION("""COMPUTED_VALUE"""),"น๊อตหัวบล็อค เหลี่ยมยางดำปลายสว่าน-1""")</f>
        <v>น๊อตหัวบล็อค เหลี่ยมยางดำปลายสว่าน-1"</v>
      </c>
    </row>
    <row r="747">
      <c r="A747" s="128" t="str">
        <f>IFERROR(__xludf.DUMMYFUNCTION("""COMPUTED_VALUE"""),"น็อต")</f>
        <v>น็อต</v>
      </c>
      <c r="B747" s="128" t="str">
        <f>IFERROR(__xludf.DUMMYFUNCTION("""COMPUTED_VALUE"""),"น๊อตหัวบล็อค เหลี่ยมยางดำปลายสว่าน-1½""")</f>
        <v>น๊อตหัวบล็อค เหลี่ยมยางดำปลายสว่าน-1½"</v>
      </c>
    </row>
    <row r="748">
      <c r="A748" s="128" t="str">
        <f>IFERROR(__xludf.DUMMYFUNCTION("""COMPUTED_VALUE"""),"น็อต")</f>
        <v>น็อต</v>
      </c>
      <c r="B748" s="128" t="str">
        <f>IFERROR(__xludf.DUMMYFUNCTION("""COMPUTED_VALUE"""),"น๊อตหัวบล็อค เหลี่ยมยางดำปลายสว่าน-2""")</f>
        <v>น๊อตหัวบล็อค เหลี่ยมยางดำปลายสว่าน-2"</v>
      </c>
    </row>
    <row r="749">
      <c r="A749" s="128" t="str">
        <f>IFERROR(__xludf.DUMMYFUNCTION("""COMPUTED_VALUE"""),"น็อต")</f>
        <v>น็อต</v>
      </c>
      <c r="B749" s="128" t="str">
        <f>IFERROR(__xludf.DUMMYFUNCTION("""COMPUTED_VALUE"""),"น๊อตหัวบล็อค เหลี่ยมยางดำปลายสว่าน-3""")</f>
        <v>น๊อตหัวบล็อค เหลี่ยมยางดำปลายสว่าน-3"</v>
      </c>
    </row>
    <row r="750">
      <c r="A750" s="128" t="str">
        <f>IFERROR(__xludf.DUMMYFUNCTION("""COMPUTED_VALUE"""),"น็อต")</f>
        <v>น็อต</v>
      </c>
      <c r="B750" s="128" t="str">
        <f>IFERROR(__xludf.DUMMYFUNCTION("""COMPUTED_VALUE"""),"น๊อตหัวบล็อค เหลี่ยมยางดำปลายสว่าน-4""")</f>
        <v>น๊อตหัวบล็อค เหลี่ยมยางดำปลายสว่าน-4"</v>
      </c>
    </row>
    <row r="751">
      <c r="A751" s="128" t="str">
        <f>IFERROR(__xludf.DUMMYFUNCTION("""COMPUTED_VALUE"""),"น็อต")</f>
        <v>น็อต</v>
      </c>
      <c r="B751" s="128" t="str">
        <f>IFERROR(__xludf.DUMMYFUNCTION("""COMPUTED_VALUE"""),"น๊อตปลายสว่าน-3/4""")</f>
        <v>น๊อตปลายสว่าน-3/4"</v>
      </c>
    </row>
    <row r="752">
      <c r="A752" s="128" t="str">
        <f>IFERROR(__xludf.DUMMYFUNCTION("""COMPUTED_VALUE"""),"น็อต")</f>
        <v>น็อต</v>
      </c>
      <c r="B752" s="128" t="str">
        <f>IFERROR(__xludf.DUMMYFUNCTION("""COMPUTED_VALUE"""),"น๊อตปลายสว่าน-1""")</f>
        <v>น๊อตปลายสว่าน-1"</v>
      </c>
    </row>
    <row r="753">
      <c r="A753" s="128" t="str">
        <f>IFERROR(__xludf.DUMMYFUNCTION("""COMPUTED_VALUE"""),"น็อต")</f>
        <v>น็อต</v>
      </c>
      <c r="B753" s="128" t="str">
        <f>IFERROR(__xludf.DUMMYFUNCTION("""COMPUTED_VALUE"""),"น๊อตปลายสว่าน-1½""")</f>
        <v>น๊อตปลายสว่าน-1½"</v>
      </c>
    </row>
    <row r="754">
      <c r="A754" s="128" t="str">
        <f>IFERROR(__xludf.DUMMYFUNCTION("""COMPUTED_VALUE"""),"น็อต")</f>
        <v>น็อต</v>
      </c>
      <c r="B754" s="128" t="str">
        <f>IFERROR(__xludf.DUMMYFUNCTION("""COMPUTED_VALUE"""),"น๊อตปลายสว่าน-2""")</f>
        <v>น๊อตปลายสว่าน-2"</v>
      </c>
    </row>
    <row r="755">
      <c r="A755" s="128" t="str">
        <f>IFERROR(__xludf.DUMMYFUNCTION("""COMPUTED_VALUE"""),"น็อต")</f>
        <v>น็อต</v>
      </c>
      <c r="B755" s="128" t="str">
        <f>IFERROR(__xludf.DUMMYFUNCTION("""COMPUTED_VALUE"""),"น๊อตปลายสว่าน-3""")</f>
        <v>น๊อตปลายสว่าน-3"</v>
      </c>
    </row>
    <row r="756">
      <c r="A756" s="128" t="str">
        <f>IFERROR(__xludf.DUMMYFUNCTION("""COMPUTED_VALUE"""),"น็อต")</f>
        <v>น็อต</v>
      </c>
      <c r="B756" s="128" t="str">
        <f>IFERROR(__xludf.DUMMYFUNCTION("""COMPUTED_VALUE"""),"น๊อตปลายสว่าน-3½""")</f>
        <v>น๊อตปลายสว่าน-3½"</v>
      </c>
    </row>
    <row r="757">
      <c r="A757" s="128" t="str">
        <f>IFERROR(__xludf.DUMMYFUNCTION("""COMPUTED_VALUE"""),"น็อต")</f>
        <v>น็อต</v>
      </c>
      <c r="B757" s="128" t="str">
        <f>IFERROR(__xludf.DUMMYFUNCTION("""COMPUTED_VALUE"""),"น๊อตปลายสว่าน-4""")</f>
        <v>น๊อตปลายสว่าน-4"</v>
      </c>
    </row>
    <row r="758">
      <c r="A758" s="128" t="str">
        <f>IFERROR(__xludf.DUMMYFUNCTION("""COMPUTED_VALUE"""),"น็อต")</f>
        <v>น็อต</v>
      </c>
      <c r="B758" s="128" t="str">
        <f>IFERROR(__xludf.DUMMYFUNCTION("""COMPUTED_VALUE"""),"ลูกรีเวท สีเงิน-46057")</f>
        <v>ลูกรีเวท สีเงิน-46057</v>
      </c>
    </row>
    <row r="759">
      <c r="A759" s="128" t="str">
        <f>IFERROR(__xludf.DUMMYFUNCTION("""COMPUTED_VALUE"""),"น็อต")</f>
        <v>น็อต</v>
      </c>
      <c r="B759" s="128" t="str">
        <f>IFERROR(__xludf.DUMMYFUNCTION("""COMPUTED_VALUE"""),"ลูกรีเวท สีเงิน-46116")</f>
        <v>ลูกรีเวท สีเงิน-46116</v>
      </c>
    </row>
    <row r="760">
      <c r="A760" s="128" t="str">
        <f>IFERROR(__xludf.DUMMYFUNCTION("""COMPUTED_VALUE"""),"น็อต")</f>
        <v>น็อต</v>
      </c>
      <c r="B760" s="128" t="str">
        <f>IFERROR(__xludf.DUMMYFUNCTION("""COMPUTED_VALUE"""),"ลูกรีเวท สีเงิน-46177")</f>
        <v>ลูกรีเวท สีเงิน-46177</v>
      </c>
    </row>
    <row r="761">
      <c r="A761" s="128" t="str">
        <f>IFERROR(__xludf.DUMMYFUNCTION("""COMPUTED_VALUE"""),"น็อต")</f>
        <v>น็อต</v>
      </c>
      <c r="B761" s="128" t="str">
        <f>IFERROR(__xludf.DUMMYFUNCTION("""COMPUTED_VALUE"""),"ลูกรีเวท สีเงิน-46117")</f>
        <v>ลูกรีเวท สีเงิน-46117</v>
      </c>
    </row>
    <row r="762">
      <c r="A762" s="128" t="str">
        <f>IFERROR(__xludf.DUMMYFUNCTION("""COMPUTED_VALUE"""),"น็อต")</f>
        <v>น็อต</v>
      </c>
      <c r="B762" s="128" t="str">
        <f>IFERROR(__xludf.DUMMYFUNCTION("""COMPUTED_VALUE"""),"ลูกรีเวท สีเงิน-46118")</f>
        <v>ลูกรีเวท สีเงิน-46118</v>
      </c>
    </row>
    <row r="763">
      <c r="A763" s="128" t="str">
        <f>IFERROR(__xludf.DUMMYFUNCTION("""COMPUTED_VALUE"""),"น็อต")</f>
        <v>น็อต</v>
      </c>
      <c r="B763" s="128" t="str">
        <f>IFERROR(__xludf.DUMMYFUNCTION("""COMPUTED_VALUE"""),"ลูกรีเวท สีดำ -46057")</f>
        <v>ลูกรีเวท สีดำ -46057</v>
      </c>
    </row>
    <row r="764">
      <c r="A764" s="128" t="str">
        <f>IFERROR(__xludf.DUMMYFUNCTION("""COMPUTED_VALUE"""),"น็อต")</f>
        <v>น็อต</v>
      </c>
      <c r="B764" s="128" t="str">
        <f>IFERROR(__xludf.DUMMYFUNCTION("""COMPUTED_VALUE"""),"ลูกรีเวท สีดำ -46116")</f>
        <v>ลูกรีเวท สีดำ -46116</v>
      </c>
    </row>
    <row r="765">
      <c r="A765" s="128" t="str">
        <f>IFERROR(__xludf.DUMMYFUNCTION("""COMPUTED_VALUE"""),"น็อต")</f>
        <v>น็อต</v>
      </c>
      <c r="B765" s="128" t="str">
        <f>IFERROR(__xludf.DUMMYFUNCTION("""COMPUTED_VALUE"""),"ลูกรีเวท สีดำ -46177")</f>
        <v>ลูกรีเวท สีดำ -46177</v>
      </c>
    </row>
    <row r="766">
      <c r="A766" s="128" t="str">
        <f>IFERROR(__xludf.DUMMYFUNCTION("""COMPUTED_VALUE"""),"น็อต")</f>
        <v>น็อต</v>
      </c>
      <c r="B766" s="128" t="str">
        <f>IFERROR(__xludf.DUMMYFUNCTION("""COMPUTED_VALUE"""),"ลูกรีเวท สีขาว-46057")</f>
        <v>ลูกรีเวท สีขาว-46057</v>
      </c>
    </row>
    <row r="767">
      <c r="A767" s="128" t="str">
        <f>IFERROR(__xludf.DUMMYFUNCTION("""COMPUTED_VALUE"""),"น็อต")</f>
        <v>น็อต</v>
      </c>
      <c r="B767" s="128" t="str">
        <f>IFERROR(__xludf.DUMMYFUNCTION("""COMPUTED_VALUE"""),"ลูกรีเวท สีขาว-46116")</f>
        <v>ลูกรีเวท สีขาว-46116</v>
      </c>
    </row>
    <row r="768">
      <c r="A768" s="128" t="str">
        <f>IFERROR(__xludf.DUMMYFUNCTION("""COMPUTED_VALUE"""),"น็อต")</f>
        <v>น็อต</v>
      </c>
      <c r="B768" s="128" t="str">
        <f>IFERROR(__xludf.DUMMYFUNCTION("""COMPUTED_VALUE"""),"ลูกรีเวท สีขาว-46177")</f>
        <v>ลูกรีเวท สีขาว-46177</v>
      </c>
    </row>
    <row r="769">
      <c r="A769" s="128" t="str">
        <f>IFERROR(__xludf.DUMMYFUNCTION("""COMPUTED_VALUE"""),"น็อต")</f>
        <v>น็อต</v>
      </c>
      <c r="B769" s="128" t="str">
        <f>IFERROR(__xludf.DUMMYFUNCTION("""COMPUTED_VALUE"""),"ลูกรีเวท สีชา-46057")</f>
        <v>ลูกรีเวท สีชา-46057</v>
      </c>
    </row>
    <row r="770">
      <c r="A770" s="128" t="str">
        <f>IFERROR(__xludf.DUMMYFUNCTION("""COMPUTED_VALUE"""),"น็อต")</f>
        <v>น็อต</v>
      </c>
      <c r="B770" s="128" t="str">
        <f>IFERROR(__xludf.DUMMYFUNCTION("""COMPUTED_VALUE"""),"ลูกรีเวท สีชา-46116")</f>
        <v>ลูกรีเวท สีชา-46116</v>
      </c>
    </row>
    <row r="771">
      <c r="A771" s="128" t="str">
        <f>IFERROR(__xludf.DUMMYFUNCTION("""COMPUTED_VALUE"""),"น็อต")</f>
        <v>น็อต</v>
      </c>
      <c r="B771" s="128" t="str">
        <f>IFERROR(__xludf.DUMMYFUNCTION("""COMPUTED_VALUE"""),"ลูกรีเวท สีชา-46177")</f>
        <v>ลูกรีเวท สีชา-46177</v>
      </c>
    </row>
    <row r="772">
      <c r="A772" s="128" t="str">
        <f>IFERROR(__xludf.DUMMYFUNCTION("""COMPUTED_VALUE"""),"น็อต")</f>
        <v>น็อต</v>
      </c>
      <c r="B772" s="128" t="str">
        <f>IFERROR(__xludf.DUMMYFUNCTION("""COMPUTED_VALUE"""),"น๊อตยิงฝ้า สีดำ-6x1""")</f>
        <v>น๊อตยิงฝ้า สีดำ-6x1"</v>
      </c>
    </row>
    <row r="773">
      <c r="A773" s="128" t="str">
        <f>IFERROR(__xludf.DUMMYFUNCTION("""COMPUTED_VALUE"""),"น็อต")</f>
        <v>น็อต</v>
      </c>
      <c r="B773" s="128" t="str">
        <f>IFERROR(__xludf.DUMMYFUNCTION("""COMPUTED_VALUE"""),"น๊อตยิงฝ้า สีดำ-6x1½""")</f>
        <v>น๊อตยิงฝ้า สีดำ-6x1½"</v>
      </c>
    </row>
    <row r="774">
      <c r="A774" s="128" t="str">
        <f>IFERROR(__xludf.DUMMYFUNCTION("""COMPUTED_VALUE"""),"น็อต")</f>
        <v>น็อต</v>
      </c>
      <c r="B774" s="128" t="str">
        <f>IFERROR(__xludf.DUMMYFUNCTION("""COMPUTED_VALUE"""),"น๊อตยิงฝ้า สีดำ-6x2""")</f>
        <v>น๊อตยิงฝ้า สีดำ-6x2"</v>
      </c>
    </row>
    <row r="775">
      <c r="A775" s="128" t="str">
        <f>IFERROR(__xludf.DUMMYFUNCTION("""COMPUTED_VALUE"""),"น็อต")</f>
        <v>น็อต</v>
      </c>
      <c r="B775" s="128" t="str">
        <f>IFERROR(__xludf.DUMMYFUNCTION("""COMPUTED_VALUE"""),"น๊อตยิงฝ้า สีดำ-6x3/4""")</f>
        <v>น๊อตยิงฝ้า สีดำ-6x3/4"</v>
      </c>
    </row>
    <row r="776">
      <c r="A776" s="128" t="str">
        <f>IFERROR(__xludf.DUMMYFUNCTION("""COMPUTED_VALUE"""),"น็อต")</f>
        <v>น็อต</v>
      </c>
      <c r="B776" s="128" t="str">
        <f>IFERROR(__xludf.DUMMYFUNCTION("""COMPUTED_VALUE"""),"น๊อตหกเหลี่ยมยางดำปลายสว่าน-1""")</f>
        <v>น๊อตหกเหลี่ยมยางดำปลายสว่าน-1"</v>
      </c>
    </row>
    <row r="777">
      <c r="A777" s="128" t="str">
        <f>IFERROR(__xludf.DUMMYFUNCTION("""COMPUTED_VALUE"""),"น็อต")</f>
        <v>น็อต</v>
      </c>
      <c r="B777" s="128" t="str">
        <f>IFERROR(__xludf.DUMMYFUNCTION("""COMPUTED_VALUE"""),"น๊อตหกเหลี่ยมยางดำปลายสว่าน-1½""")</f>
        <v>น๊อตหกเหลี่ยมยางดำปลายสว่าน-1½"</v>
      </c>
    </row>
    <row r="778">
      <c r="A778" s="128" t="str">
        <f>IFERROR(__xludf.DUMMYFUNCTION("""COMPUTED_VALUE"""),"น็อต")</f>
        <v>น็อต</v>
      </c>
      <c r="B778" s="128" t="str">
        <f>IFERROR(__xludf.DUMMYFUNCTION("""COMPUTED_VALUE"""),"น๊อตหกเหลี่ยมยางดำปลายสว่าน-2""")</f>
        <v>น๊อตหกเหลี่ยมยางดำปลายสว่าน-2"</v>
      </c>
    </row>
    <row r="779">
      <c r="A779" s="128" t="str">
        <f>IFERROR(__xludf.DUMMYFUNCTION("""COMPUTED_VALUE"""),"น็อต")</f>
        <v>น็อต</v>
      </c>
      <c r="B779" s="128" t="str">
        <f>IFERROR(__xludf.DUMMYFUNCTION("""COMPUTED_VALUE"""),"น๊อตหกเหลี่ยมยางดำปลายสว่าน-3""")</f>
        <v>น๊อตหกเหลี่ยมยางดำปลายสว่าน-3"</v>
      </c>
    </row>
    <row r="780">
      <c r="A780" s="128" t="str">
        <f>IFERROR(__xludf.DUMMYFUNCTION("""COMPUTED_VALUE"""),"น็อต")</f>
        <v>น็อต</v>
      </c>
      <c r="B780" s="128" t="str">
        <f>IFERROR(__xludf.DUMMYFUNCTION("""COMPUTED_VALUE"""),"น๊อตหกเหลี่ยมยางดำปลายสว่าน-4""")</f>
        <v>น๊อตหกเหลี่ยมยางดำปลายสว่าน-4"</v>
      </c>
    </row>
    <row r="781">
      <c r="A781" s="128" t="str">
        <f>IFERROR(__xludf.DUMMYFUNCTION("""COMPUTED_VALUE"""),"น็อต")</f>
        <v>น็อต</v>
      </c>
      <c r="B781" s="128" t="str">
        <f>IFERROR(__xludf.DUMMYFUNCTION("""COMPUTED_VALUE"""),"-")</f>
        <v>-</v>
      </c>
    </row>
    <row r="782">
      <c r="A782" s="128" t="str">
        <f>IFERROR(__xludf.DUMMYFUNCTION("""COMPUTED_VALUE"""),"น็อต")</f>
        <v>น็อต</v>
      </c>
      <c r="B782" s="128" t="str">
        <f>IFERROR(__xludf.DUMMYFUNCTION("""COMPUTED_VALUE"""),"-")</f>
        <v>-</v>
      </c>
    </row>
    <row r="783">
      <c r="A783" s="128" t="str">
        <f>IFERROR(__xludf.DUMMYFUNCTION("""COMPUTED_VALUE"""),"น็อต")</f>
        <v>น็อต</v>
      </c>
      <c r="B783" s="128" t="str">
        <f>IFERROR(__xludf.DUMMYFUNCTION("""COMPUTED_VALUE"""),"-")</f>
        <v>-</v>
      </c>
    </row>
    <row r="784">
      <c r="A784" s="128" t="str">
        <f>IFERROR(__xludf.DUMMYFUNCTION("""COMPUTED_VALUE"""),"น็อต")</f>
        <v>น็อต</v>
      </c>
      <c r="B784" s="128" t="str">
        <f>IFERROR(__xludf.DUMMYFUNCTION("""COMPUTED_VALUE"""),"-")</f>
        <v>-</v>
      </c>
    </row>
    <row r="785">
      <c r="A785" s="128" t="str">
        <f>IFERROR(__xludf.DUMMYFUNCTION("""COMPUTED_VALUE"""),"น็อต")</f>
        <v>น็อต</v>
      </c>
      <c r="B785" s="128" t="str">
        <f>IFERROR(__xludf.DUMMYFUNCTION("""COMPUTED_VALUE"""),"-")</f>
        <v>-</v>
      </c>
    </row>
    <row r="786">
      <c r="A786" s="128" t="str">
        <f>IFERROR(__xludf.DUMMYFUNCTION("""COMPUTED_VALUE"""),"น็อต")</f>
        <v>น็อต</v>
      </c>
      <c r="B786" s="128" t="str">
        <f>IFERROR(__xludf.DUMMYFUNCTION("""COMPUTED_VALUE"""),"-")</f>
        <v>-</v>
      </c>
    </row>
    <row r="787">
      <c r="A787" s="128" t="str">
        <f>IFERROR(__xludf.DUMMYFUNCTION("""COMPUTED_VALUE"""),"น็อต")</f>
        <v>น็อต</v>
      </c>
      <c r="B787" s="128" t="str">
        <f>IFERROR(__xludf.DUMMYFUNCTION("""COMPUTED_VALUE"""),"-")</f>
        <v>-</v>
      </c>
    </row>
    <row r="788">
      <c r="A788" s="128" t="str">
        <f>IFERROR(__xludf.DUMMYFUNCTION("""COMPUTED_VALUE"""),"น็อต")</f>
        <v>น็อต</v>
      </c>
      <c r="B788" s="128" t="str">
        <f>IFERROR(__xludf.DUMMYFUNCTION("""COMPUTED_VALUE"""),"-")</f>
        <v>-</v>
      </c>
    </row>
    <row r="789">
      <c r="A789" s="128" t="str">
        <f>IFERROR(__xludf.DUMMYFUNCTION("""COMPUTED_VALUE"""),"น็อต")</f>
        <v>น็อต</v>
      </c>
      <c r="B789" s="128" t="str">
        <f>IFERROR(__xludf.DUMMYFUNCTION("""COMPUTED_VALUE"""),"-")</f>
        <v>-</v>
      </c>
    </row>
    <row r="790">
      <c r="A790" s="128" t="str">
        <f>IFERROR(__xludf.DUMMYFUNCTION("""COMPUTED_VALUE"""),"น็อต")</f>
        <v>น็อต</v>
      </c>
      <c r="B790" s="128" t="str">
        <f>IFERROR(__xludf.DUMMYFUNCTION("""COMPUTED_VALUE"""),"-")</f>
        <v>-</v>
      </c>
    </row>
    <row r="791">
      <c r="A791" s="128" t="str">
        <f>IFERROR(__xludf.DUMMYFUNCTION("""COMPUTED_VALUE"""),"น็อต")</f>
        <v>น็อต</v>
      </c>
      <c r="B791" s="128" t="str">
        <f>IFERROR(__xludf.DUMMYFUNCTION("""COMPUTED_VALUE"""),"-")</f>
        <v>-</v>
      </c>
    </row>
    <row r="792">
      <c r="A792" s="128" t="str">
        <f>IFERROR(__xludf.DUMMYFUNCTION("""COMPUTED_VALUE"""),"น็อต")</f>
        <v>น็อต</v>
      </c>
      <c r="B792" s="128" t="str">
        <f>IFERROR(__xludf.DUMMYFUNCTION("""COMPUTED_VALUE"""),"-")</f>
        <v>-</v>
      </c>
    </row>
    <row r="793">
      <c r="A793" s="128" t="str">
        <f>IFERROR(__xludf.DUMMYFUNCTION("""COMPUTED_VALUE"""),"น็อต")</f>
        <v>น็อต</v>
      </c>
      <c r="B793" s="128" t="str">
        <f>IFERROR(__xludf.DUMMYFUNCTION("""COMPUTED_VALUE"""),"-")</f>
        <v>-</v>
      </c>
    </row>
    <row r="794">
      <c r="A794" s="128" t="str">
        <f>IFERROR(__xludf.DUMMYFUNCTION("""COMPUTED_VALUE"""),"น็อต")</f>
        <v>น็อต</v>
      </c>
      <c r="B794" s="128" t="str">
        <f>IFERROR(__xludf.DUMMYFUNCTION("""COMPUTED_VALUE"""),"-")</f>
        <v>-</v>
      </c>
    </row>
    <row r="795">
      <c r="A795" s="128" t="str">
        <f>IFERROR(__xludf.DUMMYFUNCTION("""COMPUTED_VALUE"""),"น็อต")</f>
        <v>น็อต</v>
      </c>
      <c r="B795" s="128" t="str">
        <f>IFERROR(__xludf.DUMMYFUNCTION("""COMPUTED_VALUE"""),"-")</f>
        <v>-</v>
      </c>
    </row>
    <row r="796">
      <c r="A796" s="128" t="str">
        <f>IFERROR(__xludf.DUMMYFUNCTION("""COMPUTED_VALUE"""),"น็อต")</f>
        <v>น็อต</v>
      </c>
      <c r="B796" s="128" t="str">
        <f>IFERROR(__xludf.DUMMYFUNCTION("""COMPUTED_VALUE"""),"-")</f>
        <v>-</v>
      </c>
    </row>
    <row r="797">
      <c r="A797" s="128" t="str">
        <f>IFERROR(__xludf.DUMMYFUNCTION("""COMPUTED_VALUE"""),"น็อต")</f>
        <v>น็อต</v>
      </c>
      <c r="B797" s="128" t="str">
        <f>IFERROR(__xludf.DUMMYFUNCTION("""COMPUTED_VALUE"""),"-")</f>
        <v>-</v>
      </c>
    </row>
    <row r="798">
      <c r="A798" s="128" t="str">
        <f>IFERROR(__xludf.DUMMYFUNCTION("""COMPUTED_VALUE"""),"น็อต")</f>
        <v>น็อต</v>
      </c>
      <c r="B798" s="128" t="str">
        <f>IFERROR(__xludf.DUMMYFUNCTION("""COMPUTED_VALUE"""),"-")</f>
        <v>-</v>
      </c>
    </row>
    <row r="799">
      <c r="A799" s="128" t="str">
        <f>IFERROR(__xludf.DUMMYFUNCTION("""COMPUTED_VALUE"""),"น็อต")</f>
        <v>น็อต</v>
      </c>
      <c r="B799" s="128" t="str">
        <f>IFERROR(__xludf.DUMMYFUNCTION("""COMPUTED_VALUE"""),"-")</f>
        <v>-</v>
      </c>
    </row>
    <row r="800">
      <c r="A800" s="128" t="str">
        <f>IFERROR(__xludf.DUMMYFUNCTION("""COMPUTED_VALUE"""),"น็อต")</f>
        <v>น็อต</v>
      </c>
      <c r="B800" s="128" t="str">
        <f>IFERROR(__xludf.DUMMYFUNCTION("""COMPUTED_VALUE"""),"-")</f>
        <v>-</v>
      </c>
    </row>
    <row r="801">
      <c r="A801" s="128" t="str">
        <f>IFERROR(__xludf.DUMMYFUNCTION("""COMPUTED_VALUE"""),"น็อต")</f>
        <v>น็อต</v>
      </c>
      <c r="B801" s="128" t="str">
        <f>IFERROR(__xludf.DUMMYFUNCTION("""COMPUTED_VALUE"""),"-")</f>
        <v>-</v>
      </c>
    </row>
    <row r="802">
      <c r="A802" s="128" t="str">
        <f>IFERROR(__xludf.DUMMYFUNCTION("""COMPUTED_VALUE"""),"น็อต")</f>
        <v>น็อต</v>
      </c>
      <c r="B802" s="128" t="str">
        <f>IFERROR(__xludf.DUMMYFUNCTION("""COMPUTED_VALUE"""),"-")</f>
        <v>-</v>
      </c>
    </row>
    <row r="803">
      <c r="A803" s="128" t="str">
        <f>IFERROR(__xludf.DUMMYFUNCTION("""COMPUTED_VALUE"""),"น็อต")</f>
        <v>น็อต</v>
      </c>
      <c r="B803" s="128" t="str">
        <f>IFERROR(__xludf.DUMMYFUNCTION("""COMPUTED_VALUE"""),"-")</f>
        <v>-</v>
      </c>
    </row>
    <row r="804">
      <c r="A804" s="128" t="str">
        <f>IFERROR(__xludf.DUMMYFUNCTION("""COMPUTED_VALUE"""),"น็อต")</f>
        <v>น็อต</v>
      </c>
      <c r="B804" s="128" t="str">
        <f>IFERROR(__xludf.DUMMYFUNCTION("""COMPUTED_VALUE"""),"-")</f>
        <v>-</v>
      </c>
    </row>
    <row r="805">
      <c r="A805" s="128" t="str">
        <f>IFERROR(__xludf.DUMMYFUNCTION("""COMPUTED_VALUE"""),"น็อต")</f>
        <v>น็อต</v>
      </c>
      <c r="B805" s="128" t="str">
        <f>IFERROR(__xludf.DUMMYFUNCTION("""COMPUTED_VALUE"""),"-")</f>
        <v>-</v>
      </c>
    </row>
    <row r="806">
      <c r="A806" s="128" t="str">
        <f>IFERROR(__xludf.DUMMYFUNCTION("""COMPUTED_VALUE"""),"น็อต")</f>
        <v>น็อต</v>
      </c>
      <c r="B806" s="128" t="str">
        <f>IFERROR(__xludf.DUMMYFUNCTION("""COMPUTED_VALUE"""),"-")</f>
        <v>-</v>
      </c>
    </row>
    <row r="807">
      <c r="A807" s="128" t="str">
        <f>IFERROR(__xludf.DUMMYFUNCTION("""COMPUTED_VALUE"""),"น็อต")</f>
        <v>น็อต</v>
      </c>
      <c r="B807" s="128" t="str">
        <f>IFERROR(__xludf.DUMMYFUNCTION("""COMPUTED_VALUE"""),"-")</f>
        <v>-</v>
      </c>
    </row>
    <row r="808">
      <c r="A808" s="128" t="str">
        <f>IFERROR(__xludf.DUMMYFUNCTION("""COMPUTED_VALUE"""),"น็อต")</f>
        <v>น็อต</v>
      </c>
      <c r="B808" s="128" t="str">
        <f>IFERROR(__xludf.DUMMYFUNCTION("""COMPUTED_VALUE"""),"-")</f>
        <v>-</v>
      </c>
    </row>
    <row r="809">
      <c r="A809" s="128" t="str">
        <f>IFERROR(__xludf.DUMMYFUNCTION("""COMPUTED_VALUE"""),"น็อต")</f>
        <v>น็อต</v>
      </c>
      <c r="B809" s="128" t="str">
        <f>IFERROR(__xludf.DUMMYFUNCTION("""COMPUTED_VALUE"""),"-")</f>
        <v>-</v>
      </c>
    </row>
    <row r="810">
      <c r="A810" s="128" t="str">
        <f>IFERROR(__xludf.DUMMYFUNCTION("""COMPUTED_VALUE"""),"น็อต")</f>
        <v>น็อต</v>
      </c>
      <c r="B810" s="128" t="str">
        <f>IFERROR(__xludf.DUMMYFUNCTION("""COMPUTED_VALUE"""),"-")</f>
        <v>-</v>
      </c>
    </row>
    <row r="811">
      <c r="A811" s="128" t="str">
        <f>IFERROR(__xludf.DUMMYFUNCTION("""COMPUTED_VALUE"""),"น็อต")</f>
        <v>น็อต</v>
      </c>
      <c r="B811" s="128" t="str">
        <f>IFERROR(__xludf.DUMMYFUNCTION("""COMPUTED_VALUE"""),"-")</f>
        <v>-</v>
      </c>
    </row>
    <row r="812">
      <c r="A812" s="128" t="str">
        <f>IFERROR(__xludf.DUMMYFUNCTION("""COMPUTED_VALUE"""),"น็อต")</f>
        <v>น็อต</v>
      </c>
      <c r="B812" s="128" t="str">
        <f>IFERROR(__xludf.DUMMYFUNCTION("""COMPUTED_VALUE"""),"-")</f>
        <v>-</v>
      </c>
    </row>
    <row r="813">
      <c r="A813" s="128" t="str">
        <f>IFERROR(__xludf.DUMMYFUNCTION("""COMPUTED_VALUE"""),"น็อต")</f>
        <v>น็อต</v>
      </c>
      <c r="B813" s="128" t="str">
        <f>IFERROR(__xludf.DUMMYFUNCTION("""COMPUTED_VALUE"""),"-")</f>
        <v>-</v>
      </c>
    </row>
    <row r="814">
      <c r="A814" s="128" t="str">
        <f>IFERROR(__xludf.DUMMYFUNCTION("""COMPUTED_VALUE"""),"น็อต")</f>
        <v>น็อต</v>
      </c>
      <c r="B814" s="128" t="str">
        <f>IFERROR(__xludf.DUMMYFUNCTION("""COMPUTED_VALUE"""),"-")</f>
        <v>-</v>
      </c>
    </row>
    <row r="815">
      <c r="A815" s="128" t="str">
        <f>IFERROR(__xludf.DUMMYFUNCTION("""COMPUTED_VALUE"""),"น็อต")</f>
        <v>น็อต</v>
      </c>
      <c r="B815" s="128" t="str">
        <f>IFERROR(__xludf.DUMMYFUNCTION("""COMPUTED_VALUE"""),"-")</f>
        <v>-</v>
      </c>
    </row>
    <row r="816">
      <c r="A816" s="128" t="str">
        <f>IFERROR(__xludf.DUMMYFUNCTION("""COMPUTED_VALUE"""),"น็อต")</f>
        <v>น็อต</v>
      </c>
      <c r="B816" s="128" t="str">
        <f>IFERROR(__xludf.DUMMYFUNCTION("""COMPUTED_VALUE"""),"-")</f>
        <v>-</v>
      </c>
    </row>
    <row r="817">
      <c r="A817" s="128" t="str">
        <f>IFERROR(__xludf.DUMMYFUNCTION("""COMPUTED_VALUE"""),"น็อต")</f>
        <v>น็อต</v>
      </c>
      <c r="B817" s="128" t="str">
        <f>IFERROR(__xludf.DUMMYFUNCTION("""COMPUTED_VALUE"""),"-")</f>
        <v>-</v>
      </c>
    </row>
    <row r="818">
      <c r="A818" s="128" t="str">
        <f>IFERROR(__xludf.DUMMYFUNCTION("""COMPUTED_VALUE"""),"น็อต")</f>
        <v>น็อต</v>
      </c>
      <c r="B818" s="128" t="str">
        <f>IFERROR(__xludf.DUMMYFUNCTION("""COMPUTED_VALUE"""),"-")</f>
        <v>-</v>
      </c>
    </row>
    <row r="819">
      <c r="A819" s="128" t="str">
        <f>IFERROR(__xludf.DUMMYFUNCTION("""COMPUTED_VALUE"""),"น็อต")</f>
        <v>น็อต</v>
      </c>
      <c r="B819" s="128" t="str">
        <f>IFERROR(__xludf.DUMMYFUNCTION("""COMPUTED_VALUE"""),"-")</f>
        <v>-</v>
      </c>
    </row>
    <row r="820">
      <c r="A820" s="128" t="str">
        <f>IFERROR(__xludf.DUMMYFUNCTION("""COMPUTED_VALUE"""),"น็อต")</f>
        <v>น็อต</v>
      </c>
      <c r="B820" s="128" t="str">
        <f>IFERROR(__xludf.DUMMYFUNCTION("""COMPUTED_VALUE"""),"-")</f>
        <v>-</v>
      </c>
    </row>
    <row r="821">
      <c r="A821" s="128" t="str">
        <f>IFERROR(__xludf.DUMMYFUNCTION("""COMPUTED_VALUE"""),"น็อต")</f>
        <v>น็อต</v>
      </c>
      <c r="B821" s="128" t="str">
        <f>IFERROR(__xludf.DUMMYFUNCTION("""COMPUTED_VALUE"""),"-")</f>
        <v>-</v>
      </c>
    </row>
    <row r="822">
      <c r="A822" s="128" t="str">
        <f>IFERROR(__xludf.DUMMYFUNCTION("""COMPUTED_VALUE"""),"น็อต")</f>
        <v>น็อต</v>
      </c>
      <c r="B822" s="128" t="str">
        <f>IFERROR(__xludf.DUMMYFUNCTION("""COMPUTED_VALUE"""),"-")</f>
        <v>-</v>
      </c>
    </row>
    <row r="823">
      <c r="A823" s="128" t="str">
        <f>IFERROR(__xludf.DUMMYFUNCTION("""COMPUTED_VALUE"""),"น็อต")</f>
        <v>น็อต</v>
      </c>
      <c r="B823" s="128" t="str">
        <f>IFERROR(__xludf.DUMMYFUNCTION("""COMPUTED_VALUE"""),"-")</f>
        <v>-</v>
      </c>
    </row>
    <row r="824">
      <c r="A824" s="128" t="str">
        <f>IFERROR(__xludf.DUMMYFUNCTION("""COMPUTED_VALUE"""),"น็อต")</f>
        <v>น็อต</v>
      </c>
      <c r="B824" s="128" t="str">
        <f>IFERROR(__xludf.DUMMYFUNCTION("""COMPUTED_VALUE"""),"-")</f>
        <v>-</v>
      </c>
    </row>
    <row r="825">
      <c r="A825" s="128" t="str">
        <f>IFERROR(__xludf.DUMMYFUNCTION("""COMPUTED_VALUE"""),"น็อต")</f>
        <v>น็อต</v>
      </c>
      <c r="B825" s="128" t="str">
        <f>IFERROR(__xludf.DUMMYFUNCTION("""COMPUTED_VALUE"""),"-")</f>
        <v>-</v>
      </c>
    </row>
    <row r="826">
      <c r="A826" s="128" t="str">
        <f>IFERROR(__xludf.DUMMYFUNCTION("""COMPUTED_VALUE"""),"น็อต")</f>
        <v>น็อต</v>
      </c>
      <c r="B826" s="128" t="str">
        <f>IFERROR(__xludf.DUMMYFUNCTION("""COMPUTED_VALUE"""),"-")</f>
        <v>-</v>
      </c>
    </row>
    <row r="827">
      <c r="A827" s="128" t="str">
        <f>IFERROR(__xludf.DUMMYFUNCTION("""COMPUTED_VALUE"""),"น็อต")</f>
        <v>น็อต</v>
      </c>
      <c r="B827" s="128" t="str">
        <f>IFERROR(__xludf.DUMMYFUNCTION("""COMPUTED_VALUE"""),"-")</f>
        <v>-</v>
      </c>
    </row>
    <row r="828">
      <c r="A828" s="128" t="str">
        <f>IFERROR(__xludf.DUMMYFUNCTION("""COMPUTED_VALUE"""),"น็อต")</f>
        <v>น็อต</v>
      </c>
      <c r="B828" s="128" t="str">
        <f>IFERROR(__xludf.DUMMYFUNCTION("""COMPUTED_VALUE"""),"-")</f>
        <v>-</v>
      </c>
    </row>
    <row r="829">
      <c r="A829" s="128" t="str">
        <f>IFERROR(__xludf.DUMMYFUNCTION("""COMPUTED_VALUE"""),"น็อต")</f>
        <v>น็อต</v>
      </c>
      <c r="B829" s="128" t="str">
        <f>IFERROR(__xludf.DUMMYFUNCTION("""COMPUTED_VALUE"""),"-")</f>
        <v>-</v>
      </c>
    </row>
    <row r="830">
      <c r="A830" s="128" t="str">
        <f>IFERROR(__xludf.DUMMYFUNCTION("""COMPUTED_VALUE"""),"น็อต")</f>
        <v>น็อต</v>
      </c>
      <c r="B830" s="128" t="str">
        <f>IFERROR(__xludf.DUMMYFUNCTION("""COMPUTED_VALUE"""),"-")</f>
        <v>-</v>
      </c>
    </row>
    <row r="831">
      <c r="A831" s="128" t="str">
        <f>IFERROR(__xludf.DUMMYFUNCTION("""COMPUTED_VALUE"""),"น็อต")</f>
        <v>น็อต</v>
      </c>
      <c r="B831" s="128" t="str">
        <f>IFERROR(__xludf.DUMMYFUNCTION("""COMPUTED_VALUE"""),"-")</f>
        <v>-</v>
      </c>
    </row>
    <row r="832">
      <c r="A832" s="128" t="str">
        <f>IFERROR(__xludf.DUMMYFUNCTION("""COMPUTED_VALUE"""),"น็อต")</f>
        <v>น็อต</v>
      </c>
      <c r="B832" s="128" t="str">
        <f>IFERROR(__xludf.DUMMYFUNCTION("""COMPUTED_VALUE"""),"-")</f>
        <v>-</v>
      </c>
    </row>
    <row r="833">
      <c r="A833" s="128" t="str">
        <f>IFERROR(__xludf.DUMMYFUNCTION("""COMPUTED_VALUE"""),"น็อต")</f>
        <v>น็อต</v>
      </c>
      <c r="B833" s="128" t="str">
        <f>IFERROR(__xludf.DUMMYFUNCTION("""COMPUTED_VALUE"""),"-")</f>
        <v>-</v>
      </c>
    </row>
    <row r="834">
      <c r="A834" s="128" t="str">
        <f>IFERROR(__xludf.DUMMYFUNCTION("""COMPUTED_VALUE"""),"อลูมิเนียม")</f>
        <v>อลูมิเนียม</v>
      </c>
      <c r="B834" s="128" t="str">
        <f>IFERROR(__xludf.DUMMYFUNCTION("""COMPUTED_VALUE"""),"B20001-เฟรมบนบานเลื่อน-อบขาว")</f>
        <v>B20001-เฟรมบนบานเลื่อน-อบขาว</v>
      </c>
    </row>
    <row r="835">
      <c r="A835" s="128" t="str">
        <f>IFERROR(__xludf.DUMMYFUNCTION("""COMPUTED_VALUE"""),"อลูมิเนียม")</f>
        <v>อลูมิเนียม</v>
      </c>
      <c r="B835" s="128" t="str">
        <f>IFERROR(__xludf.DUMMYFUNCTION("""COMPUTED_VALUE"""),"B20001-เฟรมบนบานเลื่อน-ดำ")</f>
        <v>B20001-เฟรมบนบานเลื่อน-ดำ</v>
      </c>
    </row>
    <row r="836">
      <c r="A836" s="128" t="str">
        <f>IFERROR(__xludf.DUMMYFUNCTION("""COMPUTED_VALUE"""),"อลูมิเนียม")</f>
        <v>อลูมิเนียม</v>
      </c>
      <c r="B836" s="128" t="str">
        <f>IFERROR(__xludf.DUMMYFUNCTION("""COMPUTED_VALUE"""),"B20001-เฟรมบนบานเลื่อน-เทาซาฮาร่า")</f>
        <v>B20001-เฟรมบนบานเลื่อน-เทาซาฮาร่า</v>
      </c>
    </row>
    <row r="837">
      <c r="A837" s="128" t="str">
        <f>IFERROR(__xludf.DUMMYFUNCTION("""COMPUTED_VALUE"""),"อลูมิเนียม")</f>
        <v>อลูมิเนียม</v>
      </c>
      <c r="B837" s="128" t="str">
        <f>IFERROR(__xludf.DUMMYFUNCTION("""COMPUTED_VALUE"""),"B20001-เฟรมบนบานเลื่อน-ลายไม้สักทอง")</f>
        <v>B20001-เฟรมบนบานเลื่อน-ลายไม้สักทอง</v>
      </c>
    </row>
    <row r="838">
      <c r="A838" s="128" t="str">
        <f>IFERROR(__xludf.DUMMYFUNCTION("""COMPUTED_VALUE"""),"อลูมิเนียม")</f>
        <v>อลูมิเนียม</v>
      </c>
      <c r="B838" s="128" t="str">
        <f>IFERROR(__xludf.DUMMYFUNCTION("""COMPUTED_VALUE"""),"B20001-เฟรมบนบานเลื่อน-อื่น ๆ")</f>
        <v>B20001-เฟรมบนบานเลื่อน-อื่น ๆ</v>
      </c>
    </row>
    <row r="839">
      <c r="A839" s="128" t="str">
        <f>IFERROR(__xludf.DUMMYFUNCTION("""COMPUTED_VALUE"""),"อลูมิเนียม")</f>
        <v>อลูมิเนียม</v>
      </c>
      <c r="B839" s="128" t="str">
        <f>IFERROR(__xludf.DUMMYFUNCTION("""COMPUTED_VALUE"""),"B20002-เฟรมล่างบานเลื่อน-อบขาว")</f>
        <v>B20002-เฟรมล่างบานเลื่อน-อบขาว</v>
      </c>
    </row>
    <row r="840">
      <c r="A840" s="128" t="str">
        <f>IFERROR(__xludf.DUMMYFUNCTION("""COMPUTED_VALUE"""),"อลูมิเนียม")</f>
        <v>อลูมิเนียม</v>
      </c>
      <c r="B840" s="128" t="str">
        <f>IFERROR(__xludf.DUMMYFUNCTION("""COMPUTED_VALUE"""),"B20002-เฟรมล่างบานเลื่อน-ดำ")</f>
        <v>B20002-เฟรมล่างบานเลื่อน-ดำ</v>
      </c>
    </row>
    <row r="841">
      <c r="A841" s="128" t="str">
        <f>IFERROR(__xludf.DUMMYFUNCTION("""COMPUTED_VALUE"""),"อลูมิเนียม")</f>
        <v>อลูมิเนียม</v>
      </c>
      <c r="B841" s="128" t="str">
        <f>IFERROR(__xludf.DUMMYFUNCTION("""COMPUTED_VALUE"""),"B20002-เฟรมล่างบานเลื่อน-เทาซาฮาร่า")</f>
        <v>B20002-เฟรมล่างบานเลื่อน-เทาซาฮาร่า</v>
      </c>
    </row>
    <row r="842">
      <c r="A842" s="128" t="str">
        <f>IFERROR(__xludf.DUMMYFUNCTION("""COMPUTED_VALUE"""),"อลูมิเนียม")</f>
        <v>อลูมิเนียม</v>
      </c>
      <c r="B842" s="128" t="str">
        <f>IFERROR(__xludf.DUMMYFUNCTION("""COMPUTED_VALUE"""),"B20002-เฟรมล่างบานเลื่อน-ลายไม้สักทอง")</f>
        <v>B20002-เฟรมล่างบานเลื่อน-ลายไม้สักทอง</v>
      </c>
    </row>
    <row r="843">
      <c r="A843" s="128" t="str">
        <f>IFERROR(__xludf.DUMMYFUNCTION("""COMPUTED_VALUE"""),"อลูมิเนียม")</f>
        <v>อลูมิเนียม</v>
      </c>
      <c r="B843" s="128" t="str">
        <f>IFERROR(__xludf.DUMMYFUNCTION("""COMPUTED_VALUE"""),"B20002-เฟรมล่างบานเลื่อน-อื่น ๆ")</f>
        <v>B20002-เฟรมล่างบานเลื่อน-อื่น ๆ</v>
      </c>
    </row>
    <row r="844">
      <c r="A844" s="128" t="str">
        <f>IFERROR(__xludf.DUMMYFUNCTION("""COMPUTED_VALUE"""),"อลูมิเนียม")</f>
        <v>อลูมิเนียม</v>
      </c>
      <c r="B844" s="128" t="str">
        <f>IFERROR(__xludf.DUMMYFUNCTION("""COMPUTED_VALUE"""),"B20003-เฟรมข้างบานเลื่อน-อบขาว")</f>
        <v>B20003-เฟรมข้างบานเลื่อน-อบขาว</v>
      </c>
    </row>
    <row r="845">
      <c r="A845" s="128" t="str">
        <f>IFERROR(__xludf.DUMMYFUNCTION("""COMPUTED_VALUE"""),"อลูมิเนียม")</f>
        <v>อลูมิเนียม</v>
      </c>
      <c r="B845" s="128" t="str">
        <f>IFERROR(__xludf.DUMMYFUNCTION("""COMPUTED_VALUE"""),"B20003-เฟรมข้างบานเลื่อน-ดำ")</f>
        <v>B20003-เฟรมข้างบานเลื่อน-ดำ</v>
      </c>
    </row>
    <row r="846">
      <c r="A846" s="128" t="str">
        <f>IFERROR(__xludf.DUMMYFUNCTION("""COMPUTED_VALUE"""),"อลูมิเนียม")</f>
        <v>อลูมิเนียม</v>
      </c>
      <c r="B846" s="128" t="str">
        <f>IFERROR(__xludf.DUMMYFUNCTION("""COMPUTED_VALUE"""),"B20003-เฟรมข้างบานเลื่อน-เทาซาฮาร่า")</f>
        <v>B20003-เฟรมข้างบานเลื่อน-เทาซาฮาร่า</v>
      </c>
    </row>
    <row r="847">
      <c r="A847" s="128" t="str">
        <f>IFERROR(__xludf.DUMMYFUNCTION("""COMPUTED_VALUE"""),"อลูมิเนียม")</f>
        <v>อลูมิเนียม</v>
      </c>
      <c r="B847" s="128" t="str">
        <f>IFERROR(__xludf.DUMMYFUNCTION("""COMPUTED_VALUE"""),"B20003-เฟรมข้างบานเลื่อน-ลายไม้สักทอง")</f>
        <v>B20003-เฟรมข้างบานเลื่อน-ลายไม้สักทอง</v>
      </c>
    </row>
    <row r="848">
      <c r="A848" s="128" t="str">
        <f>IFERROR(__xludf.DUMMYFUNCTION("""COMPUTED_VALUE"""),"อลูมิเนียม")</f>
        <v>อลูมิเนียม</v>
      </c>
      <c r="B848" s="128" t="str">
        <f>IFERROR(__xludf.DUMMYFUNCTION("""COMPUTED_VALUE"""),"B20003-เฟรมข้างบานเลื่อน-อื่น ๆ")</f>
        <v>B20003-เฟรมข้างบานเลื่อน-อื่น ๆ</v>
      </c>
    </row>
    <row r="849">
      <c r="A849" s="128" t="str">
        <f>IFERROR(__xludf.DUMMYFUNCTION("""COMPUTED_VALUE"""),"อลูมิเนียม")</f>
        <v>อลูมิเนียม</v>
      </c>
      <c r="B849" s="128" t="str">
        <f>IFERROR(__xludf.DUMMYFUNCTION("""COMPUTED_VALUE"""),"B20004-เฟรมบนเสริมร่องกระจก-อบขาว")</f>
        <v>B20004-เฟรมบนเสริมร่องกระจก-อบขาว</v>
      </c>
    </row>
    <row r="850">
      <c r="A850" s="128" t="str">
        <f>IFERROR(__xludf.DUMMYFUNCTION("""COMPUTED_VALUE"""),"อลูมิเนียม")</f>
        <v>อลูมิเนียม</v>
      </c>
      <c r="B850" s="128" t="str">
        <f>IFERROR(__xludf.DUMMYFUNCTION("""COMPUTED_VALUE"""),"B20004-เฟรมบนเสริมร่องกระจก-ดำ")</f>
        <v>B20004-เฟรมบนเสริมร่องกระจก-ดำ</v>
      </c>
    </row>
    <row r="851">
      <c r="A851" s="128" t="str">
        <f>IFERROR(__xludf.DUMMYFUNCTION("""COMPUTED_VALUE"""),"อลูมิเนียม")</f>
        <v>อลูมิเนียม</v>
      </c>
      <c r="B851" s="128" t="str">
        <f>IFERROR(__xludf.DUMMYFUNCTION("""COMPUTED_VALUE"""),"B20004-เฟรมบนเสริมร่องกระจก-เทาซาฮาร่า")</f>
        <v>B20004-เฟรมบนเสริมร่องกระจก-เทาซาฮาร่า</v>
      </c>
    </row>
    <row r="852">
      <c r="A852" s="128" t="str">
        <f>IFERROR(__xludf.DUMMYFUNCTION("""COMPUTED_VALUE"""),"อลูมิเนียม")</f>
        <v>อลูมิเนียม</v>
      </c>
      <c r="B852" s="128" t="str">
        <f>IFERROR(__xludf.DUMMYFUNCTION("""COMPUTED_VALUE"""),"B20004-เฟรมบนเสริมร่องกระจก-ลายไม้สักทอง")</f>
        <v>B20004-เฟรมบนเสริมร่องกระจก-ลายไม้สักทอง</v>
      </c>
    </row>
    <row r="853">
      <c r="A853" s="128" t="str">
        <f>IFERROR(__xludf.DUMMYFUNCTION("""COMPUTED_VALUE"""),"อลูมิเนียม")</f>
        <v>อลูมิเนียม</v>
      </c>
      <c r="B853" s="128" t="str">
        <f>IFERROR(__xludf.DUMMYFUNCTION("""COMPUTED_VALUE"""),"B20004-เฟรมบนเสริมร่องกระจก-อื่น ๆ")</f>
        <v>B20004-เฟรมบนเสริมร่องกระจก-อื่น ๆ</v>
      </c>
    </row>
    <row r="854">
      <c r="A854" s="128" t="str">
        <f>IFERROR(__xludf.DUMMYFUNCTION("""COMPUTED_VALUE"""),"อลูมิเนียม")</f>
        <v>อลูมิเนียม</v>
      </c>
      <c r="B854" s="128" t="str">
        <f>IFERROR(__xludf.DUMMYFUNCTION("""COMPUTED_VALUE"""),"B20007-เสากุญแจ (ตูดตัน)-อบขาว")</f>
        <v>B20007-เสากุญแจ (ตูดตัน)-อบขาว</v>
      </c>
    </row>
    <row r="855">
      <c r="A855" s="128" t="str">
        <f>IFERROR(__xludf.DUMMYFUNCTION("""COMPUTED_VALUE"""),"อลูมิเนียม")</f>
        <v>อลูมิเนียม</v>
      </c>
      <c r="B855" s="128" t="str">
        <f>IFERROR(__xludf.DUMMYFUNCTION("""COMPUTED_VALUE"""),"B20007-เสากุญแจ (ตูดตัน)-ดำ")</f>
        <v>B20007-เสากุญแจ (ตูดตัน)-ดำ</v>
      </c>
    </row>
    <row r="856">
      <c r="A856" s="128" t="str">
        <f>IFERROR(__xludf.DUMMYFUNCTION("""COMPUTED_VALUE"""),"อลูมิเนียม")</f>
        <v>อลูมิเนียม</v>
      </c>
      <c r="B856" s="128" t="str">
        <f>IFERROR(__xludf.DUMMYFUNCTION("""COMPUTED_VALUE"""),"B20007-เสากุญแจ (ตูดตัน)-เทาซาฮาร่า")</f>
        <v>B20007-เสากุญแจ (ตูดตัน)-เทาซาฮาร่า</v>
      </c>
    </row>
    <row r="857">
      <c r="A857" s="128" t="str">
        <f>IFERROR(__xludf.DUMMYFUNCTION("""COMPUTED_VALUE"""),"อลูมิเนียม")</f>
        <v>อลูมิเนียม</v>
      </c>
      <c r="B857" s="128" t="str">
        <f>IFERROR(__xludf.DUMMYFUNCTION("""COMPUTED_VALUE"""),"B20007-เสากุญแจ (ตูดตัน)-ลายไม้สักทอง")</f>
        <v>B20007-เสากุญแจ (ตูดตัน)-ลายไม้สักทอง</v>
      </c>
    </row>
    <row r="858">
      <c r="A858" s="128" t="str">
        <f>IFERROR(__xludf.DUMMYFUNCTION("""COMPUTED_VALUE"""),"อลูมิเนียม")</f>
        <v>อลูมิเนียม</v>
      </c>
      <c r="B858" s="128" t="str">
        <f>IFERROR(__xludf.DUMMYFUNCTION("""COMPUTED_VALUE"""),"B20007-เสากุญแจ (ตูดตัน)-อื่น ๆ")</f>
        <v>B20007-เสากุญแจ (ตูดตัน)-อื่น ๆ</v>
      </c>
    </row>
    <row r="859">
      <c r="A859" s="128" t="str">
        <f>IFERROR(__xludf.DUMMYFUNCTION("""COMPUTED_VALUE"""),"อลูมิเนียม")</f>
        <v>อลูมิเนียม</v>
      </c>
      <c r="B859" s="128" t="str">
        <f>IFERROR(__xludf.DUMMYFUNCTION("""COMPUTED_VALUE"""),"B20008-เสากุญแจแบบรับแรง-อบขาว")</f>
        <v>B20008-เสากุญแจแบบรับแรง-อบขาว</v>
      </c>
    </row>
    <row r="860">
      <c r="A860" s="128" t="str">
        <f>IFERROR(__xludf.DUMMYFUNCTION("""COMPUTED_VALUE"""),"อลูมิเนียม")</f>
        <v>อลูมิเนียม</v>
      </c>
      <c r="B860" s="128" t="str">
        <f>IFERROR(__xludf.DUMMYFUNCTION("""COMPUTED_VALUE"""),"B20008-เสากุญแจแบบรับแรง-ดำ")</f>
        <v>B20008-เสากุญแจแบบรับแรง-ดำ</v>
      </c>
    </row>
    <row r="861">
      <c r="A861" s="128" t="str">
        <f>IFERROR(__xludf.DUMMYFUNCTION("""COMPUTED_VALUE"""),"อลูมิเนียม")</f>
        <v>อลูมิเนียม</v>
      </c>
      <c r="B861" s="128" t="str">
        <f>IFERROR(__xludf.DUMMYFUNCTION("""COMPUTED_VALUE"""),"B20008-เสากุญแจแบบรับแรง-เทาซาฮาร่า")</f>
        <v>B20008-เสากุญแจแบบรับแรง-เทาซาฮาร่า</v>
      </c>
    </row>
    <row r="862">
      <c r="A862" s="128" t="str">
        <f>IFERROR(__xludf.DUMMYFUNCTION("""COMPUTED_VALUE"""),"อลูมิเนียม")</f>
        <v>อลูมิเนียม</v>
      </c>
      <c r="B862" s="128" t="str">
        <f>IFERROR(__xludf.DUMMYFUNCTION("""COMPUTED_VALUE"""),"B20008-เสากุญแจแบบรับแรง-ลายไม้สักทอง")</f>
        <v>B20008-เสากุญแจแบบรับแรง-ลายไม้สักทอง</v>
      </c>
    </row>
    <row r="863">
      <c r="A863" s="128" t="str">
        <f>IFERROR(__xludf.DUMMYFUNCTION("""COMPUTED_VALUE"""),"อลูมิเนียม")</f>
        <v>อลูมิเนียม</v>
      </c>
      <c r="B863" s="128" t="str">
        <f>IFERROR(__xludf.DUMMYFUNCTION("""COMPUTED_VALUE"""),"B20008-เสากุญแจแบบรับแรง-อื่น ๆ")</f>
        <v>B20008-เสากุญแจแบบรับแรง-อื่น ๆ</v>
      </c>
    </row>
    <row r="864">
      <c r="A864" s="128" t="str">
        <f>IFERROR(__xludf.DUMMYFUNCTION("""COMPUTED_VALUE"""),"อลูมิเนียม")</f>
        <v>อลูมิเนียม</v>
      </c>
      <c r="B864" s="128" t="str">
        <f>IFERROR(__xludf.DUMMYFUNCTION("""COMPUTED_VALUE"""),"B20009-เสาเกี่ยว (ธรรมดา)-อบขาว")</f>
        <v>B20009-เสาเกี่ยว (ธรรมดา)-อบขาว</v>
      </c>
    </row>
    <row r="865">
      <c r="A865" s="128" t="str">
        <f>IFERROR(__xludf.DUMMYFUNCTION("""COMPUTED_VALUE"""),"อลูมิเนียม")</f>
        <v>อลูมิเนียม</v>
      </c>
      <c r="B865" s="128" t="str">
        <f>IFERROR(__xludf.DUMMYFUNCTION("""COMPUTED_VALUE"""),"B20009-เสาเกี่ยว (ธรรมดา)-ดำ")</f>
        <v>B20009-เสาเกี่ยว (ธรรมดา)-ดำ</v>
      </c>
    </row>
    <row r="866">
      <c r="A866" s="128" t="str">
        <f>IFERROR(__xludf.DUMMYFUNCTION("""COMPUTED_VALUE"""),"อลูมิเนียม")</f>
        <v>อลูมิเนียม</v>
      </c>
      <c r="B866" s="128" t="str">
        <f>IFERROR(__xludf.DUMMYFUNCTION("""COMPUTED_VALUE"""),"B20009-เสาเกี่ยว (ธรรมดา)-เทาซาฮาร่า")</f>
        <v>B20009-เสาเกี่ยว (ธรรมดา)-เทาซาฮาร่า</v>
      </c>
    </row>
    <row r="867">
      <c r="A867" s="128" t="str">
        <f>IFERROR(__xludf.DUMMYFUNCTION("""COMPUTED_VALUE"""),"อลูมิเนียม")</f>
        <v>อลูมิเนียม</v>
      </c>
      <c r="B867" s="128" t="str">
        <f>IFERROR(__xludf.DUMMYFUNCTION("""COMPUTED_VALUE"""),"B20009-เสาเกี่ยว (ธรรมดา)-ลายไม้สักทอง")</f>
        <v>B20009-เสาเกี่ยว (ธรรมดา)-ลายไม้สักทอง</v>
      </c>
    </row>
    <row r="868">
      <c r="A868" s="128" t="str">
        <f>IFERROR(__xludf.DUMMYFUNCTION("""COMPUTED_VALUE"""),"อลูมิเนียม")</f>
        <v>อลูมิเนียม</v>
      </c>
      <c r="B868" s="128" t="str">
        <f>IFERROR(__xludf.DUMMYFUNCTION("""COMPUTED_VALUE"""),"B20009-เสาเกี่ยว (ธรรมดา)-อื่น ๆ")</f>
        <v>B20009-เสาเกี่ยว (ธรรมดา)-อื่น ๆ</v>
      </c>
    </row>
    <row r="869">
      <c r="A869" s="128" t="str">
        <f>IFERROR(__xludf.DUMMYFUNCTION("""COMPUTED_VALUE"""),"อลูมิเนียม")</f>
        <v>อลูมิเนียม</v>
      </c>
      <c r="B869" s="128" t="str">
        <f>IFERROR(__xludf.DUMMYFUNCTION("""COMPUTED_VALUE"""),"B20010-เสาเกี่ยวนอก (สูง 2.4 m)-อบขาว")</f>
        <v>B20010-เสาเกี่ยวนอก (สูง 2.4 m)-อบขาว</v>
      </c>
    </row>
    <row r="870">
      <c r="A870" s="128" t="str">
        <f>IFERROR(__xludf.DUMMYFUNCTION("""COMPUTED_VALUE"""),"อลูมิเนียม")</f>
        <v>อลูมิเนียม</v>
      </c>
      <c r="B870" s="128" t="str">
        <f>IFERROR(__xludf.DUMMYFUNCTION("""COMPUTED_VALUE"""),"B20010-เสาเกี่ยวนอก (สูง 2.4 m)-ดำ")</f>
        <v>B20010-เสาเกี่ยวนอก (สูง 2.4 m)-ดำ</v>
      </c>
    </row>
    <row r="871">
      <c r="A871" s="128" t="str">
        <f>IFERROR(__xludf.DUMMYFUNCTION("""COMPUTED_VALUE"""),"อลูมิเนียม")</f>
        <v>อลูมิเนียม</v>
      </c>
      <c r="B871" s="128" t="str">
        <f>IFERROR(__xludf.DUMMYFUNCTION("""COMPUTED_VALUE"""),"B20010-เสาเกี่ยวนอก (สูง 2.4 m)-เทาซาฮาร่า")</f>
        <v>B20010-เสาเกี่ยวนอก (สูง 2.4 m)-เทาซาฮาร่า</v>
      </c>
    </row>
    <row r="872">
      <c r="A872" s="128" t="str">
        <f>IFERROR(__xludf.DUMMYFUNCTION("""COMPUTED_VALUE"""),"อลูมิเนียม")</f>
        <v>อลูมิเนียม</v>
      </c>
      <c r="B872" s="128" t="str">
        <f>IFERROR(__xludf.DUMMYFUNCTION("""COMPUTED_VALUE"""),"B20010-เสาเกี่ยวนอก (สูง 2.4 m)-ลายไม้สักทอง")</f>
        <v>B20010-เสาเกี่ยวนอก (สูง 2.4 m)-ลายไม้สักทอง</v>
      </c>
    </row>
    <row r="873">
      <c r="A873" s="128" t="str">
        <f>IFERROR(__xludf.DUMMYFUNCTION("""COMPUTED_VALUE"""),"อลูมิเนียม")</f>
        <v>อลูมิเนียม</v>
      </c>
      <c r="B873" s="128" t="str">
        <f>IFERROR(__xludf.DUMMYFUNCTION("""COMPUTED_VALUE"""),"B20010-เสาเกี่ยวนอก (สูง 2.4 m)-อื่น ๆ")</f>
        <v>B20010-เสาเกี่ยวนอก (สูง 2.4 m)-อื่น ๆ</v>
      </c>
    </row>
    <row r="874">
      <c r="A874" s="128" t="str">
        <f>IFERROR(__xludf.DUMMYFUNCTION("""COMPUTED_VALUE"""),"อลูมิเนียม")</f>
        <v>อลูมิเนียม</v>
      </c>
      <c r="B874" s="128" t="str">
        <f>IFERROR(__xludf.DUMMYFUNCTION("""COMPUTED_VALUE"""),"B20019-ฝาปิดเฟรมข้าง-อบขาว")</f>
        <v>B20019-ฝาปิดเฟรมข้าง-อบขาว</v>
      </c>
    </row>
    <row r="875">
      <c r="A875" s="128" t="str">
        <f>IFERROR(__xludf.DUMMYFUNCTION("""COMPUTED_VALUE"""),"อลูมิเนียม")</f>
        <v>อลูมิเนียม</v>
      </c>
      <c r="B875" s="128" t="str">
        <f>IFERROR(__xludf.DUMMYFUNCTION("""COMPUTED_VALUE"""),"B20019-ฝาปิดเฟรมข้าง-ดำ")</f>
        <v>B20019-ฝาปิดเฟรมข้าง-ดำ</v>
      </c>
    </row>
    <row r="876">
      <c r="A876" s="128" t="str">
        <f>IFERROR(__xludf.DUMMYFUNCTION("""COMPUTED_VALUE"""),"อลูมิเนียม")</f>
        <v>อลูมิเนียม</v>
      </c>
      <c r="B876" s="128" t="str">
        <f>IFERROR(__xludf.DUMMYFUNCTION("""COMPUTED_VALUE"""),"B20019-ฝาปิดเฟรมข้าง-เทาซาฮาร่า")</f>
        <v>B20019-ฝาปิดเฟรมข้าง-เทาซาฮาร่า</v>
      </c>
    </row>
    <row r="877">
      <c r="A877" s="128" t="str">
        <f>IFERROR(__xludf.DUMMYFUNCTION("""COMPUTED_VALUE"""),"อลูมิเนียม")</f>
        <v>อลูมิเนียม</v>
      </c>
      <c r="B877" s="128" t="str">
        <f>IFERROR(__xludf.DUMMYFUNCTION("""COMPUTED_VALUE"""),"B20019-ฝาปิดเฟรมข้าง-ลายไม้สักทอง")</f>
        <v>B20019-ฝาปิดเฟรมข้าง-ลายไม้สักทอง</v>
      </c>
    </row>
    <row r="878">
      <c r="A878" s="128" t="str">
        <f>IFERROR(__xludf.DUMMYFUNCTION("""COMPUTED_VALUE"""),"อลูมิเนียม")</f>
        <v>อลูมิเนียม</v>
      </c>
      <c r="B878" s="128" t="str">
        <f>IFERROR(__xludf.DUMMYFUNCTION("""COMPUTED_VALUE"""),"B20019-ฝาปิดเฟรมข้าง-อื่น ๆ")</f>
        <v>B20019-ฝาปิดเฟรมข้าง-อื่น ๆ</v>
      </c>
    </row>
    <row r="879">
      <c r="A879" s="128" t="str">
        <f>IFERROR(__xludf.DUMMYFUNCTION("""COMPUTED_VALUE"""),"อลูมิเนียม")</f>
        <v>อลูมิเนียม</v>
      </c>
      <c r="B879" s="128" t="str">
        <f>IFERROR(__xludf.DUMMYFUNCTION("""COMPUTED_VALUE"""),"B20024-คิ้วกันตก-อบขาว")</f>
        <v>B20024-คิ้วกันตก-อบขาว</v>
      </c>
    </row>
    <row r="880">
      <c r="A880" s="128" t="str">
        <f>IFERROR(__xludf.DUMMYFUNCTION("""COMPUTED_VALUE"""),"อลูมิเนียม")</f>
        <v>อลูมิเนียม</v>
      </c>
      <c r="B880" s="128" t="str">
        <f>IFERROR(__xludf.DUMMYFUNCTION("""COMPUTED_VALUE"""),"B20024-คิ้วกันตก-ดำ")</f>
        <v>B20024-คิ้วกันตก-ดำ</v>
      </c>
    </row>
    <row r="881">
      <c r="A881" s="128" t="str">
        <f>IFERROR(__xludf.DUMMYFUNCTION("""COMPUTED_VALUE"""),"อลูมิเนียม")</f>
        <v>อลูมิเนียม</v>
      </c>
      <c r="B881" s="128" t="str">
        <f>IFERROR(__xludf.DUMMYFUNCTION("""COMPUTED_VALUE"""),"B20024-คิ้วกันตก-เทาซาฮาร่า")</f>
        <v>B20024-คิ้วกันตก-เทาซาฮาร่า</v>
      </c>
    </row>
    <row r="882">
      <c r="A882" s="128" t="str">
        <f>IFERROR(__xludf.DUMMYFUNCTION("""COMPUTED_VALUE"""),"อลูมิเนียม")</f>
        <v>อลูมิเนียม</v>
      </c>
      <c r="B882" s="128" t="str">
        <f>IFERROR(__xludf.DUMMYFUNCTION("""COMPUTED_VALUE"""),"B20024-คิ้วกันตก-ลายไม้สักทอง")</f>
        <v>B20024-คิ้วกันตก-ลายไม้สักทอง</v>
      </c>
    </row>
    <row r="883">
      <c r="A883" s="128" t="str">
        <f>IFERROR(__xludf.DUMMYFUNCTION("""COMPUTED_VALUE"""),"อลูมิเนียม")</f>
        <v>อลูมิเนียม</v>
      </c>
      <c r="B883" s="128" t="str">
        <f>IFERROR(__xludf.DUMMYFUNCTION("""COMPUTED_VALUE"""),"B20024-คิ้วกันตก-อื่น ๆ")</f>
        <v>B20024-คิ้วกันตก-อื่น ๆ</v>
      </c>
    </row>
    <row r="884">
      <c r="A884" s="128" t="str">
        <f>IFERROR(__xludf.DUMMYFUNCTION("""COMPUTED_VALUE"""),"อลูมิเนียม")</f>
        <v>อลูมิเนียม</v>
      </c>
      <c r="B884" s="128" t="str">
        <f>IFERROR(__xludf.DUMMYFUNCTION("""COMPUTED_VALUE"""),"B20041-เฟรมบานเลื่อน (3รางเสียบ)-อบขาว")</f>
        <v>B20041-เฟรมบานเลื่อน (3รางเสียบ)-อบขาว</v>
      </c>
    </row>
    <row r="885">
      <c r="A885" s="128" t="str">
        <f>IFERROR(__xludf.DUMMYFUNCTION("""COMPUTED_VALUE"""),"อลูมิเนียม")</f>
        <v>อลูมิเนียม</v>
      </c>
      <c r="B885" s="128" t="str">
        <f>IFERROR(__xludf.DUMMYFUNCTION("""COMPUTED_VALUE"""),"B20041-เฟรมบานเลื่อน (3รางเสียบ)-ดำ")</f>
        <v>B20041-เฟรมบานเลื่อน (3รางเสียบ)-ดำ</v>
      </c>
    </row>
    <row r="886">
      <c r="A886" s="128" t="str">
        <f>IFERROR(__xludf.DUMMYFUNCTION("""COMPUTED_VALUE"""),"อลูมิเนียม")</f>
        <v>อลูมิเนียม</v>
      </c>
      <c r="B886" s="128" t="str">
        <f>IFERROR(__xludf.DUMMYFUNCTION("""COMPUTED_VALUE"""),"B20041-เฟรมบานเลื่อน (3รางเสียบ)-เทาซาฮาร่า")</f>
        <v>B20041-เฟรมบานเลื่อน (3รางเสียบ)-เทาซาฮาร่า</v>
      </c>
    </row>
    <row r="887">
      <c r="A887" s="128" t="str">
        <f>IFERROR(__xludf.DUMMYFUNCTION("""COMPUTED_VALUE"""),"อลูมิเนียม")</f>
        <v>อลูมิเนียม</v>
      </c>
      <c r="B887" s="128" t="str">
        <f>IFERROR(__xludf.DUMMYFUNCTION("""COMPUTED_VALUE"""),"B20041-เฟรมบานเลื่อน (3รางเสียบ)-ลายไม้สักทอง")</f>
        <v>B20041-เฟรมบานเลื่อน (3รางเสียบ)-ลายไม้สักทอง</v>
      </c>
    </row>
    <row r="888">
      <c r="A888" s="128" t="str">
        <f>IFERROR(__xludf.DUMMYFUNCTION("""COMPUTED_VALUE"""),"อลูมิเนียม")</f>
        <v>อลูมิเนียม</v>
      </c>
      <c r="B888" s="128" t="str">
        <f>IFERROR(__xludf.DUMMYFUNCTION("""COMPUTED_VALUE"""),"B20041-เฟรมบานเลื่อน (3รางเสียบ)-อื่น ๆ")</f>
        <v>B20041-เฟรมบานเลื่อน (3รางเสียบ)-อื่น ๆ</v>
      </c>
    </row>
    <row r="889">
      <c r="A889" s="128" t="str">
        <f>IFERROR(__xludf.DUMMYFUNCTION("""COMPUTED_VALUE"""),"อลูมิเนียม")</f>
        <v>อลูมิเนียม</v>
      </c>
      <c r="B889" s="128" t="str">
        <f>IFERROR(__xludf.DUMMYFUNCTION("""COMPUTED_VALUE"""),"B20046-ตัวต่อมัลติพ้อยท์ล็อค (ชนกลางบานเลื่อน)-อบขาว")</f>
        <v>B20046-ตัวต่อมัลติพ้อยท์ล็อค (ชนกลางบานเลื่อน)-อบขาว</v>
      </c>
    </row>
    <row r="890">
      <c r="A890" s="128" t="str">
        <f>IFERROR(__xludf.DUMMYFUNCTION("""COMPUTED_VALUE"""),"อลูมิเนียม")</f>
        <v>อลูมิเนียม</v>
      </c>
      <c r="B890" s="128" t="str">
        <f>IFERROR(__xludf.DUMMYFUNCTION("""COMPUTED_VALUE"""),"B20046-ตัวต่อมัลติพ้อยท์ล็อค (ชนกลางบานเลื่อน)-ดำ")</f>
        <v>B20046-ตัวต่อมัลติพ้อยท์ล็อค (ชนกลางบานเลื่อน)-ดำ</v>
      </c>
    </row>
    <row r="891">
      <c r="A891" s="128" t="str">
        <f>IFERROR(__xludf.DUMMYFUNCTION("""COMPUTED_VALUE"""),"อลูมิเนียม")</f>
        <v>อลูมิเนียม</v>
      </c>
      <c r="B891" s="128" t="str">
        <f>IFERROR(__xludf.DUMMYFUNCTION("""COMPUTED_VALUE"""),"B20046-ตัวต่อมัลติพ้อยท์ล็อค (ชนกลางบานเลื่อน)-เทาซาฮาร่า")</f>
        <v>B20046-ตัวต่อมัลติพ้อยท์ล็อค (ชนกลางบานเลื่อน)-เทาซาฮาร่า</v>
      </c>
    </row>
    <row r="892">
      <c r="A892" s="128" t="str">
        <f>IFERROR(__xludf.DUMMYFUNCTION("""COMPUTED_VALUE"""),"อลูมิเนียม")</f>
        <v>อลูมิเนียม</v>
      </c>
      <c r="B892" s="128" t="str">
        <f>IFERROR(__xludf.DUMMYFUNCTION("""COMPUTED_VALUE"""),"B20046-ตัวต่อมัลติพ้อยท์ล็อค (ชนกลางบานเลื่อน)-ลายไม้สักทอง")</f>
        <v>B20046-ตัวต่อมัลติพ้อยท์ล็อค (ชนกลางบานเลื่อน)-ลายไม้สักทอง</v>
      </c>
    </row>
    <row r="893">
      <c r="A893" s="128" t="str">
        <f>IFERROR(__xludf.DUMMYFUNCTION("""COMPUTED_VALUE"""),"อลูมิเนียม")</f>
        <v>อลูมิเนียม</v>
      </c>
      <c r="B893" s="128" t="str">
        <f>IFERROR(__xludf.DUMMYFUNCTION("""COMPUTED_VALUE"""),"B20046-ตัวต่อมัลติพ้อยท์ล็อค (ชนกลางบานเลื่อน)-อื่น ๆ")</f>
        <v>B20046-ตัวต่อมัลติพ้อยท์ล็อค (ชนกลางบานเลื่อน)-อื่น ๆ</v>
      </c>
    </row>
    <row r="894">
      <c r="A894" s="128" t="str">
        <f>IFERROR(__xludf.DUMMYFUNCTION("""COMPUTED_VALUE"""),"อลูมิเนียม")</f>
        <v>อลูมิเนียม</v>
      </c>
      <c r="B894" s="128" t="str">
        <f>IFERROR(__xludf.DUMMYFUNCTION("""COMPUTED_VALUE"""),"B20047-เฟรมล่างบานเลื่อนภายใน 3 รางเสียบภายใน-อบขาว")</f>
        <v>B20047-เฟรมล่างบานเลื่อนภายใน 3 รางเสียบภายใน-อบขาว</v>
      </c>
    </row>
    <row r="895">
      <c r="A895" s="128" t="str">
        <f>IFERROR(__xludf.DUMMYFUNCTION("""COMPUTED_VALUE"""),"อลูมิเนียม")</f>
        <v>อลูมิเนียม</v>
      </c>
      <c r="B895" s="128" t="str">
        <f>IFERROR(__xludf.DUMMYFUNCTION("""COMPUTED_VALUE"""),"B20047-เฟรมล่างบานเลื่อนภายใน 3 รางเสียบภายใน-ดำ")</f>
        <v>B20047-เฟรมล่างบานเลื่อนภายใน 3 รางเสียบภายใน-ดำ</v>
      </c>
    </row>
    <row r="896">
      <c r="A896" s="128" t="str">
        <f>IFERROR(__xludf.DUMMYFUNCTION("""COMPUTED_VALUE"""),"อลูมิเนียม")</f>
        <v>อลูมิเนียม</v>
      </c>
      <c r="B896" s="128" t="str">
        <f>IFERROR(__xludf.DUMMYFUNCTION("""COMPUTED_VALUE"""),"B20047-เฟรมล่างบานเลื่อนภายใน 3 รางเสียบภายใน-เทาซาฮาร่า")</f>
        <v>B20047-เฟรมล่างบานเลื่อนภายใน 3 รางเสียบภายใน-เทาซาฮาร่า</v>
      </c>
    </row>
    <row r="897">
      <c r="A897" s="128" t="str">
        <f>IFERROR(__xludf.DUMMYFUNCTION("""COMPUTED_VALUE"""),"อลูมิเนียม")</f>
        <v>อลูมิเนียม</v>
      </c>
      <c r="B897" s="128" t="str">
        <f>IFERROR(__xludf.DUMMYFUNCTION("""COMPUTED_VALUE"""),"B20047-เฟรมล่างบานเลื่อนภายใน 3 รางเสียบภายใน-ลายไม้สักทอง")</f>
        <v>B20047-เฟรมล่างบานเลื่อนภายใน 3 รางเสียบภายใน-ลายไม้สักทอง</v>
      </c>
    </row>
    <row r="898">
      <c r="A898" s="128" t="str">
        <f>IFERROR(__xludf.DUMMYFUNCTION("""COMPUTED_VALUE"""),"อลูมิเนียม")</f>
        <v>อลูมิเนียม</v>
      </c>
      <c r="B898" s="128" t="str">
        <f>IFERROR(__xludf.DUMMYFUNCTION("""COMPUTED_VALUE"""),"B20047-เฟรมล่างบานเลื่อนภายใน 3 รางเสียบภายใน-อื่น ๆ")</f>
        <v>B20047-เฟรมล่างบานเลื่อนภายใน 3 รางเสียบภายใน-อื่น ๆ</v>
      </c>
    </row>
    <row r="899">
      <c r="A899" s="128" t="str">
        <f>IFERROR(__xludf.DUMMYFUNCTION("""COMPUTED_VALUE"""),"อลูมิเนียม")</f>
        <v>อลูมิเนียม</v>
      </c>
      <c r="B899" s="128" t="str">
        <f>IFERROR(__xludf.DUMMYFUNCTION("""COMPUTED_VALUE"""),"B20048-ตัวตบรางมุ้ง-อบขาว")</f>
        <v>B20048-ตัวตบรางมุ้ง-อบขาว</v>
      </c>
    </row>
    <row r="900">
      <c r="A900" s="128" t="str">
        <f>IFERROR(__xludf.DUMMYFUNCTION("""COMPUTED_VALUE"""),"อลูมิเนียม")</f>
        <v>อลูมิเนียม</v>
      </c>
      <c r="B900" s="128" t="str">
        <f>IFERROR(__xludf.DUMMYFUNCTION("""COMPUTED_VALUE"""),"B20048-ตัวตบรางมุ้ง-ดำ")</f>
        <v>B20048-ตัวตบรางมุ้ง-ดำ</v>
      </c>
    </row>
    <row r="901">
      <c r="A901" s="128" t="str">
        <f>IFERROR(__xludf.DUMMYFUNCTION("""COMPUTED_VALUE"""),"อลูมิเนียม")</f>
        <v>อลูมิเนียม</v>
      </c>
      <c r="B901" s="128" t="str">
        <f>IFERROR(__xludf.DUMMYFUNCTION("""COMPUTED_VALUE"""),"B20048-ตัวตบรางมุ้ง-เทาซาฮาร่า")</f>
        <v>B20048-ตัวตบรางมุ้ง-เทาซาฮาร่า</v>
      </c>
    </row>
    <row r="902">
      <c r="A902" s="128" t="str">
        <f>IFERROR(__xludf.DUMMYFUNCTION("""COMPUTED_VALUE"""),"อลูมิเนียม")</f>
        <v>อลูมิเนียม</v>
      </c>
      <c r="B902" s="128" t="str">
        <f>IFERROR(__xludf.DUMMYFUNCTION("""COMPUTED_VALUE"""),"B20048-ตัวตบรางมุ้ง-ลายไม้สักทอง")</f>
        <v>B20048-ตัวตบรางมุ้ง-ลายไม้สักทอง</v>
      </c>
    </row>
    <row r="903">
      <c r="A903" s="128" t="str">
        <f>IFERROR(__xludf.DUMMYFUNCTION("""COMPUTED_VALUE"""),"อลูมิเนียม")</f>
        <v>อลูมิเนียม</v>
      </c>
      <c r="B903" s="128" t="str">
        <f>IFERROR(__xludf.DUMMYFUNCTION("""COMPUTED_VALUE"""),"B20048-ตัวตบรางมุ้ง-อื่น ๆ")</f>
        <v>B20048-ตัวตบรางมุ้ง-อื่น ๆ</v>
      </c>
    </row>
    <row r="904">
      <c r="A904" s="128" t="str">
        <f>IFERROR(__xludf.DUMMYFUNCTION("""COMPUTED_VALUE"""),"อลูมิเนียม")</f>
        <v>อลูมิเนียม</v>
      </c>
      <c r="B904" s="128" t="str">
        <f>IFERROR(__xludf.DUMMYFUNCTION("""COMPUTED_VALUE"""),"B20050-ฝาตบปิดรางภายใน-อบขาว")</f>
        <v>B20050-ฝาตบปิดรางภายใน-อบขาว</v>
      </c>
    </row>
    <row r="905">
      <c r="A905" s="128" t="str">
        <f>IFERROR(__xludf.DUMMYFUNCTION("""COMPUTED_VALUE"""),"อลูมิเนียม")</f>
        <v>อลูมิเนียม</v>
      </c>
      <c r="B905" s="128" t="str">
        <f>IFERROR(__xludf.DUMMYFUNCTION("""COMPUTED_VALUE"""),"B20050-ฝาตบปิดรางภายใน-ดำ")</f>
        <v>B20050-ฝาตบปิดรางภายใน-ดำ</v>
      </c>
    </row>
    <row r="906">
      <c r="A906" s="128" t="str">
        <f>IFERROR(__xludf.DUMMYFUNCTION("""COMPUTED_VALUE"""),"อลูมิเนียม")</f>
        <v>อลูมิเนียม</v>
      </c>
      <c r="B906" s="128" t="str">
        <f>IFERROR(__xludf.DUMMYFUNCTION("""COMPUTED_VALUE"""),"B20050-ฝาตบปิดรางภายใน-เทาซาฮาร่า")</f>
        <v>B20050-ฝาตบปิดรางภายใน-เทาซาฮาร่า</v>
      </c>
    </row>
    <row r="907">
      <c r="A907" s="128" t="str">
        <f>IFERROR(__xludf.DUMMYFUNCTION("""COMPUTED_VALUE"""),"อลูมิเนียม")</f>
        <v>อลูมิเนียม</v>
      </c>
      <c r="B907" s="128" t="str">
        <f>IFERROR(__xludf.DUMMYFUNCTION("""COMPUTED_VALUE"""),"B20050-ฝาตบปิดรางภายใน-ลายไม้สักทอง")</f>
        <v>B20050-ฝาตบปิดรางภายใน-ลายไม้สักทอง</v>
      </c>
    </row>
    <row r="908">
      <c r="A908" s="128" t="str">
        <f>IFERROR(__xludf.DUMMYFUNCTION("""COMPUTED_VALUE"""),"อลูมิเนียม")</f>
        <v>อลูมิเนียม</v>
      </c>
      <c r="B908" s="128" t="str">
        <f>IFERROR(__xludf.DUMMYFUNCTION("""COMPUTED_VALUE"""),"B20050-ฝาตบปิดรางภายใน-อื่น ๆ")</f>
        <v>B20050-ฝาตบปิดรางภายใน-อื่น ๆ</v>
      </c>
    </row>
    <row r="909">
      <c r="A909" s="128" t="str">
        <f>IFERROR(__xludf.DUMMYFUNCTION("""COMPUTED_VALUE"""),"อลูมิเนียม")</f>
        <v>อลูมิเนียม</v>
      </c>
      <c r="B909" s="128" t="str">
        <f>IFERROR(__xludf.DUMMYFUNCTION("""COMPUTED_VALUE"""),"B20051-กรอบบานมัลติพ้อยท์ล็อค-อบขาว")</f>
        <v>B20051-กรอบบานมัลติพ้อยท์ล็อค-อบขาว</v>
      </c>
    </row>
    <row r="910">
      <c r="A910" s="128" t="str">
        <f>IFERROR(__xludf.DUMMYFUNCTION("""COMPUTED_VALUE"""),"อลูมิเนียม")</f>
        <v>อลูมิเนียม</v>
      </c>
      <c r="B910" s="128" t="str">
        <f>IFERROR(__xludf.DUMMYFUNCTION("""COMPUTED_VALUE"""),"B20051-กรอบบานมัลติพ้อยท์ล็อค-ดำ")</f>
        <v>B20051-กรอบบานมัลติพ้อยท์ล็อค-ดำ</v>
      </c>
    </row>
    <row r="911">
      <c r="A911" s="128" t="str">
        <f>IFERROR(__xludf.DUMMYFUNCTION("""COMPUTED_VALUE"""),"อลูมิเนียม")</f>
        <v>อลูมิเนียม</v>
      </c>
      <c r="B911" s="128" t="str">
        <f>IFERROR(__xludf.DUMMYFUNCTION("""COMPUTED_VALUE"""),"B20051-กรอบบานมัลติพ้อยท์ล็อค-เทาซาฮาร่า")</f>
        <v>B20051-กรอบบานมัลติพ้อยท์ล็อค-เทาซาฮาร่า</v>
      </c>
    </row>
    <row r="912">
      <c r="A912" s="128" t="str">
        <f>IFERROR(__xludf.DUMMYFUNCTION("""COMPUTED_VALUE"""),"อลูมิเนียม")</f>
        <v>อลูมิเนียม</v>
      </c>
      <c r="B912" s="128" t="str">
        <f>IFERROR(__xludf.DUMMYFUNCTION("""COMPUTED_VALUE"""),"B20051-กรอบบานมัลติพ้อยท์ล็อค-ลายไม้สักทอง")</f>
        <v>B20051-กรอบบานมัลติพ้อยท์ล็อค-ลายไม้สักทอง</v>
      </c>
    </row>
    <row r="913">
      <c r="A913" s="128" t="str">
        <f>IFERROR(__xludf.DUMMYFUNCTION("""COMPUTED_VALUE"""),"อลูมิเนียม")</f>
        <v>อลูมิเนียม</v>
      </c>
      <c r="B913" s="128" t="str">
        <f>IFERROR(__xludf.DUMMYFUNCTION("""COMPUTED_VALUE"""),"B20051-กรอบบานมัลติพ้อยท์ล็อค-อื่น ๆ")</f>
        <v>B20051-กรอบบานมัลติพ้อยท์ล็อค-อื่น ๆ</v>
      </c>
    </row>
    <row r="914">
      <c r="A914" s="128" t="str">
        <f>IFERROR(__xludf.DUMMYFUNCTION("""COMPUTED_VALUE"""),"อลูมิเนียม")</f>
        <v>อลูมิเนียม</v>
      </c>
      <c r="B914" s="128" t="str">
        <f>IFERROR(__xludf.DUMMYFUNCTION("""COMPUTED_VALUE"""),"B20053-กรอบบานมัลติพ้อยท์ล็อคร่องปกติมีมือจับ-อบขาว")</f>
        <v>B20053-กรอบบานมัลติพ้อยท์ล็อคร่องปกติมีมือจับ-อบขาว</v>
      </c>
    </row>
    <row r="915">
      <c r="A915" s="128" t="str">
        <f>IFERROR(__xludf.DUMMYFUNCTION("""COMPUTED_VALUE"""),"อลูมิเนียม")</f>
        <v>อลูมิเนียม</v>
      </c>
      <c r="B915" s="128" t="str">
        <f>IFERROR(__xludf.DUMMYFUNCTION("""COMPUTED_VALUE"""),"B20053-กรอบบานมัลติพ้อยท์ล็อคร่องปกติมีมือจับ-ดำ")</f>
        <v>B20053-กรอบบานมัลติพ้อยท์ล็อคร่องปกติมีมือจับ-ดำ</v>
      </c>
    </row>
    <row r="916">
      <c r="A916" s="128" t="str">
        <f>IFERROR(__xludf.DUMMYFUNCTION("""COMPUTED_VALUE"""),"อลูมิเนียม")</f>
        <v>อลูมิเนียม</v>
      </c>
      <c r="B916" s="128" t="str">
        <f>IFERROR(__xludf.DUMMYFUNCTION("""COMPUTED_VALUE"""),"B20053-กรอบบานมัลติพ้อยท์ล็อคร่องปกติมีมือจับ-เทาซาฮาร่า")</f>
        <v>B20053-กรอบบานมัลติพ้อยท์ล็อคร่องปกติมีมือจับ-เทาซาฮาร่า</v>
      </c>
    </row>
    <row r="917">
      <c r="A917" s="128" t="str">
        <f>IFERROR(__xludf.DUMMYFUNCTION("""COMPUTED_VALUE"""),"อลูมิเนียม")</f>
        <v>อลูมิเนียม</v>
      </c>
      <c r="B917" s="128" t="str">
        <f>IFERROR(__xludf.DUMMYFUNCTION("""COMPUTED_VALUE"""),"B20053-กรอบบานมัลติพ้อยท์ล็อคร่องปกติมีมือจับ-ลายไม้สักทอง")</f>
        <v>B20053-กรอบบานมัลติพ้อยท์ล็อคร่องปกติมีมือจับ-ลายไม้สักทอง</v>
      </c>
    </row>
    <row r="918">
      <c r="A918" s="128" t="str">
        <f>IFERROR(__xludf.DUMMYFUNCTION("""COMPUTED_VALUE"""),"อลูมิเนียม")</f>
        <v>อลูมิเนียม</v>
      </c>
      <c r="B918" s="128" t="str">
        <f>IFERROR(__xludf.DUMMYFUNCTION("""COMPUTED_VALUE"""),"B20053-กรอบบานมัลติพ้อยท์ล็อคร่องปกติมีมือจับ-อื่น ๆ")</f>
        <v>B20053-กรอบบานมัลติพ้อยท์ล็อคร่องปกติมีมือจับ-อื่น ๆ</v>
      </c>
    </row>
    <row r="919">
      <c r="A919" s="128" t="str">
        <f>IFERROR(__xludf.DUMMYFUNCTION("""COMPUTED_VALUE"""),"อลูมิเนียม")</f>
        <v>อลูมิเนียม</v>
      </c>
      <c r="B919" s="128" t="str">
        <f>IFERROR(__xludf.DUMMYFUNCTION("""COMPUTED_VALUE"""),"B20054-ขวางล่างใส่ล้อตลับขวางบน/ขวางล่าง-อบขาว")</f>
        <v>B20054-ขวางล่างใส่ล้อตลับขวางบน/ขวางล่าง-อบขาว</v>
      </c>
    </row>
    <row r="920">
      <c r="A920" s="128" t="str">
        <f>IFERROR(__xludf.DUMMYFUNCTION("""COMPUTED_VALUE"""),"อลูมิเนียม")</f>
        <v>อลูมิเนียม</v>
      </c>
      <c r="B920" s="128" t="str">
        <f>IFERROR(__xludf.DUMMYFUNCTION("""COMPUTED_VALUE"""),"B20054-ขวางล่างใส่ล้อตลับขวางบน/ขวางล่าง-ดำ")</f>
        <v>B20054-ขวางล่างใส่ล้อตลับขวางบน/ขวางล่าง-ดำ</v>
      </c>
    </row>
    <row r="921">
      <c r="A921" s="128" t="str">
        <f>IFERROR(__xludf.DUMMYFUNCTION("""COMPUTED_VALUE"""),"อลูมิเนียม")</f>
        <v>อลูมิเนียม</v>
      </c>
      <c r="B921" s="128" t="str">
        <f>IFERROR(__xludf.DUMMYFUNCTION("""COMPUTED_VALUE"""),"B20054-ขวางล่างใส่ล้อตลับขวางบน/ขวางล่าง-เทาซาฮาร่า")</f>
        <v>B20054-ขวางล่างใส่ล้อตลับขวางบน/ขวางล่าง-เทาซาฮาร่า</v>
      </c>
    </row>
    <row r="922">
      <c r="A922" s="128" t="str">
        <f>IFERROR(__xludf.DUMMYFUNCTION("""COMPUTED_VALUE"""),"อลูมิเนียม")</f>
        <v>อลูมิเนียม</v>
      </c>
      <c r="B922" s="128" t="str">
        <f>IFERROR(__xludf.DUMMYFUNCTION("""COMPUTED_VALUE"""),"B20054-ขวางล่างใส่ล้อตลับขวางบน/ขวางล่าง-ลายไม้สักทอง")</f>
        <v>B20054-ขวางล่างใส่ล้อตลับขวางบน/ขวางล่าง-ลายไม้สักทอง</v>
      </c>
    </row>
    <row r="923">
      <c r="A923" s="128" t="str">
        <f>IFERROR(__xludf.DUMMYFUNCTION("""COMPUTED_VALUE"""),"อลูมิเนียม")</f>
        <v>อลูมิเนียม</v>
      </c>
      <c r="B923" s="128" t="str">
        <f>IFERROR(__xludf.DUMMYFUNCTION("""COMPUTED_VALUE"""),"B20054-ขวางล่างใส่ล้อตลับขวางบน/ขวางล่าง-อื่น ๆ")</f>
        <v>B20054-ขวางล่างใส่ล้อตลับขวางบน/ขวางล่าง-อื่น ๆ</v>
      </c>
    </row>
    <row r="924">
      <c r="A924" s="128" t="str">
        <f>IFERROR(__xludf.DUMMYFUNCTION("""COMPUTED_VALUE"""),"อลูมิเนียม")</f>
        <v>อลูมิเนียม</v>
      </c>
      <c r="B924" s="128" t="str">
        <f>IFERROR(__xludf.DUMMYFUNCTION("""COMPUTED_VALUE"""),"B22001-เฟรมบนบานเลื่อน 45 มม.-อบขาว")</f>
        <v>B22001-เฟรมบนบานเลื่อน 45 มม.-อบขาว</v>
      </c>
    </row>
    <row r="925">
      <c r="A925" s="128" t="str">
        <f>IFERROR(__xludf.DUMMYFUNCTION("""COMPUTED_VALUE"""),"อลูมิเนียม")</f>
        <v>อลูมิเนียม</v>
      </c>
      <c r="B925" s="128" t="str">
        <f>IFERROR(__xludf.DUMMYFUNCTION("""COMPUTED_VALUE"""),"B22001-เฟรมบนบานเลื่อน 45 มม.-ดำ")</f>
        <v>B22001-เฟรมบนบานเลื่อน 45 มม.-ดำ</v>
      </c>
    </row>
    <row r="926">
      <c r="A926" s="128" t="str">
        <f>IFERROR(__xludf.DUMMYFUNCTION("""COMPUTED_VALUE"""),"อลูมิเนียม")</f>
        <v>อลูมิเนียม</v>
      </c>
      <c r="B926" s="128" t="str">
        <f>IFERROR(__xludf.DUMMYFUNCTION("""COMPUTED_VALUE"""),"B22001-เฟรมบนบานเลื่อน 45 มม.-เทาซาฮาร่า")</f>
        <v>B22001-เฟรมบนบานเลื่อน 45 มม.-เทาซาฮาร่า</v>
      </c>
    </row>
    <row r="927">
      <c r="A927" s="128" t="str">
        <f>IFERROR(__xludf.DUMMYFUNCTION("""COMPUTED_VALUE"""),"อลูมิเนียม")</f>
        <v>อลูมิเนียม</v>
      </c>
      <c r="B927" s="128" t="str">
        <f>IFERROR(__xludf.DUMMYFUNCTION("""COMPUTED_VALUE"""),"B22001-เฟรมบนบานเลื่อน 45 มม.-ลายไม้สักทอง")</f>
        <v>B22001-เฟรมบนบานเลื่อน 45 มม.-ลายไม้สักทอง</v>
      </c>
    </row>
    <row r="928">
      <c r="A928" s="128" t="str">
        <f>IFERROR(__xludf.DUMMYFUNCTION("""COMPUTED_VALUE"""),"อลูมิเนียม")</f>
        <v>อลูมิเนียม</v>
      </c>
      <c r="B928" s="128" t="str">
        <f>IFERROR(__xludf.DUMMYFUNCTION("""COMPUTED_VALUE"""),"B22001-เฟรมบนบานเลื่อน 45 มม.-อื่น ๆ")</f>
        <v>B22001-เฟรมบนบานเลื่อน 45 มม.-อื่น ๆ</v>
      </c>
    </row>
    <row r="929">
      <c r="A929" s="128" t="str">
        <f>IFERROR(__xludf.DUMMYFUNCTION("""COMPUTED_VALUE"""),"อลูมิเนียม")</f>
        <v>อลูมิเนียม</v>
      </c>
      <c r="B929" s="128" t="str">
        <f>IFERROR(__xludf.DUMMYFUNCTION("""COMPUTED_VALUE"""),"B22002-เฟรมข้างบานเลื่อน 45 มม.-อบขาว")</f>
        <v>B22002-เฟรมข้างบานเลื่อน 45 มม.-อบขาว</v>
      </c>
    </row>
    <row r="930">
      <c r="A930" s="128" t="str">
        <f>IFERROR(__xludf.DUMMYFUNCTION("""COMPUTED_VALUE"""),"อลูมิเนียม")</f>
        <v>อลูมิเนียม</v>
      </c>
      <c r="B930" s="128" t="str">
        <f>IFERROR(__xludf.DUMMYFUNCTION("""COMPUTED_VALUE"""),"B22002-เฟรมข้างบานเลื่อน 45 มม.-ดำ")</f>
        <v>B22002-เฟรมข้างบานเลื่อน 45 มม.-ดำ</v>
      </c>
    </row>
    <row r="931">
      <c r="A931" s="128" t="str">
        <f>IFERROR(__xludf.DUMMYFUNCTION("""COMPUTED_VALUE"""),"อลูมิเนียม")</f>
        <v>อลูมิเนียม</v>
      </c>
      <c r="B931" s="128" t="str">
        <f>IFERROR(__xludf.DUMMYFUNCTION("""COMPUTED_VALUE"""),"B22002-เฟรมข้างบานเลื่อน 45 มม.-เทาซาฮาร่า")</f>
        <v>B22002-เฟรมข้างบานเลื่อน 45 มม.-เทาซาฮาร่า</v>
      </c>
    </row>
    <row r="932">
      <c r="A932" s="128" t="str">
        <f>IFERROR(__xludf.DUMMYFUNCTION("""COMPUTED_VALUE"""),"อลูมิเนียม")</f>
        <v>อลูมิเนียม</v>
      </c>
      <c r="B932" s="128" t="str">
        <f>IFERROR(__xludf.DUMMYFUNCTION("""COMPUTED_VALUE"""),"B22002-เฟรมข้างบานเลื่อน 45 มม.-ลายไม้สักทอง")</f>
        <v>B22002-เฟรมข้างบานเลื่อน 45 มม.-ลายไม้สักทอง</v>
      </c>
    </row>
    <row r="933">
      <c r="A933" s="128" t="str">
        <f>IFERROR(__xludf.DUMMYFUNCTION("""COMPUTED_VALUE"""),"อลูมิเนียม")</f>
        <v>อลูมิเนียม</v>
      </c>
      <c r="B933" s="128" t="str">
        <f>IFERROR(__xludf.DUMMYFUNCTION("""COMPUTED_VALUE"""),"B22002-เฟรมข้างบานเลื่อน 45 มม.-อื่น ๆ")</f>
        <v>B22002-เฟรมข้างบานเลื่อน 45 มม.-อื่น ๆ</v>
      </c>
    </row>
    <row r="934">
      <c r="A934" s="128" t="str">
        <f>IFERROR(__xludf.DUMMYFUNCTION("""COMPUTED_VALUE"""),"อลูมิเนียม")</f>
        <v>อลูมิเนียม</v>
      </c>
      <c r="B934" s="128" t="str">
        <f>IFERROR(__xludf.DUMMYFUNCTION("""COMPUTED_VALUE"""),"B22004-คิ้วรางข้างตบร่อง-อบขาว")</f>
        <v>B22004-คิ้วรางข้างตบร่อง-อบขาว</v>
      </c>
    </row>
    <row r="935">
      <c r="A935" s="128" t="str">
        <f>IFERROR(__xludf.DUMMYFUNCTION("""COMPUTED_VALUE"""),"อลูมิเนียม")</f>
        <v>อลูมิเนียม</v>
      </c>
      <c r="B935" s="128" t="str">
        <f>IFERROR(__xludf.DUMMYFUNCTION("""COMPUTED_VALUE"""),"B22004-คิ้วรางข้างตบร่อง-ดำ")</f>
        <v>B22004-คิ้วรางข้างตบร่อง-ดำ</v>
      </c>
    </row>
    <row r="936">
      <c r="A936" s="128" t="str">
        <f>IFERROR(__xludf.DUMMYFUNCTION("""COMPUTED_VALUE"""),"อลูมิเนียม")</f>
        <v>อลูมิเนียม</v>
      </c>
      <c r="B936" s="128" t="str">
        <f>IFERROR(__xludf.DUMMYFUNCTION("""COMPUTED_VALUE"""),"B22004-คิ้วรางข้างตบร่อง-เทาซาฮาร่า")</f>
        <v>B22004-คิ้วรางข้างตบร่อง-เทาซาฮาร่า</v>
      </c>
    </row>
    <row r="937">
      <c r="A937" s="128" t="str">
        <f>IFERROR(__xludf.DUMMYFUNCTION("""COMPUTED_VALUE"""),"อลูมิเนียม")</f>
        <v>อลูมิเนียม</v>
      </c>
      <c r="B937" s="128" t="str">
        <f>IFERROR(__xludf.DUMMYFUNCTION("""COMPUTED_VALUE"""),"B22004-คิ้วรางข้างตบร่อง-ลายไม้สักทอง")</f>
        <v>B22004-คิ้วรางข้างตบร่อง-ลายไม้สักทอง</v>
      </c>
    </row>
    <row r="938">
      <c r="A938" s="128" t="str">
        <f>IFERROR(__xludf.DUMMYFUNCTION("""COMPUTED_VALUE"""),"อลูมิเนียม")</f>
        <v>อลูมิเนียม</v>
      </c>
      <c r="B938" s="128" t="str">
        <f>IFERROR(__xludf.DUMMYFUNCTION("""COMPUTED_VALUE"""),"B22004-คิ้วรางข้างตบร่อง-อื่น ๆ")</f>
        <v>B22004-คิ้วรางข้างตบร่อง-อื่น ๆ</v>
      </c>
    </row>
    <row r="939">
      <c r="A939" s="128" t="str">
        <f>IFERROR(__xludf.DUMMYFUNCTION("""COMPUTED_VALUE"""),"อลูมิเนียม")</f>
        <v>อลูมิเนียม</v>
      </c>
      <c r="B939" s="128" t="str">
        <f>IFERROR(__xludf.DUMMYFUNCTION("""COMPUTED_VALUE"""),"B24001-เฟรมบนบานเฟี้ยม-อบขาว")</f>
        <v>B24001-เฟรมบนบานเฟี้ยม-อบขาว</v>
      </c>
    </row>
    <row r="940">
      <c r="A940" s="128" t="str">
        <f>IFERROR(__xludf.DUMMYFUNCTION("""COMPUTED_VALUE"""),"อลูมิเนียม")</f>
        <v>อลูมิเนียม</v>
      </c>
      <c r="B940" s="128" t="str">
        <f>IFERROR(__xludf.DUMMYFUNCTION("""COMPUTED_VALUE"""),"B24001-เฟรมบนบานเฟี้ยม-ดำ")</f>
        <v>B24001-เฟรมบนบานเฟี้ยม-ดำ</v>
      </c>
    </row>
    <row r="941">
      <c r="A941" s="128" t="str">
        <f>IFERROR(__xludf.DUMMYFUNCTION("""COMPUTED_VALUE"""),"อลูมิเนียม")</f>
        <v>อลูมิเนียม</v>
      </c>
      <c r="B941" s="128" t="str">
        <f>IFERROR(__xludf.DUMMYFUNCTION("""COMPUTED_VALUE"""),"B24001-เฟรมบนบานเฟี้ยม-เทาซาฮาร่า")</f>
        <v>B24001-เฟรมบนบานเฟี้ยม-เทาซาฮาร่า</v>
      </c>
    </row>
    <row r="942">
      <c r="A942" s="128" t="str">
        <f>IFERROR(__xludf.DUMMYFUNCTION("""COMPUTED_VALUE"""),"อลูมิเนียม")</f>
        <v>อลูมิเนียม</v>
      </c>
      <c r="B942" s="128" t="str">
        <f>IFERROR(__xludf.DUMMYFUNCTION("""COMPUTED_VALUE"""),"B24001-เฟรมบนบานเฟี้ยม-ลายไม้สักทอง")</f>
        <v>B24001-เฟรมบนบานเฟี้ยม-ลายไม้สักทอง</v>
      </c>
    </row>
    <row r="943">
      <c r="A943" s="128" t="str">
        <f>IFERROR(__xludf.DUMMYFUNCTION("""COMPUTED_VALUE"""),"อลูมิเนียม")</f>
        <v>อลูมิเนียม</v>
      </c>
      <c r="B943" s="128" t="str">
        <f>IFERROR(__xludf.DUMMYFUNCTION("""COMPUTED_VALUE"""),"B24001-เฟรมบนบานเฟี้ยม-อื่น ๆ")</f>
        <v>B24001-เฟรมบนบานเฟี้ยม-อื่น ๆ</v>
      </c>
    </row>
    <row r="944">
      <c r="A944" s="128" t="str">
        <f>IFERROR(__xludf.DUMMYFUNCTION("""COMPUTED_VALUE"""),"อลูมิเนียม")</f>
        <v>อลูมิเนียม</v>
      </c>
      <c r="B944" s="128" t="str">
        <f>IFERROR(__xludf.DUMMYFUNCTION("""COMPUTED_VALUE"""),"B24002-คิ้วเฟรมบน-อบขาว")</f>
        <v>B24002-คิ้วเฟรมบน-อบขาว</v>
      </c>
    </row>
    <row r="945">
      <c r="A945" s="128" t="str">
        <f>IFERROR(__xludf.DUMMYFUNCTION("""COMPUTED_VALUE"""),"อลูมิเนียม")</f>
        <v>อลูมิเนียม</v>
      </c>
      <c r="B945" s="128" t="str">
        <f>IFERROR(__xludf.DUMMYFUNCTION("""COMPUTED_VALUE"""),"B24002-คิ้วเฟรมบน-ดำ")</f>
        <v>B24002-คิ้วเฟรมบน-ดำ</v>
      </c>
    </row>
    <row r="946">
      <c r="A946" s="128" t="str">
        <f>IFERROR(__xludf.DUMMYFUNCTION("""COMPUTED_VALUE"""),"อลูมิเนียม")</f>
        <v>อลูมิเนียม</v>
      </c>
      <c r="B946" s="128" t="str">
        <f>IFERROR(__xludf.DUMMYFUNCTION("""COMPUTED_VALUE"""),"B24002-คิ้วเฟรมบน-เทาซาฮาร่า")</f>
        <v>B24002-คิ้วเฟรมบน-เทาซาฮาร่า</v>
      </c>
    </row>
    <row r="947">
      <c r="A947" s="128" t="str">
        <f>IFERROR(__xludf.DUMMYFUNCTION("""COMPUTED_VALUE"""),"อลูมิเนียม")</f>
        <v>อลูมิเนียม</v>
      </c>
      <c r="B947" s="128" t="str">
        <f>IFERROR(__xludf.DUMMYFUNCTION("""COMPUTED_VALUE"""),"B24002-คิ้วเฟรมบน-ลายไม้สักทอง")</f>
        <v>B24002-คิ้วเฟรมบน-ลายไม้สักทอง</v>
      </c>
    </row>
    <row r="948">
      <c r="A948" s="128" t="str">
        <f>IFERROR(__xludf.DUMMYFUNCTION("""COMPUTED_VALUE"""),"อลูมิเนียม")</f>
        <v>อลูมิเนียม</v>
      </c>
      <c r="B948" s="128" t="str">
        <f>IFERROR(__xludf.DUMMYFUNCTION("""COMPUTED_VALUE"""),"B24002-คิ้วเฟรมบน-อื่น ๆ")</f>
        <v>B24002-คิ้วเฟรมบน-อื่น ๆ</v>
      </c>
    </row>
    <row r="949">
      <c r="A949" s="128" t="str">
        <f>IFERROR(__xludf.DUMMYFUNCTION("""COMPUTED_VALUE"""),"อลูมิเนียม")</f>
        <v>อลูมิเนียม</v>
      </c>
      <c r="B949" s="128" t="str">
        <f>IFERROR(__xludf.DUMMYFUNCTION("""COMPUTED_VALUE"""),"B24003-เฟรมล่างบานเฟี้ยม-อบขาว")</f>
        <v>B24003-เฟรมล่างบานเฟี้ยม-อบขาว</v>
      </c>
    </row>
    <row r="950">
      <c r="A950" s="128" t="str">
        <f>IFERROR(__xludf.DUMMYFUNCTION("""COMPUTED_VALUE"""),"อลูมิเนียม")</f>
        <v>อลูมิเนียม</v>
      </c>
      <c r="B950" s="128" t="str">
        <f>IFERROR(__xludf.DUMMYFUNCTION("""COMPUTED_VALUE"""),"B24003-เฟรมล่างบานเฟี้ยม-ดำ")</f>
        <v>B24003-เฟรมล่างบานเฟี้ยม-ดำ</v>
      </c>
    </row>
    <row r="951">
      <c r="A951" s="128" t="str">
        <f>IFERROR(__xludf.DUMMYFUNCTION("""COMPUTED_VALUE"""),"อลูมิเนียม")</f>
        <v>อลูมิเนียม</v>
      </c>
      <c r="B951" s="128" t="str">
        <f>IFERROR(__xludf.DUMMYFUNCTION("""COMPUTED_VALUE"""),"B24003-เฟรมล่างบานเฟี้ยม-เทาซาฮาร่า")</f>
        <v>B24003-เฟรมล่างบานเฟี้ยม-เทาซาฮาร่า</v>
      </c>
    </row>
    <row r="952">
      <c r="A952" s="128" t="str">
        <f>IFERROR(__xludf.DUMMYFUNCTION("""COMPUTED_VALUE"""),"อลูมิเนียม")</f>
        <v>อลูมิเนียม</v>
      </c>
      <c r="B952" s="128" t="str">
        <f>IFERROR(__xludf.DUMMYFUNCTION("""COMPUTED_VALUE"""),"B24003-เฟรมล่างบานเฟี้ยม-ลายไม้สักทอง")</f>
        <v>B24003-เฟรมล่างบานเฟี้ยม-ลายไม้สักทอง</v>
      </c>
    </row>
    <row r="953">
      <c r="A953" s="128" t="str">
        <f>IFERROR(__xludf.DUMMYFUNCTION("""COMPUTED_VALUE"""),"อลูมิเนียม")</f>
        <v>อลูมิเนียม</v>
      </c>
      <c r="B953" s="128" t="str">
        <f>IFERROR(__xludf.DUMMYFUNCTION("""COMPUTED_VALUE"""),"B24003-เฟรมล่างบานเฟี้ยม-อื่น ๆ")</f>
        <v>B24003-เฟรมล่างบานเฟี้ยม-อื่น ๆ</v>
      </c>
    </row>
    <row r="954">
      <c r="A954" s="128" t="str">
        <f>IFERROR(__xludf.DUMMYFUNCTION("""COMPUTED_VALUE"""),"อลูมิเนียม")</f>
        <v>อลูมิเนียม</v>
      </c>
      <c r="B954" s="128" t="str">
        <f>IFERROR(__xludf.DUMMYFUNCTION("""COMPUTED_VALUE"""),"B24004-ตบธรณี-อบขาว")</f>
        <v>B24004-ตบธรณี-อบขาว</v>
      </c>
    </row>
    <row r="955">
      <c r="A955" s="128" t="str">
        <f>IFERROR(__xludf.DUMMYFUNCTION("""COMPUTED_VALUE"""),"อลูมิเนียม")</f>
        <v>อลูมิเนียม</v>
      </c>
      <c r="B955" s="128" t="str">
        <f>IFERROR(__xludf.DUMMYFUNCTION("""COMPUTED_VALUE"""),"B24004-ตบธรณี-ดำ")</f>
        <v>B24004-ตบธรณี-ดำ</v>
      </c>
    </row>
    <row r="956">
      <c r="A956" s="128" t="str">
        <f>IFERROR(__xludf.DUMMYFUNCTION("""COMPUTED_VALUE"""),"อลูมิเนียม")</f>
        <v>อลูมิเนียม</v>
      </c>
      <c r="B956" s="128" t="str">
        <f>IFERROR(__xludf.DUMMYFUNCTION("""COMPUTED_VALUE"""),"B24004-ตบธรณี-เทาซาฮาร่า")</f>
        <v>B24004-ตบธรณี-เทาซาฮาร่า</v>
      </c>
    </row>
    <row r="957">
      <c r="A957" s="128" t="str">
        <f>IFERROR(__xludf.DUMMYFUNCTION("""COMPUTED_VALUE"""),"อลูมิเนียม")</f>
        <v>อลูมิเนียม</v>
      </c>
      <c r="B957" s="128" t="str">
        <f>IFERROR(__xludf.DUMMYFUNCTION("""COMPUTED_VALUE"""),"B24004-ตบธรณี-ลายไม้สักทอง")</f>
        <v>B24004-ตบธรณี-ลายไม้สักทอง</v>
      </c>
    </row>
    <row r="958">
      <c r="A958" s="128" t="str">
        <f>IFERROR(__xludf.DUMMYFUNCTION("""COMPUTED_VALUE"""),"อลูมิเนียม")</f>
        <v>อลูมิเนียม</v>
      </c>
      <c r="B958" s="128" t="str">
        <f>IFERROR(__xludf.DUMMYFUNCTION("""COMPUTED_VALUE"""),"B24004-ตบธรณี-อื่น ๆ")</f>
        <v>B24004-ตบธรณี-อื่น ๆ</v>
      </c>
    </row>
    <row r="959">
      <c r="A959" s="128" t="str">
        <f>IFERROR(__xludf.DUMMYFUNCTION("""COMPUTED_VALUE"""),"อลูมิเนียม")</f>
        <v>อลูมิเนียม</v>
      </c>
      <c r="B959" s="128" t="str">
        <f>IFERROR(__xludf.DUMMYFUNCTION("""COMPUTED_VALUE"""),"B24005-เฟรมข้างบานเฟี้ยม-อบขาว")</f>
        <v>B24005-เฟรมข้างบานเฟี้ยม-อบขาว</v>
      </c>
    </row>
    <row r="960">
      <c r="A960" s="128" t="str">
        <f>IFERROR(__xludf.DUMMYFUNCTION("""COMPUTED_VALUE"""),"อลูมิเนียม")</f>
        <v>อลูมิเนียม</v>
      </c>
      <c r="B960" s="128" t="str">
        <f>IFERROR(__xludf.DUMMYFUNCTION("""COMPUTED_VALUE"""),"B24005-เฟรมข้างบานเฟี้ยม-ดำ")</f>
        <v>B24005-เฟรมข้างบานเฟี้ยม-ดำ</v>
      </c>
    </row>
    <row r="961">
      <c r="A961" s="128" t="str">
        <f>IFERROR(__xludf.DUMMYFUNCTION("""COMPUTED_VALUE"""),"อลูมิเนียม")</f>
        <v>อลูมิเนียม</v>
      </c>
      <c r="B961" s="128" t="str">
        <f>IFERROR(__xludf.DUMMYFUNCTION("""COMPUTED_VALUE"""),"B24005-เฟรมข้างบานเฟี้ยม-เทาซาฮาร่า")</f>
        <v>B24005-เฟรมข้างบานเฟี้ยม-เทาซาฮาร่า</v>
      </c>
    </row>
    <row r="962">
      <c r="A962" s="128" t="str">
        <f>IFERROR(__xludf.DUMMYFUNCTION("""COMPUTED_VALUE"""),"อลูมิเนียม")</f>
        <v>อลูมิเนียม</v>
      </c>
      <c r="B962" s="128" t="str">
        <f>IFERROR(__xludf.DUMMYFUNCTION("""COMPUTED_VALUE"""),"B24005-เฟรมข้างบานเฟี้ยม-ลายไม้สักทอง")</f>
        <v>B24005-เฟรมข้างบานเฟี้ยม-ลายไม้สักทอง</v>
      </c>
    </row>
    <row r="963">
      <c r="A963" s="128" t="str">
        <f>IFERROR(__xludf.DUMMYFUNCTION("""COMPUTED_VALUE"""),"อลูมิเนียม")</f>
        <v>อลูมิเนียม</v>
      </c>
      <c r="B963" s="128" t="str">
        <f>IFERROR(__xludf.DUMMYFUNCTION("""COMPUTED_VALUE"""),"B24005-เฟรมข้างบานเฟี้ยม-อื่น ๆ")</f>
        <v>B24005-เฟรมข้างบานเฟี้ยม-อื่น ๆ</v>
      </c>
    </row>
    <row r="964">
      <c r="A964" s="128" t="str">
        <f>IFERROR(__xludf.DUMMYFUNCTION("""COMPUTED_VALUE"""),"อลูมิเนียม")</f>
        <v>อลูมิเนียม</v>
      </c>
      <c r="B964" s="128" t="str">
        <f>IFERROR(__xludf.DUMMYFUNCTION("""COMPUTED_VALUE"""),"B24006-คิ้วเฟรมข้างประตู-อบขาว")</f>
        <v>B24006-คิ้วเฟรมข้างประตู-อบขาว</v>
      </c>
    </row>
    <row r="965">
      <c r="A965" s="128" t="str">
        <f>IFERROR(__xludf.DUMMYFUNCTION("""COMPUTED_VALUE"""),"อลูมิเนียม")</f>
        <v>อลูมิเนียม</v>
      </c>
      <c r="B965" s="128" t="str">
        <f>IFERROR(__xludf.DUMMYFUNCTION("""COMPUTED_VALUE"""),"B24006-คิ้วเฟรมข้างประตู-ดำ")</f>
        <v>B24006-คิ้วเฟรมข้างประตู-ดำ</v>
      </c>
    </row>
    <row r="966">
      <c r="A966" s="128" t="str">
        <f>IFERROR(__xludf.DUMMYFUNCTION("""COMPUTED_VALUE"""),"อลูมิเนียม")</f>
        <v>อลูมิเนียม</v>
      </c>
      <c r="B966" s="128" t="str">
        <f>IFERROR(__xludf.DUMMYFUNCTION("""COMPUTED_VALUE"""),"B24006-คิ้วเฟรมข้างประตู-เทาซาฮาร่า")</f>
        <v>B24006-คิ้วเฟรมข้างประตู-เทาซาฮาร่า</v>
      </c>
    </row>
    <row r="967">
      <c r="A967" s="128" t="str">
        <f>IFERROR(__xludf.DUMMYFUNCTION("""COMPUTED_VALUE"""),"อลูมิเนียม")</f>
        <v>อลูมิเนียม</v>
      </c>
      <c r="B967" s="128" t="str">
        <f>IFERROR(__xludf.DUMMYFUNCTION("""COMPUTED_VALUE"""),"B24006-คิ้วเฟรมข้างประตู-ลายไม้สักทอง")</f>
        <v>B24006-คิ้วเฟรมข้างประตู-ลายไม้สักทอง</v>
      </c>
    </row>
    <row r="968">
      <c r="A968" s="128" t="str">
        <f>IFERROR(__xludf.DUMMYFUNCTION("""COMPUTED_VALUE"""),"อลูมิเนียม")</f>
        <v>อลูมิเนียม</v>
      </c>
      <c r="B968" s="128" t="str">
        <f>IFERROR(__xludf.DUMMYFUNCTION("""COMPUTED_VALUE"""),"B24006-คิ้วเฟรมข้างประตู-อื่น ๆ")</f>
        <v>B24006-คิ้วเฟรมข้างประตู-อื่น ๆ</v>
      </c>
    </row>
    <row r="969">
      <c r="A969" s="128" t="str">
        <f>IFERROR(__xludf.DUMMYFUNCTION("""COMPUTED_VALUE"""),"อลูมิเนียม")</f>
        <v>อลูมิเนียม</v>
      </c>
      <c r="B969" s="128" t="str">
        <f>IFERROR(__xludf.DUMMYFUNCTION("""COMPUTED_VALUE"""),"B24007-เสาบานเฟี้ยม-อบขาว")</f>
        <v>B24007-เสาบานเฟี้ยม-อบขาว</v>
      </c>
    </row>
    <row r="970">
      <c r="A970" s="128" t="str">
        <f>IFERROR(__xludf.DUMMYFUNCTION("""COMPUTED_VALUE"""),"อลูมิเนียม")</f>
        <v>อลูมิเนียม</v>
      </c>
      <c r="B970" s="128" t="str">
        <f>IFERROR(__xludf.DUMMYFUNCTION("""COMPUTED_VALUE"""),"B24007-เสาบานเฟี้ยม-ดำ")</f>
        <v>B24007-เสาบานเฟี้ยม-ดำ</v>
      </c>
    </row>
    <row r="971">
      <c r="A971" s="128" t="str">
        <f>IFERROR(__xludf.DUMMYFUNCTION("""COMPUTED_VALUE"""),"อลูมิเนียม")</f>
        <v>อลูมิเนียม</v>
      </c>
      <c r="B971" s="128" t="str">
        <f>IFERROR(__xludf.DUMMYFUNCTION("""COMPUTED_VALUE"""),"B24007-เสาบานเฟี้ยม-เทาซาฮาร่า")</f>
        <v>B24007-เสาบานเฟี้ยม-เทาซาฮาร่า</v>
      </c>
    </row>
    <row r="972">
      <c r="A972" s="128" t="str">
        <f>IFERROR(__xludf.DUMMYFUNCTION("""COMPUTED_VALUE"""),"อลูมิเนียม")</f>
        <v>อลูมิเนียม</v>
      </c>
      <c r="B972" s="128" t="str">
        <f>IFERROR(__xludf.DUMMYFUNCTION("""COMPUTED_VALUE"""),"B24007-เสาบานเฟี้ยม-ลายไม้สักทอง")</f>
        <v>B24007-เสาบานเฟี้ยม-ลายไม้สักทอง</v>
      </c>
    </row>
    <row r="973">
      <c r="A973" s="128" t="str">
        <f>IFERROR(__xludf.DUMMYFUNCTION("""COMPUTED_VALUE"""),"อลูมิเนียม")</f>
        <v>อลูมิเนียม</v>
      </c>
      <c r="B973" s="128" t="str">
        <f>IFERROR(__xludf.DUMMYFUNCTION("""COMPUTED_VALUE"""),"B24007-เสาบานเฟี้ยม-อื่น ๆ")</f>
        <v>B24007-เสาบานเฟี้ยม-อื่น ๆ</v>
      </c>
    </row>
    <row r="974">
      <c r="A974" s="128" t="str">
        <f>IFERROR(__xludf.DUMMYFUNCTION("""COMPUTED_VALUE"""),"อลูมิเนียม")</f>
        <v>อลูมิเนียม</v>
      </c>
      <c r="B974" s="128" t="str">
        <f>IFERROR(__xludf.DUMMYFUNCTION("""COMPUTED_VALUE"""),"B24008-คิ้วตบกระจก 5-6 มม.-อบขาว")</f>
        <v>B24008-คิ้วตบกระจก 5-6 มม.-อบขาว</v>
      </c>
    </row>
    <row r="975">
      <c r="A975" s="128" t="str">
        <f>IFERROR(__xludf.DUMMYFUNCTION("""COMPUTED_VALUE"""),"อลูมิเนียม")</f>
        <v>อลูมิเนียม</v>
      </c>
      <c r="B975" s="128" t="str">
        <f>IFERROR(__xludf.DUMMYFUNCTION("""COMPUTED_VALUE"""),"B24008-คิ้วตบกระจก 5-6 มม.-ดำ")</f>
        <v>B24008-คิ้วตบกระจก 5-6 มม.-ดำ</v>
      </c>
    </row>
    <row r="976">
      <c r="A976" s="128" t="str">
        <f>IFERROR(__xludf.DUMMYFUNCTION("""COMPUTED_VALUE"""),"อลูมิเนียม")</f>
        <v>อลูมิเนียม</v>
      </c>
      <c r="B976" s="128" t="str">
        <f>IFERROR(__xludf.DUMMYFUNCTION("""COMPUTED_VALUE"""),"B24008-คิ้วตบกระจก 5-6 มม.-เทาซาฮาร่า")</f>
        <v>B24008-คิ้วตบกระจก 5-6 มม.-เทาซาฮาร่า</v>
      </c>
    </row>
    <row r="977">
      <c r="A977" s="128" t="str">
        <f>IFERROR(__xludf.DUMMYFUNCTION("""COMPUTED_VALUE"""),"อลูมิเนียม")</f>
        <v>อลูมิเนียม</v>
      </c>
      <c r="B977" s="128" t="str">
        <f>IFERROR(__xludf.DUMMYFUNCTION("""COMPUTED_VALUE"""),"B24008-คิ้วตบกระจก 5-6 มม.-ลายไม้สักทอง")</f>
        <v>B24008-คิ้วตบกระจก 5-6 มม.-ลายไม้สักทอง</v>
      </c>
    </row>
    <row r="978">
      <c r="A978" s="128" t="str">
        <f>IFERROR(__xludf.DUMMYFUNCTION("""COMPUTED_VALUE"""),"อลูมิเนียม")</f>
        <v>อลูมิเนียม</v>
      </c>
      <c r="B978" s="128" t="str">
        <f>IFERROR(__xludf.DUMMYFUNCTION("""COMPUTED_VALUE"""),"B24008-คิ้วตบกระจก 5-6 มม.-อื่น ๆ")</f>
        <v>B24008-คิ้วตบกระจก 5-6 มม.-อื่น ๆ</v>
      </c>
    </row>
    <row r="979">
      <c r="A979" s="128" t="str">
        <f>IFERROR(__xludf.DUMMYFUNCTION("""COMPUTED_VALUE"""),"อลูมิเนียม")</f>
        <v>อลูมิเนียม</v>
      </c>
      <c r="B979" s="128" t="str">
        <f>IFERROR(__xludf.DUMMYFUNCTION("""COMPUTED_VALUE"""),"B24009-บังใบเสาประตูบานเฟี้ยม-อบขาว")</f>
        <v>B24009-บังใบเสาประตูบานเฟี้ยม-อบขาว</v>
      </c>
    </row>
    <row r="980">
      <c r="A980" s="128" t="str">
        <f>IFERROR(__xludf.DUMMYFUNCTION("""COMPUTED_VALUE"""),"อลูมิเนียม")</f>
        <v>อลูมิเนียม</v>
      </c>
      <c r="B980" s="128" t="str">
        <f>IFERROR(__xludf.DUMMYFUNCTION("""COMPUTED_VALUE"""),"B24009-บังใบเสาประตูบานเฟี้ยม-ดำ")</f>
        <v>B24009-บังใบเสาประตูบานเฟี้ยม-ดำ</v>
      </c>
    </row>
    <row r="981">
      <c r="A981" s="128" t="str">
        <f>IFERROR(__xludf.DUMMYFUNCTION("""COMPUTED_VALUE"""),"อลูมิเนียม")</f>
        <v>อลูมิเนียม</v>
      </c>
      <c r="B981" s="128" t="str">
        <f>IFERROR(__xludf.DUMMYFUNCTION("""COMPUTED_VALUE"""),"B24009-บังใบเสาประตูบานเฟี้ยม-เทาซาฮาร่า")</f>
        <v>B24009-บังใบเสาประตูบานเฟี้ยม-เทาซาฮาร่า</v>
      </c>
    </row>
    <row r="982">
      <c r="A982" s="128" t="str">
        <f>IFERROR(__xludf.DUMMYFUNCTION("""COMPUTED_VALUE"""),"อลูมิเนียม")</f>
        <v>อลูมิเนียม</v>
      </c>
      <c r="B982" s="128" t="str">
        <f>IFERROR(__xludf.DUMMYFUNCTION("""COMPUTED_VALUE"""),"B24009-บังใบเสาประตูบานเฟี้ยม-ลายไม้สักทอง")</f>
        <v>B24009-บังใบเสาประตูบานเฟี้ยม-ลายไม้สักทอง</v>
      </c>
    </row>
    <row r="983">
      <c r="A983" s="128" t="str">
        <f>IFERROR(__xludf.DUMMYFUNCTION("""COMPUTED_VALUE"""),"อลูมิเนียม")</f>
        <v>อลูมิเนียม</v>
      </c>
      <c r="B983" s="128" t="str">
        <f>IFERROR(__xludf.DUMMYFUNCTION("""COMPUTED_VALUE"""),"B24009-บังใบเสาประตูบานเฟี้ยม-อื่น ๆ")</f>
        <v>B24009-บังใบเสาประตูบานเฟี้ยม-อื่น ๆ</v>
      </c>
    </row>
    <row r="984">
      <c r="A984" s="128" t="str">
        <f>IFERROR(__xludf.DUMMYFUNCTION("""COMPUTED_VALUE"""),"อลูมิเนียม")</f>
        <v>อลูมิเนียม</v>
      </c>
      <c r="B984" s="128" t="str">
        <f>IFERROR(__xludf.DUMMYFUNCTION("""COMPUTED_VALUE"""),"B24017-รางยู sms-อบขาว")</f>
        <v>B24017-รางยู sms-อบขาว</v>
      </c>
    </row>
    <row r="985">
      <c r="A985" s="128" t="str">
        <f>IFERROR(__xludf.DUMMYFUNCTION("""COMPUTED_VALUE"""),"อลูมิเนียม")</f>
        <v>อลูมิเนียม</v>
      </c>
      <c r="B985" s="128" t="str">
        <f>IFERROR(__xludf.DUMMYFUNCTION("""COMPUTED_VALUE"""),"B24017-รางยู sms-ดำ")</f>
        <v>B24017-รางยู sms-ดำ</v>
      </c>
    </row>
    <row r="986">
      <c r="A986" s="128" t="str">
        <f>IFERROR(__xludf.DUMMYFUNCTION("""COMPUTED_VALUE"""),"อลูมิเนียม")</f>
        <v>อลูมิเนียม</v>
      </c>
      <c r="B986" s="128" t="str">
        <f>IFERROR(__xludf.DUMMYFUNCTION("""COMPUTED_VALUE"""),"B24017-รางยู sms-เทาซาฮาร่า")</f>
        <v>B24017-รางยู sms-เทาซาฮาร่า</v>
      </c>
    </row>
    <row r="987">
      <c r="A987" s="128" t="str">
        <f>IFERROR(__xludf.DUMMYFUNCTION("""COMPUTED_VALUE"""),"อลูมิเนียม")</f>
        <v>อลูมิเนียม</v>
      </c>
      <c r="B987" s="128" t="str">
        <f>IFERROR(__xludf.DUMMYFUNCTION("""COMPUTED_VALUE"""),"B24017-รางยู sms-ลายไม้สักทอง")</f>
        <v>B24017-รางยู sms-ลายไม้สักทอง</v>
      </c>
    </row>
    <row r="988">
      <c r="A988" s="128" t="str">
        <f>IFERROR(__xludf.DUMMYFUNCTION("""COMPUTED_VALUE"""),"อลูมิเนียม")</f>
        <v>อลูมิเนียม</v>
      </c>
      <c r="B988" s="128" t="str">
        <f>IFERROR(__xludf.DUMMYFUNCTION("""COMPUTED_VALUE"""),"B24017-รางยู sms-อื่น ๆ")</f>
        <v>B24017-รางยู sms-อื่น ๆ</v>
      </c>
    </row>
    <row r="989">
      <c r="A989" s="128" t="str">
        <f>IFERROR(__xludf.DUMMYFUNCTION("""COMPUTED_VALUE"""),"อลูมิเนียม")</f>
        <v>อลูมิเนียม</v>
      </c>
      <c r="B989" s="128" t="str">
        <f>IFERROR(__xludf.DUMMYFUNCTION("""COMPUTED_VALUE"""),"B24018-รางบานเฟี้ยมภายใน sms-อบขาว")</f>
        <v>B24018-รางบานเฟี้ยมภายใน sms-อบขาว</v>
      </c>
    </row>
    <row r="990">
      <c r="A990" s="128" t="str">
        <f>IFERROR(__xludf.DUMMYFUNCTION("""COMPUTED_VALUE"""),"อลูมิเนียม")</f>
        <v>อลูมิเนียม</v>
      </c>
      <c r="B990" s="128" t="str">
        <f>IFERROR(__xludf.DUMMYFUNCTION("""COMPUTED_VALUE"""),"B24018-รางบานเฟี้ยมภายใน sms-ดำ")</f>
        <v>B24018-รางบานเฟี้ยมภายใน sms-ดำ</v>
      </c>
    </row>
    <row r="991">
      <c r="A991" s="128" t="str">
        <f>IFERROR(__xludf.DUMMYFUNCTION("""COMPUTED_VALUE"""),"อลูมิเนียม")</f>
        <v>อลูมิเนียม</v>
      </c>
      <c r="B991" s="128" t="str">
        <f>IFERROR(__xludf.DUMMYFUNCTION("""COMPUTED_VALUE"""),"B24018-รางบานเฟี้ยมภายใน sms-เทาซาฮาร่า")</f>
        <v>B24018-รางบานเฟี้ยมภายใน sms-เทาซาฮาร่า</v>
      </c>
    </row>
    <row r="992">
      <c r="A992" s="128" t="str">
        <f>IFERROR(__xludf.DUMMYFUNCTION("""COMPUTED_VALUE"""),"อลูมิเนียม")</f>
        <v>อลูมิเนียม</v>
      </c>
      <c r="B992" s="128" t="str">
        <f>IFERROR(__xludf.DUMMYFUNCTION("""COMPUTED_VALUE"""),"B24018-รางบานเฟี้ยมภายใน sms-ลายไม้สักทอง")</f>
        <v>B24018-รางบานเฟี้ยมภายใน sms-ลายไม้สักทอง</v>
      </c>
    </row>
    <row r="993">
      <c r="A993" s="128" t="str">
        <f>IFERROR(__xludf.DUMMYFUNCTION("""COMPUTED_VALUE"""),"อลูมิเนียม")</f>
        <v>อลูมิเนียม</v>
      </c>
      <c r="B993" s="128" t="str">
        <f>IFERROR(__xludf.DUMMYFUNCTION("""COMPUTED_VALUE"""),"B24018-รางบานเฟี้ยมภายใน sms-อื่น ๆ")</f>
        <v>B24018-รางบานเฟี้ยมภายใน sms-อื่น ๆ</v>
      </c>
    </row>
    <row r="994">
      <c r="A994" s="128" t="str">
        <f>IFERROR(__xludf.DUMMYFUNCTION("""COMPUTED_VALUE"""),"อลูมิเนียม")</f>
        <v>อลูมิเนียม</v>
      </c>
      <c r="B994" s="128" t="str">
        <f>IFERROR(__xludf.DUMMYFUNCTION("""COMPUTED_VALUE"""),"B30006-กรอบมุ้ง-อบขาว")</f>
        <v>B30006-กรอบมุ้ง-อบขาว</v>
      </c>
    </row>
    <row r="995">
      <c r="A995" s="128" t="str">
        <f>IFERROR(__xludf.DUMMYFUNCTION("""COMPUTED_VALUE"""),"อลูมิเนียม")</f>
        <v>อลูมิเนียม</v>
      </c>
      <c r="B995" s="128" t="str">
        <f>IFERROR(__xludf.DUMMYFUNCTION("""COMPUTED_VALUE"""),"B30006-กรอบมุ้ง-ดำ")</f>
        <v>B30006-กรอบมุ้ง-ดำ</v>
      </c>
    </row>
    <row r="996">
      <c r="A996" s="128" t="str">
        <f>IFERROR(__xludf.DUMMYFUNCTION("""COMPUTED_VALUE"""),"อลูมิเนียม")</f>
        <v>อลูมิเนียม</v>
      </c>
      <c r="B996" s="128" t="str">
        <f>IFERROR(__xludf.DUMMYFUNCTION("""COMPUTED_VALUE"""),"B30006-กรอบมุ้ง-เทาซาฮาร่า")</f>
        <v>B30006-กรอบมุ้ง-เทาซาฮาร่า</v>
      </c>
    </row>
    <row r="997">
      <c r="A997" s="128" t="str">
        <f>IFERROR(__xludf.DUMMYFUNCTION("""COMPUTED_VALUE"""),"อลูมิเนียม")</f>
        <v>อลูมิเนียม</v>
      </c>
      <c r="B997" s="128" t="str">
        <f>IFERROR(__xludf.DUMMYFUNCTION("""COMPUTED_VALUE"""),"B30006-กรอบมุ้ง-ลายไม้สักทอง")</f>
        <v>B30006-กรอบมุ้ง-ลายไม้สักทอง</v>
      </c>
    </row>
    <row r="998">
      <c r="A998" s="128" t="str">
        <f>IFERROR(__xludf.DUMMYFUNCTION("""COMPUTED_VALUE"""),"อลูมิเนียม")</f>
        <v>อลูมิเนียม</v>
      </c>
      <c r="B998" s="128" t="str">
        <f>IFERROR(__xludf.DUMMYFUNCTION("""COMPUTED_VALUE"""),"B30006-กรอบมุ้ง-อื่น ๆ")</f>
        <v>B30006-กรอบมุ้ง-อื่น ๆ</v>
      </c>
    </row>
    <row r="999">
      <c r="A999" s="128" t="str">
        <f>IFERROR(__xludf.DUMMYFUNCTION("""COMPUTED_VALUE"""),"อลูมิเนียม")</f>
        <v>อลูมิเนียม</v>
      </c>
      <c r="B999" s="128" t="str">
        <f>IFERROR(__xludf.DUMMYFUNCTION("""COMPUTED_VALUE"""),"F7976-เฟรมบน-ล่างบานเลื่อน 3 ราง-อบขาว")</f>
        <v>F7976-เฟรมบน-ล่างบานเลื่อน 3 ราง-อบขาว</v>
      </c>
    </row>
    <row r="1000">
      <c r="A1000" s="128" t="str">
        <f>IFERROR(__xludf.DUMMYFUNCTION("""COMPUTED_VALUE"""),"อลูมิเนียม")</f>
        <v>อลูมิเนียม</v>
      </c>
      <c r="B1000" s="128" t="str">
        <f>IFERROR(__xludf.DUMMYFUNCTION("""COMPUTED_VALUE"""),"F7976-เฟรมบน-ล่างบานเลื่อน 3 ราง-ดำ")</f>
        <v>F7976-เฟรมบน-ล่างบานเลื่อน 3 ราง-ดำ</v>
      </c>
    </row>
    <row r="1001">
      <c r="A1001" s="128" t="str">
        <f>IFERROR(__xludf.DUMMYFUNCTION("""COMPUTED_VALUE"""),"อลูมิเนียม")</f>
        <v>อลูมิเนียม</v>
      </c>
      <c r="B1001" s="128" t="str">
        <f>IFERROR(__xludf.DUMMYFUNCTION("""COMPUTED_VALUE"""),"F7976-เฟรมบน-ล่างบานเลื่อน 3 ราง-เทาซาฮาร่า")</f>
        <v>F7976-เฟรมบน-ล่างบานเลื่อน 3 ราง-เทาซาฮาร่า</v>
      </c>
    </row>
    <row r="1002">
      <c r="A1002" s="128" t="str">
        <f>IFERROR(__xludf.DUMMYFUNCTION("""COMPUTED_VALUE"""),"อลูมิเนียม")</f>
        <v>อลูมิเนียม</v>
      </c>
      <c r="B1002" s="128" t="str">
        <f>IFERROR(__xludf.DUMMYFUNCTION("""COMPUTED_VALUE"""),"F7976-เฟรมบน-ล่างบานเลื่อน 3 ราง-Aztec gray")</f>
        <v>F7976-เฟรมบน-ล่างบานเลื่อน 3 ราง-Aztec gray</v>
      </c>
    </row>
    <row r="1003">
      <c r="A1003" s="128" t="str">
        <f>IFERROR(__xludf.DUMMYFUNCTION("""COMPUTED_VALUE"""),"อลูมิเนียม")</f>
        <v>อลูมิเนียม</v>
      </c>
      <c r="B1003" s="128" t="str">
        <f>IFERROR(__xludf.DUMMYFUNCTION("""COMPUTED_VALUE"""),"F7976-เฟรมบน-ล่างบานเลื่อน 3 ราง-ลายไม้สักทอง")</f>
        <v>F7976-เฟรมบน-ล่างบานเลื่อน 3 ราง-ลายไม้สักทอง</v>
      </c>
    </row>
    <row r="1004">
      <c r="A1004" s="128" t="str">
        <f>IFERROR(__xludf.DUMMYFUNCTION("""COMPUTED_VALUE"""),"อลูมิเนียม")</f>
        <v>อลูมิเนียม</v>
      </c>
      <c r="B1004" s="128" t="str">
        <f>IFERROR(__xludf.DUMMYFUNCTION("""COMPUTED_VALUE"""),"F7976-เฟรมบน-ล่างบานเลื่อน 3 ราง-ไวท์โอ็ค")</f>
        <v>F7976-เฟรมบน-ล่างบานเลื่อน 3 ราง-ไวท์โอ็ค</v>
      </c>
    </row>
    <row r="1005">
      <c r="A1005" s="128" t="str">
        <f>IFERROR(__xludf.DUMMYFUNCTION("""COMPUTED_VALUE"""),"อลูมิเนียม")</f>
        <v>อลูมิเนียม</v>
      </c>
      <c r="B1005" s="128" t="str">
        <f>IFERROR(__xludf.DUMMYFUNCTION("""COMPUTED_VALUE"""),"F7869-เฟรมบน-ล่างบานเลื่อน 3 ราง (ตัวหนา)-อบขาว")</f>
        <v>F7869-เฟรมบน-ล่างบานเลื่อน 3 ราง (ตัวหนา)-อบขาว</v>
      </c>
    </row>
    <row r="1006">
      <c r="A1006" s="128" t="str">
        <f>IFERROR(__xludf.DUMMYFUNCTION("""COMPUTED_VALUE"""),"อลูมิเนียม")</f>
        <v>อลูมิเนียม</v>
      </c>
      <c r="B1006" s="128" t="str">
        <f>IFERROR(__xludf.DUMMYFUNCTION("""COMPUTED_VALUE"""),"F7869-เฟรมบน-ล่างบานเลื่อน 3 ราง (ตัวหนา)-ดำ")</f>
        <v>F7869-เฟรมบน-ล่างบานเลื่อน 3 ราง (ตัวหนา)-ดำ</v>
      </c>
    </row>
    <row r="1007">
      <c r="A1007" s="128" t="str">
        <f>IFERROR(__xludf.DUMMYFUNCTION("""COMPUTED_VALUE"""),"อลูมิเนียม")</f>
        <v>อลูมิเนียม</v>
      </c>
      <c r="B1007" s="128" t="str">
        <f>IFERROR(__xludf.DUMMYFUNCTION("""COMPUTED_VALUE"""),"F7869-เฟรมบน-ล่างบานเลื่อน 3 ราง (ตัวหนา)-เทาซาฮาร่า")</f>
        <v>F7869-เฟรมบน-ล่างบานเลื่อน 3 ราง (ตัวหนา)-เทาซาฮาร่า</v>
      </c>
    </row>
    <row r="1008">
      <c r="A1008" s="128" t="str">
        <f>IFERROR(__xludf.DUMMYFUNCTION("""COMPUTED_VALUE"""),"อลูมิเนียม")</f>
        <v>อลูมิเนียม</v>
      </c>
      <c r="B1008" s="128" t="str">
        <f>IFERROR(__xludf.DUMMYFUNCTION("""COMPUTED_VALUE"""),"F7869-เฟรมบน-ล่างบานเลื่อน 3 ราง (ตัวหนา)-Aztec gray")</f>
        <v>F7869-เฟรมบน-ล่างบานเลื่อน 3 ราง (ตัวหนา)-Aztec gray</v>
      </c>
    </row>
    <row r="1009">
      <c r="A1009" s="128" t="str">
        <f>IFERROR(__xludf.DUMMYFUNCTION("""COMPUTED_VALUE"""),"อลูมิเนียม")</f>
        <v>อลูมิเนียม</v>
      </c>
      <c r="B1009" s="128" t="str">
        <f>IFERROR(__xludf.DUMMYFUNCTION("""COMPUTED_VALUE"""),"F7869-เฟรมบน-ล่างบานเลื่อน 3 ราง (ตัวหนา)-ลายไม้สักทอง")</f>
        <v>F7869-เฟรมบน-ล่างบานเลื่อน 3 ราง (ตัวหนา)-ลายไม้สักทอง</v>
      </c>
    </row>
    <row r="1010">
      <c r="A1010" s="128" t="str">
        <f>IFERROR(__xludf.DUMMYFUNCTION("""COMPUTED_VALUE"""),"อลูมิเนียม")</f>
        <v>อลูมิเนียม</v>
      </c>
      <c r="B1010" s="128" t="str">
        <f>IFERROR(__xludf.DUMMYFUNCTION("""COMPUTED_VALUE"""),"F7869-เฟรมบน-ล่างบานเลื่อน 3 ราง (ตัวหนา)-ไวท์โอ็ค")</f>
        <v>F7869-เฟรมบน-ล่างบานเลื่อน 3 ราง (ตัวหนา)-ไวท์โอ็ค</v>
      </c>
    </row>
    <row r="1011">
      <c r="A1011" s="128" t="str">
        <f>IFERROR(__xludf.DUMMYFUNCTION("""COMPUTED_VALUE"""),"อลูมิเนียม")</f>
        <v>อลูมิเนียม</v>
      </c>
      <c r="B1011" s="128" t="str">
        <f>IFERROR(__xludf.DUMMYFUNCTION("""COMPUTED_VALUE"""),"F7869-เฟรมบน-ล่างบานเลื่อน 3 ราง (ตัวหนา)-มะฮอกกานี")</f>
        <v>F7869-เฟรมบน-ล่างบานเลื่อน 3 ราง (ตัวหนา)-มะฮอกกานี</v>
      </c>
    </row>
    <row r="1012">
      <c r="A1012" s="128" t="str">
        <f>IFERROR(__xludf.DUMMYFUNCTION("""COMPUTED_VALUE"""),"อลูมิเนียม")</f>
        <v>อลูมิเนียม</v>
      </c>
      <c r="B1012" s="128" t="str">
        <f>IFERROR(__xludf.DUMMYFUNCTION("""COMPUTED_VALUE"""),"F7977-เฟรมบน-ล่างบานเลื่อน 2 ราง-อบขาว")</f>
        <v>F7977-เฟรมบน-ล่างบานเลื่อน 2 ราง-อบขาว</v>
      </c>
    </row>
    <row r="1013">
      <c r="A1013" s="128" t="str">
        <f>IFERROR(__xludf.DUMMYFUNCTION("""COMPUTED_VALUE"""),"อลูมิเนียม")</f>
        <v>อลูมิเนียม</v>
      </c>
      <c r="B1013" s="128" t="str">
        <f>IFERROR(__xludf.DUMMYFUNCTION("""COMPUTED_VALUE"""),"F7977-เฟรมบน-ล่างบานเลื่อน 2 ราง-ดำ")</f>
        <v>F7977-เฟรมบน-ล่างบานเลื่อน 2 ราง-ดำ</v>
      </c>
    </row>
    <row r="1014">
      <c r="A1014" s="128" t="str">
        <f>IFERROR(__xludf.DUMMYFUNCTION("""COMPUTED_VALUE"""),"อลูมิเนียม")</f>
        <v>อลูมิเนียม</v>
      </c>
      <c r="B1014" s="128" t="str">
        <f>IFERROR(__xludf.DUMMYFUNCTION("""COMPUTED_VALUE"""),"F7977-เฟรมบน-ล่างบานเลื่อน 2 ราง-เทาซาฮาร่า")</f>
        <v>F7977-เฟรมบน-ล่างบานเลื่อน 2 ราง-เทาซาฮาร่า</v>
      </c>
    </row>
    <row r="1015">
      <c r="A1015" s="128" t="str">
        <f>IFERROR(__xludf.DUMMYFUNCTION("""COMPUTED_VALUE"""),"อลูมิเนียม")</f>
        <v>อลูมิเนียม</v>
      </c>
      <c r="B1015" s="128" t="str">
        <f>IFERROR(__xludf.DUMMYFUNCTION("""COMPUTED_VALUE"""),"F7977-เฟรมบน-ล่างบานเลื่อน 2 ราง-Aztec gray")</f>
        <v>F7977-เฟรมบน-ล่างบานเลื่อน 2 ราง-Aztec gray</v>
      </c>
    </row>
    <row r="1016">
      <c r="A1016" s="128" t="str">
        <f>IFERROR(__xludf.DUMMYFUNCTION("""COMPUTED_VALUE"""),"อลูมิเนียม")</f>
        <v>อลูมิเนียม</v>
      </c>
      <c r="B1016" s="128" t="str">
        <f>IFERROR(__xludf.DUMMYFUNCTION("""COMPUTED_VALUE"""),"F7977-เฟรมบน-ล่างบานเลื่อน 2 ราง-ลายไม้สักทอง")</f>
        <v>F7977-เฟรมบน-ล่างบานเลื่อน 2 ราง-ลายไม้สักทอง</v>
      </c>
    </row>
    <row r="1017">
      <c r="A1017" s="128" t="str">
        <f>IFERROR(__xludf.DUMMYFUNCTION("""COMPUTED_VALUE"""),"อลูมิเนียม")</f>
        <v>อลูมิเนียม</v>
      </c>
      <c r="B1017" s="128" t="str">
        <f>IFERROR(__xludf.DUMMYFUNCTION("""COMPUTED_VALUE"""),"F7977-เฟรมบน-ล่างบานเลื่อน 2 ราง-ไวท์โอ็ค")</f>
        <v>F7977-เฟรมบน-ล่างบานเลื่อน 2 ราง-ไวท์โอ็ค</v>
      </c>
    </row>
    <row r="1018">
      <c r="A1018" s="128" t="str">
        <f>IFERROR(__xludf.DUMMYFUNCTION("""COMPUTED_VALUE"""),"อลูมิเนียม")</f>
        <v>อลูมิเนียม</v>
      </c>
      <c r="B1018" s="128" t="str">
        <f>IFERROR(__xludf.DUMMYFUNCTION("""COMPUTED_VALUE"""),"F7977-เฟรมบน-ล่างบานเลื่อน 2 ราง-มะฮอกกานี")</f>
        <v>F7977-เฟรมบน-ล่างบานเลื่อน 2 ราง-มะฮอกกานี</v>
      </c>
    </row>
    <row r="1019">
      <c r="A1019" s="128" t="str">
        <f>IFERROR(__xludf.DUMMYFUNCTION("""COMPUTED_VALUE"""),"อลูมิเนียม")</f>
        <v>อลูมิเนียม</v>
      </c>
      <c r="B1019" s="128" t="str">
        <f>IFERROR(__xludf.DUMMYFUNCTION("""COMPUTED_VALUE"""),"F7990-ต่อเฟรมบน-ล่างบานเลื่อน-อบขาว")</f>
        <v>F7990-ต่อเฟรมบน-ล่างบานเลื่อน-อบขาว</v>
      </c>
    </row>
    <row r="1020">
      <c r="A1020" s="128" t="str">
        <f>IFERROR(__xludf.DUMMYFUNCTION("""COMPUTED_VALUE"""),"อลูมิเนียม")</f>
        <v>อลูมิเนียม</v>
      </c>
      <c r="B1020" s="128" t="str">
        <f>IFERROR(__xludf.DUMMYFUNCTION("""COMPUTED_VALUE"""),"F7990-ต่อเฟรมบน-ล่างบานเลื่อน-ดำ")</f>
        <v>F7990-ต่อเฟรมบน-ล่างบานเลื่อน-ดำ</v>
      </c>
    </row>
    <row r="1021">
      <c r="A1021" s="128" t="str">
        <f>IFERROR(__xludf.DUMMYFUNCTION("""COMPUTED_VALUE"""),"อลูมิเนียม")</f>
        <v>อลูมิเนียม</v>
      </c>
      <c r="B1021" s="128" t="str">
        <f>IFERROR(__xludf.DUMMYFUNCTION("""COMPUTED_VALUE"""),"F7990-ต่อเฟรมบน-ล่างบานเลื่อน-เทาซาฮาร่า")</f>
        <v>F7990-ต่อเฟรมบน-ล่างบานเลื่อน-เทาซาฮาร่า</v>
      </c>
    </row>
    <row r="1022">
      <c r="A1022" s="128" t="str">
        <f>IFERROR(__xludf.DUMMYFUNCTION("""COMPUTED_VALUE"""),"อลูมิเนียม")</f>
        <v>อลูมิเนียม</v>
      </c>
      <c r="B1022" s="128" t="str">
        <f>IFERROR(__xludf.DUMMYFUNCTION("""COMPUTED_VALUE"""),"F7990-ต่อเฟรมบน-ล่างบานเลื่อน-Aztec gray")</f>
        <v>F7990-ต่อเฟรมบน-ล่างบานเลื่อน-Aztec gray</v>
      </c>
    </row>
    <row r="1023">
      <c r="A1023" s="128" t="str">
        <f>IFERROR(__xludf.DUMMYFUNCTION("""COMPUTED_VALUE"""),"อลูมิเนียม")</f>
        <v>อลูมิเนียม</v>
      </c>
      <c r="B1023" s="128" t="str">
        <f>IFERROR(__xludf.DUMMYFUNCTION("""COMPUTED_VALUE"""),"F7990-ต่อเฟรมบน-ล่างบานเลื่อน-ลายไม้สักทอง")</f>
        <v>F7990-ต่อเฟรมบน-ล่างบานเลื่อน-ลายไม้สักทอง</v>
      </c>
    </row>
    <row r="1024">
      <c r="A1024" s="128" t="str">
        <f>IFERROR(__xludf.DUMMYFUNCTION("""COMPUTED_VALUE"""),"อลูมิเนียม")</f>
        <v>อลูมิเนียม</v>
      </c>
      <c r="B1024" s="128" t="str">
        <f>IFERROR(__xludf.DUMMYFUNCTION("""COMPUTED_VALUE"""),"F7990-ต่อเฟรมบน-ล่างบานเลื่อน-ไวท์โอ็ค")</f>
        <v>F7990-ต่อเฟรมบน-ล่างบานเลื่อน-ไวท์โอ็ค</v>
      </c>
    </row>
    <row r="1025">
      <c r="A1025" s="128" t="str">
        <f>IFERROR(__xludf.DUMMYFUNCTION("""COMPUTED_VALUE"""),"อลูมิเนียม")</f>
        <v>อลูมิเนียม</v>
      </c>
      <c r="B1025" s="128" t="str">
        <f>IFERROR(__xludf.DUMMYFUNCTION("""COMPUTED_VALUE"""),"F7990-ต่อเฟรมบน-ล่างบานเลื่อน-มะฮอกกานี")</f>
        <v>F7990-ต่อเฟรมบน-ล่างบานเลื่อน-มะฮอกกานี</v>
      </c>
    </row>
    <row r="1026">
      <c r="A1026" s="128" t="str">
        <f>IFERROR(__xludf.DUMMYFUNCTION("""COMPUTED_VALUE"""),"อลูมิเนียม")</f>
        <v>อลูมิเนียม</v>
      </c>
      <c r="B1026" s="128" t="str">
        <f>IFERROR(__xludf.DUMMYFUNCTION("""COMPUTED_VALUE"""),"F7902-เฟรมล่างบานเลื่อน 3 ราง (ตัวเตี้ย)-อบขาว")</f>
        <v>F7902-เฟรมล่างบานเลื่อน 3 ราง (ตัวเตี้ย)-อบขาว</v>
      </c>
    </row>
    <row r="1027">
      <c r="A1027" s="128" t="str">
        <f>IFERROR(__xludf.DUMMYFUNCTION("""COMPUTED_VALUE"""),"อลูมิเนียม")</f>
        <v>อลูมิเนียม</v>
      </c>
      <c r="B1027" s="128" t="str">
        <f>IFERROR(__xludf.DUMMYFUNCTION("""COMPUTED_VALUE"""),"F7902-เฟรมล่างบานเลื่อน 3 ราง (ตัวเตี้ย)-ดำ")</f>
        <v>F7902-เฟรมล่างบานเลื่อน 3 ราง (ตัวเตี้ย)-ดำ</v>
      </c>
    </row>
    <row r="1028">
      <c r="A1028" s="128" t="str">
        <f>IFERROR(__xludf.DUMMYFUNCTION("""COMPUTED_VALUE"""),"อลูมิเนียม")</f>
        <v>อลูมิเนียม</v>
      </c>
      <c r="B1028" s="128" t="str">
        <f>IFERROR(__xludf.DUMMYFUNCTION("""COMPUTED_VALUE"""),"F7902-เฟรมล่างบานเลื่อน 3 ราง (ตัวเตี้ย)-เทาซาฮาร่า")</f>
        <v>F7902-เฟรมล่างบานเลื่อน 3 ราง (ตัวเตี้ย)-เทาซาฮาร่า</v>
      </c>
    </row>
    <row r="1029">
      <c r="A1029" s="128" t="str">
        <f>IFERROR(__xludf.DUMMYFUNCTION("""COMPUTED_VALUE"""),"อลูมิเนียม")</f>
        <v>อลูมิเนียม</v>
      </c>
      <c r="B1029" s="128" t="str">
        <f>IFERROR(__xludf.DUMMYFUNCTION("""COMPUTED_VALUE"""),"F7902-เฟรมล่างบานเลื่อน 3 ราง (ตัวเตี้ย)-Aztec gray")</f>
        <v>F7902-เฟรมล่างบานเลื่อน 3 ราง (ตัวเตี้ย)-Aztec gray</v>
      </c>
    </row>
    <row r="1030">
      <c r="A1030" s="128" t="str">
        <f>IFERROR(__xludf.DUMMYFUNCTION("""COMPUTED_VALUE"""),"อลูมิเนียม")</f>
        <v>อลูมิเนียม</v>
      </c>
      <c r="B1030" s="128" t="str">
        <f>IFERROR(__xludf.DUMMYFUNCTION("""COMPUTED_VALUE"""),"F7902-เฟรมล่างบานเลื่อน 3 ราง (ตัวเตี้ย)-ลายไม้สักทอง")</f>
        <v>F7902-เฟรมล่างบานเลื่อน 3 ราง (ตัวเตี้ย)-ลายไม้สักทอง</v>
      </c>
    </row>
    <row r="1031">
      <c r="A1031" s="128" t="str">
        <f>IFERROR(__xludf.DUMMYFUNCTION("""COMPUTED_VALUE"""),"อลูมิเนียม")</f>
        <v>อลูมิเนียม</v>
      </c>
      <c r="B1031" s="128" t="str">
        <f>IFERROR(__xludf.DUMMYFUNCTION("""COMPUTED_VALUE"""),"F7902-เฟรมล่างบานเลื่อน 3 ราง (ตัวเตี้ย)-ไวท์โอ็ค")</f>
        <v>F7902-เฟรมล่างบานเลื่อน 3 ราง (ตัวเตี้ย)-ไวท์โอ็ค</v>
      </c>
    </row>
    <row r="1032">
      <c r="A1032" s="128" t="str">
        <f>IFERROR(__xludf.DUMMYFUNCTION("""COMPUTED_VALUE"""),"อลูมิเนียม")</f>
        <v>อลูมิเนียม</v>
      </c>
      <c r="B1032" s="128" t="str">
        <f>IFERROR(__xludf.DUMMYFUNCTION("""COMPUTED_VALUE"""),"F7902-เฟรมล่างบานเลื่อน 3 ราง (ตัวเตี้ย)-มะฮอกกานี")</f>
        <v>F7902-เฟรมล่างบานเลื่อน 3 ราง (ตัวเตี้ย)-มะฮอกกานี</v>
      </c>
    </row>
    <row r="1033">
      <c r="A1033" s="128" t="str">
        <f>IFERROR(__xludf.DUMMYFUNCTION("""COMPUTED_VALUE"""),"อลูมิเนียม")</f>
        <v>อลูมิเนียม</v>
      </c>
      <c r="B1033" s="128" t="str">
        <f>IFERROR(__xludf.DUMMYFUNCTION("""COMPUTED_VALUE"""),"F7978-เฟรมข้างบานเลื่อน 3 ราง-อบขาว")</f>
        <v>F7978-เฟรมข้างบานเลื่อน 3 ราง-อบขาว</v>
      </c>
    </row>
    <row r="1034">
      <c r="A1034" s="128" t="str">
        <f>IFERROR(__xludf.DUMMYFUNCTION("""COMPUTED_VALUE"""),"อลูมิเนียม")</f>
        <v>อลูมิเนียม</v>
      </c>
      <c r="B1034" s="128" t="str">
        <f>IFERROR(__xludf.DUMMYFUNCTION("""COMPUTED_VALUE"""),"F7978-เฟรมข้างบานเลื่อน 3 ราง-ดำ")</f>
        <v>F7978-เฟรมข้างบานเลื่อน 3 ราง-ดำ</v>
      </c>
    </row>
    <row r="1035">
      <c r="A1035" s="128" t="str">
        <f>IFERROR(__xludf.DUMMYFUNCTION("""COMPUTED_VALUE"""),"อลูมิเนียม")</f>
        <v>อลูมิเนียม</v>
      </c>
      <c r="B1035" s="128" t="str">
        <f>IFERROR(__xludf.DUMMYFUNCTION("""COMPUTED_VALUE"""),"F7978-เฟรมข้างบานเลื่อน 3 ราง-เทาซาฮาร่า")</f>
        <v>F7978-เฟรมข้างบานเลื่อน 3 ราง-เทาซาฮาร่า</v>
      </c>
    </row>
    <row r="1036">
      <c r="A1036" s="128" t="str">
        <f>IFERROR(__xludf.DUMMYFUNCTION("""COMPUTED_VALUE"""),"อลูมิเนียม")</f>
        <v>อลูมิเนียม</v>
      </c>
      <c r="B1036" s="128" t="str">
        <f>IFERROR(__xludf.DUMMYFUNCTION("""COMPUTED_VALUE"""),"F7978-เฟรมข้างบานเลื่อน 3 ราง-Aztec gray")</f>
        <v>F7978-เฟรมข้างบานเลื่อน 3 ราง-Aztec gray</v>
      </c>
    </row>
    <row r="1037">
      <c r="A1037" s="128" t="str">
        <f>IFERROR(__xludf.DUMMYFUNCTION("""COMPUTED_VALUE"""),"อลูมิเนียม")</f>
        <v>อลูมิเนียม</v>
      </c>
      <c r="B1037" s="128" t="str">
        <f>IFERROR(__xludf.DUMMYFUNCTION("""COMPUTED_VALUE"""),"F7978-เฟรมข้างบานเลื่อน 3 ราง-ลายไม้สักทอง")</f>
        <v>F7978-เฟรมข้างบานเลื่อน 3 ราง-ลายไม้สักทอง</v>
      </c>
    </row>
    <row r="1038">
      <c r="A1038" s="128" t="str">
        <f>IFERROR(__xludf.DUMMYFUNCTION("""COMPUTED_VALUE"""),"อลูมิเนียม")</f>
        <v>อลูมิเนียม</v>
      </c>
      <c r="B1038" s="128" t="str">
        <f>IFERROR(__xludf.DUMMYFUNCTION("""COMPUTED_VALUE"""),"F7978-เฟรมข้างบานเลื่อน 3 ราง-ไวท์โอ็ค")</f>
        <v>F7978-เฟรมข้างบานเลื่อน 3 ราง-ไวท์โอ็ค</v>
      </c>
    </row>
    <row r="1039">
      <c r="A1039" s="128" t="str">
        <f>IFERROR(__xludf.DUMMYFUNCTION("""COMPUTED_VALUE"""),"อลูมิเนียม")</f>
        <v>อลูมิเนียม</v>
      </c>
      <c r="B1039" s="128" t="str">
        <f>IFERROR(__xludf.DUMMYFUNCTION("""COMPUTED_VALUE"""),"F7978-เฟรมข้างบานเลื่อน 3 ราง-มะฮอกกานี")</f>
        <v>F7978-เฟรมข้างบานเลื่อน 3 ราง-มะฮอกกานี</v>
      </c>
    </row>
    <row r="1040">
      <c r="A1040" s="128" t="str">
        <f>IFERROR(__xludf.DUMMYFUNCTION("""COMPUTED_VALUE"""),"อลูมิเนียม")</f>
        <v>อลูมิเนียม</v>
      </c>
      <c r="B1040" s="128" t="str">
        <f>IFERROR(__xludf.DUMMYFUNCTION("""COMPUTED_VALUE"""),"F7870-เฟรมข้างบานเลื่อน 3 ราง (ตัวหนา)-อบขาว")</f>
        <v>F7870-เฟรมข้างบานเลื่อน 3 ราง (ตัวหนา)-อบขาว</v>
      </c>
    </row>
    <row r="1041">
      <c r="A1041" s="128" t="str">
        <f>IFERROR(__xludf.DUMMYFUNCTION("""COMPUTED_VALUE"""),"อลูมิเนียม")</f>
        <v>อลูมิเนียม</v>
      </c>
      <c r="B1041" s="128" t="str">
        <f>IFERROR(__xludf.DUMMYFUNCTION("""COMPUTED_VALUE"""),"F7870-เฟรมข้างบานเลื่อน 3 ราง (ตัวหนา)-ดำ")</f>
        <v>F7870-เฟรมข้างบานเลื่อน 3 ราง (ตัวหนา)-ดำ</v>
      </c>
    </row>
    <row r="1042">
      <c r="A1042" s="128" t="str">
        <f>IFERROR(__xludf.DUMMYFUNCTION("""COMPUTED_VALUE"""),"อลูมิเนียม")</f>
        <v>อลูมิเนียม</v>
      </c>
      <c r="B1042" s="128" t="str">
        <f>IFERROR(__xludf.DUMMYFUNCTION("""COMPUTED_VALUE"""),"F7870-เฟรมข้างบานเลื่อน 3 ราง (ตัวหนา)-เทาซาฮาร่า")</f>
        <v>F7870-เฟรมข้างบานเลื่อน 3 ราง (ตัวหนา)-เทาซาฮาร่า</v>
      </c>
    </row>
    <row r="1043">
      <c r="A1043" s="128" t="str">
        <f>IFERROR(__xludf.DUMMYFUNCTION("""COMPUTED_VALUE"""),"อลูมิเนียม")</f>
        <v>อลูมิเนียม</v>
      </c>
      <c r="B1043" s="128" t="str">
        <f>IFERROR(__xludf.DUMMYFUNCTION("""COMPUTED_VALUE"""),"F7870-เฟรมข้างบานเลื่อน 3 ราง (ตัวหนา)-Aztec gray")</f>
        <v>F7870-เฟรมข้างบานเลื่อน 3 ราง (ตัวหนา)-Aztec gray</v>
      </c>
    </row>
    <row r="1044">
      <c r="A1044" s="128" t="str">
        <f>IFERROR(__xludf.DUMMYFUNCTION("""COMPUTED_VALUE"""),"อลูมิเนียม")</f>
        <v>อลูมิเนียม</v>
      </c>
      <c r="B1044" s="128" t="str">
        <f>IFERROR(__xludf.DUMMYFUNCTION("""COMPUTED_VALUE"""),"F7870-เฟรมข้างบานเลื่อน 3 ราง (ตัวหนา)-ลายไม้สักทอง")</f>
        <v>F7870-เฟรมข้างบานเลื่อน 3 ราง (ตัวหนา)-ลายไม้สักทอง</v>
      </c>
    </row>
    <row r="1045">
      <c r="A1045" s="128" t="str">
        <f>IFERROR(__xludf.DUMMYFUNCTION("""COMPUTED_VALUE"""),"อลูมิเนียม")</f>
        <v>อลูมิเนียม</v>
      </c>
      <c r="B1045" s="128" t="str">
        <f>IFERROR(__xludf.DUMMYFUNCTION("""COMPUTED_VALUE"""),"F7870-เฟรมข้างบานเลื่อน 3 ราง (ตัวหนา)-ไวท์โอ็ค")</f>
        <v>F7870-เฟรมข้างบานเลื่อน 3 ราง (ตัวหนา)-ไวท์โอ็ค</v>
      </c>
    </row>
    <row r="1046">
      <c r="A1046" s="128" t="str">
        <f>IFERROR(__xludf.DUMMYFUNCTION("""COMPUTED_VALUE"""),"อลูมิเนียม")</f>
        <v>อลูมิเนียม</v>
      </c>
      <c r="B1046" s="128" t="str">
        <f>IFERROR(__xludf.DUMMYFUNCTION("""COMPUTED_VALUE"""),"F7870-เฟรมข้างบานเลื่อน 3 ราง (ตัวหนา)-มะฮอกกานี")</f>
        <v>F7870-เฟรมข้างบานเลื่อน 3 ราง (ตัวหนา)-มะฮอกกานี</v>
      </c>
    </row>
    <row r="1047">
      <c r="A1047" s="128" t="str">
        <f>IFERROR(__xludf.DUMMYFUNCTION("""COMPUTED_VALUE"""),"อลูมิเนียม")</f>
        <v>อลูมิเนียม</v>
      </c>
      <c r="B1047" s="128" t="str">
        <f>IFERROR(__xludf.DUMMYFUNCTION("""COMPUTED_VALUE"""),"F7979-เฟรมข้างบานเลื่อน 2 ราง-อบขาว")</f>
        <v>F7979-เฟรมข้างบานเลื่อน 2 ราง-อบขาว</v>
      </c>
    </row>
    <row r="1048">
      <c r="A1048" s="128" t="str">
        <f>IFERROR(__xludf.DUMMYFUNCTION("""COMPUTED_VALUE"""),"อลูมิเนียม")</f>
        <v>อลูมิเนียม</v>
      </c>
      <c r="B1048" s="128" t="str">
        <f>IFERROR(__xludf.DUMMYFUNCTION("""COMPUTED_VALUE"""),"F7979-เฟรมข้างบานเลื่อน 2 ราง-ดำ")</f>
        <v>F7979-เฟรมข้างบานเลื่อน 2 ราง-ดำ</v>
      </c>
    </row>
    <row r="1049">
      <c r="A1049" s="128" t="str">
        <f>IFERROR(__xludf.DUMMYFUNCTION("""COMPUTED_VALUE"""),"อลูมิเนียม")</f>
        <v>อลูมิเนียม</v>
      </c>
      <c r="B1049" s="128" t="str">
        <f>IFERROR(__xludf.DUMMYFUNCTION("""COMPUTED_VALUE"""),"F7979-เฟรมข้างบานเลื่อน 2 ราง-เทาซาฮาร่า")</f>
        <v>F7979-เฟรมข้างบานเลื่อน 2 ราง-เทาซาฮาร่า</v>
      </c>
    </row>
    <row r="1050">
      <c r="A1050" s="128" t="str">
        <f>IFERROR(__xludf.DUMMYFUNCTION("""COMPUTED_VALUE"""),"อลูมิเนียม")</f>
        <v>อลูมิเนียม</v>
      </c>
      <c r="B1050" s="128" t="str">
        <f>IFERROR(__xludf.DUMMYFUNCTION("""COMPUTED_VALUE"""),"F7979-เฟรมข้างบานเลื่อน 2 ราง-Aztec gray")</f>
        <v>F7979-เฟรมข้างบานเลื่อน 2 ราง-Aztec gray</v>
      </c>
    </row>
    <row r="1051">
      <c r="A1051" s="128" t="str">
        <f>IFERROR(__xludf.DUMMYFUNCTION("""COMPUTED_VALUE"""),"อลูมิเนียม")</f>
        <v>อลูมิเนียม</v>
      </c>
      <c r="B1051" s="128" t="str">
        <f>IFERROR(__xludf.DUMMYFUNCTION("""COMPUTED_VALUE"""),"F7979-เฟรมข้างบานเลื่อน 2 ราง-ลายไม้สักทอง")</f>
        <v>F7979-เฟรมข้างบานเลื่อน 2 ราง-ลายไม้สักทอง</v>
      </c>
    </row>
    <row r="1052">
      <c r="A1052" s="128" t="str">
        <f>IFERROR(__xludf.DUMMYFUNCTION("""COMPUTED_VALUE"""),"อลูมิเนียม")</f>
        <v>อลูมิเนียม</v>
      </c>
      <c r="B1052" s="128" t="str">
        <f>IFERROR(__xludf.DUMMYFUNCTION("""COMPUTED_VALUE"""),"F7979-เฟรมข้างบานเลื่อน 2 ราง-ไวท์โอ็ค")</f>
        <v>F7979-เฟรมข้างบานเลื่อน 2 ราง-ไวท์โอ็ค</v>
      </c>
    </row>
    <row r="1053">
      <c r="A1053" s="128" t="str">
        <f>IFERROR(__xludf.DUMMYFUNCTION("""COMPUTED_VALUE"""),"อลูมิเนียม")</f>
        <v>อลูมิเนียม</v>
      </c>
      <c r="B1053" s="128" t="str">
        <f>IFERROR(__xludf.DUMMYFUNCTION("""COMPUTED_VALUE"""),"F7979-เฟรมข้างบานเลื่อน 2 ราง-มะฮอกกานี")</f>
        <v>F7979-เฟรมข้างบานเลื่อน 2 ราง-มะฮอกกานี</v>
      </c>
    </row>
    <row r="1054">
      <c r="A1054" s="128" t="str">
        <f>IFERROR(__xludf.DUMMYFUNCTION("""COMPUTED_VALUE"""),"อลูมิเนียม")</f>
        <v>อลูมิเนียม</v>
      </c>
      <c r="B1054" s="128" t="str">
        <f>IFERROR(__xludf.DUMMYFUNCTION("""COMPUTED_VALUE"""),"F7986-ตบรับล็อกเฟรมข้าง-อบขาว")</f>
        <v>F7986-ตบรับล็อกเฟรมข้าง-อบขาว</v>
      </c>
    </row>
    <row r="1055">
      <c r="A1055" s="128" t="str">
        <f>IFERROR(__xludf.DUMMYFUNCTION("""COMPUTED_VALUE"""),"อลูมิเนียม")</f>
        <v>อลูมิเนียม</v>
      </c>
      <c r="B1055" s="128" t="str">
        <f>IFERROR(__xludf.DUMMYFUNCTION("""COMPUTED_VALUE"""),"F7986-ตบรับล็อกเฟรมข้าง-ดำ")</f>
        <v>F7986-ตบรับล็อกเฟรมข้าง-ดำ</v>
      </c>
    </row>
    <row r="1056">
      <c r="A1056" s="128" t="str">
        <f>IFERROR(__xludf.DUMMYFUNCTION("""COMPUTED_VALUE"""),"อลูมิเนียม")</f>
        <v>อลูมิเนียม</v>
      </c>
      <c r="B1056" s="128" t="str">
        <f>IFERROR(__xludf.DUMMYFUNCTION("""COMPUTED_VALUE"""),"F7986-ตบรับล็อกเฟรมข้าง-เทาซาฮาร่า")</f>
        <v>F7986-ตบรับล็อกเฟรมข้าง-เทาซาฮาร่า</v>
      </c>
    </row>
    <row r="1057">
      <c r="A1057" s="128" t="str">
        <f>IFERROR(__xludf.DUMMYFUNCTION("""COMPUTED_VALUE"""),"อลูมิเนียม")</f>
        <v>อลูมิเนียม</v>
      </c>
      <c r="B1057" s="128" t="str">
        <f>IFERROR(__xludf.DUMMYFUNCTION("""COMPUTED_VALUE"""),"F7986-ตบรับล็อกเฟรมข้าง-Aztec gray")</f>
        <v>F7986-ตบรับล็อกเฟรมข้าง-Aztec gray</v>
      </c>
    </row>
    <row r="1058">
      <c r="A1058" s="128" t="str">
        <f>IFERROR(__xludf.DUMMYFUNCTION("""COMPUTED_VALUE"""),"อลูมิเนียม")</f>
        <v>อลูมิเนียม</v>
      </c>
      <c r="B1058" s="128" t="str">
        <f>IFERROR(__xludf.DUMMYFUNCTION("""COMPUTED_VALUE"""),"F7986-ตบรับล็อกเฟรมข้าง-ลายไม้สักทอง")</f>
        <v>F7986-ตบรับล็อกเฟรมข้าง-ลายไม้สักทอง</v>
      </c>
    </row>
    <row r="1059">
      <c r="A1059" s="128" t="str">
        <f>IFERROR(__xludf.DUMMYFUNCTION("""COMPUTED_VALUE"""),"อลูมิเนียม")</f>
        <v>อลูมิเนียม</v>
      </c>
      <c r="B1059" s="128" t="str">
        <f>IFERROR(__xludf.DUMMYFUNCTION("""COMPUTED_VALUE"""),"F7986-ตบรับล็อกเฟรมข้าง-ไวท์โอ็ค")</f>
        <v>F7986-ตบรับล็อกเฟรมข้าง-ไวท์โอ็ค</v>
      </c>
    </row>
    <row r="1060">
      <c r="A1060" s="128" t="str">
        <f>IFERROR(__xludf.DUMMYFUNCTION("""COMPUTED_VALUE"""),"อลูมิเนียม")</f>
        <v>อลูมิเนียม</v>
      </c>
      <c r="B1060" s="128" t="str">
        <f>IFERROR(__xludf.DUMMYFUNCTION("""COMPUTED_VALUE"""),"F7986-ตบรับล็อกเฟรมข้าง-มะฮอกกานี")</f>
        <v>F7986-ตบรับล็อกเฟรมข้าง-มะฮอกกานี</v>
      </c>
    </row>
    <row r="1061">
      <c r="A1061" s="128" t="str">
        <f>IFERROR(__xludf.DUMMYFUNCTION("""COMPUTED_VALUE"""),"อลูมิเนียม")</f>
        <v>อลูมิเนียม</v>
      </c>
      <c r="B1061" s="128" t="str">
        <f>IFERROR(__xludf.DUMMYFUNCTION("""COMPUTED_VALUE"""),"F7989-กล่องต่อเฟรมข้างบานเลื่อน-อบขาว")</f>
        <v>F7989-กล่องต่อเฟรมข้างบานเลื่อน-อบขาว</v>
      </c>
    </row>
    <row r="1062">
      <c r="A1062" s="128" t="str">
        <f>IFERROR(__xludf.DUMMYFUNCTION("""COMPUTED_VALUE"""),"อลูมิเนียม")</f>
        <v>อลูมิเนียม</v>
      </c>
      <c r="B1062" s="128" t="str">
        <f>IFERROR(__xludf.DUMMYFUNCTION("""COMPUTED_VALUE"""),"F7989-กล่องต่อเฟรมข้างบานเลื่อน-ดำ")</f>
        <v>F7989-กล่องต่อเฟรมข้างบานเลื่อน-ดำ</v>
      </c>
    </row>
    <row r="1063">
      <c r="A1063" s="128" t="str">
        <f>IFERROR(__xludf.DUMMYFUNCTION("""COMPUTED_VALUE"""),"อลูมิเนียม")</f>
        <v>อลูมิเนียม</v>
      </c>
      <c r="B1063" s="128" t="str">
        <f>IFERROR(__xludf.DUMMYFUNCTION("""COMPUTED_VALUE"""),"F7989-กล่องต่อเฟรมข้างบานเลื่อน-เทาซาฮาร่า")</f>
        <v>F7989-กล่องต่อเฟรมข้างบานเลื่อน-เทาซาฮาร่า</v>
      </c>
    </row>
    <row r="1064">
      <c r="A1064" s="128" t="str">
        <f>IFERROR(__xludf.DUMMYFUNCTION("""COMPUTED_VALUE"""),"อลูมิเนียม")</f>
        <v>อลูมิเนียม</v>
      </c>
      <c r="B1064" s="128" t="str">
        <f>IFERROR(__xludf.DUMMYFUNCTION("""COMPUTED_VALUE"""),"F7989-กล่องต่อเฟรมข้างบานเลื่อน-Aztec gray")</f>
        <v>F7989-กล่องต่อเฟรมข้างบานเลื่อน-Aztec gray</v>
      </c>
    </row>
    <row r="1065">
      <c r="A1065" s="128" t="str">
        <f>IFERROR(__xludf.DUMMYFUNCTION("""COMPUTED_VALUE"""),"อลูมิเนียม")</f>
        <v>อลูมิเนียม</v>
      </c>
      <c r="B1065" s="128" t="str">
        <f>IFERROR(__xludf.DUMMYFUNCTION("""COMPUTED_VALUE"""),"F7989-กล่องต่อเฟรมข้างบานเลื่อน-ลายไม้สักทอง")</f>
        <v>F7989-กล่องต่อเฟรมข้างบานเลื่อน-ลายไม้สักทอง</v>
      </c>
    </row>
    <row r="1066">
      <c r="A1066" s="128" t="str">
        <f>IFERROR(__xludf.DUMMYFUNCTION("""COMPUTED_VALUE"""),"อลูมิเนียม")</f>
        <v>อลูมิเนียม</v>
      </c>
      <c r="B1066" s="128" t="str">
        <f>IFERROR(__xludf.DUMMYFUNCTION("""COMPUTED_VALUE"""),"F7989-กล่องต่อเฟรมข้างบานเลื่อน-ไวท์โอ็ค")</f>
        <v>F7989-กล่องต่อเฟรมข้างบานเลื่อน-ไวท์โอ็ค</v>
      </c>
    </row>
    <row r="1067">
      <c r="A1067" s="128" t="str">
        <f>IFERROR(__xludf.DUMMYFUNCTION("""COMPUTED_VALUE"""),"อลูมิเนียม")</f>
        <v>อลูมิเนียม</v>
      </c>
      <c r="B1067" s="128" t="str">
        <f>IFERROR(__xludf.DUMMYFUNCTION("""COMPUTED_VALUE"""),"F7989-กล่องต่อเฟรมข้างบานเลื่อน-มะฮอกกานี")</f>
        <v>F7989-กล่องต่อเฟรมข้างบานเลื่อน-มะฮอกกานี</v>
      </c>
    </row>
    <row r="1068">
      <c r="A1068" s="128" t="str">
        <f>IFERROR(__xludf.DUMMYFUNCTION("""COMPUTED_VALUE"""),"อลูมิเนียม")</f>
        <v>อลูมิเนียม</v>
      </c>
      <c r="B1068" s="128" t="str">
        <f>IFERROR(__xludf.DUMMYFUNCTION("""COMPUTED_VALUE"""),"F7867-กรอบบานเลื่อน ประตู (ตัวบาง)-อบขาว")</f>
        <v>F7867-กรอบบานเลื่อน ประตู (ตัวบาง)-อบขาว</v>
      </c>
    </row>
    <row r="1069">
      <c r="A1069" s="128" t="str">
        <f>IFERROR(__xludf.DUMMYFUNCTION("""COMPUTED_VALUE"""),"อลูมิเนียม")</f>
        <v>อลูมิเนียม</v>
      </c>
      <c r="B1069" s="128" t="str">
        <f>IFERROR(__xludf.DUMMYFUNCTION("""COMPUTED_VALUE"""),"F7867-กรอบบานเลื่อน ประตู (ตัวบาง)-ดำ")</f>
        <v>F7867-กรอบบานเลื่อน ประตู (ตัวบาง)-ดำ</v>
      </c>
    </row>
    <row r="1070">
      <c r="A1070" s="128" t="str">
        <f>IFERROR(__xludf.DUMMYFUNCTION("""COMPUTED_VALUE"""),"อลูมิเนียม")</f>
        <v>อลูมิเนียม</v>
      </c>
      <c r="B1070" s="128" t="str">
        <f>IFERROR(__xludf.DUMMYFUNCTION("""COMPUTED_VALUE"""),"F7867-กรอบบานเลื่อน ประตู (ตัวบาง)-เทาซาฮาร่า")</f>
        <v>F7867-กรอบบานเลื่อน ประตู (ตัวบาง)-เทาซาฮาร่า</v>
      </c>
    </row>
    <row r="1071">
      <c r="A1071" s="128" t="str">
        <f>IFERROR(__xludf.DUMMYFUNCTION("""COMPUTED_VALUE"""),"อลูมิเนียม")</f>
        <v>อลูมิเนียม</v>
      </c>
      <c r="B1071" s="128" t="str">
        <f>IFERROR(__xludf.DUMMYFUNCTION("""COMPUTED_VALUE"""),"F7867-กรอบบานเลื่อน ประตู (ตัวบาง)-Aztec gray")</f>
        <v>F7867-กรอบบานเลื่อน ประตู (ตัวบาง)-Aztec gray</v>
      </c>
    </row>
    <row r="1072">
      <c r="A1072" s="128" t="str">
        <f>IFERROR(__xludf.DUMMYFUNCTION("""COMPUTED_VALUE"""),"อลูมิเนียม")</f>
        <v>อลูมิเนียม</v>
      </c>
      <c r="B1072" s="128" t="str">
        <f>IFERROR(__xludf.DUMMYFUNCTION("""COMPUTED_VALUE"""),"F7867-กรอบบานเลื่อน ประตู (ตัวบาง)-ลายไม้สักทอง")</f>
        <v>F7867-กรอบบานเลื่อน ประตู (ตัวบาง)-ลายไม้สักทอง</v>
      </c>
    </row>
    <row r="1073">
      <c r="A1073" s="128" t="str">
        <f>IFERROR(__xludf.DUMMYFUNCTION("""COMPUTED_VALUE"""),"อลูมิเนียม")</f>
        <v>อลูมิเนียม</v>
      </c>
      <c r="B1073" s="128" t="str">
        <f>IFERROR(__xludf.DUMMYFUNCTION("""COMPUTED_VALUE"""),"F7867-กรอบบานเลื่อน ประตู (ตัวบาง)-ไวท์โอ็ค")</f>
        <v>F7867-กรอบบานเลื่อน ประตู (ตัวบาง)-ไวท์โอ็ค</v>
      </c>
    </row>
    <row r="1074">
      <c r="A1074" s="128" t="str">
        <f>IFERROR(__xludf.DUMMYFUNCTION("""COMPUTED_VALUE"""),"อลูมิเนียม")</f>
        <v>อลูมิเนียม</v>
      </c>
      <c r="B1074" s="128" t="str">
        <f>IFERROR(__xludf.DUMMYFUNCTION("""COMPUTED_VALUE"""),"F7867-กรอบบานเลื่อน ประตู (ตัวบาง)-มะฮอกกานี")</f>
        <v>F7867-กรอบบานเลื่อน ประตู (ตัวบาง)-มะฮอกกานี</v>
      </c>
    </row>
    <row r="1075">
      <c r="A1075" s="128" t="str">
        <f>IFERROR(__xludf.DUMMYFUNCTION("""COMPUTED_VALUE"""),"อลูมิเนียม")</f>
        <v>อลูมิเนียม</v>
      </c>
      <c r="B1075" s="128" t="str">
        <f>IFERROR(__xludf.DUMMYFUNCTION("""COMPUTED_VALUE"""),"F7980-กรอบบานเลื่อนประตู-อบขาว")</f>
        <v>F7980-กรอบบานเลื่อนประตู-อบขาว</v>
      </c>
    </row>
    <row r="1076">
      <c r="A1076" s="128" t="str">
        <f>IFERROR(__xludf.DUMMYFUNCTION("""COMPUTED_VALUE"""),"อลูมิเนียม")</f>
        <v>อลูมิเนียม</v>
      </c>
      <c r="B1076" s="128" t="str">
        <f>IFERROR(__xludf.DUMMYFUNCTION("""COMPUTED_VALUE"""),"F7980-กรอบบานเลื่อนประตู-ดำ")</f>
        <v>F7980-กรอบบานเลื่อนประตู-ดำ</v>
      </c>
    </row>
    <row r="1077">
      <c r="A1077" s="128" t="str">
        <f>IFERROR(__xludf.DUMMYFUNCTION("""COMPUTED_VALUE"""),"อลูมิเนียม")</f>
        <v>อลูมิเนียม</v>
      </c>
      <c r="B1077" s="128" t="str">
        <f>IFERROR(__xludf.DUMMYFUNCTION("""COMPUTED_VALUE"""),"F7980-กรอบบานเลื่อนประตู-เทาซาฮาร่า")</f>
        <v>F7980-กรอบบานเลื่อนประตู-เทาซาฮาร่า</v>
      </c>
    </row>
    <row r="1078">
      <c r="A1078" s="128" t="str">
        <f>IFERROR(__xludf.DUMMYFUNCTION("""COMPUTED_VALUE"""),"อลูมิเนียม")</f>
        <v>อลูมิเนียม</v>
      </c>
      <c r="B1078" s="128" t="str">
        <f>IFERROR(__xludf.DUMMYFUNCTION("""COMPUTED_VALUE"""),"F7980-กรอบบานเลื่อนประตู-Aztec gray")</f>
        <v>F7980-กรอบบานเลื่อนประตู-Aztec gray</v>
      </c>
    </row>
    <row r="1079">
      <c r="A1079" s="128" t="str">
        <f>IFERROR(__xludf.DUMMYFUNCTION("""COMPUTED_VALUE"""),"อลูมิเนียม")</f>
        <v>อลูมิเนียม</v>
      </c>
      <c r="B1079" s="128" t="str">
        <f>IFERROR(__xludf.DUMMYFUNCTION("""COMPUTED_VALUE"""),"F7980-กรอบบานเลื่อนประตู-ลายไม้สักทอง")</f>
        <v>F7980-กรอบบานเลื่อนประตู-ลายไม้สักทอง</v>
      </c>
    </row>
    <row r="1080">
      <c r="A1080" s="128" t="str">
        <f>IFERROR(__xludf.DUMMYFUNCTION("""COMPUTED_VALUE"""),"อลูมิเนียม")</f>
        <v>อลูมิเนียม</v>
      </c>
      <c r="B1080" s="128" t="str">
        <f>IFERROR(__xludf.DUMMYFUNCTION("""COMPUTED_VALUE"""),"F7980-กรอบบานเลื่อนประตู-ไวท์โอ็ค")</f>
        <v>F7980-กรอบบานเลื่อนประตู-ไวท์โอ็ค</v>
      </c>
    </row>
    <row r="1081">
      <c r="A1081" s="128" t="str">
        <f>IFERROR(__xludf.DUMMYFUNCTION("""COMPUTED_VALUE"""),"อลูมิเนียม")</f>
        <v>อลูมิเนียม</v>
      </c>
      <c r="B1081" s="128" t="str">
        <f>IFERROR(__xludf.DUMMYFUNCTION("""COMPUTED_VALUE"""),"F7980-กรอบบานเลื่อนประตู-มะฮอกกานี")</f>
        <v>F7980-กรอบบานเลื่อนประตู-มะฮอกกานี</v>
      </c>
    </row>
    <row r="1082">
      <c r="A1082" s="128" t="str">
        <f>IFERROR(__xludf.DUMMYFUNCTION("""COMPUTED_VALUE"""),"อลูมิเนียม")</f>
        <v>อลูมิเนียม</v>
      </c>
      <c r="B1082" s="128" t="str">
        <f>IFERROR(__xludf.DUMMYFUNCTION("""COMPUTED_VALUE"""),"F7981-กรอบบานเลื่อนหน้าต่าง-อบขาว")</f>
        <v>F7981-กรอบบานเลื่อนหน้าต่าง-อบขาว</v>
      </c>
    </row>
    <row r="1083">
      <c r="A1083" s="128" t="str">
        <f>IFERROR(__xludf.DUMMYFUNCTION("""COMPUTED_VALUE"""),"อลูมิเนียม")</f>
        <v>อลูมิเนียม</v>
      </c>
      <c r="B1083" s="128" t="str">
        <f>IFERROR(__xludf.DUMMYFUNCTION("""COMPUTED_VALUE"""),"F7981-กรอบบานเลื่อนหน้าต่าง-ดำ")</f>
        <v>F7981-กรอบบานเลื่อนหน้าต่าง-ดำ</v>
      </c>
    </row>
    <row r="1084">
      <c r="A1084" s="128" t="str">
        <f>IFERROR(__xludf.DUMMYFUNCTION("""COMPUTED_VALUE"""),"อลูมิเนียม")</f>
        <v>อลูมิเนียม</v>
      </c>
      <c r="B1084" s="128" t="str">
        <f>IFERROR(__xludf.DUMMYFUNCTION("""COMPUTED_VALUE"""),"F7981-กรอบบานเลื่อนหน้าต่าง-เทาซาฮาร่า")</f>
        <v>F7981-กรอบบานเลื่อนหน้าต่าง-เทาซาฮาร่า</v>
      </c>
    </row>
    <row r="1085">
      <c r="A1085" s="128" t="str">
        <f>IFERROR(__xludf.DUMMYFUNCTION("""COMPUTED_VALUE"""),"อลูมิเนียม")</f>
        <v>อลูมิเนียม</v>
      </c>
      <c r="B1085" s="128" t="str">
        <f>IFERROR(__xludf.DUMMYFUNCTION("""COMPUTED_VALUE"""),"F7981-กรอบบานเลื่อนหน้าต่าง-Aztec gray")</f>
        <v>F7981-กรอบบานเลื่อนหน้าต่าง-Aztec gray</v>
      </c>
    </row>
    <row r="1086">
      <c r="A1086" s="128" t="str">
        <f>IFERROR(__xludf.DUMMYFUNCTION("""COMPUTED_VALUE"""),"อลูมิเนียม")</f>
        <v>อลูมิเนียม</v>
      </c>
      <c r="B1086" s="128" t="str">
        <f>IFERROR(__xludf.DUMMYFUNCTION("""COMPUTED_VALUE"""),"F7981-กรอบบานเลื่อนหน้าต่าง-ลายไม้สักทอง")</f>
        <v>F7981-กรอบบานเลื่อนหน้าต่าง-ลายไม้สักทอง</v>
      </c>
    </row>
    <row r="1087">
      <c r="A1087" s="128" t="str">
        <f>IFERROR(__xludf.DUMMYFUNCTION("""COMPUTED_VALUE"""),"อลูมิเนียม")</f>
        <v>อลูมิเนียม</v>
      </c>
      <c r="B1087" s="128" t="str">
        <f>IFERROR(__xludf.DUMMYFUNCTION("""COMPUTED_VALUE"""),"F7981-กรอบบานเลื่อนหน้าต่าง-ไวท์โอ็ค")</f>
        <v>F7981-กรอบบานเลื่อนหน้าต่าง-ไวท์โอ็ค</v>
      </c>
    </row>
    <row r="1088">
      <c r="A1088" s="128" t="str">
        <f>IFERROR(__xludf.DUMMYFUNCTION("""COMPUTED_VALUE"""),"อลูมิเนียม")</f>
        <v>อลูมิเนียม</v>
      </c>
      <c r="B1088" s="128" t="str">
        <f>IFERROR(__xludf.DUMMYFUNCTION("""COMPUTED_VALUE"""),"F7981-กรอบบานเลื่อนหน้าต่าง-มะฮอกกานี")</f>
        <v>F7981-กรอบบานเลื่อนหน้าต่าง-มะฮอกกานี</v>
      </c>
    </row>
    <row r="1089">
      <c r="A1089" s="128" t="str">
        <f>IFERROR(__xludf.DUMMYFUNCTION("""COMPUTED_VALUE"""),"อลูมิเนียม")</f>
        <v>อลูมิเนียม</v>
      </c>
      <c r="B1089" s="128" t="str">
        <f>IFERROR(__xludf.DUMMYFUNCTION("""COMPUTED_VALUE"""),"F7991-ตบธรณีบานเลื่อน-อบขาว")</f>
        <v>F7991-ตบธรณีบานเลื่อน-อบขาว</v>
      </c>
    </row>
    <row r="1090">
      <c r="A1090" s="128" t="str">
        <f>IFERROR(__xludf.DUMMYFUNCTION("""COMPUTED_VALUE"""),"อลูมิเนียม")</f>
        <v>อลูมิเนียม</v>
      </c>
      <c r="B1090" s="128" t="str">
        <f>IFERROR(__xludf.DUMMYFUNCTION("""COMPUTED_VALUE"""),"F7991-ตบธรณีบานเลื่อน-ดำ")</f>
        <v>F7991-ตบธรณีบานเลื่อน-ดำ</v>
      </c>
    </row>
    <row r="1091">
      <c r="A1091" s="128" t="str">
        <f>IFERROR(__xludf.DUMMYFUNCTION("""COMPUTED_VALUE"""),"อลูมิเนียม")</f>
        <v>อลูมิเนียม</v>
      </c>
      <c r="B1091" s="128" t="str">
        <f>IFERROR(__xludf.DUMMYFUNCTION("""COMPUTED_VALUE"""),"F7991-ตบธรณีบานเลื่อน-เทาซาฮาร่า")</f>
        <v>F7991-ตบธรณีบานเลื่อน-เทาซาฮาร่า</v>
      </c>
    </row>
    <row r="1092">
      <c r="A1092" s="128" t="str">
        <f>IFERROR(__xludf.DUMMYFUNCTION("""COMPUTED_VALUE"""),"อลูมิเนียม")</f>
        <v>อลูมิเนียม</v>
      </c>
      <c r="B1092" s="128" t="str">
        <f>IFERROR(__xludf.DUMMYFUNCTION("""COMPUTED_VALUE"""),"F7991-ตบธรณีบานเลื่อน-Aztec gray")</f>
        <v>F7991-ตบธรณีบานเลื่อน-Aztec gray</v>
      </c>
    </row>
    <row r="1093">
      <c r="A1093" s="128" t="str">
        <f>IFERROR(__xludf.DUMMYFUNCTION("""COMPUTED_VALUE"""),"อลูมิเนียม")</f>
        <v>อลูมิเนียม</v>
      </c>
      <c r="B1093" s="128" t="str">
        <f>IFERROR(__xludf.DUMMYFUNCTION("""COMPUTED_VALUE"""),"F7991-ตบธรณีบานเลื่อน-ลายไม้สักทอง")</f>
        <v>F7991-ตบธรณีบานเลื่อน-ลายไม้สักทอง</v>
      </c>
    </row>
    <row r="1094">
      <c r="A1094" s="128" t="str">
        <f>IFERROR(__xludf.DUMMYFUNCTION("""COMPUTED_VALUE"""),"อลูมิเนียม")</f>
        <v>อลูมิเนียม</v>
      </c>
      <c r="B1094" s="128" t="str">
        <f>IFERROR(__xludf.DUMMYFUNCTION("""COMPUTED_VALUE"""),"F7991-ตบธรณีบานเลื่อน-ไวท์โอ็ค")</f>
        <v>F7991-ตบธรณีบานเลื่อน-ไวท์โอ็ค</v>
      </c>
    </row>
    <row r="1095">
      <c r="A1095" s="128" t="str">
        <f>IFERROR(__xludf.DUMMYFUNCTION("""COMPUTED_VALUE"""),"อลูมิเนียม")</f>
        <v>อลูมิเนียม</v>
      </c>
      <c r="B1095" s="128" t="str">
        <f>IFERROR(__xludf.DUMMYFUNCTION("""COMPUTED_VALUE"""),"F7991-ตบธรณีบานเลื่อน-มะฮอกกานี")</f>
        <v>F7991-ตบธรณีบานเลื่อน-มะฮอกกานี</v>
      </c>
    </row>
    <row r="1096">
      <c r="A1096" s="128" t="str">
        <f>IFERROR(__xludf.DUMMYFUNCTION("""COMPUTED_VALUE"""),"อลูมิเนียม")</f>
        <v>อลูมิเนียม</v>
      </c>
      <c r="B1096" s="128" t="str">
        <f>IFERROR(__xludf.DUMMYFUNCTION("""COMPUTED_VALUE"""),"F7992-ตบฝังเฟรมบานเลื่อน-อบขาว")</f>
        <v>F7992-ตบฝังเฟรมบานเลื่อน-อบขาว</v>
      </c>
    </row>
    <row r="1097">
      <c r="A1097" s="128" t="str">
        <f>IFERROR(__xludf.DUMMYFUNCTION("""COMPUTED_VALUE"""),"อลูมิเนียม")</f>
        <v>อลูมิเนียม</v>
      </c>
      <c r="B1097" s="128" t="str">
        <f>IFERROR(__xludf.DUMMYFUNCTION("""COMPUTED_VALUE"""),"F7992-ตบฝังเฟรมบานเลื่อน-ดำ")</f>
        <v>F7992-ตบฝังเฟรมบานเลื่อน-ดำ</v>
      </c>
    </row>
    <row r="1098">
      <c r="A1098" s="128" t="str">
        <f>IFERROR(__xludf.DUMMYFUNCTION("""COMPUTED_VALUE"""),"อลูมิเนียม")</f>
        <v>อลูมิเนียม</v>
      </c>
      <c r="B1098" s="128" t="str">
        <f>IFERROR(__xludf.DUMMYFUNCTION("""COMPUTED_VALUE"""),"F7992-ตบฝังเฟรมบานเลื่อน-เทาซาฮาร่า")</f>
        <v>F7992-ตบฝังเฟรมบานเลื่อน-เทาซาฮาร่า</v>
      </c>
    </row>
    <row r="1099">
      <c r="A1099" s="128" t="str">
        <f>IFERROR(__xludf.DUMMYFUNCTION("""COMPUTED_VALUE"""),"อลูมิเนียม")</f>
        <v>อลูมิเนียม</v>
      </c>
      <c r="B1099" s="128" t="str">
        <f>IFERROR(__xludf.DUMMYFUNCTION("""COMPUTED_VALUE"""),"F7992-ตบฝังเฟรมบานเลื่อน-Aztec gray")</f>
        <v>F7992-ตบฝังเฟรมบานเลื่อน-Aztec gray</v>
      </c>
    </row>
    <row r="1100">
      <c r="A1100" s="128" t="str">
        <f>IFERROR(__xludf.DUMMYFUNCTION("""COMPUTED_VALUE"""),"อลูมิเนียม")</f>
        <v>อลูมิเนียม</v>
      </c>
      <c r="B1100" s="128" t="str">
        <f>IFERROR(__xludf.DUMMYFUNCTION("""COMPUTED_VALUE"""),"F7992-ตบฝังเฟรมบานเลื่อน-ลายไม้สักทอง")</f>
        <v>F7992-ตบฝังเฟรมบานเลื่อน-ลายไม้สักทอง</v>
      </c>
    </row>
    <row r="1101">
      <c r="A1101" s="128" t="str">
        <f>IFERROR(__xludf.DUMMYFUNCTION("""COMPUTED_VALUE"""),"อลูมิเนียม")</f>
        <v>อลูมิเนียม</v>
      </c>
      <c r="B1101" s="128" t="str">
        <f>IFERROR(__xludf.DUMMYFUNCTION("""COMPUTED_VALUE"""),"F7992-ตบฝังเฟรมบานเลื่อน-ไวท์โอ็ค")</f>
        <v>F7992-ตบฝังเฟรมบานเลื่อน-ไวท์โอ็ค</v>
      </c>
    </row>
    <row r="1102">
      <c r="A1102" s="128" t="str">
        <f>IFERROR(__xludf.DUMMYFUNCTION("""COMPUTED_VALUE"""),"อลูมิเนียม")</f>
        <v>อลูมิเนียม</v>
      </c>
      <c r="B1102" s="128" t="str">
        <f>IFERROR(__xludf.DUMMYFUNCTION("""COMPUTED_VALUE"""),"F7992-ตบฝังเฟรมบานเลื่อน-มะฮอกกานี")</f>
        <v>F7992-ตบฝังเฟรมบานเลื่อน-มะฮอกกานี</v>
      </c>
    </row>
    <row r="1103">
      <c r="A1103" s="128" t="str">
        <f>IFERROR(__xludf.DUMMYFUNCTION("""COMPUTED_VALUE"""),"อลูมิเนียม")</f>
        <v>อลูมิเนียม</v>
      </c>
      <c r="B1103" s="128" t="str">
        <f>IFERROR(__xludf.DUMMYFUNCTION("""COMPUTED_VALUE"""),"F7982-ตบเกี่ยวทางเดียว หน้าต่าง-อบขาว")</f>
        <v>F7982-ตบเกี่ยวทางเดียว หน้าต่าง-อบขาว</v>
      </c>
    </row>
    <row r="1104">
      <c r="A1104" s="128" t="str">
        <f>IFERROR(__xludf.DUMMYFUNCTION("""COMPUTED_VALUE"""),"อลูมิเนียม")</f>
        <v>อลูมิเนียม</v>
      </c>
      <c r="B1104" s="128" t="str">
        <f>IFERROR(__xludf.DUMMYFUNCTION("""COMPUTED_VALUE"""),"F7982-ตบเกี่ยวทางเดียว หน้าต่าง-ดำ")</f>
        <v>F7982-ตบเกี่ยวทางเดียว หน้าต่าง-ดำ</v>
      </c>
    </row>
    <row r="1105">
      <c r="A1105" s="128" t="str">
        <f>IFERROR(__xludf.DUMMYFUNCTION("""COMPUTED_VALUE"""),"อลูมิเนียม")</f>
        <v>อลูมิเนียม</v>
      </c>
      <c r="B1105" s="128" t="str">
        <f>IFERROR(__xludf.DUMMYFUNCTION("""COMPUTED_VALUE"""),"F7982-ตบเกี่ยวทางเดียว หน้าต่าง-เทาซาฮาร่า")</f>
        <v>F7982-ตบเกี่ยวทางเดียว หน้าต่าง-เทาซาฮาร่า</v>
      </c>
    </row>
    <row r="1106">
      <c r="A1106" s="128" t="str">
        <f>IFERROR(__xludf.DUMMYFUNCTION("""COMPUTED_VALUE"""),"อลูมิเนียม")</f>
        <v>อลูมิเนียม</v>
      </c>
      <c r="B1106" s="128" t="str">
        <f>IFERROR(__xludf.DUMMYFUNCTION("""COMPUTED_VALUE"""),"F7982-ตบเกี่ยวทางเดียว หน้าต่าง-Aztec gray")</f>
        <v>F7982-ตบเกี่ยวทางเดียว หน้าต่าง-Aztec gray</v>
      </c>
    </row>
    <row r="1107">
      <c r="A1107" s="128" t="str">
        <f>IFERROR(__xludf.DUMMYFUNCTION("""COMPUTED_VALUE"""),"อลูมิเนียม")</f>
        <v>อลูมิเนียม</v>
      </c>
      <c r="B1107" s="128" t="str">
        <f>IFERROR(__xludf.DUMMYFUNCTION("""COMPUTED_VALUE"""),"F7982-ตบเกี่ยวทางเดียว หน้าต่าง-ลายไม้สักทอง")</f>
        <v>F7982-ตบเกี่ยวทางเดียว หน้าต่าง-ลายไม้สักทอง</v>
      </c>
    </row>
    <row r="1108">
      <c r="A1108" s="128" t="str">
        <f>IFERROR(__xludf.DUMMYFUNCTION("""COMPUTED_VALUE"""),"อลูมิเนียม")</f>
        <v>อลูมิเนียม</v>
      </c>
      <c r="B1108" s="128" t="str">
        <f>IFERROR(__xludf.DUMMYFUNCTION("""COMPUTED_VALUE"""),"F7982-ตบเกี่ยวทางเดียว หน้าต่าง-ไวท์โอ็ค")</f>
        <v>F7982-ตบเกี่ยวทางเดียว หน้าต่าง-ไวท์โอ็ค</v>
      </c>
    </row>
    <row r="1109">
      <c r="A1109" s="128" t="str">
        <f>IFERROR(__xludf.DUMMYFUNCTION("""COMPUTED_VALUE"""),"อลูมิเนียม")</f>
        <v>อลูมิเนียม</v>
      </c>
      <c r="B1109" s="128" t="str">
        <f>IFERROR(__xludf.DUMMYFUNCTION("""COMPUTED_VALUE"""),"F7982-ตบเกี่ยวทางเดียว หน้าต่าง-มะฮอกกานี")</f>
        <v>F7982-ตบเกี่ยวทางเดียว หน้าต่าง-มะฮอกกานี</v>
      </c>
    </row>
    <row r="1110">
      <c r="A1110" s="128" t="str">
        <f>IFERROR(__xludf.DUMMYFUNCTION("""COMPUTED_VALUE"""),"อลูมิเนียม")</f>
        <v>อลูมิเนียม</v>
      </c>
      <c r="B1110" s="128" t="str">
        <f>IFERROR(__xludf.DUMMYFUNCTION("""COMPUTED_VALUE"""),"F7983-ตบเกี่ยวทางเดียว ประตู-อบขาว")</f>
        <v>F7983-ตบเกี่ยวทางเดียว ประตู-อบขาว</v>
      </c>
    </row>
    <row r="1111">
      <c r="A1111" s="128" t="str">
        <f>IFERROR(__xludf.DUMMYFUNCTION("""COMPUTED_VALUE"""),"อลูมิเนียม")</f>
        <v>อลูมิเนียม</v>
      </c>
      <c r="B1111" s="128" t="str">
        <f>IFERROR(__xludf.DUMMYFUNCTION("""COMPUTED_VALUE"""),"F7983-ตบเกี่ยวทางเดียว ประตู-ดำ")</f>
        <v>F7983-ตบเกี่ยวทางเดียว ประตู-ดำ</v>
      </c>
    </row>
    <row r="1112">
      <c r="A1112" s="128" t="str">
        <f>IFERROR(__xludf.DUMMYFUNCTION("""COMPUTED_VALUE"""),"อลูมิเนียม")</f>
        <v>อลูมิเนียม</v>
      </c>
      <c r="B1112" s="128" t="str">
        <f>IFERROR(__xludf.DUMMYFUNCTION("""COMPUTED_VALUE"""),"F7983-ตบเกี่ยวทางเดียว ประตู-เทาซาฮาร่า")</f>
        <v>F7983-ตบเกี่ยวทางเดียว ประตู-เทาซาฮาร่า</v>
      </c>
    </row>
    <row r="1113">
      <c r="A1113" s="128" t="str">
        <f>IFERROR(__xludf.DUMMYFUNCTION("""COMPUTED_VALUE"""),"อลูมิเนียม")</f>
        <v>อลูมิเนียม</v>
      </c>
      <c r="B1113" s="128" t="str">
        <f>IFERROR(__xludf.DUMMYFUNCTION("""COMPUTED_VALUE"""),"F7983-ตบเกี่ยวทางเดียว ประตู-Aztec gray")</f>
        <v>F7983-ตบเกี่ยวทางเดียว ประตู-Aztec gray</v>
      </c>
    </row>
    <row r="1114">
      <c r="A1114" s="128" t="str">
        <f>IFERROR(__xludf.DUMMYFUNCTION("""COMPUTED_VALUE"""),"อลูมิเนียม")</f>
        <v>อลูมิเนียม</v>
      </c>
      <c r="B1114" s="128" t="str">
        <f>IFERROR(__xludf.DUMMYFUNCTION("""COMPUTED_VALUE"""),"F7983-ตบเกี่ยวทางเดียว ประตู-ลายไม้สักทอง")</f>
        <v>F7983-ตบเกี่ยวทางเดียว ประตู-ลายไม้สักทอง</v>
      </c>
    </row>
    <row r="1115">
      <c r="A1115" s="128" t="str">
        <f>IFERROR(__xludf.DUMMYFUNCTION("""COMPUTED_VALUE"""),"อลูมิเนียม")</f>
        <v>อลูมิเนียม</v>
      </c>
      <c r="B1115" s="128" t="str">
        <f>IFERROR(__xludf.DUMMYFUNCTION("""COMPUTED_VALUE"""),"F7983-ตบเกี่ยวทางเดียว ประตู-ไวท์โอ็ค")</f>
        <v>F7983-ตบเกี่ยวทางเดียว ประตู-ไวท์โอ็ค</v>
      </c>
    </row>
    <row r="1116">
      <c r="A1116" s="128" t="str">
        <f>IFERROR(__xludf.DUMMYFUNCTION("""COMPUTED_VALUE"""),"อลูมิเนียม")</f>
        <v>อลูมิเนียม</v>
      </c>
      <c r="B1116" s="128" t="str">
        <f>IFERROR(__xludf.DUMMYFUNCTION("""COMPUTED_VALUE"""),"F7983-ตบเกี่ยวทางเดียว ประตู")</f>
        <v>F7983-ตบเกี่ยวทางเดียว ประตู</v>
      </c>
    </row>
    <row r="1117">
      <c r="A1117" s="128" t="str">
        <f>IFERROR(__xludf.DUMMYFUNCTION("""COMPUTED_VALUE"""),"อลูมิเนียม")</f>
        <v>อลูมิเนียม</v>
      </c>
      <c r="B1117" s="128" t="str">
        <f>IFERROR(__xludf.DUMMYFUNCTION("""COMPUTED_VALUE"""),"F7984-ตบเกี่ยวสองทาง หน้าต่าง-อบขาว")</f>
        <v>F7984-ตบเกี่ยวสองทาง หน้าต่าง-อบขาว</v>
      </c>
    </row>
    <row r="1118">
      <c r="A1118" s="128" t="str">
        <f>IFERROR(__xludf.DUMMYFUNCTION("""COMPUTED_VALUE"""),"อลูมิเนียม")</f>
        <v>อลูมิเนียม</v>
      </c>
      <c r="B1118" s="128" t="str">
        <f>IFERROR(__xludf.DUMMYFUNCTION("""COMPUTED_VALUE"""),"F7984-ตบเกี่ยวสองทาง หน้าต่าง-ดำ")</f>
        <v>F7984-ตบเกี่ยวสองทาง หน้าต่าง-ดำ</v>
      </c>
    </row>
    <row r="1119">
      <c r="A1119" s="128" t="str">
        <f>IFERROR(__xludf.DUMMYFUNCTION("""COMPUTED_VALUE"""),"อลูมิเนียม")</f>
        <v>อลูมิเนียม</v>
      </c>
      <c r="B1119" s="128" t="str">
        <f>IFERROR(__xludf.DUMMYFUNCTION("""COMPUTED_VALUE"""),"F7984-ตบเกี่ยวสองทาง หน้าต่าง-เทาซาฮาร่า")</f>
        <v>F7984-ตบเกี่ยวสองทาง หน้าต่าง-เทาซาฮาร่า</v>
      </c>
    </row>
    <row r="1120">
      <c r="A1120" s="128" t="str">
        <f>IFERROR(__xludf.DUMMYFUNCTION("""COMPUTED_VALUE"""),"อลูมิเนียม")</f>
        <v>อลูมิเนียม</v>
      </c>
      <c r="B1120" s="128" t="str">
        <f>IFERROR(__xludf.DUMMYFUNCTION("""COMPUTED_VALUE"""),"F7984-ตบเกี่ยวสองทาง หน้าต่าง-Aztec gray")</f>
        <v>F7984-ตบเกี่ยวสองทาง หน้าต่าง-Aztec gray</v>
      </c>
    </row>
    <row r="1121">
      <c r="A1121" s="128" t="str">
        <f>IFERROR(__xludf.DUMMYFUNCTION("""COMPUTED_VALUE"""),"อลูมิเนียม")</f>
        <v>อลูมิเนียม</v>
      </c>
      <c r="B1121" s="128" t="str">
        <f>IFERROR(__xludf.DUMMYFUNCTION("""COMPUTED_VALUE"""),"F7984-ตบเกี่ยวสองทาง หน้าต่าง-ลายไม้สักทอง")</f>
        <v>F7984-ตบเกี่ยวสองทาง หน้าต่าง-ลายไม้สักทอง</v>
      </c>
    </row>
    <row r="1122">
      <c r="A1122" s="128" t="str">
        <f>IFERROR(__xludf.DUMMYFUNCTION("""COMPUTED_VALUE"""),"อลูมิเนียม")</f>
        <v>อลูมิเนียม</v>
      </c>
      <c r="B1122" s="128" t="str">
        <f>IFERROR(__xludf.DUMMYFUNCTION("""COMPUTED_VALUE"""),"F7984-ตบเกี่ยวสองทาง หน้าต่าง-ไวท์โอ็ค")</f>
        <v>F7984-ตบเกี่ยวสองทาง หน้าต่าง-ไวท์โอ็ค</v>
      </c>
    </row>
    <row r="1123">
      <c r="A1123" s="128" t="str">
        <f>IFERROR(__xludf.DUMMYFUNCTION("""COMPUTED_VALUE"""),"อลูมิเนียม")</f>
        <v>อลูมิเนียม</v>
      </c>
      <c r="B1123" s="128" t="str">
        <f>IFERROR(__xludf.DUMMYFUNCTION("""COMPUTED_VALUE"""),"F7984-ตบเกี่ยวสองทาง หน้าต่าง-มะฮอกกานี")</f>
        <v>F7984-ตบเกี่ยวสองทาง หน้าต่าง-มะฮอกกานี</v>
      </c>
    </row>
    <row r="1124">
      <c r="A1124" s="128" t="str">
        <f>IFERROR(__xludf.DUMMYFUNCTION("""COMPUTED_VALUE"""),"อลูมิเนียม")</f>
        <v>อลูมิเนียม</v>
      </c>
      <c r="B1124" s="128" t="str">
        <f>IFERROR(__xludf.DUMMYFUNCTION("""COMPUTED_VALUE"""),"F7985-ตบเกี่ยวสองทาง ประตู-อบขาว")</f>
        <v>F7985-ตบเกี่ยวสองทาง ประตู-อบขาว</v>
      </c>
    </row>
    <row r="1125">
      <c r="A1125" s="128" t="str">
        <f>IFERROR(__xludf.DUMMYFUNCTION("""COMPUTED_VALUE"""),"อลูมิเนียม")</f>
        <v>อลูมิเนียม</v>
      </c>
      <c r="B1125" s="128" t="str">
        <f>IFERROR(__xludf.DUMMYFUNCTION("""COMPUTED_VALUE"""),"F7985-ตบเกี่ยวสองทาง ประตู-ดำ")</f>
        <v>F7985-ตบเกี่ยวสองทาง ประตู-ดำ</v>
      </c>
    </row>
    <row r="1126">
      <c r="A1126" s="128" t="str">
        <f>IFERROR(__xludf.DUMMYFUNCTION("""COMPUTED_VALUE"""),"อลูมิเนียม")</f>
        <v>อลูมิเนียม</v>
      </c>
      <c r="B1126" s="128" t="str">
        <f>IFERROR(__xludf.DUMMYFUNCTION("""COMPUTED_VALUE"""),"F7985-ตบเกี่ยวสองทาง ประตู-เทาซาฮาร่า")</f>
        <v>F7985-ตบเกี่ยวสองทาง ประตู-เทาซาฮาร่า</v>
      </c>
    </row>
    <row r="1127">
      <c r="A1127" s="128" t="str">
        <f>IFERROR(__xludf.DUMMYFUNCTION("""COMPUTED_VALUE"""),"อลูมิเนียม")</f>
        <v>อลูมิเนียม</v>
      </c>
      <c r="B1127" s="128" t="str">
        <f>IFERROR(__xludf.DUMMYFUNCTION("""COMPUTED_VALUE"""),"F7985-ตบเกี่ยวสองทาง ประตู-Aztec gray")</f>
        <v>F7985-ตบเกี่ยวสองทาง ประตู-Aztec gray</v>
      </c>
    </row>
    <row r="1128">
      <c r="A1128" s="128" t="str">
        <f>IFERROR(__xludf.DUMMYFUNCTION("""COMPUTED_VALUE"""),"อลูมิเนียม")</f>
        <v>อลูมิเนียม</v>
      </c>
      <c r="B1128" s="128" t="str">
        <f>IFERROR(__xludf.DUMMYFUNCTION("""COMPUTED_VALUE"""),"F7985-ตบเกี่ยวสองทาง ประตู-ลายไม้สักทอง")</f>
        <v>F7985-ตบเกี่ยวสองทาง ประตู-ลายไม้สักทอง</v>
      </c>
    </row>
    <row r="1129">
      <c r="A1129" s="128" t="str">
        <f>IFERROR(__xludf.DUMMYFUNCTION("""COMPUTED_VALUE"""),"อลูมิเนียม")</f>
        <v>อลูมิเนียม</v>
      </c>
      <c r="B1129" s="128" t="str">
        <f>IFERROR(__xludf.DUMMYFUNCTION("""COMPUTED_VALUE"""),"F7985-ตบเกี่ยวสองทาง ประตู-ไวท์โอ็ค")</f>
        <v>F7985-ตบเกี่ยวสองทาง ประตู-ไวท์โอ็ค</v>
      </c>
    </row>
    <row r="1130">
      <c r="A1130" s="128" t="str">
        <f>IFERROR(__xludf.DUMMYFUNCTION("""COMPUTED_VALUE"""),"อลูมิเนียม")</f>
        <v>อลูมิเนียม</v>
      </c>
      <c r="B1130" s="128" t="str">
        <f>IFERROR(__xludf.DUMMYFUNCTION("""COMPUTED_VALUE"""),"F7985-ตบเกี่ยวสองทาง ประตู-มะฮอกกานี")</f>
        <v>F7985-ตบเกี่ยวสองทาง ประตู-มะฮอกกานี</v>
      </c>
    </row>
    <row r="1131">
      <c r="A1131" s="128" t="str">
        <f>IFERROR(__xludf.DUMMYFUNCTION("""COMPUTED_VALUE"""),"อลูมิเนียม")</f>
        <v>อลูมิเนียม</v>
      </c>
      <c r="B1131" s="128" t="str">
        <f>IFERROR(__xludf.DUMMYFUNCTION("""COMPUTED_VALUE"""),"F7966-แบ่งบานมุ้งบานเลื่อน-อบขาว")</f>
        <v>F7966-แบ่งบานมุ้งบานเลื่อน-อบขาว</v>
      </c>
    </row>
    <row r="1132">
      <c r="A1132" s="128" t="str">
        <f>IFERROR(__xludf.DUMMYFUNCTION("""COMPUTED_VALUE"""),"อลูมิเนียม")</f>
        <v>อลูมิเนียม</v>
      </c>
      <c r="B1132" s="128" t="str">
        <f>IFERROR(__xludf.DUMMYFUNCTION("""COMPUTED_VALUE"""),"F7966-แบ่งบานมุ้งบานเลื่อน-ดำ")</f>
        <v>F7966-แบ่งบานมุ้งบานเลื่อน-ดำ</v>
      </c>
    </row>
    <row r="1133">
      <c r="A1133" s="128" t="str">
        <f>IFERROR(__xludf.DUMMYFUNCTION("""COMPUTED_VALUE"""),"อลูมิเนียม")</f>
        <v>อลูมิเนียม</v>
      </c>
      <c r="B1133" s="128" t="str">
        <f>IFERROR(__xludf.DUMMYFUNCTION("""COMPUTED_VALUE"""),"F7966-แบ่งบานมุ้งบานเลื่อน-เทาซาฮาร่า")</f>
        <v>F7966-แบ่งบานมุ้งบานเลื่อน-เทาซาฮาร่า</v>
      </c>
    </row>
    <row r="1134">
      <c r="A1134" s="128" t="str">
        <f>IFERROR(__xludf.DUMMYFUNCTION("""COMPUTED_VALUE"""),"อลูมิเนียม")</f>
        <v>อลูมิเนียม</v>
      </c>
      <c r="B1134" s="128" t="str">
        <f>IFERROR(__xludf.DUMMYFUNCTION("""COMPUTED_VALUE"""),"F7966-แบ่งบานมุ้งบานเลื่อน-Aztec gray")</f>
        <v>F7966-แบ่งบานมุ้งบานเลื่อน-Aztec gray</v>
      </c>
    </row>
    <row r="1135">
      <c r="A1135" s="128" t="str">
        <f>IFERROR(__xludf.DUMMYFUNCTION("""COMPUTED_VALUE"""),"อลูมิเนียม")</f>
        <v>อลูมิเนียม</v>
      </c>
      <c r="B1135" s="128" t="str">
        <f>IFERROR(__xludf.DUMMYFUNCTION("""COMPUTED_VALUE"""),"F7966-แบ่งบานมุ้งบานเลื่อน-ลายไม้สักทอง")</f>
        <v>F7966-แบ่งบานมุ้งบานเลื่อน-ลายไม้สักทอง</v>
      </c>
    </row>
    <row r="1136">
      <c r="A1136" s="128" t="str">
        <f>IFERROR(__xludf.DUMMYFUNCTION("""COMPUTED_VALUE"""),"อลูมิเนียม")</f>
        <v>อลูมิเนียม</v>
      </c>
      <c r="B1136" s="128" t="str">
        <f>IFERROR(__xludf.DUMMYFUNCTION("""COMPUTED_VALUE"""),"F7966-แบ่งบานมุ้งบานเลื่อน-ไวท์โอ็ค")</f>
        <v>F7966-แบ่งบานมุ้งบานเลื่อน-ไวท์โอ็ค</v>
      </c>
    </row>
    <row r="1137">
      <c r="A1137" s="128" t="str">
        <f>IFERROR(__xludf.DUMMYFUNCTION("""COMPUTED_VALUE"""),"อลูมิเนียม")</f>
        <v>อลูมิเนียม</v>
      </c>
      <c r="B1137" s="128" t="str">
        <f>IFERROR(__xludf.DUMMYFUNCTION("""COMPUTED_VALUE"""),"F7966-แบ่งบานมุ้งบานเลื่อน-มะฮอกกานี")</f>
        <v>F7966-แบ่งบานมุ้งบานเลื่อน-มะฮอกกานี</v>
      </c>
    </row>
    <row r="1138">
      <c r="A1138" s="128" t="str">
        <f>IFERROR(__xludf.DUMMYFUNCTION("""COMPUTED_VALUE"""),"อลูมิเนียม")</f>
        <v>อลูมิเนียม</v>
      </c>
      <c r="B1138" s="128" t="str">
        <f>IFERROR(__xludf.DUMMYFUNCTION("""COMPUTED_VALUE"""),"F7925-ต่อชนกลาง-อบขาว")</f>
        <v>F7925-ต่อชนกลาง-อบขาว</v>
      </c>
    </row>
    <row r="1139">
      <c r="A1139" s="128" t="str">
        <f>IFERROR(__xludf.DUMMYFUNCTION("""COMPUTED_VALUE"""),"อลูมิเนียม")</f>
        <v>อลูมิเนียม</v>
      </c>
      <c r="B1139" s="128" t="str">
        <f>IFERROR(__xludf.DUMMYFUNCTION("""COMPUTED_VALUE"""),"F7925-ต่อชนกลาง-ดำ")</f>
        <v>F7925-ต่อชนกลาง-ดำ</v>
      </c>
    </row>
    <row r="1140">
      <c r="A1140" s="128" t="str">
        <f>IFERROR(__xludf.DUMMYFUNCTION("""COMPUTED_VALUE"""),"อลูมิเนียม")</f>
        <v>อลูมิเนียม</v>
      </c>
      <c r="B1140" s="128" t="str">
        <f>IFERROR(__xludf.DUMMYFUNCTION("""COMPUTED_VALUE"""),"F7925-ต่อชนกลาง-เทาซาฮาร่า")</f>
        <v>F7925-ต่อชนกลาง-เทาซาฮาร่า</v>
      </c>
    </row>
    <row r="1141">
      <c r="A1141" s="128" t="str">
        <f>IFERROR(__xludf.DUMMYFUNCTION("""COMPUTED_VALUE"""),"อลูมิเนียม")</f>
        <v>อลูมิเนียม</v>
      </c>
      <c r="B1141" s="128" t="str">
        <f>IFERROR(__xludf.DUMMYFUNCTION("""COMPUTED_VALUE"""),"F7925-ต่อชนกลาง-Aztec gray")</f>
        <v>F7925-ต่อชนกลาง-Aztec gray</v>
      </c>
    </row>
    <row r="1142">
      <c r="A1142" s="128" t="str">
        <f>IFERROR(__xludf.DUMMYFUNCTION("""COMPUTED_VALUE"""),"อลูมิเนียม")</f>
        <v>อลูมิเนียม</v>
      </c>
      <c r="B1142" s="128" t="str">
        <f>IFERROR(__xludf.DUMMYFUNCTION("""COMPUTED_VALUE"""),"F7925-ต่อชนกลาง-ลายไม้สักทอง")</f>
        <v>F7925-ต่อชนกลาง-ลายไม้สักทอง</v>
      </c>
    </row>
    <row r="1143">
      <c r="A1143" s="128" t="str">
        <f>IFERROR(__xludf.DUMMYFUNCTION("""COMPUTED_VALUE"""),"อลูมิเนียม")</f>
        <v>อลูมิเนียม</v>
      </c>
      <c r="B1143" s="128" t="str">
        <f>IFERROR(__xludf.DUMMYFUNCTION("""COMPUTED_VALUE"""),"F7925-ต่อชนกลาง-ไวท์โอ็ค")</f>
        <v>F7925-ต่อชนกลาง-ไวท์โอ็ค</v>
      </c>
    </row>
    <row r="1144">
      <c r="A1144" s="128" t="str">
        <f>IFERROR(__xludf.DUMMYFUNCTION("""COMPUTED_VALUE"""),"อลูมิเนียม")</f>
        <v>อลูมิเนียม</v>
      </c>
      <c r="B1144" s="128" t="str">
        <f>IFERROR(__xludf.DUMMYFUNCTION("""COMPUTED_VALUE"""),"F7925-ต่อชนกลาง-มะฮอกกานี")</f>
        <v>F7925-ต่อชนกลาง-มะฮอกกานี</v>
      </c>
    </row>
    <row r="1145">
      <c r="A1145" s="128" t="str">
        <f>IFERROR(__xludf.DUMMYFUNCTION("""COMPUTED_VALUE"""),"อลูมิเนียม")</f>
        <v>อลูมิเนียม</v>
      </c>
      <c r="B1145" s="128" t="str">
        <f>IFERROR(__xludf.DUMMYFUNCTION("""COMPUTED_VALUE"""),"F7855-ชนกลางบานเลื่อนรับแรง-อบขาว")</f>
        <v>F7855-ชนกลางบานเลื่อนรับแรง-อบขาว</v>
      </c>
    </row>
    <row r="1146">
      <c r="A1146" s="128" t="str">
        <f>IFERROR(__xludf.DUMMYFUNCTION("""COMPUTED_VALUE"""),"อลูมิเนียม")</f>
        <v>อลูมิเนียม</v>
      </c>
      <c r="B1146" s="128" t="str">
        <f>IFERROR(__xludf.DUMMYFUNCTION("""COMPUTED_VALUE"""),"F7855-ชนกลางบานเลื่อนรับแรง-ดำ")</f>
        <v>F7855-ชนกลางบานเลื่อนรับแรง-ดำ</v>
      </c>
    </row>
    <row r="1147">
      <c r="A1147" s="128" t="str">
        <f>IFERROR(__xludf.DUMMYFUNCTION("""COMPUTED_VALUE"""),"อลูมิเนียม")</f>
        <v>อลูมิเนียม</v>
      </c>
      <c r="B1147" s="128" t="str">
        <f>IFERROR(__xludf.DUMMYFUNCTION("""COMPUTED_VALUE"""),"F7855-ชนกลางบานเลื่อนรับแรง-เทาซาฮาร่า")</f>
        <v>F7855-ชนกลางบานเลื่อนรับแรง-เทาซาฮาร่า</v>
      </c>
    </row>
    <row r="1148">
      <c r="A1148" s="128" t="str">
        <f>IFERROR(__xludf.DUMMYFUNCTION("""COMPUTED_VALUE"""),"อลูมิเนียม")</f>
        <v>อลูมิเนียม</v>
      </c>
      <c r="B1148" s="128" t="str">
        <f>IFERROR(__xludf.DUMMYFUNCTION("""COMPUTED_VALUE"""),"F7855-ชนกลางบานเลื่อนรับแรง-Aztec gray")</f>
        <v>F7855-ชนกลางบานเลื่อนรับแรง-Aztec gray</v>
      </c>
    </row>
    <row r="1149">
      <c r="A1149" s="128" t="str">
        <f>IFERROR(__xludf.DUMMYFUNCTION("""COMPUTED_VALUE"""),"อลูมิเนียม")</f>
        <v>อลูมิเนียม</v>
      </c>
      <c r="B1149" s="128" t="str">
        <f>IFERROR(__xludf.DUMMYFUNCTION("""COMPUTED_VALUE"""),"F7855-ชนกลางบานเลื่อนรับแรง-ลายไม้สักทอง")</f>
        <v>F7855-ชนกลางบานเลื่อนรับแรง-ลายไม้สักทอง</v>
      </c>
    </row>
    <row r="1150">
      <c r="A1150" s="128" t="str">
        <f>IFERROR(__xludf.DUMMYFUNCTION("""COMPUTED_VALUE"""),"อลูมิเนียม")</f>
        <v>อลูมิเนียม</v>
      </c>
      <c r="B1150" s="128" t="str">
        <f>IFERROR(__xludf.DUMMYFUNCTION("""COMPUTED_VALUE"""),"F7855-ชนกลางบานเลื่อนรับแรง-ไวท์โอ็ค")</f>
        <v>F7855-ชนกลางบานเลื่อนรับแรง-ไวท์โอ็ค</v>
      </c>
    </row>
    <row r="1151">
      <c r="A1151" s="128" t="str">
        <f>IFERROR(__xludf.DUMMYFUNCTION("""COMPUTED_VALUE"""),"อลูมิเนียม")</f>
        <v>อลูมิเนียม</v>
      </c>
      <c r="B1151" s="128" t="str">
        <f>IFERROR(__xludf.DUMMYFUNCTION("""COMPUTED_VALUE"""),"F7855-ชนกลางบานเลื่อนรับแรง-มะฮอกกานี")</f>
        <v>F7855-ชนกลางบานเลื่อนรับแรง-มะฮอกกานี</v>
      </c>
    </row>
    <row r="1152">
      <c r="A1152" s="128" t="str">
        <f>IFERROR(__xludf.DUMMYFUNCTION("""COMPUTED_VALUE"""),"อลูมิเนียม")</f>
        <v>อลูมิเนียม</v>
      </c>
      <c r="B1152" s="128" t="str">
        <f>IFERROR(__xludf.DUMMYFUNCTION("""COMPUTED_VALUE"""),"F7951-เสารับแรงบานเลื่อน-อบขาว")</f>
        <v>F7951-เสารับแรงบานเลื่อน-อบขาว</v>
      </c>
    </row>
    <row r="1153">
      <c r="A1153" s="128" t="str">
        <f>IFERROR(__xludf.DUMMYFUNCTION("""COMPUTED_VALUE"""),"อลูมิเนียม")</f>
        <v>อลูมิเนียม</v>
      </c>
      <c r="B1153" s="128" t="str">
        <f>IFERROR(__xludf.DUMMYFUNCTION("""COMPUTED_VALUE"""),"F7951-เสารับแรงบานเลื่อน-ดำ")</f>
        <v>F7951-เสารับแรงบานเลื่อน-ดำ</v>
      </c>
    </row>
    <row r="1154">
      <c r="A1154" s="128" t="str">
        <f>IFERROR(__xludf.DUMMYFUNCTION("""COMPUTED_VALUE"""),"อลูมิเนียม")</f>
        <v>อลูมิเนียม</v>
      </c>
      <c r="B1154" s="128" t="str">
        <f>IFERROR(__xludf.DUMMYFUNCTION("""COMPUTED_VALUE"""),"F7951-เสารับแรงบานเลื่อน-เทาซาฮาร่า")</f>
        <v>F7951-เสารับแรงบานเลื่อน-เทาซาฮาร่า</v>
      </c>
    </row>
    <row r="1155">
      <c r="A1155" s="128" t="str">
        <f>IFERROR(__xludf.DUMMYFUNCTION("""COMPUTED_VALUE"""),"อลูมิเนียม")</f>
        <v>อลูมิเนียม</v>
      </c>
      <c r="B1155" s="128" t="str">
        <f>IFERROR(__xludf.DUMMYFUNCTION("""COMPUTED_VALUE"""),"F7951-เสารับแรงบานเลื่อน-Aztec gray")</f>
        <v>F7951-เสารับแรงบานเลื่อน-Aztec gray</v>
      </c>
    </row>
    <row r="1156">
      <c r="A1156" s="128" t="str">
        <f>IFERROR(__xludf.DUMMYFUNCTION("""COMPUTED_VALUE"""),"อลูมิเนียม")</f>
        <v>อลูมิเนียม</v>
      </c>
      <c r="B1156" s="128" t="str">
        <f>IFERROR(__xludf.DUMMYFUNCTION("""COMPUTED_VALUE"""),"F7951-เสารับแรงบานเลื่อน-ลายไม้สักทอง")</f>
        <v>F7951-เสารับแรงบานเลื่อน-ลายไม้สักทอง</v>
      </c>
    </row>
    <row r="1157">
      <c r="A1157" s="128" t="str">
        <f>IFERROR(__xludf.DUMMYFUNCTION("""COMPUTED_VALUE"""),"อลูมิเนียม")</f>
        <v>อลูมิเนียม</v>
      </c>
      <c r="B1157" s="128" t="str">
        <f>IFERROR(__xludf.DUMMYFUNCTION("""COMPUTED_VALUE"""),"F7951-เสารับแรงบานเลื่อน-ไวท์โอ็ค")</f>
        <v>F7951-เสารับแรงบานเลื่อน-ไวท์โอ็ค</v>
      </c>
    </row>
    <row r="1158">
      <c r="A1158" s="128" t="str">
        <f>IFERROR(__xludf.DUMMYFUNCTION("""COMPUTED_VALUE"""),"อลูมิเนียม")</f>
        <v>อลูมิเนียม</v>
      </c>
      <c r="B1158" s="128" t="str">
        <f>IFERROR(__xludf.DUMMYFUNCTION("""COMPUTED_VALUE"""),"F7951-เสารับแรงบานเลื่อน-มะฮอกกานี")</f>
        <v>F7951-เสารับแรงบานเลื่อน-มะฮอกกานี</v>
      </c>
    </row>
    <row r="1159">
      <c r="A1159" s="128" t="str">
        <f>IFERROR(__xludf.DUMMYFUNCTION("""COMPUTED_VALUE"""),"อลูมิเนียม")</f>
        <v>อลูมิเนียม</v>
      </c>
      <c r="B1159" s="128" t="str">
        <f>IFERROR(__xludf.DUMMYFUNCTION("""COMPUTED_VALUE"""),"F7856-อแดปเตอร์ประตูดิจิตอล-อบขาว")</f>
        <v>F7856-อแดปเตอร์ประตูดิจิตอล-อบขาว</v>
      </c>
    </row>
    <row r="1160">
      <c r="A1160" s="128" t="str">
        <f>IFERROR(__xludf.DUMMYFUNCTION("""COMPUTED_VALUE"""),"อลูมิเนียม")</f>
        <v>อลูมิเนียม</v>
      </c>
      <c r="B1160" s="128" t="str">
        <f>IFERROR(__xludf.DUMMYFUNCTION("""COMPUTED_VALUE"""),"F7856-อแดปเตอร์ประตูดิจิตอล-ดำ")</f>
        <v>F7856-อแดปเตอร์ประตูดิจิตอล-ดำ</v>
      </c>
    </row>
    <row r="1161">
      <c r="A1161" s="128" t="str">
        <f>IFERROR(__xludf.DUMMYFUNCTION("""COMPUTED_VALUE"""),"อลูมิเนียม")</f>
        <v>อลูมิเนียม</v>
      </c>
      <c r="B1161" s="128" t="str">
        <f>IFERROR(__xludf.DUMMYFUNCTION("""COMPUTED_VALUE"""),"F7856-อแดปเตอร์ประตูดิจิตอล-เทาซาฮาร่า")</f>
        <v>F7856-อแดปเตอร์ประตูดิจิตอล-เทาซาฮาร่า</v>
      </c>
    </row>
    <row r="1162">
      <c r="A1162" s="128" t="str">
        <f>IFERROR(__xludf.DUMMYFUNCTION("""COMPUTED_VALUE"""),"อลูมิเนียม")</f>
        <v>อลูมิเนียม</v>
      </c>
      <c r="B1162" s="128" t="str">
        <f>IFERROR(__xludf.DUMMYFUNCTION("""COMPUTED_VALUE"""),"F7856-อแดปเตอร์ประตูดิจิตอล-Aztec gray")</f>
        <v>F7856-อแดปเตอร์ประตูดิจิตอล-Aztec gray</v>
      </c>
    </row>
    <row r="1163">
      <c r="A1163" s="128" t="str">
        <f>IFERROR(__xludf.DUMMYFUNCTION("""COMPUTED_VALUE"""),"อลูมิเนียม")</f>
        <v>อลูมิเนียม</v>
      </c>
      <c r="B1163" s="128" t="str">
        <f>IFERROR(__xludf.DUMMYFUNCTION("""COMPUTED_VALUE"""),"F7856-อแดปเตอร์ประตูดิจิตอล-ลายไม้สักทอง")</f>
        <v>F7856-อแดปเตอร์ประตูดิจิตอล-ลายไม้สักทอง</v>
      </c>
    </row>
    <row r="1164">
      <c r="A1164" s="128" t="str">
        <f>IFERROR(__xludf.DUMMYFUNCTION("""COMPUTED_VALUE"""),"อลูมิเนียม")</f>
        <v>อลูมิเนียม</v>
      </c>
      <c r="B1164" s="128" t="str">
        <f>IFERROR(__xludf.DUMMYFUNCTION("""COMPUTED_VALUE"""),"F7856-อแดปเตอร์ประตูดิจิตอล-ไวท์โอ็ค")</f>
        <v>F7856-อแดปเตอร์ประตูดิจิตอล-ไวท์โอ็ค</v>
      </c>
    </row>
    <row r="1165">
      <c r="A1165" s="128" t="str">
        <f>IFERROR(__xludf.DUMMYFUNCTION("""COMPUTED_VALUE"""),"อลูมิเนียม")</f>
        <v>อลูมิเนียม</v>
      </c>
      <c r="B1165" s="128" t="str">
        <f>IFERROR(__xludf.DUMMYFUNCTION("""COMPUTED_VALUE"""),"F7856-อแดปเตอร์ประตูดิจิตอล-มะฮอกกานี")</f>
        <v>F7856-อแดปเตอร์ประตูดิจิตอล-มะฮอกกานี</v>
      </c>
    </row>
    <row r="1166">
      <c r="A1166" s="128" t="str">
        <f>IFERROR(__xludf.DUMMYFUNCTION("""COMPUTED_VALUE"""),"อลูมิเนียม")</f>
        <v>อลูมิเนียม</v>
      </c>
      <c r="B1166" s="128" t="str">
        <f>IFERROR(__xludf.DUMMYFUNCTION("""COMPUTED_VALUE"""),"F7857-อแดปเตอร์บานเลือนดิจิตอล-อบขาว")</f>
        <v>F7857-อแดปเตอร์บานเลือนดิจิตอล-อบขาว</v>
      </c>
    </row>
    <row r="1167">
      <c r="A1167" s="128" t="str">
        <f>IFERROR(__xludf.DUMMYFUNCTION("""COMPUTED_VALUE"""),"อลูมิเนียม")</f>
        <v>อลูมิเนียม</v>
      </c>
      <c r="B1167" s="128" t="str">
        <f>IFERROR(__xludf.DUMMYFUNCTION("""COMPUTED_VALUE"""),"F7857-อแดปเตอร์บานเลือนดิจิตอล-ดำ")</f>
        <v>F7857-อแดปเตอร์บานเลือนดิจิตอล-ดำ</v>
      </c>
    </row>
    <row r="1168">
      <c r="A1168" s="128" t="str">
        <f>IFERROR(__xludf.DUMMYFUNCTION("""COMPUTED_VALUE"""),"อลูมิเนียม")</f>
        <v>อลูมิเนียม</v>
      </c>
      <c r="B1168" s="128" t="str">
        <f>IFERROR(__xludf.DUMMYFUNCTION("""COMPUTED_VALUE"""),"F7857-อแดปเตอร์บานเลือนดิจิตอล-เทาซาฮาร่า")</f>
        <v>F7857-อแดปเตอร์บานเลือนดิจิตอล-เทาซาฮาร่า</v>
      </c>
    </row>
    <row r="1169">
      <c r="A1169" s="128" t="str">
        <f>IFERROR(__xludf.DUMMYFUNCTION("""COMPUTED_VALUE"""),"อลูมิเนียม")</f>
        <v>อลูมิเนียม</v>
      </c>
      <c r="B1169" s="128" t="str">
        <f>IFERROR(__xludf.DUMMYFUNCTION("""COMPUTED_VALUE"""),"F7857-อแดปเตอร์บานเลือนดิจิตอล-Aztec gray")</f>
        <v>F7857-อแดปเตอร์บานเลือนดิจิตอล-Aztec gray</v>
      </c>
    </row>
    <row r="1170">
      <c r="A1170" s="128" t="str">
        <f>IFERROR(__xludf.DUMMYFUNCTION("""COMPUTED_VALUE"""),"อลูมิเนียม")</f>
        <v>อลูมิเนียม</v>
      </c>
      <c r="B1170" s="128" t="str">
        <f>IFERROR(__xludf.DUMMYFUNCTION("""COMPUTED_VALUE"""),"F7857-อแดปเตอร์บานเลือนดิจิตอล-ลายไม้สักทอง")</f>
        <v>F7857-อแดปเตอร์บานเลือนดิจิตอล-ลายไม้สักทอง</v>
      </c>
    </row>
    <row r="1171">
      <c r="A1171" s="128" t="str">
        <f>IFERROR(__xludf.DUMMYFUNCTION("""COMPUTED_VALUE"""),"อลูมิเนียม")</f>
        <v>อลูมิเนียม</v>
      </c>
      <c r="B1171" s="128" t="str">
        <f>IFERROR(__xludf.DUMMYFUNCTION("""COMPUTED_VALUE"""),"F7857-อแดปเตอร์บานเลือนดิจิตอล-ไวท์โอ็ค")</f>
        <v>F7857-อแดปเตอร์บานเลือนดิจิตอล-ไวท์โอ็ค</v>
      </c>
    </row>
    <row r="1172">
      <c r="A1172" s="128" t="str">
        <f>IFERROR(__xludf.DUMMYFUNCTION("""COMPUTED_VALUE"""),"อลูมิเนียม")</f>
        <v>อลูมิเนียม</v>
      </c>
      <c r="B1172" s="128" t="str">
        <f>IFERROR(__xludf.DUMMYFUNCTION("""COMPUTED_VALUE"""),"F7857-อแดปเตอร์บานเลือนดิจิตอล-มะฮอกกานี")</f>
        <v>F7857-อแดปเตอร์บานเลือนดิจิตอล-มะฮอกกานี</v>
      </c>
    </row>
    <row r="1173">
      <c r="A1173" s="128" t="str">
        <f>IFERROR(__xludf.DUMMYFUNCTION("""COMPUTED_VALUE"""),"อลูมิเนียม")</f>
        <v>อลูมิเนียม</v>
      </c>
      <c r="B1173" s="128" t="str">
        <f>IFERROR(__xludf.DUMMYFUNCTION("""COMPUTED_VALUE"""),"F7918-เสาต่อหักมุม 90-อบขาว")</f>
        <v>F7918-เสาต่อหักมุม 90-อบขาว</v>
      </c>
    </row>
    <row r="1174">
      <c r="A1174" s="128" t="str">
        <f>IFERROR(__xludf.DUMMYFUNCTION("""COMPUTED_VALUE"""),"อลูมิเนียม")</f>
        <v>อลูมิเนียม</v>
      </c>
      <c r="B1174" s="128" t="str">
        <f>IFERROR(__xludf.DUMMYFUNCTION("""COMPUTED_VALUE"""),"F7918-เสาต่อหักมุม 90-ดำ")</f>
        <v>F7918-เสาต่อหักมุม 90-ดำ</v>
      </c>
    </row>
    <row r="1175">
      <c r="A1175" s="128" t="str">
        <f>IFERROR(__xludf.DUMMYFUNCTION("""COMPUTED_VALUE"""),"อลูมิเนียม")</f>
        <v>อลูมิเนียม</v>
      </c>
      <c r="B1175" s="128" t="str">
        <f>IFERROR(__xludf.DUMMYFUNCTION("""COMPUTED_VALUE"""),"F7918-เสาต่อหักมุม 90-เทาซาฮาร่า")</f>
        <v>F7918-เสาต่อหักมุม 90-เทาซาฮาร่า</v>
      </c>
    </row>
    <row r="1176">
      <c r="A1176" s="128" t="str">
        <f>IFERROR(__xludf.DUMMYFUNCTION("""COMPUTED_VALUE"""),"อลูมิเนียม")</f>
        <v>อลูมิเนียม</v>
      </c>
      <c r="B1176" s="128" t="str">
        <f>IFERROR(__xludf.DUMMYFUNCTION("""COMPUTED_VALUE"""),"F7918-เสาต่อหักมุม 90-Aztec gray")</f>
        <v>F7918-เสาต่อหักมุม 90-Aztec gray</v>
      </c>
    </row>
    <row r="1177">
      <c r="A1177" s="128" t="str">
        <f>IFERROR(__xludf.DUMMYFUNCTION("""COMPUTED_VALUE"""),"อลูมิเนียม")</f>
        <v>อลูมิเนียม</v>
      </c>
      <c r="B1177" s="128" t="str">
        <f>IFERROR(__xludf.DUMMYFUNCTION("""COMPUTED_VALUE"""),"F7918-เสาต่อหักมุม 90-ลายไม้สักทอง")</f>
        <v>F7918-เสาต่อหักมุม 90-ลายไม้สักทอง</v>
      </c>
    </row>
    <row r="1178">
      <c r="A1178" s="128" t="str">
        <f>IFERROR(__xludf.DUMMYFUNCTION("""COMPUTED_VALUE"""),"อลูมิเนียม")</f>
        <v>อลูมิเนียม</v>
      </c>
      <c r="B1178" s="128" t="str">
        <f>IFERROR(__xludf.DUMMYFUNCTION("""COMPUTED_VALUE"""),"F7918-เสาต่อหักมุม 90-ไวท์โอ็ค")</f>
        <v>F7918-เสาต่อหักมุม 90-ไวท์โอ็ค</v>
      </c>
    </row>
    <row r="1179">
      <c r="A1179" s="128" t="str">
        <f>IFERROR(__xludf.DUMMYFUNCTION("""COMPUTED_VALUE"""),"อลูมิเนียม")</f>
        <v>อลูมิเนียม</v>
      </c>
      <c r="B1179" s="128" t="str">
        <f>IFERROR(__xludf.DUMMYFUNCTION("""COMPUTED_VALUE"""),"F7918-เสาต่อหักมุม 90-มะฮอกกานี")</f>
        <v>F7918-เสาต่อหักมุม 90-มะฮอกกานี</v>
      </c>
    </row>
    <row r="1180">
      <c r="A1180" s="128" t="str">
        <f>IFERROR(__xludf.DUMMYFUNCTION("""COMPUTED_VALUE"""),"อลูมิเนียม")</f>
        <v>อลูมิเนียม</v>
      </c>
      <c r="B1180" s="128" t="str">
        <f>IFERROR(__xludf.DUMMYFUNCTION("""COMPUTED_VALUE"""),"F7993-ตบปิดร่องรางเลื่อน-อบขาว")</f>
        <v>F7993-ตบปิดร่องรางเลื่อน-อบขาว</v>
      </c>
    </row>
    <row r="1181">
      <c r="A1181" s="128" t="str">
        <f>IFERROR(__xludf.DUMMYFUNCTION("""COMPUTED_VALUE"""),"อลูมิเนียม")</f>
        <v>อลูมิเนียม</v>
      </c>
      <c r="B1181" s="128" t="str">
        <f>IFERROR(__xludf.DUMMYFUNCTION("""COMPUTED_VALUE"""),"F7993-ตบปิดร่องรางเลื่อน-ดำ")</f>
        <v>F7993-ตบปิดร่องรางเลื่อน-ดำ</v>
      </c>
    </row>
    <row r="1182">
      <c r="A1182" s="128" t="str">
        <f>IFERROR(__xludf.DUMMYFUNCTION("""COMPUTED_VALUE"""),"อลูมิเนียม")</f>
        <v>อลูมิเนียม</v>
      </c>
      <c r="B1182" s="128" t="str">
        <f>IFERROR(__xludf.DUMMYFUNCTION("""COMPUTED_VALUE"""),"F7993-ตบปิดร่องรางเลื่อน-เทาซาฮาร่า")</f>
        <v>F7993-ตบปิดร่องรางเลื่อน-เทาซาฮาร่า</v>
      </c>
    </row>
    <row r="1183">
      <c r="A1183" s="128" t="str">
        <f>IFERROR(__xludf.DUMMYFUNCTION("""COMPUTED_VALUE"""),"อลูมิเนียม")</f>
        <v>อลูมิเนียม</v>
      </c>
      <c r="B1183" s="128" t="str">
        <f>IFERROR(__xludf.DUMMYFUNCTION("""COMPUTED_VALUE"""),"F7993-ตบปิดร่องรางเลื่อน-Aztec gray")</f>
        <v>F7993-ตบปิดร่องรางเลื่อน-Aztec gray</v>
      </c>
    </row>
    <row r="1184">
      <c r="A1184" s="128" t="str">
        <f>IFERROR(__xludf.DUMMYFUNCTION("""COMPUTED_VALUE"""),"อลูมิเนียม")</f>
        <v>อลูมิเนียม</v>
      </c>
      <c r="B1184" s="128" t="str">
        <f>IFERROR(__xludf.DUMMYFUNCTION("""COMPUTED_VALUE"""),"F7993-ตบปิดร่องรางเลื่อน-ลายไม้สักทอง")</f>
        <v>F7993-ตบปิดร่องรางเลื่อน-ลายไม้สักทอง</v>
      </c>
    </row>
    <row r="1185">
      <c r="A1185" s="128" t="str">
        <f>IFERROR(__xludf.DUMMYFUNCTION("""COMPUTED_VALUE"""),"อลูมิเนียม")</f>
        <v>อลูมิเนียม</v>
      </c>
      <c r="B1185" s="128" t="str">
        <f>IFERROR(__xludf.DUMMYFUNCTION("""COMPUTED_VALUE"""),"F7993-ตบปิดร่องรางเลื่อน-ไวท์โอ็ค")</f>
        <v>F7993-ตบปิดร่องรางเลื่อน-ไวท์โอ็ค</v>
      </c>
    </row>
    <row r="1186">
      <c r="A1186" s="128" t="str">
        <f>IFERROR(__xludf.DUMMYFUNCTION("""COMPUTED_VALUE"""),"อลูมิเนียม")</f>
        <v>อลูมิเนียม</v>
      </c>
      <c r="B1186" s="128" t="str">
        <f>IFERROR(__xludf.DUMMYFUNCTION("""COMPUTED_VALUE"""),"F7993-ตบปิดร่องรางเลื่อน-มะฮอกกานี")</f>
        <v>F7993-ตบปิดร่องรางเลื่อน-มะฮอกกานี</v>
      </c>
    </row>
    <row r="1187">
      <c r="A1187" s="128" t="str">
        <f>IFERROR(__xludf.DUMMYFUNCTION("""COMPUTED_VALUE"""),"อลูมิเนียม")</f>
        <v>อลูมิเนียม</v>
      </c>
      <c r="B1187" s="128" t="str">
        <f>IFERROR(__xludf.DUMMYFUNCTION("""COMPUTED_VALUE"""),"F7988-ตบปิดร่อง-อบขาว")</f>
        <v>F7988-ตบปิดร่อง-อบขาว</v>
      </c>
    </row>
    <row r="1188">
      <c r="A1188" s="128" t="str">
        <f>IFERROR(__xludf.DUMMYFUNCTION("""COMPUTED_VALUE"""),"อลูมิเนียม")</f>
        <v>อลูมิเนียม</v>
      </c>
      <c r="B1188" s="128" t="str">
        <f>IFERROR(__xludf.DUMMYFUNCTION("""COMPUTED_VALUE"""),"F7988-ตบปิดร่อง-ดำ")</f>
        <v>F7988-ตบปิดร่อง-ดำ</v>
      </c>
    </row>
    <row r="1189">
      <c r="A1189" s="128" t="str">
        <f>IFERROR(__xludf.DUMMYFUNCTION("""COMPUTED_VALUE"""),"อลูมิเนียม")</f>
        <v>อลูมิเนียม</v>
      </c>
      <c r="B1189" s="128" t="str">
        <f>IFERROR(__xludf.DUMMYFUNCTION("""COMPUTED_VALUE"""),"F7988-ตบปิดร่อง-เทาซาฮาร่า")</f>
        <v>F7988-ตบปิดร่อง-เทาซาฮาร่า</v>
      </c>
    </row>
    <row r="1190">
      <c r="A1190" s="128" t="str">
        <f>IFERROR(__xludf.DUMMYFUNCTION("""COMPUTED_VALUE"""),"อลูมิเนียม")</f>
        <v>อลูมิเนียม</v>
      </c>
      <c r="B1190" s="128" t="str">
        <f>IFERROR(__xludf.DUMMYFUNCTION("""COMPUTED_VALUE"""),"F7988-ตบปิดร่อง-Aztec gray")</f>
        <v>F7988-ตบปิดร่อง-Aztec gray</v>
      </c>
    </row>
    <row r="1191">
      <c r="A1191" s="128" t="str">
        <f>IFERROR(__xludf.DUMMYFUNCTION("""COMPUTED_VALUE"""),"อลูมิเนียม")</f>
        <v>อลูมิเนียม</v>
      </c>
      <c r="B1191" s="128" t="str">
        <f>IFERROR(__xludf.DUMMYFUNCTION("""COMPUTED_VALUE"""),"F7988-ตบปิดร่อง-ลายไม้สักทอง")</f>
        <v>F7988-ตบปิดร่อง-ลายไม้สักทอง</v>
      </c>
    </row>
    <row r="1192">
      <c r="A1192" s="128" t="str">
        <f>IFERROR(__xludf.DUMMYFUNCTION("""COMPUTED_VALUE"""),"อลูมิเนียม")</f>
        <v>อลูมิเนียม</v>
      </c>
      <c r="B1192" s="128" t="str">
        <f>IFERROR(__xludf.DUMMYFUNCTION("""COMPUTED_VALUE"""),"F7988-ตบปิดร่อง-ไวท์โอ็ค")</f>
        <v>F7988-ตบปิดร่อง-ไวท์โอ็ค</v>
      </c>
    </row>
    <row r="1193">
      <c r="A1193" s="128" t="str">
        <f>IFERROR(__xludf.DUMMYFUNCTION("""COMPUTED_VALUE"""),"อลูมิเนียม")</f>
        <v>อลูมิเนียม</v>
      </c>
      <c r="B1193" s="128" t="str">
        <f>IFERROR(__xludf.DUMMYFUNCTION("""COMPUTED_VALUE"""),"F7988-ตบปิดร่อง-มะฮอกกานี")</f>
        <v>F7988-ตบปิดร่อง-มะฮอกกานี</v>
      </c>
    </row>
    <row r="1194">
      <c r="A1194" s="128" t="str">
        <f>IFERROR(__xludf.DUMMYFUNCTION("""COMPUTED_VALUE"""),"อลูมิเนียม")</f>
        <v>อลูมิเนียม</v>
      </c>
      <c r="B1194" s="128" t="str">
        <f>IFERROR(__xludf.DUMMYFUNCTION("""COMPUTED_VALUE"""),"F7994-เส้นรางเลื่อน-อบขาว")</f>
        <v>F7994-เส้นรางเลื่อน-อบขาว</v>
      </c>
    </row>
    <row r="1195">
      <c r="A1195" s="128" t="str">
        <f>IFERROR(__xludf.DUMMYFUNCTION("""COMPUTED_VALUE"""),"อลูมิเนียม")</f>
        <v>อลูมิเนียม</v>
      </c>
      <c r="B1195" s="128" t="str">
        <f>IFERROR(__xludf.DUMMYFUNCTION("""COMPUTED_VALUE"""),"F7994-เส้นรางเลื่อน-ดำ")</f>
        <v>F7994-เส้นรางเลื่อน-ดำ</v>
      </c>
    </row>
    <row r="1196">
      <c r="A1196" s="128" t="str">
        <f>IFERROR(__xludf.DUMMYFUNCTION("""COMPUTED_VALUE"""),"อลูมิเนียม")</f>
        <v>อลูมิเนียม</v>
      </c>
      <c r="B1196" s="128" t="str">
        <f>IFERROR(__xludf.DUMMYFUNCTION("""COMPUTED_VALUE"""),"F7994-เส้นรางเลื่อน-เทาซาฮาร่า")</f>
        <v>F7994-เส้นรางเลื่อน-เทาซาฮาร่า</v>
      </c>
    </row>
    <row r="1197">
      <c r="A1197" s="128" t="str">
        <f>IFERROR(__xludf.DUMMYFUNCTION("""COMPUTED_VALUE"""),"อลูมิเนียม")</f>
        <v>อลูมิเนียม</v>
      </c>
      <c r="B1197" s="128" t="str">
        <f>IFERROR(__xludf.DUMMYFUNCTION("""COMPUTED_VALUE"""),"F7994-เส้นรางเลื่อน-Aztec gray")</f>
        <v>F7994-เส้นรางเลื่อน-Aztec gray</v>
      </c>
    </row>
    <row r="1198">
      <c r="A1198" s="128" t="str">
        <f>IFERROR(__xludf.DUMMYFUNCTION("""COMPUTED_VALUE"""),"อลูมิเนียม")</f>
        <v>อลูมิเนียม</v>
      </c>
      <c r="B1198" s="128" t="str">
        <f>IFERROR(__xludf.DUMMYFUNCTION("""COMPUTED_VALUE"""),"F7994-เส้นรางเลื่อน-ลายไม้สักทอง")</f>
        <v>F7994-เส้นรางเลื่อน-ลายไม้สักทอง</v>
      </c>
    </row>
    <row r="1199">
      <c r="A1199" s="128" t="str">
        <f>IFERROR(__xludf.DUMMYFUNCTION("""COMPUTED_VALUE"""),"อลูมิเนียม")</f>
        <v>อลูมิเนียม</v>
      </c>
      <c r="B1199" s="128" t="str">
        <f>IFERROR(__xludf.DUMMYFUNCTION("""COMPUTED_VALUE"""),"F7994-เส้นรางเลื่อน-ไวท์โอ็ค")</f>
        <v>F7994-เส้นรางเลื่อน-ไวท์โอ็ค</v>
      </c>
    </row>
    <row r="1200">
      <c r="A1200" s="128" t="str">
        <f>IFERROR(__xludf.DUMMYFUNCTION("""COMPUTED_VALUE"""),"อลูมิเนียม")</f>
        <v>อลูมิเนียม</v>
      </c>
      <c r="B1200" s="128" t="str">
        <f>IFERROR(__xludf.DUMMYFUNCTION("""COMPUTED_VALUE"""),"F7994-เส้นรางเลื่อน-มะฮอกกานี")</f>
        <v>F7994-เส้นรางเลื่อน-มะฮอกกานี</v>
      </c>
    </row>
    <row r="1201">
      <c r="A1201" s="128" t="str">
        <f>IFERROR(__xludf.DUMMYFUNCTION("""COMPUTED_VALUE"""),"อลูมิเนียม")</f>
        <v>อลูมิเนียม</v>
      </c>
      <c r="B1201" s="128" t="str">
        <f>IFERROR(__xludf.DUMMYFUNCTION("""COMPUTED_VALUE"""),"F303-ตัวเสริมเฟรมล่างบานเลื่อน-อบขาว")</f>
        <v>F303-ตัวเสริมเฟรมล่างบานเลื่อน-อบขาว</v>
      </c>
    </row>
    <row r="1202">
      <c r="A1202" s="128" t="str">
        <f>IFERROR(__xludf.DUMMYFUNCTION("""COMPUTED_VALUE"""),"อลูมิเนียม")</f>
        <v>อลูมิเนียม</v>
      </c>
      <c r="B1202" s="128" t="str">
        <f>IFERROR(__xludf.DUMMYFUNCTION("""COMPUTED_VALUE"""),"F303-ตัวเสริมเฟรมล่างบานเลื่อน-ดำ")</f>
        <v>F303-ตัวเสริมเฟรมล่างบานเลื่อน-ดำ</v>
      </c>
    </row>
    <row r="1203">
      <c r="A1203" s="128" t="str">
        <f>IFERROR(__xludf.DUMMYFUNCTION("""COMPUTED_VALUE"""),"อลูมิเนียม")</f>
        <v>อลูมิเนียม</v>
      </c>
      <c r="B1203" s="128" t="str">
        <f>IFERROR(__xludf.DUMMYFUNCTION("""COMPUTED_VALUE"""),"F303-ตัวเสริมเฟรมล่างบานเลื่อน-เทาซาฮาร่า")</f>
        <v>F303-ตัวเสริมเฟรมล่างบานเลื่อน-เทาซาฮาร่า</v>
      </c>
    </row>
    <row r="1204">
      <c r="A1204" s="128" t="str">
        <f>IFERROR(__xludf.DUMMYFUNCTION("""COMPUTED_VALUE"""),"อลูมิเนียม")</f>
        <v>อลูมิเนียม</v>
      </c>
      <c r="B1204" s="128" t="str">
        <f>IFERROR(__xludf.DUMMYFUNCTION("""COMPUTED_VALUE"""),"F303-ตัวเสริมเฟรมล่างบานเลื่อน-Aztec gray")</f>
        <v>F303-ตัวเสริมเฟรมล่างบานเลื่อน-Aztec gray</v>
      </c>
    </row>
    <row r="1205">
      <c r="A1205" s="128" t="str">
        <f>IFERROR(__xludf.DUMMYFUNCTION("""COMPUTED_VALUE"""),"อลูมิเนียม")</f>
        <v>อลูมิเนียม</v>
      </c>
      <c r="B1205" s="128" t="str">
        <f>IFERROR(__xludf.DUMMYFUNCTION("""COMPUTED_VALUE"""),"F303-ตัวเสริมเฟรมล่างบานเลื่อน-ลายไม้สักทอง")</f>
        <v>F303-ตัวเสริมเฟรมล่างบานเลื่อน-ลายไม้สักทอง</v>
      </c>
    </row>
    <row r="1206">
      <c r="A1206" s="128" t="str">
        <f>IFERROR(__xludf.DUMMYFUNCTION("""COMPUTED_VALUE"""),"อลูมิเนียม")</f>
        <v>อลูมิเนียม</v>
      </c>
      <c r="B1206" s="128" t="str">
        <f>IFERROR(__xludf.DUMMYFUNCTION("""COMPUTED_VALUE"""),"F303-ตัวเสริมเฟรมล่างบานเลื่อน-ไวท์โอ็ค")</f>
        <v>F303-ตัวเสริมเฟรมล่างบานเลื่อน-ไวท์โอ็ค</v>
      </c>
    </row>
    <row r="1207">
      <c r="A1207" s="128" t="str">
        <f>IFERROR(__xludf.DUMMYFUNCTION("""COMPUTED_VALUE"""),"อลูมิเนียม")</f>
        <v>อลูมิเนียม</v>
      </c>
      <c r="B1207" s="128" t="str">
        <f>IFERROR(__xludf.DUMMYFUNCTION("""COMPUTED_VALUE"""),"F303-ตัวเสริมเฟรมล่างบานเลื่อน-มะฮอกกานี")</f>
        <v>F303-ตัวเสริมเฟรมล่างบานเลื่อน-มะฮอกกานี</v>
      </c>
    </row>
    <row r="1208">
      <c r="A1208" s="128" t="str">
        <f>IFERROR(__xludf.DUMMYFUNCTION("""COMPUTED_VALUE"""),"อลูมิเนียม")</f>
        <v>อลูมิเนียม</v>
      </c>
      <c r="B1208" s="128" t="str">
        <f>IFERROR(__xludf.DUMMYFUNCTION("""COMPUTED_VALUE"""),"F7987-คิ้วมุ้งบานเลื่อน-อบขาว")</f>
        <v>F7987-คิ้วมุ้งบานเลื่อน-อบขาว</v>
      </c>
    </row>
    <row r="1209">
      <c r="A1209" s="128" t="str">
        <f>IFERROR(__xludf.DUMMYFUNCTION("""COMPUTED_VALUE"""),"อลูมิเนียม")</f>
        <v>อลูมิเนียม</v>
      </c>
      <c r="B1209" s="128" t="str">
        <f>IFERROR(__xludf.DUMMYFUNCTION("""COMPUTED_VALUE"""),"F7987-คิ้วมุ้งบานเลื่อน-ดำ")</f>
        <v>F7987-คิ้วมุ้งบานเลื่อน-ดำ</v>
      </c>
    </row>
    <row r="1210">
      <c r="A1210" s="128" t="str">
        <f>IFERROR(__xludf.DUMMYFUNCTION("""COMPUTED_VALUE"""),"อลูมิเนียม")</f>
        <v>อลูมิเนียม</v>
      </c>
      <c r="B1210" s="128" t="str">
        <f>IFERROR(__xludf.DUMMYFUNCTION("""COMPUTED_VALUE"""),"F7987-คิ้วมุ้งบานเลื่อน-เทาซาฮาร่า")</f>
        <v>F7987-คิ้วมุ้งบานเลื่อน-เทาซาฮาร่า</v>
      </c>
    </row>
    <row r="1211">
      <c r="A1211" s="128" t="str">
        <f>IFERROR(__xludf.DUMMYFUNCTION("""COMPUTED_VALUE"""),"อลูมิเนียม")</f>
        <v>อลูมิเนียม</v>
      </c>
      <c r="B1211" s="128" t="str">
        <f>IFERROR(__xludf.DUMMYFUNCTION("""COMPUTED_VALUE"""),"F7987-คิ้วมุ้งบานเลื่อน-Aztec gray")</f>
        <v>F7987-คิ้วมุ้งบานเลื่อน-Aztec gray</v>
      </c>
    </row>
    <row r="1212">
      <c r="A1212" s="128" t="str">
        <f>IFERROR(__xludf.DUMMYFUNCTION("""COMPUTED_VALUE"""),"อลูมิเนียม")</f>
        <v>อลูมิเนียม</v>
      </c>
      <c r="B1212" s="128" t="str">
        <f>IFERROR(__xludf.DUMMYFUNCTION("""COMPUTED_VALUE"""),"F7987-คิ้วมุ้งบานเลื่อน-ลายไม้สักทอง")</f>
        <v>F7987-คิ้วมุ้งบานเลื่อน-ลายไม้สักทอง</v>
      </c>
    </row>
    <row r="1213">
      <c r="A1213" s="128" t="str">
        <f>IFERROR(__xludf.DUMMYFUNCTION("""COMPUTED_VALUE"""),"อลูมิเนียม")</f>
        <v>อลูมิเนียม</v>
      </c>
      <c r="B1213" s="128" t="str">
        <f>IFERROR(__xludf.DUMMYFUNCTION("""COMPUTED_VALUE"""),"F7987-คิ้วมุ้งบานเลื่อน-ไวท์โอ็ค")</f>
        <v>F7987-คิ้วมุ้งบานเลื่อน-ไวท์โอ็ค</v>
      </c>
    </row>
    <row r="1214">
      <c r="A1214" s="128" t="str">
        <f>IFERROR(__xludf.DUMMYFUNCTION("""COMPUTED_VALUE"""),"อลูมิเนียม")</f>
        <v>อลูมิเนียม</v>
      </c>
      <c r="B1214" s="128" t="str">
        <f>IFERROR(__xludf.DUMMYFUNCTION("""COMPUTED_VALUE"""),"F7987-คิ้วมุ้งบานเลื่อน-มะฮอกกานี")</f>
        <v>F7987-คิ้วมุ้งบานเลื่อน-มะฮอกกานี</v>
      </c>
    </row>
    <row r="1215">
      <c r="A1215" s="128" t="str">
        <f>IFERROR(__xludf.DUMMYFUNCTION("""COMPUTED_VALUE"""),"อลูมิเนียม")</f>
        <v>อลูมิเนียม</v>
      </c>
      <c r="B1215" s="128" t="str">
        <f>IFERROR(__xludf.DUMMYFUNCTION("""COMPUTED_VALUE"""),"F7996-คิ้วลอยช่องแสง-อบขาว")</f>
        <v>F7996-คิ้วลอยช่องแสง-อบขาว</v>
      </c>
    </row>
    <row r="1216">
      <c r="A1216" s="128" t="str">
        <f>IFERROR(__xludf.DUMMYFUNCTION("""COMPUTED_VALUE"""),"อลูมิเนียม")</f>
        <v>อลูมิเนียม</v>
      </c>
      <c r="B1216" s="128" t="str">
        <f>IFERROR(__xludf.DUMMYFUNCTION("""COMPUTED_VALUE"""),"F7996-คิ้วลอยช่องแสง-ดำ")</f>
        <v>F7996-คิ้วลอยช่องแสง-ดำ</v>
      </c>
    </row>
    <row r="1217">
      <c r="A1217" s="128" t="str">
        <f>IFERROR(__xludf.DUMMYFUNCTION("""COMPUTED_VALUE"""),"อลูมิเนียม")</f>
        <v>อลูมิเนียม</v>
      </c>
      <c r="B1217" s="128" t="str">
        <f>IFERROR(__xludf.DUMMYFUNCTION("""COMPUTED_VALUE"""),"F7996-คิ้วลอยช่องแสง-เทาซาฮาร่า")</f>
        <v>F7996-คิ้วลอยช่องแสง-เทาซาฮาร่า</v>
      </c>
    </row>
    <row r="1218">
      <c r="A1218" s="128" t="str">
        <f>IFERROR(__xludf.DUMMYFUNCTION("""COMPUTED_VALUE"""),"อลูมิเนียม")</f>
        <v>อลูมิเนียม</v>
      </c>
      <c r="B1218" s="128" t="str">
        <f>IFERROR(__xludf.DUMMYFUNCTION("""COMPUTED_VALUE"""),"F7996-คิ้วลอยช่องแสง-Aztec gray")</f>
        <v>F7996-คิ้วลอยช่องแสง-Aztec gray</v>
      </c>
    </row>
    <row r="1219">
      <c r="A1219" s="128" t="str">
        <f>IFERROR(__xludf.DUMMYFUNCTION("""COMPUTED_VALUE"""),"อลูมิเนียม")</f>
        <v>อลูมิเนียม</v>
      </c>
      <c r="B1219" s="128" t="str">
        <f>IFERROR(__xludf.DUMMYFUNCTION("""COMPUTED_VALUE"""),"F7996-คิ้วลอยช่องแสง-ลายไม้สักทอง")</f>
        <v>F7996-คิ้วลอยช่องแสง-ลายไม้สักทอง</v>
      </c>
    </row>
    <row r="1220">
      <c r="A1220" s="128" t="str">
        <f>IFERROR(__xludf.DUMMYFUNCTION("""COMPUTED_VALUE"""),"อลูมิเนียม")</f>
        <v>อลูมิเนียม</v>
      </c>
      <c r="B1220" s="128" t="str">
        <f>IFERROR(__xludf.DUMMYFUNCTION("""COMPUTED_VALUE"""),"F7996-คิ้วลอยช่องแสง-ไวท์โอ็ค")</f>
        <v>F7996-คิ้วลอยช่องแสง-ไวท์โอ็ค</v>
      </c>
    </row>
    <row r="1221">
      <c r="A1221" s="128" t="str">
        <f>IFERROR(__xludf.DUMMYFUNCTION("""COMPUTED_VALUE"""),"อลูมิเนียม")</f>
        <v>อลูมิเนียม</v>
      </c>
      <c r="B1221" s="128" t="str">
        <f>IFERROR(__xludf.DUMMYFUNCTION("""COMPUTED_VALUE"""),"F7996-คิ้วลอยช่องแสง-มะฮอกกานี")</f>
        <v>F7996-คิ้วลอยช่องแสง-มะฮอกกานี</v>
      </c>
    </row>
    <row r="1222">
      <c r="A1222" s="128" t="str">
        <f>IFERROR(__xludf.DUMMYFUNCTION("""COMPUTED_VALUE"""),"อลูมิเนียม")</f>
        <v>อลูมิเนียม</v>
      </c>
      <c r="B1222" s="128" t="str">
        <f>IFERROR(__xludf.DUMMYFUNCTION("""COMPUTED_VALUE"""),"F7919-คิ้วกรอบบาน-อบขาว")</f>
        <v>F7919-คิ้วกรอบบาน-อบขาว</v>
      </c>
    </row>
    <row r="1223">
      <c r="A1223" s="128" t="str">
        <f>IFERROR(__xludf.DUMMYFUNCTION("""COMPUTED_VALUE"""),"อลูมิเนียม")</f>
        <v>อลูมิเนียม</v>
      </c>
      <c r="B1223" s="128" t="str">
        <f>IFERROR(__xludf.DUMMYFUNCTION("""COMPUTED_VALUE"""),"F7919-คิ้วกรอบบาน-ดำ")</f>
        <v>F7919-คิ้วกรอบบาน-ดำ</v>
      </c>
    </row>
    <row r="1224">
      <c r="A1224" s="128" t="str">
        <f>IFERROR(__xludf.DUMMYFUNCTION("""COMPUTED_VALUE"""),"อลูมิเนียม")</f>
        <v>อลูมิเนียม</v>
      </c>
      <c r="B1224" s="128" t="str">
        <f>IFERROR(__xludf.DUMMYFUNCTION("""COMPUTED_VALUE"""),"F7919-คิ้วกรอบบาน-เทาซาฮาร่า")</f>
        <v>F7919-คิ้วกรอบบาน-เทาซาฮาร่า</v>
      </c>
    </row>
    <row r="1225">
      <c r="A1225" s="128" t="str">
        <f>IFERROR(__xludf.DUMMYFUNCTION("""COMPUTED_VALUE"""),"อลูมิเนียม")</f>
        <v>อลูมิเนียม</v>
      </c>
      <c r="B1225" s="128" t="str">
        <f>IFERROR(__xludf.DUMMYFUNCTION("""COMPUTED_VALUE"""),"F7919-คิ้วกรอบบาน-Aztec gray")</f>
        <v>F7919-คิ้วกรอบบาน-Aztec gray</v>
      </c>
    </row>
    <row r="1226">
      <c r="A1226" s="128" t="str">
        <f>IFERROR(__xludf.DUMMYFUNCTION("""COMPUTED_VALUE"""),"อลูมิเนียม")</f>
        <v>อลูมิเนียม</v>
      </c>
      <c r="B1226" s="128" t="str">
        <f>IFERROR(__xludf.DUMMYFUNCTION("""COMPUTED_VALUE"""),"F7919-คิ้วกรอบบาน-ลายไม้สักทอง")</f>
        <v>F7919-คิ้วกรอบบาน-ลายไม้สักทอง</v>
      </c>
    </row>
    <row r="1227">
      <c r="A1227" s="128" t="str">
        <f>IFERROR(__xludf.DUMMYFUNCTION("""COMPUTED_VALUE"""),"อลูมิเนียม")</f>
        <v>อลูมิเนียม</v>
      </c>
      <c r="B1227" s="128" t="str">
        <f>IFERROR(__xludf.DUMMYFUNCTION("""COMPUTED_VALUE"""),"F7919-คิ้วกรอบบาน-ไวท์โอ็ค")</f>
        <v>F7919-คิ้วกรอบบาน-ไวท์โอ็ค</v>
      </c>
    </row>
    <row r="1228">
      <c r="A1228" s="128" t="str">
        <f>IFERROR(__xludf.DUMMYFUNCTION("""COMPUTED_VALUE"""),"อลูมิเนียม")</f>
        <v>อลูมิเนียม</v>
      </c>
      <c r="B1228" s="128" t="str">
        <f>IFERROR(__xludf.DUMMYFUNCTION("""COMPUTED_VALUE"""),"F7919-คิ้วกรอบบาน-มะฮอกกานี")</f>
        <v>F7919-คิ้วกรอบบาน-มะฮอกกานี</v>
      </c>
    </row>
    <row r="1229">
      <c r="A1229" s="128" t="str">
        <f>IFERROR(__xludf.DUMMYFUNCTION("""COMPUTED_VALUE"""),"อลูมิเนียม")</f>
        <v>อลูมิเนียม</v>
      </c>
      <c r="B1229" s="128" t="str">
        <f>IFERROR(__xludf.DUMMYFUNCTION("""COMPUTED_VALUE"""),"F7917-คิ้วกรอบบาน-อบขาว")</f>
        <v>F7917-คิ้วกรอบบาน-อบขาว</v>
      </c>
    </row>
    <row r="1230">
      <c r="A1230" s="128" t="str">
        <f>IFERROR(__xludf.DUMMYFUNCTION("""COMPUTED_VALUE"""),"อลูมิเนียม")</f>
        <v>อลูมิเนียม</v>
      </c>
      <c r="B1230" s="128" t="str">
        <f>IFERROR(__xludf.DUMMYFUNCTION("""COMPUTED_VALUE"""),"F7917-คิ้วกรอบบาน-ดำ")</f>
        <v>F7917-คิ้วกรอบบาน-ดำ</v>
      </c>
    </row>
    <row r="1231">
      <c r="A1231" s="128" t="str">
        <f>IFERROR(__xludf.DUMMYFUNCTION("""COMPUTED_VALUE"""),"อลูมิเนียม")</f>
        <v>อลูมิเนียม</v>
      </c>
      <c r="B1231" s="128" t="str">
        <f>IFERROR(__xludf.DUMMYFUNCTION("""COMPUTED_VALUE"""),"F7917-คิ้วกรอบบาน-เทาซาฮาร่า")</f>
        <v>F7917-คิ้วกรอบบาน-เทาซาฮาร่า</v>
      </c>
    </row>
    <row r="1232">
      <c r="A1232" s="128" t="str">
        <f>IFERROR(__xludf.DUMMYFUNCTION("""COMPUTED_VALUE"""),"อลูมิเนียม")</f>
        <v>อลูมิเนียม</v>
      </c>
      <c r="B1232" s="128" t="str">
        <f>IFERROR(__xludf.DUMMYFUNCTION("""COMPUTED_VALUE"""),"F7917-คิ้วกรอบบาน-Aztec gray")</f>
        <v>F7917-คิ้วกรอบบาน-Aztec gray</v>
      </c>
    </row>
    <row r="1233">
      <c r="A1233" s="128" t="str">
        <f>IFERROR(__xludf.DUMMYFUNCTION("""COMPUTED_VALUE"""),"อลูมิเนียม")</f>
        <v>อลูมิเนียม</v>
      </c>
      <c r="B1233" s="128" t="str">
        <f>IFERROR(__xludf.DUMMYFUNCTION("""COMPUTED_VALUE"""),"F7917-คิ้วกรอบบาน-ลายไม้สักทอง")</f>
        <v>F7917-คิ้วกรอบบาน-ลายไม้สักทอง</v>
      </c>
    </row>
    <row r="1234">
      <c r="A1234" s="128" t="str">
        <f>IFERROR(__xludf.DUMMYFUNCTION("""COMPUTED_VALUE"""),"อลูมิเนียม")</f>
        <v>อลูมิเนียม</v>
      </c>
      <c r="B1234" s="128" t="str">
        <f>IFERROR(__xludf.DUMMYFUNCTION("""COMPUTED_VALUE"""),"F7917-คิ้วกรอบบาน-ไวท์โอ็ค")</f>
        <v>F7917-คิ้วกรอบบาน-ไวท์โอ็ค</v>
      </c>
    </row>
    <row r="1235">
      <c r="A1235" s="128" t="str">
        <f>IFERROR(__xludf.DUMMYFUNCTION("""COMPUTED_VALUE"""),"อลูมิเนียม")</f>
        <v>อลูมิเนียม</v>
      </c>
      <c r="B1235" s="128" t="str">
        <f>IFERROR(__xludf.DUMMYFUNCTION("""COMPUTED_VALUE"""),"F7917-คิ้วกรอบบาน-มะฮอกกานี")</f>
        <v>F7917-คิ้วกรอบบาน-มะฮอกกานี</v>
      </c>
    </row>
    <row r="1236">
      <c r="A1236" s="128" t="str">
        <f>IFERROR(__xludf.DUMMYFUNCTION("""COMPUTED_VALUE"""),"อลูมิเนียม")</f>
        <v>อลูมิเนียม</v>
      </c>
      <c r="B1236" s="128" t="str">
        <f>IFERROR(__xludf.DUMMYFUNCTION("""COMPUTED_VALUE"""),"F7950-คิ้วกรอบบาน-อบขาว")</f>
        <v>F7950-คิ้วกรอบบาน-อบขาว</v>
      </c>
    </row>
    <row r="1237">
      <c r="A1237" s="128" t="str">
        <f>IFERROR(__xludf.DUMMYFUNCTION("""COMPUTED_VALUE"""),"อลูมิเนียม")</f>
        <v>อลูมิเนียม</v>
      </c>
      <c r="B1237" s="128" t="str">
        <f>IFERROR(__xludf.DUMMYFUNCTION("""COMPUTED_VALUE"""),"F7950-คิ้วกรอบบาน-ดำ")</f>
        <v>F7950-คิ้วกรอบบาน-ดำ</v>
      </c>
    </row>
    <row r="1238">
      <c r="A1238" s="128" t="str">
        <f>IFERROR(__xludf.DUMMYFUNCTION("""COMPUTED_VALUE"""),"อลูมิเนียม")</f>
        <v>อลูมิเนียม</v>
      </c>
      <c r="B1238" s="128" t="str">
        <f>IFERROR(__xludf.DUMMYFUNCTION("""COMPUTED_VALUE"""),"F7950-คิ้วกรอบบาน-เทาซาฮาร่า")</f>
        <v>F7950-คิ้วกรอบบาน-เทาซาฮาร่า</v>
      </c>
    </row>
    <row r="1239">
      <c r="A1239" s="128" t="str">
        <f>IFERROR(__xludf.DUMMYFUNCTION("""COMPUTED_VALUE"""),"อลูมิเนียม")</f>
        <v>อลูมิเนียม</v>
      </c>
      <c r="B1239" s="128" t="str">
        <f>IFERROR(__xludf.DUMMYFUNCTION("""COMPUTED_VALUE"""),"F7950-คิ้วกรอบบาน-Aztec gray")</f>
        <v>F7950-คิ้วกรอบบาน-Aztec gray</v>
      </c>
    </row>
    <row r="1240">
      <c r="A1240" s="128" t="str">
        <f>IFERROR(__xludf.DUMMYFUNCTION("""COMPUTED_VALUE"""),"อลูมิเนียม")</f>
        <v>อลูมิเนียม</v>
      </c>
      <c r="B1240" s="128" t="str">
        <f>IFERROR(__xludf.DUMMYFUNCTION("""COMPUTED_VALUE"""),"F7950-คิ้วกรอบบาน-ลายไม้สักทอง")</f>
        <v>F7950-คิ้วกรอบบาน-ลายไม้สักทอง</v>
      </c>
    </row>
    <row r="1241">
      <c r="A1241" s="128" t="str">
        <f>IFERROR(__xludf.DUMMYFUNCTION("""COMPUTED_VALUE"""),"อลูมิเนียม")</f>
        <v>อลูมิเนียม</v>
      </c>
      <c r="B1241" s="128" t="str">
        <f>IFERROR(__xludf.DUMMYFUNCTION("""COMPUTED_VALUE"""),"F7950-คิ้วกรอบบาน-ไวท์โอ็ค")</f>
        <v>F7950-คิ้วกรอบบาน-ไวท์โอ็ค</v>
      </c>
    </row>
    <row r="1242">
      <c r="A1242" s="128" t="str">
        <f>IFERROR(__xludf.DUMMYFUNCTION("""COMPUTED_VALUE"""),"อลูมิเนียม")</f>
        <v>อลูมิเนียม</v>
      </c>
      <c r="B1242" s="128" t="str">
        <f>IFERROR(__xludf.DUMMYFUNCTION("""COMPUTED_VALUE"""),"F7950-คิ้วกรอบบาน-มะฮอกกานี")</f>
        <v>F7950-คิ้วกรอบบาน-มะฮอกกานี</v>
      </c>
    </row>
    <row r="1243">
      <c r="A1243" s="128" t="str">
        <f>IFERROR(__xludf.DUMMYFUNCTION("""COMPUTED_VALUE"""),"อลูมิเนียม")</f>
        <v>อลูมิเนียม</v>
      </c>
      <c r="B1243" s="128" t="str">
        <f>IFERROR(__xludf.DUMMYFUNCTION("""COMPUTED_VALUE"""),"F7995-กระดูกต่อเฟรรม-อบขาว")</f>
        <v>F7995-กระดูกต่อเฟรรม-อบขาว</v>
      </c>
    </row>
    <row r="1244">
      <c r="A1244" s="128" t="str">
        <f>IFERROR(__xludf.DUMMYFUNCTION("""COMPUTED_VALUE"""),"อลูมิเนียม")</f>
        <v>อลูมิเนียม</v>
      </c>
      <c r="B1244" s="128" t="str">
        <f>IFERROR(__xludf.DUMMYFUNCTION("""COMPUTED_VALUE"""),"F7995-กระดูกต่อเฟรรม-ดำ")</f>
        <v>F7995-กระดูกต่อเฟรรม-ดำ</v>
      </c>
    </row>
    <row r="1245">
      <c r="A1245" s="128" t="str">
        <f>IFERROR(__xludf.DUMMYFUNCTION("""COMPUTED_VALUE"""),"อลูมิเนียม")</f>
        <v>อลูมิเนียม</v>
      </c>
      <c r="B1245" s="128" t="str">
        <f>IFERROR(__xludf.DUMMYFUNCTION("""COMPUTED_VALUE"""),"F7995-กระดูกต่อเฟรรม-เทาซาฮาร่า")</f>
        <v>F7995-กระดูกต่อเฟรรม-เทาซาฮาร่า</v>
      </c>
    </row>
    <row r="1246">
      <c r="A1246" s="128" t="str">
        <f>IFERROR(__xludf.DUMMYFUNCTION("""COMPUTED_VALUE"""),"อลูมิเนียม")</f>
        <v>อลูมิเนียม</v>
      </c>
      <c r="B1246" s="128" t="str">
        <f>IFERROR(__xludf.DUMMYFUNCTION("""COMPUTED_VALUE"""),"F7995-กระดูกต่อเฟรรม-Aztec gray")</f>
        <v>F7995-กระดูกต่อเฟรรม-Aztec gray</v>
      </c>
    </row>
    <row r="1247">
      <c r="A1247" s="128" t="str">
        <f>IFERROR(__xludf.DUMMYFUNCTION("""COMPUTED_VALUE"""),"อลูมิเนียม")</f>
        <v>อลูมิเนียม</v>
      </c>
      <c r="B1247" s="128" t="str">
        <f>IFERROR(__xludf.DUMMYFUNCTION("""COMPUTED_VALUE"""),"F7995-กระดูกต่อเฟรรม-ลายไม้สักทอง")</f>
        <v>F7995-กระดูกต่อเฟรรม-ลายไม้สักทอง</v>
      </c>
    </row>
    <row r="1248">
      <c r="A1248" s="128" t="str">
        <f>IFERROR(__xludf.DUMMYFUNCTION("""COMPUTED_VALUE"""),"อลูมิเนียม")</f>
        <v>อลูมิเนียม</v>
      </c>
      <c r="B1248" s="128" t="str">
        <f>IFERROR(__xludf.DUMMYFUNCTION("""COMPUTED_VALUE"""),"F7995-กระดูกต่อเฟรรม-ไวท์โอ็ค")</f>
        <v>F7995-กระดูกต่อเฟรรม-ไวท์โอ็ค</v>
      </c>
    </row>
    <row r="1249">
      <c r="A1249" s="128" t="str">
        <f>IFERROR(__xludf.DUMMYFUNCTION("""COMPUTED_VALUE"""),"อลูมิเนียม")</f>
        <v>อลูมิเนียม</v>
      </c>
      <c r="B1249" s="128" t="str">
        <f>IFERROR(__xludf.DUMMYFUNCTION("""COMPUTED_VALUE"""),"F7995-กระดูกต่อเฟรรม-มะฮอกกานี")</f>
        <v>F7995-กระดูกต่อเฟรรม-มะฮอกกานี</v>
      </c>
    </row>
    <row r="1250">
      <c r="A1250" s="128" t="str">
        <f>IFERROR(__xludf.DUMMYFUNCTION("""COMPUTED_VALUE"""),"อลูมิเนียม")</f>
        <v>อลูมิเนียม</v>
      </c>
      <c r="B1250" s="128" t="str">
        <f>IFERROR(__xludf.DUMMYFUNCTION("""COMPUTED_VALUE"""),"F7952-แผ่นยึดเฟรมล่าง-อบขาว")</f>
        <v>F7952-แผ่นยึดเฟรมล่าง-อบขาว</v>
      </c>
    </row>
    <row r="1251">
      <c r="A1251" s="128" t="str">
        <f>IFERROR(__xludf.DUMMYFUNCTION("""COMPUTED_VALUE"""),"อลูมิเนียม")</f>
        <v>อลูมิเนียม</v>
      </c>
      <c r="B1251" s="128" t="str">
        <f>IFERROR(__xludf.DUMMYFUNCTION("""COMPUTED_VALUE"""),"F7952-แผ่นยึดเฟรมล่าง-ดำ")</f>
        <v>F7952-แผ่นยึดเฟรมล่าง-ดำ</v>
      </c>
    </row>
    <row r="1252">
      <c r="A1252" s="128" t="str">
        <f>IFERROR(__xludf.DUMMYFUNCTION("""COMPUTED_VALUE"""),"อลูมิเนียม")</f>
        <v>อลูมิเนียม</v>
      </c>
      <c r="B1252" s="128" t="str">
        <f>IFERROR(__xludf.DUMMYFUNCTION("""COMPUTED_VALUE"""),"F7952-แผ่นยึดเฟรมล่าง-เทาซาฮาร่า")</f>
        <v>F7952-แผ่นยึดเฟรมล่าง-เทาซาฮาร่า</v>
      </c>
    </row>
    <row r="1253">
      <c r="A1253" s="128" t="str">
        <f>IFERROR(__xludf.DUMMYFUNCTION("""COMPUTED_VALUE"""),"อลูมิเนียม")</f>
        <v>อลูมิเนียม</v>
      </c>
      <c r="B1253" s="128" t="str">
        <f>IFERROR(__xludf.DUMMYFUNCTION("""COMPUTED_VALUE"""),"F7952-แผ่นยึดเฟรมล่าง-Aztec gray")</f>
        <v>F7952-แผ่นยึดเฟรมล่าง-Aztec gray</v>
      </c>
    </row>
    <row r="1254">
      <c r="A1254" s="128" t="str">
        <f>IFERROR(__xludf.DUMMYFUNCTION("""COMPUTED_VALUE"""),"อลูมิเนียม")</f>
        <v>อลูมิเนียม</v>
      </c>
      <c r="B1254" s="128" t="str">
        <f>IFERROR(__xludf.DUMMYFUNCTION("""COMPUTED_VALUE"""),"F7952-แผ่นยึดเฟรมล่าง-ลายไม้สักทอง")</f>
        <v>F7952-แผ่นยึดเฟรมล่าง-ลายไม้สักทอง</v>
      </c>
    </row>
    <row r="1255">
      <c r="A1255" s="128" t="str">
        <f>IFERROR(__xludf.DUMMYFUNCTION("""COMPUTED_VALUE"""),"อลูมิเนียม")</f>
        <v>อลูมิเนียม</v>
      </c>
      <c r="B1255" s="128" t="str">
        <f>IFERROR(__xludf.DUMMYFUNCTION("""COMPUTED_VALUE"""),"F7952-แผ่นยึดเฟรมล่าง-ไวท์โอ็ค")</f>
        <v>F7952-แผ่นยึดเฟรมล่าง-ไวท์โอ็ค</v>
      </c>
    </row>
    <row r="1256">
      <c r="A1256" s="128" t="str">
        <f>IFERROR(__xludf.DUMMYFUNCTION("""COMPUTED_VALUE"""),"อลูมิเนียม")</f>
        <v>อลูมิเนียม</v>
      </c>
      <c r="B1256" s="128" t="str">
        <f>IFERROR(__xludf.DUMMYFUNCTION("""COMPUTED_VALUE"""),"F7952-แผ่นยึดเฟรมล่าง-มะฮอกกานี")</f>
        <v>F7952-แผ่นยึดเฟรมล่าง-มะฮอกกานี</v>
      </c>
    </row>
    <row r="1257">
      <c r="A1257" s="128" t="str">
        <f>IFERROR(__xludf.DUMMYFUNCTION("""COMPUTED_VALUE"""),"อลูมิเนียม")</f>
        <v>อลูมิเนียม</v>
      </c>
      <c r="B1257" s="128" t="str">
        <f>IFERROR(__xludf.DUMMYFUNCTION("""COMPUTED_VALUE"""),"F7879-ตบธรณีเรียบตัวกลาง-อบขาว")</f>
        <v>F7879-ตบธรณีเรียบตัวกลาง-อบขาว</v>
      </c>
    </row>
    <row r="1258">
      <c r="A1258" s="128" t="str">
        <f>IFERROR(__xludf.DUMMYFUNCTION("""COMPUTED_VALUE"""),"อลูมิเนียม")</f>
        <v>อลูมิเนียม</v>
      </c>
      <c r="B1258" s="128" t="str">
        <f>IFERROR(__xludf.DUMMYFUNCTION("""COMPUTED_VALUE"""),"F7879-ตบธรณีเรียบตัวกลาง-ดำ")</f>
        <v>F7879-ตบธรณีเรียบตัวกลาง-ดำ</v>
      </c>
    </row>
    <row r="1259">
      <c r="A1259" s="128" t="str">
        <f>IFERROR(__xludf.DUMMYFUNCTION("""COMPUTED_VALUE"""),"อลูมิเนียม")</f>
        <v>อลูมิเนียม</v>
      </c>
      <c r="B1259" s="128" t="str">
        <f>IFERROR(__xludf.DUMMYFUNCTION("""COMPUTED_VALUE"""),"F7879-ตบธรณีเรียบตัวกลาง-เทาซาฮาร่า")</f>
        <v>F7879-ตบธรณีเรียบตัวกลาง-เทาซาฮาร่า</v>
      </c>
    </row>
    <row r="1260">
      <c r="A1260" s="128" t="str">
        <f>IFERROR(__xludf.DUMMYFUNCTION("""COMPUTED_VALUE"""),"อลูมิเนียม")</f>
        <v>อลูมิเนียม</v>
      </c>
      <c r="B1260" s="128" t="str">
        <f>IFERROR(__xludf.DUMMYFUNCTION("""COMPUTED_VALUE"""),"F7879-ตบธรณีเรียบตัวกลาง-Aztec gray")</f>
        <v>F7879-ตบธรณีเรียบตัวกลาง-Aztec gray</v>
      </c>
    </row>
    <row r="1261">
      <c r="A1261" s="128" t="str">
        <f>IFERROR(__xludf.DUMMYFUNCTION("""COMPUTED_VALUE"""),"อลูมิเนียม")</f>
        <v>อลูมิเนียม</v>
      </c>
      <c r="B1261" s="128" t="str">
        <f>IFERROR(__xludf.DUMMYFUNCTION("""COMPUTED_VALUE"""),"F7879-ตบธรณีเรียบตัวกลาง-ลายไม้สักทอง")</f>
        <v>F7879-ตบธรณีเรียบตัวกลาง-ลายไม้สักทอง</v>
      </c>
    </row>
    <row r="1262">
      <c r="A1262" s="128" t="str">
        <f>IFERROR(__xludf.DUMMYFUNCTION("""COMPUTED_VALUE"""),"อลูมิเนียม")</f>
        <v>อลูมิเนียม</v>
      </c>
      <c r="B1262" s="128" t="str">
        <f>IFERROR(__xludf.DUMMYFUNCTION("""COMPUTED_VALUE"""),"F7879-ตบธรณีเรียบตัวกลาง-ไวท์โอ็ค")</f>
        <v>F7879-ตบธรณีเรียบตัวกลาง-ไวท์โอ็ค</v>
      </c>
    </row>
    <row r="1263">
      <c r="A1263" s="128" t="str">
        <f>IFERROR(__xludf.DUMMYFUNCTION("""COMPUTED_VALUE"""),"อลูมิเนียม")</f>
        <v>อลูมิเนียม</v>
      </c>
      <c r="B1263" s="128" t="str">
        <f>IFERROR(__xludf.DUMMYFUNCTION("""COMPUTED_VALUE"""),"F7879-ตบธรณีเรียบตัวกลาง-มะฮอกกานี")</f>
        <v>F7879-ตบธรณีเรียบตัวกลาง-มะฮอกกานี</v>
      </c>
    </row>
    <row r="1264">
      <c r="A1264" s="128" t="str">
        <f>IFERROR(__xludf.DUMMYFUNCTION("""COMPUTED_VALUE"""),"อลูมิเนียม")</f>
        <v>อลูมิเนียม</v>
      </c>
      <c r="B1264" s="128" t="str">
        <f>IFERROR(__xludf.DUMMYFUNCTION("""COMPUTED_VALUE"""),"F7880-ตบธรณีเรียบตัวริม-อบขาว")</f>
        <v>F7880-ตบธรณีเรียบตัวริม-อบขาว</v>
      </c>
    </row>
    <row r="1265">
      <c r="A1265" s="128" t="str">
        <f>IFERROR(__xludf.DUMMYFUNCTION("""COMPUTED_VALUE"""),"อลูมิเนียม")</f>
        <v>อลูมิเนียม</v>
      </c>
      <c r="B1265" s="128" t="str">
        <f>IFERROR(__xludf.DUMMYFUNCTION("""COMPUTED_VALUE"""),"F7880-ตบธรณีเรียบตัวริม-ดำ")</f>
        <v>F7880-ตบธรณีเรียบตัวริม-ดำ</v>
      </c>
    </row>
    <row r="1266">
      <c r="A1266" s="128" t="str">
        <f>IFERROR(__xludf.DUMMYFUNCTION("""COMPUTED_VALUE"""),"อลูมิเนียม")</f>
        <v>อลูมิเนียม</v>
      </c>
      <c r="B1266" s="128" t="str">
        <f>IFERROR(__xludf.DUMMYFUNCTION("""COMPUTED_VALUE"""),"F7880-ตบธรณีเรียบตัวริม-เทาซาฮาร่า")</f>
        <v>F7880-ตบธรณีเรียบตัวริม-เทาซาฮาร่า</v>
      </c>
    </row>
    <row r="1267">
      <c r="A1267" s="128" t="str">
        <f>IFERROR(__xludf.DUMMYFUNCTION("""COMPUTED_VALUE"""),"อลูมิเนียม")</f>
        <v>อลูมิเนียม</v>
      </c>
      <c r="B1267" s="128" t="str">
        <f>IFERROR(__xludf.DUMMYFUNCTION("""COMPUTED_VALUE"""),"F7880-ตบธรณีเรียบตัวริม-Aztec gray")</f>
        <v>F7880-ตบธรณีเรียบตัวริม-Aztec gray</v>
      </c>
    </row>
    <row r="1268">
      <c r="A1268" s="128" t="str">
        <f>IFERROR(__xludf.DUMMYFUNCTION("""COMPUTED_VALUE"""),"อลูมิเนียม")</f>
        <v>อลูมิเนียม</v>
      </c>
      <c r="B1268" s="128" t="str">
        <f>IFERROR(__xludf.DUMMYFUNCTION("""COMPUTED_VALUE"""),"F7880-ตบธรณีเรียบตัวริม-ลายไม้สักทอง")</f>
        <v>F7880-ตบธรณีเรียบตัวริม-ลายไม้สักทอง</v>
      </c>
    </row>
    <row r="1269">
      <c r="A1269" s="128" t="str">
        <f>IFERROR(__xludf.DUMMYFUNCTION("""COMPUTED_VALUE"""),"อลูมิเนียม")</f>
        <v>อลูมิเนียม</v>
      </c>
      <c r="B1269" s="128" t="str">
        <f>IFERROR(__xludf.DUMMYFUNCTION("""COMPUTED_VALUE"""),"F7880-ตบธรณีเรียบตัวริม-ไวท์โอ็ค")</f>
        <v>F7880-ตบธรณีเรียบตัวริม-ไวท์โอ็ค</v>
      </c>
    </row>
    <row r="1270">
      <c r="A1270" s="128" t="str">
        <f>IFERROR(__xludf.DUMMYFUNCTION("""COMPUTED_VALUE"""),"อลูมิเนียม")</f>
        <v>อลูมิเนียม</v>
      </c>
      <c r="B1270" s="128" t="str">
        <f>IFERROR(__xludf.DUMMYFUNCTION("""COMPUTED_VALUE"""),"F7880-ตบธรณีเรียบตัวริม-มะฮอกกานี")</f>
        <v>F7880-ตบธรณีเรียบตัวริม-มะฮอกกานี</v>
      </c>
    </row>
    <row r="1271">
      <c r="A1271" s="128" t="str">
        <f>IFERROR(__xludf.DUMMYFUNCTION("""COMPUTED_VALUE"""),"อลูมิเนียม")</f>
        <v>อลูมิเนียม</v>
      </c>
      <c r="B1271" s="128" t="str">
        <f>IFERROR(__xludf.DUMMYFUNCTION("""COMPUTED_VALUE"""),"10-เฟรมบานกระทุ้ง ไม่มีรูระบายน้ำ-อบขาว")</f>
        <v>10-เฟรมบานกระทุ้ง ไม่มีรูระบายน้ำ-อบขาว</v>
      </c>
    </row>
    <row r="1272">
      <c r="A1272" s="128" t="str">
        <f>IFERROR(__xludf.DUMMYFUNCTION("""COMPUTED_VALUE"""),"อลูมิเนียม")</f>
        <v>อลูมิเนียม</v>
      </c>
      <c r="B1272" s="128" t="str">
        <f>IFERROR(__xludf.DUMMYFUNCTION("""COMPUTED_VALUE"""),"F7859-เฟรมบานกระทุ้ง ไม่มีรูระบายน้ำ-ดำ")</f>
        <v>F7859-เฟรมบานกระทุ้ง ไม่มีรูระบายน้ำ-ดำ</v>
      </c>
    </row>
    <row r="1273">
      <c r="A1273" s="128" t="str">
        <f>IFERROR(__xludf.DUMMYFUNCTION("""COMPUTED_VALUE"""),"อลูมิเนียม")</f>
        <v>อลูมิเนียม</v>
      </c>
      <c r="B1273" s="128" t="str">
        <f>IFERROR(__xludf.DUMMYFUNCTION("""COMPUTED_VALUE"""),"F7859-เฟรมบานกระทุ้ง ไม่มีรูระบายน้ำ-เทาซาฮาร่า")</f>
        <v>F7859-เฟรมบานกระทุ้ง ไม่มีรูระบายน้ำ-เทาซาฮาร่า</v>
      </c>
    </row>
    <row r="1274">
      <c r="A1274" s="128" t="str">
        <f>IFERROR(__xludf.DUMMYFUNCTION("""COMPUTED_VALUE"""),"อลูมิเนียม")</f>
        <v>อลูมิเนียม</v>
      </c>
      <c r="B1274" s="128" t="str">
        <f>IFERROR(__xludf.DUMMYFUNCTION("""COMPUTED_VALUE"""),"F7859-เฟรมบานกระทุ้ง ไม่มีรูระบายน้ำ-Aztec gray")</f>
        <v>F7859-เฟรมบานกระทุ้ง ไม่มีรูระบายน้ำ-Aztec gray</v>
      </c>
    </row>
    <row r="1275">
      <c r="A1275" s="128" t="str">
        <f>IFERROR(__xludf.DUMMYFUNCTION("""COMPUTED_VALUE"""),"อลูมิเนียม")</f>
        <v>อลูมิเนียม</v>
      </c>
      <c r="B1275" s="128" t="str">
        <f>IFERROR(__xludf.DUMMYFUNCTION("""COMPUTED_VALUE"""),"F7859-เฟรมบานกระทุ้ง ไม่มีรูระบายน้ำ-ลายไม้สักทอง")</f>
        <v>F7859-เฟรมบานกระทุ้ง ไม่มีรูระบายน้ำ-ลายไม้สักทอง</v>
      </c>
    </row>
    <row r="1276">
      <c r="A1276" s="128" t="str">
        <f>IFERROR(__xludf.DUMMYFUNCTION("""COMPUTED_VALUE"""),"อลูมิเนียม")</f>
        <v>อลูมิเนียม</v>
      </c>
      <c r="B1276" s="128" t="str">
        <f>IFERROR(__xludf.DUMMYFUNCTION("""COMPUTED_VALUE"""),"F7859-เฟรมบานกระทุ้ง ไม่มีรูระบายน้ำ-ไวท์โอ็ค")</f>
        <v>F7859-เฟรมบานกระทุ้ง ไม่มีรูระบายน้ำ-ไวท์โอ็ค</v>
      </c>
    </row>
    <row r="1277">
      <c r="A1277" s="128" t="str">
        <f>IFERROR(__xludf.DUMMYFUNCTION("""COMPUTED_VALUE"""),"อลูมิเนียม")</f>
        <v>อลูมิเนียม</v>
      </c>
      <c r="B1277" s="128" t="str">
        <f>IFERROR(__xludf.DUMMYFUNCTION("""COMPUTED_VALUE"""),"F7859-เฟรมบานกระทุ้ง ไม่มีรูระบายน้ำ-มะฮอกกานี")</f>
        <v>F7859-เฟรมบานกระทุ้ง ไม่มีรูระบายน้ำ-มะฮอกกานี</v>
      </c>
    </row>
    <row r="1278">
      <c r="A1278" s="128" t="str">
        <f>IFERROR(__xludf.DUMMYFUNCTION("""COMPUTED_VALUE"""),"อลูมิเนียม")</f>
        <v>อลูมิเนียม</v>
      </c>
      <c r="B1278" s="128" t="str">
        <f>IFERROR(__xludf.DUMMYFUNCTION("""COMPUTED_VALUE"""),"F7858-เฟรมบานตายคิ้วไม่มีรูระบายน้ำ-อบขาว")</f>
        <v>F7858-เฟรมบานตายคิ้วไม่มีรูระบายน้ำ-อบขาว</v>
      </c>
    </row>
    <row r="1279">
      <c r="A1279" s="128" t="str">
        <f>IFERROR(__xludf.DUMMYFUNCTION("""COMPUTED_VALUE"""),"อลูมิเนียม")</f>
        <v>อลูมิเนียม</v>
      </c>
      <c r="B1279" s="128" t="str">
        <f>IFERROR(__xludf.DUMMYFUNCTION("""COMPUTED_VALUE"""),"F7858-เฟรมบานตายคิ้วไม่มีรูระบายน้ำ-ดำ")</f>
        <v>F7858-เฟรมบานตายคิ้วไม่มีรูระบายน้ำ-ดำ</v>
      </c>
    </row>
    <row r="1280">
      <c r="A1280" s="128" t="str">
        <f>IFERROR(__xludf.DUMMYFUNCTION("""COMPUTED_VALUE"""),"อลูมิเนียม")</f>
        <v>อลูมิเนียม</v>
      </c>
      <c r="B1280" s="128" t="str">
        <f>IFERROR(__xludf.DUMMYFUNCTION("""COMPUTED_VALUE"""),"F7858-เฟรมบานตายคิ้วไม่มีรูระบายน้ำ-เทาซาฮาร่า")</f>
        <v>F7858-เฟรมบานตายคิ้วไม่มีรูระบายน้ำ-เทาซาฮาร่า</v>
      </c>
    </row>
    <row r="1281">
      <c r="A1281" s="128" t="str">
        <f>IFERROR(__xludf.DUMMYFUNCTION("""COMPUTED_VALUE"""),"อลูมิเนียม")</f>
        <v>อลูมิเนียม</v>
      </c>
      <c r="B1281" s="128" t="str">
        <f>IFERROR(__xludf.DUMMYFUNCTION("""COMPUTED_VALUE"""),"F7858-เฟรมบานตายคิ้วไม่มีรูระบายน้ำ-Aztec gray")</f>
        <v>F7858-เฟรมบานตายคิ้วไม่มีรูระบายน้ำ-Aztec gray</v>
      </c>
    </row>
    <row r="1282">
      <c r="A1282" s="128" t="str">
        <f>IFERROR(__xludf.DUMMYFUNCTION("""COMPUTED_VALUE"""),"อลูมิเนียม")</f>
        <v>อลูมิเนียม</v>
      </c>
      <c r="B1282" s="128" t="str">
        <f>IFERROR(__xludf.DUMMYFUNCTION("""COMPUTED_VALUE"""),"F7858-เฟรมบานตายคิ้วไม่มีรูระบายน้ำ-ลายไม้สักทอง")</f>
        <v>F7858-เฟรมบานตายคิ้วไม่มีรูระบายน้ำ-ลายไม้สักทอง</v>
      </c>
    </row>
    <row r="1283">
      <c r="A1283" s="128" t="str">
        <f>IFERROR(__xludf.DUMMYFUNCTION("""COMPUTED_VALUE"""),"อลูมิเนียม")</f>
        <v>อลูมิเนียม</v>
      </c>
      <c r="B1283" s="128" t="str">
        <f>IFERROR(__xludf.DUMMYFUNCTION("""COMPUTED_VALUE"""),"F7858-เฟรมบานตายคิ้วไม่มีรูระบายน้ำ-ไวท์โอ็ค")</f>
        <v>F7858-เฟรมบานตายคิ้วไม่มีรูระบายน้ำ-ไวท์โอ็ค</v>
      </c>
    </row>
    <row r="1284">
      <c r="A1284" s="128" t="str">
        <f>IFERROR(__xludf.DUMMYFUNCTION("""COMPUTED_VALUE"""),"อลูมิเนียม")</f>
        <v>อลูมิเนียม</v>
      </c>
      <c r="B1284" s="128" t="str">
        <f>IFERROR(__xludf.DUMMYFUNCTION("""COMPUTED_VALUE"""),"F7858-เฟรมบานตายคิ้วไม่มีรูระบายน้ำ-มะฮอกกานี")</f>
        <v>F7858-เฟรมบานตายคิ้วไม่มีรูระบายน้ำ-มะฮอกกานี</v>
      </c>
    </row>
    <row r="1285">
      <c r="A1285" s="128" t="str">
        <f>IFERROR(__xludf.DUMMYFUNCTION("""COMPUTED_VALUE"""),"อลูมิเนียม")</f>
        <v>อลูมิเนียม</v>
      </c>
      <c r="B1285" s="128" t="str">
        <f>IFERROR(__xludf.DUMMYFUNCTION("""COMPUTED_VALUE"""),"F7812-เฟรมบานตายคิ้วไม่มีรูระบายน้ำ (ตัวหนา)-อบขาว")</f>
        <v>F7812-เฟรมบานตายคิ้วไม่มีรูระบายน้ำ (ตัวหนา)-อบขาว</v>
      </c>
    </row>
    <row r="1286">
      <c r="A1286" s="128" t="str">
        <f>IFERROR(__xludf.DUMMYFUNCTION("""COMPUTED_VALUE"""),"อลูมิเนียม")</f>
        <v>อลูมิเนียม</v>
      </c>
      <c r="B1286" s="128" t="str">
        <f>IFERROR(__xludf.DUMMYFUNCTION("""COMPUTED_VALUE"""),"F7812-เฟรมบานตายคิ้วไม่มีรูระบายน้ำ (ตัวหนา)-ดำ")</f>
        <v>F7812-เฟรมบานตายคิ้วไม่มีรูระบายน้ำ (ตัวหนา)-ดำ</v>
      </c>
    </row>
    <row r="1287">
      <c r="A1287" s="128" t="str">
        <f>IFERROR(__xludf.DUMMYFUNCTION("""COMPUTED_VALUE"""),"อลูมิเนียม")</f>
        <v>อลูมิเนียม</v>
      </c>
      <c r="B1287" s="128" t="str">
        <f>IFERROR(__xludf.DUMMYFUNCTION("""COMPUTED_VALUE"""),"F7812-เฟรมบานตายคิ้วไม่มีรูระบายน้ำ (ตัวหนา)-เทาซาฮาร่า")</f>
        <v>F7812-เฟรมบานตายคิ้วไม่มีรูระบายน้ำ (ตัวหนา)-เทาซาฮาร่า</v>
      </c>
    </row>
    <row r="1288">
      <c r="A1288" s="128" t="str">
        <f>IFERROR(__xludf.DUMMYFUNCTION("""COMPUTED_VALUE"""),"อลูมิเนียม")</f>
        <v>อลูมิเนียม</v>
      </c>
      <c r="B1288" s="128" t="str">
        <f>IFERROR(__xludf.DUMMYFUNCTION("""COMPUTED_VALUE"""),"F7812-เฟรมบานตายคิ้วไม่มีรูระบายน้ำ (ตัวหนา)-Aztec gray")</f>
        <v>F7812-เฟรมบานตายคิ้วไม่มีรูระบายน้ำ (ตัวหนา)-Aztec gray</v>
      </c>
    </row>
    <row r="1289">
      <c r="A1289" s="128" t="str">
        <f>IFERROR(__xludf.DUMMYFUNCTION("""COMPUTED_VALUE"""),"อลูมิเนียม")</f>
        <v>อลูมิเนียม</v>
      </c>
      <c r="B1289" s="128" t="str">
        <f>IFERROR(__xludf.DUMMYFUNCTION("""COMPUTED_VALUE"""),"F7812-เฟรมบานตายคิ้วไม่มีรูระบายน้ำ (ตัวหนา)-ลายไม้สักทอง")</f>
        <v>F7812-เฟรมบานตายคิ้วไม่มีรูระบายน้ำ (ตัวหนา)-ลายไม้สักทอง</v>
      </c>
    </row>
    <row r="1290">
      <c r="A1290" s="128" t="str">
        <f>IFERROR(__xludf.DUMMYFUNCTION("""COMPUTED_VALUE"""),"อลูมิเนียม")</f>
        <v>อลูมิเนียม</v>
      </c>
      <c r="B1290" s="128" t="str">
        <f>IFERROR(__xludf.DUMMYFUNCTION("""COMPUTED_VALUE"""),"F7812-เฟรมบานตายคิ้วไม่มีรูระบายน้ำ (ตัวหนา)-ไวท์โอ็ค")</f>
        <v>F7812-เฟรมบานตายคิ้วไม่มีรูระบายน้ำ (ตัวหนา)-ไวท์โอ็ค</v>
      </c>
    </row>
    <row r="1291">
      <c r="A1291" s="128" t="str">
        <f>IFERROR(__xludf.DUMMYFUNCTION("""COMPUTED_VALUE"""),"อลูมิเนียม")</f>
        <v>อลูมิเนียม</v>
      </c>
      <c r="B1291" s="128" t="str">
        <f>IFERROR(__xludf.DUMMYFUNCTION("""COMPUTED_VALUE"""),"F7812-เฟรมบานตายคิ้วไม่มีรูระบายน้ำ (ตัวหนา)-มะฮอกกานี")</f>
        <v>F7812-เฟรมบานตายคิ้วไม่มีรูระบายน้ำ (ตัวหนา)-มะฮอกกานี</v>
      </c>
    </row>
    <row r="1292">
      <c r="A1292" s="128" t="str">
        <f>IFERROR(__xludf.DUMMYFUNCTION("""COMPUTED_VALUE"""),"อลูมิเนียม")</f>
        <v>อลูมิเนียม</v>
      </c>
      <c r="B1292" s="128" t="str">
        <f>IFERROR(__xludf.DUMMYFUNCTION("""COMPUTED_VALUE"""),"F7937-เฟรมบานตายคิ้วใน-อบขาว")</f>
        <v>F7937-เฟรมบานตายคิ้วใน-อบขาว</v>
      </c>
    </row>
    <row r="1293">
      <c r="A1293" s="128" t="str">
        <f>IFERROR(__xludf.DUMMYFUNCTION("""COMPUTED_VALUE"""),"อลูมิเนียม")</f>
        <v>อลูมิเนียม</v>
      </c>
      <c r="B1293" s="128" t="str">
        <f>IFERROR(__xludf.DUMMYFUNCTION("""COMPUTED_VALUE"""),"F7937-เฟรมบานตายคิ้วใน-ดำ")</f>
        <v>F7937-เฟรมบานตายคิ้วใน-ดำ</v>
      </c>
    </row>
    <row r="1294">
      <c r="A1294" s="128" t="str">
        <f>IFERROR(__xludf.DUMMYFUNCTION("""COMPUTED_VALUE"""),"อลูมิเนียม")</f>
        <v>อลูมิเนียม</v>
      </c>
      <c r="B1294" s="128" t="str">
        <f>IFERROR(__xludf.DUMMYFUNCTION("""COMPUTED_VALUE"""),"F7937-เฟรมบานตายคิ้วใน-เทาซาฮาร่า")</f>
        <v>F7937-เฟรมบานตายคิ้วใน-เทาซาฮาร่า</v>
      </c>
    </row>
    <row r="1295">
      <c r="A1295" s="128" t="str">
        <f>IFERROR(__xludf.DUMMYFUNCTION("""COMPUTED_VALUE"""),"อลูมิเนียม")</f>
        <v>อลูมิเนียม</v>
      </c>
      <c r="B1295" s="128" t="str">
        <f>IFERROR(__xludf.DUMMYFUNCTION("""COMPUTED_VALUE"""),"F7937-เฟรมบานตายคิ้วใน-Aztec gray")</f>
        <v>F7937-เฟรมบานตายคิ้วใน-Aztec gray</v>
      </c>
    </row>
    <row r="1296">
      <c r="A1296" s="128" t="str">
        <f>IFERROR(__xludf.DUMMYFUNCTION("""COMPUTED_VALUE"""),"อลูมิเนียม")</f>
        <v>อลูมิเนียม</v>
      </c>
      <c r="B1296" s="128" t="str">
        <f>IFERROR(__xludf.DUMMYFUNCTION("""COMPUTED_VALUE"""),"F7937-เฟรมบานตายคิ้วใน-ลายไม้สักทอง")</f>
        <v>F7937-เฟรมบานตายคิ้วใน-ลายไม้สักทอง</v>
      </c>
    </row>
    <row r="1297">
      <c r="A1297" s="128" t="str">
        <f>IFERROR(__xludf.DUMMYFUNCTION("""COMPUTED_VALUE"""),"อลูมิเนียม")</f>
        <v>อลูมิเนียม</v>
      </c>
      <c r="B1297" s="128" t="str">
        <f>IFERROR(__xludf.DUMMYFUNCTION("""COMPUTED_VALUE"""),"F7937-เฟรมบานตายคิ้วใน-ไวท์โอ็ค")</f>
        <v>F7937-เฟรมบานตายคิ้วใน-ไวท์โอ็ค</v>
      </c>
    </row>
    <row r="1298">
      <c r="A1298" s="128" t="str">
        <f>IFERROR(__xludf.DUMMYFUNCTION("""COMPUTED_VALUE"""),"อลูมิเนียม")</f>
        <v>อลูมิเนียม</v>
      </c>
      <c r="B1298" s="128" t="str">
        <f>IFERROR(__xludf.DUMMYFUNCTION("""COMPUTED_VALUE"""),"F7937-เฟรมบานตายคิ้วใน-มะฮอกกานี")</f>
        <v>F7937-เฟรมบานตายคิ้วใน-มะฮอกกานี</v>
      </c>
    </row>
    <row r="1299">
      <c r="A1299" s="128" t="str">
        <f>IFERROR(__xludf.DUMMYFUNCTION("""COMPUTED_VALUE"""),"อลูมิเนียม")</f>
        <v>อลูมิเนียม</v>
      </c>
      <c r="B1299" s="128" t="str">
        <f>IFERROR(__xludf.DUMMYFUNCTION("""COMPUTED_VALUE"""),"F7871-เฟรมบานตายคิ้วใน (ตัวหนา)-อบขาว")</f>
        <v>F7871-เฟรมบานตายคิ้วใน (ตัวหนา)-อบขาว</v>
      </c>
    </row>
    <row r="1300">
      <c r="A1300" s="128" t="str">
        <f>IFERROR(__xludf.DUMMYFUNCTION("""COMPUTED_VALUE"""),"อลูมิเนียม")</f>
        <v>อลูมิเนียม</v>
      </c>
      <c r="B1300" s="128" t="str">
        <f>IFERROR(__xludf.DUMMYFUNCTION("""COMPUTED_VALUE"""),"F7871-เฟรมบานตายคิ้วใน (ตัวหนา)-ดำ")</f>
        <v>F7871-เฟรมบานตายคิ้วใน (ตัวหนา)-ดำ</v>
      </c>
    </row>
    <row r="1301">
      <c r="A1301" s="128" t="str">
        <f>IFERROR(__xludf.DUMMYFUNCTION("""COMPUTED_VALUE"""),"อลูมิเนียม")</f>
        <v>อลูมิเนียม</v>
      </c>
      <c r="B1301" s="128" t="str">
        <f>IFERROR(__xludf.DUMMYFUNCTION("""COMPUTED_VALUE"""),"F7871-เฟรมบานตายคิ้วใน (ตัวหนา)-เทาซาฮาร่า")</f>
        <v>F7871-เฟรมบานตายคิ้วใน (ตัวหนา)-เทาซาฮาร่า</v>
      </c>
    </row>
    <row r="1302">
      <c r="A1302" s="128" t="str">
        <f>IFERROR(__xludf.DUMMYFUNCTION("""COMPUTED_VALUE"""),"อลูมิเนียม")</f>
        <v>อลูมิเนียม</v>
      </c>
      <c r="B1302" s="128" t="str">
        <f>IFERROR(__xludf.DUMMYFUNCTION("""COMPUTED_VALUE"""),"F7871-เฟรมบานตายคิ้วใน (ตัวหนา)-Aztec gray")</f>
        <v>F7871-เฟรมบานตายคิ้วใน (ตัวหนา)-Aztec gray</v>
      </c>
    </row>
    <row r="1303">
      <c r="A1303" s="128" t="str">
        <f>IFERROR(__xludf.DUMMYFUNCTION("""COMPUTED_VALUE"""),"อลูมิเนียม")</f>
        <v>อลูมิเนียม</v>
      </c>
      <c r="B1303" s="128" t="str">
        <f>IFERROR(__xludf.DUMMYFUNCTION("""COMPUTED_VALUE"""),"F7871-เฟรมบานตายคิ้วใน (ตัวหนา)-ลายไม้สักทอง")</f>
        <v>F7871-เฟรมบานตายคิ้วใน (ตัวหนา)-ลายไม้สักทอง</v>
      </c>
    </row>
    <row r="1304">
      <c r="A1304" s="128" t="str">
        <f>IFERROR(__xludf.DUMMYFUNCTION("""COMPUTED_VALUE"""),"อลูมิเนียม")</f>
        <v>อลูมิเนียม</v>
      </c>
      <c r="B1304" s="128" t="str">
        <f>IFERROR(__xludf.DUMMYFUNCTION("""COMPUTED_VALUE"""),"F7871-เฟรมบานตายคิ้วใน (ตัวหนา)-ไวท์โอ็ค")</f>
        <v>F7871-เฟรมบานตายคิ้วใน (ตัวหนา)-ไวท์โอ็ค</v>
      </c>
    </row>
    <row r="1305">
      <c r="A1305" s="128" t="str">
        <f>IFERROR(__xludf.DUMMYFUNCTION("""COMPUTED_VALUE"""),"อลูมิเนียม")</f>
        <v>อลูมิเนียม</v>
      </c>
      <c r="B1305" s="128" t="str">
        <f>IFERROR(__xludf.DUMMYFUNCTION("""COMPUTED_VALUE"""),"F7871-เฟรมบานตายคิ้วใน (ตัวหนา)-มะฮอกกานี")</f>
        <v>F7871-เฟรมบานตายคิ้วใน (ตัวหนา)-มะฮอกกานี</v>
      </c>
    </row>
    <row r="1306">
      <c r="A1306" s="128" t="str">
        <f>IFERROR(__xludf.DUMMYFUNCTION("""COMPUTED_VALUE"""),"อลูมิเนียม")</f>
        <v>อลูมิเนียม</v>
      </c>
      <c r="B1306" s="128" t="str">
        <f>IFERROR(__xludf.DUMMYFUNCTION("""COMPUTED_VALUE"""),"F7939B-เฟรมบานกระทุ้ง-อบขาว")</f>
        <v>F7939B-เฟรมบานกระทุ้ง-อบขาว</v>
      </c>
    </row>
    <row r="1307">
      <c r="A1307" s="128" t="str">
        <f>IFERROR(__xludf.DUMMYFUNCTION("""COMPUTED_VALUE"""),"อลูมิเนียม")</f>
        <v>อลูมิเนียม</v>
      </c>
      <c r="B1307" s="128" t="str">
        <f>IFERROR(__xludf.DUMMYFUNCTION("""COMPUTED_VALUE"""),"F7939B-เฟรมบานกระทุ้ง-ดำ")</f>
        <v>F7939B-เฟรมบานกระทุ้ง-ดำ</v>
      </c>
    </row>
    <row r="1308">
      <c r="A1308" s="128" t="str">
        <f>IFERROR(__xludf.DUMMYFUNCTION("""COMPUTED_VALUE"""),"อลูมิเนียม")</f>
        <v>อลูมิเนียม</v>
      </c>
      <c r="B1308" s="128" t="str">
        <f>IFERROR(__xludf.DUMMYFUNCTION("""COMPUTED_VALUE"""),"F7939B-เฟรมบานกระทุ้ง-เทาซาฮาร่า")</f>
        <v>F7939B-เฟรมบานกระทุ้ง-เทาซาฮาร่า</v>
      </c>
    </row>
    <row r="1309">
      <c r="A1309" s="128" t="str">
        <f>IFERROR(__xludf.DUMMYFUNCTION("""COMPUTED_VALUE"""),"อลูมิเนียม")</f>
        <v>อลูมิเนียม</v>
      </c>
      <c r="B1309" s="128" t="str">
        <f>IFERROR(__xludf.DUMMYFUNCTION("""COMPUTED_VALUE"""),"F7939B-เฟรมบานกระทุ้ง-Aztec gray")</f>
        <v>F7939B-เฟรมบานกระทุ้ง-Aztec gray</v>
      </c>
    </row>
    <row r="1310">
      <c r="A1310" s="128" t="str">
        <f>IFERROR(__xludf.DUMMYFUNCTION("""COMPUTED_VALUE"""),"อลูมิเนียม")</f>
        <v>อลูมิเนียม</v>
      </c>
      <c r="B1310" s="128" t="str">
        <f>IFERROR(__xludf.DUMMYFUNCTION("""COMPUTED_VALUE"""),"F7939B-เฟรมบานกระทุ้ง-ลายไม้สักทอง")</f>
        <v>F7939B-เฟรมบานกระทุ้ง-ลายไม้สักทอง</v>
      </c>
    </row>
    <row r="1311">
      <c r="A1311" s="128" t="str">
        <f>IFERROR(__xludf.DUMMYFUNCTION("""COMPUTED_VALUE"""),"อลูมิเนียม")</f>
        <v>อลูมิเนียม</v>
      </c>
      <c r="B1311" s="128" t="str">
        <f>IFERROR(__xludf.DUMMYFUNCTION("""COMPUTED_VALUE"""),"F7939B-เฟรมบานกระทุ้ง-ไวท์โอ็ค")</f>
        <v>F7939B-เฟรมบานกระทุ้ง-ไวท์โอ็ค</v>
      </c>
    </row>
    <row r="1312">
      <c r="A1312" s="128" t="str">
        <f>IFERROR(__xludf.DUMMYFUNCTION("""COMPUTED_VALUE"""),"อลูมิเนียม")</f>
        <v>อลูมิเนียม</v>
      </c>
      <c r="B1312" s="128" t="str">
        <f>IFERROR(__xludf.DUMMYFUNCTION("""COMPUTED_VALUE"""),"F7939B-เฟรมบานกระทุ้ง-มะฮอกกานี")</f>
        <v>F7939B-เฟรมบานกระทุ้ง-มะฮอกกานี</v>
      </c>
    </row>
    <row r="1313">
      <c r="A1313" s="128" t="str">
        <f>IFERROR(__xludf.DUMMYFUNCTION("""COMPUTED_VALUE"""),"อลูมิเนียม")</f>
        <v>อลูมิเนียม</v>
      </c>
      <c r="B1313" s="128" t="str">
        <f>IFERROR(__xludf.DUMMYFUNCTION("""COMPUTED_VALUE"""),"F7938B-เฟรมบานกระทุ้ง (ติดมุ้ง)-อบขาว")</f>
        <v>F7938B-เฟรมบานกระทุ้ง (ติดมุ้ง)-อบขาว</v>
      </c>
    </row>
    <row r="1314">
      <c r="A1314" s="128" t="str">
        <f>IFERROR(__xludf.DUMMYFUNCTION("""COMPUTED_VALUE"""),"อลูมิเนียม")</f>
        <v>อลูมิเนียม</v>
      </c>
      <c r="B1314" s="128" t="str">
        <f>IFERROR(__xludf.DUMMYFUNCTION("""COMPUTED_VALUE"""),"F7938B-เฟรมบานกระทุ้ง (ติดมุ้ง)-ดำ")</f>
        <v>F7938B-เฟรมบานกระทุ้ง (ติดมุ้ง)-ดำ</v>
      </c>
    </row>
    <row r="1315">
      <c r="A1315" s="128" t="str">
        <f>IFERROR(__xludf.DUMMYFUNCTION("""COMPUTED_VALUE"""),"อลูมิเนียม")</f>
        <v>อลูมิเนียม</v>
      </c>
      <c r="B1315" s="128" t="str">
        <f>IFERROR(__xludf.DUMMYFUNCTION("""COMPUTED_VALUE"""),"F7938B-เฟรมบานกระทุ้ง (ติดมุ้ง)-เทาซาฮาร่า")</f>
        <v>F7938B-เฟรมบานกระทุ้ง (ติดมุ้ง)-เทาซาฮาร่า</v>
      </c>
    </row>
    <row r="1316">
      <c r="A1316" s="128" t="str">
        <f>IFERROR(__xludf.DUMMYFUNCTION("""COMPUTED_VALUE"""),"อลูมิเนียม")</f>
        <v>อลูมิเนียม</v>
      </c>
      <c r="B1316" s="128" t="str">
        <f>IFERROR(__xludf.DUMMYFUNCTION("""COMPUTED_VALUE"""),"F7938B-เฟรมบานกระทุ้ง (ติดมุ้ง)-Aztec gray")</f>
        <v>F7938B-เฟรมบานกระทุ้ง (ติดมุ้ง)-Aztec gray</v>
      </c>
    </row>
    <row r="1317">
      <c r="A1317" s="128" t="str">
        <f>IFERROR(__xludf.DUMMYFUNCTION("""COMPUTED_VALUE"""),"อลูมิเนียม")</f>
        <v>อลูมิเนียม</v>
      </c>
      <c r="B1317" s="128" t="str">
        <f>IFERROR(__xludf.DUMMYFUNCTION("""COMPUTED_VALUE"""),"F7938B-เฟรมบานกระทุ้ง (ติดมุ้ง)-ลายไม้สักทอง")</f>
        <v>F7938B-เฟรมบานกระทุ้ง (ติดมุ้ง)-ลายไม้สักทอง</v>
      </c>
    </row>
    <row r="1318">
      <c r="A1318" s="128" t="str">
        <f>IFERROR(__xludf.DUMMYFUNCTION("""COMPUTED_VALUE"""),"อลูมิเนียม")</f>
        <v>อลูมิเนียม</v>
      </c>
      <c r="B1318" s="128" t="str">
        <f>IFERROR(__xludf.DUMMYFUNCTION("""COMPUTED_VALUE"""),"F7938B-เฟรมบานกระทุ้ง (ติดมุ้ง)-ไวท์โอ็ค")</f>
        <v>F7938B-เฟรมบานกระทุ้ง (ติดมุ้ง)-ไวท์โอ็ค</v>
      </c>
    </row>
    <row r="1319">
      <c r="A1319" s="128" t="str">
        <f>IFERROR(__xludf.DUMMYFUNCTION("""COMPUTED_VALUE"""),"อลูมิเนียม")</f>
        <v>อลูมิเนียม</v>
      </c>
      <c r="B1319" s="128" t="str">
        <f>IFERROR(__xludf.DUMMYFUNCTION("""COMPUTED_VALUE"""),"F7938B-เฟรมบานกระทุ้ง (ติดมุ้ง)-มะฮอกกานี")</f>
        <v>F7938B-เฟรมบานกระทุ้ง (ติดมุ้ง)-มะฮอกกานี</v>
      </c>
    </row>
    <row r="1320">
      <c r="A1320" s="128" t="str">
        <f>IFERROR(__xludf.DUMMYFUNCTION("""COMPUTED_VALUE"""),"อลูมิเนียม")</f>
        <v>อลูมิเนียม</v>
      </c>
      <c r="B1320" s="128" t="str">
        <f>IFERROR(__xludf.DUMMYFUNCTION("""COMPUTED_VALUE"""),"F7861-ตบเฟรมแบ่งบาน-อบขาว")</f>
        <v>F7861-ตบเฟรมแบ่งบาน-อบขาว</v>
      </c>
    </row>
    <row r="1321">
      <c r="A1321" s="128" t="str">
        <f>IFERROR(__xludf.DUMMYFUNCTION("""COMPUTED_VALUE"""),"อลูมิเนียม")</f>
        <v>อลูมิเนียม</v>
      </c>
      <c r="B1321" s="128" t="str">
        <f>IFERROR(__xludf.DUMMYFUNCTION("""COMPUTED_VALUE"""),"F7861-ตบเฟรมแบ่งบาน-ดำ")</f>
        <v>F7861-ตบเฟรมแบ่งบาน-ดำ</v>
      </c>
    </row>
    <row r="1322">
      <c r="A1322" s="128" t="str">
        <f>IFERROR(__xludf.DUMMYFUNCTION("""COMPUTED_VALUE"""),"อลูมิเนียม")</f>
        <v>อลูมิเนียม</v>
      </c>
      <c r="B1322" s="128" t="str">
        <f>IFERROR(__xludf.DUMMYFUNCTION("""COMPUTED_VALUE"""),"F7861-ตบเฟรมแบ่งบาน-เทาซาฮาร่า")</f>
        <v>F7861-ตบเฟรมแบ่งบาน-เทาซาฮาร่า</v>
      </c>
    </row>
    <row r="1323">
      <c r="A1323" s="128" t="str">
        <f>IFERROR(__xludf.DUMMYFUNCTION("""COMPUTED_VALUE"""),"อลูมิเนียม")</f>
        <v>อลูมิเนียม</v>
      </c>
      <c r="B1323" s="128" t="str">
        <f>IFERROR(__xludf.DUMMYFUNCTION("""COMPUTED_VALUE"""),"F7861-ตบเฟรมแบ่งบาน-Aztec gray")</f>
        <v>F7861-ตบเฟรมแบ่งบาน-Aztec gray</v>
      </c>
    </row>
    <row r="1324">
      <c r="A1324" s="128" t="str">
        <f>IFERROR(__xludf.DUMMYFUNCTION("""COMPUTED_VALUE"""),"อลูมิเนียม")</f>
        <v>อลูมิเนียม</v>
      </c>
      <c r="B1324" s="128" t="str">
        <f>IFERROR(__xludf.DUMMYFUNCTION("""COMPUTED_VALUE"""),"F7861-ตบเฟรมแบ่งบาน-ลายไม้สักทอง")</f>
        <v>F7861-ตบเฟรมแบ่งบาน-ลายไม้สักทอง</v>
      </c>
    </row>
    <row r="1325">
      <c r="A1325" s="128" t="str">
        <f>IFERROR(__xludf.DUMMYFUNCTION("""COMPUTED_VALUE"""),"อลูมิเนียม")</f>
        <v>อลูมิเนียม</v>
      </c>
      <c r="B1325" s="128" t="str">
        <f>IFERROR(__xludf.DUMMYFUNCTION("""COMPUTED_VALUE"""),"F7861-ตบเฟรมแบ่งบาน-ไวท์โอ็ค")</f>
        <v>F7861-ตบเฟรมแบ่งบาน-ไวท์โอ็ค</v>
      </c>
    </row>
    <row r="1326">
      <c r="A1326" s="128" t="str">
        <f>IFERROR(__xludf.DUMMYFUNCTION("""COMPUTED_VALUE"""),"อลูมิเนียม")</f>
        <v>อลูมิเนียม</v>
      </c>
      <c r="B1326" s="128" t="str">
        <f>IFERROR(__xludf.DUMMYFUNCTION("""COMPUTED_VALUE"""),"F7861-ตบเฟรมแบ่งบาน-มะฮอกกานี")</f>
        <v>F7861-ตบเฟรมแบ่งบาน-มะฮอกกานี</v>
      </c>
    </row>
    <row r="1327">
      <c r="A1327" s="128" t="str">
        <f>IFERROR(__xludf.DUMMYFUNCTION("""COMPUTED_VALUE"""),"อลูมิเนียม")</f>
        <v>อลูมิเนียม</v>
      </c>
      <c r="B1327" s="128" t="str">
        <f>IFERROR(__xludf.DUMMYFUNCTION("""COMPUTED_VALUE"""),"F7944B-กรอบมุ้ง-มุ้งนิรภัย-อบขาว")</f>
        <v>F7944B-กรอบมุ้ง-มุ้งนิรภัย-อบขาว</v>
      </c>
    </row>
    <row r="1328">
      <c r="A1328" s="128" t="str">
        <f>IFERROR(__xludf.DUMMYFUNCTION("""COMPUTED_VALUE"""),"อลูมิเนียม")</f>
        <v>อลูมิเนียม</v>
      </c>
      <c r="B1328" s="128" t="str">
        <f>IFERROR(__xludf.DUMMYFUNCTION("""COMPUTED_VALUE"""),"F7944B-กรอบมุ้ง-มุ้งนิรภัย-ดำ")</f>
        <v>F7944B-กรอบมุ้ง-มุ้งนิรภัย-ดำ</v>
      </c>
    </row>
    <row r="1329">
      <c r="A1329" s="128" t="str">
        <f>IFERROR(__xludf.DUMMYFUNCTION("""COMPUTED_VALUE"""),"อลูมิเนียม")</f>
        <v>อลูมิเนียม</v>
      </c>
      <c r="B1329" s="128" t="str">
        <f>IFERROR(__xludf.DUMMYFUNCTION("""COMPUTED_VALUE"""),"F7944B-กรอบมุ้ง-มุ้งนิรภัย-เทาซาฮาร่า")</f>
        <v>F7944B-กรอบมุ้ง-มุ้งนิรภัย-เทาซาฮาร่า</v>
      </c>
    </row>
    <row r="1330">
      <c r="A1330" s="128" t="str">
        <f>IFERROR(__xludf.DUMMYFUNCTION("""COMPUTED_VALUE"""),"อลูมิเนียม")</f>
        <v>อลูมิเนียม</v>
      </c>
      <c r="B1330" s="128" t="str">
        <f>IFERROR(__xludf.DUMMYFUNCTION("""COMPUTED_VALUE"""),"F7944B-กรอบมุ้ง-มุ้งนิรภัย-Aztec gray")</f>
        <v>F7944B-กรอบมุ้ง-มุ้งนิรภัย-Aztec gray</v>
      </c>
    </row>
    <row r="1331">
      <c r="A1331" s="128" t="str">
        <f>IFERROR(__xludf.DUMMYFUNCTION("""COMPUTED_VALUE"""),"อลูมิเนียม")</f>
        <v>อลูมิเนียม</v>
      </c>
      <c r="B1331" s="128" t="str">
        <f>IFERROR(__xludf.DUMMYFUNCTION("""COMPUTED_VALUE"""),"F7944B-กรอบมุ้ง-มุ้งนิรภัย-ลายไม้สักทอง")</f>
        <v>F7944B-กรอบมุ้ง-มุ้งนิรภัย-ลายไม้สักทอง</v>
      </c>
    </row>
    <row r="1332">
      <c r="A1332" s="128" t="str">
        <f>IFERROR(__xludf.DUMMYFUNCTION("""COMPUTED_VALUE"""),"อลูมิเนียม")</f>
        <v>อลูมิเนียม</v>
      </c>
      <c r="B1332" s="128" t="str">
        <f>IFERROR(__xludf.DUMMYFUNCTION("""COMPUTED_VALUE"""),"F7944B-กรอบมุ้ง-มุ้งนิรภัย-ไวท์โอ็ค")</f>
        <v>F7944B-กรอบมุ้ง-มุ้งนิรภัย-ไวท์โอ็ค</v>
      </c>
    </row>
    <row r="1333">
      <c r="A1333" s="128" t="str">
        <f>IFERROR(__xludf.DUMMYFUNCTION("""COMPUTED_VALUE"""),"อลูมิเนียม")</f>
        <v>อลูมิเนียม</v>
      </c>
      <c r="B1333" s="128" t="str">
        <f>IFERROR(__xludf.DUMMYFUNCTION("""COMPUTED_VALUE"""),"F7944B-กรอบมุ้ง-มุ้งนิรภัย-มะฮอกกานี")</f>
        <v>F7944B-กรอบมุ้ง-มุ้งนิรภัย-มะฮอกกานี</v>
      </c>
    </row>
    <row r="1334">
      <c r="A1334" s="128" t="str">
        <f>IFERROR(__xludf.DUMMYFUNCTION("""COMPUTED_VALUE"""),"อลูมิเนียม")</f>
        <v>อลูมิเนียม</v>
      </c>
      <c r="B1334" s="128" t="str">
        <f>IFERROR(__xludf.DUMMYFUNCTION("""COMPUTED_VALUE"""),"F7958B-รับล็อคปิดกลางบานมุ้ง-อบขาว")</f>
        <v>F7958B-รับล็อคปิดกลางบานมุ้ง-อบขาว</v>
      </c>
    </row>
    <row r="1335">
      <c r="A1335" s="128" t="str">
        <f>IFERROR(__xludf.DUMMYFUNCTION("""COMPUTED_VALUE"""),"อลูมิเนียม")</f>
        <v>อลูมิเนียม</v>
      </c>
      <c r="B1335" s="128" t="str">
        <f>IFERROR(__xludf.DUMMYFUNCTION("""COMPUTED_VALUE"""),"F7958B-รับล็อคปิดกลางบานมุ้ง-ดำ")</f>
        <v>F7958B-รับล็อคปิดกลางบานมุ้ง-ดำ</v>
      </c>
    </row>
    <row r="1336">
      <c r="A1336" s="128" t="str">
        <f>IFERROR(__xludf.DUMMYFUNCTION("""COMPUTED_VALUE"""),"อลูมิเนียม")</f>
        <v>อลูมิเนียม</v>
      </c>
      <c r="B1336" s="128" t="str">
        <f>IFERROR(__xludf.DUMMYFUNCTION("""COMPUTED_VALUE"""),"F7958B-รับล็อคปิดกลางบานมุ้ง-เทาซาฮาร่า")</f>
        <v>F7958B-รับล็อคปิดกลางบานมุ้ง-เทาซาฮาร่า</v>
      </c>
    </row>
    <row r="1337">
      <c r="A1337" s="128" t="str">
        <f>IFERROR(__xludf.DUMMYFUNCTION("""COMPUTED_VALUE"""),"อลูมิเนียม")</f>
        <v>อลูมิเนียม</v>
      </c>
      <c r="B1337" s="128" t="str">
        <f>IFERROR(__xludf.DUMMYFUNCTION("""COMPUTED_VALUE"""),"F7958B-รับล็อคปิดกลางบานมุ้ง-Aztec gray")</f>
        <v>F7958B-รับล็อคปิดกลางบานมุ้ง-Aztec gray</v>
      </c>
    </row>
    <row r="1338">
      <c r="A1338" s="128" t="str">
        <f>IFERROR(__xludf.DUMMYFUNCTION("""COMPUTED_VALUE"""),"อลูมิเนียม")</f>
        <v>อลูมิเนียม</v>
      </c>
      <c r="B1338" s="128" t="str">
        <f>IFERROR(__xludf.DUMMYFUNCTION("""COMPUTED_VALUE"""),"F7958B-รับล็อคปิดกลางบานมุ้ง-ลายไม้สักทอง")</f>
        <v>F7958B-รับล็อคปิดกลางบานมุ้ง-ลายไม้สักทอง</v>
      </c>
    </row>
    <row r="1339">
      <c r="A1339" s="128" t="str">
        <f>IFERROR(__xludf.DUMMYFUNCTION("""COMPUTED_VALUE"""),"อลูมิเนียม")</f>
        <v>อลูมิเนียม</v>
      </c>
      <c r="B1339" s="128" t="str">
        <f>IFERROR(__xludf.DUMMYFUNCTION("""COMPUTED_VALUE"""),"F7958B-รับล็อคปิดกลางบานมุ้ง-ไวท์โอ็ค")</f>
        <v>F7958B-รับล็อคปิดกลางบานมุ้ง-ไวท์โอ็ค</v>
      </c>
    </row>
    <row r="1340">
      <c r="A1340" s="128" t="str">
        <f>IFERROR(__xludf.DUMMYFUNCTION("""COMPUTED_VALUE"""),"อลูมิเนียม")</f>
        <v>อลูมิเนียม</v>
      </c>
      <c r="B1340" s="128" t="str">
        <f>IFERROR(__xludf.DUMMYFUNCTION("""COMPUTED_VALUE"""),"F7958B-รับล็อคปิดกลางบานมุ้ง-มะฮอกกานี")</f>
        <v>F7958B-รับล็อคปิดกลางบานมุ้ง-มะฮอกกานี</v>
      </c>
    </row>
    <row r="1341">
      <c r="A1341" s="128" t="str">
        <f>IFERROR(__xludf.DUMMYFUNCTION("""COMPUTED_VALUE"""),"อลูมิเนียม")</f>
        <v>อลูมิเนียม</v>
      </c>
      <c r="B1341" s="128" t="str">
        <f>IFERROR(__xludf.DUMMYFUNCTION("""COMPUTED_VALUE"""),"F7998-กล่องก้านบานตายคิ้วใน-อบขาว")</f>
        <v>F7998-กล่องก้านบานตายคิ้วใน-อบขาว</v>
      </c>
    </row>
    <row r="1342">
      <c r="A1342" s="128" t="str">
        <f>IFERROR(__xludf.DUMMYFUNCTION("""COMPUTED_VALUE"""),"อลูมิเนียม")</f>
        <v>อลูมิเนียม</v>
      </c>
      <c r="B1342" s="128" t="str">
        <f>IFERROR(__xludf.DUMMYFUNCTION("""COMPUTED_VALUE"""),"F7998-กล่องก้านบานตายคิ้วใน-ดำ")</f>
        <v>F7998-กล่องก้านบานตายคิ้วใน-ดำ</v>
      </c>
    </row>
    <row r="1343">
      <c r="A1343" s="128" t="str">
        <f>IFERROR(__xludf.DUMMYFUNCTION("""COMPUTED_VALUE"""),"อลูมิเนียม")</f>
        <v>อลูมิเนียม</v>
      </c>
      <c r="B1343" s="128" t="str">
        <f>IFERROR(__xludf.DUMMYFUNCTION("""COMPUTED_VALUE"""),"F7998-กล่องก้านบานตายคิ้วใน-เทาซาฮาร่า")</f>
        <v>F7998-กล่องก้านบานตายคิ้วใน-เทาซาฮาร่า</v>
      </c>
    </row>
    <row r="1344">
      <c r="A1344" s="128" t="str">
        <f>IFERROR(__xludf.DUMMYFUNCTION("""COMPUTED_VALUE"""),"อลูมิเนียม")</f>
        <v>อลูมิเนียม</v>
      </c>
      <c r="B1344" s="128" t="str">
        <f>IFERROR(__xludf.DUMMYFUNCTION("""COMPUTED_VALUE"""),"F7998-กล่องก้านบานตายคิ้วใน-Aztec gray")</f>
        <v>F7998-กล่องก้านบานตายคิ้วใน-Aztec gray</v>
      </c>
    </row>
    <row r="1345">
      <c r="A1345" s="128" t="str">
        <f>IFERROR(__xludf.DUMMYFUNCTION("""COMPUTED_VALUE"""),"อลูมิเนียม")</f>
        <v>อลูมิเนียม</v>
      </c>
      <c r="B1345" s="128" t="str">
        <f>IFERROR(__xludf.DUMMYFUNCTION("""COMPUTED_VALUE"""),"F7998-กล่องก้านบานตายคิ้วใน-ลายไม้สักทอง")</f>
        <v>F7998-กล่องก้านบานตายคิ้วใน-ลายไม้สักทอง</v>
      </c>
    </row>
    <row r="1346">
      <c r="A1346" s="128" t="str">
        <f>IFERROR(__xludf.DUMMYFUNCTION("""COMPUTED_VALUE"""),"อลูมิเนียม")</f>
        <v>อลูมิเนียม</v>
      </c>
      <c r="B1346" s="128" t="str">
        <f>IFERROR(__xludf.DUMMYFUNCTION("""COMPUTED_VALUE"""),"F7998-กล่องก้านบานตายคิ้วใน-ไวท์โอ็ค")</f>
        <v>F7998-กล่องก้านบานตายคิ้วใน-ไวท์โอ็ค</v>
      </c>
    </row>
    <row r="1347">
      <c r="A1347" s="128" t="str">
        <f>IFERROR(__xludf.DUMMYFUNCTION("""COMPUTED_VALUE"""),"อลูมิเนียม")</f>
        <v>อลูมิเนียม</v>
      </c>
      <c r="B1347" s="128" t="str">
        <f>IFERROR(__xludf.DUMMYFUNCTION("""COMPUTED_VALUE"""),"F7998-กล่องก้านบานตายคิ้วใน-มะฮอกกานี")</f>
        <v>F7998-กล่องก้านบานตายคิ้วใน-มะฮอกกานี</v>
      </c>
    </row>
    <row r="1348">
      <c r="A1348" s="128" t="str">
        <f>IFERROR(__xludf.DUMMYFUNCTION("""COMPUTED_VALUE"""),"อลูมิเนียม")</f>
        <v>อลูมิเนียม</v>
      </c>
      <c r="B1348" s="128" t="str">
        <f>IFERROR(__xludf.DUMMYFUNCTION("""COMPUTED_VALUE"""),"F7940B-กล่องก้านคิ้วนิก-อบขาว")</f>
        <v>F7940B-กล่องก้านคิ้วนิก-อบขาว</v>
      </c>
    </row>
    <row r="1349">
      <c r="A1349" s="128" t="str">
        <f>IFERROR(__xludf.DUMMYFUNCTION("""COMPUTED_VALUE"""),"อลูมิเนียม")</f>
        <v>อลูมิเนียม</v>
      </c>
      <c r="B1349" s="128" t="str">
        <f>IFERROR(__xludf.DUMMYFUNCTION("""COMPUTED_VALUE"""),"F7940B-กล่องก้านคิ้วนิก-ดำ")</f>
        <v>F7940B-กล่องก้านคิ้วนิก-ดำ</v>
      </c>
    </row>
    <row r="1350">
      <c r="A1350" s="128" t="str">
        <f>IFERROR(__xludf.DUMMYFUNCTION("""COMPUTED_VALUE"""),"อลูมิเนียม")</f>
        <v>อลูมิเนียม</v>
      </c>
      <c r="B1350" s="128" t="str">
        <f>IFERROR(__xludf.DUMMYFUNCTION("""COMPUTED_VALUE"""),"F7940B-กล่องก้านคิ้วนิก-เทาซาฮาร่า")</f>
        <v>F7940B-กล่องก้านคิ้วนิก-เทาซาฮาร่า</v>
      </c>
    </row>
    <row r="1351">
      <c r="A1351" s="128" t="str">
        <f>IFERROR(__xludf.DUMMYFUNCTION("""COMPUTED_VALUE"""),"อลูมิเนียม")</f>
        <v>อลูมิเนียม</v>
      </c>
      <c r="B1351" s="128" t="str">
        <f>IFERROR(__xludf.DUMMYFUNCTION("""COMPUTED_VALUE"""),"F7940B-กล่องก้านคิ้วนิก-Aztec gray")</f>
        <v>F7940B-กล่องก้านคิ้วนิก-Aztec gray</v>
      </c>
    </row>
    <row r="1352">
      <c r="A1352" s="128" t="str">
        <f>IFERROR(__xludf.DUMMYFUNCTION("""COMPUTED_VALUE"""),"อลูมิเนียม")</f>
        <v>อลูมิเนียม</v>
      </c>
      <c r="B1352" s="128" t="str">
        <f>IFERROR(__xludf.DUMMYFUNCTION("""COMPUTED_VALUE"""),"F7940B-กล่องก้านคิ้วนิก-ลายไม้สักทอง")</f>
        <v>F7940B-กล่องก้านคิ้วนิก-ลายไม้สักทอง</v>
      </c>
    </row>
    <row r="1353">
      <c r="A1353" s="128" t="str">
        <f>IFERROR(__xludf.DUMMYFUNCTION("""COMPUTED_VALUE"""),"อลูมิเนียม")</f>
        <v>อลูมิเนียม</v>
      </c>
      <c r="B1353" s="128" t="str">
        <f>IFERROR(__xludf.DUMMYFUNCTION("""COMPUTED_VALUE"""),"F7940B-กล่องก้านคิ้วนิก-ไวท์โอ็ค")</f>
        <v>F7940B-กล่องก้านคิ้วนิก-ไวท์โอ็ค</v>
      </c>
    </row>
    <row r="1354">
      <c r="A1354" s="128" t="str">
        <f>IFERROR(__xludf.DUMMYFUNCTION("""COMPUTED_VALUE"""),"อลูมิเนียม")</f>
        <v>อลูมิเนียม</v>
      </c>
      <c r="B1354" s="128" t="str">
        <f>IFERROR(__xludf.DUMMYFUNCTION("""COMPUTED_VALUE"""),"F7940B-กล่องก้านคิ้วนิก-มะฮอกกานี")</f>
        <v>F7940B-กล่องก้านคิ้วนิก-มะฮอกกานี</v>
      </c>
    </row>
    <row r="1355">
      <c r="A1355" s="128" t="str">
        <f>IFERROR(__xludf.DUMMYFUNCTION("""COMPUTED_VALUE"""),"อลูมิเนียม")</f>
        <v>อลูมิเนียม</v>
      </c>
      <c r="B1355" s="128" t="str">
        <f>IFERROR(__xludf.DUMMYFUNCTION("""COMPUTED_VALUE"""),"F7868-กล่องก้าน 2 ทางคิ้วนอก (ติดมุ้ง)-อบขาว")</f>
        <v>F7868-กล่องก้าน 2 ทางคิ้วนอก (ติดมุ้ง)-อบขาว</v>
      </c>
    </row>
    <row r="1356">
      <c r="A1356" s="128" t="str">
        <f>IFERROR(__xludf.DUMMYFUNCTION("""COMPUTED_VALUE"""),"อลูมิเนียม")</f>
        <v>อลูมิเนียม</v>
      </c>
      <c r="B1356" s="128" t="str">
        <f>IFERROR(__xludf.DUMMYFUNCTION("""COMPUTED_VALUE"""),"F7868-กล่องก้าน 2 ทางคิ้วนอก (ติดมุ้ง)-ดำ")</f>
        <v>F7868-กล่องก้าน 2 ทางคิ้วนอก (ติดมุ้ง)-ดำ</v>
      </c>
    </row>
    <row r="1357">
      <c r="A1357" s="128" t="str">
        <f>IFERROR(__xludf.DUMMYFUNCTION("""COMPUTED_VALUE"""),"อลูมิเนียม")</f>
        <v>อลูมิเนียม</v>
      </c>
      <c r="B1357" s="128" t="str">
        <f>IFERROR(__xludf.DUMMYFUNCTION("""COMPUTED_VALUE"""),"F7868-กล่องก้าน 2 ทางคิ้วนอก (ติดมุ้ง)-เทาซาฮาร่า")</f>
        <v>F7868-กล่องก้าน 2 ทางคิ้วนอก (ติดมุ้ง)-เทาซาฮาร่า</v>
      </c>
    </row>
    <row r="1358">
      <c r="A1358" s="128" t="str">
        <f>IFERROR(__xludf.DUMMYFUNCTION("""COMPUTED_VALUE"""),"อลูมิเนียม")</f>
        <v>อลูมิเนียม</v>
      </c>
      <c r="B1358" s="128" t="str">
        <f>IFERROR(__xludf.DUMMYFUNCTION("""COMPUTED_VALUE"""),"F7868-กล่องก้าน 2 ทางคิ้วนอก (ติดมุ้ง)-Aztec gray")</f>
        <v>F7868-กล่องก้าน 2 ทางคิ้วนอก (ติดมุ้ง)-Aztec gray</v>
      </c>
    </row>
    <row r="1359">
      <c r="A1359" s="128" t="str">
        <f>IFERROR(__xludf.DUMMYFUNCTION("""COMPUTED_VALUE"""),"อลูมิเนียม")</f>
        <v>อลูมิเนียม</v>
      </c>
      <c r="B1359" s="128" t="str">
        <f>IFERROR(__xludf.DUMMYFUNCTION("""COMPUTED_VALUE"""),"F7868-กล่องก้าน 2 ทางคิ้วนอก (ติดมุ้ง)-ลายไม้สักทอง")</f>
        <v>F7868-กล่องก้าน 2 ทางคิ้วนอก (ติดมุ้ง)-ลายไม้สักทอง</v>
      </c>
    </row>
    <row r="1360">
      <c r="A1360" s="128" t="str">
        <f>IFERROR(__xludf.DUMMYFUNCTION("""COMPUTED_VALUE"""),"อลูมิเนียม")</f>
        <v>อลูมิเนียม</v>
      </c>
      <c r="B1360" s="128" t="str">
        <f>IFERROR(__xludf.DUMMYFUNCTION("""COMPUTED_VALUE"""),"F7868-กล่องก้าน 2 ทางคิ้วนอก (ติดมุ้ง)-ไวท์โอ็ค")</f>
        <v>F7868-กล่องก้าน 2 ทางคิ้วนอก (ติดมุ้ง)-ไวท์โอ็ค</v>
      </c>
    </row>
    <row r="1361">
      <c r="A1361" s="128" t="str">
        <f>IFERROR(__xludf.DUMMYFUNCTION("""COMPUTED_VALUE"""),"อลูมิเนียม")</f>
        <v>อลูมิเนียม</v>
      </c>
      <c r="B1361" s="128" t="str">
        <f>IFERROR(__xludf.DUMMYFUNCTION("""COMPUTED_VALUE"""),"F7868-กล่องก้าน 2 ทางคิ้วนอก (ติดมุ้ง)-มะฮอกกานี")</f>
        <v>F7868-กล่องก้าน 2 ทางคิ้วนอก (ติดมุ้ง)-มะฮอกกานี</v>
      </c>
    </row>
    <row r="1362">
      <c r="A1362" s="128" t="str">
        <f>IFERROR(__xludf.DUMMYFUNCTION("""COMPUTED_VALUE"""),"อลูมิเนียม")</f>
        <v>อลูมิเนียม</v>
      </c>
      <c r="B1362" s="128" t="str">
        <f>IFERROR(__xludf.DUMMYFUNCTION("""COMPUTED_VALUE"""),"F7997-กล่องก้านสลับ-อบขาว")</f>
        <v>F7997-กล่องก้านสลับ-อบขาว</v>
      </c>
    </row>
    <row r="1363">
      <c r="A1363" s="128" t="str">
        <f>IFERROR(__xludf.DUMMYFUNCTION("""COMPUTED_VALUE"""),"อลูมิเนียม")</f>
        <v>อลูมิเนียม</v>
      </c>
      <c r="B1363" s="128" t="str">
        <f>IFERROR(__xludf.DUMMYFUNCTION("""COMPUTED_VALUE"""),"F7997-กล่องก้านสลับ-ดำ")</f>
        <v>F7997-กล่องก้านสลับ-ดำ</v>
      </c>
    </row>
    <row r="1364">
      <c r="A1364" s="128" t="str">
        <f>IFERROR(__xludf.DUMMYFUNCTION("""COMPUTED_VALUE"""),"อลูมิเนียม")</f>
        <v>อลูมิเนียม</v>
      </c>
      <c r="B1364" s="128" t="str">
        <f>IFERROR(__xludf.DUMMYFUNCTION("""COMPUTED_VALUE"""),"F7997-กล่องก้านสลับ-เทาซาฮาร่า")</f>
        <v>F7997-กล่องก้านสลับ-เทาซาฮาร่า</v>
      </c>
    </row>
    <row r="1365">
      <c r="A1365" s="128" t="str">
        <f>IFERROR(__xludf.DUMMYFUNCTION("""COMPUTED_VALUE"""),"อลูมิเนียม")</f>
        <v>อลูมิเนียม</v>
      </c>
      <c r="B1365" s="128" t="str">
        <f>IFERROR(__xludf.DUMMYFUNCTION("""COMPUTED_VALUE"""),"F7997-กล่องก้านสลับ-Aztec gray")</f>
        <v>F7997-กล่องก้านสลับ-Aztec gray</v>
      </c>
    </row>
    <row r="1366">
      <c r="A1366" s="128" t="str">
        <f>IFERROR(__xludf.DUMMYFUNCTION("""COMPUTED_VALUE"""),"อลูมิเนียม")</f>
        <v>อลูมิเนียม</v>
      </c>
      <c r="B1366" s="128" t="str">
        <f>IFERROR(__xludf.DUMMYFUNCTION("""COMPUTED_VALUE"""),"F7997-กล่องก้านสลับ-ลายไม้สักทอง")</f>
        <v>F7997-กล่องก้านสลับ-ลายไม้สักทอง</v>
      </c>
    </row>
    <row r="1367">
      <c r="A1367" s="128" t="str">
        <f>IFERROR(__xludf.DUMMYFUNCTION("""COMPUTED_VALUE"""),"อลูมิเนียม")</f>
        <v>อลูมิเนียม</v>
      </c>
      <c r="B1367" s="128" t="str">
        <f>IFERROR(__xludf.DUMMYFUNCTION("""COMPUTED_VALUE"""),"F7997-กล่องก้านสลับ-ไวท์โอ็ค")</f>
        <v>F7997-กล่องก้านสลับ-ไวท์โอ็ค</v>
      </c>
    </row>
    <row r="1368">
      <c r="A1368" s="128" t="str">
        <f>IFERROR(__xludf.DUMMYFUNCTION("""COMPUTED_VALUE"""),"อลูมิเนียม")</f>
        <v>อลูมิเนียม</v>
      </c>
      <c r="B1368" s="128" t="str">
        <f>IFERROR(__xludf.DUMMYFUNCTION("""COMPUTED_VALUE"""),"F7997-กล่องก้านสลับ-มะฮอกกานี")</f>
        <v>F7997-กล่องก้านสลับ-มะฮอกกานี</v>
      </c>
    </row>
    <row r="1369">
      <c r="A1369" s="128" t="str">
        <f>IFERROR(__xludf.DUMMYFUNCTION("""COMPUTED_VALUE"""),"อลูมิเนียม")</f>
        <v>อลูมิเนียม</v>
      </c>
      <c r="B1369" s="128" t="str">
        <f>IFERROR(__xludf.DUMMYFUNCTION("""COMPUTED_VALUE"""),"F7854-เฟรมแบ่งบานคิ้วนอก-อบขาว")</f>
        <v>F7854-เฟรมแบ่งบานคิ้วนอก-อบขาว</v>
      </c>
    </row>
    <row r="1370">
      <c r="A1370" s="128" t="str">
        <f>IFERROR(__xludf.DUMMYFUNCTION("""COMPUTED_VALUE"""),"อลูมิเนียม")</f>
        <v>อลูมิเนียม</v>
      </c>
      <c r="B1370" s="128" t="str">
        <f>IFERROR(__xludf.DUMMYFUNCTION("""COMPUTED_VALUE"""),"F7854-เฟรมแบ่งบานคิ้วนอก-ดำ")</f>
        <v>F7854-เฟรมแบ่งบานคิ้วนอก-ดำ</v>
      </c>
    </row>
    <row r="1371">
      <c r="A1371" s="128" t="str">
        <f>IFERROR(__xludf.DUMMYFUNCTION("""COMPUTED_VALUE"""),"อลูมิเนียม")</f>
        <v>อลูมิเนียม</v>
      </c>
      <c r="B1371" s="128" t="str">
        <f>IFERROR(__xludf.DUMMYFUNCTION("""COMPUTED_VALUE"""),"F7854-เฟรมแบ่งบานคิ้วนอก-เทาซาฮาร่า")</f>
        <v>F7854-เฟรมแบ่งบานคิ้วนอก-เทาซาฮาร่า</v>
      </c>
    </row>
    <row r="1372">
      <c r="A1372" s="128" t="str">
        <f>IFERROR(__xludf.DUMMYFUNCTION("""COMPUTED_VALUE"""),"อลูมิเนียม")</f>
        <v>อลูมิเนียม</v>
      </c>
      <c r="B1372" s="128" t="str">
        <f>IFERROR(__xludf.DUMMYFUNCTION("""COMPUTED_VALUE"""),"F7854-เฟรมแบ่งบานคิ้วนอก-Aztec gray")</f>
        <v>F7854-เฟรมแบ่งบานคิ้วนอก-Aztec gray</v>
      </c>
    </row>
    <row r="1373">
      <c r="A1373" s="128" t="str">
        <f>IFERROR(__xludf.DUMMYFUNCTION("""COMPUTED_VALUE"""),"อลูมิเนียม")</f>
        <v>อลูมิเนียม</v>
      </c>
      <c r="B1373" s="128" t="str">
        <f>IFERROR(__xludf.DUMMYFUNCTION("""COMPUTED_VALUE"""),"F7854-เฟรมแบ่งบานคิ้วนอก-ลายไม้สักทอง")</f>
        <v>F7854-เฟรมแบ่งบานคิ้วนอก-ลายไม้สักทอง</v>
      </c>
    </row>
    <row r="1374">
      <c r="A1374" s="128" t="str">
        <f>IFERROR(__xludf.DUMMYFUNCTION("""COMPUTED_VALUE"""),"อลูมิเนียม")</f>
        <v>อลูมิเนียม</v>
      </c>
      <c r="B1374" s="128" t="str">
        <f>IFERROR(__xludf.DUMMYFUNCTION("""COMPUTED_VALUE"""),"F7854-เฟรมแบ่งบานคิ้วนอก-ไวท์โอ็ค")</f>
        <v>F7854-เฟรมแบ่งบานคิ้วนอก-ไวท์โอ็ค</v>
      </c>
    </row>
    <row r="1375">
      <c r="A1375" s="128" t="str">
        <f>IFERROR(__xludf.DUMMYFUNCTION("""COMPUTED_VALUE"""),"อลูมิเนียม")</f>
        <v>อลูมิเนียม</v>
      </c>
      <c r="B1375" s="128" t="str">
        <f>IFERROR(__xludf.DUMMYFUNCTION("""COMPUTED_VALUE"""),"F7854-เฟรมแบ่งบานคิ้วนอก-มะฮอกกานี")</f>
        <v>F7854-เฟรมแบ่งบานคิ้วนอก-มะฮอกกานี</v>
      </c>
    </row>
    <row r="1376">
      <c r="A1376" s="128" t="str">
        <f>IFERROR(__xludf.DUMMYFUNCTION("""COMPUTED_VALUE"""),"อลูมิเนียม")</f>
        <v>อลูมิเนียม</v>
      </c>
      <c r="B1376" s="128" t="str">
        <f>IFERROR(__xludf.DUMMYFUNCTION("""COMPUTED_VALUE"""),"F7852-ตบเฟรมแบ่งบานคิ้วใน-อบขาว")</f>
        <v>F7852-ตบเฟรมแบ่งบานคิ้วใน-อบขาว</v>
      </c>
    </row>
    <row r="1377">
      <c r="A1377" s="128" t="str">
        <f>IFERROR(__xludf.DUMMYFUNCTION("""COMPUTED_VALUE"""),"อลูมิเนียม")</f>
        <v>อลูมิเนียม</v>
      </c>
      <c r="B1377" s="128" t="str">
        <f>IFERROR(__xludf.DUMMYFUNCTION("""COMPUTED_VALUE"""),"F7852-ตบเฟรมแบ่งบานคิ้วใน-ดำ")</f>
        <v>F7852-ตบเฟรมแบ่งบานคิ้วใน-ดำ</v>
      </c>
    </row>
    <row r="1378">
      <c r="A1378" s="128" t="str">
        <f>IFERROR(__xludf.DUMMYFUNCTION("""COMPUTED_VALUE"""),"อลูมิเนียม")</f>
        <v>อลูมิเนียม</v>
      </c>
      <c r="B1378" s="128" t="str">
        <f>IFERROR(__xludf.DUMMYFUNCTION("""COMPUTED_VALUE"""),"F7852-ตบเฟรมแบ่งบานคิ้วใน-เทาซาฮาร่า")</f>
        <v>F7852-ตบเฟรมแบ่งบานคิ้วใน-เทาซาฮาร่า</v>
      </c>
    </row>
    <row r="1379">
      <c r="A1379" s="128" t="str">
        <f>IFERROR(__xludf.DUMMYFUNCTION("""COMPUTED_VALUE"""),"อลูมิเนียม")</f>
        <v>อลูมิเนียม</v>
      </c>
      <c r="B1379" s="128" t="str">
        <f>IFERROR(__xludf.DUMMYFUNCTION("""COMPUTED_VALUE"""),"F7852-ตบเฟรมแบ่งบานคิ้วใน-Aztec gray")</f>
        <v>F7852-ตบเฟรมแบ่งบานคิ้วใน-Aztec gray</v>
      </c>
    </row>
    <row r="1380">
      <c r="A1380" s="128" t="str">
        <f>IFERROR(__xludf.DUMMYFUNCTION("""COMPUTED_VALUE"""),"อลูมิเนียม")</f>
        <v>อลูมิเนียม</v>
      </c>
      <c r="B1380" s="128" t="str">
        <f>IFERROR(__xludf.DUMMYFUNCTION("""COMPUTED_VALUE"""),"F7852-ตบเฟรมแบ่งบานคิ้วใน-ลายไม้สักทอง")</f>
        <v>F7852-ตบเฟรมแบ่งบานคิ้วใน-ลายไม้สักทอง</v>
      </c>
    </row>
    <row r="1381">
      <c r="A1381" s="128" t="str">
        <f>IFERROR(__xludf.DUMMYFUNCTION("""COMPUTED_VALUE"""),"อลูมิเนียม")</f>
        <v>อลูมิเนียม</v>
      </c>
      <c r="B1381" s="128" t="str">
        <f>IFERROR(__xludf.DUMMYFUNCTION("""COMPUTED_VALUE"""),"F7852-ตบเฟรมแบ่งบานคิ้วใน-ไวท์โอ็ค")</f>
        <v>F7852-ตบเฟรมแบ่งบานคิ้วใน-ไวท์โอ็ค</v>
      </c>
    </row>
    <row r="1382">
      <c r="A1382" s="128" t="str">
        <f>IFERROR(__xludf.DUMMYFUNCTION("""COMPUTED_VALUE"""),"อลูมิเนียม")</f>
        <v>อลูมิเนียม</v>
      </c>
      <c r="B1382" s="128" t="str">
        <f>IFERROR(__xludf.DUMMYFUNCTION("""COMPUTED_VALUE"""),"F7852-ตบเฟรมแบ่งบานคิ้วใน-มะฮอกกานี")</f>
        <v>F7852-ตบเฟรมแบ่งบานคิ้วใน-มะฮอกกานี</v>
      </c>
    </row>
    <row r="1383">
      <c r="A1383" s="128" t="str">
        <f>IFERROR(__xludf.DUMMYFUNCTION("""COMPUTED_VALUE"""),"อลูมิเนียม")</f>
        <v>อลูมิเนียม</v>
      </c>
      <c r="B1383" s="128" t="str">
        <f>IFERROR(__xludf.DUMMYFUNCTION("""COMPUTED_VALUE"""),"F7999-เฟรมแบ่งบานคิ้วใน-อบขาว")</f>
        <v>F7999-เฟรมแบ่งบานคิ้วใน-อบขาว</v>
      </c>
    </row>
    <row r="1384">
      <c r="A1384" s="128" t="str">
        <f>IFERROR(__xludf.DUMMYFUNCTION("""COMPUTED_VALUE"""),"อลูมิเนียม")</f>
        <v>อลูมิเนียม</v>
      </c>
      <c r="B1384" s="128" t="str">
        <f>IFERROR(__xludf.DUMMYFUNCTION("""COMPUTED_VALUE"""),"F7999-เฟรมแบ่งบานคิ้วใน-ดำ")</f>
        <v>F7999-เฟรมแบ่งบานคิ้วใน-ดำ</v>
      </c>
    </row>
    <row r="1385">
      <c r="A1385" s="128" t="str">
        <f>IFERROR(__xludf.DUMMYFUNCTION("""COMPUTED_VALUE"""),"อลูมิเนียม")</f>
        <v>อลูมิเนียม</v>
      </c>
      <c r="B1385" s="128" t="str">
        <f>IFERROR(__xludf.DUMMYFUNCTION("""COMPUTED_VALUE"""),"F7999-เฟรมแบ่งบานคิ้วใน-เทาซาฮาร่า")</f>
        <v>F7999-เฟรมแบ่งบานคิ้วใน-เทาซาฮาร่า</v>
      </c>
    </row>
    <row r="1386">
      <c r="A1386" s="128" t="str">
        <f>IFERROR(__xludf.DUMMYFUNCTION("""COMPUTED_VALUE"""),"อลูมิเนียม")</f>
        <v>อลูมิเนียม</v>
      </c>
      <c r="B1386" s="128" t="str">
        <f>IFERROR(__xludf.DUMMYFUNCTION("""COMPUTED_VALUE"""),"F7999-เฟรมแบ่งบานคิ้วใน-Aztec gray")</f>
        <v>F7999-เฟรมแบ่งบานคิ้วใน-Aztec gray</v>
      </c>
    </row>
    <row r="1387">
      <c r="A1387" s="128" t="str">
        <f>IFERROR(__xludf.DUMMYFUNCTION("""COMPUTED_VALUE"""),"อลูมิเนียม")</f>
        <v>อลูมิเนียม</v>
      </c>
      <c r="B1387" s="128" t="str">
        <f>IFERROR(__xludf.DUMMYFUNCTION("""COMPUTED_VALUE"""),"F7999-เฟรมแบ่งบานคิ้วใน-ลายไม้สักทอง")</f>
        <v>F7999-เฟรมแบ่งบานคิ้วใน-ลายไม้สักทอง</v>
      </c>
    </row>
    <row r="1388">
      <c r="A1388" s="128" t="str">
        <f>IFERROR(__xludf.DUMMYFUNCTION("""COMPUTED_VALUE"""),"อลูมิเนียม")</f>
        <v>อลูมิเนียม</v>
      </c>
      <c r="B1388" s="128" t="str">
        <f>IFERROR(__xludf.DUMMYFUNCTION("""COMPUTED_VALUE"""),"F7999-เฟรมแบ่งบานคิ้วใน-ไวท์โอ็ค")</f>
        <v>F7999-เฟรมแบ่งบานคิ้วใน-ไวท์โอ็ค</v>
      </c>
    </row>
    <row r="1389">
      <c r="A1389" s="128" t="str">
        <f>IFERROR(__xludf.DUMMYFUNCTION("""COMPUTED_VALUE"""),"อลูมิเนียม")</f>
        <v>อลูมิเนียม</v>
      </c>
      <c r="B1389" s="128" t="str">
        <f>IFERROR(__xludf.DUMMYFUNCTION("""COMPUTED_VALUE"""),"F7999-เฟรมแบ่งบานคิ้วใน-มะฮอกกานี")</f>
        <v>F7999-เฟรมแบ่งบานคิ้วใน-มะฮอกกานี</v>
      </c>
    </row>
    <row r="1390">
      <c r="A1390" s="128" t="str">
        <f>IFERROR(__xludf.DUMMYFUNCTION("""COMPUTED_VALUE"""),"อลูมิเนียม")</f>
        <v>อลูมิเนียม</v>
      </c>
      <c r="B1390" s="128" t="str">
        <f>IFERROR(__xludf.DUMMYFUNCTION("""COMPUTED_VALUE"""),"F7942-ตบเฟรมแบ่งบานคิ้วนอก-อบขาว")</f>
        <v>F7942-ตบเฟรมแบ่งบานคิ้วนอก-อบขาว</v>
      </c>
    </row>
    <row r="1391">
      <c r="A1391" s="128" t="str">
        <f>IFERROR(__xludf.DUMMYFUNCTION("""COMPUTED_VALUE"""),"อลูมิเนียม")</f>
        <v>อลูมิเนียม</v>
      </c>
      <c r="B1391" s="128" t="str">
        <f>IFERROR(__xludf.DUMMYFUNCTION("""COMPUTED_VALUE"""),"F7942-ตบเฟรมแบ่งบานคิ้วนอก-ดำ")</f>
        <v>F7942-ตบเฟรมแบ่งบานคิ้วนอก-ดำ</v>
      </c>
    </row>
    <row r="1392">
      <c r="A1392" s="128" t="str">
        <f>IFERROR(__xludf.DUMMYFUNCTION("""COMPUTED_VALUE"""),"อลูมิเนียม")</f>
        <v>อลูมิเนียม</v>
      </c>
      <c r="B1392" s="128" t="str">
        <f>IFERROR(__xludf.DUMMYFUNCTION("""COMPUTED_VALUE"""),"F7942-ตบเฟรมแบ่งบานคิ้วนอก-เทาซาฮาร่า")</f>
        <v>F7942-ตบเฟรมแบ่งบานคิ้วนอก-เทาซาฮาร่า</v>
      </c>
    </row>
    <row r="1393">
      <c r="A1393" s="128" t="str">
        <f>IFERROR(__xludf.DUMMYFUNCTION("""COMPUTED_VALUE"""),"อลูมิเนียม")</f>
        <v>อลูมิเนียม</v>
      </c>
      <c r="B1393" s="128" t="str">
        <f>IFERROR(__xludf.DUMMYFUNCTION("""COMPUTED_VALUE"""),"F7942-ตบเฟรมแบ่งบานคิ้วนอก-Aztec gray")</f>
        <v>F7942-ตบเฟรมแบ่งบานคิ้วนอก-Aztec gray</v>
      </c>
    </row>
    <row r="1394">
      <c r="A1394" s="128" t="str">
        <f>IFERROR(__xludf.DUMMYFUNCTION("""COMPUTED_VALUE"""),"อลูมิเนียม")</f>
        <v>อลูมิเนียม</v>
      </c>
      <c r="B1394" s="128" t="str">
        <f>IFERROR(__xludf.DUMMYFUNCTION("""COMPUTED_VALUE"""),"F7942-ตบเฟรมแบ่งบานคิ้วนอก-ลายไม้สักทอง")</f>
        <v>F7942-ตบเฟรมแบ่งบานคิ้วนอก-ลายไม้สักทอง</v>
      </c>
    </row>
    <row r="1395">
      <c r="A1395" s="128" t="str">
        <f>IFERROR(__xludf.DUMMYFUNCTION("""COMPUTED_VALUE"""),"อลูมิเนียม")</f>
        <v>อลูมิเนียม</v>
      </c>
      <c r="B1395" s="128" t="str">
        <f>IFERROR(__xludf.DUMMYFUNCTION("""COMPUTED_VALUE"""),"F7942-ตบเฟรมแบ่งบานคิ้วนอก-ไวท์โอ็ค")</f>
        <v>F7942-ตบเฟรมแบ่งบานคิ้วนอก-ไวท์โอ็ค</v>
      </c>
    </row>
    <row r="1396">
      <c r="A1396" s="128" t="str">
        <f>IFERROR(__xludf.DUMMYFUNCTION("""COMPUTED_VALUE"""),"อลูมิเนียม")</f>
        <v>อลูมิเนียม</v>
      </c>
      <c r="B1396" s="128" t="str">
        <f>IFERROR(__xludf.DUMMYFUNCTION("""COMPUTED_VALUE"""),"F7942-ตบเฟรมแบ่งบานคิ้วนอก-มะฮอกกานี")</f>
        <v>F7942-ตบเฟรมแบ่งบานคิ้วนอก-มะฮอกกานี</v>
      </c>
    </row>
    <row r="1397">
      <c r="A1397" s="128" t="str">
        <f>IFERROR(__xludf.DUMMYFUNCTION("""COMPUTED_VALUE"""),"อลูมิเนียม")</f>
        <v>อลูมิเนียม</v>
      </c>
      <c r="B1397" s="128" t="str">
        <f>IFERROR(__xludf.DUMMYFUNCTION("""COMPUTED_VALUE"""),"F7943B-กรอบบานกระทุ้ง-อบขาว")</f>
        <v>F7943B-กรอบบานกระทุ้ง-อบขาว</v>
      </c>
    </row>
    <row r="1398">
      <c r="A1398" s="128" t="str">
        <f>IFERROR(__xludf.DUMMYFUNCTION("""COMPUTED_VALUE"""),"อลูมิเนียม")</f>
        <v>อลูมิเนียม</v>
      </c>
      <c r="B1398" s="128" t="str">
        <f>IFERROR(__xludf.DUMMYFUNCTION("""COMPUTED_VALUE"""),"F7943B-กรอบบานกระทุ้ง-ดำ")</f>
        <v>F7943B-กรอบบานกระทุ้ง-ดำ</v>
      </c>
    </row>
    <row r="1399">
      <c r="A1399" s="128" t="str">
        <f>IFERROR(__xludf.DUMMYFUNCTION("""COMPUTED_VALUE"""),"อลูมิเนียม")</f>
        <v>อลูมิเนียม</v>
      </c>
      <c r="B1399" s="128" t="str">
        <f>IFERROR(__xludf.DUMMYFUNCTION("""COMPUTED_VALUE"""),"F7943B-กรอบบานกระทุ้ง-เทาซาฮาร่า")</f>
        <v>F7943B-กรอบบานกระทุ้ง-เทาซาฮาร่า</v>
      </c>
    </row>
    <row r="1400">
      <c r="A1400" s="128" t="str">
        <f>IFERROR(__xludf.DUMMYFUNCTION("""COMPUTED_VALUE"""),"อลูมิเนียม")</f>
        <v>อลูมิเนียม</v>
      </c>
      <c r="B1400" s="128" t="str">
        <f>IFERROR(__xludf.DUMMYFUNCTION("""COMPUTED_VALUE"""),"F7943B-กรอบบานกระทุ้ง-Aztec gray")</f>
        <v>F7943B-กรอบบานกระทุ้ง-Aztec gray</v>
      </c>
    </row>
    <row r="1401">
      <c r="A1401" s="128" t="str">
        <f>IFERROR(__xludf.DUMMYFUNCTION("""COMPUTED_VALUE"""),"อลูมิเนียม")</f>
        <v>อลูมิเนียม</v>
      </c>
      <c r="B1401" s="128" t="str">
        <f>IFERROR(__xludf.DUMMYFUNCTION("""COMPUTED_VALUE"""),"F7943B-กรอบบานกระทุ้ง-ลายไม้สักทอง")</f>
        <v>F7943B-กรอบบานกระทุ้ง-ลายไม้สักทอง</v>
      </c>
    </row>
    <row r="1402">
      <c r="A1402" s="128" t="str">
        <f>IFERROR(__xludf.DUMMYFUNCTION("""COMPUTED_VALUE"""),"อลูมิเนียม")</f>
        <v>อลูมิเนียม</v>
      </c>
      <c r="B1402" s="128" t="str">
        <f>IFERROR(__xludf.DUMMYFUNCTION("""COMPUTED_VALUE"""),"F7943B-กรอบบานกระทุ้ง-ไวท์โอ็ค")</f>
        <v>F7943B-กรอบบานกระทุ้ง-ไวท์โอ็ค</v>
      </c>
    </row>
    <row r="1403">
      <c r="A1403" s="128" t="str">
        <f>IFERROR(__xludf.DUMMYFUNCTION("""COMPUTED_VALUE"""),"อลูมิเนียม")</f>
        <v>อลูมิเนียม</v>
      </c>
      <c r="B1403" s="128" t="str">
        <f>IFERROR(__xludf.DUMMYFUNCTION("""COMPUTED_VALUE"""),"F7943B-กรอบบานกระทุ้ง-มะฮอกกานี")</f>
        <v>F7943B-กรอบบานกระทุ้ง-มะฮอกกานี</v>
      </c>
    </row>
    <row r="1404">
      <c r="A1404" s="128" t="str">
        <f>IFERROR(__xludf.DUMMYFUNCTION("""COMPUTED_VALUE"""),"อลูมิเนียม")</f>
        <v>อลูมิเนียม</v>
      </c>
      <c r="B1404" s="128" t="str">
        <f>IFERROR(__xludf.DUMMYFUNCTION("""COMPUTED_VALUE"""),"F7945C-เสารับล็อกเปิดกลาง-อบขาว")</f>
        <v>F7945C-เสารับล็อกเปิดกลาง-อบขาว</v>
      </c>
    </row>
    <row r="1405">
      <c r="A1405" s="128" t="str">
        <f>IFERROR(__xludf.DUMMYFUNCTION("""COMPUTED_VALUE"""),"อลูมิเนียม")</f>
        <v>อลูมิเนียม</v>
      </c>
      <c r="B1405" s="128" t="str">
        <f>IFERROR(__xludf.DUMMYFUNCTION("""COMPUTED_VALUE"""),"F7945C-เสารับล็อกเปิดกลาง-ดำ")</f>
        <v>F7945C-เสารับล็อกเปิดกลาง-ดำ</v>
      </c>
    </row>
    <row r="1406">
      <c r="A1406" s="128" t="str">
        <f>IFERROR(__xludf.DUMMYFUNCTION("""COMPUTED_VALUE"""),"อลูมิเนียม")</f>
        <v>อลูมิเนียม</v>
      </c>
      <c r="B1406" s="128" t="str">
        <f>IFERROR(__xludf.DUMMYFUNCTION("""COMPUTED_VALUE"""),"F7945C-เสารับล็อกเปิดกลาง-เทาซาฮาร่า")</f>
        <v>F7945C-เสารับล็อกเปิดกลาง-เทาซาฮาร่า</v>
      </c>
    </row>
    <row r="1407">
      <c r="A1407" s="128" t="str">
        <f>IFERROR(__xludf.DUMMYFUNCTION("""COMPUTED_VALUE"""),"อลูมิเนียม")</f>
        <v>อลูมิเนียม</v>
      </c>
      <c r="B1407" s="128" t="str">
        <f>IFERROR(__xludf.DUMMYFUNCTION("""COMPUTED_VALUE"""),"F7945C-เสารับล็อกเปิดกลาง-Aztec gray")</f>
        <v>F7945C-เสารับล็อกเปิดกลาง-Aztec gray</v>
      </c>
    </row>
    <row r="1408">
      <c r="A1408" s="128" t="str">
        <f>IFERROR(__xludf.DUMMYFUNCTION("""COMPUTED_VALUE"""),"อลูมิเนียม")</f>
        <v>อลูมิเนียม</v>
      </c>
      <c r="B1408" s="128" t="str">
        <f>IFERROR(__xludf.DUMMYFUNCTION("""COMPUTED_VALUE"""),"F7945C-เสารับล็อกเปิดกลาง-ลายไม้สักทอง")</f>
        <v>F7945C-เสารับล็อกเปิดกลาง-ลายไม้สักทอง</v>
      </c>
    </row>
    <row r="1409">
      <c r="A1409" s="128" t="str">
        <f>IFERROR(__xludf.DUMMYFUNCTION("""COMPUTED_VALUE"""),"อลูมิเนียม")</f>
        <v>อลูมิเนียม</v>
      </c>
      <c r="B1409" s="128" t="str">
        <f>IFERROR(__xludf.DUMMYFUNCTION("""COMPUTED_VALUE"""),"F7945C-เสารับล็อกเปิดกลาง-ไวท์โอ็ค")</f>
        <v>F7945C-เสารับล็อกเปิดกลาง-ไวท์โอ็ค</v>
      </c>
    </row>
    <row r="1410">
      <c r="A1410" s="128" t="str">
        <f>IFERROR(__xludf.DUMMYFUNCTION("""COMPUTED_VALUE"""),"อลูมิเนียม")</f>
        <v>อลูมิเนียม</v>
      </c>
      <c r="B1410" s="128" t="str">
        <f>IFERROR(__xludf.DUMMYFUNCTION("""COMPUTED_VALUE"""),"F7945C-เสารับล็อกเปิดกลาง-มะฮอกกานี")</f>
        <v>F7945C-เสารับล็อกเปิดกลาง-มะฮอกกานี</v>
      </c>
    </row>
    <row r="1411">
      <c r="A1411" s="128" t="str">
        <f>IFERROR(__xludf.DUMMYFUNCTION("""COMPUTED_VALUE"""),"อลูมิเนียม")</f>
        <v>อลูมิเนียม</v>
      </c>
      <c r="B1411" s="128" t="str">
        <f>IFERROR(__xludf.DUMMYFUNCTION("""COMPUTED_VALUE"""),"F7960-ตบธรณี-อบขาว")</f>
        <v>F7960-ตบธรณี-อบขาว</v>
      </c>
    </row>
    <row r="1412">
      <c r="A1412" s="128" t="str">
        <f>IFERROR(__xludf.DUMMYFUNCTION("""COMPUTED_VALUE"""),"อลูมิเนียม")</f>
        <v>อลูมิเนียม</v>
      </c>
      <c r="B1412" s="128" t="str">
        <f>IFERROR(__xludf.DUMMYFUNCTION("""COMPUTED_VALUE"""),"F7960-ตบธรณี-ดำ")</f>
        <v>F7960-ตบธรณี-ดำ</v>
      </c>
    </row>
    <row r="1413">
      <c r="A1413" s="128" t="str">
        <f>IFERROR(__xludf.DUMMYFUNCTION("""COMPUTED_VALUE"""),"อลูมิเนียม")</f>
        <v>อลูมิเนียม</v>
      </c>
      <c r="B1413" s="128" t="str">
        <f>IFERROR(__xludf.DUMMYFUNCTION("""COMPUTED_VALUE"""),"F7960-ตบธรณี-เทาซาฮาร่า")</f>
        <v>F7960-ตบธรณี-เทาซาฮาร่า</v>
      </c>
    </row>
    <row r="1414">
      <c r="A1414" s="128" t="str">
        <f>IFERROR(__xludf.DUMMYFUNCTION("""COMPUTED_VALUE"""),"อลูมิเนียม")</f>
        <v>อลูมิเนียม</v>
      </c>
      <c r="B1414" s="128" t="str">
        <f>IFERROR(__xludf.DUMMYFUNCTION("""COMPUTED_VALUE"""),"F7960-ตบธรณี-Aztec gray")</f>
        <v>F7960-ตบธรณี-Aztec gray</v>
      </c>
    </row>
    <row r="1415">
      <c r="A1415" s="128" t="str">
        <f>IFERROR(__xludf.DUMMYFUNCTION("""COMPUTED_VALUE"""),"อลูมิเนียม")</f>
        <v>อลูมิเนียม</v>
      </c>
      <c r="B1415" s="128" t="str">
        <f>IFERROR(__xludf.DUMMYFUNCTION("""COMPUTED_VALUE"""),"F7960-ตบธรณี-ลายไม้สักทอง")</f>
        <v>F7960-ตบธรณี-ลายไม้สักทอง</v>
      </c>
    </row>
    <row r="1416">
      <c r="A1416" s="128" t="str">
        <f>IFERROR(__xludf.DUMMYFUNCTION("""COMPUTED_VALUE"""),"อลูมิเนียม")</f>
        <v>อลูมิเนียม</v>
      </c>
      <c r="B1416" s="128" t="str">
        <f>IFERROR(__xludf.DUMMYFUNCTION("""COMPUTED_VALUE"""),"F7960-ตบธรณี-ไวท์โอ็ค")</f>
        <v>F7960-ตบธรณี-ไวท์โอ็ค</v>
      </c>
    </row>
    <row r="1417">
      <c r="A1417" s="128" t="str">
        <f>IFERROR(__xludf.DUMMYFUNCTION("""COMPUTED_VALUE"""),"อลูมิเนียม")</f>
        <v>อลูมิเนียม</v>
      </c>
      <c r="B1417" s="128" t="str">
        <f>IFERROR(__xludf.DUMMYFUNCTION("""COMPUTED_VALUE"""),"F7960-ตบธรณี-มะฮอกกานี")</f>
        <v>F7960-ตบธรณี-มะฮอกกานี</v>
      </c>
    </row>
    <row r="1418">
      <c r="A1418" s="128" t="str">
        <f>IFERROR(__xludf.DUMMYFUNCTION("""COMPUTED_VALUE"""),"อลูมิเนียม")</f>
        <v>อลูมิเนียม</v>
      </c>
      <c r="B1418" s="128" t="str">
        <f>IFERROR(__xludf.DUMMYFUNCTION("""COMPUTED_VALUE"""),"F7959-กล่องค้ำบานมุ้ง-อบขาว")</f>
        <v>F7959-กล่องค้ำบานมุ้ง-อบขาว</v>
      </c>
    </row>
    <row r="1419">
      <c r="A1419" s="128" t="str">
        <f>IFERROR(__xludf.DUMMYFUNCTION("""COMPUTED_VALUE"""),"อลูมิเนียม")</f>
        <v>อลูมิเนียม</v>
      </c>
      <c r="B1419" s="128" t="str">
        <f>IFERROR(__xludf.DUMMYFUNCTION("""COMPUTED_VALUE"""),"F7959-กล่องค้ำบานมุ้ง-ดำ")</f>
        <v>F7959-กล่องค้ำบานมุ้ง-ดำ</v>
      </c>
    </row>
    <row r="1420">
      <c r="A1420" s="128" t="str">
        <f>IFERROR(__xludf.DUMMYFUNCTION("""COMPUTED_VALUE"""),"อลูมิเนียม")</f>
        <v>อลูมิเนียม</v>
      </c>
      <c r="B1420" s="128" t="str">
        <f>IFERROR(__xludf.DUMMYFUNCTION("""COMPUTED_VALUE"""),"F7959-กล่องค้ำบานมุ้ง-เทาซาฮาร่า")</f>
        <v>F7959-กล่องค้ำบานมุ้ง-เทาซาฮาร่า</v>
      </c>
    </row>
    <row r="1421">
      <c r="A1421" s="128" t="str">
        <f>IFERROR(__xludf.DUMMYFUNCTION("""COMPUTED_VALUE"""),"อลูมิเนียม")</f>
        <v>อลูมิเนียม</v>
      </c>
      <c r="B1421" s="128" t="str">
        <f>IFERROR(__xludf.DUMMYFUNCTION("""COMPUTED_VALUE"""),"F7959-กล่องค้ำบานมุ้ง-Aztec gray")</f>
        <v>F7959-กล่องค้ำบานมุ้ง-Aztec gray</v>
      </c>
    </row>
    <row r="1422">
      <c r="A1422" s="128" t="str">
        <f>IFERROR(__xludf.DUMMYFUNCTION("""COMPUTED_VALUE"""),"อลูมิเนียม")</f>
        <v>อลูมิเนียม</v>
      </c>
      <c r="B1422" s="128" t="str">
        <f>IFERROR(__xludf.DUMMYFUNCTION("""COMPUTED_VALUE"""),"F7959-กล่องค้ำบานมุ้ง-ลายไม้สักทอง")</f>
        <v>F7959-กล่องค้ำบานมุ้ง-ลายไม้สักทอง</v>
      </c>
    </row>
    <row r="1423">
      <c r="A1423" s="128" t="str">
        <f>IFERROR(__xludf.DUMMYFUNCTION("""COMPUTED_VALUE"""),"อลูมิเนียม")</f>
        <v>อลูมิเนียม</v>
      </c>
      <c r="B1423" s="128" t="str">
        <f>IFERROR(__xludf.DUMMYFUNCTION("""COMPUTED_VALUE"""),"F7959-กล่องค้ำบานมุ้ง-ไวท์โอ็ค")</f>
        <v>F7959-กล่องค้ำบานมุ้ง-ไวท์โอ็ค</v>
      </c>
    </row>
    <row r="1424">
      <c r="A1424" s="128" t="str">
        <f>IFERROR(__xludf.DUMMYFUNCTION("""COMPUTED_VALUE"""),"อลูมิเนียม")</f>
        <v>อลูมิเนียม</v>
      </c>
      <c r="B1424" s="128" t="str">
        <f>IFERROR(__xludf.DUMMYFUNCTION("""COMPUTED_VALUE"""),"F7959-กล่องค้ำบานมุ้ง-มะฮอกกานี")</f>
        <v>F7959-กล่องค้ำบานมุ้ง-มะฮอกกานี</v>
      </c>
    </row>
    <row r="1425">
      <c r="A1425" s="128" t="str">
        <f>IFERROR(__xludf.DUMMYFUNCTION("""COMPUTED_VALUE"""),"อลูมิเนียม")</f>
        <v>อลูมิเนียม</v>
      </c>
      <c r="B1425" s="128" t="str">
        <f>IFERROR(__xludf.DUMMYFUNCTION("""COMPUTED_VALUE"""),"F7865B-แผงประตู-อบขาว")</f>
        <v>F7865B-แผงประตู-อบขาว</v>
      </c>
    </row>
    <row r="1426">
      <c r="A1426" s="128" t="str">
        <f>IFERROR(__xludf.DUMMYFUNCTION("""COMPUTED_VALUE"""),"อลูมิเนียม")</f>
        <v>อลูมิเนียม</v>
      </c>
      <c r="B1426" s="128" t="str">
        <f>IFERROR(__xludf.DUMMYFUNCTION("""COMPUTED_VALUE"""),"F7865B-แผงประตู-ดำ")</f>
        <v>F7865B-แผงประตู-ดำ</v>
      </c>
    </row>
    <row r="1427">
      <c r="A1427" s="128" t="str">
        <f>IFERROR(__xludf.DUMMYFUNCTION("""COMPUTED_VALUE"""),"อลูมิเนียม")</f>
        <v>อลูมิเนียม</v>
      </c>
      <c r="B1427" s="128" t="str">
        <f>IFERROR(__xludf.DUMMYFUNCTION("""COMPUTED_VALUE"""),"F7865B-แผงประตู-เทาซาฮาร่า")</f>
        <v>F7865B-แผงประตู-เทาซาฮาร่า</v>
      </c>
    </row>
    <row r="1428">
      <c r="A1428" s="128" t="str">
        <f>IFERROR(__xludf.DUMMYFUNCTION("""COMPUTED_VALUE"""),"อลูมิเนียม")</f>
        <v>อลูมิเนียม</v>
      </c>
      <c r="B1428" s="128" t="str">
        <f>IFERROR(__xludf.DUMMYFUNCTION("""COMPUTED_VALUE"""),"F7865B-แผงประตู-Aztec gray")</f>
        <v>F7865B-แผงประตู-Aztec gray</v>
      </c>
    </row>
    <row r="1429">
      <c r="A1429" s="128" t="str">
        <f>IFERROR(__xludf.DUMMYFUNCTION("""COMPUTED_VALUE"""),"อลูมิเนียม")</f>
        <v>อลูมิเนียม</v>
      </c>
      <c r="B1429" s="128" t="str">
        <f>IFERROR(__xludf.DUMMYFUNCTION("""COMPUTED_VALUE"""),"F7865B-แผงประตู-ลายไม้สักทอง")</f>
        <v>F7865B-แผงประตู-ลายไม้สักทอง</v>
      </c>
    </row>
    <row r="1430">
      <c r="A1430" s="128" t="str">
        <f>IFERROR(__xludf.DUMMYFUNCTION("""COMPUTED_VALUE"""),"อลูมิเนียม")</f>
        <v>อลูมิเนียม</v>
      </c>
      <c r="B1430" s="128" t="str">
        <f>IFERROR(__xludf.DUMMYFUNCTION("""COMPUTED_VALUE"""),"F7865B-แผงประตู-ไวท์โอ็ค")</f>
        <v>F7865B-แผงประตู-ไวท์โอ็ค</v>
      </c>
    </row>
    <row r="1431">
      <c r="A1431" s="128" t="str">
        <f>IFERROR(__xludf.DUMMYFUNCTION("""COMPUTED_VALUE"""),"อลูมิเนียม")</f>
        <v>อลูมิเนียม</v>
      </c>
      <c r="B1431" s="128" t="str">
        <f>IFERROR(__xludf.DUMMYFUNCTION("""COMPUTED_VALUE"""),"F7865B-แผงประตู-มะฮอกกานี")</f>
        <v>F7865B-แผงประตู-มะฮอกกานี</v>
      </c>
    </row>
    <row r="1432">
      <c r="A1432" s="128" t="str">
        <f>IFERROR(__xludf.DUMMYFUNCTION("""COMPUTED_VALUE"""),"อลูมิเนียม")</f>
        <v>อลูมิเนียม</v>
      </c>
      <c r="B1432" s="128" t="str">
        <f>IFERROR(__xludf.DUMMYFUNCTION("""COMPUTED_VALUE"""),"F7965-ลูกฟักแบ่งบาน-อบขาว")</f>
        <v>F7965-ลูกฟักแบ่งบาน-อบขาว</v>
      </c>
    </row>
    <row r="1433">
      <c r="A1433" s="128" t="str">
        <f>IFERROR(__xludf.DUMMYFUNCTION("""COMPUTED_VALUE"""),"อลูมิเนียม")</f>
        <v>อลูมิเนียม</v>
      </c>
      <c r="B1433" s="128" t="str">
        <f>IFERROR(__xludf.DUMMYFUNCTION("""COMPUTED_VALUE"""),"F7965-ลูกฟักแบ่งบาน-ดำ")</f>
        <v>F7965-ลูกฟักแบ่งบาน-ดำ</v>
      </c>
    </row>
    <row r="1434">
      <c r="A1434" s="128" t="str">
        <f>IFERROR(__xludf.DUMMYFUNCTION("""COMPUTED_VALUE"""),"อลูมิเนียม")</f>
        <v>อลูมิเนียม</v>
      </c>
      <c r="B1434" s="128" t="str">
        <f>IFERROR(__xludf.DUMMYFUNCTION("""COMPUTED_VALUE"""),"F7965-ลูกฟักแบ่งบาน-เทาซาฮาร่า")</f>
        <v>F7965-ลูกฟักแบ่งบาน-เทาซาฮาร่า</v>
      </c>
    </row>
    <row r="1435">
      <c r="A1435" s="128" t="str">
        <f>IFERROR(__xludf.DUMMYFUNCTION("""COMPUTED_VALUE"""),"อลูมิเนียม")</f>
        <v>อลูมิเนียม</v>
      </c>
      <c r="B1435" s="128" t="str">
        <f>IFERROR(__xludf.DUMMYFUNCTION("""COMPUTED_VALUE"""),"F7965-ลูกฟักแบ่งบาน-Aztec gray")</f>
        <v>F7965-ลูกฟักแบ่งบาน-Aztec gray</v>
      </c>
    </row>
    <row r="1436">
      <c r="A1436" s="128" t="str">
        <f>IFERROR(__xludf.DUMMYFUNCTION("""COMPUTED_VALUE"""),"อลูมิเนียม")</f>
        <v>อลูมิเนียม</v>
      </c>
      <c r="B1436" s="128" t="str">
        <f>IFERROR(__xludf.DUMMYFUNCTION("""COMPUTED_VALUE"""),"F7965-ลูกฟักแบ่งบาน-ลายไม้สักทอง")</f>
        <v>F7965-ลูกฟักแบ่งบาน-ลายไม้สักทอง</v>
      </c>
    </row>
    <row r="1437">
      <c r="A1437" s="128" t="str">
        <f>IFERROR(__xludf.DUMMYFUNCTION("""COMPUTED_VALUE"""),"อลูมิเนียม")</f>
        <v>อลูมิเนียม</v>
      </c>
      <c r="B1437" s="128" t="str">
        <f>IFERROR(__xludf.DUMMYFUNCTION("""COMPUTED_VALUE"""),"F7965-ลูกฟักแบ่งบาน-ไวท์โอ็ค")</f>
        <v>F7965-ลูกฟักแบ่งบาน-ไวท์โอ็ค</v>
      </c>
    </row>
    <row r="1438">
      <c r="A1438" s="128" t="str">
        <f>IFERROR(__xludf.DUMMYFUNCTION("""COMPUTED_VALUE"""),"อลูมิเนียม")</f>
        <v>อลูมิเนียม</v>
      </c>
      <c r="B1438" s="128" t="str">
        <f>IFERROR(__xludf.DUMMYFUNCTION("""COMPUTED_VALUE"""),"F7965-ลูกฟักแบ่งบาน-มะฮอกกานี")</f>
        <v>F7965-ลูกฟักแบ่งบาน-มะฮอกกานี</v>
      </c>
    </row>
    <row r="1439">
      <c r="A1439" s="128" t="str">
        <f>IFERROR(__xludf.DUMMYFUNCTION("""COMPUTED_VALUE"""),"อลูมิเนียม")</f>
        <v>อลูมิเนียม</v>
      </c>
      <c r="B1439" s="128" t="str">
        <f>IFERROR(__xludf.DUMMYFUNCTION("""COMPUTED_VALUE"""),"F7946-คิ้วตบในบานตาย-อบขาว")</f>
        <v>F7946-คิ้วตบในบานตาย-อบขาว</v>
      </c>
    </row>
    <row r="1440">
      <c r="A1440" s="128" t="str">
        <f>IFERROR(__xludf.DUMMYFUNCTION("""COMPUTED_VALUE"""),"อลูมิเนียม")</f>
        <v>อลูมิเนียม</v>
      </c>
      <c r="B1440" s="128" t="str">
        <f>IFERROR(__xludf.DUMMYFUNCTION("""COMPUTED_VALUE"""),"F7946-คิ้วตบในบานตาย-ดำ")</f>
        <v>F7946-คิ้วตบในบานตาย-ดำ</v>
      </c>
    </row>
    <row r="1441">
      <c r="A1441" s="128" t="str">
        <f>IFERROR(__xludf.DUMMYFUNCTION("""COMPUTED_VALUE"""),"อลูมิเนียม")</f>
        <v>อลูมิเนียม</v>
      </c>
      <c r="B1441" s="128" t="str">
        <f>IFERROR(__xludf.DUMMYFUNCTION("""COMPUTED_VALUE"""),"F7946-คิ้วตบในบานตาย-เทาซาฮาร่า")</f>
        <v>F7946-คิ้วตบในบานตาย-เทาซาฮาร่า</v>
      </c>
    </row>
    <row r="1442">
      <c r="A1442" s="128" t="str">
        <f>IFERROR(__xludf.DUMMYFUNCTION("""COMPUTED_VALUE"""),"อลูมิเนียม")</f>
        <v>อลูมิเนียม</v>
      </c>
      <c r="B1442" s="128" t="str">
        <f>IFERROR(__xludf.DUMMYFUNCTION("""COMPUTED_VALUE"""),"F7946-คิ้วตบในบานตาย-Aztec gray")</f>
        <v>F7946-คิ้วตบในบานตาย-Aztec gray</v>
      </c>
    </row>
    <row r="1443">
      <c r="A1443" s="128" t="str">
        <f>IFERROR(__xludf.DUMMYFUNCTION("""COMPUTED_VALUE"""),"อลูมิเนียม")</f>
        <v>อลูมิเนียม</v>
      </c>
      <c r="B1443" s="128" t="str">
        <f>IFERROR(__xludf.DUMMYFUNCTION("""COMPUTED_VALUE"""),"F7946-คิ้วตบในบานตาย-ลายไม้สักทอง")</f>
        <v>F7946-คิ้วตบในบานตาย-ลายไม้สักทอง</v>
      </c>
    </row>
    <row r="1444">
      <c r="A1444" s="128" t="str">
        <f>IFERROR(__xludf.DUMMYFUNCTION("""COMPUTED_VALUE"""),"อลูมิเนียม")</f>
        <v>อลูมิเนียม</v>
      </c>
      <c r="B1444" s="128" t="str">
        <f>IFERROR(__xludf.DUMMYFUNCTION("""COMPUTED_VALUE"""),"F7946-คิ้วตบในบานตาย-ไวท์โอ็ค")</f>
        <v>F7946-คิ้วตบในบานตาย-ไวท์โอ็ค</v>
      </c>
    </row>
    <row r="1445">
      <c r="A1445" s="128" t="str">
        <f>IFERROR(__xludf.DUMMYFUNCTION("""COMPUTED_VALUE"""),"อลูมิเนียม")</f>
        <v>อลูมิเนียม</v>
      </c>
      <c r="B1445" s="128" t="str">
        <f>IFERROR(__xludf.DUMMYFUNCTION("""COMPUTED_VALUE"""),"F7946-คิ้วตบในบานตาย-มะฮอกกานี")</f>
        <v>F7946-คิ้วตบในบานตาย-มะฮอกกานี</v>
      </c>
    </row>
    <row r="1446">
      <c r="A1446" s="128" t="str">
        <f>IFERROR(__xludf.DUMMYFUNCTION("""COMPUTED_VALUE"""),"อลูมิเนียม")</f>
        <v>อลูมิเนียม</v>
      </c>
      <c r="B1446" s="128" t="str">
        <f>IFERROR(__xludf.DUMMYFUNCTION("""COMPUTED_VALUE"""),"F7947-คิ้วตบนอกบานตาย-อบขาว")</f>
        <v>F7947-คิ้วตบนอกบานตาย-อบขาว</v>
      </c>
    </row>
    <row r="1447">
      <c r="A1447" s="128" t="str">
        <f>IFERROR(__xludf.DUMMYFUNCTION("""COMPUTED_VALUE"""),"อลูมิเนียม")</f>
        <v>อลูมิเนียม</v>
      </c>
      <c r="B1447" s="128" t="str">
        <f>IFERROR(__xludf.DUMMYFUNCTION("""COMPUTED_VALUE"""),"F7947-คิ้วตบนอกบานตาย-ดำ")</f>
        <v>F7947-คิ้วตบนอกบานตาย-ดำ</v>
      </c>
    </row>
    <row r="1448">
      <c r="A1448" s="128" t="str">
        <f>IFERROR(__xludf.DUMMYFUNCTION("""COMPUTED_VALUE"""),"อลูมิเนียม")</f>
        <v>อลูมิเนียม</v>
      </c>
      <c r="B1448" s="128" t="str">
        <f>IFERROR(__xludf.DUMMYFUNCTION("""COMPUTED_VALUE"""),"F7947-คิ้วตบนอกบานตาย-เทาซาฮาร่า")</f>
        <v>F7947-คิ้วตบนอกบานตาย-เทาซาฮาร่า</v>
      </c>
    </row>
    <row r="1449">
      <c r="A1449" s="128" t="str">
        <f>IFERROR(__xludf.DUMMYFUNCTION("""COMPUTED_VALUE"""),"อลูมิเนียม")</f>
        <v>อลูมิเนียม</v>
      </c>
      <c r="B1449" s="128" t="str">
        <f>IFERROR(__xludf.DUMMYFUNCTION("""COMPUTED_VALUE"""),"F7947-คิ้วตบนอกบานตาย-Aztec gray")</f>
        <v>F7947-คิ้วตบนอกบานตาย-Aztec gray</v>
      </c>
    </row>
    <row r="1450">
      <c r="A1450" s="128" t="str">
        <f>IFERROR(__xludf.DUMMYFUNCTION("""COMPUTED_VALUE"""),"อลูมิเนียม")</f>
        <v>อลูมิเนียม</v>
      </c>
      <c r="B1450" s="128" t="str">
        <f>IFERROR(__xludf.DUMMYFUNCTION("""COMPUTED_VALUE"""),"F7947-คิ้วตบนอกบานตาย-ลายไม้สักทอง")</f>
        <v>F7947-คิ้วตบนอกบานตาย-ลายไม้สักทอง</v>
      </c>
    </row>
    <row r="1451">
      <c r="A1451" s="128" t="str">
        <f>IFERROR(__xludf.DUMMYFUNCTION("""COMPUTED_VALUE"""),"อลูมิเนียม")</f>
        <v>อลูมิเนียม</v>
      </c>
      <c r="B1451" s="128" t="str">
        <f>IFERROR(__xludf.DUMMYFUNCTION("""COMPUTED_VALUE"""),"F7947-คิ้วตบนอกบานตาย-ไวท์โอ็ค")</f>
        <v>F7947-คิ้วตบนอกบานตาย-ไวท์โอ็ค</v>
      </c>
    </row>
    <row r="1452">
      <c r="A1452" s="128" t="str">
        <f>IFERROR(__xludf.DUMMYFUNCTION("""COMPUTED_VALUE"""),"อลูมิเนียม")</f>
        <v>อลูมิเนียม</v>
      </c>
      <c r="B1452" s="128" t="str">
        <f>IFERROR(__xludf.DUMMYFUNCTION("""COMPUTED_VALUE"""),"F7947-คิ้วตบนอกบานตาย-มะฮอกกานี")</f>
        <v>F7947-คิ้วตบนอกบานตาย-มะฮอกกานี</v>
      </c>
    </row>
    <row r="1453">
      <c r="A1453" s="128" t="str">
        <f>IFERROR(__xludf.DUMMYFUNCTION("""COMPUTED_VALUE"""),"อลูมิเนียม")</f>
        <v>อลูมิเนียม</v>
      </c>
      <c r="B1453" s="128" t="str">
        <f>IFERROR(__xludf.DUMMYFUNCTION("""COMPUTED_VALUE"""),"F7968-เฟรมบานเฟี้ยม-อบขาว")</f>
        <v>F7968-เฟรมบานเฟี้ยม-อบขาว</v>
      </c>
    </row>
    <row r="1454">
      <c r="A1454" s="128" t="str">
        <f>IFERROR(__xludf.DUMMYFUNCTION("""COMPUTED_VALUE"""),"อลูมิเนียม")</f>
        <v>อลูมิเนียม</v>
      </c>
      <c r="B1454" s="128" t="str">
        <f>IFERROR(__xludf.DUMMYFUNCTION("""COMPUTED_VALUE"""),"F7968-เฟรมบานเฟี้ยม-ดำ")</f>
        <v>F7968-เฟรมบานเฟี้ยม-ดำ</v>
      </c>
    </row>
    <row r="1455">
      <c r="A1455" s="128" t="str">
        <f>IFERROR(__xludf.DUMMYFUNCTION("""COMPUTED_VALUE"""),"อลูมิเนียม")</f>
        <v>อลูมิเนียม</v>
      </c>
      <c r="B1455" s="128" t="str">
        <f>IFERROR(__xludf.DUMMYFUNCTION("""COMPUTED_VALUE"""),"F7968-เฟรมบานเฟี้ยม-เทาซาฮาร่า")</f>
        <v>F7968-เฟรมบานเฟี้ยม-เทาซาฮาร่า</v>
      </c>
    </row>
    <row r="1456">
      <c r="A1456" s="128" t="str">
        <f>IFERROR(__xludf.DUMMYFUNCTION("""COMPUTED_VALUE"""),"อลูมิเนียม")</f>
        <v>อลูมิเนียม</v>
      </c>
      <c r="B1456" s="128" t="str">
        <f>IFERROR(__xludf.DUMMYFUNCTION("""COMPUTED_VALUE"""),"F7968-เฟรมบานเฟี้ยม-Aztec gray")</f>
        <v>F7968-เฟรมบานเฟี้ยม-Aztec gray</v>
      </c>
    </row>
    <row r="1457">
      <c r="A1457" s="128" t="str">
        <f>IFERROR(__xludf.DUMMYFUNCTION("""COMPUTED_VALUE"""),"อลูมิเนียม")</f>
        <v>อลูมิเนียม</v>
      </c>
      <c r="B1457" s="128" t="str">
        <f>IFERROR(__xludf.DUMMYFUNCTION("""COMPUTED_VALUE"""),"F7968-เฟรมบานเฟี้ยม-ลายไม้สักทอง")</f>
        <v>F7968-เฟรมบานเฟี้ยม-ลายไม้สักทอง</v>
      </c>
    </row>
    <row r="1458">
      <c r="A1458" s="128" t="str">
        <f>IFERROR(__xludf.DUMMYFUNCTION("""COMPUTED_VALUE"""),"อลูมิเนียม")</f>
        <v>อลูมิเนียม</v>
      </c>
      <c r="B1458" s="128" t="str">
        <f>IFERROR(__xludf.DUMMYFUNCTION("""COMPUTED_VALUE"""),"F7968-เฟรมบานเฟี้ยม-ไวท์โอ็ค")</f>
        <v>F7968-เฟรมบานเฟี้ยม-ไวท์โอ็ค</v>
      </c>
    </row>
    <row r="1459">
      <c r="A1459" s="128" t="str">
        <f>IFERROR(__xludf.DUMMYFUNCTION("""COMPUTED_VALUE"""),"อลูมิเนียม")</f>
        <v>อลูมิเนียม</v>
      </c>
      <c r="B1459" s="128" t="str">
        <f>IFERROR(__xludf.DUMMYFUNCTION("""COMPUTED_VALUE"""),"F7968-เฟรมบานเฟี้ยม-มะฮอกกานี")</f>
        <v>F7968-เฟรมบานเฟี้ยม-มะฮอกกานี</v>
      </c>
    </row>
    <row r="1460">
      <c r="A1460" s="128" t="str">
        <f>IFERROR(__xludf.DUMMYFUNCTION("""COMPUTED_VALUE"""),"อลูมิเนียม")</f>
        <v>อลูมิเนียม</v>
      </c>
      <c r="B1460" s="128" t="str">
        <f>IFERROR(__xludf.DUMMYFUNCTION("""COMPUTED_VALUE"""),"F7969-เฟรมล่างบานเฟี้ยม-อบขาว")</f>
        <v>F7969-เฟรมล่างบานเฟี้ยม-อบขาว</v>
      </c>
    </row>
    <row r="1461">
      <c r="A1461" s="128" t="str">
        <f>IFERROR(__xludf.DUMMYFUNCTION("""COMPUTED_VALUE"""),"อลูมิเนียม")</f>
        <v>อลูมิเนียม</v>
      </c>
      <c r="B1461" s="128" t="str">
        <f>IFERROR(__xludf.DUMMYFUNCTION("""COMPUTED_VALUE"""),"F7969-เฟรมล่างบานเฟี้ยม-ดำ")</f>
        <v>F7969-เฟรมล่างบานเฟี้ยม-ดำ</v>
      </c>
    </row>
    <row r="1462">
      <c r="A1462" s="128" t="str">
        <f>IFERROR(__xludf.DUMMYFUNCTION("""COMPUTED_VALUE"""),"อลูมิเนียม")</f>
        <v>อลูมิเนียม</v>
      </c>
      <c r="B1462" s="128" t="str">
        <f>IFERROR(__xludf.DUMMYFUNCTION("""COMPUTED_VALUE"""),"F7969-เฟรมล่างบานเฟี้ยม-เทาซาฮาร่า")</f>
        <v>F7969-เฟรมล่างบานเฟี้ยม-เทาซาฮาร่า</v>
      </c>
    </row>
    <row r="1463">
      <c r="A1463" s="128" t="str">
        <f>IFERROR(__xludf.DUMMYFUNCTION("""COMPUTED_VALUE"""),"อลูมิเนียม")</f>
        <v>อลูมิเนียม</v>
      </c>
      <c r="B1463" s="128" t="str">
        <f>IFERROR(__xludf.DUMMYFUNCTION("""COMPUTED_VALUE"""),"F7969-เฟรมล่างบานเฟี้ยม-Aztec gray")</f>
        <v>F7969-เฟรมล่างบานเฟี้ยม-Aztec gray</v>
      </c>
    </row>
    <row r="1464">
      <c r="A1464" s="128" t="str">
        <f>IFERROR(__xludf.DUMMYFUNCTION("""COMPUTED_VALUE"""),"อลูมิเนียม")</f>
        <v>อลูมิเนียม</v>
      </c>
      <c r="B1464" s="128" t="str">
        <f>IFERROR(__xludf.DUMMYFUNCTION("""COMPUTED_VALUE"""),"F7969-เฟรมล่างบานเฟี้ยม-ลายไม้สักทอง")</f>
        <v>F7969-เฟรมล่างบานเฟี้ยม-ลายไม้สักทอง</v>
      </c>
    </row>
    <row r="1465">
      <c r="A1465" s="128" t="str">
        <f>IFERROR(__xludf.DUMMYFUNCTION("""COMPUTED_VALUE"""),"อลูมิเนียม")</f>
        <v>อลูมิเนียม</v>
      </c>
      <c r="B1465" s="128" t="str">
        <f>IFERROR(__xludf.DUMMYFUNCTION("""COMPUTED_VALUE"""),"F7969-เฟรมล่างบานเฟี้ยม-ไวท์โอ็ค")</f>
        <v>F7969-เฟรมล่างบานเฟี้ยม-ไวท์โอ็ค</v>
      </c>
    </row>
    <row r="1466">
      <c r="A1466" s="128" t="str">
        <f>IFERROR(__xludf.DUMMYFUNCTION("""COMPUTED_VALUE"""),"อลูมิเนียม")</f>
        <v>อลูมิเนียม</v>
      </c>
      <c r="B1466" s="128" t="str">
        <f>IFERROR(__xludf.DUMMYFUNCTION("""COMPUTED_VALUE"""),"F7969-เฟรมล่างบานเฟี้ยม-มะฮอกกานี")</f>
        <v>F7969-เฟรมล่างบานเฟี้ยม-มะฮอกกานี</v>
      </c>
    </row>
    <row r="1467">
      <c r="A1467" s="128" t="str">
        <f>IFERROR(__xludf.DUMMYFUNCTION("""COMPUTED_VALUE"""),"อลูมิเนียม")</f>
        <v>อลูมิเนียม</v>
      </c>
      <c r="B1467" s="128" t="str">
        <f>IFERROR(__xludf.DUMMYFUNCTION("""COMPUTED_VALUE"""),"F7970-เฟรมข้างบานเฟี้ยม-อบขาว")</f>
        <v>F7970-เฟรมข้างบานเฟี้ยม-อบขาว</v>
      </c>
    </row>
    <row r="1468">
      <c r="A1468" s="128" t="str">
        <f>IFERROR(__xludf.DUMMYFUNCTION("""COMPUTED_VALUE"""),"อลูมิเนียม")</f>
        <v>อลูมิเนียม</v>
      </c>
      <c r="B1468" s="128" t="str">
        <f>IFERROR(__xludf.DUMMYFUNCTION("""COMPUTED_VALUE"""),"F7970-เฟรมข้างบานเฟี้ยม-ดำ")</f>
        <v>F7970-เฟรมข้างบานเฟี้ยม-ดำ</v>
      </c>
    </row>
    <row r="1469">
      <c r="A1469" s="128" t="str">
        <f>IFERROR(__xludf.DUMMYFUNCTION("""COMPUTED_VALUE"""),"อลูมิเนียม")</f>
        <v>อลูมิเนียม</v>
      </c>
      <c r="B1469" s="128" t="str">
        <f>IFERROR(__xludf.DUMMYFUNCTION("""COMPUTED_VALUE"""),"F7970-เฟรมข้างบานเฟี้ยม-เทาซาฮาร่า")</f>
        <v>F7970-เฟรมข้างบานเฟี้ยม-เทาซาฮาร่า</v>
      </c>
    </row>
    <row r="1470">
      <c r="A1470" s="128" t="str">
        <f>IFERROR(__xludf.DUMMYFUNCTION("""COMPUTED_VALUE"""),"อลูมิเนียม")</f>
        <v>อลูมิเนียม</v>
      </c>
      <c r="B1470" s="128" t="str">
        <f>IFERROR(__xludf.DUMMYFUNCTION("""COMPUTED_VALUE"""),"F7970-เฟรมข้างบานเฟี้ยม-Aztec gray")</f>
        <v>F7970-เฟรมข้างบานเฟี้ยม-Aztec gray</v>
      </c>
    </row>
    <row r="1471">
      <c r="A1471" s="128" t="str">
        <f>IFERROR(__xludf.DUMMYFUNCTION("""COMPUTED_VALUE"""),"อลูมิเนียม")</f>
        <v>อลูมิเนียม</v>
      </c>
      <c r="B1471" s="128" t="str">
        <f>IFERROR(__xludf.DUMMYFUNCTION("""COMPUTED_VALUE"""),"F7970-เฟรมข้างบานเฟี้ยม-ลายไม้สักทอง")</f>
        <v>F7970-เฟรมข้างบานเฟี้ยม-ลายไม้สักทอง</v>
      </c>
    </row>
    <row r="1472">
      <c r="A1472" s="128" t="str">
        <f>IFERROR(__xludf.DUMMYFUNCTION("""COMPUTED_VALUE"""),"อลูมิเนียม")</f>
        <v>อลูมิเนียม</v>
      </c>
      <c r="B1472" s="128" t="str">
        <f>IFERROR(__xludf.DUMMYFUNCTION("""COMPUTED_VALUE"""),"F7970-เฟรมข้างบานเฟี้ยม-ไวท์โอ็ค")</f>
        <v>F7970-เฟรมข้างบานเฟี้ยม-ไวท์โอ็ค</v>
      </c>
    </row>
    <row r="1473">
      <c r="A1473" s="128" t="str">
        <f>IFERROR(__xludf.DUMMYFUNCTION("""COMPUTED_VALUE"""),"อลูมิเนียม")</f>
        <v>อลูมิเนียม</v>
      </c>
      <c r="B1473" s="128" t="str">
        <f>IFERROR(__xludf.DUMMYFUNCTION("""COMPUTED_VALUE"""),"F7970-เฟรมข้างบานเฟี้ยม-มะฮอกกานี")</f>
        <v>F7970-เฟรมข้างบานเฟี้ยม-มะฮอกกานี</v>
      </c>
    </row>
    <row r="1474">
      <c r="A1474" s="128" t="str">
        <f>IFERROR(__xludf.DUMMYFUNCTION("""COMPUTED_VALUE"""),"อลูมิเนียม")</f>
        <v>อลูมิเนียม</v>
      </c>
      <c r="B1474" s="128" t="str">
        <f>IFERROR(__xludf.DUMMYFUNCTION("""COMPUTED_VALUE"""),"F7972-กรอบบานเฟี้ยม-อบขาว")</f>
        <v>F7972-กรอบบานเฟี้ยม-อบขาว</v>
      </c>
    </row>
    <row r="1475">
      <c r="A1475" s="128" t="str">
        <f>IFERROR(__xludf.DUMMYFUNCTION("""COMPUTED_VALUE"""),"อลูมิเนียม")</f>
        <v>อลูมิเนียม</v>
      </c>
      <c r="B1475" s="128" t="str">
        <f>IFERROR(__xludf.DUMMYFUNCTION("""COMPUTED_VALUE"""),"F7972-กรอบบานเฟี้ยม-ดำ")</f>
        <v>F7972-กรอบบานเฟี้ยม-ดำ</v>
      </c>
    </row>
    <row r="1476">
      <c r="A1476" s="128" t="str">
        <f>IFERROR(__xludf.DUMMYFUNCTION("""COMPUTED_VALUE"""),"อลูมิเนียม")</f>
        <v>อลูมิเนียม</v>
      </c>
      <c r="B1476" s="128" t="str">
        <f>IFERROR(__xludf.DUMMYFUNCTION("""COMPUTED_VALUE"""),"F7972-กรอบบานเฟี้ยม-เทาซาฮาร่า")</f>
        <v>F7972-กรอบบานเฟี้ยม-เทาซาฮาร่า</v>
      </c>
    </row>
    <row r="1477">
      <c r="A1477" s="128" t="str">
        <f>IFERROR(__xludf.DUMMYFUNCTION("""COMPUTED_VALUE"""),"อลูมิเนียม")</f>
        <v>อลูมิเนียม</v>
      </c>
      <c r="B1477" s="128" t="str">
        <f>IFERROR(__xludf.DUMMYFUNCTION("""COMPUTED_VALUE"""),"F7972-กรอบบานเฟี้ยม-Aztec gray")</f>
        <v>F7972-กรอบบานเฟี้ยม-Aztec gray</v>
      </c>
    </row>
    <row r="1478">
      <c r="A1478" s="128" t="str">
        <f>IFERROR(__xludf.DUMMYFUNCTION("""COMPUTED_VALUE"""),"อลูมิเนียม")</f>
        <v>อลูมิเนียม</v>
      </c>
      <c r="B1478" s="128" t="str">
        <f>IFERROR(__xludf.DUMMYFUNCTION("""COMPUTED_VALUE"""),"F7972-กรอบบานเฟี้ยม-ลายไม้สักทอง")</f>
        <v>F7972-กรอบบานเฟี้ยม-ลายไม้สักทอง</v>
      </c>
    </row>
    <row r="1479">
      <c r="A1479" s="128" t="str">
        <f>IFERROR(__xludf.DUMMYFUNCTION("""COMPUTED_VALUE"""),"อลูมิเนียม")</f>
        <v>อลูมิเนียม</v>
      </c>
      <c r="B1479" s="128" t="str">
        <f>IFERROR(__xludf.DUMMYFUNCTION("""COMPUTED_VALUE"""),"F7972-กรอบบานเฟี้ยม-ไวท์โอ็ค")</f>
        <v>F7972-กรอบบานเฟี้ยม-ไวท์โอ็ค</v>
      </c>
    </row>
    <row r="1480">
      <c r="A1480" s="128" t="str">
        <f>IFERROR(__xludf.DUMMYFUNCTION("""COMPUTED_VALUE"""),"อลูมิเนียม")</f>
        <v>อลูมิเนียม</v>
      </c>
      <c r="B1480" s="128" t="str">
        <f>IFERROR(__xludf.DUMMYFUNCTION("""COMPUTED_VALUE"""),"F7972-กรอบบานเฟี้ยม-มะฮอกกานี")</f>
        <v>F7972-กรอบบานเฟี้ยม-มะฮอกกานี</v>
      </c>
    </row>
    <row r="1481">
      <c r="A1481" s="128" t="str">
        <f>IFERROR(__xludf.DUMMYFUNCTION("""COMPUTED_VALUE"""),"อลูมิเนียม")</f>
        <v>อลูมิเนียม</v>
      </c>
      <c r="B1481" s="128" t="str">
        <f>IFERROR(__xludf.DUMMYFUNCTION("""COMPUTED_VALUE"""),"F7917-คิ้วตบเฟรมข้าง-อบขาว")</f>
        <v>F7917-คิ้วตบเฟรมข้าง-อบขาว</v>
      </c>
    </row>
    <row r="1482">
      <c r="A1482" s="128" t="str">
        <f>IFERROR(__xludf.DUMMYFUNCTION("""COMPUTED_VALUE"""),"อลูมิเนียม")</f>
        <v>อลูมิเนียม</v>
      </c>
      <c r="B1482" s="128" t="str">
        <f>IFERROR(__xludf.DUMMYFUNCTION("""COMPUTED_VALUE"""),"F7917-คิ้วตบเฟรมข้าง-ดำ")</f>
        <v>F7917-คิ้วตบเฟรมข้าง-ดำ</v>
      </c>
    </row>
    <row r="1483">
      <c r="A1483" s="128" t="str">
        <f>IFERROR(__xludf.DUMMYFUNCTION("""COMPUTED_VALUE"""),"อลูมิเนียม")</f>
        <v>อลูมิเนียม</v>
      </c>
      <c r="B1483" s="128" t="str">
        <f>IFERROR(__xludf.DUMMYFUNCTION("""COMPUTED_VALUE"""),"F7917-คิ้วตบเฟรมข้าง-เทาซาฮาร่า")</f>
        <v>F7917-คิ้วตบเฟรมข้าง-เทาซาฮาร่า</v>
      </c>
    </row>
    <row r="1484">
      <c r="A1484" s="128" t="str">
        <f>IFERROR(__xludf.DUMMYFUNCTION("""COMPUTED_VALUE"""),"อลูมิเนียม")</f>
        <v>อลูมิเนียม</v>
      </c>
      <c r="B1484" s="128" t="str">
        <f>IFERROR(__xludf.DUMMYFUNCTION("""COMPUTED_VALUE"""),"F7917-คิ้วตบเฟรมข้าง-Aztec gray")</f>
        <v>F7917-คิ้วตบเฟรมข้าง-Aztec gray</v>
      </c>
    </row>
    <row r="1485">
      <c r="A1485" s="128" t="str">
        <f>IFERROR(__xludf.DUMMYFUNCTION("""COMPUTED_VALUE"""),"อลูมิเนียม")</f>
        <v>อลูมิเนียม</v>
      </c>
      <c r="B1485" s="128" t="str">
        <f>IFERROR(__xludf.DUMMYFUNCTION("""COMPUTED_VALUE"""),"F7917-คิ้วตบเฟรมข้าง-ลายไม้สักทอง")</f>
        <v>F7917-คิ้วตบเฟรมข้าง-ลายไม้สักทอง</v>
      </c>
    </row>
    <row r="1486">
      <c r="A1486" s="128" t="str">
        <f>IFERROR(__xludf.DUMMYFUNCTION("""COMPUTED_VALUE"""),"อลูมิเนียม")</f>
        <v>อลูมิเนียม</v>
      </c>
      <c r="B1486" s="128" t="str">
        <f>IFERROR(__xludf.DUMMYFUNCTION("""COMPUTED_VALUE"""),"F7917-คิ้วตบเฟรมข้าง-ไวท์โอ็ค")</f>
        <v>F7917-คิ้วตบเฟรมข้าง-ไวท์โอ็ค</v>
      </c>
    </row>
    <row r="1487">
      <c r="A1487" s="128" t="str">
        <f>IFERROR(__xludf.DUMMYFUNCTION("""COMPUTED_VALUE"""),"อลูมิเนียม")</f>
        <v>อลูมิเนียม</v>
      </c>
      <c r="B1487" s="128" t="str">
        <f>IFERROR(__xludf.DUMMYFUNCTION("""COMPUTED_VALUE"""),"F7917-คิ้วตบเฟรมข้าง-มะฮอกกานี")</f>
        <v>F7917-คิ้วตบเฟรมข้าง-มะฮอกกานี</v>
      </c>
    </row>
    <row r="1488">
      <c r="A1488" s="128" t="str">
        <f>IFERROR(__xludf.DUMMYFUNCTION("""COMPUTED_VALUE"""),"อลูมิเนียม")</f>
        <v>อลูมิเนียม</v>
      </c>
      <c r="B1488" s="128" t="str">
        <f>IFERROR(__xludf.DUMMYFUNCTION("""COMPUTED_VALUE"""),"F7932-รางยู-อบขาว")</f>
        <v>F7932-รางยู-อบขาว</v>
      </c>
    </row>
    <row r="1489">
      <c r="A1489" s="128" t="str">
        <f>IFERROR(__xludf.DUMMYFUNCTION("""COMPUTED_VALUE"""),"อลูมิเนียม")</f>
        <v>อลูมิเนียม</v>
      </c>
      <c r="B1489" s="128" t="str">
        <f>IFERROR(__xludf.DUMMYFUNCTION("""COMPUTED_VALUE"""),"F7932-รางยู-ดำ")</f>
        <v>F7932-รางยู-ดำ</v>
      </c>
    </row>
    <row r="1490">
      <c r="A1490" s="128" t="str">
        <f>IFERROR(__xludf.DUMMYFUNCTION("""COMPUTED_VALUE"""),"อลูมิเนียม")</f>
        <v>อลูมิเนียม</v>
      </c>
      <c r="B1490" s="128" t="str">
        <f>IFERROR(__xludf.DUMMYFUNCTION("""COMPUTED_VALUE"""),"F7932-รางยู-เทาซาฮาร่า")</f>
        <v>F7932-รางยู-เทาซาฮาร่า</v>
      </c>
    </row>
    <row r="1491">
      <c r="A1491" s="128" t="str">
        <f>IFERROR(__xludf.DUMMYFUNCTION("""COMPUTED_VALUE"""),"อลูมิเนียม")</f>
        <v>อลูมิเนียม</v>
      </c>
      <c r="B1491" s="128" t="str">
        <f>IFERROR(__xludf.DUMMYFUNCTION("""COMPUTED_VALUE"""),"F7932-รางยู-Aztec gray")</f>
        <v>F7932-รางยู-Aztec gray</v>
      </c>
    </row>
    <row r="1492">
      <c r="A1492" s="128" t="str">
        <f>IFERROR(__xludf.DUMMYFUNCTION("""COMPUTED_VALUE"""),"อลูมิเนียม")</f>
        <v>อลูมิเนียม</v>
      </c>
      <c r="B1492" s="128" t="str">
        <f>IFERROR(__xludf.DUMMYFUNCTION("""COMPUTED_VALUE"""),"F7932-รางยู-ลายไม้สักทอง")</f>
        <v>F7932-รางยู-ลายไม้สักทอง</v>
      </c>
    </row>
    <row r="1493">
      <c r="A1493" s="128" t="str">
        <f>IFERROR(__xludf.DUMMYFUNCTION("""COMPUTED_VALUE"""),"อลูมิเนียม")</f>
        <v>อลูมิเนียม</v>
      </c>
      <c r="B1493" s="128" t="str">
        <f>IFERROR(__xludf.DUMMYFUNCTION("""COMPUTED_VALUE"""),"F7932-รางยู-ไวท์โอ็ค")</f>
        <v>F7932-รางยู-ไวท์โอ็ค</v>
      </c>
    </row>
    <row r="1494">
      <c r="A1494" s="128" t="str">
        <f>IFERROR(__xludf.DUMMYFUNCTION("""COMPUTED_VALUE"""),"อลูมิเนียม")</f>
        <v>อลูมิเนียม</v>
      </c>
      <c r="B1494" s="128" t="str">
        <f>IFERROR(__xludf.DUMMYFUNCTION("""COMPUTED_VALUE"""),"F7932-รางยู-มะฮอกกานี")</f>
        <v>F7932-รางยู-มะฮอกกานี</v>
      </c>
    </row>
    <row r="1495">
      <c r="A1495" s="128" t="str">
        <f>IFERROR(__xludf.DUMMYFUNCTION("""COMPUTED_VALUE"""),"อลูมิเนียม")</f>
        <v>อลูมิเนียม</v>
      </c>
      <c r="B1495" s="128" t="str">
        <f>IFERROR(__xludf.DUMMYFUNCTION("""COMPUTED_VALUE"""),"F7864-เสาบานเปิด 10 ซม.-อบขาว")</f>
        <v>F7864-เสาบานเปิด 10 ซม.-อบขาว</v>
      </c>
    </row>
    <row r="1496">
      <c r="A1496" s="128" t="str">
        <f>IFERROR(__xludf.DUMMYFUNCTION("""COMPUTED_VALUE"""),"อลูมิเนียม")</f>
        <v>อลูมิเนียม</v>
      </c>
      <c r="B1496" s="128" t="str">
        <f>IFERROR(__xludf.DUMMYFUNCTION("""COMPUTED_VALUE"""),"F7864-เสาบานเปิด 10 ซม.-ดำ")</f>
        <v>F7864-เสาบานเปิด 10 ซม.-ดำ</v>
      </c>
    </row>
    <row r="1497">
      <c r="A1497" s="128" t="str">
        <f>IFERROR(__xludf.DUMMYFUNCTION("""COMPUTED_VALUE"""),"อลูมิเนียม")</f>
        <v>อลูมิเนียม</v>
      </c>
      <c r="B1497" s="128" t="str">
        <f>IFERROR(__xludf.DUMMYFUNCTION("""COMPUTED_VALUE"""),"F7864-เสาบานเปิด 10 ซม.-เทาซาฮาร่า")</f>
        <v>F7864-เสาบานเปิด 10 ซม.-เทาซาฮาร่า</v>
      </c>
    </row>
    <row r="1498">
      <c r="A1498" s="128" t="str">
        <f>IFERROR(__xludf.DUMMYFUNCTION("""COMPUTED_VALUE"""),"อลูมิเนียม")</f>
        <v>อลูมิเนียม</v>
      </c>
      <c r="B1498" s="128" t="str">
        <f>IFERROR(__xludf.DUMMYFUNCTION("""COMPUTED_VALUE"""),"F7864-เสาบานเปิด 10 ซม.-Aztec gray")</f>
        <v>F7864-เสาบานเปิด 10 ซม.-Aztec gray</v>
      </c>
    </row>
    <row r="1499">
      <c r="A1499" s="128" t="str">
        <f>IFERROR(__xludf.DUMMYFUNCTION("""COMPUTED_VALUE"""),"อลูมิเนียม")</f>
        <v>อลูมิเนียม</v>
      </c>
      <c r="B1499" s="128" t="str">
        <f>IFERROR(__xludf.DUMMYFUNCTION("""COMPUTED_VALUE"""),"F7864-เสาบานเปิด 10 ซม.-ลายไม้สักทอง")</f>
        <v>F7864-เสาบานเปิด 10 ซม.-ลายไม้สักทอง</v>
      </c>
    </row>
    <row r="1500">
      <c r="A1500" s="128" t="str">
        <f>IFERROR(__xludf.DUMMYFUNCTION("""COMPUTED_VALUE"""),"อลูมิเนียม")</f>
        <v>อลูมิเนียม</v>
      </c>
      <c r="B1500" s="128" t="str">
        <f>IFERROR(__xludf.DUMMYFUNCTION("""COMPUTED_VALUE"""),"F7864-เสาบานเปิด 10 ซม.-ไวท์โอ็ค")</f>
        <v>F7864-เสาบานเปิด 10 ซม.-ไวท์โอ็ค</v>
      </c>
    </row>
    <row r="1501">
      <c r="A1501" s="128" t="str">
        <f>IFERROR(__xludf.DUMMYFUNCTION("""COMPUTED_VALUE"""),"อลูมิเนียม")</f>
        <v>อลูมิเนียม</v>
      </c>
      <c r="B1501" s="128" t="str">
        <f>IFERROR(__xludf.DUMMYFUNCTION("""COMPUTED_VALUE"""),"F7864-เสาบานเปิด 10 ซม.-มะฮอกกานี")</f>
        <v>F7864-เสาบานเปิด 10 ซม.-มะฮอกกานี</v>
      </c>
    </row>
    <row r="1502">
      <c r="A1502" s="128" t="str">
        <f>IFERROR(__xludf.DUMMYFUNCTION("""COMPUTED_VALUE"""),"อลูมิเนียม")</f>
        <v>อลูมิเนียม</v>
      </c>
      <c r="B1502" s="128" t="str">
        <f>IFERROR(__xludf.DUMMYFUNCTION("""COMPUTED_VALUE"""),"F7935-คิ้วกรอบบาน-อบขาว")</f>
        <v>F7935-คิ้วกรอบบาน-อบขาว</v>
      </c>
    </row>
    <row r="1503">
      <c r="A1503" s="128" t="str">
        <f>IFERROR(__xludf.DUMMYFUNCTION("""COMPUTED_VALUE"""),"อลูมิเนียม")</f>
        <v>อลูมิเนียม</v>
      </c>
      <c r="B1503" s="128" t="str">
        <f>IFERROR(__xludf.DUMMYFUNCTION("""COMPUTED_VALUE"""),"F7935-คิ้วกรอบบาน-ดำ")</f>
        <v>F7935-คิ้วกรอบบาน-ดำ</v>
      </c>
    </row>
    <row r="1504">
      <c r="A1504" s="128" t="str">
        <f>IFERROR(__xludf.DUMMYFUNCTION("""COMPUTED_VALUE"""),"อลูมิเนียม")</f>
        <v>อลูมิเนียม</v>
      </c>
      <c r="B1504" s="128" t="str">
        <f>IFERROR(__xludf.DUMMYFUNCTION("""COMPUTED_VALUE"""),"F7935-คิ้วกรอบบาน-เทาซาฮาร่า")</f>
        <v>F7935-คิ้วกรอบบาน-เทาซาฮาร่า</v>
      </c>
    </row>
    <row r="1505">
      <c r="A1505" s="128" t="str">
        <f>IFERROR(__xludf.DUMMYFUNCTION("""COMPUTED_VALUE"""),"อลูมิเนียม")</f>
        <v>อลูมิเนียม</v>
      </c>
      <c r="B1505" s="128" t="str">
        <f>IFERROR(__xludf.DUMMYFUNCTION("""COMPUTED_VALUE"""),"F7935-คิ้วกรอบบาน-Aztec gray")</f>
        <v>F7935-คิ้วกรอบบาน-Aztec gray</v>
      </c>
    </row>
    <row r="1506">
      <c r="A1506" s="128" t="str">
        <f>IFERROR(__xludf.DUMMYFUNCTION("""COMPUTED_VALUE"""),"อลูมิเนียม")</f>
        <v>อลูมิเนียม</v>
      </c>
      <c r="B1506" s="128" t="str">
        <f>IFERROR(__xludf.DUMMYFUNCTION("""COMPUTED_VALUE"""),"F7935-คิ้วกรอบบาน-ลายไม้สักทอง")</f>
        <v>F7935-คิ้วกรอบบาน-ลายไม้สักทอง</v>
      </c>
    </row>
    <row r="1507">
      <c r="A1507" s="128" t="str">
        <f>IFERROR(__xludf.DUMMYFUNCTION("""COMPUTED_VALUE"""),"อลูมิเนียม")</f>
        <v>อลูมิเนียม</v>
      </c>
      <c r="B1507" s="128" t="str">
        <f>IFERROR(__xludf.DUMMYFUNCTION("""COMPUTED_VALUE"""),"F7935-คิ้วกรอบบาน-ไวท์โอ็ค")</f>
        <v>F7935-คิ้วกรอบบาน-ไวท์โอ็ค</v>
      </c>
    </row>
    <row r="1508">
      <c r="A1508" s="128" t="str">
        <f>IFERROR(__xludf.DUMMYFUNCTION("""COMPUTED_VALUE"""),"อลูมิเนียม")</f>
        <v>อลูมิเนียม</v>
      </c>
      <c r="B1508" s="128" t="str">
        <f>IFERROR(__xludf.DUMMYFUNCTION("""COMPUTED_VALUE"""),"F7935-คิ้วกรอบบาน-มะฮอกกานี")</f>
        <v>F7935-คิ้วกรอบบาน-มะฮอกกานี</v>
      </c>
    </row>
    <row r="1509">
      <c r="A1509" s="128" t="str">
        <f>IFERROR(__xludf.DUMMYFUNCTION("""COMPUTED_VALUE"""),"อลูมิเนียม")</f>
        <v>อลูมิเนียม</v>
      </c>
      <c r="B1509" s="128" t="str">
        <f>IFERROR(__xludf.DUMMYFUNCTION("""COMPUTED_VALUE"""),"F7863-เสริมใต้บานไม่มีธรณี-อบขาว")</f>
        <v>F7863-เสริมใต้บานไม่มีธรณี-อบขาว</v>
      </c>
    </row>
    <row r="1510">
      <c r="A1510" s="128" t="str">
        <f>IFERROR(__xludf.DUMMYFUNCTION("""COMPUTED_VALUE"""),"อลูมิเนียม")</f>
        <v>อลูมิเนียม</v>
      </c>
      <c r="B1510" s="128" t="str">
        <f>IFERROR(__xludf.DUMMYFUNCTION("""COMPUTED_VALUE"""),"F7863-เสริมใต้บานไม่มีธรณี-ดำ")</f>
        <v>F7863-เสริมใต้บานไม่มีธรณี-ดำ</v>
      </c>
    </row>
    <row r="1511">
      <c r="A1511" s="128" t="str">
        <f>IFERROR(__xludf.DUMMYFUNCTION("""COMPUTED_VALUE"""),"อลูมิเนียม")</f>
        <v>อลูมิเนียม</v>
      </c>
      <c r="B1511" s="128" t="str">
        <f>IFERROR(__xludf.DUMMYFUNCTION("""COMPUTED_VALUE"""),"F7863-เสริมใต้บานไม่มีธรณี-เทาซาฮาร่า")</f>
        <v>F7863-เสริมใต้บานไม่มีธรณี-เทาซาฮาร่า</v>
      </c>
    </row>
    <row r="1512">
      <c r="A1512" s="128" t="str">
        <f>IFERROR(__xludf.DUMMYFUNCTION("""COMPUTED_VALUE"""),"อลูมิเนียม")</f>
        <v>อลูมิเนียม</v>
      </c>
      <c r="B1512" s="128" t="str">
        <f>IFERROR(__xludf.DUMMYFUNCTION("""COMPUTED_VALUE"""),"F7863-เสริมใต้บานไม่มีธรณี-Aztec gray")</f>
        <v>F7863-เสริมใต้บานไม่มีธรณี-Aztec gray</v>
      </c>
    </row>
    <row r="1513">
      <c r="A1513" s="128" t="str">
        <f>IFERROR(__xludf.DUMMYFUNCTION("""COMPUTED_VALUE"""),"อลูมิเนียม")</f>
        <v>อลูมิเนียม</v>
      </c>
      <c r="B1513" s="128" t="str">
        <f>IFERROR(__xludf.DUMMYFUNCTION("""COMPUTED_VALUE"""),"F7863-เสริมใต้บานไม่มีธรณี-ลายไม้สักทอง")</f>
        <v>F7863-เสริมใต้บานไม่มีธรณี-ลายไม้สักทอง</v>
      </c>
    </row>
    <row r="1514">
      <c r="A1514" s="128" t="str">
        <f>IFERROR(__xludf.DUMMYFUNCTION("""COMPUTED_VALUE"""),"อลูมิเนียม")</f>
        <v>อลูมิเนียม</v>
      </c>
      <c r="B1514" s="128" t="str">
        <f>IFERROR(__xludf.DUMMYFUNCTION("""COMPUTED_VALUE"""),"F7863-เสริมใต้บานไม่มีธรณี-ไวท์โอ็ค")</f>
        <v>F7863-เสริมใต้บานไม่มีธรณี-ไวท์โอ็ค</v>
      </c>
    </row>
    <row r="1515">
      <c r="A1515" s="128" t="str">
        <f>IFERROR(__xludf.DUMMYFUNCTION("""COMPUTED_VALUE"""),"อลูมิเนียม")</f>
        <v>อลูมิเนียม</v>
      </c>
      <c r="B1515" s="128" t="str">
        <f>IFERROR(__xludf.DUMMYFUNCTION("""COMPUTED_VALUE"""),"F7863-เสริมใต้บานไม่มีธรณี-มะฮอกกานี")</f>
        <v>F7863-เสริมใต้บานไม่มีธรณี-มะฮอกกานี</v>
      </c>
    </row>
    <row r="1516">
      <c r="A1516" s="128" t="str">
        <f>IFERROR(__xludf.DUMMYFUNCTION("""COMPUTED_VALUE"""),"อลูมิเนียม")</f>
        <v>อลูมิเนียม</v>
      </c>
      <c r="B1516" s="128" t="str">
        <f>IFERROR(__xludf.DUMMYFUNCTION("""COMPUTED_VALUE"""),"F7962-รับล็อกบานคู่ + บานคี่-อบขาว")</f>
        <v>F7962-รับล็อกบานคู่ + บานคี่-อบขาว</v>
      </c>
    </row>
    <row r="1517">
      <c r="A1517" s="128" t="str">
        <f>IFERROR(__xludf.DUMMYFUNCTION("""COMPUTED_VALUE"""),"อลูมิเนียม")</f>
        <v>อลูมิเนียม</v>
      </c>
      <c r="B1517" s="128" t="str">
        <f>IFERROR(__xludf.DUMMYFUNCTION("""COMPUTED_VALUE"""),"F7962-รับล็อกบานคู่ + บานคี่-ดำ")</f>
        <v>F7962-รับล็อกบานคู่ + บานคี่-ดำ</v>
      </c>
    </row>
    <row r="1518">
      <c r="A1518" s="128" t="str">
        <f>IFERROR(__xludf.DUMMYFUNCTION("""COMPUTED_VALUE"""),"อลูมิเนียม")</f>
        <v>อลูมิเนียม</v>
      </c>
      <c r="B1518" s="128" t="str">
        <f>IFERROR(__xludf.DUMMYFUNCTION("""COMPUTED_VALUE"""),"F7962-รับล็อกบานคู่ + บานคี่-เทาซาฮาร่า")</f>
        <v>F7962-รับล็อกบานคู่ + บานคี่-เทาซาฮาร่า</v>
      </c>
    </row>
    <row r="1519">
      <c r="A1519" s="128" t="str">
        <f>IFERROR(__xludf.DUMMYFUNCTION("""COMPUTED_VALUE"""),"อลูมิเนียม")</f>
        <v>อลูมิเนียม</v>
      </c>
      <c r="B1519" s="128" t="str">
        <f>IFERROR(__xludf.DUMMYFUNCTION("""COMPUTED_VALUE"""),"F7962-รับล็อกบานคู่ + บานคี่-Aztec gray")</f>
        <v>F7962-รับล็อกบานคู่ + บานคี่-Aztec gray</v>
      </c>
    </row>
    <row r="1520">
      <c r="A1520" s="128" t="str">
        <f>IFERROR(__xludf.DUMMYFUNCTION("""COMPUTED_VALUE"""),"อลูมิเนียม")</f>
        <v>อลูมิเนียม</v>
      </c>
      <c r="B1520" s="128" t="str">
        <f>IFERROR(__xludf.DUMMYFUNCTION("""COMPUTED_VALUE"""),"F7962-รับล็อกบานคู่ + บานคี่-ลายไม้สักทอง")</f>
        <v>F7962-รับล็อกบานคู่ + บานคี่-ลายไม้สักทอง</v>
      </c>
    </row>
    <row r="1521">
      <c r="A1521" s="128" t="str">
        <f>IFERROR(__xludf.DUMMYFUNCTION("""COMPUTED_VALUE"""),"อลูมิเนียม")</f>
        <v>อลูมิเนียม</v>
      </c>
      <c r="B1521" s="128" t="str">
        <f>IFERROR(__xludf.DUMMYFUNCTION("""COMPUTED_VALUE"""),"F7962-รับล็อกบานคู่ + บานคี่-ไวท์โอ็ค")</f>
        <v>F7962-รับล็อกบานคู่ + บานคี่-ไวท์โอ็ค</v>
      </c>
    </row>
    <row r="1522">
      <c r="A1522" s="128" t="str">
        <f>IFERROR(__xludf.DUMMYFUNCTION("""COMPUTED_VALUE"""),"อลูมิเนียม")</f>
        <v>อลูมิเนียม</v>
      </c>
      <c r="B1522" s="128" t="str">
        <f>IFERROR(__xludf.DUMMYFUNCTION("""COMPUTED_VALUE"""),"F7962-รับล็อกบานคู่ + บานคี่-มะฮอกกานี")</f>
        <v>F7962-รับล็อกบานคู่ + บานคี่-มะฮอกกานี</v>
      </c>
    </row>
    <row r="1523">
      <c r="A1523" s="128" t="str">
        <f>IFERROR(__xludf.DUMMYFUNCTION("""COMPUTED_VALUE"""),"อลูมิเนียม")</f>
        <v>อลูมิเนียม</v>
      </c>
      <c r="B1523" s="128" t="str">
        <f>IFERROR(__xludf.DUMMYFUNCTION("""COMPUTED_VALUE"""),"F7961-รับล็อกเฟรมข้างบานคู่-อบขาว")</f>
        <v>F7961-รับล็อกเฟรมข้างบานคู่-อบขาว</v>
      </c>
    </row>
    <row r="1524">
      <c r="A1524" s="128" t="str">
        <f>IFERROR(__xludf.DUMMYFUNCTION("""COMPUTED_VALUE"""),"อลูมิเนียม")</f>
        <v>อลูมิเนียม</v>
      </c>
      <c r="B1524" s="128" t="str">
        <f>IFERROR(__xludf.DUMMYFUNCTION("""COMPUTED_VALUE"""),"F7961-รับล็อกเฟรมข้างบานคู่-ดำ")</f>
        <v>F7961-รับล็อกเฟรมข้างบานคู่-ดำ</v>
      </c>
    </row>
    <row r="1525">
      <c r="A1525" s="128" t="str">
        <f>IFERROR(__xludf.DUMMYFUNCTION("""COMPUTED_VALUE"""),"อลูมิเนียม")</f>
        <v>อลูมิเนียม</v>
      </c>
      <c r="B1525" s="128" t="str">
        <f>IFERROR(__xludf.DUMMYFUNCTION("""COMPUTED_VALUE"""),"F7961-รับล็อกเฟรมข้างบานคู่-เทาซาฮาร่า")</f>
        <v>F7961-รับล็อกเฟรมข้างบานคู่-เทาซาฮาร่า</v>
      </c>
    </row>
    <row r="1526">
      <c r="A1526" s="128" t="str">
        <f>IFERROR(__xludf.DUMMYFUNCTION("""COMPUTED_VALUE"""),"อลูมิเนียม")</f>
        <v>อลูมิเนียม</v>
      </c>
      <c r="B1526" s="128" t="str">
        <f>IFERROR(__xludf.DUMMYFUNCTION("""COMPUTED_VALUE"""),"F7961-รับล็อกเฟรมข้างบานคู่-Aztec gray")</f>
        <v>F7961-รับล็อกเฟรมข้างบานคู่-Aztec gray</v>
      </c>
    </row>
    <row r="1527">
      <c r="A1527" s="128" t="str">
        <f>IFERROR(__xludf.DUMMYFUNCTION("""COMPUTED_VALUE"""),"อลูมิเนียม")</f>
        <v>อลูมิเนียม</v>
      </c>
      <c r="B1527" s="128" t="str">
        <f>IFERROR(__xludf.DUMMYFUNCTION("""COMPUTED_VALUE"""),"F7961-รับล็อกเฟรมข้างบานคู่-ลายไม้สักทอง")</f>
        <v>F7961-รับล็อกเฟรมข้างบานคู่-ลายไม้สักทอง</v>
      </c>
    </row>
    <row r="1528">
      <c r="A1528" s="128" t="str">
        <f>IFERROR(__xludf.DUMMYFUNCTION("""COMPUTED_VALUE"""),"อลูมิเนียม")</f>
        <v>อลูมิเนียม</v>
      </c>
      <c r="B1528" s="128" t="str">
        <f>IFERROR(__xludf.DUMMYFUNCTION("""COMPUTED_VALUE"""),"F7961-รับล็อกเฟรมข้างบานคู่-ไวท์โอ็ค")</f>
        <v>F7961-รับล็อกเฟรมข้างบานคู่-ไวท์โอ็ค</v>
      </c>
    </row>
    <row r="1529">
      <c r="A1529" s="128" t="str">
        <f>IFERROR(__xludf.DUMMYFUNCTION("""COMPUTED_VALUE"""),"อลูมิเนียม")</f>
        <v>อลูมิเนียม</v>
      </c>
      <c r="B1529" s="128" t="str">
        <f>IFERROR(__xludf.DUMMYFUNCTION("""COMPUTED_VALUE"""),"F7961-รับล็อกเฟรมข้างบานคู่-มะฮอกกานี")</f>
        <v>F7961-รับล็อกเฟรมข้างบานคู่-มะฮอกกานี</v>
      </c>
    </row>
    <row r="1530">
      <c r="A1530" s="128" t="str">
        <f>IFERROR(__xludf.DUMMYFUNCTION("""COMPUTED_VALUE"""),"อลูมิเนียม")</f>
        <v>อลูมิเนียม</v>
      </c>
      <c r="B1530" s="128" t="str">
        <f>IFERROR(__xludf.DUMMYFUNCTION("""COMPUTED_VALUE"""),"F7963-รับล็อกเข้ามุมบานคู่-อบขาว")</f>
        <v>F7963-รับล็อกเข้ามุมบานคู่-อบขาว</v>
      </c>
    </row>
    <row r="1531">
      <c r="A1531" s="128" t="str">
        <f>IFERROR(__xludf.DUMMYFUNCTION("""COMPUTED_VALUE"""),"อลูมิเนียม")</f>
        <v>อลูมิเนียม</v>
      </c>
      <c r="B1531" s="128" t="str">
        <f>IFERROR(__xludf.DUMMYFUNCTION("""COMPUTED_VALUE"""),"F7963-รับล็อกเข้ามุมบานคู่-ดำ")</f>
        <v>F7963-รับล็อกเข้ามุมบานคู่-ดำ</v>
      </c>
    </row>
    <row r="1532">
      <c r="A1532" s="128" t="str">
        <f>IFERROR(__xludf.DUMMYFUNCTION("""COMPUTED_VALUE"""),"อลูมิเนียม")</f>
        <v>อลูมิเนียม</v>
      </c>
      <c r="B1532" s="128" t="str">
        <f>IFERROR(__xludf.DUMMYFUNCTION("""COMPUTED_VALUE"""),"F7963-รับล็อกเข้ามุมบานคู่-เทาซาฮาร่า")</f>
        <v>F7963-รับล็อกเข้ามุมบานคู่-เทาซาฮาร่า</v>
      </c>
    </row>
    <row r="1533">
      <c r="A1533" s="128" t="str">
        <f>IFERROR(__xludf.DUMMYFUNCTION("""COMPUTED_VALUE"""),"อลูมิเนียม")</f>
        <v>อลูมิเนียม</v>
      </c>
      <c r="B1533" s="128" t="str">
        <f>IFERROR(__xludf.DUMMYFUNCTION("""COMPUTED_VALUE"""),"F7963-รับล็อกเข้ามุมบานคู่-Aztec gray")</f>
        <v>F7963-รับล็อกเข้ามุมบานคู่-Aztec gray</v>
      </c>
    </row>
    <row r="1534">
      <c r="A1534" s="128" t="str">
        <f>IFERROR(__xludf.DUMMYFUNCTION("""COMPUTED_VALUE"""),"อลูมิเนียม")</f>
        <v>อลูมิเนียม</v>
      </c>
      <c r="B1534" s="128" t="str">
        <f>IFERROR(__xludf.DUMMYFUNCTION("""COMPUTED_VALUE"""),"F7963-รับล็อกเข้ามุมบานคู่-ลายไม้สักทอง")</f>
        <v>F7963-รับล็อกเข้ามุมบานคู่-ลายไม้สักทอง</v>
      </c>
    </row>
    <row r="1535">
      <c r="A1535" s="128" t="str">
        <f>IFERROR(__xludf.DUMMYFUNCTION("""COMPUTED_VALUE"""),"อลูมิเนียม")</f>
        <v>อลูมิเนียม</v>
      </c>
      <c r="B1535" s="128" t="str">
        <f>IFERROR(__xludf.DUMMYFUNCTION("""COMPUTED_VALUE"""),"F7963-รับล็อกเข้ามุมบานคู่-ไวท์โอ็ค")</f>
        <v>F7963-รับล็อกเข้ามุมบานคู่-ไวท์โอ็ค</v>
      </c>
    </row>
    <row r="1536">
      <c r="A1536" s="128" t="str">
        <f>IFERROR(__xludf.DUMMYFUNCTION("""COMPUTED_VALUE"""),"อลูมิเนียม")</f>
        <v>อลูมิเนียม</v>
      </c>
      <c r="B1536" s="128" t="str">
        <f>IFERROR(__xludf.DUMMYFUNCTION("""COMPUTED_VALUE"""),"F7963-รับล็อกเข้ามุมบานคู่-มะฮอกกานี")</f>
        <v>F7963-รับล็อกเข้ามุมบานคู่-มะฮอกกานี</v>
      </c>
    </row>
    <row r="1537">
      <c r="A1537" s="128" t="str">
        <f>IFERROR(__xludf.DUMMYFUNCTION("""COMPUTED_VALUE"""),"อลูมิเนียม")</f>
        <v>อลูมิเนียม</v>
      </c>
      <c r="B1537" s="128" t="str">
        <f>IFERROR(__xludf.DUMMYFUNCTION("""COMPUTED_VALUE"""),"F7964-เสาเข้ามุม-อบขาว")</f>
        <v>F7964-เสาเข้ามุม-อบขาว</v>
      </c>
    </row>
    <row r="1538">
      <c r="A1538" s="128" t="str">
        <f>IFERROR(__xludf.DUMMYFUNCTION("""COMPUTED_VALUE"""),"อลูมิเนียม")</f>
        <v>อลูมิเนียม</v>
      </c>
      <c r="B1538" s="128" t="str">
        <f>IFERROR(__xludf.DUMMYFUNCTION("""COMPUTED_VALUE"""),"F7964-เสาเข้ามุม-ดำ")</f>
        <v>F7964-เสาเข้ามุม-ดำ</v>
      </c>
    </row>
    <row r="1539">
      <c r="A1539" s="128" t="str">
        <f>IFERROR(__xludf.DUMMYFUNCTION("""COMPUTED_VALUE"""),"อลูมิเนียม")</f>
        <v>อลูมิเนียม</v>
      </c>
      <c r="B1539" s="128" t="str">
        <f>IFERROR(__xludf.DUMMYFUNCTION("""COMPUTED_VALUE"""),"F7964-เสาเข้ามุม-เทาซาฮาร่า")</f>
        <v>F7964-เสาเข้ามุม-เทาซาฮาร่า</v>
      </c>
    </row>
    <row r="1540">
      <c r="A1540" s="128" t="str">
        <f>IFERROR(__xludf.DUMMYFUNCTION("""COMPUTED_VALUE"""),"อลูมิเนียม")</f>
        <v>อลูมิเนียม</v>
      </c>
      <c r="B1540" s="128" t="str">
        <f>IFERROR(__xludf.DUMMYFUNCTION("""COMPUTED_VALUE"""),"F7964-เสาเข้ามุม-Aztec gray")</f>
        <v>F7964-เสาเข้ามุม-Aztec gray</v>
      </c>
    </row>
    <row r="1541">
      <c r="A1541" s="128" t="str">
        <f>IFERROR(__xludf.DUMMYFUNCTION("""COMPUTED_VALUE"""),"อลูมิเนียม")</f>
        <v>อลูมิเนียม</v>
      </c>
      <c r="B1541" s="128" t="str">
        <f>IFERROR(__xludf.DUMMYFUNCTION("""COMPUTED_VALUE"""),"F7964-เสาเข้ามุม-ลายไม้สักทอง")</f>
        <v>F7964-เสาเข้ามุม-ลายไม้สักทอง</v>
      </c>
    </row>
    <row r="1542">
      <c r="A1542" s="128" t="str">
        <f>IFERROR(__xludf.DUMMYFUNCTION("""COMPUTED_VALUE"""),"อลูมิเนียม")</f>
        <v>อลูมิเนียม</v>
      </c>
      <c r="B1542" s="128" t="str">
        <f>IFERROR(__xludf.DUMMYFUNCTION("""COMPUTED_VALUE"""),"F7964-เสาเข้ามุม-ไวท์โอ็ค")</f>
        <v>F7964-เสาเข้ามุม-ไวท์โอ็ค</v>
      </c>
    </row>
    <row r="1543">
      <c r="A1543" s="128" t="str">
        <f>IFERROR(__xludf.DUMMYFUNCTION("""COMPUTED_VALUE"""),"อลูมิเนียม")</f>
        <v>อลูมิเนียม</v>
      </c>
      <c r="B1543" s="128" t="str">
        <f>IFERROR(__xludf.DUMMYFUNCTION("""COMPUTED_VALUE"""),"F7964-เสาเข้ามุม-มะฮอกกานี")</f>
        <v>F7964-เสาเข้ามุม-มะฮอกกานี</v>
      </c>
    </row>
    <row r="1544">
      <c r="A1544" s="128" t="str">
        <f>IFERROR(__xludf.DUMMYFUNCTION("""COMPUTED_VALUE"""),"อลูมิเนียม")</f>
        <v>อลูมิเนียม</v>
      </c>
      <c r="B1544" s="128" t="str">
        <f>IFERROR(__xludf.DUMMYFUNCTION("""COMPUTED_VALUE"""),"F7974-ชนกลางบานคู่-อบขาว")</f>
        <v>F7974-ชนกลางบานคู่-อบขาว</v>
      </c>
    </row>
    <row r="1545">
      <c r="A1545" s="128" t="str">
        <f>IFERROR(__xludf.DUMMYFUNCTION("""COMPUTED_VALUE"""),"อลูมิเนียม")</f>
        <v>อลูมิเนียม</v>
      </c>
      <c r="B1545" s="128" t="str">
        <f>IFERROR(__xludf.DUMMYFUNCTION("""COMPUTED_VALUE"""),"F7974-ชนกลางบานคู่-ดำ")</f>
        <v>F7974-ชนกลางบานคู่-ดำ</v>
      </c>
    </row>
    <row r="1546">
      <c r="A1546" s="128" t="str">
        <f>IFERROR(__xludf.DUMMYFUNCTION("""COMPUTED_VALUE"""),"อลูมิเนียม")</f>
        <v>อลูมิเนียม</v>
      </c>
      <c r="B1546" s="128" t="str">
        <f>IFERROR(__xludf.DUMMYFUNCTION("""COMPUTED_VALUE"""),"F7974-ชนกลางบานคู่-เทาซาฮาร่า")</f>
        <v>F7974-ชนกลางบานคู่-เทาซาฮาร่า</v>
      </c>
    </row>
    <row r="1547">
      <c r="A1547" s="128" t="str">
        <f>IFERROR(__xludf.DUMMYFUNCTION("""COMPUTED_VALUE"""),"อลูมิเนียม")</f>
        <v>อลูมิเนียม</v>
      </c>
      <c r="B1547" s="128" t="str">
        <f>IFERROR(__xludf.DUMMYFUNCTION("""COMPUTED_VALUE"""),"F7974-ชนกลางบานคู่-Aztec gray")</f>
        <v>F7974-ชนกลางบานคู่-Aztec gray</v>
      </c>
    </row>
    <row r="1548">
      <c r="A1548" s="128" t="str">
        <f>IFERROR(__xludf.DUMMYFUNCTION("""COMPUTED_VALUE"""),"อลูมิเนียม")</f>
        <v>อลูมิเนียม</v>
      </c>
      <c r="B1548" s="128" t="str">
        <f>IFERROR(__xludf.DUMMYFUNCTION("""COMPUTED_VALUE"""),"F7974-ชนกลางบานคู่-ลายไม้สักทอง")</f>
        <v>F7974-ชนกลางบานคู่-ลายไม้สักทอง</v>
      </c>
    </row>
    <row r="1549">
      <c r="A1549" s="128" t="str">
        <f>IFERROR(__xludf.DUMMYFUNCTION("""COMPUTED_VALUE"""),"อลูมิเนียม")</f>
        <v>อลูมิเนียม</v>
      </c>
      <c r="B1549" s="128" t="str">
        <f>IFERROR(__xludf.DUMMYFUNCTION("""COMPUTED_VALUE"""),"F7974-ชนกลางบานคู่-ไวท์โอ็ค")</f>
        <v>F7974-ชนกลางบานคู่-ไวท์โอ็ค</v>
      </c>
    </row>
    <row r="1550">
      <c r="A1550" s="128" t="str">
        <f>IFERROR(__xludf.DUMMYFUNCTION("""COMPUTED_VALUE"""),"อลูมิเนียม")</f>
        <v>อลูมิเนียม</v>
      </c>
      <c r="B1550" s="128" t="str">
        <f>IFERROR(__xludf.DUMMYFUNCTION("""COMPUTED_VALUE"""),"F7974-ชนกลางบานคู่-มะฮอกกานี")</f>
        <v>F7974-ชนกลางบานคู่-มะฮอกกานี</v>
      </c>
    </row>
    <row r="1551">
      <c r="A1551" s="128" t="str">
        <f>IFERROR(__xludf.DUMMYFUNCTION("""COMPUTED_VALUE"""),"อลูมิเนียม")</f>
        <v>อลูมิเนียม</v>
      </c>
      <c r="B1551" s="128" t="str">
        <f>IFERROR(__xludf.DUMMYFUNCTION("""COMPUTED_VALUE"""),"F7973-ตบเรียบบานเฟี้ยม-อบขาว")</f>
        <v>F7973-ตบเรียบบานเฟี้ยม-อบขาว</v>
      </c>
    </row>
    <row r="1552">
      <c r="A1552" s="128" t="str">
        <f>IFERROR(__xludf.DUMMYFUNCTION("""COMPUTED_VALUE"""),"อลูมิเนียม")</f>
        <v>อลูมิเนียม</v>
      </c>
      <c r="B1552" s="128" t="str">
        <f>IFERROR(__xludf.DUMMYFUNCTION("""COMPUTED_VALUE"""),"F7973-ตบเรียบบานเฟี้ยม-ดำ")</f>
        <v>F7973-ตบเรียบบานเฟี้ยม-ดำ</v>
      </c>
    </row>
    <row r="1553">
      <c r="A1553" s="128" t="str">
        <f>IFERROR(__xludf.DUMMYFUNCTION("""COMPUTED_VALUE"""),"อลูมิเนียม")</f>
        <v>อลูมิเนียม</v>
      </c>
      <c r="B1553" s="128" t="str">
        <f>IFERROR(__xludf.DUMMYFUNCTION("""COMPUTED_VALUE"""),"F7973-ตบเรียบบานเฟี้ยม-เทาซาฮาร่า")</f>
        <v>F7973-ตบเรียบบานเฟี้ยม-เทาซาฮาร่า</v>
      </c>
    </row>
    <row r="1554">
      <c r="A1554" s="128" t="str">
        <f>IFERROR(__xludf.DUMMYFUNCTION("""COMPUTED_VALUE"""),"อลูมิเนียม")</f>
        <v>อลูมิเนียม</v>
      </c>
      <c r="B1554" s="128" t="str">
        <f>IFERROR(__xludf.DUMMYFUNCTION("""COMPUTED_VALUE"""),"F7973-ตบเรียบบานเฟี้ยม-Aztec gray")</f>
        <v>F7973-ตบเรียบบานเฟี้ยม-Aztec gray</v>
      </c>
    </row>
    <row r="1555">
      <c r="A1555" s="128" t="str">
        <f>IFERROR(__xludf.DUMMYFUNCTION("""COMPUTED_VALUE"""),"อลูมิเนียม")</f>
        <v>อลูมิเนียม</v>
      </c>
      <c r="B1555" s="128" t="str">
        <f>IFERROR(__xludf.DUMMYFUNCTION("""COMPUTED_VALUE"""),"F7973-ตบเรียบบานเฟี้ยม-ลายไม้สักทอง")</f>
        <v>F7973-ตบเรียบบานเฟี้ยม-ลายไม้สักทอง</v>
      </c>
    </row>
    <row r="1556">
      <c r="A1556" s="128" t="str">
        <f>IFERROR(__xludf.DUMMYFUNCTION("""COMPUTED_VALUE"""),"อลูมิเนียม")</f>
        <v>อลูมิเนียม</v>
      </c>
      <c r="B1556" s="128" t="str">
        <f>IFERROR(__xludf.DUMMYFUNCTION("""COMPUTED_VALUE"""),"F7973-ตบเรียบบานเฟี้ยม-ไวท์โอ็ค")</f>
        <v>F7973-ตบเรียบบานเฟี้ยม-ไวท์โอ็ค</v>
      </c>
    </row>
    <row r="1557">
      <c r="A1557" s="128" t="str">
        <f>IFERROR(__xludf.DUMMYFUNCTION("""COMPUTED_VALUE"""),"อลูมิเนียม")</f>
        <v>อลูมิเนียม</v>
      </c>
      <c r="B1557" s="128" t="str">
        <f>IFERROR(__xludf.DUMMYFUNCTION("""COMPUTED_VALUE"""),"F7973-ตบเรียบบานเฟี้ยม-มะฮอกกานี")</f>
        <v>F7973-ตบเรียบบานเฟี้ยม-มะฮอกกานี</v>
      </c>
    </row>
    <row r="1558">
      <c r="A1558" s="128" t="str">
        <f>IFERROR(__xludf.DUMMYFUNCTION("""COMPUTED_VALUE"""),"อลูมิเนียม")</f>
        <v>อลูมิเนียม</v>
      </c>
      <c r="B1558" s="128" t="str">
        <f>IFERROR(__xludf.DUMMYFUNCTION("""COMPUTED_VALUE"""),"F7975-บังใบสำหรับใส่กลอน-อบขาว")</f>
        <v>F7975-บังใบสำหรับใส่กลอน-อบขาว</v>
      </c>
    </row>
    <row r="1559">
      <c r="A1559" s="128" t="str">
        <f>IFERROR(__xludf.DUMMYFUNCTION("""COMPUTED_VALUE"""),"อลูมิเนียม")</f>
        <v>อลูมิเนียม</v>
      </c>
      <c r="B1559" s="128" t="str">
        <f>IFERROR(__xludf.DUMMYFUNCTION("""COMPUTED_VALUE"""),"F7975-บังใบสำหรับใส่กลอน-ดำ")</f>
        <v>F7975-บังใบสำหรับใส่กลอน-ดำ</v>
      </c>
    </row>
    <row r="1560">
      <c r="A1560" s="128" t="str">
        <f>IFERROR(__xludf.DUMMYFUNCTION("""COMPUTED_VALUE"""),"อลูมิเนียม")</f>
        <v>อลูมิเนียม</v>
      </c>
      <c r="B1560" s="128" t="str">
        <f>IFERROR(__xludf.DUMMYFUNCTION("""COMPUTED_VALUE"""),"F7975-บังใบสำหรับใส่กลอน-เทาซาฮาร่า")</f>
        <v>F7975-บังใบสำหรับใส่กลอน-เทาซาฮาร่า</v>
      </c>
    </row>
    <row r="1561">
      <c r="A1561" s="128" t="str">
        <f>IFERROR(__xludf.DUMMYFUNCTION("""COMPUTED_VALUE"""),"อลูมิเนียม")</f>
        <v>อลูมิเนียม</v>
      </c>
      <c r="B1561" s="128" t="str">
        <f>IFERROR(__xludf.DUMMYFUNCTION("""COMPUTED_VALUE"""),"F7975-บังใบสำหรับใส่กลอน-Aztec gray")</f>
        <v>F7975-บังใบสำหรับใส่กลอน-Aztec gray</v>
      </c>
    </row>
    <row r="1562">
      <c r="A1562" s="128" t="str">
        <f>IFERROR(__xludf.DUMMYFUNCTION("""COMPUTED_VALUE"""),"อลูมิเนียม")</f>
        <v>อลูมิเนียม</v>
      </c>
      <c r="B1562" s="128" t="str">
        <f>IFERROR(__xludf.DUMMYFUNCTION("""COMPUTED_VALUE"""),"F7975-บังใบสำหรับใส่กลอน-ลายไม้สักทอง")</f>
        <v>F7975-บังใบสำหรับใส่กลอน-ลายไม้สักทอง</v>
      </c>
    </row>
    <row r="1563">
      <c r="A1563" s="128" t="str">
        <f>IFERROR(__xludf.DUMMYFUNCTION("""COMPUTED_VALUE"""),"อลูมิเนียม")</f>
        <v>อลูมิเนียม</v>
      </c>
      <c r="B1563" s="128" t="str">
        <f>IFERROR(__xludf.DUMMYFUNCTION("""COMPUTED_VALUE"""),"F7975-บังใบสำหรับใส่กลอน-ไวท์โอ็ค")</f>
        <v>F7975-บังใบสำหรับใส่กลอน-ไวท์โอ็ค</v>
      </c>
    </row>
    <row r="1564">
      <c r="A1564" s="128" t="str">
        <f>IFERROR(__xludf.DUMMYFUNCTION("""COMPUTED_VALUE"""),"อลูมิเนียม")</f>
        <v>อลูมิเนียม</v>
      </c>
      <c r="B1564" s="128" t="str">
        <f>IFERROR(__xludf.DUMMYFUNCTION("""COMPUTED_VALUE"""),"F7975-บังใบสำหรับใส่กลอน-มะฮอกกานี")</f>
        <v>F7975-บังใบสำหรับใส่กลอน-มะฮอกกานี</v>
      </c>
    </row>
    <row r="1565">
      <c r="A1565" s="128" t="str">
        <f>IFERROR(__xludf.DUMMYFUNCTION("""COMPUTED_VALUE"""),"อลูมิเนียม")</f>
        <v>อลูมิเนียม</v>
      </c>
      <c r="B1565" s="128" t="str">
        <f>IFERROR(__xludf.DUMMYFUNCTION("""COMPUTED_VALUE"""),"F7866-บังใบหลบ CDQ-อบขาว")</f>
        <v>F7866-บังใบหลบ CDQ-อบขาว</v>
      </c>
    </row>
    <row r="1566">
      <c r="A1566" s="128" t="str">
        <f>IFERROR(__xludf.DUMMYFUNCTION("""COMPUTED_VALUE"""),"อลูมิเนียม")</f>
        <v>อลูมิเนียม</v>
      </c>
      <c r="B1566" s="128" t="str">
        <f>IFERROR(__xludf.DUMMYFUNCTION("""COMPUTED_VALUE"""),"F7866-บังใบหลบ CDQ-ดำ")</f>
        <v>F7866-บังใบหลบ CDQ-ดำ</v>
      </c>
    </row>
    <row r="1567">
      <c r="A1567" s="128" t="str">
        <f>IFERROR(__xludf.DUMMYFUNCTION("""COMPUTED_VALUE"""),"อลูมิเนียม")</f>
        <v>อลูมิเนียม</v>
      </c>
      <c r="B1567" s="128" t="str">
        <f>IFERROR(__xludf.DUMMYFUNCTION("""COMPUTED_VALUE"""),"F7866-บังใบหลบ CDQ-เทาซาฮาร่า")</f>
        <v>F7866-บังใบหลบ CDQ-เทาซาฮาร่า</v>
      </c>
    </row>
    <row r="1568">
      <c r="A1568" s="128" t="str">
        <f>IFERROR(__xludf.DUMMYFUNCTION("""COMPUTED_VALUE"""),"อลูมิเนียม")</f>
        <v>อลูมิเนียม</v>
      </c>
      <c r="B1568" s="128" t="str">
        <f>IFERROR(__xludf.DUMMYFUNCTION("""COMPUTED_VALUE"""),"F7866-บังใบหลบ CDQ-Aztec gray")</f>
        <v>F7866-บังใบหลบ CDQ-Aztec gray</v>
      </c>
    </row>
    <row r="1569">
      <c r="A1569" s="128" t="str">
        <f>IFERROR(__xludf.DUMMYFUNCTION("""COMPUTED_VALUE"""),"อลูมิเนียม")</f>
        <v>อลูมิเนียม</v>
      </c>
      <c r="B1569" s="128" t="str">
        <f>IFERROR(__xludf.DUMMYFUNCTION("""COMPUTED_VALUE"""),"F7866-บังใบหลบ CDQ-ลายไม้สักทอง")</f>
        <v>F7866-บังใบหลบ CDQ-ลายไม้สักทอง</v>
      </c>
    </row>
    <row r="1570">
      <c r="A1570" s="128" t="str">
        <f>IFERROR(__xludf.DUMMYFUNCTION("""COMPUTED_VALUE"""),"อลูมิเนียม")</f>
        <v>อลูมิเนียม</v>
      </c>
      <c r="B1570" s="128" t="str">
        <f>IFERROR(__xludf.DUMMYFUNCTION("""COMPUTED_VALUE"""),"F7866-บังใบหลบ CDQ-ไวท์โอ็ค")</f>
        <v>F7866-บังใบหลบ CDQ-ไวท์โอ็ค</v>
      </c>
    </row>
    <row r="1571">
      <c r="A1571" s="128" t="str">
        <f>IFERROR(__xludf.DUMMYFUNCTION("""COMPUTED_VALUE"""),"อลูมิเนียม")</f>
        <v>อลูมิเนียม</v>
      </c>
      <c r="B1571" s="128" t="str">
        <f>IFERROR(__xludf.DUMMYFUNCTION("""COMPUTED_VALUE"""),"F7866-บังใบหลบ CDQ-มะฮอกกานี")</f>
        <v>F7866-บังใบหลบ CDQ-มะฮอกกานี</v>
      </c>
    </row>
    <row r="1572">
      <c r="A1572" s="128" t="str">
        <f>IFERROR(__xludf.DUMMYFUNCTION("""COMPUTED_VALUE"""),"อลูมิเนียม")</f>
        <v>อลูมิเนียม</v>
      </c>
      <c r="B1572" s="128" t="str">
        <f>IFERROR(__xludf.DUMMYFUNCTION("""COMPUTED_VALUE"""),"กล่องร่อง-มิว")</f>
        <v>กล่องร่อง-มิว</v>
      </c>
    </row>
    <row r="1573">
      <c r="A1573" s="128" t="str">
        <f>IFERROR(__xludf.DUMMYFUNCTION("""COMPUTED_VALUE"""),"อลูมิเนียม")</f>
        <v>อลูมิเนียม</v>
      </c>
      <c r="B1573" s="128" t="str">
        <f>IFERROR(__xludf.DUMMYFUNCTION("""COMPUTED_VALUE"""),"กล่องร่อง-อบขาว")</f>
        <v>กล่องร่อง-อบขาว</v>
      </c>
    </row>
    <row r="1574">
      <c r="A1574" s="128" t="str">
        <f>IFERROR(__xludf.DUMMYFUNCTION("""COMPUTED_VALUE"""),"อลูมิเนียม")</f>
        <v>อลูมิเนียม</v>
      </c>
      <c r="B1574" s="128" t="str">
        <f>IFERROR(__xludf.DUMMYFUNCTION("""COMPUTED_VALUE"""),"กล่องร่อง-ดำ")</f>
        <v>กล่องร่อง-ดำ</v>
      </c>
    </row>
    <row r="1575">
      <c r="A1575" s="128" t="str">
        <f>IFERROR(__xludf.DUMMYFUNCTION("""COMPUTED_VALUE"""),"อลูมิเนียม")</f>
        <v>อลูมิเนียม</v>
      </c>
      <c r="B1575" s="128" t="str">
        <f>IFERROR(__xludf.DUMMYFUNCTION("""COMPUTED_VALUE"""),"กล่องร่อง-เทาซาฮาร่า")</f>
        <v>กล่องร่อง-เทาซาฮาร่า</v>
      </c>
    </row>
    <row r="1576">
      <c r="A1576" s="128" t="str">
        <f>IFERROR(__xludf.DUMMYFUNCTION("""COMPUTED_VALUE"""),"อลูมิเนียม")</f>
        <v>อลูมิเนียม</v>
      </c>
      <c r="B1576" s="128" t="str">
        <f>IFERROR(__xludf.DUMMYFUNCTION("""COMPUTED_VALUE"""),"กล่องร่อง-ลายไม้สักทอง")</f>
        <v>กล่องร่อง-ลายไม้สักทอง</v>
      </c>
    </row>
    <row r="1577">
      <c r="A1577" s="128" t="str">
        <f>IFERROR(__xludf.DUMMYFUNCTION("""COMPUTED_VALUE"""),"อลูมิเนียม")</f>
        <v>อลูมิเนียม</v>
      </c>
      <c r="B1577" s="128" t="str">
        <f>IFERROR(__xludf.DUMMYFUNCTION("""COMPUTED_VALUE"""),"เส้นกลาง-มิว")</f>
        <v>เส้นกลาง-มิว</v>
      </c>
    </row>
    <row r="1578">
      <c r="A1578" s="128" t="str">
        <f>IFERROR(__xludf.DUMMYFUNCTION("""COMPUTED_VALUE"""),"อลูมิเนียม")</f>
        <v>อลูมิเนียม</v>
      </c>
      <c r="B1578" s="128" t="str">
        <f>IFERROR(__xludf.DUMMYFUNCTION("""COMPUTED_VALUE"""),"เส้นกลาง-อบขาว")</f>
        <v>เส้นกลาง-อบขาว</v>
      </c>
    </row>
    <row r="1579">
      <c r="A1579" s="128" t="str">
        <f>IFERROR(__xludf.DUMMYFUNCTION("""COMPUTED_VALUE"""),"อลูมิเนียม")</f>
        <v>อลูมิเนียม</v>
      </c>
      <c r="B1579" s="128" t="str">
        <f>IFERROR(__xludf.DUMMYFUNCTION("""COMPUTED_VALUE"""),"เส้นกลาง-ดำ")</f>
        <v>เส้นกลาง-ดำ</v>
      </c>
    </row>
    <row r="1580">
      <c r="A1580" s="128" t="str">
        <f>IFERROR(__xludf.DUMMYFUNCTION("""COMPUTED_VALUE"""),"อลูมิเนียม")</f>
        <v>อลูมิเนียม</v>
      </c>
      <c r="B1580" s="128" t="str">
        <f>IFERROR(__xludf.DUMMYFUNCTION("""COMPUTED_VALUE"""),"เส้นกลาง-เทาซาฮาร่า")</f>
        <v>เส้นกลาง-เทาซาฮาร่า</v>
      </c>
    </row>
    <row r="1581">
      <c r="A1581" s="128" t="str">
        <f>IFERROR(__xludf.DUMMYFUNCTION("""COMPUTED_VALUE"""),"อลูมิเนียม")</f>
        <v>อลูมิเนียม</v>
      </c>
      <c r="B1581" s="128" t="str">
        <f>IFERROR(__xludf.DUMMYFUNCTION("""COMPUTED_VALUE"""),"เส้นกลาง-Aztec gray")</f>
        <v>เส้นกลาง-Aztec gray</v>
      </c>
    </row>
    <row r="1582">
      <c r="A1582" s="128" t="str">
        <f>IFERROR(__xludf.DUMMYFUNCTION("""COMPUTED_VALUE"""),"อลูมิเนียม")</f>
        <v>อลูมิเนียม</v>
      </c>
      <c r="B1582" s="128" t="str">
        <f>IFERROR(__xludf.DUMMYFUNCTION("""COMPUTED_VALUE"""),"เส้นกลาง-ลายไม้สักทอง")</f>
        <v>เส้นกลาง-ลายไม้สักทอง</v>
      </c>
    </row>
    <row r="1583">
      <c r="A1583" s="128" t="str">
        <f>IFERROR(__xludf.DUMMYFUNCTION("""COMPUTED_VALUE"""),"อลูมิเนียม")</f>
        <v>อลูมิเนียม</v>
      </c>
      <c r="B1583" s="128" t="str">
        <f>IFERROR(__xludf.DUMMYFUNCTION("""COMPUTED_VALUE"""),"เส้นกลาง-ไวท์โอ็ค")</f>
        <v>เส้นกลาง-ไวท์โอ็ค</v>
      </c>
    </row>
    <row r="1584">
      <c r="A1584" s="128" t="str">
        <f>IFERROR(__xludf.DUMMYFUNCTION("""COMPUTED_VALUE"""),"อลูมิเนียม")</f>
        <v>อลูมิเนียม</v>
      </c>
      <c r="B1584" s="128" t="str">
        <f>IFERROR(__xludf.DUMMYFUNCTION("""COMPUTED_VALUE"""),"เส้นกลาง-มะฮอกกานี")</f>
        <v>เส้นกลาง-มะฮอกกานี</v>
      </c>
    </row>
    <row r="1585">
      <c r="A1585" s="128" t="str">
        <f>IFERROR(__xludf.DUMMYFUNCTION("""COMPUTED_VALUE"""),"อลูมิเนียม")</f>
        <v>อลูมิเนียม</v>
      </c>
      <c r="B1585" s="128" t="str">
        <f>IFERROR(__xludf.DUMMYFUNCTION("""COMPUTED_VALUE"""),"เส้นกลาง-อื่นๆ")</f>
        <v>เส้นกลาง-อื่นๆ</v>
      </c>
    </row>
    <row r="1586">
      <c r="A1586" s="128" t="str">
        <f>IFERROR(__xludf.DUMMYFUNCTION("""COMPUTED_VALUE"""),"อลูมิเนียม")</f>
        <v>อลูมิเนียม</v>
      </c>
      <c r="B1586" s="128" t="str">
        <f>IFERROR(__xludf.DUMMYFUNCTION("""COMPUTED_VALUE"""),"กล่อง 4 หุน-มิว")</f>
        <v>กล่อง 4 หุน-มิว</v>
      </c>
    </row>
    <row r="1587">
      <c r="A1587" s="128" t="str">
        <f>IFERROR(__xludf.DUMMYFUNCTION("""COMPUTED_VALUE"""),"อลูมิเนียม")</f>
        <v>อลูมิเนียม</v>
      </c>
      <c r="B1587" s="128" t="str">
        <f>IFERROR(__xludf.DUMMYFUNCTION("""COMPUTED_VALUE"""),"กล่อง 4 หุน-อบขาว")</f>
        <v>กล่อง 4 หุน-อบขาว</v>
      </c>
    </row>
    <row r="1588">
      <c r="A1588" s="128" t="str">
        <f>IFERROR(__xludf.DUMMYFUNCTION("""COMPUTED_VALUE"""),"อลูมิเนียม")</f>
        <v>อลูมิเนียม</v>
      </c>
      <c r="B1588" s="128" t="str">
        <f>IFERROR(__xludf.DUMMYFUNCTION("""COMPUTED_VALUE"""),"กล่อง 4 หุน-ดำ")</f>
        <v>กล่อง 4 หุน-ดำ</v>
      </c>
    </row>
    <row r="1589">
      <c r="A1589" s="128" t="str">
        <f>IFERROR(__xludf.DUMMYFUNCTION("""COMPUTED_VALUE"""),"อลูมิเนียม")</f>
        <v>อลูมิเนียม</v>
      </c>
      <c r="B1589" s="128" t="str">
        <f>IFERROR(__xludf.DUMMYFUNCTION("""COMPUTED_VALUE"""),"กล่อง 4 หุน-เทาซาฮาร่า")</f>
        <v>กล่อง 4 หุน-เทาซาฮาร่า</v>
      </c>
    </row>
    <row r="1590">
      <c r="A1590" s="128" t="str">
        <f>IFERROR(__xludf.DUMMYFUNCTION("""COMPUTED_VALUE"""),"อลูมิเนียม")</f>
        <v>อลูมิเนียม</v>
      </c>
      <c r="B1590" s="128" t="str">
        <f>IFERROR(__xludf.DUMMYFUNCTION("""COMPUTED_VALUE"""),"กล่อง 4 หุน-Aztec gray")</f>
        <v>กล่อง 4 หุน-Aztec gray</v>
      </c>
    </row>
    <row r="1591">
      <c r="A1591" s="128" t="str">
        <f>IFERROR(__xludf.DUMMYFUNCTION("""COMPUTED_VALUE"""),"อลูมิเนียม")</f>
        <v>อลูมิเนียม</v>
      </c>
      <c r="B1591" s="128" t="str">
        <f>IFERROR(__xludf.DUMMYFUNCTION("""COMPUTED_VALUE"""),"กล่อง 4 หุน-ลายไม้สักทอง")</f>
        <v>กล่อง 4 หุน-ลายไม้สักทอง</v>
      </c>
    </row>
    <row r="1592">
      <c r="A1592" s="128" t="str">
        <f>IFERROR(__xludf.DUMMYFUNCTION("""COMPUTED_VALUE"""),"อลูมิเนียม")</f>
        <v>อลูมิเนียม</v>
      </c>
      <c r="B1592" s="128" t="str">
        <f>IFERROR(__xludf.DUMMYFUNCTION("""COMPUTED_VALUE"""),"กล่อง 4 หุน-ไวท์โอ็ค")</f>
        <v>กล่อง 4 หุน-ไวท์โอ็ค</v>
      </c>
    </row>
    <row r="1593">
      <c r="A1593" s="128" t="str">
        <f>IFERROR(__xludf.DUMMYFUNCTION("""COMPUTED_VALUE"""),"อลูมิเนียม")</f>
        <v>อลูมิเนียม</v>
      </c>
      <c r="B1593" s="128" t="str">
        <f>IFERROR(__xludf.DUMMYFUNCTION("""COMPUTED_VALUE"""),"กล่อง 4 หุน-มะฮอกกานี")</f>
        <v>กล่อง 4 หุน-มะฮอกกานี</v>
      </c>
    </row>
    <row r="1594">
      <c r="A1594" s="128" t="str">
        <f>IFERROR(__xludf.DUMMYFUNCTION("""COMPUTED_VALUE"""),"อลูมิเนียม")</f>
        <v>อลูมิเนียม</v>
      </c>
      <c r="B1594" s="128" t="str">
        <f>IFERROR(__xludf.DUMMYFUNCTION("""COMPUTED_VALUE"""),"กล่อง 4 หุน-อื่นๆ")</f>
        <v>กล่อง 4 หุน-อื่นๆ</v>
      </c>
    </row>
    <row r="1595">
      <c r="A1595" s="128" t="str">
        <f>IFERROR(__xludf.DUMMYFUNCTION("""COMPUTED_VALUE"""),"อลูมิเนียม")</f>
        <v>อลูมิเนียม</v>
      </c>
      <c r="B1595" s="128" t="str">
        <f>IFERROR(__xludf.DUMMYFUNCTION("""COMPUTED_VALUE"""),"กล่อง 6 หุน-มิว")</f>
        <v>กล่อง 6 หุน-มิว</v>
      </c>
    </row>
    <row r="1596">
      <c r="A1596" s="128" t="str">
        <f>IFERROR(__xludf.DUMMYFUNCTION("""COMPUTED_VALUE"""),"อลูมิเนียม")</f>
        <v>อลูมิเนียม</v>
      </c>
      <c r="B1596" s="128" t="str">
        <f>IFERROR(__xludf.DUMMYFUNCTION("""COMPUTED_VALUE"""),"กล่อง 6 หุน-อบขาว")</f>
        <v>กล่อง 6 หุน-อบขาว</v>
      </c>
    </row>
    <row r="1597">
      <c r="A1597" s="128" t="str">
        <f>IFERROR(__xludf.DUMMYFUNCTION("""COMPUTED_VALUE"""),"อลูมิเนียม")</f>
        <v>อลูมิเนียม</v>
      </c>
      <c r="B1597" s="128" t="str">
        <f>IFERROR(__xludf.DUMMYFUNCTION("""COMPUTED_VALUE"""),"กล่อง 6 หุน-ดำ")</f>
        <v>กล่อง 6 หุน-ดำ</v>
      </c>
    </row>
    <row r="1598">
      <c r="A1598" s="128" t="str">
        <f>IFERROR(__xludf.DUMMYFUNCTION("""COMPUTED_VALUE"""),"อลูมิเนียม")</f>
        <v>อลูมิเนียม</v>
      </c>
      <c r="B1598" s="128" t="str">
        <f>IFERROR(__xludf.DUMMYFUNCTION("""COMPUTED_VALUE"""),"กล่อง 6 หุน-เทาซาฮาร่า")</f>
        <v>กล่อง 6 หุน-เทาซาฮาร่า</v>
      </c>
    </row>
    <row r="1599">
      <c r="A1599" s="128" t="str">
        <f>IFERROR(__xludf.DUMMYFUNCTION("""COMPUTED_VALUE"""),"อลูมิเนียม")</f>
        <v>อลูมิเนียม</v>
      </c>
      <c r="B1599" s="128" t="str">
        <f>IFERROR(__xludf.DUMMYFUNCTION("""COMPUTED_VALUE"""),"กล่อง 6 หุน-Aztec gray")</f>
        <v>กล่อง 6 หุน-Aztec gray</v>
      </c>
    </row>
    <row r="1600">
      <c r="A1600" s="128" t="str">
        <f>IFERROR(__xludf.DUMMYFUNCTION("""COMPUTED_VALUE"""),"อลูมิเนียม")</f>
        <v>อลูมิเนียม</v>
      </c>
      <c r="B1600" s="128" t="str">
        <f>IFERROR(__xludf.DUMMYFUNCTION("""COMPUTED_VALUE"""),"กล่อง 6 หุน-ลายไม้สักทอง")</f>
        <v>กล่อง 6 หุน-ลายไม้สักทอง</v>
      </c>
    </row>
    <row r="1601">
      <c r="A1601" s="128" t="str">
        <f>IFERROR(__xludf.DUMMYFUNCTION("""COMPUTED_VALUE"""),"อลูมิเนียม")</f>
        <v>อลูมิเนียม</v>
      </c>
      <c r="B1601" s="128" t="str">
        <f>IFERROR(__xludf.DUMMYFUNCTION("""COMPUTED_VALUE"""),"กล่อง 6 หุน-ไวท์โอ็ค")</f>
        <v>กล่อง 6 หุน-ไวท์โอ็ค</v>
      </c>
    </row>
    <row r="1602">
      <c r="A1602" s="128" t="str">
        <f>IFERROR(__xludf.DUMMYFUNCTION("""COMPUTED_VALUE"""),"อลูมิเนียม")</f>
        <v>อลูมิเนียม</v>
      </c>
      <c r="B1602" s="128" t="str">
        <f>IFERROR(__xludf.DUMMYFUNCTION("""COMPUTED_VALUE"""),"กล่อง 6 หุน-มะฮอกกานี")</f>
        <v>กล่อง 6 หุน-มะฮอกกานี</v>
      </c>
    </row>
    <row r="1603">
      <c r="A1603" s="128" t="str">
        <f>IFERROR(__xludf.DUMMYFUNCTION("""COMPUTED_VALUE"""),"อลูมิเนียม")</f>
        <v>อลูมิเนียม</v>
      </c>
      <c r="B1603" s="128" t="str">
        <f>IFERROR(__xludf.DUMMYFUNCTION("""COMPUTED_VALUE"""),"กล่อง 6 หุน-อื่นๆ")</f>
        <v>กล่อง 6 หุน-อื่นๆ</v>
      </c>
    </row>
    <row r="1604">
      <c r="A1604" s="128" t="str">
        <f>IFERROR(__xludf.DUMMYFUNCTION("""COMPUTED_VALUE"""),"อลูมิเนียม")</f>
        <v>อลูมิเนียม</v>
      </c>
      <c r="B1604" s="128" t="str">
        <f>IFERROR(__xludf.DUMMYFUNCTION("""COMPUTED_VALUE"""),"กล่อง 1""x1""-มิว")</f>
        <v>กล่อง 1"x1"-มิว</v>
      </c>
    </row>
    <row r="1605">
      <c r="A1605" s="128" t="str">
        <f>IFERROR(__xludf.DUMMYFUNCTION("""COMPUTED_VALUE"""),"อลูมิเนียม")</f>
        <v>อลูมิเนียม</v>
      </c>
      <c r="B1605" s="128" t="str">
        <f>IFERROR(__xludf.DUMMYFUNCTION("""COMPUTED_VALUE"""),"กล่อง 1""x1""-อบขาว")</f>
        <v>กล่อง 1"x1"-อบขาว</v>
      </c>
    </row>
    <row r="1606">
      <c r="A1606" s="128" t="str">
        <f>IFERROR(__xludf.DUMMYFUNCTION("""COMPUTED_VALUE"""),"อลูมิเนียม")</f>
        <v>อลูมิเนียม</v>
      </c>
      <c r="B1606" s="128" t="str">
        <f>IFERROR(__xludf.DUMMYFUNCTION("""COMPUTED_VALUE"""),"กล่อง 1""x1""-ดำ")</f>
        <v>กล่อง 1"x1"-ดำ</v>
      </c>
    </row>
    <row r="1607">
      <c r="A1607" s="128" t="str">
        <f>IFERROR(__xludf.DUMMYFUNCTION("""COMPUTED_VALUE"""),"อลูมิเนียม")</f>
        <v>อลูมิเนียม</v>
      </c>
      <c r="B1607" s="128" t="str">
        <f>IFERROR(__xludf.DUMMYFUNCTION("""COMPUTED_VALUE"""),"กล่อง 1""x1""-เทาซาฮาร่า")</f>
        <v>กล่อง 1"x1"-เทาซาฮาร่า</v>
      </c>
    </row>
    <row r="1608">
      <c r="A1608" s="128" t="str">
        <f>IFERROR(__xludf.DUMMYFUNCTION("""COMPUTED_VALUE"""),"อลูมิเนียม")</f>
        <v>อลูมิเนียม</v>
      </c>
      <c r="B1608" s="128" t="str">
        <f>IFERROR(__xludf.DUMMYFUNCTION("""COMPUTED_VALUE"""),"กล่อง 1""x1""-Aztec gray")</f>
        <v>กล่อง 1"x1"-Aztec gray</v>
      </c>
    </row>
    <row r="1609">
      <c r="A1609" s="128" t="str">
        <f>IFERROR(__xludf.DUMMYFUNCTION("""COMPUTED_VALUE"""),"อลูมิเนียม")</f>
        <v>อลูมิเนียม</v>
      </c>
      <c r="B1609" s="128" t="str">
        <f>IFERROR(__xludf.DUMMYFUNCTION("""COMPUTED_VALUE"""),"กล่อง 1""x1""-ลายไม้สักทอง")</f>
        <v>กล่อง 1"x1"-ลายไม้สักทอง</v>
      </c>
    </row>
    <row r="1610">
      <c r="A1610" s="128" t="str">
        <f>IFERROR(__xludf.DUMMYFUNCTION("""COMPUTED_VALUE"""),"อลูมิเนียม")</f>
        <v>อลูมิเนียม</v>
      </c>
      <c r="B1610" s="128" t="str">
        <f>IFERROR(__xludf.DUMMYFUNCTION("""COMPUTED_VALUE"""),"กล่อง 1""x1""-ไวท์โอ็ค")</f>
        <v>กล่อง 1"x1"-ไวท์โอ็ค</v>
      </c>
    </row>
    <row r="1611">
      <c r="A1611" s="128" t="str">
        <f>IFERROR(__xludf.DUMMYFUNCTION("""COMPUTED_VALUE"""),"อลูมิเนียม")</f>
        <v>อลูมิเนียม</v>
      </c>
      <c r="B1611" s="128" t="str">
        <f>IFERROR(__xludf.DUMMYFUNCTION("""COMPUTED_VALUE"""),"กล่อง 1""x1""-มะฮอกกานี")</f>
        <v>กล่อง 1"x1"-มะฮอกกานี</v>
      </c>
    </row>
    <row r="1612">
      <c r="A1612" s="128" t="str">
        <f>IFERROR(__xludf.DUMMYFUNCTION("""COMPUTED_VALUE"""),"อลูมิเนียม")</f>
        <v>อลูมิเนียม</v>
      </c>
      <c r="B1612" s="128" t="str">
        <f>IFERROR(__xludf.DUMMYFUNCTION("""COMPUTED_VALUE"""),"กล่อง 1""x1""-อื่นๆ")</f>
        <v>กล่อง 1"x1"-อื่นๆ</v>
      </c>
    </row>
    <row r="1613">
      <c r="A1613" s="128" t="str">
        <f>IFERROR(__xludf.DUMMYFUNCTION("""COMPUTED_VALUE"""),"อลูมิเนียม")</f>
        <v>อลูมิเนียม</v>
      </c>
      <c r="B1613" s="128" t="str">
        <f>IFERROR(__xludf.DUMMYFUNCTION("""COMPUTED_VALUE"""),"กล่อง 1.2""x1.2""-มิว")</f>
        <v>กล่อง 1.2"x1.2"-มิว</v>
      </c>
    </row>
    <row r="1614">
      <c r="A1614" s="128" t="str">
        <f>IFERROR(__xludf.DUMMYFUNCTION("""COMPUTED_VALUE"""),"อลูมิเนียม")</f>
        <v>อลูมิเนียม</v>
      </c>
      <c r="B1614" s="128" t="str">
        <f>IFERROR(__xludf.DUMMYFUNCTION("""COMPUTED_VALUE"""),"กล่อง 1.2""x1.2""-อบขาว")</f>
        <v>กล่อง 1.2"x1.2"-อบขาว</v>
      </c>
    </row>
    <row r="1615">
      <c r="A1615" s="128" t="str">
        <f>IFERROR(__xludf.DUMMYFUNCTION("""COMPUTED_VALUE"""),"อลูมิเนียม")</f>
        <v>อลูมิเนียม</v>
      </c>
      <c r="B1615" s="128" t="str">
        <f>IFERROR(__xludf.DUMMYFUNCTION("""COMPUTED_VALUE"""),"กล่อง 1.2""x1.2""-ดำ")</f>
        <v>กล่อง 1.2"x1.2"-ดำ</v>
      </c>
    </row>
    <row r="1616">
      <c r="A1616" s="128" t="str">
        <f>IFERROR(__xludf.DUMMYFUNCTION("""COMPUTED_VALUE"""),"อลูมิเนียม")</f>
        <v>อลูมิเนียม</v>
      </c>
      <c r="B1616" s="128" t="str">
        <f>IFERROR(__xludf.DUMMYFUNCTION("""COMPUTED_VALUE"""),"กล่อง 1.2""x1.2""-เทาซาฮาร่า")</f>
        <v>กล่อง 1.2"x1.2"-เทาซาฮาร่า</v>
      </c>
    </row>
    <row r="1617">
      <c r="A1617" s="128" t="str">
        <f>IFERROR(__xludf.DUMMYFUNCTION("""COMPUTED_VALUE"""),"อลูมิเนียม")</f>
        <v>อลูมิเนียม</v>
      </c>
      <c r="B1617" s="128" t="str">
        <f>IFERROR(__xludf.DUMMYFUNCTION("""COMPUTED_VALUE"""),"กล่อง 1.2""x1.2""-Aztec gray")</f>
        <v>กล่อง 1.2"x1.2"-Aztec gray</v>
      </c>
    </row>
    <row r="1618">
      <c r="A1618" s="128" t="str">
        <f>IFERROR(__xludf.DUMMYFUNCTION("""COMPUTED_VALUE"""),"อลูมิเนียม")</f>
        <v>อลูมิเนียม</v>
      </c>
      <c r="B1618" s="128" t="str">
        <f>IFERROR(__xludf.DUMMYFUNCTION("""COMPUTED_VALUE"""),"กล่อง 1.2""x1.2""-ลายไม้สักทอง")</f>
        <v>กล่อง 1.2"x1.2"-ลายไม้สักทอง</v>
      </c>
    </row>
    <row r="1619">
      <c r="A1619" s="128" t="str">
        <f>IFERROR(__xludf.DUMMYFUNCTION("""COMPUTED_VALUE"""),"อลูมิเนียม")</f>
        <v>อลูมิเนียม</v>
      </c>
      <c r="B1619" s="128" t="str">
        <f>IFERROR(__xludf.DUMMYFUNCTION("""COMPUTED_VALUE"""),"กล่อง 1.2""x1.2""-ไวท์โอ็ค")</f>
        <v>กล่อง 1.2"x1.2"-ไวท์โอ็ค</v>
      </c>
    </row>
    <row r="1620">
      <c r="A1620" s="128" t="str">
        <f>IFERROR(__xludf.DUMMYFUNCTION("""COMPUTED_VALUE"""),"อลูมิเนียม")</f>
        <v>อลูมิเนียม</v>
      </c>
      <c r="B1620" s="128" t="str">
        <f>IFERROR(__xludf.DUMMYFUNCTION("""COMPUTED_VALUE"""),"กล่อง 1.2""x1.2""-มะฮอกกานี")</f>
        <v>กล่อง 1.2"x1.2"-มะฮอกกานี</v>
      </c>
    </row>
    <row r="1621">
      <c r="A1621" s="128" t="str">
        <f>IFERROR(__xludf.DUMMYFUNCTION("""COMPUTED_VALUE"""),"อลูมิเนียม")</f>
        <v>อลูมิเนียม</v>
      </c>
      <c r="B1621" s="128" t="str">
        <f>IFERROR(__xludf.DUMMYFUNCTION("""COMPUTED_VALUE"""),"กล่อง 1.2""x1.2""-อื่นๆ")</f>
        <v>กล่อง 1.2"x1.2"-อื่นๆ</v>
      </c>
    </row>
    <row r="1622">
      <c r="A1622" s="128" t="str">
        <f>IFERROR(__xludf.DUMMYFUNCTION("""COMPUTED_VALUE"""),"อลูมิเนียม")</f>
        <v>อลูมิเนียม</v>
      </c>
      <c r="B1622" s="128" t="str">
        <f>IFERROR(__xludf.DUMMYFUNCTION("""COMPUTED_VALUE"""),"กล่อง 1.5""x1.5""-มิว")</f>
        <v>กล่อง 1.5"x1.5"-มิว</v>
      </c>
    </row>
    <row r="1623">
      <c r="A1623" s="128" t="str">
        <f>IFERROR(__xludf.DUMMYFUNCTION("""COMPUTED_VALUE"""),"อลูมิเนียม")</f>
        <v>อลูมิเนียม</v>
      </c>
      <c r="B1623" s="128" t="str">
        <f>IFERROR(__xludf.DUMMYFUNCTION("""COMPUTED_VALUE"""),"กล่อง 1.5""x1.5""-อบขาว")</f>
        <v>กล่อง 1.5"x1.5"-อบขาว</v>
      </c>
    </row>
    <row r="1624">
      <c r="A1624" s="128" t="str">
        <f>IFERROR(__xludf.DUMMYFUNCTION("""COMPUTED_VALUE"""),"อลูมิเนียม")</f>
        <v>อลูมิเนียม</v>
      </c>
      <c r="B1624" s="128" t="str">
        <f>IFERROR(__xludf.DUMMYFUNCTION("""COMPUTED_VALUE"""),"กล่อง 1.5""x1.5""-ดำ")</f>
        <v>กล่อง 1.5"x1.5"-ดำ</v>
      </c>
    </row>
    <row r="1625">
      <c r="A1625" s="128" t="str">
        <f>IFERROR(__xludf.DUMMYFUNCTION("""COMPUTED_VALUE"""),"อลูมิเนียม")</f>
        <v>อลูมิเนียม</v>
      </c>
      <c r="B1625" s="128" t="str">
        <f>IFERROR(__xludf.DUMMYFUNCTION("""COMPUTED_VALUE"""),"กล่อง 1.5""x1.5""-เทาซาฮาร่า")</f>
        <v>กล่อง 1.5"x1.5"-เทาซาฮาร่า</v>
      </c>
    </row>
    <row r="1626">
      <c r="A1626" s="128" t="str">
        <f>IFERROR(__xludf.DUMMYFUNCTION("""COMPUTED_VALUE"""),"อลูมิเนียม")</f>
        <v>อลูมิเนียม</v>
      </c>
      <c r="B1626" s="128" t="str">
        <f>IFERROR(__xludf.DUMMYFUNCTION("""COMPUTED_VALUE"""),"กล่อง 1.5""x1.5""-Aztec gray")</f>
        <v>กล่อง 1.5"x1.5"-Aztec gray</v>
      </c>
    </row>
    <row r="1627">
      <c r="A1627" s="128" t="str">
        <f>IFERROR(__xludf.DUMMYFUNCTION("""COMPUTED_VALUE"""),"อลูมิเนียม")</f>
        <v>อลูมิเนียม</v>
      </c>
      <c r="B1627" s="128" t="str">
        <f>IFERROR(__xludf.DUMMYFUNCTION("""COMPUTED_VALUE"""),"กล่อง 1.5""x1.5""-ลายไม้สักทอง")</f>
        <v>กล่อง 1.5"x1.5"-ลายไม้สักทอง</v>
      </c>
    </row>
    <row r="1628">
      <c r="A1628" s="128" t="str">
        <f>IFERROR(__xludf.DUMMYFUNCTION("""COMPUTED_VALUE"""),"อลูมิเนียม")</f>
        <v>อลูมิเนียม</v>
      </c>
      <c r="B1628" s="128" t="str">
        <f>IFERROR(__xludf.DUMMYFUNCTION("""COMPUTED_VALUE"""),"กล่อง 1.5""x1.5""-ไวท์โอ็ค")</f>
        <v>กล่อง 1.5"x1.5"-ไวท์โอ็ค</v>
      </c>
    </row>
    <row r="1629">
      <c r="A1629" s="128" t="str">
        <f>IFERROR(__xludf.DUMMYFUNCTION("""COMPUTED_VALUE"""),"อลูมิเนียม")</f>
        <v>อลูมิเนียม</v>
      </c>
      <c r="B1629" s="128" t="str">
        <f>IFERROR(__xludf.DUMMYFUNCTION("""COMPUTED_VALUE"""),"กล่อง 1.5""x1.5""-มะฮอกกานี")</f>
        <v>กล่อง 1.5"x1.5"-มะฮอกกานี</v>
      </c>
    </row>
    <row r="1630">
      <c r="A1630" s="128" t="str">
        <f>IFERROR(__xludf.DUMMYFUNCTION("""COMPUTED_VALUE"""),"อลูมิเนียม")</f>
        <v>อลูมิเนียม</v>
      </c>
      <c r="B1630" s="128" t="str">
        <f>IFERROR(__xludf.DUMMYFUNCTION("""COMPUTED_VALUE"""),"กล่อง 1.5""x1.5""-อื่นๆ")</f>
        <v>กล่อง 1.5"x1.5"-อื่นๆ</v>
      </c>
    </row>
    <row r="1631">
      <c r="A1631" s="128" t="str">
        <f>IFERROR(__xludf.DUMMYFUNCTION("""COMPUTED_VALUE"""),"อลูมิเนียม")</f>
        <v>อลูมิเนียม</v>
      </c>
      <c r="B1631" s="128" t="str">
        <f>IFERROR(__xludf.DUMMYFUNCTION("""COMPUTED_VALUE"""),"กล่อง 1.6""x1.6""-มิว")</f>
        <v>กล่อง 1.6"x1.6"-มิว</v>
      </c>
    </row>
    <row r="1632">
      <c r="A1632" s="128" t="str">
        <f>IFERROR(__xludf.DUMMYFUNCTION("""COMPUTED_VALUE"""),"อลูมิเนียม")</f>
        <v>อลูมิเนียม</v>
      </c>
      <c r="B1632" s="128" t="str">
        <f>IFERROR(__xludf.DUMMYFUNCTION("""COMPUTED_VALUE"""),"กล่อง 1.6""x1.6""-อบขาว")</f>
        <v>กล่อง 1.6"x1.6"-อบขาว</v>
      </c>
    </row>
    <row r="1633">
      <c r="A1633" s="128" t="str">
        <f>IFERROR(__xludf.DUMMYFUNCTION("""COMPUTED_VALUE"""),"อลูมิเนียม")</f>
        <v>อลูมิเนียม</v>
      </c>
      <c r="B1633" s="128" t="str">
        <f>IFERROR(__xludf.DUMMYFUNCTION("""COMPUTED_VALUE"""),"กล่อง 1.6""x1.6""-ดำ")</f>
        <v>กล่อง 1.6"x1.6"-ดำ</v>
      </c>
    </row>
    <row r="1634">
      <c r="A1634" s="128" t="str">
        <f>IFERROR(__xludf.DUMMYFUNCTION("""COMPUTED_VALUE"""),"อลูมิเนียม")</f>
        <v>อลูมิเนียม</v>
      </c>
      <c r="B1634" s="128" t="str">
        <f>IFERROR(__xludf.DUMMYFUNCTION("""COMPUTED_VALUE"""),"กล่อง 1.6""x1.6""-เทาซาฮาร่า")</f>
        <v>กล่อง 1.6"x1.6"-เทาซาฮาร่า</v>
      </c>
    </row>
    <row r="1635">
      <c r="A1635" s="128" t="str">
        <f>IFERROR(__xludf.DUMMYFUNCTION("""COMPUTED_VALUE"""),"อลูมิเนียม")</f>
        <v>อลูมิเนียม</v>
      </c>
      <c r="B1635" s="128" t="str">
        <f>IFERROR(__xludf.DUMMYFUNCTION("""COMPUTED_VALUE"""),"กล่อง 1.6""x1.6""-Aztec gray")</f>
        <v>กล่อง 1.6"x1.6"-Aztec gray</v>
      </c>
    </row>
    <row r="1636">
      <c r="A1636" s="128" t="str">
        <f>IFERROR(__xludf.DUMMYFUNCTION("""COMPUTED_VALUE"""),"อลูมิเนียม")</f>
        <v>อลูมิเนียม</v>
      </c>
      <c r="B1636" s="128" t="str">
        <f>IFERROR(__xludf.DUMMYFUNCTION("""COMPUTED_VALUE"""),"กล่อง 1.6""x1.6""-ลายไม้สักทอง")</f>
        <v>กล่อง 1.6"x1.6"-ลายไม้สักทอง</v>
      </c>
    </row>
    <row r="1637">
      <c r="A1637" s="128" t="str">
        <f>IFERROR(__xludf.DUMMYFUNCTION("""COMPUTED_VALUE"""),"อลูมิเนียม")</f>
        <v>อลูมิเนียม</v>
      </c>
      <c r="B1637" s="128" t="str">
        <f>IFERROR(__xludf.DUMMYFUNCTION("""COMPUTED_VALUE"""),"กล่อง 1.6""x1.6""-ไวท์โอ็ค")</f>
        <v>กล่อง 1.6"x1.6"-ไวท์โอ็ค</v>
      </c>
    </row>
    <row r="1638">
      <c r="A1638" s="128" t="str">
        <f>IFERROR(__xludf.DUMMYFUNCTION("""COMPUTED_VALUE"""),"อลูมิเนียม")</f>
        <v>อลูมิเนียม</v>
      </c>
      <c r="B1638" s="128" t="str">
        <f>IFERROR(__xludf.DUMMYFUNCTION("""COMPUTED_VALUE"""),"กล่อง 1.6""x1.6""-มะฮอกกานี")</f>
        <v>กล่อง 1.6"x1.6"-มะฮอกกานี</v>
      </c>
    </row>
    <row r="1639">
      <c r="A1639" s="128" t="str">
        <f>IFERROR(__xludf.DUMMYFUNCTION("""COMPUTED_VALUE"""),"อลูมิเนียม")</f>
        <v>อลูมิเนียม</v>
      </c>
      <c r="B1639" s="128" t="str">
        <f>IFERROR(__xludf.DUMMYFUNCTION("""COMPUTED_VALUE"""),"กล่อง 1.6""x1.6""-อื่นๆ")</f>
        <v>กล่อง 1.6"x1.6"-อื่นๆ</v>
      </c>
    </row>
    <row r="1640">
      <c r="A1640" s="128" t="str">
        <f>IFERROR(__xludf.DUMMYFUNCTION("""COMPUTED_VALUE"""),"อลูมิเนียม")</f>
        <v>อลูมิเนียม</v>
      </c>
      <c r="B1640" s="128" t="str">
        <f>IFERROR(__xludf.DUMMYFUNCTION("""COMPUTED_VALUE"""),"กล่อง 1.6""x3""-มิว")</f>
        <v>กล่อง 1.6"x3"-มิว</v>
      </c>
    </row>
    <row r="1641">
      <c r="A1641" s="128" t="str">
        <f>IFERROR(__xludf.DUMMYFUNCTION("""COMPUTED_VALUE"""),"อลูมิเนียม")</f>
        <v>อลูมิเนียม</v>
      </c>
      <c r="B1641" s="128" t="str">
        <f>IFERROR(__xludf.DUMMYFUNCTION("""COMPUTED_VALUE"""),"กล่อง 1.6""x3""-อบขาว")</f>
        <v>กล่อง 1.6"x3"-อบขาว</v>
      </c>
    </row>
    <row r="1642">
      <c r="A1642" s="128" t="str">
        <f>IFERROR(__xludf.DUMMYFUNCTION("""COMPUTED_VALUE"""),"อลูมิเนียม")</f>
        <v>อลูมิเนียม</v>
      </c>
      <c r="B1642" s="128" t="str">
        <f>IFERROR(__xludf.DUMMYFUNCTION("""COMPUTED_VALUE"""),"กล่อง 1.6""x3""-ดำ")</f>
        <v>กล่อง 1.6"x3"-ดำ</v>
      </c>
    </row>
    <row r="1643">
      <c r="A1643" s="128" t="str">
        <f>IFERROR(__xludf.DUMMYFUNCTION("""COMPUTED_VALUE"""),"อลูมิเนียม")</f>
        <v>อลูมิเนียม</v>
      </c>
      <c r="B1643" s="128" t="str">
        <f>IFERROR(__xludf.DUMMYFUNCTION("""COMPUTED_VALUE"""),"กล่อง 1.6""x3""-เทาซาฮาร่า")</f>
        <v>กล่อง 1.6"x3"-เทาซาฮาร่า</v>
      </c>
    </row>
    <row r="1644">
      <c r="A1644" s="128" t="str">
        <f>IFERROR(__xludf.DUMMYFUNCTION("""COMPUTED_VALUE"""),"อลูมิเนียม")</f>
        <v>อลูมิเนียม</v>
      </c>
      <c r="B1644" s="128" t="str">
        <f>IFERROR(__xludf.DUMMYFUNCTION("""COMPUTED_VALUE"""),"กล่อง 1.6""x3""-Aztec gray")</f>
        <v>กล่อง 1.6"x3"-Aztec gray</v>
      </c>
    </row>
    <row r="1645">
      <c r="A1645" s="128" t="str">
        <f>IFERROR(__xludf.DUMMYFUNCTION("""COMPUTED_VALUE"""),"อลูมิเนียม")</f>
        <v>อลูมิเนียม</v>
      </c>
      <c r="B1645" s="128" t="str">
        <f>IFERROR(__xludf.DUMMYFUNCTION("""COMPUTED_VALUE"""),"กล่อง 1.6""x3""-ลายไม้สักทอง")</f>
        <v>กล่อง 1.6"x3"-ลายไม้สักทอง</v>
      </c>
    </row>
    <row r="1646">
      <c r="A1646" s="128" t="str">
        <f>IFERROR(__xludf.DUMMYFUNCTION("""COMPUTED_VALUE"""),"อลูมิเนียม")</f>
        <v>อลูมิเนียม</v>
      </c>
      <c r="B1646" s="128" t="str">
        <f>IFERROR(__xludf.DUMMYFUNCTION("""COMPUTED_VALUE"""),"กล่อง 1.6""x3""-ไวท์โอ็ค")</f>
        <v>กล่อง 1.6"x3"-ไวท์โอ็ค</v>
      </c>
    </row>
    <row r="1647">
      <c r="A1647" s="128" t="str">
        <f>IFERROR(__xludf.DUMMYFUNCTION("""COMPUTED_VALUE"""),"อลูมิเนียม")</f>
        <v>อลูมิเนียม</v>
      </c>
      <c r="B1647" s="128" t="str">
        <f>IFERROR(__xludf.DUMMYFUNCTION("""COMPUTED_VALUE"""),"กล่อง 1.6""x3""-มะฮอกกานี")</f>
        <v>กล่อง 1.6"x3"-มะฮอกกานี</v>
      </c>
    </row>
    <row r="1648">
      <c r="A1648" s="128" t="str">
        <f>IFERROR(__xludf.DUMMYFUNCTION("""COMPUTED_VALUE"""),"อลูมิเนียม")</f>
        <v>อลูมิเนียม</v>
      </c>
      <c r="B1648" s="128" t="str">
        <f>IFERROR(__xludf.DUMMYFUNCTION("""COMPUTED_VALUE"""),"กล่อง 1.6""x3""-อื่นๆ")</f>
        <v>กล่อง 1.6"x3"-อื่นๆ</v>
      </c>
    </row>
    <row r="1649">
      <c r="A1649" s="128" t="str">
        <f>IFERROR(__xludf.DUMMYFUNCTION("""COMPUTED_VALUE"""),"อลูมิเนียม")</f>
        <v>อลูมิเนียม</v>
      </c>
      <c r="B1649" s="128" t="str">
        <f>IFERROR(__xludf.DUMMYFUNCTION("""COMPUTED_VALUE"""),"กล่อง 1.6""x4""-มิว")</f>
        <v>กล่อง 1.6"x4"-มิว</v>
      </c>
    </row>
    <row r="1650">
      <c r="A1650" s="128" t="str">
        <f>IFERROR(__xludf.DUMMYFUNCTION("""COMPUTED_VALUE"""),"อลูมิเนียม")</f>
        <v>อลูมิเนียม</v>
      </c>
      <c r="B1650" s="128" t="str">
        <f>IFERROR(__xludf.DUMMYFUNCTION("""COMPUTED_VALUE"""),"กล่อง 1.6""x4""-อบขาว")</f>
        <v>กล่อง 1.6"x4"-อบขาว</v>
      </c>
    </row>
    <row r="1651">
      <c r="A1651" s="128" t="str">
        <f>IFERROR(__xludf.DUMMYFUNCTION("""COMPUTED_VALUE"""),"อลูมิเนียม")</f>
        <v>อลูมิเนียม</v>
      </c>
      <c r="B1651" s="128" t="str">
        <f>IFERROR(__xludf.DUMMYFUNCTION("""COMPUTED_VALUE"""),"กล่อง 1.6""x4""-ดำ")</f>
        <v>กล่อง 1.6"x4"-ดำ</v>
      </c>
    </row>
    <row r="1652">
      <c r="A1652" s="128" t="str">
        <f>IFERROR(__xludf.DUMMYFUNCTION("""COMPUTED_VALUE"""),"อลูมิเนียม")</f>
        <v>อลูมิเนียม</v>
      </c>
      <c r="B1652" s="128" t="str">
        <f>IFERROR(__xludf.DUMMYFUNCTION("""COMPUTED_VALUE"""),"กล่อง 1.6""x4""-เทาซาฮาร่า")</f>
        <v>กล่อง 1.6"x4"-เทาซาฮาร่า</v>
      </c>
    </row>
    <row r="1653">
      <c r="A1653" s="128" t="str">
        <f>IFERROR(__xludf.DUMMYFUNCTION("""COMPUTED_VALUE"""),"อลูมิเนียม")</f>
        <v>อลูมิเนียม</v>
      </c>
      <c r="B1653" s="128" t="str">
        <f>IFERROR(__xludf.DUMMYFUNCTION("""COMPUTED_VALUE"""),"กล่อง 1.6""x4""-Aztec gray")</f>
        <v>กล่อง 1.6"x4"-Aztec gray</v>
      </c>
    </row>
    <row r="1654">
      <c r="A1654" s="128" t="str">
        <f>IFERROR(__xludf.DUMMYFUNCTION("""COMPUTED_VALUE"""),"อลูมิเนียม")</f>
        <v>อลูมิเนียม</v>
      </c>
      <c r="B1654" s="128" t="str">
        <f>IFERROR(__xludf.DUMMYFUNCTION("""COMPUTED_VALUE"""),"กล่อง 1.6""x4""-ลายไม้สักทอง")</f>
        <v>กล่อง 1.6"x4"-ลายไม้สักทอง</v>
      </c>
    </row>
    <row r="1655">
      <c r="A1655" s="128" t="str">
        <f>IFERROR(__xludf.DUMMYFUNCTION("""COMPUTED_VALUE"""),"อลูมิเนียม")</f>
        <v>อลูมิเนียม</v>
      </c>
      <c r="B1655" s="128" t="str">
        <f>IFERROR(__xludf.DUMMYFUNCTION("""COMPUTED_VALUE"""),"กล่อง 1.6""x4""-ไวท์โอ็ค")</f>
        <v>กล่อง 1.6"x4"-ไวท์โอ็ค</v>
      </c>
    </row>
    <row r="1656">
      <c r="A1656" s="128" t="str">
        <f>IFERROR(__xludf.DUMMYFUNCTION("""COMPUTED_VALUE"""),"อลูมิเนียม")</f>
        <v>อลูมิเนียม</v>
      </c>
      <c r="B1656" s="128" t="str">
        <f>IFERROR(__xludf.DUMMYFUNCTION("""COMPUTED_VALUE"""),"กล่อง 1.6""x4""-มะฮอกกานี")</f>
        <v>กล่อง 1.6"x4"-มะฮอกกานี</v>
      </c>
    </row>
    <row r="1657">
      <c r="A1657" s="128" t="str">
        <f>IFERROR(__xludf.DUMMYFUNCTION("""COMPUTED_VALUE"""),"อลูมิเนียม")</f>
        <v>อลูมิเนียม</v>
      </c>
      <c r="B1657" s="128" t="str">
        <f>IFERROR(__xludf.DUMMYFUNCTION("""COMPUTED_VALUE"""),"กล่อง 1.6""x4""-อื่นๆ")</f>
        <v>กล่อง 1.6"x4"-อื่นๆ</v>
      </c>
    </row>
    <row r="1658">
      <c r="A1658" s="128" t="str">
        <f>IFERROR(__xludf.DUMMYFUNCTION("""COMPUTED_VALUE"""),"อลูมิเนียม")</f>
        <v>อลูมิเนียม</v>
      </c>
      <c r="B1658" s="128" t="str">
        <f>IFERROR(__xludf.DUMMYFUNCTION("""COMPUTED_VALUE"""),"กล่อง 1.6""x5""-มิว")</f>
        <v>กล่อง 1.6"x5"-มิว</v>
      </c>
    </row>
    <row r="1659">
      <c r="A1659" s="128" t="str">
        <f>IFERROR(__xludf.DUMMYFUNCTION("""COMPUTED_VALUE"""),"อลูมิเนียม")</f>
        <v>อลูมิเนียม</v>
      </c>
      <c r="B1659" s="128" t="str">
        <f>IFERROR(__xludf.DUMMYFUNCTION("""COMPUTED_VALUE"""),"กล่อง 1.6""x5""-อบขาว")</f>
        <v>กล่อง 1.6"x5"-อบขาว</v>
      </c>
    </row>
    <row r="1660">
      <c r="A1660" s="128" t="str">
        <f>IFERROR(__xludf.DUMMYFUNCTION("""COMPUTED_VALUE"""),"อลูมิเนียม")</f>
        <v>อลูมิเนียม</v>
      </c>
      <c r="B1660" s="128" t="str">
        <f>IFERROR(__xludf.DUMMYFUNCTION("""COMPUTED_VALUE"""),"กล่อง 1.6""x5""-ดำ")</f>
        <v>กล่อง 1.6"x5"-ดำ</v>
      </c>
    </row>
    <row r="1661">
      <c r="A1661" s="128" t="str">
        <f>IFERROR(__xludf.DUMMYFUNCTION("""COMPUTED_VALUE"""),"อลูมิเนียม")</f>
        <v>อลูมิเนียม</v>
      </c>
      <c r="B1661" s="128" t="str">
        <f>IFERROR(__xludf.DUMMYFUNCTION("""COMPUTED_VALUE"""),"กล่อง 1.6""x5""-เทาซาฮาร่า")</f>
        <v>กล่อง 1.6"x5"-เทาซาฮาร่า</v>
      </c>
    </row>
    <row r="1662">
      <c r="A1662" s="128" t="str">
        <f>IFERROR(__xludf.DUMMYFUNCTION("""COMPUTED_VALUE"""),"อลูมิเนียม")</f>
        <v>อลูมิเนียม</v>
      </c>
      <c r="B1662" s="128" t="str">
        <f>IFERROR(__xludf.DUMMYFUNCTION("""COMPUTED_VALUE"""),"กล่อง 1.6""x5""-Aztec gray")</f>
        <v>กล่อง 1.6"x5"-Aztec gray</v>
      </c>
    </row>
    <row r="1663">
      <c r="A1663" s="128" t="str">
        <f>IFERROR(__xludf.DUMMYFUNCTION("""COMPUTED_VALUE"""),"อลูมิเนียม")</f>
        <v>อลูมิเนียม</v>
      </c>
      <c r="B1663" s="128" t="str">
        <f>IFERROR(__xludf.DUMMYFUNCTION("""COMPUTED_VALUE"""),"กล่อง 1.6""x5""-ลายไม้สักทอง")</f>
        <v>กล่อง 1.6"x5"-ลายไม้สักทอง</v>
      </c>
    </row>
    <row r="1664">
      <c r="A1664" s="128" t="str">
        <f>IFERROR(__xludf.DUMMYFUNCTION("""COMPUTED_VALUE"""),"อลูมิเนียม")</f>
        <v>อลูมิเนียม</v>
      </c>
      <c r="B1664" s="128" t="str">
        <f>IFERROR(__xludf.DUMMYFUNCTION("""COMPUTED_VALUE"""),"กล่อง 1.6""x5""-ไวท์โอ็ค")</f>
        <v>กล่อง 1.6"x5"-ไวท์โอ็ค</v>
      </c>
    </row>
    <row r="1665">
      <c r="A1665" s="128" t="str">
        <f>IFERROR(__xludf.DUMMYFUNCTION("""COMPUTED_VALUE"""),"อลูมิเนียม")</f>
        <v>อลูมิเนียม</v>
      </c>
      <c r="B1665" s="128" t="str">
        <f>IFERROR(__xludf.DUMMYFUNCTION("""COMPUTED_VALUE"""),"กล่อง 1.6""x5""-มะฮอกกานี")</f>
        <v>กล่อง 1.6"x5"-มะฮอกกานี</v>
      </c>
    </row>
    <row r="1666">
      <c r="A1666" s="128" t="str">
        <f>IFERROR(__xludf.DUMMYFUNCTION("""COMPUTED_VALUE"""),"อลูมิเนียม")</f>
        <v>อลูมิเนียม</v>
      </c>
      <c r="B1666" s="128" t="str">
        <f>IFERROR(__xludf.DUMMYFUNCTION("""COMPUTED_VALUE"""),"กล่อง 1.6""x5""-อื่นๆ")</f>
        <v>กล่อง 1.6"x5"-อื่นๆ</v>
      </c>
    </row>
    <row r="1667">
      <c r="A1667" s="128" t="str">
        <f>IFERROR(__xludf.DUMMYFUNCTION("""COMPUTED_VALUE"""),"อลูมิเนียม")</f>
        <v>อลูมิเนียม</v>
      </c>
      <c r="B1667" s="128" t="str">
        <f>IFERROR(__xludf.DUMMYFUNCTION("""COMPUTED_VALUE"""),"กล่อง 1""x1.2""-มิว")</f>
        <v>กล่อง 1"x1.2"-มิว</v>
      </c>
    </row>
    <row r="1668">
      <c r="A1668" s="128" t="str">
        <f>IFERROR(__xludf.DUMMYFUNCTION("""COMPUTED_VALUE"""),"อลูมิเนียม")</f>
        <v>อลูมิเนียม</v>
      </c>
      <c r="B1668" s="128" t="str">
        <f>IFERROR(__xludf.DUMMYFUNCTION("""COMPUTED_VALUE"""),"กล่อง 1""x1.2""-อบขาว")</f>
        <v>กล่อง 1"x1.2"-อบขาว</v>
      </c>
    </row>
    <row r="1669">
      <c r="A1669" s="128" t="str">
        <f>IFERROR(__xludf.DUMMYFUNCTION("""COMPUTED_VALUE"""),"อลูมิเนียม")</f>
        <v>อลูมิเนียม</v>
      </c>
      <c r="B1669" s="128" t="str">
        <f>IFERROR(__xludf.DUMMYFUNCTION("""COMPUTED_VALUE"""),"กล่อง 1""x1.2""-ดำ")</f>
        <v>กล่อง 1"x1.2"-ดำ</v>
      </c>
    </row>
    <row r="1670">
      <c r="A1670" s="128" t="str">
        <f>IFERROR(__xludf.DUMMYFUNCTION("""COMPUTED_VALUE"""),"อลูมิเนียม")</f>
        <v>อลูมิเนียม</v>
      </c>
      <c r="B1670" s="128" t="str">
        <f>IFERROR(__xludf.DUMMYFUNCTION("""COMPUTED_VALUE"""),"กล่อง 1""x1.2""-เทาซาฮาร่า")</f>
        <v>กล่อง 1"x1.2"-เทาซาฮาร่า</v>
      </c>
    </row>
    <row r="1671">
      <c r="A1671" s="128" t="str">
        <f>IFERROR(__xludf.DUMMYFUNCTION("""COMPUTED_VALUE"""),"อลูมิเนียม")</f>
        <v>อลูมิเนียม</v>
      </c>
      <c r="B1671" s="128" t="str">
        <f>IFERROR(__xludf.DUMMYFUNCTION("""COMPUTED_VALUE"""),"กล่อง 1""x1.2""-Aztec gray")</f>
        <v>กล่อง 1"x1.2"-Aztec gray</v>
      </c>
    </row>
    <row r="1672">
      <c r="A1672" s="128" t="str">
        <f>IFERROR(__xludf.DUMMYFUNCTION("""COMPUTED_VALUE"""),"อลูมิเนียม")</f>
        <v>อลูมิเนียม</v>
      </c>
      <c r="B1672" s="128" t="str">
        <f>IFERROR(__xludf.DUMMYFUNCTION("""COMPUTED_VALUE"""),"กล่อง 1""x1.2""-ลายไม้สักทอง")</f>
        <v>กล่อง 1"x1.2"-ลายไม้สักทอง</v>
      </c>
    </row>
    <row r="1673">
      <c r="A1673" s="128" t="str">
        <f>IFERROR(__xludf.DUMMYFUNCTION("""COMPUTED_VALUE"""),"อลูมิเนียม")</f>
        <v>อลูมิเนียม</v>
      </c>
      <c r="B1673" s="128" t="str">
        <f>IFERROR(__xludf.DUMMYFUNCTION("""COMPUTED_VALUE"""),"กล่อง 1""x1.2""-ไวท์โอ็ค")</f>
        <v>กล่อง 1"x1.2"-ไวท์โอ็ค</v>
      </c>
    </row>
    <row r="1674">
      <c r="A1674" s="128" t="str">
        <f>IFERROR(__xludf.DUMMYFUNCTION("""COMPUTED_VALUE"""),"อลูมิเนียม")</f>
        <v>อลูมิเนียม</v>
      </c>
      <c r="B1674" s="128" t="str">
        <f>IFERROR(__xludf.DUMMYFUNCTION("""COMPUTED_VALUE"""),"กล่อง 1""x1.2""-มะฮอกกานี")</f>
        <v>กล่อง 1"x1.2"-มะฮอกกานี</v>
      </c>
    </row>
    <row r="1675">
      <c r="A1675" s="128" t="str">
        <f>IFERROR(__xludf.DUMMYFUNCTION("""COMPUTED_VALUE"""),"อลูมิเนียม")</f>
        <v>อลูมิเนียม</v>
      </c>
      <c r="B1675" s="128" t="str">
        <f>IFERROR(__xludf.DUMMYFUNCTION("""COMPUTED_VALUE"""),"กล่อง 1""x1.2""-อื่นๆ")</f>
        <v>กล่อง 1"x1.2"-อื่นๆ</v>
      </c>
    </row>
    <row r="1676">
      <c r="A1676" s="128" t="str">
        <f>IFERROR(__xludf.DUMMYFUNCTION("""COMPUTED_VALUE"""),"อลูมิเนียม")</f>
        <v>อลูมิเนียม</v>
      </c>
      <c r="B1676" s="128" t="str">
        <f>IFERROR(__xludf.DUMMYFUNCTION("""COMPUTED_VALUE"""),"กล่อง 1""x1.5""-มิว")</f>
        <v>กล่อง 1"x1.5"-มิว</v>
      </c>
    </row>
    <row r="1677">
      <c r="A1677" s="128" t="str">
        <f>IFERROR(__xludf.DUMMYFUNCTION("""COMPUTED_VALUE"""),"อลูมิเนียม")</f>
        <v>อลูมิเนียม</v>
      </c>
      <c r="B1677" s="128" t="str">
        <f>IFERROR(__xludf.DUMMYFUNCTION("""COMPUTED_VALUE"""),"กล่อง 1""x1.5""-อบขาว")</f>
        <v>กล่อง 1"x1.5"-อบขาว</v>
      </c>
    </row>
    <row r="1678">
      <c r="A1678" s="128" t="str">
        <f>IFERROR(__xludf.DUMMYFUNCTION("""COMPUTED_VALUE"""),"อลูมิเนียม")</f>
        <v>อลูมิเนียม</v>
      </c>
      <c r="B1678" s="128" t="str">
        <f>IFERROR(__xludf.DUMMYFUNCTION("""COMPUTED_VALUE"""),"กล่อง 1""x1.5""-ดำ")</f>
        <v>กล่อง 1"x1.5"-ดำ</v>
      </c>
    </row>
    <row r="1679">
      <c r="A1679" s="128" t="str">
        <f>IFERROR(__xludf.DUMMYFUNCTION("""COMPUTED_VALUE"""),"อลูมิเนียม")</f>
        <v>อลูมิเนียม</v>
      </c>
      <c r="B1679" s="128" t="str">
        <f>IFERROR(__xludf.DUMMYFUNCTION("""COMPUTED_VALUE"""),"กล่อง 1""x1.5""-เทาซาฮาร่า")</f>
        <v>กล่อง 1"x1.5"-เทาซาฮาร่า</v>
      </c>
    </row>
    <row r="1680">
      <c r="A1680" s="128" t="str">
        <f>IFERROR(__xludf.DUMMYFUNCTION("""COMPUTED_VALUE"""),"อลูมิเนียม")</f>
        <v>อลูมิเนียม</v>
      </c>
      <c r="B1680" s="128" t="str">
        <f>IFERROR(__xludf.DUMMYFUNCTION("""COMPUTED_VALUE"""),"กล่อง 1""x1.5""-Aztec gray")</f>
        <v>กล่อง 1"x1.5"-Aztec gray</v>
      </c>
    </row>
    <row r="1681">
      <c r="A1681" s="128" t="str">
        <f>IFERROR(__xludf.DUMMYFUNCTION("""COMPUTED_VALUE"""),"อลูมิเนียม")</f>
        <v>อลูมิเนียม</v>
      </c>
      <c r="B1681" s="128" t="str">
        <f>IFERROR(__xludf.DUMMYFUNCTION("""COMPUTED_VALUE"""),"กล่อง 1""x1.5""-ลายไม้สักทอง")</f>
        <v>กล่อง 1"x1.5"-ลายไม้สักทอง</v>
      </c>
    </row>
    <row r="1682">
      <c r="A1682" s="128" t="str">
        <f>IFERROR(__xludf.DUMMYFUNCTION("""COMPUTED_VALUE"""),"อลูมิเนียม")</f>
        <v>อลูมิเนียม</v>
      </c>
      <c r="B1682" s="128" t="str">
        <f>IFERROR(__xludf.DUMMYFUNCTION("""COMPUTED_VALUE"""),"กล่อง 1""x1.5""-ไวท์โอ็ค")</f>
        <v>กล่อง 1"x1.5"-ไวท์โอ็ค</v>
      </c>
    </row>
    <row r="1683">
      <c r="A1683" s="128" t="str">
        <f>IFERROR(__xludf.DUMMYFUNCTION("""COMPUTED_VALUE"""),"อลูมิเนียม")</f>
        <v>อลูมิเนียม</v>
      </c>
      <c r="B1683" s="128" t="str">
        <f>IFERROR(__xludf.DUMMYFUNCTION("""COMPUTED_VALUE"""),"กล่อง 1""x1.5""-มะฮอกกานี")</f>
        <v>กล่อง 1"x1.5"-มะฮอกกานี</v>
      </c>
    </row>
    <row r="1684">
      <c r="A1684" s="128" t="str">
        <f>IFERROR(__xludf.DUMMYFUNCTION("""COMPUTED_VALUE"""),"อลูมิเนียม")</f>
        <v>อลูมิเนียม</v>
      </c>
      <c r="B1684" s="128" t="str">
        <f>IFERROR(__xludf.DUMMYFUNCTION("""COMPUTED_VALUE"""),"กล่อง 1""x1.5""-อื่นๆ")</f>
        <v>กล่อง 1"x1.5"-อื่นๆ</v>
      </c>
    </row>
    <row r="1685">
      <c r="A1685" s="128" t="str">
        <f>IFERROR(__xludf.DUMMYFUNCTION("""COMPUTED_VALUE"""),"อลูมิเนียม")</f>
        <v>อลูมิเนียม</v>
      </c>
      <c r="B1685" s="128" t="str">
        <f>IFERROR(__xludf.DUMMYFUNCTION("""COMPUTED_VALUE"""),"กล่อง 1""x1.2""-มิว")</f>
        <v>กล่อง 1"x1.2"-มิว</v>
      </c>
    </row>
    <row r="1686">
      <c r="A1686" s="128" t="str">
        <f>IFERROR(__xludf.DUMMYFUNCTION("""COMPUTED_VALUE"""),"อลูมิเนียม")</f>
        <v>อลูมิเนียม</v>
      </c>
      <c r="B1686" s="128" t="str">
        <f>IFERROR(__xludf.DUMMYFUNCTION("""COMPUTED_VALUE"""),"กล่อง 1""x1.2""-อบขาว")</f>
        <v>กล่อง 1"x1.2"-อบขาว</v>
      </c>
    </row>
    <row r="1687">
      <c r="A1687" s="128" t="str">
        <f>IFERROR(__xludf.DUMMYFUNCTION("""COMPUTED_VALUE"""),"อลูมิเนียม")</f>
        <v>อลูมิเนียม</v>
      </c>
      <c r="B1687" s="128" t="str">
        <f>IFERROR(__xludf.DUMMYFUNCTION("""COMPUTED_VALUE"""),"กล่อง 1""x1.2""-ดำ")</f>
        <v>กล่อง 1"x1.2"-ดำ</v>
      </c>
    </row>
    <row r="1688">
      <c r="A1688" s="128" t="str">
        <f>IFERROR(__xludf.DUMMYFUNCTION("""COMPUTED_VALUE"""),"อลูมิเนียม")</f>
        <v>อลูมิเนียม</v>
      </c>
      <c r="B1688" s="128" t="str">
        <f>IFERROR(__xludf.DUMMYFUNCTION("""COMPUTED_VALUE"""),"กล่อง 1""x1.2""-เทาซาฮาร่า")</f>
        <v>กล่อง 1"x1.2"-เทาซาฮาร่า</v>
      </c>
    </row>
    <row r="1689">
      <c r="A1689" s="128" t="str">
        <f>IFERROR(__xludf.DUMMYFUNCTION("""COMPUTED_VALUE"""),"อลูมิเนียม")</f>
        <v>อลูมิเนียม</v>
      </c>
      <c r="B1689" s="128" t="str">
        <f>IFERROR(__xludf.DUMMYFUNCTION("""COMPUTED_VALUE"""),"กล่อง 1""x1.2""-Aztec gray")</f>
        <v>กล่อง 1"x1.2"-Aztec gray</v>
      </c>
    </row>
    <row r="1690">
      <c r="A1690" s="128" t="str">
        <f>IFERROR(__xludf.DUMMYFUNCTION("""COMPUTED_VALUE"""),"อลูมิเนียม")</f>
        <v>อลูมิเนียม</v>
      </c>
      <c r="B1690" s="128" t="str">
        <f>IFERROR(__xludf.DUMMYFUNCTION("""COMPUTED_VALUE"""),"กล่อง 1""x1.2""-ลายไม้สักทอง")</f>
        <v>กล่อง 1"x1.2"-ลายไม้สักทอง</v>
      </c>
    </row>
    <row r="1691">
      <c r="A1691" s="128" t="str">
        <f>IFERROR(__xludf.DUMMYFUNCTION("""COMPUTED_VALUE"""),"อลูมิเนียม")</f>
        <v>อลูมิเนียม</v>
      </c>
      <c r="B1691" s="128" t="str">
        <f>IFERROR(__xludf.DUMMYFUNCTION("""COMPUTED_VALUE"""),"กล่อง 1""x1.2""-ไวท์โอ็ค")</f>
        <v>กล่อง 1"x1.2"-ไวท์โอ็ค</v>
      </c>
    </row>
    <row r="1692">
      <c r="A1692" s="128" t="str">
        <f>IFERROR(__xludf.DUMMYFUNCTION("""COMPUTED_VALUE"""),"อลูมิเนียม")</f>
        <v>อลูมิเนียม</v>
      </c>
      <c r="B1692" s="128" t="str">
        <f>IFERROR(__xludf.DUMMYFUNCTION("""COMPUTED_VALUE"""),"กล่อง 1""x1.2""-มะฮอกกานี")</f>
        <v>กล่อง 1"x1.2"-มะฮอกกานี</v>
      </c>
    </row>
    <row r="1693">
      <c r="A1693" s="128" t="str">
        <f>IFERROR(__xludf.DUMMYFUNCTION("""COMPUTED_VALUE"""),"อลูมิเนียม")</f>
        <v>อลูมิเนียม</v>
      </c>
      <c r="B1693" s="128" t="str">
        <f>IFERROR(__xludf.DUMMYFUNCTION("""COMPUTED_VALUE"""),"กล่อง 1""x1.2""-อื่นๆ")</f>
        <v>กล่อง 1"x1.2"-อื่นๆ</v>
      </c>
    </row>
    <row r="1694">
      <c r="A1694" s="128" t="str">
        <f>IFERROR(__xludf.DUMMYFUNCTION("""COMPUTED_VALUE"""),"อลูมิเนียม")</f>
        <v>อลูมิเนียม</v>
      </c>
      <c r="B1694" s="128" t="str">
        <f>IFERROR(__xludf.DUMMYFUNCTION("""COMPUTED_VALUE"""),"กล่อง 1""x1.5""-มิว")</f>
        <v>กล่อง 1"x1.5"-มิว</v>
      </c>
    </row>
    <row r="1695">
      <c r="A1695" s="128" t="str">
        <f>IFERROR(__xludf.DUMMYFUNCTION("""COMPUTED_VALUE"""),"อลูมิเนียม")</f>
        <v>อลูมิเนียม</v>
      </c>
      <c r="B1695" s="128" t="str">
        <f>IFERROR(__xludf.DUMMYFUNCTION("""COMPUTED_VALUE"""),"กล่อง 1""x1.5""-อบขาว")</f>
        <v>กล่อง 1"x1.5"-อบขาว</v>
      </c>
    </row>
    <row r="1696">
      <c r="A1696" s="128" t="str">
        <f>IFERROR(__xludf.DUMMYFUNCTION("""COMPUTED_VALUE"""),"อลูมิเนียม")</f>
        <v>อลูมิเนียม</v>
      </c>
      <c r="B1696" s="128" t="str">
        <f>IFERROR(__xludf.DUMMYFUNCTION("""COMPUTED_VALUE"""),"กล่อง 1""x1.5""-ดำ")</f>
        <v>กล่อง 1"x1.5"-ดำ</v>
      </c>
    </row>
    <row r="1697">
      <c r="A1697" s="128" t="str">
        <f>IFERROR(__xludf.DUMMYFUNCTION("""COMPUTED_VALUE"""),"อลูมิเนียม")</f>
        <v>อลูมิเนียม</v>
      </c>
      <c r="B1697" s="128" t="str">
        <f>IFERROR(__xludf.DUMMYFUNCTION("""COMPUTED_VALUE"""),"กล่อง 1""x1.5""-เทาซาฮาร่า")</f>
        <v>กล่อง 1"x1.5"-เทาซาฮาร่า</v>
      </c>
    </row>
    <row r="1698">
      <c r="A1698" s="128" t="str">
        <f>IFERROR(__xludf.DUMMYFUNCTION("""COMPUTED_VALUE"""),"อลูมิเนียม")</f>
        <v>อลูมิเนียม</v>
      </c>
      <c r="B1698" s="128" t="str">
        <f>IFERROR(__xludf.DUMMYFUNCTION("""COMPUTED_VALUE"""),"กล่อง 1""x1.5""-Aztec gray")</f>
        <v>กล่อง 1"x1.5"-Aztec gray</v>
      </c>
    </row>
    <row r="1699">
      <c r="A1699" s="128" t="str">
        <f>IFERROR(__xludf.DUMMYFUNCTION("""COMPUTED_VALUE"""),"อลูมิเนียม")</f>
        <v>อลูมิเนียม</v>
      </c>
      <c r="B1699" s="128" t="str">
        <f>IFERROR(__xludf.DUMMYFUNCTION("""COMPUTED_VALUE"""),"กล่อง 1""x1.5""-ลายไม้สักทอง")</f>
        <v>กล่อง 1"x1.5"-ลายไม้สักทอง</v>
      </c>
    </row>
    <row r="1700">
      <c r="A1700" s="128" t="str">
        <f>IFERROR(__xludf.DUMMYFUNCTION("""COMPUTED_VALUE"""),"อลูมิเนียม")</f>
        <v>อลูมิเนียม</v>
      </c>
      <c r="B1700" s="128" t="str">
        <f>IFERROR(__xludf.DUMMYFUNCTION("""COMPUTED_VALUE"""),"กล่อง 1""x1.5""-ไวท์โอ็ค")</f>
        <v>กล่อง 1"x1.5"-ไวท์โอ็ค</v>
      </c>
    </row>
    <row r="1701">
      <c r="A1701" s="128" t="str">
        <f>IFERROR(__xludf.DUMMYFUNCTION("""COMPUTED_VALUE"""),"อลูมิเนียม")</f>
        <v>อลูมิเนียม</v>
      </c>
      <c r="B1701" s="128" t="str">
        <f>IFERROR(__xludf.DUMMYFUNCTION("""COMPUTED_VALUE"""),"กล่อง 1""x1.5""-มะฮอกกานี")</f>
        <v>กล่อง 1"x1.5"-มะฮอกกานี</v>
      </c>
    </row>
    <row r="1702">
      <c r="A1702" s="128" t="str">
        <f>IFERROR(__xludf.DUMMYFUNCTION("""COMPUTED_VALUE"""),"อลูมิเนียม")</f>
        <v>อลูมิเนียม</v>
      </c>
      <c r="B1702" s="128" t="str">
        <f>IFERROR(__xludf.DUMMYFUNCTION("""COMPUTED_VALUE"""),"กล่อง 1""x1.5""-อื่นๆ")</f>
        <v>กล่อง 1"x1.5"-อื่นๆ</v>
      </c>
    </row>
    <row r="1703">
      <c r="A1703" s="128" t="str">
        <f>IFERROR(__xludf.DUMMYFUNCTION("""COMPUTED_VALUE"""),"อลูมิเนียม")</f>
        <v>อลูมิเนียม</v>
      </c>
      <c r="B1703" s="128" t="str">
        <f>IFERROR(__xludf.DUMMYFUNCTION("""COMPUTED_VALUE"""),"กล่อง 1""x1.6""-มิว")</f>
        <v>กล่อง 1"x1.6"-มิว</v>
      </c>
    </row>
    <row r="1704">
      <c r="A1704" s="128" t="str">
        <f>IFERROR(__xludf.DUMMYFUNCTION("""COMPUTED_VALUE"""),"อลูมิเนียม")</f>
        <v>อลูมิเนียม</v>
      </c>
      <c r="B1704" s="128" t="str">
        <f>IFERROR(__xludf.DUMMYFUNCTION("""COMPUTED_VALUE"""),"กล่อง 1""x1.6""-อบขาว")</f>
        <v>กล่อง 1"x1.6"-อบขาว</v>
      </c>
    </row>
    <row r="1705">
      <c r="A1705" s="128" t="str">
        <f>IFERROR(__xludf.DUMMYFUNCTION("""COMPUTED_VALUE"""),"อลูมิเนียม")</f>
        <v>อลูมิเนียม</v>
      </c>
      <c r="B1705" s="128" t="str">
        <f>IFERROR(__xludf.DUMMYFUNCTION("""COMPUTED_VALUE"""),"กล่อง 1""x1.6""-ดำ")</f>
        <v>กล่อง 1"x1.6"-ดำ</v>
      </c>
    </row>
    <row r="1706">
      <c r="A1706" s="128" t="str">
        <f>IFERROR(__xludf.DUMMYFUNCTION("""COMPUTED_VALUE"""),"อลูมิเนียม")</f>
        <v>อลูมิเนียม</v>
      </c>
      <c r="B1706" s="128" t="str">
        <f>IFERROR(__xludf.DUMMYFUNCTION("""COMPUTED_VALUE"""),"กล่อง 1""x1.6""-เทาซาฮาร่า")</f>
        <v>กล่อง 1"x1.6"-เทาซาฮาร่า</v>
      </c>
    </row>
    <row r="1707">
      <c r="A1707" s="128" t="str">
        <f>IFERROR(__xludf.DUMMYFUNCTION("""COMPUTED_VALUE"""),"อลูมิเนียม")</f>
        <v>อลูมิเนียม</v>
      </c>
      <c r="B1707" s="128" t="str">
        <f>IFERROR(__xludf.DUMMYFUNCTION("""COMPUTED_VALUE"""),"กล่อง 1""x1.6""-Aztec gray")</f>
        <v>กล่อง 1"x1.6"-Aztec gray</v>
      </c>
    </row>
    <row r="1708">
      <c r="A1708" s="128" t="str">
        <f>IFERROR(__xludf.DUMMYFUNCTION("""COMPUTED_VALUE"""),"อลูมิเนียม")</f>
        <v>อลูมิเนียม</v>
      </c>
      <c r="B1708" s="128" t="str">
        <f>IFERROR(__xludf.DUMMYFUNCTION("""COMPUTED_VALUE"""),"กล่อง 1""x1.6""-ลายไม้สักทอง")</f>
        <v>กล่อง 1"x1.6"-ลายไม้สักทอง</v>
      </c>
    </row>
    <row r="1709">
      <c r="A1709" s="128" t="str">
        <f>IFERROR(__xludf.DUMMYFUNCTION("""COMPUTED_VALUE"""),"อลูมิเนียม")</f>
        <v>อลูมิเนียม</v>
      </c>
      <c r="B1709" s="128" t="str">
        <f>IFERROR(__xludf.DUMMYFUNCTION("""COMPUTED_VALUE"""),"กล่อง 1""x1.6""-ไวท์โอ็ค")</f>
        <v>กล่อง 1"x1.6"-ไวท์โอ็ค</v>
      </c>
    </row>
    <row r="1710">
      <c r="A1710" s="128" t="str">
        <f>IFERROR(__xludf.DUMMYFUNCTION("""COMPUTED_VALUE"""),"อลูมิเนียม")</f>
        <v>อลูมิเนียม</v>
      </c>
      <c r="B1710" s="128" t="str">
        <f>IFERROR(__xludf.DUMMYFUNCTION("""COMPUTED_VALUE"""),"กล่อง 1""x1.6""-มะฮอกกานี")</f>
        <v>กล่อง 1"x1.6"-มะฮอกกานี</v>
      </c>
    </row>
    <row r="1711">
      <c r="A1711" s="128" t="str">
        <f>IFERROR(__xludf.DUMMYFUNCTION("""COMPUTED_VALUE"""),"อลูมิเนียม")</f>
        <v>อลูมิเนียม</v>
      </c>
      <c r="B1711" s="128" t="str">
        <f>IFERROR(__xludf.DUMMYFUNCTION("""COMPUTED_VALUE"""),"กล่อง 1""x1.6""-อื่นๆ")</f>
        <v>กล่อง 1"x1.6"-อื่นๆ</v>
      </c>
    </row>
    <row r="1712">
      <c r="A1712" s="128" t="str">
        <f>IFERROR(__xludf.DUMMYFUNCTION("""COMPUTED_VALUE"""),"อลูมิเนียม")</f>
        <v>อลูมิเนียม</v>
      </c>
      <c r="B1712" s="128" t="str">
        <f>IFERROR(__xludf.DUMMYFUNCTION("""COMPUTED_VALUE"""),"กล่อง 1""x2""-มิว")</f>
        <v>กล่อง 1"x2"-มิว</v>
      </c>
    </row>
    <row r="1713">
      <c r="A1713" s="128" t="str">
        <f>IFERROR(__xludf.DUMMYFUNCTION("""COMPUTED_VALUE"""),"อลูมิเนียม")</f>
        <v>อลูมิเนียม</v>
      </c>
      <c r="B1713" s="128" t="str">
        <f>IFERROR(__xludf.DUMMYFUNCTION("""COMPUTED_VALUE"""),"กล่อง 1""x2""-อบขาว")</f>
        <v>กล่อง 1"x2"-อบขาว</v>
      </c>
    </row>
    <row r="1714">
      <c r="A1714" s="128" t="str">
        <f>IFERROR(__xludf.DUMMYFUNCTION("""COMPUTED_VALUE"""),"อลูมิเนียม")</f>
        <v>อลูมิเนียม</v>
      </c>
      <c r="B1714" s="128" t="str">
        <f>IFERROR(__xludf.DUMMYFUNCTION("""COMPUTED_VALUE"""),"กล่อง 1""x2""-ดำ")</f>
        <v>กล่อง 1"x2"-ดำ</v>
      </c>
    </row>
    <row r="1715">
      <c r="A1715" s="128" t="str">
        <f>IFERROR(__xludf.DUMMYFUNCTION("""COMPUTED_VALUE"""),"อลูมิเนียม")</f>
        <v>อลูมิเนียม</v>
      </c>
      <c r="B1715" s="128" t="str">
        <f>IFERROR(__xludf.DUMMYFUNCTION("""COMPUTED_VALUE"""),"กล่อง 1""x2""-เทาซาฮาร่า")</f>
        <v>กล่อง 1"x2"-เทาซาฮาร่า</v>
      </c>
    </row>
    <row r="1716">
      <c r="A1716" s="128" t="str">
        <f>IFERROR(__xludf.DUMMYFUNCTION("""COMPUTED_VALUE"""),"อลูมิเนียม")</f>
        <v>อลูมิเนียม</v>
      </c>
      <c r="B1716" s="128" t="str">
        <f>IFERROR(__xludf.DUMMYFUNCTION("""COMPUTED_VALUE"""),"กล่อง 1""x2""-Aztec gray")</f>
        <v>กล่อง 1"x2"-Aztec gray</v>
      </c>
    </row>
    <row r="1717">
      <c r="A1717" s="128" t="str">
        <f>IFERROR(__xludf.DUMMYFUNCTION("""COMPUTED_VALUE"""),"อลูมิเนียม")</f>
        <v>อลูมิเนียม</v>
      </c>
      <c r="B1717" s="128" t="str">
        <f>IFERROR(__xludf.DUMMYFUNCTION("""COMPUTED_VALUE"""),"กล่อง 1""x2""-ลายไม้สักทอง")</f>
        <v>กล่อง 1"x2"-ลายไม้สักทอง</v>
      </c>
    </row>
    <row r="1718">
      <c r="A1718" s="128" t="str">
        <f>IFERROR(__xludf.DUMMYFUNCTION("""COMPUTED_VALUE"""),"อลูมิเนียม")</f>
        <v>อลูมิเนียม</v>
      </c>
      <c r="B1718" s="128" t="str">
        <f>IFERROR(__xludf.DUMMYFUNCTION("""COMPUTED_VALUE"""),"กล่อง 1""x2""-ไวท์โอ็ค")</f>
        <v>กล่อง 1"x2"-ไวท์โอ็ค</v>
      </c>
    </row>
    <row r="1719">
      <c r="A1719" s="128" t="str">
        <f>IFERROR(__xludf.DUMMYFUNCTION("""COMPUTED_VALUE"""),"อลูมิเนียม")</f>
        <v>อลูมิเนียม</v>
      </c>
      <c r="B1719" s="128" t="str">
        <f>IFERROR(__xludf.DUMMYFUNCTION("""COMPUTED_VALUE"""),"กล่อง 1""x2""-มะฮอกกานี")</f>
        <v>กล่อง 1"x2"-มะฮอกกานี</v>
      </c>
    </row>
    <row r="1720">
      <c r="A1720" s="128" t="str">
        <f>IFERROR(__xludf.DUMMYFUNCTION("""COMPUTED_VALUE"""),"อลูมิเนียม")</f>
        <v>อลูมิเนียม</v>
      </c>
      <c r="B1720" s="128" t="str">
        <f>IFERROR(__xludf.DUMMYFUNCTION("""COMPUTED_VALUE"""),"กล่อง 1""x2""-อื่นๆ")</f>
        <v>กล่อง 1"x2"-อื่นๆ</v>
      </c>
    </row>
    <row r="1721">
      <c r="A1721" s="128" t="str">
        <f>IFERROR(__xludf.DUMMYFUNCTION("""COMPUTED_VALUE"""),"อลูมิเนียม")</f>
        <v>อลูมิเนียม</v>
      </c>
      <c r="B1721" s="128" t="str">
        <f>IFERROR(__xludf.DUMMYFUNCTION("""COMPUTED_VALUE"""),"กล่อง 1/2""x1""-มิว")</f>
        <v>กล่อง 1/2"x1"-มิว</v>
      </c>
    </row>
    <row r="1722">
      <c r="A1722" s="128" t="str">
        <f>IFERROR(__xludf.DUMMYFUNCTION("""COMPUTED_VALUE"""),"อลูมิเนียม")</f>
        <v>อลูมิเนียม</v>
      </c>
      <c r="B1722" s="128" t="str">
        <f>IFERROR(__xludf.DUMMYFUNCTION("""COMPUTED_VALUE"""),"กล่อง 1/2""x1""-อบขาว")</f>
        <v>กล่อง 1/2"x1"-อบขาว</v>
      </c>
    </row>
    <row r="1723">
      <c r="A1723" s="128" t="str">
        <f>IFERROR(__xludf.DUMMYFUNCTION("""COMPUTED_VALUE"""),"อลูมิเนียม")</f>
        <v>อลูมิเนียม</v>
      </c>
      <c r="B1723" s="128" t="str">
        <f>IFERROR(__xludf.DUMMYFUNCTION("""COMPUTED_VALUE"""),"กล่อง 1/2""x1""-ดำ")</f>
        <v>กล่อง 1/2"x1"-ดำ</v>
      </c>
    </row>
    <row r="1724">
      <c r="A1724" s="128" t="str">
        <f>IFERROR(__xludf.DUMMYFUNCTION("""COMPUTED_VALUE"""),"อลูมิเนียม")</f>
        <v>อลูมิเนียม</v>
      </c>
      <c r="B1724" s="128" t="str">
        <f>IFERROR(__xludf.DUMMYFUNCTION("""COMPUTED_VALUE"""),"กล่อง 1/2""x1""-เทาซาฮาร่า")</f>
        <v>กล่อง 1/2"x1"-เทาซาฮาร่า</v>
      </c>
    </row>
    <row r="1725">
      <c r="A1725" s="128" t="str">
        <f>IFERROR(__xludf.DUMMYFUNCTION("""COMPUTED_VALUE"""),"อลูมิเนียม")</f>
        <v>อลูมิเนียม</v>
      </c>
      <c r="B1725" s="128" t="str">
        <f>IFERROR(__xludf.DUMMYFUNCTION("""COMPUTED_VALUE"""),"กล่อง 1/2""x1""-Aztec gray")</f>
        <v>กล่อง 1/2"x1"-Aztec gray</v>
      </c>
    </row>
    <row r="1726">
      <c r="A1726" s="128" t="str">
        <f>IFERROR(__xludf.DUMMYFUNCTION("""COMPUTED_VALUE"""),"อลูมิเนียม")</f>
        <v>อลูมิเนียม</v>
      </c>
      <c r="B1726" s="128" t="str">
        <f>IFERROR(__xludf.DUMMYFUNCTION("""COMPUTED_VALUE"""),"กล่อง 1/2""x1""-ลายไม้สักทอง")</f>
        <v>กล่อง 1/2"x1"-ลายไม้สักทอง</v>
      </c>
    </row>
    <row r="1727">
      <c r="A1727" s="128" t="str">
        <f>IFERROR(__xludf.DUMMYFUNCTION("""COMPUTED_VALUE"""),"อลูมิเนียม")</f>
        <v>อลูมิเนียม</v>
      </c>
      <c r="B1727" s="128" t="str">
        <f>IFERROR(__xludf.DUMMYFUNCTION("""COMPUTED_VALUE"""),"กล่อง 1/2""x1""-ไวท์โอ็ค")</f>
        <v>กล่อง 1/2"x1"-ไวท์โอ็ค</v>
      </c>
    </row>
    <row r="1728">
      <c r="A1728" s="128" t="str">
        <f>IFERROR(__xludf.DUMMYFUNCTION("""COMPUTED_VALUE"""),"อลูมิเนียม")</f>
        <v>อลูมิเนียม</v>
      </c>
      <c r="B1728" s="128" t="str">
        <f>IFERROR(__xludf.DUMMYFUNCTION("""COMPUTED_VALUE"""),"กล่อง 1/2""x1""-มะฮอกกานี")</f>
        <v>กล่อง 1/2"x1"-มะฮอกกานี</v>
      </c>
    </row>
    <row r="1729">
      <c r="A1729" s="128" t="str">
        <f>IFERROR(__xludf.DUMMYFUNCTION("""COMPUTED_VALUE"""),"อลูมิเนียม")</f>
        <v>อลูมิเนียม</v>
      </c>
      <c r="B1729" s="128" t="str">
        <f>IFERROR(__xludf.DUMMYFUNCTION("""COMPUTED_VALUE"""),"กล่อง 1/2""x1""-อื่นๆ")</f>
        <v>กล่อง 1/2"x1"-อื่นๆ</v>
      </c>
    </row>
    <row r="1730">
      <c r="A1730" s="128" t="str">
        <f>IFERROR(__xludf.DUMMYFUNCTION("""COMPUTED_VALUE"""),"อลูมิเนียม")</f>
        <v>อลูมิเนียม</v>
      </c>
      <c r="B1730" s="128" t="str">
        <f>IFERROR(__xludf.DUMMYFUNCTION("""COMPUTED_VALUE"""),"กล่อง 1""x3""-มิว")</f>
        <v>กล่อง 1"x3"-มิว</v>
      </c>
    </row>
    <row r="1731">
      <c r="A1731" s="128" t="str">
        <f>IFERROR(__xludf.DUMMYFUNCTION("""COMPUTED_VALUE"""),"อลูมิเนียม")</f>
        <v>อลูมิเนียม</v>
      </c>
      <c r="B1731" s="128" t="str">
        <f>IFERROR(__xludf.DUMMYFUNCTION("""COMPUTED_VALUE"""),"กล่อง 1""x3""-อบขาว")</f>
        <v>กล่อง 1"x3"-อบขาว</v>
      </c>
    </row>
    <row r="1732">
      <c r="A1732" s="128" t="str">
        <f>IFERROR(__xludf.DUMMYFUNCTION("""COMPUTED_VALUE"""),"อลูมิเนียม")</f>
        <v>อลูมิเนียม</v>
      </c>
      <c r="B1732" s="128" t="str">
        <f>IFERROR(__xludf.DUMMYFUNCTION("""COMPUTED_VALUE"""),"กล่อง 1""x3""-ดำ")</f>
        <v>กล่อง 1"x3"-ดำ</v>
      </c>
    </row>
    <row r="1733">
      <c r="A1733" s="128" t="str">
        <f>IFERROR(__xludf.DUMMYFUNCTION("""COMPUTED_VALUE"""),"อลูมิเนียม")</f>
        <v>อลูมิเนียม</v>
      </c>
      <c r="B1733" s="128" t="str">
        <f>IFERROR(__xludf.DUMMYFUNCTION("""COMPUTED_VALUE"""),"กล่อง 1""x3""-เทาซาฮาร่า")</f>
        <v>กล่อง 1"x3"-เทาซาฮาร่า</v>
      </c>
    </row>
    <row r="1734">
      <c r="A1734" s="128" t="str">
        <f>IFERROR(__xludf.DUMMYFUNCTION("""COMPUTED_VALUE"""),"อลูมิเนียม")</f>
        <v>อลูมิเนียม</v>
      </c>
      <c r="B1734" s="128" t="str">
        <f>IFERROR(__xludf.DUMMYFUNCTION("""COMPUTED_VALUE"""),"กล่อง 1""x3""-Aztec gray")</f>
        <v>กล่อง 1"x3"-Aztec gray</v>
      </c>
    </row>
    <row r="1735">
      <c r="A1735" s="128" t="str">
        <f>IFERROR(__xludf.DUMMYFUNCTION("""COMPUTED_VALUE"""),"อลูมิเนียม")</f>
        <v>อลูมิเนียม</v>
      </c>
      <c r="B1735" s="128" t="str">
        <f>IFERROR(__xludf.DUMMYFUNCTION("""COMPUTED_VALUE"""),"กล่อง 1""x3""-ลายไม้สักทอง")</f>
        <v>กล่อง 1"x3"-ลายไม้สักทอง</v>
      </c>
    </row>
    <row r="1736">
      <c r="A1736" s="128" t="str">
        <f>IFERROR(__xludf.DUMMYFUNCTION("""COMPUTED_VALUE"""),"อลูมิเนียม")</f>
        <v>อลูมิเนียม</v>
      </c>
      <c r="B1736" s="128" t="str">
        <f>IFERROR(__xludf.DUMMYFUNCTION("""COMPUTED_VALUE"""),"กล่อง 1""x3""-ไวท์โอ็ค")</f>
        <v>กล่อง 1"x3"-ไวท์โอ็ค</v>
      </c>
    </row>
    <row r="1737">
      <c r="A1737" s="128" t="str">
        <f>IFERROR(__xludf.DUMMYFUNCTION("""COMPUTED_VALUE"""),"อลูมิเนียม")</f>
        <v>อลูมิเนียม</v>
      </c>
      <c r="B1737" s="128" t="str">
        <f>IFERROR(__xludf.DUMMYFUNCTION("""COMPUTED_VALUE"""),"กล่อง 1""x3""-มะฮอกกานี")</f>
        <v>กล่อง 1"x3"-มะฮอกกานี</v>
      </c>
    </row>
    <row r="1738">
      <c r="A1738" s="128" t="str">
        <f>IFERROR(__xludf.DUMMYFUNCTION("""COMPUTED_VALUE"""),"อลูมิเนียม")</f>
        <v>อลูมิเนียม</v>
      </c>
      <c r="B1738" s="128" t="str">
        <f>IFERROR(__xludf.DUMMYFUNCTION("""COMPUTED_VALUE"""),"กล่อง 1""x3""-อื่นๆ")</f>
        <v>กล่อง 1"x3"-อื่นๆ</v>
      </c>
    </row>
    <row r="1739">
      <c r="A1739" s="128" t="str">
        <f>IFERROR(__xludf.DUMMYFUNCTION("""COMPUTED_VALUE"""),"อลูมิเนียม")</f>
        <v>อลูมิเนียม</v>
      </c>
      <c r="B1739" s="128" t="str">
        <f>IFERROR(__xludf.DUMMYFUNCTION("""COMPUTED_VALUE"""),"กล่อง 1""x4""-มิว")</f>
        <v>กล่อง 1"x4"-มิว</v>
      </c>
    </row>
    <row r="1740">
      <c r="A1740" s="128" t="str">
        <f>IFERROR(__xludf.DUMMYFUNCTION("""COMPUTED_VALUE"""),"อลูมิเนียม")</f>
        <v>อลูมิเนียม</v>
      </c>
      <c r="B1740" s="128" t="str">
        <f>IFERROR(__xludf.DUMMYFUNCTION("""COMPUTED_VALUE"""),"กล่อง 1""x4""-อบขาว")</f>
        <v>กล่อง 1"x4"-อบขาว</v>
      </c>
    </row>
    <row r="1741">
      <c r="A1741" s="128" t="str">
        <f>IFERROR(__xludf.DUMMYFUNCTION("""COMPUTED_VALUE"""),"อลูมิเนียม")</f>
        <v>อลูมิเนียม</v>
      </c>
      <c r="B1741" s="128" t="str">
        <f>IFERROR(__xludf.DUMMYFUNCTION("""COMPUTED_VALUE"""),"กล่อง 1""x4""-ดำ")</f>
        <v>กล่อง 1"x4"-ดำ</v>
      </c>
    </row>
    <row r="1742">
      <c r="A1742" s="128" t="str">
        <f>IFERROR(__xludf.DUMMYFUNCTION("""COMPUTED_VALUE"""),"อลูมิเนียม")</f>
        <v>อลูมิเนียม</v>
      </c>
      <c r="B1742" s="128" t="str">
        <f>IFERROR(__xludf.DUMMYFUNCTION("""COMPUTED_VALUE"""),"กล่อง 1""x4""-เทาซาฮาร่า")</f>
        <v>กล่อง 1"x4"-เทาซาฮาร่า</v>
      </c>
    </row>
    <row r="1743">
      <c r="A1743" s="128" t="str">
        <f>IFERROR(__xludf.DUMMYFUNCTION("""COMPUTED_VALUE"""),"อลูมิเนียม")</f>
        <v>อลูมิเนียม</v>
      </c>
      <c r="B1743" s="128" t="str">
        <f>IFERROR(__xludf.DUMMYFUNCTION("""COMPUTED_VALUE"""),"กล่อง 1""x4""-Aztec gray")</f>
        <v>กล่อง 1"x4"-Aztec gray</v>
      </c>
    </row>
    <row r="1744">
      <c r="A1744" s="128" t="str">
        <f>IFERROR(__xludf.DUMMYFUNCTION("""COMPUTED_VALUE"""),"อลูมิเนียม")</f>
        <v>อลูมิเนียม</v>
      </c>
      <c r="B1744" s="128" t="str">
        <f>IFERROR(__xludf.DUMMYFUNCTION("""COMPUTED_VALUE"""),"กล่อง 1""x4""-ลายไม้สักทอง")</f>
        <v>กล่อง 1"x4"-ลายไม้สักทอง</v>
      </c>
    </row>
    <row r="1745">
      <c r="A1745" s="128" t="str">
        <f>IFERROR(__xludf.DUMMYFUNCTION("""COMPUTED_VALUE"""),"อลูมิเนียม")</f>
        <v>อลูมิเนียม</v>
      </c>
      <c r="B1745" s="128" t="str">
        <f>IFERROR(__xludf.DUMMYFUNCTION("""COMPUTED_VALUE"""),"กล่อง 1""x4""-ไวท์โอ็ค")</f>
        <v>กล่อง 1"x4"-ไวท์โอ็ค</v>
      </c>
    </row>
    <row r="1746">
      <c r="A1746" s="128" t="str">
        <f>IFERROR(__xludf.DUMMYFUNCTION("""COMPUTED_VALUE"""),"อลูมิเนียม")</f>
        <v>อลูมิเนียม</v>
      </c>
      <c r="B1746" s="128" t="str">
        <f>IFERROR(__xludf.DUMMYFUNCTION("""COMPUTED_VALUE"""),"กล่อง 1""x4""-มะฮอกกานี")</f>
        <v>กล่อง 1"x4"-มะฮอกกานี</v>
      </c>
    </row>
    <row r="1747">
      <c r="A1747" s="128" t="str">
        <f>IFERROR(__xludf.DUMMYFUNCTION("""COMPUTED_VALUE"""),"อลูมิเนียม")</f>
        <v>อลูมิเนียม</v>
      </c>
      <c r="B1747" s="128" t="str">
        <f>IFERROR(__xludf.DUMMYFUNCTION("""COMPUTED_VALUE"""),"กล่อง 1""x4""-อื่นๆ")</f>
        <v>กล่อง 1"x4"-อื่นๆ</v>
      </c>
    </row>
    <row r="1748">
      <c r="A1748" s="128" t="str">
        <f>IFERROR(__xludf.DUMMYFUNCTION("""COMPUTED_VALUE"""),"อลูมิเนียม")</f>
        <v>อลูมิเนียม</v>
      </c>
      <c r="B1748" s="128" t="str">
        <f>IFERROR(__xludf.DUMMYFUNCTION("""COMPUTED_VALUE"""),"กล่อง 2""x2""-มิว")</f>
        <v>กล่อง 2"x2"-มิว</v>
      </c>
    </row>
    <row r="1749">
      <c r="A1749" s="128" t="str">
        <f>IFERROR(__xludf.DUMMYFUNCTION("""COMPUTED_VALUE"""),"อลูมิเนียม")</f>
        <v>อลูมิเนียม</v>
      </c>
      <c r="B1749" s="128" t="str">
        <f>IFERROR(__xludf.DUMMYFUNCTION("""COMPUTED_VALUE"""),"กล่อง 2""x2""-อบขาว")</f>
        <v>กล่อง 2"x2"-อบขาว</v>
      </c>
    </row>
    <row r="1750">
      <c r="A1750" s="128" t="str">
        <f>IFERROR(__xludf.DUMMYFUNCTION("""COMPUTED_VALUE"""),"อลูมิเนียม")</f>
        <v>อลูมิเนียม</v>
      </c>
      <c r="B1750" s="128" t="str">
        <f>IFERROR(__xludf.DUMMYFUNCTION("""COMPUTED_VALUE"""),"กล่อง 2""x2""-ดำ")</f>
        <v>กล่อง 2"x2"-ดำ</v>
      </c>
    </row>
    <row r="1751">
      <c r="A1751" s="128" t="str">
        <f>IFERROR(__xludf.DUMMYFUNCTION("""COMPUTED_VALUE"""),"อลูมิเนียม")</f>
        <v>อลูมิเนียม</v>
      </c>
      <c r="B1751" s="128" t="str">
        <f>IFERROR(__xludf.DUMMYFUNCTION("""COMPUTED_VALUE"""),"กล่อง 2""x2""-เทาซาฮาร่า")</f>
        <v>กล่อง 2"x2"-เทาซาฮาร่า</v>
      </c>
    </row>
    <row r="1752">
      <c r="A1752" s="128" t="str">
        <f>IFERROR(__xludf.DUMMYFUNCTION("""COMPUTED_VALUE"""),"อลูมิเนียม")</f>
        <v>อลูมิเนียม</v>
      </c>
      <c r="B1752" s="128" t="str">
        <f>IFERROR(__xludf.DUMMYFUNCTION("""COMPUTED_VALUE"""),"กล่อง 2""x2""-Aztec gray")</f>
        <v>กล่อง 2"x2"-Aztec gray</v>
      </c>
    </row>
    <row r="1753">
      <c r="A1753" s="128" t="str">
        <f>IFERROR(__xludf.DUMMYFUNCTION("""COMPUTED_VALUE"""),"อลูมิเนียม")</f>
        <v>อลูมิเนียม</v>
      </c>
      <c r="B1753" s="128" t="str">
        <f>IFERROR(__xludf.DUMMYFUNCTION("""COMPUTED_VALUE"""),"กล่อง 2""x2""-ลายไม้สักทอง")</f>
        <v>กล่อง 2"x2"-ลายไม้สักทอง</v>
      </c>
    </row>
    <row r="1754">
      <c r="A1754" s="128" t="str">
        <f>IFERROR(__xludf.DUMMYFUNCTION("""COMPUTED_VALUE"""),"อลูมิเนียม")</f>
        <v>อลูมิเนียม</v>
      </c>
      <c r="B1754" s="128" t="str">
        <f>IFERROR(__xludf.DUMMYFUNCTION("""COMPUTED_VALUE"""),"กล่อง 2""x2""-ไวท์โอ็ค")</f>
        <v>กล่อง 2"x2"-ไวท์โอ็ค</v>
      </c>
    </row>
    <row r="1755">
      <c r="A1755" s="128" t="str">
        <f>IFERROR(__xludf.DUMMYFUNCTION("""COMPUTED_VALUE"""),"อลูมิเนียม")</f>
        <v>อลูมิเนียม</v>
      </c>
      <c r="B1755" s="128" t="str">
        <f>IFERROR(__xludf.DUMMYFUNCTION("""COMPUTED_VALUE"""),"กล่อง 2""x2""-มะฮอกกานี")</f>
        <v>กล่อง 2"x2"-มะฮอกกานี</v>
      </c>
    </row>
    <row r="1756">
      <c r="A1756" s="128" t="str">
        <f>IFERROR(__xludf.DUMMYFUNCTION("""COMPUTED_VALUE"""),"อลูมิเนียม")</f>
        <v>อลูมิเนียม</v>
      </c>
      <c r="B1756" s="128" t="str">
        <f>IFERROR(__xludf.DUMMYFUNCTION("""COMPUTED_VALUE"""),"กล่อง 2""x2""-อื่นๆ")</f>
        <v>กล่อง 2"x2"-อื่นๆ</v>
      </c>
    </row>
    <row r="1757">
      <c r="A1757" s="128" t="str">
        <f>IFERROR(__xludf.DUMMYFUNCTION("""COMPUTED_VALUE"""),"อลูมิเนียม")</f>
        <v>อลูมิเนียม</v>
      </c>
      <c r="B1757" s="128" t="str">
        <f>IFERROR(__xludf.DUMMYFUNCTION("""COMPUTED_VALUE"""),"กล่อง 2""x4""-มิว")</f>
        <v>กล่อง 2"x4"-มิว</v>
      </c>
    </row>
    <row r="1758">
      <c r="A1758" s="128" t="str">
        <f>IFERROR(__xludf.DUMMYFUNCTION("""COMPUTED_VALUE"""),"อลูมิเนียม")</f>
        <v>อลูมิเนียม</v>
      </c>
      <c r="B1758" s="128" t="str">
        <f>IFERROR(__xludf.DUMMYFUNCTION("""COMPUTED_VALUE"""),"กล่อง 2""x4""-อบขาว")</f>
        <v>กล่อง 2"x4"-อบขาว</v>
      </c>
    </row>
    <row r="1759">
      <c r="A1759" s="128" t="str">
        <f>IFERROR(__xludf.DUMMYFUNCTION("""COMPUTED_VALUE"""),"อลูมิเนียม")</f>
        <v>อลูมิเนียม</v>
      </c>
      <c r="B1759" s="128" t="str">
        <f>IFERROR(__xludf.DUMMYFUNCTION("""COMPUTED_VALUE"""),"กล่อง 2""x4""-ดำ")</f>
        <v>กล่อง 2"x4"-ดำ</v>
      </c>
    </row>
    <row r="1760">
      <c r="A1760" s="128" t="str">
        <f>IFERROR(__xludf.DUMMYFUNCTION("""COMPUTED_VALUE"""),"อลูมิเนียม")</f>
        <v>อลูมิเนียม</v>
      </c>
      <c r="B1760" s="128" t="str">
        <f>IFERROR(__xludf.DUMMYFUNCTION("""COMPUTED_VALUE"""),"กล่อง 2""x4""-เทาซาฮาร่า")</f>
        <v>กล่อง 2"x4"-เทาซาฮาร่า</v>
      </c>
    </row>
    <row r="1761">
      <c r="A1761" s="128" t="str">
        <f>IFERROR(__xludf.DUMMYFUNCTION("""COMPUTED_VALUE"""),"อลูมิเนียม")</f>
        <v>อลูมิเนียม</v>
      </c>
      <c r="B1761" s="128" t="str">
        <f>IFERROR(__xludf.DUMMYFUNCTION("""COMPUTED_VALUE"""),"กล่อง 2""x4""-Aztec gray")</f>
        <v>กล่อง 2"x4"-Aztec gray</v>
      </c>
    </row>
    <row r="1762">
      <c r="A1762" s="128" t="str">
        <f>IFERROR(__xludf.DUMMYFUNCTION("""COMPUTED_VALUE"""),"อลูมิเนียม")</f>
        <v>อลูมิเนียม</v>
      </c>
      <c r="B1762" s="128" t="str">
        <f>IFERROR(__xludf.DUMMYFUNCTION("""COMPUTED_VALUE"""),"กล่อง 2""x4""-ลายไม้สักทอง")</f>
        <v>กล่อง 2"x4"-ลายไม้สักทอง</v>
      </c>
    </row>
    <row r="1763">
      <c r="A1763" s="128" t="str">
        <f>IFERROR(__xludf.DUMMYFUNCTION("""COMPUTED_VALUE"""),"อลูมิเนียม")</f>
        <v>อลูมิเนียม</v>
      </c>
      <c r="B1763" s="128" t="str">
        <f>IFERROR(__xludf.DUMMYFUNCTION("""COMPUTED_VALUE"""),"กล่อง 2""x4""-ไวท์โอ็ค")</f>
        <v>กล่อง 2"x4"-ไวท์โอ็ค</v>
      </c>
    </row>
    <row r="1764">
      <c r="A1764" s="128" t="str">
        <f>IFERROR(__xludf.DUMMYFUNCTION("""COMPUTED_VALUE"""),"อลูมิเนียม")</f>
        <v>อลูมิเนียม</v>
      </c>
      <c r="B1764" s="128" t="str">
        <f>IFERROR(__xludf.DUMMYFUNCTION("""COMPUTED_VALUE"""),"กล่อง 2""x4""-มะฮอกกานี")</f>
        <v>กล่อง 2"x4"-มะฮอกกานี</v>
      </c>
    </row>
    <row r="1765">
      <c r="A1765" s="128" t="str">
        <f>IFERROR(__xludf.DUMMYFUNCTION("""COMPUTED_VALUE"""),"อลูมิเนียม")</f>
        <v>อลูมิเนียม</v>
      </c>
      <c r="B1765" s="128" t="str">
        <f>IFERROR(__xludf.DUMMYFUNCTION("""COMPUTED_VALUE"""),"กล่อง 2""x4""-อื่นๆ")</f>
        <v>กล่อง 2"x4"-อื่นๆ</v>
      </c>
    </row>
    <row r="1766">
      <c r="A1766" s="128" t="str">
        <f>IFERROR(__xludf.DUMMYFUNCTION("""COMPUTED_VALUE"""),"อลูมิเนียม")</f>
        <v>อลูมิเนียม</v>
      </c>
      <c r="B1766" s="128" t="str">
        <f>IFERROR(__xludf.DUMMYFUNCTION("""COMPUTED_VALUE"""),"กล่อง 2""x6""-มิว")</f>
        <v>กล่อง 2"x6"-มิว</v>
      </c>
    </row>
    <row r="1767">
      <c r="A1767" s="128" t="str">
        <f>IFERROR(__xludf.DUMMYFUNCTION("""COMPUTED_VALUE"""),"อลูมิเนียม")</f>
        <v>อลูมิเนียม</v>
      </c>
      <c r="B1767" s="128" t="str">
        <f>IFERROR(__xludf.DUMMYFUNCTION("""COMPUTED_VALUE"""),"กล่อง 2""x6""-อบขาว")</f>
        <v>กล่อง 2"x6"-อบขาว</v>
      </c>
    </row>
    <row r="1768">
      <c r="A1768" s="128" t="str">
        <f>IFERROR(__xludf.DUMMYFUNCTION("""COMPUTED_VALUE"""),"อลูมิเนียม")</f>
        <v>อลูมิเนียม</v>
      </c>
      <c r="B1768" s="128" t="str">
        <f>IFERROR(__xludf.DUMMYFUNCTION("""COMPUTED_VALUE"""),"กล่อง 2""x6""-ดำ")</f>
        <v>กล่อง 2"x6"-ดำ</v>
      </c>
    </row>
    <row r="1769">
      <c r="A1769" s="128" t="str">
        <f>IFERROR(__xludf.DUMMYFUNCTION("""COMPUTED_VALUE"""),"อลูมิเนียม")</f>
        <v>อลูมิเนียม</v>
      </c>
      <c r="B1769" s="128" t="str">
        <f>IFERROR(__xludf.DUMMYFUNCTION("""COMPUTED_VALUE"""),"กล่อง 2""x6""-เทาซาฮาร่า")</f>
        <v>กล่อง 2"x6"-เทาซาฮาร่า</v>
      </c>
    </row>
    <row r="1770">
      <c r="A1770" s="128" t="str">
        <f>IFERROR(__xludf.DUMMYFUNCTION("""COMPUTED_VALUE"""),"อลูมิเนียม")</f>
        <v>อลูมิเนียม</v>
      </c>
      <c r="B1770" s="128" t="str">
        <f>IFERROR(__xludf.DUMMYFUNCTION("""COMPUTED_VALUE"""),"กล่อง 2""x6""-Aztec gray")</f>
        <v>กล่อง 2"x6"-Aztec gray</v>
      </c>
    </row>
    <row r="1771">
      <c r="A1771" s="128" t="str">
        <f>IFERROR(__xludf.DUMMYFUNCTION("""COMPUTED_VALUE"""),"อลูมิเนียม")</f>
        <v>อลูมิเนียม</v>
      </c>
      <c r="B1771" s="128" t="str">
        <f>IFERROR(__xludf.DUMMYFUNCTION("""COMPUTED_VALUE"""),"กล่อง 2""x6""-ลายไม้สักทอง")</f>
        <v>กล่อง 2"x6"-ลายไม้สักทอง</v>
      </c>
    </row>
    <row r="1772">
      <c r="A1772" s="128" t="str">
        <f>IFERROR(__xludf.DUMMYFUNCTION("""COMPUTED_VALUE"""),"อลูมิเนียม")</f>
        <v>อลูมิเนียม</v>
      </c>
      <c r="B1772" s="128" t="str">
        <f>IFERROR(__xludf.DUMMYFUNCTION("""COMPUTED_VALUE"""),"กล่อง 2""x6""-ไวท์โอ็ค")</f>
        <v>กล่อง 2"x6"-ไวท์โอ็ค</v>
      </c>
    </row>
    <row r="1773">
      <c r="A1773" s="128" t="str">
        <f>IFERROR(__xludf.DUMMYFUNCTION("""COMPUTED_VALUE"""),"อลูมิเนียม")</f>
        <v>อลูมิเนียม</v>
      </c>
      <c r="B1773" s="128" t="str">
        <f>IFERROR(__xludf.DUMMYFUNCTION("""COMPUTED_VALUE"""),"กล่อง 2""x6""-มะฮอกกานี")</f>
        <v>กล่อง 2"x6"-มะฮอกกานี</v>
      </c>
    </row>
    <row r="1774">
      <c r="A1774" s="128" t="str">
        <f>IFERROR(__xludf.DUMMYFUNCTION("""COMPUTED_VALUE"""),"อลูมิเนียม")</f>
        <v>อลูมิเนียม</v>
      </c>
      <c r="B1774" s="128" t="str">
        <f>IFERROR(__xludf.DUMMYFUNCTION("""COMPUTED_VALUE"""),"กล่อง 2""x6""-อื่นๆ")</f>
        <v>กล่อง 2"x6"-อื่นๆ</v>
      </c>
    </row>
    <row r="1775">
      <c r="A1775" s="128" t="str">
        <f>IFERROR(__xludf.DUMMYFUNCTION("""COMPUTED_VALUE"""),"อลูมิเนียม")</f>
        <v>อลูมิเนียม</v>
      </c>
      <c r="B1775" s="128" t="str">
        <f>IFERROR(__xludf.DUMMYFUNCTION("""COMPUTED_VALUE"""),"กล่อง 4""x4""-มิว")</f>
        <v>กล่อง 4"x4"-มิว</v>
      </c>
    </row>
    <row r="1776">
      <c r="A1776" s="128" t="str">
        <f>IFERROR(__xludf.DUMMYFUNCTION("""COMPUTED_VALUE"""),"อลูมิเนียม")</f>
        <v>อลูมิเนียม</v>
      </c>
      <c r="B1776" s="128" t="str">
        <f>IFERROR(__xludf.DUMMYFUNCTION("""COMPUTED_VALUE"""),"กล่อง 4""x4""-อบขาว")</f>
        <v>กล่อง 4"x4"-อบขาว</v>
      </c>
    </row>
    <row r="1777">
      <c r="A1777" s="128" t="str">
        <f>IFERROR(__xludf.DUMMYFUNCTION("""COMPUTED_VALUE"""),"อลูมิเนียม")</f>
        <v>อลูมิเนียม</v>
      </c>
      <c r="B1777" s="128" t="str">
        <f>IFERROR(__xludf.DUMMYFUNCTION("""COMPUTED_VALUE"""),"กล่อง 4""x4""-ดำ")</f>
        <v>กล่อง 4"x4"-ดำ</v>
      </c>
    </row>
    <row r="1778">
      <c r="A1778" s="128" t="str">
        <f>IFERROR(__xludf.DUMMYFUNCTION("""COMPUTED_VALUE"""),"อลูมิเนียม")</f>
        <v>อลูมิเนียม</v>
      </c>
      <c r="B1778" s="128" t="str">
        <f>IFERROR(__xludf.DUMMYFUNCTION("""COMPUTED_VALUE"""),"กล่อง 4""x4""-เทาซาฮาร่า")</f>
        <v>กล่อง 4"x4"-เทาซาฮาร่า</v>
      </c>
    </row>
    <row r="1779">
      <c r="A1779" s="128" t="str">
        <f>IFERROR(__xludf.DUMMYFUNCTION("""COMPUTED_VALUE"""),"อลูมิเนียม")</f>
        <v>อลูมิเนียม</v>
      </c>
      <c r="B1779" s="128" t="str">
        <f>IFERROR(__xludf.DUMMYFUNCTION("""COMPUTED_VALUE"""),"กล่อง 4""x4""-Aztec gray")</f>
        <v>กล่อง 4"x4"-Aztec gray</v>
      </c>
    </row>
    <row r="1780">
      <c r="A1780" s="128" t="str">
        <f>IFERROR(__xludf.DUMMYFUNCTION("""COMPUTED_VALUE"""),"อลูมิเนียม")</f>
        <v>อลูมิเนียม</v>
      </c>
      <c r="B1780" s="128" t="str">
        <f>IFERROR(__xludf.DUMMYFUNCTION("""COMPUTED_VALUE"""),"กล่อง 4""x4""-ลายไม้สักทอง")</f>
        <v>กล่อง 4"x4"-ลายไม้สักทอง</v>
      </c>
    </row>
    <row r="1781">
      <c r="A1781" s="128" t="str">
        <f>IFERROR(__xludf.DUMMYFUNCTION("""COMPUTED_VALUE"""),"อลูมิเนียม")</f>
        <v>อลูมิเนียม</v>
      </c>
      <c r="B1781" s="128" t="str">
        <f>IFERROR(__xludf.DUMMYFUNCTION("""COMPUTED_VALUE"""),"กล่อง 4""x4""-ไวท์โอ็ค")</f>
        <v>กล่อง 4"x4"-ไวท์โอ็ค</v>
      </c>
    </row>
    <row r="1782">
      <c r="A1782" s="128" t="str">
        <f>IFERROR(__xludf.DUMMYFUNCTION("""COMPUTED_VALUE"""),"อลูมิเนียม")</f>
        <v>อลูมิเนียม</v>
      </c>
      <c r="B1782" s="128" t="str">
        <f>IFERROR(__xludf.DUMMYFUNCTION("""COMPUTED_VALUE"""),"กล่อง 4""x4""-มะฮอกกานี")</f>
        <v>กล่อง 4"x4"-มะฮอกกานี</v>
      </c>
    </row>
    <row r="1783">
      <c r="A1783" s="128" t="str">
        <f>IFERROR(__xludf.DUMMYFUNCTION("""COMPUTED_VALUE"""),"อลูมิเนียม")</f>
        <v>อลูมิเนียม</v>
      </c>
      <c r="B1783" s="128" t="str">
        <f>IFERROR(__xludf.DUMMYFUNCTION("""COMPUTED_VALUE"""),"กล่อง 4""x4""-อื่นๆ")</f>
        <v>กล่อง 4"x4"-อื่นๆ</v>
      </c>
    </row>
    <row r="1784">
      <c r="A1784" s="128" t="str">
        <f>IFERROR(__xludf.DUMMYFUNCTION("""COMPUTED_VALUE"""),"อลูมิเนียม")</f>
        <v>อลูมิเนียม</v>
      </c>
      <c r="B1784" s="128" t="str">
        <f>IFERROR(__xludf.DUMMYFUNCTION("""COMPUTED_VALUE"""),"กล่อง 4""x6""-มิว")</f>
        <v>กล่อง 4"x6"-มิว</v>
      </c>
    </row>
    <row r="1785">
      <c r="A1785" s="128" t="str">
        <f>IFERROR(__xludf.DUMMYFUNCTION("""COMPUTED_VALUE"""),"อลูมิเนียม")</f>
        <v>อลูมิเนียม</v>
      </c>
      <c r="B1785" s="128" t="str">
        <f>IFERROR(__xludf.DUMMYFUNCTION("""COMPUTED_VALUE"""),"กล่อง 4""x6""-อบขาว")</f>
        <v>กล่อง 4"x6"-อบขาว</v>
      </c>
    </row>
    <row r="1786">
      <c r="A1786" s="128" t="str">
        <f>IFERROR(__xludf.DUMMYFUNCTION("""COMPUTED_VALUE"""),"อลูมิเนียม")</f>
        <v>อลูมิเนียม</v>
      </c>
      <c r="B1786" s="128" t="str">
        <f>IFERROR(__xludf.DUMMYFUNCTION("""COMPUTED_VALUE"""),"กล่อง 4""x6""-ดำ")</f>
        <v>กล่อง 4"x6"-ดำ</v>
      </c>
    </row>
    <row r="1787">
      <c r="A1787" s="128" t="str">
        <f>IFERROR(__xludf.DUMMYFUNCTION("""COMPUTED_VALUE"""),"อลูมิเนียม")</f>
        <v>อลูมิเนียม</v>
      </c>
      <c r="B1787" s="128" t="str">
        <f>IFERROR(__xludf.DUMMYFUNCTION("""COMPUTED_VALUE"""),"กล่อง 4""x6""-เทาซาฮาร่า")</f>
        <v>กล่อง 4"x6"-เทาซาฮาร่า</v>
      </c>
    </row>
    <row r="1788">
      <c r="A1788" s="128" t="str">
        <f>IFERROR(__xludf.DUMMYFUNCTION("""COMPUTED_VALUE"""),"อลูมิเนียม")</f>
        <v>อลูมิเนียม</v>
      </c>
      <c r="B1788" s="128" t="str">
        <f>IFERROR(__xludf.DUMMYFUNCTION("""COMPUTED_VALUE"""),"กล่อง 4""x6""-Aztec gray")</f>
        <v>กล่อง 4"x6"-Aztec gray</v>
      </c>
    </row>
    <row r="1789">
      <c r="A1789" s="128" t="str">
        <f>IFERROR(__xludf.DUMMYFUNCTION("""COMPUTED_VALUE"""),"อลูมิเนียม")</f>
        <v>อลูมิเนียม</v>
      </c>
      <c r="B1789" s="128" t="str">
        <f>IFERROR(__xludf.DUMMYFUNCTION("""COMPUTED_VALUE"""),"กล่อง 4""x6""-ลายไม้สักทอง")</f>
        <v>กล่อง 4"x6"-ลายไม้สักทอง</v>
      </c>
    </row>
    <row r="1790">
      <c r="A1790" s="128" t="str">
        <f>IFERROR(__xludf.DUMMYFUNCTION("""COMPUTED_VALUE"""),"อลูมิเนียม")</f>
        <v>อลูมิเนียม</v>
      </c>
      <c r="B1790" s="128" t="str">
        <f>IFERROR(__xludf.DUMMYFUNCTION("""COMPUTED_VALUE"""),"กล่อง 4""x6""-ไวท์โอ็ค")</f>
        <v>กล่อง 4"x6"-ไวท์โอ็ค</v>
      </c>
    </row>
    <row r="1791">
      <c r="A1791" s="128" t="str">
        <f>IFERROR(__xludf.DUMMYFUNCTION("""COMPUTED_VALUE"""),"อลูมิเนียม")</f>
        <v>อลูมิเนียม</v>
      </c>
      <c r="B1791" s="128" t="str">
        <f>IFERROR(__xludf.DUMMYFUNCTION("""COMPUTED_VALUE"""),"กล่อง 4""x6""-มะฮอกกานี")</f>
        <v>กล่อง 4"x6"-มะฮอกกานี</v>
      </c>
    </row>
    <row r="1792">
      <c r="A1792" s="128" t="str">
        <f>IFERROR(__xludf.DUMMYFUNCTION("""COMPUTED_VALUE"""),"อลูมิเนียม")</f>
        <v>อลูมิเนียม</v>
      </c>
      <c r="B1792" s="128" t="str">
        <f>IFERROR(__xludf.DUMMYFUNCTION("""COMPUTED_VALUE"""),"กล่อง 4""x6""-อื่นๆ")</f>
        <v>กล่อง 4"x6"-อื่นๆ</v>
      </c>
    </row>
    <row r="1793">
      <c r="A1793" s="128" t="str">
        <f>IFERROR(__xludf.DUMMYFUNCTION("""COMPUTED_VALUE"""),"อลูมิเนียม")</f>
        <v>อลูมิเนียม</v>
      </c>
      <c r="B1793" s="128" t="str">
        <f>IFERROR(__xludf.DUMMYFUNCTION("""COMPUTED_VALUE"""),"ฉาก 6 หุน-มิว")</f>
        <v>ฉาก 6 หุน-มิว</v>
      </c>
    </row>
    <row r="1794">
      <c r="A1794" s="128" t="str">
        <f>IFERROR(__xludf.DUMMYFUNCTION("""COMPUTED_VALUE"""),"อลูมิเนียม")</f>
        <v>อลูมิเนียม</v>
      </c>
      <c r="B1794" s="128" t="str">
        <f>IFERROR(__xludf.DUMMYFUNCTION("""COMPUTED_VALUE"""),"ฉาก 6 หุน-อบขาว")</f>
        <v>ฉาก 6 หุน-อบขาว</v>
      </c>
    </row>
    <row r="1795">
      <c r="A1795" s="128" t="str">
        <f>IFERROR(__xludf.DUMMYFUNCTION("""COMPUTED_VALUE"""),"อลูมิเนียม")</f>
        <v>อลูมิเนียม</v>
      </c>
      <c r="B1795" s="128" t="str">
        <f>IFERROR(__xludf.DUMMYFUNCTION("""COMPUTED_VALUE"""),"ฉาก 6 หุน-ดำ")</f>
        <v>ฉาก 6 หุน-ดำ</v>
      </c>
    </row>
    <row r="1796">
      <c r="A1796" s="128" t="str">
        <f>IFERROR(__xludf.DUMMYFUNCTION("""COMPUTED_VALUE"""),"อลูมิเนียม")</f>
        <v>อลูมิเนียม</v>
      </c>
      <c r="B1796" s="128" t="str">
        <f>IFERROR(__xludf.DUMMYFUNCTION("""COMPUTED_VALUE"""),"ฉาก 6 หุน-เทาซาฮาร่า")</f>
        <v>ฉาก 6 หุน-เทาซาฮาร่า</v>
      </c>
    </row>
    <row r="1797">
      <c r="A1797" s="128" t="str">
        <f>IFERROR(__xludf.DUMMYFUNCTION("""COMPUTED_VALUE"""),"อลูมิเนียม")</f>
        <v>อลูมิเนียม</v>
      </c>
      <c r="B1797" s="128" t="str">
        <f>IFERROR(__xludf.DUMMYFUNCTION("""COMPUTED_VALUE"""),"ฉาก 6 หุน-Aztec gray")</f>
        <v>ฉาก 6 หุน-Aztec gray</v>
      </c>
    </row>
    <row r="1798">
      <c r="A1798" s="128" t="str">
        <f>IFERROR(__xludf.DUMMYFUNCTION("""COMPUTED_VALUE"""),"อลูมิเนียม")</f>
        <v>อลูมิเนียม</v>
      </c>
      <c r="B1798" s="128" t="str">
        <f>IFERROR(__xludf.DUMMYFUNCTION("""COMPUTED_VALUE"""),"ฉาก 6 หุน-ลายไม้สักทอง")</f>
        <v>ฉาก 6 หุน-ลายไม้สักทอง</v>
      </c>
    </row>
    <row r="1799">
      <c r="A1799" s="128" t="str">
        <f>IFERROR(__xludf.DUMMYFUNCTION("""COMPUTED_VALUE"""),"อลูมิเนียม")</f>
        <v>อลูมิเนียม</v>
      </c>
      <c r="B1799" s="128" t="str">
        <f>IFERROR(__xludf.DUMMYFUNCTION("""COMPUTED_VALUE"""),"ฉาก 6 หุน-ไวท์โอ็ค")</f>
        <v>ฉาก 6 หุน-ไวท์โอ็ค</v>
      </c>
    </row>
    <row r="1800">
      <c r="A1800" s="128" t="str">
        <f>IFERROR(__xludf.DUMMYFUNCTION("""COMPUTED_VALUE"""),"อลูมิเนียม")</f>
        <v>อลูมิเนียม</v>
      </c>
      <c r="B1800" s="128" t="str">
        <f>IFERROR(__xludf.DUMMYFUNCTION("""COMPUTED_VALUE"""),"ฉาก 6 หุน-มะฮอกกานี")</f>
        <v>ฉาก 6 หุน-มะฮอกกานี</v>
      </c>
    </row>
    <row r="1801">
      <c r="A1801" s="128" t="str">
        <f>IFERROR(__xludf.DUMMYFUNCTION("""COMPUTED_VALUE"""),"อลูมิเนียม")</f>
        <v>อลูมิเนียม</v>
      </c>
      <c r="B1801" s="128" t="str">
        <f>IFERROR(__xludf.DUMMYFUNCTION("""COMPUTED_VALUE"""),"ฉาก 6 หุน-อื่นๆ")</f>
        <v>ฉาก 6 หุน-อื่นๆ</v>
      </c>
    </row>
    <row r="1802">
      <c r="A1802" s="128" t="str">
        <f>IFERROR(__xludf.DUMMYFUNCTION("""COMPUTED_VALUE"""),"อลูมิเนียม")</f>
        <v>อลูมิเนียม</v>
      </c>
      <c r="B1802" s="128" t="str">
        <f>IFERROR(__xludf.DUMMYFUNCTION("""COMPUTED_VALUE"""),"ฉาก 4 หุน-มิว")</f>
        <v>ฉาก 4 หุน-มิว</v>
      </c>
    </row>
    <row r="1803">
      <c r="A1803" s="128" t="str">
        <f>IFERROR(__xludf.DUMMYFUNCTION("""COMPUTED_VALUE"""),"อลูมิเนียม")</f>
        <v>อลูมิเนียม</v>
      </c>
      <c r="B1803" s="128" t="str">
        <f>IFERROR(__xludf.DUMMYFUNCTION("""COMPUTED_VALUE"""),"ฉาก 4 หุน-อบขาว")</f>
        <v>ฉาก 4 หุน-อบขาว</v>
      </c>
    </row>
    <row r="1804">
      <c r="A1804" s="128" t="str">
        <f>IFERROR(__xludf.DUMMYFUNCTION("""COMPUTED_VALUE"""),"อลูมิเนียม")</f>
        <v>อลูมิเนียม</v>
      </c>
      <c r="B1804" s="128" t="str">
        <f>IFERROR(__xludf.DUMMYFUNCTION("""COMPUTED_VALUE"""),"ฉาก 4 หุน-ดำ")</f>
        <v>ฉาก 4 หุน-ดำ</v>
      </c>
    </row>
    <row r="1805">
      <c r="A1805" s="128" t="str">
        <f>IFERROR(__xludf.DUMMYFUNCTION("""COMPUTED_VALUE"""),"อลูมิเนียม")</f>
        <v>อลูมิเนียม</v>
      </c>
      <c r="B1805" s="128" t="str">
        <f>IFERROR(__xludf.DUMMYFUNCTION("""COMPUTED_VALUE"""),"ฉาก 4 หุน-เทาซาฮาร่า")</f>
        <v>ฉาก 4 หุน-เทาซาฮาร่า</v>
      </c>
    </row>
    <row r="1806">
      <c r="A1806" s="128" t="str">
        <f>IFERROR(__xludf.DUMMYFUNCTION("""COMPUTED_VALUE"""),"อลูมิเนียม")</f>
        <v>อลูมิเนียม</v>
      </c>
      <c r="B1806" s="128" t="str">
        <f>IFERROR(__xludf.DUMMYFUNCTION("""COMPUTED_VALUE"""),"ฉาก 4 หุน-Aztec gray")</f>
        <v>ฉาก 4 หุน-Aztec gray</v>
      </c>
    </row>
    <row r="1807">
      <c r="A1807" s="128" t="str">
        <f>IFERROR(__xludf.DUMMYFUNCTION("""COMPUTED_VALUE"""),"อลูมิเนียม")</f>
        <v>อลูมิเนียม</v>
      </c>
      <c r="B1807" s="128" t="str">
        <f>IFERROR(__xludf.DUMMYFUNCTION("""COMPUTED_VALUE"""),"ฉาก 4 หุน-ลายไม้สักทอง")</f>
        <v>ฉาก 4 หุน-ลายไม้สักทอง</v>
      </c>
    </row>
    <row r="1808">
      <c r="A1808" s="128" t="str">
        <f>IFERROR(__xludf.DUMMYFUNCTION("""COMPUTED_VALUE"""),"อลูมิเนียม")</f>
        <v>อลูมิเนียม</v>
      </c>
      <c r="B1808" s="128" t="str">
        <f>IFERROR(__xludf.DUMMYFUNCTION("""COMPUTED_VALUE"""),"ฉาก 4 หุน-ไวท์โอ็ค")</f>
        <v>ฉาก 4 หุน-ไวท์โอ็ค</v>
      </c>
    </row>
    <row r="1809">
      <c r="A1809" s="128" t="str">
        <f>IFERROR(__xludf.DUMMYFUNCTION("""COMPUTED_VALUE"""),"อลูมิเนียม")</f>
        <v>อลูมิเนียม</v>
      </c>
      <c r="B1809" s="128" t="str">
        <f>IFERROR(__xludf.DUMMYFUNCTION("""COMPUTED_VALUE"""),"ฉาก 4 หุน-มะฮอกกานี")</f>
        <v>ฉาก 4 หุน-มะฮอกกานี</v>
      </c>
    </row>
    <row r="1810">
      <c r="A1810" s="128" t="str">
        <f>IFERROR(__xludf.DUMMYFUNCTION("""COMPUTED_VALUE"""),"อลูมิเนียม")</f>
        <v>อลูมิเนียม</v>
      </c>
      <c r="B1810" s="128" t="str">
        <f>IFERROR(__xludf.DUMMYFUNCTION("""COMPUTED_VALUE"""),"ฉาก 4 หุน-อื่นๆ")</f>
        <v>ฉาก 4 หุน-อื่นๆ</v>
      </c>
    </row>
    <row r="1811">
      <c r="A1811" s="128" t="str">
        <f>IFERROR(__xludf.DUMMYFUNCTION("""COMPUTED_VALUE"""),"อลูมิเนียม")</f>
        <v>อลูมิเนียม</v>
      </c>
      <c r="B1811" s="128" t="str">
        <f>IFERROR(__xludf.DUMMYFUNCTION("""COMPUTED_VALUE"""),"ฉากเสริม-มิว")</f>
        <v>ฉากเสริม-มิว</v>
      </c>
    </row>
    <row r="1812">
      <c r="A1812" s="128" t="str">
        <f>IFERROR(__xludf.DUMMYFUNCTION("""COMPUTED_VALUE"""),"อลูมิเนียม")</f>
        <v>อลูมิเนียม</v>
      </c>
      <c r="B1812" s="128" t="str">
        <f>IFERROR(__xludf.DUMMYFUNCTION("""COMPUTED_VALUE"""),"ฉากเสริม-อบขาว")</f>
        <v>ฉากเสริม-อบขาว</v>
      </c>
    </row>
    <row r="1813">
      <c r="A1813" s="128" t="str">
        <f>IFERROR(__xludf.DUMMYFUNCTION("""COMPUTED_VALUE"""),"อลูมิเนียม")</f>
        <v>อลูมิเนียม</v>
      </c>
      <c r="B1813" s="128" t="str">
        <f>IFERROR(__xludf.DUMMYFUNCTION("""COMPUTED_VALUE"""),"ฉากเสริม-ดำ")</f>
        <v>ฉากเสริม-ดำ</v>
      </c>
    </row>
    <row r="1814">
      <c r="A1814" s="128" t="str">
        <f>IFERROR(__xludf.DUMMYFUNCTION("""COMPUTED_VALUE"""),"อลูมิเนียม")</f>
        <v>อลูมิเนียม</v>
      </c>
      <c r="B1814" s="128" t="str">
        <f>IFERROR(__xludf.DUMMYFUNCTION("""COMPUTED_VALUE"""),"ฉากเสริม-เทาซาฮาร่า")</f>
        <v>ฉากเสริม-เทาซาฮาร่า</v>
      </c>
    </row>
    <row r="1815">
      <c r="A1815" s="128" t="str">
        <f>IFERROR(__xludf.DUMMYFUNCTION("""COMPUTED_VALUE"""),"อลูมิเนียม")</f>
        <v>อลูมิเนียม</v>
      </c>
      <c r="B1815" s="128" t="str">
        <f>IFERROR(__xludf.DUMMYFUNCTION("""COMPUTED_VALUE"""),"ฉากเสริม-Aztec gray")</f>
        <v>ฉากเสริม-Aztec gray</v>
      </c>
    </row>
    <row r="1816">
      <c r="A1816" s="128" t="str">
        <f>IFERROR(__xludf.DUMMYFUNCTION("""COMPUTED_VALUE"""),"อลูมิเนียม")</f>
        <v>อลูมิเนียม</v>
      </c>
      <c r="B1816" s="128" t="str">
        <f>IFERROR(__xludf.DUMMYFUNCTION("""COMPUTED_VALUE"""),"ฉากเสริม-ลายไม้สักทอง")</f>
        <v>ฉากเสริม-ลายไม้สักทอง</v>
      </c>
    </row>
    <row r="1817">
      <c r="A1817" s="128" t="str">
        <f>IFERROR(__xludf.DUMMYFUNCTION("""COMPUTED_VALUE"""),"อลูมิเนียม")</f>
        <v>อลูมิเนียม</v>
      </c>
      <c r="B1817" s="128" t="str">
        <f>IFERROR(__xludf.DUMMYFUNCTION("""COMPUTED_VALUE"""),"ฉากเสริม-ไวท์โอ็ค")</f>
        <v>ฉากเสริม-ไวท์โอ็ค</v>
      </c>
    </row>
    <row r="1818">
      <c r="A1818" s="128" t="str">
        <f>IFERROR(__xludf.DUMMYFUNCTION("""COMPUTED_VALUE"""),"อลูมิเนียม")</f>
        <v>อลูมิเนียม</v>
      </c>
      <c r="B1818" s="128" t="str">
        <f>IFERROR(__xludf.DUMMYFUNCTION("""COMPUTED_VALUE"""),"ฉากเสริม-มะฮอกกานี")</f>
        <v>ฉากเสริม-มะฮอกกานี</v>
      </c>
    </row>
    <row r="1819">
      <c r="A1819" s="128" t="str">
        <f>IFERROR(__xludf.DUMMYFUNCTION("""COMPUTED_VALUE"""),"อลูมิเนียม")</f>
        <v>อลูมิเนียม</v>
      </c>
      <c r="B1819" s="128" t="str">
        <f>IFERROR(__xludf.DUMMYFUNCTION("""COMPUTED_VALUE"""),"ฉากเสริม-อื่นๆ")</f>
        <v>ฉากเสริม-อื่นๆ</v>
      </c>
    </row>
    <row r="1820">
      <c r="A1820" s="128" t="str">
        <f>IFERROR(__xludf.DUMMYFUNCTION("""COMPUTED_VALUE"""),"อลูมิเนียม")</f>
        <v>อลูมิเนียม</v>
      </c>
      <c r="B1820" s="128" t="str">
        <f>IFERROR(__xludf.DUMMYFUNCTION("""COMPUTED_VALUE"""),"ฉาก 1""-มิว")</f>
        <v>ฉาก 1"-มิว</v>
      </c>
    </row>
    <row r="1821">
      <c r="A1821" s="128" t="str">
        <f>IFERROR(__xludf.DUMMYFUNCTION("""COMPUTED_VALUE"""),"อลูมิเนียม")</f>
        <v>อลูมิเนียม</v>
      </c>
      <c r="B1821" s="128" t="str">
        <f>IFERROR(__xludf.DUMMYFUNCTION("""COMPUTED_VALUE"""),"ฉาก 1""-อบขาว")</f>
        <v>ฉาก 1"-อบขาว</v>
      </c>
    </row>
    <row r="1822">
      <c r="A1822" s="128" t="str">
        <f>IFERROR(__xludf.DUMMYFUNCTION("""COMPUTED_VALUE"""),"อลูมิเนียม")</f>
        <v>อลูมิเนียม</v>
      </c>
      <c r="B1822" s="128" t="str">
        <f>IFERROR(__xludf.DUMMYFUNCTION("""COMPUTED_VALUE"""),"ฉาก 1""-ดำ")</f>
        <v>ฉาก 1"-ดำ</v>
      </c>
    </row>
    <row r="1823">
      <c r="A1823" s="128" t="str">
        <f>IFERROR(__xludf.DUMMYFUNCTION("""COMPUTED_VALUE"""),"อลูมิเนียม")</f>
        <v>อลูมิเนียม</v>
      </c>
      <c r="B1823" s="128" t="str">
        <f>IFERROR(__xludf.DUMMYFUNCTION("""COMPUTED_VALUE"""),"ฉาก 1""-เทาซาฮาร่า")</f>
        <v>ฉาก 1"-เทาซาฮาร่า</v>
      </c>
    </row>
    <row r="1824">
      <c r="A1824" s="128" t="str">
        <f>IFERROR(__xludf.DUMMYFUNCTION("""COMPUTED_VALUE"""),"อลูมิเนียม")</f>
        <v>อลูมิเนียม</v>
      </c>
      <c r="B1824" s="128" t="str">
        <f>IFERROR(__xludf.DUMMYFUNCTION("""COMPUTED_VALUE"""),"ฉาก 1""-Aztec gray")</f>
        <v>ฉาก 1"-Aztec gray</v>
      </c>
    </row>
    <row r="1825">
      <c r="A1825" s="128" t="str">
        <f>IFERROR(__xludf.DUMMYFUNCTION("""COMPUTED_VALUE"""),"อลูมิเนียม")</f>
        <v>อลูมิเนียม</v>
      </c>
      <c r="B1825" s="128" t="str">
        <f>IFERROR(__xludf.DUMMYFUNCTION("""COMPUTED_VALUE"""),"ฉาก 1""-ลายไม้สักทอง")</f>
        <v>ฉาก 1"-ลายไม้สักทอง</v>
      </c>
    </row>
    <row r="1826">
      <c r="A1826" s="128" t="str">
        <f>IFERROR(__xludf.DUMMYFUNCTION("""COMPUTED_VALUE"""),"อลูมิเนียม")</f>
        <v>อลูมิเนียม</v>
      </c>
      <c r="B1826" s="128" t="str">
        <f>IFERROR(__xludf.DUMMYFUNCTION("""COMPUTED_VALUE"""),"ฉาก 1""-ไวท์โอ็ค")</f>
        <v>ฉาก 1"-ไวท์โอ็ค</v>
      </c>
    </row>
    <row r="1827">
      <c r="A1827" s="128" t="str">
        <f>IFERROR(__xludf.DUMMYFUNCTION("""COMPUTED_VALUE"""),"อลูมิเนียม")</f>
        <v>อลูมิเนียม</v>
      </c>
      <c r="B1827" s="128" t="str">
        <f>IFERROR(__xludf.DUMMYFUNCTION("""COMPUTED_VALUE"""),"ฉาก 1""-มะฮอกกานี")</f>
        <v>ฉาก 1"-มะฮอกกานี</v>
      </c>
    </row>
    <row r="1828">
      <c r="A1828" s="128" t="str">
        <f>IFERROR(__xludf.DUMMYFUNCTION("""COMPUTED_VALUE"""),"อลูมิเนียม")</f>
        <v>อลูมิเนียม</v>
      </c>
      <c r="B1828" s="128" t="str">
        <f>IFERROR(__xludf.DUMMYFUNCTION("""COMPUTED_VALUE"""),"ฉาก 1""-อื่นๆ")</f>
        <v>ฉาก 1"-อื่นๆ</v>
      </c>
    </row>
    <row r="1829">
      <c r="A1829" s="128" t="str">
        <f>IFERROR(__xludf.DUMMYFUNCTION("""COMPUTED_VALUE"""),"อลูมิเนียม")</f>
        <v>อลูมิเนียม</v>
      </c>
      <c r="B1829" s="128" t="str">
        <f>IFERROR(__xludf.DUMMYFUNCTION("""COMPUTED_VALUE"""),"ฉาก 2""-มิว")</f>
        <v>ฉาก 2"-มิว</v>
      </c>
    </row>
    <row r="1830">
      <c r="A1830" s="128" t="str">
        <f>IFERROR(__xludf.DUMMYFUNCTION("""COMPUTED_VALUE"""),"อลูมิเนียม")</f>
        <v>อลูมิเนียม</v>
      </c>
      <c r="B1830" s="128" t="str">
        <f>IFERROR(__xludf.DUMMYFUNCTION("""COMPUTED_VALUE"""),"ฉาก 2""-อบขาว")</f>
        <v>ฉาก 2"-อบขาว</v>
      </c>
    </row>
    <row r="1831">
      <c r="A1831" s="128" t="str">
        <f>IFERROR(__xludf.DUMMYFUNCTION("""COMPUTED_VALUE"""),"อลูมิเนียม")</f>
        <v>อลูมิเนียม</v>
      </c>
      <c r="B1831" s="128" t="str">
        <f>IFERROR(__xludf.DUMMYFUNCTION("""COMPUTED_VALUE"""),"ฉาก 2""-ดำ")</f>
        <v>ฉาก 2"-ดำ</v>
      </c>
    </row>
    <row r="1832">
      <c r="A1832" s="128" t="str">
        <f>IFERROR(__xludf.DUMMYFUNCTION("""COMPUTED_VALUE"""),"อลูมิเนียม")</f>
        <v>อลูมิเนียม</v>
      </c>
      <c r="B1832" s="128" t="str">
        <f>IFERROR(__xludf.DUMMYFUNCTION("""COMPUTED_VALUE"""),"ฉาก 2""-เทาซาฮาร่า")</f>
        <v>ฉาก 2"-เทาซาฮาร่า</v>
      </c>
    </row>
    <row r="1833">
      <c r="A1833" s="128" t="str">
        <f>IFERROR(__xludf.DUMMYFUNCTION("""COMPUTED_VALUE"""),"อลูมิเนียม")</f>
        <v>อลูมิเนียม</v>
      </c>
      <c r="B1833" s="128" t="str">
        <f>IFERROR(__xludf.DUMMYFUNCTION("""COMPUTED_VALUE"""),"ฉาก 2""-Aztec gray")</f>
        <v>ฉาก 2"-Aztec gray</v>
      </c>
    </row>
    <row r="1834">
      <c r="A1834" s="128" t="str">
        <f>IFERROR(__xludf.DUMMYFUNCTION("""COMPUTED_VALUE"""),"อลูมิเนียม")</f>
        <v>อลูมิเนียม</v>
      </c>
      <c r="B1834" s="128" t="str">
        <f>IFERROR(__xludf.DUMMYFUNCTION("""COMPUTED_VALUE"""),"ฉาก 2""-ลายไม้สักทอง")</f>
        <v>ฉาก 2"-ลายไม้สักทอง</v>
      </c>
    </row>
    <row r="1835">
      <c r="A1835" s="128" t="str">
        <f>IFERROR(__xludf.DUMMYFUNCTION("""COMPUTED_VALUE"""),"อลูมิเนียม")</f>
        <v>อลูมิเนียม</v>
      </c>
      <c r="B1835" s="128" t="str">
        <f>IFERROR(__xludf.DUMMYFUNCTION("""COMPUTED_VALUE"""),"ฉาก 2""-ไวท์โอ็ค")</f>
        <v>ฉาก 2"-ไวท์โอ็ค</v>
      </c>
    </row>
    <row r="1836">
      <c r="A1836" s="128" t="str">
        <f>IFERROR(__xludf.DUMMYFUNCTION("""COMPUTED_VALUE"""),"อลูมิเนียม")</f>
        <v>อลูมิเนียม</v>
      </c>
      <c r="B1836" s="128" t="str">
        <f>IFERROR(__xludf.DUMMYFUNCTION("""COMPUTED_VALUE"""),"ฉาก 2""-มะฮอกกานี")</f>
        <v>ฉาก 2"-มะฮอกกานี</v>
      </c>
    </row>
    <row r="1837">
      <c r="A1837" s="128" t="str">
        <f>IFERROR(__xludf.DUMMYFUNCTION("""COMPUTED_VALUE"""),"อลูมิเนียม")</f>
        <v>อลูมิเนียม</v>
      </c>
      <c r="B1837" s="128" t="str">
        <f>IFERROR(__xludf.DUMMYFUNCTION("""COMPUTED_VALUE"""),"ฉาก 2""-อื่นๆ")</f>
        <v>ฉาก 2"-อื่นๆ</v>
      </c>
    </row>
    <row r="1838">
      <c r="A1838" s="128" t="str">
        <f>IFERROR(__xludf.DUMMYFUNCTION("""COMPUTED_VALUE"""),"อลูมิเนียม")</f>
        <v>อลูมิเนียม</v>
      </c>
      <c r="B1838" s="128" t="str">
        <f>IFERROR(__xludf.DUMMYFUNCTION("""COMPUTED_VALUE"""),"ฉาก 3""-มิว")</f>
        <v>ฉาก 3"-มิว</v>
      </c>
    </row>
    <row r="1839">
      <c r="A1839" s="128" t="str">
        <f>IFERROR(__xludf.DUMMYFUNCTION("""COMPUTED_VALUE"""),"อลูมิเนียม")</f>
        <v>อลูมิเนียม</v>
      </c>
      <c r="B1839" s="128" t="str">
        <f>IFERROR(__xludf.DUMMYFUNCTION("""COMPUTED_VALUE"""),"ฉาก 3""-อบขาว")</f>
        <v>ฉาก 3"-อบขาว</v>
      </c>
    </row>
    <row r="1840">
      <c r="A1840" s="128" t="str">
        <f>IFERROR(__xludf.DUMMYFUNCTION("""COMPUTED_VALUE"""),"อลูมิเนียม")</f>
        <v>อลูมิเนียม</v>
      </c>
      <c r="B1840" s="128" t="str">
        <f>IFERROR(__xludf.DUMMYFUNCTION("""COMPUTED_VALUE"""),"ฉาก 3""-ดำ")</f>
        <v>ฉาก 3"-ดำ</v>
      </c>
    </row>
    <row r="1841">
      <c r="A1841" s="128" t="str">
        <f>IFERROR(__xludf.DUMMYFUNCTION("""COMPUTED_VALUE"""),"อลูมิเนียม")</f>
        <v>อลูมิเนียม</v>
      </c>
      <c r="B1841" s="128" t="str">
        <f>IFERROR(__xludf.DUMMYFUNCTION("""COMPUTED_VALUE"""),"ฉาก 3""-เทาซาฮาร่า")</f>
        <v>ฉาก 3"-เทาซาฮาร่า</v>
      </c>
    </row>
    <row r="1842">
      <c r="A1842" s="128" t="str">
        <f>IFERROR(__xludf.DUMMYFUNCTION("""COMPUTED_VALUE"""),"อลูมิเนียม")</f>
        <v>อลูมิเนียม</v>
      </c>
      <c r="B1842" s="128" t="str">
        <f>IFERROR(__xludf.DUMMYFUNCTION("""COMPUTED_VALUE"""),"ฉาก 3""-Aztec gray")</f>
        <v>ฉาก 3"-Aztec gray</v>
      </c>
    </row>
    <row r="1843">
      <c r="A1843" s="128" t="str">
        <f>IFERROR(__xludf.DUMMYFUNCTION("""COMPUTED_VALUE"""),"อลูมิเนียม")</f>
        <v>อลูมิเนียม</v>
      </c>
      <c r="B1843" s="128" t="str">
        <f>IFERROR(__xludf.DUMMYFUNCTION("""COMPUTED_VALUE"""),"ฉาก 3""-ลายไม้สักทอง")</f>
        <v>ฉาก 3"-ลายไม้สักทอง</v>
      </c>
    </row>
    <row r="1844">
      <c r="A1844" s="128" t="str">
        <f>IFERROR(__xludf.DUMMYFUNCTION("""COMPUTED_VALUE"""),"อลูมิเนียม")</f>
        <v>อลูมิเนียม</v>
      </c>
      <c r="B1844" s="128" t="str">
        <f>IFERROR(__xludf.DUMMYFUNCTION("""COMPUTED_VALUE"""),"ฉาก 3""-ไวท์โอ็ค")</f>
        <v>ฉาก 3"-ไวท์โอ็ค</v>
      </c>
    </row>
    <row r="1845">
      <c r="A1845" s="128" t="str">
        <f>IFERROR(__xludf.DUMMYFUNCTION("""COMPUTED_VALUE"""),"อลูมิเนียม")</f>
        <v>อลูมิเนียม</v>
      </c>
      <c r="B1845" s="128" t="str">
        <f>IFERROR(__xludf.DUMMYFUNCTION("""COMPUTED_VALUE"""),"ฉาก 3""-มะฮอกกานี")</f>
        <v>ฉาก 3"-มะฮอกกานี</v>
      </c>
    </row>
    <row r="1846">
      <c r="A1846" s="128" t="str">
        <f>IFERROR(__xludf.DUMMYFUNCTION("""COMPUTED_VALUE"""),"อลูมิเนียม")</f>
        <v>อลูมิเนียม</v>
      </c>
      <c r="B1846" s="128" t="str">
        <f>IFERROR(__xludf.DUMMYFUNCTION("""COMPUTED_VALUE"""),"ฉาก 3""-อื่นๆ")</f>
        <v>ฉาก 3"-อื่นๆ</v>
      </c>
    </row>
    <row r="1847">
      <c r="A1847" s="128" t="str">
        <f>IFERROR(__xludf.DUMMYFUNCTION("""COMPUTED_VALUE"""),"อลูมิเนียม")</f>
        <v>อลูมิเนียม</v>
      </c>
      <c r="B1847" s="128" t="str">
        <f>IFERROR(__xludf.DUMMYFUNCTION("""COMPUTED_VALUE"""),"ฉาก 4""-มิว")</f>
        <v>ฉาก 4"-มิว</v>
      </c>
    </row>
    <row r="1848">
      <c r="A1848" s="128" t="str">
        <f>IFERROR(__xludf.DUMMYFUNCTION("""COMPUTED_VALUE"""),"อลูมิเนียม")</f>
        <v>อลูมิเนียม</v>
      </c>
      <c r="B1848" s="128" t="str">
        <f>IFERROR(__xludf.DUMMYFUNCTION("""COMPUTED_VALUE"""),"ฉาก 4""-อบขาว")</f>
        <v>ฉาก 4"-อบขาว</v>
      </c>
    </row>
    <row r="1849">
      <c r="A1849" s="128" t="str">
        <f>IFERROR(__xludf.DUMMYFUNCTION("""COMPUTED_VALUE"""),"อลูมิเนียม")</f>
        <v>อลูมิเนียม</v>
      </c>
      <c r="B1849" s="128" t="str">
        <f>IFERROR(__xludf.DUMMYFUNCTION("""COMPUTED_VALUE"""),"ฉาก 4""-ดำ")</f>
        <v>ฉาก 4"-ดำ</v>
      </c>
    </row>
    <row r="1850">
      <c r="A1850" s="128" t="str">
        <f>IFERROR(__xludf.DUMMYFUNCTION("""COMPUTED_VALUE"""),"อลูมิเนียม")</f>
        <v>อลูมิเนียม</v>
      </c>
      <c r="B1850" s="128" t="str">
        <f>IFERROR(__xludf.DUMMYFUNCTION("""COMPUTED_VALUE"""),"ฉาก 4""-เทาซาฮาร่า")</f>
        <v>ฉาก 4"-เทาซาฮาร่า</v>
      </c>
    </row>
    <row r="1851">
      <c r="A1851" s="128" t="str">
        <f>IFERROR(__xludf.DUMMYFUNCTION("""COMPUTED_VALUE"""),"อลูมิเนียม")</f>
        <v>อลูมิเนียม</v>
      </c>
      <c r="B1851" s="128" t="str">
        <f>IFERROR(__xludf.DUMMYFUNCTION("""COMPUTED_VALUE"""),"ฉาก 4""-Aztec gray")</f>
        <v>ฉาก 4"-Aztec gray</v>
      </c>
    </row>
    <row r="1852">
      <c r="A1852" s="128" t="str">
        <f>IFERROR(__xludf.DUMMYFUNCTION("""COMPUTED_VALUE"""),"อลูมิเนียม")</f>
        <v>อลูมิเนียม</v>
      </c>
      <c r="B1852" s="128" t="str">
        <f>IFERROR(__xludf.DUMMYFUNCTION("""COMPUTED_VALUE"""),"ฉาก 4""-ลายไม้สักทอง")</f>
        <v>ฉาก 4"-ลายไม้สักทอง</v>
      </c>
    </row>
    <row r="1853">
      <c r="A1853" s="128" t="str">
        <f>IFERROR(__xludf.DUMMYFUNCTION("""COMPUTED_VALUE"""),"อลูมิเนียม")</f>
        <v>อลูมิเนียม</v>
      </c>
      <c r="B1853" s="128" t="str">
        <f>IFERROR(__xludf.DUMMYFUNCTION("""COMPUTED_VALUE"""),"ฉาก 4""-ไวท์โอ็ค")</f>
        <v>ฉาก 4"-ไวท์โอ็ค</v>
      </c>
    </row>
    <row r="1854">
      <c r="A1854" s="128" t="str">
        <f>IFERROR(__xludf.DUMMYFUNCTION("""COMPUTED_VALUE"""),"อลูมิเนียม")</f>
        <v>อลูมิเนียม</v>
      </c>
      <c r="B1854" s="128" t="str">
        <f>IFERROR(__xludf.DUMMYFUNCTION("""COMPUTED_VALUE"""),"ฉาก 4""-มะฮอกกานี")</f>
        <v>ฉาก 4"-มะฮอกกานี</v>
      </c>
    </row>
    <row r="1855">
      <c r="A1855" s="128" t="str">
        <f>IFERROR(__xludf.DUMMYFUNCTION("""COMPUTED_VALUE"""),"อลูมิเนียม")</f>
        <v>อลูมิเนียม</v>
      </c>
      <c r="B1855" s="128" t="str">
        <f>IFERROR(__xludf.DUMMYFUNCTION("""COMPUTED_VALUE"""),"ฉาก 4""-อื่นๆ")</f>
        <v>ฉาก 4"-อื่นๆ</v>
      </c>
    </row>
    <row r="1856">
      <c r="A1856" s="128" t="str">
        <f>IFERROR(__xludf.DUMMYFUNCTION("""COMPUTED_VALUE"""),"อลูมิเนียม")</f>
        <v>อลูมิเนียม</v>
      </c>
      <c r="B1856" s="128" t="str">
        <f>IFERROR(__xludf.DUMMYFUNCTION("""COMPUTED_VALUE"""),"ยู 4 หุน-มิว")</f>
        <v>ยู 4 หุน-มิว</v>
      </c>
    </row>
    <row r="1857">
      <c r="A1857" s="128" t="str">
        <f>IFERROR(__xludf.DUMMYFUNCTION("""COMPUTED_VALUE"""),"อลูมิเนียม")</f>
        <v>อลูมิเนียม</v>
      </c>
      <c r="B1857" s="128" t="str">
        <f>IFERROR(__xludf.DUMMYFUNCTION("""COMPUTED_VALUE"""),"ยู 4 หุน-อบขาว")</f>
        <v>ยู 4 หุน-อบขาว</v>
      </c>
    </row>
    <row r="1858">
      <c r="A1858" s="128" t="str">
        <f>IFERROR(__xludf.DUMMYFUNCTION("""COMPUTED_VALUE"""),"อลูมิเนียม")</f>
        <v>อลูมิเนียม</v>
      </c>
      <c r="B1858" s="128" t="str">
        <f>IFERROR(__xludf.DUMMYFUNCTION("""COMPUTED_VALUE"""),"ยู 4 หุน-ดำ")</f>
        <v>ยู 4 หุน-ดำ</v>
      </c>
    </row>
    <row r="1859">
      <c r="A1859" s="128" t="str">
        <f>IFERROR(__xludf.DUMMYFUNCTION("""COMPUTED_VALUE"""),"อลูมิเนียม")</f>
        <v>อลูมิเนียม</v>
      </c>
      <c r="B1859" s="128" t="str">
        <f>IFERROR(__xludf.DUMMYFUNCTION("""COMPUTED_VALUE"""),"ยู 4 หุน-เทาซาฮาร่า")</f>
        <v>ยู 4 หุน-เทาซาฮาร่า</v>
      </c>
    </row>
    <row r="1860">
      <c r="A1860" s="128" t="str">
        <f>IFERROR(__xludf.DUMMYFUNCTION("""COMPUTED_VALUE"""),"อลูมิเนียม")</f>
        <v>อลูมิเนียม</v>
      </c>
      <c r="B1860" s="128" t="str">
        <f>IFERROR(__xludf.DUMMYFUNCTION("""COMPUTED_VALUE"""),"ยู 4 หุน-Aztec gray")</f>
        <v>ยู 4 หุน-Aztec gray</v>
      </c>
    </row>
    <row r="1861">
      <c r="A1861" s="128" t="str">
        <f>IFERROR(__xludf.DUMMYFUNCTION("""COMPUTED_VALUE"""),"อลูมิเนียม")</f>
        <v>อลูมิเนียม</v>
      </c>
      <c r="B1861" s="128" t="str">
        <f>IFERROR(__xludf.DUMMYFUNCTION("""COMPUTED_VALUE"""),"ยู 4 หุน-ลายไม้สักทอง")</f>
        <v>ยู 4 หุน-ลายไม้สักทอง</v>
      </c>
    </row>
    <row r="1862">
      <c r="A1862" s="128" t="str">
        <f>IFERROR(__xludf.DUMMYFUNCTION("""COMPUTED_VALUE"""),"อลูมิเนียม")</f>
        <v>อลูมิเนียม</v>
      </c>
      <c r="B1862" s="128" t="str">
        <f>IFERROR(__xludf.DUMMYFUNCTION("""COMPUTED_VALUE"""),"ยู 4 หุน-ไวท์โอ็ค")</f>
        <v>ยู 4 หุน-ไวท์โอ็ค</v>
      </c>
    </row>
    <row r="1863">
      <c r="A1863" s="128" t="str">
        <f>IFERROR(__xludf.DUMMYFUNCTION("""COMPUTED_VALUE"""),"อลูมิเนียม")</f>
        <v>อลูมิเนียม</v>
      </c>
      <c r="B1863" s="128" t="str">
        <f>IFERROR(__xludf.DUMMYFUNCTION("""COMPUTED_VALUE"""),"ยู 4 หุน-มะฮอกกานี")</f>
        <v>ยู 4 หุน-มะฮอกกานี</v>
      </c>
    </row>
    <row r="1864">
      <c r="A1864" s="128" t="str">
        <f>IFERROR(__xludf.DUMMYFUNCTION("""COMPUTED_VALUE"""),"อลูมิเนียม")</f>
        <v>อลูมิเนียม</v>
      </c>
      <c r="B1864" s="128" t="str">
        <f>IFERROR(__xludf.DUMMYFUNCTION("""COMPUTED_VALUE"""),"ยู 4 หุน-อื่นๆ")</f>
        <v>ยู 4 หุน-อื่นๆ</v>
      </c>
    </row>
    <row r="1865">
      <c r="A1865" s="128" t="str">
        <f>IFERROR(__xludf.DUMMYFUNCTION("""COMPUTED_VALUE"""),"อลูมิเนียม")</f>
        <v>อลูมิเนียม</v>
      </c>
      <c r="B1865" s="128" t="str">
        <f>IFERROR(__xludf.DUMMYFUNCTION("""COMPUTED_VALUE"""),"ยู 6 หุน-มิว")</f>
        <v>ยู 6 หุน-มิว</v>
      </c>
    </row>
    <row r="1866">
      <c r="A1866" s="128" t="str">
        <f>IFERROR(__xludf.DUMMYFUNCTION("""COMPUTED_VALUE"""),"อลูมิเนียม")</f>
        <v>อลูมิเนียม</v>
      </c>
      <c r="B1866" s="128" t="str">
        <f>IFERROR(__xludf.DUMMYFUNCTION("""COMPUTED_VALUE"""),"ยู 6 หุน-อบขาว")</f>
        <v>ยู 6 หุน-อบขาว</v>
      </c>
    </row>
    <row r="1867">
      <c r="A1867" s="128" t="str">
        <f>IFERROR(__xludf.DUMMYFUNCTION("""COMPUTED_VALUE"""),"อลูมิเนียม")</f>
        <v>อลูมิเนียม</v>
      </c>
      <c r="B1867" s="128" t="str">
        <f>IFERROR(__xludf.DUMMYFUNCTION("""COMPUTED_VALUE"""),"ยู 6 หุน-ดำ")</f>
        <v>ยู 6 หุน-ดำ</v>
      </c>
    </row>
    <row r="1868">
      <c r="A1868" s="128" t="str">
        <f>IFERROR(__xludf.DUMMYFUNCTION("""COMPUTED_VALUE"""),"อลูมิเนียม")</f>
        <v>อลูมิเนียม</v>
      </c>
      <c r="B1868" s="128" t="str">
        <f>IFERROR(__xludf.DUMMYFUNCTION("""COMPUTED_VALUE"""),"ยู 6 หุน-เทาซาฮาร่า")</f>
        <v>ยู 6 หุน-เทาซาฮาร่า</v>
      </c>
    </row>
    <row r="1869">
      <c r="A1869" s="128" t="str">
        <f>IFERROR(__xludf.DUMMYFUNCTION("""COMPUTED_VALUE"""),"อลูมิเนียม")</f>
        <v>อลูมิเนียม</v>
      </c>
      <c r="B1869" s="128" t="str">
        <f>IFERROR(__xludf.DUMMYFUNCTION("""COMPUTED_VALUE"""),"ยู 6 หุน-Aztec gray")</f>
        <v>ยู 6 หุน-Aztec gray</v>
      </c>
    </row>
    <row r="1870">
      <c r="A1870" s="128" t="str">
        <f>IFERROR(__xludf.DUMMYFUNCTION("""COMPUTED_VALUE"""),"อลูมิเนียม")</f>
        <v>อลูมิเนียม</v>
      </c>
      <c r="B1870" s="128" t="str">
        <f>IFERROR(__xludf.DUMMYFUNCTION("""COMPUTED_VALUE"""),"ยู 6 หุน-ลายไม้สักทอง")</f>
        <v>ยู 6 หุน-ลายไม้สักทอง</v>
      </c>
    </row>
    <row r="1871">
      <c r="A1871" s="128" t="str">
        <f>IFERROR(__xludf.DUMMYFUNCTION("""COMPUTED_VALUE"""),"อลูมิเนียม")</f>
        <v>อลูมิเนียม</v>
      </c>
      <c r="B1871" s="128" t="str">
        <f>IFERROR(__xludf.DUMMYFUNCTION("""COMPUTED_VALUE"""),"ยู 6 หุน-ไวท์โอ็ค")</f>
        <v>ยู 6 หุน-ไวท์โอ็ค</v>
      </c>
    </row>
    <row r="1872">
      <c r="A1872" s="128" t="str">
        <f>IFERROR(__xludf.DUMMYFUNCTION("""COMPUTED_VALUE"""),"อลูมิเนียม")</f>
        <v>อลูมิเนียม</v>
      </c>
      <c r="B1872" s="128" t="str">
        <f>IFERROR(__xludf.DUMMYFUNCTION("""COMPUTED_VALUE"""),"ยู 6 หุน-มะฮอกกานี")</f>
        <v>ยู 6 หุน-มะฮอกกานี</v>
      </c>
    </row>
    <row r="1873">
      <c r="A1873" s="128" t="str">
        <f>IFERROR(__xludf.DUMMYFUNCTION("""COMPUTED_VALUE"""),"อลูมิเนียม")</f>
        <v>อลูมิเนียม</v>
      </c>
      <c r="B1873" s="128" t="str">
        <f>IFERROR(__xludf.DUMMYFUNCTION("""COMPUTED_VALUE"""),"ยู 6 หุน-อื่นๆ")</f>
        <v>ยู 6 หุน-อื่นๆ</v>
      </c>
    </row>
    <row r="1874">
      <c r="A1874" s="128" t="str">
        <f>IFERROR(__xludf.DUMMYFUNCTION("""COMPUTED_VALUE"""),"อลูมิเนียม")</f>
        <v>อลูมิเนียม</v>
      </c>
      <c r="B1874" s="128" t="str">
        <f>IFERROR(__xludf.DUMMYFUNCTION("""COMPUTED_VALUE"""),"กล่องเรียบ 4""x4""-มิว")</f>
        <v>กล่องเรียบ 4"x4"-มิว</v>
      </c>
    </row>
    <row r="1875">
      <c r="A1875" s="128" t="str">
        <f>IFERROR(__xludf.DUMMYFUNCTION("""COMPUTED_VALUE"""),"อลูมิเนียม")</f>
        <v>อลูมิเนียม</v>
      </c>
      <c r="B1875" s="128" t="str">
        <f>IFERROR(__xludf.DUMMYFUNCTION("""COMPUTED_VALUE"""),"กล่องเรียบ 4""x4""-อบขาว")</f>
        <v>กล่องเรียบ 4"x4"-อบขาว</v>
      </c>
    </row>
    <row r="1876">
      <c r="A1876" s="128" t="str">
        <f>IFERROR(__xludf.DUMMYFUNCTION("""COMPUTED_VALUE"""),"อลูมิเนียม")</f>
        <v>อลูมิเนียม</v>
      </c>
      <c r="B1876" s="128" t="str">
        <f>IFERROR(__xludf.DUMMYFUNCTION("""COMPUTED_VALUE"""),"กล่องเรียบ 4""x4""-ดำ")</f>
        <v>กล่องเรียบ 4"x4"-ดำ</v>
      </c>
    </row>
    <row r="1877">
      <c r="A1877" s="128" t="str">
        <f>IFERROR(__xludf.DUMMYFUNCTION("""COMPUTED_VALUE"""),"อลูมิเนียม")</f>
        <v>อลูมิเนียม</v>
      </c>
      <c r="B1877" s="128" t="str">
        <f>IFERROR(__xludf.DUMMYFUNCTION("""COMPUTED_VALUE"""),"กล่องเรียบ 4""x4""-เทาซาฮาร่า")</f>
        <v>กล่องเรียบ 4"x4"-เทาซาฮาร่า</v>
      </c>
    </row>
    <row r="1878">
      <c r="A1878" s="128" t="str">
        <f>IFERROR(__xludf.DUMMYFUNCTION("""COMPUTED_VALUE"""),"อลูมิเนียม")</f>
        <v>อลูมิเนียม</v>
      </c>
      <c r="B1878" s="128" t="str">
        <f>IFERROR(__xludf.DUMMYFUNCTION("""COMPUTED_VALUE"""),"กล่องเรียบ 4""x4""-Aztec gray")</f>
        <v>กล่องเรียบ 4"x4"-Aztec gray</v>
      </c>
    </row>
    <row r="1879">
      <c r="A1879" s="128" t="str">
        <f>IFERROR(__xludf.DUMMYFUNCTION("""COMPUTED_VALUE"""),"อลูมิเนียม")</f>
        <v>อลูมิเนียม</v>
      </c>
      <c r="B1879" s="128" t="str">
        <f>IFERROR(__xludf.DUMMYFUNCTION("""COMPUTED_VALUE"""),"กล่องเรียบ 4""x4""-ลายไม้สักทอง")</f>
        <v>กล่องเรียบ 4"x4"-ลายไม้สักทอง</v>
      </c>
    </row>
    <row r="1880">
      <c r="A1880" s="128" t="str">
        <f>IFERROR(__xludf.DUMMYFUNCTION("""COMPUTED_VALUE"""),"อลูมิเนียม")</f>
        <v>อลูมิเนียม</v>
      </c>
      <c r="B1880" s="128" t="str">
        <f>IFERROR(__xludf.DUMMYFUNCTION("""COMPUTED_VALUE"""),"กล่องเรียบ 4""x4""-ไวท์โอ็ค")</f>
        <v>กล่องเรียบ 4"x4"-ไวท์โอ็ค</v>
      </c>
    </row>
    <row r="1881">
      <c r="A1881" s="128" t="str">
        <f>IFERROR(__xludf.DUMMYFUNCTION("""COMPUTED_VALUE"""),"อลูมิเนียม")</f>
        <v>อลูมิเนียม</v>
      </c>
      <c r="B1881" s="128" t="str">
        <f>IFERROR(__xludf.DUMMYFUNCTION("""COMPUTED_VALUE"""),"กล่องเรียบ 4""x4""-มะฮอกกานี")</f>
        <v>กล่องเรียบ 4"x4"-มะฮอกกานี</v>
      </c>
    </row>
    <row r="1882">
      <c r="A1882" s="128" t="str">
        <f>IFERROR(__xludf.DUMMYFUNCTION("""COMPUTED_VALUE"""),"อลูมิเนียม")</f>
        <v>อลูมิเนียม</v>
      </c>
      <c r="B1882" s="128" t="str">
        <f>IFERROR(__xludf.DUMMYFUNCTION("""COMPUTED_VALUE"""),"กล่องเรียบ 4""x4""-อื่นๆ")</f>
        <v>กล่องเรียบ 4"x4"-อื่นๆ</v>
      </c>
    </row>
    <row r="1883">
      <c r="A1883" s="128" t="str">
        <f>IFERROR(__xludf.DUMMYFUNCTION("""COMPUTED_VALUE"""),"อลูมิเนียม")</f>
        <v>อลูมิเนียม</v>
      </c>
      <c r="B1883" s="128" t="str">
        <f>IFERROR(__xludf.DUMMYFUNCTION("""COMPUTED_VALUE"""),"กล่องเรียบ 1.6""x4""-มิว")</f>
        <v>กล่องเรียบ 1.6"x4"-มิว</v>
      </c>
    </row>
    <row r="1884">
      <c r="A1884" s="128" t="str">
        <f>IFERROR(__xludf.DUMMYFUNCTION("""COMPUTED_VALUE"""),"อลูมิเนียม")</f>
        <v>อลูมิเนียม</v>
      </c>
      <c r="B1884" s="128" t="str">
        <f>IFERROR(__xludf.DUMMYFUNCTION("""COMPUTED_VALUE"""),"กล่องเรียบ 1.6""x4""-อบขาว")</f>
        <v>กล่องเรียบ 1.6"x4"-อบขาว</v>
      </c>
    </row>
    <row r="1885">
      <c r="A1885" s="128" t="str">
        <f>IFERROR(__xludf.DUMMYFUNCTION("""COMPUTED_VALUE"""),"อลูมิเนียม")</f>
        <v>อลูมิเนียม</v>
      </c>
      <c r="B1885" s="128" t="str">
        <f>IFERROR(__xludf.DUMMYFUNCTION("""COMPUTED_VALUE"""),"กล่องเรียบ 1.6""x4""-ดำ")</f>
        <v>กล่องเรียบ 1.6"x4"-ดำ</v>
      </c>
    </row>
    <row r="1886">
      <c r="A1886" s="128" t="str">
        <f>IFERROR(__xludf.DUMMYFUNCTION("""COMPUTED_VALUE"""),"อลูมิเนียม")</f>
        <v>อลูมิเนียม</v>
      </c>
      <c r="B1886" s="128" t="str">
        <f>IFERROR(__xludf.DUMMYFUNCTION("""COMPUTED_VALUE"""),"กล่องเรียบ 1.6""x4""-เทาซาฮาร่า")</f>
        <v>กล่องเรียบ 1.6"x4"-เทาซาฮาร่า</v>
      </c>
    </row>
    <row r="1887">
      <c r="A1887" s="128" t="str">
        <f>IFERROR(__xludf.DUMMYFUNCTION("""COMPUTED_VALUE"""),"อลูมิเนียม")</f>
        <v>อลูมิเนียม</v>
      </c>
      <c r="B1887" s="128" t="str">
        <f>IFERROR(__xludf.DUMMYFUNCTION("""COMPUTED_VALUE"""),"กล่องเรียบ 1.6""x4""-Aztec gray")</f>
        <v>กล่องเรียบ 1.6"x4"-Aztec gray</v>
      </c>
    </row>
    <row r="1888">
      <c r="A1888" s="128" t="str">
        <f>IFERROR(__xludf.DUMMYFUNCTION("""COMPUTED_VALUE"""),"อลูมิเนียม")</f>
        <v>อลูมิเนียม</v>
      </c>
      <c r="B1888" s="128" t="str">
        <f>IFERROR(__xludf.DUMMYFUNCTION("""COMPUTED_VALUE"""),"กล่องเรียบ 1.6""x4""-ลายไม้สักทอง")</f>
        <v>กล่องเรียบ 1.6"x4"-ลายไม้สักทอง</v>
      </c>
    </row>
    <row r="1889">
      <c r="A1889" s="128" t="str">
        <f>IFERROR(__xludf.DUMMYFUNCTION("""COMPUTED_VALUE"""),"อลูมิเนียม")</f>
        <v>อลูมิเนียม</v>
      </c>
      <c r="B1889" s="128" t="str">
        <f>IFERROR(__xludf.DUMMYFUNCTION("""COMPUTED_VALUE"""),"กล่องเรียบ 1.6""x4""-ไวท์โอ็ค")</f>
        <v>กล่องเรียบ 1.6"x4"-ไวท์โอ็ค</v>
      </c>
    </row>
    <row r="1890">
      <c r="A1890" s="128" t="str">
        <f>IFERROR(__xludf.DUMMYFUNCTION("""COMPUTED_VALUE"""),"อลูมิเนียม")</f>
        <v>อลูมิเนียม</v>
      </c>
      <c r="B1890" s="128" t="str">
        <f>IFERROR(__xludf.DUMMYFUNCTION("""COMPUTED_VALUE"""),"กล่องเรียบ 1.6""x4""-มะฮอกกานี")</f>
        <v>กล่องเรียบ 1.6"x4"-มะฮอกกานี</v>
      </c>
    </row>
    <row r="1891">
      <c r="A1891" s="128" t="str">
        <f>IFERROR(__xludf.DUMMYFUNCTION("""COMPUTED_VALUE"""),"อลูมิเนียม")</f>
        <v>อลูมิเนียม</v>
      </c>
      <c r="B1891" s="128" t="str">
        <f>IFERROR(__xludf.DUMMYFUNCTION("""COMPUTED_VALUE"""),"กล่องเรียบ 1.6""x4""-อื่นๆ")</f>
        <v>กล่องเรียบ 1.6"x4"-อื่นๆ</v>
      </c>
    </row>
    <row r="1892">
      <c r="A1892" s="128" t="str">
        <f>IFERROR(__xludf.DUMMYFUNCTION("""COMPUTED_VALUE"""),"อลูมิเนียม")</f>
        <v>อลูมิเนียม</v>
      </c>
      <c r="B1892" s="128" t="str">
        <f>IFERROR(__xludf.DUMMYFUNCTION("""COMPUTED_VALUE"""),"ลูกฟูกเรียบ 2 หน้า-มิว")</f>
        <v>ลูกฟูกเรียบ 2 หน้า-มิว</v>
      </c>
    </row>
    <row r="1893">
      <c r="A1893" s="128" t="str">
        <f>IFERROR(__xludf.DUMMYFUNCTION("""COMPUTED_VALUE"""),"อลูมิเนียม")</f>
        <v>อลูมิเนียม</v>
      </c>
      <c r="B1893" s="128" t="str">
        <f>IFERROR(__xludf.DUMMYFUNCTION("""COMPUTED_VALUE"""),"ลูกฟูกเรียบ 2 หน้า-อบขาว")</f>
        <v>ลูกฟูกเรียบ 2 หน้า-อบขาว</v>
      </c>
    </row>
    <row r="1894">
      <c r="A1894" s="128" t="str">
        <f>IFERROR(__xludf.DUMMYFUNCTION("""COMPUTED_VALUE"""),"อลูมิเนียม")</f>
        <v>อลูมิเนียม</v>
      </c>
      <c r="B1894" s="128" t="str">
        <f>IFERROR(__xludf.DUMMYFUNCTION("""COMPUTED_VALUE"""),"ลูกฟูกเรียบ 2 หน้า-ดำ")</f>
        <v>ลูกฟูกเรียบ 2 หน้า-ดำ</v>
      </c>
    </row>
    <row r="1895">
      <c r="A1895" s="128" t="str">
        <f>IFERROR(__xludf.DUMMYFUNCTION("""COMPUTED_VALUE"""),"อลูมิเนียม")</f>
        <v>อลูมิเนียม</v>
      </c>
      <c r="B1895" s="128" t="str">
        <f>IFERROR(__xludf.DUMMYFUNCTION("""COMPUTED_VALUE"""),"ลูกฟูกเรียบ 2 หน้า-เทาซาฮาร่า")</f>
        <v>ลูกฟูกเรียบ 2 หน้า-เทาซาฮาร่า</v>
      </c>
    </row>
    <row r="1896">
      <c r="A1896" s="128" t="str">
        <f>IFERROR(__xludf.DUMMYFUNCTION("""COMPUTED_VALUE"""),"อลูมิเนียม")</f>
        <v>อลูมิเนียม</v>
      </c>
      <c r="B1896" s="128" t="str">
        <f>IFERROR(__xludf.DUMMYFUNCTION("""COMPUTED_VALUE"""),"ลูกฟูกเรียบ 2 หน้า-Aztec gray")</f>
        <v>ลูกฟูกเรียบ 2 หน้า-Aztec gray</v>
      </c>
    </row>
    <row r="1897">
      <c r="A1897" s="128" t="str">
        <f>IFERROR(__xludf.DUMMYFUNCTION("""COMPUTED_VALUE"""),"อลูมิเนียม")</f>
        <v>อลูมิเนียม</v>
      </c>
      <c r="B1897" s="128" t="str">
        <f>IFERROR(__xludf.DUMMYFUNCTION("""COMPUTED_VALUE"""),"ลูกฟูกเรียบ 2 หน้า-ลายไม้สักทอง")</f>
        <v>ลูกฟูกเรียบ 2 หน้า-ลายไม้สักทอง</v>
      </c>
    </row>
    <row r="1898">
      <c r="A1898" s="128" t="str">
        <f>IFERROR(__xludf.DUMMYFUNCTION("""COMPUTED_VALUE"""),"อลูมิเนียม")</f>
        <v>อลูมิเนียม</v>
      </c>
      <c r="B1898" s="128" t="str">
        <f>IFERROR(__xludf.DUMMYFUNCTION("""COMPUTED_VALUE"""),"ลูกฟูกเรียบ 2 หน้า-ไวท์โอ็ค")</f>
        <v>ลูกฟูกเรียบ 2 หน้า-ไวท์โอ็ค</v>
      </c>
    </row>
    <row r="1899">
      <c r="A1899" s="128" t="str">
        <f>IFERROR(__xludf.DUMMYFUNCTION("""COMPUTED_VALUE"""),"อลูมิเนียม")</f>
        <v>อลูมิเนียม</v>
      </c>
      <c r="B1899" s="128" t="str">
        <f>IFERROR(__xludf.DUMMYFUNCTION("""COMPUTED_VALUE"""),"ลูกฟูกเรียบ 2 หน้า-มะฮอกกานี")</f>
        <v>ลูกฟูกเรียบ 2 หน้า-มะฮอกกานี</v>
      </c>
    </row>
    <row r="1900">
      <c r="A1900" s="128" t="str">
        <f>IFERROR(__xludf.DUMMYFUNCTION("""COMPUTED_VALUE"""),"อลูมิเนียม")</f>
        <v>อลูมิเนียม</v>
      </c>
      <c r="B1900" s="128" t="str">
        <f>IFERROR(__xludf.DUMMYFUNCTION("""COMPUTED_VALUE"""),"ลูกฟูกเรียบ 2 หน้า-อื่นๆ")</f>
        <v>ลูกฟูกเรียบ 2 หน้า-อื่นๆ</v>
      </c>
    </row>
    <row r="1901">
      <c r="A1901" s="128" t="str">
        <f>IFERROR(__xludf.DUMMYFUNCTION("""COMPUTED_VALUE"""),"อลูมิเนียม")</f>
        <v>อลูมิเนียม</v>
      </c>
      <c r="B1901" s="128" t="str">
        <f>IFERROR(__xludf.DUMMYFUNCTION("""COMPUTED_VALUE"""),"ลูกฟูกเรียบ 1 หน้า-มิว")</f>
        <v>ลูกฟูกเรียบ 1 หน้า-มิว</v>
      </c>
    </row>
    <row r="1902">
      <c r="A1902" s="128" t="str">
        <f>IFERROR(__xludf.DUMMYFUNCTION("""COMPUTED_VALUE"""),"อลูมิเนียม")</f>
        <v>อลูมิเนียม</v>
      </c>
      <c r="B1902" s="128" t="str">
        <f>IFERROR(__xludf.DUMMYFUNCTION("""COMPUTED_VALUE"""),"ลูกฟูกเรียบ 1 หน้า-อบขาว")</f>
        <v>ลูกฟูกเรียบ 1 หน้า-อบขาว</v>
      </c>
    </row>
    <row r="1903">
      <c r="A1903" s="128" t="str">
        <f>IFERROR(__xludf.DUMMYFUNCTION("""COMPUTED_VALUE"""),"อลูมิเนียม")</f>
        <v>อลูมิเนียม</v>
      </c>
      <c r="B1903" s="128" t="str">
        <f>IFERROR(__xludf.DUMMYFUNCTION("""COMPUTED_VALUE"""),"ลูกฟูกเรียบ 1 หน้า-ดำ")</f>
        <v>ลูกฟูกเรียบ 1 หน้า-ดำ</v>
      </c>
    </row>
    <row r="1904">
      <c r="A1904" s="128" t="str">
        <f>IFERROR(__xludf.DUMMYFUNCTION("""COMPUTED_VALUE"""),"อลูมิเนียม")</f>
        <v>อลูมิเนียม</v>
      </c>
      <c r="B1904" s="128" t="str">
        <f>IFERROR(__xludf.DUMMYFUNCTION("""COMPUTED_VALUE"""),"ลูกฟูกเรียบ 1 หน้า-เทาซาฮาร่า")</f>
        <v>ลูกฟูกเรียบ 1 หน้า-เทาซาฮาร่า</v>
      </c>
    </row>
    <row r="1905">
      <c r="A1905" s="128" t="str">
        <f>IFERROR(__xludf.DUMMYFUNCTION("""COMPUTED_VALUE"""),"อลูมิเนียม")</f>
        <v>อลูมิเนียม</v>
      </c>
      <c r="B1905" s="128" t="str">
        <f>IFERROR(__xludf.DUMMYFUNCTION("""COMPUTED_VALUE"""),"ลูกฟูกเรียบ 1 หน้า-Aztec gray")</f>
        <v>ลูกฟูกเรียบ 1 หน้า-Aztec gray</v>
      </c>
    </row>
    <row r="1906">
      <c r="A1906" s="128" t="str">
        <f>IFERROR(__xludf.DUMMYFUNCTION("""COMPUTED_VALUE"""),"อลูมิเนียม")</f>
        <v>อลูมิเนียม</v>
      </c>
      <c r="B1906" s="128" t="str">
        <f>IFERROR(__xludf.DUMMYFUNCTION("""COMPUTED_VALUE"""),"ลูกฟูกเรียบ 1 หน้า-ลายไม้สักทอง")</f>
        <v>ลูกฟูกเรียบ 1 หน้า-ลายไม้สักทอง</v>
      </c>
    </row>
    <row r="1907">
      <c r="A1907" s="128" t="str">
        <f>IFERROR(__xludf.DUMMYFUNCTION("""COMPUTED_VALUE"""),"อลูมิเนียม")</f>
        <v>อลูมิเนียม</v>
      </c>
      <c r="B1907" s="128" t="str">
        <f>IFERROR(__xludf.DUMMYFUNCTION("""COMPUTED_VALUE"""),"ลูกฟูกเรียบ 1 หน้า-ไวท์โอ็ค")</f>
        <v>ลูกฟูกเรียบ 1 หน้า-ไวท์โอ็ค</v>
      </c>
    </row>
    <row r="1908">
      <c r="A1908" s="128" t="str">
        <f>IFERROR(__xludf.DUMMYFUNCTION("""COMPUTED_VALUE"""),"อลูมิเนียม")</f>
        <v>อลูมิเนียม</v>
      </c>
      <c r="B1908" s="128" t="str">
        <f>IFERROR(__xludf.DUMMYFUNCTION("""COMPUTED_VALUE"""),"ลูกฟูกเรียบ 1 หน้า-มะฮอกกานี")</f>
        <v>ลูกฟูกเรียบ 1 หน้า-มะฮอกกานี</v>
      </c>
    </row>
    <row r="1909">
      <c r="A1909" s="128" t="str">
        <f>IFERROR(__xludf.DUMMYFUNCTION("""COMPUTED_VALUE"""),"อลูมิเนียม")</f>
        <v>อลูมิเนียม</v>
      </c>
      <c r="B1909" s="128" t="str">
        <f>IFERROR(__xludf.DUMMYFUNCTION("""COMPUTED_VALUE"""),"ลูกฟูกเรียบ 1 หน้า-อื่นๆ")</f>
        <v>ลูกฟูกเรียบ 1 หน้า-อื่นๆ</v>
      </c>
    </row>
    <row r="1910">
      <c r="A1910" s="128" t="str">
        <f>IFERROR(__xludf.DUMMYFUNCTION("""COMPUTED_VALUE"""),"อลูมิเนียม")</f>
        <v>อลูมิเนียม</v>
      </c>
      <c r="B1910" s="128" t="str">
        <f>IFERROR(__xludf.DUMMYFUNCTION("""COMPUTED_VALUE"""),"Z 2""-มิว")</f>
        <v>Z 2"-มิว</v>
      </c>
    </row>
    <row r="1911">
      <c r="A1911" s="128" t="str">
        <f>IFERROR(__xludf.DUMMYFUNCTION("""COMPUTED_VALUE"""),"อลูมิเนียม")</f>
        <v>อลูมิเนียม</v>
      </c>
      <c r="B1911" s="128" t="str">
        <f>IFERROR(__xludf.DUMMYFUNCTION("""COMPUTED_VALUE"""),"Z 2""-อบขาว")</f>
        <v>Z 2"-อบขาว</v>
      </c>
    </row>
    <row r="1912">
      <c r="A1912" s="128" t="str">
        <f>IFERROR(__xludf.DUMMYFUNCTION("""COMPUTED_VALUE"""),"อลูมิเนียม")</f>
        <v>อลูมิเนียม</v>
      </c>
      <c r="B1912" s="128" t="str">
        <f>IFERROR(__xludf.DUMMYFUNCTION("""COMPUTED_VALUE"""),"Z 2""-ดำ")</f>
        <v>Z 2"-ดำ</v>
      </c>
    </row>
    <row r="1913">
      <c r="A1913" s="128" t="str">
        <f>IFERROR(__xludf.DUMMYFUNCTION("""COMPUTED_VALUE"""),"อลูมิเนียม")</f>
        <v>อลูมิเนียม</v>
      </c>
      <c r="B1913" s="128" t="str">
        <f>IFERROR(__xludf.DUMMYFUNCTION("""COMPUTED_VALUE"""),"Z 2""-เทาซาฮาร่า")</f>
        <v>Z 2"-เทาซาฮาร่า</v>
      </c>
    </row>
    <row r="1914">
      <c r="A1914" s="128" t="str">
        <f>IFERROR(__xludf.DUMMYFUNCTION("""COMPUTED_VALUE"""),"อลูมิเนียม")</f>
        <v>อลูมิเนียม</v>
      </c>
      <c r="B1914" s="128" t="str">
        <f>IFERROR(__xludf.DUMMYFUNCTION("""COMPUTED_VALUE"""),"Z 2""-Aztec gray")</f>
        <v>Z 2"-Aztec gray</v>
      </c>
    </row>
    <row r="1915">
      <c r="A1915" s="128" t="str">
        <f>IFERROR(__xludf.DUMMYFUNCTION("""COMPUTED_VALUE"""),"อลูมิเนียม")</f>
        <v>อลูมิเนียม</v>
      </c>
      <c r="B1915" s="128" t="str">
        <f>IFERROR(__xludf.DUMMYFUNCTION("""COMPUTED_VALUE"""),"Z 2""-ลายไม้สักทอง")</f>
        <v>Z 2"-ลายไม้สักทอง</v>
      </c>
    </row>
    <row r="1916">
      <c r="A1916" s="128" t="str">
        <f>IFERROR(__xludf.DUMMYFUNCTION("""COMPUTED_VALUE"""),"อลูมิเนียม")</f>
        <v>อลูมิเนียม</v>
      </c>
      <c r="B1916" s="128" t="str">
        <f>IFERROR(__xludf.DUMMYFUNCTION("""COMPUTED_VALUE"""),"Z 2""-ไวท์โอ็ค")</f>
        <v>Z 2"-ไวท์โอ็ค</v>
      </c>
    </row>
    <row r="1917">
      <c r="A1917" s="128" t="str">
        <f>IFERROR(__xludf.DUMMYFUNCTION("""COMPUTED_VALUE"""),"อลูมิเนียม")</f>
        <v>อลูมิเนียม</v>
      </c>
      <c r="B1917" s="128" t="str">
        <f>IFERROR(__xludf.DUMMYFUNCTION("""COMPUTED_VALUE"""),"Z 2""-มะฮอกกานี")</f>
        <v>Z 2"-มะฮอกกานี</v>
      </c>
    </row>
    <row r="1918">
      <c r="A1918" s="128" t="str">
        <f>IFERROR(__xludf.DUMMYFUNCTION("""COMPUTED_VALUE"""),"อลูมิเนียม")</f>
        <v>อลูมิเนียม</v>
      </c>
      <c r="B1918" s="128" t="str">
        <f>IFERROR(__xludf.DUMMYFUNCTION("""COMPUTED_VALUE"""),"Z 2""-อื่นๆ")</f>
        <v>Z 2"-อื่นๆ</v>
      </c>
    </row>
    <row r="1919">
      <c r="A1919" s="128" t="str">
        <f>IFERROR(__xludf.DUMMYFUNCTION("""COMPUTED_VALUE"""),"อลูมิเนียม")</f>
        <v>อลูมิเนียม</v>
      </c>
      <c r="B1919" s="128" t="str">
        <f>IFERROR(__xludf.DUMMYFUNCTION("""COMPUTED_VALUE"""),"Z 4""-มิว")</f>
        <v>Z 4"-มิว</v>
      </c>
    </row>
    <row r="1920">
      <c r="A1920" s="128" t="str">
        <f>IFERROR(__xludf.DUMMYFUNCTION("""COMPUTED_VALUE"""),"อลูมิเนียม")</f>
        <v>อลูมิเนียม</v>
      </c>
      <c r="B1920" s="128" t="str">
        <f>IFERROR(__xludf.DUMMYFUNCTION("""COMPUTED_VALUE"""),"Z 4""-อบขาว")</f>
        <v>Z 4"-อบขาว</v>
      </c>
    </row>
    <row r="1921">
      <c r="A1921" s="128" t="str">
        <f>IFERROR(__xludf.DUMMYFUNCTION("""COMPUTED_VALUE"""),"อลูมิเนียม")</f>
        <v>อลูมิเนียม</v>
      </c>
      <c r="B1921" s="128" t="str">
        <f>IFERROR(__xludf.DUMMYFUNCTION("""COMPUTED_VALUE"""),"Z 4""-ดำ")</f>
        <v>Z 4"-ดำ</v>
      </c>
    </row>
    <row r="1922">
      <c r="A1922" s="128" t="str">
        <f>IFERROR(__xludf.DUMMYFUNCTION("""COMPUTED_VALUE"""),"อลูมิเนียม")</f>
        <v>อลูมิเนียม</v>
      </c>
      <c r="B1922" s="128" t="str">
        <f>IFERROR(__xludf.DUMMYFUNCTION("""COMPUTED_VALUE"""),"Z 4""-เทาซาฮาร่า")</f>
        <v>Z 4"-เทาซาฮาร่า</v>
      </c>
    </row>
    <row r="1923">
      <c r="A1923" s="128" t="str">
        <f>IFERROR(__xludf.DUMMYFUNCTION("""COMPUTED_VALUE"""),"อลูมิเนียม")</f>
        <v>อลูมิเนียม</v>
      </c>
      <c r="B1923" s="128" t="str">
        <f>IFERROR(__xludf.DUMMYFUNCTION("""COMPUTED_VALUE"""),"Z 4""-Aztec gray")</f>
        <v>Z 4"-Aztec gray</v>
      </c>
    </row>
    <row r="1924">
      <c r="A1924" s="128" t="str">
        <f>IFERROR(__xludf.DUMMYFUNCTION("""COMPUTED_VALUE"""),"อลูมิเนียม")</f>
        <v>อลูมิเนียม</v>
      </c>
      <c r="B1924" s="128" t="str">
        <f>IFERROR(__xludf.DUMMYFUNCTION("""COMPUTED_VALUE"""),"Z 4""-ลายไม้สักทอง")</f>
        <v>Z 4"-ลายไม้สักทอง</v>
      </c>
    </row>
    <row r="1925">
      <c r="A1925" s="128" t="str">
        <f>IFERROR(__xludf.DUMMYFUNCTION("""COMPUTED_VALUE"""),"อลูมิเนียม")</f>
        <v>อลูมิเนียม</v>
      </c>
      <c r="B1925" s="128" t="str">
        <f>IFERROR(__xludf.DUMMYFUNCTION("""COMPUTED_VALUE"""),"Z 4""-ไวท์โอ็ค")</f>
        <v>Z 4"-ไวท์โอ็ค</v>
      </c>
    </row>
    <row r="1926">
      <c r="A1926" s="128" t="str">
        <f>IFERROR(__xludf.DUMMYFUNCTION("""COMPUTED_VALUE"""),"อลูมิเนียม")</f>
        <v>อลูมิเนียม</v>
      </c>
      <c r="B1926" s="128" t="str">
        <f>IFERROR(__xludf.DUMMYFUNCTION("""COMPUTED_VALUE"""),"Z 4""-มะฮอกกานี")</f>
        <v>Z 4"-มะฮอกกานี</v>
      </c>
    </row>
    <row r="1927">
      <c r="A1927" s="128" t="str">
        <f>IFERROR(__xludf.DUMMYFUNCTION("""COMPUTED_VALUE"""),"อลูมิเนียม")</f>
        <v>อลูมิเนียม</v>
      </c>
      <c r="B1927" s="128" t="str">
        <f>IFERROR(__xludf.DUMMYFUNCTION("""COMPUTED_VALUE"""),"Z 4""-อื่นๆ")</f>
        <v>Z 4"-อื่นๆ</v>
      </c>
    </row>
    <row r="1928">
      <c r="A1928" s="128" t="str">
        <f>IFERROR(__xludf.DUMMYFUNCTION("""COMPUTED_VALUE"""),"อลูมิเนียม")</f>
        <v>อลูมิเนียม</v>
      </c>
      <c r="B1928" s="128" t="str">
        <f>IFERROR(__xludf.DUMMYFUNCTION("""COMPUTED_VALUE"""),"9014 ตัวตบเคอเทนวอล-มิว")</f>
        <v>9014 ตัวตบเคอเทนวอล-มิว</v>
      </c>
    </row>
    <row r="1929">
      <c r="A1929" s="128" t="str">
        <f>IFERROR(__xludf.DUMMYFUNCTION("""COMPUTED_VALUE"""),"อลูมิเนียม")</f>
        <v>อลูมิเนียม</v>
      </c>
      <c r="B1929" s="128" t="str">
        <f>IFERROR(__xludf.DUMMYFUNCTION("""COMPUTED_VALUE"""),"9014 ตัวตบเคอเทนวอล-อบขาว")</f>
        <v>9014 ตัวตบเคอเทนวอล-อบขาว</v>
      </c>
    </row>
    <row r="1930">
      <c r="A1930" s="128" t="str">
        <f>IFERROR(__xludf.DUMMYFUNCTION("""COMPUTED_VALUE"""),"อลูมิเนียม")</f>
        <v>อลูมิเนียม</v>
      </c>
      <c r="B1930" s="128" t="str">
        <f>IFERROR(__xludf.DUMMYFUNCTION("""COMPUTED_VALUE"""),"9014 ตัวตบเคอเทนวอล-ดำ")</f>
        <v>9014 ตัวตบเคอเทนวอล-ดำ</v>
      </c>
    </row>
    <row r="1931">
      <c r="A1931" s="128" t="str">
        <f>IFERROR(__xludf.DUMMYFUNCTION("""COMPUTED_VALUE"""),"อลูมิเนียม")</f>
        <v>อลูมิเนียม</v>
      </c>
      <c r="B1931" s="128" t="str">
        <f>IFERROR(__xludf.DUMMYFUNCTION("""COMPUTED_VALUE"""),"9014 ตัวตบเคอเทนวอล-เทาซาฮาร่า")</f>
        <v>9014 ตัวตบเคอเทนวอล-เทาซาฮาร่า</v>
      </c>
    </row>
    <row r="1932">
      <c r="A1932" s="128" t="str">
        <f>IFERROR(__xludf.DUMMYFUNCTION("""COMPUTED_VALUE"""),"อลูมิเนียม")</f>
        <v>อลูมิเนียม</v>
      </c>
      <c r="B1932" s="128" t="str">
        <f>IFERROR(__xludf.DUMMYFUNCTION("""COMPUTED_VALUE"""),"9014 ตัวตบเคอเทนวอล-ลายไม้สักทอง")</f>
        <v>9014 ตัวตบเคอเทนวอล-ลายไม้สักทอง</v>
      </c>
    </row>
    <row r="1933">
      <c r="A1933" s="128" t="str">
        <f>IFERROR(__xludf.DUMMYFUNCTION("""COMPUTED_VALUE"""),"อลูมิเนียม")</f>
        <v>อลูมิเนียม</v>
      </c>
      <c r="B1933" s="128" t="str">
        <f>IFERROR(__xludf.DUMMYFUNCTION("""COMPUTED_VALUE"""),"9014 ตัวตบเคอเทนวอล-อื่นๆ")</f>
        <v>9014 ตัวตบเคอเทนวอล-อื่นๆ</v>
      </c>
    </row>
    <row r="1934">
      <c r="A1934" s="128" t="str">
        <f>IFERROR(__xludf.DUMMYFUNCTION("""COMPUTED_VALUE"""),"อลูมิเนียม")</f>
        <v>อลูมิเนียม</v>
      </c>
      <c r="B1934" s="128" t="str">
        <f>IFERROR(__xludf.DUMMYFUNCTION("""COMPUTED_VALUE"""),"9015 ตัวเดินเคอเทนวอล-มิว")</f>
        <v>9015 ตัวเดินเคอเทนวอล-มิว</v>
      </c>
    </row>
    <row r="1935">
      <c r="A1935" s="128" t="str">
        <f>IFERROR(__xludf.DUMMYFUNCTION("""COMPUTED_VALUE"""),"อลูมิเนียม")</f>
        <v>อลูมิเนียม</v>
      </c>
      <c r="B1935" s="128" t="str">
        <f>IFERROR(__xludf.DUMMYFUNCTION("""COMPUTED_VALUE"""),"คิ้วลอยเทเหลี่ยม ตัวเดิน-มิว")</f>
        <v>คิ้วลอยเทเหลี่ยม ตัวเดิน-มิว</v>
      </c>
    </row>
    <row r="1936">
      <c r="A1936" s="128" t="str">
        <f>IFERROR(__xludf.DUMMYFUNCTION("""COMPUTED_VALUE"""),"อลูมิเนียม")</f>
        <v>อลูมิเนียม</v>
      </c>
      <c r="B1936" s="128" t="str">
        <f>IFERROR(__xludf.DUMMYFUNCTION("""COMPUTED_VALUE"""),"คิ้วลอยเทเหลี่ยม ตัวเดิน-อบขาว")</f>
        <v>คิ้วลอยเทเหลี่ยม ตัวเดิน-อบขาว</v>
      </c>
    </row>
    <row r="1937">
      <c r="A1937" s="128" t="str">
        <f>IFERROR(__xludf.DUMMYFUNCTION("""COMPUTED_VALUE"""),"อลูมิเนียม")</f>
        <v>อลูมิเนียม</v>
      </c>
      <c r="B1937" s="128" t="str">
        <f>IFERROR(__xludf.DUMMYFUNCTION("""COMPUTED_VALUE"""),"คิ้วลอยเทเหลี่ยม ตัวเดิน-ดำ")</f>
        <v>คิ้วลอยเทเหลี่ยม ตัวเดิน-ดำ</v>
      </c>
    </row>
    <row r="1938">
      <c r="A1938" s="128" t="str">
        <f>IFERROR(__xludf.DUMMYFUNCTION("""COMPUTED_VALUE"""),"อลูมิเนียม")</f>
        <v>อลูมิเนียม</v>
      </c>
      <c r="B1938" s="128" t="str">
        <f>IFERROR(__xludf.DUMMYFUNCTION("""COMPUTED_VALUE"""),"คิ้วลอยเทเหลี่ยม ตัวเดิน-เทาซาฮาร่า")</f>
        <v>คิ้วลอยเทเหลี่ยม ตัวเดิน-เทาซาฮาร่า</v>
      </c>
    </row>
    <row r="1939">
      <c r="A1939" s="128" t="str">
        <f>IFERROR(__xludf.DUMMYFUNCTION("""COMPUTED_VALUE"""),"อลูมิเนียม")</f>
        <v>อลูมิเนียม</v>
      </c>
      <c r="B1939" s="128" t="str">
        <f>IFERROR(__xludf.DUMMYFUNCTION("""COMPUTED_VALUE"""),"คิ้วลอยเทเหลี่ยม ตัวเดิน-ลายไม้สักทอง")</f>
        <v>คิ้วลอยเทเหลี่ยม ตัวเดิน-ลายไม้สักทอง</v>
      </c>
    </row>
    <row r="1940">
      <c r="A1940" s="128" t="str">
        <f>IFERROR(__xludf.DUMMYFUNCTION("""COMPUTED_VALUE"""),"อลูมิเนียม")</f>
        <v>อลูมิเนียม</v>
      </c>
      <c r="B1940" s="128" t="str">
        <f>IFERROR(__xludf.DUMMYFUNCTION("""COMPUTED_VALUE"""),"คิ้วลอยเทเหลี่ยม ตัวเดิน-อื่นๆ")</f>
        <v>คิ้วลอยเทเหลี่ยม ตัวเดิน-อื่นๆ</v>
      </c>
    </row>
    <row r="1941">
      <c r="A1941" s="128" t="str">
        <f>IFERROR(__xludf.DUMMYFUNCTION("""COMPUTED_VALUE"""),"อลูมิเนียม")</f>
        <v>อลูมิเนียม</v>
      </c>
      <c r="B1941" s="128" t="str">
        <f>IFERROR(__xludf.DUMMYFUNCTION("""COMPUTED_VALUE"""),"คิ้วลอยเทเหลี่ยม ตัวตบ-มิว")</f>
        <v>คิ้วลอยเทเหลี่ยม ตัวตบ-มิว</v>
      </c>
    </row>
    <row r="1942">
      <c r="A1942" s="128" t="str">
        <f>IFERROR(__xludf.DUMMYFUNCTION("""COMPUTED_VALUE"""),"อลูมิเนียม")</f>
        <v>อลูมิเนียม</v>
      </c>
      <c r="B1942" s="128" t="str">
        <f>IFERROR(__xludf.DUMMYFUNCTION("""COMPUTED_VALUE"""),"คิ้วลอยเทเหลี่ยม ตัวตบ-อบขาว")</f>
        <v>คิ้วลอยเทเหลี่ยม ตัวตบ-อบขาว</v>
      </c>
    </row>
    <row r="1943">
      <c r="A1943" s="128" t="str">
        <f>IFERROR(__xludf.DUMMYFUNCTION("""COMPUTED_VALUE"""),"อลูมิเนียม")</f>
        <v>อลูมิเนียม</v>
      </c>
      <c r="B1943" s="128" t="str">
        <f>IFERROR(__xludf.DUMMYFUNCTION("""COMPUTED_VALUE"""),"คิ้วลอยเทเหลี่ยม ตัวตบ-ดำ")</f>
        <v>คิ้วลอยเทเหลี่ยม ตัวตบ-ดำ</v>
      </c>
    </row>
    <row r="1944">
      <c r="A1944" s="128" t="str">
        <f>IFERROR(__xludf.DUMMYFUNCTION("""COMPUTED_VALUE"""),"อลูมิเนียม")</f>
        <v>อลูมิเนียม</v>
      </c>
      <c r="B1944" s="128" t="str">
        <f>IFERROR(__xludf.DUMMYFUNCTION("""COMPUTED_VALUE"""),"คิ้วลอยเทเหลี่ยม ตัวตบ-เทาซาฮาร่า")</f>
        <v>คิ้วลอยเทเหลี่ยม ตัวตบ-เทาซาฮาร่า</v>
      </c>
    </row>
    <row r="1945">
      <c r="A1945" s="128" t="str">
        <f>IFERROR(__xludf.DUMMYFUNCTION("""COMPUTED_VALUE"""),"อลูมิเนียม")</f>
        <v>อลูมิเนียม</v>
      </c>
      <c r="B1945" s="128" t="str">
        <f>IFERROR(__xludf.DUMMYFUNCTION("""COMPUTED_VALUE"""),"คิ้วลอยเทเหลี่ยม ตัวตบ-ลายไม้สักทอง")</f>
        <v>คิ้วลอยเทเหลี่ยม ตัวตบ-ลายไม้สักทอง</v>
      </c>
    </row>
    <row r="1946">
      <c r="A1946" s="128" t="str">
        <f>IFERROR(__xludf.DUMMYFUNCTION("""COMPUTED_VALUE"""),"อลูมิเนียม")</f>
        <v>อลูมิเนียม</v>
      </c>
      <c r="B1946" s="128" t="str">
        <f>IFERROR(__xludf.DUMMYFUNCTION("""COMPUTED_VALUE"""),"คิ้วลอยเทเหลี่ยม ตัวตบ-อื่นๆ")</f>
        <v>คิ้วลอยเทเหลี่ยม ตัวตบ-อื่นๆ</v>
      </c>
    </row>
    <row r="1947">
      <c r="A1947" s="128" t="str">
        <f>IFERROR(__xludf.DUMMYFUNCTION("""COMPUTED_VALUE"""),"อลูมิเนียม")</f>
        <v>อลูมิเนียม</v>
      </c>
      <c r="B1947" s="128" t="str">
        <f>IFERROR(__xludf.DUMMYFUNCTION("""COMPUTED_VALUE"""),"กล่องแจ๊คสัน-มิว")</f>
        <v>กล่องแจ๊คสัน-มิว</v>
      </c>
    </row>
    <row r="1948">
      <c r="A1948" s="128" t="str">
        <f>IFERROR(__xludf.DUMMYFUNCTION("""COMPUTED_VALUE"""),"อลูมิเนียม")</f>
        <v>อลูมิเนียม</v>
      </c>
      <c r="B1948" s="128" t="str">
        <f>IFERROR(__xludf.DUMMYFUNCTION("""COMPUTED_VALUE"""),"กล่องแจ๊คสัน-อบขาว")</f>
        <v>กล่องแจ๊คสัน-อบขาว</v>
      </c>
    </row>
    <row r="1949">
      <c r="A1949" s="128" t="str">
        <f>IFERROR(__xludf.DUMMYFUNCTION("""COMPUTED_VALUE"""),"อลูมิเนียม")</f>
        <v>อลูมิเนียม</v>
      </c>
      <c r="B1949" s="128" t="str">
        <f>IFERROR(__xludf.DUMMYFUNCTION("""COMPUTED_VALUE"""),"กล่องแจ๊คสัน-ดำ")</f>
        <v>กล่องแจ๊คสัน-ดำ</v>
      </c>
    </row>
    <row r="1950">
      <c r="A1950" s="128" t="str">
        <f>IFERROR(__xludf.DUMMYFUNCTION("""COMPUTED_VALUE"""),"อลูมิเนียม")</f>
        <v>อลูมิเนียม</v>
      </c>
      <c r="B1950" s="128" t="str">
        <f>IFERROR(__xludf.DUMMYFUNCTION("""COMPUTED_VALUE"""),"กล่องแจ๊คสัน-เทาซาฮาร่า")</f>
        <v>กล่องแจ๊คสัน-เทาซาฮาร่า</v>
      </c>
    </row>
    <row r="1951">
      <c r="A1951" s="128" t="str">
        <f>IFERROR(__xludf.DUMMYFUNCTION("""COMPUTED_VALUE"""),"อลูมิเนียม")</f>
        <v>อลูมิเนียม</v>
      </c>
      <c r="B1951" s="128" t="str">
        <f>IFERROR(__xludf.DUMMYFUNCTION("""COMPUTED_VALUE"""),"กล่องแจ๊คสัน-ลายไม้สักทอง")</f>
        <v>กล่องแจ๊คสัน-ลายไม้สักทอง</v>
      </c>
    </row>
    <row r="1952">
      <c r="A1952" s="128" t="str">
        <f>IFERROR(__xludf.DUMMYFUNCTION("""COMPUTED_VALUE"""),"อลูมิเนียม")</f>
        <v>อลูมิเนียม</v>
      </c>
      <c r="B1952" s="128" t="str">
        <f>IFERROR(__xludf.DUMMYFUNCTION("""COMPUTED_VALUE"""),"กล่องแจ๊คสัน-อื่นๆ")</f>
        <v>กล่องแจ๊คสัน-อื่นๆ</v>
      </c>
    </row>
    <row r="1953">
      <c r="A1953" s="128" t="str">
        <f>IFERROR(__xludf.DUMMYFUNCTION("""COMPUTED_VALUE"""),"อลูมิเนียม")</f>
        <v>อลูมิเนียม</v>
      </c>
      <c r="B1953" s="128" t="str">
        <f>IFERROR(__xludf.DUMMYFUNCTION("""COMPUTED_VALUE"""),"กล่องเรียบ-มิว")</f>
        <v>กล่องเรียบ-มิว</v>
      </c>
    </row>
    <row r="1954">
      <c r="A1954" s="128" t="str">
        <f>IFERROR(__xludf.DUMMYFUNCTION("""COMPUTED_VALUE"""),"อลูมิเนียม")</f>
        <v>อลูมิเนียม</v>
      </c>
      <c r="B1954" s="128" t="str">
        <f>IFERROR(__xludf.DUMMYFUNCTION("""COMPUTED_VALUE"""),"กล่องเรียบ-อบขาว")</f>
        <v>กล่องเรียบ-อบขาว</v>
      </c>
    </row>
    <row r="1955">
      <c r="A1955" s="128" t="str">
        <f>IFERROR(__xludf.DUMMYFUNCTION("""COMPUTED_VALUE"""),"อลูมิเนียม")</f>
        <v>อลูมิเนียม</v>
      </c>
      <c r="B1955" s="128" t="str">
        <f>IFERROR(__xludf.DUMMYFUNCTION("""COMPUTED_VALUE"""),"กล่องเรียบ-ดำ")</f>
        <v>กล่องเรียบ-ดำ</v>
      </c>
    </row>
    <row r="1956">
      <c r="A1956" s="128" t="str">
        <f>IFERROR(__xludf.DUMMYFUNCTION("""COMPUTED_VALUE"""),"อลูมิเนียม")</f>
        <v>อลูมิเนียม</v>
      </c>
      <c r="B1956" s="128" t="str">
        <f>IFERROR(__xludf.DUMMYFUNCTION("""COMPUTED_VALUE"""),"กล่องเรียบ-เทาซาฮาร่า")</f>
        <v>กล่องเรียบ-เทาซาฮาร่า</v>
      </c>
    </row>
    <row r="1957">
      <c r="A1957" s="128" t="str">
        <f>IFERROR(__xludf.DUMMYFUNCTION("""COMPUTED_VALUE"""),"อลูมิเนียม")</f>
        <v>อลูมิเนียม</v>
      </c>
      <c r="B1957" s="128" t="str">
        <f>IFERROR(__xludf.DUMMYFUNCTION("""COMPUTED_VALUE"""),"กล่องเรียบ-ลายไม้สักทอง")</f>
        <v>กล่องเรียบ-ลายไม้สักทอง</v>
      </c>
    </row>
    <row r="1958">
      <c r="A1958" s="128" t="str">
        <f>IFERROR(__xludf.DUMMYFUNCTION("""COMPUTED_VALUE"""),"อลูมิเนียม")</f>
        <v>อลูมิเนียม</v>
      </c>
      <c r="B1958" s="128" t="str">
        <f>IFERROR(__xludf.DUMMYFUNCTION("""COMPUTED_VALUE"""),"กล่องเรียบ-อื่นๆ")</f>
        <v>กล่องเรียบ-อื่นๆ</v>
      </c>
    </row>
    <row r="1959">
      <c r="A1959" s="128" t="str">
        <f>IFERROR(__xludf.DUMMYFUNCTION("""COMPUTED_VALUE"""),"อลูมิเนียม")</f>
        <v>อลูมิเนียม</v>
      </c>
      <c r="B1959" s="128" t="str">
        <f>IFERROR(__xludf.DUMMYFUNCTION("""COMPUTED_VALUE"""),"ตบเรียบ-มิว")</f>
        <v>ตบเรียบ-มิว</v>
      </c>
    </row>
    <row r="1960">
      <c r="A1960" s="128" t="str">
        <f>IFERROR(__xludf.DUMMYFUNCTION("""COMPUTED_VALUE"""),"อลูมิเนียม")</f>
        <v>อลูมิเนียม</v>
      </c>
      <c r="B1960" s="128" t="str">
        <f>IFERROR(__xludf.DUMMYFUNCTION("""COMPUTED_VALUE"""),"ตบเรียบ-อบขาว")</f>
        <v>ตบเรียบ-อบขาว</v>
      </c>
    </row>
    <row r="1961">
      <c r="A1961" s="128" t="str">
        <f>IFERROR(__xludf.DUMMYFUNCTION("""COMPUTED_VALUE"""),"อลูมิเนียม")</f>
        <v>อลูมิเนียม</v>
      </c>
      <c r="B1961" s="128" t="str">
        <f>IFERROR(__xludf.DUMMYFUNCTION("""COMPUTED_VALUE"""),"ตบเรียบ-ดำ")</f>
        <v>ตบเรียบ-ดำ</v>
      </c>
    </row>
    <row r="1962">
      <c r="A1962" s="128" t="str">
        <f>IFERROR(__xludf.DUMMYFUNCTION("""COMPUTED_VALUE"""),"อลูมิเนียม")</f>
        <v>อลูมิเนียม</v>
      </c>
      <c r="B1962" s="128" t="str">
        <f>IFERROR(__xludf.DUMMYFUNCTION("""COMPUTED_VALUE"""),"ตบเรียบ-เทาซาฮาร่า")</f>
        <v>ตบเรียบ-เทาซาฮาร่า</v>
      </c>
    </row>
    <row r="1963">
      <c r="A1963" s="128" t="str">
        <f>IFERROR(__xludf.DUMMYFUNCTION("""COMPUTED_VALUE"""),"อลูมิเนียม")</f>
        <v>อลูมิเนียม</v>
      </c>
      <c r="B1963" s="128" t="str">
        <f>IFERROR(__xludf.DUMMYFUNCTION("""COMPUTED_VALUE"""),"ตบเรียบ-ลายไม้สักทอง")</f>
        <v>ตบเรียบ-ลายไม้สักทอง</v>
      </c>
    </row>
    <row r="1964">
      <c r="A1964" s="128" t="str">
        <f>IFERROR(__xludf.DUMMYFUNCTION("""COMPUTED_VALUE"""),"อลูมิเนียม")</f>
        <v>อลูมิเนียม</v>
      </c>
      <c r="B1964" s="128" t="str">
        <f>IFERROR(__xludf.DUMMYFUNCTION("""COMPUTED_VALUE"""),"ตบเรียบ-อื่นๆ")</f>
        <v>ตบเรียบ-อื่นๆ</v>
      </c>
    </row>
    <row r="1965">
      <c r="A1965" s="128" t="str">
        <f>IFERROR(__xludf.DUMMYFUNCTION("""COMPUTED_VALUE"""),"อลูมิเนียม")</f>
        <v>อลูมิเนียม</v>
      </c>
      <c r="B1965" s="128" t="str">
        <f>IFERROR(__xludf.DUMMYFUNCTION("""COMPUTED_VALUE"""),"กล่องเปิดปิด-มิว")</f>
        <v>กล่องเปิดปิด-มิว</v>
      </c>
    </row>
    <row r="1966">
      <c r="A1966" s="128" t="str">
        <f>IFERROR(__xludf.DUMMYFUNCTION("""COMPUTED_VALUE"""),"อลูมิเนียม")</f>
        <v>อลูมิเนียม</v>
      </c>
      <c r="B1966" s="128" t="str">
        <f>IFERROR(__xludf.DUMMYFUNCTION("""COMPUTED_VALUE"""),"กล่องเปิดปิด-อบขาว")</f>
        <v>กล่องเปิดปิด-อบขาว</v>
      </c>
    </row>
    <row r="1967">
      <c r="A1967" s="128" t="str">
        <f>IFERROR(__xludf.DUMMYFUNCTION("""COMPUTED_VALUE"""),"อลูมิเนียม")</f>
        <v>อลูมิเนียม</v>
      </c>
      <c r="B1967" s="128" t="str">
        <f>IFERROR(__xludf.DUMMYFUNCTION("""COMPUTED_VALUE"""),"กล่องเปิดปิด-ดำ")</f>
        <v>กล่องเปิดปิด-ดำ</v>
      </c>
    </row>
    <row r="1968">
      <c r="A1968" s="128" t="str">
        <f>IFERROR(__xludf.DUMMYFUNCTION("""COMPUTED_VALUE"""),"อลูมิเนียม")</f>
        <v>อลูมิเนียม</v>
      </c>
      <c r="B1968" s="128" t="str">
        <f>IFERROR(__xludf.DUMMYFUNCTION("""COMPUTED_VALUE"""),"กล่องเปิดปิด-เทาซาฮาร่า")</f>
        <v>กล่องเปิดปิด-เทาซาฮาร่า</v>
      </c>
    </row>
    <row r="1969">
      <c r="A1969" s="128" t="str">
        <f>IFERROR(__xludf.DUMMYFUNCTION("""COMPUTED_VALUE"""),"อลูมิเนียม")</f>
        <v>อลูมิเนียม</v>
      </c>
      <c r="B1969" s="128" t="str">
        <f>IFERROR(__xludf.DUMMYFUNCTION("""COMPUTED_VALUE"""),"กล่องเปิดปิด-ลายไม้สักทอง")</f>
        <v>กล่องเปิดปิด-ลายไม้สักทอง</v>
      </c>
    </row>
    <row r="1970">
      <c r="A1970" s="128" t="str">
        <f>IFERROR(__xludf.DUMMYFUNCTION("""COMPUTED_VALUE"""),"อลูมิเนียม")</f>
        <v>อลูมิเนียม</v>
      </c>
      <c r="B1970" s="128" t="str">
        <f>IFERROR(__xludf.DUMMYFUNCTION("""COMPUTED_VALUE"""),"กล่องเปิดปิด-อื่นๆ")</f>
        <v>กล่องเปิดปิด-อื่นๆ</v>
      </c>
    </row>
    <row r="1971">
      <c r="A1971" s="128" t="str">
        <f>IFERROR(__xludf.DUMMYFUNCTION("""COMPUTED_VALUE"""),"อลูมิเนียม")</f>
        <v>อลูมิเนียม</v>
      </c>
      <c r="B1971" s="128" t="str">
        <f>IFERROR(__xludf.DUMMYFUNCTION("""COMPUTED_VALUE"""),"กล่องเปิดปิด ตัวตบ-มิว")</f>
        <v>กล่องเปิดปิด ตัวตบ-มิว</v>
      </c>
    </row>
    <row r="1972">
      <c r="A1972" s="128" t="str">
        <f>IFERROR(__xludf.DUMMYFUNCTION("""COMPUTED_VALUE"""),"อลูมิเนียม")</f>
        <v>อลูมิเนียม</v>
      </c>
      <c r="B1972" s="128" t="str">
        <f>IFERROR(__xludf.DUMMYFUNCTION("""COMPUTED_VALUE"""),"กล่องเปิดปิด ตัวตบ-อบขาว")</f>
        <v>กล่องเปิดปิด ตัวตบ-อบขาว</v>
      </c>
    </row>
    <row r="1973">
      <c r="A1973" s="128" t="str">
        <f>IFERROR(__xludf.DUMMYFUNCTION("""COMPUTED_VALUE"""),"อลูมิเนียม")</f>
        <v>อลูมิเนียม</v>
      </c>
      <c r="B1973" s="128" t="str">
        <f>IFERROR(__xludf.DUMMYFUNCTION("""COMPUTED_VALUE"""),"กล่องเปิดปิด ตัวตบ-ดำ")</f>
        <v>กล่องเปิดปิด ตัวตบ-ดำ</v>
      </c>
    </row>
    <row r="1974">
      <c r="A1974" s="128" t="str">
        <f>IFERROR(__xludf.DUMMYFUNCTION("""COMPUTED_VALUE"""),"อลูมิเนียม")</f>
        <v>อลูมิเนียม</v>
      </c>
      <c r="B1974" s="128" t="str">
        <f>IFERROR(__xludf.DUMMYFUNCTION("""COMPUTED_VALUE"""),"กล่องเปิดปิด ตัวตบ-เทาซาฮาร่า")</f>
        <v>กล่องเปิดปิด ตัวตบ-เทาซาฮาร่า</v>
      </c>
    </row>
    <row r="1975">
      <c r="A1975" s="128" t="str">
        <f>IFERROR(__xludf.DUMMYFUNCTION("""COMPUTED_VALUE"""),"อลูมิเนียม")</f>
        <v>อลูมิเนียม</v>
      </c>
      <c r="B1975" s="128" t="str">
        <f>IFERROR(__xludf.DUMMYFUNCTION("""COMPUTED_VALUE"""),"กล่องเปิดปิด ตัวตบ-ลายไม้สักทอง")</f>
        <v>กล่องเปิดปิด ตัวตบ-ลายไม้สักทอง</v>
      </c>
    </row>
    <row r="1976">
      <c r="A1976" s="128" t="str">
        <f>IFERROR(__xludf.DUMMYFUNCTION("""COMPUTED_VALUE"""),"อลูมิเนียม")</f>
        <v>อลูมิเนียม</v>
      </c>
      <c r="B1976" s="128" t="str">
        <f>IFERROR(__xludf.DUMMYFUNCTION("""COMPUTED_VALUE"""),"กล่องเปิดปิด ตัวตบ-อื่นๆ")</f>
        <v>กล่องเปิดปิด ตัวตบ-อื่นๆ</v>
      </c>
    </row>
    <row r="1977">
      <c r="A1977" s="128" t="str">
        <f>IFERROR(__xludf.DUMMYFUNCTION("""COMPUTED_VALUE"""),"อลูมิเนียม")</f>
        <v>อลูมิเนียม</v>
      </c>
      <c r="B1977" s="128" t="str">
        <f>IFERROR(__xludf.DUMMYFUNCTION("""COMPUTED_VALUE"""),"ต่อกลางบานเลื่อน-มิว")</f>
        <v>ต่อกลางบานเลื่อน-มิว</v>
      </c>
    </row>
    <row r="1978">
      <c r="A1978" s="128" t="str">
        <f>IFERROR(__xludf.DUMMYFUNCTION("""COMPUTED_VALUE"""),"อลูมิเนียม")</f>
        <v>อลูมิเนียม</v>
      </c>
      <c r="B1978" s="128" t="str">
        <f>IFERROR(__xludf.DUMMYFUNCTION("""COMPUTED_VALUE"""),"ต่อกลางบานเลื่อน-อบขาว")</f>
        <v>ต่อกลางบานเลื่อน-อบขาว</v>
      </c>
    </row>
    <row r="1979">
      <c r="A1979" s="128" t="str">
        <f>IFERROR(__xludf.DUMMYFUNCTION("""COMPUTED_VALUE"""),"อลูมิเนียม")</f>
        <v>อลูมิเนียม</v>
      </c>
      <c r="B1979" s="128" t="str">
        <f>IFERROR(__xludf.DUMMYFUNCTION("""COMPUTED_VALUE"""),"ต่อกลางบานเลื่อน-ดำ")</f>
        <v>ต่อกลางบานเลื่อน-ดำ</v>
      </c>
    </row>
    <row r="1980">
      <c r="A1980" s="128" t="str">
        <f>IFERROR(__xludf.DUMMYFUNCTION("""COMPUTED_VALUE"""),"อลูมิเนียม")</f>
        <v>อลูมิเนียม</v>
      </c>
      <c r="B1980" s="128" t="str">
        <f>IFERROR(__xludf.DUMMYFUNCTION("""COMPUTED_VALUE"""),"ต่อกลางบานเลื่อน-เทาซาฮาร่า")</f>
        <v>ต่อกลางบานเลื่อน-เทาซาฮาร่า</v>
      </c>
    </row>
    <row r="1981">
      <c r="A1981" s="128" t="str">
        <f>IFERROR(__xludf.DUMMYFUNCTION("""COMPUTED_VALUE"""),"อลูมิเนียม")</f>
        <v>อลูมิเนียม</v>
      </c>
      <c r="B1981" s="128" t="str">
        <f>IFERROR(__xludf.DUMMYFUNCTION("""COMPUTED_VALUE"""),"ต่อกลางบานเลื่อน-ลายไม้สักทอง")</f>
        <v>ต่อกลางบานเลื่อน-ลายไม้สักทอง</v>
      </c>
    </row>
    <row r="1982">
      <c r="A1982" s="128" t="str">
        <f>IFERROR(__xludf.DUMMYFUNCTION("""COMPUTED_VALUE"""),"อลูมิเนียม")</f>
        <v>อลูมิเนียม</v>
      </c>
      <c r="B1982" s="128" t="str">
        <f>IFERROR(__xludf.DUMMYFUNCTION("""COMPUTED_VALUE"""),"ต่อกลางบานเลื่อน-อื่นๆ")</f>
        <v>ต่อกลางบานเลื่อน-อื่นๆ</v>
      </c>
    </row>
    <row r="1983">
      <c r="A1983" s="128" t="str">
        <f>IFERROR(__xludf.DUMMYFUNCTION("""COMPUTED_VALUE"""),"อลูมิเนียม")</f>
        <v>อลูมิเนียม</v>
      </c>
      <c r="B1983" s="128" t="str">
        <f>IFERROR(__xludf.DUMMYFUNCTION("""COMPUTED_VALUE"""),"ตบร่อง-มิว")</f>
        <v>ตบร่อง-มิว</v>
      </c>
    </row>
    <row r="1984">
      <c r="A1984" s="128" t="str">
        <f>IFERROR(__xludf.DUMMYFUNCTION("""COMPUTED_VALUE"""),"อลูมิเนียม")</f>
        <v>อลูมิเนียม</v>
      </c>
      <c r="B1984" s="128" t="str">
        <f>IFERROR(__xludf.DUMMYFUNCTION("""COMPUTED_VALUE"""),"ตบร่อง-อบขาว")</f>
        <v>ตบร่อง-อบขาว</v>
      </c>
    </row>
    <row r="1985">
      <c r="A1985" s="128" t="str">
        <f>IFERROR(__xludf.DUMMYFUNCTION("""COMPUTED_VALUE"""),"อลูมิเนียม")</f>
        <v>อลูมิเนียม</v>
      </c>
      <c r="B1985" s="128" t="str">
        <f>IFERROR(__xludf.DUMMYFUNCTION("""COMPUTED_VALUE"""),"ตบร่อง-ดำ")</f>
        <v>ตบร่อง-ดำ</v>
      </c>
    </row>
    <row r="1986">
      <c r="A1986" s="128" t="str">
        <f>IFERROR(__xludf.DUMMYFUNCTION("""COMPUTED_VALUE"""),"อลูมิเนียม")</f>
        <v>อลูมิเนียม</v>
      </c>
      <c r="B1986" s="128" t="str">
        <f>IFERROR(__xludf.DUMMYFUNCTION("""COMPUTED_VALUE"""),"ตบร่อง-เทาซาฮาร่า")</f>
        <v>ตบร่อง-เทาซาฮาร่า</v>
      </c>
    </row>
    <row r="1987">
      <c r="A1987" s="128" t="str">
        <f>IFERROR(__xludf.DUMMYFUNCTION("""COMPUTED_VALUE"""),"อลูมิเนียม")</f>
        <v>อลูมิเนียม</v>
      </c>
      <c r="B1987" s="128" t="str">
        <f>IFERROR(__xludf.DUMMYFUNCTION("""COMPUTED_VALUE"""),"ตบร่อง-ลายไม้สักทอง")</f>
        <v>ตบร่อง-ลายไม้สักทอง</v>
      </c>
    </row>
    <row r="1988">
      <c r="A1988" s="128" t="str">
        <f>IFERROR(__xludf.DUMMYFUNCTION("""COMPUTED_VALUE"""),"อลูมิเนียม")</f>
        <v>อลูมิเนียม</v>
      </c>
      <c r="B1988" s="128" t="str">
        <f>IFERROR(__xludf.DUMMYFUNCTION("""COMPUTED_VALUE"""),"ตบร่อง-อื่นๆ")</f>
        <v>ตบร่อง-อื่นๆ</v>
      </c>
    </row>
    <row r="1989">
      <c r="A1989" s="128" t="str">
        <f>IFERROR(__xludf.DUMMYFUNCTION("""COMPUTED_VALUE"""),"อลูมิเนียม")</f>
        <v>อลูมิเนียม</v>
      </c>
      <c r="B1989" s="128" t="str">
        <f>IFERROR(__xludf.DUMMYFUNCTION("""COMPUTED_VALUE"""),"OPK-A201-40-ขวางบนล่าง-มิว")</f>
        <v>OPK-A201-40-ขวางบนล่าง-มิว</v>
      </c>
    </row>
    <row r="1990">
      <c r="A1990" s="128" t="str">
        <f>IFERROR(__xludf.DUMMYFUNCTION("""COMPUTED_VALUE"""),"อลูมิเนียม")</f>
        <v>อลูมิเนียม</v>
      </c>
      <c r="B1990" s="128" t="str">
        <f>IFERROR(__xludf.DUMMYFUNCTION("""COMPUTED_VALUE"""),"OPK-A201-40-ขวางบนล่าง-อบขาว")</f>
        <v>OPK-A201-40-ขวางบนล่าง-อบขาว</v>
      </c>
    </row>
    <row r="1991">
      <c r="A1991" s="128" t="str">
        <f>IFERROR(__xludf.DUMMYFUNCTION("""COMPUTED_VALUE"""),"อลูมิเนียม")</f>
        <v>อลูมิเนียม</v>
      </c>
      <c r="B1991" s="128" t="str">
        <f>IFERROR(__xludf.DUMMYFUNCTION("""COMPUTED_VALUE"""),"OPK-A201-40-ขวางบนล่าง-ดำ")</f>
        <v>OPK-A201-40-ขวางบนล่าง-ดำ</v>
      </c>
    </row>
    <row r="1992">
      <c r="A1992" s="128" t="str">
        <f>IFERROR(__xludf.DUMMYFUNCTION("""COMPUTED_VALUE"""),"อลูมิเนียม")</f>
        <v>อลูมิเนียม</v>
      </c>
      <c r="B1992" s="128" t="str">
        <f>IFERROR(__xludf.DUMMYFUNCTION("""COMPUTED_VALUE"""),"OPK-A201-40-ขวางบนล่าง-เทาซาฮาร่า")</f>
        <v>OPK-A201-40-ขวางบนล่าง-เทาซาฮาร่า</v>
      </c>
    </row>
    <row r="1993">
      <c r="A1993" s="128" t="str">
        <f>IFERROR(__xludf.DUMMYFUNCTION("""COMPUTED_VALUE"""),"อลูมิเนียม")</f>
        <v>อลูมิเนียม</v>
      </c>
      <c r="B1993" s="128" t="str">
        <f>IFERROR(__xludf.DUMMYFUNCTION("""COMPUTED_VALUE"""),"OPK-A202-40-ไส้เสาบาน-มิว")</f>
        <v>OPK-A202-40-ไส้เสาบาน-มิว</v>
      </c>
    </row>
    <row r="1994">
      <c r="A1994" s="128" t="str">
        <f>IFERROR(__xludf.DUMMYFUNCTION("""COMPUTED_VALUE"""),"อลูมิเนียม")</f>
        <v>อลูมิเนียม</v>
      </c>
      <c r="B1994" s="128" t="str">
        <f>IFERROR(__xludf.DUMMYFUNCTION("""COMPUTED_VALUE"""),"OPK-A202-40-ไส้เสาบาน-อบขาว")</f>
        <v>OPK-A202-40-ไส้เสาบาน-อบขาว</v>
      </c>
    </row>
    <row r="1995">
      <c r="A1995" s="128" t="str">
        <f>IFERROR(__xludf.DUMMYFUNCTION("""COMPUTED_VALUE"""),"อลูมิเนียม")</f>
        <v>อลูมิเนียม</v>
      </c>
      <c r="B1995" s="128" t="str">
        <f>IFERROR(__xludf.DUMMYFUNCTION("""COMPUTED_VALUE"""),"OPK-A202-40-ไส้เสาบาน-ดำ")</f>
        <v>OPK-A202-40-ไส้เสาบาน-ดำ</v>
      </c>
    </row>
    <row r="1996">
      <c r="A1996" s="128" t="str">
        <f>IFERROR(__xludf.DUMMYFUNCTION("""COMPUTED_VALUE"""),"อลูมิเนียม")</f>
        <v>อลูมิเนียม</v>
      </c>
      <c r="B1996" s="128" t="str">
        <f>IFERROR(__xludf.DUMMYFUNCTION("""COMPUTED_VALUE"""),"OPK-A202-40-ไส้เสาบาน-เทาซาฮาร่า")</f>
        <v>OPK-A202-40-ไส้เสาบาน-เทาซาฮาร่า</v>
      </c>
    </row>
    <row r="1997">
      <c r="A1997" s="128" t="str">
        <f>IFERROR(__xludf.DUMMYFUNCTION("""COMPUTED_VALUE"""),"อลูมิเนียม")</f>
        <v>อลูมิเนียม</v>
      </c>
      <c r="B1997" s="128" t="str">
        <f>IFERROR(__xludf.DUMMYFUNCTION("""COMPUTED_VALUE"""),"OPK-A203-40-ตบเรียบ-มิว")</f>
        <v>OPK-A203-40-ตบเรียบ-มิว</v>
      </c>
    </row>
    <row r="1998">
      <c r="A1998" s="128" t="str">
        <f>IFERROR(__xludf.DUMMYFUNCTION("""COMPUTED_VALUE"""),"อลูมิเนียม")</f>
        <v>อลูมิเนียม</v>
      </c>
      <c r="B1998" s="128" t="str">
        <f>IFERROR(__xludf.DUMMYFUNCTION("""COMPUTED_VALUE"""),"OPK-A203-40-ตบเรียบ-อบขาว")</f>
        <v>OPK-A203-40-ตบเรียบ-อบขาว</v>
      </c>
    </row>
    <row r="1999">
      <c r="A1999" s="128" t="str">
        <f>IFERROR(__xludf.DUMMYFUNCTION("""COMPUTED_VALUE"""),"อลูมิเนียม")</f>
        <v>อลูมิเนียม</v>
      </c>
      <c r="B1999" s="128" t="str">
        <f>IFERROR(__xludf.DUMMYFUNCTION("""COMPUTED_VALUE"""),"OPK-A203-40-ตบเรียบ-ดำ")</f>
        <v>OPK-A203-40-ตบเรียบ-ดำ</v>
      </c>
    </row>
    <row r="2000">
      <c r="A2000" s="128" t="str">
        <f>IFERROR(__xludf.DUMMYFUNCTION("""COMPUTED_VALUE"""),"อลูมิเนียม")</f>
        <v>อลูมิเนียม</v>
      </c>
      <c r="B2000" s="128" t="str">
        <f>IFERROR(__xludf.DUMMYFUNCTION("""COMPUTED_VALUE"""),"OPK-A203-40-ตบเรียบ-เทาซาฮาร่า")</f>
        <v>OPK-A203-40-ตบเรียบ-เทาซาฮาร่า</v>
      </c>
    </row>
    <row r="2001">
      <c r="A2001" s="128" t="str">
        <f>IFERROR(__xludf.DUMMYFUNCTION("""COMPUTED_VALUE"""),"อลูมิเนียม")</f>
        <v>อลูมิเนียม</v>
      </c>
      <c r="B2001" s="128" t="str">
        <f>IFERROR(__xludf.DUMMYFUNCTION("""COMPUTED_VALUE"""),"OPK-A204-40-ตบเกี่ยว-มิว")</f>
        <v>OPK-A204-40-ตบเกี่ยว-มิว</v>
      </c>
    </row>
    <row r="2002">
      <c r="A2002" s="128" t="str">
        <f>IFERROR(__xludf.DUMMYFUNCTION("""COMPUTED_VALUE"""),"อลูมิเนียม")</f>
        <v>อลูมิเนียม</v>
      </c>
      <c r="B2002" s="128" t="str">
        <f>IFERROR(__xludf.DUMMYFUNCTION("""COMPUTED_VALUE"""),"OPK-A204-40-ตบเกี่ยว-อบขาว")</f>
        <v>OPK-A204-40-ตบเกี่ยว-อบขาว</v>
      </c>
    </row>
    <row r="2003">
      <c r="A2003" s="128" t="str">
        <f>IFERROR(__xludf.DUMMYFUNCTION("""COMPUTED_VALUE"""),"อลูมิเนียม")</f>
        <v>อลูมิเนียม</v>
      </c>
      <c r="B2003" s="128" t="str">
        <f>IFERROR(__xludf.DUMMYFUNCTION("""COMPUTED_VALUE"""),"OPK-A204-40-ตบเกี่ยว-ดำ")</f>
        <v>OPK-A204-40-ตบเกี่ยว-ดำ</v>
      </c>
    </row>
    <row r="2004">
      <c r="A2004" s="128" t="str">
        <f>IFERROR(__xludf.DUMMYFUNCTION("""COMPUTED_VALUE"""),"อลูมิเนียม")</f>
        <v>อลูมิเนียม</v>
      </c>
      <c r="B2004" s="128" t="str">
        <f>IFERROR(__xludf.DUMMYFUNCTION("""COMPUTED_VALUE"""),"OPK-A204-40-ตบเกี่ยว-เทาซาฮาร่า")</f>
        <v>OPK-A204-40-ตบเกี่ยว-เทาซาฮาร่า</v>
      </c>
    </row>
    <row r="2005">
      <c r="A2005" s="128" t="str">
        <f>IFERROR(__xludf.DUMMYFUNCTION("""COMPUTED_VALUE"""),"อลูมิเนียม")</f>
        <v>อลูมิเนียม</v>
      </c>
      <c r="B2005" s="128" t="str">
        <f>IFERROR(__xludf.DUMMYFUNCTION("""COMPUTED_VALUE"""),"XSW40008-รางแขวน 1 ราง-มิว")</f>
        <v>XSW40008-รางแขวน 1 ราง-มิว</v>
      </c>
    </row>
    <row r="2006">
      <c r="A2006" s="128" t="str">
        <f>IFERROR(__xludf.DUMMYFUNCTION("""COMPUTED_VALUE"""),"อลูมิเนียม")</f>
        <v>อลูมิเนียม</v>
      </c>
      <c r="B2006" s="128" t="str">
        <f>IFERROR(__xludf.DUMMYFUNCTION("""COMPUTED_VALUE"""),"XSW40008-รางแขวน 1 ราง-อบขาว")</f>
        <v>XSW40008-รางแขวน 1 ราง-อบขาว</v>
      </c>
    </row>
    <row r="2007">
      <c r="A2007" s="128" t="str">
        <f>IFERROR(__xludf.DUMMYFUNCTION("""COMPUTED_VALUE"""),"อลูมิเนียม")</f>
        <v>อลูมิเนียม</v>
      </c>
      <c r="B2007" s="128" t="str">
        <f>IFERROR(__xludf.DUMMYFUNCTION("""COMPUTED_VALUE"""),"XSW40008-รางแขวน 1 ราง-ดำ")</f>
        <v>XSW40008-รางแขวน 1 ราง-ดำ</v>
      </c>
    </row>
    <row r="2008">
      <c r="A2008" s="128" t="str">
        <f>IFERROR(__xludf.DUMMYFUNCTION("""COMPUTED_VALUE"""),"อลูมิเนียม")</f>
        <v>อลูมิเนียม</v>
      </c>
      <c r="B2008" s="128" t="str">
        <f>IFERROR(__xludf.DUMMYFUNCTION("""COMPUTED_VALUE"""),"XSW40008-รางแขวน 1 ราง-เทาซาฮาร่า")</f>
        <v>XSW40008-รางแขวน 1 ราง-เทาซาฮาร่า</v>
      </c>
    </row>
    <row r="2009">
      <c r="A2009" s="128" t="str">
        <f>IFERROR(__xludf.DUMMYFUNCTION("""COMPUTED_VALUE"""),"อลูมิเนียม")</f>
        <v>อลูมิเนียม</v>
      </c>
      <c r="B2009" s="128" t="str">
        <f>IFERROR(__xludf.DUMMYFUNCTION("""COMPUTED_VALUE"""),"XSW400013-ฝากปิดล่าง เล็ก-มิว")</f>
        <v>XSW400013-ฝากปิดล่าง เล็ก-มิว</v>
      </c>
    </row>
    <row r="2010">
      <c r="A2010" s="128" t="str">
        <f>IFERROR(__xludf.DUMMYFUNCTION("""COMPUTED_VALUE"""),"อลูมิเนียม")</f>
        <v>อลูมิเนียม</v>
      </c>
      <c r="B2010" s="128" t="str">
        <f>IFERROR(__xludf.DUMMYFUNCTION("""COMPUTED_VALUE"""),"XSW400013-ฝากปิดล่าง เล็ก-อบขาว")</f>
        <v>XSW400013-ฝากปิดล่าง เล็ก-อบขาว</v>
      </c>
    </row>
    <row r="2011">
      <c r="A2011" s="128" t="str">
        <f>IFERROR(__xludf.DUMMYFUNCTION("""COMPUTED_VALUE"""),"อลูมิเนียม")</f>
        <v>อลูมิเนียม</v>
      </c>
      <c r="B2011" s="128" t="str">
        <f>IFERROR(__xludf.DUMMYFUNCTION("""COMPUTED_VALUE"""),"XSW400013-ฝากปิดล่าง เล็ก-ดำ")</f>
        <v>XSW400013-ฝากปิดล่าง เล็ก-ดำ</v>
      </c>
    </row>
    <row r="2012">
      <c r="A2012" s="128" t="str">
        <f>IFERROR(__xludf.DUMMYFUNCTION("""COMPUTED_VALUE"""),"อลูมิเนียม")</f>
        <v>อลูมิเนียม</v>
      </c>
      <c r="B2012" s="128" t="str">
        <f>IFERROR(__xludf.DUMMYFUNCTION("""COMPUTED_VALUE"""),"XSW400013-ฝากปิดล่าง เล็ก-เทาซาฮาร่า")</f>
        <v>XSW400013-ฝากปิดล่าง เล็ก-เทาซาฮาร่า</v>
      </c>
    </row>
    <row r="2013">
      <c r="A2013" s="128" t="str">
        <f>IFERROR(__xludf.DUMMYFUNCTION("""COMPUTED_VALUE"""),"อลูมิเนียม")</f>
        <v>อลูมิเนียม</v>
      </c>
      <c r="B2013" s="128" t="str">
        <f>IFERROR(__xludf.DUMMYFUNCTION("""COMPUTED_VALUE"""),"XSW400023-ฝากปิดล่าง ใหญ่-มิว")</f>
        <v>XSW400023-ฝากปิดล่าง ใหญ่-มิว</v>
      </c>
    </row>
    <row r="2014">
      <c r="A2014" s="128" t="str">
        <f>IFERROR(__xludf.DUMMYFUNCTION("""COMPUTED_VALUE"""),"อลูมิเนียม")</f>
        <v>อลูมิเนียม</v>
      </c>
      <c r="B2014" s="128" t="str">
        <f>IFERROR(__xludf.DUMMYFUNCTION("""COMPUTED_VALUE"""),"XSW400023-ฝากปิดล่าง ใหญ่-อบขาว")</f>
        <v>XSW400023-ฝากปิดล่าง ใหญ่-อบขาว</v>
      </c>
    </row>
    <row r="2015">
      <c r="A2015" s="128" t="str">
        <f>IFERROR(__xludf.DUMMYFUNCTION("""COMPUTED_VALUE"""),"อลูมิเนียม")</f>
        <v>อลูมิเนียม</v>
      </c>
      <c r="B2015" s="128" t="str">
        <f>IFERROR(__xludf.DUMMYFUNCTION("""COMPUTED_VALUE"""),"XSW400023-ฝากปิดล่าง ใหญ่-ดำ")</f>
        <v>XSW400023-ฝากปิดล่าง ใหญ่-ดำ</v>
      </c>
    </row>
    <row r="2016">
      <c r="A2016" s="128" t="str">
        <f>IFERROR(__xludf.DUMMYFUNCTION("""COMPUTED_VALUE"""),"อลูมิเนียม")</f>
        <v>อลูมิเนียม</v>
      </c>
      <c r="B2016" s="128" t="str">
        <f>IFERROR(__xludf.DUMMYFUNCTION("""COMPUTED_VALUE"""),"XSW400023-ฝากปิดล่าง ใหญ่-เทาซาฮาร่า")</f>
        <v>XSW400023-ฝากปิดล่าง ใหญ่-เทาซาฮาร่า</v>
      </c>
    </row>
  </sheetData>
  <drawing r:id="rId1"/>
</worksheet>
</file>