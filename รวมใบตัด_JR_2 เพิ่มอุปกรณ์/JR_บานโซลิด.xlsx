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บานโซลิด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<sst xmlns="http://schemas.openxmlformats.org/spreadsheetml/2006/main" count="132" uniqueCount="112">
  <si>
    <t xml:space="preserve">JR — ใบตัดบานโซลิด (บานเปิด+ลูกฟูก+เส้นคาด · รองรับบานแม่-ลูก) · หน่วย ซม.</t>
  </si>
  <si>
    <t xml:space="preserve">① กรอก (เหลือง)</t>
  </si>
  <si>
    <t xml:space="preserve">กว้างรวม W →</t>
  </si>
  <si>
    <t xml:space="preserve">บานแม่ กว้าง</t>
  </si>
  <si>
    <t xml:space="preserve">สูง H →</t>
  </si>
  <si>
    <t xml:space="preserve">บานลูก กว้าง</t>
  </si>
  <si>
    <t xml:space="preserve">จำนวนบาน →</t>
  </si>
  <si>
    <t xml:space="preserve">จำนวนบานลูก</t>
  </si>
  <si>
    <t xml:space="preserve">ธรณี →</t>
  </si>
  <si>
    <t xml:space="preserve">มี</t>
  </si>
  <si>
    <t xml:space="preserve">สูงกรอบบาน</t>
  </si>
  <si>
    <t xml:space="preserve">แบ่งบาน →</t>
  </si>
  <si>
    <t xml:space="preserve">แม่-ลูก</t>
  </si>
  <si>
    <t xml:space="preserve">เส้นคาด แม่/ลูก</t>
  </si>
  <si>
    <t xml:space="preserve">บานแม่ กว้าง →</t>
  </si>
  <si>
    <t xml:space="preserve">ลูกฟูก แม่/ลูก (เส้น)</t>
  </si>
  <si>
    <t xml:space="preserve">ห่างจริงเส้นคาด แม่</t>
  </si>
  <si>
    <t xml:space="preserve">④ ใบตัด (โครง ยาว=ฐาน−⑦ · บานลูก=0 เมื่อบานเดียว)</t>
  </si>
  <si>
    <t xml:space="preserve">#</t>
  </si>
  <si>
    <t xml:space="preserve">รายการ</t>
  </si>
  <si>
    <t xml:space="preserve">ยาวตัด (ซม.)</t>
  </si>
  <si>
    <t xml:space="preserve">จำนวน</t>
  </si>
  <si>
    <t xml:space="preserve">เส้น 6ม.</t>
  </si>
  <si>
    <t xml:space="preserve">ฐาน / หมายเหตุ</t>
  </si>
  <si>
    <t xml:space="preserve">วงกบบน F7859</t>
  </si>
  <si>
    <t xml:space="preserve">1</t>
  </si>
  <si>
    <t xml:space="preserve">กว้าง</t>
  </si>
  <si>
    <t xml:space="preserve">วงกบข้าง F7859</t>
  </si>
  <si>
    <t xml:space="preserve">2</t>
  </si>
  <si>
    <t xml:space="preserve">สูง</t>
  </si>
  <si>
    <t xml:space="preserve">ธรณี F7938B</t>
  </si>
  <si>
    <t xml:space="preserve">กว้าง·มีธรณี</t>
  </si>
  <si>
    <t xml:space="preserve">ตบธรณี F7960</t>
  </si>
  <si>
    <t xml:space="preserve">เสริมใต้บาน F7863</t>
  </si>
  <si>
    <t xml:space="preserve">กว้าง·ไม่มีธรณี</t>
  </si>
  <si>
    <t xml:space="preserve">กรอบบานตั้ง 7864</t>
  </si>
  <si>
    <t xml:space="preserve">สูง ×2/บาน</t>
  </si>
  <si>
    <t xml:space="preserve">คิ้วตั้ง F7935</t>
  </si>
  <si>
    <t xml:space="preserve">เปิดกลาง F7945c</t>
  </si>
  <si>
    <t xml:space="preserve">ชนกลาง n−1</t>
  </si>
  <si>
    <t xml:space="preserve">กรอบนอน บานแม่ 7864</t>
  </si>
  <si>
    <t xml:space="preserve">Wแม่·เดี่ยว−3.7/คู่−1.95</t>
  </si>
  <si>
    <t xml:space="preserve">กรอบนอน บานลูก 7864</t>
  </si>
  <si>
    <t xml:space="preserve">Wลูก</t>
  </si>
  <si>
    <t xml:space="preserve">คิ้วนอน บานแม่ F7935</t>
  </si>
  <si>
    <t xml:space="preserve">Wแม่·เดี่ยว−19.7/คู่−17.95</t>
  </si>
  <si>
    <t xml:space="preserve">คิ้วนอน บานลูก F7935</t>
  </si>
  <si>
    <t xml:space="preserve">ลูกฟูก บานแม่ (2ฝั่ง)</t>
  </si>
  <si>
    <t xml:space="preserve">ยาว=สูงกรอบ ·⌈Wแม่/10⌉×2</t>
  </si>
  <si>
    <t xml:space="preserve">ลูกฟูก บานลูก (2ฝั่ง)</t>
  </si>
  <si>
    <t xml:space="preserve">⌈Wลูก/10⌉×2</t>
  </si>
  <si>
    <t xml:space="preserve">เส้นคาด บานแม่ (2ฝั่ง)</t>
  </si>
  <si>
    <t xml:space="preserve">ยาว=สูงกรอบ ·เว้นขอบ10</t>
  </si>
  <si>
    <t xml:space="preserve">เส้นคาด บานลูก (2ฝั่ง)</t>
  </si>
  <si>
    <t xml:space="preserve">×2/บานลูก</t>
  </si>
  <si>
    <t xml:space="preserve">⑤ อุปกรณ์ (แบบประตูบานเปิด) → ตั้งค่า+ตารางด้านล่าง แถว 53 ↓</t>
  </si>
  <si>
    <t xml:space="preserve">⑦ แผงค่าหักโครง (ดึงจาก JR_FUJI ประตูเดี่ยว/คู่ · มม.→ซม.)</t>
  </si>
  <si>
    <t xml:space="preserve">วงกบบน −</t>
  </si>
  <si>
    <t xml:space="preserve">ธรณี −</t>
  </si>
  <si>
    <t xml:space="preserve">ตบธรณี −</t>
  </si>
  <si>
    <t xml:space="preserve">เสริมใต้บาน −</t>
  </si>
  <si>
    <t xml:space="preserve">กรอบบานตั้ง −</t>
  </si>
  <si>
    <t xml:space="preserve">คิ้วตั้ง −</t>
  </si>
  <si>
    <t xml:space="preserve">เปิดกลาง(ชนกลาง) −</t>
  </si>
  <si>
    <t xml:space="preserve">กรอบนอน เดี่ยว −</t>
  </si>
  <si>
    <t xml:space="preserve">กรอบนอน คู่ −</t>
  </si>
  <si>
    <t xml:space="preserve">คิ้วนอน เดี่ยว −</t>
  </si>
  <si>
    <t xml:space="preserve">คิ้วนอน คู่ −</t>
  </si>
  <si>
    <t xml:space="preserve">⑤ ตั้งค่า (มือจับ/ตลับ/ทิศเปิด)</t>
  </si>
  <si>
    <t xml:space="preserve">สี (บานพับ+มือจับ) →</t>
  </si>
  <si>
    <t xml:space="preserve">ขาว</t>
  </si>
  <si>
    <t xml:space="preserve">ตลับกุญแจ →</t>
  </si>
  <si>
    <t xml:space="preserve">ล็อคปกติ</t>
  </si>
  <si>
    <t xml:space="preserve">ทิศเปิด →</t>
  </si>
  <si>
    <t xml:space="preserve">เปิดออก</t>
  </si>
  <si>
    <t xml:space="preserve">มือจับ ใบแม่ →</t>
  </si>
  <si>
    <t xml:space="preserve">คิงโบ ล็อค+กุญแจ</t>
  </si>
  <si>
    <t xml:space="preserve">มือจับ ใบลูก (แม่-ลูก) →</t>
  </si>
  <si>
    <t xml:space="preserve">ไม่ใส่</t>
  </si>
  <si>
    <t xml:space="preserve">⑤.1 สรุปอุปกรณ์ (จำนวนลิงก์อัตโนมัติ)</t>
  </si>
  <si>
    <t xml:space="preserve">อุปกรณ์</t>
  </si>
  <si>
    <t xml:space="preserve">รหัส SKU</t>
  </si>
  <si>
    <t xml:space="preserve">หน่วย</t>
  </si>
  <si>
    <t xml:space="preserve">หมายเหตุ</t>
  </si>
  <si>
    <t xml:space="preserve">บานพับ hyda</t>
  </si>
  <si>
    <t xml:space="preserve">ตัว</t>
  </si>
  <si>
    <t xml:space="preserve">สปิงก็อท</t>
  </si>
  <si>
    <t xml:space="preserve">JR00482</t>
  </si>
  <si>
    <t xml:space="preserve">ฉากประคองมุม</t>
  </si>
  <si>
    <t xml:space="preserve">JR00557</t>
  </si>
  <si>
    <t xml:space="preserve">มือจับ ล็อค+กุญแจ (คิงโบ)</t>
  </si>
  <si>
    <t xml:space="preserve">ชุด</t>
  </si>
  <si>
    <t xml:space="preserve">มือจับ ดัมมี่+ดัมมี่ (คิงโบ)</t>
  </si>
  <si>
    <t xml:space="preserve">มือจับ Cmech</t>
  </si>
  <si>
    <t xml:space="preserve">-</t>
  </si>
  <si>
    <t xml:space="preserve">ไม่ตัดสต็อก</t>
  </si>
  <si>
    <t xml:space="preserve">ตลับกุญแจไฮด้า</t>
  </si>
  <si>
    <t xml:space="preserve">ไส้กุญแจ</t>
  </si>
  <si>
    <t xml:space="preserve">auto เข้า/ออก</t>
  </si>
  <si>
    <t xml:space="preserve">แผ่นรับล็อค</t>
  </si>
  <si>
    <t xml:space="preserve">JR00562</t>
  </si>
  <si>
    <t xml:space="preserve">CDQ บานเปิด (บานลอง)</t>
  </si>
  <si>
    <t xml:space="preserve">JR00596</t>
  </si>
  <si>
    <t xml:space="preserve">ปลายกลอน (บานลอง)</t>
  </si>
  <si>
    <t xml:space="preserve">JR00598</t>
  </si>
  <si>
    <t xml:space="preserve">น็อตเฟรม 1"</t>
  </si>
  <si>
    <t xml:space="preserve">JR00864</t>
  </si>
  <si>
    <t xml:space="preserve">ยางกรอบบาน</t>
  </si>
  <si>
    <t xml:space="preserve">JR00771</t>
  </si>
  <si>
    <t xml:space="preserve">เมตร</t>
  </si>
  <si>
    <t xml:space="preserve">เก็บเมตร</t>
  </si>
  <si>
    <t xml:space="preserve">ยางวงกบ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</si>
</sst>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ahoma"/>
      <family val="0"/>
      <charset val="1"/>
    </font>
    <font>
      <b val="true"/>
      <sz val="11"/>
      <name val="Tahoma"/>
      <family val="0"/>
      <charset val="1"/>
    </font>
    <font>
      <sz val="11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color rgb="FF000000"/>
      <name val="Tahom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E2EFDA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4472C4"/>
        <bgColor rgb="FF2E75B6"/>
      </patternFill>
    </fill>
    <fill>
      <patternFill patternType="solid">
        <fgColor rgb="FF1F4E79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5" min="3" style="0" width="11"/>
    <col collapsed="false" customWidth="true" hidden="false" outlineLevel="0" max="6" min="6" style="0" width="24"/>
  </cols>
  <sheetData>
    <row r="1" customFormat="false" ht="14.9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4.9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4" t="n">
        <v>120</v>
      </c>
      <c r="D3" s="5" t="s">
        <v>3</v>
      </c>
      <c r="E3" s="6" t="n">
        <f aca="false">IF(B5=1,B3,IF(B7="แม่-ลูก",B8,B3/B5))</f>
        <v>80</v>
      </c>
    </row>
    <row r="4" customFormat="false" ht="15" hidden="false" customHeight="false" outlineLevel="0" collapsed="false">
      <c r="A4" s="3" t="s">
        <v>4</v>
      </c>
      <c r="B4" s="4" t="n">
        <v>279</v>
      </c>
      <c r="D4" s="5" t="s">
        <v>5</v>
      </c>
      <c r="E4" s="6" t="n">
        <f aca="false">IF(B5=1,0,IF(B7="แม่-ลูก",B3-B8,B3/B5))</f>
        <v>40</v>
      </c>
    </row>
    <row r="5" customFormat="false" ht="15" hidden="false" customHeight="false" outlineLevel="0" collapsed="false">
      <c r="A5" s="3" t="s">
        <v>6</v>
      </c>
      <c r="B5" s="4" t="n">
        <v>2</v>
      </c>
      <c r="D5" s="5" t="s">
        <v>7</v>
      </c>
      <c r="E5" s="6" t="n">
        <f aca="false">MAX(B5-1,0)</f>
        <v>1</v>
      </c>
    </row>
    <row r="6" customFormat="false" ht="15" hidden="false" customHeight="false" outlineLevel="0" collapsed="false">
      <c r="A6" s="3" t="s">
        <v>8</v>
      </c>
      <c r="B6" s="4" t="s">
        <v>9</v>
      </c>
      <c r="D6" s="5" t="s">
        <v>10</v>
      </c>
      <c r="E6" s="6" t="n">
        <f aca="false">B4-$F$45</f>
        <v>275.3</v>
      </c>
    </row>
    <row r="7" customFormat="false" ht="15" hidden="false" customHeight="false" outlineLevel="0" collapsed="false">
      <c r="A7" s="3" t="s">
        <v>11</v>
      </c>
      <c r="B7" s="4" t="s">
        <v>12</v>
      </c>
      <c r="D7" s="5" t="s">
        <v>13</v>
      </c>
      <c r="E7" s="6" t="n">
        <f aca="false">MAX(0,INT((E3-18)/3.8))</f>
        <v>16</v>
      </c>
      <c r="F7" s="6" t="n">
        <f aca="false">IF(E4&gt;0,MAX(0,INT((E4-18)/3.8)),0)</f>
        <v>5</v>
      </c>
    </row>
    <row r="8" customFormat="false" ht="15" hidden="false" customHeight="false" outlineLevel="0" collapsed="false">
      <c r="A8" s="3" t="s">
        <v>14</v>
      </c>
      <c r="B8" s="4" t="n">
        <v>80</v>
      </c>
      <c r="D8" s="5" t="s">
        <v>15</v>
      </c>
      <c r="E8" s="6" t="n">
        <f aca="false">ROUNDUP(E3/10,0)</f>
        <v>8</v>
      </c>
      <c r="F8" s="6" t="n">
        <f aca="false">IF(E4&gt;0,ROUNDUP(E4/10,0),0)</f>
        <v>4</v>
      </c>
    </row>
    <row r="9" customFormat="false" ht="15" hidden="false" customHeight="false" outlineLevel="0" collapsed="false">
      <c r="D9" s="5" t="s">
        <v>16</v>
      </c>
      <c r="E9" s="6" t="n">
        <f aca="false">IFERROR(ROUND((E3-20-E7*1.8)/(E7-1),2),"")</f>
        <v>2.08</v>
      </c>
    </row>
    <row r="11" customFormat="false" ht="14.9" hidden="false" customHeight="false" outlineLevel="0" collapsed="false">
      <c r="A11" s="2" t="s">
        <v>17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</row>
    <row r="13" customFormat="false" ht="15" hidden="false" customHeight="false" outlineLevel="0" collapsed="false">
      <c r="A13" s="7" t="n">
        <v>1</v>
      </c>
      <c r="B13" s="8" t="s">
        <v>24</v>
      </c>
      <c r="C13" s="9" t="n">
        <f aca="false">B3-$F$41</f>
        <v>115</v>
      </c>
      <c r="D13" s="10" t="s">
        <v>25</v>
      </c>
      <c r="E13" s="7" t="n">
        <f aca="false">IF(D13=0,"-",ROUNDUP(C13*D13/600,0))</f>
        <v>1</v>
      </c>
      <c r="F13" s="8" t="s">
        <v>26</v>
      </c>
    </row>
    <row r="14" customFormat="false" ht="15" hidden="false" customHeight="false" outlineLevel="0" collapsed="false">
      <c r="A14" s="7" t="n">
        <v>2</v>
      </c>
      <c r="B14" s="8" t="s">
        <v>27</v>
      </c>
      <c r="C14" s="9" t="n">
        <f aca="false">B4</f>
        <v>279</v>
      </c>
      <c r="D14" s="10" t="s">
        <v>28</v>
      </c>
      <c r="E14" s="7" t="n">
        <f aca="false">IF(D14=0,"-",ROUNDUP(C14*D14/600,0))</f>
        <v>1</v>
      </c>
      <c r="F14" s="8" t="s">
        <v>29</v>
      </c>
    </row>
    <row r="15" customFormat="false" ht="15" hidden="false" customHeight="false" outlineLevel="0" collapsed="false">
      <c r="A15" s="7" t="n">
        <v>3</v>
      </c>
      <c r="B15" s="8" t="s">
        <v>30</v>
      </c>
      <c r="C15" s="9" t="n">
        <f aca="false">B3-$F$42</f>
        <v>115</v>
      </c>
      <c r="D15" s="10" t="n">
        <f aca="false">IF(B6="มี",1,0)</f>
        <v>1</v>
      </c>
      <c r="E15" s="7" t="n">
        <f aca="false">IF(D15=0,"-",ROUNDUP(C15*D15/600,0))</f>
        <v>1</v>
      </c>
      <c r="F15" s="8" t="s">
        <v>31</v>
      </c>
    </row>
    <row r="16" customFormat="false" ht="15" hidden="false" customHeight="false" outlineLevel="0" collapsed="false">
      <c r="A16" s="7" t="n">
        <v>4</v>
      </c>
      <c r="B16" s="8" t="s">
        <v>32</v>
      </c>
      <c r="C16" s="9" t="n">
        <f aca="false">B3-$F$43</f>
        <v>115</v>
      </c>
      <c r="D16" s="10" t="n">
        <f aca="false">IF(B6="มี",1,0)</f>
        <v>1</v>
      </c>
      <c r="E16" s="7" t="n">
        <f aca="false">IF(D16=0,"-",ROUNDUP(C16*D16/600,0))</f>
        <v>1</v>
      </c>
      <c r="F16" s="8" t="s">
        <v>31</v>
      </c>
    </row>
    <row r="17" customFormat="false" ht="15" hidden="false" customHeight="false" outlineLevel="0" collapsed="false">
      <c r="A17" s="7" t="n">
        <v>5</v>
      </c>
      <c r="B17" s="8" t="s">
        <v>33</v>
      </c>
      <c r="C17" s="9" t="n">
        <f aca="false">B3-$F$44</f>
        <v>115</v>
      </c>
      <c r="D17" s="10" t="n">
        <f aca="false">IF(B6="ไม่มี",1,0)</f>
        <v>0</v>
      </c>
      <c r="E17" s="7" t="str">
        <f aca="false">IF(D17=0,"-",ROUNDUP(C17*D17/600,0))</f>
        <v>-</v>
      </c>
      <c r="F17" s="8" t="s">
        <v>34</v>
      </c>
    </row>
    <row r="18" customFormat="false" ht="15" hidden="false" customHeight="false" outlineLevel="0" collapsed="false">
      <c r="A18" s="7" t="n">
        <v>6</v>
      </c>
      <c r="B18" s="8" t="s">
        <v>35</v>
      </c>
      <c r="C18" s="9" t="n">
        <f aca="false">B4-$F$45</f>
        <v>275.3</v>
      </c>
      <c r="D18" s="10" t="n">
        <f aca="false">2*B5</f>
        <v>4</v>
      </c>
      <c r="E18" s="7" t="n">
        <f aca="false">IF(D18=0,"-",ROUNDUP(C18*D18/600,0))</f>
        <v>2</v>
      </c>
      <c r="F18" s="8" t="s">
        <v>36</v>
      </c>
    </row>
    <row r="19" customFormat="false" ht="15" hidden="false" customHeight="false" outlineLevel="0" collapsed="false">
      <c r="A19" s="7" t="n">
        <v>7</v>
      </c>
      <c r="B19" s="8" t="s">
        <v>37</v>
      </c>
      <c r="C19" s="9" t="n">
        <f aca="false">B4-$F$46</f>
        <v>255.3</v>
      </c>
      <c r="D19" s="10" t="n">
        <f aca="false">2*B5</f>
        <v>4</v>
      </c>
      <c r="E19" s="7" t="n">
        <f aca="false">IF(D19=0,"-",ROUNDUP(C19*D19/600,0))</f>
        <v>2</v>
      </c>
      <c r="F19" s="8" t="s">
        <v>36</v>
      </c>
    </row>
    <row r="20" customFormat="false" ht="15" hidden="false" customHeight="false" outlineLevel="0" collapsed="false">
      <c r="A20" s="7" t="n">
        <v>8</v>
      </c>
      <c r="B20" s="8" t="s">
        <v>38</v>
      </c>
      <c r="C20" s="9" t="n">
        <f aca="false">B4-$F$47</f>
        <v>273.6</v>
      </c>
      <c r="D20" s="10" t="n">
        <f aca="false">MAX(B5-1,0)</f>
        <v>1</v>
      </c>
      <c r="E20" s="7" t="n">
        <f aca="false">IF(D20=0,"-",ROUNDUP(C20*D20/600,0))</f>
        <v>1</v>
      </c>
      <c r="F20" s="8" t="s">
        <v>39</v>
      </c>
    </row>
    <row r="21" customFormat="false" ht="15" hidden="false" customHeight="false" outlineLevel="0" collapsed="false">
      <c r="A21" s="7" t="n">
        <v>9</v>
      </c>
      <c r="B21" s="8" t="s">
        <v>40</v>
      </c>
      <c r="C21" s="9" t="n">
        <f aca="false">E3-IF(B5=1,$F$48,$F$49)</f>
        <v>78.05</v>
      </c>
      <c r="D21" s="10" t="s">
        <v>28</v>
      </c>
      <c r="E21" s="7" t="n">
        <f aca="false">IF(D21=0,"-",ROUNDUP(C21*D21/600,0))</f>
        <v>1</v>
      </c>
      <c r="F21" s="8" t="s">
        <v>41</v>
      </c>
    </row>
    <row r="22" customFormat="false" ht="15" hidden="false" customHeight="false" outlineLevel="0" collapsed="false">
      <c r="A22" s="7" t="n">
        <v>10</v>
      </c>
      <c r="B22" s="8" t="s">
        <v>42</v>
      </c>
      <c r="C22" s="9" t="n">
        <f aca="false">IF(E4=0,"-",E4-IF(B5=1,$F$48,$F$49))</f>
        <v>38.05</v>
      </c>
      <c r="D22" s="10" t="n">
        <f aca="false">2*E5</f>
        <v>2</v>
      </c>
      <c r="E22" s="7" t="n">
        <f aca="false">IF(D22=0,"-",ROUNDUP(C22*D22/600,0))</f>
        <v>1</v>
      </c>
      <c r="F22" s="8" t="s">
        <v>43</v>
      </c>
    </row>
    <row r="23" customFormat="false" ht="15" hidden="false" customHeight="false" outlineLevel="0" collapsed="false">
      <c r="A23" s="7" t="n">
        <v>11</v>
      </c>
      <c r="B23" s="8" t="s">
        <v>44</v>
      </c>
      <c r="C23" s="9" t="n">
        <f aca="false">E3-IF(B5=1,$F$50,$F$51)</f>
        <v>62.05</v>
      </c>
      <c r="D23" s="10" t="s">
        <v>28</v>
      </c>
      <c r="E23" s="7" t="n">
        <f aca="false">IF(D23=0,"-",ROUNDUP(C23*D23/600,0))</f>
        <v>1</v>
      </c>
      <c r="F23" s="8" t="s">
        <v>45</v>
      </c>
    </row>
    <row r="24" customFormat="false" ht="15" hidden="false" customHeight="false" outlineLevel="0" collapsed="false">
      <c r="A24" s="7" t="n">
        <v>12</v>
      </c>
      <c r="B24" s="8" t="s">
        <v>46</v>
      </c>
      <c r="C24" s="9" t="n">
        <f aca="false">IF(E4=0,"-",E4-IF(B5=1,$F$50,$F$51))</f>
        <v>22.05</v>
      </c>
      <c r="D24" s="10" t="n">
        <f aca="false">2*E5</f>
        <v>2</v>
      </c>
      <c r="E24" s="7" t="n">
        <f aca="false">IF(D24=0,"-",ROUNDUP(C24*D24/600,0))</f>
        <v>1</v>
      </c>
      <c r="F24" s="8" t="s">
        <v>43</v>
      </c>
    </row>
    <row r="25" customFormat="false" ht="15" hidden="false" customHeight="false" outlineLevel="0" collapsed="false">
      <c r="A25" s="7" t="n">
        <v>13</v>
      </c>
      <c r="B25" s="8" t="s">
        <v>47</v>
      </c>
      <c r="C25" s="9" t="n">
        <f aca="false">E6</f>
        <v>275.3</v>
      </c>
      <c r="D25" s="10" t="n">
        <f aca="false">E8*2</f>
        <v>16</v>
      </c>
      <c r="E25" s="7" t="n">
        <f aca="false">IF(D25=0,"-",ROUNDUP(C25*D25/600,0))</f>
        <v>8</v>
      </c>
      <c r="F25" s="8" t="s">
        <v>48</v>
      </c>
    </row>
    <row r="26" customFormat="false" ht="15" hidden="false" customHeight="false" outlineLevel="0" collapsed="false">
      <c r="A26" s="7" t="n">
        <v>14</v>
      </c>
      <c r="B26" s="8" t="s">
        <v>49</v>
      </c>
      <c r="C26" s="9" t="n">
        <f aca="false">E6</f>
        <v>275.3</v>
      </c>
      <c r="D26" s="10" t="n">
        <f aca="false">F8*2*E5</f>
        <v>8</v>
      </c>
      <c r="E26" s="7" t="n">
        <f aca="false">IF(D26=0,"-",ROUNDUP(C26*D26/600,0))</f>
        <v>4</v>
      </c>
      <c r="F26" s="8" t="s">
        <v>50</v>
      </c>
    </row>
    <row r="27" customFormat="false" ht="15" hidden="false" customHeight="false" outlineLevel="0" collapsed="false">
      <c r="A27" s="7" t="n">
        <v>15</v>
      </c>
      <c r="B27" s="8" t="s">
        <v>51</v>
      </c>
      <c r="C27" s="9" t="n">
        <f aca="false">E6</f>
        <v>275.3</v>
      </c>
      <c r="D27" s="10" t="n">
        <f aca="false">E7*2</f>
        <v>32</v>
      </c>
      <c r="E27" s="7" t="n">
        <f aca="false">IF(D27=0,"-",ROUNDUP(C27*D27/600,0))</f>
        <v>15</v>
      </c>
      <c r="F27" s="8" t="s">
        <v>52</v>
      </c>
    </row>
    <row r="28" customFormat="false" ht="15" hidden="false" customHeight="false" outlineLevel="0" collapsed="false">
      <c r="A28" s="7" t="n">
        <v>16</v>
      </c>
      <c r="B28" s="8" t="s">
        <v>53</v>
      </c>
      <c r="C28" s="9" t="n">
        <f aca="false">E6</f>
        <v>275.3</v>
      </c>
      <c r="D28" s="10" t="n">
        <f aca="false">F7*2*E5</f>
        <v>10</v>
      </c>
      <c r="E28" s="7" t="n">
        <f aca="false">IF(D28=0,"-",ROUNDUP(C28*D28/600,0))</f>
        <v>5</v>
      </c>
      <c r="F28" s="8" t="s">
        <v>54</v>
      </c>
    </row>
    <row r="29" customFormat="false" ht="15" hidden="false" customHeight="false" outlineLevel="0" collapsed="false">
      <c r="A29" s="11" t="s">
        <v>55</v>
      </c>
    </row>
    <row r="30" customFormat="false" ht="15" hidden="false" customHeight="false" outlineLevel="0" collapsed="false">
      <c r="A30" s="7"/>
      <c r="B30" s="8"/>
      <c r="C30" s="7"/>
      <c r="D30" s="10"/>
      <c r="E30" s="7"/>
      <c r="F30" s="8"/>
    </row>
    <row r="31" customFormat="false" ht="15" hidden="false" customHeight="false" outlineLevel="0" collapsed="false">
      <c r="A31" s="7"/>
      <c r="B31" s="8"/>
      <c r="C31" s="7"/>
      <c r="D31" s="10"/>
      <c r="E31" s="7"/>
      <c r="F31" s="8"/>
    </row>
    <row r="32" customFormat="false" ht="15" hidden="false" customHeight="false" outlineLevel="0" collapsed="false">
      <c r="A32" s="7"/>
      <c r="B32" s="8"/>
      <c r="C32" s="7"/>
      <c r="D32" s="10"/>
      <c r="E32" s="7"/>
      <c r="F32" s="8"/>
    </row>
    <row r="33" customFormat="false" ht="15" hidden="false" customHeight="false" outlineLevel="0" collapsed="false">
      <c r="A33" s="7"/>
      <c r="B33" s="8"/>
      <c r="C33" s="7"/>
      <c r="D33" s="10"/>
      <c r="E33" s="7"/>
      <c r="F33" s="8"/>
    </row>
    <row r="34" customFormat="false" ht="15" hidden="false" customHeight="false" outlineLevel="0" collapsed="false">
      <c r="A34" s="7"/>
      <c r="B34" s="8"/>
      <c r="C34" s="7"/>
      <c r="D34" s="10"/>
      <c r="E34" s="7"/>
      <c r="F34" s="8"/>
    </row>
    <row r="35" customFormat="false" ht="15" hidden="false" customHeight="false" outlineLevel="0" collapsed="false">
      <c r="A35" s="7"/>
      <c r="B35" s="8"/>
      <c r="C35" s="7"/>
      <c r="D35" s="10"/>
      <c r="E35" s="7"/>
      <c r="F35" s="8"/>
    </row>
    <row r="40" customFormat="false" ht="14.9" hidden="false" customHeight="false" outlineLevel="0" collapsed="false">
      <c r="A40" s="2" t="s">
        <v>56</v>
      </c>
      <c r="B40" s="2"/>
      <c r="C40" s="2"/>
      <c r="D40" s="2"/>
      <c r="E40" s="2"/>
      <c r="F40" s="2"/>
    </row>
    <row r="41" customFormat="false" ht="15" hidden="false" customHeight="false" outlineLevel="0" collapsed="false">
      <c r="B41" s="8" t="s">
        <v>57</v>
      </c>
      <c r="F41" s="12" t="n">
        <v>5</v>
      </c>
    </row>
    <row r="42" customFormat="false" ht="15" hidden="false" customHeight="false" outlineLevel="0" collapsed="false">
      <c r="B42" s="8" t="s">
        <v>58</v>
      </c>
      <c r="F42" s="12" t="n">
        <v>5</v>
      </c>
    </row>
    <row r="43" customFormat="false" ht="15" hidden="false" customHeight="false" outlineLevel="0" collapsed="false">
      <c r="B43" s="8" t="s">
        <v>59</v>
      </c>
      <c r="F43" s="12" t="n">
        <v>5</v>
      </c>
    </row>
    <row r="44" customFormat="false" ht="15" hidden="false" customHeight="false" outlineLevel="0" collapsed="false">
      <c r="B44" s="8" t="s">
        <v>60</v>
      </c>
      <c r="F44" s="12" t="n">
        <v>5</v>
      </c>
    </row>
    <row r="45" customFormat="false" ht="15" hidden="false" customHeight="false" outlineLevel="0" collapsed="false">
      <c r="B45" s="8" t="s">
        <v>61</v>
      </c>
      <c r="F45" s="12" t="n">
        <v>3.7</v>
      </c>
    </row>
    <row r="46" customFormat="false" ht="15" hidden="false" customHeight="false" outlineLevel="0" collapsed="false">
      <c r="B46" s="8" t="s">
        <v>62</v>
      </c>
      <c r="F46" s="12" t="n">
        <v>23.7</v>
      </c>
    </row>
    <row r="47" customFormat="false" ht="15" hidden="false" customHeight="false" outlineLevel="0" collapsed="false">
      <c r="B47" s="8" t="s">
        <v>63</v>
      </c>
      <c r="F47" s="12" t="n">
        <v>5.4</v>
      </c>
    </row>
    <row r="48" customFormat="false" ht="15" hidden="false" customHeight="false" outlineLevel="0" collapsed="false">
      <c r="B48" s="8" t="s">
        <v>64</v>
      </c>
      <c r="F48" s="12" t="n">
        <v>3.7</v>
      </c>
    </row>
    <row r="49" customFormat="false" ht="15" hidden="false" customHeight="false" outlineLevel="0" collapsed="false">
      <c r="B49" s="8" t="s">
        <v>65</v>
      </c>
      <c r="F49" s="12" t="n">
        <v>1.95</v>
      </c>
    </row>
    <row r="50" customFormat="false" ht="15" hidden="false" customHeight="false" outlineLevel="0" collapsed="false">
      <c r="B50" s="8" t="s">
        <v>66</v>
      </c>
      <c r="F50" s="12" t="n">
        <v>19.7</v>
      </c>
    </row>
    <row r="51" customFormat="false" ht="15" hidden="false" customHeight="false" outlineLevel="0" collapsed="false">
      <c r="B51" s="8" t="s">
        <v>67</v>
      </c>
      <c r="F51" s="12" t="n">
        <v>17.95</v>
      </c>
    </row>
    <row r="53" customFormat="false" ht="12.65" hidden="false" customHeight="false" outlineLevel="0" collapsed="false">
      <c r="A53" s="13" t="s">
        <v>68</v>
      </c>
      <c r="B53" s="13"/>
      <c r="C53" s="13"/>
      <c r="D53" s="13"/>
      <c r="E53" s="13"/>
      <c r="F53" s="13"/>
    </row>
    <row r="54" customFormat="false" ht="15" hidden="false" customHeight="false" outlineLevel="0" collapsed="false">
      <c r="A54" s="14" t="s">
        <v>69</v>
      </c>
      <c r="B54" s="15" t="s">
        <v>70</v>
      </c>
    </row>
    <row r="55" customFormat="false" ht="15" hidden="false" customHeight="false" outlineLevel="0" collapsed="false">
      <c r="A55" s="14" t="s">
        <v>71</v>
      </c>
      <c r="B55" s="15" t="s">
        <v>72</v>
      </c>
    </row>
    <row r="56" customFormat="false" ht="15" hidden="false" customHeight="false" outlineLevel="0" collapsed="false">
      <c r="A56" s="14" t="s">
        <v>73</v>
      </c>
      <c r="B56" s="15" t="s">
        <v>74</v>
      </c>
    </row>
    <row r="57" customFormat="false" ht="15" hidden="false" customHeight="false" outlineLevel="0" collapsed="false">
      <c r="A57" s="14" t="s">
        <v>75</v>
      </c>
      <c r="B57" s="15" t="s">
        <v>76</v>
      </c>
    </row>
    <row r="58" customFormat="false" ht="15" hidden="false" customHeight="false" outlineLevel="0" collapsed="false">
      <c r="A58" s="14" t="s">
        <v>77</v>
      </c>
      <c r="B58" s="15" t="s">
        <v>78</v>
      </c>
    </row>
    <row r="60" customFormat="false" ht="12.65" hidden="false" customHeight="false" outlineLevel="0" collapsed="false">
      <c r="A60" s="13" t="s">
        <v>79</v>
      </c>
      <c r="B60" s="13"/>
      <c r="C60" s="13"/>
      <c r="D60" s="13"/>
      <c r="E60" s="13"/>
      <c r="F60" s="13"/>
    </row>
    <row r="61" customFormat="false" ht="15" hidden="false" customHeight="false" outlineLevel="0" collapsed="false">
      <c r="A61" s="13" t="s">
        <v>18</v>
      </c>
      <c r="B61" s="13" t="s">
        <v>80</v>
      </c>
      <c r="C61" s="13" t="s">
        <v>81</v>
      </c>
      <c r="D61" s="13" t="s">
        <v>21</v>
      </c>
      <c r="E61" s="13" t="s">
        <v>82</v>
      </c>
      <c r="F61" s="13" t="s">
        <v>83</v>
      </c>
    </row>
    <row r="62" customFormat="false" ht="15" hidden="false" customHeight="false" outlineLevel="0" collapsed="false">
      <c r="A62" s="14" t="n">
        <v>1</v>
      </c>
      <c r="B62" s="14" t="s">
        <v>84</v>
      </c>
      <c r="C62" s="15" t="str">
        <f aca="false">IF($B$54="ดำ","JR00488","JR00489")</f>
        <v>JR00489</v>
      </c>
      <c r="D62" s="16" t="n">
        <f aca="false">(IF(OR($B$4&gt;300,$E$3&gt;120),5,4)+IF($E$4&gt;0,IF(OR($B$4&gt;300,$E$4&gt;120),5,4)*$E$5,0))</f>
        <v>8</v>
      </c>
      <c r="E62" s="14" t="s">
        <v>85</v>
      </c>
      <c r="F62" s="14"/>
    </row>
    <row r="63" customFormat="false" ht="15" hidden="false" customHeight="false" outlineLevel="0" collapsed="false">
      <c r="A63" s="14" t="n">
        <v>2</v>
      </c>
      <c r="B63" s="14" t="s">
        <v>86</v>
      </c>
      <c r="C63" s="15" t="s">
        <v>87</v>
      </c>
      <c r="D63" s="16" t="n">
        <f aca="false">4*$B$5</f>
        <v>8</v>
      </c>
      <c r="E63" s="14" t="s">
        <v>85</v>
      </c>
      <c r="F63" s="14"/>
    </row>
    <row r="64" customFormat="false" ht="15" hidden="false" customHeight="false" outlineLevel="0" collapsed="false">
      <c r="A64" s="14" t="n">
        <v>3</v>
      </c>
      <c r="B64" s="14" t="s">
        <v>88</v>
      </c>
      <c r="C64" s="15" t="s">
        <v>89</v>
      </c>
      <c r="D64" s="16" t="n">
        <f aca="false">8*$B$5</f>
        <v>16</v>
      </c>
      <c r="E64" s="14" t="s">
        <v>85</v>
      </c>
      <c r="F64" s="14"/>
    </row>
    <row r="65" customFormat="false" ht="15" hidden="false" customHeight="false" outlineLevel="0" collapsed="false">
      <c r="A65" s="14" t="n">
        <v>4</v>
      </c>
      <c r="B65" s="14" t="s">
        <v>90</v>
      </c>
      <c r="C65" s="15" t="str">
        <f aca="false">IF($B$54="ดำ","JR00314","JR00315")</f>
        <v>JR00315</v>
      </c>
      <c r="D65" s="16" t="n">
        <f aca="false">(IF($B$57="คิงโบ ล็อค+กุญแจ",1,0)+IF(AND($E$5&gt;0,$B$58="คิงโบ ล็อค+กุญแจ"),1,0))</f>
        <v>1</v>
      </c>
      <c r="E65" s="14" t="s">
        <v>91</v>
      </c>
      <c r="F65" s="14"/>
    </row>
    <row r="66" customFormat="false" ht="15" hidden="false" customHeight="false" outlineLevel="0" collapsed="false">
      <c r="A66" s="14" t="n">
        <v>5</v>
      </c>
      <c r="B66" s="14" t="s">
        <v>92</v>
      </c>
      <c r="C66" s="15" t="str">
        <f aca="false">IF($B$54="ดำ","JR00312","JR00313")</f>
        <v>JR00313</v>
      </c>
      <c r="D66" s="16" t="n">
        <f aca="false">(IF($B$57="คิงโบ ดัมมี่+ดัมมี่",1,0)+IF(AND($E$5&gt;0,$B$58="คิงโบ ดัมมี่+ดัมมี่"),1,0))</f>
        <v>0</v>
      </c>
      <c r="E66" s="14" t="s">
        <v>91</v>
      </c>
      <c r="F66" s="14"/>
    </row>
    <row r="67" customFormat="false" ht="15" hidden="false" customHeight="false" outlineLevel="0" collapsed="false">
      <c r="A67" s="14" t="n">
        <v>6</v>
      </c>
      <c r="B67" s="14" t="s">
        <v>93</v>
      </c>
      <c r="C67" s="15" t="s">
        <v>94</v>
      </c>
      <c r="D67" s="16" t="n">
        <f aca="false">(IF($B$57="Cmech",1,0)+IF(AND($E$5&gt;0,$B$58="Cmech"),1,0))</f>
        <v>0</v>
      </c>
      <c r="E67" s="14" t="s">
        <v>91</v>
      </c>
      <c r="F67" s="14" t="s">
        <v>95</v>
      </c>
    </row>
    <row r="68" customFormat="false" ht="15" hidden="false" customHeight="false" outlineLevel="0" collapsed="false">
      <c r="A68" s="14" t="n">
        <v>7</v>
      </c>
      <c r="B68" s="14" t="s">
        <v>96</v>
      </c>
      <c r="C68" s="15" t="str">
        <f aca="false">IF($B$55="มัลติพ้อยล็อค","JR00553","JR00551")</f>
        <v>JR00551</v>
      </c>
      <c r="D68" s="16" t="n">
        <f aca="false">1</f>
        <v>1</v>
      </c>
      <c r="E68" s="14" t="s">
        <v>85</v>
      </c>
      <c r="F68" s="14"/>
    </row>
    <row r="69" customFormat="false" ht="15" hidden="false" customHeight="false" outlineLevel="0" collapsed="false">
      <c r="A69" s="14" t="n">
        <v>8</v>
      </c>
      <c r="B69" s="14" t="s">
        <v>97</v>
      </c>
      <c r="C69" s="15" t="str">
        <f aca="false">IF($B$56="เปิดเข้า","JR00498","JR00499")</f>
        <v>JR00499</v>
      </c>
      <c r="D69" s="16" t="n">
        <f aca="false">1</f>
        <v>1</v>
      </c>
      <c r="E69" s="14" t="s">
        <v>85</v>
      </c>
      <c r="F69" s="14" t="s">
        <v>98</v>
      </c>
    </row>
    <row r="70" customFormat="false" ht="15" hidden="false" customHeight="false" outlineLevel="0" collapsed="false">
      <c r="A70" s="14" t="n">
        <v>9</v>
      </c>
      <c r="B70" s="14" t="s">
        <v>99</v>
      </c>
      <c r="C70" s="15" t="s">
        <v>100</v>
      </c>
      <c r="D70" s="16" t="n">
        <f aca="false">1</f>
        <v>1</v>
      </c>
      <c r="E70" s="14" t="s">
        <v>91</v>
      </c>
      <c r="F70" s="14"/>
    </row>
    <row r="71" customFormat="false" ht="15" hidden="false" customHeight="false" outlineLevel="0" collapsed="false">
      <c r="A71" s="14" t="n">
        <v>10</v>
      </c>
      <c r="B71" s="14" t="s">
        <v>101</v>
      </c>
      <c r="C71" s="15" t="s">
        <v>102</v>
      </c>
      <c r="D71" s="16" t="n">
        <f aca="false">$E$5</f>
        <v>1</v>
      </c>
      <c r="E71" s="14" t="s">
        <v>85</v>
      </c>
      <c r="F71" s="14"/>
    </row>
    <row r="72" customFormat="false" ht="15" hidden="false" customHeight="false" outlineLevel="0" collapsed="false">
      <c r="A72" s="14" t="n">
        <v>11</v>
      </c>
      <c r="B72" s="14" t="s">
        <v>103</v>
      </c>
      <c r="C72" s="15" t="s">
        <v>104</v>
      </c>
      <c r="D72" s="16" t="n">
        <f aca="false">$E$5</f>
        <v>1</v>
      </c>
      <c r="E72" s="14" t="s">
        <v>85</v>
      </c>
      <c r="F72" s="14"/>
    </row>
    <row r="73" customFormat="false" ht="15" hidden="false" customHeight="false" outlineLevel="0" collapsed="false">
      <c r="A73" s="14" t="n">
        <v>12</v>
      </c>
      <c r="B73" s="14" t="s">
        <v>105</v>
      </c>
      <c r="C73" s="15" t="s">
        <v>106</v>
      </c>
      <c r="D73" s="16" t="n">
        <f aca="false">IF($B$6="มี",8,6)</f>
        <v>8</v>
      </c>
      <c r="E73" s="14" t="s">
        <v>85</v>
      </c>
      <c r="F73" s="14"/>
    </row>
    <row r="74" customFormat="false" ht="15" hidden="false" customHeight="false" outlineLevel="0" collapsed="false">
      <c r="A74" s="14" t="n">
        <v>13</v>
      </c>
      <c r="B74" s="14" t="s">
        <v>107</v>
      </c>
      <c r="C74" s="15" t="s">
        <v>108</v>
      </c>
      <c r="D74" s="16" t="n">
        <f aca="false">ROUND((2*($E$3+$B$4)+IF($E$4&gt;0,2*($E$4+$B$4)*$E$5,0))/100,1)</f>
        <v>13.6</v>
      </c>
      <c r="E74" s="14" t="s">
        <v>109</v>
      </c>
      <c r="F74" s="14" t="s">
        <v>110</v>
      </c>
    </row>
    <row r="75" customFormat="false" ht="15" hidden="false" customHeight="false" outlineLevel="0" collapsed="false">
      <c r="A75" s="14" t="n">
        <v>14</v>
      </c>
      <c r="B75" s="14" t="s">
        <v>111</v>
      </c>
      <c r="C75" s="15" t="s">
        <v>108</v>
      </c>
      <c r="D75" s="16" t="n">
        <f aca="false">ROUND(IF($B$6="มี",2*($B$3+$B$4),$B$3+2*$B$4)/100,1)</f>
        <v>8</v>
      </c>
      <c r="E75" s="14" t="s">
        <v>109</v>
      </c>
      <c r="F75" s="14" t="s">
        <v>110</v>
      </c>
    </row>
  </sheetData>
  <mergeCells count="6">
    <mergeCell ref="A1:F1"/>
    <mergeCell ref="A2:F2"/>
    <mergeCell ref="A11:F11"/>
    <mergeCell ref="A40:F40"/>
    <mergeCell ref="A53:F53"/>
    <mergeCell ref="A60:F60"/>
  </mergeCells>
  <dataValidations count="7">
    <dataValidation allowBlank="false" errorStyle="stop" operator="between" showDropDown="false" showErrorMessage="false" showInputMessage="false" sqref="B6" type="list">
      <formula1>"มี,ไม่มี"</formula1>
      <formula2>0</formula2>
    </dataValidation>
    <dataValidation allowBlank="false" errorStyle="stop" operator="between" showDropDown="false" showErrorMessage="false" showInputMessage="false" sqref="B7" type="list">
      <formula1>"เท่ากัน,แม่-ลูก"</formula1>
      <formula2>0</formula2>
    </dataValidation>
    <dataValidation allowBlank="true" errorStyle="stop" operator="between" showDropDown="false" showErrorMessage="false" showInputMessage="false" sqref="B54" type="list">
      <formula1>"ขาว,ดำ"</formula1>
      <formula2>0</formula2>
    </dataValidation>
    <dataValidation allowBlank="true" errorStyle="stop" operator="between" showDropDown="false" showErrorMessage="false" showInputMessage="false" sqref="B55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56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57" type="list">
      <formula1>"คิงโบ ล็อค+กุญแจ,คิงโบ ดัมมี่+ดัมมี่,Cmech,ไม่ใส่"</formula1>
      <formula2>0</formula2>
    </dataValidation>
    <dataValidation allowBlank="true" errorStyle="stop" operator="between" showDropDown="false" showErrorMessage="false" showInputMessage="false" sqref="B58" type="list">
      <formula1>"คิงโบ ล็อค+กุญแจ,คิงโบ ดัมมี่+ดัมมี่,Cmech,ไม่ใส่"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2026-07-07T01:36:16Z</dcterms:created>
  <dc:creator>openpyxl</dc:creator>
  <dc:description/>
  <dc:language>en-US</dc:language>
  <cp:lastModifiedBy/>
  <dcterms:modified xsi:type="dcterms:W3CDTF">2026-07-22T03:28:38Z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